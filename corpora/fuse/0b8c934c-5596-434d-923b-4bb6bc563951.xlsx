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externalReferences>
    <externalReference r:id="rId3"/>
  </externalReferences>
  <definedNames>
    <definedName name="_xlnm._FilterDatabase" localSheetId="1" hidden="1">'Course Totals'!$A$1:$S$1150</definedName>
  </definedNames>
  <calcPr calcId="145621"/>
</workbook>
</file>

<file path=xl/calcChain.xml><?xml version="1.0" encoding="utf-8"?>
<calcChain xmlns="http://schemas.openxmlformats.org/spreadsheetml/2006/main">
  <c r="S1150" i="7" l="1"/>
  <c r="R1150" i="7"/>
  <c r="Q1150" i="7"/>
  <c r="P1150" i="7"/>
  <c r="O1150" i="7"/>
  <c r="N1150" i="7"/>
  <c r="M1150" i="7"/>
  <c r="L1150" i="7"/>
  <c r="K1150" i="7"/>
  <c r="J1150" i="7"/>
  <c r="I1150" i="7"/>
  <c r="H1150" i="7"/>
  <c r="G1150" i="7"/>
  <c r="F1150" i="7"/>
  <c r="E1150" i="7"/>
  <c r="D1150" i="7"/>
  <c r="C1150" i="7"/>
  <c r="B1150" i="7"/>
  <c r="S1149" i="7"/>
  <c r="R1149" i="7"/>
  <c r="Q1149" i="7"/>
  <c r="P1149" i="7"/>
  <c r="O1149" i="7"/>
  <c r="N1149" i="7"/>
  <c r="M1149" i="7"/>
  <c r="L1149" i="7"/>
  <c r="K1149" i="7"/>
  <c r="J1149" i="7"/>
  <c r="I1149" i="7"/>
  <c r="H1149" i="7"/>
  <c r="G1149" i="7"/>
  <c r="F1149" i="7"/>
  <c r="E1149" i="7"/>
  <c r="D1149" i="7"/>
  <c r="C1149" i="7"/>
  <c r="B1149" i="7"/>
  <c r="S1148" i="7"/>
  <c r="R1148" i="7"/>
  <c r="Q1148" i="7"/>
  <c r="P1148" i="7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B1148" i="7"/>
  <c r="S1147" i="7"/>
  <c r="R1147" i="7"/>
  <c r="Q1147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B1147" i="7"/>
  <c r="S1146" i="7"/>
  <c r="R1146" i="7"/>
  <c r="Q1146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B1146" i="7"/>
  <c r="S1145" i="7"/>
  <c r="R1145" i="7"/>
  <c r="Q1145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B1145" i="7"/>
  <c r="S1144" i="7"/>
  <c r="R1144" i="7"/>
  <c r="Q1144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B1144" i="7"/>
  <c r="S1143" i="7"/>
  <c r="R1143" i="7"/>
  <c r="Q1143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B1143" i="7"/>
  <c r="S1142" i="7"/>
  <c r="R1142" i="7"/>
  <c r="Q1142" i="7"/>
  <c r="P1142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B1142" i="7"/>
  <c r="S1141" i="7"/>
  <c r="R1141" i="7"/>
  <c r="Q1141" i="7"/>
  <c r="P1141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B1141" i="7"/>
  <c r="S1140" i="7"/>
  <c r="R1140" i="7"/>
  <c r="Q1140" i="7"/>
  <c r="P1140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B1140" i="7"/>
  <c r="S1139" i="7"/>
  <c r="R1139" i="7"/>
  <c r="Q1139" i="7"/>
  <c r="P1139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B1139" i="7"/>
  <c r="S1138" i="7"/>
  <c r="R1138" i="7"/>
  <c r="Q1138" i="7"/>
  <c r="P1138" i="7"/>
  <c r="O1138" i="7"/>
  <c r="N1138" i="7"/>
  <c r="M1138" i="7"/>
  <c r="L1138" i="7"/>
  <c r="K1138" i="7"/>
  <c r="J1138" i="7"/>
  <c r="I1138" i="7"/>
  <c r="H1138" i="7"/>
  <c r="G1138" i="7"/>
  <c r="F1138" i="7"/>
  <c r="E1138" i="7"/>
  <c r="D1138" i="7"/>
  <c r="C1138" i="7"/>
  <c r="B1138" i="7"/>
  <c r="A1137" i="7"/>
  <c r="B1136" i="7"/>
  <c r="S1135" i="7"/>
  <c r="R1135" i="7"/>
  <c r="Q1135" i="7"/>
  <c r="P1135" i="7"/>
  <c r="O1135" i="7"/>
  <c r="N1135" i="7"/>
  <c r="M1135" i="7"/>
  <c r="L1135" i="7"/>
  <c r="K1135" i="7"/>
  <c r="J1135" i="7"/>
  <c r="I1135" i="7"/>
  <c r="H1135" i="7"/>
  <c r="G1135" i="7"/>
  <c r="F1135" i="7"/>
  <c r="E1135" i="7"/>
  <c r="D1135" i="7"/>
  <c r="C1135" i="7"/>
  <c r="B1135" i="7"/>
  <c r="S1134" i="7"/>
  <c r="R1134" i="7"/>
  <c r="Q1134" i="7"/>
  <c r="P1134" i="7"/>
  <c r="O1134" i="7"/>
  <c r="N1134" i="7"/>
  <c r="M1134" i="7"/>
  <c r="L1134" i="7"/>
  <c r="K1134" i="7"/>
  <c r="J1134" i="7"/>
  <c r="I1134" i="7"/>
  <c r="H1134" i="7"/>
  <c r="G1134" i="7"/>
  <c r="F1134" i="7"/>
  <c r="E1134" i="7"/>
  <c r="D1134" i="7"/>
  <c r="C1134" i="7"/>
  <c r="B1134" i="7"/>
  <c r="S1133" i="7"/>
  <c r="R1133" i="7"/>
  <c r="Q1133" i="7"/>
  <c r="P1133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B1133" i="7"/>
  <c r="S1132" i="7"/>
  <c r="R1132" i="7"/>
  <c r="Q1132" i="7"/>
  <c r="P1132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B1132" i="7"/>
  <c r="S1131" i="7"/>
  <c r="R1131" i="7"/>
  <c r="Q1131" i="7"/>
  <c r="P1131" i="7"/>
  <c r="O1131" i="7"/>
  <c r="N1131" i="7"/>
  <c r="M1131" i="7"/>
  <c r="L1131" i="7"/>
  <c r="K1131" i="7"/>
  <c r="J1131" i="7"/>
  <c r="I1131" i="7"/>
  <c r="H1131" i="7"/>
  <c r="G1131" i="7"/>
  <c r="F1131" i="7"/>
  <c r="E1131" i="7"/>
  <c r="D1131" i="7"/>
  <c r="C1131" i="7"/>
  <c r="B1131" i="7"/>
  <c r="A1130" i="7"/>
  <c r="S1129" i="7"/>
  <c r="R1129" i="7"/>
  <c r="Q1129" i="7"/>
  <c r="P1129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B1129" i="7"/>
  <c r="S1128" i="7"/>
  <c r="R1128" i="7"/>
  <c r="Q1128" i="7"/>
  <c r="P1128" i="7"/>
  <c r="O1128" i="7"/>
  <c r="N1128" i="7"/>
  <c r="M1128" i="7"/>
  <c r="L1128" i="7"/>
  <c r="K1128" i="7"/>
  <c r="J1128" i="7"/>
  <c r="I1128" i="7"/>
  <c r="H1128" i="7"/>
  <c r="G1128" i="7"/>
  <c r="F1128" i="7"/>
  <c r="E1128" i="7"/>
  <c r="D1128" i="7"/>
  <c r="C1128" i="7"/>
  <c r="B1128" i="7"/>
  <c r="S1127" i="7"/>
  <c r="R1127" i="7"/>
  <c r="Q1127" i="7"/>
  <c r="P1127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B1127" i="7"/>
  <c r="S1126" i="7"/>
  <c r="R1126" i="7"/>
  <c r="Q1126" i="7"/>
  <c r="P1126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B1126" i="7"/>
  <c r="S1125" i="7"/>
  <c r="R1125" i="7"/>
  <c r="Q1125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B1125" i="7"/>
  <c r="S1124" i="7"/>
  <c r="R1124" i="7"/>
  <c r="Q1124" i="7"/>
  <c r="P1124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B1124" i="7"/>
  <c r="S1123" i="7"/>
  <c r="R1123" i="7"/>
  <c r="Q1123" i="7"/>
  <c r="P1123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B1123" i="7"/>
  <c r="S1122" i="7"/>
  <c r="R1122" i="7"/>
  <c r="Q1122" i="7"/>
  <c r="P1122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B1122" i="7"/>
  <c r="S1121" i="7"/>
  <c r="R1121" i="7"/>
  <c r="Q1121" i="7"/>
  <c r="P1121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B1121" i="7"/>
  <c r="S1120" i="7"/>
  <c r="R1120" i="7"/>
  <c r="Q1120" i="7"/>
  <c r="P1120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S1119" i="7"/>
  <c r="R1119" i="7"/>
  <c r="Q1119" i="7"/>
  <c r="P1119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S1118" i="7"/>
  <c r="R1118" i="7"/>
  <c r="Q1118" i="7"/>
  <c r="P1118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S1117" i="7"/>
  <c r="R1117" i="7"/>
  <c r="Q1117" i="7"/>
  <c r="P1117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S1116" i="7"/>
  <c r="R1116" i="7"/>
  <c r="Q1116" i="7"/>
  <c r="P1116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S1115" i="7"/>
  <c r="R1115" i="7"/>
  <c r="Q1115" i="7"/>
  <c r="P1115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S1114" i="7"/>
  <c r="R1114" i="7"/>
  <c r="Q1114" i="7"/>
  <c r="P1114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S1113" i="7"/>
  <c r="R1113" i="7"/>
  <c r="Q1113" i="7"/>
  <c r="P1113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S1112" i="7"/>
  <c r="R1112" i="7"/>
  <c r="Q1112" i="7"/>
  <c r="P1112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S1111" i="7"/>
  <c r="R1111" i="7"/>
  <c r="Q1111" i="7"/>
  <c r="P1111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S1110" i="7"/>
  <c r="R1110" i="7"/>
  <c r="Q1110" i="7"/>
  <c r="P1110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S1109" i="7"/>
  <c r="R1109" i="7"/>
  <c r="Q1109" i="7"/>
  <c r="P1109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S1108" i="7"/>
  <c r="R1108" i="7"/>
  <c r="Q1108" i="7"/>
  <c r="P1108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S1107" i="7"/>
  <c r="R1107" i="7"/>
  <c r="Q1107" i="7"/>
  <c r="P1107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S1106" i="7"/>
  <c r="R1106" i="7"/>
  <c r="Q1106" i="7"/>
  <c r="P1106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S1105" i="7"/>
  <c r="R1105" i="7"/>
  <c r="Q1105" i="7"/>
  <c r="P1105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S1104" i="7"/>
  <c r="R1104" i="7"/>
  <c r="Q1104" i="7"/>
  <c r="P1104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S1103" i="7"/>
  <c r="R1103" i="7"/>
  <c r="Q1103" i="7"/>
  <c r="P1103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S1102" i="7"/>
  <c r="R1102" i="7"/>
  <c r="Q1102" i="7"/>
  <c r="P1102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S1101" i="7"/>
  <c r="R1101" i="7"/>
  <c r="Q1101" i="7"/>
  <c r="P1101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S1100" i="7"/>
  <c r="R1100" i="7"/>
  <c r="Q1100" i="7"/>
  <c r="P1100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B1100" i="7"/>
  <c r="A1099" i="7"/>
  <c r="B1098" i="7"/>
  <c r="S1097" i="7"/>
  <c r="R1097" i="7"/>
  <c r="Q1097" i="7"/>
  <c r="P1097" i="7"/>
  <c r="O1097" i="7"/>
  <c r="N1097" i="7"/>
  <c r="M1097" i="7"/>
  <c r="L1097" i="7"/>
  <c r="K1097" i="7"/>
  <c r="J1097" i="7"/>
  <c r="I1097" i="7"/>
  <c r="H1097" i="7"/>
  <c r="G1097" i="7"/>
  <c r="F1097" i="7"/>
  <c r="E1097" i="7"/>
  <c r="D1097" i="7"/>
  <c r="C1097" i="7"/>
  <c r="B1097" i="7"/>
  <c r="S1096" i="7"/>
  <c r="R1096" i="7"/>
  <c r="Q1096" i="7"/>
  <c r="P1096" i="7"/>
  <c r="O1096" i="7"/>
  <c r="N1096" i="7"/>
  <c r="M1096" i="7"/>
  <c r="L1096" i="7"/>
  <c r="K1096" i="7"/>
  <c r="J1096" i="7"/>
  <c r="I1096" i="7"/>
  <c r="H1096" i="7"/>
  <c r="G1096" i="7"/>
  <c r="F1096" i="7"/>
  <c r="E1096" i="7"/>
  <c r="D1096" i="7"/>
  <c r="C1096" i="7"/>
  <c r="B1096" i="7"/>
  <c r="S1095" i="7"/>
  <c r="R1095" i="7"/>
  <c r="Q1095" i="7"/>
  <c r="P1095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S1094" i="7"/>
  <c r="R1094" i="7"/>
  <c r="Q1094" i="7"/>
  <c r="P1094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S1093" i="7"/>
  <c r="R1093" i="7"/>
  <c r="Q1093" i="7"/>
  <c r="P1093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B1093" i="7"/>
  <c r="A1092" i="7"/>
  <c r="S1091" i="7"/>
  <c r="R1091" i="7"/>
  <c r="Q1091" i="7"/>
  <c r="P1091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S1090" i="7"/>
  <c r="R1090" i="7"/>
  <c r="Q1090" i="7"/>
  <c r="P1090" i="7"/>
  <c r="O1090" i="7"/>
  <c r="N1090" i="7"/>
  <c r="M1090" i="7"/>
  <c r="L1090" i="7"/>
  <c r="K1090" i="7"/>
  <c r="J1090" i="7"/>
  <c r="I1090" i="7"/>
  <c r="H1090" i="7"/>
  <c r="G1090" i="7"/>
  <c r="F1090" i="7"/>
  <c r="E1090" i="7"/>
  <c r="D1090" i="7"/>
  <c r="C1090" i="7"/>
  <c r="B1090" i="7"/>
  <c r="S1089" i="7"/>
  <c r="R1089" i="7"/>
  <c r="Q1089" i="7"/>
  <c r="P1089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S1088" i="7"/>
  <c r="R1088" i="7"/>
  <c r="Q1088" i="7"/>
  <c r="P1088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S1087" i="7"/>
  <c r="R1087" i="7"/>
  <c r="Q1087" i="7"/>
  <c r="P1087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S1086" i="7"/>
  <c r="R1086" i="7"/>
  <c r="Q1086" i="7"/>
  <c r="P1086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S1085" i="7"/>
  <c r="R1085" i="7"/>
  <c r="Q1085" i="7"/>
  <c r="P1085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S1084" i="7"/>
  <c r="R1084" i="7"/>
  <c r="Q1084" i="7"/>
  <c r="P1084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S1083" i="7"/>
  <c r="R1083" i="7"/>
  <c r="Q1083" i="7"/>
  <c r="P1083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S1082" i="7"/>
  <c r="R1082" i="7"/>
  <c r="Q1082" i="7"/>
  <c r="P1082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S1081" i="7"/>
  <c r="R1081" i="7"/>
  <c r="Q1081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S1080" i="7"/>
  <c r="R1080" i="7"/>
  <c r="Q1080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S1079" i="7"/>
  <c r="R1079" i="7"/>
  <c r="Q1079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S1078" i="7"/>
  <c r="R1078" i="7"/>
  <c r="Q1078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S1077" i="7"/>
  <c r="R1077" i="7"/>
  <c r="Q1077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S1076" i="7"/>
  <c r="R1076" i="7"/>
  <c r="Q1076" i="7"/>
  <c r="P1076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S1075" i="7"/>
  <c r="R1075" i="7"/>
  <c r="Q1075" i="7"/>
  <c r="P1075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B1075" i="7"/>
  <c r="A1074" i="7"/>
  <c r="B1073" i="7"/>
  <c r="S1072" i="7"/>
  <c r="R1072" i="7"/>
  <c r="Q1072" i="7"/>
  <c r="P1072" i="7"/>
  <c r="O1072" i="7"/>
  <c r="N1072" i="7"/>
  <c r="M1072" i="7"/>
  <c r="L1072" i="7"/>
  <c r="K1072" i="7"/>
  <c r="J1072" i="7"/>
  <c r="I1072" i="7"/>
  <c r="H1072" i="7"/>
  <c r="G1072" i="7"/>
  <c r="F1072" i="7"/>
  <c r="E1072" i="7"/>
  <c r="D1072" i="7"/>
  <c r="C1072" i="7"/>
  <c r="B1072" i="7"/>
  <c r="S1071" i="7"/>
  <c r="R1071" i="7"/>
  <c r="Q1071" i="7"/>
  <c r="P1071" i="7"/>
  <c r="O1071" i="7"/>
  <c r="N1071" i="7"/>
  <c r="M1071" i="7"/>
  <c r="L1071" i="7"/>
  <c r="K1071" i="7"/>
  <c r="J1071" i="7"/>
  <c r="I1071" i="7"/>
  <c r="H1071" i="7"/>
  <c r="G1071" i="7"/>
  <c r="F1071" i="7"/>
  <c r="E1071" i="7"/>
  <c r="D1071" i="7"/>
  <c r="C1071" i="7"/>
  <c r="B1071" i="7"/>
  <c r="S1070" i="7"/>
  <c r="R1070" i="7"/>
  <c r="Q1070" i="7"/>
  <c r="P1070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S1069" i="7"/>
  <c r="R1069" i="7"/>
  <c r="Q1069" i="7"/>
  <c r="P1069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S1068" i="7"/>
  <c r="R1068" i="7"/>
  <c r="Q1068" i="7"/>
  <c r="P1068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S1067" i="7"/>
  <c r="R1067" i="7"/>
  <c r="Q1067" i="7"/>
  <c r="P1067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S1066" i="7"/>
  <c r="R1066" i="7"/>
  <c r="Q1066" i="7"/>
  <c r="P1066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S1065" i="7"/>
  <c r="R1065" i="7"/>
  <c r="Q1065" i="7"/>
  <c r="P1065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S1064" i="7"/>
  <c r="R1064" i="7"/>
  <c r="Q1064" i="7"/>
  <c r="P1064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S1063" i="7"/>
  <c r="R1063" i="7"/>
  <c r="Q1063" i="7"/>
  <c r="P1063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S1062" i="7"/>
  <c r="R1062" i="7"/>
  <c r="Q1062" i="7"/>
  <c r="P1062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S1061" i="7"/>
  <c r="R1061" i="7"/>
  <c r="Q1061" i="7"/>
  <c r="P1061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S1060" i="7"/>
  <c r="R1060" i="7"/>
  <c r="Q1060" i="7"/>
  <c r="P1060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S1059" i="7"/>
  <c r="R1059" i="7"/>
  <c r="Q1059" i="7"/>
  <c r="P1059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S1058" i="7"/>
  <c r="R1058" i="7"/>
  <c r="Q1058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S1057" i="7"/>
  <c r="R1057" i="7"/>
  <c r="Q1057" i="7"/>
  <c r="P1057" i="7"/>
  <c r="O1057" i="7"/>
  <c r="N1057" i="7"/>
  <c r="M1057" i="7"/>
  <c r="L1057" i="7"/>
  <c r="K1057" i="7"/>
  <c r="J1057" i="7"/>
  <c r="I1057" i="7"/>
  <c r="H1057" i="7"/>
  <c r="G1057" i="7"/>
  <c r="F1057" i="7"/>
  <c r="E1057" i="7"/>
  <c r="D1057" i="7"/>
  <c r="C1057" i="7"/>
  <c r="B1057" i="7"/>
  <c r="A1056" i="7"/>
  <c r="S1055" i="7"/>
  <c r="R1055" i="7"/>
  <c r="Q1055" i="7"/>
  <c r="P1055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S1054" i="7"/>
  <c r="R1054" i="7"/>
  <c r="Q1054" i="7"/>
  <c r="P1054" i="7"/>
  <c r="O1054" i="7"/>
  <c r="N1054" i="7"/>
  <c r="M1054" i="7"/>
  <c r="L1054" i="7"/>
  <c r="K1054" i="7"/>
  <c r="J1054" i="7"/>
  <c r="I1054" i="7"/>
  <c r="H1054" i="7"/>
  <c r="G1054" i="7"/>
  <c r="F1054" i="7"/>
  <c r="E1054" i="7"/>
  <c r="D1054" i="7"/>
  <c r="C1054" i="7"/>
  <c r="B1054" i="7"/>
  <c r="A1053" i="7"/>
  <c r="S1052" i="7"/>
  <c r="R1052" i="7"/>
  <c r="Q1052" i="7"/>
  <c r="P1052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S1051" i="7"/>
  <c r="R1051" i="7"/>
  <c r="Q1051" i="7"/>
  <c r="P1051" i="7"/>
  <c r="O1051" i="7"/>
  <c r="N1051" i="7"/>
  <c r="M1051" i="7"/>
  <c r="L1051" i="7"/>
  <c r="K1051" i="7"/>
  <c r="J1051" i="7"/>
  <c r="I1051" i="7"/>
  <c r="H1051" i="7"/>
  <c r="G1051" i="7"/>
  <c r="F1051" i="7"/>
  <c r="E1051" i="7"/>
  <c r="D1051" i="7"/>
  <c r="C1051" i="7"/>
  <c r="B1051" i="7"/>
  <c r="S1050" i="7"/>
  <c r="R1050" i="7"/>
  <c r="Q1050" i="7"/>
  <c r="P1050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S1049" i="7"/>
  <c r="R1049" i="7"/>
  <c r="Q1049" i="7"/>
  <c r="P1049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S1048" i="7"/>
  <c r="R1048" i="7"/>
  <c r="Q1048" i="7"/>
  <c r="P1048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B1048" i="7"/>
  <c r="A1047" i="7"/>
  <c r="B1046" i="7"/>
  <c r="S1045" i="7"/>
  <c r="R1045" i="7"/>
  <c r="Q1045" i="7"/>
  <c r="P1045" i="7"/>
  <c r="O1045" i="7"/>
  <c r="N1045" i="7"/>
  <c r="M1045" i="7"/>
  <c r="L1045" i="7"/>
  <c r="K1045" i="7"/>
  <c r="J1045" i="7"/>
  <c r="I1045" i="7"/>
  <c r="H1045" i="7"/>
  <c r="G1045" i="7"/>
  <c r="F1045" i="7"/>
  <c r="E1045" i="7"/>
  <c r="D1045" i="7"/>
  <c r="C1045" i="7"/>
  <c r="B1045" i="7"/>
  <c r="S1044" i="7"/>
  <c r="R1044" i="7"/>
  <c r="Q1044" i="7"/>
  <c r="P1044" i="7"/>
  <c r="O1044" i="7"/>
  <c r="N1044" i="7"/>
  <c r="M1044" i="7"/>
  <c r="L1044" i="7"/>
  <c r="K1044" i="7"/>
  <c r="J1044" i="7"/>
  <c r="I1044" i="7"/>
  <c r="H1044" i="7"/>
  <c r="G1044" i="7"/>
  <c r="F1044" i="7"/>
  <c r="E1044" i="7"/>
  <c r="D1044" i="7"/>
  <c r="C1044" i="7"/>
  <c r="B1044" i="7"/>
  <c r="S1043" i="7"/>
  <c r="R1043" i="7"/>
  <c r="Q1043" i="7"/>
  <c r="P1043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S1042" i="7"/>
  <c r="R1042" i="7"/>
  <c r="Q1042" i="7"/>
  <c r="P1042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S1041" i="7"/>
  <c r="R1041" i="7"/>
  <c r="Q1041" i="7"/>
  <c r="P1041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S1040" i="7"/>
  <c r="R1040" i="7"/>
  <c r="Q1040" i="7"/>
  <c r="P1040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S1039" i="7"/>
  <c r="R1039" i="7"/>
  <c r="Q1039" i="7"/>
  <c r="P1039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S1038" i="7"/>
  <c r="R1038" i="7"/>
  <c r="Q1038" i="7"/>
  <c r="P1038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S1037" i="7"/>
  <c r="R1037" i="7"/>
  <c r="Q1037" i="7"/>
  <c r="P103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S1036" i="7"/>
  <c r="R1036" i="7"/>
  <c r="Q1036" i="7"/>
  <c r="P1036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S1035" i="7"/>
  <c r="R1035" i="7"/>
  <c r="Q1035" i="7"/>
  <c r="P1035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S1034" i="7"/>
  <c r="R1034" i="7"/>
  <c r="Q1034" i="7"/>
  <c r="P1034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S1033" i="7"/>
  <c r="R1033" i="7"/>
  <c r="Q1033" i="7"/>
  <c r="P1033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S1032" i="7"/>
  <c r="R1032" i="7"/>
  <c r="Q1032" i="7"/>
  <c r="P1032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S1031" i="7"/>
  <c r="R1031" i="7"/>
  <c r="Q1031" i="7"/>
  <c r="P1031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B1031" i="7"/>
  <c r="A1030" i="7"/>
  <c r="S1029" i="7"/>
  <c r="R1029" i="7"/>
  <c r="Q1029" i="7"/>
  <c r="P1029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S1028" i="7"/>
  <c r="R1028" i="7"/>
  <c r="Q1028" i="7"/>
  <c r="P1028" i="7"/>
  <c r="O1028" i="7"/>
  <c r="N1028" i="7"/>
  <c r="M1028" i="7"/>
  <c r="L1028" i="7"/>
  <c r="K1028" i="7"/>
  <c r="J1028" i="7"/>
  <c r="I1028" i="7"/>
  <c r="H1028" i="7"/>
  <c r="G1028" i="7"/>
  <c r="F1028" i="7"/>
  <c r="E1028" i="7"/>
  <c r="D1028" i="7"/>
  <c r="C1028" i="7"/>
  <c r="B1028" i="7"/>
  <c r="S1027" i="7"/>
  <c r="R1027" i="7"/>
  <c r="Q1027" i="7"/>
  <c r="P1027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S1026" i="7"/>
  <c r="R1026" i="7"/>
  <c r="Q1026" i="7"/>
  <c r="P1026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S1025" i="7"/>
  <c r="R1025" i="7"/>
  <c r="Q1025" i="7"/>
  <c r="P1025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S1024" i="7"/>
  <c r="R1024" i="7"/>
  <c r="Q1024" i="7"/>
  <c r="P1024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S1023" i="7"/>
  <c r="R1023" i="7"/>
  <c r="Q1023" i="7"/>
  <c r="P1023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S1022" i="7"/>
  <c r="R1022" i="7"/>
  <c r="Q1022" i="7"/>
  <c r="P1022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S1021" i="7"/>
  <c r="R1021" i="7"/>
  <c r="Q1021" i="7"/>
  <c r="P1021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S1020" i="7"/>
  <c r="R1020" i="7"/>
  <c r="Q1020" i="7"/>
  <c r="P1020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S1019" i="7"/>
  <c r="R1019" i="7"/>
  <c r="Q1019" i="7"/>
  <c r="P1019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S1018" i="7"/>
  <c r="R1018" i="7"/>
  <c r="Q1018" i="7"/>
  <c r="P1018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S1017" i="7"/>
  <c r="R1017" i="7"/>
  <c r="Q1017" i="7"/>
  <c r="P1017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S1016" i="7"/>
  <c r="R1016" i="7"/>
  <c r="Q1016" i="7"/>
  <c r="P1016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S1015" i="7"/>
  <c r="R1015" i="7"/>
  <c r="Q1015" i="7"/>
  <c r="P1015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B1015" i="7"/>
  <c r="A1014" i="7"/>
  <c r="B1013" i="7"/>
  <c r="S1012" i="7"/>
  <c r="R1012" i="7"/>
  <c r="Q1012" i="7"/>
  <c r="P1012" i="7"/>
  <c r="O1012" i="7"/>
  <c r="N1012" i="7"/>
  <c r="M1012" i="7"/>
  <c r="L1012" i="7"/>
  <c r="K1012" i="7"/>
  <c r="J1012" i="7"/>
  <c r="I1012" i="7"/>
  <c r="H1012" i="7"/>
  <c r="G1012" i="7"/>
  <c r="F1012" i="7"/>
  <c r="E1012" i="7"/>
  <c r="D1012" i="7"/>
  <c r="C1012" i="7"/>
  <c r="B1012" i="7"/>
  <c r="S1011" i="7"/>
  <c r="R1011" i="7"/>
  <c r="Q1011" i="7"/>
  <c r="P1011" i="7"/>
  <c r="O1011" i="7"/>
  <c r="N1011" i="7"/>
  <c r="M1011" i="7"/>
  <c r="L1011" i="7"/>
  <c r="K1011" i="7"/>
  <c r="J1011" i="7"/>
  <c r="I1011" i="7"/>
  <c r="H1011" i="7"/>
  <c r="G1011" i="7"/>
  <c r="F1011" i="7"/>
  <c r="E1011" i="7"/>
  <c r="D1011" i="7"/>
  <c r="C1011" i="7"/>
  <c r="B1011" i="7"/>
  <c r="S1010" i="7"/>
  <c r="R1010" i="7"/>
  <c r="Q1010" i="7"/>
  <c r="P1010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S1009" i="7"/>
  <c r="R1009" i="7"/>
  <c r="Q1009" i="7"/>
  <c r="P1009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S1008" i="7"/>
  <c r="R1008" i="7"/>
  <c r="Q1008" i="7"/>
  <c r="P1008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S1007" i="7"/>
  <c r="R1007" i="7"/>
  <c r="Q1007" i="7"/>
  <c r="P1007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S1006" i="7"/>
  <c r="R1006" i="7"/>
  <c r="Q1006" i="7"/>
  <c r="P1006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B1006" i="7"/>
  <c r="A1005" i="7"/>
  <c r="S1004" i="7"/>
  <c r="R1004" i="7"/>
  <c r="Q1004" i="7"/>
  <c r="P1004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S1003" i="7"/>
  <c r="R1003" i="7"/>
  <c r="Q1003" i="7"/>
  <c r="P1003" i="7"/>
  <c r="O1003" i="7"/>
  <c r="N1003" i="7"/>
  <c r="M1003" i="7"/>
  <c r="L1003" i="7"/>
  <c r="K1003" i="7"/>
  <c r="J1003" i="7"/>
  <c r="I1003" i="7"/>
  <c r="H1003" i="7"/>
  <c r="G1003" i="7"/>
  <c r="F1003" i="7"/>
  <c r="E1003" i="7"/>
  <c r="D1003" i="7"/>
  <c r="C1003" i="7"/>
  <c r="B1003" i="7"/>
  <c r="S1002" i="7"/>
  <c r="R1002" i="7"/>
  <c r="Q1002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S1001" i="7"/>
  <c r="R1001" i="7"/>
  <c r="Q1001" i="7"/>
  <c r="P1001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S999" i="7"/>
  <c r="R999" i="7"/>
  <c r="Q999" i="7"/>
  <c r="P999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B999" i="7"/>
  <c r="A998" i="7"/>
  <c r="S997" i="7"/>
  <c r="R997" i="7"/>
  <c r="Q997" i="7"/>
  <c r="P997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S996" i="7"/>
  <c r="R996" i="7"/>
  <c r="Q996" i="7"/>
  <c r="P996" i="7"/>
  <c r="O996" i="7"/>
  <c r="N996" i="7"/>
  <c r="M996" i="7"/>
  <c r="L996" i="7"/>
  <c r="K996" i="7"/>
  <c r="J996" i="7"/>
  <c r="I996" i="7"/>
  <c r="H996" i="7"/>
  <c r="G996" i="7"/>
  <c r="F996" i="7"/>
  <c r="E996" i="7"/>
  <c r="D996" i="7"/>
  <c r="C996" i="7"/>
  <c r="B996" i="7"/>
  <c r="S995" i="7"/>
  <c r="R995" i="7"/>
  <c r="Q995" i="7"/>
  <c r="P995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S994" i="7"/>
  <c r="R994" i="7"/>
  <c r="Q994" i="7"/>
  <c r="P994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S993" i="7"/>
  <c r="R993" i="7"/>
  <c r="Q993" i="7"/>
  <c r="P993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S992" i="7"/>
  <c r="R992" i="7"/>
  <c r="Q992" i="7"/>
  <c r="P992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S991" i="7"/>
  <c r="R991" i="7"/>
  <c r="Q991" i="7"/>
  <c r="P991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B991" i="7"/>
  <c r="A990" i="7"/>
  <c r="B989" i="7"/>
  <c r="S988" i="7"/>
  <c r="R988" i="7"/>
  <c r="Q988" i="7"/>
  <c r="P988" i="7"/>
  <c r="O988" i="7"/>
  <c r="N988" i="7"/>
  <c r="M988" i="7"/>
  <c r="L988" i="7"/>
  <c r="K988" i="7"/>
  <c r="J988" i="7"/>
  <c r="I988" i="7"/>
  <c r="H988" i="7"/>
  <c r="G988" i="7"/>
  <c r="F988" i="7"/>
  <c r="E988" i="7"/>
  <c r="D988" i="7"/>
  <c r="C988" i="7"/>
  <c r="B988" i="7"/>
  <c r="S987" i="7"/>
  <c r="R987" i="7"/>
  <c r="Q987" i="7"/>
  <c r="P987" i="7"/>
  <c r="O987" i="7"/>
  <c r="N987" i="7"/>
  <c r="M987" i="7"/>
  <c r="L987" i="7"/>
  <c r="K987" i="7"/>
  <c r="J987" i="7"/>
  <c r="I987" i="7"/>
  <c r="H987" i="7"/>
  <c r="G987" i="7"/>
  <c r="F987" i="7"/>
  <c r="E987" i="7"/>
  <c r="D987" i="7"/>
  <c r="C987" i="7"/>
  <c r="B987" i="7"/>
  <c r="S986" i="7"/>
  <c r="R986" i="7"/>
  <c r="Q986" i="7"/>
  <c r="P986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S985" i="7"/>
  <c r="R985" i="7"/>
  <c r="Q985" i="7"/>
  <c r="P985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S984" i="7"/>
  <c r="R984" i="7"/>
  <c r="Q984" i="7"/>
  <c r="P984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S983" i="7"/>
  <c r="R983" i="7"/>
  <c r="Q983" i="7"/>
  <c r="P983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B983" i="7"/>
  <c r="A982" i="7"/>
  <c r="S981" i="7"/>
  <c r="R981" i="7"/>
  <c r="Q981" i="7"/>
  <c r="P981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S980" i="7"/>
  <c r="R980" i="7"/>
  <c r="Q980" i="7"/>
  <c r="P980" i="7"/>
  <c r="O980" i="7"/>
  <c r="N980" i="7"/>
  <c r="M980" i="7"/>
  <c r="L980" i="7"/>
  <c r="K980" i="7"/>
  <c r="J980" i="7"/>
  <c r="I980" i="7"/>
  <c r="H980" i="7"/>
  <c r="G980" i="7"/>
  <c r="F980" i="7"/>
  <c r="E980" i="7"/>
  <c r="D980" i="7"/>
  <c r="C980" i="7"/>
  <c r="B980" i="7"/>
  <c r="S979" i="7"/>
  <c r="R979" i="7"/>
  <c r="Q979" i="7"/>
  <c r="P979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S978" i="7"/>
  <c r="R978" i="7"/>
  <c r="Q978" i="7"/>
  <c r="P978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S977" i="7"/>
  <c r="R977" i="7"/>
  <c r="Q977" i="7"/>
  <c r="P977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S976" i="7"/>
  <c r="R976" i="7"/>
  <c r="Q976" i="7"/>
  <c r="P976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S975" i="7"/>
  <c r="R975" i="7"/>
  <c r="Q975" i="7"/>
  <c r="P975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S974" i="7"/>
  <c r="R974" i="7"/>
  <c r="Q974" i="7"/>
  <c r="P974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S973" i="7"/>
  <c r="R973" i="7"/>
  <c r="Q973" i="7"/>
  <c r="P973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S972" i="7"/>
  <c r="R972" i="7"/>
  <c r="Q972" i="7"/>
  <c r="P972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S971" i="7"/>
  <c r="R971" i="7"/>
  <c r="Q971" i="7"/>
  <c r="P971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B971" i="7"/>
  <c r="A970" i="7"/>
  <c r="S969" i="7"/>
  <c r="R969" i="7"/>
  <c r="Q969" i="7"/>
  <c r="P969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S968" i="7"/>
  <c r="R968" i="7"/>
  <c r="Q968" i="7"/>
  <c r="P968" i="7"/>
  <c r="O968" i="7"/>
  <c r="N968" i="7"/>
  <c r="M968" i="7"/>
  <c r="L968" i="7"/>
  <c r="K968" i="7"/>
  <c r="J968" i="7"/>
  <c r="I968" i="7"/>
  <c r="H968" i="7"/>
  <c r="G968" i="7"/>
  <c r="F968" i="7"/>
  <c r="E968" i="7"/>
  <c r="D968" i="7"/>
  <c r="C968" i="7"/>
  <c r="B968" i="7"/>
  <c r="S967" i="7"/>
  <c r="R967" i="7"/>
  <c r="Q967" i="7"/>
  <c r="P967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B967" i="7"/>
  <c r="A966" i="7"/>
  <c r="B965" i="7"/>
  <c r="S964" i="7"/>
  <c r="R964" i="7"/>
  <c r="Q964" i="7"/>
  <c r="P964" i="7"/>
  <c r="O964" i="7"/>
  <c r="N964" i="7"/>
  <c r="M964" i="7"/>
  <c r="L964" i="7"/>
  <c r="K964" i="7"/>
  <c r="J964" i="7"/>
  <c r="I964" i="7"/>
  <c r="H964" i="7"/>
  <c r="G964" i="7"/>
  <c r="F964" i="7"/>
  <c r="E964" i="7"/>
  <c r="D964" i="7"/>
  <c r="C964" i="7"/>
  <c r="B964" i="7"/>
  <c r="S963" i="7"/>
  <c r="R963" i="7"/>
  <c r="Q963" i="7"/>
  <c r="P963" i="7"/>
  <c r="O963" i="7"/>
  <c r="N963" i="7"/>
  <c r="M963" i="7"/>
  <c r="L963" i="7"/>
  <c r="K963" i="7"/>
  <c r="J963" i="7"/>
  <c r="I963" i="7"/>
  <c r="H963" i="7"/>
  <c r="G963" i="7"/>
  <c r="F963" i="7"/>
  <c r="E963" i="7"/>
  <c r="D963" i="7"/>
  <c r="C963" i="7"/>
  <c r="B963" i="7"/>
  <c r="S962" i="7"/>
  <c r="R962" i="7"/>
  <c r="Q962" i="7"/>
  <c r="P962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S961" i="7"/>
  <c r="R961" i="7"/>
  <c r="Q961" i="7"/>
  <c r="P961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S960" i="7"/>
  <c r="R960" i="7"/>
  <c r="Q960" i="7"/>
  <c r="P960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S959" i="7"/>
  <c r="R959" i="7"/>
  <c r="Q959" i="7"/>
  <c r="P959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S958" i="7"/>
  <c r="R958" i="7"/>
  <c r="Q958" i="7"/>
  <c r="P958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S957" i="7"/>
  <c r="R957" i="7"/>
  <c r="Q957" i="7"/>
  <c r="P957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S956" i="7"/>
  <c r="R956" i="7"/>
  <c r="Q956" i="7"/>
  <c r="P956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S955" i="7"/>
  <c r="R955" i="7"/>
  <c r="Q955" i="7"/>
  <c r="P955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S954" i="7"/>
  <c r="R954" i="7"/>
  <c r="Q954" i="7"/>
  <c r="P954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S953" i="7"/>
  <c r="R953" i="7"/>
  <c r="Q953" i="7"/>
  <c r="P953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S952" i="7"/>
  <c r="R952" i="7"/>
  <c r="Q952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S951" i="7"/>
  <c r="R951" i="7"/>
  <c r="Q951" i="7"/>
  <c r="P951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S950" i="7"/>
  <c r="R950" i="7"/>
  <c r="Q950" i="7"/>
  <c r="P950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S949" i="7"/>
  <c r="R949" i="7"/>
  <c r="Q949" i="7"/>
  <c r="P949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S948" i="7"/>
  <c r="R948" i="7"/>
  <c r="Q948" i="7"/>
  <c r="P948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S947" i="7"/>
  <c r="R947" i="7"/>
  <c r="Q947" i="7"/>
  <c r="P947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S946" i="7"/>
  <c r="R946" i="7"/>
  <c r="Q946" i="7"/>
  <c r="P946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S945" i="7"/>
  <c r="R945" i="7"/>
  <c r="Q945" i="7"/>
  <c r="P945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S944" i="7"/>
  <c r="R944" i="7"/>
  <c r="Q944" i="7"/>
  <c r="P944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S943" i="7"/>
  <c r="R943" i="7"/>
  <c r="Q943" i="7"/>
  <c r="P943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S942" i="7"/>
  <c r="R942" i="7"/>
  <c r="Q942" i="7"/>
  <c r="P942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S941" i="7"/>
  <c r="R941" i="7"/>
  <c r="Q941" i="7"/>
  <c r="P941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S940" i="7"/>
  <c r="R940" i="7"/>
  <c r="Q940" i="7"/>
  <c r="P940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S939" i="7"/>
  <c r="R939" i="7"/>
  <c r="Q939" i="7"/>
  <c r="P939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S938" i="7"/>
  <c r="R938" i="7"/>
  <c r="Q938" i="7"/>
  <c r="P938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S937" i="7"/>
  <c r="R937" i="7"/>
  <c r="Q937" i="7"/>
  <c r="P937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S936" i="7"/>
  <c r="R936" i="7"/>
  <c r="Q936" i="7"/>
  <c r="P936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S935" i="7"/>
  <c r="R935" i="7"/>
  <c r="Q935" i="7"/>
  <c r="P935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S934" i="7"/>
  <c r="R934" i="7"/>
  <c r="Q934" i="7"/>
  <c r="P934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S933" i="7"/>
  <c r="R933" i="7"/>
  <c r="Q933" i="7"/>
  <c r="P933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S932" i="7"/>
  <c r="R932" i="7"/>
  <c r="Q932" i="7"/>
  <c r="P932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S931" i="7"/>
  <c r="R931" i="7"/>
  <c r="Q931" i="7"/>
  <c r="P931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S930" i="7"/>
  <c r="R930" i="7"/>
  <c r="Q930" i="7"/>
  <c r="P930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S929" i="7"/>
  <c r="R929" i="7"/>
  <c r="Q929" i="7"/>
  <c r="P929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S928" i="7"/>
  <c r="R928" i="7"/>
  <c r="Q928" i="7"/>
  <c r="P928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S927" i="7"/>
  <c r="R927" i="7"/>
  <c r="Q927" i="7"/>
  <c r="P927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S926" i="7"/>
  <c r="R926" i="7"/>
  <c r="Q926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S925" i="7"/>
  <c r="R925" i="7"/>
  <c r="Q925" i="7"/>
  <c r="P925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S924" i="7"/>
  <c r="R924" i="7"/>
  <c r="Q924" i="7"/>
  <c r="P924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S923" i="7"/>
  <c r="R923" i="7"/>
  <c r="Q923" i="7"/>
  <c r="P923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S922" i="7"/>
  <c r="R922" i="7"/>
  <c r="Q922" i="7"/>
  <c r="P922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S921" i="7"/>
  <c r="R921" i="7"/>
  <c r="Q921" i="7"/>
  <c r="P921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S920" i="7"/>
  <c r="R920" i="7"/>
  <c r="Q920" i="7"/>
  <c r="P920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S919" i="7"/>
  <c r="R919" i="7"/>
  <c r="Q919" i="7"/>
  <c r="P919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S918" i="7"/>
  <c r="R918" i="7"/>
  <c r="Q918" i="7"/>
  <c r="P918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S917" i="7"/>
  <c r="R917" i="7"/>
  <c r="Q917" i="7"/>
  <c r="P917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S916" i="7"/>
  <c r="R916" i="7"/>
  <c r="Q916" i="7"/>
  <c r="P916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S915" i="7"/>
  <c r="R915" i="7"/>
  <c r="Q915" i="7"/>
  <c r="P915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S914" i="7"/>
  <c r="R914" i="7"/>
  <c r="Q914" i="7"/>
  <c r="P914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B914" i="7"/>
  <c r="A913" i="7"/>
  <c r="S912" i="7"/>
  <c r="R912" i="7"/>
  <c r="Q912" i="7"/>
  <c r="P912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S911" i="7"/>
  <c r="R911" i="7"/>
  <c r="Q911" i="7"/>
  <c r="P911" i="7"/>
  <c r="O911" i="7"/>
  <c r="N911" i="7"/>
  <c r="M911" i="7"/>
  <c r="L911" i="7"/>
  <c r="K911" i="7"/>
  <c r="J911" i="7"/>
  <c r="I911" i="7"/>
  <c r="H911" i="7"/>
  <c r="G911" i="7"/>
  <c r="F911" i="7"/>
  <c r="E911" i="7"/>
  <c r="D911" i="7"/>
  <c r="C911" i="7"/>
  <c r="B911" i="7"/>
  <c r="S910" i="7"/>
  <c r="R910" i="7"/>
  <c r="Q910" i="7"/>
  <c r="P910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S909" i="7"/>
  <c r="R909" i="7"/>
  <c r="Q909" i="7"/>
  <c r="P909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S908" i="7"/>
  <c r="R908" i="7"/>
  <c r="Q908" i="7"/>
  <c r="P908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S907" i="7"/>
  <c r="R907" i="7"/>
  <c r="Q907" i="7"/>
  <c r="P907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S906" i="7"/>
  <c r="R906" i="7"/>
  <c r="Q906" i="7"/>
  <c r="P906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S905" i="7"/>
  <c r="R905" i="7"/>
  <c r="Q905" i="7"/>
  <c r="P905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S904" i="7"/>
  <c r="R904" i="7"/>
  <c r="Q904" i="7"/>
  <c r="P904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S903" i="7"/>
  <c r="R903" i="7"/>
  <c r="Q903" i="7"/>
  <c r="P903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S902" i="7"/>
  <c r="R902" i="7"/>
  <c r="Q902" i="7"/>
  <c r="P902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B902" i="7"/>
  <c r="A901" i="7"/>
  <c r="S900" i="7"/>
  <c r="R900" i="7"/>
  <c r="Q900" i="7"/>
  <c r="P900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B900" i="7"/>
  <c r="A899" i="7"/>
  <c r="S898" i="7"/>
  <c r="R898" i="7"/>
  <c r="Q898" i="7"/>
  <c r="P898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S897" i="7"/>
  <c r="R897" i="7"/>
  <c r="Q897" i="7"/>
  <c r="P897" i="7"/>
  <c r="O897" i="7"/>
  <c r="N897" i="7"/>
  <c r="M897" i="7"/>
  <c r="L897" i="7"/>
  <c r="K897" i="7"/>
  <c r="J897" i="7"/>
  <c r="I897" i="7"/>
  <c r="H897" i="7"/>
  <c r="G897" i="7"/>
  <c r="F897" i="7"/>
  <c r="E897" i="7"/>
  <c r="D897" i="7"/>
  <c r="C897" i="7"/>
  <c r="B897" i="7"/>
  <c r="A896" i="7"/>
  <c r="B895" i="7"/>
  <c r="S894" i="7"/>
  <c r="R894" i="7"/>
  <c r="Q894" i="7"/>
  <c r="P894" i="7"/>
  <c r="O894" i="7"/>
  <c r="N894" i="7"/>
  <c r="M894" i="7"/>
  <c r="L894" i="7"/>
  <c r="K894" i="7"/>
  <c r="J894" i="7"/>
  <c r="I894" i="7"/>
  <c r="H894" i="7"/>
  <c r="G894" i="7"/>
  <c r="F894" i="7"/>
  <c r="E894" i="7"/>
  <c r="D894" i="7"/>
  <c r="C894" i="7"/>
  <c r="B894" i="7"/>
  <c r="S893" i="7"/>
  <c r="R893" i="7"/>
  <c r="Q893" i="7"/>
  <c r="P893" i="7"/>
  <c r="O893" i="7"/>
  <c r="N893" i="7"/>
  <c r="M893" i="7"/>
  <c r="L893" i="7"/>
  <c r="K893" i="7"/>
  <c r="J893" i="7"/>
  <c r="I893" i="7"/>
  <c r="H893" i="7"/>
  <c r="G893" i="7"/>
  <c r="F893" i="7"/>
  <c r="E893" i="7"/>
  <c r="D893" i="7"/>
  <c r="C893" i="7"/>
  <c r="B893" i="7"/>
  <c r="S892" i="7"/>
  <c r="R892" i="7"/>
  <c r="Q892" i="7"/>
  <c r="P892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S891" i="7"/>
  <c r="R891" i="7"/>
  <c r="Q891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S890" i="7"/>
  <c r="R890" i="7"/>
  <c r="Q890" i="7"/>
  <c r="P890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S889" i="7"/>
  <c r="R889" i="7"/>
  <c r="Q889" i="7"/>
  <c r="P889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S888" i="7"/>
  <c r="R888" i="7"/>
  <c r="Q888" i="7"/>
  <c r="P888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S887" i="7"/>
  <c r="R887" i="7"/>
  <c r="Q887" i="7"/>
  <c r="P887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S886" i="7"/>
  <c r="R886" i="7"/>
  <c r="Q886" i="7"/>
  <c r="P886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S885" i="7"/>
  <c r="R885" i="7"/>
  <c r="Q885" i="7"/>
  <c r="P885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S884" i="7"/>
  <c r="R884" i="7"/>
  <c r="Q884" i="7"/>
  <c r="P884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S883" i="7"/>
  <c r="R883" i="7"/>
  <c r="Q883" i="7"/>
  <c r="P883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S882" i="7"/>
  <c r="R882" i="7"/>
  <c r="Q882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S881" i="7"/>
  <c r="R881" i="7"/>
  <c r="Q881" i="7"/>
  <c r="P881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S880" i="7"/>
  <c r="R880" i="7"/>
  <c r="Q880" i="7"/>
  <c r="P880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S879" i="7"/>
  <c r="R879" i="7"/>
  <c r="Q879" i="7"/>
  <c r="P879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S878" i="7"/>
  <c r="R878" i="7"/>
  <c r="Q878" i="7"/>
  <c r="P878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S877" i="7"/>
  <c r="R877" i="7"/>
  <c r="Q877" i="7"/>
  <c r="P877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S876" i="7"/>
  <c r="R876" i="7"/>
  <c r="Q876" i="7"/>
  <c r="P876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S875" i="7"/>
  <c r="R875" i="7"/>
  <c r="Q875" i="7"/>
  <c r="P875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S874" i="7"/>
  <c r="R874" i="7"/>
  <c r="Q874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S873" i="7"/>
  <c r="R873" i="7"/>
  <c r="Q873" i="7"/>
  <c r="P873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S872" i="7"/>
  <c r="R872" i="7"/>
  <c r="Q872" i="7"/>
  <c r="P872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S871" i="7"/>
  <c r="R871" i="7"/>
  <c r="Q871" i="7"/>
  <c r="P871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S870" i="7"/>
  <c r="R870" i="7"/>
  <c r="Q870" i="7"/>
  <c r="P870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S869" i="7"/>
  <c r="R869" i="7"/>
  <c r="Q869" i="7"/>
  <c r="P869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S868" i="7"/>
  <c r="R868" i="7"/>
  <c r="Q868" i="7"/>
  <c r="P868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S867" i="7"/>
  <c r="R867" i="7"/>
  <c r="Q867" i="7"/>
  <c r="P867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S866" i="7"/>
  <c r="R866" i="7"/>
  <c r="Q866" i="7"/>
  <c r="P866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S865" i="7"/>
  <c r="R865" i="7"/>
  <c r="Q865" i="7"/>
  <c r="P865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S864" i="7"/>
  <c r="R864" i="7"/>
  <c r="Q864" i="7"/>
  <c r="P864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S863" i="7"/>
  <c r="R863" i="7"/>
  <c r="Q863" i="7"/>
  <c r="P863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S862" i="7"/>
  <c r="R862" i="7"/>
  <c r="Q862" i="7"/>
  <c r="P862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S861" i="7"/>
  <c r="R861" i="7"/>
  <c r="Q861" i="7"/>
  <c r="P861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S860" i="7"/>
  <c r="R860" i="7"/>
  <c r="Q860" i="7"/>
  <c r="P860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S859" i="7"/>
  <c r="R859" i="7"/>
  <c r="Q859" i="7"/>
  <c r="P859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S858" i="7"/>
  <c r="R858" i="7"/>
  <c r="Q858" i="7"/>
  <c r="P858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B858" i="7"/>
  <c r="A857" i="7"/>
  <c r="S856" i="7"/>
  <c r="R856" i="7"/>
  <c r="Q856" i="7"/>
  <c r="P856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S855" i="7"/>
  <c r="R855" i="7"/>
  <c r="Q855" i="7"/>
  <c r="P855" i="7"/>
  <c r="O855" i="7"/>
  <c r="N855" i="7"/>
  <c r="M855" i="7"/>
  <c r="L855" i="7"/>
  <c r="K855" i="7"/>
  <c r="J855" i="7"/>
  <c r="I855" i="7"/>
  <c r="H855" i="7"/>
  <c r="G855" i="7"/>
  <c r="F855" i="7"/>
  <c r="E855" i="7"/>
  <c r="D855" i="7"/>
  <c r="C855" i="7"/>
  <c r="B855" i="7"/>
  <c r="S854" i="7"/>
  <c r="R854" i="7"/>
  <c r="Q854" i="7"/>
  <c r="P854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S853" i="7"/>
  <c r="R853" i="7"/>
  <c r="Q853" i="7"/>
  <c r="P853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S852" i="7"/>
  <c r="R852" i="7"/>
  <c r="Q852" i="7"/>
  <c r="P852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S851" i="7"/>
  <c r="R851" i="7"/>
  <c r="Q851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S850" i="7"/>
  <c r="R850" i="7"/>
  <c r="Q850" i="7"/>
  <c r="P850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B850" i="7"/>
  <c r="A849" i="7"/>
  <c r="B848" i="7"/>
  <c r="S847" i="7"/>
  <c r="R847" i="7"/>
  <c r="Q847" i="7"/>
  <c r="P847" i="7"/>
  <c r="O847" i="7"/>
  <c r="N847" i="7"/>
  <c r="M847" i="7"/>
  <c r="L847" i="7"/>
  <c r="K847" i="7"/>
  <c r="J847" i="7"/>
  <c r="I847" i="7"/>
  <c r="H847" i="7"/>
  <c r="G847" i="7"/>
  <c r="F847" i="7"/>
  <c r="E847" i="7"/>
  <c r="D847" i="7"/>
  <c r="C847" i="7"/>
  <c r="B847" i="7"/>
  <c r="S846" i="7"/>
  <c r="R846" i="7"/>
  <c r="Q846" i="7"/>
  <c r="P846" i="7"/>
  <c r="O846" i="7"/>
  <c r="N846" i="7"/>
  <c r="M846" i="7"/>
  <c r="L846" i="7"/>
  <c r="K846" i="7"/>
  <c r="J846" i="7"/>
  <c r="I846" i="7"/>
  <c r="H846" i="7"/>
  <c r="G846" i="7"/>
  <c r="F846" i="7"/>
  <c r="E846" i="7"/>
  <c r="D846" i="7"/>
  <c r="C846" i="7"/>
  <c r="B846" i="7"/>
  <c r="S845" i="7"/>
  <c r="R845" i="7"/>
  <c r="Q845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S844" i="7"/>
  <c r="R844" i="7"/>
  <c r="Q844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S843" i="7"/>
  <c r="R843" i="7"/>
  <c r="Q843" i="7"/>
  <c r="P843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S842" i="7"/>
  <c r="R842" i="7"/>
  <c r="Q842" i="7"/>
  <c r="P842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S841" i="7"/>
  <c r="R841" i="7"/>
  <c r="Q841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S840" i="7"/>
  <c r="R840" i="7"/>
  <c r="Q840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S839" i="7"/>
  <c r="R839" i="7"/>
  <c r="Q839" i="7"/>
  <c r="P839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S838" i="7"/>
  <c r="R838" i="7"/>
  <c r="Q838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S837" i="7"/>
  <c r="R837" i="7"/>
  <c r="Q837" i="7"/>
  <c r="P837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S836" i="7"/>
  <c r="R836" i="7"/>
  <c r="Q836" i="7"/>
  <c r="P836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S835" i="7"/>
  <c r="R835" i="7"/>
  <c r="Q835" i="7"/>
  <c r="P835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S834" i="7"/>
  <c r="R834" i="7"/>
  <c r="Q834" i="7"/>
  <c r="P834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S833" i="7"/>
  <c r="R833" i="7"/>
  <c r="Q833" i="7"/>
  <c r="P833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S832" i="7"/>
  <c r="R832" i="7"/>
  <c r="Q832" i="7"/>
  <c r="P832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S831" i="7"/>
  <c r="R831" i="7"/>
  <c r="Q831" i="7"/>
  <c r="P831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S830" i="7"/>
  <c r="R830" i="7"/>
  <c r="Q830" i="7"/>
  <c r="P830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S829" i="7"/>
  <c r="R829" i="7"/>
  <c r="Q829" i="7"/>
  <c r="P829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S828" i="7"/>
  <c r="R828" i="7"/>
  <c r="Q828" i="7"/>
  <c r="P828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S827" i="7"/>
  <c r="R827" i="7"/>
  <c r="Q827" i="7"/>
  <c r="P827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S826" i="7"/>
  <c r="R826" i="7"/>
  <c r="Q826" i="7"/>
  <c r="P826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S825" i="7"/>
  <c r="R825" i="7"/>
  <c r="Q825" i="7"/>
  <c r="P825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S824" i="7"/>
  <c r="R824" i="7"/>
  <c r="Q824" i="7"/>
  <c r="P824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S823" i="7"/>
  <c r="R823" i="7"/>
  <c r="Q823" i="7"/>
  <c r="P823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S822" i="7"/>
  <c r="R822" i="7"/>
  <c r="Q822" i="7"/>
  <c r="P822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S821" i="7"/>
  <c r="R821" i="7"/>
  <c r="Q821" i="7"/>
  <c r="P821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S820" i="7"/>
  <c r="R820" i="7"/>
  <c r="Q820" i="7"/>
  <c r="P820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S819" i="7"/>
  <c r="R819" i="7"/>
  <c r="Q819" i="7"/>
  <c r="P819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S818" i="7"/>
  <c r="R818" i="7"/>
  <c r="Q818" i="7"/>
  <c r="P818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S817" i="7"/>
  <c r="R817" i="7"/>
  <c r="Q817" i="7"/>
  <c r="P817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S816" i="7"/>
  <c r="R816" i="7"/>
  <c r="Q816" i="7"/>
  <c r="P816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S815" i="7"/>
  <c r="R815" i="7"/>
  <c r="Q815" i="7"/>
  <c r="P815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S814" i="7"/>
  <c r="R814" i="7"/>
  <c r="Q814" i="7"/>
  <c r="P814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S813" i="7"/>
  <c r="R813" i="7"/>
  <c r="Q813" i="7"/>
  <c r="P813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S812" i="7"/>
  <c r="R812" i="7"/>
  <c r="Q812" i="7"/>
  <c r="P812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S811" i="7"/>
  <c r="R811" i="7"/>
  <c r="Q811" i="7"/>
  <c r="P811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S810" i="7"/>
  <c r="R810" i="7"/>
  <c r="Q810" i="7"/>
  <c r="P810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S809" i="7"/>
  <c r="R809" i="7"/>
  <c r="Q809" i="7"/>
  <c r="P809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S808" i="7"/>
  <c r="R808" i="7"/>
  <c r="Q808" i="7"/>
  <c r="P808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S807" i="7"/>
  <c r="R807" i="7"/>
  <c r="Q807" i="7"/>
  <c r="P807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S806" i="7"/>
  <c r="R806" i="7"/>
  <c r="Q806" i="7"/>
  <c r="P806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B806" i="7"/>
  <c r="A805" i="7"/>
  <c r="B804" i="7"/>
  <c r="S803" i="7"/>
  <c r="R803" i="7"/>
  <c r="Q803" i="7"/>
  <c r="P803" i="7"/>
  <c r="O803" i="7"/>
  <c r="N803" i="7"/>
  <c r="M803" i="7"/>
  <c r="L803" i="7"/>
  <c r="K803" i="7"/>
  <c r="J803" i="7"/>
  <c r="I803" i="7"/>
  <c r="H803" i="7"/>
  <c r="G803" i="7"/>
  <c r="F803" i="7"/>
  <c r="E803" i="7"/>
  <c r="D803" i="7"/>
  <c r="C803" i="7"/>
  <c r="B803" i="7"/>
  <c r="S802" i="7"/>
  <c r="R802" i="7"/>
  <c r="Q802" i="7"/>
  <c r="P802" i="7"/>
  <c r="O802" i="7"/>
  <c r="N802" i="7"/>
  <c r="M802" i="7"/>
  <c r="L802" i="7"/>
  <c r="K802" i="7"/>
  <c r="J802" i="7"/>
  <c r="I802" i="7"/>
  <c r="H802" i="7"/>
  <c r="G802" i="7"/>
  <c r="F802" i="7"/>
  <c r="E802" i="7"/>
  <c r="D802" i="7"/>
  <c r="C802" i="7"/>
  <c r="B802" i="7"/>
  <c r="S801" i="7"/>
  <c r="R801" i="7"/>
  <c r="Q801" i="7"/>
  <c r="P801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S800" i="7"/>
  <c r="R800" i="7"/>
  <c r="Q800" i="7"/>
  <c r="P800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S799" i="7"/>
  <c r="R799" i="7"/>
  <c r="Q799" i="7"/>
  <c r="P799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S798" i="7"/>
  <c r="R798" i="7"/>
  <c r="Q798" i="7"/>
  <c r="P798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S797" i="7"/>
  <c r="R797" i="7"/>
  <c r="Q797" i="7"/>
  <c r="P797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S796" i="7"/>
  <c r="R796" i="7"/>
  <c r="Q796" i="7"/>
  <c r="P796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S795" i="7"/>
  <c r="R795" i="7"/>
  <c r="Q795" i="7"/>
  <c r="P795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S794" i="7"/>
  <c r="R794" i="7"/>
  <c r="Q794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S793" i="7"/>
  <c r="R793" i="7"/>
  <c r="Q793" i="7"/>
  <c r="P793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S792" i="7"/>
  <c r="R792" i="7"/>
  <c r="Q792" i="7"/>
  <c r="P792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S791" i="7"/>
  <c r="R791" i="7"/>
  <c r="Q791" i="7"/>
  <c r="P791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S790" i="7"/>
  <c r="R790" i="7"/>
  <c r="Q790" i="7"/>
  <c r="P790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S789" i="7"/>
  <c r="R789" i="7"/>
  <c r="Q789" i="7"/>
  <c r="P789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S788" i="7"/>
  <c r="R788" i="7"/>
  <c r="Q788" i="7"/>
  <c r="P788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S787" i="7"/>
  <c r="R787" i="7"/>
  <c r="Q787" i="7"/>
  <c r="P787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S786" i="7"/>
  <c r="R786" i="7"/>
  <c r="Q786" i="7"/>
  <c r="P786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S785" i="7"/>
  <c r="R785" i="7"/>
  <c r="Q785" i="7"/>
  <c r="P785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S784" i="7"/>
  <c r="R784" i="7"/>
  <c r="Q784" i="7"/>
  <c r="P784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S783" i="7"/>
  <c r="R783" i="7"/>
  <c r="Q783" i="7"/>
  <c r="P783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S782" i="7"/>
  <c r="R782" i="7"/>
  <c r="Q782" i="7"/>
  <c r="P782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S781" i="7"/>
  <c r="R781" i="7"/>
  <c r="Q781" i="7"/>
  <c r="P781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S780" i="7"/>
  <c r="R780" i="7"/>
  <c r="Q780" i="7"/>
  <c r="P780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S779" i="7"/>
  <c r="R779" i="7"/>
  <c r="Q779" i="7"/>
  <c r="P779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S778" i="7"/>
  <c r="R778" i="7"/>
  <c r="Q778" i="7"/>
  <c r="P778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S777" i="7"/>
  <c r="R777" i="7"/>
  <c r="Q777" i="7"/>
  <c r="P777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S776" i="7"/>
  <c r="R776" i="7"/>
  <c r="Q776" i="7"/>
  <c r="P776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B776" i="7"/>
  <c r="A775" i="7"/>
  <c r="S774" i="7"/>
  <c r="R774" i="7"/>
  <c r="Q774" i="7"/>
  <c r="P774" i="7"/>
  <c r="O774" i="7"/>
  <c r="N774" i="7"/>
  <c r="M774" i="7"/>
  <c r="L774" i="7"/>
  <c r="K774" i="7"/>
  <c r="J774" i="7"/>
  <c r="I774" i="7"/>
  <c r="H774" i="7"/>
  <c r="G774" i="7"/>
  <c r="F774" i="7"/>
  <c r="E774" i="7"/>
  <c r="D774" i="7"/>
  <c r="C774" i="7"/>
  <c r="B774" i="7"/>
  <c r="S773" i="7"/>
  <c r="R773" i="7"/>
  <c r="Q773" i="7"/>
  <c r="P773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S772" i="7"/>
  <c r="R772" i="7"/>
  <c r="Q772" i="7"/>
  <c r="P772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S771" i="7"/>
  <c r="R771" i="7"/>
  <c r="Q771" i="7"/>
  <c r="P771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S770" i="7"/>
  <c r="R770" i="7"/>
  <c r="Q770" i="7"/>
  <c r="P770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S769" i="7"/>
  <c r="R769" i="7"/>
  <c r="Q769" i="7"/>
  <c r="P769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S768" i="7"/>
  <c r="R768" i="7"/>
  <c r="Q768" i="7"/>
  <c r="P768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S767" i="7"/>
  <c r="R767" i="7"/>
  <c r="Q767" i="7"/>
  <c r="P767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B767" i="7"/>
  <c r="A766" i="7"/>
  <c r="B765" i="7"/>
  <c r="S764" i="7"/>
  <c r="R764" i="7"/>
  <c r="Q764" i="7"/>
  <c r="P764" i="7"/>
  <c r="O764" i="7"/>
  <c r="N764" i="7"/>
  <c r="M764" i="7"/>
  <c r="L764" i="7"/>
  <c r="K764" i="7"/>
  <c r="J764" i="7"/>
  <c r="I764" i="7"/>
  <c r="H764" i="7"/>
  <c r="G764" i="7"/>
  <c r="F764" i="7"/>
  <c r="E764" i="7"/>
  <c r="D764" i="7"/>
  <c r="C764" i="7"/>
  <c r="B764" i="7"/>
  <c r="S763" i="7"/>
  <c r="R763" i="7"/>
  <c r="Q763" i="7"/>
  <c r="P763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S762" i="7"/>
  <c r="R762" i="7"/>
  <c r="Q762" i="7"/>
  <c r="P762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S761" i="7"/>
  <c r="R761" i="7"/>
  <c r="Q761" i="7"/>
  <c r="P761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S760" i="7"/>
  <c r="R760" i="7"/>
  <c r="Q760" i="7"/>
  <c r="P760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S759" i="7"/>
  <c r="R759" i="7"/>
  <c r="Q759" i="7"/>
  <c r="P759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S758" i="7"/>
  <c r="R758" i="7"/>
  <c r="Q758" i="7"/>
  <c r="P758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S757" i="7"/>
  <c r="R757" i="7"/>
  <c r="Q757" i="7"/>
  <c r="P757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S756" i="7"/>
  <c r="R756" i="7"/>
  <c r="Q756" i="7"/>
  <c r="P756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S755" i="7"/>
  <c r="R755" i="7"/>
  <c r="Q755" i="7"/>
  <c r="P755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S754" i="7"/>
  <c r="R754" i="7"/>
  <c r="Q754" i="7"/>
  <c r="P754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S753" i="7"/>
  <c r="R753" i="7"/>
  <c r="Q753" i="7"/>
  <c r="P753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S752" i="7"/>
  <c r="R752" i="7"/>
  <c r="Q752" i="7"/>
  <c r="P752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S751" i="7"/>
  <c r="R751" i="7"/>
  <c r="Q751" i="7"/>
  <c r="P751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S750" i="7"/>
  <c r="R750" i="7"/>
  <c r="Q750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S749" i="7"/>
  <c r="R749" i="7"/>
  <c r="Q749" i="7"/>
  <c r="P749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S748" i="7"/>
  <c r="R748" i="7"/>
  <c r="Q748" i="7"/>
  <c r="P748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S747" i="7"/>
  <c r="R747" i="7"/>
  <c r="Q747" i="7"/>
  <c r="P747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S746" i="7"/>
  <c r="R746" i="7"/>
  <c r="Q746" i="7"/>
  <c r="P746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S745" i="7"/>
  <c r="R745" i="7"/>
  <c r="Q745" i="7"/>
  <c r="P745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S744" i="7"/>
  <c r="R744" i="7"/>
  <c r="Q744" i="7"/>
  <c r="P744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S743" i="7"/>
  <c r="R743" i="7"/>
  <c r="Q743" i="7"/>
  <c r="P743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S742" i="7"/>
  <c r="R742" i="7"/>
  <c r="Q742" i="7"/>
  <c r="P742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S741" i="7"/>
  <c r="R741" i="7"/>
  <c r="Q741" i="7"/>
  <c r="P741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S740" i="7"/>
  <c r="R740" i="7"/>
  <c r="Q740" i="7"/>
  <c r="P740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S739" i="7"/>
  <c r="R739" i="7"/>
  <c r="Q739" i="7"/>
  <c r="P739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S738" i="7"/>
  <c r="R738" i="7"/>
  <c r="Q738" i="7"/>
  <c r="P738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S737" i="7"/>
  <c r="R737" i="7"/>
  <c r="Q737" i="7"/>
  <c r="P737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S736" i="7"/>
  <c r="R736" i="7"/>
  <c r="Q736" i="7"/>
  <c r="P736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S735" i="7"/>
  <c r="R735" i="7"/>
  <c r="Q735" i="7"/>
  <c r="P735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A734" i="7"/>
  <c r="B733" i="7"/>
  <c r="S732" i="7"/>
  <c r="R732" i="7"/>
  <c r="Q732" i="7"/>
  <c r="P732" i="7"/>
  <c r="O732" i="7"/>
  <c r="N732" i="7"/>
  <c r="M732" i="7"/>
  <c r="L732" i="7"/>
  <c r="K732" i="7"/>
  <c r="J732" i="7"/>
  <c r="I732" i="7"/>
  <c r="H732" i="7"/>
  <c r="G732" i="7"/>
  <c r="F732" i="7"/>
  <c r="E732" i="7"/>
  <c r="D732" i="7"/>
  <c r="C732" i="7"/>
  <c r="B732" i="7"/>
  <c r="S731" i="7"/>
  <c r="R731" i="7"/>
  <c r="Q731" i="7"/>
  <c r="P731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S730" i="7"/>
  <c r="R730" i="7"/>
  <c r="Q730" i="7"/>
  <c r="P730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S729" i="7"/>
  <c r="R729" i="7"/>
  <c r="Q729" i="7"/>
  <c r="P729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S728" i="7"/>
  <c r="R728" i="7"/>
  <c r="Q728" i="7"/>
  <c r="P728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S727" i="7"/>
  <c r="R727" i="7"/>
  <c r="Q727" i="7"/>
  <c r="P727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S726" i="7"/>
  <c r="R726" i="7"/>
  <c r="Q726" i="7"/>
  <c r="P726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S725" i="7"/>
  <c r="R725" i="7"/>
  <c r="Q725" i="7"/>
  <c r="P725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S724" i="7"/>
  <c r="R724" i="7"/>
  <c r="Q724" i="7"/>
  <c r="P724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S723" i="7"/>
  <c r="R723" i="7"/>
  <c r="Q723" i="7"/>
  <c r="P723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S722" i="7"/>
  <c r="R722" i="7"/>
  <c r="Q722" i="7"/>
  <c r="P722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S721" i="7"/>
  <c r="R721" i="7"/>
  <c r="Q721" i="7"/>
  <c r="P721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S720" i="7"/>
  <c r="R720" i="7"/>
  <c r="Q720" i="7"/>
  <c r="P720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S719" i="7"/>
  <c r="R719" i="7"/>
  <c r="Q719" i="7"/>
  <c r="P719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S718" i="7"/>
  <c r="R718" i="7"/>
  <c r="Q718" i="7"/>
  <c r="P718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A717" i="7"/>
  <c r="S716" i="7"/>
  <c r="R716" i="7"/>
  <c r="Q716" i="7"/>
  <c r="P716" i="7"/>
  <c r="O716" i="7"/>
  <c r="N716" i="7"/>
  <c r="M716" i="7"/>
  <c r="L716" i="7"/>
  <c r="K716" i="7"/>
  <c r="J716" i="7"/>
  <c r="I716" i="7"/>
  <c r="H716" i="7"/>
  <c r="G716" i="7"/>
  <c r="F716" i="7"/>
  <c r="E716" i="7"/>
  <c r="D716" i="7"/>
  <c r="C716" i="7"/>
  <c r="B716" i="7"/>
  <c r="S715" i="7"/>
  <c r="R715" i="7"/>
  <c r="Q715" i="7"/>
  <c r="P715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A714" i="7"/>
  <c r="S713" i="7"/>
  <c r="R713" i="7"/>
  <c r="Q713" i="7"/>
  <c r="P713" i="7"/>
  <c r="O713" i="7"/>
  <c r="N713" i="7"/>
  <c r="M713" i="7"/>
  <c r="L713" i="7"/>
  <c r="K713" i="7"/>
  <c r="J713" i="7"/>
  <c r="I713" i="7"/>
  <c r="H713" i="7"/>
  <c r="G713" i="7"/>
  <c r="F713" i="7"/>
  <c r="E713" i="7"/>
  <c r="D713" i="7"/>
  <c r="C713" i="7"/>
  <c r="B713" i="7"/>
  <c r="S712" i="7"/>
  <c r="R712" i="7"/>
  <c r="Q712" i="7"/>
  <c r="P712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S711" i="7"/>
  <c r="R711" i="7"/>
  <c r="Q711" i="7"/>
  <c r="P711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S710" i="7"/>
  <c r="R710" i="7"/>
  <c r="Q710" i="7"/>
  <c r="P710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S709" i="7"/>
  <c r="R709" i="7"/>
  <c r="Q709" i="7"/>
  <c r="P709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S708" i="7"/>
  <c r="R708" i="7"/>
  <c r="Q708" i="7"/>
  <c r="P708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S707" i="7"/>
  <c r="R707" i="7"/>
  <c r="Q707" i="7"/>
  <c r="P707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S706" i="7"/>
  <c r="R706" i="7"/>
  <c r="Q706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S705" i="7"/>
  <c r="R705" i="7"/>
  <c r="Q705" i="7"/>
  <c r="P705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S704" i="7"/>
  <c r="R704" i="7"/>
  <c r="Q704" i="7"/>
  <c r="P704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S703" i="7"/>
  <c r="R703" i="7"/>
  <c r="Q703" i="7"/>
  <c r="P703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S702" i="7"/>
  <c r="R702" i="7"/>
  <c r="Q702" i="7"/>
  <c r="P702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S701" i="7"/>
  <c r="R701" i="7"/>
  <c r="Q701" i="7"/>
  <c r="P701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A700" i="7"/>
  <c r="S699" i="7"/>
  <c r="R699" i="7"/>
  <c r="Q699" i="7"/>
  <c r="P699" i="7"/>
  <c r="O699" i="7"/>
  <c r="N699" i="7"/>
  <c r="M699" i="7"/>
  <c r="L699" i="7"/>
  <c r="K699" i="7"/>
  <c r="J699" i="7"/>
  <c r="I699" i="7"/>
  <c r="H699" i="7"/>
  <c r="G699" i="7"/>
  <c r="F699" i="7"/>
  <c r="E699" i="7"/>
  <c r="D699" i="7"/>
  <c r="C699" i="7"/>
  <c r="B699" i="7"/>
  <c r="S698" i="7"/>
  <c r="R698" i="7"/>
  <c r="Q698" i="7"/>
  <c r="P698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A697" i="7"/>
  <c r="B696" i="7"/>
  <c r="S695" i="7"/>
  <c r="R695" i="7"/>
  <c r="Q695" i="7"/>
  <c r="P695" i="7"/>
  <c r="O695" i="7"/>
  <c r="N695" i="7"/>
  <c r="M695" i="7"/>
  <c r="L695" i="7"/>
  <c r="K695" i="7"/>
  <c r="J695" i="7"/>
  <c r="I695" i="7"/>
  <c r="H695" i="7"/>
  <c r="G695" i="7"/>
  <c r="F695" i="7"/>
  <c r="E695" i="7"/>
  <c r="D695" i="7"/>
  <c r="C695" i="7"/>
  <c r="B695" i="7"/>
  <c r="S694" i="7"/>
  <c r="R694" i="7"/>
  <c r="Q694" i="7"/>
  <c r="P694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S693" i="7"/>
  <c r="R693" i="7"/>
  <c r="Q693" i="7"/>
  <c r="P693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S692" i="7"/>
  <c r="R692" i="7"/>
  <c r="Q692" i="7"/>
  <c r="P692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S691" i="7"/>
  <c r="R691" i="7"/>
  <c r="Q691" i="7"/>
  <c r="P691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A690" i="7"/>
  <c r="S689" i="7"/>
  <c r="R689" i="7"/>
  <c r="Q689" i="7"/>
  <c r="P689" i="7"/>
  <c r="O689" i="7"/>
  <c r="N689" i="7"/>
  <c r="M689" i="7"/>
  <c r="L689" i="7"/>
  <c r="K689" i="7"/>
  <c r="J689" i="7"/>
  <c r="I689" i="7"/>
  <c r="H689" i="7"/>
  <c r="G689" i="7"/>
  <c r="F689" i="7"/>
  <c r="E689" i="7"/>
  <c r="D689" i="7"/>
  <c r="C689" i="7"/>
  <c r="B689" i="7"/>
  <c r="S688" i="7"/>
  <c r="R688" i="7"/>
  <c r="Q688" i="7"/>
  <c r="P688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S687" i="7"/>
  <c r="R687" i="7"/>
  <c r="Q687" i="7"/>
  <c r="P687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A686" i="7"/>
  <c r="S685" i="7"/>
  <c r="R685" i="7"/>
  <c r="Q685" i="7"/>
  <c r="P685" i="7"/>
  <c r="O685" i="7"/>
  <c r="N685" i="7"/>
  <c r="M685" i="7"/>
  <c r="L685" i="7"/>
  <c r="K685" i="7"/>
  <c r="J685" i="7"/>
  <c r="I685" i="7"/>
  <c r="H685" i="7"/>
  <c r="G685" i="7"/>
  <c r="F685" i="7"/>
  <c r="E685" i="7"/>
  <c r="D685" i="7"/>
  <c r="C685" i="7"/>
  <c r="B685" i="7"/>
  <c r="S684" i="7"/>
  <c r="R684" i="7"/>
  <c r="Q684" i="7"/>
  <c r="P684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S683" i="7"/>
  <c r="R683" i="7"/>
  <c r="Q683" i="7"/>
  <c r="P683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S682" i="7"/>
  <c r="R682" i="7"/>
  <c r="Q682" i="7"/>
  <c r="P682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S681" i="7"/>
  <c r="R681" i="7"/>
  <c r="Q681" i="7"/>
  <c r="P681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S680" i="7"/>
  <c r="R680" i="7"/>
  <c r="Q680" i="7"/>
  <c r="P680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S679" i="7"/>
  <c r="R679" i="7"/>
  <c r="Q679" i="7"/>
  <c r="P679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S678" i="7"/>
  <c r="R678" i="7"/>
  <c r="Q678" i="7"/>
  <c r="P678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S677" i="7"/>
  <c r="R677" i="7"/>
  <c r="Q677" i="7"/>
  <c r="P677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S676" i="7"/>
  <c r="R676" i="7"/>
  <c r="Q676" i="7"/>
  <c r="P676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S675" i="7"/>
  <c r="R675" i="7"/>
  <c r="Q675" i="7"/>
  <c r="P675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S674" i="7"/>
  <c r="R674" i="7"/>
  <c r="Q674" i="7"/>
  <c r="P674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A673" i="7"/>
  <c r="B672" i="7"/>
  <c r="S671" i="7"/>
  <c r="R671" i="7"/>
  <c r="Q671" i="7"/>
  <c r="P671" i="7"/>
  <c r="O671" i="7"/>
  <c r="N671" i="7"/>
  <c r="M671" i="7"/>
  <c r="L671" i="7"/>
  <c r="K671" i="7"/>
  <c r="J671" i="7"/>
  <c r="I671" i="7"/>
  <c r="H671" i="7"/>
  <c r="G671" i="7"/>
  <c r="F671" i="7"/>
  <c r="E671" i="7"/>
  <c r="D671" i="7"/>
  <c r="C671" i="7"/>
  <c r="B671" i="7"/>
  <c r="S670" i="7"/>
  <c r="R670" i="7"/>
  <c r="Q670" i="7"/>
  <c r="P670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S669" i="7"/>
  <c r="R669" i="7"/>
  <c r="Q669" i="7"/>
  <c r="P669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S668" i="7"/>
  <c r="R668" i="7"/>
  <c r="Q668" i="7"/>
  <c r="P668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S667" i="7"/>
  <c r="R667" i="7"/>
  <c r="Q667" i="7"/>
  <c r="P667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S666" i="7"/>
  <c r="R666" i="7"/>
  <c r="Q666" i="7"/>
  <c r="P666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S665" i="7"/>
  <c r="R665" i="7"/>
  <c r="Q665" i="7"/>
  <c r="P665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S664" i="7"/>
  <c r="R664" i="7"/>
  <c r="Q664" i="7"/>
  <c r="P664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S663" i="7"/>
  <c r="R663" i="7"/>
  <c r="Q663" i="7"/>
  <c r="P663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S662" i="7"/>
  <c r="R662" i="7"/>
  <c r="Q662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S661" i="7"/>
  <c r="R661" i="7"/>
  <c r="Q661" i="7"/>
  <c r="P661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S660" i="7"/>
  <c r="R660" i="7"/>
  <c r="Q660" i="7"/>
  <c r="P660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S659" i="7"/>
  <c r="R659" i="7"/>
  <c r="Q659" i="7"/>
  <c r="P659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S658" i="7"/>
  <c r="R658" i="7"/>
  <c r="Q658" i="7"/>
  <c r="P658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S657" i="7"/>
  <c r="R657" i="7"/>
  <c r="Q657" i="7"/>
  <c r="P657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S656" i="7"/>
  <c r="R656" i="7"/>
  <c r="Q656" i="7"/>
  <c r="P656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S655" i="7"/>
  <c r="R655" i="7"/>
  <c r="Q655" i="7"/>
  <c r="P655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S654" i="7"/>
  <c r="R654" i="7"/>
  <c r="Q654" i="7"/>
  <c r="P654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S653" i="7"/>
  <c r="R653" i="7"/>
  <c r="Q653" i="7"/>
  <c r="P653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S652" i="7"/>
  <c r="R652" i="7"/>
  <c r="Q652" i="7"/>
  <c r="P652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S651" i="7"/>
  <c r="R651" i="7"/>
  <c r="Q651" i="7"/>
  <c r="P651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S650" i="7"/>
  <c r="R650" i="7"/>
  <c r="Q650" i="7"/>
  <c r="P650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S649" i="7"/>
  <c r="R649" i="7"/>
  <c r="Q649" i="7"/>
  <c r="P649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S648" i="7"/>
  <c r="R648" i="7"/>
  <c r="Q648" i="7"/>
  <c r="P648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S647" i="7"/>
  <c r="R647" i="7"/>
  <c r="Q647" i="7"/>
  <c r="P647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S646" i="7"/>
  <c r="R646" i="7"/>
  <c r="Q646" i="7"/>
  <c r="P646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S645" i="7"/>
  <c r="R645" i="7"/>
  <c r="Q645" i="7"/>
  <c r="P645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S644" i="7"/>
  <c r="R644" i="7"/>
  <c r="Q644" i="7"/>
  <c r="P644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S643" i="7"/>
  <c r="R643" i="7"/>
  <c r="Q643" i="7"/>
  <c r="P643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S642" i="7"/>
  <c r="R642" i="7"/>
  <c r="Q642" i="7"/>
  <c r="P642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S641" i="7"/>
  <c r="R641" i="7"/>
  <c r="Q641" i="7"/>
  <c r="P641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S640" i="7"/>
  <c r="R640" i="7"/>
  <c r="Q640" i="7"/>
  <c r="P640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S639" i="7"/>
  <c r="R639" i="7"/>
  <c r="Q639" i="7"/>
  <c r="P639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S638" i="7"/>
  <c r="R638" i="7"/>
  <c r="Q638" i="7"/>
  <c r="P638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S637" i="7"/>
  <c r="R637" i="7"/>
  <c r="Q637" i="7"/>
  <c r="P637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S636" i="7"/>
  <c r="R636" i="7"/>
  <c r="Q636" i="7"/>
  <c r="P636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S635" i="7"/>
  <c r="R635" i="7"/>
  <c r="Q635" i="7"/>
  <c r="P635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A634" i="7"/>
  <c r="S633" i="7"/>
  <c r="R633" i="7"/>
  <c r="Q633" i="7"/>
  <c r="P633" i="7"/>
  <c r="O633" i="7"/>
  <c r="N633" i="7"/>
  <c r="M633" i="7"/>
  <c r="L633" i="7"/>
  <c r="K633" i="7"/>
  <c r="J633" i="7"/>
  <c r="I633" i="7"/>
  <c r="H633" i="7"/>
  <c r="G633" i="7"/>
  <c r="F633" i="7"/>
  <c r="E633" i="7"/>
  <c r="D633" i="7"/>
  <c r="C633" i="7"/>
  <c r="B633" i="7"/>
  <c r="A632" i="7"/>
  <c r="S631" i="7"/>
  <c r="R631" i="7"/>
  <c r="Q631" i="7"/>
  <c r="P631" i="7"/>
  <c r="O631" i="7"/>
  <c r="N631" i="7"/>
  <c r="M631" i="7"/>
  <c r="L631" i="7"/>
  <c r="K631" i="7"/>
  <c r="J631" i="7"/>
  <c r="I631" i="7"/>
  <c r="H631" i="7"/>
  <c r="G631" i="7"/>
  <c r="F631" i="7"/>
  <c r="E631" i="7"/>
  <c r="D631" i="7"/>
  <c r="C631" i="7"/>
  <c r="B631" i="7"/>
  <c r="S630" i="7"/>
  <c r="R630" i="7"/>
  <c r="Q630" i="7"/>
  <c r="P630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S629" i="7"/>
  <c r="R629" i="7"/>
  <c r="Q629" i="7"/>
  <c r="P629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S628" i="7"/>
  <c r="R628" i="7"/>
  <c r="Q628" i="7"/>
  <c r="P628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S627" i="7"/>
  <c r="R627" i="7"/>
  <c r="Q627" i="7"/>
  <c r="P627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S626" i="7"/>
  <c r="R626" i="7"/>
  <c r="Q626" i="7"/>
  <c r="P626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S625" i="7"/>
  <c r="R625" i="7"/>
  <c r="Q625" i="7"/>
  <c r="P625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S624" i="7"/>
  <c r="R624" i="7"/>
  <c r="Q624" i="7"/>
  <c r="P624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S623" i="7"/>
  <c r="R623" i="7"/>
  <c r="Q623" i="7"/>
  <c r="P623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S622" i="7"/>
  <c r="R622" i="7"/>
  <c r="Q622" i="7"/>
  <c r="P622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S621" i="7"/>
  <c r="R621" i="7"/>
  <c r="Q621" i="7"/>
  <c r="P621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S620" i="7"/>
  <c r="R620" i="7"/>
  <c r="Q620" i="7"/>
  <c r="P620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S619" i="7"/>
  <c r="R619" i="7"/>
  <c r="Q619" i="7"/>
  <c r="P619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S618" i="7"/>
  <c r="R618" i="7"/>
  <c r="Q618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S617" i="7"/>
  <c r="R617" i="7"/>
  <c r="Q617" i="7"/>
  <c r="P617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S616" i="7"/>
  <c r="R616" i="7"/>
  <c r="Q616" i="7"/>
  <c r="P616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S615" i="7"/>
  <c r="R615" i="7"/>
  <c r="Q615" i="7"/>
  <c r="P615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A614" i="7"/>
  <c r="B613" i="7"/>
  <c r="S612" i="7"/>
  <c r="R612" i="7"/>
  <c r="Q612" i="7"/>
  <c r="P612" i="7"/>
  <c r="O612" i="7"/>
  <c r="N612" i="7"/>
  <c r="M612" i="7"/>
  <c r="L612" i="7"/>
  <c r="K612" i="7"/>
  <c r="J612" i="7"/>
  <c r="I612" i="7"/>
  <c r="H612" i="7"/>
  <c r="G612" i="7"/>
  <c r="F612" i="7"/>
  <c r="E612" i="7"/>
  <c r="D612" i="7"/>
  <c r="C612" i="7"/>
  <c r="B612" i="7"/>
  <c r="S611" i="7"/>
  <c r="R611" i="7"/>
  <c r="Q611" i="7"/>
  <c r="P611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A610" i="7"/>
  <c r="S609" i="7"/>
  <c r="R609" i="7"/>
  <c r="Q609" i="7"/>
  <c r="P609" i="7"/>
  <c r="O609" i="7"/>
  <c r="N609" i="7"/>
  <c r="M609" i="7"/>
  <c r="L609" i="7"/>
  <c r="K609" i="7"/>
  <c r="J609" i="7"/>
  <c r="I609" i="7"/>
  <c r="H609" i="7"/>
  <c r="G609" i="7"/>
  <c r="F609" i="7"/>
  <c r="E609" i="7"/>
  <c r="D609" i="7"/>
  <c r="C609" i="7"/>
  <c r="B609" i="7"/>
  <c r="S608" i="7"/>
  <c r="R608" i="7"/>
  <c r="Q608" i="7"/>
  <c r="P608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S607" i="7"/>
  <c r="R607" i="7"/>
  <c r="Q607" i="7"/>
  <c r="P607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S606" i="7"/>
  <c r="R606" i="7"/>
  <c r="Q606" i="7"/>
  <c r="P606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S605" i="7"/>
  <c r="R605" i="7"/>
  <c r="Q605" i="7"/>
  <c r="P605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S604" i="7"/>
  <c r="R604" i="7"/>
  <c r="Q604" i="7"/>
  <c r="P604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A603" i="7"/>
  <c r="S602" i="7"/>
  <c r="R602" i="7"/>
  <c r="Q602" i="7"/>
  <c r="P602" i="7"/>
  <c r="O602" i="7"/>
  <c r="N602" i="7"/>
  <c r="M602" i="7"/>
  <c r="L602" i="7"/>
  <c r="K602" i="7"/>
  <c r="J602" i="7"/>
  <c r="I602" i="7"/>
  <c r="H602" i="7"/>
  <c r="G602" i="7"/>
  <c r="F602" i="7"/>
  <c r="E602" i="7"/>
  <c r="D602" i="7"/>
  <c r="C602" i="7"/>
  <c r="B602" i="7"/>
  <c r="S601" i="7"/>
  <c r="R601" i="7"/>
  <c r="Q601" i="7"/>
  <c r="P601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S600" i="7"/>
  <c r="R600" i="7"/>
  <c r="Q600" i="7"/>
  <c r="P600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S599" i="7"/>
  <c r="R599" i="7"/>
  <c r="Q599" i="7"/>
  <c r="P599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S598" i="7"/>
  <c r="R598" i="7"/>
  <c r="Q598" i="7"/>
  <c r="P598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S597" i="7"/>
  <c r="R597" i="7"/>
  <c r="Q597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S596" i="7"/>
  <c r="R596" i="7"/>
  <c r="Q596" i="7"/>
  <c r="P596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S595" i="7"/>
  <c r="R595" i="7"/>
  <c r="Q595" i="7"/>
  <c r="P595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S594" i="7"/>
  <c r="R594" i="7"/>
  <c r="Q594" i="7"/>
  <c r="P594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S593" i="7"/>
  <c r="R593" i="7"/>
  <c r="Q593" i="7"/>
  <c r="P593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S592" i="7"/>
  <c r="R592" i="7"/>
  <c r="Q592" i="7"/>
  <c r="P592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S591" i="7"/>
  <c r="R591" i="7"/>
  <c r="Q591" i="7"/>
  <c r="P591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S590" i="7"/>
  <c r="R590" i="7"/>
  <c r="Q590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S589" i="7"/>
  <c r="R589" i="7"/>
  <c r="Q589" i="7"/>
  <c r="P589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S588" i="7"/>
  <c r="R588" i="7"/>
  <c r="Q588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S586" i="7"/>
  <c r="R586" i="7"/>
  <c r="Q586" i="7"/>
  <c r="P586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S585" i="7"/>
  <c r="R585" i="7"/>
  <c r="Q585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A583" i="7"/>
  <c r="B582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B581" i="7"/>
  <c r="S580" i="7"/>
  <c r="R580" i="7"/>
  <c r="Q580" i="7"/>
  <c r="P580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S579" i="7"/>
  <c r="R579" i="7"/>
  <c r="Q579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S578" i="7"/>
  <c r="R578" i="7"/>
  <c r="Q578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S577" i="7"/>
  <c r="R577" i="7"/>
  <c r="Q577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A576" i="7"/>
  <c r="S575" i="7"/>
  <c r="R575" i="7"/>
  <c r="Q575" i="7"/>
  <c r="P575" i="7"/>
  <c r="O575" i="7"/>
  <c r="N575" i="7"/>
  <c r="M575" i="7"/>
  <c r="L575" i="7"/>
  <c r="K575" i="7"/>
  <c r="J575" i="7"/>
  <c r="I575" i="7"/>
  <c r="H575" i="7"/>
  <c r="G575" i="7"/>
  <c r="F575" i="7"/>
  <c r="E575" i="7"/>
  <c r="D575" i="7"/>
  <c r="C575" i="7"/>
  <c r="B575" i="7"/>
  <c r="S574" i="7"/>
  <c r="R574" i="7"/>
  <c r="Q574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S573" i="7"/>
  <c r="R573" i="7"/>
  <c r="Q573" i="7"/>
  <c r="P573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S572" i="7"/>
  <c r="R572" i="7"/>
  <c r="Q572" i="7"/>
  <c r="P572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S571" i="7"/>
  <c r="R571" i="7"/>
  <c r="Q571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S568" i="7"/>
  <c r="R568" i="7"/>
  <c r="Q568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S565" i="7"/>
  <c r="R565" i="7"/>
  <c r="Q565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S564" i="7"/>
  <c r="R564" i="7"/>
  <c r="Q564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2" i="7"/>
  <c r="S561" i="7"/>
  <c r="R561" i="7"/>
  <c r="Q561" i="7"/>
  <c r="P561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B561" i="7"/>
  <c r="S560" i="7"/>
  <c r="R560" i="7"/>
  <c r="Q560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S559" i="7"/>
  <c r="R559" i="7"/>
  <c r="Q559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S558" i="7"/>
  <c r="R558" i="7"/>
  <c r="Q558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S557" i="7"/>
  <c r="R557" i="7"/>
  <c r="Q557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S556" i="7"/>
  <c r="R556" i="7"/>
  <c r="Q556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S555" i="7"/>
  <c r="R555" i="7"/>
  <c r="Q555" i="7"/>
  <c r="P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S554" i="7"/>
  <c r="R554" i="7"/>
  <c r="Q554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S552" i="7"/>
  <c r="R552" i="7"/>
  <c r="Q552" i="7"/>
  <c r="P552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S551" i="7"/>
  <c r="R551" i="7"/>
  <c r="Q551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A549" i="7"/>
  <c r="B548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G547" i="7"/>
  <c r="F547" i="7"/>
  <c r="E547" i="7"/>
  <c r="D547" i="7"/>
  <c r="C547" i="7"/>
  <c r="B547" i="7"/>
  <c r="A546" i="7"/>
  <c r="S545" i="7"/>
  <c r="R545" i="7"/>
  <c r="Q545" i="7"/>
  <c r="P545" i="7"/>
  <c r="O545" i="7"/>
  <c r="N545" i="7"/>
  <c r="M545" i="7"/>
  <c r="L545" i="7"/>
  <c r="K545" i="7"/>
  <c r="J545" i="7"/>
  <c r="I545" i="7"/>
  <c r="H545" i="7"/>
  <c r="G545" i="7"/>
  <c r="F545" i="7"/>
  <c r="E545" i="7"/>
  <c r="D545" i="7"/>
  <c r="C545" i="7"/>
  <c r="B545" i="7"/>
  <c r="S544" i="7"/>
  <c r="R544" i="7"/>
  <c r="Q544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S543" i="7"/>
  <c r="R543" i="7"/>
  <c r="Q543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S541" i="7"/>
  <c r="R541" i="7"/>
  <c r="Q541" i="7"/>
  <c r="P541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S540" i="7"/>
  <c r="R540" i="7"/>
  <c r="Q540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S539" i="7"/>
  <c r="R539" i="7"/>
  <c r="Q539" i="7"/>
  <c r="P539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A538" i="7"/>
  <c r="S537" i="7"/>
  <c r="R537" i="7"/>
  <c r="Q537" i="7"/>
  <c r="P537" i="7"/>
  <c r="O537" i="7"/>
  <c r="N537" i="7"/>
  <c r="M537" i="7"/>
  <c r="L537" i="7"/>
  <c r="K537" i="7"/>
  <c r="J537" i="7"/>
  <c r="I537" i="7"/>
  <c r="H537" i="7"/>
  <c r="G537" i="7"/>
  <c r="F537" i="7"/>
  <c r="E537" i="7"/>
  <c r="D537" i="7"/>
  <c r="C537" i="7"/>
  <c r="B537" i="7"/>
  <c r="S536" i="7"/>
  <c r="R536" i="7"/>
  <c r="Q536" i="7"/>
  <c r="P536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S535" i="7"/>
  <c r="R535" i="7"/>
  <c r="Q535" i="7"/>
  <c r="P535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S534" i="7"/>
  <c r="R534" i="7"/>
  <c r="Q534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S533" i="7"/>
  <c r="R533" i="7"/>
  <c r="Q533" i="7"/>
  <c r="P533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S532" i="7"/>
  <c r="R532" i="7"/>
  <c r="Q532" i="7"/>
  <c r="P532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S531" i="7"/>
  <c r="R531" i="7"/>
  <c r="Q531" i="7"/>
  <c r="P531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S530" i="7"/>
  <c r="R530" i="7"/>
  <c r="Q530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S529" i="7"/>
  <c r="R529" i="7"/>
  <c r="Q529" i="7"/>
  <c r="P529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S528" i="7"/>
  <c r="R528" i="7"/>
  <c r="Q528" i="7"/>
  <c r="P528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S527" i="7"/>
  <c r="R527" i="7"/>
  <c r="Q527" i="7"/>
  <c r="P527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A526" i="7"/>
  <c r="B525" i="7"/>
  <c r="S524" i="7"/>
  <c r="R524" i="7"/>
  <c r="Q524" i="7"/>
  <c r="P524" i="7"/>
  <c r="O524" i="7"/>
  <c r="N524" i="7"/>
  <c r="M524" i="7"/>
  <c r="L524" i="7"/>
  <c r="K524" i="7"/>
  <c r="J524" i="7"/>
  <c r="I524" i="7"/>
  <c r="H524" i="7"/>
  <c r="G524" i="7"/>
  <c r="F524" i="7"/>
  <c r="E524" i="7"/>
  <c r="D524" i="7"/>
  <c r="C524" i="7"/>
  <c r="B524" i="7"/>
  <c r="S523" i="7"/>
  <c r="R523" i="7"/>
  <c r="Q523" i="7"/>
  <c r="P523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S522" i="7"/>
  <c r="R522" i="7"/>
  <c r="Q522" i="7"/>
  <c r="P522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S521" i="7"/>
  <c r="R521" i="7"/>
  <c r="Q521" i="7"/>
  <c r="P521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S520" i="7"/>
  <c r="R520" i="7"/>
  <c r="Q520" i="7"/>
  <c r="P520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S519" i="7"/>
  <c r="R519" i="7"/>
  <c r="Q519" i="7"/>
  <c r="P519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S518" i="7"/>
  <c r="R518" i="7"/>
  <c r="Q518" i="7"/>
  <c r="P518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S517" i="7"/>
  <c r="R517" i="7"/>
  <c r="Q517" i="7"/>
  <c r="P517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S516" i="7"/>
  <c r="R516" i="7"/>
  <c r="Q516" i="7"/>
  <c r="P516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S515" i="7"/>
  <c r="R515" i="7"/>
  <c r="Q515" i="7"/>
  <c r="P515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S514" i="7"/>
  <c r="R514" i="7"/>
  <c r="Q514" i="7"/>
  <c r="P514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S513" i="7"/>
  <c r="R513" i="7"/>
  <c r="Q513" i="7"/>
  <c r="P513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S512" i="7"/>
  <c r="R512" i="7"/>
  <c r="Q512" i="7"/>
  <c r="P512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S511" i="7"/>
  <c r="R511" i="7"/>
  <c r="Q511" i="7"/>
  <c r="P511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S510" i="7"/>
  <c r="R510" i="7"/>
  <c r="Q510" i="7"/>
  <c r="P510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S509" i="7"/>
  <c r="R509" i="7"/>
  <c r="Q509" i="7"/>
  <c r="P509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S508" i="7"/>
  <c r="R508" i="7"/>
  <c r="Q508" i="7"/>
  <c r="P508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S507" i="7"/>
  <c r="R507" i="7"/>
  <c r="Q507" i="7"/>
  <c r="P507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S506" i="7"/>
  <c r="R506" i="7"/>
  <c r="Q506" i="7"/>
  <c r="P506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S505" i="7"/>
  <c r="R505" i="7"/>
  <c r="Q505" i="7"/>
  <c r="P505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A465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F464" i="7"/>
  <c r="E464" i="7"/>
  <c r="D464" i="7"/>
  <c r="C464" i="7"/>
  <c r="B464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A460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F459" i="7"/>
  <c r="E459" i="7"/>
  <c r="D459" i="7"/>
  <c r="C459" i="7"/>
  <c r="B459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A455" i="7"/>
  <c r="B454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2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09" i="7"/>
  <c r="B408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B360" i="7"/>
  <c r="A359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B357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B356" i="7"/>
  <c r="A355" i="7"/>
  <c r="B354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A335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A327" i="7"/>
  <c r="B326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69" i="7"/>
  <c r="B268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224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201" i="7"/>
  <c r="B200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178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157" i="7"/>
  <c r="B156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4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0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130" i="7"/>
  <c r="B129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89" i="7"/>
  <c r="B88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0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3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7" i="7"/>
  <c r="B46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1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7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B1" i="7"/>
  <c r="Q75" i="4"/>
  <c r="N75" i="4"/>
  <c r="K75" i="4"/>
  <c r="H75" i="4"/>
  <c r="E75" i="4"/>
  <c r="B75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<sst xmlns="http://schemas.openxmlformats.org/spreadsheetml/2006/main" count="2433" uniqueCount="1157">
  <si>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</si>
  <si>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</si>
  <si>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</si>
  <si>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</si>
  <si>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</si>
  <si>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</si>
  <si>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</si>
  <si>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</si>
  <si>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</si>
  <si>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</si>
  <si>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</si>
  <si>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</si>
  <si>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</si>
  <si>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</si>
  <si>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</si>
  <si>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</si>
  <si>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</si>
  <si>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</si>
  <si>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</si>
  <si>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</si>
  <si>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</si>
  <si>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</si>
  <si>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</si>
  <si>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</si>
  <si>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</si>
  <si>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</si>
  <si>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</si>
  <si>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</si>
  <si>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</si>
  <si>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</si>
  <si>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</si>
  <si>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</si>
  <si>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</si>
  <si>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</si>
  <si>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</si>
  <si>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</si>
  <si>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</si>
  <si>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</si>
  <si>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</si>
  <si>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</si>
  <si>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</si>
  <si>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</si>
  <si>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</si>
  <si>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</si>
  <si>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</si>
  <si>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</si>
  <si>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</si>
  <si>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</si>
  <si>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</si>
  <si>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</si>
  <si>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</si>
  <si>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</si>
  <si>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</si>
  <si>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</si>
  <si>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</si>
  <si>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</si>
  <si>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</si>
  <si>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</si>
  <si>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</si>
  <si>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</si>
  <si>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</si>
  <si>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</si>
  <si>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</si>
  <si>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</si>
  <si>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</si>
  <si>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</si>
  <si>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</si>
  <si>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</si>
  <si>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</si>
  <si>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</si>
  <si>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</si>
  <si>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</si>
  <si>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</si>
  <si>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</si>
  <si>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</si>
  <si>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</si>
  <si>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</si>
  <si>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</si>
  <si>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</si>
  <si>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</si>
  <si>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</si>
  <si>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</si>
  <si>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</si>
  <si>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</si>
  <si>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</si>
  <si>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</si>
  <si>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</si>
  <si>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</si>
  <si>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</si>
  <si>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</si>
  <si>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</si>
  <si>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</si>
  <si>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</si>
  <si>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</si>
  <si>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</si>
  <si>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</si>
  <si>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</si>
  <si>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</si>
  <si>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</si>
  <si>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</si>
  <si>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</si>
  <si>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</si>
  <si>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</si>
  <si>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</si>
  <si>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</si>
  <si>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</si>
  <si>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</si>
  <si>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</si>
  <si>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</si>
  <si>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</si>
  <si>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</si>
  <si>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</si>
  <si>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</si>
  <si>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</si>
  <si>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</si>
  <si>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</si>
  <si>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</si>
  <si>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</si>
  <si>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</si>
  <si>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</si>
  <si>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</si>
  <si>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</si>
  <si>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</si>
  <si>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</si>
  <si>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</si>
  <si>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</si>
  <si>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</si>
  <si>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</si>
  <si>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</si>
  <si>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</si>
  <si>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</si>
  <si>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</si>
  <si>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</si>
  <si>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</si>
  <si>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</si>
  <si>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</si>
  <si>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</si>
  <si>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</si>
  <si>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</si>
  <si>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</si>
  <si>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</si>
  <si>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</si>
  <si>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</si>
  <si>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</si>
  <si>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</si>
  <si>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</si>
  <si>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</si>
  <si>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</si>
  <si>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</si>
  <si>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</si>
  <si>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</si>
  <si>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</si>
  <si>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</si>
  <si>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</si>
  <si>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</si>
  <si>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</si>
  <si>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</si>
  <si>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</si>
  <si>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</si>
  <si>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</si>
  <si>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</si>
  <si>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</si>
  <si>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</si>
  <si>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</si>
  <si>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</si>
  <si>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</si>
  <si>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</si>
  <si>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</si>
  <si>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</si>
  <si>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</si>
  <si>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</si>
  <si>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</si>
  <si>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</si>
  <si>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</si>
  <si>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</si>
  <si>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</si>
  <si>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</si>
  <si>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</si>
  <si>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</si>
  <si>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</si>
  <si>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</si>
  <si>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</si>
  <si>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</si>
  <si>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</si>
  <si>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</si>
  <si>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</si>
  <si>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</si>
  <si>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</si>
  <si>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</si>
  <si>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</si>
  <si>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</si>
  <si>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</si>
  <si>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</si>
  <si>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</si>
  <si>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</si>
  <si>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</si>
  <si>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</si>
  <si>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</si>
  <si>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</si>
  <si>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</si>
  <si>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</si>
  <si>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</si>
  <si>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</si>
  <si>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</si>
  <si>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</si>
  <si>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</si>
  <si>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</si>
  <si>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</si>
  <si>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</si>
  <si>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</si>
  <si>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</si>
  <si>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</si>
  <si>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</si>
  <si>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</si>
  <si>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</si>
  <si>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</si>
  <si>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</si>
  <si>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</si>
  <si>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</si>
  <si>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</si>
  <si>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</si>
  <si>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</si>
  <si>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</si>
  <si>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</si>
  <si>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</si>
  <si>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</si>
  <si>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</si>
  <si>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</si>
  <si>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</si>
  <si>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</si>
  <si>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</si>
  <si>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</si>
  <si>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</si>
  <si>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</si>
  <si>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</si>
  <si>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</si>
  <si>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</si>
  <si>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</si>
  <si>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</si>
  <si>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</si>
  <si>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</si>
  <si>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</si>
  <si>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</si>
  <si>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</si>
  <si>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</si>
  <si>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</si>
  <si>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</si>
  <si>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</si>
  <si>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</si>
  <si>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</si>
  <si>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</si>
  <si>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</si>
  <si>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</si>
  <si>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</si>
  <si>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</si>
  <si>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</si>
  <si>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</si>
  <si>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</si>
  <si>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</si>
  <si>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</si>
  <si>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</si>
  <si>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</si>
  <si>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</si>
  <si>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</si>
  <si>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</si>
  <si>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</si>
  <si>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</si>
  <si>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</si>
  <si>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</si>
  <si>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</si>
  <si>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</si>
  <si>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</si>
  <si>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</si>
  <si>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</si>
  <si>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</si>
  <si>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</si>
  <si>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</si>
  <si>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</si>
  <si>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</si>
  <si>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</si>
  <si>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</si>
  <si>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</si>
  <si>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</si>
  <si>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</si>
  <si>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</si>
  <si>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</si>
  <si>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</si>
  <si>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</si>
  <si>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</si>
  <si>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</si>
  <si>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</si>
  <si>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</si>
  <si>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</si>
  <si>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</si>
  <si>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</si>
  <si>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</si>
  <si>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</si>
  <si>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</si>
  <si>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</si>
  <si>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</si>
  <si>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</si>
  <si>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</si>
  <si>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</si>
  <si>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</si>
  <si>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</si>
  <si>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</si>
  <si>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</si>
  <si>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</si>
  <si>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</si>
  <si>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</si>
  <si>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</si>
  <si>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</si>
  <si>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</si>
  <si>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</si>
  <si>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</si>
  <si>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</si>
  <si>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</si>
  <si>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</si>
  <si>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</si>
  <si>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</si>
  <si>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</si>
  <si>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</si>
  <si>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</si>
  <si>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</si>
  <si>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</si>
  <si>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</si>
  <si>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</si>
  <si>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</si>
  <si>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</si>
  <si>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</si>
  <si>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</si>
  <si>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</si>
  <si>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</si>
  <si>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</si>
  <si>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</si>
  <si>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</si>
  <si>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</si>
  <si>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</si>
  <si>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</si>
  <si>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</si>
  <si>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</si>
  <si>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</si>
  <si>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</si>
  <si>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</si>
  <si>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</si>
  <si>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</si>
  <si>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</si>
  <si>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</si>
  <si>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</si>
  <si>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</si>
  <si>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</si>
  <si>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</si>
  <si>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</si>
  <si>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</si>
  <si>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</si>
  <si>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</si>
  <si>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</si>
  <si>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</si>
  <si>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</si>
  <si>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</si>
  <si>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</si>
  <si>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</si>
  <si>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</si>
  <si>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</si>
  <si>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</si>
  <si>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</si>
  <si>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</si>
  <si>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</si>
  <si>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</si>
  <si>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</si>
  <si>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</si>
  <si>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</si>
  <si>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</si>
  <si>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</si>
  <si>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</si>
  <si>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</si>
  <si>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</si>
  <si>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</si>
  <si>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</si>
  <si>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</si>
  <si>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</si>
  <si>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</si>
  <si>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</si>
  <si>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</si>
  <si>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</si>
  <si>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</si>
  <si>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</si>
  <si>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</si>
  <si>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</si>
  <si>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</si>
  <si>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</si>
  <si>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</si>
  <si>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</si>
  <si>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</si>
  <si>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</si>
  <si>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</si>
  <si>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</si>
  <si>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</si>
  <si>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</si>
  <si>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</si>
  <si>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</si>
  <si>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</si>
  <si>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</si>
  <si>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</si>
  <si>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</si>
  <si>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</si>
  <si>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</si>
  <si>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</si>
  <si>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</si>
  <si>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</si>
  <si>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</si>
  <si>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</si>
  <si>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</si>
  <si>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</si>
  <si>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</si>
  <si>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</si>
  <si>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</si>
  <si>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</si>
  <si>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</si>
  <si>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</si>
  <si>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</si>
  <si>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</si>
  <si>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</si>
  <si>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</si>
  <si>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</si>
  <si>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</si>
  <si>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</si>
  <si>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</si>
  <si>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</si>
  <si>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</si>
  <si>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</si>
  <si>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</si>
  <si>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</si>
  <si>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</si>
  <si>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</si>
  <si>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</si>
  <si>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</si>
  <si>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</si>
  <si>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</si>
  <si>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</si>
  <si>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</si>
  <si>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</si>
  <si>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</si>
  <si>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</si>
  <si>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</si>
  <si>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</si>
  <si>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</si>
  <si>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</si>
  <si>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</si>
  <si>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</si>
  <si>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</si>
  <si>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</si>
  <si>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</si>
  <si>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</si>
  <si>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</si>
  <si>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</si>
  <si>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</si>
  <si>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</si>
  <si>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</si>
  <si>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</si>
  <si>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</si>
  <si>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</si>
  <si>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</si>
  <si>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</si>
  <si>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</si>
  <si>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</si>
  <si>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</si>
  <si>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</si>
  <si>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</si>
  <si>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</si>
  <si>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</si>
  <si>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</si>
  <si>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</si>
  <si>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</si>
  <si>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</si>
  <si>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</si>
  <si>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</si>
  <si>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</si>
  <si>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</si>
  <si>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</si>
  <si>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</si>
  <si>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</si>
  <si>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</si>
  <si>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</si>
  <si>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</si>
  <si>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</si>
  <si>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</si>
  <si>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</si>
  <si>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</si>
  <si>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</si>
  <si>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</si>
  <si>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</si>
  <si>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</si>
  <si>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</si>
  <si>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</si>
  <si>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</si>
  <si>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</si>
  <si>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</si>
  <si>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</si>
  <si>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</si>
  <si>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</si>
  <si>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</si>
  <si>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</si>
  <si>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</si>
  <si>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</si>
  <si>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</si>
  <si>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</si>
  <si>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</si>
  <si>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</si>
  <si>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</si>
  <si>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</si>
  <si>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</si>
  <si>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</si>
  <si>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</si>
  <si>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</si>
  <si>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</si>
  <si>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</si>
  <si>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</si>
  <si>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</si>
  <si>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</si>
  <si>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</si>
  <si>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</si>
  <si>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</si>
  <si>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</si>
  <si>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</si>
  <si>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</si>
  <si>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</si>
  <si>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</si>
  <si>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</si>
  <si>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</si>
  <si>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</si>
  <si>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</si>
  <si>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</si>
  <si>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</si>
  <si>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</si>
  <si>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</si>
  <si>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</si>
  <si>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</si>
  <si>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</si>
  <si>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</si>
  <si>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</si>
  <si>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</si>
  <si>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</si>
  <si>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</si>
  <si>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</si>
  <si>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</si>
  <si>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</si>
  <si>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</si>
  <si>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</si>
  <si>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</si>
  <si>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</si>
  <si>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</si>
  <si>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</si>
  <si>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</si>
  <si>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</si>
  <si>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</si>
  <si>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</si>
  <si>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</si>
  <si>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</si>
  <si>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</si>
  <si>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</si>
  <si>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</si>
  <si>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</si>
  <si>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</si>
  <si>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</si>
  <si>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</si>
  <si>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</si>
  <si>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</si>
  <si>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</si>
  <si>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</si>
  <si>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</si>
  <si>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</si>
  <si>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</si>
  <si>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</si>
  <si>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</si>
  <si>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</si>
  <si>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</si>
  <si>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</si>
  <si>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</si>
  <si>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</si>
  <si>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</si>
  <si>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</si>
  <si>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</si>
  <si>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</si>
  <si>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</si>
  <si>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</si>
  <si>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</si>
  <si>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</si>
  <si>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</si>
  <si>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</si>
  <si>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</si>
  <si>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</si>
  <si>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</si>
  <si>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</si>
  <si>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</si>
  <si>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</si>
  <si>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</si>
  <si>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</si>
  <si>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</si>
  <si>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</si>
  <si>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</si>
  <si>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</si>
  <si>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</si>
  <si>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</si>
  <si>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</si>
  <si>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</si>
  <si>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</si>
  <si>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</si>
  <si>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</si>
  <si>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</si>
  <si>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</si>
  <si>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</si>
  <si>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</si>
  <si>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</si>
  <si>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</si>
  <si>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</si>
  <si>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</si>
  <si>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</si>
  <si>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</si>
  <si>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</si>
  <si>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</si>
  <si>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</si>
  <si>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</si>
  <si>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</si>
  <si>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</si>
  <si>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</si>
  <si>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</si>
  <si>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</si>
  <si>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</si>
  <si>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</si>
  <si>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</si>
  <si>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</si>
  <si>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</si>
  <si>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</si>
  <si>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</si>
  <si>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</si>
  <si>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</si>
  <si>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</si>
  <si>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</si>
  <si>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</si>
  <si>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</si>
  <si>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</si>
  <si>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</si>
  <si>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</si>
  <si>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</si>
  <si>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</si>
  <si>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</si>
  <si>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</si>
  <si>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</si>
  <si>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</si>
  <si>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</si>
  <si>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</si>
  <si>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</si>
  <si>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</si>
  <si>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</si>
  <si>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</si>
  <si>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</si>
  <si>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</si>
  <si>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</si>
  <si>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</si>
  <si>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</si>
  <si>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</si>
  <si>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</si>
  <si>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</si>
  <si>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</si>
  <si>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</si>
  <si>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</si>
  <si>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</si>
  <si>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</si>
  <si>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</si>
  <si>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</si>
  <si>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</si>
  <si>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</si>
  <si>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</si>
  <si>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</si>
  <si>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</si>
  <si>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</si>
  <si>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</si>
  <si>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</si>
  <si>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</si>
  <si>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</si>
  <si>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</si>
  <si>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</si>
  <si>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</si>
  <si>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</si>
  <si>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</si>
  <si>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</si>
  <si>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</si>
  <si>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</si>
  <si>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</si>
  <si>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</si>
  <si>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</si>
  <si>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</si>
  <si>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</si>
  <si>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</si>
  <si>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</si>
  <si>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</si>
  <si>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</si>
  <si>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</si>
  <si>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</si>
  <si>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</si>
  <si>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</si>
  <si>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</si>
  <si>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</si>
  <si>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</si>
  <si>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</si>
  <si>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</si>
  <si>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</si>
  <si>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</si>
  <si>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</si>
  <si>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</si>
  <si>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</si>
  <si>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</si>
  <si>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</si>
  <si>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</si>
  <si>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</si>
  <si>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</si>
  <si>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</si>
  <si>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</si>
  <si>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</si>
  <si>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</si>
  <si>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</si>
  <si>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</si>
  <si>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</si>
  <si>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</si>
  <si>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</si>
  <si>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</si>
  <si>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</si>
  <si>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</si>
  <si>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</si>
  <si>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</si>
  <si>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</si>
  <si>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</si>
  <si>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</si>
  <si>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</si>
  <si>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</si>
  <si>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</si>
  <si>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</si>
  <si>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</si>
  <si>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</si>
  <si>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</si>
  <si>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</si>
  <si>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</si>
  <si>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</si>
  <si>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</si>
  <si>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</si>
  <si>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</si>
  <si>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</si>
  <si>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</si>
  <si>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</si>
  <si>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</si>
  <si>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</si>
  <si>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</si>
  <si>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</si>
  <si>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</si>
  <si>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</si>
  <si>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</si>
  <si>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</si>
  <si>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</si>
  <si>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</si>
  <si>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</si>
  <si>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</si>
  <si>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</si>
  <si>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</si>
  <si>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</si>
  <si>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</si>
  <si>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</si>
  <si>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</si>
  <si>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</si>
  <si>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</si>
  <si>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</si>
  <si>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</si>
  <si>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</si>
  <si>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</si>
  <si>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</si>
  <si>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</si>
  <si>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</si>
  <si>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</si>
  <si>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</si>
  <si>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</si>
  <si>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</si>
  <si>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</si>
  <si>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</si>
  <si>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</si>
  <si>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</si>
  <si>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</si>
  <si>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</si>
  <si>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</si>
  <si>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</si>
  <si>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</si>
  <si>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</si>
  <si>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</si>
  <si>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</si>
  <si>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</si>
  <si>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</si>
  <si>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</si>
  <si>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</si>
  <si>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</si>
  <si>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</si>
  <si>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</si>
  <si>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</si>
  <si>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</si>
  <si>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</si>
  <si>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</si>
  <si>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</si>
  <si>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</si>
  <si>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</si>
  <si>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</si>
  <si>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</si>
  <si>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</si>
  <si>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</si>
  <si>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</si>
  <si>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</si>
  <si>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</si>
  <si>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</si>
  <si>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</si>
  <si>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</si>
  <si>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</si>
  <si>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</si>
  <si>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</si>
  <si>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</si>
  <si>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</si>
  <si>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</si>
  <si>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</si>
  <si>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</si>
  <si>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</si>
  <si>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</si>
  <si>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</si>
  <si>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</si>
  <si>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</si>
  <si>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</si>
  <si>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</si>
  <si>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</si>
  <si>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</si>
  <si>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</si>
  <si>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</si>
  <si>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</si>
  <si>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</si>
  <si>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</si>
  <si>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</si>
  <si>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</si>
  <si>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</si>
  <si>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</si>
  <si>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</si>
  <si>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</si>
  <si>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</si>
  <si>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</si>
  <si>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</si>
  <si>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</si>
  <si>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</si>
  <si>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</si>
  <si>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</si>
  <si>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</si>
  <si>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</si>
  <si>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</si>
  <si>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</si>
  <si>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</si>
  <si>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</si>
  <si>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</si>
  <si>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</si>
  <si>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</si>
  <si>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</si>
  <si>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</si>
  <si>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</si>
  <si>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</si>
  <si>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</si>
  <si>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</si>
  <si>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</si>
  <si>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</si>
  <si>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</si>
  <si>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</si>
  <si>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</si>
  <si>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</si>
  <si>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</si>
  <si>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</si>
  <si>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</si>
  <si>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</si>
  <si>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</si>
  <si>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</si>
  <si>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</si>
  <si>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</si>
  <si>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</si>
  <si>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</si>
  <si>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</si>
  <si>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</si>
  <si>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</si>
  <si>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</si>
  <si>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</si>
  <si>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</si>
  <si>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</si>
  <si>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</si>
  <si>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</si>
  <si>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</si>
  <si>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</si>
  <si>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</si>
  <si>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</si>
  <si>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</si>
  <si>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</si>
  <si>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</si>
  <si>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</si>
  <si>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</si>
  <si>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</si>
  <si>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</si>
  <si>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</si>
  <si>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</si>
  <si>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</si>
  <si>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</si>
  <si>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</si>
  <si>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</si>
  <si>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</si>
  <si>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</si>
  <si>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</si>
  <si>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</si>
  <si>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</si>
  <si>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</si>
  <si>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</si>
  <si>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</si>
  <si>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</si>
  <si>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</si>
  <si>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</si>
  <si>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</si>
  <si>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</si>
  <si>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</si>
  <si>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</si>
  <si>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</si>
  <si>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</si>
  <si>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</si>
  <si>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</si>
  <si>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</si>
  <si>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</si>
  <si>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</si>
  <si>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</si>
  <si>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</si>
  <si>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</si>
  <si>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</si>
  <si>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</si>
  <si>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</si>
  <si>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</si>
  <si>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</si>
  <si>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</si>
  <si>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</si>
  <si>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</si>
  <si>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</si>
  <si>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</si>
  <si>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</si>
  <si>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</si>
  <si>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</si>
  <si>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</si>
  <si>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</si>
  <si>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</si>
  <si>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</si>
  <si>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</si>
  <si>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</si>
  <si>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</si>
  <si>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</si>
  <si>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</si>
  <si>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</si>
  <si>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</si>
  <si>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</si>
  <si>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</si>
  <si>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</si>
  <si>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</si>
  <si>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</si>
  <si>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</si>
  <si>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</si>
  <si>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</si>
  <si>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</si>
  <si>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</si>
  <si>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</si>
  <si>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</si>
  <si>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</si>
  <si>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</si>
  <si>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</si>
  <si>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</si>
  <si>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</si>
  <si>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</si>
  <si>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</si>
  <si>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</si>
  <si>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</si>
  <si>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</si>
  <si>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</si>
  <si>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</si>
  <si>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</si>
  <si>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</si>
  <si>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</si>
  <si>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</si>
  <si>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</si>
  <si>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</si>
  <si>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</si>
  <si>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</si>
  <si>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</si>
  <si>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</si>
  <si>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</si>
  <si>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</si>
  <si>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</si>
  <si>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</si>
  <si>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</si>
  <si>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</si>
  <si>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</si>
  <si>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</si>
  <si>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</si>
  <si>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</si>
  <si>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</si>
  <si>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</si>
  <si>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</si>
  <si>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</si>
  <si>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</si>
  <si>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</si>
  <si>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</si>
  <si>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</si>
  <si>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</si>
  <si>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</si>
  <si>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</si>
  <si>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</si>
  <si>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</si>
  <si>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</si>
  <si>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</si>
  <si>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</si>
  <si>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</si>
  <si>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</si>
  <si>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</si>
  <si>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</si>
  <si>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</si>
  <si>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</si>
  <si>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</si>
  <si>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</si>
  <si>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</si>
  <si>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</si>
  <si>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</si>
  <si>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</si>
  <si>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</si>
  <si>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</si>
  <si>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</si>
  <si>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</si>
  <si>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</si>
  <si>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</si>
  <si>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</si>
  <si>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</si>
  <si>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</si>
  <si>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</si>
  <si>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</si>
  <si>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</si>
  <si>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</si>
  <si>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</si>
  <si>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</si>
  <si>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</si>
  <si>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</si>
  <si>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</si>
  <si>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</si>
  <si>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</si>
  <si>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</si>
  <si>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</si>
  <si>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</si>
  <si>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</si>
  <si>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</si>
  <si>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</si>
  <si>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</si>
  <si>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</si>
  <si>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</si>
  <si>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</si>
  <si>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</si>
  <si>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</si>
  <si>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</si>
  <si>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</si>
  <si>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</si>
  <si>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</si>
  <si>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</si>
  <si>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</si>
  <si>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</si>
  <si>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</si>
  <si>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</si>
  <si>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</si>
  <si>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</si>
  <si>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</si>
  <si>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</si>
  <si>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</si>
  <si>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</si>
  <si>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</si>
  <si>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</si>
  <si>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</si>
  <si>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</si>
  <si>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</si>
  <si>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</si>
  <si>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</si>
  <si>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</si>
  <si>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</si>
  <si>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</si>
  <si>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</si>
  <si>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</si>
  <si>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</si>
  <si>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</si>
  <si>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</si>
  <si>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</si>
  <si>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</si>
  <si>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</si>
  <si>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</si>
  <si>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</si>
  <si>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</si>
  <si>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</si>
  <si>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</si>
  <si>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</si>
  <si>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</si>
  <si>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</si>
  <si>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</si>
  <si>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</si>
  <si>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</si>
  <si>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</si>
  <si>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</si>
  <si>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</si>
  <si>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</si>
  <si>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</si>
  <si>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</si>
  <si>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</si>
  <si>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</si>
  <si>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</si>
  <si>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</si>
  <si>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</si>
  <si>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</si>
  <si>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</si>
  <si>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</si>
  <si>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</si>
  <si>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</si>
  <si>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</si>
  <si>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</si>
  <si>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</si>
  <si>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</si>
  <si>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</si>
  <si>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</si>
  <si>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</si>
  <si>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</si>
  <si>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</si>
  <si>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</si>
  <si>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</si>
  <si>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</si>
  <si>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</si>
  <si>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</si>
  <si>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</si>
  <si>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</si>
  <si>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</si>
  <si>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</si>
  <si>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</si>
  <si>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</si>
  <si>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</si>
  <si>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</si>
  <si>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</si>
  <si>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</si>
  <si>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</si>
  <si>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t>Term MVC Average Retention Rate</t>
  </si>
  <si>
    <t>AY MVC Average Retention Rate</t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</si>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</sst>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  <xf numFmtId="0" fontId="4" fillId="0" borderId="0"/>
    <xf numFmtId="0" fontId="4" fillId="8" borderId="8" applyNumberFormat="0" applyFon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9" fontId="2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43" fontId="24" fillId="0" borderId="0" applyFont="0" applyFill="0" applyBorder="0" applyAlignment="0" applyProtection="0"/>
    <xf numFmtId="0" fontId="11" fillId="4" borderId="0" applyNumberFormat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19" fillId="0" borderId="24" xfId="43" applyFont="1" applyBorder="1" applyAlignment="1">
      <alignment horizontal="center" vertical="center"/>
    </xf>
    <xf numFmtId="0" fontId="23" fillId="0" borderId="25" xfId="45" applyBorder="1" applyAlignment="1" applyProtection="1"/>
    <xf numFmtId="0" fontId="23" fillId="0" borderId="26" xfId="45" applyBorder="1" applyAlignment="1" applyProtection="1"/>
    <xf numFmtId="0" fontId="19" fillId="0" borderId="26" xfId="0" applyFont="1" applyBorder="1" applyAlignment="1">
      <alignment horizontal="right" vertical="center"/>
    </xf>
    <xf numFmtId="0" fontId="23" fillId="0" borderId="27" xfId="45" applyBorder="1" applyAlignment="1" applyProtection="1"/>
    <xf numFmtId="0" fontId="26" fillId="0" borderId="20" xfId="0" applyFont="1" applyBorder="1" applyAlignment="1">
      <alignment horizontal="right" vertical="center"/>
    </xf>
    <xf numFmtId="0" fontId="0" fillId="0" borderId="0" xfId="0"/>
    <xf numFmtId="0" fontId="11" fillId="4" borderId="0" xfId="52" applyAlignment="1">
      <alignment horizontal="center" vertical="center"/>
    </xf>
    <xf numFmtId="0" fontId="23" fillId="4" borderId="0" xfId="45" applyFill="1" applyBorder="1" applyAlignment="1" applyProtection="1">
      <alignment horizontal="center" vertical="center"/>
    </xf>
    <xf numFmtId="0" fontId="19" fillId="0" borderId="28" xfId="43" applyFont="1" applyBorder="1" applyAlignment="1">
      <alignment horizontal="center" vertical="center"/>
    </xf>
    <xf numFmtId="0" fontId="11" fillId="4" borderId="28" xfId="52" applyBorder="1" applyAlignment="1">
      <alignment horizontal="center" vertical="center"/>
    </xf>
    <xf numFmtId="0" fontId="0" fillId="0" borderId="28" xfId="0" applyBorder="1"/>
    <xf numFmtId="9" fontId="27" fillId="0" borderId="22" xfId="53" applyFont="1" applyBorder="1" applyAlignment="1" applyProtection="1">
      <alignment horizontal="center" vertical="center"/>
    </xf>
    <xf numFmtId="9" fontId="0" fillId="0" borderId="22" xfId="53" applyFont="1" applyBorder="1"/>
    <xf numFmtId="9" fontId="27" fillId="0" borderId="10" xfId="53" applyFont="1" applyBorder="1" applyAlignment="1" applyProtection="1">
      <alignment horizontal="center" vertical="center"/>
    </xf>
    <xf numFmtId="9" fontId="27" fillId="0" borderId="19" xfId="53" applyFont="1" applyBorder="1" applyAlignment="1" applyProtection="1">
      <alignment horizontal="center" vertical="center"/>
    </xf>
    <xf numFmtId="9" fontId="27" fillId="0" borderId="17" xfId="53" applyFont="1" applyBorder="1" applyAlignment="1" applyProtection="1">
      <alignment horizontal="center" vertical="center"/>
    </xf>
    <xf numFmtId="9" fontId="27" fillId="0" borderId="18" xfId="53" applyFont="1" applyBorder="1" applyAlignment="1" applyProtection="1">
      <alignment horizontal="center" vertical="center"/>
    </xf>
    <xf numFmtId="9" fontId="27" fillId="0" borderId="23" xfId="53" applyFont="1" applyBorder="1" applyAlignment="1" applyProtection="1">
      <alignment horizontal="center" vertical="center"/>
    </xf>
    <xf numFmtId="9" fontId="27" fillId="0" borderId="21" xfId="53" applyFont="1" applyBorder="1" applyAlignment="1" applyProtection="1">
      <alignment horizontal="center" vertical="center"/>
    </xf>
    <xf numFmtId="9" fontId="27" fillId="0" borderId="28" xfId="53" applyFont="1" applyBorder="1" applyAlignment="1" applyProtection="1">
      <alignment horizontal="center" vertical="center"/>
    </xf>
    <xf numFmtId="9" fontId="27" fillId="0" borderId="16" xfId="53" applyFont="1" applyBorder="1" applyAlignment="1" applyProtection="1">
      <alignment horizontal="center" vertical="center"/>
    </xf>
    <xf numFmtId="9" fontId="27" fillId="0" borderId="35" xfId="53" applyFont="1" applyBorder="1" applyAlignment="1" applyProtection="1">
      <alignment horizontal="center" vertical="center"/>
    </xf>
    <xf numFmtId="9" fontId="0" fillId="0" borderId="36" xfId="53" applyFont="1" applyBorder="1"/>
    <xf numFmtId="9" fontId="27" fillId="0" borderId="33" xfId="53" applyFont="1" applyBorder="1" applyAlignment="1" applyProtection="1">
      <alignment horizontal="center" vertical="center"/>
    </xf>
    <xf numFmtId="9" fontId="27" fillId="0" borderId="32" xfId="53" applyFont="1" applyBorder="1" applyAlignment="1" applyProtection="1">
      <alignment horizontal="center" vertical="center"/>
    </xf>
    <xf numFmtId="9" fontId="27" fillId="0" borderId="34" xfId="53" applyFont="1" applyBorder="1" applyAlignment="1" applyProtection="1">
      <alignment horizontal="center" vertical="center"/>
    </xf>
    <xf numFmtId="9" fontId="30" fillId="0" borderId="37" xfId="53" applyFont="1" applyBorder="1" applyAlignment="1" applyProtection="1">
      <alignment horizontal="center" vertical="center"/>
    </xf>
    <xf numFmtId="9" fontId="27" fillId="0" borderId="31" xfId="53" applyFont="1" applyBorder="1" applyAlignment="1" applyProtection="1">
      <alignment horizontal="center" vertical="center"/>
    </xf>
    <xf numFmtId="9" fontId="27" fillId="0" borderId="30" xfId="53" applyFont="1" applyBorder="1" applyAlignment="1" applyProtection="1">
      <alignment horizontal="center" vertical="center"/>
    </xf>
    <xf numFmtId="9" fontId="30" fillId="0" borderId="39" xfId="53" applyFont="1" applyBorder="1" applyAlignment="1" applyProtection="1">
      <alignment horizontal="center" vertical="center"/>
    </xf>
    <xf numFmtId="9" fontId="30" fillId="0" borderId="38" xfId="53" applyFont="1" applyBorder="1" applyAlignment="1" applyProtection="1">
      <alignment horizontal="center" vertical="center"/>
    </xf>
    <xf numFmtId="0" fontId="36" fillId="0" borderId="0" xfId="126" applyFont="1" applyAlignment="1">
      <alignment vertical="center"/>
    </xf>
    <xf numFmtId="0" fontId="34" fillId="0" borderId="0" xfId="126" applyFont="1" applyAlignment="1">
      <alignment vertical="center"/>
    </xf>
    <xf numFmtId="0" fontId="37" fillId="0" borderId="0" xfId="126" applyFont="1" applyAlignment="1">
      <alignment vertical="center"/>
    </xf>
    <xf numFmtId="9" fontId="27" fillId="0" borderId="40" xfId="53" applyFont="1" applyBorder="1" applyAlignment="1" applyProtection="1">
      <alignment horizontal="center" vertical="center"/>
    </xf>
    <xf numFmtId="0" fontId="25" fillId="34" borderId="29" xfId="8" applyFont="1" applyFill="1" applyBorder="1" applyAlignment="1">
      <alignment horizontal="center"/>
    </xf>
    <xf numFmtId="0" fontId="19" fillId="35" borderId="43" xfId="43" applyFont="1" applyFill="1" applyBorder="1" applyAlignment="1">
      <alignment horizontal="center" vertical="center"/>
    </xf>
    <xf numFmtId="0" fontId="19" fillId="35" borderId="44" xfId="43" applyFont="1" applyFill="1" applyBorder="1" applyAlignment="1">
      <alignment horizontal="center" vertical="center"/>
    </xf>
    <xf numFmtId="0" fontId="19" fillId="35" borderId="45" xfId="43" applyFont="1" applyFill="1" applyBorder="1" applyAlignment="1">
      <alignment horizontal="center" vertical="center"/>
    </xf>
    <xf numFmtId="0" fontId="19" fillId="0" borderId="46" xfId="43" applyFont="1" applyFill="1" applyBorder="1" applyAlignment="1">
      <alignment horizontal="center" vertical="center"/>
    </xf>
    <xf numFmtId="0" fontId="19" fillId="0" borderId="44" xfId="43" applyFont="1" applyFill="1" applyBorder="1" applyAlignment="1">
      <alignment horizontal="center" vertical="center"/>
    </xf>
    <xf numFmtId="0" fontId="19" fillId="0" borderId="45" xfId="43" applyFont="1" applyFill="1" applyBorder="1" applyAlignment="1">
      <alignment horizontal="center" vertical="center"/>
    </xf>
    <xf numFmtId="0" fontId="19" fillId="35" borderId="46" xfId="43" applyFont="1" applyFill="1" applyBorder="1" applyAlignment="1">
      <alignment horizontal="center" vertical="center"/>
    </xf>
    <xf numFmtId="0" fontId="19" fillId="35" borderId="47" xfId="43" applyFont="1" applyFill="1" applyBorder="1" applyAlignment="1">
      <alignment horizontal="center" vertical="center"/>
    </xf>
    <xf numFmtId="0" fontId="19" fillId="0" borderId="43" xfId="43" applyFont="1" applyFill="1" applyBorder="1" applyAlignment="1">
      <alignment horizontal="center" vertical="center"/>
    </xf>
    <xf numFmtId="0" fontId="31" fillId="34" borderId="0" xfId="52" applyFont="1" applyFill="1" applyBorder="1" applyAlignment="1">
      <alignment horizontal="center" vertical="center"/>
    </xf>
    <xf numFmtId="0" fontId="23" fillId="34" borderId="12" xfId="45" applyFill="1" applyBorder="1" applyAlignment="1" applyProtection="1">
      <alignment horizontal="center" vertical="center"/>
    </xf>
    <xf numFmtId="0" fontId="19" fillId="0" borderId="19" xfId="43" applyFont="1" applyFill="1" applyBorder="1" applyAlignment="1">
      <alignment horizontal="center" vertical="center"/>
    </xf>
    <xf numFmtId="0" fontId="19" fillId="0" borderId="17" xfId="43" applyFont="1" applyFill="1" applyBorder="1" applyAlignment="1">
      <alignment horizontal="center" vertical="center"/>
    </xf>
    <xf numFmtId="0" fontId="19" fillId="0" borderId="18" xfId="43" applyFont="1" applyFill="1" applyBorder="1" applyAlignment="1">
      <alignment horizontal="center" vertical="center"/>
    </xf>
    <xf numFmtId="9" fontId="26" fillId="0" borderId="13" xfId="53" applyFont="1" applyBorder="1" applyAlignment="1">
      <alignment horizontal="center" vertical="center"/>
    </xf>
    <xf numFmtId="9" fontId="26" fillId="0" borderId="14" xfId="53" applyFont="1" applyBorder="1" applyAlignment="1">
      <alignment horizontal="center" vertical="center"/>
    </xf>
    <xf numFmtId="9" fontId="26" fillId="0" borderId="15" xfId="53" applyFont="1" applyBorder="1" applyAlignment="1">
      <alignment horizontal="center" vertical="center"/>
    </xf>
    <xf numFmtId="0" fontId="22" fillId="34" borderId="41" xfId="43" applyFont="1" applyFill="1" applyBorder="1" applyAlignment="1">
      <alignment horizontal="center"/>
    </xf>
    <xf numFmtId="0" fontId="22" fillId="34" borderId="0" xfId="43" applyFont="1" applyFill="1" applyBorder="1" applyAlignment="1">
      <alignment horizontal="center"/>
    </xf>
    <xf numFmtId="0" fontId="22" fillId="34" borderId="13" xfId="43" applyFont="1" applyFill="1" applyBorder="1" applyAlignment="1">
      <alignment horizontal="center"/>
    </xf>
    <xf numFmtId="0" fontId="22" fillId="34" borderId="14" xfId="43" applyFont="1" applyFill="1" applyBorder="1" applyAlignment="1">
      <alignment horizontal="center"/>
    </xf>
    <xf numFmtId="0" fontId="40" fillId="34" borderId="11" xfId="8" applyFont="1" applyFill="1" applyBorder="1" applyAlignment="1">
      <alignment horizontal="center" vertical="center" wrapText="1"/>
    </xf>
    <xf numFmtId="0" fontId="40" fillId="34" borderId="12" xfId="8" applyFont="1" applyFill="1" applyBorder="1" applyAlignment="1">
      <alignment horizontal="center" vertical="center" wrapText="1"/>
    </xf>
    <xf numFmtId="0" fontId="19" fillId="35" borderId="19" xfId="43" applyFont="1" applyFill="1" applyBorder="1" applyAlignment="1">
      <alignment horizontal="center" vertical="center"/>
    </xf>
    <xf numFmtId="0" fontId="19" fillId="35" borderId="17" xfId="43" applyFont="1" applyFill="1" applyBorder="1" applyAlignment="1">
      <alignment horizontal="center" vertical="center"/>
    </xf>
    <xf numFmtId="0" fontId="19" fillId="35" borderId="18" xfId="43" applyFont="1" applyFill="1" applyBorder="1" applyAlignment="1">
      <alignment horizontal="center" vertical="center"/>
    </xf>
    <xf numFmtId="0" fontId="19" fillId="35" borderId="16" xfId="43" applyFont="1" applyFill="1" applyBorder="1" applyAlignment="1">
      <alignment horizontal="center" vertical="center"/>
    </xf>
    <xf numFmtId="0" fontId="19" fillId="0" borderId="16" xfId="43" applyFont="1" applyFill="1" applyBorder="1" applyAlignment="1">
      <alignment horizontal="center" vertical="center"/>
    </xf>
    <xf numFmtId="0" fontId="19" fillId="35" borderId="21" xfId="43" applyFont="1" applyFill="1" applyBorder="1" applyAlignment="1">
      <alignment horizontal="center" vertical="center"/>
    </xf>
    <xf numFmtId="0" fontId="22" fillId="33" borderId="25" xfId="43" applyFont="1" applyFill="1" applyBorder="1" applyAlignment="1">
      <alignment horizontal="center"/>
    </xf>
    <xf numFmtId="0" fontId="22" fillId="33" borderId="42" xfId="43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VE.MVC.retention.Sea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 TOTALS"/>
      <sheetName val="Course Totals"/>
      <sheetName val="SUBJECTS BASE"/>
      <sheetName val="import GRADED seats subject piv"/>
      <sheetName val="import graded seats course pivo"/>
      <sheetName val="import success seats"/>
      <sheetName val="import success seats course"/>
    </sheetNames>
    <sheetDataSet>
      <sheetData sheetId="0">
        <row r="1">
          <cell r="B1" t="str">
            <v xml:space="preserve">MVC Retention Rates </v>
          </cell>
        </row>
      </sheetData>
      <sheetData sheetId="1">
        <row r="4">
          <cell r="B4" t="str">
            <v>SU07</v>
          </cell>
          <cell r="C4" t="str">
            <v>FA07</v>
          </cell>
          <cell r="D4" t="str">
            <v>SP08</v>
          </cell>
          <cell r="E4" t="str">
            <v>SU08</v>
          </cell>
          <cell r="F4" t="str">
            <v>FA08</v>
          </cell>
          <cell r="G4" t="str">
            <v>SP09</v>
          </cell>
          <cell r="H4" t="str">
            <v>SU09</v>
          </cell>
          <cell r="I4" t="str">
            <v>FA09</v>
          </cell>
          <cell r="J4" t="str">
            <v>SP10</v>
          </cell>
          <cell r="K4" t="str">
            <v>SU10</v>
          </cell>
          <cell r="L4" t="str">
            <v>FA10</v>
          </cell>
          <cell r="M4" t="str">
            <v>SP11</v>
          </cell>
          <cell r="N4" t="str">
            <v>SU11</v>
          </cell>
          <cell r="O4" t="str">
            <v>FA11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</row>
      </sheetData>
      <sheetData sheetId="2">
        <row r="1">
          <cell r="G1" t="str">
            <v>ACCT</v>
          </cell>
        </row>
        <row r="2">
          <cell r="G2" t="str">
            <v>ADS</v>
          </cell>
          <cell r="H2" t="str">
            <v>Alcohol/Drug Studies</v>
          </cell>
        </row>
        <row r="3">
          <cell r="G3" t="str">
            <v>AH</v>
          </cell>
          <cell r="H3" t="str">
            <v>Allied Health</v>
          </cell>
        </row>
        <row r="4">
          <cell r="G4" t="str">
            <v>AJ</v>
          </cell>
          <cell r="H4" t="str">
            <v>Administration of Justice</v>
          </cell>
        </row>
        <row r="5">
          <cell r="G5" t="str">
            <v>ANAT</v>
          </cell>
          <cell r="H5" t="str">
            <v>Anatomy &amp; Physiology</v>
          </cell>
        </row>
        <row r="6">
          <cell r="G6" t="str">
            <v>ANTH</v>
          </cell>
          <cell r="H6" t="str">
            <v>Anthropology</v>
          </cell>
        </row>
        <row r="7">
          <cell r="G7" t="str">
            <v>ART</v>
          </cell>
          <cell r="H7" t="str">
            <v>Art</v>
          </cell>
        </row>
        <row r="8">
          <cell r="G8" t="str">
            <v>ASL</v>
          </cell>
          <cell r="H8" t="str">
            <v>American Sign Language</v>
          </cell>
        </row>
        <row r="9">
          <cell r="G9" t="str">
            <v>ASTR</v>
          </cell>
          <cell r="H9" t="str">
            <v>Astronomy</v>
          </cell>
        </row>
        <row r="10">
          <cell r="G10" t="str">
            <v>AUD</v>
          </cell>
          <cell r="H10" t="str">
            <v>Audio Technology</v>
          </cell>
        </row>
        <row r="11">
          <cell r="G11" t="str">
            <v>AUME</v>
          </cell>
          <cell r="H11" t="str">
            <v>Automotive/Transportation</v>
          </cell>
        </row>
        <row r="12">
          <cell r="G12" t="str">
            <v>BADM</v>
          </cell>
          <cell r="H12" t="str">
            <v>Business Administration</v>
          </cell>
        </row>
        <row r="13">
          <cell r="G13" t="str">
            <v>BIOL</v>
          </cell>
          <cell r="H13" t="str">
            <v>Biology</v>
          </cell>
        </row>
        <row r="14">
          <cell r="G14" t="str">
            <v>CAPP</v>
          </cell>
          <cell r="H14" t="str">
            <v>Computer Applications</v>
          </cell>
        </row>
        <row r="15">
          <cell r="G15" t="str">
            <v>CDE</v>
          </cell>
          <cell r="H15" t="str">
            <v>Childhood Development &amp; Education</v>
          </cell>
        </row>
        <row r="16">
          <cell r="G16" t="str">
            <v>CHEM</v>
          </cell>
          <cell r="H16" t="str">
            <v>Chemistry</v>
          </cell>
        </row>
        <row r="17">
          <cell r="G17" t="str">
            <v>COMM</v>
          </cell>
          <cell r="H17" t="str">
            <v>Communication</v>
          </cell>
        </row>
        <row r="18">
          <cell r="G18" t="str">
            <v>CORR</v>
          </cell>
          <cell r="H18" t="str">
            <v>Corrections</v>
          </cell>
        </row>
        <row r="19">
          <cell r="G19" t="str">
            <v>CSIS</v>
          </cell>
          <cell r="H19" t="str">
            <v>Computer Science/Informations Systems</v>
          </cell>
        </row>
        <row r="20">
          <cell r="G20" t="str">
            <v>DAN</v>
          </cell>
          <cell r="H20" t="str">
            <v>Dance</v>
          </cell>
        </row>
        <row r="21">
          <cell r="G21" t="str">
            <v>DMS</v>
          </cell>
          <cell r="H21" t="str">
            <v>Diagnostic Medical Sonography</v>
          </cell>
        </row>
        <row r="22">
          <cell r="G22" t="str">
            <v>ECON</v>
          </cell>
          <cell r="H22" t="str">
            <v>Economics</v>
          </cell>
        </row>
        <row r="23">
          <cell r="G23" t="str">
            <v>ED</v>
          </cell>
          <cell r="H23" t="str">
            <v>Education/Teacher Preparation</v>
          </cell>
        </row>
        <row r="24">
          <cell r="G24" t="str">
            <v>ENGL</v>
          </cell>
          <cell r="H24" t="str">
            <v>English</v>
          </cell>
        </row>
        <row r="25">
          <cell r="G25" t="str">
            <v>ENGR</v>
          </cell>
          <cell r="H25" t="str">
            <v>Engineering</v>
          </cell>
        </row>
        <row r="26">
          <cell r="G26" t="str">
            <v>ENVS</v>
          </cell>
          <cell r="H26" t="str">
            <v>Environment Science</v>
          </cell>
        </row>
        <row r="27">
          <cell r="G27" t="str">
            <v>ES</v>
          </cell>
          <cell r="H27" t="str">
            <v>Earth Science</v>
          </cell>
        </row>
        <row r="28">
          <cell r="G28" t="str">
            <v>ESL</v>
          </cell>
          <cell r="H28" t="str">
            <v>English as a Second Language</v>
          </cell>
        </row>
        <row r="29">
          <cell r="G29" t="str">
            <v>FIRE</v>
          </cell>
          <cell r="H29" t="str">
            <v>Fire Technology</v>
          </cell>
        </row>
        <row r="30">
          <cell r="G30" t="str">
            <v>FREN</v>
          </cell>
          <cell r="H30" t="str">
            <v>French</v>
          </cell>
        </row>
        <row r="31">
          <cell r="G31" t="str">
            <v>GEOG</v>
          </cell>
          <cell r="H31" t="str">
            <v>Geography</v>
          </cell>
        </row>
        <row r="32">
          <cell r="G32" t="str">
            <v>GEOL</v>
          </cell>
          <cell r="H32" t="str">
            <v>Geology</v>
          </cell>
        </row>
        <row r="33">
          <cell r="G33" t="str">
            <v>GER</v>
          </cell>
          <cell r="H33" t="str">
            <v>Gerontology</v>
          </cell>
        </row>
        <row r="34">
          <cell r="G34" t="str">
            <v>GUID</v>
          </cell>
          <cell r="H34" t="str">
            <v>Guidance</v>
          </cell>
        </row>
        <row r="35">
          <cell r="G35" t="str">
            <v>HEP</v>
          </cell>
          <cell r="H35" t="str">
            <v>Honors Enrichment Program</v>
          </cell>
        </row>
        <row r="36">
          <cell r="G36" t="str">
            <v>HIST</v>
          </cell>
          <cell r="H36" t="str">
            <v>History</v>
          </cell>
        </row>
        <row r="37">
          <cell r="G37" t="str">
            <v>HORT</v>
          </cell>
          <cell r="H37" t="str">
            <v>Horticulture</v>
          </cell>
        </row>
        <row r="38">
          <cell r="G38" t="str">
            <v>HS</v>
          </cell>
          <cell r="H38" t="str">
            <v>Health Science</v>
          </cell>
        </row>
        <row r="39">
          <cell r="G39" t="str">
            <v>HUM</v>
          </cell>
          <cell r="H39" t="str">
            <v>Humanities</v>
          </cell>
        </row>
        <row r="40">
          <cell r="G40" t="str">
            <v>LEAD</v>
          </cell>
          <cell r="H40" t="str">
            <v>LEAD</v>
          </cell>
        </row>
        <row r="41">
          <cell r="G41" t="str">
            <v>LEG</v>
          </cell>
          <cell r="H41" t="str">
            <v>Legal Assistant</v>
          </cell>
        </row>
        <row r="42">
          <cell r="G42" t="str">
            <v>LIB</v>
          </cell>
          <cell r="H42" t="str">
            <v>Library Science</v>
          </cell>
        </row>
        <row r="43">
          <cell r="G43" t="str">
            <v>LNSK</v>
          </cell>
          <cell r="H43" t="str">
            <v>Learning Skills</v>
          </cell>
        </row>
        <row r="44">
          <cell r="G44" t="str">
            <v>MATH</v>
          </cell>
          <cell r="H44" t="str">
            <v>Mathematics</v>
          </cell>
        </row>
        <row r="45">
          <cell r="G45" t="str">
            <v>MGT</v>
          </cell>
          <cell r="H45" t="str">
            <v>Management/Supervision</v>
          </cell>
        </row>
        <row r="46">
          <cell r="G46" t="str">
            <v>MUL</v>
          </cell>
          <cell r="H46" t="str">
            <v>Multimedia</v>
          </cell>
        </row>
        <row r="47">
          <cell r="G47" t="str">
            <v>MUS</v>
          </cell>
          <cell r="H47" t="str">
            <v>Music</v>
          </cell>
        </row>
        <row r="48">
          <cell r="G48" t="str">
            <v>NET</v>
          </cell>
          <cell r="H48" t="str">
            <v>Networking</v>
          </cell>
        </row>
        <row r="49">
          <cell r="G49" t="str">
            <v>NURS</v>
          </cell>
          <cell r="H49" t="str">
            <v>Nursing</v>
          </cell>
        </row>
        <row r="50">
          <cell r="G50" t="str">
            <v>NUTR</v>
          </cell>
          <cell r="H50" t="str">
            <v>Nutrition</v>
          </cell>
        </row>
        <row r="51">
          <cell r="G51" t="str">
            <v>OI</v>
          </cell>
          <cell r="H51" t="str">
            <v>Occupational Internship</v>
          </cell>
        </row>
        <row r="52">
          <cell r="G52" t="str">
            <v>OTEC</v>
          </cell>
          <cell r="H52" t="str">
            <v>Office Technology</v>
          </cell>
        </row>
        <row r="53">
          <cell r="G53" t="str">
            <v>PE</v>
          </cell>
          <cell r="H53" t="str">
            <v>Physical Education</v>
          </cell>
        </row>
        <row r="54">
          <cell r="G54" t="str">
            <v>PEIC</v>
          </cell>
          <cell r="H54" t="str">
            <v>PEIC</v>
          </cell>
        </row>
        <row r="55">
          <cell r="G55" t="str">
            <v>PHIL</v>
          </cell>
          <cell r="H55" t="str">
            <v>Philosophy</v>
          </cell>
        </row>
        <row r="56">
          <cell r="G56" t="str">
            <v>PHOT</v>
          </cell>
          <cell r="H56" t="str">
            <v>Photography</v>
          </cell>
        </row>
        <row r="57">
          <cell r="G57" t="str">
            <v>PHY</v>
          </cell>
          <cell r="H57" t="str">
            <v>Physics</v>
          </cell>
        </row>
        <row r="58">
          <cell r="G58" t="str">
            <v>PORT</v>
          </cell>
          <cell r="H58" t="str">
            <v>Portuguese</v>
          </cell>
        </row>
        <row r="59">
          <cell r="G59" t="str">
            <v>PS</v>
          </cell>
          <cell r="H59" t="str">
            <v>Political Science</v>
          </cell>
        </row>
        <row r="60">
          <cell r="G60" t="str">
            <v>PSYC</v>
          </cell>
          <cell r="H60" t="str">
            <v>Psychology</v>
          </cell>
        </row>
        <row r="61">
          <cell r="G61" t="str">
            <v>RE</v>
          </cell>
          <cell r="H61" t="str">
            <v>Real Estate</v>
          </cell>
        </row>
        <row r="62">
          <cell r="G62" t="str">
            <v>READ</v>
          </cell>
          <cell r="H62" t="str">
            <v>Reading</v>
          </cell>
        </row>
        <row r="63">
          <cell r="G63" t="str">
            <v>SEMA</v>
          </cell>
          <cell r="H63" t="str">
            <v>Sustainable Energy Management</v>
          </cell>
        </row>
        <row r="64">
          <cell r="G64" t="str">
            <v>SOCI</v>
          </cell>
          <cell r="H64" t="str">
            <v>Sociology</v>
          </cell>
        </row>
        <row r="65">
          <cell r="G65" t="str">
            <v>SPAN</v>
          </cell>
          <cell r="H65" t="str">
            <v>Spanish</v>
          </cell>
        </row>
        <row r="66">
          <cell r="G66" t="str">
            <v>TA</v>
          </cell>
          <cell r="H66" t="str">
            <v>Teaching Assistant</v>
          </cell>
        </row>
        <row r="67">
          <cell r="G67" t="str">
            <v>THA</v>
          </cell>
          <cell r="H67" t="str">
            <v>Theater Arts</v>
          </cell>
        </row>
        <row r="68">
          <cell r="G68" t="str">
            <v>VEW</v>
          </cell>
          <cell r="H68" t="str">
            <v>Viticulture and Enology</v>
          </cell>
        </row>
        <row r="69">
          <cell r="G69" t="str">
            <v>WATR</v>
          </cell>
          <cell r="H69" t="str">
            <v>Water Technology</v>
          </cell>
        </row>
        <row r="70">
          <cell r="G70" t="str">
            <v>Grand Total</v>
          </cell>
        </row>
      </sheetData>
      <sheetData sheetId="3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SP08</v>
          </cell>
          <cell r="H1" t="str">
            <v>SP09</v>
          </cell>
          <cell r="I1" t="str">
            <v>SP10</v>
          </cell>
          <cell r="J1" t="str">
            <v>SP11</v>
          </cell>
          <cell r="K1" t="str">
            <v>SP12</v>
          </cell>
          <cell r="L1" t="str">
            <v>SU07</v>
          </cell>
          <cell r="M1" t="str">
            <v>SU08</v>
          </cell>
          <cell r="N1" t="str">
            <v>SU09</v>
          </cell>
          <cell r="O1" t="str">
            <v>SU10</v>
          </cell>
          <cell r="P1" t="str">
            <v>SU11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 t="str">
            <v>0</v>
          </cell>
          <cell r="V1" t="str">
            <v>01</v>
          </cell>
          <cell r="W1" t="str">
            <v>02</v>
          </cell>
          <cell r="X1" t="str">
            <v>03</v>
          </cell>
          <cell r="Y1" t="str">
            <v>04</v>
          </cell>
          <cell r="Z1" t="str">
            <v>05</v>
          </cell>
          <cell r="AA1" t="str">
            <v>06</v>
          </cell>
        </row>
        <row r="2">
          <cell r="A2" t="str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 t="str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</row>
        <row r="3">
          <cell r="A3" t="str">
            <v>Sum of Count</v>
          </cell>
        </row>
        <row r="4">
          <cell r="A4" t="str">
            <v>Row Labels</v>
          </cell>
          <cell r="P4" t="str">
            <v>SU11</v>
          </cell>
        </row>
        <row r="5">
          <cell r="A5" t="str">
            <v>ACCT</v>
          </cell>
          <cell r="B5">
            <v>171</v>
          </cell>
          <cell r="C5">
            <v>198</v>
          </cell>
          <cell r="D5">
            <v>180</v>
          </cell>
          <cell r="E5">
            <v>224</v>
          </cell>
          <cell r="F5">
            <v>226</v>
          </cell>
          <cell r="G5">
            <v>149</v>
          </cell>
          <cell r="H5">
            <v>186</v>
          </cell>
          <cell r="I5">
            <v>216</v>
          </cell>
          <cell r="J5">
            <v>235</v>
          </cell>
          <cell r="K5">
            <v>221</v>
          </cell>
          <cell r="R5">
            <v>243</v>
          </cell>
          <cell r="S5">
            <v>334</v>
          </cell>
          <cell r="T5">
            <v>2583</v>
          </cell>
        </row>
        <row r="6">
          <cell r="A6" t="str">
            <v>ADS</v>
          </cell>
          <cell r="B6">
            <v>17</v>
          </cell>
          <cell r="C6">
            <v>28</v>
          </cell>
          <cell r="D6">
            <v>30</v>
          </cell>
          <cell r="E6">
            <v>32</v>
          </cell>
          <cell r="F6">
            <v>88</v>
          </cell>
          <cell r="G6">
            <v>30</v>
          </cell>
          <cell r="H6">
            <v>48</v>
          </cell>
          <cell r="I6">
            <v>51</v>
          </cell>
          <cell r="J6">
            <v>97</v>
          </cell>
          <cell r="K6">
            <v>54</v>
          </cell>
          <cell r="O6">
            <v>41</v>
          </cell>
          <cell r="R6">
            <v>32</v>
          </cell>
          <cell r="S6">
            <v>108</v>
          </cell>
          <cell r="T6">
            <v>656</v>
          </cell>
        </row>
        <row r="7">
          <cell r="A7" t="str">
            <v>AH</v>
          </cell>
          <cell r="B7">
            <v>402</v>
          </cell>
          <cell r="C7">
            <v>382</v>
          </cell>
          <cell r="D7">
            <v>377</v>
          </cell>
          <cell r="E7">
            <v>336</v>
          </cell>
          <cell r="F7">
            <v>204</v>
          </cell>
          <cell r="G7">
            <v>431</v>
          </cell>
          <cell r="H7">
            <v>392</v>
          </cell>
          <cell r="I7">
            <v>367</v>
          </cell>
          <cell r="J7">
            <v>345</v>
          </cell>
          <cell r="K7">
            <v>219</v>
          </cell>
          <cell r="L7">
            <v>72</v>
          </cell>
          <cell r="M7">
            <v>60</v>
          </cell>
          <cell r="N7">
            <v>25</v>
          </cell>
          <cell r="O7">
            <v>87</v>
          </cell>
          <cell r="Q7">
            <v>31</v>
          </cell>
          <cell r="R7">
            <v>146</v>
          </cell>
          <cell r="S7">
            <v>110</v>
          </cell>
          <cell r="T7">
            <v>3986</v>
          </cell>
        </row>
        <row r="8">
          <cell r="A8" t="str">
            <v>AJ</v>
          </cell>
          <cell r="B8">
            <v>137</v>
          </cell>
          <cell r="C8">
            <v>165</v>
          </cell>
          <cell r="D8">
            <v>201</v>
          </cell>
          <cell r="E8">
            <v>185</v>
          </cell>
          <cell r="F8">
            <v>112</v>
          </cell>
          <cell r="G8">
            <v>175</v>
          </cell>
          <cell r="H8">
            <v>187</v>
          </cell>
          <cell r="I8">
            <v>166</v>
          </cell>
          <cell r="J8">
            <v>167</v>
          </cell>
          <cell r="K8">
            <v>163</v>
          </cell>
          <cell r="L8">
            <v>36</v>
          </cell>
          <cell r="N8">
            <v>38</v>
          </cell>
          <cell r="R8">
            <v>195</v>
          </cell>
          <cell r="S8">
            <v>204</v>
          </cell>
          <cell r="T8">
            <v>2131</v>
          </cell>
        </row>
        <row r="9">
          <cell r="A9" t="str">
            <v>ANAT</v>
          </cell>
          <cell r="B9">
            <v>261</v>
          </cell>
          <cell r="C9">
            <v>280</v>
          </cell>
          <cell r="D9">
            <v>296</v>
          </cell>
          <cell r="E9">
            <v>251</v>
          </cell>
          <cell r="F9">
            <v>222</v>
          </cell>
          <cell r="G9">
            <v>298</v>
          </cell>
          <cell r="H9">
            <v>306</v>
          </cell>
          <cell r="I9">
            <v>299</v>
          </cell>
          <cell r="J9">
            <v>237</v>
          </cell>
          <cell r="K9">
            <v>244</v>
          </cell>
          <cell r="L9">
            <v>87</v>
          </cell>
          <cell r="M9">
            <v>85</v>
          </cell>
          <cell r="N9">
            <v>76</v>
          </cell>
          <cell r="O9">
            <v>62</v>
          </cell>
          <cell r="Q9">
            <v>64</v>
          </cell>
          <cell r="R9">
            <v>196</v>
          </cell>
          <cell r="S9">
            <v>193</v>
          </cell>
          <cell r="T9">
            <v>3457</v>
          </cell>
        </row>
        <row r="10">
          <cell r="A10" t="str">
            <v>ANTH</v>
          </cell>
          <cell r="B10">
            <v>309</v>
          </cell>
          <cell r="C10">
            <v>472</v>
          </cell>
          <cell r="D10">
            <v>606</v>
          </cell>
          <cell r="E10">
            <v>513</v>
          </cell>
          <cell r="F10">
            <v>463</v>
          </cell>
          <cell r="G10">
            <v>379</v>
          </cell>
          <cell r="H10">
            <v>554</v>
          </cell>
          <cell r="I10">
            <v>576</v>
          </cell>
          <cell r="J10">
            <v>508</v>
          </cell>
          <cell r="K10">
            <v>486</v>
          </cell>
          <cell r="L10">
            <v>36</v>
          </cell>
          <cell r="M10">
            <v>41</v>
          </cell>
          <cell r="N10">
            <v>39</v>
          </cell>
          <cell r="R10">
            <v>446</v>
          </cell>
          <cell r="S10">
            <v>461</v>
          </cell>
          <cell r="T10">
            <v>5889</v>
          </cell>
        </row>
        <row r="11">
          <cell r="A11" t="str">
            <v>ART</v>
          </cell>
          <cell r="B11">
            <v>703</v>
          </cell>
          <cell r="C11">
            <v>747</v>
          </cell>
          <cell r="D11">
            <v>842</v>
          </cell>
          <cell r="E11">
            <v>861</v>
          </cell>
          <cell r="F11">
            <v>811</v>
          </cell>
          <cell r="G11">
            <v>721</v>
          </cell>
          <cell r="H11">
            <v>764</v>
          </cell>
          <cell r="I11">
            <v>860</v>
          </cell>
          <cell r="J11">
            <v>870</v>
          </cell>
          <cell r="K11">
            <v>847</v>
          </cell>
          <cell r="L11">
            <v>71</v>
          </cell>
          <cell r="M11">
            <v>162</v>
          </cell>
          <cell r="O11">
            <v>18</v>
          </cell>
          <cell r="R11">
            <v>877</v>
          </cell>
          <cell r="S11">
            <v>823</v>
          </cell>
          <cell r="T11">
            <v>9977</v>
          </cell>
        </row>
        <row r="12">
          <cell r="A12" t="str">
            <v>ASL</v>
          </cell>
          <cell r="B12">
            <v>257</v>
          </cell>
          <cell r="C12">
            <v>378</v>
          </cell>
          <cell r="D12">
            <v>374</v>
          </cell>
          <cell r="E12">
            <v>325</v>
          </cell>
          <cell r="F12">
            <v>329</v>
          </cell>
          <cell r="G12">
            <v>263</v>
          </cell>
          <cell r="H12">
            <v>384</v>
          </cell>
          <cell r="I12">
            <v>395</v>
          </cell>
          <cell r="J12">
            <v>351</v>
          </cell>
          <cell r="K12">
            <v>349</v>
          </cell>
          <cell r="L12">
            <v>72</v>
          </cell>
          <cell r="M12">
            <v>76</v>
          </cell>
          <cell r="N12">
            <v>21</v>
          </cell>
          <cell r="R12">
            <v>335</v>
          </cell>
          <cell r="S12">
            <v>297</v>
          </cell>
          <cell r="T12">
            <v>4206</v>
          </cell>
        </row>
        <row r="13">
          <cell r="A13" t="str">
            <v>ASTR</v>
          </cell>
          <cell r="B13">
            <v>57</v>
          </cell>
          <cell r="C13">
            <v>62</v>
          </cell>
          <cell r="D13">
            <v>62</v>
          </cell>
          <cell r="E13">
            <v>70</v>
          </cell>
          <cell r="F13">
            <v>83</v>
          </cell>
          <cell r="G13">
            <v>78</v>
          </cell>
          <cell r="H13">
            <v>89</v>
          </cell>
          <cell r="I13">
            <v>86</v>
          </cell>
          <cell r="J13">
            <v>95</v>
          </cell>
          <cell r="K13">
            <v>104</v>
          </cell>
          <cell r="R13">
            <v>63</v>
          </cell>
          <cell r="S13">
            <v>57</v>
          </cell>
          <cell r="T13">
            <v>906</v>
          </cell>
        </row>
        <row r="14">
          <cell r="A14" t="str">
            <v>AUD</v>
          </cell>
          <cell r="D14">
            <v>12</v>
          </cell>
          <cell r="E14">
            <v>31</v>
          </cell>
          <cell r="F14">
            <v>27</v>
          </cell>
          <cell r="G14">
            <v>12</v>
          </cell>
          <cell r="H14">
            <v>8</v>
          </cell>
          <cell r="I14">
            <v>7</v>
          </cell>
          <cell r="J14">
            <v>28</v>
          </cell>
          <cell r="K14">
            <v>29</v>
          </cell>
          <cell r="L14">
            <v>2</v>
          </cell>
          <cell r="M14">
            <v>4</v>
          </cell>
          <cell r="R14">
            <v>26</v>
          </cell>
          <cell r="S14">
            <v>21</v>
          </cell>
          <cell r="T14">
            <v>207</v>
          </cell>
        </row>
        <row r="15">
          <cell r="A15" t="str">
            <v>AUME</v>
          </cell>
          <cell r="E15">
            <v>10</v>
          </cell>
          <cell r="F15">
            <v>19</v>
          </cell>
          <cell r="J15">
            <v>10</v>
          </cell>
          <cell r="T15">
            <v>39</v>
          </cell>
        </row>
        <row r="16">
          <cell r="A16" t="str">
            <v>BADM</v>
          </cell>
          <cell r="B16">
            <v>146</v>
          </cell>
          <cell r="C16">
            <v>176</v>
          </cell>
          <cell r="D16">
            <v>147</v>
          </cell>
          <cell r="E16">
            <v>149</v>
          </cell>
          <cell r="F16">
            <v>211</v>
          </cell>
          <cell r="G16">
            <v>212</v>
          </cell>
          <cell r="H16">
            <v>160</v>
          </cell>
          <cell r="I16">
            <v>243</v>
          </cell>
          <cell r="J16">
            <v>189</v>
          </cell>
          <cell r="K16">
            <v>196</v>
          </cell>
          <cell r="R16">
            <v>195</v>
          </cell>
          <cell r="S16">
            <v>228</v>
          </cell>
          <cell r="T16">
            <v>2252</v>
          </cell>
        </row>
        <row r="17">
          <cell r="A17" t="str">
            <v>BIOL</v>
          </cell>
          <cell r="B17">
            <v>448</v>
          </cell>
          <cell r="C17">
            <v>541</v>
          </cell>
          <cell r="D17">
            <v>505</v>
          </cell>
          <cell r="E17">
            <v>450</v>
          </cell>
          <cell r="F17">
            <v>395</v>
          </cell>
          <cell r="G17">
            <v>443</v>
          </cell>
          <cell r="H17">
            <v>430</v>
          </cell>
          <cell r="I17">
            <v>513</v>
          </cell>
          <cell r="J17">
            <v>446</v>
          </cell>
          <cell r="K17">
            <v>400</v>
          </cell>
          <cell r="L17">
            <v>75</v>
          </cell>
          <cell r="M17">
            <v>82</v>
          </cell>
          <cell r="N17">
            <v>62</v>
          </cell>
          <cell r="Q17">
            <v>27</v>
          </cell>
          <cell r="R17">
            <v>384</v>
          </cell>
          <cell r="S17">
            <v>322</v>
          </cell>
          <cell r="T17">
            <v>5523</v>
          </cell>
        </row>
        <row r="18">
          <cell r="A18" t="str">
            <v>CAPP</v>
          </cell>
          <cell r="B18">
            <v>171</v>
          </cell>
          <cell r="C18">
            <v>191</v>
          </cell>
          <cell r="D18">
            <v>210</v>
          </cell>
          <cell r="E18">
            <v>236</v>
          </cell>
          <cell r="F18">
            <v>168</v>
          </cell>
          <cell r="G18">
            <v>159</v>
          </cell>
          <cell r="H18">
            <v>238</v>
          </cell>
          <cell r="I18">
            <v>243</v>
          </cell>
          <cell r="J18">
            <v>182</v>
          </cell>
          <cell r="K18">
            <v>198</v>
          </cell>
          <cell r="L18">
            <v>71</v>
          </cell>
          <cell r="M18">
            <v>8</v>
          </cell>
          <cell r="N18">
            <v>10</v>
          </cell>
          <cell r="R18">
            <v>120</v>
          </cell>
          <cell r="S18">
            <v>140</v>
          </cell>
          <cell r="T18">
            <v>2345</v>
          </cell>
        </row>
        <row r="19">
          <cell r="A19" t="str">
            <v>CDE</v>
          </cell>
          <cell r="B19">
            <v>514</v>
          </cell>
          <cell r="C19">
            <v>591</v>
          </cell>
          <cell r="D19">
            <v>639</v>
          </cell>
          <cell r="E19">
            <v>383</v>
          </cell>
          <cell r="F19">
            <v>452</v>
          </cell>
          <cell r="G19">
            <v>467</v>
          </cell>
          <cell r="H19">
            <v>491</v>
          </cell>
          <cell r="I19">
            <v>501</v>
          </cell>
          <cell r="J19">
            <v>413</v>
          </cell>
          <cell r="K19">
            <v>419</v>
          </cell>
          <cell r="L19">
            <v>72</v>
          </cell>
          <cell r="M19">
            <v>64</v>
          </cell>
          <cell r="N19">
            <v>38</v>
          </cell>
          <cell r="Q19">
            <v>29</v>
          </cell>
          <cell r="R19">
            <v>449</v>
          </cell>
          <cell r="S19">
            <v>459</v>
          </cell>
          <cell r="T19">
            <v>5981</v>
          </cell>
        </row>
        <row r="20">
          <cell r="A20" t="str">
            <v>CHEM</v>
          </cell>
          <cell r="B20">
            <v>264</v>
          </cell>
          <cell r="C20">
            <v>254</v>
          </cell>
          <cell r="D20">
            <v>280</v>
          </cell>
          <cell r="E20">
            <v>269</v>
          </cell>
          <cell r="F20">
            <v>276</v>
          </cell>
          <cell r="G20">
            <v>251</v>
          </cell>
          <cell r="H20">
            <v>267</v>
          </cell>
          <cell r="I20">
            <v>294</v>
          </cell>
          <cell r="J20">
            <v>274</v>
          </cell>
          <cell r="K20">
            <v>278</v>
          </cell>
          <cell r="L20">
            <v>80</v>
          </cell>
          <cell r="M20">
            <v>48</v>
          </cell>
          <cell r="N20">
            <v>84</v>
          </cell>
          <cell r="O20">
            <v>59</v>
          </cell>
          <cell r="Q20">
            <v>52</v>
          </cell>
          <cell r="R20">
            <v>263</v>
          </cell>
          <cell r="S20">
            <v>262</v>
          </cell>
          <cell r="T20">
            <v>3555</v>
          </cell>
        </row>
        <row r="21">
          <cell r="A21" t="str">
            <v>COMM</v>
          </cell>
          <cell r="B21">
            <v>815</v>
          </cell>
          <cell r="C21">
            <v>876</v>
          </cell>
          <cell r="D21">
            <v>986</v>
          </cell>
          <cell r="E21">
            <v>956</v>
          </cell>
          <cell r="F21">
            <v>902</v>
          </cell>
          <cell r="G21">
            <v>805</v>
          </cell>
          <cell r="H21">
            <v>912</v>
          </cell>
          <cell r="I21">
            <v>994</v>
          </cell>
          <cell r="J21">
            <v>934</v>
          </cell>
          <cell r="K21">
            <v>956</v>
          </cell>
          <cell r="L21">
            <v>137</v>
          </cell>
          <cell r="M21">
            <v>154</v>
          </cell>
          <cell r="N21">
            <v>28</v>
          </cell>
          <cell r="Q21">
            <v>31</v>
          </cell>
          <cell r="R21">
            <v>826</v>
          </cell>
          <cell r="S21">
            <v>853</v>
          </cell>
          <cell r="T21">
            <v>11165</v>
          </cell>
        </row>
        <row r="22">
          <cell r="A22" t="str">
            <v>CORR</v>
          </cell>
          <cell r="B22">
            <v>26</v>
          </cell>
          <cell r="C22">
            <v>24</v>
          </cell>
          <cell r="D22">
            <v>38</v>
          </cell>
          <cell r="F22">
            <v>37</v>
          </cell>
          <cell r="G22">
            <v>20</v>
          </cell>
          <cell r="H22">
            <v>37</v>
          </cell>
          <cell r="I22">
            <v>41</v>
          </cell>
          <cell r="J22">
            <v>36</v>
          </cell>
          <cell r="R22">
            <v>39</v>
          </cell>
          <cell r="S22">
            <v>34</v>
          </cell>
          <cell r="T22">
            <v>332</v>
          </cell>
        </row>
        <row r="23">
          <cell r="A23" t="str">
            <v>CSIS</v>
          </cell>
          <cell r="B23">
            <v>347</v>
          </cell>
          <cell r="C23">
            <v>478</v>
          </cell>
          <cell r="D23">
            <v>417</v>
          </cell>
          <cell r="E23">
            <v>347</v>
          </cell>
          <cell r="F23">
            <v>336</v>
          </cell>
          <cell r="G23">
            <v>376</v>
          </cell>
          <cell r="H23">
            <v>400</v>
          </cell>
          <cell r="I23">
            <v>460</v>
          </cell>
          <cell r="J23">
            <v>394</v>
          </cell>
          <cell r="K23">
            <v>329</v>
          </cell>
          <cell r="L23">
            <v>74</v>
          </cell>
          <cell r="M23">
            <v>80</v>
          </cell>
          <cell r="O23">
            <v>28</v>
          </cell>
          <cell r="R23">
            <v>354</v>
          </cell>
          <cell r="S23">
            <v>325</v>
          </cell>
          <cell r="T23">
            <v>4745</v>
          </cell>
        </row>
        <row r="24">
          <cell r="A24" t="str">
            <v>DAN</v>
          </cell>
          <cell r="B24">
            <v>222</v>
          </cell>
          <cell r="C24">
            <v>312</v>
          </cell>
          <cell r="D24">
            <v>304</v>
          </cell>
          <cell r="E24">
            <v>275</v>
          </cell>
          <cell r="F24">
            <v>228</v>
          </cell>
          <cell r="G24">
            <v>203</v>
          </cell>
          <cell r="H24">
            <v>309</v>
          </cell>
          <cell r="I24">
            <v>316</v>
          </cell>
          <cell r="J24">
            <v>228</v>
          </cell>
          <cell r="K24">
            <v>209</v>
          </cell>
          <cell r="L24">
            <v>45</v>
          </cell>
          <cell r="M24">
            <v>58</v>
          </cell>
          <cell r="R24">
            <v>227</v>
          </cell>
          <cell r="S24">
            <v>194</v>
          </cell>
          <cell r="T24">
            <v>3130</v>
          </cell>
        </row>
        <row r="25">
          <cell r="A25" t="str">
            <v>DMS</v>
          </cell>
          <cell r="B25">
            <v>22</v>
          </cell>
          <cell r="C25">
            <v>76</v>
          </cell>
          <cell r="D25">
            <v>82</v>
          </cell>
          <cell r="E25">
            <v>84</v>
          </cell>
          <cell r="F25">
            <v>35</v>
          </cell>
          <cell r="G25">
            <v>47</v>
          </cell>
          <cell r="H25">
            <v>75</v>
          </cell>
          <cell r="I25">
            <v>77</v>
          </cell>
          <cell r="J25">
            <v>73</v>
          </cell>
          <cell r="K25">
            <v>26</v>
          </cell>
          <cell r="L25">
            <v>4</v>
          </cell>
          <cell r="M25">
            <v>19</v>
          </cell>
          <cell r="N25">
            <v>10</v>
          </cell>
          <cell r="O25">
            <v>13</v>
          </cell>
          <cell r="P25" t="str">
            <v>9</v>
          </cell>
          <cell r="R25">
            <v>35</v>
          </cell>
          <cell r="S25">
            <v>42</v>
          </cell>
          <cell r="T25">
            <v>729</v>
          </cell>
        </row>
        <row r="26">
          <cell r="A26" t="str">
            <v>ECON</v>
          </cell>
          <cell r="B26">
            <v>300</v>
          </cell>
          <cell r="C26">
            <v>331</v>
          </cell>
          <cell r="D26">
            <v>347</v>
          </cell>
          <cell r="E26">
            <v>238</v>
          </cell>
          <cell r="F26">
            <v>232</v>
          </cell>
          <cell r="G26">
            <v>322</v>
          </cell>
          <cell r="H26">
            <v>339</v>
          </cell>
          <cell r="I26">
            <v>326</v>
          </cell>
          <cell r="J26">
            <v>188</v>
          </cell>
          <cell r="K26">
            <v>254</v>
          </cell>
          <cell r="L26">
            <v>76</v>
          </cell>
          <cell r="M26">
            <v>79</v>
          </cell>
          <cell r="O26">
            <v>41</v>
          </cell>
          <cell r="R26">
            <v>283</v>
          </cell>
          <cell r="S26">
            <v>258</v>
          </cell>
          <cell r="T26">
            <v>3614</v>
          </cell>
        </row>
        <row r="27">
          <cell r="A27" t="str">
            <v>ED</v>
          </cell>
          <cell r="B27">
            <v>17</v>
          </cell>
          <cell r="C27">
            <v>11</v>
          </cell>
          <cell r="G27">
            <v>28</v>
          </cell>
          <cell r="H27">
            <v>37</v>
          </cell>
          <cell r="I27">
            <v>14</v>
          </cell>
          <cell r="J27">
            <v>6</v>
          </cell>
          <cell r="S27">
            <v>4</v>
          </cell>
          <cell r="T27">
            <v>117</v>
          </cell>
        </row>
        <row r="28">
          <cell r="A28" t="str">
            <v>ENGL</v>
          </cell>
          <cell r="B28">
            <v>2247</v>
          </cell>
          <cell r="C28">
            <v>2368</v>
          </cell>
          <cell r="D28">
            <v>2209</v>
          </cell>
          <cell r="E28">
            <v>2063</v>
          </cell>
          <cell r="F28">
            <v>1863</v>
          </cell>
          <cell r="G28">
            <v>2176</v>
          </cell>
          <cell r="H28">
            <v>2308</v>
          </cell>
          <cell r="I28">
            <v>2179</v>
          </cell>
          <cell r="J28">
            <v>2065</v>
          </cell>
          <cell r="K28">
            <v>1994</v>
          </cell>
          <cell r="L28">
            <v>463</v>
          </cell>
          <cell r="M28">
            <v>541</v>
          </cell>
          <cell r="N28">
            <v>263</v>
          </cell>
          <cell r="O28">
            <v>23</v>
          </cell>
          <cell r="Q28">
            <v>102</v>
          </cell>
          <cell r="R28">
            <v>1658</v>
          </cell>
          <cell r="S28">
            <v>1870</v>
          </cell>
          <cell r="T28">
            <v>26392</v>
          </cell>
        </row>
        <row r="29">
          <cell r="A29" t="str">
            <v>ENGR</v>
          </cell>
          <cell r="F29">
            <v>1</v>
          </cell>
          <cell r="K29">
            <v>6</v>
          </cell>
          <cell r="R29">
            <v>38</v>
          </cell>
          <cell r="S29">
            <v>15</v>
          </cell>
          <cell r="T29">
            <v>60</v>
          </cell>
        </row>
        <row r="30">
          <cell r="A30" t="str">
            <v>ENVS</v>
          </cell>
          <cell r="B30">
            <v>202</v>
          </cell>
          <cell r="C30">
            <v>268</v>
          </cell>
          <cell r="D30">
            <v>264</v>
          </cell>
          <cell r="E30">
            <v>232</v>
          </cell>
          <cell r="F30">
            <v>211</v>
          </cell>
          <cell r="G30">
            <v>207</v>
          </cell>
          <cell r="H30">
            <v>253</v>
          </cell>
          <cell r="I30">
            <v>247</v>
          </cell>
          <cell r="J30">
            <v>220</v>
          </cell>
          <cell r="K30">
            <v>243</v>
          </cell>
          <cell r="L30">
            <v>18</v>
          </cell>
          <cell r="M30">
            <v>22</v>
          </cell>
          <cell r="N30">
            <v>27</v>
          </cell>
          <cell r="R30">
            <v>197</v>
          </cell>
          <cell r="S30">
            <v>183</v>
          </cell>
          <cell r="T30">
            <v>2794</v>
          </cell>
        </row>
        <row r="31">
          <cell r="A31" t="str">
            <v>ESL</v>
          </cell>
          <cell r="D31">
            <v>143</v>
          </cell>
          <cell r="E31">
            <v>160</v>
          </cell>
          <cell r="F31">
            <v>189</v>
          </cell>
          <cell r="H31">
            <v>67</v>
          </cell>
          <cell r="I31">
            <v>158</v>
          </cell>
          <cell r="J31">
            <v>199</v>
          </cell>
          <cell r="K31">
            <v>188</v>
          </cell>
          <cell r="N31">
            <v>24</v>
          </cell>
          <cell r="R31">
            <v>189</v>
          </cell>
          <cell r="S31">
            <v>122</v>
          </cell>
          <cell r="T31">
            <v>1439</v>
          </cell>
        </row>
        <row r="32">
          <cell r="A32" t="str">
            <v>FIRE</v>
          </cell>
          <cell r="B32">
            <v>129</v>
          </cell>
          <cell r="C32">
            <v>181</v>
          </cell>
          <cell r="D32">
            <v>218</v>
          </cell>
          <cell r="E32">
            <v>173</v>
          </cell>
          <cell r="F32">
            <v>137</v>
          </cell>
          <cell r="G32">
            <v>114</v>
          </cell>
          <cell r="H32">
            <v>134</v>
          </cell>
          <cell r="I32">
            <v>132</v>
          </cell>
          <cell r="J32">
            <v>167</v>
          </cell>
          <cell r="K32">
            <v>134</v>
          </cell>
          <cell r="L32">
            <v>19</v>
          </cell>
          <cell r="M32">
            <v>37</v>
          </cell>
          <cell r="R32">
            <v>134</v>
          </cell>
          <cell r="S32">
            <v>182</v>
          </cell>
          <cell r="T32">
            <v>1891</v>
          </cell>
        </row>
        <row r="33">
          <cell r="A33" t="str">
            <v>FREN</v>
          </cell>
          <cell r="B33">
            <v>97</v>
          </cell>
          <cell r="C33">
            <v>113</v>
          </cell>
          <cell r="D33">
            <v>121</v>
          </cell>
          <cell r="E33">
            <v>143</v>
          </cell>
          <cell r="F33">
            <v>137</v>
          </cell>
          <cell r="G33">
            <v>69</v>
          </cell>
          <cell r="H33">
            <v>51</v>
          </cell>
          <cell r="I33">
            <v>78</v>
          </cell>
          <cell r="J33">
            <v>131</v>
          </cell>
          <cell r="K33">
            <v>119</v>
          </cell>
          <cell r="L33">
            <v>6</v>
          </cell>
          <cell r="M33">
            <v>13</v>
          </cell>
          <cell r="R33">
            <v>139</v>
          </cell>
          <cell r="S33">
            <v>144</v>
          </cell>
          <cell r="T33">
            <v>1361</v>
          </cell>
        </row>
        <row r="34">
          <cell r="A34" t="str">
            <v>GEOG</v>
          </cell>
          <cell r="B34">
            <v>225</v>
          </cell>
          <cell r="C34">
            <v>195</v>
          </cell>
          <cell r="D34">
            <v>265</v>
          </cell>
          <cell r="E34">
            <v>215</v>
          </cell>
          <cell r="F34">
            <v>241</v>
          </cell>
          <cell r="G34">
            <v>150</v>
          </cell>
          <cell r="H34">
            <v>243</v>
          </cell>
          <cell r="I34">
            <v>226</v>
          </cell>
          <cell r="J34">
            <v>211</v>
          </cell>
          <cell r="K34">
            <v>248</v>
          </cell>
          <cell r="L34">
            <v>19</v>
          </cell>
          <cell r="M34">
            <v>5</v>
          </cell>
          <cell r="N34">
            <v>3</v>
          </cell>
          <cell r="R34">
            <v>165</v>
          </cell>
          <cell r="S34">
            <v>117</v>
          </cell>
          <cell r="T34">
            <v>2528</v>
          </cell>
        </row>
        <row r="35">
          <cell r="A35" t="str">
            <v>GEOL</v>
          </cell>
          <cell r="B35">
            <v>71</v>
          </cell>
          <cell r="C35">
            <v>103</v>
          </cell>
          <cell r="D35">
            <v>129</v>
          </cell>
          <cell r="E35">
            <v>111</v>
          </cell>
          <cell r="F35">
            <v>125</v>
          </cell>
          <cell r="G35">
            <v>66</v>
          </cell>
          <cell r="H35">
            <v>106</v>
          </cell>
          <cell r="I35">
            <v>118</v>
          </cell>
          <cell r="J35">
            <v>101</v>
          </cell>
          <cell r="K35">
            <v>96</v>
          </cell>
          <cell r="R35">
            <v>124</v>
          </cell>
          <cell r="S35">
            <v>121</v>
          </cell>
          <cell r="T35">
            <v>1271</v>
          </cell>
        </row>
        <row r="36">
          <cell r="A36" t="str">
            <v>GER</v>
          </cell>
          <cell r="C36">
            <v>1</v>
          </cell>
          <cell r="T36">
            <v>1</v>
          </cell>
        </row>
        <row r="37">
          <cell r="A37" t="str">
            <v>GUID</v>
          </cell>
          <cell r="B37">
            <v>266</v>
          </cell>
          <cell r="C37">
            <v>243</v>
          </cell>
          <cell r="D37">
            <v>274</v>
          </cell>
          <cell r="E37">
            <v>198</v>
          </cell>
          <cell r="F37">
            <v>178</v>
          </cell>
          <cell r="G37">
            <v>186</v>
          </cell>
          <cell r="H37">
            <v>244</v>
          </cell>
          <cell r="I37">
            <v>232</v>
          </cell>
          <cell r="J37">
            <v>188</v>
          </cell>
          <cell r="K37">
            <v>230</v>
          </cell>
          <cell r="L37">
            <v>43</v>
          </cell>
          <cell r="M37">
            <v>56</v>
          </cell>
          <cell r="N37">
            <v>24</v>
          </cell>
          <cell r="O37">
            <v>21</v>
          </cell>
          <cell r="Q37">
            <v>13</v>
          </cell>
          <cell r="R37">
            <v>208</v>
          </cell>
          <cell r="S37">
            <v>239</v>
          </cell>
          <cell r="T37">
            <v>2843</v>
          </cell>
        </row>
        <row r="38">
          <cell r="A38" t="str">
            <v>HEP</v>
          </cell>
          <cell r="B38">
            <v>13</v>
          </cell>
          <cell r="C38">
            <v>23</v>
          </cell>
          <cell r="D38">
            <v>25</v>
          </cell>
          <cell r="E38">
            <v>22</v>
          </cell>
          <cell r="F38">
            <v>18</v>
          </cell>
          <cell r="G38">
            <v>19</v>
          </cell>
          <cell r="H38">
            <v>17</v>
          </cell>
          <cell r="I38">
            <v>16</v>
          </cell>
          <cell r="J38">
            <v>31</v>
          </cell>
          <cell r="K38">
            <v>33</v>
          </cell>
          <cell r="R38">
            <v>16</v>
          </cell>
          <cell r="S38">
            <v>15</v>
          </cell>
          <cell r="T38">
            <v>248</v>
          </cell>
        </row>
        <row r="39">
          <cell r="A39" t="str">
            <v>HIST</v>
          </cell>
          <cell r="B39">
            <v>1070</v>
          </cell>
          <cell r="C39">
            <v>1143</v>
          </cell>
          <cell r="D39">
            <v>1285</v>
          </cell>
          <cell r="E39">
            <v>956</v>
          </cell>
          <cell r="F39">
            <v>850</v>
          </cell>
          <cell r="G39">
            <v>925</v>
          </cell>
          <cell r="H39">
            <v>1115</v>
          </cell>
          <cell r="I39">
            <v>1179</v>
          </cell>
          <cell r="J39">
            <v>1035</v>
          </cell>
          <cell r="K39">
            <v>1005</v>
          </cell>
          <cell r="L39">
            <v>124</v>
          </cell>
          <cell r="M39">
            <v>174</v>
          </cell>
          <cell r="N39">
            <v>88</v>
          </cell>
          <cell r="O39">
            <v>93</v>
          </cell>
          <cell r="Q39">
            <v>45</v>
          </cell>
          <cell r="R39">
            <v>742</v>
          </cell>
          <cell r="S39">
            <v>795</v>
          </cell>
          <cell r="T39">
            <v>12624</v>
          </cell>
        </row>
        <row r="40">
          <cell r="A40" t="str">
            <v>HORT</v>
          </cell>
          <cell r="B40">
            <v>22</v>
          </cell>
          <cell r="C40">
            <v>58</v>
          </cell>
          <cell r="D40">
            <v>92</v>
          </cell>
          <cell r="E40">
            <v>56</v>
          </cell>
          <cell r="F40">
            <v>74</v>
          </cell>
          <cell r="G40">
            <v>20</v>
          </cell>
          <cell r="H40">
            <v>44</v>
          </cell>
          <cell r="I40">
            <v>79</v>
          </cell>
          <cell r="J40">
            <v>117</v>
          </cell>
          <cell r="K40">
            <v>100</v>
          </cell>
          <cell r="R40">
            <v>69</v>
          </cell>
          <cell r="S40">
            <v>47</v>
          </cell>
          <cell r="T40">
            <v>778</v>
          </cell>
        </row>
        <row r="41">
          <cell r="A41" t="str">
            <v>HS</v>
          </cell>
          <cell r="B41">
            <v>297</v>
          </cell>
          <cell r="C41">
            <v>184</v>
          </cell>
          <cell r="D41">
            <v>264</v>
          </cell>
          <cell r="E41">
            <v>121</v>
          </cell>
          <cell r="F41">
            <v>150</v>
          </cell>
          <cell r="G41">
            <v>224</v>
          </cell>
          <cell r="H41">
            <v>184</v>
          </cell>
          <cell r="I41">
            <v>130</v>
          </cell>
          <cell r="J41">
            <v>120</v>
          </cell>
          <cell r="K41">
            <v>120</v>
          </cell>
          <cell r="L41">
            <v>25</v>
          </cell>
          <cell r="M41">
            <v>31</v>
          </cell>
          <cell r="R41">
            <v>135</v>
          </cell>
          <cell r="S41">
            <v>158</v>
          </cell>
          <cell r="T41">
            <v>2143</v>
          </cell>
        </row>
        <row r="42">
          <cell r="A42" t="str">
            <v>HUM</v>
          </cell>
          <cell r="B42">
            <v>37</v>
          </cell>
          <cell r="C42">
            <v>35</v>
          </cell>
          <cell r="D42">
            <v>28</v>
          </cell>
          <cell r="E42">
            <v>39</v>
          </cell>
          <cell r="F42">
            <v>36</v>
          </cell>
          <cell r="G42">
            <v>46</v>
          </cell>
          <cell r="H42">
            <v>55</v>
          </cell>
          <cell r="I42">
            <v>55</v>
          </cell>
          <cell r="J42">
            <v>58</v>
          </cell>
          <cell r="K42">
            <v>27</v>
          </cell>
          <cell r="R42">
            <v>35</v>
          </cell>
          <cell r="S42">
            <v>26</v>
          </cell>
          <cell r="T42">
            <v>477</v>
          </cell>
        </row>
        <row r="43">
          <cell r="A43" t="str">
            <v>LEAD</v>
          </cell>
          <cell r="F43">
            <v>26</v>
          </cell>
          <cell r="K43">
            <v>25</v>
          </cell>
          <cell r="S43">
            <v>8</v>
          </cell>
          <cell r="T43">
            <v>59</v>
          </cell>
        </row>
        <row r="44">
          <cell r="A44" t="str">
            <v>LEG</v>
          </cell>
          <cell r="B44">
            <v>29</v>
          </cell>
          <cell r="C44">
            <v>31</v>
          </cell>
          <cell r="D44">
            <v>37</v>
          </cell>
          <cell r="E44">
            <v>40</v>
          </cell>
          <cell r="F44">
            <v>45</v>
          </cell>
          <cell r="G44">
            <v>28</v>
          </cell>
          <cell r="H44">
            <v>31</v>
          </cell>
          <cell r="I44">
            <v>43</v>
          </cell>
          <cell r="J44">
            <v>39</v>
          </cell>
          <cell r="K44">
            <v>47</v>
          </cell>
          <cell r="R44">
            <v>40</v>
          </cell>
          <cell r="S44">
            <v>37</v>
          </cell>
          <cell r="T44">
            <v>447</v>
          </cell>
        </row>
        <row r="45">
          <cell r="A45" t="str">
            <v>LIB</v>
          </cell>
          <cell r="B45">
            <v>17</v>
          </cell>
          <cell r="C45">
            <v>25</v>
          </cell>
          <cell r="D45">
            <v>27</v>
          </cell>
          <cell r="G45">
            <v>14</v>
          </cell>
          <cell r="H45">
            <v>18</v>
          </cell>
          <cell r="T45">
            <v>101</v>
          </cell>
        </row>
        <row r="46">
          <cell r="A46" t="str">
            <v>LNSK</v>
          </cell>
          <cell r="B46">
            <v>54</v>
          </cell>
          <cell r="C46">
            <v>75</v>
          </cell>
          <cell r="D46">
            <v>92</v>
          </cell>
          <cell r="E46">
            <v>95</v>
          </cell>
          <cell r="F46">
            <v>98</v>
          </cell>
          <cell r="G46">
            <v>67</v>
          </cell>
          <cell r="H46">
            <v>86</v>
          </cell>
          <cell r="I46">
            <v>97</v>
          </cell>
          <cell r="J46">
            <v>87</v>
          </cell>
          <cell r="K46">
            <v>86</v>
          </cell>
          <cell r="L46">
            <v>8</v>
          </cell>
          <cell r="M46">
            <v>11</v>
          </cell>
          <cell r="R46">
            <v>91</v>
          </cell>
          <cell r="S46">
            <v>85</v>
          </cell>
          <cell r="T46">
            <v>1032</v>
          </cell>
        </row>
        <row r="47">
          <cell r="A47" t="str">
            <v>MATH</v>
          </cell>
          <cell r="B47">
            <v>2839</v>
          </cell>
          <cell r="C47">
            <v>2819</v>
          </cell>
          <cell r="D47">
            <v>2929</v>
          </cell>
          <cell r="E47">
            <v>2591</v>
          </cell>
          <cell r="F47">
            <v>2200</v>
          </cell>
          <cell r="G47">
            <v>2645</v>
          </cell>
          <cell r="H47">
            <v>2666</v>
          </cell>
          <cell r="I47">
            <v>2614</v>
          </cell>
          <cell r="J47">
            <v>2348</v>
          </cell>
          <cell r="K47">
            <v>2586</v>
          </cell>
          <cell r="L47">
            <v>592</v>
          </cell>
          <cell r="M47">
            <v>650</v>
          </cell>
          <cell r="N47">
            <v>605</v>
          </cell>
          <cell r="O47">
            <v>185</v>
          </cell>
          <cell r="Q47">
            <v>124</v>
          </cell>
          <cell r="R47">
            <v>2003</v>
          </cell>
          <cell r="S47">
            <v>2566</v>
          </cell>
          <cell r="T47">
            <v>32962</v>
          </cell>
        </row>
        <row r="48">
          <cell r="A48" t="str">
            <v>MGT</v>
          </cell>
          <cell r="B48">
            <v>56</v>
          </cell>
          <cell r="C48">
            <v>87</v>
          </cell>
          <cell r="D48">
            <v>95</v>
          </cell>
          <cell r="E48">
            <v>125</v>
          </cell>
          <cell r="F48">
            <v>121</v>
          </cell>
          <cell r="G48">
            <v>51</v>
          </cell>
          <cell r="H48">
            <v>96</v>
          </cell>
          <cell r="I48">
            <v>100</v>
          </cell>
          <cell r="J48">
            <v>92</v>
          </cell>
          <cell r="K48">
            <v>122</v>
          </cell>
          <cell r="R48">
            <v>114</v>
          </cell>
          <cell r="S48">
            <v>42</v>
          </cell>
          <cell r="T48">
            <v>1101</v>
          </cell>
        </row>
        <row r="49">
          <cell r="A49" t="str">
            <v>MUL</v>
          </cell>
          <cell r="B49">
            <v>242</v>
          </cell>
          <cell r="C49">
            <v>406</v>
          </cell>
          <cell r="D49">
            <v>394</v>
          </cell>
          <cell r="E49">
            <v>426</v>
          </cell>
          <cell r="F49">
            <v>347</v>
          </cell>
          <cell r="G49">
            <v>353</v>
          </cell>
          <cell r="H49">
            <v>376</v>
          </cell>
          <cell r="I49">
            <v>437</v>
          </cell>
          <cell r="J49">
            <v>433</v>
          </cell>
          <cell r="K49">
            <v>305</v>
          </cell>
          <cell r="L49">
            <v>16</v>
          </cell>
          <cell r="M49">
            <v>67</v>
          </cell>
          <cell r="Q49">
            <v>9</v>
          </cell>
          <cell r="R49">
            <v>364</v>
          </cell>
          <cell r="S49">
            <v>335</v>
          </cell>
          <cell r="T49">
            <v>4510</v>
          </cell>
        </row>
        <row r="50">
          <cell r="A50" t="str">
            <v>MUS</v>
          </cell>
          <cell r="B50">
            <v>539</v>
          </cell>
          <cell r="C50">
            <v>646</v>
          </cell>
          <cell r="D50">
            <v>886</v>
          </cell>
          <cell r="E50">
            <v>750</v>
          </cell>
          <cell r="F50">
            <v>744</v>
          </cell>
          <cell r="G50">
            <v>521</v>
          </cell>
          <cell r="H50">
            <v>757</v>
          </cell>
          <cell r="I50">
            <v>763</v>
          </cell>
          <cell r="J50">
            <v>784</v>
          </cell>
          <cell r="K50">
            <v>789</v>
          </cell>
          <cell r="L50">
            <v>56</v>
          </cell>
          <cell r="M50">
            <v>97</v>
          </cell>
          <cell r="R50">
            <v>736</v>
          </cell>
          <cell r="S50">
            <v>655</v>
          </cell>
          <cell r="T50">
            <v>8723</v>
          </cell>
        </row>
        <row r="51">
          <cell r="A51" t="str">
            <v>NET</v>
          </cell>
          <cell r="B51">
            <v>23</v>
          </cell>
          <cell r="C51">
            <v>72</v>
          </cell>
          <cell r="D51">
            <v>33</v>
          </cell>
          <cell r="E51">
            <v>37</v>
          </cell>
          <cell r="F51">
            <v>18</v>
          </cell>
          <cell r="G51">
            <v>38</v>
          </cell>
          <cell r="H51">
            <v>39</v>
          </cell>
          <cell r="I51">
            <v>12</v>
          </cell>
          <cell r="J51">
            <v>32</v>
          </cell>
          <cell r="K51">
            <v>22</v>
          </cell>
          <cell r="T51">
            <v>326</v>
          </cell>
        </row>
        <row r="52">
          <cell r="A52" t="str">
            <v>NURS</v>
          </cell>
          <cell r="B52">
            <v>786</v>
          </cell>
          <cell r="C52">
            <v>805</v>
          </cell>
          <cell r="D52">
            <v>1038</v>
          </cell>
          <cell r="E52">
            <v>813</v>
          </cell>
          <cell r="F52">
            <v>578</v>
          </cell>
          <cell r="G52">
            <v>929</v>
          </cell>
          <cell r="H52">
            <v>957</v>
          </cell>
          <cell r="I52">
            <v>903</v>
          </cell>
          <cell r="J52">
            <v>848</v>
          </cell>
          <cell r="K52">
            <v>549</v>
          </cell>
          <cell r="L52">
            <v>55</v>
          </cell>
          <cell r="M52">
            <v>70</v>
          </cell>
          <cell r="N52">
            <v>53</v>
          </cell>
          <cell r="O52">
            <v>28</v>
          </cell>
          <cell r="R52">
            <v>430</v>
          </cell>
          <cell r="S52">
            <v>425</v>
          </cell>
          <cell r="T52">
            <v>9267</v>
          </cell>
        </row>
        <row r="53">
          <cell r="A53" t="str">
            <v>NUTR</v>
          </cell>
          <cell r="B53">
            <v>188</v>
          </cell>
          <cell r="C53">
            <v>168</v>
          </cell>
          <cell r="D53">
            <v>127</v>
          </cell>
          <cell r="E53">
            <v>119</v>
          </cell>
          <cell r="F53">
            <v>126</v>
          </cell>
          <cell r="G53">
            <v>158</v>
          </cell>
          <cell r="H53">
            <v>113</v>
          </cell>
          <cell r="I53">
            <v>136</v>
          </cell>
          <cell r="J53">
            <v>80</v>
          </cell>
          <cell r="K53">
            <v>83</v>
          </cell>
          <cell r="L53">
            <v>40</v>
          </cell>
          <cell r="M53">
            <v>31</v>
          </cell>
          <cell r="R53">
            <v>103</v>
          </cell>
          <cell r="S53">
            <v>108</v>
          </cell>
          <cell r="T53">
            <v>1580</v>
          </cell>
        </row>
        <row r="54">
          <cell r="A54" t="str">
            <v>OI</v>
          </cell>
          <cell r="B54">
            <v>8</v>
          </cell>
          <cell r="C54">
            <v>2</v>
          </cell>
          <cell r="G54">
            <v>12</v>
          </cell>
          <cell r="H54">
            <v>13</v>
          </cell>
          <cell r="K54">
            <v>2</v>
          </cell>
          <cell r="S54">
            <v>1</v>
          </cell>
          <cell r="T54">
            <v>38</v>
          </cell>
        </row>
        <row r="55">
          <cell r="A55" t="str">
            <v>OTEC</v>
          </cell>
          <cell r="B55">
            <v>49</v>
          </cell>
          <cell r="C55">
            <v>73</v>
          </cell>
          <cell r="D55">
            <v>58</v>
          </cell>
          <cell r="E55">
            <v>57</v>
          </cell>
          <cell r="F55">
            <v>83</v>
          </cell>
          <cell r="G55">
            <v>70</v>
          </cell>
          <cell r="H55">
            <v>58</v>
          </cell>
          <cell r="I55">
            <v>74</v>
          </cell>
          <cell r="J55">
            <v>55</v>
          </cell>
          <cell r="K55">
            <v>78</v>
          </cell>
          <cell r="L55">
            <v>15</v>
          </cell>
          <cell r="R55">
            <v>53</v>
          </cell>
          <cell r="S55">
            <v>56</v>
          </cell>
          <cell r="T55">
            <v>779</v>
          </cell>
        </row>
        <row r="56">
          <cell r="A56" t="str">
            <v>PE</v>
          </cell>
          <cell r="B56">
            <v>387</v>
          </cell>
          <cell r="C56">
            <v>469</v>
          </cell>
          <cell r="D56">
            <v>543</v>
          </cell>
          <cell r="E56">
            <v>537</v>
          </cell>
          <cell r="F56">
            <v>359</v>
          </cell>
          <cell r="G56">
            <v>371</v>
          </cell>
          <cell r="H56">
            <v>525</v>
          </cell>
          <cell r="I56">
            <v>576</v>
          </cell>
          <cell r="J56">
            <v>489</v>
          </cell>
          <cell r="K56">
            <v>489</v>
          </cell>
          <cell r="L56">
            <v>54</v>
          </cell>
          <cell r="M56">
            <v>60</v>
          </cell>
          <cell r="N56">
            <v>31</v>
          </cell>
          <cell r="O56">
            <v>55</v>
          </cell>
          <cell r="R56">
            <v>448</v>
          </cell>
          <cell r="T56">
            <v>5393</v>
          </cell>
        </row>
        <row r="57">
          <cell r="A57" t="str">
            <v>PEIC</v>
          </cell>
          <cell r="F57">
            <v>17</v>
          </cell>
          <cell r="K57">
            <v>24</v>
          </cell>
          <cell r="P57" t="str">
            <v>28</v>
          </cell>
          <cell r="Q57">
            <v>32</v>
          </cell>
          <cell r="R57">
            <v>13</v>
          </cell>
          <cell r="T57">
            <v>114</v>
          </cell>
        </row>
        <row r="58">
          <cell r="A58" t="str">
            <v>PHIL</v>
          </cell>
          <cell r="B58">
            <v>385</v>
          </cell>
          <cell r="C58">
            <v>411</v>
          </cell>
          <cell r="D58">
            <v>355</v>
          </cell>
          <cell r="E58">
            <v>213</v>
          </cell>
          <cell r="F58">
            <v>211</v>
          </cell>
          <cell r="G58">
            <v>372</v>
          </cell>
          <cell r="H58">
            <v>449</v>
          </cell>
          <cell r="I58">
            <v>229</v>
          </cell>
          <cell r="J58">
            <v>235</v>
          </cell>
          <cell r="K58">
            <v>258</v>
          </cell>
          <cell r="L58">
            <v>53</v>
          </cell>
          <cell r="M58">
            <v>69</v>
          </cell>
          <cell r="R58">
            <v>214</v>
          </cell>
          <cell r="S58">
            <v>235</v>
          </cell>
          <cell r="T58">
            <v>3689</v>
          </cell>
        </row>
        <row r="59">
          <cell r="A59" t="str">
            <v>PHOT</v>
          </cell>
          <cell r="B59">
            <v>101</v>
          </cell>
          <cell r="C59">
            <v>162</v>
          </cell>
          <cell r="D59">
            <v>183</v>
          </cell>
          <cell r="E59">
            <v>248</v>
          </cell>
          <cell r="F59">
            <v>311</v>
          </cell>
          <cell r="G59">
            <v>136</v>
          </cell>
          <cell r="H59">
            <v>209</v>
          </cell>
          <cell r="I59">
            <v>216</v>
          </cell>
          <cell r="J59">
            <v>236</v>
          </cell>
          <cell r="K59">
            <v>302</v>
          </cell>
          <cell r="R59">
            <v>287</v>
          </cell>
          <cell r="S59">
            <v>285</v>
          </cell>
          <cell r="T59">
            <v>2676</v>
          </cell>
        </row>
        <row r="60">
          <cell r="A60" t="str">
            <v>PHY</v>
          </cell>
          <cell r="B60">
            <v>120</v>
          </cell>
          <cell r="C60">
            <v>170</v>
          </cell>
          <cell r="D60">
            <v>159</v>
          </cell>
          <cell r="E60">
            <v>177</v>
          </cell>
          <cell r="F60">
            <v>179</v>
          </cell>
          <cell r="G60">
            <v>58</v>
          </cell>
          <cell r="H60">
            <v>72</v>
          </cell>
          <cell r="I60">
            <v>96</v>
          </cell>
          <cell r="J60">
            <v>136</v>
          </cell>
          <cell r="K60">
            <v>132</v>
          </cell>
          <cell r="L60">
            <v>26</v>
          </cell>
          <cell r="M60">
            <v>23</v>
          </cell>
          <cell r="N60">
            <v>27</v>
          </cell>
          <cell r="R60">
            <v>167</v>
          </cell>
          <cell r="S60">
            <v>136</v>
          </cell>
          <cell r="T60">
            <v>1678</v>
          </cell>
        </row>
        <row r="61">
          <cell r="A61" t="str">
            <v>PORT</v>
          </cell>
          <cell r="E61">
            <v>14</v>
          </cell>
          <cell r="I61">
            <v>33</v>
          </cell>
          <cell r="J61">
            <v>6</v>
          </cell>
          <cell r="T61">
            <v>53</v>
          </cell>
        </row>
        <row r="62">
          <cell r="A62" t="str">
            <v>PS</v>
          </cell>
          <cell r="B62">
            <v>757</v>
          </cell>
          <cell r="C62">
            <v>786</v>
          </cell>
          <cell r="D62">
            <v>839</v>
          </cell>
          <cell r="E62">
            <v>642</v>
          </cell>
          <cell r="F62">
            <v>563</v>
          </cell>
          <cell r="G62">
            <v>723</v>
          </cell>
          <cell r="H62">
            <v>869</v>
          </cell>
          <cell r="I62">
            <v>808</v>
          </cell>
          <cell r="J62">
            <v>628</v>
          </cell>
          <cell r="K62">
            <v>629</v>
          </cell>
          <cell r="L62">
            <v>99</v>
          </cell>
          <cell r="M62">
            <v>139</v>
          </cell>
          <cell r="N62">
            <v>49</v>
          </cell>
          <cell r="O62">
            <v>48</v>
          </cell>
          <cell r="Q62">
            <v>52</v>
          </cell>
          <cell r="R62">
            <v>562</v>
          </cell>
          <cell r="S62">
            <v>553</v>
          </cell>
          <cell r="T62">
            <v>8746</v>
          </cell>
        </row>
        <row r="63">
          <cell r="A63" t="str">
            <v>PSYC</v>
          </cell>
          <cell r="B63">
            <v>846</v>
          </cell>
          <cell r="C63">
            <v>898</v>
          </cell>
          <cell r="D63">
            <v>928</v>
          </cell>
          <cell r="E63">
            <v>790</v>
          </cell>
          <cell r="F63">
            <v>706</v>
          </cell>
          <cell r="G63">
            <v>842</v>
          </cell>
          <cell r="H63">
            <v>853</v>
          </cell>
          <cell r="I63">
            <v>871</v>
          </cell>
          <cell r="J63">
            <v>766</v>
          </cell>
          <cell r="K63">
            <v>757</v>
          </cell>
          <cell r="L63">
            <v>72</v>
          </cell>
          <cell r="M63">
            <v>107</v>
          </cell>
          <cell r="N63">
            <v>41</v>
          </cell>
          <cell r="O63">
            <v>13</v>
          </cell>
          <cell r="R63">
            <v>633</v>
          </cell>
          <cell r="S63">
            <v>612</v>
          </cell>
          <cell r="T63">
            <v>9735</v>
          </cell>
        </row>
        <row r="64">
          <cell r="A64" t="str">
            <v>RE</v>
          </cell>
          <cell r="B64">
            <v>191</v>
          </cell>
          <cell r="C64">
            <v>59</v>
          </cell>
          <cell r="D64">
            <v>174</v>
          </cell>
          <cell r="E64">
            <v>193</v>
          </cell>
          <cell r="F64">
            <v>183</v>
          </cell>
          <cell r="G64">
            <v>107</v>
          </cell>
          <cell r="H64">
            <v>129</v>
          </cell>
          <cell r="I64">
            <v>201</v>
          </cell>
          <cell r="J64">
            <v>200</v>
          </cell>
          <cell r="K64">
            <v>151</v>
          </cell>
          <cell r="L64">
            <v>30</v>
          </cell>
          <cell r="M64">
            <v>18</v>
          </cell>
          <cell r="R64">
            <v>162</v>
          </cell>
          <cell r="S64">
            <v>130</v>
          </cell>
          <cell r="T64">
            <v>1928</v>
          </cell>
        </row>
        <row r="65">
          <cell r="A65" t="str">
            <v>READ</v>
          </cell>
          <cell r="B65">
            <v>119</v>
          </cell>
          <cell r="C65">
            <v>96</v>
          </cell>
          <cell r="D65">
            <v>123</v>
          </cell>
          <cell r="E65">
            <v>70</v>
          </cell>
          <cell r="F65">
            <v>63</v>
          </cell>
          <cell r="G65">
            <v>68</v>
          </cell>
          <cell r="H65">
            <v>125</v>
          </cell>
          <cell r="I65">
            <v>110</v>
          </cell>
          <cell r="J65">
            <v>64</v>
          </cell>
          <cell r="K65">
            <v>58</v>
          </cell>
          <cell r="T65">
            <v>896</v>
          </cell>
        </row>
        <row r="66">
          <cell r="A66" t="str">
            <v>SEMA</v>
          </cell>
          <cell r="J66">
            <v>39</v>
          </cell>
          <cell r="K66">
            <v>27</v>
          </cell>
          <cell r="R66">
            <v>22</v>
          </cell>
          <cell r="T66">
            <v>88</v>
          </cell>
        </row>
        <row r="67">
          <cell r="A67" t="str">
            <v>SGA</v>
          </cell>
          <cell r="H67">
            <v>5</v>
          </cell>
          <cell r="T67">
            <v>5</v>
          </cell>
        </row>
        <row r="68">
          <cell r="A68" t="str">
            <v>SOCI</v>
          </cell>
          <cell r="B68">
            <v>587</v>
          </cell>
          <cell r="C68">
            <v>643</v>
          </cell>
          <cell r="D68">
            <v>823</v>
          </cell>
          <cell r="E68">
            <v>701</v>
          </cell>
          <cell r="F68">
            <v>629</v>
          </cell>
          <cell r="G68">
            <v>547</v>
          </cell>
          <cell r="H68">
            <v>721</v>
          </cell>
          <cell r="I68">
            <v>783</v>
          </cell>
          <cell r="J68">
            <v>675</v>
          </cell>
          <cell r="K68">
            <v>566</v>
          </cell>
          <cell r="L68">
            <v>43</v>
          </cell>
          <cell r="M68">
            <v>83</v>
          </cell>
          <cell r="N68">
            <v>34</v>
          </cell>
          <cell r="R68">
            <v>573</v>
          </cell>
          <cell r="S68">
            <v>496</v>
          </cell>
          <cell r="T68">
            <v>7904</v>
          </cell>
        </row>
        <row r="69">
          <cell r="A69" t="str">
            <v>SPAN</v>
          </cell>
          <cell r="B69">
            <v>353</v>
          </cell>
          <cell r="C69">
            <v>385</v>
          </cell>
          <cell r="D69">
            <v>393</v>
          </cell>
          <cell r="E69">
            <v>403</v>
          </cell>
          <cell r="F69">
            <v>394</v>
          </cell>
          <cell r="G69">
            <v>352</v>
          </cell>
          <cell r="H69">
            <v>410</v>
          </cell>
          <cell r="I69">
            <v>384</v>
          </cell>
          <cell r="J69">
            <v>420</v>
          </cell>
          <cell r="K69">
            <v>402</v>
          </cell>
          <cell r="L69">
            <v>87</v>
          </cell>
          <cell r="M69">
            <v>102</v>
          </cell>
          <cell r="N69">
            <v>31</v>
          </cell>
          <cell r="R69">
            <v>360</v>
          </cell>
          <cell r="S69">
            <v>322</v>
          </cell>
          <cell r="T69">
            <v>4798</v>
          </cell>
        </row>
        <row r="70">
          <cell r="A70" t="str">
            <v>TA</v>
          </cell>
          <cell r="B70">
            <v>13</v>
          </cell>
          <cell r="C70">
            <v>21</v>
          </cell>
          <cell r="D70">
            <v>37</v>
          </cell>
          <cell r="F70">
            <v>28</v>
          </cell>
          <cell r="G70">
            <v>17</v>
          </cell>
          <cell r="H70">
            <v>35</v>
          </cell>
          <cell r="I70">
            <v>30</v>
          </cell>
          <cell r="J70">
            <v>39</v>
          </cell>
          <cell r="K70">
            <v>36</v>
          </cell>
          <cell r="L70">
            <v>8</v>
          </cell>
          <cell r="M70">
            <v>22</v>
          </cell>
          <cell r="Q70">
            <v>30</v>
          </cell>
          <cell r="T70">
            <v>316</v>
          </cell>
        </row>
        <row r="71">
          <cell r="A71" t="str">
            <v>THA</v>
          </cell>
          <cell r="B71">
            <v>133</v>
          </cell>
          <cell r="C71">
            <v>207</v>
          </cell>
          <cell r="D71">
            <v>235</v>
          </cell>
          <cell r="E71">
            <v>219</v>
          </cell>
          <cell r="F71">
            <v>204</v>
          </cell>
          <cell r="G71">
            <v>140</v>
          </cell>
          <cell r="H71">
            <v>197</v>
          </cell>
          <cell r="I71">
            <v>226</v>
          </cell>
          <cell r="J71">
            <v>252</v>
          </cell>
          <cell r="K71">
            <v>236</v>
          </cell>
          <cell r="L71">
            <v>9</v>
          </cell>
          <cell r="M71">
            <v>6</v>
          </cell>
          <cell r="R71">
            <v>197</v>
          </cell>
          <cell r="S71">
            <v>118</v>
          </cell>
          <cell r="T71">
            <v>2379</v>
          </cell>
        </row>
        <row r="72">
          <cell r="A72" t="str">
            <v>VEW</v>
          </cell>
          <cell r="D72">
            <v>19</v>
          </cell>
          <cell r="F72">
            <v>3</v>
          </cell>
          <cell r="I72">
            <v>49</v>
          </cell>
          <cell r="J72">
            <v>6</v>
          </cell>
          <cell r="K72">
            <v>4</v>
          </cell>
          <cell r="Q72">
            <v>2</v>
          </cell>
          <cell r="T72">
            <v>83</v>
          </cell>
        </row>
        <row r="73">
          <cell r="A73" t="str">
            <v>WATR</v>
          </cell>
          <cell r="B73">
            <v>189</v>
          </cell>
          <cell r="C73">
            <v>322</v>
          </cell>
          <cell r="D73">
            <v>287</v>
          </cell>
          <cell r="E73">
            <v>211</v>
          </cell>
          <cell r="F73">
            <v>159</v>
          </cell>
          <cell r="G73">
            <v>171</v>
          </cell>
          <cell r="H73">
            <v>229</v>
          </cell>
          <cell r="I73">
            <v>180</v>
          </cell>
          <cell r="J73">
            <v>213</v>
          </cell>
          <cell r="K73">
            <v>117</v>
          </cell>
          <cell r="L73">
            <v>55</v>
          </cell>
          <cell r="M73">
            <v>75</v>
          </cell>
          <cell r="R73">
            <v>84</v>
          </cell>
          <cell r="S73">
            <v>83</v>
          </cell>
          <cell r="T73">
            <v>2375</v>
          </cell>
        </row>
        <row r="74">
          <cell r="A74" t="str">
            <v>Grand Total</v>
          </cell>
          <cell r="B74">
            <v>19293</v>
          </cell>
          <cell r="C74">
            <v>21326</v>
          </cell>
          <cell r="D74">
            <v>23066</v>
          </cell>
          <cell r="E74">
            <v>20185</v>
          </cell>
          <cell r="F74">
            <v>18461</v>
          </cell>
          <cell r="G74">
            <v>18861</v>
          </cell>
          <cell r="H74">
            <v>21472</v>
          </cell>
          <cell r="I74">
            <v>21845</v>
          </cell>
          <cell r="J74">
            <v>20151</v>
          </cell>
          <cell r="K74">
            <v>19406</v>
          </cell>
          <cell r="L74">
            <v>3045</v>
          </cell>
          <cell r="M74">
            <v>3529</v>
          </cell>
          <cell r="N74">
            <v>1731</v>
          </cell>
          <cell r="O74">
            <v>815</v>
          </cell>
          <cell r="P74" t="str">
            <v>37</v>
          </cell>
          <cell r="Q74">
            <v>643</v>
          </cell>
          <cell r="R74">
            <v>17239</v>
          </cell>
          <cell r="S74">
            <v>17051</v>
          </cell>
          <cell r="T74">
            <v>248156</v>
          </cell>
        </row>
      </sheetData>
      <sheetData sheetId="4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SP08</v>
          </cell>
          <cell r="H1" t="str">
            <v>SP09</v>
          </cell>
          <cell r="I1" t="str">
            <v>SP10</v>
          </cell>
          <cell r="J1" t="str">
            <v>SP11</v>
          </cell>
          <cell r="K1" t="str">
            <v>SP12</v>
          </cell>
          <cell r="L1" t="str">
            <v>SU07</v>
          </cell>
          <cell r="M1" t="str">
            <v>SU08</v>
          </cell>
          <cell r="N1" t="str">
            <v>SU09</v>
          </cell>
          <cell r="O1" t="str">
            <v>SU10</v>
          </cell>
          <cell r="P1" t="str">
            <v>SU11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 t="str">
            <v>0</v>
          </cell>
          <cell r="V1" t="str">
            <v>01</v>
          </cell>
          <cell r="W1" t="str">
            <v>02</v>
          </cell>
          <cell r="X1" t="str">
            <v>03</v>
          </cell>
          <cell r="Y1" t="str">
            <v>04</v>
          </cell>
          <cell r="Z1" t="str">
            <v>05</v>
          </cell>
        </row>
        <row r="2">
          <cell r="A2" t="str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 t="str">
            <v>12</v>
          </cell>
          <cell r="M2" t="str">
            <v>13</v>
          </cell>
          <cell r="N2" t="str">
            <v>14</v>
          </cell>
          <cell r="O2" t="str">
            <v>15</v>
          </cell>
          <cell r="P2" t="str">
            <v>16</v>
          </cell>
          <cell r="Q2" t="str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Count</v>
          </cell>
        </row>
        <row r="4">
          <cell r="A4" t="str">
            <v>Row Labels</v>
          </cell>
          <cell r="L4" t="str">
            <v>SU07</v>
          </cell>
          <cell r="M4" t="str">
            <v>SU08</v>
          </cell>
          <cell r="N4" t="str">
            <v>SU09</v>
          </cell>
          <cell r="O4" t="str">
            <v>SU10</v>
          </cell>
          <cell r="P4" t="str">
            <v>SU11</v>
          </cell>
          <cell r="Q4" t="str">
            <v>SU12</v>
          </cell>
        </row>
        <row r="5">
          <cell r="A5" t="str">
            <v>ACCT-075</v>
          </cell>
          <cell r="B5">
            <v>46</v>
          </cell>
          <cell r="C5">
            <v>61</v>
          </cell>
          <cell r="D5">
            <v>51</v>
          </cell>
          <cell r="G5">
            <v>30</v>
          </cell>
          <cell r="H5">
            <v>49</v>
          </cell>
          <cell r="I5">
            <v>60</v>
          </cell>
          <cell r="T5">
            <v>297</v>
          </cell>
        </row>
        <row r="6">
          <cell r="A6" t="str">
            <v>ACCT-076</v>
          </cell>
          <cell r="E6">
            <v>57</v>
          </cell>
          <cell r="F6">
            <v>63</v>
          </cell>
          <cell r="J6">
            <v>54</v>
          </cell>
          <cell r="K6">
            <v>50</v>
          </cell>
          <cell r="R6">
            <v>51</v>
          </cell>
          <cell r="S6">
            <v>49</v>
          </cell>
          <cell r="T6">
            <v>324</v>
          </cell>
        </row>
        <row r="7">
          <cell r="A7" t="str">
            <v>ACCT-077</v>
          </cell>
          <cell r="F7">
            <v>22</v>
          </cell>
          <cell r="J7">
            <v>18</v>
          </cell>
          <cell r="K7">
            <v>22</v>
          </cell>
          <cell r="R7">
            <v>20</v>
          </cell>
          <cell r="S7">
            <v>30</v>
          </cell>
          <cell r="T7">
            <v>112</v>
          </cell>
        </row>
        <row r="8">
          <cell r="A8" t="str">
            <v>ACCT-080</v>
          </cell>
          <cell r="E8">
            <v>21</v>
          </cell>
          <cell r="T8">
            <v>21</v>
          </cell>
        </row>
        <row r="9">
          <cell r="A9" t="str">
            <v>ACCT-124</v>
          </cell>
          <cell r="B9">
            <v>105</v>
          </cell>
          <cell r="C9">
            <v>124</v>
          </cell>
          <cell r="D9">
            <v>109</v>
          </cell>
          <cell r="E9">
            <v>123</v>
          </cell>
          <cell r="F9">
            <v>118</v>
          </cell>
          <cell r="G9">
            <v>100</v>
          </cell>
          <cell r="H9">
            <v>120</v>
          </cell>
          <cell r="I9">
            <v>123</v>
          </cell>
          <cell r="J9">
            <v>113</v>
          </cell>
          <cell r="K9">
            <v>116</v>
          </cell>
          <cell r="R9">
            <v>116</v>
          </cell>
          <cell r="S9">
            <v>167</v>
          </cell>
          <cell r="T9">
            <v>1434</v>
          </cell>
        </row>
        <row r="10">
          <cell r="A10" t="str">
            <v>ACCT-124H</v>
          </cell>
          <cell r="B10">
            <v>2</v>
          </cell>
          <cell r="F10">
            <v>1</v>
          </cell>
          <cell r="G10">
            <v>3</v>
          </cell>
          <cell r="H10">
            <v>2</v>
          </cell>
          <cell r="I10">
            <v>2</v>
          </cell>
          <cell r="K10">
            <v>3</v>
          </cell>
          <cell r="R10">
            <v>3</v>
          </cell>
          <cell r="S10">
            <v>1</v>
          </cell>
          <cell r="T10">
            <v>17</v>
          </cell>
        </row>
        <row r="11">
          <cell r="A11" t="str">
            <v>ACCT-125</v>
          </cell>
          <cell r="B11">
            <v>18</v>
          </cell>
          <cell r="C11">
            <v>12</v>
          </cell>
          <cell r="D11">
            <v>20</v>
          </cell>
          <cell r="E11">
            <v>23</v>
          </cell>
          <cell r="F11">
            <v>22</v>
          </cell>
          <cell r="G11">
            <v>16</v>
          </cell>
          <cell r="H11">
            <v>15</v>
          </cell>
          <cell r="I11">
            <v>31</v>
          </cell>
          <cell r="J11">
            <v>33</v>
          </cell>
          <cell r="K11">
            <v>30</v>
          </cell>
          <cell r="R11">
            <v>53</v>
          </cell>
          <cell r="S11">
            <v>64</v>
          </cell>
          <cell r="T11">
            <v>337</v>
          </cell>
        </row>
        <row r="12">
          <cell r="A12" t="str">
            <v>ACCT-125H</v>
          </cell>
          <cell r="C12">
            <v>1</v>
          </cell>
          <cell r="T12">
            <v>1</v>
          </cell>
        </row>
        <row r="13">
          <cell r="A13" t="str">
            <v>ACCT-126</v>
          </cell>
          <cell r="S13">
            <v>23</v>
          </cell>
          <cell r="T13">
            <v>23</v>
          </cell>
        </row>
        <row r="14">
          <cell r="A14" t="str">
            <v>ACCT-127</v>
          </cell>
          <cell r="J14">
            <v>17</v>
          </cell>
          <cell r="T14">
            <v>17</v>
          </cell>
        </row>
        <row r="15">
          <cell r="A15" t="str">
            <v>ADS-090</v>
          </cell>
          <cell r="B15">
            <v>17</v>
          </cell>
          <cell r="C15">
            <v>28</v>
          </cell>
          <cell r="D15">
            <v>30</v>
          </cell>
          <cell r="E15">
            <v>24</v>
          </cell>
          <cell r="G15">
            <v>30</v>
          </cell>
          <cell r="H15">
            <v>30</v>
          </cell>
          <cell r="I15">
            <v>23</v>
          </cell>
          <cell r="O15" t="str">
            <v>19</v>
          </cell>
          <cell r="T15">
            <v>201</v>
          </cell>
        </row>
        <row r="16">
          <cell r="A16" t="str">
            <v>ADS-101</v>
          </cell>
          <cell r="F16">
            <v>31</v>
          </cell>
          <cell r="I16">
            <v>14</v>
          </cell>
          <cell r="J16">
            <v>42</v>
          </cell>
          <cell r="K16">
            <v>33</v>
          </cell>
          <cell r="T16">
            <v>120</v>
          </cell>
        </row>
        <row r="17">
          <cell r="A17" t="str">
            <v>ADS-103</v>
          </cell>
          <cell r="R17">
            <v>16</v>
          </cell>
          <cell r="T17">
            <v>16</v>
          </cell>
        </row>
        <row r="18">
          <cell r="A18" t="str">
            <v>ADS-104</v>
          </cell>
          <cell r="S18">
            <v>39</v>
          </cell>
          <cell r="T18">
            <v>39</v>
          </cell>
        </row>
        <row r="19">
          <cell r="A19" t="str">
            <v>ADS-105</v>
          </cell>
          <cell r="F19">
            <v>12</v>
          </cell>
          <cell r="S19">
            <v>22</v>
          </cell>
          <cell r="T19">
            <v>34</v>
          </cell>
        </row>
        <row r="20">
          <cell r="A20" t="str">
            <v>ADS-110</v>
          </cell>
          <cell r="O20" t="str">
            <v>22</v>
          </cell>
          <cell r="S20">
            <v>20</v>
          </cell>
          <cell r="T20">
            <v>42</v>
          </cell>
        </row>
        <row r="21">
          <cell r="A21" t="str">
            <v>ADS-115</v>
          </cell>
          <cell r="F21">
            <v>7</v>
          </cell>
          <cell r="H21">
            <v>12</v>
          </cell>
          <cell r="I21">
            <v>10</v>
          </cell>
          <cell r="J21">
            <v>31</v>
          </cell>
          <cell r="T21">
            <v>60</v>
          </cell>
        </row>
        <row r="22">
          <cell r="A22" t="str">
            <v>ADS-120</v>
          </cell>
          <cell r="F22">
            <v>21</v>
          </cell>
          <cell r="J22">
            <v>20</v>
          </cell>
          <cell r="S22">
            <v>15</v>
          </cell>
          <cell r="T22">
            <v>56</v>
          </cell>
        </row>
        <row r="23">
          <cell r="A23" t="str">
            <v>ADS-149</v>
          </cell>
          <cell r="E23">
            <v>4</v>
          </cell>
          <cell r="F23">
            <v>17</v>
          </cell>
          <cell r="I23">
            <v>4</v>
          </cell>
          <cell r="J23">
            <v>4</v>
          </cell>
          <cell r="K23">
            <v>11</v>
          </cell>
          <cell r="R23">
            <v>8</v>
          </cell>
          <cell r="S23">
            <v>6</v>
          </cell>
          <cell r="T23">
            <v>54</v>
          </cell>
        </row>
        <row r="24">
          <cell r="A24" t="str">
            <v>ADS-150</v>
          </cell>
          <cell r="E24">
            <v>4</v>
          </cell>
          <cell r="H24">
            <v>6</v>
          </cell>
          <cell r="K24">
            <v>10</v>
          </cell>
          <cell r="R24">
            <v>8</v>
          </cell>
          <cell r="S24">
            <v>6</v>
          </cell>
          <cell r="T24">
            <v>34</v>
          </cell>
        </row>
        <row r="25">
          <cell r="A25" t="str">
            <v>AH-072</v>
          </cell>
          <cell r="B25">
            <v>21</v>
          </cell>
          <cell r="C25">
            <v>26</v>
          </cell>
          <cell r="D25">
            <v>29</v>
          </cell>
          <cell r="E25">
            <v>27</v>
          </cell>
          <cell r="G25">
            <v>13</v>
          </cell>
          <cell r="H25">
            <v>26</v>
          </cell>
          <cell r="I25">
            <v>33</v>
          </cell>
          <cell r="J25">
            <v>25</v>
          </cell>
          <cell r="T25">
            <v>200</v>
          </cell>
        </row>
        <row r="26">
          <cell r="A26" t="str">
            <v>AH-073</v>
          </cell>
          <cell r="B26">
            <v>17</v>
          </cell>
          <cell r="C26">
            <v>20</v>
          </cell>
          <cell r="D26">
            <v>29</v>
          </cell>
          <cell r="E26">
            <v>25</v>
          </cell>
          <cell r="G26">
            <v>21</v>
          </cell>
          <cell r="H26">
            <v>28</v>
          </cell>
          <cell r="I26">
            <v>36</v>
          </cell>
          <cell r="J26">
            <v>22</v>
          </cell>
          <cell r="T26">
            <v>198</v>
          </cell>
        </row>
        <row r="27">
          <cell r="A27" t="str">
            <v>AH-078</v>
          </cell>
          <cell r="C27">
            <v>16</v>
          </cell>
          <cell r="D27">
            <v>23</v>
          </cell>
          <cell r="E27">
            <v>23</v>
          </cell>
          <cell r="H27">
            <v>30</v>
          </cell>
          <cell r="I27">
            <v>37</v>
          </cell>
          <cell r="J27">
            <v>25</v>
          </cell>
          <cell r="T27">
            <v>154</v>
          </cell>
        </row>
        <row r="28">
          <cell r="A28" t="str">
            <v>AH-082</v>
          </cell>
          <cell r="B28">
            <v>57</v>
          </cell>
          <cell r="C28">
            <v>31</v>
          </cell>
          <cell r="D28">
            <v>26</v>
          </cell>
          <cell r="E28">
            <v>25</v>
          </cell>
          <cell r="G28">
            <v>30</v>
          </cell>
          <cell r="H28">
            <v>24</v>
          </cell>
          <cell r="I28">
            <v>27</v>
          </cell>
          <cell r="J28">
            <v>30</v>
          </cell>
          <cell r="O28" t="str">
            <v>25</v>
          </cell>
          <cell r="T28">
            <v>275</v>
          </cell>
        </row>
        <row r="29">
          <cell r="A29" t="str">
            <v>AH-095</v>
          </cell>
          <cell r="B29">
            <v>88</v>
          </cell>
          <cell r="C29">
            <v>34</v>
          </cell>
          <cell r="D29">
            <v>57</v>
          </cell>
          <cell r="E29">
            <v>44</v>
          </cell>
          <cell r="F29">
            <v>24</v>
          </cell>
          <cell r="G29">
            <v>99</v>
          </cell>
          <cell r="H29">
            <v>38</v>
          </cell>
          <cell r="I29">
            <v>43</v>
          </cell>
          <cell r="J29">
            <v>27</v>
          </cell>
          <cell r="K29">
            <v>30</v>
          </cell>
          <cell r="L29" t="str">
            <v>26</v>
          </cell>
          <cell r="M29" t="str">
            <v>19</v>
          </cell>
          <cell r="O29" t="str">
            <v>29</v>
          </cell>
          <cell r="T29">
            <v>558</v>
          </cell>
        </row>
        <row r="30">
          <cell r="A30" t="str">
            <v>AH-120</v>
          </cell>
          <cell r="B30">
            <v>144</v>
          </cell>
          <cell r="C30">
            <v>201</v>
          </cell>
          <cell r="D30">
            <v>169</v>
          </cell>
          <cell r="E30">
            <v>155</v>
          </cell>
          <cell r="F30">
            <v>151</v>
          </cell>
          <cell r="G30">
            <v>185</v>
          </cell>
          <cell r="H30">
            <v>178</v>
          </cell>
          <cell r="I30">
            <v>150</v>
          </cell>
          <cell r="J30">
            <v>155</v>
          </cell>
          <cell r="K30">
            <v>151</v>
          </cell>
          <cell r="L30" t="str">
            <v>46</v>
          </cell>
          <cell r="M30" t="str">
            <v>41</v>
          </cell>
          <cell r="N30" t="str">
            <v>25</v>
          </cell>
          <cell r="O30" t="str">
            <v>33</v>
          </cell>
          <cell r="Q30" t="str">
            <v>25</v>
          </cell>
          <cell r="R30">
            <v>123</v>
          </cell>
          <cell r="S30">
            <v>96</v>
          </cell>
          <cell r="T30">
            <v>2028</v>
          </cell>
        </row>
        <row r="31">
          <cell r="A31" t="str">
            <v>AH-120B</v>
          </cell>
          <cell r="B31">
            <v>9</v>
          </cell>
          <cell r="D31">
            <v>14</v>
          </cell>
          <cell r="G31">
            <v>14</v>
          </cell>
          <cell r="T31">
            <v>37</v>
          </cell>
        </row>
        <row r="32">
          <cell r="A32" t="str">
            <v>AH-121</v>
          </cell>
          <cell r="B32">
            <v>13</v>
          </cell>
          <cell r="C32">
            <v>22</v>
          </cell>
          <cell r="D32">
            <v>10</v>
          </cell>
          <cell r="E32">
            <v>20</v>
          </cell>
          <cell r="F32">
            <v>14</v>
          </cell>
          <cell r="G32">
            <v>13</v>
          </cell>
          <cell r="H32">
            <v>22</v>
          </cell>
          <cell r="I32">
            <v>15</v>
          </cell>
          <cell r="J32">
            <v>17</v>
          </cell>
          <cell r="K32">
            <v>16</v>
          </cell>
          <cell r="R32">
            <v>23</v>
          </cell>
          <cell r="T32">
            <v>185</v>
          </cell>
        </row>
        <row r="33">
          <cell r="A33" t="str">
            <v>AH-122</v>
          </cell>
          <cell r="G33">
            <v>21</v>
          </cell>
          <cell r="T33">
            <v>21</v>
          </cell>
        </row>
        <row r="34">
          <cell r="A34" t="str">
            <v>AH-124</v>
          </cell>
          <cell r="B34">
            <v>20</v>
          </cell>
          <cell r="T34">
            <v>20</v>
          </cell>
        </row>
        <row r="35">
          <cell r="A35" t="str">
            <v>AH-126</v>
          </cell>
          <cell r="B35">
            <v>13</v>
          </cell>
          <cell r="T35">
            <v>13</v>
          </cell>
        </row>
        <row r="36">
          <cell r="A36" t="str">
            <v>AH-127</v>
          </cell>
          <cell r="B36">
            <v>16</v>
          </cell>
          <cell r="C36">
            <v>24</v>
          </cell>
          <cell r="D36">
            <v>18</v>
          </cell>
          <cell r="E36">
            <v>12</v>
          </cell>
          <cell r="F36">
            <v>11</v>
          </cell>
          <cell r="G36">
            <v>14</v>
          </cell>
          <cell r="H36">
            <v>29</v>
          </cell>
          <cell r="I36">
            <v>20</v>
          </cell>
          <cell r="J36">
            <v>23</v>
          </cell>
          <cell r="K36">
            <v>15</v>
          </cell>
          <cell r="Q36" t="str">
            <v>6</v>
          </cell>
          <cell r="S36">
            <v>14</v>
          </cell>
          <cell r="T36">
            <v>202</v>
          </cell>
        </row>
        <row r="37">
          <cell r="A37" t="str">
            <v>AH-149</v>
          </cell>
          <cell r="B37">
            <v>4</v>
          </cell>
          <cell r="C37">
            <v>8</v>
          </cell>
          <cell r="D37">
            <v>2</v>
          </cell>
          <cell r="E37">
            <v>5</v>
          </cell>
          <cell r="F37">
            <v>4</v>
          </cell>
          <cell r="G37">
            <v>8</v>
          </cell>
          <cell r="H37">
            <v>17</v>
          </cell>
          <cell r="I37">
            <v>6</v>
          </cell>
          <cell r="J37">
            <v>21</v>
          </cell>
          <cell r="K37">
            <v>7</v>
          </cell>
          <cell r="T37">
            <v>82</v>
          </cell>
        </row>
        <row r="38">
          <cell r="A38" t="str">
            <v>AH-154</v>
          </cell>
          <cell r="G38">
            <v>13</v>
          </cell>
          <cell r="T38">
            <v>13</v>
          </cell>
        </row>
        <row r="39">
          <cell r="A39" t="str">
            <v>AJ-071</v>
          </cell>
          <cell r="B39">
            <v>7</v>
          </cell>
          <cell r="C39">
            <v>22</v>
          </cell>
          <cell r="G39">
            <v>14</v>
          </cell>
          <cell r="H39">
            <v>20</v>
          </cell>
          <cell r="T39">
            <v>63</v>
          </cell>
        </row>
        <row r="40">
          <cell r="A40" t="str">
            <v>AJ-101</v>
          </cell>
          <cell r="B40">
            <v>16</v>
          </cell>
          <cell r="C40">
            <v>29</v>
          </cell>
          <cell r="E40">
            <v>45</v>
          </cell>
          <cell r="F40">
            <v>40</v>
          </cell>
          <cell r="I40">
            <v>51</v>
          </cell>
          <cell r="L40" t="str">
            <v>36</v>
          </cell>
          <cell r="N40" t="str">
            <v>38</v>
          </cell>
          <cell r="S40">
            <v>40</v>
          </cell>
          <cell r="T40">
            <v>295</v>
          </cell>
        </row>
        <row r="41">
          <cell r="A41" t="str">
            <v>AJ-102</v>
          </cell>
          <cell r="C41">
            <v>31</v>
          </cell>
          <cell r="D41">
            <v>47</v>
          </cell>
          <cell r="E41">
            <v>39</v>
          </cell>
          <cell r="G41">
            <v>56</v>
          </cell>
          <cell r="R41">
            <v>83</v>
          </cell>
          <cell r="T41">
            <v>256</v>
          </cell>
        </row>
        <row r="42">
          <cell r="A42" t="str">
            <v>AJ-103</v>
          </cell>
          <cell r="E42">
            <v>34</v>
          </cell>
          <cell r="G42">
            <v>34</v>
          </cell>
          <cell r="H42">
            <v>35</v>
          </cell>
          <cell r="S42">
            <v>40</v>
          </cell>
          <cell r="T42">
            <v>143</v>
          </cell>
        </row>
        <row r="43">
          <cell r="A43" t="str">
            <v>AJ-104</v>
          </cell>
          <cell r="C43">
            <v>17</v>
          </cell>
          <cell r="T43">
            <v>17</v>
          </cell>
        </row>
        <row r="44">
          <cell r="A44" t="str">
            <v>AJ-105</v>
          </cell>
          <cell r="B44">
            <v>34</v>
          </cell>
          <cell r="C44">
            <v>33</v>
          </cell>
          <cell r="D44">
            <v>32</v>
          </cell>
          <cell r="E44">
            <v>29</v>
          </cell>
          <cell r="F44">
            <v>32</v>
          </cell>
          <cell r="R44">
            <v>29</v>
          </cell>
          <cell r="T44">
            <v>189</v>
          </cell>
        </row>
        <row r="45">
          <cell r="A45" t="str">
            <v>AJ-106</v>
          </cell>
          <cell r="B45">
            <v>25</v>
          </cell>
          <cell r="D45">
            <v>43</v>
          </cell>
          <cell r="J45">
            <v>47</v>
          </cell>
          <cell r="R45">
            <v>40</v>
          </cell>
          <cell r="T45">
            <v>155</v>
          </cell>
        </row>
        <row r="46">
          <cell r="A46" t="str">
            <v>AJ-108</v>
          </cell>
          <cell r="G46">
            <v>44</v>
          </cell>
          <cell r="H46">
            <v>50</v>
          </cell>
          <cell r="K46">
            <v>39</v>
          </cell>
          <cell r="T46">
            <v>133</v>
          </cell>
        </row>
        <row r="47">
          <cell r="A47" t="str">
            <v>AJ-111</v>
          </cell>
          <cell r="B47">
            <v>28</v>
          </cell>
          <cell r="C47">
            <v>32</v>
          </cell>
          <cell r="D47">
            <v>33</v>
          </cell>
          <cell r="I47">
            <v>39</v>
          </cell>
          <cell r="J47">
            <v>44</v>
          </cell>
          <cell r="K47">
            <v>48</v>
          </cell>
          <cell r="R47">
            <v>41</v>
          </cell>
          <cell r="S47">
            <v>39</v>
          </cell>
          <cell r="T47">
            <v>304</v>
          </cell>
        </row>
        <row r="48">
          <cell r="A48" t="str">
            <v>AJ-112</v>
          </cell>
          <cell r="E48">
            <v>38</v>
          </cell>
          <cell r="T48">
            <v>38</v>
          </cell>
        </row>
        <row r="49">
          <cell r="A49" t="str">
            <v>AJ-115</v>
          </cell>
          <cell r="K49">
            <v>36</v>
          </cell>
          <cell r="T49">
            <v>36</v>
          </cell>
        </row>
        <row r="50">
          <cell r="A50" t="str">
            <v>AJ-118</v>
          </cell>
          <cell r="H50">
            <v>45</v>
          </cell>
          <cell r="I50">
            <v>76</v>
          </cell>
          <cell r="J50">
            <v>38</v>
          </cell>
          <cell r="S50">
            <v>40</v>
          </cell>
          <cell r="T50">
            <v>199</v>
          </cell>
        </row>
        <row r="51">
          <cell r="A51" t="str">
            <v>AJ-125</v>
          </cell>
          <cell r="D51">
            <v>44</v>
          </cell>
          <cell r="F51">
            <v>40</v>
          </cell>
          <cell r="G51">
            <v>27</v>
          </cell>
          <cell r="T51">
            <v>111</v>
          </cell>
        </row>
        <row r="52">
          <cell r="A52" t="str">
            <v>AJ-128</v>
          </cell>
          <cell r="B52">
            <v>22</v>
          </cell>
          <cell r="H52">
            <v>36</v>
          </cell>
          <cell r="J52">
            <v>38</v>
          </cell>
          <cell r="K52">
            <v>38</v>
          </cell>
          <cell r="S52">
            <v>40</v>
          </cell>
          <cell r="T52">
            <v>174</v>
          </cell>
        </row>
        <row r="53">
          <cell r="A53" t="str">
            <v>AJ-149</v>
          </cell>
          <cell r="B53">
            <v>4</v>
          </cell>
          <cell r="C53">
            <v>1</v>
          </cell>
          <cell r="D53">
            <v>2</v>
          </cell>
          <cell r="H53">
            <v>1</v>
          </cell>
          <cell r="K53">
            <v>1</v>
          </cell>
          <cell r="R53">
            <v>2</v>
          </cell>
          <cell r="S53">
            <v>5</v>
          </cell>
          <cell r="T53">
            <v>16</v>
          </cell>
        </row>
        <row r="54">
          <cell r="A54" t="str">
            <v>AJ-299</v>
          </cell>
          <cell r="B54">
            <v>1</v>
          </cell>
          <cell r="K54">
            <v>1</v>
          </cell>
          <cell r="T54">
            <v>2</v>
          </cell>
        </row>
        <row r="55">
          <cell r="A55" t="str">
            <v>ANAT-100</v>
          </cell>
          <cell r="B55">
            <v>34</v>
          </cell>
          <cell r="C55">
            <v>43</v>
          </cell>
          <cell r="D55">
            <v>63</v>
          </cell>
          <cell r="E55">
            <v>23</v>
          </cell>
          <cell r="F55">
            <v>13</v>
          </cell>
          <cell r="G55">
            <v>56</v>
          </cell>
          <cell r="H55">
            <v>52</v>
          </cell>
          <cell r="I55">
            <v>43</v>
          </cell>
          <cell r="J55">
            <v>22</v>
          </cell>
          <cell r="K55">
            <v>30</v>
          </cell>
          <cell r="L55" t="str">
            <v>9</v>
          </cell>
          <cell r="M55" t="str">
            <v>14</v>
          </cell>
          <cell r="T55">
            <v>402</v>
          </cell>
        </row>
        <row r="56">
          <cell r="A56" t="str">
            <v>ANAT-101</v>
          </cell>
          <cell r="B56">
            <v>109</v>
          </cell>
          <cell r="C56">
            <v>114</v>
          </cell>
          <cell r="D56">
            <v>108</v>
          </cell>
          <cell r="E56">
            <v>108</v>
          </cell>
          <cell r="F56">
            <v>102</v>
          </cell>
          <cell r="G56">
            <v>117</v>
          </cell>
          <cell r="H56">
            <v>133</v>
          </cell>
          <cell r="I56">
            <v>116</v>
          </cell>
          <cell r="J56">
            <v>105</v>
          </cell>
          <cell r="K56">
            <v>104</v>
          </cell>
          <cell r="L56" t="str">
            <v>39</v>
          </cell>
          <cell r="M56" t="str">
            <v>41</v>
          </cell>
          <cell r="N56" t="str">
            <v>33</v>
          </cell>
          <cell r="O56" t="str">
            <v>38</v>
          </cell>
          <cell r="Q56" t="str">
            <v>39</v>
          </cell>
          <cell r="R56">
            <v>97</v>
          </cell>
          <cell r="S56">
            <v>103</v>
          </cell>
          <cell r="T56">
            <v>1506</v>
          </cell>
        </row>
        <row r="57">
          <cell r="A57" t="str">
            <v>ANAT-101H</v>
          </cell>
          <cell r="B57">
            <v>2</v>
          </cell>
          <cell r="C57">
            <v>2</v>
          </cell>
          <cell r="E57">
            <v>2</v>
          </cell>
          <cell r="F57">
            <v>1</v>
          </cell>
          <cell r="G57">
            <v>2</v>
          </cell>
          <cell r="H57">
            <v>2</v>
          </cell>
          <cell r="T57">
            <v>11</v>
          </cell>
        </row>
        <row r="58">
          <cell r="A58" t="str">
            <v>ANAT-102</v>
          </cell>
          <cell r="B58">
            <v>111</v>
          </cell>
          <cell r="C58">
            <v>108</v>
          </cell>
          <cell r="D58">
            <v>109</v>
          </cell>
          <cell r="E58">
            <v>96</v>
          </cell>
          <cell r="F58">
            <v>95</v>
          </cell>
          <cell r="G58">
            <v>105</v>
          </cell>
          <cell r="H58">
            <v>97</v>
          </cell>
          <cell r="I58">
            <v>103</v>
          </cell>
          <cell r="J58">
            <v>91</v>
          </cell>
          <cell r="K58">
            <v>99</v>
          </cell>
          <cell r="L58" t="str">
            <v>37</v>
          </cell>
          <cell r="M58" t="str">
            <v>24</v>
          </cell>
          <cell r="N58" t="str">
            <v>29</v>
          </cell>
          <cell r="O58" t="str">
            <v>24</v>
          </cell>
          <cell r="Q58" t="str">
            <v>25</v>
          </cell>
          <cell r="R58">
            <v>99</v>
          </cell>
          <cell r="S58">
            <v>85</v>
          </cell>
          <cell r="T58">
            <v>1337</v>
          </cell>
        </row>
        <row r="59">
          <cell r="A59" t="str">
            <v>ANAT-102H</v>
          </cell>
          <cell r="C59">
            <v>2</v>
          </cell>
          <cell r="E59">
            <v>1</v>
          </cell>
          <cell r="J59">
            <v>1</v>
          </cell>
          <cell r="T59">
            <v>4</v>
          </cell>
        </row>
        <row r="60">
          <cell r="A60" t="str">
            <v>ANAT-299</v>
          </cell>
          <cell r="B60">
            <v>5</v>
          </cell>
          <cell r="C60">
            <v>11</v>
          </cell>
          <cell r="D60">
            <v>16</v>
          </cell>
          <cell r="E60">
            <v>21</v>
          </cell>
          <cell r="F60">
            <v>11</v>
          </cell>
          <cell r="G60">
            <v>18</v>
          </cell>
          <cell r="H60">
            <v>22</v>
          </cell>
          <cell r="I60">
            <v>37</v>
          </cell>
          <cell r="J60">
            <v>18</v>
          </cell>
          <cell r="K60">
            <v>11</v>
          </cell>
          <cell r="L60" t="str">
            <v>2</v>
          </cell>
          <cell r="M60" t="str">
            <v>6</v>
          </cell>
          <cell r="N60" t="str">
            <v>14</v>
          </cell>
          <cell r="S60">
            <v>5</v>
          </cell>
          <cell r="T60">
            <v>197</v>
          </cell>
        </row>
        <row r="61">
          <cell r="A61" t="str">
            <v>ANTH-101</v>
          </cell>
          <cell r="B61">
            <v>110</v>
          </cell>
          <cell r="C61">
            <v>193</v>
          </cell>
          <cell r="D61">
            <v>204</v>
          </cell>
          <cell r="E61">
            <v>193</v>
          </cell>
          <cell r="F61">
            <v>201</v>
          </cell>
          <cell r="G61">
            <v>173</v>
          </cell>
          <cell r="H61">
            <v>221</v>
          </cell>
          <cell r="I61">
            <v>250</v>
          </cell>
          <cell r="J61">
            <v>191</v>
          </cell>
          <cell r="K61">
            <v>205</v>
          </cell>
          <cell r="L61" t="str">
            <v>26</v>
          </cell>
          <cell r="M61" t="str">
            <v>14</v>
          </cell>
          <cell r="R61">
            <v>190</v>
          </cell>
          <cell r="S61">
            <v>159</v>
          </cell>
          <cell r="T61">
            <v>2330</v>
          </cell>
        </row>
        <row r="62">
          <cell r="A62" t="str">
            <v>ANTH-101H</v>
          </cell>
          <cell r="C62">
            <v>6</v>
          </cell>
          <cell r="D62">
            <v>1</v>
          </cell>
          <cell r="E62">
            <v>4</v>
          </cell>
          <cell r="F62">
            <v>5</v>
          </cell>
          <cell r="G62">
            <v>4</v>
          </cell>
          <cell r="H62">
            <v>4</v>
          </cell>
          <cell r="I62">
            <v>6</v>
          </cell>
          <cell r="J62">
            <v>8</v>
          </cell>
          <cell r="K62">
            <v>4</v>
          </cell>
          <cell r="R62">
            <v>9</v>
          </cell>
          <cell r="S62">
            <v>6</v>
          </cell>
          <cell r="T62">
            <v>57</v>
          </cell>
        </row>
        <row r="63">
          <cell r="A63" t="str">
            <v>ANTH-102</v>
          </cell>
          <cell r="B63">
            <v>98</v>
          </cell>
          <cell r="C63">
            <v>237</v>
          </cell>
          <cell r="D63">
            <v>262</v>
          </cell>
          <cell r="E63">
            <v>200</v>
          </cell>
          <cell r="F63">
            <v>150</v>
          </cell>
          <cell r="G63">
            <v>116</v>
          </cell>
          <cell r="H63">
            <v>222</v>
          </cell>
          <cell r="I63">
            <v>162</v>
          </cell>
          <cell r="J63">
            <v>157</v>
          </cell>
          <cell r="K63">
            <v>149</v>
          </cell>
          <cell r="L63" t="str">
            <v>10</v>
          </cell>
          <cell r="M63" t="str">
            <v>23</v>
          </cell>
          <cell r="N63" t="str">
            <v>39</v>
          </cell>
          <cell r="R63">
            <v>151</v>
          </cell>
          <cell r="S63">
            <v>144</v>
          </cell>
          <cell r="T63">
            <v>2120</v>
          </cell>
        </row>
        <row r="64">
          <cell r="A64" t="str">
            <v>ANTH-102H</v>
          </cell>
          <cell r="B64">
            <v>3</v>
          </cell>
          <cell r="C64">
            <v>7</v>
          </cell>
          <cell r="D64">
            <v>2</v>
          </cell>
          <cell r="E64">
            <v>3</v>
          </cell>
          <cell r="F64">
            <v>4</v>
          </cell>
          <cell r="G64">
            <v>3</v>
          </cell>
          <cell r="H64">
            <v>2</v>
          </cell>
          <cell r="I64">
            <v>3</v>
          </cell>
          <cell r="J64">
            <v>3</v>
          </cell>
          <cell r="K64">
            <v>2</v>
          </cell>
          <cell r="R64">
            <v>4</v>
          </cell>
          <cell r="S64">
            <v>3</v>
          </cell>
          <cell r="T64">
            <v>39</v>
          </cell>
        </row>
        <row r="65">
          <cell r="A65" t="str">
            <v>ANTH-104</v>
          </cell>
          <cell r="B65">
            <v>30</v>
          </cell>
          <cell r="C65">
            <v>12</v>
          </cell>
          <cell r="D65">
            <v>40</v>
          </cell>
          <cell r="E65">
            <v>42</v>
          </cell>
          <cell r="F65">
            <v>39</v>
          </cell>
          <cell r="G65">
            <v>18</v>
          </cell>
          <cell r="R65">
            <v>41</v>
          </cell>
          <cell r="T65">
            <v>222</v>
          </cell>
        </row>
        <row r="66">
          <cell r="A66" t="str">
            <v>ANTH-104H</v>
          </cell>
          <cell r="B66">
            <v>5</v>
          </cell>
          <cell r="D66">
            <v>1</v>
          </cell>
          <cell r="F66">
            <v>2</v>
          </cell>
          <cell r="T66">
            <v>8</v>
          </cell>
        </row>
        <row r="67">
          <cell r="A67" t="str">
            <v>ANTH-115</v>
          </cell>
          <cell r="B67">
            <v>13</v>
          </cell>
          <cell r="G67">
            <v>25</v>
          </cell>
          <cell r="H67">
            <v>40</v>
          </cell>
          <cell r="I67">
            <v>40</v>
          </cell>
          <cell r="J67">
            <v>43</v>
          </cell>
          <cell r="K67">
            <v>40</v>
          </cell>
          <cell r="S67">
            <v>41</v>
          </cell>
          <cell r="T67">
            <v>242</v>
          </cell>
        </row>
        <row r="68">
          <cell r="A68" t="str">
            <v>ANTH-121</v>
          </cell>
          <cell r="B68">
            <v>36</v>
          </cell>
          <cell r="C68">
            <v>17</v>
          </cell>
          <cell r="D68">
            <v>50</v>
          </cell>
          <cell r="E68">
            <v>30</v>
          </cell>
          <cell r="F68">
            <v>20</v>
          </cell>
          <cell r="G68">
            <v>18</v>
          </cell>
          <cell r="H68">
            <v>29</v>
          </cell>
          <cell r="I68">
            <v>27</v>
          </cell>
          <cell r="J68">
            <v>28</v>
          </cell>
          <cell r="K68">
            <v>23</v>
          </cell>
          <cell r="M68" t="str">
            <v>4</v>
          </cell>
          <cell r="R68">
            <v>13</v>
          </cell>
          <cell r="S68">
            <v>21</v>
          </cell>
          <cell r="T68">
            <v>316</v>
          </cell>
        </row>
        <row r="69">
          <cell r="A69" t="str">
            <v>ANTH-125</v>
          </cell>
          <cell r="D69">
            <v>45</v>
          </cell>
          <cell r="E69">
            <v>41</v>
          </cell>
          <cell r="F69">
            <v>42</v>
          </cell>
          <cell r="I69">
            <v>47</v>
          </cell>
          <cell r="J69">
            <v>38</v>
          </cell>
          <cell r="K69">
            <v>41</v>
          </cell>
          <cell r="R69">
            <v>38</v>
          </cell>
          <cell r="T69">
            <v>292</v>
          </cell>
        </row>
        <row r="70">
          <cell r="A70" t="str">
            <v>ANTH-145</v>
          </cell>
          <cell r="K70">
            <v>22</v>
          </cell>
          <cell r="T70">
            <v>22</v>
          </cell>
        </row>
        <row r="71">
          <cell r="A71" t="str">
            <v>ANTH-201</v>
          </cell>
          <cell r="B71">
            <v>14</v>
          </cell>
          <cell r="G71">
            <v>19</v>
          </cell>
          <cell r="H71">
            <v>36</v>
          </cell>
          <cell r="I71">
            <v>41</v>
          </cell>
          <cell r="J71">
            <v>40</v>
          </cell>
          <cell r="S71">
            <v>28</v>
          </cell>
          <cell r="T71">
            <v>178</v>
          </cell>
        </row>
        <row r="72">
          <cell r="A72" t="str">
            <v>ANTH-299</v>
          </cell>
          <cell r="D72">
            <v>1</v>
          </cell>
          <cell r="G72">
            <v>3</v>
          </cell>
          <cell r="T72">
            <v>4</v>
          </cell>
        </row>
        <row r="73">
          <cell r="A73" t="str">
            <v>ART-093</v>
          </cell>
          <cell r="E73">
            <v>11</v>
          </cell>
          <cell r="F73">
            <v>15</v>
          </cell>
          <cell r="J73">
            <v>13</v>
          </cell>
          <cell r="K73">
            <v>16</v>
          </cell>
          <cell r="R73">
            <v>12</v>
          </cell>
          <cell r="S73">
            <v>16</v>
          </cell>
          <cell r="T73">
            <v>83</v>
          </cell>
        </row>
        <row r="74">
          <cell r="A74" t="str">
            <v>ART-095</v>
          </cell>
          <cell r="E74">
            <v>16</v>
          </cell>
          <cell r="F74">
            <v>13</v>
          </cell>
          <cell r="J74">
            <v>20</v>
          </cell>
          <cell r="K74">
            <v>11</v>
          </cell>
          <cell r="R74">
            <v>19</v>
          </cell>
          <cell r="S74">
            <v>17</v>
          </cell>
          <cell r="T74">
            <v>96</v>
          </cell>
        </row>
        <row r="75">
          <cell r="A75" t="str">
            <v>ART-100</v>
          </cell>
          <cell r="B75">
            <v>45</v>
          </cell>
          <cell r="C75">
            <v>40</v>
          </cell>
          <cell r="D75">
            <v>48</v>
          </cell>
          <cell r="E75">
            <v>41</v>
          </cell>
          <cell r="F75">
            <v>47</v>
          </cell>
          <cell r="G75">
            <v>36</v>
          </cell>
          <cell r="H75">
            <v>43</v>
          </cell>
          <cell r="I75">
            <v>55</v>
          </cell>
          <cell r="J75">
            <v>43</v>
          </cell>
          <cell r="K75">
            <v>41</v>
          </cell>
          <cell r="M75" t="str">
            <v>26</v>
          </cell>
          <cell r="R75">
            <v>51</v>
          </cell>
          <cell r="S75">
            <v>45</v>
          </cell>
          <cell r="T75">
            <v>561</v>
          </cell>
        </row>
        <row r="76">
          <cell r="A76" t="str">
            <v>ART-101</v>
          </cell>
          <cell r="B76">
            <v>41</v>
          </cell>
          <cell r="C76">
            <v>43</v>
          </cell>
          <cell r="D76">
            <v>43</v>
          </cell>
          <cell r="E76">
            <v>45</v>
          </cell>
          <cell r="F76">
            <v>48</v>
          </cell>
          <cell r="G76">
            <v>48</v>
          </cell>
          <cell r="H76">
            <v>38</v>
          </cell>
          <cell r="I76">
            <v>54</v>
          </cell>
          <cell r="J76">
            <v>49</v>
          </cell>
          <cell r="K76">
            <v>46</v>
          </cell>
          <cell r="R76">
            <v>50</v>
          </cell>
          <cell r="S76">
            <v>48</v>
          </cell>
          <cell r="T76">
            <v>553</v>
          </cell>
        </row>
        <row r="77">
          <cell r="A77" t="str">
            <v>ART-101H</v>
          </cell>
          <cell r="B77">
            <v>3</v>
          </cell>
          <cell r="D77">
            <v>2</v>
          </cell>
          <cell r="E77">
            <v>3</v>
          </cell>
          <cell r="G77">
            <v>2</v>
          </cell>
          <cell r="H77">
            <v>3</v>
          </cell>
          <cell r="I77">
            <v>1</v>
          </cell>
          <cell r="T77">
            <v>14</v>
          </cell>
        </row>
        <row r="78">
          <cell r="A78" t="str">
            <v>ART-102</v>
          </cell>
          <cell r="B78">
            <v>81</v>
          </cell>
          <cell r="C78">
            <v>93</v>
          </cell>
          <cell r="D78">
            <v>85</v>
          </cell>
          <cell r="E78">
            <v>82</v>
          </cell>
          <cell r="F78">
            <v>42</v>
          </cell>
          <cell r="G78">
            <v>82</v>
          </cell>
          <cell r="H78">
            <v>85</v>
          </cell>
          <cell r="I78">
            <v>96</v>
          </cell>
          <cell r="J78">
            <v>92</v>
          </cell>
          <cell r="K78">
            <v>88</v>
          </cell>
          <cell r="L78" t="str">
            <v>21</v>
          </cell>
          <cell r="M78" t="str">
            <v>30</v>
          </cell>
          <cell r="R78">
            <v>91</v>
          </cell>
          <cell r="S78">
            <v>91</v>
          </cell>
          <cell r="T78">
            <v>1059</v>
          </cell>
        </row>
        <row r="79">
          <cell r="A79" t="str">
            <v>ART-102H</v>
          </cell>
          <cell r="B79">
            <v>2</v>
          </cell>
          <cell r="C79">
            <v>2</v>
          </cell>
          <cell r="D79">
            <v>9</v>
          </cell>
          <cell r="E79">
            <v>7</v>
          </cell>
          <cell r="G79">
            <v>11</v>
          </cell>
          <cell r="H79">
            <v>4</v>
          </cell>
          <cell r="I79">
            <v>4</v>
          </cell>
          <cell r="J79">
            <v>3</v>
          </cell>
          <cell r="K79">
            <v>1</v>
          </cell>
          <cell r="R79">
            <v>2</v>
          </cell>
          <cell r="S79">
            <v>2</v>
          </cell>
          <cell r="T79">
            <v>47</v>
          </cell>
        </row>
        <row r="80">
          <cell r="A80" t="str">
            <v>ART-103</v>
          </cell>
          <cell r="B80">
            <v>32</v>
          </cell>
          <cell r="C80">
            <v>27</v>
          </cell>
          <cell r="D80">
            <v>30</v>
          </cell>
          <cell r="G80">
            <v>36</v>
          </cell>
          <cell r="H80">
            <v>36</v>
          </cell>
          <cell r="I80">
            <v>40</v>
          </cell>
          <cell r="K80">
            <v>29</v>
          </cell>
          <cell r="R80">
            <v>39</v>
          </cell>
          <cell r="S80">
            <v>29</v>
          </cell>
          <cell r="T80">
            <v>298</v>
          </cell>
        </row>
        <row r="81">
          <cell r="A81" t="str">
            <v>ART-103H</v>
          </cell>
          <cell r="B81">
            <v>3</v>
          </cell>
          <cell r="C81">
            <v>2</v>
          </cell>
          <cell r="G81">
            <v>2</v>
          </cell>
          <cell r="I81">
            <v>4</v>
          </cell>
          <cell r="K81">
            <v>2</v>
          </cell>
          <cell r="S81">
            <v>2</v>
          </cell>
          <cell r="T81">
            <v>15</v>
          </cell>
        </row>
        <row r="82">
          <cell r="A82" t="str">
            <v>ART-108</v>
          </cell>
          <cell r="B82">
            <v>153</v>
          </cell>
          <cell r="C82">
            <v>155</v>
          </cell>
          <cell r="D82">
            <v>213</v>
          </cell>
          <cell r="E82">
            <v>160</v>
          </cell>
          <cell r="F82">
            <v>160</v>
          </cell>
          <cell r="G82">
            <v>151</v>
          </cell>
          <cell r="H82">
            <v>144</v>
          </cell>
          <cell r="I82">
            <v>165</v>
          </cell>
          <cell r="J82">
            <v>163</v>
          </cell>
          <cell r="K82">
            <v>129</v>
          </cell>
          <cell r="L82" t="str">
            <v>21</v>
          </cell>
          <cell r="M82" t="str">
            <v>28</v>
          </cell>
          <cell r="R82">
            <v>134</v>
          </cell>
          <cell r="S82">
            <v>116</v>
          </cell>
          <cell r="T82">
            <v>1892</v>
          </cell>
        </row>
        <row r="83">
          <cell r="A83" t="str">
            <v>ART-109</v>
          </cell>
          <cell r="B83">
            <v>16</v>
          </cell>
          <cell r="D83">
            <v>28</v>
          </cell>
          <cell r="E83">
            <v>23</v>
          </cell>
          <cell r="F83">
            <v>29</v>
          </cell>
          <cell r="G83">
            <v>17</v>
          </cell>
          <cell r="H83">
            <v>28</v>
          </cell>
          <cell r="K83">
            <v>29</v>
          </cell>
          <cell r="R83">
            <v>26</v>
          </cell>
          <cell r="T83">
            <v>196</v>
          </cell>
        </row>
        <row r="84">
          <cell r="A84" t="str">
            <v>ART-112</v>
          </cell>
          <cell r="B84">
            <v>17</v>
          </cell>
          <cell r="C84">
            <v>10</v>
          </cell>
          <cell r="G84">
            <v>19</v>
          </cell>
          <cell r="I84">
            <v>35</v>
          </cell>
          <cell r="J84">
            <v>31</v>
          </cell>
          <cell r="K84">
            <v>28</v>
          </cell>
          <cell r="S84">
            <v>26</v>
          </cell>
          <cell r="T84">
            <v>166</v>
          </cell>
        </row>
        <row r="85">
          <cell r="A85" t="str">
            <v>ART-115</v>
          </cell>
          <cell r="B85">
            <v>12</v>
          </cell>
          <cell r="C85">
            <v>20</v>
          </cell>
          <cell r="D85">
            <v>18</v>
          </cell>
          <cell r="E85">
            <v>33</v>
          </cell>
          <cell r="F85">
            <v>25</v>
          </cell>
          <cell r="G85">
            <v>13</v>
          </cell>
          <cell r="H85">
            <v>21</v>
          </cell>
          <cell r="I85">
            <v>25</v>
          </cell>
          <cell r="J85">
            <v>40</v>
          </cell>
          <cell r="K85">
            <v>37</v>
          </cell>
          <cell r="R85">
            <v>38</v>
          </cell>
          <cell r="S85">
            <v>35</v>
          </cell>
          <cell r="T85">
            <v>317</v>
          </cell>
        </row>
        <row r="86">
          <cell r="A86" t="str">
            <v>ART-116</v>
          </cell>
          <cell r="B86">
            <v>7</v>
          </cell>
          <cell r="C86">
            <v>8</v>
          </cell>
          <cell r="D86">
            <v>14</v>
          </cell>
          <cell r="E86">
            <v>14</v>
          </cell>
          <cell r="F86">
            <v>3</v>
          </cell>
          <cell r="G86">
            <v>7</v>
          </cell>
          <cell r="H86">
            <v>11</v>
          </cell>
          <cell r="I86">
            <v>7</v>
          </cell>
          <cell r="J86">
            <v>15</v>
          </cell>
          <cell r="K86">
            <v>18</v>
          </cell>
          <cell r="R86">
            <v>11</v>
          </cell>
          <cell r="S86">
            <v>17</v>
          </cell>
          <cell r="T86">
            <v>132</v>
          </cell>
        </row>
        <row r="87">
          <cell r="A87" t="str">
            <v>ART-118</v>
          </cell>
          <cell r="B87">
            <v>6</v>
          </cell>
          <cell r="C87">
            <v>8</v>
          </cell>
          <cell r="G87">
            <v>19</v>
          </cell>
          <cell r="T87">
            <v>33</v>
          </cell>
        </row>
        <row r="88">
          <cell r="A88" t="str">
            <v>ART-120</v>
          </cell>
          <cell r="B88">
            <v>103</v>
          </cell>
          <cell r="C88">
            <v>116</v>
          </cell>
          <cell r="D88">
            <v>105</v>
          </cell>
          <cell r="E88">
            <v>112</v>
          </cell>
          <cell r="F88">
            <v>113</v>
          </cell>
          <cell r="G88">
            <v>101</v>
          </cell>
          <cell r="H88">
            <v>121</v>
          </cell>
          <cell r="I88">
            <v>96</v>
          </cell>
          <cell r="J88">
            <v>99</v>
          </cell>
          <cell r="K88">
            <v>110</v>
          </cell>
          <cell r="L88" t="str">
            <v>8</v>
          </cell>
          <cell r="M88" t="str">
            <v>17</v>
          </cell>
          <cell r="O88" t="str">
            <v>18</v>
          </cell>
          <cell r="R88">
            <v>92</v>
          </cell>
          <cell r="S88">
            <v>89</v>
          </cell>
          <cell r="T88">
            <v>1300</v>
          </cell>
        </row>
        <row r="89">
          <cell r="A89" t="str">
            <v>ART-122</v>
          </cell>
          <cell r="B89">
            <v>11</v>
          </cell>
          <cell r="C89">
            <v>14</v>
          </cell>
          <cell r="D89">
            <v>23</v>
          </cell>
          <cell r="E89">
            <v>24</v>
          </cell>
          <cell r="F89">
            <v>32</v>
          </cell>
          <cell r="G89">
            <v>9</v>
          </cell>
          <cell r="H89">
            <v>23</v>
          </cell>
          <cell r="I89">
            <v>23</v>
          </cell>
          <cell r="J89">
            <v>25</v>
          </cell>
          <cell r="K89">
            <v>24</v>
          </cell>
          <cell r="R89">
            <v>23</v>
          </cell>
          <cell r="S89">
            <v>20</v>
          </cell>
          <cell r="T89">
            <v>251</v>
          </cell>
        </row>
        <row r="90">
          <cell r="A90" t="str">
            <v>ART-123</v>
          </cell>
          <cell r="B90">
            <v>11</v>
          </cell>
          <cell r="C90">
            <v>12</v>
          </cell>
          <cell r="D90">
            <v>7</v>
          </cell>
          <cell r="E90">
            <v>15</v>
          </cell>
          <cell r="F90">
            <v>18</v>
          </cell>
          <cell r="G90">
            <v>17</v>
          </cell>
          <cell r="H90">
            <v>11</v>
          </cell>
          <cell r="J90">
            <v>14</v>
          </cell>
          <cell r="K90">
            <v>11</v>
          </cell>
          <cell r="R90">
            <v>16</v>
          </cell>
          <cell r="S90">
            <v>18</v>
          </cell>
          <cell r="T90">
            <v>150</v>
          </cell>
        </row>
        <row r="91">
          <cell r="A91" t="str">
            <v>ART-124</v>
          </cell>
          <cell r="E91">
            <v>7</v>
          </cell>
          <cell r="I91">
            <v>5</v>
          </cell>
          <cell r="T91">
            <v>12</v>
          </cell>
        </row>
        <row r="92">
          <cell r="A92" t="str">
            <v>ART-125</v>
          </cell>
          <cell r="B92">
            <v>13</v>
          </cell>
          <cell r="C92">
            <v>18</v>
          </cell>
          <cell r="D92">
            <v>24</v>
          </cell>
          <cell r="E92">
            <v>21</v>
          </cell>
          <cell r="F92">
            <v>18</v>
          </cell>
          <cell r="G92">
            <v>11</v>
          </cell>
          <cell r="H92">
            <v>17</v>
          </cell>
          <cell r="I92">
            <v>23</v>
          </cell>
          <cell r="J92">
            <v>21</v>
          </cell>
          <cell r="K92">
            <v>16</v>
          </cell>
          <cell r="R92">
            <v>23</v>
          </cell>
          <cell r="S92">
            <v>15</v>
          </cell>
          <cell r="T92">
            <v>220</v>
          </cell>
        </row>
        <row r="93">
          <cell r="A93" t="str">
            <v>ART-130A</v>
          </cell>
          <cell r="B93">
            <v>23</v>
          </cell>
          <cell r="C93">
            <v>21</v>
          </cell>
          <cell r="D93">
            <v>23</v>
          </cell>
          <cell r="E93">
            <v>43</v>
          </cell>
          <cell r="F93">
            <v>41</v>
          </cell>
          <cell r="G93">
            <v>16</v>
          </cell>
          <cell r="H93">
            <v>23</v>
          </cell>
          <cell r="I93">
            <v>43</v>
          </cell>
          <cell r="J93">
            <v>47</v>
          </cell>
          <cell r="K93">
            <v>42</v>
          </cell>
          <cell r="R93">
            <v>44</v>
          </cell>
          <cell r="S93">
            <v>42</v>
          </cell>
          <cell r="T93">
            <v>408</v>
          </cell>
        </row>
        <row r="94">
          <cell r="A94" t="str">
            <v>ART-130B</v>
          </cell>
          <cell r="B94">
            <v>11</v>
          </cell>
          <cell r="C94">
            <v>23</v>
          </cell>
          <cell r="D94">
            <v>19</v>
          </cell>
          <cell r="E94">
            <v>25</v>
          </cell>
          <cell r="F94">
            <v>31</v>
          </cell>
          <cell r="G94">
            <v>10</v>
          </cell>
          <cell r="H94">
            <v>22</v>
          </cell>
          <cell r="I94">
            <v>33</v>
          </cell>
          <cell r="J94">
            <v>26</v>
          </cell>
          <cell r="K94">
            <v>28</v>
          </cell>
          <cell r="R94">
            <v>23</v>
          </cell>
          <cell r="S94">
            <v>30</v>
          </cell>
          <cell r="T94">
            <v>281</v>
          </cell>
        </row>
        <row r="95">
          <cell r="A95" t="str">
            <v>ART-141</v>
          </cell>
          <cell r="D95">
            <v>23</v>
          </cell>
          <cell r="E95">
            <v>18</v>
          </cell>
          <cell r="F95">
            <v>16</v>
          </cell>
          <cell r="I95">
            <v>25</v>
          </cell>
          <cell r="J95">
            <v>15</v>
          </cell>
          <cell r="R95">
            <v>21</v>
          </cell>
          <cell r="S95">
            <v>16</v>
          </cell>
          <cell r="T95">
            <v>134</v>
          </cell>
        </row>
        <row r="96">
          <cell r="A96" t="str">
            <v>ART-151</v>
          </cell>
          <cell r="B96">
            <v>106</v>
          </cell>
          <cell r="C96">
            <v>124</v>
          </cell>
          <cell r="D96">
            <v>126</v>
          </cell>
          <cell r="E96">
            <v>125</v>
          </cell>
          <cell r="F96">
            <v>137</v>
          </cell>
          <cell r="G96">
            <v>107</v>
          </cell>
          <cell r="H96">
            <v>127</v>
          </cell>
          <cell r="I96">
            <v>124</v>
          </cell>
          <cell r="J96">
            <v>120</v>
          </cell>
          <cell r="K96">
            <v>113</v>
          </cell>
          <cell r="L96" t="str">
            <v>20</v>
          </cell>
          <cell r="M96" t="str">
            <v>54</v>
          </cell>
          <cell r="R96">
            <v>132</v>
          </cell>
          <cell r="S96">
            <v>117</v>
          </cell>
          <cell r="T96">
            <v>1532</v>
          </cell>
        </row>
        <row r="97">
          <cell r="A97" t="str">
            <v>ART-160</v>
          </cell>
          <cell r="E97">
            <v>32</v>
          </cell>
          <cell r="F97">
            <v>23</v>
          </cell>
          <cell r="J97">
            <v>30</v>
          </cell>
          <cell r="K97">
            <v>25</v>
          </cell>
          <cell r="R97">
            <v>28</v>
          </cell>
          <cell r="S97">
            <v>25</v>
          </cell>
          <cell r="T97">
            <v>163</v>
          </cell>
        </row>
        <row r="98">
          <cell r="A98" t="str">
            <v>ART-223</v>
          </cell>
          <cell r="B98">
            <v>3</v>
          </cell>
          <cell r="C98">
            <v>4</v>
          </cell>
          <cell r="D98">
            <v>1</v>
          </cell>
          <cell r="E98">
            <v>2</v>
          </cell>
          <cell r="G98">
            <v>2</v>
          </cell>
          <cell r="H98">
            <v>1</v>
          </cell>
          <cell r="J98">
            <v>3</v>
          </cell>
          <cell r="K98">
            <v>3</v>
          </cell>
          <cell r="R98">
            <v>2</v>
          </cell>
          <cell r="S98">
            <v>3</v>
          </cell>
          <cell r="T98">
            <v>24</v>
          </cell>
        </row>
        <row r="99">
          <cell r="A99" t="str">
            <v>ART-299A</v>
          </cell>
          <cell r="M99" t="str">
            <v>1</v>
          </cell>
          <cell r="T99">
            <v>1</v>
          </cell>
        </row>
        <row r="100">
          <cell r="A100" t="str">
            <v>ART-299B</v>
          </cell>
          <cell r="B100">
            <v>1</v>
          </cell>
          <cell r="D100">
            <v>1</v>
          </cell>
          <cell r="E100">
            <v>1</v>
          </cell>
          <cell r="H100">
            <v>1</v>
          </cell>
          <cell r="J100">
            <v>1</v>
          </cell>
          <cell r="T100">
            <v>5</v>
          </cell>
        </row>
        <row r="101">
          <cell r="A101" t="str">
            <v>ART-299C</v>
          </cell>
          <cell r="B101">
            <v>3</v>
          </cell>
          <cell r="C101">
            <v>5</v>
          </cell>
          <cell r="E101">
            <v>1</v>
          </cell>
          <cell r="G101">
            <v>4</v>
          </cell>
          <cell r="H101">
            <v>5</v>
          </cell>
          <cell r="I101">
            <v>1</v>
          </cell>
          <cell r="L101" t="str">
            <v>1</v>
          </cell>
          <cell r="M101" t="str">
            <v>5</v>
          </cell>
          <cell r="T101">
            <v>25</v>
          </cell>
        </row>
        <row r="102">
          <cell r="A102" t="str">
            <v>ART-299D</v>
          </cell>
          <cell r="C102">
            <v>1</v>
          </cell>
          <cell r="T102">
            <v>1</v>
          </cell>
        </row>
        <row r="103">
          <cell r="A103" t="str">
            <v>ART-299I</v>
          </cell>
          <cell r="M103" t="str">
            <v>1</v>
          </cell>
          <cell r="T103">
            <v>1</v>
          </cell>
        </row>
        <row r="104">
          <cell r="A104" t="str">
            <v>ART-299P</v>
          </cell>
          <cell r="C104">
            <v>1</v>
          </cell>
          <cell r="G104">
            <v>1</v>
          </cell>
          <cell r="I104">
            <v>1</v>
          </cell>
          <cell r="S104">
            <v>3</v>
          </cell>
          <cell r="T104">
            <v>6</v>
          </cell>
        </row>
        <row r="105">
          <cell r="A105" t="str">
            <v>ASL-100</v>
          </cell>
          <cell r="B105">
            <v>127</v>
          </cell>
          <cell r="C105">
            <v>235</v>
          </cell>
          <cell r="D105">
            <v>222</v>
          </cell>
          <cell r="E105">
            <v>196</v>
          </cell>
          <cell r="F105">
            <v>192</v>
          </cell>
          <cell r="G105">
            <v>129</v>
          </cell>
          <cell r="H105">
            <v>202</v>
          </cell>
          <cell r="I105">
            <v>200</v>
          </cell>
          <cell r="J105">
            <v>192</v>
          </cell>
          <cell r="K105">
            <v>207</v>
          </cell>
          <cell r="L105" t="str">
            <v>56</v>
          </cell>
          <cell r="M105" t="str">
            <v>58</v>
          </cell>
          <cell r="N105" t="str">
            <v>21</v>
          </cell>
          <cell r="R105">
            <v>199</v>
          </cell>
          <cell r="S105">
            <v>161</v>
          </cell>
          <cell r="T105">
            <v>2397</v>
          </cell>
        </row>
        <row r="106">
          <cell r="A106" t="str">
            <v>ASL-101</v>
          </cell>
          <cell r="B106">
            <v>74</v>
          </cell>
          <cell r="C106">
            <v>61</v>
          </cell>
          <cell r="D106">
            <v>78</v>
          </cell>
          <cell r="E106">
            <v>57</v>
          </cell>
          <cell r="F106">
            <v>58</v>
          </cell>
          <cell r="G106">
            <v>49</v>
          </cell>
          <cell r="H106">
            <v>88</v>
          </cell>
          <cell r="I106">
            <v>92</v>
          </cell>
          <cell r="J106">
            <v>73</v>
          </cell>
          <cell r="K106">
            <v>58</v>
          </cell>
          <cell r="L106" t="str">
            <v>16</v>
          </cell>
          <cell r="M106" t="str">
            <v>18</v>
          </cell>
          <cell r="R106">
            <v>83</v>
          </cell>
          <cell r="S106">
            <v>56</v>
          </cell>
          <cell r="T106">
            <v>861</v>
          </cell>
        </row>
        <row r="107">
          <cell r="A107" t="str">
            <v>ASL-102</v>
          </cell>
          <cell r="G107">
            <v>9</v>
          </cell>
          <cell r="H107">
            <v>21</v>
          </cell>
          <cell r="I107">
            <v>29</v>
          </cell>
          <cell r="J107">
            <v>12</v>
          </cell>
          <cell r="K107">
            <v>13</v>
          </cell>
          <cell r="S107">
            <v>13</v>
          </cell>
          <cell r="T107">
            <v>97</v>
          </cell>
        </row>
        <row r="108">
          <cell r="A108" t="str">
            <v>ASL-103</v>
          </cell>
          <cell r="B108">
            <v>19</v>
          </cell>
          <cell r="C108">
            <v>41</v>
          </cell>
          <cell r="D108">
            <v>20</v>
          </cell>
          <cell r="E108">
            <v>21</v>
          </cell>
          <cell r="F108">
            <v>30</v>
          </cell>
          <cell r="G108">
            <v>39</v>
          </cell>
          <cell r="H108">
            <v>27</v>
          </cell>
          <cell r="I108">
            <v>31</v>
          </cell>
          <cell r="J108">
            <v>25</v>
          </cell>
          <cell r="K108">
            <v>28</v>
          </cell>
          <cell r="R108">
            <v>24</v>
          </cell>
          <cell r="S108">
            <v>29</v>
          </cell>
          <cell r="T108">
            <v>334</v>
          </cell>
        </row>
        <row r="109">
          <cell r="A109" t="str">
            <v>ASL-104</v>
          </cell>
          <cell r="B109">
            <v>7</v>
          </cell>
          <cell r="C109">
            <v>15</v>
          </cell>
          <cell r="D109">
            <v>20</v>
          </cell>
          <cell r="E109">
            <v>12</v>
          </cell>
          <cell r="F109">
            <v>17</v>
          </cell>
          <cell r="G109">
            <v>5</v>
          </cell>
          <cell r="H109">
            <v>8</v>
          </cell>
          <cell r="I109">
            <v>13</v>
          </cell>
          <cell r="J109">
            <v>14</v>
          </cell>
          <cell r="K109">
            <v>4</v>
          </cell>
          <cell r="S109">
            <v>7</v>
          </cell>
          <cell r="T109">
            <v>122</v>
          </cell>
        </row>
        <row r="110">
          <cell r="A110" t="str">
            <v>ASL-105</v>
          </cell>
          <cell r="D110">
            <v>3</v>
          </cell>
          <cell r="E110">
            <v>11</v>
          </cell>
          <cell r="H110">
            <v>12</v>
          </cell>
          <cell r="J110">
            <v>8</v>
          </cell>
          <cell r="K110">
            <v>8</v>
          </cell>
          <cell r="T110">
            <v>42</v>
          </cell>
        </row>
        <row r="111">
          <cell r="A111" t="str">
            <v>ASL-110</v>
          </cell>
          <cell r="B111">
            <v>30</v>
          </cell>
          <cell r="C111">
            <v>26</v>
          </cell>
          <cell r="D111">
            <v>27</v>
          </cell>
          <cell r="E111">
            <v>26</v>
          </cell>
          <cell r="F111">
            <v>31</v>
          </cell>
          <cell r="G111">
            <v>32</v>
          </cell>
          <cell r="H111">
            <v>26</v>
          </cell>
          <cell r="I111">
            <v>29</v>
          </cell>
          <cell r="J111">
            <v>27</v>
          </cell>
          <cell r="K111">
            <v>27</v>
          </cell>
          <cell r="R111">
            <v>29</v>
          </cell>
          <cell r="S111">
            <v>27</v>
          </cell>
          <cell r="T111">
            <v>337</v>
          </cell>
        </row>
        <row r="112">
          <cell r="A112" t="str">
            <v>ASL-150</v>
          </cell>
          <cell r="D112">
            <v>4</v>
          </cell>
          <cell r="K112">
            <v>4</v>
          </cell>
          <cell r="T112">
            <v>8</v>
          </cell>
        </row>
        <row r="113">
          <cell r="A113" t="str">
            <v>ASL-299</v>
          </cell>
          <cell r="E113">
            <v>2</v>
          </cell>
          <cell r="F113">
            <v>1</v>
          </cell>
          <cell r="I113">
            <v>1</v>
          </cell>
          <cell r="S113">
            <v>4</v>
          </cell>
          <cell r="T113">
            <v>8</v>
          </cell>
        </row>
        <row r="114">
          <cell r="A114" t="str">
            <v>ASTR-101</v>
          </cell>
          <cell r="B114">
            <v>57</v>
          </cell>
          <cell r="C114">
            <v>62</v>
          </cell>
          <cell r="D114">
            <v>62</v>
          </cell>
          <cell r="E114">
            <v>70</v>
          </cell>
          <cell r="F114">
            <v>83</v>
          </cell>
          <cell r="G114">
            <v>56</v>
          </cell>
          <cell r="H114">
            <v>66</v>
          </cell>
          <cell r="I114">
            <v>64</v>
          </cell>
          <cell r="J114">
            <v>70</v>
          </cell>
          <cell r="K114">
            <v>74</v>
          </cell>
          <cell r="R114">
            <v>63</v>
          </cell>
          <cell r="S114">
            <v>56</v>
          </cell>
          <cell r="T114">
            <v>783</v>
          </cell>
        </row>
        <row r="115">
          <cell r="A115" t="str">
            <v>ASTR-111</v>
          </cell>
          <cell r="G115">
            <v>22</v>
          </cell>
          <cell r="H115">
            <v>23</v>
          </cell>
          <cell r="I115">
            <v>22</v>
          </cell>
          <cell r="J115">
            <v>24</v>
          </cell>
          <cell r="K115">
            <v>30</v>
          </cell>
          <cell r="T115">
            <v>121</v>
          </cell>
        </row>
        <row r="116">
          <cell r="A116" t="str">
            <v>ASTR-299</v>
          </cell>
          <cell r="J116">
            <v>1</v>
          </cell>
          <cell r="S116">
            <v>1</v>
          </cell>
          <cell r="T116">
            <v>2</v>
          </cell>
        </row>
        <row r="117">
          <cell r="A117" t="str">
            <v>AUD-152</v>
          </cell>
          <cell r="D117">
            <v>10</v>
          </cell>
          <cell r="E117">
            <v>25</v>
          </cell>
          <cell r="F117">
            <v>20</v>
          </cell>
          <cell r="G117">
            <v>12</v>
          </cell>
          <cell r="H117">
            <v>8</v>
          </cell>
          <cell r="I117">
            <v>5</v>
          </cell>
          <cell r="J117">
            <v>21</v>
          </cell>
          <cell r="K117">
            <v>19</v>
          </cell>
          <cell r="L117" t="str">
            <v>2</v>
          </cell>
          <cell r="M117" t="str">
            <v>4</v>
          </cell>
          <cell r="R117">
            <v>23</v>
          </cell>
          <cell r="S117">
            <v>16</v>
          </cell>
          <cell r="T117">
            <v>165</v>
          </cell>
        </row>
        <row r="118">
          <cell r="A118" t="str">
            <v>AUD-153</v>
          </cell>
          <cell r="D118">
            <v>2</v>
          </cell>
          <cell r="E118">
            <v>6</v>
          </cell>
          <cell r="F118">
            <v>7</v>
          </cell>
          <cell r="I118">
            <v>2</v>
          </cell>
          <cell r="J118">
            <v>7</v>
          </cell>
          <cell r="K118">
            <v>10</v>
          </cell>
          <cell r="R118">
            <v>3</v>
          </cell>
          <cell r="S118">
            <v>5</v>
          </cell>
          <cell r="T118">
            <v>42</v>
          </cell>
        </row>
        <row r="119">
          <cell r="A119" t="str">
            <v>AUME-101</v>
          </cell>
          <cell r="E119">
            <v>10</v>
          </cell>
          <cell r="F119">
            <v>19</v>
          </cell>
          <cell r="J119">
            <v>10</v>
          </cell>
          <cell r="T119">
            <v>39</v>
          </cell>
        </row>
        <row r="120">
          <cell r="A120" t="str">
            <v>BADM-085</v>
          </cell>
          <cell r="K120">
            <v>29</v>
          </cell>
          <cell r="S120">
            <v>23</v>
          </cell>
          <cell r="T120">
            <v>52</v>
          </cell>
        </row>
        <row r="121">
          <cell r="A121" t="str">
            <v>BADM-098E</v>
          </cell>
          <cell r="G121">
            <v>11</v>
          </cell>
          <cell r="T121">
            <v>11</v>
          </cell>
        </row>
        <row r="122">
          <cell r="A122" t="str">
            <v>BADM-098F</v>
          </cell>
          <cell r="G122">
            <v>6</v>
          </cell>
          <cell r="T122">
            <v>6</v>
          </cell>
        </row>
        <row r="123">
          <cell r="A123" t="str">
            <v>BADM-103</v>
          </cell>
          <cell r="B123">
            <v>86</v>
          </cell>
          <cell r="C123">
            <v>81</v>
          </cell>
          <cell r="D123">
            <v>38</v>
          </cell>
          <cell r="E123">
            <v>113</v>
          </cell>
          <cell r="F123">
            <v>121</v>
          </cell>
          <cell r="G123">
            <v>86</v>
          </cell>
          <cell r="H123">
            <v>95</v>
          </cell>
          <cell r="I123">
            <v>80</v>
          </cell>
          <cell r="J123">
            <v>47</v>
          </cell>
          <cell r="K123">
            <v>51</v>
          </cell>
          <cell r="R123">
            <v>112</v>
          </cell>
          <cell r="S123">
            <v>99</v>
          </cell>
          <cell r="T123">
            <v>1009</v>
          </cell>
        </row>
        <row r="124">
          <cell r="A124" t="str">
            <v>BADM-103H</v>
          </cell>
          <cell r="D124">
            <v>1</v>
          </cell>
          <cell r="I124">
            <v>1</v>
          </cell>
          <cell r="J124">
            <v>1</v>
          </cell>
          <cell r="K124">
            <v>2</v>
          </cell>
          <cell r="T124">
            <v>5</v>
          </cell>
        </row>
        <row r="125">
          <cell r="A125" t="str">
            <v>BADM-104</v>
          </cell>
          <cell r="B125">
            <v>21</v>
          </cell>
          <cell r="C125">
            <v>23</v>
          </cell>
          <cell r="D125">
            <v>46</v>
          </cell>
          <cell r="E125">
            <v>36</v>
          </cell>
          <cell r="F125">
            <v>44</v>
          </cell>
          <cell r="G125">
            <v>28</v>
          </cell>
          <cell r="H125">
            <v>51</v>
          </cell>
          <cell r="I125">
            <v>52</v>
          </cell>
          <cell r="J125">
            <v>48</v>
          </cell>
          <cell r="K125">
            <v>50</v>
          </cell>
          <cell r="R125">
            <v>41</v>
          </cell>
          <cell r="S125">
            <v>45</v>
          </cell>
          <cell r="T125">
            <v>485</v>
          </cell>
        </row>
        <row r="126">
          <cell r="A126" t="str">
            <v>BADM-104H</v>
          </cell>
          <cell r="B126">
            <v>1</v>
          </cell>
          <cell r="C126">
            <v>1</v>
          </cell>
          <cell r="F126">
            <v>1</v>
          </cell>
          <cell r="R126">
            <v>2</v>
          </cell>
          <cell r="S126">
            <v>1</v>
          </cell>
          <cell r="T126">
            <v>6</v>
          </cell>
        </row>
        <row r="127">
          <cell r="A127" t="str">
            <v>BADM-149</v>
          </cell>
          <cell r="B127">
            <v>2</v>
          </cell>
          <cell r="C127">
            <v>1</v>
          </cell>
          <cell r="G127">
            <v>4</v>
          </cell>
          <cell r="H127">
            <v>1</v>
          </cell>
          <cell r="I127">
            <v>1</v>
          </cell>
          <cell r="K127">
            <v>1</v>
          </cell>
          <cell r="S127">
            <v>3</v>
          </cell>
          <cell r="T127">
            <v>13</v>
          </cell>
        </row>
        <row r="128">
          <cell r="A128" t="str">
            <v>BADM-150</v>
          </cell>
          <cell r="C128">
            <v>30</v>
          </cell>
          <cell r="G128">
            <v>35</v>
          </cell>
          <cell r="I128">
            <v>34</v>
          </cell>
          <cell r="J128">
            <v>28</v>
          </cell>
          <cell r="T128">
            <v>127</v>
          </cell>
        </row>
        <row r="129">
          <cell r="A129" t="str">
            <v>BADM-157</v>
          </cell>
          <cell r="H129">
            <v>13</v>
          </cell>
          <cell r="I129">
            <v>35</v>
          </cell>
          <cell r="J129">
            <v>35</v>
          </cell>
          <cell r="K129">
            <v>30</v>
          </cell>
          <cell r="S129">
            <v>17</v>
          </cell>
          <cell r="T129">
            <v>130</v>
          </cell>
        </row>
        <row r="130">
          <cell r="A130" t="str">
            <v>BADM-170</v>
          </cell>
          <cell r="D130">
            <v>26</v>
          </cell>
          <cell r="T130">
            <v>26</v>
          </cell>
        </row>
        <row r="131">
          <cell r="A131" t="str">
            <v>BADM-201</v>
          </cell>
          <cell r="B131">
            <v>36</v>
          </cell>
          <cell r="C131">
            <v>40</v>
          </cell>
          <cell r="D131">
            <v>36</v>
          </cell>
          <cell r="F131">
            <v>45</v>
          </cell>
          <cell r="G131">
            <v>42</v>
          </cell>
          <cell r="I131">
            <v>40</v>
          </cell>
          <cell r="J131">
            <v>30</v>
          </cell>
          <cell r="K131">
            <v>33</v>
          </cell>
          <cell r="R131">
            <v>40</v>
          </cell>
          <cell r="S131">
            <v>40</v>
          </cell>
          <cell r="T131">
            <v>382</v>
          </cell>
        </row>
        <row r="132">
          <cell r="A132" t="str">
            <v>BIOL-100</v>
          </cell>
          <cell r="B132">
            <v>22</v>
          </cell>
          <cell r="C132">
            <v>33</v>
          </cell>
          <cell r="D132">
            <v>32</v>
          </cell>
          <cell r="E132">
            <v>31</v>
          </cell>
          <cell r="F132">
            <v>33</v>
          </cell>
          <cell r="G132">
            <v>27</v>
          </cell>
          <cell r="H132">
            <v>31</v>
          </cell>
          <cell r="I132">
            <v>39</v>
          </cell>
          <cell r="J132">
            <v>33</v>
          </cell>
          <cell r="K132">
            <v>34</v>
          </cell>
          <cell r="R132">
            <v>34</v>
          </cell>
          <cell r="T132">
            <v>349</v>
          </cell>
        </row>
        <row r="133">
          <cell r="A133" t="str">
            <v>BIOL-115</v>
          </cell>
          <cell r="B133">
            <v>158</v>
          </cell>
          <cell r="C133">
            <v>199</v>
          </cell>
          <cell r="D133">
            <v>191</v>
          </cell>
          <cell r="E133">
            <v>134</v>
          </cell>
          <cell r="F133">
            <v>134</v>
          </cell>
          <cell r="G133">
            <v>192</v>
          </cell>
          <cell r="H133">
            <v>189</v>
          </cell>
          <cell r="I133">
            <v>203</v>
          </cell>
          <cell r="J133">
            <v>137</v>
          </cell>
          <cell r="K133">
            <v>124</v>
          </cell>
          <cell r="L133" t="str">
            <v>41</v>
          </cell>
          <cell r="M133" t="str">
            <v>50</v>
          </cell>
          <cell r="N133" t="str">
            <v>28</v>
          </cell>
          <cell r="R133">
            <v>124</v>
          </cell>
          <cell r="S133">
            <v>101</v>
          </cell>
          <cell r="T133">
            <v>2005</v>
          </cell>
        </row>
        <row r="134">
          <cell r="A134" t="str">
            <v>BIOL-115H</v>
          </cell>
          <cell r="B134">
            <v>6</v>
          </cell>
          <cell r="C134">
            <v>6</v>
          </cell>
          <cell r="D134">
            <v>2</v>
          </cell>
          <cell r="E134">
            <v>3</v>
          </cell>
          <cell r="F134">
            <v>5</v>
          </cell>
          <cell r="G134">
            <v>6</v>
          </cell>
          <cell r="H134">
            <v>4</v>
          </cell>
          <cell r="I134">
            <v>3</v>
          </cell>
          <cell r="K134">
            <v>2</v>
          </cell>
          <cell r="T134">
            <v>37</v>
          </cell>
        </row>
        <row r="135">
          <cell r="A135" t="str">
            <v>BIOL-117</v>
          </cell>
          <cell r="C135">
            <v>30</v>
          </cell>
          <cell r="D135">
            <v>32</v>
          </cell>
          <cell r="E135">
            <v>36</v>
          </cell>
          <cell r="F135">
            <v>38</v>
          </cell>
          <cell r="R135">
            <v>36</v>
          </cell>
          <cell r="S135">
            <v>34</v>
          </cell>
          <cell r="T135">
            <v>206</v>
          </cell>
        </row>
        <row r="136">
          <cell r="A136" t="str">
            <v>BIOL-125</v>
          </cell>
          <cell r="B136">
            <v>104</v>
          </cell>
          <cell r="C136">
            <v>101</v>
          </cell>
          <cell r="D136">
            <v>96</v>
          </cell>
          <cell r="E136">
            <v>90</v>
          </cell>
          <cell r="F136">
            <v>83</v>
          </cell>
          <cell r="G136">
            <v>104</v>
          </cell>
          <cell r="H136">
            <v>92</v>
          </cell>
          <cell r="I136">
            <v>65</v>
          </cell>
          <cell r="J136">
            <v>86</v>
          </cell>
          <cell r="K136">
            <v>94</v>
          </cell>
          <cell r="L136" t="str">
            <v>34</v>
          </cell>
          <cell r="M136" t="str">
            <v>32</v>
          </cell>
          <cell r="N136" t="str">
            <v>33</v>
          </cell>
          <cell r="Q136" t="str">
            <v>27</v>
          </cell>
          <cell r="R136">
            <v>88</v>
          </cell>
          <cell r="S136">
            <v>83</v>
          </cell>
          <cell r="T136">
            <v>1212</v>
          </cell>
        </row>
        <row r="137">
          <cell r="A137" t="str">
            <v>BIOL-125H</v>
          </cell>
          <cell r="D137">
            <v>1</v>
          </cell>
          <cell r="G137">
            <v>1</v>
          </cell>
          <cell r="H137">
            <v>2</v>
          </cell>
          <cell r="I137">
            <v>3</v>
          </cell>
          <cell r="J137">
            <v>2</v>
          </cell>
          <cell r="K137">
            <v>1</v>
          </cell>
          <cell r="R137">
            <v>1</v>
          </cell>
          <cell r="T137">
            <v>11</v>
          </cell>
        </row>
        <row r="138">
          <cell r="A138" t="str">
            <v>BIOL-130</v>
          </cell>
          <cell r="B138">
            <v>30</v>
          </cell>
          <cell r="C138">
            <v>27</v>
          </cell>
          <cell r="D138">
            <v>28</v>
          </cell>
          <cell r="E138">
            <v>24</v>
          </cell>
          <cell r="G138">
            <v>29</v>
          </cell>
          <cell r="H138">
            <v>25</v>
          </cell>
          <cell r="I138">
            <v>29</v>
          </cell>
          <cell r="J138">
            <v>28</v>
          </cell>
          <cell r="T138">
            <v>220</v>
          </cell>
        </row>
        <row r="139">
          <cell r="A139" t="str">
            <v>BIOL-131</v>
          </cell>
          <cell r="E139">
            <v>31</v>
          </cell>
          <cell r="F139">
            <v>31</v>
          </cell>
          <cell r="R139">
            <v>30</v>
          </cell>
          <cell r="T139">
            <v>92</v>
          </cell>
        </row>
        <row r="140">
          <cell r="A140" t="str">
            <v>BIOL-132</v>
          </cell>
          <cell r="J140">
            <v>7</v>
          </cell>
          <cell r="K140">
            <v>14</v>
          </cell>
          <cell r="T140">
            <v>21</v>
          </cell>
        </row>
        <row r="141">
          <cell r="A141" t="str">
            <v>BIOL-134</v>
          </cell>
          <cell r="I141">
            <v>31</v>
          </cell>
          <cell r="J141">
            <v>30</v>
          </cell>
          <cell r="K141">
            <v>35</v>
          </cell>
          <cell r="T141">
            <v>96</v>
          </cell>
        </row>
        <row r="142">
          <cell r="A142" t="str">
            <v>BIOL-135</v>
          </cell>
          <cell r="B142">
            <v>38</v>
          </cell>
          <cell r="C142">
            <v>36</v>
          </cell>
          <cell r="D142">
            <v>26</v>
          </cell>
          <cell r="E142">
            <v>32</v>
          </cell>
          <cell r="G142">
            <v>28</v>
          </cell>
          <cell r="I142">
            <v>31</v>
          </cell>
          <cell r="J142">
            <v>30</v>
          </cell>
          <cell r="T142">
            <v>221</v>
          </cell>
        </row>
        <row r="143">
          <cell r="A143" t="str">
            <v>BIOL-135H</v>
          </cell>
          <cell r="B143">
            <v>2</v>
          </cell>
          <cell r="C143">
            <v>1</v>
          </cell>
          <cell r="G143">
            <v>3</v>
          </cell>
          <cell r="T143">
            <v>6</v>
          </cell>
        </row>
        <row r="144">
          <cell r="A144" t="str">
            <v>BIOL-140</v>
          </cell>
          <cell r="B144">
            <v>18</v>
          </cell>
          <cell r="C144">
            <v>32</v>
          </cell>
          <cell r="D144">
            <v>26</v>
          </cell>
          <cell r="E144">
            <v>31</v>
          </cell>
          <cell r="F144">
            <v>33</v>
          </cell>
          <cell r="T144">
            <v>140</v>
          </cell>
        </row>
        <row r="145">
          <cell r="A145" t="str">
            <v>BIOL-143</v>
          </cell>
          <cell r="B145">
            <v>31</v>
          </cell>
          <cell r="C145">
            <v>35</v>
          </cell>
          <cell r="D145">
            <v>33</v>
          </cell>
          <cell r="T145">
            <v>99</v>
          </cell>
        </row>
        <row r="146">
          <cell r="A146" t="str">
            <v>BIOL-144</v>
          </cell>
          <cell r="G146">
            <v>29</v>
          </cell>
          <cell r="H146">
            <v>33</v>
          </cell>
          <cell r="I146">
            <v>38</v>
          </cell>
          <cell r="J146">
            <v>31</v>
          </cell>
          <cell r="K146">
            <v>30</v>
          </cell>
          <cell r="R146">
            <v>35</v>
          </cell>
          <cell r="S146">
            <v>34</v>
          </cell>
          <cell r="T146">
            <v>230</v>
          </cell>
        </row>
        <row r="147">
          <cell r="A147" t="str">
            <v>BIOL-146</v>
          </cell>
          <cell r="I147">
            <v>34</v>
          </cell>
          <cell r="J147">
            <v>28</v>
          </cell>
          <cell r="K147">
            <v>35</v>
          </cell>
          <cell r="T147">
            <v>97</v>
          </cell>
        </row>
        <row r="148">
          <cell r="A148" t="str">
            <v>BIOL-150</v>
          </cell>
          <cell r="B148">
            <v>28</v>
          </cell>
          <cell r="C148">
            <v>27</v>
          </cell>
          <cell r="D148">
            <v>32</v>
          </cell>
          <cell r="E148">
            <v>32</v>
          </cell>
          <cell r="F148">
            <v>31</v>
          </cell>
          <cell r="R148">
            <v>26</v>
          </cell>
          <cell r="S148">
            <v>32</v>
          </cell>
          <cell r="T148">
            <v>208</v>
          </cell>
        </row>
        <row r="149">
          <cell r="A149" t="str">
            <v>BIOL-150H</v>
          </cell>
          <cell r="B149">
            <v>4</v>
          </cell>
          <cell r="C149">
            <v>9</v>
          </cell>
          <cell r="D149">
            <v>1</v>
          </cell>
          <cell r="E149">
            <v>2</v>
          </cell>
          <cell r="F149">
            <v>3</v>
          </cell>
          <cell r="R149">
            <v>5</v>
          </cell>
          <cell r="S149">
            <v>4</v>
          </cell>
          <cell r="T149">
            <v>28</v>
          </cell>
        </row>
        <row r="150">
          <cell r="A150" t="str">
            <v>BIOL-151</v>
          </cell>
          <cell r="G150">
            <v>20</v>
          </cell>
          <cell r="H150">
            <v>23</v>
          </cell>
          <cell r="I150">
            <v>26</v>
          </cell>
          <cell r="J150">
            <v>22</v>
          </cell>
          <cell r="K150">
            <v>23</v>
          </cell>
          <cell r="S150">
            <v>23</v>
          </cell>
          <cell r="T150">
            <v>137</v>
          </cell>
        </row>
        <row r="151">
          <cell r="A151" t="str">
            <v>BIOL-151H</v>
          </cell>
          <cell r="G151">
            <v>1</v>
          </cell>
          <cell r="H151">
            <v>6</v>
          </cell>
          <cell r="I151">
            <v>4</v>
          </cell>
          <cell r="J151">
            <v>2</v>
          </cell>
          <cell r="K151">
            <v>4</v>
          </cell>
          <cell r="S151">
            <v>7</v>
          </cell>
          <cell r="T151">
            <v>24</v>
          </cell>
        </row>
        <row r="152">
          <cell r="A152" t="str">
            <v>BIOL-201</v>
          </cell>
          <cell r="H152">
            <v>22</v>
          </cell>
          <cell r="T152">
            <v>22</v>
          </cell>
        </row>
        <row r="153">
          <cell r="A153" t="str">
            <v>BIOL-299</v>
          </cell>
          <cell r="B153">
            <v>7</v>
          </cell>
          <cell r="C153">
            <v>5</v>
          </cell>
          <cell r="D153">
            <v>5</v>
          </cell>
          <cell r="E153">
            <v>4</v>
          </cell>
          <cell r="F153">
            <v>4</v>
          </cell>
          <cell r="G153">
            <v>3</v>
          </cell>
          <cell r="H153">
            <v>3</v>
          </cell>
          <cell r="I153">
            <v>7</v>
          </cell>
          <cell r="J153">
            <v>10</v>
          </cell>
          <cell r="K153">
            <v>4</v>
          </cell>
          <cell r="N153" t="str">
            <v>1</v>
          </cell>
          <cell r="R153">
            <v>5</v>
          </cell>
          <cell r="S153">
            <v>4</v>
          </cell>
          <cell r="T153">
            <v>62</v>
          </cell>
        </row>
        <row r="154">
          <cell r="A154" t="str">
            <v>CAPP-065</v>
          </cell>
          <cell r="D154">
            <v>16</v>
          </cell>
          <cell r="H154">
            <v>12</v>
          </cell>
          <cell r="T154">
            <v>28</v>
          </cell>
        </row>
        <row r="155">
          <cell r="A155" t="str">
            <v>CAPP-080</v>
          </cell>
          <cell r="B155">
            <v>64</v>
          </cell>
          <cell r="C155">
            <v>30</v>
          </cell>
          <cell r="D155">
            <v>35</v>
          </cell>
          <cell r="E155">
            <v>24</v>
          </cell>
          <cell r="G155">
            <v>56</v>
          </cell>
          <cell r="H155">
            <v>60</v>
          </cell>
          <cell r="I155">
            <v>19</v>
          </cell>
          <cell r="J155">
            <v>18</v>
          </cell>
          <cell r="L155" t="str">
            <v>51</v>
          </cell>
          <cell r="M155" t="str">
            <v>8</v>
          </cell>
          <cell r="N155" t="str">
            <v>10</v>
          </cell>
          <cell r="T155">
            <v>375</v>
          </cell>
        </row>
        <row r="156">
          <cell r="A156" t="str">
            <v>CAPP-081</v>
          </cell>
          <cell r="D156">
            <v>21</v>
          </cell>
          <cell r="E156">
            <v>24</v>
          </cell>
          <cell r="I156">
            <v>23</v>
          </cell>
          <cell r="T156">
            <v>68</v>
          </cell>
        </row>
        <row r="157">
          <cell r="A157" t="str">
            <v>CAPP-082</v>
          </cell>
          <cell r="D157">
            <v>25</v>
          </cell>
          <cell r="E157">
            <v>21</v>
          </cell>
          <cell r="I157">
            <v>10</v>
          </cell>
          <cell r="J157">
            <v>18</v>
          </cell>
          <cell r="T157">
            <v>74</v>
          </cell>
        </row>
        <row r="158">
          <cell r="A158" t="str">
            <v>CAPP-120</v>
          </cell>
          <cell r="D158">
            <v>56</v>
          </cell>
          <cell r="E158">
            <v>55</v>
          </cell>
          <cell r="F158">
            <v>57</v>
          </cell>
          <cell r="I158">
            <v>55</v>
          </cell>
          <cell r="J158">
            <v>58</v>
          </cell>
          <cell r="K158">
            <v>57</v>
          </cell>
          <cell r="R158">
            <v>54</v>
          </cell>
          <cell r="T158">
            <v>392</v>
          </cell>
        </row>
        <row r="159">
          <cell r="A159" t="str">
            <v>CAPP-120C</v>
          </cell>
          <cell r="B159">
            <v>40</v>
          </cell>
          <cell r="L159" t="str">
            <v>20</v>
          </cell>
          <cell r="T159">
            <v>60</v>
          </cell>
        </row>
        <row r="160">
          <cell r="A160" t="str">
            <v>CAPP-120D</v>
          </cell>
          <cell r="C160">
            <v>53</v>
          </cell>
          <cell r="G160">
            <v>33</v>
          </cell>
          <cell r="H160">
            <v>53</v>
          </cell>
          <cell r="T160">
            <v>139</v>
          </cell>
        </row>
        <row r="161">
          <cell r="A161" t="str">
            <v>CAPP-121</v>
          </cell>
          <cell r="E161">
            <v>27</v>
          </cell>
          <cell r="T161">
            <v>27</v>
          </cell>
        </row>
        <row r="162">
          <cell r="A162" t="str">
            <v>CAPP-121C</v>
          </cell>
          <cell r="B162">
            <v>18</v>
          </cell>
          <cell r="T162">
            <v>18</v>
          </cell>
        </row>
        <row r="163">
          <cell r="A163" t="str">
            <v>CAPP-121D</v>
          </cell>
          <cell r="C163">
            <v>27</v>
          </cell>
          <cell r="G163">
            <v>21</v>
          </cell>
          <cell r="T163">
            <v>48</v>
          </cell>
        </row>
        <row r="164">
          <cell r="A164" t="str">
            <v>CAPP-122</v>
          </cell>
          <cell r="D164">
            <v>57</v>
          </cell>
          <cell r="E164">
            <v>57</v>
          </cell>
          <cell r="F164">
            <v>57</v>
          </cell>
          <cell r="I164">
            <v>62</v>
          </cell>
          <cell r="J164">
            <v>60</v>
          </cell>
          <cell r="K164">
            <v>58</v>
          </cell>
          <cell r="R164">
            <v>38</v>
          </cell>
          <cell r="S164">
            <v>55</v>
          </cell>
          <cell r="T164">
            <v>444</v>
          </cell>
        </row>
        <row r="165">
          <cell r="A165" t="str">
            <v>CAPP-122C</v>
          </cell>
          <cell r="B165">
            <v>39</v>
          </cell>
          <cell r="T165">
            <v>39</v>
          </cell>
        </row>
        <row r="166">
          <cell r="A166" t="str">
            <v>CAPP-122D</v>
          </cell>
          <cell r="C166">
            <v>47</v>
          </cell>
          <cell r="G166">
            <v>34</v>
          </cell>
          <cell r="H166">
            <v>52</v>
          </cell>
          <cell r="T166">
            <v>133</v>
          </cell>
        </row>
        <row r="167">
          <cell r="A167" t="str">
            <v>CAPP-123</v>
          </cell>
          <cell r="I167">
            <v>30</v>
          </cell>
          <cell r="J167">
            <v>28</v>
          </cell>
          <cell r="K167">
            <v>26</v>
          </cell>
          <cell r="S167">
            <v>30</v>
          </cell>
          <cell r="T167">
            <v>114</v>
          </cell>
        </row>
        <row r="168">
          <cell r="A168" t="str">
            <v>CAPP-123C</v>
          </cell>
          <cell r="B168">
            <v>10</v>
          </cell>
          <cell r="T168">
            <v>10</v>
          </cell>
        </row>
        <row r="169">
          <cell r="A169" t="str">
            <v>CAPP-124</v>
          </cell>
          <cell r="I169">
            <v>26</v>
          </cell>
          <cell r="K169">
            <v>15</v>
          </cell>
          <cell r="T169">
            <v>41</v>
          </cell>
        </row>
        <row r="170">
          <cell r="A170" t="str">
            <v>CAPP-124D</v>
          </cell>
          <cell r="H170">
            <v>27</v>
          </cell>
          <cell r="T170">
            <v>27</v>
          </cell>
        </row>
        <row r="171">
          <cell r="A171" t="str">
            <v>CAPP-127</v>
          </cell>
          <cell r="F171">
            <v>54</v>
          </cell>
          <cell r="K171">
            <v>26</v>
          </cell>
          <cell r="R171">
            <v>28</v>
          </cell>
          <cell r="S171">
            <v>30</v>
          </cell>
          <cell r="T171">
            <v>138</v>
          </cell>
        </row>
        <row r="172">
          <cell r="A172" t="str">
            <v>CAPP-131</v>
          </cell>
          <cell r="E172">
            <v>28</v>
          </cell>
          <cell r="I172">
            <v>18</v>
          </cell>
          <cell r="T172">
            <v>46</v>
          </cell>
        </row>
        <row r="173">
          <cell r="A173" t="str">
            <v>CAPP-131D</v>
          </cell>
          <cell r="C173">
            <v>34</v>
          </cell>
          <cell r="G173">
            <v>15</v>
          </cell>
          <cell r="H173">
            <v>34</v>
          </cell>
          <cell r="T173">
            <v>83</v>
          </cell>
        </row>
        <row r="174">
          <cell r="A174" t="str">
            <v>CAPP-135</v>
          </cell>
          <cell r="K174">
            <v>16</v>
          </cell>
          <cell r="S174">
            <v>25</v>
          </cell>
          <cell r="T174">
            <v>41</v>
          </cell>
        </row>
        <row r="175">
          <cell r="A175" t="str">
            <v>CDE-080A</v>
          </cell>
          <cell r="D175">
            <v>28</v>
          </cell>
          <cell r="T175">
            <v>28</v>
          </cell>
        </row>
        <row r="176">
          <cell r="A176" t="str">
            <v>CDE-080B</v>
          </cell>
          <cell r="D176">
            <v>28</v>
          </cell>
          <cell r="T176">
            <v>28</v>
          </cell>
        </row>
        <row r="177">
          <cell r="A177" t="str">
            <v>CDE-101</v>
          </cell>
          <cell r="B177">
            <v>90</v>
          </cell>
          <cell r="C177">
            <v>75</v>
          </cell>
          <cell r="D177">
            <v>106</v>
          </cell>
          <cell r="E177">
            <v>70</v>
          </cell>
          <cell r="F177">
            <v>75</v>
          </cell>
          <cell r="G177">
            <v>100</v>
          </cell>
          <cell r="H177">
            <v>95</v>
          </cell>
          <cell r="I177">
            <v>83</v>
          </cell>
          <cell r="J177">
            <v>77</v>
          </cell>
          <cell r="K177">
            <v>80</v>
          </cell>
          <cell r="L177" t="str">
            <v>40</v>
          </cell>
          <cell r="N177" t="str">
            <v>38</v>
          </cell>
          <cell r="R177">
            <v>31</v>
          </cell>
          <cell r="S177">
            <v>94</v>
          </cell>
          <cell r="T177">
            <v>1054</v>
          </cell>
        </row>
        <row r="178">
          <cell r="A178" t="str">
            <v>CDE-102</v>
          </cell>
          <cell r="B178">
            <v>30</v>
          </cell>
          <cell r="C178">
            <v>36</v>
          </cell>
          <cell r="F178">
            <v>32</v>
          </cell>
          <cell r="G178">
            <v>37</v>
          </cell>
          <cell r="H178">
            <v>37</v>
          </cell>
          <cell r="I178">
            <v>35</v>
          </cell>
          <cell r="J178">
            <v>31</v>
          </cell>
          <cell r="K178">
            <v>31</v>
          </cell>
          <cell r="R178">
            <v>36</v>
          </cell>
          <cell r="S178">
            <v>31</v>
          </cell>
          <cell r="T178">
            <v>336</v>
          </cell>
        </row>
        <row r="179">
          <cell r="A179" t="str">
            <v>CDE-103</v>
          </cell>
          <cell r="B179">
            <v>58</v>
          </cell>
          <cell r="C179">
            <v>35</v>
          </cell>
          <cell r="D179">
            <v>60</v>
          </cell>
          <cell r="E179">
            <v>50</v>
          </cell>
          <cell r="F179">
            <v>35</v>
          </cell>
          <cell r="G179">
            <v>24</v>
          </cell>
          <cell r="H179">
            <v>66</v>
          </cell>
          <cell r="I179">
            <v>68</v>
          </cell>
          <cell r="J179">
            <v>27</v>
          </cell>
          <cell r="K179">
            <v>41</v>
          </cell>
          <cell r="R179">
            <v>33</v>
          </cell>
          <cell r="S179">
            <v>62</v>
          </cell>
          <cell r="T179">
            <v>559</v>
          </cell>
        </row>
        <row r="180">
          <cell r="A180" t="str">
            <v>CDE-105</v>
          </cell>
          <cell r="H180">
            <v>19</v>
          </cell>
          <cell r="T180">
            <v>19</v>
          </cell>
        </row>
        <row r="181">
          <cell r="A181" t="str">
            <v>CDE-110</v>
          </cell>
          <cell r="B181">
            <v>72</v>
          </cell>
          <cell r="C181">
            <v>82</v>
          </cell>
          <cell r="D181">
            <v>94</v>
          </cell>
          <cell r="E181">
            <v>74</v>
          </cell>
          <cell r="F181">
            <v>75</v>
          </cell>
          <cell r="G181">
            <v>79</v>
          </cell>
          <cell r="H181">
            <v>75</v>
          </cell>
          <cell r="I181">
            <v>79</v>
          </cell>
          <cell r="J181">
            <v>71</v>
          </cell>
          <cell r="K181">
            <v>117</v>
          </cell>
          <cell r="R181">
            <v>68</v>
          </cell>
          <cell r="S181">
            <v>68</v>
          </cell>
          <cell r="T181">
            <v>954</v>
          </cell>
        </row>
        <row r="182">
          <cell r="A182" t="str">
            <v>CDE-110H</v>
          </cell>
          <cell r="B182">
            <v>1</v>
          </cell>
          <cell r="F182">
            <v>2</v>
          </cell>
          <cell r="H182">
            <v>2</v>
          </cell>
          <cell r="I182">
            <v>2</v>
          </cell>
          <cell r="K182">
            <v>1</v>
          </cell>
          <cell r="R182">
            <v>1</v>
          </cell>
          <cell r="T182">
            <v>9</v>
          </cell>
        </row>
        <row r="183">
          <cell r="A183" t="str">
            <v>CDE-111</v>
          </cell>
          <cell r="B183">
            <v>28</v>
          </cell>
          <cell r="C183">
            <v>22</v>
          </cell>
          <cell r="D183">
            <v>33</v>
          </cell>
          <cell r="G183">
            <v>29</v>
          </cell>
          <cell r="I183">
            <v>35</v>
          </cell>
          <cell r="J183">
            <v>33</v>
          </cell>
          <cell r="K183">
            <v>58</v>
          </cell>
          <cell r="R183">
            <v>29</v>
          </cell>
          <cell r="T183">
            <v>267</v>
          </cell>
        </row>
        <row r="184">
          <cell r="A184" t="str">
            <v>CDE-113</v>
          </cell>
          <cell r="D184">
            <v>28</v>
          </cell>
          <cell r="L184" t="str">
            <v>32</v>
          </cell>
          <cell r="T184">
            <v>60</v>
          </cell>
        </row>
        <row r="185">
          <cell r="A185" t="str">
            <v>CDE-115</v>
          </cell>
          <cell r="C185">
            <v>19</v>
          </cell>
          <cell r="F185">
            <v>30</v>
          </cell>
          <cell r="T185">
            <v>49</v>
          </cell>
        </row>
        <row r="186">
          <cell r="A186" t="str">
            <v>CDE-119</v>
          </cell>
          <cell r="C186">
            <v>38</v>
          </cell>
          <cell r="D186">
            <v>35</v>
          </cell>
          <cell r="R186">
            <v>34</v>
          </cell>
          <cell r="T186">
            <v>107</v>
          </cell>
        </row>
        <row r="187">
          <cell r="A187" t="str">
            <v>CDE-120</v>
          </cell>
          <cell r="H187">
            <v>36</v>
          </cell>
          <cell r="J187">
            <v>32</v>
          </cell>
          <cell r="S187">
            <v>31</v>
          </cell>
          <cell r="T187">
            <v>99</v>
          </cell>
        </row>
        <row r="188">
          <cell r="A188" t="str">
            <v>CDE-125</v>
          </cell>
          <cell r="B188">
            <v>60</v>
          </cell>
          <cell r="C188">
            <v>98</v>
          </cell>
          <cell r="D188">
            <v>64</v>
          </cell>
          <cell r="E188">
            <v>67</v>
          </cell>
          <cell r="F188">
            <v>93</v>
          </cell>
          <cell r="G188">
            <v>52</v>
          </cell>
          <cell r="H188">
            <v>69</v>
          </cell>
          <cell r="I188">
            <v>97</v>
          </cell>
          <cell r="J188">
            <v>64</v>
          </cell>
          <cell r="K188">
            <v>33</v>
          </cell>
          <cell r="M188" t="str">
            <v>39</v>
          </cell>
          <cell r="Q188" t="str">
            <v>29</v>
          </cell>
          <cell r="R188">
            <v>59</v>
          </cell>
          <cell r="S188">
            <v>82</v>
          </cell>
          <cell r="T188">
            <v>906</v>
          </cell>
        </row>
        <row r="189">
          <cell r="A189" t="str">
            <v>CDE-125H</v>
          </cell>
          <cell r="B189">
            <v>1</v>
          </cell>
          <cell r="D189">
            <v>2</v>
          </cell>
          <cell r="I189">
            <v>1</v>
          </cell>
          <cell r="R189">
            <v>1</v>
          </cell>
          <cell r="T189">
            <v>5</v>
          </cell>
        </row>
        <row r="190">
          <cell r="A190" t="str">
            <v>CDE-126</v>
          </cell>
          <cell r="B190">
            <v>34</v>
          </cell>
          <cell r="D190">
            <v>30</v>
          </cell>
          <cell r="S190">
            <v>31</v>
          </cell>
          <cell r="T190">
            <v>95</v>
          </cell>
        </row>
        <row r="191">
          <cell r="A191" t="str">
            <v>CDE-127</v>
          </cell>
          <cell r="G191">
            <v>4</v>
          </cell>
          <cell r="I191">
            <v>25</v>
          </cell>
          <cell r="T191">
            <v>29</v>
          </cell>
        </row>
        <row r="192">
          <cell r="A192" t="str">
            <v>CDE-128</v>
          </cell>
          <cell r="G192">
            <v>34</v>
          </cell>
          <cell r="I192">
            <v>24</v>
          </cell>
          <cell r="T192">
            <v>58</v>
          </cell>
        </row>
        <row r="193">
          <cell r="A193" t="str">
            <v>CDE-131</v>
          </cell>
          <cell r="B193">
            <v>12</v>
          </cell>
          <cell r="C193">
            <v>8</v>
          </cell>
          <cell r="D193">
            <v>23</v>
          </cell>
          <cell r="E193">
            <v>20</v>
          </cell>
          <cell r="F193">
            <v>15</v>
          </cell>
          <cell r="G193">
            <v>9</v>
          </cell>
          <cell r="I193">
            <v>22</v>
          </cell>
          <cell r="J193">
            <v>22</v>
          </cell>
          <cell r="R193">
            <v>22</v>
          </cell>
          <cell r="T193">
            <v>153</v>
          </cell>
        </row>
        <row r="194">
          <cell r="A194" t="str">
            <v>CDE-131H</v>
          </cell>
          <cell r="G194">
            <v>1</v>
          </cell>
          <cell r="T194">
            <v>1</v>
          </cell>
        </row>
        <row r="195">
          <cell r="A195" t="str">
            <v>CDE-134</v>
          </cell>
          <cell r="C195">
            <v>29</v>
          </cell>
          <cell r="E195">
            <v>29</v>
          </cell>
          <cell r="R195">
            <v>30</v>
          </cell>
          <cell r="T195">
            <v>88</v>
          </cell>
        </row>
        <row r="196">
          <cell r="A196" t="str">
            <v>CDE-137</v>
          </cell>
          <cell r="M196" t="str">
            <v>25</v>
          </cell>
          <cell r="T196">
            <v>25</v>
          </cell>
        </row>
        <row r="197">
          <cell r="A197" t="str">
            <v>CDE-140</v>
          </cell>
          <cell r="B197">
            <v>33</v>
          </cell>
          <cell r="C197">
            <v>35</v>
          </cell>
          <cell r="D197">
            <v>36</v>
          </cell>
          <cell r="E197">
            <v>34</v>
          </cell>
          <cell r="F197">
            <v>35</v>
          </cell>
          <cell r="G197">
            <v>27</v>
          </cell>
          <cell r="K197">
            <v>35</v>
          </cell>
          <cell r="R197">
            <v>32</v>
          </cell>
          <cell r="S197">
            <v>33</v>
          </cell>
          <cell r="T197">
            <v>300</v>
          </cell>
        </row>
        <row r="198">
          <cell r="A198" t="str">
            <v>CDE-141</v>
          </cell>
          <cell r="B198">
            <v>7</v>
          </cell>
          <cell r="C198">
            <v>8</v>
          </cell>
          <cell r="D198">
            <v>22</v>
          </cell>
          <cell r="J198">
            <v>17</v>
          </cell>
          <cell r="T198">
            <v>54</v>
          </cell>
        </row>
        <row r="199">
          <cell r="A199" t="str">
            <v>CDE-143</v>
          </cell>
          <cell r="F199">
            <v>39</v>
          </cell>
          <cell r="R199">
            <v>29</v>
          </cell>
          <cell r="T199">
            <v>68</v>
          </cell>
        </row>
        <row r="200">
          <cell r="A200" t="str">
            <v>CDE-146</v>
          </cell>
          <cell r="B200">
            <v>10</v>
          </cell>
          <cell r="D200">
            <v>26</v>
          </cell>
          <cell r="T200">
            <v>36</v>
          </cell>
        </row>
        <row r="201">
          <cell r="A201" t="str">
            <v>CDE-147</v>
          </cell>
          <cell r="B201">
            <v>20</v>
          </cell>
          <cell r="C201">
            <v>18</v>
          </cell>
          <cell r="E201">
            <v>19</v>
          </cell>
          <cell r="G201">
            <v>16</v>
          </cell>
          <cell r="H201">
            <v>22</v>
          </cell>
          <cell r="I201">
            <v>21</v>
          </cell>
          <cell r="J201">
            <v>18</v>
          </cell>
          <cell r="K201">
            <v>18</v>
          </cell>
          <cell r="R201">
            <v>19</v>
          </cell>
          <cell r="S201">
            <v>19</v>
          </cell>
          <cell r="T201">
            <v>190</v>
          </cell>
        </row>
        <row r="202">
          <cell r="A202" t="str">
            <v>CDE-148</v>
          </cell>
          <cell r="B202">
            <v>10</v>
          </cell>
          <cell r="C202">
            <v>13</v>
          </cell>
          <cell r="D202">
            <v>14</v>
          </cell>
          <cell r="E202">
            <v>18</v>
          </cell>
          <cell r="F202">
            <v>16</v>
          </cell>
          <cell r="G202">
            <v>12</v>
          </cell>
          <cell r="H202">
            <v>13</v>
          </cell>
          <cell r="J202">
            <v>16</v>
          </cell>
          <cell r="R202">
            <v>11</v>
          </cell>
          <cell r="T202">
            <v>123</v>
          </cell>
        </row>
        <row r="203">
          <cell r="A203" t="str">
            <v>CDE-149</v>
          </cell>
          <cell r="C203">
            <v>13</v>
          </cell>
          <cell r="D203">
            <v>10</v>
          </cell>
          <cell r="E203">
            <v>2</v>
          </cell>
          <cell r="F203">
            <v>5</v>
          </cell>
          <cell r="H203">
            <v>9</v>
          </cell>
          <cell r="I203">
            <v>9</v>
          </cell>
          <cell r="J203">
            <v>5</v>
          </cell>
          <cell r="K203">
            <v>5</v>
          </cell>
          <cell r="R203">
            <v>5</v>
          </cell>
          <cell r="S203">
            <v>8</v>
          </cell>
          <cell r="T203">
            <v>71</v>
          </cell>
        </row>
        <row r="204">
          <cell r="A204" t="str">
            <v>CDE-201B</v>
          </cell>
          <cell r="C204">
            <v>32</v>
          </cell>
          <cell r="T204">
            <v>32</v>
          </cell>
        </row>
        <row r="205">
          <cell r="A205" t="str">
            <v>CDE-201F</v>
          </cell>
          <cell r="H205">
            <v>27</v>
          </cell>
          <cell r="T205">
            <v>27</v>
          </cell>
        </row>
        <row r="206">
          <cell r="A206" t="str">
            <v>CDE-202A</v>
          </cell>
          <cell r="B206">
            <v>21</v>
          </cell>
          <cell r="T206">
            <v>21</v>
          </cell>
        </row>
        <row r="207">
          <cell r="A207" t="str">
            <v>CDE-202B</v>
          </cell>
          <cell r="B207">
            <v>27</v>
          </cell>
          <cell r="T207">
            <v>27</v>
          </cell>
        </row>
        <row r="208">
          <cell r="A208" t="str">
            <v>CDE-202G</v>
          </cell>
          <cell r="C208">
            <v>30</v>
          </cell>
          <cell r="T208">
            <v>30</v>
          </cell>
        </row>
        <row r="209">
          <cell r="A209" t="str">
            <v>CDE-203C</v>
          </cell>
          <cell r="G209">
            <v>17</v>
          </cell>
          <cell r="T209">
            <v>17</v>
          </cell>
        </row>
        <row r="210">
          <cell r="A210" t="str">
            <v>CDE-203D</v>
          </cell>
          <cell r="G210">
            <v>25</v>
          </cell>
          <cell r="T210">
            <v>25</v>
          </cell>
        </row>
        <row r="211">
          <cell r="A211" t="str">
            <v>CDE-204G</v>
          </cell>
          <cell r="H211">
            <v>21</v>
          </cell>
          <cell r="T211">
            <v>21</v>
          </cell>
        </row>
        <row r="212">
          <cell r="A212" t="str">
            <v>CDE-299</v>
          </cell>
          <cell r="G212">
            <v>1</v>
          </cell>
          <cell r="T212">
            <v>1</v>
          </cell>
        </row>
        <row r="213">
          <cell r="A213" t="str">
            <v>CHEM-100</v>
          </cell>
          <cell r="B213">
            <v>108</v>
          </cell>
          <cell r="C213">
            <v>103</v>
          </cell>
          <cell r="D213">
            <v>124</v>
          </cell>
          <cell r="E213">
            <v>122</v>
          </cell>
          <cell r="F213">
            <v>89</v>
          </cell>
          <cell r="G213">
            <v>89</v>
          </cell>
          <cell r="H213">
            <v>112</v>
          </cell>
          <cell r="I213">
            <v>138</v>
          </cell>
          <cell r="J213">
            <v>88</v>
          </cell>
          <cell r="K213">
            <v>90</v>
          </cell>
          <cell r="L213" t="str">
            <v>48</v>
          </cell>
          <cell r="M213" t="str">
            <v>21</v>
          </cell>
          <cell r="N213" t="str">
            <v>51</v>
          </cell>
          <cell r="O213" t="str">
            <v>30</v>
          </cell>
          <cell r="Q213" t="str">
            <v>30</v>
          </cell>
          <cell r="R213">
            <v>85</v>
          </cell>
          <cell r="S213">
            <v>87</v>
          </cell>
          <cell r="T213">
            <v>1415</v>
          </cell>
        </row>
        <row r="214">
          <cell r="A214" t="str">
            <v>CHEM-101</v>
          </cell>
          <cell r="B214">
            <v>102</v>
          </cell>
          <cell r="C214">
            <v>99</v>
          </cell>
          <cell r="D214">
            <v>101</v>
          </cell>
          <cell r="E214">
            <v>93</v>
          </cell>
          <cell r="F214">
            <v>104</v>
          </cell>
          <cell r="G214">
            <v>104</v>
          </cell>
          <cell r="H214">
            <v>97</v>
          </cell>
          <cell r="I214">
            <v>93</v>
          </cell>
          <cell r="J214">
            <v>98</v>
          </cell>
          <cell r="K214">
            <v>94</v>
          </cell>
          <cell r="L214" t="str">
            <v>31</v>
          </cell>
          <cell r="M214" t="str">
            <v>27</v>
          </cell>
          <cell r="N214" t="str">
            <v>33</v>
          </cell>
          <cell r="O214" t="str">
            <v>29</v>
          </cell>
          <cell r="Q214" t="str">
            <v>22</v>
          </cell>
          <cell r="R214">
            <v>96</v>
          </cell>
          <cell r="S214">
            <v>93</v>
          </cell>
          <cell r="T214">
            <v>1316</v>
          </cell>
        </row>
        <row r="215">
          <cell r="A215" t="str">
            <v>CHEM-102</v>
          </cell>
          <cell r="B215">
            <v>53</v>
          </cell>
          <cell r="C215">
            <v>52</v>
          </cell>
          <cell r="D215">
            <v>55</v>
          </cell>
          <cell r="E215">
            <v>54</v>
          </cell>
          <cell r="F215">
            <v>53</v>
          </cell>
          <cell r="G215">
            <v>58</v>
          </cell>
          <cell r="H215">
            <v>58</v>
          </cell>
          <cell r="I215">
            <v>63</v>
          </cell>
          <cell r="J215">
            <v>56</v>
          </cell>
          <cell r="K215">
            <v>62</v>
          </cell>
          <cell r="R215">
            <v>51</v>
          </cell>
          <cell r="S215">
            <v>57</v>
          </cell>
          <cell r="T215">
            <v>672</v>
          </cell>
        </row>
        <row r="216">
          <cell r="A216" t="str">
            <v>CHEM-107</v>
          </cell>
          <cell r="F216">
            <v>30</v>
          </cell>
          <cell r="J216">
            <v>32</v>
          </cell>
          <cell r="K216">
            <v>32</v>
          </cell>
          <cell r="R216">
            <v>31</v>
          </cell>
          <cell r="S216">
            <v>25</v>
          </cell>
          <cell r="T216">
            <v>150</v>
          </cell>
        </row>
        <row r="217">
          <cell r="A217" t="str">
            <v>CHEM-299</v>
          </cell>
          <cell r="B217">
            <v>1</v>
          </cell>
          <cell r="L217" t="str">
            <v>1</v>
          </cell>
          <cell r="T217">
            <v>2</v>
          </cell>
        </row>
        <row r="218">
          <cell r="A218" t="str">
            <v>COMM-056</v>
          </cell>
          <cell r="D218">
            <v>1</v>
          </cell>
          <cell r="E218">
            <v>4</v>
          </cell>
          <cell r="F218">
            <v>1</v>
          </cell>
          <cell r="H218">
            <v>2</v>
          </cell>
          <cell r="I218">
            <v>4</v>
          </cell>
          <cell r="T218">
            <v>12</v>
          </cell>
        </row>
        <row r="219">
          <cell r="A219" t="str">
            <v>COMM-100</v>
          </cell>
          <cell r="B219">
            <v>422</v>
          </cell>
          <cell r="C219">
            <v>442</v>
          </cell>
          <cell r="D219">
            <v>491</v>
          </cell>
          <cell r="E219">
            <v>500</v>
          </cell>
          <cell r="F219">
            <v>489</v>
          </cell>
          <cell r="G219">
            <v>400</v>
          </cell>
          <cell r="H219">
            <v>426</v>
          </cell>
          <cell r="I219">
            <v>475</v>
          </cell>
          <cell r="J219">
            <v>518</v>
          </cell>
          <cell r="K219">
            <v>439</v>
          </cell>
          <cell r="L219" t="str">
            <v>80</v>
          </cell>
          <cell r="M219" t="str">
            <v>85</v>
          </cell>
          <cell r="Q219" t="str">
            <v>29</v>
          </cell>
          <cell r="R219">
            <v>278</v>
          </cell>
          <cell r="S219">
            <v>366</v>
          </cell>
          <cell r="T219">
            <v>5440</v>
          </cell>
        </row>
        <row r="220">
          <cell r="A220" t="str">
            <v>COMM-100H</v>
          </cell>
          <cell r="S220">
            <v>6</v>
          </cell>
          <cell r="T220">
            <v>6</v>
          </cell>
        </row>
        <row r="221">
          <cell r="A221" t="str">
            <v>COMM-103</v>
          </cell>
          <cell r="B221">
            <v>264</v>
          </cell>
          <cell r="C221">
            <v>294</v>
          </cell>
          <cell r="D221">
            <v>326</v>
          </cell>
          <cell r="E221">
            <v>260</v>
          </cell>
          <cell r="F221">
            <v>244</v>
          </cell>
          <cell r="G221">
            <v>290</v>
          </cell>
          <cell r="H221">
            <v>308</v>
          </cell>
          <cell r="I221">
            <v>359</v>
          </cell>
          <cell r="J221">
            <v>264</v>
          </cell>
          <cell r="K221">
            <v>343</v>
          </cell>
          <cell r="L221" t="str">
            <v>50</v>
          </cell>
          <cell r="M221" t="str">
            <v>63</v>
          </cell>
          <cell r="N221" t="str">
            <v>28</v>
          </cell>
          <cell r="R221">
            <v>351</v>
          </cell>
          <cell r="S221">
            <v>329</v>
          </cell>
          <cell r="T221">
            <v>3773</v>
          </cell>
        </row>
        <row r="222">
          <cell r="A222" t="str">
            <v>COMM-104</v>
          </cell>
          <cell r="B222">
            <v>77</v>
          </cell>
          <cell r="C222">
            <v>72</v>
          </cell>
          <cell r="D222">
            <v>85</v>
          </cell>
          <cell r="E222">
            <v>92</v>
          </cell>
          <cell r="F222">
            <v>91</v>
          </cell>
          <cell r="G222">
            <v>84</v>
          </cell>
          <cell r="H222">
            <v>86</v>
          </cell>
          <cell r="I222">
            <v>83</v>
          </cell>
          <cell r="J222">
            <v>93</v>
          </cell>
          <cell r="K222">
            <v>91</v>
          </cell>
          <cell r="L222" t="str">
            <v>7</v>
          </cell>
          <cell r="M222" t="str">
            <v>6</v>
          </cell>
          <cell r="R222">
            <v>92</v>
          </cell>
          <cell r="S222">
            <v>90</v>
          </cell>
          <cell r="T222">
            <v>1049</v>
          </cell>
        </row>
        <row r="223">
          <cell r="A223" t="str">
            <v>COMM-105</v>
          </cell>
          <cell r="B223">
            <v>5</v>
          </cell>
          <cell r="C223">
            <v>2</v>
          </cell>
          <cell r="E223">
            <v>16</v>
          </cell>
          <cell r="F223">
            <v>12</v>
          </cell>
          <cell r="I223">
            <v>8</v>
          </cell>
          <cell r="K223">
            <v>11</v>
          </cell>
          <cell r="R223">
            <v>10</v>
          </cell>
          <cell r="T223">
            <v>64</v>
          </cell>
        </row>
        <row r="224">
          <cell r="A224" t="str">
            <v>COMM-106</v>
          </cell>
          <cell r="C224">
            <v>29</v>
          </cell>
          <cell r="D224">
            <v>30</v>
          </cell>
          <cell r="E224">
            <v>28</v>
          </cell>
          <cell r="F224">
            <v>31</v>
          </cell>
          <cell r="G224">
            <v>19</v>
          </cell>
          <cell r="H224">
            <v>28</v>
          </cell>
          <cell r="I224">
            <v>31</v>
          </cell>
          <cell r="R224">
            <v>31</v>
          </cell>
          <cell r="T224">
            <v>227</v>
          </cell>
        </row>
        <row r="225">
          <cell r="A225" t="str">
            <v>COMM-108</v>
          </cell>
          <cell r="B225">
            <v>29</v>
          </cell>
          <cell r="C225">
            <v>28</v>
          </cell>
          <cell r="D225">
            <v>27</v>
          </cell>
          <cell r="E225">
            <v>31</v>
          </cell>
          <cell r="F225">
            <v>33</v>
          </cell>
          <cell r="H225">
            <v>30</v>
          </cell>
          <cell r="R225">
            <v>29</v>
          </cell>
          <cell r="T225">
            <v>207</v>
          </cell>
        </row>
        <row r="226">
          <cell r="A226" t="str">
            <v>COMM-108H</v>
          </cell>
          <cell r="C226">
            <v>2</v>
          </cell>
          <cell r="D226">
            <v>4</v>
          </cell>
          <cell r="F226">
            <v>1</v>
          </cell>
          <cell r="R226">
            <v>3</v>
          </cell>
          <cell r="T226">
            <v>10</v>
          </cell>
        </row>
        <row r="227">
          <cell r="A227" t="str">
            <v>COMM-110</v>
          </cell>
          <cell r="H227">
            <v>29</v>
          </cell>
          <cell r="T227">
            <v>29</v>
          </cell>
        </row>
        <row r="228">
          <cell r="A228" t="str">
            <v>COMM-113</v>
          </cell>
          <cell r="B228">
            <v>18</v>
          </cell>
          <cell r="C228">
            <v>7</v>
          </cell>
          <cell r="D228">
            <v>22</v>
          </cell>
          <cell r="E228">
            <v>25</v>
          </cell>
          <cell r="G228">
            <v>4</v>
          </cell>
          <cell r="T228">
            <v>76</v>
          </cell>
        </row>
        <row r="229">
          <cell r="A229" t="str">
            <v>COMM-115</v>
          </cell>
          <cell r="J229">
            <v>29</v>
          </cell>
          <cell r="K229">
            <v>29</v>
          </cell>
          <cell r="T229">
            <v>58</v>
          </cell>
        </row>
        <row r="230">
          <cell r="A230" t="str">
            <v>COMM-120</v>
          </cell>
          <cell r="I230">
            <v>29</v>
          </cell>
          <cell r="J230">
            <v>29</v>
          </cell>
          <cell r="K230">
            <v>26</v>
          </cell>
          <cell r="R230">
            <v>32</v>
          </cell>
          <cell r="S230">
            <v>30</v>
          </cell>
          <cell r="T230">
            <v>146</v>
          </cell>
        </row>
        <row r="231">
          <cell r="A231" t="str">
            <v>COMM-129</v>
          </cell>
          <cell r="H231">
            <v>2</v>
          </cell>
          <cell r="I231">
            <v>4</v>
          </cell>
          <cell r="T231">
            <v>6</v>
          </cell>
        </row>
        <row r="232">
          <cell r="A232" t="str">
            <v>COMM-149</v>
          </cell>
          <cell r="H232">
            <v>1</v>
          </cell>
          <cell r="I232">
            <v>1</v>
          </cell>
          <cell r="Q232" t="str">
            <v>2</v>
          </cell>
          <cell r="S232">
            <v>1</v>
          </cell>
          <cell r="T232">
            <v>5</v>
          </cell>
        </row>
        <row r="233">
          <cell r="A233" t="str">
            <v>COMM-201</v>
          </cell>
          <cell r="G233">
            <v>8</v>
          </cell>
          <cell r="K233">
            <v>17</v>
          </cell>
          <cell r="T233">
            <v>25</v>
          </cell>
        </row>
        <row r="234">
          <cell r="A234" t="str">
            <v>COMM-299</v>
          </cell>
          <cell r="J234">
            <v>1</v>
          </cell>
          <cell r="T234">
            <v>1</v>
          </cell>
        </row>
        <row r="235">
          <cell r="A235" t="str">
            <v>CORR-101</v>
          </cell>
          <cell r="B235">
            <v>26</v>
          </cell>
          <cell r="H235">
            <v>37</v>
          </cell>
          <cell r="R235">
            <v>39</v>
          </cell>
          <cell r="T235">
            <v>102</v>
          </cell>
        </row>
        <row r="236">
          <cell r="A236" t="str">
            <v>CORR-102</v>
          </cell>
          <cell r="D236">
            <v>38</v>
          </cell>
          <cell r="G236">
            <v>20</v>
          </cell>
          <cell r="J236">
            <v>36</v>
          </cell>
          <cell r="S236">
            <v>34</v>
          </cell>
          <cell r="T236">
            <v>128</v>
          </cell>
        </row>
        <row r="237">
          <cell r="A237" t="str">
            <v>CORR-103</v>
          </cell>
          <cell r="C237">
            <v>24</v>
          </cell>
          <cell r="F237">
            <v>37</v>
          </cell>
          <cell r="I237">
            <v>41</v>
          </cell>
          <cell r="T237">
            <v>102</v>
          </cell>
        </row>
        <row r="238">
          <cell r="A238" t="str">
            <v>CSIS-101</v>
          </cell>
          <cell r="B238">
            <v>126</v>
          </cell>
          <cell r="C238">
            <v>165</v>
          </cell>
          <cell r="D238">
            <v>162</v>
          </cell>
          <cell r="E238">
            <v>128</v>
          </cell>
          <cell r="F238">
            <v>122</v>
          </cell>
          <cell r="G238">
            <v>126</v>
          </cell>
          <cell r="H238">
            <v>155</v>
          </cell>
          <cell r="I238">
            <v>133</v>
          </cell>
          <cell r="J238">
            <v>144</v>
          </cell>
          <cell r="K238">
            <v>130</v>
          </cell>
          <cell r="L238" t="str">
            <v>37</v>
          </cell>
          <cell r="M238" t="str">
            <v>51</v>
          </cell>
          <cell r="O238" t="str">
            <v>28</v>
          </cell>
          <cell r="R238">
            <v>101</v>
          </cell>
          <cell r="S238">
            <v>101</v>
          </cell>
          <cell r="T238">
            <v>1709</v>
          </cell>
        </row>
        <row r="239">
          <cell r="A239" t="str">
            <v>CSIS-103</v>
          </cell>
          <cell r="B239">
            <v>15</v>
          </cell>
          <cell r="C239">
            <v>25</v>
          </cell>
          <cell r="D239">
            <v>38</v>
          </cell>
          <cell r="E239">
            <v>23</v>
          </cell>
          <cell r="F239">
            <v>21</v>
          </cell>
          <cell r="G239">
            <v>23</v>
          </cell>
          <cell r="H239">
            <v>45</v>
          </cell>
          <cell r="I239">
            <v>51</v>
          </cell>
          <cell r="J239">
            <v>42</v>
          </cell>
          <cell r="K239">
            <v>21</v>
          </cell>
          <cell r="R239">
            <v>23</v>
          </cell>
          <cell r="S239">
            <v>26</v>
          </cell>
          <cell r="T239">
            <v>353</v>
          </cell>
        </row>
        <row r="240">
          <cell r="A240" t="str">
            <v>CSIS-111B</v>
          </cell>
          <cell r="B240">
            <v>24</v>
          </cell>
          <cell r="C240">
            <v>41</v>
          </cell>
          <cell r="D240">
            <v>37</v>
          </cell>
          <cell r="E240">
            <v>26</v>
          </cell>
          <cell r="F240">
            <v>50</v>
          </cell>
          <cell r="G240">
            <v>33</v>
          </cell>
          <cell r="H240">
            <v>20</v>
          </cell>
          <cell r="I240">
            <v>23</v>
          </cell>
          <cell r="J240">
            <v>51</v>
          </cell>
          <cell r="K240">
            <v>21</v>
          </cell>
          <cell r="L240" t="str">
            <v>18</v>
          </cell>
          <cell r="R240">
            <v>45</v>
          </cell>
          <cell r="S240">
            <v>26</v>
          </cell>
          <cell r="T240">
            <v>415</v>
          </cell>
        </row>
        <row r="241">
          <cell r="A241" t="str">
            <v>CSIS-112A</v>
          </cell>
          <cell r="B241">
            <v>22</v>
          </cell>
          <cell r="C241">
            <v>19</v>
          </cell>
          <cell r="G241">
            <v>14</v>
          </cell>
          <cell r="T241">
            <v>55</v>
          </cell>
        </row>
        <row r="242">
          <cell r="A242" t="str">
            <v>CSIS-113A</v>
          </cell>
          <cell r="B242">
            <v>26</v>
          </cell>
          <cell r="C242">
            <v>42</v>
          </cell>
          <cell r="D242">
            <v>27</v>
          </cell>
          <cell r="E242">
            <v>24</v>
          </cell>
          <cell r="F242">
            <v>17</v>
          </cell>
          <cell r="G242">
            <v>26</v>
          </cell>
          <cell r="H242">
            <v>20</v>
          </cell>
          <cell r="I242">
            <v>54</v>
          </cell>
          <cell r="J242">
            <v>51</v>
          </cell>
          <cell r="K242">
            <v>20</v>
          </cell>
          <cell r="R242">
            <v>28</v>
          </cell>
          <cell r="S242">
            <v>24</v>
          </cell>
          <cell r="T242">
            <v>359</v>
          </cell>
        </row>
        <row r="243">
          <cell r="A243" t="str">
            <v>CSIS-113B</v>
          </cell>
          <cell r="B243">
            <v>24</v>
          </cell>
          <cell r="C243">
            <v>13</v>
          </cell>
          <cell r="G243">
            <v>13</v>
          </cell>
          <cell r="T243">
            <v>50</v>
          </cell>
        </row>
        <row r="244">
          <cell r="A244" t="str">
            <v>CSIS-113C</v>
          </cell>
          <cell r="H244">
            <v>18</v>
          </cell>
          <cell r="T244">
            <v>18</v>
          </cell>
        </row>
        <row r="245">
          <cell r="A245" t="str">
            <v>CSIS-115A</v>
          </cell>
          <cell r="C245">
            <v>16</v>
          </cell>
          <cell r="D245">
            <v>24</v>
          </cell>
          <cell r="G245">
            <v>21</v>
          </cell>
          <cell r="H245">
            <v>47</v>
          </cell>
          <cell r="I245">
            <v>48</v>
          </cell>
          <cell r="T245">
            <v>156</v>
          </cell>
        </row>
        <row r="246">
          <cell r="A246" t="str">
            <v>CSIS-117D</v>
          </cell>
          <cell r="B246">
            <v>19</v>
          </cell>
          <cell r="C246">
            <v>36</v>
          </cell>
          <cell r="D246">
            <v>17</v>
          </cell>
          <cell r="E246">
            <v>20</v>
          </cell>
          <cell r="F246">
            <v>23</v>
          </cell>
          <cell r="I246">
            <v>20</v>
          </cell>
          <cell r="K246">
            <v>21</v>
          </cell>
          <cell r="R246">
            <v>30</v>
          </cell>
          <cell r="S246">
            <v>25</v>
          </cell>
          <cell r="T246">
            <v>211</v>
          </cell>
        </row>
        <row r="247">
          <cell r="A247" t="str">
            <v>CSIS-118A</v>
          </cell>
          <cell r="C247">
            <v>19</v>
          </cell>
          <cell r="E247">
            <v>18</v>
          </cell>
          <cell r="T247">
            <v>37</v>
          </cell>
        </row>
        <row r="248">
          <cell r="A248" t="str">
            <v>CSIS-122A</v>
          </cell>
          <cell r="G248">
            <v>9</v>
          </cell>
          <cell r="T248">
            <v>9</v>
          </cell>
        </row>
        <row r="249">
          <cell r="A249" t="str">
            <v>CSIS-123A</v>
          </cell>
          <cell r="B249">
            <v>15</v>
          </cell>
          <cell r="C249">
            <v>10</v>
          </cell>
          <cell r="D249">
            <v>21</v>
          </cell>
          <cell r="E249">
            <v>13</v>
          </cell>
          <cell r="F249">
            <v>12</v>
          </cell>
          <cell r="G249">
            <v>15</v>
          </cell>
          <cell r="H249">
            <v>12</v>
          </cell>
          <cell r="I249">
            <v>9</v>
          </cell>
          <cell r="J249">
            <v>10</v>
          </cell>
          <cell r="K249">
            <v>8</v>
          </cell>
          <cell r="R249">
            <v>22</v>
          </cell>
          <cell r="S249">
            <v>17</v>
          </cell>
          <cell r="T249">
            <v>164</v>
          </cell>
        </row>
        <row r="250">
          <cell r="A250" t="str">
            <v>CSIS-123B</v>
          </cell>
          <cell r="B250">
            <v>13</v>
          </cell>
          <cell r="G250">
            <v>14</v>
          </cell>
          <cell r="T250">
            <v>27</v>
          </cell>
        </row>
        <row r="251">
          <cell r="A251" t="str">
            <v>CSIS-149</v>
          </cell>
          <cell r="B251">
            <v>1</v>
          </cell>
          <cell r="C251">
            <v>6</v>
          </cell>
          <cell r="H251">
            <v>4</v>
          </cell>
          <cell r="M251" t="str">
            <v>2</v>
          </cell>
          <cell r="S251">
            <v>4</v>
          </cell>
          <cell r="T251">
            <v>17</v>
          </cell>
        </row>
        <row r="252">
          <cell r="A252" t="str">
            <v>CSIS-153</v>
          </cell>
          <cell r="B252">
            <v>12</v>
          </cell>
          <cell r="T252">
            <v>12</v>
          </cell>
        </row>
        <row r="253">
          <cell r="A253" t="str">
            <v>CSIS-201</v>
          </cell>
          <cell r="B253">
            <v>18</v>
          </cell>
          <cell r="C253">
            <v>31</v>
          </cell>
          <cell r="D253">
            <v>45</v>
          </cell>
          <cell r="E253">
            <v>28</v>
          </cell>
          <cell r="F253">
            <v>27</v>
          </cell>
          <cell r="G253">
            <v>20</v>
          </cell>
          <cell r="H253">
            <v>32</v>
          </cell>
          <cell r="I253">
            <v>40</v>
          </cell>
          <cell r="J253">
            <v>28</v>
          </cell>
          <cell r="K253">
            <v>24</v>
          </cell>
          <cell r="R253">
            <v>26</v>
          </cell>
          <cell r="S253">
            <v>24</v>
          </cell>
          <cell r="T253">
            <v>343</v>
          </cell>
        </row>
        <row r="254">
          <cell r="A254" t="str">
            <v>CSIS-202</v>
          </cell>
          <cell r="B254">
            <v>32</v>
          </cell>
          <cell r="C254">
            <v>55</v>
          </cell>
          <cell r="D254">
            <v>46</v>
          </cell>
          <cell r="E254">
            <v>67</v>
          </cell>
          <cell r="F254">
            <v>64</v>
          </cell>
          <cell r="G254">
            <v>50</v>
          </cell>
          <cell r="H254">
            <v>47</v>
          </cell>
          <cell r="I254">
            <v>71</v>
          </cell>
          <cell r="J254">
            <v>68</v>
          </cell>
          <cell r="K254">
            <v>84</v>
          </cell>
          <cell r="L254" t="str">
            <v>18</v>
          </cell>
          <cell r="M254" t="str">
            <v>27</v>
          </cell>
          <cell r="R254">
            <v>79</v>
          </cell>
          <cell r="S254">
            <v>60</v>
          </cell>
          <cell r="T254">
            <v>768</v>
          </cell>
        </row>
        <row r="255">
          <cell r="A255" t="str">
            <v>CSIS-211</v>
          </cell>
          <cell r="G255">
            <v>12</v>
          </cell>
          <cell r="I255">
            <v>11</v>
          </cell>
          <cell r="S255">
            <v>18</v>
          </cell>
          <cell r="T255">
            <v>41</v>
          </cell>
        </row>
        <row r="256">
          <cell r="A256" t="str">
            <v>CSIS-299</v>
          </cell>
          <cell r="L256" t="str">
            <v>1</v>
          </cell>
          <cell r="T256">
            <v>1</v>
          </cell>
        </row>
        <row r="257">
          <cell r="A257" t="str">
            <v>DAN-100</v>
          </cell>
          <cell r="B257">
            <v>31</v>
          </cell>
          <cell r="C257">
            <v>34</v>
          </cell>
          <cell r="D257">
            <v>31</v>
          </cell>
          <cell r="E257">
            <v>33</v>
          </cell>
          <cell r="F257">
            <v>33</v>
          </cell>
          <cell r="G257">
            <v>30</v>
          </cell>
          <cell r="H257">
            <v>69</v>
          </cell>
          <cell r="I257">
            <v>65</v>
          </cell>
          <cell r="J257">
            <v>31</v>
          </cell>
          <cell r="K257">
            <v>30</v>
          </cell>
          <cell r="R257">
            <v>32</v>
          </cell>
          <cell r="S257">
            <v>34</v>
          </cell>
          <cell r="T257">
            <v>453</v>
          </cell>
        </row>
        <row r="258">
          <cell r="A258" t="str">
            <v>DAN-108</v>
          </cell>
          <cell r="B258">
            <v>13</v>
          </cell>
          <cell r="C258">
            <v>17</v>
          </cell>
          <cell r="D258">
            <v>18</v>
          </cell>
          <cell r="E258">
            <v>14</v>
          </cell>
          <cell r="F258">
            <v>10</v>
          </cell>
          <cell r="H258">
            <v>12</v>
          </cell>
          <cell r="I258">
            <v>11</v>
          </cell>
          <cell r="J258">
            <v>16</v>
          </cell>
          <cell r="K258">
            <v>11</v>
          </cell>
          <cell r="R258">
            <v>10</v>
          </cell>
          <cell r="S258">
            <v>12</v>
          </cell>
          <cell r="T258">
            <v>144</v>
          </cell>
        </row>
        <row r="259">
          <cell r="A259" t="str">
            <v>DAN-120</v>
          </cell>
          <cell r="B259">
            <v>16</v>
          </cell>
          <cell r="D259">
            <v>23</v>
          </cell>
          <cell r="E259">
            <v>24</v>
          </cell>
          <cell r="H259">
            <v>18</v>
          </cell>
          <cell r="I259">
            <v>24</v>
          </cell>
          <cell r="L259" t="str">
            <v>16</v>
          </cell>
          <cell r="T259">
            <v>121</v>
          </cell>
        </row>
        <row r="260">
          <cell r="A260" t="str">
            <v>DAN-121</v>
          </cell>
          <cell r="B260">
            <v>43</v>
          </cell>
          <cell r="C260">
            <v>54</v>
          </cell>
          <cell r="D260">
            <v>25</v>
          </cell>
          <cell r="E260">
            <v>25</v>
          </cell>
          <cell r="F260">
            <v>21</v>
          </cell>
          <cell r="G260">
            <v>33</v>
          </cell>
          <cell r="H260">
            <v>25</v>
          </cell>
          <cell r="I260">
            <v>28</v>
          </cell>
          <cell r="J260">
            <v>23</v>
          </cell>
          <cell r="M260" t="str">
            <v>23</v>
          </cell>
          <cell r="R260">
            <v>25</v>
          </cell>
          <cell r="S260">
            <v>26</v>
          </cell>
          <cell r="T260">
            <v>351</v>
          </cell>
        </row>
        <row r="261">
          <cell r="A261" t="str">
            <v>DAN-122</v>
          </cell>
          <cell r="B261">
            <v>21</v>
          </cell>
          <cell r="C261">
            <v>30</v>
          </cell>
          <cell r="D261">
            <v>19</v>
          </cell>
          <cell r="E261">
            <v>26</v>
          </cell>
          <cell r="G261">
            <v>28</v>
          </cell>
          <cell r="H261">
            <v>19</v>
          </cell>
          <cell r="I261">
            <v>29</v>
          </cell>
          <cell r="J261">
            <v>24</v>
          </cell>
          <cell r="K261">
            <v>25</v>
          </cell>
          <cell r="R261">
            <v>24</v>
          </cell>
          <cell r="T261">
            <v>245</v>
          </cell>
        </row>
        <row r="262">
          <cell r="A262" t="str">
            <v>DAN-123</v>
          </cell>
          <cell r="B262">
            <v>56</v>
          </cell>
          <cell r="C262">
            <v>53</v>
          </cell>
          <cell r="D262">
            <v>52</v>
          </cell>
          <cell r="E262">
            <v>23</v>
          </cell>
          <cell r="F262">
            <v>25</v>
          </cell>
          <cell r="G262">
            <v>24</v>
          </cell>
          <cell r="H262">
            <v>46</v>
          </cell>
          <cell r="I262">
            <v>49</v>
          </cell>
          <cell r="K262">
            <v>26</v>
          </cell>
          <cell r="L262" t="str">
            <v>28</v>
          </cell>
          <cell r="M262" t="str">
            <v>35</v>
          </cell>
          <cell r="R262">
            <v>24</v>
          </cell>
          <cell r="S262">
            <v>25</v>
          </cell>
          <cell r="T262">
            <v>466</v>
          </cell>
        </row>
        <row r="263">
          <cell r="A263" t="str">
            <v>DAN-124</v>
          </cell>
          <cell r="B263">
            <v>19</v>
          </cell>
          <cell r="C263">
            <v>27</v>
          </cell>
          <cell r="D263">
            <v>30</v>
          </cell>
          <cell r="F263">
            <v>25</v>
          </cell>
          <cell r="G263">
            <v>12</v>
          </cell>
          <cell r="T263">
            <v>113</v>
          </cell>
        </row>
        <row r="264">
          <cell r="A264" t="str">
            <v>DAN-125</v>
          </cell>
          <cell r="B264">
            <v>15</v>
          </cell>
          <cell r="C264">
            <v>22</v>
          </cell>
          <cell r="D264">
            <v>20</v>
          </cell>
          <cell r="E264">
            <v>20</v>
          </cell>
          <cell r="F264">
            <v>20</v>
          </cell>
          <cell r="G264">
            <v>15</v>
          </cell>
          <cell r="H264">
            <v>21</v>
          </cell>
          <cell r="I264">
            <v>24</v>
          </cell>
          <cell r="J264">
            <v>25</v>
          </cell>
          <cell r="R264">
            <v>25</v>
          </cell>
          <cell r="S264">
            <v>14</v>
          </cell>
          <cell r="T264">
            <v>221</v>
          </cell>
        </row>
        <row r="265">
          <cell r="A265" t="str">
            <v>DAN-126</v>
          </cell>
          <cell r="E265">
            <v>23</v>
          </cell>
          <cell r="F265">
            <v>15</v>
          </cell>
          <cell r="G265">
            <v>8</v>
          </cell>
          <cell r="I265">
            <v>26</v>
          </cell>
          <cell r="J265">
            <v>18</v>
          </cell>
          <cell r="S265">
            <v>10</v>
          </cell>
          <cell r="T265">
            <v>100</v>
          </cell>
        </row>
        <row r="266">
          <cell r="A266" t="str">
            <v>DAN-127</v>
          </cell>
          <cell r="C266">
            <v>17</v>
          </cell>
          <cell r="D266">
            <v>17</v>
          </cell>
          <cell r="G266">
            <v>13</v>
          </cell>
          <cell r="H266">
            <v>25</v>
          </cell>
          <cell r="J266">
            <v>19</v>
          </cell>
          <cell r="K266">
            <v>16</v>
          </cell>
          <cell r="T266">
            <v>107</v>
          </cell>
        </row>
        <row r="267">
          <cell r="A267" t="str">
            <v>DAN-128</v>
          </cell>
          <cell r="D267">
            <v>16</v>
          </cell>
          <cell r="G267">
            <v>13</v>
          </cell>
          <cell r="K267">
            <v>21</v>
          </cell>
          <cell r="T267">
            <v>50</v>
          </cell>
        </row>
        <row r="268">
          <cell r="A268" t="str">
            <v>DAN-131</v>
          </cell>
          <cell r="C268">
            <v>33</v>
          </cell>
          <cell r="D268">
            <v>31</v>
          </cell>
          <cell r="E268">
            <v>23</v>
          </cell>
          <cell r="F268">
            <v>25</v>
          </cell>
          <cell r="H268">
            <v>25</v>
          </cell>
          <cell r="I268">
            <v>27</v>
          </cell>
          <cell r="J268">
            <v>24</v>
          </cell>
          <cell r="K268">
            <v>26</v>
          </cell>
          <cell r="R268">
            <v>23</v>
          </cell>
          <cell r="S268">
            <v>19</v>
          </cell>
          <cell r="T268">
            <v>256</v>
          </cell>
        </row>
        <row r="269">
          <cell r="A269" t="str">
            <v>DAN-133</v>
          </cell>
          <cell r="E269">
            <v>23</v>
          </cell>
          <cell r="F269">
            <v>27</v>
          </cell>
          <cell r="G269">
            <v>7</v>
          </cell>
          <cell r="H269">
            <v>17</v>
          </cell>
          <cell r="J269">
            <v>23</v>
          </cell>
          <cell r="K269">
            <v>26</v>
          </cell>
          <cell r="R269">
            <v>38</v>
          </cell>
          <cell r="S269">
            <v>30</v>
          </cell>
          <cell r="T269">
            <v>191</v>
          </cell>
        </row>
        <row r="270">
          <cell r="A270" t="str">
            <v>DAN-201</v>
          </cell>
          <cell r="G270">
            <v>3</v>
          </cell>
          <cell r="H270">
            <v>14</v>
          </cell>
          <cell r="I270">
            <v>19</v>
          </cell>
          <cell r="J270">
            <v>15</v>
          </cell>
          <cell r="T270">
            <v>51</v>
          </cell>
        </row>
        <row r="271">
          <cell r="A271" t="str">
            <v>DAN-209</v>
          </cell>
          <cell r="B271">
            <v>8</v>
          </cell>
          <cell r="T271">
            <v>8</v>
          </cell>
        </row>
        <row r="272">
          <cell r="A272" t="str">
            <v>DAN-212</v>
          </cell>
          <cell r="C272">
            <v>17</v>
          </cell>
          <cell r="D272">
            <v>16</v>
          </cell>
          <cell r="E272">
            <v>35</v>
          </cell>
          <cell r="F272">
            <v>19</v>
          </cell>
          <cell r="G272">
            <v>11</v>
          </cell>
          <cell r="K272">
            <v>15</v>
          </cell>
          <cell r="R272">
            <v>25</v>
          </cell>
          <cell r="S272">
            <v>22</v>
          </cell>
          <cell r="T272">
            <v>160</v>
          </cell>
        </row>
        <row r="273">
          <cell r="A273" t="str">
            <v>DAN-214</v>
          </cell>
          <cell r="H273">
            <v>13</v>
          </cell>
          <cell r="I273">
            <v>8</v>
          </cell>
          <cell r="J273">
            <v>8</v>
          </cell>
          <cell r="T273">
            <v>29</v>
          </cell>
        </row>
        <row r="274">
          <cell r="A274" t="str">
            <v>DAN-225</v>
          </cell>
          <cell r="K274">
            <v>8</v>
          </cell>
          <cell r="T274">
            <v>8</v>
          </cell>
        </row>
        <row r="275">
          <cell r="A275" t="str">
            <v>DAN-299</v>
          </cell>
          <cell r="C275">
            <v>8</v>
          </cell>
          <cell r="D275">
            <v>6</v>
          </cell>
          <cell r="E275">
            <v>6</v>
          </cell>
          <cell r="F275">
            <v>8</v>
          </cell>
          <cell r="G275">
            <v>6</v>
          </cell>
          <cell r="H275">
            <v>5</v>
          </cell>
          <cell r="I275">
            <v>6</v>
          </cell>
          <cell r="J275">
            <v>2</v>
          </cell>
          <cell r="K275">
            <v>5</v>
          </cell>
          <cell r="L275" t="str">
            <v>1</v>
          </cell>
          <cell r="R275">
            <v>1</v>
          </cell>
          <cell r="S275">
            <v>2</v>
          </cell>
          <cell r="T275">
            <v>56</v>
          </cell>
        </row>
        <row r="276">
          <cell r="A276" t="str">
            <v>DMS-095</v>
          </cell>
          <cell r="C276">
            <v>5</v>
          </cell>
          <cell r="D276">
            <v>5</v>
          </cell>
          <cell r="E276">
            <v>8</v>
          </cell>
          <cell r="R276">
            <v>7</v>
          </cell>
          <cell r="T276">
            <v>25</v>
          </cell>
        </row>
        <row r="277">
          <cell r="A277" t="str">
            <v>DMS-100</v>
          </cell>
          <cell r="C277">
            <v>9</v>
          </cell>
          <cell r="D277">
            <v>10</v>
          </cell>
          <cell r="E277">
            <v>10</v>
          </cell>
          <cell r="M277" t="str">
            <v>10</v>
          </cell>
          <cell r="R277">
            <v>7</v>
          </cell>
          <cell r="T277">
            <v>46</v>
          </cell>
        </row>
        <row r="278">
          <cell r="A278" t="str">
            <v>DMS-101</v>
          </cell>
          <cell r="C278">
            <v>9</v>
          </cell>
          <cell r="D278">
            <v>10</v>
          </cell>
          <cell r="E278">
            <v>10</v>
          </cell>
          <cell r="R278">
            <v>7</v>
          </cell>
          <cell r="T278">
            <v>36</v>
          </cell>
        </row>
        <row r="279">
          <cell r="A279" t="str">
            <v>DMS-102</v>
          </cell>
          <cell r="H279">
            <v>8</v>
          </cell>
          <cell r="I279">
            <v>7</v>
          </cell>
          <cell r="J279">
            <v>9</v>
          </cell>
          <cell r="S279">
            <v>7</v>
          </cell>
          <cell r="T279">
            <v>31</v>
          </cell>
        </row>
        <row r="280">
          <cell r="A280" t="str">
            <v>DMS-103</v>
          </cell>
          <cell r="C280">
            <v>7</v>
          </cell>
          <cell r="D280">
            <v>7</v>
          </cell>
          <cell r="E280">
            <v>10</v>
          </cell>
          <cell r="R280">
            <v>7</v>
          </cell>
          <cell r="T280">
            <v>31</v>
          </cell>
        </row>
        <row r="281">
          <cell r="A281" t="str">
            <v>DMS-104</v>
          </cell>
          <cell r="S281">
            <v>7</v>
          </cell>
          <cell r="T281">
            <v>7</v>
          </cell>
        </row>
        <row r="282">
          <cell r="A282" t="str">
            <v>DMS-110</v>
          </cell>
          <cell r="G282">
            <v>9</v>
          </cell>
          <cell r="H282">
            <v>10</v>
          </cell>
          <cell r="I282">
            <v>10</v>
          </cell>
          <cell r="J282">
            <v>9</v>
          </cell>
          <cell r="S282">
            <v>7</v>
          </cell>
          <cell r="T282">
            <v>45</v>
          </cell>
        </row>
        <row r="283">
          <cell r="A283" t="str">
            <v>DMS-114</v>
          </cell>
          <cell r="M283" t="str">
            <v>9</v>
          </cell>
          <cell r="N283" t="str">
            <v>10</v>
          </cell>
          <cell r="O283" t="str">
            <v>10</v>
          </cell>
          <cell r="P283" t="str">
            <v>9</v>
          </cell>
          <cell r="T283">
            <v>38</v>
          </cell>
        </row>
        <row r="284">
          <cell r="A284" t="str">
            <v>DMS-118</v>
          </cell>
          <cell r="B284">
            <v>10</v>
          </cell>
          <cell r="C284">
            <v>10</v>
          </cell>
          <cell r="D284">
            <v>10</v>
          </cell>
          <cell r="E284">
            <v>10</v>
          </cell>
          <cell r="T284">
            <v>40</v>
          </cell>
        </row>
        <row r="285">
          <cell r="A285" t="str">
            <v>DMS-120</v>
          </cell>
          <cell r="G285">
            <v>10</v>
          </cell>
          <cell r="H285">
            <v>10</v>
          </cell>
          <cell r="I285">
            <v>10</v>
          </cell>
          <cell r="J285">
            <v>9</v>
          </cell>
          <cell r="S285">
            <v>7</v>
          </cell>
          <cell r="T285">
            <v>46</v>
          </cell>
        </row>
        <row r="286">
          <cell r="A286" t="str">
            <v>DMS-122</v>
          </cell>
          <cell r="G286">
            <v>10</v>
          </cell>
          <cell r="H286">
            <v>10</v>
          </cell>
          <cell r="I286">
            <v>10</v>
          </cell>
          <cell r="J286">
            <v>9</v>
          </cell>
          <cell r="S286">
            <v>7</v>
          </cell>
          <cell r="T286">
            <v>46</v>
          </cell>
        </row>
        <row r="287">
          <cell r="A287" t="str">
            <v>DMS-124</v>
          </cell>
          <cell r="C287">
            <v>9</v>
          </cell>
          <cell r="D287">
            <v>10</v>
          </cell>
          <cell r="E287">
            <v>9</v>
          </cell>
          <cell r="F287">
            <v>8</v>
          </cell>
          <cell r="T287">
            <v>36</v>
          </cell>
        </row>
        <row r="288">
          <cell r="A288" t="str">
            <v>DMS-126</v>
          </cell>
          <cell r="L288" t="str">
            <v>4</v>
          </cell>
          <cell r="T288">
            <v>4</v>
          </cell>
        </row>
        <row r="289">
          <cell r="A289" t="str">
            <v>DMS-128</v>
          </cell>
          <cell r="G289">
            <v>10</v>
          </cell>
          <cell r="H289">
            <v>10</v>
          </cell>
          <cell r="I289">
            <v>10</v>
          </cell>
          <cell r="J289">
            <v>9</v>
          </cell>
          <cell r="T289">
            <v>39</v>
          </cell>
        </row>
        <row r="290">
          <cell r="A290" t="str">
            <v>DMS-130</v>
          </cell>
          <cell r="C290">
            <v>9</v>
          </cell>
          <cell r="D290">
            <v>10</v>
          </cell>
          <cell r="E290">
            <v>9</v>
          </cell>
          <cell r="F290">
            <v>9</v>
          </cell>
          <cell r="T290">
            <v>37</v>
          </cell>
        </row>
        <row r="291">
          <cell r="A291" t="str">
            <v>DMS-132</v>
          </cell>
          <cell r="B291">
            <v>4</v>
          </cell>
          <cell r="C291">
            <v>9</v>
          </cell>
          <cell r="D291">
            <v>10</v>
          </cell>
          <cell r="E291">
            <v>9</v>
          </cell>
          <cell r="F291">
            <v>9</v>
          </cell>
          <cell r="T291">
            <v>41</v>
          </cell>
        </row>
        <row r="292">
          <cell r="A292" t="str">
            <v>DMS-134</v>
          </cell>
          <cell r="G292">
            <v>4</v>
          </cell>
          <cell r="H292">
            <v>9</v>
          </cell>
          <cell r="I292">
            <v>10</v>
          </cell>
          <cell r="J292">
            <v>9</v>
          </cell>
          <cell r="K292">
            <v>9</v>
          </cell>
          <cell r="T292">
            <v>41</v>
          </cell>
        </row>
        <row r="293">
          <cell r="A293" t="str">
            <v>DMS-136</v>
          </cell>
          <cell r="B293">
            <v>4</v>
          </cell>
          <cell r="H293">
            <v>9</v>
          </cell>
          <cell r="I293">
            <v>10</v>
          </cell>
          <cell r="J293">
            <v>10</v>
          </cell>
          <cell r="K293">
            <v>8</v>
          </cell>
          <cell r="O293" t="str">
            <v>3</v>
          </cell>
          <cell r="T293">
            <v>44</v>
          </cell>
        </row>
        <row r="294">
          <cell r="A294" t="str">
            <v>DMS-138</v>
          </cell>
          <cell r="B294">
            <v>4</v>
          </cell>
          <cell r="C294">
            <v>9</v>
          </cell>
          <cell r="D294">
            <v>10</v>
          </cell>
          <cell r="E294">
            <v>9</v>
          </cell>
          <cell r="T294">
            <v>32</v>
          </cell>
        </row>
        <row r="295">
          <cell r="A295" t="str">
            <v>DMS-140</v>
          </cell>
          <cell r="F295">
            <v>9</v>
          </cell>
          <cell r="T295">
            <v>9</v>
          </cell>
        </row>
        <row r="296">
          <cell r="A296" t="str">
            <v>DMS-148</v>
          </cell>
          <cell r="G296">
            <v>4</v>
          </cell>
          <cell r="H296">
            <v>9</v>
          </cell>
          <cell r="I296">
            <v>10</v>
          </cell>
          <cell r="J296">
            <v>9</v>
          </cell>
          <cell r="T296">
            <v>32</v>
          </cell>
        </row>
        <row r="297">
          <cell r="A297" t="str">
            <v>ECON-201</v>
          </cell>
          <cell r="B297">
            <v>158</v>
          </cell>
          <cell r="C297">
            <v>206</v>
          </cell>
          <cell r="D297">
            <v>221</v>
          </cell>
          <cell r="E297">
            <v>146</v>
          </cell>
          <cell r="F297">
            <v>152</v>
          </cell>
          <cell r="G297">
            <v>190</v>
          </cell>
          <cell r="H297">
            <v>169</v>
          </cell>
          <cell r="I297">
            <v>193</v>
          </cell>
          <cell r="J297">
            <v>109</v>
          </cell>
          <cell r="K297">
            <v>107</v>
          </cell>
          <cell r="L297" t="str">
            <v>53</v>
          </cell>
          <cell r="M297" t="str">
            <v>39</v>
          </cell>
          <cell r="O297" t="str">
            <v>41</v>
          </cell>
          <cell r="R297">
            <v>157</v>
          </cell>
          <cell r="S297">
            <v>109</v>
          </cell>
          <cell r="T297">
            <v>2050</v>
          </cell>
        </row>
        <row r="298">
          <cell r="A298" t="str">
            <v>ECON-201H</v>
          </cell>
          <cell r="K298">
            <v>1</v>
          </cell>
          <cell r="R298">
            <v>3</v>
          </cell>
          <cell r="S298">
            <v>2</v>
          </cell>
          <cell r="T298">
            <v>6</v>
          </cell>
        </row>
        <row r="299">
          <cell r="A299" t="str">
            <v>ECON-202</v>
          </cell>
          <cell r="B299">
            <v>142</v>
          </cell>
          <cell r="C299">
            <v>125</v>
          </cell>
          <cell r="D299">
            <v>126</v>
          </cell>
          <cell r="E299">
            <v>92</v>
          </cell>
          <cell r="F299">
            <v>80</v>
          </cell>
          <cell r="G299">
            <v>132</v>
          </cell>
          <cell r="H299">
            <v>170</v>
          </cell>
          <cell r="I299">
            <v>133</v>
          </cell>
          <cell r="J299">
            <v>79</v>
          </cell>
          <cell r="K299">
            <v>113</v>
          </cell>
          <cell r="L299" t="str">
            <v>23</v>
          </cell>
          <cell r="M299" t="str">
            <v>40</v>
          </cell>
          <cell r="R299">
            <v>83</v>
          </cell>
          <cell r="S299">
            <v>107</v>
          </cell>
          <cell r="T299">
            <v>1445</v>
          </cell>
        </row>
        <row r="300">
          <cell r="A300" t="str">
            <v>ECON-203</v>
          </cell>
          <cell r="K300">
            <v>33</v>
          </cell>
          <cell r="R300">
            <v>40</v>
          </cell>
          <cell r="S300">
            <v>36</v>
          </cell>
          <cell r="T300">
            <v>109</v>
          </cell>
        </row>
        <row r="301">
          <cell r="A301" t="str">
            <v>ED-132</v>
          </cell>
          <cell r="H301">
            <v>10</v>
          </cell>
          <cell r="I301">
            <v>14</v>
          </cell>
          <cell r="J301">
            <v>6</v>
          </cell>
          <cell r="S301">
            <v>4</v>
          </cell>
          <cell r="T301">
            <v>34</v>
          </cell>
        </row>
        <row r="302">
          <cell r="A302" t="str">
            <v>ED-135</v>
          </cell>
          <cell r="G302">
            <v>15</v>
          </cell>
          <cell r="H302">
            <v>27</v>
          </cell>
          <cell r="T302">
            <v>42</v>
          </cell>
        </row>
        <row r="303">
          <cell r="A303" t="str">
            <v>ED-136</v>
          </cell>
          <cell r="B303">
            <v>17</v>
          </cell>
          <cell r="C303">
            <v>11</v>
          </cell>
          <cell r="T303">
            <v>28</v>
          </cell>
        </row>
        <row r="304">
          <cell r="A304" t="str">
            <v>ED-142</v>
          </cell>
          <cell r="G304">
            <v>13</v>
          </cell>
          <cell r="T304">
            <v>13</v>
          </cell>
        </row>
        <row r="305">
          <cell r="A305" t="str">
            <v>ENGL-041</v>
          </cell>
          <cell r="B305">
            <v>7</v>
          </cell>
          <cell r="C305">
            <v>3</v>
          </cell>
          <cell r="D305">
            <v>6</v>
          </cell>
          <cell r="E305">
            <v>10</v>
          </cell>
          <cell r="G305">
            <v>8</v>
          </cell>
          <cell r="H305">
            <v>1</v>
          </cell>
          <cell r="I305">
            <v>3</v>
          </cell>
          <cell r="T305">
            <v>38</v>
          </cell>
        </row>
        <row r="306">
          <cell r="A306" t="str">
            <v>ENGL-042</v>
          </cell>
          <cell r="B306">
            <v>2</v>
          </cell>
          <cell r="C306">
            <v>2</v>
          </cell>
          <cell r="E306">
            <v>2</v>
          </cell>
          <cell r="I306">
            <v>4</v>
          </cell>
          <cell r="T306">
            <v>10</v>
          </cell>
        </row>
        <row r="307">
          <cell r="A307" t="str">
            <v>ENGL-050</v>
          </cell>
          <cell r="B307">
            <v>14</v>
          </cell>
          <cell r="C307">
            <v>18</v>
          </cell>
          <cell r="G307">
            <v>11</v>
          </cell>
          <cell r="L307" t="str">
            <v>18</v>
          </cell>
          <cell r="M307" t="str">
            <v>13</v>
          </cell>
          <cell r="T307">
            <v>74</v>
          </cell>
        </row>
        <row r="308">
          <cell r="A308" t="str">
            <v>ENGL-051</v>
          </cell>
          <cell r="B308">
            <v>28</v>
          </cell>
          <cell r="C308">
            <v>21</v>
          </cell>
          <cell r="G308">
            <v>24</v>
          </cell>
          <cell r="T308">
            <v>73</v>
          </cell>
        </row>
        <row r="309">
          <cell r="A309" t="str">
            <v>ENGL-052</v>
          </cell>
          <cell r="B309">
            <v>11</v>
          </cell>
          <cell r="C309">
            <v>14</v>
          </cell>
          <cell r="G309">
            <v>11</v>
          </cell>
          <cell r="M309" t="str">
            <v>8</v>
          </cell>
          <cell r="T309">
            <v>44</v>
          </cell>
        </row>
        <row r="310">
          <cell r="A310" t="str">
            <v>ENGL-053</v>
          </cell>
          <cell r="C310">
            <v>12</v>
          </cell>
          <cell r="T310">
            <v>12</v>
          </cell>
        </row>
        <row r="311">
          <cell r="A311" t="str">
            <v>ENGL-054</v>
          </cell>
          <cell r="L311" t="str">
            <v>11</v>
          </cell>
          <cell r="T311">
            <v>11</v>
          </cell>
        </row>
        <row r="312">
          <cell r="A312" t="str">
            <v>ENGL-056</v>
          </cell>
          <cell r="B312">
            <v>20</v>
          </cell>
          <cell r="C312">
            <v>23</v>
          </cell>
          <cell r="G312">
            <v>22</v>
          </cell>
          <cell r="L312" t="str">
            <v>8</v>
          </cell>
          <cell r="M312" t="str">
            <v>24</v>
          </cell>
          <cell r="T312">
            <v>97</v>
          </cell>
        </row>
        <row r="313">
          <cell r="A313" t="str">
            <v>ENGL-061</v>
          </cell>
          <cell r="B313">
            <v>245</v>
          </cell>
          <cell r="C313">
            <v>116</v>
          </cell>
          <cell r="D313">
            <v>156</v>
          </cell>
          <cell r="E313">
            <v>182</v>
          </cell>
          <cell r="F313">
            <v>178</v>
          </cell>
          <cell r="G313">
            <v>218</v>
          </cell>
          <cell r="H313">
            <v>107</v>
          </cell>
          <cell r="I313">
            <v>165</v>
          </cell>
          <cell r="J313">
            <v>179</v>
          </cell>
          <cell r="K313">
            <v>124</v>
          </cell>
          <cell r="L313" t="str">
            <v>37</v>
          </cell>
          <cell r="M313" t="str">
            <v>58</v>
          </cell>
          <cell r="N313" t="str">
            <v>49</v>
          </cell>
          <cell r="R313">
            <v>91</v>
          </cell>
          <cell r="S313">
            <v>62</v>
          </cell>
          <cell r="T313">
            <v>1967</v>
          </cell>
        </row>
        <row r="314">
          <cell r="A314" t="str">
            <v>ENGL-062</v>
          </cell>
          <cell r="B314">
            <v>270</v>
          </cell>
          <cell r="C314">
            <v>277</v>
          </cell>
          <cell r="D314">
            <v>287</v>
          </cell>
          <cell r="E314">
            <v>247</v>
          </cell>
          <cell r="F314">
            <v>239</v>
          </cell>
          <cell r="G314">
            <v>289</v>
          </cell>
          <cell r="H314">
            <v>370</v>
          </cell>
          <cell r="I314">
            <v>264</v>
          </cell>
          <cell r="J314">
            <v>237</v>
          </cell>
          <cell r="K314">
            <v>186</v>
          </cell>
          <cell r="L314" t="str">
            <v>72</v>
          </cell>
          <cell r="M314" t="str">
            <v>110</v>
          </cell>
          <cell r="N314" t="str">
            <v>49</v>
          </cell>
          <cell r="R314">
            <v>146</v>
          </cell>
          <cell r="S314">
            <v>165</v>
          </cell>
          <cell r="T314">
            <v>3208</v>
          </cell>
        </row>
        <row r="315">
          <cell r="A315" t="str">
            <v>ENGL-065</v>
          </cell>
          <cell r="B315">
            <v>18</v>
          </cell>
          <cell r="D315">
            <v>19</v>
          </cell>
          <cell r="T315">
            <v>37</v>
          </cell>
        </row>
        <row r="316">
          <cell r="A316" t="str">
            <v>ENGL-095</v>
          </cell>
          <cell r="B316">
            <v>7</v>
          </cell>
          <cell r="T316">
            <v>7</v>
          </cell>
        </row>
        <row r="317">
          <cell r="A317" t="str">
            <v>ENGL-098</v>
          </cell>
          <cell r="B317">
            <v>486</v>
          </cell>
          <cell r="C317">
            <v>684</v>
          </cell>
          <cell r="D317">
            <v>558</v>
          </cell>
          <cell r="E317">
            <v>497</v>
          </cell>
          <cell r="F317">
            <v>451</v>
          </cell>
          <cell r="G317">
            <v>526</v>
          </cell>
          <cell r="H317">
            <v>609</v>
          </cell>
          <cell r="I317">
            <v>547</v>
          </cell>
          <cell r="J317">
            <v>505</v>
          </cell>
          <cell r="K317">
            <v>574</v>
          </cell>
          <cell r="L317" t="str">
            <v>124</v>
          </cell>
          <cell r="M317" t="str">
            <v>141</v>
          </cell>
          <cell r="N317" t="str">
            <v>68</v>
          </cell>
          <cell r="R317">
            <v>295</v>
          </cell>
          <cell r="S317">
            <v>480</v>
          </cell>
          <cell r="T317">
            <v>6545</v>
          </cell>
        </row>
        <row r="318">
          <cell r="A318" t="str">
            <v>ENGL-101</v>
          </cell>
          <cell r="B318">
            <v>734</v>
          </cell>
          <cell r="C318">
            <v>698</v>
          </cell>
          <cell r="D318">
            <v>683</v>
          </cell>
          <cell r="E318">
            <v>619</v>
          </cell>
          <cell r="F318">
            <v>552</v>
          </cell>
          <cell r="G318">
            <v>591</v>
          </cell>
          <cell r="H318">
            <v>688</v>
          </cell>
          <cell r="I318">
            <v>632</v>
          </cell>
          <cell r="J318">
            <v>575</v>
          </cell>
          <cell r="K318">
            <v>620</v>
          </cell>
          <cell r="L318" t="str">
            <v>108</v>
          </cell>
          <cell r="M318" t="str">
            <v>130</v>
          </cell>
          <cell r="N318" t="str">
            <v>97</v>
          </cell>
          <cell r="Q318" t="str">
            <v>47</v>
          </cell>
          <cell r="R318">
            <v>570</v>
          </cell>
          <cell r="S318">
            <v>659</v>
          </cell>
          <cell r="T318">
            <v>8003</v>
          </cell>
        </row>
        <row r="319">
          <cell r="A319" t="str">
            <v>ENGL-101H</v>
          </cell>
          <cell r="B319">
            <v>4</v>
          </cell>
          <cell r="C319">
            <v>4</v>
          </cell>
          <cell r="D319">
            <v>3</v>
          </cell>
          <cell r="E319">
            <v>6</v>
          </cell>
          <cell r="F319">
            <v>4</v>
          </cell>
          <cell r="G319">
            <v>6</v>
          </cell>
          <cell r="H319">
            <v>4</v>
          </cell>
          <cell r="I319">
            <v>4</v>
          </cell>
          <cell r="J319">
            <v>4</v>
          </cell>
          <cell r="K319">
            <v>5</v>
          </cell>
          <cell r="M319" t="str">
            <v>1</v>
          </cell>
          <cell r="R319">
            <v>1</v>
          </cell>
          <cell r="S319">
            <v>3</v>
          </cell>
          <cell r="T319">
            <v>49</v>
          </cell>
        </row>
        <row r="320">
          <cell r="A320" t="str">
            <v>ENGL-103</v>
          </cell>
          <cell r="B320">
            <v>238</v>
          </cell>
          <cell r="C320">
            <v>302</v>
          </cell>
          <cell r="D320">
            <v>239</v>
          </cell>
          <cell r="E320">
            <v>254</v>
          </cell>
          <cell r="F320">
            <v>224</v>
          </cell>
          <cell r="G320">
            <v>313</v>
          </cell>
          <cell r="H320">
            <v>284</v>
          </cell>
          <cell r="I320">
            <v>307</v>
          </cell>
          <cell r="J320">
            <v>316</v>
          </cell>
          <cell r="K320">
            <v>265</v>
          </cell>
          <cell r="L320" t="str">
            <v>67</v>
          </cell>
          <cell r="M320" t="str">
            <v>41</v>
          </cell>
          <cell r="O320" t="str">
            <v>23</v>
          </cell>
          <cell r="Q320" t="str">
            <v>55</v>
          </cell>
          <cell r="R320">
            <v>231</v>
          </cell>
          <cell r="S320">
            <v>168</v>
          </cell>
          <cell r="T320">
            <v>3327</v>
          </cell>
        </row>
        <row r="321">
          <cell r="A321" t="str">
            <v>ENGL-103H</v>
          </cell>
          <cell r="B321">
            <v>9</v>
          </cell>
          <cell r="C321">
            <v>11</v>
          </cell>
          <cell r="D321">
            <v>7</v>
          </cell>
          <cell r="E321">
            <v>5</v>
          </cell>
          <cell r="F321">
            <v>12</v>
          </cell>
          <cell r="G321">
            <v>10</v>
          </cell>
          <cell r="H321">
            <v>12</v>
          </cell>
          <cell r="I321">
            <v>9</v>
          </cell>
          <cell r="J321">
            <v>12</v>
          </cell>
          <cell r="K321">
            <v>7</v>
          </cell>
          <cell r="L321" t="str">
            <v>2</v>
          </cell>
          <cell r="M321" t="str">
            <v>1</v>
          </cell>
          <cell r="R321">
            <v>10</v>
          </cell>
          <cell r="S321">
            <v>5</v>
          </cell>
          <cell r="T321">
            <v>112</v>
          </cell>
        </row>
        <row r="322">
          <cell r="A322" t="str">
            <v>ENGL-104</v>
          </cell>
          <cell r="B322">
            <v>6</v>
          </cell>
          <cell r="C322">
            <v>5</v>
          </cell>
          <cell r="D322">
            <v>14</v>
          </cell>
          <cell r="E322">
            <v>10</v>
          </cell>
          <cell r="F322">
            <v>12</v>
          </cell>
          <cell r="G322">
            <v>4</v>
          </cell>
          <cell r="H322">
            <v>5</v>
          </cell>
          <cell r="I322">
            <v>15</v>
          </cell>
          <cell r="J322">
            <v>12</v>
          </cell>
          <cell r="K322">
            <v>10</v>
          </cell>
          <cell r="R322">
            <v>14</v>
          </cell>
          <cell r="S322">
            <v>8</v>
          </cell>
          <cell r="T322">
            <v>115</v>
          </cell>
        </row>
        <row r="323">
          <cell r="A323" t="str">
            <v>ENGL-104H</v>
          </cell>
          <cell r="E323">
            <v>1</v>
          </cell>
          <cell r="H323">
            <v>1</v>
          </cell>
          <cell r="T323">
            <v>2</v>
          </cell>
        </row>
        <row r="324">
          <cell r="A324" t="str">
            <v>ENGL-106</v>
          </cell>
          <cell r="B324">
            <v>43</v>
          </cell>
          <cell r="C324">
            <v>63</v>
          </cell>
          <cell r="D324">
            <v>46</v>
          </cell>
          <cell r="E324">
            <v>49</v>
          </cell>
          <cell r="F324">
            <v>52</v>
          </cell>
          <cell r="G324">
            <v>38</v>
          </cell>
          <cell r="H324">
            <v>69</v>
          </cell>
          <cell r="I324">
            <v>57</v>
          </cell>
          <cell r="J324">
            <v>54</v>
          </cell>
          <cell r="K324">
            <v>57</v>
          </cell>
          <cell r="L324" t="str">
            <v>16</v>
          </cell>
          <cell r="M324" t="str">
            <v>14</v>
          </cell>
          <cell r="R324">
            <v>50</v>
          </cell>
          <cell r="S324">
            <v>47</v>
          </cell>
          <cell r="T324">
            <v>655</v>
          </cell>
        </row>
        <row r="325">
          <cell r="A325" t="str">
            <v>ENGL-106H</v>
          </cell>
          <cell r="B325">
            <v>4</v>
          </cell>
          <cell r="C325">
            <v>4</v>
          </cell>
          <cell r="E325">
            <v>1</v>
          </cell>
          <cell r="F325">
            <v>3</v>
          </cell>
          <cell r="G325">
            <v>4</v>
          </cell>
          <cell r="H325">
            <v>3</v>
          </cell>
          <cell r="I325">
            <v>2</v>
          </cell>
          <cell r="R325">
            <v>2</v>
          </cell>
          <cell r="S325">
            <v>4</v>
          </cell>
          <cell r="T325">
            <v>27</v>
          </cell>
        </row>
        <row r="326">
          <cell r="A326" t="str">
            <v>ENGL-130</v>
          </cell>
          <cell r="B326">
            <v>19</v>
          </cell>
          <cell r="C326">
            <v>15</v>
          </cell>
          <cell r="D326">
            <v>18</v>
          </cell>
          <cell r="E326">
            <v>27</v>
          </cell>
          <cell r="F326">
            <v>27</v>
          </cell>
          <cell r="G326">
            <v>20</v>
          </cell>
          <cell r="H326">
            <v>23</v>
          </cell>
          <cell r="J326">
            <v>26</v>
          </cell>
          <cell r="K326">
            <v>26</v>
          </cell>
          <cell r="R326">
            <v>26</v>
          </cell>
          <cell r="T326">
            <v>227</v>
          </cell>
        </row>
        <row r="327">
          <cell r="A327" t="str">
            <v>ENGL-130H</v>
          </cell>
          <cell r="C327">
            <v>2</v>
          </cell>
          <cell r="D327">
            <v>2</v>
          </cell>
          <cell r="K327">
            <v>3</v>
          </cell>
          <cell r="T327">
            <v>7</v>
          </cell>
        </row>
        <row r="328">
          <cell r="A328" t="str">
            <v>ENGL-131</v>
          </cell>
          <cell r="B328">
            <v>14</v>
          </cell>
          <cell r="C328">
            <v>12</v>
          </cell>
          <cell r="D328">
            <v>10</v>
          </cell>
          <cell r="E328">
            <v>17</v>
          </cell>
          <cell r="F328">
            <v>9</v>
          </cell>
          <cell r="G328">
            <v>11</v>
          </cell>
          <cell r="I328">
            <v>10</v>
          </cell>
          <cell r="J328">
            <v>10</v>
          </cell>
          <cell r="R328">
            <v>9</v>
          </cell>
          <cell r="T328">
            <v>102</v>
          </cell>
        </row>
        <row r="329">
          <cell r="A329" t="str">
            <v>ENGL-131H</v>
          </cell>
          <cell r="G329">
            <v>1</v>
          </cell>
          <cell r="I329">
            <v>3</v>
          </cell>
          <cell r="J329">
            <v>1</v>
          </cell>
          <cell r="R329">
            <v>1</v>
          </cell>
          <cell r="T329">
            <v>6</v>
          </cell>
        </row>
        <row r="330">
          <cell r="A330" t="str">
            <v>ENGL-132</v>
          </cell>
          <cell r="H330">
            <v>16</v>
          </cell>
          <cell r="I330">
            <v>17</v>
          </cell>
          <cell r="J330">
            <v>17</v>
          </cell>
          <cell r="S330">
            <v>25</v>
          </cell>
          <cell r="T330">
            <v>75</v>
          </cell>
        </row>
        <row r="331">
          <cell r="A331" t="str">
            <v>ENGL-132H</v>
          </cell>
          <cell r="H331">
            <v>5</v>
          </cell>
          <cell r="I331">
            <v>1</v>
          </cell>
          <cell r="J331">
            <v>5</v>
          </cell>
          <cell r="S331">
            <v>2</v>
          </cell>
          <cell r="T331">
            <v>13</v>
          </cell>
        </row>
        <row r="332">
          <cell r="A332" t="str">
            <v>ENGL-145</v>
          </cell>
          <cell r="K332">
            <v>7</v>
          </cell>
          <cell r="T332">
            <v>7</v>
          </cell>
        </row>
        <row r="333">
          <cell r="A333" t="str">
            <v>ENGL-191</v>
          </cell>
          <cell r="B333">
            <v>3</v>
          </cell>
          <cell r="C333">
            <v>6</v>
          </cell>
          <cell r="D333">
            <v>3</v>
          </cell>
          <cell r="G333">
            <v>3</v>
          </cell>
          <cell r="I333">
            <v>4</v>
          </cell>
          <cell r="J333">
            <v>3</v>
          </cell>
          <cell r="T333">
            <v>22</v>
          </cell>
        </row>
        <row r="334">
          <cell r="A334" t="str">
            <v>ENGL-200</v>
          </cell>
          <cell r="E334">
            <v>19</v>
          </cell>
          <cell r="F334">
            <v>15</v>
          </cell>
          <cell r="R334">
            <v>10</v>
          </cell>
          <cell r="S334">
            <v>13</v>
          </cell>
          <cell r="T334">
            <v>57</v>
          </cell>
        </row>
        <row r="335">
          <cell r="A335" t="str">
            <v>ENGL-203</v>
          </cell>
          <cell r="B335">
            <v>11</v>
          </cell>
          <cell r="C335">
            <v>11</v>
          </cell>
          <cell r="D335">
            <v>20</v>
          </cell>
          <cell r="E335">
            <v>15</v>
          </cell>
          <cell r="T335">
            <v>57</v>
          </cell>
        </row>
        <row r="336">
          <cell r="A336" t="str">
            <v>ENGL-203H</v>
          </cell>
          <cell r="B336">
            <v>2</v>
          </cell>
          <cell r="D336">
            <v>2</v>
          </cell>
          <cell r="E336">
            <v>2</v>
          </cell>
          <cell r="T336">
            <v>6</v>
          </cell>
        </row>
        <row r="337">
          <cell r="A337" t="str">
            <v>ENGL-205</v>
          </cell>
          <cell r="D337">
            <v>31</v>
          </cell>
          <cell r="E337">
            <v>30</v>
          </cell>
          <cell r="F337">
            <v>23</v>
          </cell>
          <cell r="G337">
            <v>17</v>
          </cell>
          <cell r="H337">
            <v>19</v>
          </cell>
          <cell r="I337">
            <v>24</v>
          </cell>
          <cell r="J337">
            <v>25</v>
          </cell>
          <cell r="K337">
            <v>25</v>
          </cell>
          <cell r="S337">
            <v>28</v>
          </cell>
          <cell r="T337">
            <v>222</v>
          </cell>
        </row>
        <row r="338">
          <cell r="A338" t="str">
            <v>ENGL-205H</v>
          </cell>
          <cell r="D338">
            <v>2</v>
          </cell>
          <cell r="F338">
            <v>3</v>
          </cell>
          <cell r="G338">
            <v>3</v>
          </cell>
          <cell r="H338">
            <v>2</v>
          </cell>
          <cell r="I338">
            <v>2</v>
          </cell>
          <cell r="J338">
            <v>3</v>
          </cell>
          <cell r="S338">
            <v>2</v>
          </cell>
          <cell r="T338">
            <v>17</v>
          </cell>
        </row>
        <row r="339">
          <cell r="A339" t="str">
            <v>ENGL-207</v>
          </cell>
          <cell r="B339">
            <v>10</v>
          </cell>
          <cell r="D339">
            <v>26</v>
          </cell>
          <cell r="F339">
            <v>27</v>
          </cell>
          <cell r="T339">
            <v>63</v>
          </cell>
        </row>
        <row r="340">
          <cell r="A340" t="str">
            <v>ENGL-207H</v>
          </cell>
          <cell r="B340">
            <v>2</v>
          </cell>
          <cell r="D340">
            <v>1</v>
          </cell>
          <cell r="F340">
            <v>1</v>
          </cell>
          <cell r="T340">
            <v>4</v>
          </cell>
        </row>
        <row r="341">
          <cell r="A341" t="str">
            <v>ENGL-208</v>
          </cell>
          <cell r="G341">
            <v>15</v>
          </cell>
          <cell r="I341">
            <v>23</v>
          </cell>
          <cell r="J341">
            <v>24</v>
          </cell>
          <cell r="K341">
            <v>28</v>
          </cell>
          <cell r="T341">
            <v>90</v>
          </cell>
        </row>
        <row r="342">
          <cell r="A342" t="str">
            <v>ENGL-208H</v>
          </cell>
          <cell r="G342">
            <v>5</v>
          </cell>
          <cell r="I342">
            <v>2</v>
          </cell>
          <cell r="K342">
            <v>2</v>
          </cell>
          <cell r="T342">
            <v>9</v>
          </cell>
        </row>
        <row r="343">
          <cell r="A343" t="str">
            <v>ENGL-220</v>
          </cell>
          <cell r="B343">
            <v>18</v>
          </cell>
          <cell r="D343">
            <v>25</v>
          </cell>
          <cell r="T343">
            <v>43</v>
          </cell>
        </row>
        <row r="344">
          <cell r="A344" t="str">
            <v>ENGL-220H</v>
          </cell>
          <cell r="B344">
            <v>4</v>
          </cell>
          <cell r="D344">
            <v>2</v>
          </cell>
          <cell r="T344">
            <v>6</v>
          </cell>
        </row>
        <row r="345">
          <cell r="A345" t="str">
            <v>ENGL-225</v>
          </cell>
          <cell r="B345">
            <v>11</v>
          </cell>
          <cell r="C345">
            <v>12</v>
          </cell>
          <cell r="E345">
            <v>31</v>
          </cell>
          <cell r="G345">
            <v>17</v>
          </cell>
          <cell r="H345">
            <v>24</v>
          </cell>
          <cell r="T345">
            <v>95</v>
          </cell>
        </row>
        <row r="346">
          <cell r="A346" t="str">
            <v>ENGL-230</v>
          </cell>
          <cell r="C346">
            <v>15</v>
          </cell>
          <cell r="D346">
            <v>23</v>
          </cell>
          <cell r="E346">
            <v>25</v>
          </cell>
          <cell r="F346">
            <v>28</v>
          </cell>
          <cell r="R346">
            <v>29</v>
          </cell>
          <cell r="T346">
            <v>120</v>
          </cell>
        </row>
        <row r="347">
          <cell r="A347" t="str">
            <v>ENGL-230H</v>
          </cell>
          <cell r="F347">
            <v>1</v>
          </cell>
          <cell r="R347">
            <v>1</v>
          </cell>
          <cell r="T347">
            <v>2</v>
          </cell>
        </row>
        <row r="348">
          <cell r="A348" t="str">
            <v>ENGL-231</v>
          </cell>
          <cell r="H348">
            <v>22</v>
          </cell>
          <cell r="I348">
            <v>24</v>
          </cell>
          <cell r="J348">
            <v>29</v>
          </cell>
          <cell r="K348">
            <v>27</v>
          </cell>
          <cell r="S348">
            <v>24</v>
          </cell>
          <cell r="T348">
            <v>126</v>
          </cell>
        </row>
        <row r="349">
          <cell r="A349" t="str">
            <v>ENGL-231H</v>
          </cell>
          <cell r="H349">
            <v>3</v>
          </cell>
          <cell r="I349">
            <v>1</v>
          </cell>
          <cell r="J349">
            <v>1</v>
          </cell>
          <cell r="K349">
            <v>3</v>
          </cell>
          <cell r="S349">
            <v>3</v>
          </cell>
          <cell r="T349">
            <v>11</v>
          </cell>
        </row>
        <row r="350">
          <cell r="A350" t="str">
            <v>ENGL-235</v>
          </cell>
          <cell r="C350">
            <v>13</v>
          </cell>
          <cell r="I350">
            <v>14</v>
          </cell>
          <cell r="T350">
            <v>27</v>
          </cell>
        </row>
        <row r="351">
          <cell r="A351" t="str">
            <v>ENGL-240</v>
          </cell>
          <cell r="C351">
            <v>11</v>
          </cell>
          <cell r="J351">
            <v>19</v>
          </cell>
          <cell r="K351">
            <v>24</v>
          </cell>
          <cell r="T351">
            <v>54</v>
          </cell>
        </row>
        <row r="352">
          <cell r="A352" t="str">
            <v>ENGL-250</v>
          </cell>
          <cell r="C352">
            <v>10</v>
          </cell>
          <cell r="T352">
            <v>10</v>
          </cell>
        </row>
        <row r="353">
          <cell r="A353" t="str">
            <v>ENGL-260</v>
          </cell>
          <cell r="E353">
            <v>14</v>
          </cell>
          <cell r="H353">
            <v>19</v>
          </cell>
          <cell r="T353">
            <v>33</v>
          </cell>
        </row>
        <row r="354">
          <cell r="A354" t="str">
            <v>ENGL-270</v>
          </cell>
          <cell r="G354">
            <v>7</v>
          </cell>
          <cell r="H354">
            <v>6</v>
          </cell>
          <cell r="I354">
            <v>10</v>
          </cell>
          <cell r="J354">
            <v>8</v>
          </cell>
          <cell r="T354">
            <v>31</v>
          </cell>
        </row>
        <row r="355">
          <cell r="A355" t="str">
            <v>ENGL-280</v>
          </cell>
          <cell r="I355">
            <v>28</v>
          </cell>
          <cell r="T355">
            <v>28</v>
          </cell>
        </row>
        <row r="356">
          <cell r="A356" t="str">
            <v>ENGL-280H</v>
          </cell>
          <cell r="I356">
            <v>1</v>
          </cell>
          <cell r="T356">
            <v>1</v>
          </cell>
        </row>
        <row r="357">
          <cell r="A357" t="str">
            <v>ENGL-285</v>
          </cell>
          <cell r="H357">
            <v>11</v>
          </cell>
          <cell r="T357">
            <v>11</v>
          </cell>
        </row>
        <row r="358">
          <cell r="A358" t="str">
            <v>ENGL-285H</v>
          </cell>
          <cell r="H358">
            <v>1</v>
          </cell>
          <cell r="T358">
            <v>1</v>
          </cell>
        </row>
        <row r="359">
          <cell r="A359" t="str">
            <v>ENGL-286</v>
          </cell>
          <cell r="D359">
            <v>23</v>
          </cell>
          <cell r="T359">
            <v>23</v>
          </cell>
        </row>
        <row r="360">
          <cell r="A360" t="str">
            <v>ENGL-286H</v>
          </cell>
          <cell r="D360">
            <v>2</v>
          </cell>
          <cell r="T360">
            <v>2</v>
          </cell>
        </row>
        <row r="361">
          <cell r="A361" t="str">
            <v>ENGL-299</v>
          </cell>
          <cell r="B361">
            <v>7</v>
          </cell>
          <cell r="C361">
            <v>4</v>
          </cell>
          <cell r="D361">
            <v>1</v>
          </cell>
          <cell r="F361">
            <v>2</v>
          </cell>
          <cell r="G361">
            <v>2</v>
          </cell>
          <cell r="H361">
            <v>4</v>
          </cell>
          <cell r="I361">
            <v>6</v>
          </cell>
          <cell r="T361">
            <v>26</v>
          </cell>
        </row>
        <row r="362">
          <cell r="A362" t="str">
            <v>ENGR-108</v>
          </cell>
          <cell r="K362">
            <v>6</v>
          </cell>
          <cell r="R362">
            <v>14</v>
          </cell>
          <cell r="S362">
            <v>15</v>
          </cell>
          <cell r="T362">
            <v>35</v>
          </cell>
        </row>
        <row r="363">
          <cell r="A363" t="str">
            <v>ENGR-149</v>
          </cell>
          <cell r="F363">
            <v>1</v>
          </cell>
          <cell r="R363">
            <v>1</v>
          </cell>
          <cell r="T363">
            <v>2</v>
          </cell>
        </row>
        <row r="364">
          <cell r="A364" t="str">
            <v>ENVS-100</v>
          </cell>
          <cell r="B364">
            <v>37</v>
          </cell>
          <cell r="C364">
            <v>37</v>
          </cell>
          <cell r="D364">
            <v>40</v>
          </cell>
          <cell r="E364">
            <v>42</v>
          </cell>
          <cell r="F364">
            <v>38</v>
          </cell>
          <cell r="G364">
            <v>16</v>
          </cell>
          <cell r="H364">
            <v>31</v>
          </cell>
          <cell r="I364">
            <v>50</v>
          </cell>
          <cell r="J364">
            <v>40</v>
          </cell>
          <cell r="K364">
            <v>46</v>
          </cell>
          <cell r="R364">
            <v>37</v>
          </cell>
          <cell r="S364">
            <v>33</v>
          </cell>
          <cell r="T364">
            <v>447</v>
          </cell>
        </row>
        <row r="365">
          <cell r="A365" t="str">
            <v>ENVS-101</v>
          </cell>
          <cell r="B365">
            <v>150</v>
          </cell>
          <cell r="C365">
            <v>202</v>
          </cell>
          <cell r="D365">
            <v>194</v>
          </cell>
          <cell r="E365">
            <v>163</v>
          </cell>
          <cell r="F365">
            <v>145</v>
          </cell>
          <cell r="G365">
            <v>158</v>
          </cell>
          <cell r="H365">
            <v>186</v>
          </cell>
          <cell r="I365">
            <v>166</v>
          </cell>
          <cell r="J365">
            <v>145</v>
          </cell>
          <cell r="K365">
            <v>163</v>
          </cell>
          <cell r="L365" t="str">
            <v>18</v>
          </cell>
          <cell r="M365" t="str">
            <v>18</v>
          </cell>
          <cell r="R365">
            <v>126</v>
          </cell>
          <cell r="S365">
            <v>121</v>
          </cell>
          <cell r="T365">
            <v>1955</v>
          </cell>
        </row>
        <row r="366">
          <cell r="A366" t="str">
            <v>ENVS-101H</v>
          </cell>
          <cell r="B366">
            <v>4</v>
          </cell>
          <cell r="C366">
            <v>5</v>
          </cell>
          <cell r="D366">
            <v>2</v>
          </cell>
          <cell r="E366">
            <v>1</v>
          </cell>
          <cell r="G366">
            <v>4</v>
          </cell>
          <cell r="H366">
            <v>5</v>
          </cell>
          <cell r="I366">
            <v>4</v>
          </cell>
          <cell r="K366">
            <v>3</v>
          </cell>
          <cell r="R366">
            <v>4</v>
          </cell>
          <cell r="S366">
            <v>2</v>
          </cell>
          <cell r="T366">
            <v>34</v>
          </cell>
        </row>
        <row r="367">
          <cell r="A367" t="str">
            <v>ENVS-102</v>
          </cell>
          <cell r="B367">
            <v>11</v>
          </cell>
          <cell r="C367">
            <v>24</v>
          </cell>
          <cell r="D367">
            <v>25</v>
          </cell>
          <cell r="E367">
            <v>26</v>
          </cell>
          <cell r="F367">
            <v>28</v>
          </cell>
          <cell r="G367">
            <v>27</v>
          </cell>
          <cell r="H367">
            <v>29</v>
          </cell>
          <cell r="I367">
            <v>26</v>
          </cell>
          <cell r="J367">
            <v>31</v>
          </cell>
          <cell r="K367">
            <v>31</v>
          </cell>
          <cell r="R367">
            <v>30</v>
          </cell>
          <cell r="S367">
            <v>27</v>
          </cell>
          <cell r="T367">
            <v>315</v>
          </cell>
        </row>
        <row r="368">
          <cell r="A368" t="str">
            <v>ENVS-102H</v>
          </cell>
          <cell r="D368">
            <v>3</v>
          </cell>
          <cell r="G368">
            <v>2</v>
          </cell>
          <cell r="H368">
            <v>2</v>
          </cell>
          <cell r="I368">
            <v>1</v>
          </cell>
          <cell r="J368">
            <v>1</v>
          </cell>
          <cell r="T368">
            <v>9</v>
          </cell>
        </row>
        <row r="369">
          <cell r="A369" t="str">
            <v>ENVS-110</v>
          </cell>
          <cell r="M369" t="str">
            <v>4</v>
          </cell>
          <cell r="N369" t="str">
            <v>27</v>
          </cell>
          <cell r="T369">
            <v>31</v>
          </cell>
        </row>
        <row r="370">
          <cell r="A370" t="str">
            <v>ENVS-299</v>
          </cell>
          <cell r="J370">
            <v>3</v>
          </cell>
          <cell r="T370">
            <v>3</v>
          </cell>
        </row>
        <row r="371">
          <cell r="A371" t="str">
            <v>ESL-050</v>
          </cell>
          <cell r="D371">
            <v>23</v>
          </cell>
          <cell r="E371">
            <v>15</v>
          </cell>
          <cell r="F371">
            <v>9</v>
          </cell>
          <cell r="I371">
            <v>25</v>
          </cell>
          <cell r="J371">
            <v>19</v>
          </cell>
          <cell r="K371">
            <v>17</v>
          </cell>
          <cell r="R371">
            <v>14</v>
          </cell>
          <cell r="S371">
            <v>14</v>
          </cell>
          <cell r="T371">
            <v>136</v>
          </cell>
        </row>
        <row r="372">
          <cell r="A372" t="str">
            <v>ESL-050A</v>
          </cell>
          <cell r="H372">
            <v>13</v>
          </cell>
          <cell r="T372">
            <v>13</v>
          </cell>
        </row>
        <row r="373">
          <cell r="A373" t="str">
            <v>ESL-051</v>
          </cell>
          <cell r="D373">
            <v>25</v>
          </cell>
          <cell r="E373">
            <v>30</v>
          </cell>
          <cell r="F373">
            <v>25</v>
          </cell>
          <cell r="I373">
            <v>44</v>
          </cell>
          <cell r="J373">
            <v>38</v>
          </cell>
          <cell r="K373">
            <v>28</v>
          </cell>
          <cell r="R373">
            <v>28</v>
          </cell>
          <cell r="S373">
            <v>13</v>
          </cell>
          <cell r="T373">
            <v>231</v>
          </cell>
        </row>
        <row r="374">
          <cell r="A374" t="str">
            <v>ESL-051A</v>
          </cell>
          <cell r="H374">
            <v>11</v>
          </cell>
          <cell r="T374">
            <v>11</v>
          </cell>
        </row>
        <row r="375">
          <cell r="A375" t="str">
            <v>ESL-052A</v>
          </cell>
          <cell r="H375">
            <v>23</v>
          </cell>
          <cell r="T375">
            <v>23</v>
          </cell>
        </row>
        <row r="376">
          <cell r="A376" t="str">
            <v>ESL-053A</v>
          </cell>
          <cell r="H376">
            <v>8</v>
          </cell>
          <cell r="T376">
            <v>8</v>
          </cell>
        </row>
        <row r="377">
          <cell r="A377" t="str">
            <v>ESL-055</v>
          </cell>
          <cell r="J377">
            <v>30</v>
          </cell>
          <cell r="T377">
            <v>30</v>
          </cell>
        </row>
        <row r="378">
          <cell r="A378" t="str">
            <v>ESL-056</v>
          </cell>
          <cell r="D378">
            <v>18</v>
          </cell>
          <cell r="E378">
            <v>17</v>
          </cell>
          <cell r="F378">
            <v>26</v>
          </cell>
          <cell r="H378">
            <v>12</v>
          </cell>
          <cell r="I378">
            <v>17</v>
          </cell>
          <cell r="K378">
            <v>20</v>
          </cell>
          <cell r="N378" t="str">
            <v>24</v>
          </cell>
          <cell r="R378">
            <v>16</v>
          </cell>
          <cell r="T378">
            <v>150</v>
          </cell>
        </row>
        <row r="379">
          <cell r="A379" t="str">
            <v>ESL-062W</v>
          </cell>
          <cell r="D379">
            <v>25</v>
          </cell>
          <cell r="E379">
            <v>49</v>
          </cell>
          <cell r="F379">
            <v>48</v>
          </cell>
          <cell r="I379">
            <v>24</v>
          </cell>
          <cell r="J379">
            <v>39</v>
          </cell>
          <cell r="K379">
            <v>48</v>
          </cell>
          <cell r="R379">
            <v>44</v>
          </cell>
          <cell r="S379">
            <v>25</v>
          </cell>
          <cell r="T379">
            <v>302</v>
          </cell>
        </row>
        <row r="380">
          <cell r="A380" t="str">
            <v>ESL-063R</v>
          </cell>
          <cell r="D380">
            <v>26</v>
          </cell>
          <cell r="E380">
            <v>25</v>
          </cell>
          <cell r="F380">
            <v>11</v>
          </cell>
          <cell r="I380">
            <v>20</v>
          </cell>
          <cell r="J380">
            <v>22</v>
          </cell>
          <cell r="K380">
            <v>13</v>
          </cell>
          <cell r="R380">
            <v>17</v>
          </cell>
          <cell r="S380">
            <v>13</v>
          </cell>
          <cell r="T380">
            <v>147</v>
          </cell>
        </row>
        <row r="381">
          <cell r="A381" t="str">
            <v>ESL-064R</v>
          </cell>
          <cell r="F381">
            <v>23</v>
          </cell>
          <cell r="J381">
            <v>23</v>
          </cell>
          <cell r="K381">
            <v>14</v>
          </cell>
          <cell r="R381">
            <v>23</v>
          </cell>
          <cell r="S381">
            <v>17</v>
          </cell>
          <cell r="T381">
            <v>100</v>
          </cell>
        </row>
        <row r="382">
          <cell r="A382" t="str">
            <v>ESL-098W</v>
          </cell>
          <cell r="D382">
            <v>26</v>
          </cell>
          <cell r="E382">
            <v>24</v>
          </cell>
          <cell r="F382">
            <v>47</v>
          </cell>
          <cell r="I382">
            <v>28</v>
          </cell>
          <cell r="J382">
            <v>28</v>
          </cell>
          <cell r="K382">
            <v>48</v>
          </cell>
          <cell r="R382">
            <v>47</v>
          </cell>
          <cell r="S382">
            <v>40</v>
          </cell>
          <cell r="T382">
            <v>288</v>
          </cell>
        </row>
        <row r="383">
          <cell r="A383" t="str">
            <v>FIRE-101</v>
          </cell>
          <cell r="B383">
            <v>59</v>
          </cell>
          <cell r="C383">
            <v>72</v>
          </cell>
          <cell r="D383">
            <v>68</v>
          </cell>
          <cell r="E383">
            <v>38</v>
          </cell>
          <cell r="F383">
            <v>27</v>
          </cell>
          <cell r="G383">
            <v>81</v>
          </cell>
          <cell r="H383">
            <v>71</v>
          </cell>
          <cell r="I383">
            <v>99</v>
          </cell>
          <cell r="J383">
            <v>65</v>
          </cell>
          <cell r="K383">
            <v>58</v>
          </cell>
          <cell r="L383" t="str">
            <v>18</v>
          </cell>
          <cell r="M383" t="str">
            <v>36</v>
          </cell>
          <cell r="R383">
            <v>57</v>
          </cell>
          <cell r="S383">
            <v>95</v>
          </cell>
          <cell r="T383">
            <v>844</v>
          </cell>
        </row>
        <row r="384">
          <cell r="A384" t="str">
            <v>FIRE-102</v>
          </cell>
          <cell r="B384">
            <v>37</v>
          </cell>
          <cell r="C384">
            <v>39</v>
          </cell>
          <cell r="D384">
            <v>45</v>
          </cell>
          <cell r="E384">
            <v>40</v>
          </cell>
          <cell r="F384">
            <v>46</v>
          </cell>
          <cell r="R384">
            <v>47</v>
          </cell>
          <cell r="T384">
            <v>254</v>
          </cell>
        </row>
        <row r="385">
          <cell r="A385" t="str">
            <v>FIRE-103</v>
          </cell>
          <cell r="C385">
            <v>37</v>
          </cell>
          <cell r="D385">
            <v>32</v>
          </cell>
          <cell r="E385">
            <v>37</v>
          </cell>
          <cell r="F385">
            <v>29</v>
          </cell>
          <cell r="R385">
            <v>30</v>
          </cell>
          <cell r="T385">
            <v>165</v>
          </cell>
        </row>
        <row r="386">
          <cell r="A386" t="str">
            <v>FIRE-106</v>
          </cell>
          <cell r="D386">
            <v>38</v>
          </cell>
          <cell r="T386">
            <v>38</v>
          </cell>
        </row>
        <row r="387">
          <cell r="A387" t="str">
            <v>FIRE-107</v>
          </cell>
          <cell r="J387">
            <v>34</v>
          </cell>
          <cell r="T387">
            <v>34</v>
          </cell>
        </row>
        <row r="388">
          <cell r="A388" t="str">
            <v>FIRE-115</v>
          </cell>
          <cell r="G388">
            <v>32</v>
          </cell>
          <cell r="H388">
            <v>59</v>
          </cell>
          <cell r="I388">
            <v>33</v>
          </cell>
          <cell r="J388">
            <v>32</v>
          </cell>
          <cell r="K388">
            <v>36</v>
          </cell>
          <cell r="S388">
            <v>32</v>
          </cell>
          <cell r="T388">
            <v>224</v>
          </cell>
        </row>
        <row r="389">
          <cell r="A389" t="str">
            <v>FIRE-117</v>
          </cell>
          <cell r="S389">
            <v>20</v>
          </cell>
          <cell r="T389">
            <v>20</v>
          </cell>
        </row>
        <row r="390">
          <cell r="A390" t="str">
            <v>FIRE-121</v>
          </cell>
          <cell r="B390">
            <v>33</v>
          </cell>
          <cell r="C390">
            <v>29</v>
          </cell>
          <cell r="D390">
            <v>34</v>
          </cell>
          <cell r="E390">
            <v>30</v>
          </cell>
          <cell r="F390">
            <v>35</v>
          </cell>
          <cell r="T390">
            <v>161</v>
          </cell>
        </row>
        <row r="391">
          <cell r="A391" t="str">
            <v>FIRE-122</v>
          </cell>
          <cell r="E391">
            <v>28</v>
          </cell>
          <cell r="J391">
            <v>36</v>
          </cell>
          <cell r="K391">
            <v>40</v>
          </cell>
          <cell r="S391">
            <v>35</v>
          </cell>
          <cell r="T391">
            <v>139</v>
          </cell>
        </row>
        <row r="392">
          <cell r="A392" t="str">
            <v>FIRE-149</v>
          </cell>
          <cell r="C392">
            <v>4</v>
          </cell>
          <cell r="G392">
            <v>1</v>
          </cell>
          <cell r="H392">
            <v>4</v>
          </cell>
          <cell r="T392">
            <v>9</v>
          </cell>
        </row>
        <row r="393">
          <cell r="A393" t="str">
            <v>FIRE-299</v>
          </cell>
          <cell r="D393">
            <v>1</v>
          </cell>
          <cell r="L393" t="str">
            <v>1</v>
          </cell>
          <cell r="M393" t="str">
            <v>1</v>
          </cell>
          <cell r="T393">
            <v>3</v>
          </cell>
        </row>
        <row r="394">
          <cell r="A394" t="str">
            <v>FREN-101</v>
          </cell>
          <cell r="B394">
            <v>66</v>
          </cell>
          <cell r="C394">
            <v>86</v>
          </cell>
          <cell r="D394">
            <v>108</v>
          </cell>
          <cell r="E394">
            <v>107</v>
          </cell>
          <cell r="F394">
            <v>95</v>
          </cell>
          <cell r="G394">
            <v>41</v>
          </cell>
          <cell r="H394">
            <v>25</v>
          </cell>
          <cell r="I394">
            <v>41</v>
          </cell>
          <cell r="J394">
            <v>101</v>
          </cell>
          <cell r="K394">
            <v>68</v>
          </cell>
          <cell r="M394" t="str">
            <v>13</v>
          </cell>
          <cell r="R394">
            <v>95</v>
          </cell>
          <cell r="S394">
            <v>88</v>
          </cell>
          <cell r="T394">
            <v>934</v>
          </cell>
        </row>
        <row r="395">
          <cell r="A395" t="str">
            <v>FREN-102</v>
          </cell>
          <cell r="B395">
            <v>17</v>
          </cell>
          <cell r="C395">
            <v>12</v>
          </cell>
          <cell r="D395">
            <v>7</v>
          </cell>
          <cell r="E395">
            <v>16</v>
          </cell>
          <cell r="F395">
            <v>25</v>
          </cell>
          <cell r="G395">
            <v>21</v>
          </cell>
          <cell r="H395">
            <v>22</v>
          </cell>
          <cell r="I395">
            <v>23</v>
          </cell>
          <cell r="J395">
            <v>16</v>
          </cell>
          <cell r="K395">
            <v>38</v>
          </cell>
          <cell r="L395" t="str">
            <v>6</v>
          </cell>
          <cell r="R395">
            <v>24</v>
          </cell>
          <cell r="S395">
            <v>36</v>
          </cell>
          <cell r="T395">
            <v>263</v>
          </cell>
        </row>
        <row r="396">
          <cell r="A396" t="str">
            <v>FREN-201</v>
          </cell>
          <cell r="B396">
            <v>14</v>
          </cell>
          <cell r="C396">
            <v>12</v>
          </cell>
          <cell r="D396">
            <v>6</v>
          </cell>
          <cell r="E396">
            <v>16</v>
          </cell>
          <cell r="F396">
            <v>17</v>
          </cell>
          <cell r="G396">
            <v>4</v>
          </cell>
          <cell r="H396">
            <v>4</v>
          </cell>
          <cell r="I396">
            <v>14</v>
          </cell>
          <cell r="J396">
            <v>10</v>
          </cell>
          <cell r="K396">
            <v>9</v>
          </cell>
          <cell r="R396">
            <v>15</v>
          </cell>
          <cell r="S396">
            <v>14</v>
          </cell>
          <cell r="T396">
            <v>135</v>
          </cell>
        </row>
        <row r="397">
          <cell r="A397" t="str">
            <v>FREN-202</v>
          </cell>
          <cell r="C397">
            <v>3</v>
          </cell>
          <cell r="E397">
            <v>4</v>
          </cell>
          <cell r="G397">
            <v>3</v>
          </cell>
          <cell r="J397">
            <v>4</v>
          </cell>
          <cell r="K397">
            <v>4</v>
          </cell>
          <cell r="R397">
            <v>5</v>
          </cell>
          <cell r="S397">
            <v>6</v>
          </cell>
          <cell r="T397">
            <v>29</v>
          </cell>
        </row>
        <row r="398">
          <cell r="A398" t="str">
            <v>GEOG-080</v>
          </cell>
          <cell r="B398">
            <v>1</v>
          </cell>
          <cell r="D398">
            <v>4</v>
          </cell>
          <cell r="E398">
            <v>6</v>
          </cell>
          <cell r="G398">
            <v>3</v>
          </cell>
          <cell r="H398">
            <v>3</v>
          </cell>
          <cell r="J398">
            <v>5</v>
          </cell>
          <cell r="T398">
            <v>22</v>
          </cell>
        </row>
        <row r="399">
          <cell r="A399" t="str">
            <v>GEOG-101</v>
          </cell>
          <cell r="B399">
            <v>169</v>
          </cell>
          <cell r="C399">
            <v>93</v>
          </cell>
          <cell r="D399">
            <v>87</v>
          </cell>
          <cell r="E399">
            <v>86</v>
          </cell>
          <cell r="F399">
            <v>136</v>
          </cell>
          <cell r="G399">
            <v>95</v>
          </cell>
          <cell r="H399">
            <v>88</v>
          </cell>
          <cell r="I399">
            <v>84</v>
          </cell>
          <cell r="J399">
            <v>90</v>
          </cell>
          <cell r="K399">
            <v>89</v>
          </cell>
          <cell r="L399" t="str">
            <v>9</v>
          </cell>
          <cell r="R399">
            <v>43</v>
          </cell>
          <cell r="S399">
            <v>26</v>
          </cell>
          <cell r="T399">
            <v>1095</v>
          </cell>
        </row>
        <row r="400">
          <cell r="A400" t="str">
            <v>GEOG-102</v>
          </cell>
          <cell r="B400">
            <v>27</v>
          </cell>
          <cell r="C400">
            <v>24</v>
          </cell>
          <cell r="D400">
            <v>46</v>
          </cell>
          <cell r="H400">
            <v>29</v>
          </cell>
          <cell r="L400" t="str">
            <v>9</v>
          </cell>
          <cell r="M400" t="str">
            <v>5</v>
          </cell>
          <cell r="T400">
            <v>140</v>
          </cell>
        </row>
        <row r="401">
          <cell r="A401" t="str">
            <v>GEOG-104</v>
          </cell>
          <cell r="R401">
            <v>13</v>
          </cell>
          <cell r="T401">
            <v>13</v>
          </cell>
        </row>
        <row r="402">
          <cell r="A402" t="str">
            <v>GEOG-105</v>
          </cell>
          <cell r="B402">
            <v>16</v>
          </cell>
          <cell r="C402">
            <v>11</v>
          </cell>
          <cell r="D402">
            <v>24</v>
          </cell>
          <cell r="E402">
            <v>19</v>
          </cell>
          <cell r="F402">
            <v>14</v>
          </cell>
          <cell r="G402">
            <v>12</v>
          </cell>
          <cell r="H402">
            <v>21</v>
          </cell>
          <cell r="I402">
            <v>21</v>
          </cell>
          <cell r="J402">
            <v>21</v>
          </cell>
          <cell r="K402">
            <v>20</v>
          </cell>
          <cell r="R402">
            <v>14</v>
          </cell>
          <cell r="S402">
            <v>15</v>
          </cell>
          <cell r="T402">
            <v>208</v>
          </cell>
        </row>
        <row r="403">
          <cell r="A403" t="str">
            <v>GEOG-107</v>
          </cell>
          <cell r="I403">
            <v>37</v>
          </cell>
          <cell r="J403">
            <v>44</v>
          </cell>
          <cell r="T403">
            <v>81</v>
          </cell>
        </row>
        <row r="404">
          <cell r="A404" t="str">
            <v>GEOG-108</v>
          </cell>
          <cell r="F404">
            <v>44</v>
          </cell>
          <cell r="K404">
            <v>21</v>
          </cell>
          <cell r="T404">
            <v>65</v>
          </cell>
        </row>
        <row r="405">
          <cell r="A405" t="str">
            <v>GEOG-111</v>
          </cell>
          <cell r="C405">
            <v>21</v>
          </cell>
          <cell r="D405">
            <v>52</v>
          </cell>
          <cell r="E405">
            <v>40</v>
          </cell>
          <cell r="H405">
            <v>34</v>
          </cell>
          <cell r="K405">
            <v>43</v>
          </cell>
          <cell r="T405">
            <v>190</v>
          </cell>
        </row>
        <row r="406">
          <cell r="A406" t="str">
            <v>GEOG-115</v>
          </cell>
          <cell r="B406">
            <v>6</v>
          </cell>
          <cell r="C406">
            <v>12</v>
          </cell>
          <cell r="D406">
            <v>22</v>
          </cell>
          <cell r="E406">
            <v>16</v>
          </cell>
          <cell r="F406">
            <v>31</v>
          </cell>
          <cell r="G406">
            <v>13</v>
          </cell>
          <cell r="H406">
            <v>25</v>
          </cell>
          <cell r="I406">
            <v>25</v>
          </cell>
          <cell r="J406">
            <v>18</v>
          </cell>
          <cell r="K406">
            <v>16</v>
          </cell>
          <cell r="R406">
            <v>18</v>
          </cell>
          <cell r="S406">
            <v>8</v>
          </cell>
          <cell r="T406">
            <v>210</v>
          </cell>
        </row>
        <row r="407">
          <cell r="A407" t="str">
            <v>GEOG-115H</v>
          </cell>
          <cell r="G407">
            <v>1</v>
          </cell>
          <cell r="T407">
            <v>1</v>
          </cell>
        </row>
        <row r="408">
          <cell r="A408" t="str">
            <v>GEOG-120</v>
          </cell>
          <cell r="B408">
            <v>6</v>
          </cell>
          <cell r="C408">
            <v>8</v>
          </cell>
          <cell r="D408">
            <v>6</v>
          </cell>
          <cell r="E408">
            <v>13</v>
          </cell>
          <cell r="H408">
            <v>13</v>
          </cell>
          <cell r="I408">
            <v>15</v>
          </cell>
          <cell r="J408">
            <v>4</v>
          </cell>
          <cell r="K408">
            <v>17</v>
          </cell>
          <cell r="S408">
            <v>12</v>
          </cell>
          <cell r="T408">
            <v>94</v>
          </cell>
        </row>
        <row r="409">
          <cell r="A409" t="str">
            <v>GEOG-125</v>
          </cell>
          <cell r="C409">
            <v>5</v>
          </cell>
          <cell r="D409">
            <v>7</v>
          </cell>
          <cell r="E409">
            <v>7</v>
          </cell>
          <cell r="G409">
            <v>4</v>
          </cell>
          <cell r="H409">
            <v>9</v>
          </cell>
          <cell r="I409">
            <v>13</v>
          </cell>
          <cell r="K409">
            <v>10</v>
          </cell>
          <cell r="S409">
            <v>11</v>
          </cell>
          <cell r="T409">
            <v>66</v>
          </cell>
        </row>
        <row r="410">
          <cell r="A410" t="str">
            <v>GEOG-130</v>
          </cell>
          <cell r="H410">
            <v>13</v>
          </cell>
          <cell r="I410">
            <v>20</v>
          </cell>
          <cell r="J410">
            <v>14</v>
          </cell>
          <cell r="K410">
            <v>13</v>
          </cell>
          <cell r="T410">
            <v>60</v>
          </cell>
        </row>
        <row r="411">
          <cell r="A411" t="str">
            <v>GEOG-298A</v>
          </cell>
          <cell r="F411">
            <v>16</v>
          </cell>
          <cell r="G411">
            <v>6</v>
          </cell>
          <cell r="I411">
            <v>11</v>
          </cell>
          <cell r="T411">
            <v>33</v>
          </cell>
        </row>
        <row r="412">
          <cell r="A412" t="str">
            <v>GEOG-298D</v>
          </cell>
          <cell r="C412">
            <v>10</v>
          </cell>
          <cell r="D412">
            <v>8</v>
          </cell>
          <cell r="T412">
            <v>18</v>
          </cell>
        </row>
        <row r="413">
          <cell r="A413" t="str">
            <v>GEOG-298K</v>
          </cell>
          <cell r="C413">
            <v>7</v>
          </cell>
          <cell r="D413">
            <v>9</v>
          </cell>
          <cell r="E413">
            <v>8</v>
          </cell>
          <cell r="G413">
            <v>12</v>
          </cell>
          <cell r="R413">
            <v>5</v>
          </cell>
          <cell r="T413">
            <v>41</v>
          </cell>
        </row>
        <row r="414">
          <cell r="A414" t="str">
            <v>GEOG-298Q</v>
          </cell>
          <cell r="C414">
            <v>4</v>
          </cell>
          <cell r="J414">
            <v>15</v>
          </cell>
          <cell r="K414">
            <v>19</v>
          </cell>
          <cell r="T414">
            <v>38</v>
          </cell>
        </row>
        <row r="415">
          <cell r="A415" t="str">
            <v>GEOG-298Y</v>
          </cell>
          <cell r="E415">
            <v>20</v>
          </cell>
          <cell r="H415">
            <v>8</v>
          </cell>
          <cell r="T415">
            <v>28</v>
          </cell>
        </row>
        <row r="416">
          <cell r="A416" t="str">
            <v>GEOG-299</v>
          </cell>
          <cell r="G416">
            <v>4</v>
          </cell>
          <cell r="L416" t="str">
            <v>1</v>
          </cell>
          <cell r="N416" t="str">
            <v>3</v>
          </cell>
          <cell r="T416">
            <v>8</v>
          </cell>
        </row>
        <row r="417">
          <cell r="A417" t="str">
            <v>GEOL-100</v>
          </cell>
          <cell r="B417">
            <v>42</v>
          </cell>
          <cell r="C417">
            <v>59</v>
          </cell>
          <cell r="D417">
            <v>67</v>
          </cell>
          <cell r="E417">
            <v>61</v>
          </cell>
          <cell r="F417">
            <v>67</v>
          </cell>
          <cell r="R417">
            <v>66</v>
          </cell>
          <cell r="T417">
            <v>362</v>
          </cell>
        </row>
        <row r="418">
          <cell r="A418" t="str">
            <v>GEOL-103</v>
          </cell>
          <cell r="D418">
            <v>33</v>
          </cell>
          <cell r="E418">
            <v>31</v>
          </cell>
          <cell r="F418">
            <v>35</v>
          </cell>
          <cell r="R418">
            <v>36</v>
          </cell>
          <cell r="S418">
            <v>31</v>
          </cell>
          <cell r="T418">
            <v>166</v>
          </cell>
        </row>
        <row r="419">
          <cell r="A419" t="str">
            <v>GEOL-105</v>
          </cell>
          <cell r="G419">
            <v>12</v>
          </cell>
          <cell r="H419">
            <v>25</v>
          </cell>
          <cell r="I419">
            <v>31</v>
          </cell>
          <cell r="J419">
            <v>27</v>
          </cell>
          <cell r="K419">
            <v>25</v>
          </cell>
          <cell r="S419">
            <v>31</v>
          </cell>
          <cell r="T419">
            <v>151</v>
          </cell>
        </row>
        <row r="420">
          <cell r="A420" t="str">
            <v>GEOL-107</v>
          </cell>
          <cell r="B420">
            <v>29</v>
          </cell>
          <cell r="C420">
            <v>44</v>
          </cell>
          <cell r="D420">
            <v>29</v>
          </cell>
          <cell r="E420">
            <v>19</v>
          </cell>
          <cell r="F420">
            <v>23</v>
          </cell>
          <cell r="G420">
            <v>29</v>
          </cell>
          <cell r="H420">
            <v>44</v>
          </cell>
          <cell r="I420">
            <v>40</v>
          </cell>
          <cell r="J420">
            <v>34</v>
          </cell>
          <cell r="K420">
            <v>30</v>
          </cell>
          <cell r="R420">
            <v>22</v>
          </cell>
          <cell r="S420">
            <v>25</v>
          </cell>
          <cell r="T420">
            <v>368</v>
          </cell>
        </row>
        <row r="421">
          <cell r="A421" t="str">
            <v>GEOL-110</v>
          </cell>
          <cell r="G421">
            <v>17</v>
          </cell>
          <cell r="H421">
            <v>29</v>
          </cell>
          <cell r="I421">
            <v>36</v>
          </cell>
          <cell r="J421">
            <v>31</v>
          </cell>
          <cell r="K421">
            <v>33</v>
          </cell>
          <cell r="S421">
            <v>34</v>
          </cell>
          <cell r="T421">
            <v>180</v>
          </cell>
        </row>
        <row r="422">
          <cell r="A422" t="str">
            <v>GEOL-111</v>
          </cell>
          <cell r="G422">
            <v>8</v>
          </cell>
          <cell r="H422">
            <v>8</v>
          </cell>
          <cell r="I422">
            <v>11</v>
          </cell>
          <cell r="J422">
            <v>9</v>
          </cell>
          <cell r="K422">
            <v>8</v>
          </cell>
          <cell r="T422">
            <v>44</v>
          </cell>
        </row>
        <row r="423">
          <cell r="A423" t="str">
            <v>GER-149</v>
          </cell>
          <cell r="C423">
            <v>1</v>
          </cell>
          <cell r="T423">
            <v>1</v>
          </cell>
        </row>
        <row r="424">
          <cell r="A424" t="str">
            <v>GUID-050</v>
          </cell>
          <cell r="B424">
            <v>40</v>
          </cell>
          <cell r="C424">
            <v>33</v>
          </cell>
          <cell r="D424">
            <v>22</v>
          </cell>
          <cell r="E424">
            <v>36</v>
          </cell>
          <cell r="F424">
            <v>29</v>
          </cell>
          <cell r="G424">
            <v>18</v>
          </cell>
          <cell r="H424">
            <v>29</v>
          </cell>
          <cell r="I424">
            <v>24</v>
          </cell>
          <cell r="J424">
            <v>28</v>
          </cell>
          <cell r="K424">
            <v>23</v>
          </cell>
          <cell r="T424">
            <v>282</v>
          </cell>
        </row>
        <row r="425">
          <cell r="A425" t="str">
            <v>GUID-100</v>
          </cell>
          <cell r="B425">
            <v>43</v>
          </cell>
          <cell r="C425">
            <v>71</v>
          </cell>
          <cell r="D425">
            <v>48</v>
          </cell>
          <cell r="E425">
            <v>58</v>
          </cell>
          <cell r="F425">
            <v>65</v>
          </cell>
          <cell r="G425">
            <v>35</v>
          </cell>
          <cell r="H425">
            <v>60</v>
          </cell>
          <cell r="I425">
            <v>58</v>
          </cell>
          <cell r="J425">
            <v>49</v>
          </cell>
          <cell r="K425">
            <v>83</v>
          </cell>
          <cell r="L425" t="str">
            <v>19</v>
          </cell>
          <cell r="M425" t="str">
            <v>17</v>
          </cell>
          <cell r="N425" t="str">
            <v>14</v>
          </cell>
          <cell r="R425">
            <v>86</v>
          </cell>
          <cell r="S425">
            <v>77</v>
          </cell>
          <cell r="T425">
            <v>783</v>
          </cell>
        </row>
        <row r="426">
          <cell r="A426" t="str">
            <v>GUID-102</v>
          </cell>
          <cell r="L426" t="str">
            <v>12</v>
          </cell>
          <cell r="M426" t="str">
            <v>25</v>
          </cell>
          <cell r="N426" t="str">
            <v>10</v>
          </cell>
          <cell r="O426" t="str">
            <v>21</v>
          </cell>
          <cell r="T426">
            <v>68</v>
          </cell>
        </row>
        <row r="427">
          <cell r="A427" t="str">
            <v>GUID-110</v>
          </cell>
          <cell r="B427">
            <v>37</v>
          </cell>
          <cell r="D427">
            <v>50</v>
          </cell>
          <cell r="G427">
            <v>20</v>
          </cell>
          <cell r="H427">
            <v>45</v>
          </cell>
          <cell r="T427">
            <v>152</v>
          </cell>
        </row>
        <row r="428">
          <cell r="A428" t="str">
            <v>GUID-116</v>
          </cell>
          <cell r="B428">
            <v>119</v>
          </cell>
          <cell r="C428">
            <v>109</v>
          </cell>
          <cell r="D428">
            <v>82</v>
          </cell>
          <cell r="E428">
            <v>82</v>
          </cell>
          <cell r="F428">
            <v>84</v>
          </cell>
          <cell r="G428">
            <v>96</v>
          </cell>
          <cell r="H428">
            <v>86</v>
          </cell>
          <cell r="I428">
            <v>91</v>
          </cell>
          <cell r="J428">
            <v>85</v>
          </cell>
          <cell r="K428">
            <v>79</v>
          </cell>
          <cell r="L428" t="str">
            <v>12</v>
          </cell>
          <cell r="M428" t="str">
            <v>14</v>
          </cell>
          <cell r="R428">
            <v>82</v>
          </cell>
          <cell r="S428">
            <v>104</v>
          </cell>
          <cell r="T428">
            <v>1125</v>
          </cell>
        </row>
        <row r="429">
          <cell r="A429" t="str">
            <v>GUID-120</v>
          </cell>
          <cell r="B429">
            <v>27</v>
          </cell>
          <cell r="C429">
            <v>29</v>
          </cell>
          <cell r="D429">
            <v>55</v>
          </cell>
          <cell r="E429">
            <v>22</v>
          </cell>
          <cell r="G429">
            <v>17</v>
          </cell>
          <cell r="H429">
            <v>24</v>
          </cell>
          <cell r="I429">
            <v>59</v>
          </cell>
          <cell r="J429">
            <v>26</v>
          </cell>
          <cell r="K429">
            <v>28</v>
          </cell>
          <cell r="T429">
            <v>287</v>
          </cell>
        </row>
        <row r="430">
          <cell r="A430" t="str">
            <v>GUID-151E</v>
          </cell>
          <cell r="D430">
            <v>13</v>
          </cell>
          <cell r="T430">
            <v>13</v>
          </cell>
        </row>
        <row r="431">
          <cell r="A431" t="str">
            <v>GUID-155E</v>
          </cell>
          <cell r="R431">
            <v>15</v>
          </cell>
          <cell r="S431">
            <v>16</v>
          </cell>
          <cell r="T431">
            <v>31</v>
          </cell>
        </row>
        <row r="432">
          <cell r="A432" t="str">
            <v>GUID-299</v>
          </cell>
          <cell r="C432">
            <v>1</v>
          </cell>
          <cell r="D432">
            <v>4</v>
          </cell>
          <cell r="T432">
            <v>5</v>
          </cell>
        </row>
        <row r="433">
          <cell r="A433" t="str">
            <v>HEP-200</v>
          </cell>
          <cell r="B433">
            <v>13</v>
          </cell>
          <cell r="C433">
            <v>23</v>
          </cell>
          <cell r="D433">
            <v>25</v>
          </cell>
          <cell r="E433">
            <v>22</v>
          </cell>
          <cell r="F433">
            <v>18</v>
          </cell>
          <cell r="G433">
            <v>19</v>
          </cell>
          <cell r="H433">
            <v>17</v>
          </cell>
          <cell r="I433">
            <v>16</v>
          </cell>
          <cell r="J433">
            <v>31</v>
          </cell>
          <cell r="K433">
            <v>33</v>
          </cell>
          <cell r="R433">
            <v>16</v>
          </cell>
          <cell r="S433">
            <v>15</v>
          </cell>
          <cell r="T433">
            <v>248</v>
          </cell>
        </row>
        <row r="434">
          <cell r="A434" t="str">
            <v>HIST-101</v>
          </cell>
          <cell r="B434">
            <v>93</v>
          </cell>
          <cell r="C434">
            <v>46</v>
          </cell>
          <cell r="D434">
            <v>44</v>
          </cell>
          <cell r="G434">
            <v>38</v>
          </cell>
          <cell r="R434">
            <v>97</v>
          </cell>
          <cell r="S434">
            <v>41</v>
          </cell>
          <cell r="T434">
            <v>359</v>
          </cell>
        </row>
        <row r="435">
          <cell r="A435" t="str">
            <v>HIST-102</v>
          </cell>
          <cell r="G435">
            <v>43</v>
          </cell>
          <cell r="H435">
            <v>44</v>
          </cell>
          <cell r="I435">
            <v>47</v>
          </cell>
          <cell r="S435">
            <v>88</v>
          </cell>
          <cell r="T435">
            <v>222</v>
          </cell>
        </row>
        <row r="436">
          <cell r="A436" t="str">
            <v>HIST-103</v>
          </cell>
          <cell r="B436">
            <v>159</v>
          </cell>
          <cell r="C436">
            <v>183</v>
          </cell>
          <cell r="D436">
            <v>202</v>
          </cell>
          <cell r="E436">
            <v>183</v>
          </cell>
          <cell r="F436">
            <v>193</v>
          </cell>
          <cell r="G436">
            <v>84</v>
          </cell>
          <cell r="H436">
            <v>170</v>
          </cell>
          <cell r="I436">
            <v>134</v>
          </cell>
          <cell r="J436">
            <v>136</v>
          </cell>
          <cell r="K436">
            <v>91</v>
          </cell>
          <cell r="L436" t="str">
            <v>21</v>
          </cell>
          <cell r="M436" t="str">
            <v>29</v>
          </cell>
          <cell r="R436">
            <v>169</v>
          </cell>
          <cell r="S436">
            <v>83</v>
          </cell>
          <cell r="T436">
            <v>1837</v>
          </cell>
        </row>
        <row r="437">
          <cell r="A437" t="str">
            <v>HIST-103H</v>
          </cell>
          <cell r="B437">
            <v>3</v>
          </cell>
          <cell r="C437">
            <v>7</v>
          </cell>
          <cell r="D437">
            <v>1</v>
          </cell>
          <cell r="E437">
            <v>4</v>
          </cell>
          <cell r="F437">
            <v>3</v>
          </cell>
          <cell r="I437">
            <v>2</v>
          </cell>
          <cell r="J437">
            <v>1</v>
          </cell>
          <cell r="R437">
            <v>4</v>
          </cell>
          <cell r="S437">
            <v>4</v>
          </cell>
          <cell r="T437">
            <v>29</v>
          </cell>
        </row>
        <row r="438">
          <cell r="A438" t="str">
            <v>HIST-104</v>
          </cell>
          <cell r="B438">
            <v>92</v>
          </cell>
          <cell r="C438">
            <v>146</v>
          </cell>
          <cell r="D438">
            <v>211</v>
          </cell>
          <cell r="E438">
            <v>88</v>
          </cell>
          <cell r="F438">
            <v>90</v>
          </cell>
          <cell r="G438">
            <v>161</v>
          </cell>
          <cell r="H438">
            <v>109</v>
          </cell>
          <cell r="I438">
            <v>142</v>
          </cell>
          <cell r="J438">
            <v>184</v>
          </cell>
          <cell r="K438">
            <v>180</v>
          </cell>
          <cell r="L438" t="str">
            <v>42</v>
          </cell>
          <cell r="M438" t="str">
            <v>23</v>
          </cell>
          <cell r="N438" t="str">
            <v>35</v>
          </cell>
          <cell r="O438" t="str">
            <v>49</v>
          </cell>
          <cell r="R438">
            <v>36</v>
          </cell>
          <cell r="S438">
            <v>127</v>
          </cell>
          <cell r="T438">
            <v>1715</v>
          </cell>
        </row>
        <row r="439">
          <cell r="A439" t="str">
            <v>HIST-104H</v>
          </cell>
          <cell r="E439">
            <v>4</v>
          </cell>
          <cell r="F439">
            <v>2</v>
          </cell>
          <cell r="G439">
            <v>1</v>
          </cell>
          <cell r="H439">
            <v>6</v>
          </cell>
          <cell r="I439">
            <v>6</v>
          </cell>
          <cell r="J439">
            <v>4</v>
          </cell>
          <cell r="K439">
            <v>1</v>
          </cell>
          <cell r="R439">
            <v>2</v>
          </cell>
          <cell r="S439">
            <v>1</v>
          </cell>
          <cell r="T439">
            <v>27</v>
          </cell>
        </row>
        <row r="440">
          <cell r="A440" t="str">
            <v>HIST-106</v>
          </cell>
          <cell r="B440">
            <v>44</v>
          </cell>
          <cell r="C440">
            <v>45</v>
          </cell>
          <cell r="D440">
            <v>37</v>
          </cell>
          <cell r="G440">
            <v>42</v>
          </cell>
          <cell r="H440">
            <v>35</v>
          </cell>
          <cell r="I440">
            <v>45</v>
          </cell>
          <cell r="K440">
            <v>46</v>
          </cell>
          <cell r="R440">
            <v>42</v>
          </cell>
          <cell r="T440">
            <v>336</v>
          </cell>
        </row>
        <row r="441">
          <cell r="A441" t="str">
            <v>HIST-106H</v>
          </cell>
          <cell r="B441">
            <v>1</v>
          </cell>
          <cell r="G441">
            <v>1</v>
          </cell>
          <cell r="T441">
            <v>2</v>
          </cell>
        </row>
        <row r="442">
          <cell r="A442" t="str">
            <v>HIST-107</v>
          </cell>
          <cell r="B442">
            <v>42</v>
          </cell>
          <cell r="T442">
            <v>42</v>
          </cell>
        </row>
        <row r="443">
          <cell r="A443" t="str">
            <v>HIST-108</v>
          </cell>
          <cell r="G443">
            <v>47</v>
          </cell>
          <cell r="T443">
            <v>47</v>
          </cell>
        </row>
        <row r="444">
          <cell r="A444" t="str">
            <v>HIST-109</v>
          </cell>
          <cell r="C444">
            <v>45</v>
          </cell>
          <cell r="H444">
            <v>43</v>
          </cell>
          <cell r="I444">
            <v>44</v>
          </cell>
          <cell r="J444">
            <v>42</v>
          </cell>
          <cell r="K444">
            <v>35</v>
          </cell>
          <cell r="S444">
            <v>35</v>
          </cell>
          <cell r="T444">
            <v>244</v>
          </cell>
        </row>
        <row r="445">
          <cell r="A445" t="str">
            <v>HIST-109H</v>
          </cell>
          <cell r="C445">
            <v>3</v>
          </cell>
          <cell r="I445">
            <v>3</v>
          </cell>
          <cell r="J445">
            <v>3</v>
          </cell>
          <cell r="K445">
            <v>4</v>
          </cell>
          <cell r="T445">
            <v>13</v>
          </cell>
        </row>
        <row r="446">
          <cell r="A446" t="str">
            <v>HIST-111</v>
          </cell>
          <cell r="B446">
            <v>213</v>
          </cell>
          <cell r="C446">
            <v>246</v>
          </cell>
          <cell r="D446">
            <v>265</v>
          </cell>
          <cell r="E446">
            <v>166</v>
          </cell>
          <cell r="F446">
            <v>319</v>
          </cell>
          <cell r="G446">
            <v>109</v>
          </cell>
          <cell r="H446">
            <v>159</v>
          </cell>
          <cell r="I446">
            <v>169</v>
          </cell>
          <cell r="J446">
            <v>174</v>
          </cell>
          <cell r="K446">
            <v>135</v>
          </cell>
          <cell r="L446" t="str">
            <v>28</v>
          </cell>
          <cell r="M446" t="str">
            <v>54</v>
          </cell>
          <cell r="N446" t="str">
            <v>53</v>
          </cell>
          <cell r="Q446" t="str">
            <v>45</v>
          </cell>
          <cell r="R446">
            <v>163</v>
          </cell>
          <cell r="S446">
            <v>149</v>
          </cell>
          <cell r="T446">
            <v>2447</v>
          </cell>
        </row>
        <row r="447">
          <cell r="A447" t="str">
            <v>HIST-111H</v>
          </cell>
          <cell r="B447">
            <v>7</v>
          </cell>
          <cell r="C447">
            <v>6</v>
          </cell>
          <cell r="D447">
            <v>3</v>
          </cell>
          <cell r="E447">
            <v>5</v>
          </cell>
          <cell r="F447">
            <v>7</v>
          </cell>
          <cell r="H447">
            <v>2</v>
          </cell>
          <cell r="I447">
            <v>6</v>
          </cell>
          <cell r="K447">
            <v>2</v>
          </cell>
          <cell r="R447">
            <v>8</v>
          </cell>
          <cell r="S447">
            <v>4</v>
          </cell>
          <cell r="T447">
            <v>50</v>
          </cell>
        </row>
        <row r="448">
          <cell r="A448" t="str">
            <v>HIST-112</v>
          </cell>
          <cell r="B448">
            <v>234</v>
          </cell>
          <cell r="C448">
            <v>148</v>
          </cell>
          <cell r="D448">
            <v>198</v>
          </cell>
          <cell r="E448">
            <v>135</v>
          </cell>
          <cell r="F448">
            <v>135</v>
          </cell>
          <cell r="G448">
            <v>241</v>
          </cell>
          <cell r="H448">
            <v>261</v>
          </cell>
          <cell r="I448">
            <v>262</v>
          </cell>
          <cell r="J448">
            <v>223</v>
          </cell>
          <cell r="K448">
            <v>288</v>
          </cell>
          <cell r="L448" t="str">
            <v>28</v>
          </cell>
          <cell r="M448" t="str">
            <v>54</v>
          </cell>
          <cell r="O448" t="str">
            <v>44</v>
          </cell>
          <cell r="R448">
            <v>120</v>
          </cell>
          <cell r="S448">
            <v>201</v>
          </cell>
          <cell r="T448">
            <v>2572</v>
          </cell>
        </row>
        <row r="449">
          <cell r="A449" t="str">
            <v>HIST-112H</v>
          </cell>
          <cell r="B449">
            <v>1</v>
          </cell>
          <cell r="C449">
            <v>3</v>
          </cell>
          <cell r="D449">
            <v>1</v>
          </cell>
          <cell r="E449">
            <v>1</v>
          </cell>
          <cell r="G449">
            <v>8</v>
          </cell>
          <cell r="H449">
            <v>2</v>
          </cell>
          <cell r="I449">
            <v>7</v>
          </cell>
          <cell r="J449">
            <v>4</v>
          </cell>
          <cell r="K449">
            <v>5</v>
          </cell>
          <cell r="M449" t="str">
            <v>2</v>
          </cell>
          <cell r="T449">
            <v>34</v>
          </cell>
        </row>
        <row r="450">
          <cell r="A450" t="str">
            <v>HIST-113</v>
          </cell>
          <cell r="B450">
            <v>16</v>
          </cell>
          <cell r="D450">
            <v>26</v>
          </cell>
          <cell r="E450">
            <v>20</v>
          </cell>
          <cell r="G450">
            <v>10</v>
          </cell>
          <cell r="H450">
            <v>10</v>
          </cell>
          <cell r="I450">
            <v>15</v>
          </cell>
          <cell r="J450">
            <v>27</v>
          </cell>
          <cell r="M450" t="str">
            <v>1</v>
          </cell>
          <cell r="T450">
            <v>125</v>
          </cell>
        </row>
        <row r="451">
          <cell r="A451" t="str">
            <v>HIST-114</v>
          </cell>
          <cell r="B451">
            <v>19</v>
          </cell>
          <cell r="D451">
            <v>37</v>
          </cell>
          <cell r="E451">
            <v>49</v>
          </cell>
          <cell r="G451">
            <v>12</v>
          </cell>
          <cell r="H451">
            <v>24</v>
          </cell>
          <cell r="I451">
            <v>57</v>
          </cell>
          <cell r="J451">
            <v>44</v>
          </cell>
          <cell r="L451" t="str">
            <v>1</v>
          </cell>
          <cell r="M451" t="str">
            <v>5</v>
          </cell>
          <cell r="T451">
            <v>248</v>
          </cell>
        </row>
        <row r="452">
          <cell r="A452" t="str">
            <v>HIST-115</v>
          </cell>
          <cell r="B452">
            <v>33</v>
          </cell>
          <cell r="C452">
            <v>57</v>
          </cell>
          <cell r="D452">
            <v>36</v>
          </cell>
          <cell r="E452">
            <v>41</v>
          </cell>
          <cell r="F452">
            <v>42</v>
          </cell>
          <cell r="G452">
            <v>27</v>
          </cell>
          <cell r="H452">
            <v>77</v>
          </cell>
          <cell r="I452">
            <v>45</v>
          </cell>
          <cell r="J452">
            <v>41</v>
          </cell>
          <cell r="K452">
            <v>41</v>
          </cell>
          <cell r="R452">
            <v>44</v>
          </cell>
          <cell r="T452">
            <v>484</v>
          </cell>
        </row>
        <row r="453">
          <cell r="A453" t="str">
            <v>HIST-119</v>
          </cell>
          <cell r="C453">
            <v>30</v>
          </cell>
          <cell r="D453">
            <v>46</v>
          </cell>
          <cell r="E453">
            <v>47</v>
          </cell>
          <cell r="G453">
            <v>7</v>
          </cell>
          <cell r="H453">
            <v>15</v>
          </cell>
          <cell r="T453">
            <v>145</v>
          </cell>
        </row>
        <row r="454">
          <cell r="A454" t="str">
            <v>HIST-119H</v>
          </cell>
          <cell r="E454">
            <v>2</v>
          </cell>
          <cell r="T454">
            <v>2</v>
          </cell>
        </row>
        <row r="455">
          <cell r="A455" t="str">
            <v>HIST-120</v>
          </cell>
          <cell r="D455">
            <v>41</v>
          </cell>
          <cell r="E455">
            <v>44</v>
          </cell>
          <cell r="T455">
            <v>85</v>
          </cell>
        </row>
        <row r="456">
          <cell r="A456" t="str">
            <v>HIST-121</v>
          </cell>
          <cell r="B456">
            <v>36</v>
          </cell>
          <cell r="C456">
            <v>39</v>
          </cell>
          <cell r="D456">
            <v>44</v>
          </cell>
          <cell r="E456">
            <v>27</v>
          </cell>
          <cell r="F456">
            <v>30</v>
          </cell>
          <cell r="G456">
            <v>32</v>
          </cell>
          <cell r="H456">
            <v>39</v>
          </cell>
          <cell r="I456">
            <v>27</v>
          </cell>
          <cell r="J456">
            <v>28</v>
          </cell>
          <cell r="K456">
            <v>31</v>
          </cell>
          <cell r="M456" t="str">
            <v>6</v>
          </cell>
          <cell r="R456">
            <v>38</v>
          </cell>
          <cell r="S456">
            <v>26</v>
          </cell>
          <cell r="T456">
            <v>403</v>
          </cell>
        </row>
        <row r="457">
          <cell r="A457" t="str">
            <v>HIST-124</v>
          </cell>
          <cell r="C457">
            <v>44</v>
          </cell>
          <cell r="D457">
            <v>40</v>
          </cell>
          <cell r="G457">
            <v>45</v>
          </cell>
          <cell r="H457">
            <v>43</v>
          </cell>
          <cell r="I457">
            <v>41</v>
          </cell>
          <cell r="K457">
            <v>41</v>
          </cell>
          <cell r="T457">
            <v>254</v>
          </cell>
        </row>
        <row r="458">
          <cell r="A458" t="str">
            <v>HIST-125</v>
          </cell>
          <cell r="B458">
            <v>40</v>
          </cell>
          <cell r="C458">
            <v>44</v>
          </cell>
          <cell r="H458">
            <v>36</v>
          </cell>
          <cell r="I458">
            <v>51</v>
          </cell>
          <cell r="T458">
            <v>171</v>
          </cell>
        </row>
        <row r="459">
          <cell r="A459" t="str">
            <v>HIST-136</v>
          </cell>
          <cell r="B459">
            <v>17</v>
          </cell>
          <cell r="C459">
            <v>22</v>
          </cell>
          <cell r="D459">
            <v>18</v>
          </cell>
          <cell r="E459">
            <v>22</v>
          </cell>
          <cell r="F459">
            <v>22</v>
          </cell>
          <cell r="R459">
            <v>13</v>
          </cell>
          <cell r="T459">
            <v>114</v>
          </cell>
        </row>
        <row r="460">
          <cell r="A460" t="str">
            <v>HIST-140</v>
          </cell>
          <cell r="H460">
            <v>19</v>
          </cell>
          <cell r="I460">
            <v>42</v>
          </cell>
          <cell r="T460">
            <v>61</v>
          </cell>
        </row>
        <row r="461">
          <cell r="A461" t="str">
            <v>HIST-141</v>
          </cell>
          <cell r="E461">
            <v>46</v>
          </cell>
          <cell r="T461">
            <v>46</v>
          </cell>
        </row>
        <row r="462">
          <cell r="A462" t="str">
            <v>HIST-142</v>
          </cell>
          <cell r="J462">
            <v>44</v>
          </cell>
          <cell r="T462">
            <v>44</v>
          </cell>
        </row>
        <row r="463">
          <cell r="A463" t="str">
            <v>HIST-151</v>
          </cell>
          <cell r="B463">
            <v>8</v>
          </cell>
          <cell r="C463">
            <v>8</v>
          </cell>
          <cell r="D463">
            <v>9</v>
          </cell>
          <cell r="E463">
            <v>7</v>
          </cell>
          <cell r="F463">
            <v>7</v>
          </cell>
          <cell r="G463">
            <v>6</v>
          </cell>
          <cell r="H463">
            <v>13</v>
          </cell>
          <cell r="I463">
            <v>10</v>
          </cell>
          <cell r="J463">
            <v>8</v>
          </cell>
          <cell r="K463">
            <v>9</v>
          </cell>
          <cell r="R463">
            <v>6</v>
          </cell>
          <cell r="S463">
            <v>4</v>
          </cell>
          <cell r="T463">
            <v>95</v>
          </cell>
        </row>
        <row r="464">
          <cell r="A464" t="str">
            <v>HIST-154</v>
          </cell>
          <cell r="D464">
            <v>9</v>
          </cell>
          <cell r="G464">
            <v>2</v>
          </cell>
          <cell r="H464">
            <v>1</v>
          </cell>
          <cell r="I464">
            <v>9</v>
          </cell>
          <cell r="J464">
            <v>17</v>
          </cell>
          <cell r="K464">
            <v>15</v>
          </cell>
          <cell r="T464">
            <v>53</v>
          </cell>
        </row>
        <row r="465">
          <cell r="A465" t="str">
            <v>HIST-158</v>
          </cell>
          <cell r="B465">
            <v>11</v>
          </cell>
          <cell r="C465">
            <v>21</v>
          </cell>
          <cell r="D465">
            <v>15</v>
          </cell>
          <cell r="E465">
            <v>17</v>
          </cell>
          <cell r="G465">
            <v>9</v>
          </cell>
          <cell r="H465">
            <v>7</v>
          </cell>
          <cell r="I465">
            <v>15</v>
          </cell>
          <cell r="J465">
            <v>6</v>
          </cell>
          <cell r="L465" t="str">
            <v>4</v>
          </cell>
          <cell r="T465">
            <v>105</v>
          </cell>
        </row>
        <row r="466">
          <cell r="A466" t="str">
            <v>HIST-161</v>
          </cell>
          <cell r="E466">
            <v>47</v>
          </cell>
          <cell r="T466">
            <v>47</v>
          </cell>
        </row>
        <row r="467">
          <cell r="A467" t="str">
            <v>HIST-162</v>
          </cell>
          <cell r="J467">
            <v>49</v>
          </cell>
          <cell r="K467">
            <v>47</v>
          </cell>
          <cell r="T467">
            <v>96</v>
          </cell>
        </row>
        <row r="468">
          <cell r="A468" t="str">
            <v>HIST-299</v>
          </cell>
          <cell r="B468">
            <v>1</v>
          </cell>
          <cell r="D468">
            <v>2</v>
          </cell>
          <cell r="E468">
            <v>1</v>
          </cell>
          <cell r="K468">
            <v>1</v>
          </cell>
          <cell r="T468">
            <v>5</v>
          </cell>
        </row>
        <row r="469">
          <cell r="A469" t="str">
            <v>HORT-101</v>
          </cell>
          <cell r="C469">
            <v>19</v>
          </cell>
          <cell r="I469">
            <v>49</v>
          </cell>
          <cell r="J469">
            <v>34</v>
          </cell>
          <cell r="K469">
            <v>31</v>
          </cell>
          <cell r="T469">
            <v>133</v>
          </cell>
        </row>
        <row r="470">
          <cell r="A470" t="str">
            <v>HORT-102</v>
          </cell>
          <cell r="F470">
            <v>34</v>
          </cell>
          <cell r="H470">
            <v>21</v>
          </cell>
          <cell r="I470">
            <v>30</v>
          </cell>
          <cell r="T470">
            <v>85</v>
          </cell>
        </row>
        <row r="471">
          <cell r="A471" t="str">
            <v>HORT-103</v>
          </cell>
          <cell r="B471">
            <v>1</v>
          </cell>
          <cell r="C471">
            <v>14</v>
          </cell>
          <cell r="E471">
            <v>19</v>
          </cell>
          <cell r="S471">
            <v>16</v>
          </cell>
          <cell r="T471">
            <v>50</v>
          </cell>
        </row>
        <row r="472">
          <cell r="A472" t="str">
            <v>HORT-104</v>
          </cell>
          <cell r="B472">
            <v>20</v>
          </cell>
          <cell r="D472">
            <v>41</v>
          </cell>
          <cell r="J472">
            <v>39</v>
          </cell>
          <cell r="K472">
            <v>33</v>
          </cell>
          <cell r="T472">
            <v>133</v>
          </cell>
        </row>
        <row r="473">
          <cell r="A473" t="str">
            <v>HORT-105</v>
          </cell>
          <cell r="G473">
            <v>20</v>
          </cell>
          <cell r="H473">
            <v>23</v>
          </cell>
          <cell r="J473">
            <v>44</v>
          </cell>
          <cell r="K473">
            <v>36</v>
          </cell>
          <cell r="T473">
            <v>123</v>
          </cell>
        </row>
        <row r="474">
          <cell r="A474" t="str">
            <v>HORT-106</v>
          </cell>
          <cell r="C474">
            <v>24</v>
          </cell>
          <cell r="D474">
            <v>30</v>
          </cell>
          <cell r="R474">
            <v>33</v>
          </cell>
          <cell r="T474">
            <v>87</v>
          </cell>
        </row>
        <row r="475">
          <cell r="A475" t="str">
            <v>HORT-107</v>
          </cell>
          <cell r="D475">
            <v>21</v>
          </cell>
          <cell r="S475">
            <v>31</v>
          </cell>
          <cell r="T475">
            <v>52</v>
          </cell>
        </row>
        <row r="476">
          <cell r="A476" t="str">
            <v>HORT-109</v>
          </cell>
          <cell r="F476">
            <v>40</v>
          </cell>
          <cell r="T476">
            <v>40</v>
          </cell>
        </row>
        <row r="477">
          <cell r="A477" t="str">
            <v>HORT-110</v>
          </cell>
          <cell r="E477">
            <v>37</v>
          </cell>
          <cell r="R477">
            <v>36</v>
          </cell>
          <cell r="T477">
            <v>73</v>
          </cell>
        </row>
        <row r="478">
          <cell r="A478" t="str">
            <v>HORT-149</v>
          </cell>
          <cell r="C478">
            <v>1</v>
          </cell>
          <cell r="T478">
            <v>1</v>
          </cell>
        </row>
        <row r="479">
          <cell r="A479" t="str">
            <v>HORT-299</v>
          </cell>
          <cell r="B479">
            <v>1</v>
          </cell>
          <cell r="T479">
            <v>1</v>
          </cell>
        </row>
        <row r="480">
          <cell r="A480" t="str">
            <v>HS-121</v>
          </cell>
          <cell r="B480">
            <v>226</v>
          </cell>
          <cell r="C480">
            <v>149</v>
          </cell>
          <cell r="D480">
            <v>143</v>
          </cell>
          <cell r="E480">
            <v>121</v>
          </cell>
          <cell r="F480">
            <v>107</v>
          </cell>
          <cell r="G480">
            <v>203</v>
          </cell>
          <cell r="H480">
            <v>144</v>
          </cell>
          <cell r="I480">
            <v>104</v>
          </cell>
          <cell r="J480">
            <v>120</v>
          </cell>
          <cell r="K480">
            <v>120</v>
          </cell>
          <cell r="L480" t="str">
            <v>19</v>
          </cell>
          <cell r="M480" t="str">
            <v>31</v>
          </cell>
          <cell r="R480">
            <v>103</v>
          </cell>
          <cell r="S480">
            <v>126</v>
          </cell>
          <cell r="T480">
            <v>1716</v>
          </cell>
        </row>
        <row r="481">
          <cell r="A481" t="str">
            <v>HS-123</v>
          </cell>
          <cell r="B481">
            <v>71</v>
          </cell>
          <cell r="C481">
            <v>35</v>
          </cell>
          <cell r="D481">
            <v>121</v>
          </cell>
          <cell r="F481">
            <v>43</v>
          </cell>
          <cell r="G481">
            <v>21</v>
          </cell>
          <cell r="H481">
            <v>40</v>
          </cell>
          <cell r="I481">
            <v>26</v>
          </cell>
          <cell r="L481" t="str">
            <v>6</v>
          </cell>
          <cell r="R481">
            <v>32</v>
          </cell>
          <cell r="S481">
            <v>32</v>
          </cell>
          <cell r="T481">
            <v>427</v>
          </cell>
        </row>
        <row r="482">
          <cell r="A482" t="str">
            <v>HUM-101</v>
          </cell>
          <cell r="B482">
            <v>32</v>
          </cell>
          <cell r="C482">
            <v>34</v>
          </cell>
          <cell r="D482">
            <v>24</v>
          </cell>
          <cell r="E482">
            <v>37</v>
          </cell>
          <cell r="F482">
            <v>32</v>
          </cell>
          <cell r="R482">
            <v>35</v>
          </cell>
          <cell r="T482">
            <v>194</v>
          </cell>
        </row>
        <row r="483">
          <cell r="A483" t="str">
            <v>HUM-101H</v>
          </cell>
          <cell r="B483">
            <v>5</v>
          </cell>
          <cell r="C483">
            <v>1</v>
          </cell>
          <cell r="D483">
            <v>4</v>
          </cell>
          <cell r="E483">
            <v>2</v>
          </cell>
          <cell r="F483">
            <v>4</v>
          </cell>
          <cell r="T483">
            <v>16</v>
          </cell>
        </row>
        <row r="484">
          <cell r="A484" t="str">
            <v>HUM-102</v>
          </cell>
          <cell r="G484">
            <v>32</v>
          </cell>
          <cell r="H484">
            <v>26</v>
          </cell>
          <cell r="I484">
            <v>30</v>
          </cell>
          <cell r="J484">
            <v>28</v>
          </cell>
          <cell r="T484">
            <v>116</v>
          </cell>
        </row>
        <row r="485">
          <cell r="A485" t="str">
            <v>HUM-102H</v>
          </cell>
          <cell r="G485">
            <v>5</v>
          </cell>
          <cell r="I485">
            <v>2</v>
          </cell>
          <cell r="J485">
            <v>6</v>
          </cell>
          <cell r="T485">
            <v>13</v>
          </cell>
        </row>
        <row r="486">
          <cell r="A486" t="str">
            <v>HUM-137</v>
          </cell>
          <cell r="G486">
            <v>9</v>
          </cell>
          <cell r="H486">
            <v>29</v>
          </cell>
          <cell r="I486">
            <v>23</v>
          </cell>
          <cell r="J486">
            <v>24</v>
          </cell>
          <cell r="K486">
            <v>27</v>
          </cell>
          <cell r="S486">
            <v>26</v>
          </cell>
          <cell r="T486">
            <v>138</v>
          </cell>
        </row>
        <row r="487">
          <cell r="A487" t="str">
            <v>LEAD-101</v>
          </cell>
          <cell r="F487">
            <v>26</v>
          </cell>
          <cell r="T487">
            <v>26</v>
          </cell>
        </row>
        <row r="488">
          <cell r="A488" t="str">
            <v>LEAD-102</v>
          </cell>
          <cell r="K488">
            <v>25</v>
          </cell>
          <cell r="T488">
            <v>25</v>
          </cell>
        </row>
        <row r="489">
          <cell r="A489" t="str">
            <v>LEG-103</v>
          </cell>
          <cell r="I489">
            <v>43</v>
          </cell>
          <cell r="T489">
            <v>43</v>
          </cell>
        </row>
        <row r="490">
          <cell r="A490" t="str">
            <v>LEG-104</v>
          </cell>
          <cell r="F490">
            <v>44</v>
          </cell>
          <cell r="T490">
            <v>44</v>
          </cell>
        </row>
        <row r="491">
          <cell r="A491" t="str">
            <v>LEG-106</v>
          </cell>
          <cell r="B491">
            <v>13</v>
          </cell>
          <cell r="G491">
            <v>8</v>
          </cell>
          <cell r="T491">
            <v>21</v>
          </cell>
        </row>
        <row r="492">
          <cell r="A492" t="str">
            <v>LEG-120</v>
          </cell>
          <cell r="B492">
            <v>13</v>
          </cell>
          <cell r="G492">
            <v>10</v>
          </cell>
          <cell r="H492">
            <v>23</v>
          </cell>
          <cell r="T492">
            <v>46</v>
          </cell>
        </row>
        <row r="493">
          <cell r="A493" t="str">
            <v>LEG-130</v>
          </cell>
          <cell r="G493">
            <v>9</v>
          </cell>
          <cell r="T493">
            <v>9</v>
          </cell>
        </row>
        <row r="494">
          <cell r="A494" t="str">
            <v>LEG-140</v>
          </cell>
          <cell r="C494">
            <v>30</v>
          </cell>
          <cell r="D494">
            <v>37</v>
          </cell>
          <cell r="E494">
            <v>40</v>
          </cell>
          <cell r="R494">
            <v>40</v>
          </cell>
          <cell r="T494">
            <v>147</v>
          </cell>
        </row>
        <row r="495">
          <cell r="A495" t="str">
            <v>LEG-149</v>
          </cell>
          <cell r="B495">
            <v>3</v>
          </cell>
          <cell r="C495">
            <v>1</v>
          </cell>
          <cell r="F495">
            <v>1</v>
          </cell>
          <cell r="G495">
            <v>1</v>
          </cell>
          <cell r="H495">
            <v>8</v>
          </cell>
          <cell r="K495">
            <v>1</v>
          </cell>
          <cell r="T495">
            <v>15</v>
          </cell>
        </row>
        <row r="496">
          <cell r="A496" t="str">
            <v>LEG-150</v>
          </cell>
          <cell r="J496">
            <v>39</v>
          </cell>
          <cell r="K496">
            <v>46</v>
          </cell>
          <cell r="S496">
            <v>37</v>
          </cell>
          <cell r="T496">
            <v>122</v>
          </cell>
        </row>
        <row r="497">
          <cell r="A497" t="str">
            <v>LIB-100</v>
          </cell>
          <cell r="B497">
            <v>17</v>
          </cell>
          <cell r="T497">
            <v>17</v>
          </cell>
        </row>
        <row r="498">
          <cell r="A498" t="str">
            <v>LIB-101</v>
          </cell>
          <cell r="C498">
            <v>25</v>
          </cell>
          <cell r="D498">
            <v>27</v>
          </cell>
          <cell r="G498">
            <v>14</v>
          </cell>
          <cell r="H498">
            <v>18</v>
          </cell>
          <cell r="T498">
            <v>84</v>
          </cell>
        </row>
        <row r="499">
          <cell r="A499" t="str">
            <v>LNSK-051</v>
          </cell>
          <cell r="E499">
            <v>22</v>
          </cell>
          <cell r="F499">
            <v>27</v>
          </cell>
          <cell r="J499">
            <v>17</v>
          </cell>
          <cell r="K499">
            <v>18</v>
          </cell>
          <cell r="R499">
            <v>21</v>
          </cell>
          <cell r="S499">
            <v>14</v>
          </cell>
          <cell r="T499">
            <v>119</v>
          </cell>
        </row>
        <row r="500">
          <cell r="A500" t="str">
            <v>LNSK-053</v>
          </cell>
          <cell r="E500">
            <v>15</v>
          </cell>
          <cell r="F500">
            <v>16</v>
          </cell>
          <cell r="J500">
            <v>15</v>
          </cell>
          <cell r="K500">
            <v>15</v>
          </cell>
          <cell r="R500">
            <v>16</v>
          </cell>
          <cell r="S500">
            <v>15</v>
          </cell>
          <cell r="T500">
            <v>92</v>
          </cell>
        </row>
        <row r="501">
          <cell r="A501" t="str">
            <v>LNSK-054</v>
          </cell>
          <cell r="E501">
            <v>12</v>
          </cell>
          <cell r="F501">
            <v>11</v>
          </cell>
          <cell r="J501">
            <v>12</v>
          </cell>
          <cell r="K501">
            <v>8</v>
          </cell>
          <cell r="R501">
            <v>11</v>
          </cell>
          <cell r="S501">
            <v>12</v>
          </cell>
          <cell r="T501">
            <v>66</v>
          </cell>
        </row>
        <row r="502">
          <cell r="A502" t="str">
            <v>LNSK-055</v>
          </cell>
          <cell r="E502">
            <v>16</v>
          </cell>
          <cell r="F502">
            <v>15</v>
          </cell>
          <cell r="J502">
            <v>13</v>
          </cell>
          <cell r="K502">
            <v>15</v>
          </cell>
          <cell r="R502">
            <v>15</v>
          </cell>
          <cell r="S502">
            <v>15</v>
          </cell>
          <cell r="T502">
            <v>89</v>
          </cell>
        </row>
        <row r="503">
          <cell r="A503" t="str">
            <v>LNSK-057</v>
          </cell>
          <cell r="D503">
            <v>15</v>
          </cell>
          <cell r="E503">
            <v>14</v>
          </cell>
          <cell r="F503">
            <v>15</v>
          </cell>
          <cell r="I503">
            <v>15</v>
          </cell>
          <cell r="J503">
            <v>15</v>
          </cell>
          <cell r="K503">
            <v>15</v>
          </cell>
          <cell r="R503">
            <v>15</v>
          </cell>
          <cell r="S503">
            <v>14</v>
          </cell>
          <cell r="T503">
            <v>118</v>
          </cell>
        </row>
        <row r="504">
          <cell r="A504" t="str">
            <v>LNSK-071</v>
          </cell>
          <cell r="B504">
            <v>9</v>
          </cell>
          <cell r="C504">
            <v>13</v>
          </cell>
          <cell r="D504">
            <v>17</v>
          </cell>
          <cell r="G504">
            <v>16</v>
          </cell>
          <cell r="H504">
            <v>27</v>
          </cell>
          <cell r="I504">
            <v>21</v>
          </cell>
          <cell r="L504" t="str">
            <v>8</v>
          </cell>
          <cell r="T504">
            <v>111</v>
          </cell>
        </row>
        <row r="505">
          <cell r="A505" t="str">
            <v>LNSK-073</v>
          </cell>
          <cell r="B505">
            <v>15</v>
          </cell>
          <cell r="C505">
            <v>16</v>
          </cell>
          <cell r="D505">
            <v>16</v>
          </cell>
          <cell r="G505">
            <v>16</v>
          </cell>
          <cell r="H505">
            <v>16</v>
          </cell>
          <cell r="I505">
            <v>17</v>
          </cell>
          <cell r="T505">
            <v>96</v>
          </cell>
        </row>
        <row r="506">
          <cell r="A506" t="str">
            <v>LNSK-074</v>
          </cell>
          <cell r="B506">
            <v>9</v>
          </cell>
          <cell r="C506">
            <v>13</v>
          </cell>
          <cell r="D506">
            <v>13</v>
          </cell>
          <cell r="G506">
            <v>9</v>
          </cell>
          <cell r="H506">
            <v>10</v>
          </cell>
          <cell r="I506">
            <v>13</v>
          </cell>
          <cell r="M506" t="str">
            <v>11</v>
          </cell>
          <cell r="T506">
            <v>78</v>
          </cell>
        </row>
        <row r="507">
          <cell r="A507" t="str">
            <v>LNSK-075</v>
          </cell>
          <cell r="B507">
            <v>9</v>
          </cell>
          <cell r="C507">
            <v>15</v>
          </cell>
          <cell r="D507">
            <v>16</v>
          </cell>
          <cell r="G507">
            <v>11</v>
          </cell>
          <cell r="H507">
            <v>17</v>
          </cell>
          <cell r="I507">
            <v>16</v>
          </cell>
          <cell r="T507">
            <v>84</v>
          </cell>
        </row>
        <row r="508">
          <cell r="A508" t="str">
            <v>LNSK-077</v>
          </cell>
          <cell r="B508">
            <v>12</v>
          </cell>
          <cell r="C508">
            <v>18</v>
          </cell>
          <cell r="D508">
            <v>15</v>
          </cell>
          <cell r="E508">
            <v>16</v>
          </cell>
          <cell r="F508">
            <v>14</v>
          </cell>
          <cell r="G508">
            <v>15</v>
          </cell>
          <cell r="H508">
            <v>16</v>
          </cell>
          <cell r="I508">
            <v>15</v>
          </cell>
          <cell r="J508">
            <v>15</v>
          </cell>
          <cell r="K508">
            <v>15</v>
          </cell>
          <cell r="R508">
            <v>13</v>
          </cell>
          <cell r="S508">
            <v>15</v>
          </cell>
          <cell r="T508">
            <v>179</v>
          </cell>
        </row>
        <row r="509">
          <cell r="A509" t="str">
            <v>MATH-041</v>
          </cell>
          <cell r="D509">
            <v>3</v>
          </cell>
          <cell r="E509">
            <v>5</v>
          </cell>
          <cell r="F509">
            <v>1</v>
          </cell>
          <cell r="H509">
            <v>5</v>
          </cell>
          <cell r="I509">
            <v>4</v>
          </cell>
          <cell r="J509">
            <v>2</v>
          </cell>
          <cell r="T509">
            <v>20</v>
          </cell>
        </row>
        <row r="510">
          <cell r="A510" t="str">
            <v>MATH-042</v>
          </cell>
          <cell r="D510">
            <v>4</v>
          </cell>
          <cell r="E510">
            <v>2</v>
          </cell>
          <cell r="F510">
            <v>1</v>
          </cell>
          <cell r="H510">
            <v>8</v>
          </cell>
          <cell r="I510">
            <v>4</v>
          </cell>
          <cell r="J510">
            <v>6</v>
          </cell>
          <cell r="K510">
            <v>4</v>
          </cell>
          <cell r="T510">
            <v>29</v>
          </cell>
        </row>
        <row r="511">
          <cell r="A511" t="str">
            <v>MATH-050</v>
          </cell>
          <cell r="B511">
            <v>343</v>
          </cell>
          <cell r="C511">
            <v>332</v>
          </cell>
          <cell r="D511">
            <v>303</v>
          </cell>
          <cell r="E511">
            <v>198</v>
          </cell>
          <cell r="F511">
            <v>98</v>
          </cell>
          <cell r="G511">
            <v>291</v>
          </cell>
          <cell r="H511">
            <v>323</v>
          </cell>
          <cell r="I511">
            <v>301</v>
          </cell>
          <cell r="J511">
            <v>202</v>
          </cell>
          <cell r="K511">
            <v>108</v>
          </cell>
          <cell r="L511" t="str">
            <v>72</v>
          </cell>
          <cell r="M511" t="str">
            <v>99</v>
          </cell>
          <cell r="N511" t="str">
            <v>54</v>
          </cell>
          <cell r="R511">
            <v>95</v>
          </cell>
          <cell r="S511">
            <v>103</v>
          </cell>
          <cell r="T511">
            <v>2922</v>
          </cell>
        </row>
        <row r="512">
          <cell r="A512" t="str">
            <v>MATH-051</v>
          </cell>
          <cell r="B512">
            <v>366</v>
          </cell>
          <cell r="C512">
            <v>356</v>
          </cell>
          <cell r="D512">
            <v>351</v>
          </cell>
          <cell r="E512">
            <v>280</v>
          </cell>
          <cell r="F512">
            <v>272</v>
          </cell>
          <cell r="G512">
            <v>348</v>
          </cell>
          <cell r="H512">
            <v>356</v>
          </cell>
          <cell r="I512">
            <v>326</v>
          </cell>
          <cell r="J512">
            <v>279</v>
          </cell>
          <cell r="K512">
            <v>283</v>
          </cell>
          <cell r="L512" t="str">
            <v>74</v>
          </cell>
          <cell r="M512" t="str">
            <v>74</v>
          </cell>
          <cell r="N512" t="str">
            <v>59</v>
          </cell>
          <cell r="R512">
            <v>258</v>
          </cell>
          <cell r="S512">
            <v>257</v>
          </cell>
          <cell r="T512">
            <v>3939</v>
          </cell>
        </row>
        <row r="513">
          <cell r="A513" t="str">
            <v>MATH-090</v>
          </cell>
          <cell r="B513">
            <v>658</v>
          </cell>
          <cell r="C513">
            <v>672</v>
          </cell>
          <cell r="D513">
            <v>709</v>
          </cell>
          <cell r="E513">
            <v>529</v>
          </cell>
          <cell r="F513">
            <v>536</v>
          </cell>
          <cell r="G513">
            <v>588</v>
          </cell>
          <cell r="H513">
            <v>618</v>
          </cell>
          <cell r="I513">
            <v>557</v>
          </cell>
          <cell r="J513">
            <v>541</v>
          </cell>
          <cell r="K513">
            <v>691</v>
          </cell>
          <cell r="L513" t="str">
            <v>90</v>
          </cell>
          <cell r="M513" t="str">
            <v>110</v>
          </cell>
          <cell r="N513" t="str">
            <v>107</v>
          </cell>
          <cell r="O513" t="str">
            <v>77</v>
          </cell>
          <cell r="R513">
            <v>487</v>
          </cell>
          <cell r="S513">
            <v>619</v>
          </cell>
          <cell r="T513">
            <v>7589</v>
          </cell>
        </row>
        <row r="514">
          <cell r="A514" t="str">
            <v>MATH-096</v>
          </cell>
          <cell r="B514">
            <v>755</v>
          </cell>
          <cell r="C514">
            <v>759</v>
          </cell>
          <cell r="D514">
            <v>734</v>
          </cell>
          <cell r="E514">
            <v>599</v>
          </cell>
          <cell r="F514">
            <v>618</v>
          </cell>
          <cell r="G514">
            <v>737</v>
          </cell>
          <cell r="H514">
            <v>650</v>
          </cell>
          <cell r="I514">
            <v>607</v>
          </cell>
          <cell r="J514">
            <v>615</v>
          </cell>
          <cell r="K514">
            <v>774</v>
          </cell>
          <cell r="L514" t="str">
            <v>142</v>
          </cell>
          <cell r="M514" t="str">
            <v>140</v>
          </cell>
          <cell r="N514" t="str">
            <v>130</v>
          </cell>
          <cell r="O514" t="str">
            <v>74</v>
          </cell>
          <cell r="Q514" t="str">
            <v>47</v>
          </cell>
          <cell r="R514">
            <v>611</v>
          </cell>
          <cell r="S514">
            <v>775</v>
          </cell>
          <cell r="T514">
            <v>8767</v>
          </cell>
        </row>
        <row r="515">
          <cell r="A515" t="str">
            <v>MATH-102</v>
          </cell>
          <cell r="B515">
            <v>80</v>
          </cell>
          <cell r="C515">
            <v>37</v>
          </cell>
          <cell r="D515">
            <v>39</v>
          </cell>
          <cell r="E515">
            <v>40</v>
          </cell>
          <cell r="G515">
            <v>66</v>
          </cell>
          <cell r="H515">
            <v>41</v>
          </cell>
          <cell r="I515">
            <v>34</v>
          </cell>
          <cell r="J515">
            <v>38</v>
          </cell>
          <cell r="L515" t="str">
            <v>15</v>
          </cell>
          <cell r="M515" t="str">
            <v>18</v>
          </cell>
          <cell r="N515" t="str">
            <v>25</v>
          </cell>
          <cell r="T515">
            <v>433</v>
          </cell>
        </row>
        <row r="516">
          <cell r="A516" t="str">
            <v>MATH-105</v>
          </cell>
          <cell r="B516">
            <v>276</v>
          </cell>
          <cell r="C516">
            <v>290</v>
          </cell>
          <cell r="D516">
            <v>373</v>
          </cell>
          <cell r="E516">
            <v>411</v>
          </cell>
          <cell r="F516">
            <v>236</v>
          </cell>
          <cell r="G516">
            <v>261</v>
          </cell>
          <cell r="H516">
            <v>256</v>
          </cell>
          <cell r="I516">
            <v>231</v>
          </cell>
          <cell r="J516">
            <v>229</v>
          </cell>
          <cell r="K516">
            <v>271</v>
          </cell>
          <cell r="L516" t="str">
            <v>108</v>
          </cell>
          <cell r="M516" t="str">
            <v>95</v>
          </cell>
          <cell r="N516" t="str">
            <v>108</v>
          </cell>
          <cell r="O516" t="str">
            <v>34</v>
          </cell>
          <cell r="Q516" t="str">
            <v>77</v>
          </cell>
          <cell r="R516">
            <v>200</v>
          </cell>
          <cell r="S516">
            <v>304</v>
          </cell>
          <cell r="T516">
            <v>3760</v>
          </cell>
        </row>
        <row r="517">
          <cell r="A517" t="str">
            <v>MATH-105H</v>
          </cell>
          <cell r="G517">
            <v>4</v>
          </cell>
          <cell r="H517">
            <v>1</v>
          </cell>
          <cell r="I517">
            <v>3</v>
          </cell>
          <cell r="S517">
            <v>4</v>
          </cell>
          <cell r="T517">
            <v>12</v>
          </cell>
        </row>
        <row r="518">
          <cell r="A518" t="str">
            <v>MATH-110</v>
          </cell>
          <cell r="B518">
            <v>79</v>
          </cell>
          <cell r="C518">
            <v>86</v>
          </cell>
          <cell r="D518">
            <v>90</v>
          </cell>
          <cell r="E518">
            <v>80</v>
          </cell>
          <cell r="F518">
            <v>81</v>
          </cell>
          <cell r="G518">
            <v>67</v>
          </cell>
          <cell r="H518">
            <v>81</v>
          </cell>
          <cell r="I518">
            <v>173</v>
          </cell>
          <cell r="J518">
            <v>76</v>
          </cell>
          <cell r="K518">
            <v>78</v>
          </cell>
          <cell r="L518" t="str">
            <v>24</v>
          </cell>
          <cell r="M518" t="str">
            <v>47</v>
          </cell>
          <cell r="N518" t="str">
            <v>30</v>
          </cell>
          <cell r="R518">
            <v>65</v>
          </cell>
          <cell r="S518">
            <v>112</v>
          </cell>
          <cell r="T518">
            <v>1169</v>
          </cell>
        </row>
        <row r="519">
          <cell r="A519" t="str">
            <v>MATH-115</v>
          </cell>
          <cell r="C519">
            <v>25</v>
          </cell>
          <cell r="D519">
            <v>38</v>
          </cell>
          <cell r="E519">
            <v>40</v>
          </cell>
          <cell r="F519">
            <v>74</v>
          </cell>
          <cell r="H519">
            <v>59</v>
          </cell>
          <cell r="I519">
            <v>41</v>
          </cell>
          <cell r="J519">
            <v>38</v>
          </cell>
          <cell r="K519">
            <v>67</v>
          </cell>
          <cell r="R519">
            <v>60</v>
          </cell>
          <cell r="S519">
            <v>71</v>
          </cell>
          <cell r="T519">
            <v>513</v>
          </cell>
        </row>
        <row r="520">
          <cell r="A520" t="str">
            <v>MATH-135</v>
          </cell>
          <cell r="B520">
            <v>30</v>
          </cell>
          <cell r="C520">
            <v>34</v>
          </cell>
          <cell r="D520">
            <v>39</v>
          </cell>
          <cell r="E520">
            <v>34</v>
          </cell>
          <cell r="F520">
            <v>39</v>
          </cell>
          <cell r="G520">
            <v>30</v>
          </cell>
          <cell r="H520">
            <v>38</v>
          </cell>
          <cell r="I520">
            <v>46</v>
          </cell>
          <cell r="J520">
            <v>40</v>
          </cell>
          <cell r="K520">
            <v>47</v>
          </cell>
          <cell r="L520" t="str">
            <v>13</v>
          </cell>
          <cell r="M520" t="str">
            <v>12</v>
          </cell>
          <cell r="N520" t="str">
            <v>26</v>
          </cell>
          <cell r="R520">
            <v>28</v>
          </cell>
          <cell r="S520">
            <v>36</v>
          </cell>
          <cell r="T520">
            <v>492</v>
          </cell>
        </row>
        <row r="521">
          <cell r="A521" t="str">
            <v>MATH-140</v>
          </cell>
          <cell r="B521">
            <v>115</v>
          </cell>
          <cell r="C521">
            <v>69</v>
          </cell>
          <cell r="D521">
            <v>70</v>
          </cell>
          <cell r="E521">
            <v>69</v>
          </cell>
          <cell r="F521">
            <v>74</v>
          </cell>
          <cell r="G521">
            <v>131</v>
          </cell>
          <cell r="H521">
            <v>72</v>
          </cell>
          <cell r="I521">
            <v>76</v>
          </cell>
          <cell r="J521">
            <v>80</v>
          </cell>
          <cell r="K521">
            <v>78</v>
          </cell>
          <cell r="L521" t="str">
            <v>41</v>
          </cell>
          <cell r="M521" t="str">
            <v>40</v>
          </cell>
          <cell r="N521" t="str">
            <v>66</v>
          </cell>
          <cell r="R521">
            <v>60</v>
          </cell>
          <cell r="S521">
            <v>118</v>
          </cell>
          <cell r="T521">
            <v>1159</v>
          </cell>
        </row>
        <row r="522">
          <cell r="A522" t="str">
            <v>MATH-140H</v>
          </cell>
          <cell r="B522">
            <v>2</v>
          </cell>
          <cell r="G522">
            <v>1</v>
          </cell>
          <cell r="H522">
            <v>1</v>
          </cell>
          <cell r="T522">
            <v>4</v>
          </cell>
        </row>
        <row r="523">
          <cell r="A523" t="str">
            <v>MATH-155</v>
          </cell>
          <cell r="B523">
            <v>24</v>
          </cell>
          <cell r="C523">
            <v>24</v>
          </cell>
          <cell r="D523">
            <v>30</v>
          </cell>
          <cell r="E523">
            <v>28</v>
          </cell>
          <cell r="T523">
            <v>106</v>
          </cell>
        </row>
        <row r="524">
          <cell r="A524" t="str">
            <v>MATH-156</v>
          </cell>
          <cell r="G524">
            <v>11</v>
          </cell>
          <cell r="H524">
            <v>15</v>
          </cell>
          <cell r="I524">
            <v>12</v>
          </cell>
          <cell r="J524">
            <v>12</v>
          </cell>
          <cell r="T524">
            <v>50</v>
          </cell>
        </row>
        <row r="525">
          <cell r="A525" t="str">
            <v>MATH-211</v>
          </cell>
          <cell r="B525">
            <v>59</v>
          </cell>
          <cell r="C525">
            <v>68</v>
          </cell>
          <cell r="D525">
            <v>72</v>
          </cell>
          <cell r="E525">
            <v>135</v>
          </cell>
          <cell r="F525">
            <v>54</v>
          </cell>
          <cell r="G525">
            <v>47</v>
          </cell>
          <cell r="H525">
            <v>55</v>
          </cell>
          <cell r="I525">
            <v>48</v>
          </cell>
          <cell r="J525">
            <v>71</v>
          </cell>
          <cell r="K525">
            <v>71</v>
          </cell>
          <cell r="L525" t="str">
            <v>13</v>
          </cell>
          <cell r="M525" t="str">
            <v>15</v>
          </cell>
          <cell r="R525">
            <v>50</v>
          </cell>
          <cell r="S525">
            <v>67</v>
          </cell>
          <cell r="T525">
            <v>825</v>
          </cell>
        </row>
        <row r="526">
          <cell r="A526" t="str">
            <v>MATH-212</v>
          </cell>
          <cell r="B526">
            <v>34</v>
          </cell>
          <cell r="C526">
            <v>30</v>
          </cell>
          <cell r="D526">
            <v>31</v>
          </cell>
          <cell r="E526">
            <v>67</v>
          </cell>
          <cell r="F526">
            <v>53</v>
          </cell>
          <cell r="G526">
            <v>34</v>
          </cell>
          <cell r="H526">
            <v>49</v>
          </cell>
          <cell r="I526">
            <v>69</v>
          </cell>
          <cell r="J526">
            <v>30</v>
          </cell>
          <cell r="K526">
            <v>38</v>
          </cell>
          <cell r="R526">
            <v>37</v>
          </cell>
          <cell r="S526">
            <v>31</v>
          </cell>
          <cell r="T526">
            <v>503</v>
          </cell>
        </row>
        <row r="527">
          <cell r="A527" t="str">
            <v>MATH-212H</v>
          </cell>
          <cell r="E527">
            <v>9</v>
          </cell>
          <cell r="F527">
            <v>6</v>
          </cell>
          <cell r="G527">
            <v>2</v>
          </cell>
          <cell r="H527">
            <v>4</v>
          </cell>
          <cell r="I527">
            <v>9</v>
          </cell>
          <cell r="J527">
            <v>9</v>
          </cell>
          <cell r="T527">
            <v>39</v>
          </cell>
        </row>
        <row r="528">
          <cell r="A528" t="str">
            <v>MATH-213</v>
          </cell>
          <cell r="B528">
            <v>7</v>
          </cell>
          <cell r="C528">
            <v>23</v>
          </cell>
          <cell r="D528">
            <v>19</v>
          </cell>
          <cell r="E528">
            <v>29</v>
          </cell>
          <cell r="F528">
            <v>25</v>
          </cell>
          <cell r="G528">
            <v>16</v>
          </cell>
          <cell r="H528">
            <v>12</v>
          </cell>
          <cell r="I528">
            <v>27</v>
          </cell>
          <cell r="J528">
            <v>27</v>
          </cell>
          <cell r="K528">
            <v>31</v>
          </cell>
          <cell r="R528">
            <v>19</v>
          </cell>
          <cell r="S528">
            <v>34</v>
          </cell>
          <cell r="T528">
            <v>269</v>
          </cell>
        </row>
        <row r="529">
          <cell r="A529" t="str">
            <v>MATH-213H</v>
          </cell>
          <cell r="D529">
            <v>4</v>
          </cell>
          <cell r="F529">
            <v>6</v>
          </cell>
          <cell r="G529">
            <v>1</v>
          </cell>
          <cell r="J529">
            <v>10</v>
          </cell>
          <cell r="K529">
            <v>2</v>
          </cell>
          <cell r="T529">
            <v>23</v>
          </cell>
        </row>
        <row r="530">
          <cell r="A530" t="str">
            <v>MATH-215</v>
          </cell>
          <cell r="G530">
            <v>10</v>
          </cell>
          <cell r="H530">
            <v>22</v>
          </cell>
          <cell r="I530">
            <v>46</v>
          </cell>
          <cell r="J530">
            <v>43</v>
          </cell>
          <cell r="K530">
            <v>43</v>
          </cell>
          <cell r="S530">
            <v>35</v>
          </cell>
          <cell r="T530">
            <v>199</v>
          </cell>
        </row>
        <row r="531">
          <cell r="A531" t="str">
            <v>MATH-218</v>
          </cell>
          <cell r="B531">
            <v>11</v>
          </cell>
          <cell r="C531">
            <v>14</v>
          </cell>
          <cell r="D531">
            <v>20</v>
          </cell>
          <cell r="E531">
            <v>36</v>
          </cell>
          <cell r="F531">
            <v>25</v>
          </cell>
          <cell r="R531">
            <v>33</v>
          </cell>
          <cell r="T531">
            <v>139</v>
          </cell>
        </row>
        <row r="532">
          <cell r="A532" t="str">
            <v>MATH-299</v>
          </cell>
          <cell r="F532">
            <v>1</v>
          </cell>
          <cell r="T532">
            <v>1</v>
          </cell>
        </row>
        <row r="533">
          <cell r="A533" t="str">
            <v>MGT-103</v>
          </cell>
          <cell r="B533">
            <v>56</v>
          </cell>
          <cell r="C533">
            <v>57</v>
          </cell>
          <cell r="D533">
            <v>44</v>
          </cell>
          <cell r="E533">
            <v>94</v>
          </cell>
          <cell r="F533">
            <v>85</v>
          </cell>
          <cell r="G533">
            <v>37</v>
          </cell>
          <cell r="H533">
            <v>80</v>
          </cell>
          <cell r="I533">
            <v>68</v>
          </cell>
          <cell r="J533">
            <v>89</v>
          </cell>
          <cell r="K533">
            <v>77</v>
          </cell>
          <cell r="R533">
            <v>66</v>
          </cell>
          <cell r="S533">
            <v>29</v>
          </cell>
          <cell r="T533">
            <v>782</v>
          </cell>
        </row>
        <row r="534">
          <cell r="A534" t="str">
            <v>MGT-103H</v>
          </cell>
          <cell r="D534">
            <v>1</v>
          </cell>
          <cell r="E534">
            <v>1</v>
          </cell>
          <cell r="F534">
            <v>2</v>
          </cell>
          <cell r="I534">
            <v>4</v>
          </cell>
          <cell r="J534">
            <v>3</v>
          </cell>
          <cell r="K534">
            <v>1</v>
          </cell>
          <cell r="R534">
            <v>1</v>
          </cell>
          <cell r="T534">
            <v>13</v>
          </cell>
        </row>
        <row r="535">
          <cell r="A535" t="str">
            <v>MGT-108</v>
          </cell>
          <cell r="K535">
            <v>14</v>
          </cell>
          <cell r="R535">
            <v>15</v>
          </cell>
          <cell r="S535">
            <v>13</v>
          </cell>
          <cell r="T535">
            <v>42</v>
          </cell>
        </row>
        <row r="536">
          <cell r="A536" t="str">
            <v>MGT-132</v>
          </cell>
          <cell r="H536">
            <v>16</v>
          </cell>
          <cell r="T536">
            <v>16</v>
          </cell>
        </row>
        <row r="537">
          <cell r="A537" t="str">
            <v>MGT-137</v>
          </cell>
          <cell r="C537">
            <v>20</v>
          </cell>
          <cell r="G537">
            <v>14</v>
          </cell>
          <cell r="I537">
            <v>28</v>
          </cell>
          <cell r="T537">
            <v>62</v>
          </cell>
        </row>
        <row r="538">
          <cell r="A538" t="str">
            <v>MGT-138</v>
          </cell>
          <cell r="C538">
            <v>10</v>
          </cell>
          <cell r="D538">
            <v>15</v>
          </cell>
          <cell r="T538">
            <v>25</v>
          </cell>
        </row>
        <row r="539">
          <cell r="A539" t="str">
            <v>MGT-205</v>
          </cell>
          <cell r="D539">
            <v>35</v>
          </cell>
          <cell r="E539">
            <v>30</v>
          </cell>
          <cell r="F539">
            <v>34</v>
          </cell>
          <cell r="K539">
            <v>30</v>
          </cell>
          <cell r="R539">
            <v>32</v>
          </cell>
          <cell r="T539">
            <v>161</v>
          </cell>
        </row>
        <row r="540">
          <cell r="A540" t="str">
            <v>MUL-080</v>
          </cell>
          <cell r="B540">
            <v>23</v>
          </cell>
          <cell r="C540">
            <v>28</v>
          </cell>
          <cell r="D540">
            <v>43</v>
          </cell>
          <cell r="E540">
            <v>20</v>
          </cell>
          <cell r="F540">
            <v>48</v>
          </cell>
          <cell r="G540">
            <v>21</v>
          </cell>
          <cell r="H540">
            <v>29</v>
          </cell>
          <cell r="I540">
            <v>25</v>
          </cell>
          <cell r="J540">
            <v>68</v>
          </cell>
          <cell r="K540">
            <v>26</v>
          </cell>
          <cell r="M540" t="str">
            <v>11</v>
          </cell>
          <cell r="R540">
            <v>20</v>
          </cell>
          <cell r="T540">
            <v>362</v>
          </cell>
        </row>
        <row r="541">
          <cell r="A541" t="str">
            <v>MUL-081</v>
          </cell>
          <cell r="B541">
            <v>17</v>
          </cell>
          <cell r="C541">
            <v>33</v>
          </cell>
          <cell r="D541">
            <v>37</v>
          </cell>
          <cell r="E541">
            <v>44</v>
          </cell>
          <cell r="G541">
            <v>20</v>
          </cell>
          <cell r="H541">
            <v>41</v>
          </cell>
          <cell r="I541">
            <v>42</v>
          </cell>
          <cell r="T541">
            <v>234</v>
          </cell>
        </row>
        <row r="542">
          <cell r="A542" t="str">
            <v>MUL-090</v>
          </cell>
          <cell r="B542">
            <v>2</v>
          </cell>
          <cell r="C542">
            <v>9</v>
          </cell>
          <cell r="D542">
            <v>7</v>
          </cell>
          <cell r="E542">
            <v>14</v>
          </cell>
          <cell r="G542">
            <v>11</v>
          </cell>
          <cell r="H542">
            <v>7</v>
          </cell>
          <cell r="I542">
            <v>18</v>
          </cell>
          <cell r="J542">
            <v>17</v>
          </cell>
          <cell r="T542">
            <v>85</v>
          </cell>
        </row>
        <row r="543">
          <cell r="A543" t="str">
            <v>MUL-110</v>
          </cell>
          <cell r="B543">
            <v>69</v>
          </cell>
          <cell r="C543">
            <v>124</v>
          </cell>
          <cell r="D543">
            <v>119</v>
          </cell>
          <cell r="E543">
            <v>96</v>
          </cell>
          <cell r="F543">
            <v>102</v>
          </cell>
          <cell r="G543">
            <v>94</v>
          </cell>
          <cell r="H543">
            <v>113</v>
          </cell>
          <cell r="I543">
            <v>96</v>
          </cell>
          <cell r="J543">
            <v>103</v>
          </cell>
          <cell r="K543">
            <v>89</v>
          </cell>
          <cell r="M543" t="str">
            <v>24</v>
          </cell>
          <cell r="R543">
            <v>145</v>
          </cell>
          <cell r="S543">
            <v>105</v>
          </cell>
          <cell r="T543">
            <v>1279</v>
          </cell>
        </row>
        <row r="544">
          <cell r="A544" t="str">
            <v>MUL-112</v>
          </cell>
          <cell r="C544">
            <v>28</v>
          </cell>
          <cell r="D544">
            <v>22</v>
          </cell>
          <cell r="E544">
            <v>45</v>
          </cell>
          <cell r="F544">
            <v>35</v>
          </cell>
          <cell r="G544">
            <v>40</v>
          </cell>
          <cell r="H544">
            <v>25</v>
          </cell>
          <cell r="I544">
            <v>37</v>
          </cell>
          <cell r="J544">
            <v>38</v>
          </cell>
          <cell r="K544">
            <v>25</v>
          </cell>
          <cell r="R544">
            <v>41</v>
          </cell>
          <cell r="S544">
            <v>39</v>
          </cell>
          <cell r="T544">
            <v>375</v>
          </cell>
        </row>
        <row r="545">
          <cell r="A545" t="str">
            <v>MUL-114</v>
          </cell>
          <cell r="B545">
            <v>12</v>
          </cell>
          <cell r="C545">
            <v>14</v>
          </cell>
          <cell r="D545">
            <v>16</v>
          </cell>
          <cell r="E545">
            <v>16</v>
          </cell>
          <cell r="G545">
            <v>5</v>
          </cell>
          <cell r="H545">
            <v>21</v>
          </cell>
          <cell r="I545">
            <v>14</v>
          </cell>
          <cell r="J545">
            <v>10</v>
          </cell>
          <cell r="T545">
            <v>108</v>
          </cell>
        </row>
        <row r="546">
          <cell r="A546" t="str">
            <v>MUL-123</v>
          </cell>
          <cell r="B546">
            <v>26</v>
          </cell>
          <cell r="C546">
            <v>23</v>
          </cell>
          <cell r="D546">
            <v>15</v>
          </cell>
          <cell r="E546">
            <v>26</v>
          </cell>
          <cell r="F546">
            <v>32</v>
          </cell>
          <cell r="G546">
            <v>11</v>
          </cell>
          <cell r="H546">
            <v>19</v>
          </cell>
          <cell r="I546">
            <v>22</v>
          </cell>
          <cell r="J546">
            <v>23</v>
          </cell>
          <cell r="K546">
            <v>29</v>
          </cell>
          <cell r="L546" t="str">
            <v>16</v>
          </cell>
          <cell r="M546" t="str">
            <v>17</v>
          </cell>
          <cell r="R546">
            <v>28</v>
          </cell>
          <cell r="S546">
            <v>32</v>
          </cell>
          <cell r="T546">
            <v>319</v>
          </cell>
        </row>
        <row r="547">
          <cell r="A547" t="str">
            <v>MUL-124</v>
          </cell>
          <cell r="B547">
            <v>25</v>
          </cell>
          <cell r="C547">
            <v>23</v>
          </cell>
          <cell r="D547">
            <v>47</v>
          </cell>
          <cell r="E547">
            <v>35</v>
          </cell>
          <cell r="G547">
            <v>35</v>
          </cell>
          <cell r="H547">
            <v>31</v>
          </cell>
          <cell r="I547">
            <v>36</v>
          </cell>
          <cell r="J547">
            <v>44</v>
          </cell>
          <cell r="T547">
            <v>276</v>
          </cell>
        </row>
        <row r="548">
          <cell r="A548" t="str">
            <v>MUL-126</v>
          </cell>
          <cell r="E548">
            <v>10</v>
          </cell>
          <cell r="I548">
            <v>18</v>
          </cell>
          <cell r="T548">
            <v>28</v>
          </cell>
        </row>
        <row r="549">
          <cell r="A549" t="str">
            <v>MUL-127</v>
          </cell>
          <cell r="C549">
            <v>7</v>
          </cell>
          <cell r="G549">
            <v>8</v>
          </cell>
          <cell r="I549">
            <v>16</v>
          </cell>
          <cell r="T549">
            <v>31</v>
          </cell>
        </row>
        <row r="550">
          <cell r="A550" t="str">
            <v>MUL-131</v>
          </cell>
          <cell r="B550">
            <v>24</v>
          </cell>
          <cell r="C550">
            <v>24</v>
          </cell>
          <cell r="D550">
            <v>25</v>
          </cell>
          <cell r="E550">
            <v>49</v>
          </cell>
          <cell r="F550">
            <v>114</v>
          </cell>
          <cell r="G550">
            <v>23</v>
          </cell>
          <cell r="H550">
            <v>24</v>
          </cell>
          <cell r="I550">
            <v>43</v>
          </cell>
          <cell r="J550">
            <v>49</v>
          </cell>
          <cell r="K550">
            <v>66</v>
          </cell>
          <cell r="R550">
            <v>66</v>
          </cell>
          <cell r="S550">
            <v>89</v>
          </cell>
          <cell r="T550">
            <v>596</v>
          </cell>
        </row>
        <row r="551">
          <cell r="A551" t="str">
            <v>MUL-133</v>
          </cell>
          <cell r="K551">
            <v>20</v>
          </cell>
          <cell r="S551">
            <v>22</v>
          </cell>
          <cell r="T551">
            <v>42</v>
          </cell>
        </row>
        <row r="552">
          <cell r="A552" t="str">
            <v>MUL-137</v>
          </cell>
          <cell r="B552">
            <v>11</v>
          </cell>
          <cell r="C552">
            <v>20</v>
          </cell>
          <cell r="D552">
            <v>15</v>
          </cell>
          <cell r="E552">
            <v>17</v>
          </cell>
          <cell r="G552">
            <v>17</v>
          </cell>
          <cell r="H552">
            <v>13</v>
          </cell>
          <cell r="I552">
            <v>13</v>
          </cell>
          <cell r="J552">
            <v>15</v>
          </cell>
          <cell r="K552">
            <v>29</v>
          </cell>
          <cell r="R552">
            <v>22</v>
          </cell>
          <cell r="S552">
            <v>22</v>
          </cell>
          <cell r="T552">
            <v>194</v>
          </cell>
        </row>
        <row r="553">
          <cell r="A553" t="str">
            <v>MUL-139</v>
          </cell>
          <cell r="B553">
            <v>12</v>
          </cell>
          <cell r="C553">
            <v>8</v>
          </cell>
          <cell r="D553">
            <v>3</v>
          </cell>
          <cell r="E553">
            <v>13</v>
          </cell>
          <cell r="G553">
            <v>9</v>
          </cell>
          <cell r="H553">
            <v>10</v>
          </cell>
          <cell r="I553">
            <v>4</v>
          </cell>
          <cell r="J553">
            <v>9</v>
          </cell>
          <cell r="T553">
            <v>68</v>
          </cell>
        </row>
        <row r="554">
          <cell r="A554" t="str">
            <v>MUL-140</v>
          </cell>
          <cell r="B554">
            <v>4</v>
          </cell>
          <cell r="D554">
            <v>3</v>
          </cell>
          <cell r="E554">
            <v>8</v>
          </cell>
          <cell r="F554">
            <v>6</v>
          </cell>
          <cell r="G554">
            <v>6</v>
          </cell>
          <cell r="H554">
            <v>2</v>
          </cell>
          <cell r="I554">
            <v>6</v>
          </cell>
          <cell r="J554">
            <v>10</v>
          </cell>
          <cell r="K554">
            <v>12</v>
          </cell>
          <cell r="R554">
            <v>7</v>
          </cell>
          <cell r="S554">
            <v>13</v>
          </cell>
          <cell r="T554">
            <v>77</v>
          </cell>
        </row>
        <row r="555">
          <cell r="A555" t="str">
            <v>MUL-141</v>
          </cell>
          <cell r="B555">
            <v>4</v>
          </cell>
          <cell r="C555">
            <v>3</v>
          </cell>
          <cell r="D555">
            <v>5</v>
          </cell>
          <cell r="G555">
            <v>5</v>
          </cell>
          <cell r="I555">
            <v>3</v>
          </cell>
          <cell r="T555">
            <v>20</v>
          </cell>
        </row>
        <row r="556">
          <cell r="A556" t="str">
            <v>MUL-143</v>
          </cell>
          <cell r="C556">
            <v>9</v>
          </cell>
          <cell r="D556">
            <v>1</v>
          </cell>
          <cell r="G556">
            <v>2</v>
          </cell>
          <cell r="H556">
            <v>4</v>
          </cell>
          <cell r="T556">
            <v>16</v>
          </cell>
        </row>
        <row r="557">
          <cell r="A557" t="str">
            <v>MUL-149</v>
          </cell>
          <cell r="C557">
            <v>1</v>
          </cell>
          <cell r="G557">
            <v>3</v>
          </cell>
          <cell r="H557">
            <v>3</v>
          </cell>
          <cell r="T557">
            <v>7</v>
          </cell>
        </row>
        <row r="558">
          <cell r="A558" t="str">
            <v>MUL-150</v>
          </cell>
          <cell r="G558">
            <v>15</v>
          </cell>
          <cell r="T558">
            <v>15</v>
          </cell>
        </row>
        <row r="559">
          <cell r="A559" t="str">
            <v>MUL-214</v>
          </cell>
          <cell r="D559">
            <v>11</v>
          </cell>
          <cell r="I559">
            <v>12</v>
          </cell>
          <cell r="R559">
            <v>17</v>
          </cell>
          <cell r="T559">
            <v>40</v>
          </cell>
        </row>
        <row r="560">
          <cell r="A560" t="str">
            <v>MUL-223</v>
          </cell>
          <cell r="C560">
            <v>13</v>
          </cell>
          <cell r="D560">
            <v>10</v>
          </cell>
          <cell r="E560">
            <v>5</v>
          </cell>
          <cell r="F560">
            <v>10</v>
          </cell>
          <cell r="H560">
            <v>9</v>
          </cell>
          <cell r="I560">
            <v>12</v>
          </cell>
          <cell r="J560">
            <v>14</v>
          </cell>
          <cell r="K560">
            <v>9</v>
          </cell>
          <cell r="R560">
            <v>18</v>
          </cell>
          <cell r="S560">
            <v>13</v>
          </cell>
          <cell r="T560">
            <v>113</v>
          </cell>
        </row>
        <row r="561">
          <cell r="A561" t="str">
            <v>MUL-224</v>
          </cell>
          <cell r="B561">
            <v>7</v>
          </cell>
          <cell r="C561">
            <v>8</v>
          </cell>
          <cell r="D561">
            <v>9</v>
          </cell>
          <cell r="E561">
            <v>19</v>
          </cell>
          <cell r="G561">
            <v>14</v>
          </cell>
          <cell r="H561">
            <v>8</v>
          </cell>
          <cell r="I561">
            <v>8</v>
          </cell>
          <cell r="J561">
            <v>22</v>
          </cell>
          <cell r="T561">
            <v>95</v>
          </cell>
        </row>
        <row r="562">
          <cell r="A562" t="str">
            <v>MUL-225</v>
          </cell>
          <cell r="C562">
            <v>10</v>
          </cell>
          <cell r="D562">
            <v>6</v>
          </cell>
          <cell r="E562">
            <v>9</v>
          </cell>
          <cell r="G562">
            <v>10</v>
          </cell>
          <cell r="H562">
            <v>7</v>
          </cell>
          <cell r="I562">
            <v>6</v>
          </cell>
          <cell r="J562">
            <v>11</v>
          </cell>
          <cell r="T562">
            <v>59</v>
          </cell>
        </row>
        <row r="563">
          <cell r="A563" t="str">
            <v>MUL-245</v>
          </cell>
          <cell r="B563">
            <v>6</v>
          </cell>
          <cell r="C563">
            <v>4</v>
          </cell>
          <cell r="G563">
            <v>2</v>
          </cell>
          <cell r="H563">
            <v>2</v>
          </cell>
          <cell r="I563">
            <v>4</v>
          </cell>
          <cell r="T563">
            <v>18</v>
          </cell>
        </row>
        <row r="564">
          <cell r="A564" t="str">
            <v>MUL-299</v>
          </cell>
          <cell r="C564">
            <v>17</v>
          </cell>
          <cell r="G564">
            <v>2</v>
          </cell>
          <cell r="H564">
            <v>8</v>
          </cell>
          <cell r="I564">
            <v>2</v>
          </cell>
          <cell r="M564" t="str">
            <v>15</v>
          </cell>
          <cell r="Q564" t="str">
            <v>9</v>
          </cell>
          <cell r="T564">
            <v>53</v>
          </cell>
        </row>
        <row r="565">
          <cell r="A565" t="str">
            <v>MUS-081</v>
          </cell>
          <cell r="H565">
            <v>1</v>
          </cell>
          <cell r="T565">
            <v>1</v>
          </cell>
        </row>
        <row r="566">
          <cell r="A566" t="str">
            <v>MUS-100</v>
          </cell>
          <cell r="B566">
            <v>91</v>
          </cell>
          <cell r="C566">
            <v>135</v>
          </cell>
          <cell r="D566">
            <v>130</v>
          </cell>
          <cell r="E566">
            <v>66</v>
          </cell>
          <cell r="F566">
            <v>75</v>
          </cell>
          <cell r="G566">
            <v>84</v>
          </cell>
          <cell r="H566">
            <v>119</v>
          </cell>
          <cell r="I566">
            <v>71</v>
          </cell>
          <cell r="J566">
            <v>63</v>
          </cell>
          <cell r="K566">
            <v>123</v>
          </cell>
          <cell r="M566" t="str">
            <v>19</v>
          </cell>
          <cell r="R566">
            <v>82</v>
          </cell>
          <cell r="S566">
            <v>72</v>
          </cell>
          <cell r="T566">
            <v>1130</v>
          </cell>
        </row>
        <row r="567">
          <cell r="A567" t="str">
            <v>MUS-100H</v>
          </cell>
          <cell r="G567">
            <v>1</v>
          </cell>
          <cell r="J567">
            <v>1</v>
          </cell>
          <cell r="K567">
            <v>3</v>
          </cell>
          <cell r="R567">
            <v>2</v>
          </cell>
          <cell r="S567">
            <v>4</v>
          </cell>
          <cell r="T567">
            <v>11</v>
          </cell>
        </row>
        <row r="568">
          <cell r="A568" t="str">
            <v>MUS-101</v>
          </cell>
          <cell r="B568">
            <v>65</v>
          </cell>
          <cell r="C568">
            <v>75</v>
          </cell>
          <cell r="D568">
            <v>121</v>
          </cell>
          <cell r="E568">
            <v>129</v>
          </cell>
          <cell r="F568">
            <v>86</v>
          </cell>
          <cell r="G568">
            <v>64</v>
          </cell>
          <cell r="H568">
            <v>81</v>
          </cell>
          <cell r="I568">
            <v>94</v>
          </cell>
          <cell r="J568">
            <v>113</v>
          </cell>
          <cell r="K568">
            <v>104</v>
          </cell>
          <cell r="R568">
            <v>93</v>
          </cell>
          <cell r="S568">
            <v>67</v>
          </cell>
          <cell r="T568">
            <v>1092</v>
          </cell>
        </row>
        <row r="569">
          <cell r="A569" t="str">
            <v>MUS-103</v>
          </cell>
          <cell r="B569">
            <v>20</v>
          </cell>
          <cell r="C569">
            <v>19</v>
          </cell>
          <cell r="D569">
            <v>24</v>
          </cell>
          <cell r="E569">
            <v>28</v>
          </cell>
          <cell r="F569">
            <v>27</v>
          </cell>
          <cell r="G569">
            <v>18</v>
          </cell>
          <cell r="H569">
            <v>26</v>
          </cell>
          <cell r="I569">
            <v>31</v>
          </cell>
          <cell r="J569">
            <v>20</v>
          </cell>
          <cell r="K569">
            <v>26</v>
          </cell>
          <cell r="R569">
            <v>26</v>
          </cell>
          <cell r="S569">
            <v>29</v>
          </cell>
          <cell r="T569">
            <v>294</v>
          </cell>
        </row>
        <row r="570">
          <cell r="A570" t="str">
            <v>MUS-104</v>
          </cell>
          <cell r="G570">
            <v>10</v>
          </cell>
          <cell r="H570">
            <v>8</v>
          </cell>
          <cell r="I570">
            <v>12</v>
          </cell>
          <cell r="J570">
            <v>17</v>
          </cell>
          <cell r="K570">
            <v>13</v>
          </cell>
          <cell r="S570">
            <v>17</v>
          </cell>
          <cell r="T570">
            <v>77</v>
          </cell>
        </row>
        <row r="571">
          <cell r="A571" t="str">
            <v>MUS-106</v>
          </cell>
          <cell r="C571">
            <v>43</v>
          </cell>
          <cell r="D571">
            <v>81</v>
          </cell>
          <cell r="E571">
            <v>79</v>
          </cell>
          <cell r="F571">
            <v>40</v>
          </cell>
          <cell r="H571">
            <v>77</v>
          </cell>
          <cell r="I571">
            <v>80</v>
          </cell>
          <cell r="J571">
            <v>85</v>
          </cell>
          <cell r="K571">
            <v>40</v>
          </cell>
          <cell r="R571">
            <v>40</v>
          </cell>
          <cell r="T571">
            <v>565</v>
          </cell>
        </row>
        <row r="572">
          <cell r="A572" t="str">
            <v>MUS-107</v>
          </cell>
          <cell r="B572">
            <v>94</v>
          </cell>
          <cell r="C572">
            <v>91</v>
          </cell>
          <cell r="D572">
            <v>86</v>
          </cell>
          <cell r="E572">
            <v>35</v>
          </cell>
          <cell r="F572">
            <v>75</v>
          </cell>
          <cell r="G572">
            <v>66</v>
          </cell>
          <cell r="H572">
            <v>67</v>
          </cell>
          <cell r="I572">
            <v>75</v>
          </cell>
          <cell r="J572">
            <v>38</v>
          </cell>
          <cell r="K572">
            <v>75</v>
          </cell>
          <cell r="L572" t="str">
            <v>17</v>
          </cell>
          <cell r="M572" t="str">
            <v>8</v>
          </cell>
          <cell r="R572">
            <v>77</v>
          </cell>
          <cell r="S572">
            <v>74</v>
          </cell>
          <cell r="T572">
            <v>878</v>
          </cell>
        </row>
        <row r="573">
          <cell r="A573" t="str">
            <v>MUS-108</v>
          </cell>
          <cell r="B573">
            <v>26</v>
          </cell>
          <cell r="C573">
            <v>18</v>
          </cell>
          <cell r="D573">
            <v>32</v>
          </cell>
          <cell r="E573">
            <v>23</v>
          </cell>
          <cell r="F573">
            <v>74</v>
          </cell>
          <cell r="G573">
            <v>27</v>
          </cell>
          <cell r="H573">
            <v>35</v>
          </cell>
          <cell r="I573">
            <v>31</v>
          </cell>
          <cell r="J573">
            <v>37</v>
          </cell>
          <cell r="K573">
            <v>39</v>
          </cell>
          <cell r="L573" t="str">
            <v>5</v>
          </cell>
          <cell r="M573" t="str">
            <v>12</v>
          </cell>
          <cell r="R573">
            <v>40</v>
          </cell>
          <cell r="S573">
            <v>37</v>
          </cell>
          <cell r="T573">
            <v>436</v>
          </cell>
        </row>
        <row r="574">
          <cell r="A574" t="str">
            <v>MUS-109</v>
          </cell>
          <cell r="B574">
            <v>32</v>
          </cell>
          <cell r="C574">
            <v>34</v>
          </cell>
          <cell r="D574">
            <v>117</v>
          </cell>
          <cell r="E574">
            <v>77</v>
          </cell>
          <cell r="F574">
            <v>82</v>
          </cell>
          <cell r="G574">
            <v>33</v>
          </cell>
          <cell r="H574">
            <v>54</v>
          </cell>
          <cell r="I574">
            <v>75</v>
          </cell>
          <cell r="J574">
            <v>75</v>
          </cell>
          <cell r="K574">
            <v>69</v>
          </cell>
          <cell r="R574">
            <v>86</v>
          </cell>
          <cell r="S574">
            <v>78</v>
          </cell>
          <cell r="T574">
            <v>812</v>
          </cell>
        </row>
        <row r="575">
          <cell r="A575" t="str">
            <v>MUS-111</v>
          </cell>
          <cell r="B575">
            <v>52</v>
          </cell>
          <cell r="C575">
            <v>48</v>
          </cell>
          <cell r="D575">
            <v>95</v>
          </cell>
          <cell r="E575">
            <v>83</v>
          </cell>
          <cell r="F575">
            <v>94</v>
          </cell>
          <cell r="G575">
            <v>49</v>
          </cell>
          <cell r="H575">
            <v>90</v>
          </cell>
          <cell r="I575">
            <v>62</v>
          </cell>
          <cell r="J575">
            <v>94</v>
          </cell>
          <cell r="K575">
            <v>88</v>
          </cell>
          <cell r="L575" t="str">
            <v>13</v>
          </cell>
          <cell r="M575" t="str">
            <v>26</v>
          </cell>
          <cell r="R575">
            <v>100</v>
          </cell>
          <cell r="S575">
            <v>81</v>
          </cell>
          <cell r="T575">
            <v>975</v>
          </cell>
        </row>
        <row r="576">
          <cell r="A576" t="str">
            <v>MUS-112</v>
          </cell>
          <cell r="B576">
            <v>5</v>
          </cell>
          <cell r="C576">
            <v>4</v>
          </cell>
          <cell r="D576">
            <v>6</v>
          </cell>
          <cell r="E576">
            <v>7</v>
          </cell>
          <cell r="F576">
            <v>9</v>
          </cell>
          <cell r="G576">
            <v>7</v>
          </cell>
          <cell r="H576">
            <v>7</v>
          </cell>
          <cell r="I576">
            <v>2</v>
          </cell>
          <cell r="J576">
            <v>9</v>
          </cell>
          <cell r="K576">
            <v>5</v>
          </cell>
          <cell r="M576" t="str">
            <v>3</v>
          </cell>
          <cell r="R576">
            <v>5</v>
          </cell>
          <cell r="S576">
            <v>5</v>
          </cell>
          <cell r="T576">
            <v>74</v>
          </cell>
        </row>
        <row r="577">
          <cell r="A577" t="str">
            <v>MUS-114</v>
          </cell>
          <cell r="F577">
            <v>6</v>
          </cell>
          <cell r="K577">
            <v>12</v>
          </cell>
          <cell r="S577">
            <v>11</v>
          </cell>
          <cell r="T577">
            <v>29</v>
          </cell>
        </row>
        <row r="578">
          <cell r="A578" t="str">
            <v>MUS-115</v>
          </cell>
          <cell r="B578">
            <v>30</v>
          </cell>
          <cell r="C578">
            <v>28</v>
          </cell>
          <cell r="D578">
            <v>36</v>
          </cell>
          <cell r="E578">
            <v>30</v>
          </cell>
          <cell r="F578">
            <v>28</v>
          </cell>
          <cell r="G578">
            <v>25</v>
          </cell>
          <cell r="H578">
            <v>32</v>
          </cell>
          <cell r="I578">
            <v>29</v>
          </cell>
          <cell r="J578">
            <v>28</v>
          </cell>
          <cell r="R578">
            <v>34</v>
          </cell>
          <cell r="T578">
            <v>300</v>
          </cell>
        </row>
        <row r="579">
          <cell r="A579" t="str">
            <v>MUS-116</v>
          </cell>
          <cell r="C579">
            <v>14</v>
          </cell>
          <cell r="D579">
            <v>28</v>
          </cell>
          <cell r="E579">
            <v>26</v>
          </cell>
          <cell r="G579">
            <v>23</v>
          </cell>
          <cell r="H579">
            <v>26</v>
          </cell>
          <cell r="I579">
            <v>28</v>
          </cell>
          <cell r="J579">
            <v>26</v>
          </cell>
          <cell r="K579">
            <v>31</v>
          </cell>
          <cell r="S579">
            <v>34</v>
          </cell>
          <cell r="T579">
            <v>236</v>
          </cell>
        </row>
        <row r="580">
          <cell r="A580" t="str">
            <v>MUS-125</v>
          </cell>
          <cell r="B580">
            <v>42</v>
          </cell>
          <cell r="C580">
            <v>70</v>
          </cell>
          <cell r="D580">
            <v>70</v>
          </cell>
          <cell r="E580">
            <v>71</v>
          </cell>
          <cell r="F580">
            <v>44</v>
          </cell>
          <cell r="G580">
            <v>38</v>
          </cell>
          <cell r="H580">
            <v>68</v>
          </cell>
          <cell r="I580">
            <v>78</v>
          </cell>
          <cell r="J580">
            <v>84</v>
          </cell>
          <cell r="K580">
            <v>47</v>
          </cell>
          <cell r="L580" t="str">
            <v>20</v>
          </cell>
          <cell r="M580" t="str">
            <v>26</v>
          </cell>
          <cell r="R580">
            <v>45</v>
          </cell>
          <cell r="S580">
            <v>49</v>
          </cell>
          <cell r="T580">
            <v>752</v>
          </cell>
        </row>
        <row r="581">
          <cell r="A581" t="str">
            <v>MUS-127</v>
          </cell>
          <cell r="B581">
            <v>13</v>
          </cell>
          <cell r="C581">
            <v>5</v>
          </cell>
          <cell r="D581">
            <v>8</v>
          </cell>
          <cell r="E581">
            <v>14</v>
          </cell>
          <cell r="F581">
            <v>9</v>
          </cell>
          <cell r="G581">
            <v>13</v>
          </cell>
          <cell r="H581">
            <v>8</v>
          </cell>
          <cell r="I581">
            <v>12</v>
          </cell>
          <cell r="J581">
            <v>9</v>
          </cell>
          <cell r="K581">
            <v>9</v>
          </cell>
          <cell r="L581" t="str">
            <v>1</v>
          </cell>
          <cell r="M581" t="str">
            <v>3</v>
          </cell>
          <cell r="R581">
            <v>6</v>
          </cell>
          <cell r="S581">
            <v>5</v>
          </cell>
          <cell r="T581">
            <v>115</v>
          </cell>
        </row>
        <row r="582">
          <cell r="A582" t="str">
            <v>MUS-150</v>
          </cell>
          <cell r="B582">
            <v>6</v>
          </cell>
          <cell r="C582">
            <v>8</v>
          </cell>
          <cell r="D582">
            <v>7</v>
          </cell>
          <cell r="E582">
            <v>7</v>
          </cell>
          <cell r="F582">
            <v>13</v>
          </cell>
          <cell r="G582">
            <v>4</v>
          </cell>
          <cell r="H582">
            <v>9</v>
          </cell>
          <cell r="I582">
            <v>8</v>
          </cell>
          <cell r="J582">
            <v>9</v>
          </cell>
          <cell r="K582">
            <v>12</v>
          </cell>
          <cell r="R582">
            <v>8</v>
          </cell>
          <cell r="S582">
            <v>13</v>
          </cell>
          <cell r="T582">
            <v>104</v>
          </cell>
        </row>
        <row r="583">
          <cell r="A583" t="str">
            <v>MUS-151</v>
          </cell>
          <cell r="H583">
            <v>1</v>
          </cell>
          <cell r="T583">
            <v>1</v>
          </cell>
        </row>
        <row r="584">
          <cell r="A584" t="str">
            <v>MUS-175</v>
          </cell>
          <cell r="B584">
            <v>12</v>
          </cell>
          <cell r="C584">
            <v>16</v>
          </cell>
          <cell r="D584">
            <v>14</v>
          </cell>
          <cell r="E584">
            <v>15</v>
          </cell>
          <cell r="F584">
            <v>13</v>
          </cell>
          <cell r="G584">
            <v>9</v>
          </cell>
          <cell r="H584">
            <v>5</v>
          </cell>
          <cell r="I584">
            <v>19</v>
          </cell>
          <cell r="J584">
            <v>16</v>
          </cell>
          <cell r="K584">
            <v>16</v>
          </cell>
          <cell r="R584">
            <v>14</v>
          </cell>
          <cell r="S584">
            <v>12</v>
          </cell>
          <cell r="T584">
            <v>161</v>
          </cell>
        </row>
        <row r="585">
          <cell r="A585" t="str">
            <v>MUS-176</v>
          </cell>
          <cell r="E585">
            <v>4</v>
          </cell>
          <cell r="F585">
            <v>7</v>
          </cell>
          <cell r="G585">
            <v>4</v>
          </cell>
          <cell r="H585">
            <v>4</v>
          </cell>
          <cell r="I585">
            <v>11</v>
          </cell>
          <cell r="J585">
            <v>4</v>
          </cell>
          <cell r="K585">
            <v>10</v>
          </cell>
          <cell r="R585">
            <v>4</v>
          </cell>
          <cell r="S585">
            <v>10</v>
          </cell>
          <cell r="T585">
            <v>58</v>
          </cell>
        </row>
        <row r="586">
          <cell r="A586" t="str">
            <v>MUS-201</v>
          </cell>
          <cell r="B586">
            <v>5</v>
          </cell>
          <cell r="T586">
            <v>5</v>
          </cell>
        </row>
        <row r="587">
          <cell r="A587" t="str">
            <v>MUS-205</v>
          </cell>
          <cell r="B587">
            <v>12</v>
          </cell>
          <cell r="C587">
            <v>17</v>
          </cell>
          <cell r="D587">
            <v>15</v>
          </cell>
          <cell r="E587">
            <v>15</v>
          </cell>
          <cell r="F587">
            <v>26</v>
          </cell>
          <cell r="G587">
            <v>17</v>
          </cell>
          <cell r="H587">
            <v>21</v>
          </cell>
          <cell r="I587">
            <v>21</v>
          </cell>
          <cell r="J587">
            <v>22</v>
          </cell>
          <cell r="K587">
            <v>33</v>
          </cell>
          <cell r="R587">
            <v>33</v>
          </cell>
          <cell r="S587">
            <v>18</v>
          </cell>
          <cell r="T587">
            <v>250</v>
          </cell>
        </row>
        <row r="588">
          <cell r="A588" t="str">
            <v>MUS-206</v>
          </cell>
          <cell r="C588">
            <v>3</v>
          </cell>
          <cell r="D588">
            <v>3</v>
          </cell>
          <cell r="E588">
            <v>2</v>
          </cell>
          <cell r="F588">
            <v>2</v>
          </cell>
          <cell r="G588">
            <v>2</v>
          </cell>
          <cell r="H588">
            <v>1</v>
          </cell>
          <cell r="J588">
            <v>2</v>
          </cell>
          <cell r="K588">
            <v>5</v>
          </cell>
          <cell r="R588">
            <v>5</v>
          </cell>
          <cell r="S588">
            <v>3</v>
          </cell>
          <cell r="T588">
            <v>28</v>
          </cell>
        </row>
        <row r="589">
          <cell r="A589" t="str">
            <v>MUS-209</v>
          </cell>
          <cell r="B589">
            <v>11</v>
          </cell>
          <cell r="T589">
            <v>11</v>
          </cell>
        </row>
        <row r="590">
          <cell r="A590" t="str">
            <v>MUS-210</v>
          </cell>
          <cell r="B590">
            <v>17</v>
          </cell>
          <cell r="C590">
            <v>8</v>
          </cell>
          <cell r="D590">
            <v>11</v>
          </cell>
          <cell r="E590">
            <v>15</v>
          </cell>
          <cell r="F590">
            <v>12</v>
          </cell>
          <cell r="G590">
            <v>5</v>
          </cell>
          <cell r="H590">
            <v>12</v>
          </cell>
          <cell r="I590">
            <v>13</v>
          </cell>
          <cell r="J590">
            <v>10</v>
          </cell>
          <cell r="K590">
            <v>9</v>
          </cell>
          <cell r="R590">
            <v>12</v>
          </cell>
          <cell r="S590">
            <v>11</v>
          </cell>
          <cell r="T590">
            <v>135</v>
          </cell>
        </row>
        <row r="591">
          <cell r="A591" t="str">
            <v>MUS-211</v>
          </cell>
          <cell r="B591">
            <v>1</v>
          </cell>
          <cell r="C591">
            <v>4</v>
          </cell>
          <cell r="E591">
            <v>1</v>
          </cell>
          <cell r="G591">
            <v>9</v>
          </cell>
          <cell r="H591">
            <v>2</v>
          </cell>
          <cell r="J591">
            <v>1</v>
          </cell>
          <cell r="K591">
            <v>1</v>
          </cell>
          <cell r="R591">
            <v>1</v>
          </cell>
          <cell r="S591">
            <v>2</v>
          </cell>
          <cell r="T591">
            <v>22</v>
          </cell>
        </row>
        <row r="592">
          <cell r="A592" t="str">
            <v>MUS-214</v>
          </cell>
          <cell r="E592">
            <v>10</v>
          </cell>
          <cell r="F592">
            <v>8</v>
          </cell>
          <cell r="J592">
            <v>15</v>
          </cell>
          <cell r="K592">
            <v>10</v>
          </cell>
          <cell r="R592">
            <v>7</v>
          </cell>
          <cell r="S592">
            <v>10</v>
          </cell>
          <cell r="T592">
            <v>60</v>
          </cell>
        </row>
        <row r="593">
          <cell r="A593" t="str">
            <v>MUS-253</v>
          </cell>
          <cell r="E593">
            <v>7</v>
          </cell>
          <cell r="F593">
            <v>12</v>
          </cell>
          <cell r="G593">
            <v>8</v>
          </cell>
          <cell r="H593">
            <v>2</v>
          </cell>
          <cell r="I593">
            <v>6</v>
          </cell>
          <cell r="R593">
            <v>7</v>
          </cell>
          <cell r="T593">
            <v>42</v>
          </cell>
        </row>
        <row r="594">
          <cell r="A594" t="str">
            <v>MUS-299</v>
          </cell>
          <cell r="B594">
            <v>5</v>
          </cell>
          <cell r="C594">
            <v>6</v>
          </cell>
          <cell r="D594">
            <v>2</v>
          </cell>
          <cell r="E594">
            <v>6</v>
          </cell>
          <cell r="F594">
            <v>2</v>
          </cell>
          <cell r="G594">
            <v>5</v>
          </cell>
          <cell r="H594">
            <v>1</v>
          </cell>
          <cell r="I594">
            <v>5</v>
          </cell>
          <cell r="J594">
            <v>6</v>
          </cell>
          <cell r="S594">
            <v>4</v>
          </cell>
          <cell r="T594">
            <v>42</v>
          </cell>
        </row>
        <row r="595">
          <cell r="A595" t="str">
            <v>NET-100</v>
          </cell>
          <cell r="C595">
            <v>13</v>
          </cell>
          <cell r="D595">
            <v>15</v>
          </cell>
          <cell r="E595">
            <v>15</v>
          </cell>
          <cell r="G595">
            <v>9</v>
          </cell>
          <cell r="I595">
            <v>4</v>
          </cell>
          <cell r="J595">
            <v>6</v>
          </cell>
          <cell r="T595">
            <v>62</v>
          </cell>
        </row>
        <row r="596">
          <cell r="A596" t="str">
            <v>NET-101</v>
          </cell>
          <cell r="C596">
            <v>15</v>
          </cell>
          <cell r="E596">
            <v>4</v>
          </cell>
          <cell r="I596">
            <v>7</v>
          </cell>
          <cell r="J596">
            <v>4</v>
          </cell>
          <cell r="T596">
            <v>30</v>
          </cell>
        </row>
        <row r="597">
          <cell r="A597" t="str">
            <v>NET-102</v>
          </cell>
          <cell r="D597">
            <v>5</v>
          </cell>
          <cell r="E597">
            <v>4</v>
          </cell>
          <cell r="G597">
            <v>13</v>
          </cell>
          <cell r="I597">
            <v>1</v>
          </cell>
          <cell r="J597">
            <v>4</v>
          </cell>
          <cell r="T597">
            <v>27</v>
          </cell>
        </row>
        <row r="598">
          <cell r="A598" t="str">
            <v>NET-120</v>
          </cell>
          <cell r="B598">
            <v>15</v>
          </cell>
          <cell r="C598">
            <v>19</v>
          </cell>
          <cell r="E598">
            <v>11</v>
          </cell>
          <cell r="F598">
            <v>10</v>
          </cell>
          <cell r="H598">
            <v>18</v>
          </cell>
          <cell r="J598">
            <v>9</v>
          </cell>
          <cell r="K598">
            <v>15</v>
          </cell>
          <cell r="T598">
            <v>97</v>
          </cell>
        </row>
        <row r="599">
          <cell r="A599" t="str">
            <v>NET-121</v>
          </cell>
          <cell r="E599">
            <v>2</v>
          </cell>
          <cell r="F599">
            <v>3</v>
          </cell>
          <cell r="G599">
            <v>16</v>
          </cell>
          <cell r="H599">
            <v>21</v>
          </cell>
          <cell r="J599">
            <v>6</v>
          </cell>
          <cell r="K599">
            <v>5</v>
          </cell>
          <cell r="T599">
            <v>53</v>
          </cell>
        </row>
        <row r="600">
          <cell r="A600" t="str">
            <v>NET-122</v>
          </cell>
          <cell r="C600">
            <v>25</v>
          </cell>
          <cell r="D600">
            <v>13</v>
          </cell>
          <cell r="E600">
            <v>1</v>
          </cell>
          <cell r="F600">
            <v>5</v>
          </cell>
          <cell r="J600">
            <v>3</v>
          </cell>
          <cell r="K600">
            <v>2</v>
          </cell>
          <cell r="T600">
            <v>49</v>
          </cell>
        </row>
        <row r="601">
          <cell r="A601" t="str">
            <v>NET-140</v>
          </cell>
          <cell r="B601">
            <v>8</v>
          </cell>
          <cell r="T601">
            <v>8</v>
          </cell>
        </row>
        <row r="602">
          <cell r="A602" t="str">
            <v>NURS-064R</v>
          </cell>
          <cell r="E602">
            <v>4</v>
          </cell>
          <cell r="T602">
            <v>4</v>
          </cell>
        </row>
        <row r="603">
          <cell r="A603" t="str">
            <v>NURS-084A</v>
          </cell>
          <cell r="B603">
            <v>52</v>
          </cell>
          <cell r="C603">
            <v>59</v>
          </cell>
          <cell r="D603">
            <v>67</v>
          </cell>
          <cell r="E603">
            <v>57</v>
          </cell>
          <cell r="G603">
            <v>66</v>
          </cell>
          <cell r="H603">
            <v>57</v>
          </cell>
          <cell r="I603">
            <v>58</v>
          </cell>
          <cell r="J603">
            <v>56</v>
          </cell>
          <cell r="K603">
            <v>25</v>
          </cell>
          <cell r="R603">
            <v>26</v>
          </cell>
          <cell r="S603">
            <v>29</v>
          </cell>
          <cell r="T603">
            <v>552</v>
          </cell>
        </row>
        <row r="604">
          <cell r="A604" t="str">
            <v>NURS-084B</v>
          </cell>
          <cell r="B604">
            <v>67</v>
          </cell>
          <cell r="C604">
            <v>68</v>
          </cell>
          <cell r="D604">
            <v>75</v>
          </cell>
          <cell r="E604">
            <v>65</v>
          </cell>
          <cell r="F604">
            <v>39</v>
          </cell>
          <cell r="G604">
            <v>66</v>
          </cell>
          <cell r="H604">
            <v>72</v>
          </cell>
          <cell r="I604">
            <v>73</v>
          </cell>
          <cell r="J604">
            <v>58</v>
          </cell>
          <cell r="K604">
            <v>19</v>
          </cell>
          <cell r="T604">
            <v>602</v>
          </cell>
        </row>
        <row r="605">
          <cell r="A605" t="str">
            <v>NURS-084C</v>
          </cell>
          <cell r="B605">
            <v>138</v>
          </cell>
          <cell r="C605">
            <v>122</v>
          </cell>
          <cell r="D605">
            <v>148</v>
          </cell>
          <cell r="E605">
            <v>128</v>
          </cell>
          <cell r="F605">
            <v>113</v>
          </cell>
          <cell r="G605">
            <v>162</v>
          </cell>
          <cell r="H605">
            <v>151</v>
          </cell>
          <cell r="I605">
            <v>155</v>
          </cell>
          <cell r="J605">
            <v>134</v>
          </cell>
          <cell r="K605">
            <v>104</v>
          </cell>
          <cell r="N605" t="str">
            <v>13</v>
          </cell>
          <cell r="R605">
            <v>104</v>
          </cell>
          <cell r="S605">
            <v>102</v>
          </cell>
          <cell r="T605">
            <v>1574</v>
          </cell>
        </row>
        <row r="606">
          <cell r="A606" t="str">
            <v>NURS-085</v>
          </cell>
          <cell r="B606">
            <v>51</v>
          </cell>
          <cell r="D606">
            <v>59</v>
          </cell>
          <cell r="E606">
            <v>57</v>
          </cell>
          <cell r="G606">
            <v>61</v>
          </cell>
          <cell r="H606">
            <v>59</v>
          </cell>
          <cell r="I606">
            <v>59</v>
          </cell>
          <cell r="J606">
            <v>56</v>
          </cell>
          <cell r="K606">
            <v>25</v>
          </cell>
          <cell r="R606">
            <v>25</v>
          </cell>
          <cell r="S606">
            <v>28</v>
          </cell>
          <cell r="T606">
            <v>480</v>
          </cell>
        </row>
        <row r="607">
          <cell r="A607" t="str">
            <v>NURS-087</v>
          </cell>
          <cell r="M607" t="str">
            <v>10</v>
          </cell>
          <cell r="N607" t="str">
            <v>15</v>
          </cell>
          <cell r="O607" t="str">
            <v>16</v>
          </cell>
          <cell r="T607">
            <v>41</v>
          </cell>
        </row>
        <row r="608">
          <cell r="A608" t="str">
            <v>NURS-090</v>
          </cell>
          <cell r="B608">
            <v>12</v>
          </cell>
          <cell r="C608">
            <v>11</v>
          </cell>
          <cell r="D608">
            <v>12</v>
          </cell>
          <cell r="L608" t="str">
            <v>10</v>
          </cell>
          <cell r="M608" t="str">
            <v>12</v>
          </cell>
          <cell r="N608" t="str">
            <v>12</v>
          </cell>
          <cell r="O608" t="str">
            <v>12</v>
          </cell>
          <cell r="T608">
            <v>81</v>
          </cell>
        </row>
        <row r="609">
          <cell r="A609" t="str">
            <v>NURS-100</v>
          </cell>
          <cell r="B609">
            <v>42</v>
          </cell>
          <cell r="C609">
            <v>50</v>
          </cell>
          <cell r="D609">
            <v>56</v>
          </cell>
          <cell r="E609">
            <v>18</v>
          </cell>
          <cell r="F609">
            <v>14</v>
          </cell>
          <cell r="G609">
            <v>89</v>
          </cell>
          <cell r="H609">
            <v>56</v>
          </cell>
          <cell r="I609">
            <v>40</v>
          </cell>
          <cell r="J609">
            <v>17</v>
          </cell>
          <cell r="K609">
            <v>6</v>
          </cell>
          <cell r="L609" t="str">
            <v>22</v>
          </cell>
          <cell r="M609" t="str">
            <v>22</v>
          </cell>
          <cell r="T609">
            <v>432</v>
          </cell>
        </row>
        <row r="610">
          <cell r="A610" t="str">
            <v>NURS-170</v>
          </cell>
          <cell r="B610">
            <v>9</v>
          </cell>
          <cell r="C610">
            <v>12</v>
          </cell>
          <cell r="D610">
            <v>11</v>
          </cell>
          <cell r="E610">
            <v>11</v>
          </cell>
          <cell r="G610">
            <v>12</v>
          </cell>
          <cell r="H610">
            <v>12</v>
          </cell>
          <cell r="I610">
            <v>12</v>
          </cell>
          <cell r="T610">
            <v>79</v>
          </cell>
        </row>
        <row r="611">
          <cell r="A611" t="str">
            <v>NURS-171</v>
          </cell>
          <cell r="B611">
            <v>9</v>
          </cell>
          <cell r="C611">
            <v>10</v>
          </cell>
          <cell r="D611">
            <v>12</v>
          </cell>
          <cell r="E611">
            <v>9</v>
          </cell>
          <cell r="G611">
            <v>10</v>
          </cell>
          <cell r="H611">
            <v>12</v>
          </cell>
          <cell r="I611">
            <v>9</v>
          </cell>
          <cell r="J611">
            <v>8</v>
          </cell>
          <cell r="T611">
            <v>79</v>
          </cell>
        </row>
        <row r="612">
          <cell r="A612" t="str">
            <v>NURS-172</v>
          </cell>
          <cell r="B612">
            <v>7</v>
          </cell>
          <cell r="C612">
            <v>9</v>
          </cell>
          <cell r="D612">
            <v>11</v>
          </cell>
          <cell r="E612">
            <v>10</v>
          </cell>
          <cell r="F612">
            <v>8</v>
          </cell>
          <cell r="G612">
            <v>6</v>
          </cell>
          <cell r="H612">
            <v>9</v>
          </cell>
          <cell r="I612">
            <v>8</v>
          </cell>
          <cell r="J612">
            <v>9</v>
          </cell>
          <cell r="T612">
            <v>77</v>
          </cell>
        </row>
        <row r="613">
          <cell r="A613" t="str">
            <v>NURS-173</v>
          </cell>
          <cell r="B613">
            <v>5</v>
          </cell>
          <cell r="C613">
            <v>6</v>
          </cell>
          <cell r="D613">
            <v>8</v>
          </cell>
          <cell r="E613">
            <v>7</v>
          </cell>
          <cell r="F613">
            <v>9</v>
          </cell>
          <cell r="G613">
            <v>6</v>
          </cell>
          <cell r="H613">
            <v>9</v>
          </cell>
          <cell r="I613">
            <v>11</v>
          </cell>
          <cell r="J613">
            <v>10</v>
          </cell>
          <cell r="K613">
            <v>8</v>
          </cell>
          <cell r="T613">
            <v>79</v>
          </cell>
        </row>
        <row r="614">
          <cell r="A614" t="str">
            <v>NURS-180</v>
          </cell>
          <cell r="B614">
            <v>11</v>
          </cell>
          <cell r="C614">
            <v>12</v>
          </cell>
          <cell r="D614">
            <v>12</v>
          </cell>
          <cell r="E614">
            <v>11</v>
          </cell>
          <cell r="G614">
            <v>12</v>
          </cell>
          <cell r="H614">
            <v>12</v>
          </cell>
          <cell r="I614">
            <v>12</v>
          </cell>
          <cell r="J614">
            <v>14</v>
          </cell>
          <cell r="T614">
            <v>96</v>
          </cell>
        </row>
        <row r="615">
          <cell r="A615" t="str">
            <v>NURS-182</v>
          </cell>
          <cell r="B615">
            <v>57</v>
          </cell>
          <cell r="C615">
            <v>74</v>
          </cell>
          <cell r="D615">
            <v>78</v>
          </cell>
          <cell r="E615">
            <v>27</v>
          </cell>
          <cell r="F615">
            <v>43</v>
          </cell>
          <cell r="G615">
            <v>54</v>
          </cell>
          <cell r="H615">
            <v>63</v>
          </cell>
          <cell r="I615">
            <v>33</v>
          </cell>
          <cell r="J615">
            <v>99</v>
          </cell>
          <cell r="K615">
            <v>64</v>
          </cell>
          <cell r="L615" t="str">
            <v>23</v>
          </cell>
          <cell r="M615" t="str">
            <v>26</v>
          </cell>
          <cell r="T615">
            <v>641</v>
          </cell>
        </row>
        <row r="616">
          <cell r="A616" t="str">
            <v>NURS-183</v>
          </cell>
          <cell r="B616">
            <v>20</v>
          </cell>
          <cell r="C616">
            <v>20</v>
          </cell>
          <cell r="D616">
            <v>23</v>
          </cell>
          <cell r="E616">
            <v>22</v>
          </cell>
          <cell r="G616">
            <v>22</v>
          </cell>
          <cell r="H616">
            <v>18</v>
          </cell>
          <cell r="I616">
            <v>24</v>
          </cell>
          <cell r="J616">
            <v>13</v>
          </cell>
          <cell r="T616">
            <v>162</v>
          </cell>
        </row>
        <row r="617">
          <cell r="A617" t="str">
            <v>NURS-190</v>
          </cell>
          <cell r="B617">
            <v>9</v>
          </cell>
          <cell r="C617">
            <v>11</v>
          </cell>
          <cell r="D617">
            <v>10</v>
          </cell>
          <cell r="E617">
            <v>8</v>
          </cell>
          <cell r="F617">
            <v>11</v>
          </cell>
          <cell r="G617">
            <v>11</v>
          </cell>
          <cell r="H617">
            <v>10</v>
          </cell>
          <cell r="I617">
            <v>9</v>
          </cell>
          <cell r="J617">
            <v>11</v>
          </cell>
          <cell r="T617">
            <v>90</v>
          </cell>
        </row>
        <row r="618">
          <cell r="A618" t="str">
            <v>NURS-192</v>
          </cell>
          <cell r="B618">
            <v>17</v>
          </cell>
          <cell r="C618">
            <v>21</v>
          </cell>
          <cell r="D618">
            <v>24</v>
          </cell>
          <cell r="E618">
            <v>16</v>
          </cell>
          <cell r="F618">
            <v>11</v>
          </cell>
          <cell r="G618">
            <v>19</v>
          </cell>
          <cell r="H618">
            <v>22</v>
          </cell>
          <cell r="I618">
            <v>21</v>
          </cell>
          <cell r="J618">
            <v>19</v>
          </cell>
          <cell r="T618">
            <v>170</v>
          </cell>
        </row>
        <row r="619">
          <cell r="A619" t="str">
            <v>NURS-193</v>
          </cell>
          <cell r="B619">
            <v>22</v>
          </cell>
          <cell r="C619">
            <v>21</v>
          </cell>
          <cell r="D619">
            <v>22</v>
          </cell>
          <cell r="E619">
            <v>19</v>
          </cell>
          <cell r="F619">
            <v>11</v>
          </cell>
          <cell r="G619">
            <v>16</v>
          </cell>
          <cell r="H619">
            <v>18</v>
          </cell>
          <cell r="I619">
            <v>19</v>
          </cell>
          <cell r="J619">
            <v>19</v>
          </cell>
          <cell r="T619">
            <v>167</v>
          </cell>
        </row>
        <row r="620">
          <cell r="A620" t="str">
            <v>NURS-194</v>
          </cell>
          <cell r="B620">
            <v>11</v>
          </cell>
          <cell r="C620">
            <v>12</v>
          </cell>
          <cell r="D620">
            <v>13</v>
          </cell>
          <cell r="E620">
            <v>25</v>
          </cell>
          <cell r="F620">
            <v>22</v>
          </cell>
          <cell r="G620">
            <v>42</v>
          </cell>
          <cell r="H620">
            <v>44</v>
          </cell>
          <cell r="I620">
            <v>24</v>
          </cell>
          <cell r="J620">
            <v>34</v>
          </cell>
          <cell r="K620">
            <v>25</v>
          </cell>
          <cell r="R620">
            <v>27</v>
          </cell>
          <cell r="S620">
            <v>18</v>
          </cell>
          <cell r="T620">
            <v>297</v>
          </cell>
        </row>
        <row r="621">
          <cell r="A621" t="str">
            <v>NURS-200</v>
          </cell>
          <cell r="B621">
            <v>14</v>
          </cell>
          <cell r="C621">
            <v>10</v>
          </cell>
          <cell r="D621">
            <v>9</v>
          </cell>
          <cell r="E621">
            <v>9</v>
          </cell>
          <cell r="F621">
            <v>11</v>
          </cell>
          <cell r="G621">
            <v>9</v>
          </cell>
          <cell r="H621">
            <v>7</v>
          </cell>
          <cell r="I621">
            <v>10</v>
          </cell>
          <cell r="J621">
            <v>7</v>
          </cell>
          <cell r="K621">
            <v>11</v>
          </cell>
          <cell r="T621">
            <v>97</v>
          </cell>
        </row>
        <row r="622">
          <cell r="A622" t="str">
            <v>NURS-212</v>
          </cell>
          <cell r="B622">
            <v>11</v>
          </cell>
          <cell r="C622">
            <v>12</v>
          </cell>
          <cell r="D622">
            <v>13</v>
          </cell>
          <cell r="E622">
            <v>24</v>
          </cell>
          <cell r="F622">
            <v>22</v>
          </cell>
          <cell r="G622">
            <v>42</v>
          </cell>
          <cell r="H622">
            <v>44</v>
          </cell>
          <cell r="I622">
            <v>24</v>
          </cell>
          <cell r="J622">
            <v>34</v>
          </cell>
          <cell r="K622">
            <v>26</v>
          </cell>
          <cell r="R622">
            <v>27</v>
          </cell>
          <cell r="S622">
            <v>18</v>
          </cell>
          <cell r="T622">
            <v>297</v>
          </cell>
        </row>
        <row r="623">
          <cell r="A623" t="str">
            <v>NURS-214</v>
          </cell>
          <cell r="B623">
            <v>8</v>
          </cell>
          <cell r="C623">
            <v>12</v>
          </cell>
          <cell r="D623">
            <v>13</v>
          </cell>
          <cell r="E623">
            <v>24</v>
          </cell>
          <cell r="F623">
            <v>24</v>
          </cell>
          <cell r="G623">
            <v>39</v>
          </cell>
          <cell r="H623">
            <v>44</v>
          </cell>
          <cell r="I623">
            <v>23</v>
          </cell>
          <cell r="J623">
            <v>33</v>
          </cell>
          <cell r="K623">
            <v>24</v>
          </cell>
          <cell r="R623">
            <v>28</v>
          </cell>
          <cell r="S623">
            <v>18</v>
          </cell>
          <cell r="T623">
            <v>290</v>
          </cell>
        </row>
        <row r="624">
          <cell r="A624" t="str">
            <v>NURS-220</v>
          </cell>
          <cell r="B624">
            <v>43</v>
          </cell>
          <cell r="T624">
            <v>43</v>
          </cell>
        </row>
        <row r="625">
          <cell r="A625" t="str">
            <v>NURS-221</v>
          </cell>
          <cell r="B625">
            <v>41</v>
          </cell>
          <cell r="T625">
            <v>41</v>
          </cell>
        </row>
        <row r="626">
          <cell r="A626" t="str">
            <v>NURS-222</v>
          </cell>
          <cell r="C626">
            <v>40</v>
          </cell>
          <cell r="D626">
            <v>43</v>
          </cell>
          <cell r="E626">
            <v>23</v>
          </cell>
          <cell r="F626">
            <v>31</v>
          </cell>
          <cell r="G626">
            <v>9</v>
          </cell>
          <cell r="H626">
            <v>11</v>
          </cell>
          <cell r="I626">
            <v>13</v>
          </cell>
          <cell r="J626">
            <v>21</v>
          </cell>
          <cell r="K626">
            <v>21</v>
          </cell>
          <cell r="R626">
            <v>21</v>
          </cell>
          <cell r="S626">
            <v>28</v>
          </cell>
          <cell r="T626">
            <v>261</v>
          </cell>
        </row>
        <row r="627">
          <cell r="A627" t="str">
            <v>NURS-224</v>
          </cell>
          <cell r="C627">
            <v>40</v>
          </cell>
          <cell r="D627">
            <v>44</v>
          </cell>
          <cell r="E627">
            <v>23</v>
          </cell>
          <cell r="F627">
            <v>31</v>
          </cell>
          <cell r="G627">
            <v>9</v>
          </cell>
          <cell r="H627">
            <v>12</v>
          </cell>
          <cell r="I627">
            <v>13</v>
          </cell>
          <cell r="J627">
            <v>21</v>
          </cell>
          <cell r="K627">
            <v>21</v>
          </cell>
          <cell r="R627">
            <v>21</v>
          </cell>
          <cell r="S627">
            <v>28</v>
          </cell>
          <cell r="T627">
            <v>263</v>
          </cell>
        </row>
        <row r="628">
          <cell r="A628" t="str">
            <v>NURS-226</v>
          </cell>
          <cell r="C628">
            <v>40</v>
          </cell>
          <cell r="D628">
            <v>43</v>
          </cell>
          <cell r="E628">
            <v>24</v>
          </cell>
          <cell r="F628">
            <v>31</v>
          </cell>
          <cell r="G628">
            <v>9</v>
          </cell>
          <cell r="H628">
            <v>11</v>
          </cell>
          <cell r="J628">
            <v>21</v>
          </cell>
          <cell r="K628">
            <v>20</v>
          </cell>
          <cell r="R628">
            <v>21</v>
          </cell>
          <cell r="S628">
            <v>27</v>
          </cell>
          <cell r="T628">
            <v>247</v>
          </cell>
        </row>
        <row r="629">
          <cell r="A629" t="str">
            <v>NURS-230</v>
          </cell>
          <cell r="B629">
            <v>46</v>
          </cell>
          <cell r="G629">
            <v>44</v>
          </cell>
          <cell r="T629">
            <v>90</v>
          </cell>
        </row>
        <row r="630">
          <cell r="A630" t="str">
            <v>NURS-231</v>
          </cell>
          <cell r="B630">
            <v>42</v>
          </cell>
          <cell r="G630">
            <v>44</v>
          </cell>
          <cell r="T630">
            <v>86</v>
          </cell>
        </row>
        <row r="631">
          <cell r="A631" t="str">
            <v>NURS-232</v>
          </cell>
          <cell r="G631">
            <v>25</v>
          </cell>
          <cell r="H631">
            <v>23</v>
          </cell>
          <cell r="I631">
            <v>24</v>
          </cell>
          <cell r="J631">
            <v>17</v>
          </cell>
          <cell r="K631">
            <v>6</v>
          </cell>
          <cell r="N631" t="str">
            <v>13</v>
          </cell>
          <cell r="S631">
            <v>12</v>
          </cell>
          <cell r="T631">
            <v>120</v>
          </cell>
        </row>
        <row r="632">
          <cell r="A632" t="str">
            <v>NURS-234</v>
          </cell>
          <cell r="C632">
            <v>29</v>
          </cell>
          <cell r="D632">
            <v>51</v>
          </cell>
          <cell r="E632">
            <v>34</v>
          </cell>
          <cell r="F632">
            <v>33</v>
          </cell>
          <cell r="H632">
            <v>39</v>
          </cell>
          <cell r="I632">
            <v>43</v>
          </cell>
          <cell r="J632">
            <v>24</v>
          </cell>
          <cell r="K632">
            <v>29</v>
          </cell>
          <cell r="R632">
            <v>24</v>
          </cell>
          <cell r="S632">
            <v>23</v>
          </cell>
          <cell r="T632">
            <v>329</v>
          </cell>
        </row>
        <row r="633">
          <cell r="A633" t="str">
            <v>NURS-236</v>
          </cell>
          <cell r="C633">
            <v>25</v>
          </cell>
          <cell r="D633">
            <v>50</v>
          </cell>
          <cell r="E633">
            <v>33</v>
          </cell>
          <cell r="F633">
            <v>33</v>
          </cell>
          <cell r="H633">
            <v>39</v>
          </cell>
          <cell r="I633">
            <v>43</v>
          </cell>
          <cell r="J633">
            <v>23</v>
          </cell>
          <cell r="K633">
            <v>29</v>
          </cell>
          <cell r="R633">
            <v>23</v>
          </cell>
          <cell r="S633">
            <v>23</v>
          </cell>
          <cell r="T633">
            <v>321</v>
          </cell>
        </row>
        <row r="634">
          <cell r="A634" t="str">
            <v>NURS-238</v>
          </cell>
          <cell r="C634">
            <v>27</v>
          </cell>
          <cell r="D634">
            <v>51</v>
          </cell>
          <cell r="E634">
            <v>33</v>
          </cell>
          <cell r="F634">
            <v>33</v>
          </cell>
          <cell r="H634">
            <v>39</v>
          </cell>
          <cell r="I634">
            <v>43</v>
          </cell>
          <cell r="J634">
            <v>24</v>
          </cell>
          <cell r="K634">
            <v>30</v>
          </cell>
          <cell r="R634">
            <v>23</v>
          </cell>
          <cell r="S634">
            <v>23</v>
          </cell>
          <cell r="T634">
            <v>326</v>
          </cell>
        </row>
        <row r="635">
          <cell r="A635" t="str">
            <v>NURS-240</v>
          </cell>
          <cell r="B635">
            <v>42</v>
          </cell>
          <cell r="C635">
            <v>43</v>
          </cell>
          <cell r="G635">
            <v>41</v>
          </cell>
          <cell r="T635">
            <v>126</v>
          </cell>
        </row>
        <row r="636">
          <cell r="A636" t="str">
            <v>NURS-244</v>
          </cell>
          <cell r="D636">
            <v>40</v>
          </cell>
          <cell r="E636">
            <v>46</v>
          </cell>
          <cell r="F636">
            <v>24</v>
          </cell>
          <cell r="H636">
            <v>26</v>
          </cell>
          <cell r="I636">
            <v>52</v>
          </cell>
          <cell r="J636">
            <v>33</v>
          </cell>
          <cell r="K636">
            <v>31</v>
          </cell>
          <cell r="R636">
            <v>30</v>
          </cell>
          <cell r="S636">
            <v>24</v>
          </cell>
          <cell r="T636">
            <v>306</v>
          </cell>
        </row>
        <row r="637">
          <cell r="A637" t="str">
            <v>NURS-248</v>
          </cell>
          <cell r="D637">
            <v>40</v>
          </cell>
          <cell r="E637">
            <v>46</v>
          </cell>
          <cell r="F637">
            <v>24</v>
          </cell>
          <cell r="H637">
            <v>23</v>
          </cell>
          <cell r="I637">
            <v>48</v>
          </cell>
          <cell r="J637">
            <v>33</v>
          </cell>
          <cell r="K637">
            <v>25</v>
          </cell>
          <cell r="R637">
            <v>30</v>
          </cell>
          <cell r="S637">
            <v>24</v>
          </cell>
          <cell r="T637">
            <v>293</v>
          </cell>
        </row>
        <row r="638">
          <cell r="A638" t="str">
            <v>NURS-299</v>
          </cell>
          <cell r="C638">
            <v>9</v>
          </cell>
          <cell r="G638">
            <v>4</v>
          </cell>
          <cell r="H638">
            <v>15</v>
          </cell>
          <cell r="T638">
            <v>28</v>
          </cell>
        </row>
        <row r="639">
          <cell r="A639" t="str">
            <v>NUTR-100</v>
          </cell>
          <cell r="B639">
            <v>79</v>
          </cell>
          <cell r="C639">
            <v>43</v>
          </cell>
          <cell r="D639">
            <v>40</v>
          </cell>
          <cell r="E639">
            <v>40</v>
          </cell>
          <cell r="F639">
            <v>43</v>
          </cell>
          <cell r="G639">
            <v>41</v>
          </cell>
          <cell r="H639">
            <v>37</v>
          </cell>
          <cell r="I639">
            <v>46</v>
          </cell>
          <cell r="J639">
            <v>41</v>
          </cell>
          <cell r="K639">
            <v>38</v>
          </cell>
          <cell r="L639" t="str">
            <v>12</v>
          </cell>
          <cell r="R639">
            <v>33</v>
          </cell>
          <cell r="S639">
            <v>28</v>
          </cell>
          <cell r="T639">
            <v>521</v>
          </cell>
        </row>
        <row r="640">
          <cell r="A640" t="str">
            <v>NUTR-101</v>
          </cell>
          <cell r="B640">
            <v>109</v>
          </cell>
          <cell r="C640">
            <v>125</v>
          </cell>
          <cell r="D640">
            <v>87</v>
          </cell>
          <cell r="E640">
            <v>79</v>
          </cell>
          <cell r="F640">
            <v>83</v>
          </cell>
          <cell r="G640">
            <v>117</v>
          </cell>
          <cell r="H640">
            <v>76</v>
          </cell>
          <cell r="I640">
            <v>90</v>
          </cell>
          <cell r="J640">
            <v>39</v>
          </cell>
          <cell r="K640">
            <v>40</v>
          </cell>
          <cell r="L640" t="str">
            <v>28</v>
          </cell>
          <cell r="M640" t="str">
            <v>31</v>
          </cell>
          <cell r="R640">
            <v>70</v>
          </cell>
          <cell r="S640">
            <v>75</v>
          </cell>
          <cell r="T640">
            <v>1049</v>
          </cell>
        </row>
        <row r="641">
          <cell r="A641" t="str">
            <v>OI-149</v>
          </cell>
          <cell r="B641">
            <v>8</v>
          </cell>
          <cell r="C641">
            <v>2</v>
          </cell>
          <cell r="G641">
            <v>12</v>
          </cell>
          <cell r="H641">
            <v>13</v>
          </cell>
          <cell r="K641">
            <v>2</v>
          </cell>
          <cell r="S641">
            <v>1</v>
          </cell>
          <cell r="T641">
            <v>38</v>
          </cell>
        </row>
        <row r="642">
          <cell r="A642" t="str">
            <v>OTEC-095</v>
          </cell>
          <cell r="B642">
            <v>1</v>
          </cell>
          <cell r="T642">
            <v>1</v>
          </cell>
        </row>
        <row r="643">
          <cell r="A643" t="str">
            <v>OTEC-131</v>
          </cell>
          <cell r="C643">
            <v>14</v>
          </cell>
          <cell r="G643">
            <v>23</v>
          </cell>
          <cell r="I643">
            <v>15</v>
          </cell>
          <cell r="T643">
            <v>52</v>
          </cell>
        </row>
        <row r="644">
          <cell r="A644" t="str">
            <v>OTEC-144</v>
          </cell>
          <cell r="B644">
            <v>48</v>
          </cell>
          <cell r="C644">
            <v>59</v>
          </cell>
          <cell r="D644">
            <v>58</v>
          </cell>
          <cell r="E644">
            <v>57</v>
          </cell>
          <cell r="F644">
            <v>56</v>
          </cell>
          <cell r="G644">
            <v>47</v>
          </cell>
          <cell r="H644">
            <v>58</v>
          </cell>
          <cell r="I644">
            <v>59</v>
          </cell>
          <cell r="J644">
            <v>55</v>
          </cell>
          <cell r="K644">
            <v>54</v>
          </cell>
          <cell r="L644" t="str">
            <v>15</v>
          </cell>
          <cell r="R644">
            <v>53</v>
          </cell>
          <cell r="S644">
            <v>56</v>
          </cell>
          <cell r="T644">
            <v>675</v>
          </cell>
        </row>
        <row r="645">
          <cell r="A645" t="str">
            <v>OTEC-178</v>
          </cell>
          <cell r="K645">
            <v>24</v>
          </cell>
          <cell r="T645">
            <v>24</v>
          </cell>
        </row>
        <row r="646">
          <cell r="A646" t="str">
            <v>OTEC-180</v>
          </cell>
          <cell r="F646">
            <v>27</v>
          </cell>
          <cell r="T646">
            <v>27</v>
          </cell>
        </row>
        <row r="647">
          <cell r="A647" t="str">
            <v>PE-100</v>
          </cell>
          <cell r="B647">
            <v>18</v>
          </cell>
          <cell r="C647">
            <v>27</v>
          </cell>
          <cell r="D647">
            <v>47</v>
          </cell>
          <cell r="E647">
            <v>39</v>
          </cell>
          <cell r="F647">
            <v>37</v>
          </cell>
          <cell r="G647">
            <v>17</v>
          </cell>
          <cell r="H647">
            <v>47</v>
          </cell>
          <cell r="I647">
            <v>50</v>
          </cell>
          <cell r="J647">
            <v>39</v>
          </cell>
          <cell r="K647">
            <v>44</v>
          </cell>
          <cell r="T647">
            <v>365</v>
          </cell>
        </row>
        <row r="648">
          <cell r="A648" t="str">
            <v>PE-108</v>
          </cell>
          <cell r="G648">
            <v>8</v>
          </cell>
          <cell r="H648">
            <v>14</v>
          </cell>
          <cell r="I648">
            <v>26</v>
          </cell>
          <cell r="J648">
            <v>26</v>
          </cell>
          <cell r="L648" t="str">
            <v>8</v>
          </cell>
          <cell r="M648" t="str">
            <v>13</v>
          </cell>
          <cell r="N648" t="str">
            <v>31</v>
          </cell>
          <cell r="O648" t="str">
            <v>23</v>
          </cell>
          <cell r="R648">
            <v>32</v>
          </cell>
          <cell r="T648">
            <v>181</v>
          </cell>
        </row>
        <row r="649">
          <cell r="A649" t="str">
            <v>PE-111</v>
          </cell>
          <cell r="C649">
            <v>23</v>
          </cell>
          <cell r="D649">
            <v>36</v>
          </cell>
          <cell r="E649">
            <v>38</v>
          </cell>
          <cell r="G649">
            <v>9</v>
          </cell>
          <cell r="H649">
            <v>25</v>
          </cell>
          <cell r="I649">
            <v>41</v>
          </cell>
          <cell r="J649">
            <v>32</v>
          </cell>
          <cell r="K649">
            <v>34</v>
          </cell>
          <cell r="T649">
            <v>238</v>
          </cell>
        </row>
        <row r="650">
          <cell r="A650" t="str">
            <v>PE-112</v>
          </cell>
          <cell r="B650">
            <v>67</v>
          </cell>
          <cell r="C650">
            <v>51</v>
          </cell>
          <cell r="D650">
            <v>52</v>
          </cell>
          <cell r="E650">
            <v>146</v>
          </cell>
          <cell r="F650">
            <v>149</v>
          </cell>
          <cell r="G650">
            <v>39</v>
          </cell>
          <cell r="H650">
            <v>59</v>
          </cell>
          <cell r="I650">
            <v>159</v>
          </cell>
          <cell r="J650">
            <v>147</v>
          </cell>
          <cell r="K650">
            <v>145</v>
          </cell>
          <cell r="L650" t="str">
            <v>12</v>
          </cell>
          <cell r="M650" t="str">
            <v>23</v>
          </cell>
          <cell r="R650">
            <v>119</v>
          </cell>
          <cell r="T650">
            <v>1168</v>
          </cell>
        </row>
        <row r="651">
          <cell r="A651" t="str">
            <v>PE-112H</v>
          </cell>
          <cell r="G651">
            <v>2</v>
          </cell>
          <cell r="J651">
            <v>2</v>
          </cell>
          <cell r="K651">
            <v>1</v>
          </cell>
          <cell r="T651">
            <v>5</v>
          </cell>
        </row>
        <row r="652">
          <cell r="A652" t="str">
            <v>PE-113</v>
          </cell>
          <cell r="B652">
            <v>7</v>
          </cell>
          <cell r="C652">
            <v>24</v>
          </cell>
          <cell r="D652">
            <v>25</v>
          </cell>
          <cell r="E652">
            <v>24</v>
          </cell>
          <cell r="F652">
            <v>32</v>
          </cell>
          <cell r="G652">
            <v>15</v>
          </cell>
          <cell r="H652">
            <v>27</v>
          </cell>
          <cell r="I652">
            <v>28</v>
          </cell>
          <cell r="J652">
            <v>24</v>
          </cell>
          <cell r="K652">
            <v>29</v>
          </cell>
          <cell r="R652">
            <v>28</v>
          </cell>
          <cell r="T652">
            <v>263</v>
          </cell>
        </row>
        <row r="653">
          <cell r="A653" t="str">
            <v>PE-114</v>
          </cell>
          <cell r="B653">
            <v>27</v>
          </cell>
          <cell r="C653">
            <v>25</v>
          </cell>
          <cell r="D653">
            <v>96</v>
          </cell>
          <cell r="G653">
            <v>20</v>
          </cell>
          <cell r="H653">
            <v>25</v>
          </cell>
          <cell r="I653">
            <v>25</v>
          </cell>
          <cell r="T653">
            <v>218</v>
          </cell>
        </row>
        <row r="654">
          <cell r="A654" t="str">
            <v>PE-115</v>
          </cell>
          <cell r="B654">
            <v>76</v>
          </cell>
          <cell r="C654">
            <v>86</v>
          </cell>
          <cell r="D654">
            <v>97</v>
          </cell>
          <cell r="E654">
            <v>108</v>
          </cell>
          <cell r="F654">
            <v>64</v>
          </cell>
          <cell r="G654">
            <v>83</v>
          </cell>
          <cell r="H654">
            <v>118</v>
          </cell>
          <cell r="I654">
            <v>98</v>
          </cell>
          <cell r="J654">
            <v>81</v>
          </cell>
          <cell r="K654">
            <v>94</v>
          </cell>
          <cell r="L654" t="str">
            <v>19</v>
          </cell>
          <cell r="M654" t="str">
            <v>24</v>
          </cell>
          <cell r="R654">
            <v>109</v>
          </cell>
          <cell r="T654">
            <v>1057</v>
          </cell>
        </row>
        <row r="655">
          <cell r="A655" t="str">
            <v>PE-116</v>
          </cell>
          <cell r="B655">
            <v>21</v>
          </cell>
          <cell r="C655">
            <v>17</v>
          </cell>
          <cell r="D655">
            <v>24</v>
          </cell>
          <cell r="E655">
            <v>34</v>
          </cell>
          <cell r="O655" t="str">
            <v>32</v>
          </cell>
          <cell r="T655">
            <v>128</v>
          </cell>
        </row>
        <row r="656">
          <cell r="A656" t="str">
            <v>PE-119</v>
          </cell>
          <cell r="B656">
            <v>26</v>
          </cell>
          <cell r="C656">
            <v>51</v>
          </cell>
          <cell r="D656">
            <v>89</v>
          </cell>
          <cell r="E656">
            <v>90</v>
          </cell>
          <cell r="F656">
            <v>56</v>
          </cell>
          <cell r="G656">
            <v>49</v>
          </cell>
          <cell r="H656">
            <v>74</v>
          </cell>
          <cell r="I656">
            <v>80</v>
          </cell>
          <cell r="J656">
            <v>60</v>
          </cell>
          <cell r="K656">
            <v>50</v>
          </cell>
          <cell r="R656">
            <v>64</v>
          </cell>
          <cell r="T656">
            <v>689</v>
          </cell>
        </row>
        <row r="657">
          <cell r="A657" t="str">
            <v>PE-120</v>
          </cell>
          <cell r="B657">
            <v>33</v>
          </cell>
          <cell r="C657">
            <v>66</v>
          </cell>
          <cell r="D657">
            <v>56</v>
          </cell>
          <cell r="G657">
            <v>28</v>
          </cell>
          <cell r="H657">
            <v>62</v>
          </cell>
          <cell r="T657">
            <v>245</v>
          </cell>
        </row>
        <row r="658">
          <cell r="A658" t="str">
            <v>PE-121</v>
          </cell>
          <cell r="R658">
            <v>37</v>
          </cell>
          <cell r="T658">
            <v>37</v>
          </cell>
        </row>
        <row r="659">
          <cell r="A659" t="str">
            <v>PE-133</v>
          </cell>
          <cell r="B659">
            <v>13</v>
          </cell>
          <cell r="C659">
            <v>15</v>
          </cell>
          <cell r="G659">
            <v>23</v>
          </cell>
          <cell r="H659">
            <v>26</v>
          </cell>
          <cell r="J659">
            <v>30</v>
          </cell>
          <cell r="K659">
            <v>30</v>
          </cell>
          <cell r="R659">
            <v>33</v>
          </cell>
          <cell r="T659">
            <v>170</v>
          </cell>
        </row>
        <row r="660">
          <cell r="A660" t="str">
            <v>PE-134</v>
          </cell>
          <cell r="I660">
            <v>10</v>
          </cell>
          <cell r="T660">
            <v>10</v>
          </cell>
        </row>
        <row r="661">
          <cell r="A661" t="str">
            <v>PE-135</v>
          </cell>
          <cell r="B661">
            <v>14</v>
          </cell>
          <cell r="C661">
            <v>15</v>
          </cell>
          <cell r="G661">
            <v>12</v>
          </cell>
          <cell r="T661">
            <v>41</v>
          </cell>
        </row>
        <row r="662">
          <cell r="A662" t="str">
            <v>PE-136</v>
          </cell>
          <cell r="B662">
            <v>38</v>
          </cell>
          <cell r="C662">
            <v>9</v>
          </cell>
          <cell r="G662">
            <v>16</v>
          </cell>
          <cell r="L662" t="str">
            <v>14</v>
          </cell>
          <cell r="T662">
            <v>77</v>
          </cell>
        </row>
        <row r="663">
          <cell r="A663" t="str">
            <v>PE-137</v>
          </cell>
          <cell r="B663">
            <v>23</v>
          </cell>
          <cell r="C663">
            <v>28</v>
          </cell>
          <cell r="E663">
            <v>34</v>
          </cell>
          <cell r="G663">
            <v>22</v>
          </cell>
          <cell r="H663">
            <v>34</v>
          </cell>
          <cell r="I663">
            <v>35</v>
          </cell>
          <cell r="J663">
            <v>29</v>
          </cell>
          <cell r="K663">
            <v>39</v>
          </cell>
          <cell r="T663">
            <v>244</v>
          </cell>
        </row>
        <row r="664">
          <cell r="A664" t="str">
            <v>PE-139</v>
          </cell>
          <cell r="B664">
            <v>24</v>
          </cell>
          <cell r="C664">
            <v>17</v>
          </cell>
          <cell r="D664">
            <v>20</v>
          </cell>
          <cell r="E664">
            <v>24</v>
          </cell>
          <cell r="F664">
            <v>21</v>
          </cell>
          <cell r="R664">
            <v>26</v>
          </cell>
          <cell r="T664">
            <v>132</v>
          </cell>
        </row>
        <row r="665">
          <cell r="A665" t="str">
            <v>PE-148</v>
          </cell>
          <cell r="G665">
            <v>10</v>
          </cell>
          <cell r="H665">
            <v>14</v>
          </cell>
          <cell r="I665">
            <v>24</v>
          </cell>
          <cell r="J665">
            <v>19</v>
          </cell>
          <cell r="K665">
            <v>22</v>
          </cell>
          <cell r="T665">
            <v>89</v>
          </cell>
        </row>
        <row r="666">
          <cell r="A666" t="str">
            <v>PE-150</v>
          </cell>
          <cell r="G666">
            <v>18</v>
          </cell>
          <cell r="T666">
            <v>18</v>
          </cell>
        </row>
        <row r="667">
          <cell r="A667" t="str">
            <v>PE-160</v>
          </cell>
          <cell r="C667">
            <v>12</v>
          </cell>
          <cell r="T667">
            <v>12</v>
          </cell>
        </row>
        <row r="668">
          <cell r="A668" t="str">
            <v>PE-299</v>
          </cell>
          <cell r="C668">
            <v>3</v>
          </cell>
          <cell r="D668">
            <v>1</v>
          </cell>
          <cell r="K668">
            <v>1</v>
          </cell>
          <cell r="L668" t="str">
            <v>1</v>
          </cell>
          <cell r="T668">
            <v>6</v>
          </cell>
        </row>
        <row r="669">
          <cell r="A669" t="str">
            <v>PEIC-110</v>
          </cell>
          <cell r="F669">
            <v>7</v>
          </cell>
          <cell r="P669" t="str">
            <v>28</v>
          </cell>
          <cell r="Q669" t="str">
            <v>24</v>
          </cell>
          <cell r="R669">
            <v>13</v>
          </cell>
          <cell r="T669">
            <v>72</v>
          </cell>
        </row>
        <row r="670">
          <cell r="A670" t="str">
            <v>PEIC-112</v>
          </cell>
          <cell r="F670">
            <v>10</v>
          </cell>
          <cell r="K670">
            <v>14</v>
          </cell>
          <cell r="T670">
            <v>24</v>
          </cell>
        </row>
        <row r="671">
          <cell r="A671" t="str">
            <v>PEIC-114</v>
          </cell>
          <cell r="K671">
            <v>10</v>
          </cell>
          <cell r="Q671" t="str">
            <v>8</v>
          </cell>
          <cell r="T671">
            <v>18</v>
          </cell>
        </row>
        <row r="672">
          <cell r="A672" t="str">
            <v>PHIL-101</v>
          </cell>
          <cell r="B672">
            <v>119</v>
          </cell>
          <cell r="C672">
            <v>147</v>
          </cell>
          <cell r="D672">
            <v>108</v>
          </cell>
          <cell r="E672">
            <v>76</v>
          </cell>
          <cell r="F672">
            <v>79</v>
          </cell>
          <cell r="G672">
            <v>124</v>
          </cell>
          <cell r="H672">
            <v>165</v>
          </cell>
          <cell r="I672">
            <v>124</v>
          </cell>
          <cell r="J672">
            <v>110</v>
          </cell>
          <cell r="K672">
            <v>88</v>
          </cell>
          <cell r="L672" t="str">
            <v>21</v>
          </cell>
          <cell r="M672" t="str">
            <v>42</v>
          </cell>
          <cell r="R672">
            <v>38</v>
          </cell>
          <cell r="S672">
            <v>28</v>
          </cell>
          <cell r="T672">
            <v>1269</v>
          </cell>
        </row>
        <row r="673">
          <cell r="A673" t="str">
            <v>PHIL-101H</v>
          </cell>
          <cell r="B673">
            <v>2</v>
          </cell>
          <cell r="C673">
            <v>2</v>
          </cell>
          <cell r="D673">
            <v>5</v>
          </cell>
          <cell r="G673">
            <v>2</v>
          </cell>
          <cell r="H673">
            <v>10</v>
          </cell>
          <cell r="I673">
            <v>3</v>
          </cell>
          <cell r="J673">
            <v>9</v>
          </cell>
          <cell r="R673">
            <v>3</v>
          </cell>
          <cell r="S673">
            <v>5</v>
          </cell>
          <cell r="T673">
            <v>41</v>
          </cell>
        </row>
        <row r="674">
          <cell r="A674" t="str">
            <v>PHIL-103</v>
          </cell>
          <cell r="B674">
            <v>144</v>
          </cell>
          <cell r="C674">
            <v>150</v>
          </cell>
          <cell r="D674">
            <v>79</v>
          </cell>
          <cell r="E674">
            <v>37</v>
          </cell>
          <cell r="F674">
            <v>43</v>
          </cell>
          <cell r="G674">
            <v>90</v>
          </cell>
          <cell r="H674">
            <v>125</v>
          </cell>
          <cell r="K674">
            <v>43</v>
          </cell>
          <cell r="L674" t="str">
            <v>10</v>
          </cell>
          <cell r="R674">
            <v>37</v>
          </cell>
          <cell r="S674">
            <v>45</v>
          </cell>
          <cell r="T674">
            <v>803</v>
          </cell>
        </row>
        <row r="675">
          <cell r="A675" t="str">
            <v>PHIL-103H</v>
          </cell>
          <cell r="B675">
            <v>3</v>
          </cell>
          <cell r="C675">
            <v>3</v>
          </cell>
          <cell r="E675">
            <v>5</v>
          </cell>
          <cell r="F675">
            <v>4</v>
          </cell>
          <cell r="R675">
            <v>5</v>
          </cell>
          <cell r="T675">
            <v>20</v>
          </cell>
        </row>
        <row r="676">
          <cell r="A676" t="str">
            <v>PHIL-104</v>
          </cell>
          <cell r="B676">
            <v>64</v>
          </cell>
          <cell r="C676">
            <v>58</v>
          </cell>
          <cell r="D676">
            <v>68</v>
          </cell>
          <cell r="E676">
            <v>32</v>
          </cell>
          <cell r="F676">
            <v>30</v>
          </cell>
          <cell r="G676">
            <v>55</v>
          </cell>
          <cell r="H676">
            <v>55</v>
          </cell>
          <cell r="I676">
            <v>35</v>
          </cell>
          <cell r="J676">
            <v>34</v>
          </cell>
          <cell r="K676">
            <v>30</v>
          </cell>
          <cell r="L676" t="str">
            <v>22</v>
          </cell>
          <cell r="M676" t="str">
            <v>27</v>
          </cell>
          <cell r="R676">
            <v>59</v>
          </cell>
          <cell r="S676">
            <v>30</v>
          </cell>
          <cell r="T676">
            <v>599</v>
          </cell>
        </row>
        <row r="677">
          <cell r="A677" t="str">
            <v>PHIL-105</v>
          </cell>
          <cell r="B677">
            <v>29</v>
          </cell>
          <cell r="C677">
            <v>29</v>
          </cell>
          <cell r="D677">
            <v>63</v>
          </cell>
          <cell r="E677">
            <v>29</v>
          </cell>
          <cell r="F677">
            <v>25</v>
          </cell>
          <cell r="G677">
            <v>31</v>
          </cell>
          <cell r="H677">
            <v>33</v>
          </cell>
          <cell r="I677">
            <v>31</v>
          </cell>
          <cell r="J677">
            <v>26</v>
          </cell>
          <cell r="K677">
            <v>30</v>
          </cell>
          <cell r="S677">
            <v>30</v>
          </cell>
          <cell r="T677">
            <v>356</v>
          </cell>
        </row>
        <row r="678">
          <cell r="A678" t="str">
            <v>PHIL-111</v>
          </cell>
          <cell r="G678">
            <v>24</v>
          </cell>
          <cell r="H678">
            <v>31</v>
          </cell>
          <cell r="J678">
            <v>23</v>
          </cell>
          <cell r="K678">
            <v>36</v>
          </cell>
          <cell r="S678">
            <v>31</v>
          </cell>
          <cell r="T678">
            <v>145</v>
          </cell>
        </row>
        <row r="679">
          <cell r="A679" t="str">
            <v>PHIL-111H</v>
          </cell>
          <cell r="J679">
            <v>6</v>
          </cell>
          <cell r="T679">
            <v>6</v>
          </cell>
        </row>
        <row r="680">
          <cell r="A680" t="str">
            <v>PHIL-112</v>
          </cell>
          <cell r="B680">
            <v>24</v>
          </cell>
          <cell r="C680">
            <v>22</v>
          </cell>
          <cell r="D680">
            <v>32</v>
          </cell>
          <cell r="E680">
            <v>31</v>
          </cell>
          <cell r="F680">
            <v>30</v>
          </cell>
          <cell r="G680">
            <v>40</v>
          </cell>
          <cell r="H680">
            <v>29</v>
          </cell>
          <cell r="I680">
            <v>36</v>
          </cell>
          <cell r="J680">
            <v>25</v>
          </cell>
          <cell r="K680">
            <v>28</v>
          </cell>
          <cell r="R680">
            <v>31</v>
          </cell>
          <cell r="S680">
            <v>55</v>
          </cell>
          <cell r="T680">
            <v>383</v>
          </cell>
        </row>
        <row r="681">
          <cell r="A681" t="str">
            <v>PHIL-112H</v>
          </cell>
          <cell r="E681">
            <v>3</v>
          </cell>
          <cell r="G681">
            <v>6</v>
          </cell>
          <cell r="H681">
            <v>1</v>
          </cell>
          <cell r="J681">
            <v>2</v>
          </cell>
          <cell r="K681">
            <v>3</v>
          </cell>
          <cell r="S681">
            <v>11</v>
          </cell>
          <cell r="T681">
            <v>26</v>
          </cell>
        </row>
        <row r="682">
          <cell r="A682" t="str">
            <v>PHOT-090</v>
          </cell>
          <cell r="B682">
            <v>4</v>
          </cell>
          <cell r="C682">
            <v>44</v>
          </cell>
          <cell r="D682">
            <v>45</v>
          </cell>
          <cell r="E682">
            <v>47</v>
          </cell>
          <cell r="F682">
            <v>65</v>
          </cell>
          <cell r="G682">
            <v>29</v>
          </cell>
          <cell r="H682">
            <v>53</v>
          </cell>
          <cell r="I682">
            <v>46</v>
          </cell>
          <cell r="J682">
            <v>52</v>
          </cell>
          <cell r="K682">
            <v>70</v>
          </cell>
          <cell r="R682">
            <v>53</v>
          </cell>
          <cell r="S682">
            <v>58</v>
          </cell>
          <cell r="T682">
            <v>566</v>
          </cell>
        </row>
        <row r="683">
          <cell r="A683" t="str">
            <v>PHOT-125</v>
          </cell>
          <cell r="B683">
            <v>72</v>
          </cell>
          <cell r="C683">
            <v>79</v>
          </cell>
          <cell r="D683">
            <v>100</v>
          </cell>
          <cell r="E683">
            <v>138</v>
          </cell>
          <cell r="F683">
            <v>162</v>
          </cell>
          <cell r="G683">
            <v>71</v>
          </cell>
          <cell r="H683">
            <v>111</v>
          </cell>
          <cell r="I683">
            <v>103</v>
          </cell>
          <cell r="J683">
            <v>125</v>
          </cell>
          <cell r="K683">
            <v>147</v>
          </cell>
          <cell r="R683">
            <v>152</v>
          </cell>
          <cell r="S683">
            <v>146</v>
          </cell>
          <cell r="T683">
            <v>1406</v>
          </cell>
        </row>
        <row r="684">
          <cell r="A684" t="str">
            <v>PHOT-130</v>
          </cell>
          <cell r="B684">
            <v>10</v>
          </cell>
          <cell r="G684">
            <v>8</v>
          </cell>
          <cell r="T684">
            <v>18</v>
          </cell>
        </row>
        <row r="685">
          <cell r="A685" t="str">
            <v>PHOT-224</v>
          </cell>
          <cell r="B685">
            <v>15</v>
          </cell>
          <cell r="C685">
            <v>25</v>
          </cell>
          <cell r="D685">
            <v>20</v>
          </cell>
          <cell r="E685">
            <v>29</v>
          </cell>
          <cell r="F685">
            <v>47</v>
          </cell>
          <cell r="G685">
            <v>14</v>
          </cell>
          <cell r="H685">
            <v>21</v>
          </cell>
          <cell r="I685">
            <v>49</v>
          </cell>
          <cell r="J685">
            <v>28</v>
          </cell>
          <cell r="K685">
            <v>44</v>
          </cell>
          <cell r="R685">
            <v>41</v>
          </cell>
          <cell r="S685">
            <v>37</v>
          </cell>
          <cell r="T685">
            <v>370</v>
          </cell>
        </row>
        <row r="686">
          <cell r="A686" t="str">
            <v>PHOT-225</v>
          </cell>
          <cell r="C686">
            <v>13</v>
          </cell>
          <cell r="D686">
            <v>18</v>
          </cell>
          <cell r="E686">
            <v>34</v>
          </cell>
          <cell r="F686">
            <v>37</v>
          </cell>
          <cell r="G686">
            <v>13</v>
          </cell>
          <cell r="H686">
            <v>23</v>
          </cell>
          <cell r="I686">
            <v>18</v>
          </cell>
          <cell r="J686">
            <v>31</v>
          </cell>
          <cell r="K686">
            <v>40</v>
          </cell>
          <cell r="R686">
            <v>29</v>
          </cell>
          <cell r="S686">
            <v>29</v>
          </cell>
          <cell r="T686">
            <v>285</v>
          </cell>
        </row>
        <row r="687">
          <cell r="A687" t="str">
            <v>PHOT-299</v>
          </cell>
          <cell r="C687">
            <v>1</v>
          </cell>
          <cell r="G687">
            <v>1</v>
          </cell>
          <cell r="H687">
            <v>1</v>
          </cell>
          <cell r="K687">
            <v>1</v>
          </cell>
          <cell r="T687">
            <v>4</v>
          </cell>
        </row>
        <row r="688">
          <cell r="A688" t="str">
            <v>PHY-100</v>
          </cell>
          <cell r="B688">
            <v>87</v>
          </cell>
          <cell r="C688">
            <v>113</v>
          </cell>
          <cell r="D688">
            <v>105</v>
          </cell>
          <cell r="E688">
            <v>108</v>
          </cell>
          <cell r="F688">
            <v>116</v>
          </cell>
          <cell r="G688">
            <v>58</v>
          </cell>
          <cell r="H688">
            <v>59</v>
          </cell>
          <cell r="I688">
            <v>76</v>
          </cell>
          <cell r="J688">
            <v>72</v>
          </cell>
          <cell r="K688">
            <v>74</v>
          </cell>
          <cell r="L688" t="str">
            <v>19</v>
          </cell>
          <cell r="N688" t="str">
            <v>27</v>
          </cell>
          <cell r="R688">
            <v>106</v>
          </cell>
          <cell r="S688">
            <v>75</v>
          </cell>
          <cell r="T688">
            <v>1095</v>
          </cell>
        </row>
        <row r="689">
          <cell r="A689" t="str">
            <v>PHY-101</v>
          </cell>
          <cell r="B689">
            <v>16</v>
          </cell>
          <cell r="C689">
            <v>31</v>
          </cell>
          <cell r="D689">
            <v>30</v>
          </cell>
          <cell r="E689">
            <v>35</v>
          </cell>
          <cell r="F689">
            <v>32</v>
          </cell>
          <cell r="J689">
            <v>29</v>
          </cell>
          <cell r="K689">
            <v>28</v>
          </cell>
          <cell r="L689" t="str">
            <v>7</v>
          </cell>
          <cell r="M689" t="str">
            <v>23</v>
          </cell>
          <cell r="R689">
            <v>26</v>
          </cell>
          <cell r="S689">
            <v>29</v>
          </cell>
          <cell r="T689">
            <v>286</v>
          </cell>
        </row>
        <row r="690">
          <cell r="A690" t="str">
            <v>PHY-102</v>
          </cell>
          <cell r="H690">
            <v>5</v>
          </cell>
          <cell r="I690">
            <v>11</v>
          </cell>
          <cell r="J690">
            <v>14</v>
          </cell>
          <cell r="K690">
            <v>9</v>
          </cell>
          <cell r="S690">
            <v>13</v>
          </cell>
          <cell r="T690">
            <v>52</v>
          </cell>
        </row>
        <row r="691">
          <cell r="A691" t="str">
            <v>PHY-201</v>
          </cell>
          <cell r="B691">
            <v>17</v>
          </cell>
          <cell r="C691">
            <v>26</v>
          </cell>
          <cell r="D691">
            <v>24</v>
          </cell>
          <cell r="E691">
            <v>34</v>
          </cell>
          <cell r="F691">
            <v>30</v>
          </cell>
          <cell r="R691">
            <v>35</v>
          </cell>
          <cell r="T691">
            <v>166</v>
          </cell>
        </row>
        <row r="692">
          <cell r="A692" t="str">
            <v>PHY-202</v>
          </cell>
          <cell r="H692">
            <v>8</v>
          </cell>
          <cell r="I692">
            <v>9</v>
          </cell>
          <cell r="J692">
            <v>19</v>
          </cell>
          <cell r="K692">
            <v>21</v>
          </cell>
          <cell r="S692">
            <v>19</v>
          </cell>
          <cell r="T692">
            <v>76</v>
          </cell>
        </row>
        <row r="693">
          <cell r="A693" t="str">
            <v>PHY-202H</v>
          </cell>
          <cell r="J693">
            <v>2</v>
          </cell>
          <cell r="T693">
            <v>2</v>
          </cell>
        </row>
        <row r="694">
          <cell r="A694" t="str">
            <v>PHY-299</v>
          </cell>
          <cell r="F694">
            <v>1</v>
          </cell>
          <cell r="T694">
            <v>1</v>
          </cell>
        </row>
        <row r="695">
          <cell r="A695" t="str">
            <v>PORT-101</v>
          </cell>
          <cell r="I695">
            <v>32</v>
          </cell>
          <cell r="T695">
            <v>32</v>
          </cell>
        </row>
        <row r="696">
          <cell r="A696" t="str">
            <v>PORT-101H</v>
          </cell>
          <cell r="I696">
            <v>1</v>
          </cell>
          <cell r="T696">
            <v>1</v>
          </cell>
        </row>
        <row r="697">
          <cell r="A697" t="str">
            <v>PORT-102</v>
          </cell>
          <cell r="E697">
            <v>13</v>
          </cell>
          <cell r="T697">
            <v>13</v>
          </cell>
        </row>
        <row r="698">
          <cell r="A698" t="str">
            <v>PORT-102H</v>
          </cell>
          <cell r="E698">
            <v>1</v>
          </cell>
          <cell r="T698">
            <v>1</v>
          </cell>
        </row>
        <row r="699">
          <cell r="A699" t="str">
            <v>PORT-201</v>
          </cell>
          <cell r="J699">
            <v>5</v>
          </cell>
          <cell r="T699">
            <v>5</v>
          </cell>
        </row>
        <row r="700">
          <cell r="A700" t="str">
            <v>PORT-201H</v>
          </cell>
          <cell r="J700">
            <v>1</v>
          </cell>
          <cell r="T700">
            <v>1</v>
          </cell>
        </row>
        <row r="701">
          <cell r="A701" t="str">
            <v>PS-101</v>
          </cell>
          <cell r="B701">
            <v>743</v>
          </cell>
          <cell r="C701">
            <v>763</v>
          </cell>
          <cell r="D701">
            <v>788</v>
          </cell>
          <cell r="E701">
            <v>599</v>
          </cell>
          <cell r="F701">
            <v>527</v>
          </cell>
          <cell r="G701">
            <v>693</v>
          </cell>
          <cell r="H701">
            <v>846</v>
          </cell>
          <cell r="I701">
            <v>763</v>
          </cell>
          <cell r="J701">
            <v>580</v>
          </cell>
          <cell r="K701">
            <v>584</v>
          </cell>
          <cell r="L701" t="str">
            <v>99</v>
          </cell>
          <cell r="M701" t="str">
            <v>139</v>
          </cell>
          <cell r="N701" t="str">
            <v>49</v>
          </cell>
          <cell r="O701" t="str">
            <v>48</v>
          </cell>
          <cell r="Q701" t="str">
            <v>52</v>
          </cell>
          <cell r="R701">
            <v>487</v>
          </cell>
          <cell r="S701">
            <v>517</v>
          </cell>
          <cell r="T701">
            <v>8277</v>
          </cell>
        </row>
        <row r="702">
          <cell r="A702" t="str">
            <v>PS-101H</v>
          </cell>
          <cell r="D702">
            <v>1</v>
          </cell>
          <cell r="E702">
            <v>6</v>
          </cell>
          <cell r="F702">
            <v>2</v>
          </cell>
          <cell r="G702">
            <v>5</v>
          </cell>
          <cell r="I702">
            <v>6</v>
          </cell>
          <cell r="J702">
            <v>6</v>
          </cell>
          <cell r="K702">
            <v>3</v>
          </cell>
          <cell r="R702">
            <v>2</v>
          </cell>
          <cell r="S702">
            <v>3</v>
          </cell>
          <cell r="T702">
            <v>34</v>
          </cell>
        </row>
        <row r="703">
          <cell r="A703" t="str">
            <v>PS-102</v>
          </cell>
          <cell r="B703">
            <v>14</v>
          </cell>
          <cell r="C703">
            <v>22</v>
          </cell>
          <cell r="D703">
            <v>47</v>
          </cell>
          <cell r="E703">
            <v>35</v>
          </cell>
          <cell r="F703">
            <v>32</v>
          </cell>
          <cell r="G703">
            <v>20</v>
          </cell>
          <cell r="H703">
            <v>21</v>
          </cell>
          <cell r="I703">
            <v>37</v>
          </cell>
          <cell r="J703">
            <v>38</v>
          </cell>
          <cell r="R703">
            <v>37</v>
          </cell>
          <cell r="T703">
            <v>303</v>
          </cell>
        </row>
        <row r="704">
          <cell r="A704" t="str">
            <v>PS-102H</v>
          </cell>
          <cell r="D704">
            <v>3</v>
          </cell>
          <cell r="E704">
            <v>2</v>
          </cell>
          <cell r="F704">
            <v>2</v>
          </cell>
          <cell r="G704">
            <v>1</v>
          </cell>
          <cell r="H704">
            <v>2</v>
          </cell>
          <cell r="I704">
            <v>2</v>
          </cell>
          <cell r="J704">
            <v>4</v>
          </cell>
          <cell r="R704">
            <v>6</v>
          </cell>
          <cell r="T704">
            <v>22</v>
          </cell>
        </row>
        <row r="705">
          <cell r="A705" t="str">
            <v>PS-104</v>
          </cell>
          <cell r="C705">
            <v>1</v>
          </cell>
          <cell r="G705">
            <v>4</v>
          </cell>
          <cell r="T705">
            <v>5</v>
          </cell>
        </row>
        <row r="706">
          <cell r="A706" t="str">
            <v>PS-105</v>
          </cell>
          <cell r="K706">
            <v>40</v>
          </cell>
          <cell r="S706">
            <v>29</v>
          </cell>
          <cell r="T706">
            <v>69</v>
          </cell>
        </row>
        <row r="707">
          <cell r="A707" t="str">
            <v>PS-299</v>
          </cell>
          <cell r="K707">
            <v>1</v>
          </cell>
          <cell r="T707">
            <v>1</v>
          </cell>
        </row>
        <row r="708">
          <cell r="A708" t="str">
            <v>PSYC-101</v>
          </cell>
          <cell r="B708">
            <v>517</v>
          </cell>
          <cell r="C708">
            <v>540</v>
          </cell>
          <cell r="D708">
            <v>524</v>
          </cell>
          <cell r="E708">
            <v>488</v>
          </cell>
          <cell r="F708">
            <v>447</v>
          </cell>
          <cell r="G708">
            <v>477</v>
          </cell>
          <cell r="H708">
            <v>516</v>
          </cell>
          <cell r="I708">
            <v>497</v>
          </cell>
          <cell r="J708">
            <v>476</v>
          </cell>
          <cell r="K708">
            <v>478</v>
          </cell>
          <cell r="L708" t="str">
            <v>53</v>
          </cell>
          <cell r="M708" t="str">
            <v>90</v>
          </cell>
          <cell r="N708" t="str">
            <v>41</v>
          </cell>
          <cell r="R708">
            <v>432</v>
          </cell>
          <cell r="S708">
            <v>344</v>
          </cell>
          <cell r="T708">
            <v>5920</v>
          </cell>
        </row>
        <row r="709">
          <cell r="A709" t="str">
            <v>PSYC-101H</v>
          </cell>
          <cell r="B709">
            <v>4</v>
          </cell>
          <cell r="C709">
            <v>12</v>
          </cell>
          <cell r="D709">
            <v>4</v>
          </cell>
          <cell r="E709">
            <v>18</v>
          </cell>
          <cell r="F709">
            <v>11</v>
          </cell>
          <cell r="G709">
            <v>13</v>
          </cell>
          <cell r="H709">
            <v>4</v>
          </cell>
          <cell r="I709">
            <v>5</v>
          </cell>
          <cell r="J709">
            <v>10</v>
          </cell>
          <cell r="K709">
            <v>9</v>
          </cell>
          <cell r="R709">
            <v>5</v>
          </cell>
          <cell r="S709">
            <v>7</v>
          </cell>
          <cell r="T709">
            <v>102</v>
          </cell>
        </row>
        <row r="710">
          <cell r="A710" t="str">
            <v>PSYC-102</v>
          </cell>
          <cell r="B710">
            <v>29</v>
          </cell>
          <cell r="C710">
            <v>22</v>
          </cell>
          <cell r="D710">
            <v>42</v>
          </cell>
          <cell r="E710">
            <v>51</v>
          </cell>
          <cell r="F710">
            <v>50</v>
          </cell>
          <cell r="G710">
            <v>29</v>
          </cell>
          <cell r="H710">
            <v>24</v>
          </cell>
          <cell r="I710">
            <v>47</v>
          </cell>
          <cell r="J710">
            <v>48</v>
          </cell>
          <cell r="K710">
            <v>47</v>
          </cell>
          <cell r="R710">
            <v>38</v>
          </cell>
          <cell r="S710">
            <v>43</v>
          </cell>
          <cell r="T710">
            <v>470</v>
          </cell>
        </row>
        <row r="711">
          <cell r="A711" t="str">
            <v>PSYC-103</v>
          </cell>
          <cell r="B711">
            <v>75</v>
          </cell>
          <cell r="C711">
            <v>75</v>
          </cell>
          <cell r="D711">
            <v>77</v>
          </cell>
          <cell r="E711">
            <v>122</v>
          </cell>
          <cell r="F711">
            <v>93</v>
          </cell>
          <cell r="G711">
            <v>82</v>
          </cell>
          <cell r="H711">
            <v>79</v>
          </cell>
          <cell r="I711">
            <v>85</v>
          </cell>
          <cell r="J711">
            <v>128</v>
          </cell>
          <cell r="K711">
            <v>75</v>
          </cell>
          <cell r="R711">
            <v>74</v>
          </cell>
          <cell r="S711">
            <v>69</v>
          </cell>
          <cell r="T711">
            <v>1034</v>
          </cell>
        </row>
        <row r="712">
          <cell r="A712" t="str">
            <v>PSYC-103H</v>
          </cell>
          <cell r="B712">
            <v>1</v>
          </cell>
          <cell r="C712">
            <v>1</v>
          </cell>
          <cell r="D712">
            <v>1</v>
          </cell>
          <cell r="E712">
            <v>15</v>
          </cell>
          <cell r="F712">
            <v>6</v>
          </cell>
          <cell r="G712">
            <v>7</v>
          </cell>
          <cell r="H712">
            <v>1</v>
          </cell>
          <cell r="I712">
            <v>4</v>
          </cell>
          <cell r="J712">
            <v>8</v>
          </cell>
          <cell r="K712">
            <v>7</v>
          </cell>
          <cell r="R712">
            <v>5</v>
          </cell>
          <cell r="S712">
            <v>9</v>
          </cell>
          <cell r="T712">
            <v>65</v>
          </cell>
        </row>
        <row r="713">
          <cell r="A713" t="str">
            <v>PSYC-104</v>
          </cell>
          <cell r="B713">
            <v>120</v>
          </cell>
          <cell r="C713">
            <v>121</v>
          </cell>
          <cell r="D713">
            <v>138</v>
          </cell>
          <cell r="E713">
            <v>46</v>
          </cell>
          <cell r="F713">
            <v>49</v>
          </cell>
          <cell r="G713">
            <v>122</v>
          </cell>
          <cell r="H713">
            <v>113</v>
          </cell>
          <cell r="I713">
            <v>82</v>
          </cell>
          <cell r="J713">
            <v>42</v>
          </cell>
          <cell r="K713">
            <v>45</v>
          </cell>
          <cell r="L713" t="str">
            <v>19</v>
          </cell>
          <cell r="M713" t="str">
            <v>17</v>
          </cell>
          <cell r="R713">
            <v>33</v>
          </cell>
          <cell r="S713">
            <v>34</v>
          </cell>
          <cell r="T713">
            <v>981</v>
          </cell>
        </row>
        <row r="714">
          <cell r="A714" t="str">
            <v>PSYC-104H</v>
          </cell>
          <cell r="C714">
            <v>3</v>
          </cell>
          <cell r="D714">
            <v>1</v>
          </cell>
          <cell r="F714">
            <v>1</v>
          </cell>
          <cell r="G714">
            <v>2</v>
          </cell>
          <cell r="H714">
            <v>2</v>
          </cell>
          <cell r="I714">
            <v>2</v>
          </cell>
          <cell r="J714">
            <v>5</v>
          </cell>
          <cell r="K714">
            <v>1</v>
          </cell>
          <cell r="R714">
            <v>1</v>
          </cell>
          <cell r="T714">
            <v>18</v>
          </cell>
        </row>
        <row r="715">
          <cell r="A715" t="str">
            <v>PSYC-105</v>
          </cell>
          <cell r="B715">
            <v>16</v>
          </cell>
          <cell r="C715">
            <v>28</v>
          </cell>
          <cell r="D715">
            <v>41</v>
          </cell>
          <cell r="G715">
            <v>22</v>
          </cell>
          <cell r="H715">
            <v>32</v>
          </cell>
          <cell r="I715">
            <v>32</v>
          </cell>
          <cell r="T715">
            <v>171</v>
          </cell>
        </row>
        <row r="716">
          <cell r="A716" t="str">
            <v>PSYC-106</v>
          </cell>
          <cell r="B716">
            <v>19</v>
          </cell>
          <cell r="C716">
            <v>13</v>
          </cell>
          <cell r="D716">
            <v>26</v>
          </cell>
          <cell r="T716">
            <v>58</v>
          </cell>
        </row>
        <row r="717">
          <cell r="A717" t="str">
            <v>PSYC-107</v>
          </cell>
          <cell r="G717">
            <v>17</v>
          </cell>
          <cell r="H717">
            <v>23</v>
          </cell>
          <cell r="I717">
            <v>44</v>
          </cell>
          <cell r="K717">
            <v>45</v>
          </cell>
          <cell r="S717">
            <v>44</v>
          </cell>
          <cell r="T717">
            <v>173</v>
          </cell>
        </row>
        <row r="718">
          <cell r="A718" t="str">
            <v>PSYC-108</v>
          </cell>
          <cell r="B718">
            <v>56</v>
          </cell>
          <cell r="C718">
            <v>64</v>
          </cell>
          <cell r="D718">
            <v>54</v>
          </cell>
          <cell r="E718">
            <v>50</v>
          </cell>
          <cell r="F718">
            <v>47</v>
          </cell>
          <cell r="G718">
            <v>55</v>
          </cell>
          <cell r="H718">
            <v>48</v>
          </cell>
          <cell r="I718">
            <v>54</v>
          </cell>
          <cell r="J718">
            <v>47</v>
          </cell>
          <cell r="K718">
            <v>50</v>
          </cell>
          <cell r="R718">
            <v>45</v>
          </cell>
          <cell r="S718">
            <v>44</v>
          </cell>
          <cell r="T718">
            <v>614</v>
          </cell>
        </row>
        <row r="719">
          <cell r="A719" t="str">
            <v>PSYC-110</v>
          </cell>
          <cell r="O719" t="str">
            <v>13</v>
          </cell>
          <cell r="S719">
            <v>18</v>
          </cell>
          <cell r="T719">
            <v>31</v>
          </cell>
        </row>
        <row r="720">
          <cell r="A720" t="str">
            <v>PSYC-112</v>
          </cell>
          <cell r="B720">
            <v>9</v>
          </cell>
          <cell r="C720">
            <v>19</v>
          </cell>
          <cell r="D720">
            <v>20</v>
          </cell>
          <cell r="G720">
            <v>16</v>
          </cell>
          <cell r="H720">
            <v>9</v>
          </cell>
          <cell r="I720">
            <v>15</v>
          </cell>
          <cell r="T720">
            <v>88</v>
          </cell>
        </row>
        <row r="721">
          <cell r="A721" t="str">
            <v>PSYC-115</v>
          </cell>
          <cell r="F721">
            <v>2</v>
          </cell>
          <cell r="H721">
            <v>2</v>
          </cell>
          <cell r="I721">
            <v>4</v>
          </cell>
          <cell r="J721">
            <v>1</v>
          </cell>
          <cell r="T721">
            <v>9</v>
          </cell>
        </row>
        <row r="722">
          <cell r="A722" t="str">
            <v>PSYC-299</v>
          </cell>
          <cell r="J722">
            <v>1</v>
          </cell>
          <cell r="T722">
            <v>1</v>
          </cell>
        </row>
        <row r="723">
          <cell r="A723" t="str">
            <v>RE-140</v>
          </cell>
          <cell r="B723">
            <v>49</v>
          </cell>
          <cell r="D723">
            <v>35</v>
          </cell>
          <cell r="E723">
            <v>35</v>
          </cell>
          <cell r="F723">
            <v>30</v>
          </cell>
          <cell r="G723">
            <v>35</v>
          </cell>
          <cell r="H723">
            <v>27</v>
          </cell>
          <cell r="I723">
            <v>26</v>
          </cell>
          <cell r="J723">
            <v>48</v>
          </cell>
          <cell r="K723">
            <v>32</v>
          </cell>
          <cell r="L723" t="str">
            <v>30</v>
          </cell>
          <cell r="M723" t="str">
            <v>18</v>
          </cell>
          <cell r="R723">
            <v>40</v>
          </cell>
          <cell r="S723">
            <v>28</v>
          </cell>
          <cell r="T723">
            <v>433</v>
          </cell>
        </row>
        <row r="724">
          <cell r="A724" t="str">
            <v>RE-141</v>
          </cell>
          <cell r="B724">
            <v>53</v>
          </cell>
          <cell r="C724">
            <v>44</v>
          </cell>
          <cell r="D724">
            <v>33</v>
          </cell>
          <cell r="E724">
            <v>39</v>
          </cell>
          <cell r="F724">
            <v>17</v>
          </cell>
          <cell r="H724">
            <v>14</v>
          </cell>
          <cell r="I724">
            <v>39</v>
          </cell>
          <cell r="J724">
            <v>45</v>
          </cell>
          <cell r="R724">
            <v>22</v>
          </cell>
          <cell r="S724">
            <v>13</v>
          </cell>
          <cell r="T724">
            <v>319</v>
          </cell>
        </row>
        <row r="725">
          <cell r="A725" t="str">
            <v>RE-142</v>
          </cell>
          <cell r="B725">
            <v>13</v>
          </cell>
          <cell r="I725">
            <v>15</v>
          </cell>
          <cell r="T725">
            <v>28</v>
          </cell>
        </row>
        <row r="726">
          <cell r="A726" t="str">
            <v>RE-143</v>
          </cell>
          <cell r="B726">
            <v>25</v>
          </cell>
          <cell r="C726">
            <v>15</v>
          </cell>
          <cell r="D726">
            <v>48</v>
          </cell>
          <cell r="F726">
            <v>29</v>
          </cell>
          <cell r="G726">
            <v>37</v>
          </cell>
          <cell r="H726">
            <v>41</v>
          </cell>
          <cell r="I726">
            <v>31</v>
          </cell>
          <cell r="J726">
            <v>28</v>
          </cell>
          <cell r="K726">
            <v>21</v>
          </cell>
          <cell r="R726">
            <v>26</v>
          </cell>
          <cell r="S726">
            <v>26</v>
          </cell>
          <cell r="T726">
            <v>327</v>
          </cell>
        </row>
        <row r="727">
          <cell r="A727" t="str">
            <v>RE-144</v>
          </cell>
          <cell r="B727">
            <v>20</v>
          </cell>
          <cell r="E727">
            <v>30</v>
          </cell>
          <cell r="F727">
            <v>31</v>
          </cell>
          <cell r="G727">
            <v>19</v>
          </cell>
          <cell r="I727">
            <v>27</v>
          </cell>
          <cell r="K727">
            <v>37</v>
          </cell>
          <cell r="R727">
            <v>22</v>
          </cell>
          <cell r="S727">
            <v>23</v>
          </cell>
          <cell r="T727">
            <v>209</v>
          </cell>
        </row>
        <row r="728">
          <cell r="A728" t="str">
            <v>RE-145</v>
          </cell>
          <cell r="B728">
            <v>9</v>
          </cell>
          <cell r="F728">
            <v>12</v>
          </cell>
          <cell r="G728">
            <v>15</v>
          </cell>
          <cell r="K728">
            <v>10</v>
          </cell>
          <cell r="T728">
            <v>46</v>
          </cell>
        </row>
        <row r="729">
          <cell r="A729" t="str">
            <v>RE-146</v>
          </cell>
          <cell r="B729">
            <v>22</v>
          </cell>
          <cell r="D729">
            <v>12</v>
          </cell>
          <cell r="E729">
            <v>33</v>
          </cell>
          <cell r="J729">
            <v>20</v>
          </cell>
          <cell r="T729">
            <v>87</v>
          </cell>
        </row>
        <row r="730">
          <cell r="A730" t="str">
            <v>RE-149</v>
          </cell>
          <cell r="G730">
            <v>1</v>
          </cell>
          <cell r="H730">
            <v>7</v>
          </cell>
          <cell r="R730">
            <v>1</v>
          </cell>
          <cell r="S730">
            <v>5</v>
          </cell>
          <cell r="T730">
            <v>14</v>
          </cell>
        </row>
        <row r="731">
          <cell r="A731" t="str">
            <v>RE-150</v>
          </cell>
          <cell r="D731">
            <v>15</v>
          </cell>
          <cell r="H731">
            <v>16</v>
          </cell>
          <cell r="I731">
            <v>11</v>
          </cell>
          <cell r="T731">
            <v>42</v>
          </cell>
        </row>
        <row r="732">
          <cell r="A732" t="str">
            <v>RE-154</v>
          </cell>
          <cell r="E732">
            <v>35</v>
          </cell>
          <cell r="F732">
            <v>32</v>
          </cell>
          <cell r="I732">
            <v>31</v>
          </cell>
          <cell r="J732">
            <v>33</v>
          </cell>
          <cell r="K732">
            <v>28</v>
          </cell>
          <cell r="R732">
            <v>23</v>
          </cell>
          <cell r="S732">
            <v>35</v>
          </cell>
          <cell r="T732">
            <v>217</v>
          </cell>
        </row>
        <row r="733">
          <cell r="A733" t="str">
            <v>RE-155</v>
          </cell>
          <cell r="D733">
            <v>13</v>
          </cell>
          <cell r="E733">
            <v>21</v>
          </cell>
          <cell r="F733">
            <v>32</v>
          </cell>
          <cell r="I733">
            <v>21</v>
          </cell>
          <cell r="J733">
            <v>26</v>
          </cell>
          <cell r="K733">
            <v>23</v>
          </cell>
          <cell r="R733">
            <v>28</v>
          </cell>
          <cell r="T733">
            <v>164</v>
          </cell>
        </row>
        <row r="734">
          <cell r="A734" t="str">
            <v>RE-157</v>
          </cell>
          <cell r="H734">
            <v>5</v>
          </cell>
          <cell r="T734">
            <v>5</v>
          </cell>
        </row>
        <row r="735">
          <cell r="A735" t="str">
            <v>RE-158</v>
          </cell>
          <cell r="D735">
            <v>10</v>
          </cell>
          <cell r="H735">
            <v>6</v>
          </cell>
          <cell r="T735">
            <v>16</v>
          </cell>
        </row>
        <row r="736">
          <cell r="A736" t="str">
            <v>RE-159</v>
          </cell>
          <cell r="D736">
            <v>8</v>
          </cell>
          <cell r="H736">
            <v>13</v>
          </cell>
          <cell r="T736">
            <v>21</v>
          </cell>
        </row>
        <row r="737">
          <cell r="A737" t="str">
            <v>READ-043</v>
          </cell>
          <cell r="B737">
            <v>27</v>
          </cell>
          <cell r="C737">
            <v>21</v>
          </cell>
          <cell r="D737">
            <v>30</v>
          </cell>
          <cell r="G737">
            <v>12</v>
          </cell>
          <cell r="H737">
            <v>30</v>
          </cell>
          <cell r="I737">
            <v>26</v>
          </cell>
          <cell r="T737">
            <v>146</v>
          </cell>
        </row>
        <row r="738">
          <cell r="A738" t="str">
            <v>READ-044</v>
          </cell>
          <cell r="B738">
            <v>32</v>
          </cell>
          <cell r="C738">
            <v>13</v>
          </cell>
          <cell r="D738">
            <v>29</v>
          </cell>
          <cell r="G738">
            <v>15</v>
          </cell>
          <cell r="H738">
            <v>34</v>
          </cell>
          <cell r="I738">
            <v>29</v>
          </cell>
          <cell r="T738">
            <v>152</v>
          </cell>
        </row>
        <row r="739">
          <cell r="A739" t="str">
            <v>READ-063</v>
          </cell>
          <cell r="B739">
            <v>28</v>
          </cell>
          <cell r="C739">
            <v>30</v>
          </cell>
          <cell r="D739">
            <v>30</v>
          </cell>
          <cell r="E739">
            <v>31</v>
          </cell>
          <cell r="F739">
            <v>32</v>
          </cell>
          <cell r="G739">
            <v>14</v>
          </cell>
          <cell r="H739">
            <v>27</v>
          </cell>
          <cell r="I739">
            <v>26</v>
          </cell>
          <cell r="J739">
            <v>31</v>
          </cell>
          <cell r="K739">
            <v>24</v>
          </cell>
          <cell r="T739">
            <v>273</v>
          </cell>
        </row>
        <row r="740">
          <cell r="A740" t="str">
            <v>READ-064</v>
          </cell>
          <cell r="B740">
            <v>32</v>
          </cell>
          <cell r="C740">
            <v>32</v>
          </cell>
          <cell r="D740">
            <v>34</v>
          </cell>
          <cell r="E740">
            <v>39</v>
          </cell>
          <cell r="F740">
            <v>31</v>
          </cell>
          <cell r="G740">
            <v>27</v>
          </cell>
          <cell r="H740">
            <v>34</v>
          </cell>
          <cell r="I740">
            <v>29</v>
          </cell>
          <cell r="J740">
            <v>33</v>
          </cell>
          <cell r="K740">
            <v>34</v>
          </cell>
          <cell r="T740">
            <v>325</v>
          </cell>
        </row>
        <row r="741">
          <cell r="A741" t="str">
            <v>SEMA-100</v>
          </cell>
          <cell r="J741">
            <v>39</v>
          </cell>
          <cell r="K741">
            <v>27</v>
          </cell>
          <cell r="R741">
            <v>22</v>
          </cell>
          <cell r="T741">
            <v>88</v>
          </cell>
        </row>
        <row r="742">
          <cell r="A742" t="str">
            <v>SGA-105</v>
          </cell>
          <cell r="H742">
            <v>5</v>
          </cell>
          <cell r="T742">
            <v>5</v>
          </cell>
        </row>
        <row r="743">
          <cell r="A743" t="str">
            <v>SOCI-095</v>
          </cell>
          <cell r="B743">
            <v>36</v>
          </cell>
          <cell r="C743">
            <v>25</v>
          </cell>
          <cell r="G743">
            <v>24</v>
          </cell>
          <cell r="H743">
            <v>36</v>
          </cell>
          <cell r="T743">
            <v>121</v>
          </cell>
        </row>
        <row r="744">
          <cell r="A744" t="str">
            <v>SOCI-101</v>
          </cell>
          <cell r="B744">
            <v>213</v>
          </cell>
          <cell r="C744">
            <v>289</v>
          </cell>
          <cell r="D744">
            <v>381</v>
          </cell>
          <cell r="E744">
            <v>381</v>
          </cell>
          <cell r="F744">
            <v>337</v>
          </cell>
          <cell r="G744">
            <v>240</v>
          </cell>
          <cell r="H744">
            <v>359</v>
          </cell>
          <cell r="I744">
            <v>403</v>
          </cell>
          <cell r="J744">
            <v>368</v>
          </cell>
          <cell r="K744">
            <v>333</v>
          </cell>
          <cell r="L744" t="str">
            <v>35</v>
          </cell>
          <cell r="M744" t="str">
            <v>70</v>
          </cell>
          <cell r="N744" t="str">
            <v>34</v>
          </cell>
          <cell r="R744">
            <v>321</v>
          </cell>
          <cell r="S744">
            <v>259</v>
          </cell>
          <cell r="T744">
            <v>4023</v>
          </cell>
        </row>
        <row r="745">
          <cell r="A745" t="str">
            <v>SOCI-101H</v>
          </cell>
          <cell r="B745">
            <v>1</v>
          </cell>
          <cell r="C745">
            <v>3</v>
          </cell>
          <cell r="D745">
            <v>2</v>
          </cell>
          <cell r="E745">
            <v>5</v>
          </cell>
          <cell r="F745">
            <v>11</v>
          </cell>
          <cell r="H745">
            <v>1</v>
          </cell>
          <cell r="I745">
            <v>1</v>
          </cell>
          <cell r="J745">
            <v>9</v>
          </cell>
          <cell r="K745">
            <v>7</v>
          </cell>
          <cell r="R745">
            <v>5</v>
          </cell>
          <cell r="T745">
            <v>45</v>
          </cell>
        </row>
        <row r="746">
          <cell r="A746" t="str">
            <v>SOCI-102</v>
          </cell>
          <cell r="B746">
            <v>42</v>
          </cell>
          <cell r="C746">
            <v>59</v>
          </cell>
          <cell r="D746">
            <v>72</v>
          </cell>
          <cell r="E746">
            <v>28</v>
          </cell>
          <cell r="F746">
            <v>28</v>
          </cell>
          <cell r="G746">
            <v>33</v>
          </cell>
          <cell r="H746">
            <v>32</v>
          </cell>
          <cell r="I746">
            <v>71</v>
          </cell>
          <cell r="J746">
            <v>60</v>
          </cell>
          <cell r="K746">
            <v>67</v>
          </cell>
          <cell r="R746">
            <v>25</v>
          </cell>
          <cell r="S746">
            <v>33</v>
          </cell>
          <cell r="T746">
            <v>550</v>
          </cell>
        </row>
        <row r="747">
          <cell r="A747" t="str">
            <v>SOCI-103</v>
          </cell>
          <cell r="B747">
            <v>58</v>
          </cell>
          <cell r="C747">
            <v>55</v>
          </cell>
          <cell r="D747">
            <v>101</v>
          </cell>
          <cell r="E747">
            <v>97</v>
          </cell>
          <cell r="F747">
            <v>110</v>
          </cell>
          <cell r="G747">
            <v>59</v>
          </cell>
          <cell r="H747">
            <v>60</v>
          </cell>
          <cell r="I747">
            <v>103</v>
          </cell>
          <cell r="J747">
            <v>72</v>
          </cell>
          <cell r="K747">
            <v>32</v>
          </cell>
          <cell r="R747">
            <v>60</v>
          </cell>
          <cell r="S747">
            <v>52</v>
          </cell>
          <cell r="T747">
            <v>859</v>
          </cell>
        </row>
        <row r="748">
          <cell r="A748" t="str">
            <v>SOCI-105</v>
          </cell>
          <cell r="B748">
            <v>28</v>
          </cell>
          <cell r="C748">
            <v>14</v>
          </cell>
          <cell r="D748">
            <v>16</v>
          </cell>
          <cell r="G748">
            <v>14</v>
          </cell>
          <cell r="H748">
            <v>13</v>
          </cell>
          <cell r="I748">
            <v>11</v>
          </cell>
          <cell r="T748">
            <v>96</v>
          </cell>
        </row>
        <row r="749">
          <cell r="A749" t="str">
            <v>SOCI-106</v>
          </cell>
          <cell r="B749">
            <v>62</v>
          </cell>
          <cell r="C749">
            <v>64</v>
          </cell>
          <cell r="D749">
            <v>96</v>
          </cell>
          <cell r="E749">
            <v>74</v>
          </cell>
          <cell r="F749">
            <v>68</v>
          </cell>
          <cell r="G749">
            <v>62</v>
          </cell>
          <cell r="H749">
            <v>69</v>
          </cell>
          <cell r="I749">
            <v>69</v>
          </cell>
          <cell r="J749">
            <v>70</v>
          </cell>
          <cell r="K749">
            <v>69</v>
          </cell>
          <cell r="L749" t="str">
            <v>8</v>
          </cell>
          <cell r="M749" t="str">
            <v>13</v>
          </cell>
          <cell r="R749">
            <v>98</v>
          </cell>
          <cell r="S749">
            <v>89</v>
          </cell>
          <cell r="T749">
            <v>911</v>
          </cell>
        </row>
        <row r="750">
          <cell r="A750" t="str">
            <v>SOCI-108</v>
          </cell>
          <cell r="B750">
            <v>37</v>
          </cell>
          <cell r="C750">
            <v>58</v>
          </cell>
          <cell r="D750">
            <v>68</v>
          </cell>
          <cell r="E750">
            <v>82</v>
          </cell>
          <cell r="F750">
            <v>37</v>
          </cell>
          <cell r="G750">
            <v>57</v>
          </cell>
          <cell r="H750">
            <v>59</v>
          </cell>
          <cell r="I750">
            <v>75</v>
          </cell>
          <cell r="J750">
            <v>32</v>
          </cell>
          <cell r="R750">
            <v>32</v>
          </cell>
          <cell r="S750">
            <v>30</v>
          </cell>
          <cell r="T750">
            <v>567</v>
          </cell>
        </row>
        <row r="751">
          <cell r="A751" t="str">
            <v>SOCI-110</v>
          </cell>
          <cell r="B751">
            <v>31</v>
          </cell>
          <cell r="D751">
            <v>43</v>
          </cell>
          <cell r="T751">
            <v>74</v>
          </cell>
        </row>
        <row r="752">
          <cell r="A752" t="str">
            <v>SOCI-112</v>
          </cell>
          <cell r="B752">
            <v>18</v>
          </cell>
          <cell r="C752">
            <v>11</v>
          </cell>
          <cell r="D752">
            <v>11</v>
          </cell>
          <cell r="G752">
            <v>11</v>
          </cell>
          <cell r="H752">
            <v>21</v>
          </cell>
          <cell r="I752">
            <v>16</v>
          </cell>
          <cell r="T752">
            <v>88</v>
          </cell>
        </row>
        <row r="753">
          <cell r="A753" t="str">
            <v>SOCI-125</v>
          </cell>
          <cell r="B753">
            <v>45</v>
          </cell>
          <cell r="C753">
            <v>53</v>
          </cell>
          <cell r="D753">
            <v>32</v>
          </cell>
          <cell r="E753">
            <v>31</v>
          </cell>
          <cell r="F753">
            <v>38</v>
          </cell>
          <cell r="G753">
            <v>41</v>
          </cell>
          <cell r="H753">
            <v>58</v>
          </cell>
          <cell r="I753">
            <v>34</v>
          </cell>
          <cell r="J753">
            <v>63</v>
          </cell>
          <cell r="K753">
            <v>58</v>
          </cell>
          <cell r="R753">
            <v>32</v>
          </cell>
          <cell r="S753">
            <v>33</v>
          </cell>
          <cell r="T753">
            <v>518</v>
          </cell>
        </row>
        <row r="754">
          <cell r="A754" t="str">
            <v>SOCI-140</v>
          </cell>
          <cell r="B754">
            <v>7</v>
          </cell>
          <cell r="C754">
            <v>7</v>
          </cell>
          <cell r="G754">
            <v>1</v>
          </cell>
          <cell r="H754">
            <v>4</v>
          </cell>
          <cell r="T754">
            <v>19</v>
          </cell>
        </row>
        <row r="755">
          <cell r="A755" t="str">
            <v>SOCI-141</v>
          </cell>
          <cell r="B755">
            <v>6</v>
          </cell>
          <cell r="C755">
            <v>5</v>
          </cell>
          <cell r="G755">
            <v>2</v>
          </cell>
          <cell r="H755">
            <v>4</v>
          </cell>
          <cell r="T755">
            <v>17</v>
          </cell>
        </row>
        <row r="756">
          <cell r="A756" t="str">
            <v>SOCI-150</v>
          </cell>
          <cell r="B756">
            <v>3</v>
          </cell>
          <cell r="G756">
            <v>3</v>
          </cell>
          <cell r="H756">
            <v>5</v>
          </cell>
          <cell r="T756">
            <v>11</v>
          </cell>
        </row>
        <row r="757">
          <cell r="A757" t="str">
            <v>SOCI-299</v>
          </cell>
          <cell r="D757">
            <v>1</v>
          </cell>
          <cell r="E757">
            <v>3</v>
          </cell>
          <cell r="J757">
            <v>1</v>
          </cell>
          <cell r="T757">
            <v>5</v>
          </cell>
        </row>
        <row r="758">
          <cell r="A758" t="str">
            <v>SPAN-101</v>
          </cell>
          <cell r="B758">
            <v>216</v>
          </cell>
          <cell r="C758">
            <v>243</v>
          </cell>
          <cell r="D758">
            <v>244</v>
          </cell>
          <cell r="E758">
            <v>201</v>
          </cell>
          <cell r="F758">
            <v>202</v>
          </cell>
          <cell r="G758">
            <v>199</v>
          </cell>
          <cell r="H758">
            <v>221</v>
          </cell>
          <cell r="I758">
            <v>126</v>
          </cell>
          <cell r="J758">
            <v>141</v>
          </cell>
          <cell r="K758">
            <v>137</v>
          </cell>
          <cell r="L758" t="str">
            <v>45</v>
          </cell>
          <cell r="M758" t="str">
            <v>62</v>
          </cell>
          <cell r="N758" t="str">
            <v>31</v>
          </cell>
          <cell r="R758">
            <v>164</v>
          </cell>
          <cell r="S758">
            <v>85</v>
          </cell>
          <cell r="T758">
            <v>2317</v>
          </cell>
        </row>
        <row r="759">
          <cell r="A759" t="str">
            <v>SPAN-101H</v>
          </cell>
          <cell r="D759">
            <v>2</v>
          </cell>
          <cell r="E759">
            <v>1</v>
          </cell>
          <cell r="T759">
            <v>3</v>
          </cell>
        </row>
        <row r="760">
          <cell r="A760" t="str">
            <v>SPAN-102</v>
          </cell>
          <cell r="B760">
            <v>63</v>
          </cell>
          <cell r="C760">
            <v>85</v>
          </cell>
          <cell r="D760">
            <v>97</v>
          </cell>
          <cell r="E760">
            <v>93</v>
          </cell>
          <cell r="F760">
            <v>88</v>
          </cell>
          <cell r="G760">
            <v>90</v>
          </cell>
          <cell r="H760">
            <v>96</v>
          </cell>
          <cell r="I760">
            <v>124</v>
          </cell>
          <cell r="J760">
            <v>114</v>
          </cell>
          <cell r="K760">
            <v>116</v>
          </cell>
          <cell r="L760" t="str">
            <v>22</v>
          </cell>
          <cell r="M760" t="str">
            <v>40</v>
          </cell>
          <cell r="R760">
            <v>87</v>
          </cell>
          <cell r="S760">
            <v>100</v>
          </cell>
          <cell r="T760">
            <v>1215</v>
          </cell>
        </row>
        <row r="761">
          <cell r="A761" t="str">
            <v>SPAN-102H</v>
          </cell>
          <cell r="I761">
            <v>1</v>
          </cell>
          <cell r="J761">
            <v>1</v>
          </cell>
          <cell r="T761">
            <v>2</v>
          </cell>
        </row>
        <row r="762">
          <cell r="A762" t="str">
            <v>SPAN-103</v>
          </cell>
          <cell r="B762">
            <v>15</v>
          </cell>
          <cell r="E762">
            <v>37</v>
          </cell>
          <cell r="F762">
            <v>27</v>
          </cell>
          <cell r="H762">
            <v>23</v>
          </cell>
          <cell r="I762">
            <v>25</v>
          </cell>
          <cell r="J762">
            <v>24</v>
          </cell>
          <cell r="K762">
            <v>39</v>
          </cell>
          <cell r="R762">
            <v>33</v>
          </cell>
          <cell r="S762">
            <v>33</v>
          </cell>
          <cell r="T762">
            <v>256</v>
          </cell>
        </row>
        <row r="763">
          <cell r="A763" t="str">
            <v>SPAN-104</v>
          </cell>
          <cell r="E763">
            <v>5</v>
          </cell>
          <cell r="F763">
            <v>13</v>
          </cell>
          <cell r="J763">
            <v>10</v>
          </cell>
          <cell r="K763">
            <v>13</v>
          </cell>
          <cell r="R763">
            <v>16</v>
          </cell>
          <cell r="S763">
            <v>12</v>
          </cell>
          <cell r="T763">
            <v>69</v>
          </cell>
        </row>
        <row r="764">
          <cell r="A764" t="str">
            <v>SPAN-201</v>
          </cell>
          <cell r="B764">
            <v>44</v>
          </cell>
          <cell r="C764">
            <v>43</v>
          </cell>
          <cell r="D764">
            <v>42</v>
          </cell>
          <cell r="E764">
            <v>62</v>
          </cell>
          <cell r="F764">
            <v>53</v>
          </cell>
          <cell r="G764">
            <v>39</v>
          </cell>
          <cell r="H764">
            <v>38</v>
          </cell>
          <cell r="I764">
            <v>61</v>
          </cell>
          <cell r="J764">
            <v>75</v>
          </cell>
          <cell r="K764">
            <v>63</v>
          </cell>
          <cell r="L764" t="str">
            <v>20</v>
          </cell>
          <cell r="R764">
            <v>51</v>
          </cell>
          <cell r="S764">
            <v>69</v>
          </cell>
          <cell r="T764">
            <v>660</v>
          </cell>
        </row>
        <row r="765">
          <cell r="A765" t="str">
            <v>SPAN-201H</v>
          </cell>
          <cell r="C765">
            <v>3</v>
          </cell>
          <cell r="D765">
            <v>1</v>
          </cell>
          <cell r="G765">
            <v>2</v>
          </cell>
          <cell r="I765">
            <v>1</v>
          </cell>
          <cell r="J765">
            <v>1</v>
          </cell>
          <cell r="K765">
            <v>2</v>
          </cell>
          <cell r="T765">
            <v>10</v>
          </cell>
        </row>
        <row r="766">
          <cell r="A766" t="str">
            <v>SPAN-202</v>
          </cell>
          <cell r="B766">
            <v>5</v>
          </cell>
          <cell r="C766">
            <v>8</v>
          </cell>
          <cell r="D766">
            <v>6</v>
          </cell>
          <cell r="E766">
            <v>4</v>
          </cell>
          <cell r="F766">
            <v>11</v>
          </cell>
          <cell r="G766">
            <v>5</v>
          </cell>
          <cell r="H766">
            <v>8</v>
          </cell>
          <cell r="I766">
            <v>30</v>
          </cell>
          <cell r="J766">
            <v>30</v>
          </cell>
          <cell r="K766">
            <v>15</v>
          </cell>
          <cell r="R766">
            <v>9</v>
          </cell>
          <cell r="S766">
            <v>22</v>
          </cell>
          <cell r="T766">
            <v>153</v>
          </cell>
        </row>
        <row r="767">
          <cell r="A767" t="str">
            <v>SPAN-202H</v>
          </cell>
          <cell r="B767">
            <v>1</v>
          </cell>
          <cell r="D767">
            <v>1</v>
          </cell>
          <cell r="I767">
            <v>1</v>
          </cell>
          <cell r="J767">
            <v>1</v>
          </cell>
          <cell r="T767">
            <v>4</v>
          </cell>
        </row>
        <row r="768">
          <cell r="A768" t="str">
            <v>SPAN-230</v>
          </cell>
          <cell r="B768">
            <v>9</v>
          </cell>
          <cell r="C768">
            <v>3</v>
          </cell>
          <cell r="K768">
            <v>17</v>
          </cell>
          <cell r="T768">
            <v>29</v>
          </cell>
        </row>
        <row r="769">
          <cell r="A769" t="str">
            <v>SPAN-231</v>
          </cell>
          <cell r="G769">
            <v>4</v>
          </cell>
          <cell r="H769">
            <v>3</v>
          </cell>
          <cell r="T769">
            <v>7</v>
          </cell>
        </row>
        <row r="770">
          <cell r="A770" t="str">
            <v>SPAN-270</v>
          </cell>
          <cell r="G770">
            <v>12</v>
          </cell>
          <cell r="H770">
            <v>21</v>
          </cell>
          <cell r="I770">
            <v>15</v>
          </cell>
          <cell r="J770">
            <v>23</v>
          </cell>
          <cell r="T770">
            <v>71</v>
          </cell>
        </row>
        <row r="771">
          <cell r="A771" t="str">
            <v>SPAN-299</v>
          </cell>
          <cell r="G771">
            <v>1</v>
          </cell>
          <cell r="S771">
            <v>1</v>
          </cell>
          <cell r="T771">
            <v>2</v>
          </cell>
        </row>
        <row r="772">
          <cell r="A772" t="str">
            <v>TA-080</v>
          </cell>
          <cell r="B772">
            <v>10</v>
          </cell>
          <cell r="C772">
            <v>14</v>
          </cell>
          <cell r="D772">
            <v>27</v>
          </cell>
          <cell r="G772">
            <v>14</v>
          </cell>
          <cell r="H772">
            <v>21</v>
          </cell>
          <cell r="I772">
            <v>30</v>
          </cell>
          <cell r="J772">
            <v>30</v>
          </cell>
          <cell r="L772" t="str">
            <v>8</v>
          </cell>
          <cell r="M772" t="str">
            <v>22</v>
          </cell>
          <cell r="T772">
            <v>176</v>
          </cell>
        </row>
        <row r="773">
          <cell r="A773" t="str">
            <v>TA-081</v>
          </cell>
          <cell r="B773">
            <v>3</v>
          </cell>
          <cell r="C773">
            <v>7</v>
          </cell>
          <cell r="D773">
            <v>10</v>
          </cell>
          <cell r="G773">
            <v>3</v>
          </cell>
          <cell r="H773">
            <v>11</v>
          </cell>
          <cell r="J773">
            <v>9</v>
          </cell>
          <cell r="T773">
            <v>43</v>
          </cell>
        </row>
        <row r="774">
          <cell r="A774" t="str">
            <v>TA-100</v>
          </cell>
          <cell r="F774">
            <v>28</v>
          </cell>
          <cell r="K774">
            <v>36</v>
          </cell>
          <cell r="Q774" t="str">
            <v>30</v>
          </cell>
          <cell r="T774">
            <v>94</v>
          </cell>
        </row>
        <row r="775">
          <cell r="A775" t="str">
            <v>TA-299</v>
          </cell>
          <cell r="H775">
            <v>3</v>
          </cell>
          <cell r="T775">
            <v>3</v>
          </cell>
        </row>
        <row r="776">
          <cell r="A776" t="str">
            <v>THA-101</v>
          </cell>
          <cell r="B776">
            <v>26</v>
          </cell>
          <cell r="C776">
            <v>46</v>
          </cell>
          <cell r="E776">
            <v>39</v>
          </cell>
          <cell r="G776">
            <v>31</v>
          </cell>
          <cell r="H776">
            <v>28</v>
          </cell>
          <cell r="I776">
            <v>36</v>
          </cell>
          <cell r="J776">
            <v>37</v>
          </cell>
          <cell r="K776">
            <v>32</v>
          </cell>
          <cell r="T776">
            <v>275</v>
          </cell>
        </row>
        <row r="777">
          <cell r="A777" t="str">
            <v>THA-102</v>
          </cell>
          <cell r="D777">
            <v>24</v>
          </cell>
          <cell r="G777">
            <v>5</v>
          </cell>
          <cell r="H777">
            <v>11</v>
          </cell>
          <cell r="I777">
            <v>22</v>
          </cell>
          <cell r="J777">
            <v>18</v>
          </cell>
          <cell r="K777">
            <v>23</v>
          </cell>
          <cell r="T777">
            <v>103</v>
          </cell>
        </row>
        <row r="778">
          <cell r="A778" t="str">
            <v>THA-105</v>
          </cell>
          <cell r="B778">
            <v>16</v>
          </cell>
          <cell r="C778">
            <v>17</v>
          </cell>
          <cell r="E778">
            <v>7</v>
          </cell>
          <cell r="F778">
            <v>12</v>
          </cell>
          <cell r="I778">
            <v>20</v>
          </cell>
          <cell r="K778">
            <v>12</v>
          </cell>
          <cell r="R778">
            <v>16</v>
          </cell>
          <cell r="T778">
            <v>100</v>
          </cell>
        </row>
        <row r="779">
          <cell r="A779" t="str">
            <v>THA-108</v>
          </cell>
          <cell r="B779">
            <v>6</v>
          </cell>
          <cell r="C779">
            <v>6</v>
          </cell>
          <cell r="D779">
            <v>7</v>
          </cell>
          <cell r="E779">
            <v>9</v>
          </cell>
          <cell r="F779">
            <v>13</v>
          </cell>
          <cell r="H779">
            <v>8</v>
          </cell>
          <cell r="I779">
            <v>14</v>
          </cell>
          <cell r="J779">
            <v>8</v>
          </cell>
          <cell r="K779">
            <v>13</v>
          </cell>
          <cell r="R779">
            <v>13</v>
          </cell>
          <cell r="S779">
            <v>12</v>
          </cell>
          <cell r="T779">
            <v>109</v>
          </cell>
        </row>
        <row r="780">
          <cell r="A780" t="str">
            <v>THA-109</v>
          </cell>
          <cell r="C780">
            <v>20</v>
          </cell>
          <cell r="D780">
            <v>21</v>
          </cell>
          <cell r="K780">
            <v>17</v>
          </cell>
          <cell r="T780">
            <v>58</v>
          </cell>
        </row>
        <row r="781">
          <cell r="A781" t="str">
            <v>THA-110</v>
          </cell>
          <cell r="B781">
            <v>59</v>
          </cell>
          <cell r="C781">
            <v>52</v>
          </cell>
          <cell r="D781">
            <v>48</v>
          </cell>
          <cell r="E781">
            <v>48</v>
          </cell>
          <cell r="F781">
            <v>48</v>
          </cell>
          <cell r="G781">
            <v>36</v>
          </cell>
          <cell r="H781">
            <v>51</v>
          </cell>
          <cell r="I781">
            <v>28</v>
          </cell>
          <cell r="J781">
            <v>53</v>
          </cell>
          <cell r="K781">
            <v>45</v>
          </cell>
          <cell r="L781" t="str">
            <v>9</v>
          </cell>
          <cell r="M781" t="str">
            <v>6</v>
          </cell>
          <cell r="R781">
            <v>49</v>
          </cell>
          <cell r="S781">
            <v>48</v>
          </cell>
          <cell r="T781">
            <v>580</v>
          </cell>
        </row>
        <row r="782">
          <cell r="A782" t="str">
            <v>THA-111</v>
          </cell>
          <cell r="G782">
            <v>12</v>
          </cell>
          <cell r="J782">
            <v>17</v>
          </cell>
          <cell r="K782">
            <v>5</v>
          </cell>
          <cell r="S782">
            <v>22</v>
          </cell>
          <cell r="T782">
            <v>56</v>
          </cell>
        </row>
        <row r="783">
          <cell r="A783" t="str">
            <v>THA-112</v>
          </cell>
          <cell r="D783">
            <v>14</v>
          </cell>
          <cell r="E783">
            <v>18</v>
          </cell>
          <cell r="F783">
            <v>20</v>
          </cell>
          <cell r="H783">
            <v>19</v>
          </cell>
          <cell r="I783">
            <v>15</v>
          </cell>
          <cell r="R783">
            <v>11</v>
          </cell>
          <cell r="T783">
            <v>97</v>
          </cell>
        </row>
        <row r="784">
          <cell r="A784" t="str">
            <v>THA-113</v>
          </cell>
          <cell r="C784">
            <v>3</v>
          </cell>
          <cell r="D784">
            <v>5</v>
          </cell>
          <cell r="E784">
            <v>3</v>
          </cell>
          <cell r="T784">
            <v>11</v>
          </cell>
        </row>
        <row r="785">
          <cell r="A785" t="str">
            <v>THA-117</v>
          </cell>
          <cell r="F785">
            <v>9</v>
          </cell>
          <cell r="K785">
            <v>10</v>
          </cell>
          <cell r="R785">
            <v>8</v>
          </cell>
          <cell r="S785">
            <v>7</v>
          </cell>
          <cell r="T785">
            <v>34</v>
          </cell>
        </row>
        <row r="786">
          <cell r="A786" t="str">
            <v>THA-127</v>
          </cell>
          <cell r="H786">
            <v>10</v>
          </cell>
          <cell r="I786">
            <v>6</v>
          </cell>
          <cell r="T786">
            <v>16</v>
          </cell>
        </row>
        <row r="787">
          <cell r="A787" t="str">
            <v>THA-135</v>
          </cell>
          <cell r="C787">
            <v>24</v>
          </cell>
          <cell r="D787">
            <v>49</v>
          </cell>
          <cell r="E787">
            <v>45</v>
          </cell>
          <cell r="F787">
            <v>49</v>
          </cell>
          <cell r="G787">
            <v>27</v>
          </cell>
          <cell r="H787">
            <v>30</v>
          </cell>
          <cell r="I787">
            <v>49</v>
          </cell>
          <cell r="J787">
            <v>48</v>
          </cell>
          <cell r="K787">
            <v>50</v>
          </cell>
          <cell r="R787">
            <v>48</v>
          </cell>
          <cell r="T787">
            <v>419</v>
          </cell>
        </row>
        <row r="788">
          <cell r="A788" t="str">
            <v>THA-136</v>
          </cell>
          <cell r="B788">
            <v>11</v>
          </cell>
          <cell r="C788">
            <v>23</v>
          </cell>
          <cell r="D788">
            <v>24</v>
          </cell>
          <cell r="E788">
            <v>24</v>
          </cell>
          <cell r="F788">
            <v>24</v>
          </cell>
          <cell r="R788">
            <v>25</v>
          </cell>
          <cell r="T788">
            <v>131</v>
          </cell>
        </row>
        <row r="789">
          <cell r="A789" t="str">
            <v>THA-137</v>
          </cell>
          <cell r="G789">
            <v>14</v>
          </cell>
          <cell r="H789">
            <v>13</v>
          </cell>
          <cell r="I789">
            <v>18</v>
          </cell>
          <cell r="J789">
            <v>17</v>
          </cell>
          <cell r="K789">
            <v>16</v>
          </cell>
          <cell r="S789">
            <v>14</v>
          </cell>
          <cell r="T789">
            <v>92</v>
          </cell>
        </row>
        <row r="790">
          <cell r="A790" t="str">
            <v>THA-150</v>
          </cell>
          <cell r="E790">
            <v>7</v>
          </cell>
          <cell r="F790">
            <v>18</v>
          </cell>
          <cell r="R790">
            <v>13</v>
          </cell>
          <cell r="S790">
            <v>15</v>
          </cell>
          <cell r="T790">
            <v>53</v>
          </cell>
        </row>
        <row r="791">
          <cell r="A791" t="str">
            <v>THA-155</v>
          </cell>
          <cell r="D791">
            <v>29</v>
          </cell>
          <cell r="J791">
            <v>39</v>
          </cell>
          <cell r="T791">
            <v>68</v>
          </cell>
        </row>
        <row r="792">
          <cell r="A792" t="str">
            <v>THA-200</v>
          </cell>
          <cell r="H792">
            <v>20</v>
          </cell>
          <cell r="J792">
            <v>11</v>
          </cell>
          <cell r="T792">
            <v>31</v>
          </cell>
        </row>
        <row r="793">
          <cell r="A793" t="str">
            <v>THA-201</v>
          </cell>
          <cell r="C793">
            <v>16</v>
          </cell>
          <cell r="D793">
            <v>10</v>
          </cell>
          <cell r="E793">
            <v>16</v>
          </cell>
          <cell r="F793">
            <v>11</v>
          </cell>
          <cell r="G793">
            <v>15</v>
          </cell>
          <cell r="I793">
            <v>12</v>
          </cell>
          <cell r="K793">
            <v>12</v>
          </cell>
          <cell r="R793">
            <v>14</v>
          </cell>
          <cell r="T793">
            <v>106</v>
          </cell>
        </row>
        <row r="794">
          <cell r="A794" t="str">
            <v>THA-209</v>
          </cell>
          <cell r="B794">
            <v>13</v>
          </cell>
          <cell r="T794">
            <v>13</v>
          </cell>
        </row>
        <row r="795">
          <cell r="A795" t="str">
            <v>THA-210</v>
          </cell>
          <cell r="H795">
            <v>5</v>
          </cell>
          <cell r="J795">
            <v>4</v>
          </cell>
          <cell r="T795">
            <v>9</v>
          </cell>
        </row>
        <row r="796">
          <cell r="A796" t="str">
            <v>THA-299</v>
          </cell>
          <cell r="B796">
            <v>2</v>
          </cell>
          <cell r="D796">
            <v>4</v>
          </cell>
          <cell r="E796">
            <v>3</v>
          </cell>
          <cell r="H796">
            <v>2</v>
          </cell>
          <cell r="I796">
            <v>6</v>
          </cell>
          <cell r="K796">
            <v>1</v>
          </cell>
          <cell r="T796">
            <v>18</v>
          </cell>
        </row>
        <row r="797">
          <cell r="A797" t="str">
            <v>VEW-100</v>
          </cell>
          <cell r="I797">
            <v>49</v>
          </cell>
          <cell r="T797">
            <v>49</v>
          </cell>
        </row>
        <row r="798">
          <cell r="A798" t="str">
            <v>VEW-102</v>
          </cell>
          <cell r="D798">
            <v>19</v>
          </cell>
          <cell r="T798">
            <v>19</v>
          </cell>
        </row>
        <row r="799">
          <cell r="A799" t="str">
            <v>VEW-149</v>
          </cell>
          <cell r="F799">
            <v>3</v>
          </cell>
          <cell r="J799">
            <v>6</v>
          </cell>
          <cell r="K799">
            <v>4</v>
          </cell>
          <cell r="Q799" t="str">
            <v>2</v>
          </cell>
          <cell r="T799">
            <v>15</v>
          </cell>
        </row>
        <row r="800">
          <cell r="A800" t="str">
            <v>WATR-100</v>
          </cell>
          <cell r="C800">
            <v>59</v>
          </cell>
          <cell r="D800">
            <v>34</v>
          </cell>
          <cell r="E800">
            <v>71</v>
          </cell>
          <cell r="F800">
            <v>37</v>
          </cell>
          <cell r="H800">
            <v>23</v>
          </cell>
          <cell r="I800">
            <v>44</v>
          </cell>
          <cell r="J800">
            <v>41</v>
          </cell>
          <cell r="L800" t="str">
            <v>26</v>
          </cell>
          <cell r="M800" t="str">
            <v>37</v>
          </cell>
          <cell r="T800">
            <v>372</v>
          </cell>
        </row>
        <row r="801">
          <cell r="A801" t="str">
            <v>WATR-102</v>
          </cell>
          <cell r="B801">
            <v>35</v>
          </cell>
          <cell r="C801">
            <v>37</v>
          </cell>
          <cell r="D801">
            <v>35</v>
          </cell>
          <cell r="E801">
            <v>34</v>
          </cell>
          <cell r="F801">
            <v>31</v>
          </cell>
          <cell r="H801">
            <v>71</v>
          </cell>
          <cell r="I801">
            <v>37</v>
          </cell>
          <cell r="J801">
            <v>42</v>
          </cell>
          <cell r="L801" t="str">
            <v>29</v>
          </cell>
          <cell r="M801" t="str">
            <v>38</v>
          </cell>
          <cell r="T801">
            <v>389</v>
          </cell>
        </row>
        <row r="802">
          <cell r="A802" t="str">
            <v>WATR-103</v>
          </cell>
          <cell r="B802">
            <v>38</v>
          </cell>
          <cell r="C802">
            <v>40</v>
          </cell>
          <cell r="G802">
            <v>42</v>
          </cell>
          <cell r="T802">
            <v>120</v>
          </cell>
        </row>
        <row r="803">
          <cell r="A803" t="str">
            <v>WATR-107</v>
          </cell>
          <cell r="B803">
            <v>48</v>
          </cell>
          <cell r="C803">
            <v>88</v>
          </cell>
          <cell r="D803">
            <v>45</v>
          </cell>
          <cell r="G803">
            <v>48</v>
          </cell>
          <cell r="H803">
            <v>47</v>
          </cell>
          <cell r="T803">
            <v>276</v>
          </cell>
        </row>
        <row r="804">
          <cell r="A804" t="str">
            <v>WATR-109</v>
          </cell>
          <cell r="D804">
            <v>42</v>
          </cell>
          <cell r="T804">
            <v>42</v>
          </cell>
        </row>
        <row r="805">
          <cell r="A805" t="str">
            <v>WATR-120</v>
          </cell>
          <cell r="B805">
            <v>36</v>
          </cell>
          <cell r="C805">
            <v>39</v>
          </cell>
          <cell r="D805">
            <v>43</v>
          </cell>
          <cell r="E805">
            <v>44</v>
          </cell>
          <cell r="F805">
            <v>38</v>
          </cell>
          <cell r="R805">
            <v>25</v>
          </cell>
          <cell r="T805">
            <v>225</v>
          </cell>
        </row>
        <row r="806">
          <cell r="A806" t="str">
            <v>WATR-122</v>
          </cell>
          <cell r="G806">
            <v>29</v>
          </cell>
          <cell r="H806">
            <v>25</v>
          </cell>
          <cell r="I806">
            <v>27</v>
          </cell>
          <cell r="J806">
            <v>26</v>
          </cell>
          <cell r="K806">
            <v>19</v>
          </cell>
          <cell r="S806">
            <v>15</v>
          </cell>
          <cell r="T806">
            <v>141</v>
          </cell>
        </row>
        <row r="807">
          <cell r="A807" t="str">
            <v>WATR-125</v>
          </cell>
          <cell r="C807">
            <v>17</v>
          </cell>
          <cell r="D807">
            <v>17</v>
          </cell>
          <cell r="G807">
            <v>21</v>
          </cell>
          <cell r="H807">
            <v>19</v>
          </cell>
          <cell r="J807">
            <v>29</v>
          </cell>
          <cell r="K807">
            <v>30</v>
          </cell>
          <cell r="T807">
            <v>133</v>
          </cell>
        </row>
        <row r="808">
          <cell r="A808" t="str">
            <v>WATR-130</v>
          </cell>
          <cell r="D808">
            <v>31</v>
          </cell>
          <cell r="E808">
            <v>28</v>
          </cell>
          <cell r="F808">
            <v>22</v>
          </cell>
          <cell r="G808">
            <v>31</v>
          </cell>
          <cell r="I808">
            <v>36</v>
          </cell>
          <cell r="J808">
            <v>35</v>
          </cell>
          <cell r="K808">
            <v>33</v>
          </cell>
          <cell r="R808">
            <v>26</v>
          </cell>
          <cell r="S808">
            <v>35</v>
          </cell>
          <cell r="T808">
            <v>277</v>
          </cell>
        </row>
        <row r="809">
          <cell r="A809" t="str">
            <v>WATR-140</v>
          </cell>
          <cell r="B809">
            <v>32</v>
          </cell>
          <cell r="C809">
            <v>42</v>
          </cell>
          <cell r="D809">
            <v>40</v>
          </cell>
          <cell r="E809">
            <v>34</v>
          </cell>
          <cell r="F809">
            <v>31</v>
          </cell>
          <cell r="H809">
            <v>44</v>
          </cell>
          <cell r="I809">
            <v>36</v>
          </cell>
          <cell r="J809">
            <v>40</v>
          </cell>
          <cell r="K809">
            <v>34</v>
          </cell>
          <cell r="R809">
            <v>33</v>
          </cell>
          <cell r="S809">
            <v>33</v>
          </cell>
          <cell r="T809">
            <v>399</v>
          </cell>
        </row>
        <row r="810">
          <cell r="A810" t="str">
            <v>WATR-149</v>
          </cell>
          <cell r="K810">
            <v>1</v>
          </cell>
          <cell r="T810">
            <v>1</v>
          </cell>
        </row>
        <row r="811">
          <cell r="A811" t="str">
            <v>DMS-299</v>
          </cell>
          <cell r="K811">
            <v>9</v>
          </cell>
          <cell r="T811">
            <v>9</v>
          </cell>
        </row>
        <row r="812">
          <cell r="A812" t="str">
            <v>ECON-202H</v>
          </cell>
          <cell r="S812">
            <v>4</v>
          </cell>
          <cell r="T812">
            <v>4</v>
          </cell>
        </row>
        <row r="813">
          <cell r="A813" t="str">
            <v>ENGL-240H</v>
          </cell>
          <cell r="K813">
            <v>1</v>
          </cell>
          <cell r="T813">
            <v>1</v>
          </cell>
        </row>
        <row r="814">
          <cell r="A814" t="str">
            <v>GUID-152M</v>
          </cell>
          <cell r="K814">
            <v>17</v>
          </cell>
          <cell r="Q814" t="str">
            <v>13</v>
          </cell>
          <cell r="S814">
            <v>29</v>
          </cell>
          <cell r="T814">
            <v>59</v>
          </cell>
        </row>
        <row r="815">
          <cell r="A815" t="str">
            <v>HIST-160</v>
          </cell>
          <cell r="K815">
            <v>33</v>
          </cell>
          <cell r="S815">
            <v>32</v>
          </cell>
          <cell r="T815">
            <v>65</v>
          </cell>
        </row>
        <row r="816">
          <cell r="A816" t="str">
            <v>MUS-212</v>
          </cell>
          <cell r="K816">
            <v>9</v>
          </cell>
          <cell r="R816">
            <v>9</v>
          </cell>
          <cell r="S816">
            <v>9</v>
          </cell>
          <cell r="T816">
            <v>27</v>
          </cell>
        </row>
        <row r="817">
          <cell r="A817" t="str">
            <v>NUTR-100H</v>
          </cell>
          <cell r="K817">
            <v>5</v>
          </cell>
          <cell r="S817">
            <v>5</v>
          </cell>
          <cell r="T817">
            <v>10</v>
          </cell>
        </row>
        <row r="818">
          <cell r="A818" t="str">
            <v>PS-105H</v>
          </cell>
          <cell r="K818">
            <v>1</v>
          </cell>
          <cell r="S818">
            <v>4</v>
          </cell>
          <cell r="T818">
            <v>5</v>
          </cell>
        </row>
        <row r="819">
          <cell r="A819" t="str">
            <v>CDE-144</v>
          </cell>
          <cell r="R819">
            <v>9</v>
          </cell>
          <cell r="T819">
            <v>9</v>
          </cell>
        </row>
        <row r="820">
          <cell r="A820" t="str">
            <v>DMS-125</v>
          </cell>
          <cell r="R820">
            <v>7</v>
          </cell>
          <cell r="T820">
            <v>7</v>
          </cell>
        </row>
        <row r="821">
          <cell r="A821" t="str">
            <v>ENGL-092</v>
          </cell>
          <cell r="R821">
            <v>172</v>
          </cell>
          <cell r="S821">
            <v>172</v>
          </cell>
          <cell r="T821">
            <v>344</v>
          </cell>
        </row>
        <row r="822">
          <cell r="A822" t="str">
            <v>ENGR-116</v>
          </cell>
          <cell r="R822">
            <v>23</v>
          </cell>
          <cell r="T822">
            <v>23</v>
          </cell>
        </row>
        <row r="823">
          <cell r="A823" t="str">
            <v>GEOG-081</v>
          </cell>
          <cell r="R823">
            <v>56</v>
          </cell>
          <cell r="S823">
            <v>27</v>
          </cell>
          <cell r="T823">
            <v>83</v>
          </cell>
        </row>
        <row r="824">
          <cell r="A824" t="str">
            <v>GEOG-103</v>
          </cell>
          <cell r="R824">
            <v>16</v>
          </cell>
          <cell r="T824">
            <v>16</v>
          </cell>
        </row>
        <row r="825">
          <cell r="A825" t="str">
            <v>GUID-153C</v>
          </cell>
          <cell r="R825">
            <v>25</v>
          </cell>
          <cell r="S825">
            <v>13</v>
          </cell>
          <cell r="T825">
            <v>38</v>
          </cell>
        </row>
        <row r="826">
          <cell r="A826" t="str">
            <v>PHIL-109</v>
          </cell>
          <cell r="R826">
            <v>41</v>
          </cell>
          <cell r="T826">
            <v>41</v>
          </cell>
        </row>
        <row r="827">
          <cell r="A827" t="str">
            <v>PHOT-091</v>
          </cell>
          <cell r="R827">
            <v>12</v>
          </cell>
          <cell r="S827">
            <v>15</v>
          </cell>
          <cell r="T827">
            <v>27</v>
          </cell>
        </row>
        <row r="828">
          <cell r="A828" t="str">
            <v>PS-120</v>
          </cell>
          <cell r="R828">
            <v>29</v>
          </cell>
          <cell r="T828">
            <v>29</v>
          </cell>
        </row>
        <row r="829">
          <cell r="A829" t="str">
            <v>PS-120H</v>
          </cell>
          <cell r="R829">
            <v>1</v>
          </cell>
          <cell r="T829">
            <v>1</v>
          </cell>
        </row>
        <row r="830">
          <cell r="A830" t="str">
            <v>ANTH-111</v>
          </cell>
          <cell r="S830">
            <v>59</v>
          </cell>
          <cell r="T830">
            <v>59</v>
          </cell>
        </row>
        <row r="831">
          <cell r="A831" t="str">
            <v>ART-299F</v>
          </cell>
          <cell r="S831">
            <v>1</v>
          </cell>
          <cell r="T831">
            <v>1</v>
          </cell>
        </row>
        <row r="832">
          <cell r="A832" t="str">
            <v>COMM-116</v>
          </cell>
          <cell r="S832">
            <v>31</v>
          </cell>
          <cell r="T832">
            <v>31</v>
          </cell>
        </row>
        <row r="833">
          <cell r="A833" t="str">
            <v>DMS-135</v>
          </cell>
          <cell r="S833">
            <v>7</v>
          </cell>
          <cell r="T833">
            <v>7</v>
          </cell>
        </row>
        <row r="834">
          <cell r="A834" t="str">
            <v>GEOG-149</v>
          </cell>
          <cell r="S834">
            <v>2</v>
          </cell>
          <cell r="T834">
            <v>2</v>
          </cell>
        </row>
        <row r="835">
          <cell r="A835" t="str">
            <v>GEOG-298V</v>
          </cell>
          <cell r="S835">
            <v>16</v>
          </cell>
          <cell r="T835">
            <v>16</v>
          </cell>
        </row>
        <row r="836">
          <cell r="A836" t="str">
            <v>LEAD-299</v>
          </cell>
          <cell r="S836">
            <v>8</v>
          </cell>
          <cell r="T836">
            <v>8</v>
          </cell>
        </row>
        <row r="837">
          <cell r="A837" t="str">
            <v>Grand Total</v>
          </cell>
          <cell r="B837">
            <v>19293</v>
          </cell>
          <cell r="C837">
            <v>21326</v>
          </cell>
          <cell r="D837">
            <v>23066</v>
          </cell>
          <cell r="E837">
            <v>20185</v>
          </cell>
          <cell r="F837">
            <v>18461</v>
          </cell>
          <cell r="G837">
            <v>18861</v>
          </cell>
          <cell r="H837">
            <v>21472</v>
          </cell>
          <cell r="I837">
            <v>21845</v>
          </cell>
          <cell r="J837">
            <v>20151</v>
          </cell>
          <cell r="K837">
            <v>19406</v>
          </cell>
          <cell r="L837" t="str">
            <v>3045</v>
          </cell>
          <cell r="M837" t="str">
            <v>3529</v>
          </cell>
          <cell r="N837" t="str">
            <v>1731</v>
          </cell>
          <cell r="O837" t="str">
            <v>815</v>
          </cell>
          <cell r="P837" t="str">
            <v>37</v>
          </cell>
          <cell r="Q837" t="str">
            <v>643</v>
          </cell>
          <cell r="R837">
            <v>17239</v>
          </cell>
          <cell r="S837">
            <v>17051</v>
          </cell>
          <cell r="T837">
            <v>248156</v>
          </cell>
        </row>
      </sheetData>
      <sheetData sheetId="5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SP08</v>
          </cell>
          <cell r="H1" t="str">
            <v>SP09</v>
          </cell>
          <cell r="I1" t="str">
            <v>SP10</v>
          </cell>
          <cell r="J1" t="str">
            <v>SP11</v>
          </cell>
          <cell r="K1" t="str">
            <v>SP12</v>
          </cell>
          <cell r="L1" t="str">
            <v>SU07</v>
          </cell>
          <cell r="M1" t="str">
            <v>SU08</v>
          </cell>
          <cell r="N1" t="str">
            <v>SU09</v>
          </cell>
          <cell r="O1" t="str">
            <v>SU10</v>
          </cell>
          <cell r="P1" t="str">
            <v>SU11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 t="str">
            <v>0</v>
          </cell>
          <cell r="V1" t="str">
            <v>01</v>
          </cell>
          <cell r="W1" t="str">
            <v>02</v>
          </cell>
          <cell r="X1" t="str">
            <v>03</v>
          </cell>
          <cell r="Y1" t="str">
            <v>04</v>
          </cell>
          <cell r="Z1" t="str">
            <v>05</v>
          </cell>
        </row>
        <row r="2">
          <cell r="A2" t="str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 t="str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Count</v>
          </cell>
        </row>
        <row r="4">
          <cell r="A4" t="str">
            <v>Row Labels</v>
          </cell>
          <cell r="P4" t="str">
            <v>SU11</v>
          </cell>
        </row>
        <row r="5">
          <cell r="A5" t="str">
            <v>ACCT</v>
          </cell>
          <cell r="B5">
            <v>121</v>
          </cell>
          <cell r="C5">
            <v>146</v>
          </cell>
          <cell r="D5">
            <v>136</v>
          </cell>
          <cell r="E5">
            <v>172</v>
          </cell>
          <cell r="F5">
            <v>172</v>
          </cell>
          <cell r="G5">
            <v>106</v>
          </cell>
          <cell r="H5">
            <v>141</v>
          </cell>
          <cell r="I5">
            <v>180</v>
          </cell>
          <cell r="J5">
            <v>199</v>
          </cell>
          <cell r="K5">
            <v>169</v>
          </cell>
          <cell r="R5">
            <v>203</v>
          </cell>
          <cell r="S5">
            <v>261</v>
          </cell>
          <cell r="T5">
            <v>2006</v>
          </cell>
        </row>
        <row r="6">
          <cell r="A6" t="str">
            <v>ADS</v>
          </cell>
          <cell r="B6">
            <v>17</v>
          </cell>
          <cell r="C6">
            <v>27</v>
          </cell>
          <cell r="D6">
            <v>30</v>
          </cell>
          <cell r="E6">
            <v>32</v>
          </cell>
          <cell r="F6">
            <v>78</v>
          </cell>
          <cell r="G6">
            <v>30</v>
          </cell>
          <cell r="H6">
            <v>47</v>
          </cell>
          <cell r="I6">
            <v>48</v>
          </cell>
          <cell r="J6">
            <v>90</v>
          </cell>
          <cell r="K6">
            <v>54</v>
          </cell>
          <cell r="O6">
            <v>39</v>
          </cell>
          <cell r="R6">
            <v>30</v>
          </cell>
          <cell r="S6">
            <v>99</v>
          </cell>
          <cell r="T6">
            <v>621</v>
          </cell>
        </row>
        <row r="7">
          <cell r="A7" t="str">
            <v>AH</v>
          </cell>
          <cell r="B7">
            <v>340</v>
          </cell>
          <cell r="C7">
            <v>315</v>
          </cell>
          <cell r="D7">
            <v>315</v>
          </cell>
          <cell r="E7">
            <v>296</v>
          </cell>
          <cell r="F7">
            <v>176</v>
          </cell>
          <cell r="G7">
            <v>360</v>
          </cell>
          <cell r="H7">
            <v>318</v>
          </cell>
          <cell r="I7">
            <v>323</v>
          </cell>
          <cell r="J7">
            <v>294</v>
          </cell>
          <cell r="K7">
            <v>191</v>
          </cell>
          <cell r="L7">
            <v>67</v>
          </cell>
          <cell r="M7">
            <v>51</v>
          </cell>
          <cell r="N7">
            <v>23</v>
          </cell>
          <cell r="O7">
            <v>80</v>
          </cell>
          <cell r="Q7">
            <v>27</v>
          </cell>
          <cell r="R7">
            <v>89</v>
          </cell>
          <cell r="S7">
            <v>101</v>
          </cell>
          <cell r="T7">
            <v>3366</v>
          </cell>
        </row>
        <row r="8">
          <cell r="A8" t="str">
            <v>AJ</v>
          </cell>
          <cell r="B8">
            <v>123</v>
          </cell>
          <cell r="C8">
            <v>157</v>
          </cell>
          <cell r="D8">
            <v>184</v>
          </cell>
          <cell r="E8">
            <v>168</v>
          </cell>
          <cell r="F8">
            <v>108</v>
          </cell>
          <cell r="G8">
            <v>171</v>
          </cell>
          <cell r="H8">
            <v>178</v>
          </cell>
          <cell r="I8">
            <v>150</v>
          </cell>
          <cell r="J8">
            <v>154</v>
          </cell>
          <cell r="K8">
            <v>151</v>
          </cell>
          <cell r="L8">
            <v>36</v>
          </cell>
          <cell r="N8">
            <v>37</v>
          </cell>
          <cell r="R8">
            <v>181</v>
          </cell>
          <cell r="S8">
            <v>186</v>
          </cell>
          <cell r="T8">
            <v>1984</v>
          </cell>
        </row>
        <row r="9">
          <cell r="A9" t="str">
            <v>ANAT</v>
          </cell>
          <cell r="B9">
            <v>219</v>
          </cell>
          <cell r="C9">
            <v>234</v>
          </cell>
          <cell r="D9">
            <v>227</v>
          </cell>
          <cell r="E9">
            <v>211</v>
          </cell>
          <cell r="F9">
            <v>191</v>
          </cell>
          <cell r="G9">
            <v>241</v>
          </cell>
          <cell r="H9">
            <v>250</v>
          </cell>
          <cell r="I9">
            <v>247</v>
          </cell>
          <cell r="J9">
            <v>211</v>
          </cell>
          <cell r="K9">
            <v>196</v>
          </cell>
          <cell r="L9">
            <v>81</v>
          </cell>
          <cell r="M9">
            <v>78</v>
          </cell>
          <cell r="N9">
            <v>64</v>
          </cell>
          <cell r="O9">
            <v>53</v>
          </cell>
          <cell r="Q9">
            <v>62</v>
          </cell>
          <cell r="R9">
            <v>169</v>
          </cell>
          <cell r="S9">
            <v>162</v>
          </cell>
          <cell r="T9">
            <v>2896</v>
          </cell>
        </row>
        <row r="10">
          <cell r="A10" t="str">
            <v>ANTH</v>
          </cell>
          <cell r="B10">
            <v>261</v>
          </cell>
          <cell r="C10">
            <v>406</v>
          </cell>
          <cell r="D10">
            <v>536</v>
          </cell>
          <cell r="E10">
            <v>455</v>
          </cell>
          <cell r="F10">
            <v>375</v>
          </cell>
          <cell r="G10">
            <v>327</v>
          </cell>
          <cell r="H10">
            <v>475</v>
          </cell>
          <cell r="I10">
            <v>505</v>
          </cell>
          <cell r="J10">
            <v>434</v>
          </cell>
          <cell r="K10">
            <v>422</v>
          </cell>
          <cell r="L10">
            <v>34</v>
          </cell>
          <cell r="M10">
            <v>38</v>
          </cell>
          <cell r="N10">
            <v>37</v>
          </cell>
          <cell r="R10">
            <v>393</v>
          </cell>
          <cell r="S10">
            <v>408</v>
          </cell>
          <cell r="T10">
            <v>5106</v>
          </cell>
        </row>
        <row r="11">
          <cell r="A11" t="str">
            <v>ART</v>
          </cell>
          <cell r="B11">
            <v>628</v>
          </cell>
          <cell r="C11">
            <v>655</v>
          </cell>
          <cell r="D11">
            <v>751</v>
          </cell>
          <cell r="E11">
            <v>761</v>
          </cell>
          <cell r="F11">
            <v>739</v>
          </cell>
          <cell r="G11">
            <v>657</v>
          </cell>
          <cell r="H11">
            <v>696</v>
          </cell>
          <cell r="I11">
            <v>764</v>
          </cell>
          <cell r="J11">
            <v>746</v>
          </cell>
          <cell r="K11">
            <v>756</v>
          </cell>
          <cell r="L11">
            <v>69</v>
          </cell>
          <cell r="M11">
            <v>155</v>
          </cell>
          <cell r="O11">
            <v>17</v>
          </cell>
          <cell r="R11">
            <v>792</v>
          </cell>
          <cell r="S11">
            <v>759</v>
          </cell>
          <cell r="T11">
            <v>8945</v>
          </cell>
        </row>
        <row r="12">
          <cell r="A12" t="str">
            <v>ASL</v>
          </cell>
          <cell r="B12">
            <v>225</v>
          </cell>
          <cell r="C12">
            <v>341</v>
          </cell>
          <cell r="D12">
            <v>336</v>
          </cell>
          <cell r="E12">
            <v>281</v>
          </cell>
          <cell r="F12">
            <v>294</v>
          </cell>
          <cell r="G12">
            <v>246</v>
          </cell>
          <cell r="H12">
            <v>340</v>
          </cell>
          <cell r="I12">
            <v>342</v>
          </cell>
          <cell r="J12">
            <v>303</v>
          </cell>
          <cell r="K12">
            <v>296</v>
          </cell>
          <cell r="L12">
            <v>70</v>
          </cell>
          <cell r="M12">
            <v>73</v>
          </cell>
          <cell r="N12">
            <v>21</v>
          </cell>
          <cell r="R12">
            <v>279</v>
          </cell>
          <cell r="S12">
            <v>259</v>
          </cell>
          <cell r="T12">
            <v>3706</v>
          </cell>
        </row>
        <row r="13">
          <cell r="A13" t="str">
            <v>ASTR</v>
          </cell>
          <cell r="B13">
            <v>46</v>
          </cell>
          <cell r="C13">
            <v>57</v>
          </cell>
          <cell r="D13">
            <v>53</v>
          </cell>
          <cell r="E13">
            <v>64</v>
          </cell>
          <cell r="F13">
            <v>66</v>
          </cell>
          <cell r="G13">
            <v>70</v>
          </cell>
          <cell r="H13">
            <v>76</v>
          </cell>
          <cell r="I13">
            <v>69</v>
          </cell>
          <cell r="J13">
            <v>76</v>
          </cell>
          <cell r="K13">
            <v>93</v>
          </cell>
          <cell r="R13">
            <v>57</v>
          </cell>
          <cell r="S13">
            <v>54</v>
          </cell>
          <cell r="T13">
            <v>781</v>
          </cell>
        </row>
        <row r="14">
          <cell r="A14" t="str">
            <v>AUD</v>
          </cell>
          <cell r="D14">
            <v>6</v>
          </cell>
          <cell r="E14">
            <v>23</v>
          </cell>
          <cell r="F14">
            <v>18</v>
          </cell>
          <cell r="G14">
            <v>9</v>
          </cell>
          <cell r="H14">
            <v>4</v>
          </cell>
          <cell r="I14">
            <v>6</v>
          </cell>
          <cell r="J14">
            <v>22</v>
          </cell>
          <cell r="K14">
            <v>19</v>
          </cell>
          <cell r="L14">
            <v>2</v>
          </cell>
          <cell r="M14">
            <v>3</v>
          </cell>
          <cell r="R14">
            <v>22</v>
          </cell>
          <cell r="S14">
            <v>14</v>
          </cell>
          <cell r="T14">
            <v>148</v>
          </cell>
        </row>
        <row r="15">
          <cell r="A15" t="str">
            <v>AUME</v>
          </cell>
          <cell r="E15">
            <v>10</v>
          </cell>
          <cell r="F15">
            <v>18</v>
          </cell>
          <cell r="J15">
            <v>10</v>
          </cell>
          <cell r="T15">
            <v>38</v>
          </cell>
        </row>
        <row r="16">
          <cell r="A16" t="str">
            <v>BADM</v>
          </cell>
          <cell r="B16">
            <v>125</v>
          </cell>
          <cell r="C16">
            <v>149</v>
          </cell>
          <cell r="D16">
            <v>123</v>
          </cell>
          <cell r="E16">
            <v>118</v>
          </cell>
          <cell r="F16">
            <v>157</v>
          </cell>
          <cell r="G16">
            <v>162</v>
          </cell>
          <cell r="H16">
            <v>128</v>
          </cell>
          <cell r="I16">
            <v>189</v>
          </cell>
          <cell r="J16">
            <v>153</v>
          </cell>
          <cell r="K16">
            <v>154</v>
          </cell>
          <cell r="R16">
            <v>170</v>
          </cell>
          <cell r="S16">
            <v>181</v>
          </cell>
          <cell r="T16">
            <v>1809</v>
          </cell>
        </row>
        <row r="17">
          <cell r="A17" t="str">
            <v>BIOL</v>
          </cell>
          <cell r="B17">
            <v>397</v>
          </cell>
          <cell r="C17">
            <v>469</v>
          </cell>
          <cell r="D17">
            <v>441</v>
          </cell>
          <cell r="E17">
            <v>394</v>
          </cell>
          <cell r="F17">
            <v>361</v>
          </cell>
          <cell r="G17">
            <v>397</v>
          </cell>
          <cell r="H17">
            <v>382</v>
          </cell>
          <cell r="I17">
            <v>459</v>
          </cell>
          <cell r="J17">
            <v>388</v>
          </cell>
          <cell r="K17">
            <v>365</v>
          </cell>
          <cell r="L17">
            <v>72</v>
          </cell>
          <cell r="M17">
            <v>81</v>
          </cell>
          <cell r="N17">
            <v>60</v>
          </cell>
          <cell r="Q17">
            <v>24</v>
          </cell>
          <cell r="R17">
            <v>345</v>
          </cell>
          <cell r="S17">
            <v>296</v>
          </cell>
          <cell r="T17">
            <v>4931</v>
          </cell>
        </row>
        <row r="18">
          <cell r="A18" t="str">
            <v>CAPP</v>
          </cell>
          <cell r="B18">
            <v>146</v>
          </cell>
          <cell r="C18">
            <v>161</v>
          </cell>
          <cell r="D18">
            <v>164</v>
          </cell>
          <cell r="E18">
            <v>193</v>
          </cell>
          <cell r="F18">
            <v>145</v>
          </cell>
          <cell r="G18">
            <v>137</v>
          </cell>
          <cell r="H18">
            <v>194</v>
          </cell>
          <cell r="I18">
            <v>201</v>
          </cell>
          <cell r="J18">
            <v>147</v>
          </cell>
          <cell r="K18">
            <v>158</v>
          </cell>
          <cell r="L18">
            <v>69</v>
          </cell>
          <cell r="M18">
            <v>6</v>
          </cell>
          <cell r="N18">
            <v>10</v>
          </cell>
          <cell r="R18">
            <v>92</v>
          </cell>
          <cell r="S18">
            <v>113</v>
          </cell>
          <cell r="T18">
            <v>1936</v>
          </cell>
        </row>
        <row r="19">
          <cell r="A19" t="str">
            <v>CDE</v>
          </cell>
          <cell r="B19">
            <v>445</v>
          </cell>
          <cell r="C19">
            <v>507</v>
          </cell>
          <cell r="D19">
            <v>568</v>
          </cell>
          <cell r="E19">
            <v>339</v>
          </cell>
          <cell r="F19">
            <v>394</v>
          </cell>
          <cell r="G19">
            <v>419</v>
          </cell>
          <cell r="H19">
            <v>426</v>
          </cell>
          <cell r="I19">
            <v>442</v>
          </cell>
          <cell r="J19">
            <v>341</v>
          </cell>
          <cell r="K19">
            <v>368</v>
          </cell>
          <cell r="L19">
            <v>71</v>
          </cell>
          <cell r="M19">
            <v>64</v>
          </cell>
          <cell r="N19">
            <v>35</v>
          </cell>
          <cell r="Q19">
            <v>28</v>
          </cell>
          <cell r="R19">
            <v>388</v>
          </cell>
          <cell r="S19">
            <v>396</v>
          </cell>
          <cell r="T19">
            <v>5231</v>
          </cell>
        </row>
        <row r="20">
          <cell r="A20" t="str">
            <v>CHEM</v>
          </cell>
          <cell r="B20">
            <v>213</v>
          </cell>
          <cell r="C20">
            <v>210</v>
          </cell>
          <cell r="D20">
            <v>221</v>
          </cell>
          <cell r="E20">
            <v>210</v>
          </cell>
          <cell r="F20">
            <v>244</v>
          </cell>
          <cell r="G20">
            <v>204</v>
          </cell>
          <cell r="H20">
            <v>232</v>
          </cell>
          <cell r="I20">
            <v>252</v>
          </cell>
          <cell r="J20">
            <v>221</v>
          </cell>
          <cell r="K20">
            <v>239</v>
          </cell>
          <cell r="L20">
            <v>74</v>
          </cell>
          <cell r="M20">
            <v>41</v>
          </cell>
          <cell r="N20">
            <v>77</v>
          </cell>
          <cell r="O20">
            <v>54</v>
          </cell>
          <cell r="Q20">
            <v>42</v>
          </cell>
          <cell r="R20">
            <v>212</v>
          </cell>
          <cell r="S20">
            <v>193</v>
          </cell>
          <cell r="T20">
            <v>2939</v>
          </cell>
        </row>
        <row r="21">
          <cell r="A21" t="str">
            <v>COMM</v>
          </cell>
          <cell r="B21">
            <v>716</v>
          </cell>
          <cell r="C21">
            <v>779</v>
          </cell>
          <cell r="D21">
            <v>889</v>
          </cell>
          <cell r="E21">
            <v>860</v>
          </cell>
          <cell r="F21">
            <v>805</v>
          </cell>
          <cell r="G21">
            <v>711</v>
          </cell>
          <cell r="H21">
            <v>810</v>
          </cell>
          <cell r="I21">
            <v>891</v>
          </cell>
          <cell r="J21">
            <v>832</v>
          </cell>
          <cell r="K21">
            <v>834</v>
          </cell>
          <cell r="L21">
            <v>133</v>
          </cell>
          <cell r="M21">
            <v>143</v>
          </cell>
          <cell r="N21">
            <v>26</v>
          </cell>
          <cell r="Q21">
            <v>30</v>
          </cell>
          <cell r="R21">
            <v>765</v>
          </cell>
          <cell r="S21">
            <v>765</v>
          </cell>
          <cell r="T21">
            <v>9989</v>
          </cell>
        </row>
        <row r="22">
          <cell r="A22" t="str">
            <v>CORR</v>
          </cell>
          <cell r="B22">
            <v>24</v>
          </cell>
          <cell r="C22">
            <v>21</v>
          </cell>
          <cell r="D22">
            <v>34</v>
          </cell>
          <cell r="F22">
            <v>34</v>
          </cell>
          <cell r="G22">
            <v>18</v>
          </cell>
          <cell r="H22">
            <v>33</v>
          </cell>
          <cell r="I22">
            <v>38</v>
          </cell>
          <cell r="J22">
            <v>34</v>
          </cell>
          <cell r="R22">
            <v>37</v>
          </cell>
          <cell r="S22">
            <v>30</v>
          </cell>
          <cell r="T22">
            <v>303</v>
          </cell>
        </row>
        <row r="23">
          <cell r="A23" t="str">
            <v>CSIS</v>
          </cell>
          <cell r="B23">
            <v>307</v>
          </cell>
          <cell r="C23">
            <v>411</v>
          </cell>
          <cell r="D23">
            <v>365</v>
          </cell>
          <cell r="E23">
            <v>304</v>
          </cell>
          <cell r="F23">
            <v>298</v>
          </cell>
          <cell r="G23">
            <v>344</v>
          </cell>
          <cell r="H23">
            <v>347</v>
          </cell>
          <cell r="I23">
            <v>397</v>
          </cell>
          <cell r="J23">
            <v>332</v>
          </cell>
          <cell r="K23">
            <v>275</v>
          </cell>
          <cell r="L23">
            <v>71</v>
          </cell>
          <cell r="M23">
            <v>78</v>
          </cell>
          <cell r="O23">
            <v>27</v>
          </cell>
          <cell r="R23">
            <v>300</v>
          </cell>
          <cell r="S23">
            <v>259</v>
          </cell>
          <cell r="T23">
            <v>4115</v>
          </cell>
        </row>
        <row r="24">
          <cell r="A24" t="str">
            <v>DAN</v>
          </cell>
          <cell r="B24">
            <v>179</v>
          </cell>
          <cell r="C24">
            <v>271</v>
          </cell>
          <cell r="D24">
            <v>271</v>
          </cell>
          <cell r="E24">
            <v>248</v>
          </cell>
          <cell r="F24">
            <v>209</v>
          </cell>
          <cell r="G24">
            <v>166</v>
          </cell>
          <cell r="H24">
            <v>257</v>
          </cell>
          <cell r="I24">
            <v>269</v>
          </cell>
          <cell r="J24">
            <v>198</v>
          </cell>
          <cell r="K24">
            <v>179</v>
          </cell>
          <cell r="L24">
            <v>42</v>
          </cell>
          <cell r="M24">
            <v>55</v>
          </cell>
          <cell r="R24">
            <v>203</v>
          </cell>
          <cell r="S24">
            <v>174</v>
          </cell>
          <cell r="T24">
            <v>2721</v>
          </cell>
        </row>
        <row r="25">
          <cell r="A25" t="str">
            <v>DMS</v>
          </cell>
          <cell r="B25">
            <v>22</v>
          </cell>
          <cell r="C25">
            <v>76</v>
          </cell>
          <cell r="D25">
            <v>81</v>
          </cell>
          <cell r="E25">
            <v>80</v>
          </cell>
          <cell r="F25">
            <v>35</v>
          </cell>
          <cell r="G25">
            <v>47</v>
          </cell>
          <cell r="H25">
            <v>75</v>
          </cell>
          <cell r="I25">
            <v>75</v>
          </cell>
          <cell r="J25">
            <v>72</v>
          </cell>
          <cell r="K25">
            <v>26</v>
          </cell>
          <cell r="L25">
            <v>4</v>
          </cell>
          <cell r="M25">
            <v>18</v>
          </cell>
          <cell r="N25">
            <v>10</v>
          </cell>
          <cell r="O25">
            <v>13</v>
          </cell>
          <cell r="P25" t="str">
            <v>9</v>
          </cell>
          <cell r="R25">
            <v>35</v>
          </cell>
          <cell r="S25">
            <v>42</v>
          </cell>
          <cell r="T25">
            <v>720</v>
          </cell>
        </row>
        <row r="26">
          <cell r="A26" t="str">
            <v>ECON</v>
          </cell>
          <cell r="B26">
            <v>246</v>
          </cell>
          <cell r="C26">
            <v>272</v>
          </cell>
          <cell r="D26">
            <v>307</v>
          </cell>
          <cell r="E26">
            <v>209</v>
          </cell>
          <cell r="F26">
            <v>206</v>
          </cell>
          <cell r="G26">
            <v>250</v>
          </cell>
          <cell r="H26">
            <v>283</v>
          </cell>
          <cell r="I26">
            <v>279</v>
          </cell>
          <cell r="J26">
            <v>171</v>
          </cell>
          <cell r="K26">
            <v>226</v>
          </cell>
          <cell r="L26">
            <v>69</v>
          </cell>
          <cell r="M26">
            <v>69</v>
          </cell>
          <cell r="O26">
            <v>41</v>
          </cell>
          <cell r="R26">
            <v>256</v>
          </cell>
          <cell r="S26">
            <v>217</v>
          </cell>
          <cell r="T26">
            <v>3101</v>
          </cell>
        </row>
        <row r="27">
          <cell r="A27" t="str">
            <v>ED</v>
          </cell>
          <cell r="B27">
            <v>17</v>
          </cell>
          <cell r="C27">
            <v>8</v>
          </cell>
          <cell r="G27">
            <v>26</v>
          </cell>
          <cell r="H27">
            <v>35</v>
          </cell>
          <cell r="I27">
            <v>10</v>
          </cell>
          <cell r="J27">
            <v>4</v>
          </cell>
          <cell r="S27">
            <v>4</v>
          </cell>
          <cell r="T27">
            <v>104</v>
          </cell>
        </row>
        <row r="28">
          <cell r="A28" t="str">
            <v>ENGL</v>
          </cell>
          <cell r="B28">
            <v>1919</v>
          </cell>
          <cell r="C28">
            <v>2022</v>
          </cell>
          <cell r="D28">
            <v>1932</v>
          </cell>
          <cell r="E28">
            <v>1771</v>
          </cell>
          <cell r="F28">
            <v>1636</v>
          </cell>
          <cell r="G28">
            <v>1847</v>
          </cell>
          <cell r="H28">
            <v>2019</v>
          </cell>
          <cell r="I28">
            <v>1880</v>
          </cell>
          <cell r="J28">
            <v>1815</v>
          </cell>
          <cell r="K28">
            <v>1742</v>
          </cell>
          <cell r="L28">
            <v>421</v>
          </cell>
          <cell r="M28">
            <v>488</v>
          </cell>
          <cell r="N28">
            <v>244</v>
          </cell>
          <cell r="O28">
            <v>22</v>
          </cell>
          <cell r="Q28">
            <v>94</v>
          </cell>
          <cell r="R28">
            <v>1481</v>
          </cell>
          <cell r="S28">
            <v>1647</v>
          </cell>
          <cell r="T28">
            <v>22980</v>
          </cell>
        </row>
        <row r="29">
          <cell r="A29" t="str">
            <v>ENGR</v>
          </cell>
          <cell r="F29">
            <v>1</v>
          </cell>
          <cell r="K29">
            <v>4</v>
          </cell>
          <cell r="R29">
            <v>33</v>
          </cell>
          <cell r="S29">
            <v>14</v>
          </cell>
          <cell r="T29">
            <v>52</v>
          </cell>
        </row>
        <row r="30">
          <cell r="A30" t="str">
            <v>ENVS</v>
          </cell>
          <cell r="B30">
            <v>167</v>
          </cell>
          <cell r="C30">
            <v>237</v>
          </cell>
          <cell r="D30">
            <v>238</v>
          </cell>
          <cell r="E30">
            <v>211</v>
          </cell>
          <cell r="F30">
            <v>189</v>
          </cell>
          <cell r="G30">
            <v>184</v>
          </cell>
          <cell r="H30">
            <v>219</v>
          </cell>
          <cell r="I30">
            <v>223</v>
          </cell>
          <cell r="J30">
            <v>202</v>
          </cell>
          <cell r="K30">
            <v>224</v>
          </cell>
          <cell r="L30">
            <v>16</v>
          </cell>
          <cell r="M30">
            <v>21</v>
          </cell>
          <cell r="N30">
            <v>19</v>
          </cell>
          <cell r="R30">
            <v>182</v>
          </cell>
          <cell r="S30">
            <v>172</v>
          </cell>
          <cell r="T30">
            <v>2504</v>
          </cell>
        </row>
        <row r="31">
          <cell r="A31" t="str">
            <v>ESL</v>
          </cell>
          <cell r="D31">
            <v>133</v>
          </cell>
          <cell r="E31">
            <v>133</v>
          </cell>
          <cell r="F31">
            <v>172</v>
          </cell>
          <cell r="H31">
            <v>66</v>
          </cell>
          <cell r="I31">
            <v>143</v>
          </cell>
          <cell r="J31">
            <v>183</v>
          </cell>
          <cell r="K31">
            <v>163</v>
          </cell>
          <cell r="N31">
            <v>21</v>
          </cell>
          <cell r="R31">
            <v>171</v>
          </cell>
          <cell r="S31">
            <v>115</v>
          </cell>
          <cell r="T31">
            <v>1300</v>
          </cell>
        </row>
        <row r="32">
          <cell r="A32" t="str">
            <v>FIRE</v>
          </cell>
          <cell r="B32">
            <v>122</v>
          </cell>
          <cell r="C32">
            <v>159</v>
          </cell>
          <cell r="D32">
            <v>195</v>
          </cell>
          <cell r="E32">
            <v>151</v>
          </cell>
          <cell r="F32">
            <v>127</v>
          </cell>
          <cell r="G32">
            <v>99</v>
          </cell>
          <cell r="H32">
            <v>113</v>
          </cell>
          <cell r="I32">
            <v>121</v>
          </cell>
          <cell r="J32">
            <v>161</v>
          </cell>
          <cell r="K32">
            <v>124</v>
          </cell>
          <cell r="L32">
            <v>19</v>
          </cell>
          <cell r="M32">
            <v>36</v>
          </cell>
          <cell r="R32">
            <v>119</v>
          </cell>
          <cell r="S32">
            <v>159</v>
          </cell>
          <cell r="T32">
            <v>1705</v>
          </cell>
        </row>
        <row r="33">
          <cell r="A33" t="str">
            <v>FREN</v>
          </cell>
          <cell r="B33">
            <v>82</v>
          </cell>
          <cell r="C33">
            <v>90</v>
          </cell>
          <cell r="D33">
            <v>96</v>
          </cell>
          <cell r="E33">
            <v>120</v>
          </cell>
          <cell r="F33">
            <v>116</v>
          </cell>
          <cell r="G33">
            <v>60</v>
          </cell>
          <cell r="H33">
            <v>42</v>
          </cell>
          <cell r="I33">
            <v>63</v>
          </cell>
          <cell r="J33">
            <v>114</v>
          </cell>
          <cell r="K33">
            <v>101</v>
          </cell>
          <cell r="L33">
            <v>6</v>
          </cell>
          <cell r="M33">
            <v>13</v>
          </cell>
          <cell r="R33">
            <v>111</v>
          </cell>
          <cell r="S33">
            <v>114</v>
          </cell>
          <cell r="T33">
            <v>1128</v>
          </cell>
        </row>
        <row r="34">
          <cell r="A34" t="str">
            <v>GEOG</v>
          </cell>
          <cell r="B34">
            <v>192</v>
          </cell>
          <cell r="C34">
            <v>177</v>
          </cell>
          <cell r="D34">
            <v>226</v>
          </cell>
          <cell r="E34">
            <v>178</v>
          </cell>
          <cell r="F34">
            <v>202</v>
          </cell>
          <cell r="G34">
            <v>126</v>
          </cell>
          <cell r="H34">
            <v>221</v>
          </cell>
          <cell r="I34">
            <v>185</v>
          </cell>
          <cell r="J34">
            <v>169</v>
          </cell>
          <cell r="K34">
            <v>202</v>
          </cell>
          <cell r="L34">
            <v>17</v>
          </cell>
          <cell r="M34">
            <v>4</v>
          </cell>
          <cell r="N34">
            <v>3</v>
          </cell>
          <cell r="R34">
            <v>112</v>
          </cell>
          <cell r="S34">
            <v>103</v>
          </cell>
          <cell r="T34">
            <v>2117</v>
          </cell>
        </row>
        <row r="35">
          <cell r="A35" t="str">
            <v>GEOL</v>
          </cell>
          <cell r="B35">
            <v>64</v>
          </cell>
          <cell r="C35">
            <v>89</v>
          </cell>
          <cell r="D35">
            <v>113</v>
          </cell>
          <cell r="E35">
            <v>85</v>
          </cell>
          <cell r="F35">
            <v>102</v>
          </cell>
          <cell r="G35">
            <v>59</v>
          </cell>
          <cell r="H35">
            <v>89</v>
          </cell>
          <cell r="I35">
            <v>95</v>
          </cell>
          <cell r="J35">
            <v>80</v>
          </cell>
          <cell r="K35">
            <v>77</v>
          </cell>
          <cell r="R35">
            <v>101</v>
          </cell>
          <cell r="S35">
            <v>98</v>
          </cell>
          <cell r="T35">
            <v>1052</v>
          </cell>
        </row>
        <row r="36">
          <cell r="A36" t="str">
            <v>GER</v>
          </cell>
          <cell r="C36">
            <v>1</v>
          </cell>
          <cell r="T36">
            <v>1</v>
          </cell>
        </row>
        <row r="37">
          <cell r="A37" t="str">
            <v>GUID</v>
          </cell>
          <cell r="B37">
            <v>233</v>
          </cell>
          <cell r="C37">
            <v>222</v>
          </cell>
          <cell r="D37">
            <v>257</v>
          </cell>
          <cell r="E37">
            <v>184</v>
          </cell>
          <cell r="F37">
            <v>172</v>
          </cell>
          <cell r="G37">
            <v>163</v>
          </cell>
          <cell r="H37">
            <v>211</v>
          </cell>
          <cell r="I37">
            <v>209</v>
          </cell>
          <cell r="J37">
            <v>175</v>
          </cell>
          <cell r="K37">
            <v>216</v>
          </cell>
          <cell r="L37">
            <v>40</v>
          </cell>
          <cell r="M37">
            <v>50</v>
          </cell>
          <cell r="N37">
            <v>24</v>
          </cell>
          <cell r="O37">
            <v>21</v>
          </cell>
          <cell r="Q37">
            <v>13</v>
          </cell>
          <cell r="R37">
            <v>196</v>
          </cell>
          <cell r="S37">
            <v>225</v>
          </cell>
          <cell r="T37">
            <v>2611</v>
          </cell>
        </row>
        <row r="38">
          <cell r="A38" t="str">
            <v>HEP</v>
          </cell>
          <cell r="B38">
            <v>8</v>
          </cell>
          <cell r="C38">
            <v>19</v>
          </cell>
          <cell r="D38">
            <v>22</v>
          </cell>
          <cell r="E38">
            <v>19</v>
          </cell>
          <cell r="F38">
            <v>17</v>
          </cell>
          <cell r="G38">
            <v>15</v>
          </cell>
          <cell r="H38">
            <v>15</v>
          </cell>
          <cell r="I38">
            <v>14</v>
          </cell>
          <cell r="J38">
            <v>30</v>
          </cell>
          <cell r="K38">
            <v>30</v>
          </cell>
          <cell r="R38">
            <v>15</v>
          </cell>
          <cell r="S38">
            <v>15</v>
          </cell>
          <cell r="T38">
            <v>219</v>
          </cell>
        </row>
        <row r="39">
          <cell r="A39" t="str">
            <v>HIST</v>
          </cell>
          <cell r="B39">
            <v>921</v>
          </cell>
          <cell r="C39">
            <v>965</v>
          </cell>
          <cell r="D39">
            <v>1107</v>
          </cell>
          <cell r="E39">
            <v>819</v>
          </cell>
          <cell r="F39">
            <v>718</v>
          </cell>
          <cell r="G39">
            <v>800</v>
          </cell>
          <cell r="H39">
            <v>892</v>
          </cell>
          <cell r="I39">
            <v>996</v>
          </cell>
          <cell r="J39">
            <v>872</v>
          </cell>
          <cell r="K39">
            <v>841</v>
          </cell>
          <cell r="L39">
            <v>116</v>
          </cell>
          <cell r="M39">
            <v>158</v>
          </cell>
          <cell r="N39">
            <v>87</v>
          </cell>
          <cell r="O39">
            <v>89</v>
          </cell>
          <cell r="Q39">
            <v>39</v>
          </cell>
          <cell r="R39">
            <v>616</v>
          </cell>
          <cell r="S39">
            <v>676</v>
          </cell>
          <cell r="T39">
            <v>10712</v>
          </cell>
        </row>
        <row r="40">
          <cell r="A40" t="str">
            <v>HORT</v>
          </cell>
          <cell r="B40">
            <v>22</v>
          </cell>
          <cell r="C40">
            <v>56</v>
          </cell>
          <cell r="D40">
            <v>88</v>
          </cell>
          <cell r="E40">
            <v>52</v>
          </cell>
          <cell r="F40">
            <v>74</v>
          </cell>
          <cell r="G40">
            <v>19</v>
          </cell>
          <cell r="H40">
            <v>43</v>
          </cell>
          <cell r="I40">
            <v>73</v>
          </cell>
          <cell r="J40">
            <v>100</v>
          </cell>
          <cell r="K40">
            <v>92</v>
          </cell>
          <cell r="R40">
            <v>63</v>
          </cell>
          <cell r="S40">
            <v>44</v>
          </cell>
          <cell r="T40">
            <v>726</v>
          </cell>
        </row>
        <row r="41">
          <cell r="A41" t="str">
            <v>HS</v>
          </cell>
          <cell r="B41">
            <v>270</v>
          </cell>
          <cell r="C41">
            <v>161</v>
          </cell>
          <cell r="D41">
            <v>249</v>
          </cell>
          <cell r="E41">
            <v>111</v>
          </cell>
          <cell r="F41">
            <v>132</v>
          </cell>
          <cell r="G41">
            <v>198</v>
          </cell>
          <cell r="H41">
            <v>172</v>
          </cell>
          <cell r="I41">
            <v>121</v>
          </cell>
          <cell r="J41">
            <v>112</v>
          </cell>
          <cell r="K41">
            <v>112</v>
          </cell>
          <cell r="L41">
            <v>24</v>
          </cell>
          <cell r="M41">
            <v>31</v>
          </cell>
          <cell r="R41">
            <v>122</v>
          </cell>
          <cell r="S41">
            <v>124</v>
          </cell>
          <cell r="T41">
            <v>1939</v>
          </cell>
        </row>
        <row r="42">
          <cell r="A42" t="str">
            <v>HUM</v>
          </cell>
          <cell r="B42">
            <v>31</v>
          </cell>
          <cell r="C42">
            <v>27</v>
          </cell>
          <cell r="D42">
            <v>26</v>
          </cell>
          <cell r="E42">
            <v>38</v>
          </cell>
          <cell r="F42">
            <v>33</v>
          </cell>
          <cell r="G42">
            <v>42</v>
          </cell>
          <cell r="H42">
            <v>47</v>
          </cell>
          <cell r="I42">
            <v>45</v>
          </cell>
          <cell r="J42">
            <v>46</v>
          </cell>
          <cell r="K42">
            <v>21</v>
          </cell>
          <cell r="R42">
            <v>33</v>
          </cell>
          <cell r="S42">
            <v>21</v>
          </cell>
          <cell r="T42">
            <v>410</v>
          </cell>
        </row>
        <row r="43">
          <cell r="A43" t="str">
            <v>LEAD</v>
          </cell>
          <cell r="F43">
            <v>24</v>
          </cell>
          <cell r="K43">
            <v>22</v>
          </cell>
          <cell r="S43">
            <v>8</v>
          </cell>
          <cell r="T43">
            <v>54</v>
          </cell>
        </row>
        <row r="44">
          <cell r="A44" t="str">
            <v>LEG</v>
          </cell>
          <cell r="B44">
            <v>26</v>
          </cell>
          <cell r="C44">
            <v>27</v>
          </cell>
          <cell r="D44">
            <v>27</v>
          </cell>
          <cell r="E44">
            <v>31</v>
          </cell>
          <cell r="F44">
            <v>40</v>
          </cell>
          <cell r="G44">
            <v>26</v>
          </cell>
          <cell r="H44">
            <v>28</v>
          </cell>
          <cell r="I44">
            <v>42</v>
          </cell>
          <cell r="J44">
            <v>37</v>
          </cell>
          <cell r="K44">
            <v>43</v>
          </cell>
          <cell r="R44">
            <v>34</v>
          </cell>
          <cell r="S44">
            <v>33</v>
          </cell>
          <cell r="T44">
            <v>394</v>
          </cell>
        </row>
        <row r="45">
          <cell r="A45" t="str">
            <v>LIB</v>
          </cell>
          <cell r="B45">
            <v>15</v>
          </cell>
          <cell r="C45">
            <v>14</v>
          </cell>
          <cell r="D45">
            <v>21</v>
          </cell>
          <cell r="G45">
            <v>11</v>
          </cell>
          <cell r="H45">
            <v>11</v>
          </cell>
          <cell r="T45">
            <v>72</v>
          </cell>
        </row>
        <row r="46">
          <cell r="A46" t="str">
            <v>LNSK</v>
          </cell>
          <cell r="B46">
            <v>53</v>
          </cell>
          <cell r="C46">
            <v>69</v>
          </cell>
          <cell r="D46">
            <v>90</v>
          </cell>
          <cell r="E46">
            <v>84</v>
          </cell>
          <cell r="F46">
            <v>91</v>
          </cell>
          <cell r="G46">
            <v>65</v>
          </cell>
          <cell r="H46">
            <v>73</v>
          </cell>
          <cell r="I46">
            <v>95</v>
          </cell>
          <cell r="J46">
            <v>79</v>
          </cell>
          <cell r="K46">
            <v>76</v>
          </cell>
          <cell r="L46">
            <v>7</v>
          </cell>
          <cell r="M46">
            <v>10</v>
          </cell>
          <cell r="R46">
            <v>86</v>
          </cell>
          <cell r="S46">
            <v>82</v>
          </cell>
          <cell r="T46">
            <v>960</v>
          </cell>
        </row>
        <row r="47">
          <cell r="A47" t="str">
            <v>MATH</v>
          </cell>
          <cell r="B47">
            <v>2260</v>
          </cell>
          <cell r="C47">
            <v>2280</v>
          </cell>
          <cell r="D47">
            <v>2371</v>
          </cell>
          <cell r="E47">
            <v>2040</v>
          </cell>
          <cell r="F47">
            <v>1797</v>
          </cell>
          <cell r="G47">
            <v>2207</v>
          </cell>
          <cell r="H47">
            <v>2134</v>
          </cell>
          <cell r="I47">
            <v>2039</v>
          </cell>
          <cell r="J47">
            <v>2157</v>
          </cell>
          <cell r="K47">
            <v>2126</v>
          </cell>
          <cell r="L47">
            <v>520</v>
          </cell>
          <cell r="M47">
            <v>582</v>
          </cell>
          <cell r="N47">
            <v>551</v>
          </cell>
          <cell r="O47">
            <v>170</v>
          </cell>
          <cell r="Q47">
            <v>111</v>
          </cell>
          <cell r="R47">
            <v>1592</v>
          </cell>
          <cell r="S47">
            <v>2066</v>
          </cell>
          <cell r="T47">
            <v>27003</v>
          </cell>
        </row>
        <row r="48">
          <cell r="A48" t="str">
            <v>MGT</v>
          </cell>
          <cell r="B48">
            <v>46</v>
          </cell>
          <cell r="C48">
            <v>78</v>
          </cell>
          <cell r="D48">
            <v>70</v>
          </cell>
          <cell r="E48">
            <v>114</v>
          </cell>
          <cell r="F48">
            <v>89</v>
          </cell>
          <cell r="G48">
            <v>43</v>
          </cell>
          <cell r="H48">
            <v>76</v>
          </cell>
          <cell r="I48">
            <v>72</v>
          </cell>
          <cell r="J48">
            <v>74</v>
          </cell>
          <cell r="K48">
            <v>73</v>
          </cell>
          <cell r="R48">
            <v>96</v>
          </cell>
          <cell r="S48">
            <v>39</v>
          </cell>
          <cell r="T48">
            <v>870</v>
          </cell>
        </row>
        <row r="49">
          <cell r="A49" t="str">
            <v>MUL</v>
          </cell>
          <cell r="B49">
            <v>210</v>
          </cell>
          <cell r="C49">
            <v>358</v>
          </cell>
          <cell r="D49">
            <v>350</v>
          </cell>
          <cell r="E49">
            <v>369</v>
          </cell>
          <cell r="F49">
            <v>294</v>
          </cell>
          <cell r="G49">
            <v>326</v>
          </cell>
          <cell r="H49">
            <v>325</v>
          </cell>
          <cell r="I49">
            <v>377</v>
          </cell>
          <cell r="J49">
            <v>374</v>
          </cell>
          <cell r="K49">
            <v>265</v>
          </cell>
          <cell r="L49">
            <v>14</v>
          </cell>
          <cell r="M49">
            <v>61</v>
          </cell>
          <cell r="Q49">
            <v>9</v>
          </cell>
          <cell r="R49">
            <v>304</v>
          </cell>
          <cell r="S49">
            <v>281</v>
          </cell>
          <cell r="T49">
            <v>3917</v>
          </cell>
        </row>
        <row r="50">
          <cell r="A50" t="str">
            <v>MUS</v>
          </cell>
          <cell r="B50">
            <v>427</v>
          </cell>
          <cell r="C50">
            <v>543</v>
          </cell>
          <cell r="D50">
            <v>741</v>
          </cell>
          <cell r="E50">
            <v>613</v>
          </cell>
          <cell r="F50">
            <v>657</v>
          </cell>
          <cell r="G50">
            <v>411</v>
          </cell>
          <cell r="H50">
            <v>629</v>
          </cell>
          <cell r="I50">
            <v>630</v>
          </cell>
          <cell r="J50">
            <v>636</v>
          </cell>
          <cell r="K50">
            <v>657</v>
          </cell>
          <cell r="L50">
            <v>51</v>
          </cell>
          <cell r="M50">
            <v>94</v>
          </cell>
          <cell r="R50">
            <v>641</v>
          </cell>
          <cell r="S50">
            <v>581</v>
          </cell>
          <cell r="T50">
            <v>7311</v>
          </cell>
        </row>
        <row r="51">
          <cell r="A51" t="str">
            <v>NET</v>
          </cell>
          <cell r="B51">
            <v>22</v>
          </cell>
          <cell r="C51">
            <v>69</v>
          </cell>
          <cell r="D51">
            <v>30</v>
          </cell>
          <cell r="E51">
            <v>28</v>
          </cell>
          <cell r="F51">
            <v>17</v>
          </cell>
          <cell r="G51">
            <v>37</v>
          </cell>
          <cell r="H51">
            <v>37</v>
          </cell>
          <cell r="I51">
            <v>11</v>
          </cell>
          <cell r="J51">
            <v>25</v>
          </cell>
          <cell r="K51">
            <v>16</v>
          </cell>
          <cell r="T51">
            <v>292</v>
          </cell>
        </row>
        <row r="52">
          <cell r="A52" t="str">
            <v>NURS</v>
          </cell>
          <cell r="B52">
            <v>732</v>
          </cell>
          <cell r="C52">
            <v>751</v>
          </cell>
          <cell r="D52">
            <v>988</v>
          </cell>
          <cell r="E52">
            <v>794</v>
          </cell>
          <cell r="F52">
            <v>564</v>
          </cell>
          <cell r="G52">
            <v>872</v>
          </cell>
          <cell r="H52">
            <v>885</v>
          </cell>
          <cell r="I52">
            <v>862</v>
          </cell>
          <cell r="J52">
            <v>810</v>
          </cell>
          <cell r="K52">
            <v>527</v>
          </cell>
          <cell r="L52">
            <v>49</v>
          </cell>
          <cell r="M52">
            <v>60</v>
          </cell>
          <cell r="N52">
            <v>51</v>
          </cell>
          <cell r="O52">
            <v>28</v>
          </cell>
          <cell r="R52">
            <v>430</v>
          </cell>
          <cell r="S52">
            <v>420</v>
          </cell>
          <cell r="T52">
            <v>8823</v>
          </cell>
        </row>
        <row r="53">
          <cell r="A53" t="str">
            <v>NUTR</v>
          </cell>
          <cell r="B53">
            <v>164</v>
          </cell>
          <cell r="C53">
            <v>147</v>
          </cell>
          <cell r="D53">
            <v>115</v>
          </cell>
          <cell r="E53">
            <v>109</v>
          </cell>
          <cell r="F53">
            <v>116</v>
          </cell>
          <cell r="G53">
            <v>139</v>
          </cell>
          <cell r="H53">
            <v>104</v>
          </cell>
          <cell r="I53">
            <v>128</v>
          </cell>
          <cell r="J53">
            <v>78</v>
          </cell>
          <cell r="K53">
            <v>75</v>
          </cell>
          <cell r="L53">
            <v>37</v>
          </cell>
          <cell r="M53">
            <v>27</v>
          </cell>
          <cell r="R53">
            <v>98</v>
          </cell>
          <cell r="S53">
            <v>100</v>
          </cell>
          <cell r="T53">
            <v>1437</v>
          </cell>
        </row>
        <row r="54">
          <cell r="A54" t="str">
            <v>OI</v>
          </cell>
          <cell r="B54">
            <v>7</v>
          </cell>
          <cell r="C54">
            <v>1</v>
          </cell>
          <cell r="G54">
            <v>11</v>
          </cell>
          <cell r="H54">
            <v>12</v>
          </cell>
          <cell r="K54">
            <v>2</v>
          </cell>
          <cell r="S54">
            <v>1</v>
          </cell>
          <cell r="T54">
            <v>34</v>
          </cell>
        </row>
        <row r="55">
          <cell r="A55" t="str">
            <v>OTEC</v>
          </cell>
          <cell r="B55">
            <v>41</v>
          </cell>
          <cell r="C55">
            <v>64</v>
          </cell>
          <cell r="D55">
            <v>49</v>
          </cell>
          <cell r="E55">
            <v>55</v>
          </cell>
          <cell r="F55">
            <v>67</v>
          </cell>
          <cell r="G55">
            <v>62</v>
          </cell>
          <cell r="H55">
            <v>51</v>
          </cell>
          <cell r="I55">
            <v>69</v>
          </cell>
          <cell r="J55">
            <v>43</v>
          </cell>
          <cell r="K55">
            <v>67</v>
          </cell>
          <cell r="L55">
            <v>14</v>
          </cell>
          <cell r="R55">
            <v>46</v>
          </cell>
          <cell r="S55">
            <v>51</v>
          </cell>
          <cell r="T55">
            <v>679</v>
          </cell>
        </row>
        <row r="56">
          <cell r="A56" t="str">
            <v>PE</v>
          </cell>
          <cell r="B56">
            <v>343</v>
          </cell>
          <cell r="C56">
            <v>404</v>
          </cell>
          <cell r="D56">
            <v>487</v>
          </cell>
          <cell r="E56">
            <v>496</v>
          </cell>
          <cell r="F56">
            <v>298</v>
          </cell>
          <cell r="G56">
            <v>328</v>
          </cell>
          <cell r="H56">
            <v>452</v>
          </cell>
          <cell r="I56">
            <v>502</v>
          </cell>
          <cell r="J56">
            <v>436</v>
          </cell>
          <cell r="K56">
            <v>428</v>
          </cell>
          <cell r="L56">
            <v>52</v>
          </cell>
          <cell r="M56">
            <v>56</v>
          </cell>
          <cell r="N56">
            <v>29</v>
          </cell>
          <cell r="O56">
            <v>45</v>
          </cell>
          <cell r="R56">
            <v>413</v>
          </cell>
          <cell r="T56">
            <v>4769</v>
          </cell>
        </row>
        <row r="57">
          <cell r="A57" t="str">
            <v>PEIC</v>
          </cell>
          <cell r="F57">
            <v>17</v>
          </cell>
          <cell r="K57">
            <v>23</v>
          </cell>
          <cell r="P57" t="str">
            <v>28</v>
          </cell>
          <cell r="Q57">
            <v>30</v>
          </cell>
          <cell r="R57">
            <v>13</v>
          </cell>
          <cell r="T57">
            <v>111</v>
          </cell>
        </row>
        <row r="58">
          <cell r="A58" t="str">
            <v>PHIL</v>
          </cell>
          <cell r="B58">
            <v>325</v>
          </cell>
          <cell r="C58">
            <v>360</v>
          </cell>
          <cell r="D58">
            <v>304</v>
          </cell>
          <cell r="E58">
            <v>195</v>
          </cell>
          <cell r="F58">
            <v>191</v>
          </cell>
          <cell r="G58">
            <v>303</v>
          </cell>
          <cell r="H58">
            <v>396</v>
          </cell>
          <cell r="I58">
            <v>210</v>
          </cell>
          <cell r="J58">
            <v>207</v>
          </cell>
          <cell r="K58">
            <v>229</v>
          </cell>
          <cell r="L58">
            <v>51</v>
          </cell>
          <cell r="M58">
            <v>67</v>
          </cell>
          <cell r="R58">
            <v>197</v>
          </cell>
          <cell r="S58">
            <v>216</v>
          </cell>
          <cell r="T58">
            <v>3251</v>
          </cell>
        </row>
        <row r="59">
          <cell r="A59" t="str">
            <v>PHOT</v>
          </cell>
          <cell r="B59">
            <v>83</v>
          </cell>
          <cell r="C59">
            <v>140</v>
          </cell>
          <cell r="D59">
            <v>161</v>
          </cell>
          <cell r="E59">
            <v>211</v>
          </cell>
          <cell r="F59">
            <v>274</v>
          </cell>
          <cell r="G59">
            <v>126</v>
          </cell>
          <cell r="H59">
            <v>181</v>
          </cell>
          <cell r="I59">
            <v>188</v>
          </cell>
          <cell r="J59">
            <v>202</v>
          </cell>
          <cell r="K59">
            <v>267</v>
          </cell>
          <cell r="R59">
            <v>248</v>
          </cell>
          <cell r="S59">
            <v>232</v>
          </cell>
          <cell r="T59">
            <v>2313</v>
          </cell>
        </row>
        <row r="60">
          <cell r="A60" t="str">
            <v>PHY</v>
          </cell>
          <cell r="B60">
            <v>74</v>
          </cell>
          <cell r="C60">
            <v>122</v>
          </cell>
          <cell r="D60">
            <v>113</v>
          </cell>
          <cell r="E60">
            <v>142</v>
          </cell>
          <cell r="F60">
            <v>132</v>
          </cell>
          <cell r="G60">
            <v>44</v>
          </cell>
          <cell r="H60">
            <v>54</v>
          </cell>
          <cell r="I60">
            <v>75</v>
          </cell>
          <cell r="J60">
            <v>103</v>
          </cell>
          <cell r="K60">
            <v>95</v>
          </cell>
          <cell r="L60">
            <v>21</v>
          </cell>
          <cell r="M60">
            <v>22</v>
          </cell>
          <cell r="N60">
            <v>25</v>
          </cell>
          <cell r="R60">
            <v>117</v>
          </cell>
          <cell r="S60">
            <v>113</v>
          </cell>
          <cell r="T60">
            <v>1252</v>
          </cell>
        </row>
        <row r="61">
          <cell r="A61" t="str">
            <v>PORT</v>
          </cell>
          <cell r="E61">
            <v>13</v>
          </cell>
          <cell r="I61">
            <v>28</v>
          </cell>
          <cell r="J61">
            <v>5</v>
          </cell>
          <cell r="T61">
            <v>46</v>
          </cell>
        </row>
        <row r="62">
          <cell r="A62" t="str">
            <v>PS</v>
          </cell>
          <cell r="B62">
            <v>642</v>
          </cell>
          <cell r="C62">
            <v>652</v>
          </cell>
          <cell r="D62">
            <v>735</v>
          </cell>
          <cell r="E62">
            <v>576</v>
          </cell>
          <cell r="F62">
            <v>508</v>
          </cell>
          <cell r="G62">
            <v>625</v>
          </cell>
          <cell r="H62">
            <v>701</v>
          </cell>
          <cell r="I62">
            <v>692</v>
          </cell>
          <cell r="J62">
            <v>555</v>
          </cell>
          <cell r="K62">
            <v>566</v>
          </cell>
          <cell r="L62">
            <v>97</v>
          </cell>
          <cell r="M62">
            <v>137</v>
          </cell>
          <cell r="N62">
            <v>48</v>
          </cell>
          <cell r="O62">
            <v>45</v>
          </cell>
          <cell r="Q62">
            <v>51</v>
          </cell>
          <cell r="R62">
            <v>505</v>
          </cell>
          <cell r="S62">
            <v>474</v>
          </cell>
          <cell r="T62">
            <v>7609</v>
          </cell>
        </row>
        <row r="63">
          <cell r="A63" t="str">
            <v>PSYC</v>
          </cell>
          <cell r="B63">
            <v>744</v>
          </cell>
          <cell r="C63">
            <v>778</v>
          </cell>
          <cell r="D63">
            <v>805</v>
          </cell>
          <cell r="E63">
            <v>691</v>
          </cell>
          <cell r="F63">
            <v>638</v>
          </cell>
          <cell r="G63">
            <v>736</v>
          </cell>
          <cell r="H63">
            <v>725</v>
          </cell>
          <cell r="I63">
            <v>745</v>
          </cell>
          <cell r="J63">
            <v>664</v>
          </cell>
          <cell r="K63">
            <v>688</v>
          </cell>
          <cell r="L63">
            <v>67</v>
          </cell>
          <cell r="M63">
            <v>105</v>
          </cell>
          <cell r="N63">
            <v>37</v>
          </cell>
          <cell r="O63">
            <v>10</v>
          </cell>
          <cell r="R63">
            <v>572</v>
          </cell>
          <cell r="S63">
            <v>557</v>
          </cell>
          <cell r="T63">
            <v>8562</v>
          </cell>
        </row>
        <row r="64">
          <cell r="A64" t="str">
            <v>RE</v>
          </cell>
          <cell r="B64">
            <v>163</v>
          </cell>
          <cell r="C64">
            <v>48</v>
          </cell>
          <cell r="D64">
            <v>139</v>
          </cell>
          <cell r="E64">
            <v>163</v>
          </cell>
          <cell r="F64">
            <v>161</v>
          </cell>
          <cell r="G64">
            <v>94</v>
          </cell>
          <cell r="H64">
            <v>101</v>
          </cell>
          <cell r="I64">
            <v>143</v>
          </cell>
          <cell r="J64">
            <v>183</v>
          </cell>
          <cell r="K64">
            <v>118</v>
          </cell>
          <cell r="L64">
            <v>27</v>
          </cell>
          <cell r="M64">
            <v>15</v>
          </cell>
          <cell r="R64">
            <v>133</v>
          </cell>
          <cell r="S64">
            <v>120</v>
          </cell>
          <cell r="T64">
            <v>1608</v>
          </cell>
        </row>
        <row r="65">
          <cell r="A65" t="str">
            <v>READ</v>
          </cell>
          <cell r="B65">
            <v>103</v>
          </cell>
          <cell r="C65">
            <v>75</v>
          </cell>
          <cell r="D65">
            <v>113</v>
          </cell>
          <cell r="E65">
            <v>67</v>
          </cell>
          <cell r="F65">
            <v>53</v>
          </cell>
          <cell r="G65">
            <v>56</v>
          </cell>
          <cell r="H65">
            <v>108</v>
          </cell>
          <cell r="I65">
            <v>100</v>
          </cell>
          <cell r="J65">
            <v>60</v>
          </cell>
          <cell r="K65">
            <v>52</v>
          </cell>
          <cell r="T65">
            <v>787</v>
          </cell>
        </row>
        <row r="66">
          <cell r="A66" t="str">
            <v>SEMA</v>
          </cell>
          <cell r="J66">
            <v>30</v>
          </cell>
          <cell r="K66">
            <v>22</v>
          </cell>
          <cell r="R66">
            <v>20</v>
          </cell>
          <cell r="T66">
            <v>72</v>
          </cell>
        </row>
        <row r="67">
          <cell r="A67" t="str">
            <v>SGA</v>
          </cell>
          <cell r="H67">
            <v>3</v>
          </cell>
          <cell r="T67">
            <v>3</v>
          </cell>
        </row>
        <row r="68">
          <cell r="A68" t="str">
            <v>SOCI</v>
          </cell>
          <cell r="B68">
            <v>494</v>
          </cell>
          <cell r="C68">
            <v>550</v>
          </cell>
          <cell r="D68">
            <v>700</v>
          </cell>
          <cell r="E68">
            <v>620</v>
          </cell>
          <cell r="F68">
            <v>543</v>
          </cell>
          <cell r="G68">
            <v>463</v>
          </cell>
          <cell r="H68">
            <v>621</v>
          </cell>
          <cell r="I68">
            <v>683</v>
          </cell>
          <cell r="J68">
            <v>580</v>
          </cell>
          <cell r="K68">
            <v>477</v>
          </cell>
          <cell r="L68">
            <v>41</v>
          </cell>
          <cell r="M68">
            <v>79</v>
          </cell>
          <cell r="N68">
            <v>34</v>
          </cell>
          <cell r="R68">
            <v>493</v>
          </cell>
          <cell r="S68">
            <v>449</v>
          </cell>
          <cell r="T68">
            <v>6827</v>
          </cell>
        </row>
        <row r="69">
          <cell r="A69" t="str">
            <v>SPAN</v>
          </cell>
          <cell r="B69">
            <v>292</v>
          </cell>
          <cell r="C69">
            <v>326</v>
          </cell>
          <cell r="D69">
            <v>339</v>
          </cell>
          <cell r="E69">
            <v>360</v>
          </cell>
          <cell r="F69">
            <v>339</v>
          </cell>
          <cell r="G69">
            <v>319</v>
          </cell>
          <cell r="H69">
            <v>345</v>
          </cell>
          <cell r="I69">
            <v>328</v>
          </cell>
          <cell r="J69">
            <v>364</v>
          </cell>
          <cell r="K69">
            <v>344</v>
          </cell>
          <cell r="L69">
            <v>84</v>
          </cell>
          <cell r="M69">
            <v>93</v>
          </cell>
          <cell r="N69">
            <v>29</v>
          </cell>
          <cell r="R69">
            <v>307</v>
          </cell>
          <cell r="S69">
            <v>264</v>
          </cell>
          <cell r="T69">
            <v>4133</v>
          </cell>
        </row>
        <row r="70">
          <cell r="A70" t="str">
            <v>TA</v>
          </cell>
          <cell r="B70">
            <v>13</v>
          </cell>
          <cell r="C70">
            <v>20</v>
          </cell>
          <cell r="D70">
            <v>34</v>
          </cell>
          <cell r="F70">
            <v>24</v>
          </cell>
          <cell r="G70">
            <v>15</v>
          </cell>
          <cell r="H70">
            <v>33</v>
          </cell>
          <cell r="I70">
            <v>26</v>
          </cell>
          <cell r="J70">
            <v>36</v>
          </cell>
          <cell r="K70">
            <v>26</v>
          </cell>
          <cell r="L70">
            <v>8</v>
          </cell>
          <cell r="M70">
            <v>20</v>
          </cell>
          <cell r="Q70">
            <v>28</v>
          </cell>
          <cell r="T70">
            <v>283</v>
          </cell>
        </row>
        <row r="71">
          <cell r="A71" t="str">
            <v>THA</v>
          </cell>
          <cell r="B71">
            <v>112</v>
          </cell>
          <cell r="C71">
            <v>189</v>
          </cell>
          <cell r="D71">
            <v>202</v>
          </cell>
          <cell r="E71">
            <v>197</v>
          </cell>
          <cell r="F71">
            <v>178</v>
          </cell>
          <cell r="G71">
            <v>124</v>
          </cell>
          <cell r="H71">
            <v>174</v>
          </cell>
          <cell r="I71">
            <v>188</v>
          </cell>
          <cell r="J71">
            <v>215</v>
          </cell>
          <cell r="K71">
            <v>197</v>
          </cell>
          <cell r="L71">
            <v>8</v>
          </cell>
          <cell r="M71">
            <v>6</v>
          </cell>
          <cell r="R71">
            <v>182</v>
          </cell>
          <cell r="S71">
            <v>99</v>
          </cell>
          <cell r="T71">
            <v>2071</v>
          </cell>
        </row>
        <row r="72">
          <cell r="A72" t="str">
            <v>VEW</v>
          </cell>
          <cell r="D72">
            <v>17</v>
          </cell>
          <cell r="F72">
            <v>3</v>
          </cell>
          <cell r="I72">
            <v>42</v>
          </cell>
          <cell r="J72">
            <v>6</v>
          </cell>
          <cell r="K72">
            <v>4</v>
          </cell>
          <cell r="Q72">
            <v>2</v>
          </cell>
          <cell r="T72">
            <v>74</v>
          </cell>
        </row>
        <row r="73">
          <cell r="A73" t="str">
            <v>WATR</v>
          </cell>
          <cell r="B73">
            <v>175</v>
          </cell>
          <cell r="C73">
            <v>305</v>
          </cell>
          <cell r="D73">
            <v>268</v>
          </cell>
          <cell r="E73">
            <v>196</v>
          </cell>
          <cell r="F73">
            <v>151</v>
          </cell>
          <cell r="G73">
            <v>155</v>
          </cell>
          <cell r="H73">
            <v>218</v>
          </cell>
          <cell r="I73">
            <v>157</v>
          </cell>
          <cell r="J73">
            <v>172</v>
          </cell>
          <cell r="K73">
            <v>109</v>
          </cell>
          <cell r="L73">
            <v>52</v>
          </cell>
          <cell r="M73">
            <v>74</v>
          </cell>
          <cell r="R73">
            <v>75</v>
          </cell>
          <cell r="S73">
            <v>74</v>
          </cell>
          <cell r="T73">
            <v>2181</v>
          </cell>
        </row>
        <row r="74">
          <cell r="A74" t="str">
            <v>Grand Total</v>
          </cell>
          <cell r="B74">
            <v>16414</v>
          </cell>
          <cell r="C74">
            <v>18267</v>
          </cell>
          <cell r="D74">
            <v>19989</v>
          </cell>
          <cell r="E74">
            <v>17464</v>
          </cell>
          <cell r="F74">
            <v>16080</v>
          </cell>
          <cell r="G74">
            <v>16308</v>
          </cell>
          <cell r="H74">
            <v>18353</v>
          </cell>
          <cell r="I74">
            <v>18736</v>
          </cell>
          <cell r="J74">
            <v>17622</v>
          </cell>
          <cell r="K74">
            <v>16714</v>
          </cell>
          <cell r="L74">
            <v>2823</v>
          </cell>
          <cell r="M74">
            <v>3262</v>
          </cell>
          <cell r="N74">
            <v>1602</v>
          </cell>
          <cell r="O74">
            <v>754</v>
          </cell>
          <cell r="P74" t="str">
            <v>37</v>
          </cell>
          <cell r="Q74">
            <v>590</v>
          </cell>
          <cell r="R74">
            <v>14975</v>
          </cell>
          <cell r="S74">
            <v>14760</v>
          </cell>
          <cell r="T74">
            <v>214750</v>
          </cell>
        </row>
      </sheetData>
      <sheetData sheetId="6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SP08</v>
          </cell>
          <cell r="H1" t="str">
            <v>SP09</v>
          </cell>
          <cell r="I1" t="str">
            <v>SP10</v>
          </cell>
          <cell r="J1" t="str">
            <v>SP11</v>
          </cell>
          <cell r="K1" t="str">
            <v>SP12</v>
          </cell>
          <cell r="L1" t="str">
            <v>SU07</v>
          </cell>
          <cell r="M1" t="str">
            <v>SU08</v>
          </cell>
          <cell r="N1" t="str">
            <v>SU09</v>
          </cell>
          <cell r="O1" t="str">
            <v>SU10</v>
          </cell>
          <cell r="P1" t="str">
            <v>SU11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 t="str">
            <v>0</v>
          </cell>
          <cell r="V1" t="str">
            <v>01</v>
          </cell>
          <cell r="W1" t="str">
            <v>02</v>
          </cell>
          <cell r="X1" t="str">
            <v>03</v>
          </cell>
          <cell r="Y1" t="str">
            <v>04</v>
          </cell>
          <cell r="Z1" t="str">
            <v>05</v>
          </cell>
        </row>
        <row r="2">
          <cell r="A2" t="str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 t="str">
            <v>12</v>
          </cell>
          <cell r="M2" t="str">
            <v>13</v>
          </cell>
          <cell r="N2" t="str">
            <v>14</v>
          </cell>
          <cell r="O2" t="str">
            <v>15</v>
          </cell>
          <cell r="P2" t="str">
            <v>16</v>
          </cell>
          <cell r="Q2" t="str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Count</v>
          </cell>
        </row>
        <row r="4">
          <cell r="A4" t="str">
            <v>Row Labels</v>
          </cell>
          <cell r="L4" t="str">
            <v>SU07</v>
          </cell>
          <cell r="M4" t="str">
            <v>SU08</v>
          </cell>
          <cell r="N4" t="str">
            <v>SU09</v>
          </cell>
          <cell r="O4" t="str">
            <v>SU10</v>
          </cell>
          <cell r="P4" t="str">
            <v>SU11</v>
          </cell>
          <cell r="Q4" t="str">
            <v>SU12</v>
          </cell>
        </row>
        <row r="5">
          <cell r="A5" t="str">
            <v>ACCT-075</v>
          </cell>
          <cell r="B5">
            <v>29</v>
          </cell>
          <cell r="C5">
            <v>45</v>
          </cell>
          <cell r="D5">
            <v>29</v>
          </cell>
          <cell r="G5">
            <v>21</v>
          </cell>
          <cell r="H5">
            <v>32</v>
          </cell>
          <cell r="I5">
            <v>51</v>
          </cell>
          <cell r="T5">
            <v>207</v>
          </cell>
        </row>
        <row r="6">
          <cell r="A6" t="str">
            <v>ACCT-076</v>
          </cell>
          <cell r="E6">
            <v>36</v>
          </cell>
          <cell r="F6">
            <v>42</v>
          </cell>
          <cell r="J6">
            <v>44</v>
          </cell>
          <cell r="K6">
            <v>36</v>
          </cell>
          <cell r="R6">
            <v>46</v>
          </cell>
          <cell r="S6">
            <v>42</v>
          </cell>
          <cell r="T6">
            <v>246</v>
          </cell>
        </row>
        <row r="7">
          <cell r="A7" t="str">
            <v>ACCT-077</v>
          </cell>
          <cell r="F7">
            <v>20</v>
          </cell>
          <cell r="J7">
            <v>18</v>
          </cell>
          <cell r="K7">
            <v>19</v>
          </cell>
          <cell r="R7">
            <v>18</v>
          </cell>
          <cell r="S7">
            <v>27</v>
          </cell>
          <cell r="T7">
            <v>102</v>
          </cell>
        </row>
        <row r="8">
          <cell r="A8" t="str">
            <v>ACCT-080</v>
          </cell>
          <cell r="E8">
            <v>20</v>
          </cell>
          <cell r="T8">
            <v>20</v>
          </cell>
        </row>
        <row r="9">
          <cell r="A9" t="str">
            <v>ACCT-124</v>
          </cell>
          <cell r="B9">
            <v>76</v>
          </cell>
          <cell r="C9">
            <v>90</v>
          </cell>
          <cell r="D9">
            <v>90</v>
          </cell>
          <cell r="E9">
            <v>99</v>
          </cell>
          <cell r="F9">
            <v>93</v>
          </cell>
          <cell r="G9">
            <v>69</v>
          </cell>
          <cell r="H9">
            <v>97</v>
          </cell>
          <cell r="I9">
            <v>100</v>
          </cell>
          <cell r="J9">
            <v>94</v>
          </cell>
          <cell r="K9">
            <v>85</v>
          </cell>
          <cell r="R9">
            <v>90</v>
          </cell>
          <cell r="S9">
            <v>117</v>
          </cell>
          <cell r="T9">
            <v>1100</v>
          </cell>
        </row>
        <row r="10">
          <cell r="A10" t="str">
            <v>ACCT-124H</v>
          </cell>
          <cell r="B10">
            <v>2</v>
          </cell>
          <cell r="F10">
            <v>1</v>
          </cell>
          <cell r="G10">
            <v>3</v>
          </cell>
          <cell r="H10">
            <v>2</v>
          </cell>
          <cell r="I10">
            <v>2</v>
          </cell>
          <cell r="K10">
            <v>2</v>
          </cell>
          <cell r="R10">
            <v>2</v>
          </cell>
          <cell r="S10">
            <v>1</v>
          </cell>
          <cell r="T10">
            <v>15</v>
          </cell>
        </row>
        <row r="11">
          <cell r="A11" t="str">
            <v>ACCT-125</v>
          </cell>
          <cell r="B11">
            <v>14</v>
          </cell>
          <cell r="C11">
            <v>10</v>
          </cell>
          <cell r="D11">
            <v>17</v>
          </cell>
          <cell r="E11">
            <v>17</v>
          </cell>
          <cell r="F11">
            <v>16</v>
          </cell>
          <cell r="G11">
            <v>13</v>
          </cell>
          <cell r="H11">
            <v>10</v>
          </cell>
          <cell r="I11">
            <v>27</v>
          </cell>
          <cell r="J11">
            <v>28</v>
          </cell>
          <cell r="K11">
            <v>27</v>
          </cell>
          <cell r="R11">
            <v>47</v>
          </cell>
          <cell r="S11">
            <v>52</v>
          </cell>
          <cell r="T11">
            <v>278</v>
          </cell>
        </row>
        <row r="12">
          <cell r="A12" t="str">
            <v>ACCT-125H</v>
          </cell>
          <cell r="C12">
            <v>1</v>
          </cell>
          <cell r="T12">
            <v>1</v>
          </cell>
        </row>
        <row r="13">
          <cell r="A13" t="str">
            <v>ACCT-126</v>
          </cell>
          <cell r="S13">
            <v>22</v>
          </cell>
          <cell r="T13">
            <v>22</v>
          </cell>
        </row>
        <row r="14">
          <cell r="A14" t="str">
            <v>ACCT-127</v>
          </cell>
          <cell r="J14">
            <v>15</v>
          </cell>
          <cell r="T14">
            <v>15</v>
          </cell>
        </row>
        <row r="15">
          <cell r="A15" t="str">
            <v>ADS-090</v>
          </cell>
          <cell r="B15">
            <v>17</v>
          </cell>
          <cell r="C15">
            <v>27</v>
          </cell>
          <cell r="D15">
            <v>30</v>
          </cell>
          <cell r="E15">
            <v>24</v>
          </cell>
          <cell r="G15">
            <v>30</v>
          </cell>
          <cell r="H15">
            <v>30</v>
          </cell>
          <cell r="I15">
            <v>23</v>
          </cell>
          <cell r="O15" t="str">
            <v>19</v>
          </cell>
          <cell r="T15">
            <v>200</v>
          </cell>
        </row>
        <row r="16">
          <cell r="A16" t="str">
            <v>ADS-101</v>
          </cell>
          <cell r="F16">
            <v>27</v>
          </cell>
          <cell r="I16">
            <v>13</v>
          </cell>
          <cell r="J16">
            <v>40</v>
          </cell>
          <cell r="K16">
            <v>33</v>
          </cell>
          <cell r="T16">
            <v>113</v>
          </cell>
        </row>
        <row r="17">
          <cell r="A17" t="str">
            <v>ADS-103</v>
          </cell>
          <cell r="R17">
            <v>16</v>
          </cell>
          <cell r="T17">
            <v>16</v>
          </cell>
        </row>
        <row r="18">
          <cell r="A18" t="str">
            <v>ADS-104</v>
          </cell>
          <cell r="S18">
            <v>33</v>
          </cell>
          <cell r="T18">
            <v>33</v>
          </cell>
        </row>
        <row r="19">
          <cell r="A19" t="str">
            <v>ADS-105</v>
          </cell>
          <cell r="F19">
            <v>12</v>
          </cell>
          <cell r="S19">
            <v>20</v>
          </cell>
          <cell r="T19">
            <v>32</v>
          </cell>
        </row>
        <row r="20">
          <cell r="A20" t="str">
            <v>ADS-110</v>
          </cell>
          <cell r="O20" t="str">
            <v>20</v>
          </cell>
          <cell r="S20">
            <v>19</v>
          </cell>
          <cell r="T20">
            <v>39</v>
          </cell>
        </row>
        <row r="21">
          <cell r="A21" t="str">
            <v>ADS-115</v>
          </cell>
          <cell r="F21">
            <v>5</v>
          </cell>
          <cell r="H21">
            <v>11</v>
          </cell>
          <cell r="I21">
            <v>9</v>
          </cell>
          <cell r="J21">
            <v>29</v>
          </cell>
          <cell r="T21">
            <v>54</v>
          </cell>
        </row>
        <row r="22">
          <cell r="A22" t="str">
            <v>ADS-120</v>
          </cell>
          <cell r="F22">
            <v>19</v>
          </cell>
          <cell r="J22">
            <v>17</v>
          </cell>
          <cell r="S22">
            <v>15</v>
          </cell>
          <cell r="T22">
            <v>51</v>
          </cell>
        </row>
        <row r="23">
          <cell r="A23" t="str">
            <v>ADS-149</v>
          </cell>
          <cell r="E23">
            <v>4</v>
          </cell>
          <cell r="F23">
            <v>15</v>
          </cell>
          <cell r="I23">
            <v>3</v>
          </cell>
          <cell r="J23">
            <v>4</v>
          </cell>
          <cell r="K23">
            <v>11</v>
          </cell>
          <cell r="R23">
            <v>7</v>
          </cell>
          <cell r="S23">
            <v>6</v>
          </cell>
          <cell r="T23">
            <v>50</v>
          </cell>
        </row>
        <row r="24">
          <cell r="A24" t="str">
            <v>ADS-150</v>
          </cell>
          <cell r="E24">
            <v>4</v>
          </cell>
          <cell r="H24">
            <v>6</v>
          </cell>
          <cell r="K24">
            <v>10</v>
          </cell>
          <cell r="R24">
            <v>7</v>
          </cell>
          <cell r="S24">
            <v>6</v>
          </cell>
          <cell r="T24">
            <v>33</v>
          </cell>
        </row>
        <row r="25">
          <cell r="A25" t="str">
            <v>AH-072</v>
          </cell>
          <cell r="B25">
            <v>18</v>
          </cell>
          <cell r="C25">
            <v>26</v>
          </cell>
          <cell r="D25">
            <v>28</v>
          </cell>
          <cell r="E25">
            <v>27</v>
          </cell>
          <cell r="G25">
            <v>13</v>
          </cell>
          <cell r="H25">
            <v>25</v>
          </cell>
          <cell r="I25">
            <v>31</v>
          </cell>
          <cell r="J25">
            <v>21</v>
          </cell>
          <cell r="T25">
            <v>189</v>
          </cell>
        </row>
        <row r="26">
          <cell r="A26" t="str">
            <v>AH-073</v>
          </cell>
          <cell r="B26">
            <v>15</v>
          </cell>
          <cell r="C26">
            <v>20</v>
          </cell>
          <cell r="D26">
            <v>25</v>
          </cell>
          <cell r="E26">
            <v>24</v>
          </cell>
          <cell r="G26">
            <v>18</v>
          </cell>
          <cell r="H26">
            <v>28</v>
          </cell>
          <cell r="I26">
            <v>33</v>
          </cell>
          <cell r="J26">
            <v>21</v>
          </cell>
          <cell r="T26">
            <v>184</v>
          </cell>
        </row>
        <row r="27">
          <cell r="A27" t="str">
            <v>AH-078</v>
          </cell>
          <cell r="C27">
            <v>13</v>
          </cell>
          <cell r="D27">
            <v>21</v>
          </cell>
          <cell r="E27">
            <v>22</v>
          </cell>
          <cell r="H27">
            <v>29</v>
          </cell>
          <cell r="I27">
            <v>37</v>
          </cell>
          <cell r="J27">
            <v>23</v>
          </cell>
          <cell r="T27">
            <v>145</v>
          </cell>
        </row>
        <row r="28">
          <cell r="A28" t="str">
            <v>AH-082</v>
          </cell>
          <cell r="B28">
            <v>49</v>
          </cell>
          <cell r="C28">
            <v>24</v>
          </cell>
          <cell r="D28">
            <v>23</v>
          </cell>
          <cell r="E28">
            <v>21</v>
          </cell>
          <cell r="G28">
            <v>30</v>
          </cell>
          <cell r="H28">
            <v>17</v>
          </cell>
          <cell r="I28">
            <v>18</v>
          </cell>
          <cell r="J28">
            <v>24</v>
          </cell>
          <cell r="O28" t="str">
            <v>23</v>
          </cell>
          <cell r="T28">
            <v>229</v>
          </cell>
        </row>
        <row r="29">
          <cell r="A29" t="str">
            <v>AH-095</v>
          </cell>
          <cell r="B29">
            <v>74</v>
          </cell>
          <cell r="C29">
            <v>24</v>
          </cell>
          <cell r="D29">
            <v>41</v>
          </cell>
          <cell r="E29">
            <v>38</v>
          </cell>
          <cell r="F29">
            <v>21</v>
          </cell>
          <cell r="G29">
            <v>82</v>
          </cell>
          <cell r="H29">
            <v>29</v>
          </cell>
          <cell r="I29">
            <v>42</v>
          </cell>
          <cell r="J29">
            <v>22</v>
          </cell>
          <cell r="K29">
            <v>27</v>
          </cell>
          <cell r="L29" t="str">
            <v>22</v>
          </cell>
          <cell r="M29" t="str">
            <v>16</v>
          </cell>
          <cell r="O29" t="str">
            <v>29</v>
          </cell>
          <cell r="T29">
            <v>467</v>
          </cell>
        </row>
        <row r="30">
          <cell r="A30" t="str">
            <v>AH-120</v>
          </cell>
          <cell r="B30">
            <v>116</v>
          </cell>
          <cell r="C30">
            <v>165</v>
          </cell>
          <cell r="D30">
            <v>137</v>
          </cell>
          <cell r="E30">
            <v>129</v>
          </cell>
          <cell r="F30">
            <v>127</v>
          </cell>
          <cell r="G30">
            <v>143</v>
          </cell>
          <cell r="H30">
            <v>137</v>
          </cell>
          <cell r="I30">
            <v>127</v>
          </cell>
          <cell r="J30">
            <v>123</v>
          </cell>
          <cell r="K30">
            <v>126</v>
          </cell>
          <cell r="L30" t="str">
            <v>45</v>
          </cell>
          <cell r="M30" t="str">
            <v>35</v>
          </cell>
          <cell r="N30" t="str">
            <v>23</v>
          </cell>
          <cell r="O30" t="str">
            <v>28</v>
          </cell>
          <cell r="Q30" t="str">
            <v>21</v>
          </cell>
          <cell r="R30">
            <v>76</v>
          </cell>
          <cell r="S30">
            <v>87</v>
          </cell>
          <cell r="T30">
            <v>1645</v>
          </cell>
        </row>
        <row r="31">
          <cell r="A31" t="str">
            <v>AH-120B</v>
          </cell>
          <cell r="B31">
            <v>7</v>
          </cell>
          <cell r="D31">
            <v>11</v>
          </cell>
          <cell r="G31">
            <v>12</v>
          </cell>
          <cell r="T31">
            <v>30</v>
          </cell>
        </row>
        <row r="32">
          <cell r="A32" t="str">
            <v>AH-121</v>
          </cell>
          <cell r="B32">
            <v>13</v>
          </cell>
          <cell r="C32">
            <v>20</v>
          </cell>
          <cell r="D32">
            <v>10</v>
          </cell>
          <cell r="E32">
            <v>19</v>
          </cell>
          <cell r="F32">
            <v>14</v>
          </cell>
          <cell r="G32">
            <v>13</v>
          </cell>
          <cell r="H32">
            <v>22</v>
          </cell>
          <cell r="I32">
            <v>15</v>
          </cell>
          <cell r="J32">
            <v>16</v>
          </cell>
          <cell r="K32">
            <v>16</v>
          </cell>
          <cell r="R32">
            <v>13</v>
          </cell>
          <cell r="T32">
            <v>171</v>
          </cell>
        </row>
        <row r="33">
          <cell r="A33" t="str">
            <v>AH-122</v>
          </cell>
          <cell r="G33">
            <v>21</v>
          </cell>
          <cell r="T33">
            <v>21</v>
          </cell>
        </row>
        <row r="34">
          <cell r="A34" t="str">
            <v>AH-124</v>
          </cell>
          <cell r="B34">
            <v>19</v>
          </cell>
          <cell r="T34">
            <v>19</v>
          </cell>
        </row>
        <row r="35">
          <cell r="A35" t="str">
            <v>AH-126</v>
          </cell>
          <cell r="B35">
            <v>12</v>
          </cell>
          <cell r="T35">
            <v>12</v>
          </cell>
        </row>
        <row r="36">
          <cell r="A36" t="str">
            <v>AH-127</v>
          </cell>
          <cell r="B36">
            <v>15</v>
          </cell>
          <cell r="C36">
            <v>17</v>
          </cell>
          <cell r="D36">
            <v>17</v>
          </cell>
          <cell r="E36">
            <v>12</v>
          </cell>
          <cell r="F36">
            <v>10</v>
          </cell>
          <cell r="G36">
            <v>12</v>
          </cell>
          <cell r="H36">
            <v>19</v>
          </cell>
          <cell r="I36">
            <v>15</v>
          </cell>
          <cell r="J36">
            <v>23</v>
          </cell>
          <cell r="K36">
            <v>15</v>
          </cell>
          <cell r="Q36" t="str">
            <v>6</v>
          </cell>
          <cell r="S36">
            <v>14</v>
          </cell>
          <cell r="T36">
            <v>175</v>
          </cell>
        </row>
        <row r="37">
          <cell r="A37" t="str">
            <v>AH-149</v>
          </cell>
          <cell r="B37">
            <v>2</v>
          </cell>
          <cell r="C37">
            <v>6</v>
          </cell>
          <cell r="D37">
            <v>2</v>
          </cell>
          <cell r="E37">
            <v>4</v>
          </cell>
          <cell r="F37">
            <v>4</v>
          </cell>
          <cell r="G37">
            <v>4</v>
          </cell>
          <cell r="H37">
            <v>12</v>
          </cell>
          <cell r="I37">
            <v>5</v>
          </cell>
          <cell r="J37">
            <v>21</v>
          </cell>
          <cell r="K37">
            <v>7</v>
          </cell>
          <cell r="T37">
            <v>67</v>
          </cell>
        </row>
        <row r="38">
          <cell r="A38" t="str">
            <v>AH-154</v>
          </cell>
          <cell r="G38">
            <v>12</v>
          </cell>
          <cell r="T38">
            <v>12</v>
          </cell>
        </row>
        <row r="39">
          <cell r="A39" t="str">
            <v>AJ-071</v>
          </cell>
          <cell r="B39">
            <v>6</v>
          </cell>
          <cell r="C39">
            <v>20</v>
          </cell>
          <cell r="G39">
            <v>13</v>
          </cell>
          <cell r="H39">
            <v>20</v>
          </cell>
          <cell r="T39">
            <v>59</v>
          </cell>
        </row>
        <row r="40">
          <cell r="A40" t="str">
            <v>AJ-101</v>
          </cell>
          <cell r="B40">
            <v>16</v>
          </cell>
          <cell r="C40">
            <v>27</v>
          </cell>
          <cell r="E40">
            <v>43</v>
          </cell>
          <cell r="F40">
            <v>39</v>
          </cell>
          <cell r="I40">
            <v>50</v>
          </cell>
          <cell r="L40" t="str">
            <v>36</v>
          </cell>
          <cell r="N40" t="str">
            <v>37</v>
          </cell>
          <cell r="S40">
            <v>39</v>
          </cell>
          <cell r="T40">
            <v>287</v>
          </cell>
        </row>
        <row r="41">
          <cell r="A41" t="str">
            <v>AJ-102</v>
          </cell>
          <cell r="C41">
            <v>31</v>
          </cell>
          <cell r="D41">
            <v>41</v>
          </cell>
          <cell r="E41">
            <v>36</v>
          </cell>
          <cell r="G41">
            <v>53</v>
          </cell>
          <cell r="R41">
            <v>77</v>
          </cell>
          <cell r="T41">
            <v>238</v>
          </cell>
        </row>
        <row r="42">
          <cell r="A42" t="str">
            <v>AJ-103</v>
          </cell>
          <cell r="E42">
            <v>31</v>
          </cell>
          <cell r="G42">
            <v>34</v>
          </cell>
          <cell r="H42">
            <v>32</v>
          </cell>
          <cell r="S42">
            <v>35</v>
          </cell>
          <cell r="T42">
            <v>132</v>
          </cell>
        </row>
        <row r="43">
          <cell r="A43" t="str">
            <v>AJ-104</v>
          </cell>
          <cell r="C43">
            <v>15</v>
          </cell>
          <cell r="T43">
            <v>15</v>
          </cell>
        </row>
        <row r="44">
          <cell r="A44" t="str">
            <v>AJ-105</v>
          </cell>
          <cell r="B44">
            <v>30</v>
          </cell>
          <cell r="C44">
            <v>33</v>
          </cell>
          <cell r="D44">
            <v>28</v>
          </cell>
          <cell r="E44">
            <v>23</v>
          </cell>
          <cell r="F44">
            <v>29</v>
          </cell>
          <cell r="R44">
            <v>29</v>
          </cell>
          <cell r="T44">
            <v>172</v>
          </cell>
        </row>
        <row r="45">
          <cell r="A45" t="str">
            <v>AJ-106</v>
          </cell>
          <cell r="B45">
            <v>24</v>
          </cell>
          <cell r="D45">
            <v>41</v>
          </cell>
          <cell r="J45">
            <v>40</v>
          </cell>
          <cell r="R45">
            <v>37</v>
          </cell>
          <cell r="T45">
            <v>142</v>
          </cell>
        </row>
        <row r="46">
          <cell r="A46" t="str">
            <v>AJ-108</v>
          </cell>
          <cell r="G46">
            <v>44</v>
          </cell>
          <cell r="H46">
            <v>49</v>
          </cell>
          <cell r="K46">
            <v>37</v>
          </cell>
          <cell r="T46">
            <v>130</v>
          </cell>
        </row>
        <row r="47">
          <cell r="A47" t="str">
            <v>AJ-111</v>
          </cell>
          <cell r="B47">
            <v>26</v>
          </cell>
          <cell r="C47">
            <v>30</v>
          </cell>
          <cell r="D47">
            <v>28</v>
          </cell>
          <cell r="I47">
            <v>36</v>
          </cell>
          <cell r="J47">
            <v>44</v>
          </cell>
          <cell r="K47">
            <v>45</v>
          </cell>
          <cell r="R47">
            <v>36</v>
          </cell>
          <cell r="S47">
            <v>38</v>
          </cell>
          <cell r="T47">
            <v>283</v>
          </cell>
        </row>
        <row r="48">
          <cell r="A48" t="str">
            <v>AJ-112</v>
          </cell>
          <cell r="E48">
            <v>35</v>
          </cell>
          <cell r="T48">
            <v>35</v>
          </cell>
        </row>
        <row r="49">
          <cell r="A49" t="str">
            <v>AJ-118</v>
          </cell>
          <cell r="H49">
            <v>43</v>
          </cell>
          <cell r="I49">
            <v>64</v>
          </cell>
          <cell r="J49">
            <v>37</v>
          </cell>
          <cell r="S49">
            <v>36</v>
          </cell>
          <cell r="T49">
            <v>180</v>
          </cell>
        </row>
        <row r="50">
          <cell r="A50" t="str">
            <v>AJ-125</v>
          </cell>
          <cell r="D50">
            <v>44</v>
          </cell>
          <cell r="F50">
            <v>40</v>
          </cell>
          <cell r="G50">
            <v>27</v>
          </cell>
          <cell r="T50">
            <v>111</v>
          </cell>
        </row>
        <row r="51">
          <cell r="A51" t="str">
            <v>AJ-128</v>
          </cell>
          <cell r="B51">
            <v>18</v>
          </cell>
          <cell r="H51">
            <v>33</v>
          </cell>
          <cell r="J51">
            <v>33</v>
          </cell>
          <cell r="K51">
            <v>35</v>
          </cell>
          <cell r="S51">
            <v>33</v>
          </cell>
          <cell r="T51">
            <v>152</v>
          </cell>
        </row>
        <row r="52">
          <cell r="A52" t="str">
            <v>AJ-149</v>
          </cell>
          <cell r="B52">
            <v>2</v>
          </cell>
          <cell r="C52">
            <v>1</v>
          </cell>
          <cell r="D52">
            <v>2</v>
          </cell>
          <cell r="H52">
            <v>1</v>
          </cell>
          <cell r="K52">
            <v>1</v>
          </cell>
          <cell r="R52">
            <v>2</v>
          </cell>
          <cell r="S52">
            <v>5</v>
          </cell>
          <cell r="T52">
            <v>14</v>
          </cell>
        </row>
        <row r="53">
          <cell r="A53" t="str">
            <v>AJ-299</v>
          </cell>
          <cell r="B53">
            <v>1</v>
          </cell>
          <cell r="K53">
            <v>1</v>
          </cell>
          <cell r="T53">
            <v>2</v>
          </cell>
        </row>
        <row r="54">
          <cell r="A54" t="str">
            <v>ANAT-100</v>
          </cell>
          <cell r="B54">
            <v>26</v>
          </cell>
          <cell r="C54">
            <v>30</v>
          </cell>
          <cell r="D54">
            <v>38</v>
          </cell>
          <cell r="E54">
            <v>16</v>
          </cell>
          <cell r="F54">
            <v>13</v>
          </cell>
          <cell r="G54">
            <v>36</v>
          </cell>
          <cell r="H54">
            <v>40</v>
          </cell>
          <cell r="I54">
            <v>39</v>
          </cell>
          <cell r="J54">
            <v>18</v>
          </cell>
          <cell r="K54">
            <v>23</v>
          </cell>
          <cell r="L54" t="str">
            <v>8</v>
          </cell>
          <cell r="M54" t="str">
            <v>10</v>
          </cell>
          <cell r="T54">
            <v>297</v>
          </cell>
        </row>
        <row r="55">
          <cell r="A55" t="str">
            <v>ANAT-101</v>
          </cell>
          <cell r="B55">
            <v>91</v>
          </cell>
          <cell r="C55">
            <v>92</v>
          </cell>
          <cell r="D55">
            <v>90</v>
          </cell>
          <cell r="E55">
            <v>88</v>
          </cell>
          <cell r="F55">
            <v>88</v>
          </cell>
          <cell r="G55">
            <v>99</v>
          </cell>
          <cell r="H55">
            <v>104</v>
          </cell>
          <cell r="I55">
            <v>89</v>
          </cell>
          <cell r="J55">
            <v>91</v>
          </cell>
          <cell r="K55">
            <v>82</v>
          </cell>
          <cell r="L55" t="str">
            <v>36</v>
          </cell>
          <cell r="M55" t="str">
            <v>41</v>
          </cell>
          <cell r="N55" t="str">
            <v>30</v>
          </cell>
          <cell r="O55" t="str">
            <v>32</v>
          </cell>
          <cell r="Q55" t="str">
            <v>39</v>
          </cell>
          <cell r="R55">
            <v>84</v>
          </cell>
          <cell r="S55">
            <v>88</v>
          </cell>
          <cell r="T55">
            <v>1264</v>
          </cell>
        </row>
        <row r="56">
          <cell r="A56" t="str">
            <v>ANAT-101H</v>
          </cell>
          <cell r="B56">
            <v>2</v>
          </cell>
          <cell r="C56">
            <v>2</v>
          </cell>
          <cell r="E56">
            <v>2</v>
          </cell>
          <cell r="F56">
            <v>1</v>
          </cell>
          <cell r="G56">
            <v>1</v>
          </cell>
          <cell r="H56">
            <v>2</v>
          </cell>
          <cell r="T56">
            <v>10</v>
          </cell>
        </row>
        <row r="57">
          <cell r="A57" t="str">
            <v>ANAT-102</v>
          </cell>
          <cell r="B57">
            <v>96</v>
          </cell>
          <cell r="C57">
            <v>98</v>
          </cell>
          <cell r="D57">
            <v>83</v>
          </cell>
          <cell r="E57">
            <v>84</v>
          </cell>
          <cell r="F57">
            <v>79</v>
          </cell>
          <cell r="G57">
            <v>90</v>
          </cell>
          <cell r="H57">
            <v>85</v>
          </cell>
          <cell r="I57">
            <v>86</v>
          </cell>
          <cell r="J57">
            <v>83</v>
          </cell>
          <cell r="K57">
            <v>81</v>
          </cell>
          <cell r="L57" t="str">
            <v>35</v>
          </cell>
          <cell r="M57" t="str">
            <v>21</v>
          </cell>
          <cell r="N57" t="str">
            <v>22</v>
          </cell>
          <cell r="O57" t="str">
            <v>21</v>
          </cell>
          <cell r="Q57" t="str">
            <v>23</v>
          </cell>
          <cell r="R57">
            <v>85</v>
          </cell>
          <cell r="S57">
            <v>70</v>
          </cell>
          <cell r="T57">
            <v>1142</v>
          </cell>
        </row>
        <row r="58">
          <cell r="A58" t="str">
            <v>ANAT-102H</v>
          </cell>
          <cell r="C58">
            <v>1</v>
          </cell>
          <cell r="E58">
            <v>1</v>
          </cell>
          <cell r="J58">
            <v>1</v>
          </cell>
          <cell r="T58">
            <v>3</v>
          </cell>
        </row>
        <row r="59">
          <cell r="A59" t="str">
            <v>ANAT-299</v>
          </cell>
          <cell r="B59">
            <v>4</v>
          </cell>
          <cell r="C59">
            <v>11</v>
          </cell>
          <cell r="D59">
            <v>16</v>
          </cell>
          <cell r="E59">
            <v>20</v>
          </cell>
          <cell r="F59">
            <v>10</v>
          </cell>
          <cell r="G59">
            <v>15</v>
          </cell>
          <cell r="H59">
            <v>19</v>
          </cell>
          <cell r="I59">
            <v>33</v>
          </cell>
          <cell r="J59">
            <v>18</v>
          </cell>
          <cell r="K59">
            <v>10</v>
          </cell>
          <cell r="L59" t="str">
            <v>2</v>
          </cell>
          <cell r="M59" t="str">
            <v>6</v>
          </cell>
          <cell r="N59" t="str">
            <v>12</v>
          </cell>
          <cell r="S59">
            <v>4</v>
          </cell>
          <cell r="T59">
            <v>180</v>
          </cell>
        </row>
        <row r="60">
          <cell r="A60" t="str">
            <v>ANTH-101</v>
          </cell>
          <cell r="B60">
            <v>92</v>
          </cell>
          <cell r="C60">
            <v>162</v>
          </cell>
          <cell r="D60">
            <v>176</v>
          </cell>
          <cell r="E60">
            <v>171</v>
          </cell>
          <cell r="F60">
            <v>161</v>
          </cell>
          <cell r="G60">
            <v>155</v>
          </cell>
          <cell r="H60">
            <v>192</v>
          </cell>
          <cell r="I60">
            <v>220</v>
          </cell>
          <cell r="J60">
            <v>168</v>
          </cell>
          <cell r="K60">
            <v>179</v>
          </cell>
          <cell r="L60" t="str">
            <v>24</v>
          </cell>
          <cell r="M60" t="str">
            <v>13</v>
          </cell>
          <cell r="R60">
            <v>169</v>
          </cell>
          <cell r="S60">
            <v>142</v>
          </cell>
          <cell r="T60">
            <v>2024</v>
          </cell>
        </row>
        <row r="61">
          <cell r="A61" t="str">
            <v>ANTH-101H</v>
          </cell>
          <cell r="C61">
            <v>6</v>
          </cell>
          <cell r="D61">
            <v>1</v>
          </cell>
          <cell r="E61">
            <v>4</v>
          </cell>
          <cell r="F61">
            <v>5</v>
          </cell>
          <cell r="G61">
            <v>4</v>
          </cell>
          <cell r="H61">
            <v>4</v>
          </cell>
          <cell r="I61">
            <v>5</v>
          </cell>
          <cell r="J61">
            <v>8</v>
          </cell>
          <cell r="K61">
            <v>4</v>
          </cell>
          <cell r="R61">
            <v>8</v>
          </cell>
          <cell r="S61">
            <v>5</v>
          </cell>
          <cell r="T61">
            <v>54</v>
          </cell>
        </row>
        <row r="62">
          <cell r="A62" t="str">
            <v>ANTH-102</v>
          </cell>
          <cell r="B62">
            <v>82</v>
          </cell>
          <cell r="C62">
            <v>204</v>
          </cell>
          <cell r="D62">
            <v>232</v>
          </cell>
          <cell r="E62">
            <v>175</v>
          </cell>
          <cell r="F62">
            <v>123</v>
          </cell>
          <cell r="G62">
            <v>96</v>
          </cell>
          <cell r="H62">
            <v>191</v>
          </cell>
          <cell r="I62">
            <v>141</v>
          </cell>
          <cell r="J62">
            <v>130</v>
          </cell>
          <cell r="K62">
            <v>135</v>
          </cell>
          <cell r="L62" t="str">
            <v>10</v>
          </cell>
          <cell r="M62" t="str">
            <v>22</v>
          </cell>
          <cell r="N62" t="str">
            <v>37</v>
          </cell>
          <cell r="R62">
            <v>134</v>
          </cell>
          <cell r="S62">
            <v>125</v>
          </cell>
          <cell r="T62">
            <v>1837</v>
          </cell>
        </row>
        <row r="63">
          <cell r="A63" t="str">
            <v>ANTH-102H</v>
          </cell>
          <cell r="B63">
            <v>2</v>
          </cell>
          <cell r="C63">
            <v>7</v>
          </cell>
          <cell r="D63">
            <v>2</v>
          </cell>
          <cell r="E63">
            <v>3</v>
          </cell>
          <cell r="F63">
            <v>4</v>
          </cell>
          <cell r="G63">
            <v>3</v>
          </cell>
          <cell r="H63">
            <v>2</v>
          </cell>
          <cell r="I63">
            <v>1</v>
          </cell>
          <cell r="J63">
            <v>3</v>
          </cell>
          <cell r="K63">
            <v>2</v>
          </cell>
          <cell r="R63">
            <v>4</v>
          </cell>
          <cell r="S63">
            <v>3</v>
          </cell>
          <cell r="T63">
            <v>36</v>
          </cell>
        </row>
        <row r="64">
          <cell r="A64" t="str">
            <v>ANTH-104</v>
          </cell>
          <cell r="B64">
            <v>25</v>
          </cell>
          <cell r="C64">
            <v>11</v>
          </cell>
          <cell r="D64">
            <v>35</v>
          </cell>
          <cell r="E64">
            <v>40</v>
          </cell>
          <cell r="F64">
            <v>28</v>
          </cell>
          <cell r="G64">
            <v>15</v>
          </cell>
          <cell r="R64">
            <v>36</v>
          </cell>
          <cell r="T64">
            <v>190</v>
          </cell>
        </row>
        <row r="65">
          <cell r="A65" t="str">
            <v>ANTH-104H</v>
          </cell>
          <cell r="B65">
            <v>4</v>
          </cell>
          <cell r="D65">
            <v>1</v>
          </cell>
          <cell r="F65">
            <v>2</v>
          </cell>
          <cell r="T65">
            <v>7</v>
          </cell>
        </row>
        <row r="66">
          <cell r="A66" t="str">
            <v>ANTH-115</v>
          </cell>
          <cell r="B66">
            <v>11</v>
          </cell>
          <cell r="G66">
            <v>23</v>
          </cell>
          <cell r="H66">
            <v>35</v>
          </cell>
          <cell r="I66">
            <v>36</v>
          </cell>
          <cell r="J66">
            <v>38</v>
          </cell>
          <cell r="K66">
            <v>32</v>
          </cell>
          <cell r="S66">
            <v>39</v>
          </cell>
          <cell r="T66">
            <v>214</v>
          </cell>
        </row>
        <row r="67">
          <cell r="A67" t="str">
            <v>ANTH-121</v>
          </cell>
          <cell r="B67">
            <v>31</v>
          </cell>
          <cell r="C67">
            <v>16</v>
          </cell>
          <cell r="D67">
            <v>47</v>
          </cell>
          <cell r="E67">
            <v>28</v>
          </cell>
          <cell r="F67">
            <v>16</v>
          </cell>
          <cell r="G67">
            <v>17</v>
          </cell>
          <cell r="H67">
            <v>25</v>
          </cell>
          <cell r="I67">
            <v>25</v>
          </cell>
          <cell r="J67">
            <v>25</v>
          </cell>
          <cell r="K67">
            <v>23</v>
          </cell>
          <cell r="M67" t="str">
            <v>3</v>
          </cell>
          <cell r="R67">
            <v>11</v>
          </cell>
          <cell r="S67">
            <v>21</v>
          </cell>
          <cell r="T67">
            <v>288</v>
          </cell>
        </row>
        <row r="68">
          <cell r="A68" t="str">
            <v>ANTH-125</v>
          </cell>
          <cell r="D68">
            <v>41</v>
          </cell>
          <cell r="E68">
            <v>34</v>
          </cell>
          <cell r="F68">
            <v>36</v>
          </cell>
          <cell r="I68">
            <v>41</v>
          </cell>
          <cell r="J68">
            <v>30</v>
          </cell>
          <cell r="K68">
            <v>31</v>
          </cell>
          <cell r="R68">
            <v>31</v>
          </cell>
          <cell r="T68">
            <v>244</v>
          </cell>
        </row>
        <row r="69">
          <cell r="A69" t="str">
            <v>ANTH-145</v>
          </cell>
          <cell r="K69">
            <v>16</v>
          </cell>
          <cell r="T69">
            <v>16</v>
          </cell>
        </row>
        <row r="70">
          <cell r="A70" t="str">
            <v>ANTH-201</v>
          </cell>
          <cell r="B70">
            <v>14</v>
          </cell>
          <cell r="G70">
            <v>11</v>
          </cell>
          <cell r="H70">
            <v>26</v>
          </cell>
          <cell r="I70">
            <v>36</v>
          </cell>
          <cell r="J70">
            <v>32</v>
          </cell>
          <cell r="S70">
            <v>22</v>
          </cell>
          <cell r="T70">
            <v>141</v>
          </cell>
        </row>
        <row r="71">
          <cell r="A71" t="str">
            <v>ANTH-299</v>
          </cell>
          <cell r="D71">
            <v>1</v>
          </cell>
          <cell r="G71">
            <v>3</v>
          </cell>
          <cell r="T71">
            <v>4</v>
          </cell>
        </row>
        <row r="72">
          <cell r="A72" t="str">
            <v>ART-093</v>
          </cell>
          <cell r="E72">
            <v>7</v>
          </cell>
          <cell r="F72">
            <v>13</v>
          </cell>
          <cell r="J72">
            <v>5</v>
          </cell>
          <cell r="K72">
            <v>9</v>
          </cell>
          <cell r="R72">
            <v>11</v>
          </cell>
          <cell r="S72">
            <v>13</v>
          </cell>
          <cell r="T72">
            <v>58</v>
          </cell>
        </row>
        <row r="73">
          <cell r="A73" t="str">
            <v>ART-095</v>
          </cell>
          <cell r="E73">
            <v>13</v>
          </cell>
          <cell r="F73">
            <v>10</v>
          </cell>
          <cell r="J73">
            <v>14</v>
          </cell>
          <cell r="K73">
            <v>7</v>
          </cell>
          <cell r="R73">
            <v>17</v>
          </cell>
          <cell r="S73">
            <v>13</v>
          </cell>
          <cell r="T73">
            <v>74</v>
          </cell>
        </row>
        <row r="74">
          <cell r="A74" t="str">
            <v>ART-100</v>
          </cell>
          <cell r="B74">
            <v>40</v>
          </cell>
          <cell r="C74">
            <v>34</v>
          </cell>
          <cell r="D74">
            <v>46</v>
          </cell>
          <cell r="E74">
            <v>40</v>
          </cell>
          <cell r="F74">
            <v>45</v>
          </cell>
          <cell r="G74">
            <v>35</v>
          </cell>
          <cell r="H74">
            <v>42</v>
          </cell>
          <cell r="I74">
            <v>51</v>
          </cell>
          <cell r="J74">
            <v>39</v>
          </cell>
          <cell r="K74">
            <v>41</v>
          </cell>
          <cell r="M74" t="str">
            <v>26</v>
          </cell>
          <cell r="R74">
            <v>47</v>
          </cell>
          <cell r="S74">
            <v>44</v>
          </cell>
          <cell r="T74">
            <v>530</v>
          </cell>
        </row>
        <row r="75">
          <cell r="A75" t="str">
            <v>ART-101</v>
          </cell>
          <cell r="B75">
            <v>37</v>
          </cell>
          <cell r="C75">
            <v>36</v>
          </cell>
          <cell r="D75">
            <v>33</v>
          </cell>
          <cell r="E75">
            <v>36</v>
          </cell>
          <cell r="F75">
            <v>47</v>
          </cell>
          <cell r="G75">
            <v>47</v>
          </cell>
          <cell r="H75">
            <v>35</v>
          </cell>
          <cell r="I75">
            <v>52</v>
          </cell>
          <cell r="J75">
            <v>43</v>
          </cell>
          <cell r="K75">
            <v>46</v>
          </cell>
          <cell r="R75">
            <v>47</v>
          </cell>
          <cell r="S75">
            <v>47</v>
          </cell>
          <cell r="T75">
            <v>506</v>
          </cell>
        </row>
        <row r="76">
          <cell r="A76" t="str">
            <v>ART-101H</v>
          </cell>
          <cell r="B76">
            <v>3</v>
          </cell>
          <cell r="D76">
            <v>2</v>
          </cell>
          <cell r="E76">
            <v>2</v>
          </cell>
          <cell r="G76">
            <v>2</v>
          </cell>
          <cell r="H76">
            <v>3</v>
          </cell>
          <cell r="T76">
            <v>12</v>
          </cell>
        </row>
        <row r="77">
          <cell r="A77" t="str">
            <v>ART-102</v>
          </cell>
          <cell r="B77">
            <v>67</v>
          </cell>
          <cell r="C77">
            <v>81</v>
          </cell>
          <cell r="D77">
            <v>78</v>
          </cell>
          <cell r="E77">
            <v>75</v>
          </cell>
          <cell r="F77">
            <v>36</v>
          </cell>
          <cell r="G77">
            <v>68</v>
          </cell>
          <cell r="H77">
            <v>73</v>
          </cell>
          <cell r="I77">
            <v>83</v>
          </cell>
          <cell r="J77">
            <v>85</v>
          </cell>
          <cell r="K77">
            <v>84</v>
          </cell>
          <cell r="L77" t="str">
            <v>20</v>
          </cell>
          <cell r="M77" t="str">
            <v>27</v>
          </cell>
          <cell r="R77">
            <v>83</v>
          </cell>
          <cell r="S77">
            <v>75</v>
          </cell>
          <cell r="T77">
            <v>935</v>
          </cell>
        </row>
        <row r="78">
          <cell r="A78" t="str">
            <v>ART-102H</v>
          </cell>
          <cell r="B78">
            <v>2</v>
          </cell>
          <cell r="C78">
            <v>2</v>
          </cell>
          <cell r="D78">
            <v>9</v>
          </cell>
          <cell r="E78">
            <v>7</v>
          </cell>
          <cell r="G78">
            <v>10</v>
          </cell>
          <cell r="H78">
            <v>4</v>
          </cell>
          <cell r="I78">
            <v>3</v>
          </cell>
          <cell r="J78">
            <v>3</v>
          </cell>
          <cell r="K78">
            <v>1</v>
          </cell>
          <cell r="R78">
            <v>1</v>
          </cell>
          <cell r="S78">
            <v>2</v>
          </cell>
          <cell r="T78">
            <v>44</v>
          </cell>
        </row>
        <row r="79">
          <cell r="A79" t="str">
            <v>ART-103</v>
          </cell>
          <cell r="B79">
            <v>30</v>
          </cell>
          <cell r="C79">
            <v>24</v>
          </cell>
          <cell r="D79">
            <v>29</v>
          </cell>
          <cell r="G79">
            <v>35</v>
          </cell>
          <cell r="H79">
            <v>35</v>
          </cell>
          <cell r="I79">
            <v>38</v>
          </cell>
          <cell r="K79">
            <v>26</v>
          </cell>
          <cell r="R79">
            <v>31</v>
          </cell>
          <cell r="S79">
            <v>25</v>
          </cell>
          <cell r="T79">
            <v>273</v>
          </cell>
        </row>
        <row r="80">
          <cell r="A80" t="str">
            <v>ART-103H</v>
          </cell>
          <cell r="B80">
            <v>2</v>
          </cell>
          <cell r="C80">
            <v>1</v>
          </cell>
          <cell r="G80">
            <v>2</v>
          </cell>
          <cell r="I80">
            <v>4</v>
          </cell>
          <cell r="K80">
            <v>2</v>
          </cell>
          <cell r="S80">
            <v>2</v>
          </cell>
          <cell r="T80">
            <v>13</v>
          </cell>
        </row>
        <row r="81">
          <cell r="A81" t="str">
            <v>ART-108</v>
          </cell>
          <cell r="B81">
            <v>131</v>
          </cell>
          <cell r="C81">
            <v>130</v>
          </cell>
          <cell r="D81">
            <v>181</v>
          </cell>
          <cell r="E81">
            <v>139</v>
          </cell>
          <cell r="F81">
            <v>147</v>
          </cell>
          <cell r="G81">
            <v>131</v>
          </cell>
          <cell r="H81">
            <v>133</v>
          </cell>
          <cell r="I81">
            <v>144</v>
          </cell>
          <cell r="J81">
            <v>138</v>
          </cell>
          <cell r="K81">
            <v>116</v>
          </cell>
          <cell r="L81" t="str">
            <v>21</v>
          </cell>
          <cell r="M81" t="str">
            <v>27</v>
          </cell>
          <cell r="R81">
            <v>122</v>
          </cell>
          <cell r="S81">
            <v>109</v>
          </cell>
          <cell r="T81">
            <v>1669</v>
          </cell>
        </row>
        <row r="82">
          <cell r="A82" t="str">
            <v>ART-109</v>
          </cell>
          <cell r="B82">
            <v>16</v>
          </cell>
          <cell r="D82">
            <v>26</v>
          </cell>
          <cell r="E82">
            <v>21</v>
          </cell>
          <cell r="F82">
            <v>27</v>
          </cell>
          <cell r="G82">
            <v>16</v>
          </cell>
          <cell r="H82">
            <v>25</v>
          </cell>
          <cell r="K82">
            <v>25</v>
          </cell>
          <cell r="R82">
            <v>23</v>
          </cell>
          <cell r="T82">
            <v>179</v>
          </cell>
        </row>
        <row r="83">
          <cell r="A83" t="str">
            <v>ART-112</v>
          </cell>
          <cell r="B83">
            <v>16</v>
          </cell>
          <cell r="C83">
            <v>10</v>
          </cell>
          <cell r="G83">
            <v>19</v>
          </cell>
          <cell r="I83">
            <v>34</v>
          </cell>
          <cell r="J83">
            <v>28</v>
          </cell>
          <cell r="K83">
            <v>25</v>
          </cell>
          <cell r="S83">
            <v>26</v>
          </cell>
          <cell r="T83">
            <v>158</v>
          </cell>
        </row>
        <row r="84">
          <cell r="A84" t="str">
            <v>ART-115</v>
          </cell>
          <cell r="B84">
            <v>11</v>
          </cell>
          <cell r="C84">
            <v>15</v>
          </cell>
          <cell r="D84">
            <v>17</v>
          </cell>
          <cell r="E84">
            <v>29</v>
          </cell>
          <cell r="F84">
            <v>25</v>
          </cell>
          <cell r="G84">
            <v>12</v>
          </cell>
          <cell r="H84">
            <v>15</v>
          </cell>
          <cell r="I84">
            <v>22</v>
          </cell>
          <cell r="J84">
            <v>38</v>
          </cell>
          <cell r="K84">
            <v>35</v>
          </cell>
          <cell r="R84">
            <v>36</v>
          </cell>
          <cell r="S84">
            <v>33</v>
          </cell>
          <cell r="T84">
            <v>288</v>
          </cell>
        </row>
        <row r="85">
          <cell r="A85" t="str">
            <v>ART-116</v>
          </cell>
          <cell r="B85">
            <v>6</v>
          </cell>
          <cell r="C85">
            <v>7</v>
          </cell>
          <cell r="D85">
            <v>12</v>
          </cell>
          <cell r="E85">
            <v>14</v>
          </cell>
          <cell r="F85">
            <v>3</v>
          </cell>
          <cell r="G85">
            <v>7</v>
          </cell>
          <cell r="H85">
            <v>11</v>
          </cell>
          <cell r="I85">
            <v>6</v>
          </cell>
          <cell r="J85">
            <v>14</v>
          </cell>
          <cell r="K85">
            <v>16</v>
          </cell>
          <cell r="R85">
            <v>11</v>
          </cell>
          <cell r="S85">
            <v>17</v>
          </cell>
          <cell r="T85">
            <v>124</v>
          </cell>
        </row>
        <row r="86">
          <cell r="A86" t="str">
            <v>ART-118</v>
          </cell>
          <cell r="B86">
            <v>6</v>
          </cell>
          <cell r="C86">
            <v>7</v>
          </cell>
          <cell r="G86">
            <v>17</v>
          </cell>
          <cell r="T86">
            <v>30</v>
          </cell>
        </row>
        <row r="87">
          <cell r="A87" t="str">
            <v>ART-120</v>
          </cell>
          <cell r="B87">
            <v>91</v>
          </cell>
          <cell r="C87">
            <v>98</v>
          </cell>
          <cell r="D87">
            <v>91</v>
          </cell>
          <cell r="E87">
            <v>101</v>
          </cell>
          <cell r="F87">
            <v>99</v>
          </cell>
          <cell r="G87">
            <v>91</v>
          </cell>
          <cell r="H87">
            <v>107</v>
          </cell>
          <cell r="I87">
            <v>78</v>
          </cell>
          <cell r="J87">
            <v>84</v>
          </cell>
          <cell r="K87">
            <v>94</v>
          </cell>
          <cell r="L87" t="str">
            <v>7</v>
          </cell>
          <cell r="M87" t="str">
            <v>15</v>
          </cell>
          <cell r="O87" t="str">
            <v>17</v>
          </cell>
          <cell r="R87">
            <v>77</v>
          </cell>
          <cell r="S87">
            <v>80</v>
          </cell>
          <cell r="T87">
            <v>1130</v>
          </cell>
        </row>
        <row r="88">
          <cell r="A88" t="str">
            <v>ART-122</v>
          </cell>
          <cell r="B88">
            <v>11</v>
          </cell>
          <cell r="C88">
            <v>13</v>
          </cell>
          <cell r="D88">
            <v>21</v>
          </cell>
          <cell r="E88">
            <v>21</v>
          </cell>
          <cell r="F88">
            <v>30</v>
          </cell>
          <cell r="G88">
            <v>9</v>
          </cell>
          <cell r="H88">
            <v>22</v>
          </cell>
          <cell r="I88">
            <v>23</v>
          </cell>
          <cell r="J88">
            <v>19</v>
          </cell>
          <cell r="K88">
            <v>23</v>
          </cell>
          <cell r="R88">
            <v>23</v>
          </cell>
          <cell r="S88">
            <v>19</v>
          </cell>
          <cell r="T88">
            <v>234</v>
          </cell>
        </row>
        <row r="89">
          <cell r="A89" t="str">
            <v>ART-123</v>
          </cell>
          <cell r="B89">
            <v>11</v>
          </cell>
          <cell r="C89">
            <v>12</v>
          </cell>
          <cell r="D89">
            <v>7</v>
          </cell>
          <cell r="E89">
            <v>12</v>
          </cell>
          <cell r="F89">
            <v>16</v>
          </cell>
          <cell r="G89">
            <v>15</v>
          </cell>
          <cell r="H89">
            <v>10</v>
          </cell>
          <cell r="J89">
            <v>6</v>
          </cell>
          <cell r="K89">
            <v>6</v>
          </cell>
          <cell r="R89">
            <v>14</v>
          </cell>
          <cell r="S89">
            <v>16</v>
          </cell>
          <cell r="T89">
            <v>125</v>
          </cell>
        </row>
        <row r="90">
          <cell r="A90" t="str">
            <v>ART-124</v>
          </cell>
          <cell r="E90">
            <v>5</v>
          </cell>
          <cell r="I90">
            <v>3</v>
          </cell>
          <cell r="T90">
            <v>8</v>
          </cell>
        </row>
        <row r="91">
          <cell r="A91" t="str">
            <v>ART-125</v>
          </cell>
          <cell r="B91">
            <v>12</v>
          </cell>
          <cell r="C91">
            <v>16</v>
          </cell>
          <cell r="D91">
            <v>18</v>
          </cell>
          <cell r="E91">
            <v>16</v>
          </cell>
          <cell r="F91">
            <v>16</v>
          </cell>
          <cell r="G91">
            <v>10</v>
          </cell>
          <cell r="H91">
            <v>14</v>
          </cell>
          <cell r="I91">
            <v>19</v>
          </cell>
          <cell r="J91">
            <v>16</v>
          </cell>
          <cell r="K91">
            <v>10</v>
          </cell>
          <cell r="R91">
            <v>21</v>
          </cell>
          <cell r="S91">
            <v>15</v>
          </cell>
          <cell r="T91">
            <v>183</v>
          </cell>
        </row>
        <row r="92">
          <cell r="A92" t="str">
            <v>ART-130A</v>
          </cell>
          <cell r="B92">
            <v>23</v>
          </cell>
          <cell r="C92">
            <v>21</v>
          </cell>
          <cell r="D92">
            <v>21</v>
          </cell>
          <cell r="E92">
            <v>40</v>
          </cell>
          <cell r="F92">
            <v>40</v>
          </cell>
          <cell r="G92">
            <v>15</v>
          </cell>
          <cell r="H92">
            <v>19</v>
          </cell>
          <cell r="I92">
            <v>37</v>
          </cell>
          <cell r="J92">
            <v>44</v>
          </cell>
          <cell r="K92">
            <v>36</v>
          </cell>
          <cell r="R92">
            <v>40</v>
          </cell>
          <cell r="S92">
            <v>37</v>
          </cell>
          <cell r="T92">
            <v>373</v>
          </cell>
        </row>
        <row r="93">
          <cell r="A93" t="str">
            <v>ART-130B</v>
          </cell>
          <cell r="B93">
            <v>10</v>
          </cell>
          <cell r="C93">
            <v>22</v>
          </cell>
          <cell r="D93">
            <v>18</v>
          </cell>
          <cell r="E93">
            <v>23</v>
          </cell>
          <cell r="F93">
            <v>27</v>
          </cell>
          <cell r="G93">
            <v>10</v>
          </cell>
          <cell r="H93">
            <v>22</v>
          </cell>
          <cell r="I93">
            <v>25</v>
          </cell>
          <cell r="J93">
            <v>22</v>
          </cell>
          <cell r="K93">
            <v>27</v>
          </cell>
          <cell r="R93">
            <v>22</v>
          </cell>
          <cell r="S93">
            <v>30</v>
          </cell>
          <cell r="T93">
            <v>258</v>
          </cell>
        </row>
        <row r="94">
          <cell r="A94" t="str">
            <v>ART-141</v>
          </cell>
          <cell r="D94">
            <v>20</v>
          </cell>
          <cell r="E94">
            <v>17</v>
          </cell>
          <cell r="F94">
            <v>13</v>
          </cell>
          <cell r="I94">
            <v>23</v>
          </cell>
          <cell r="J94">
            <v>11</v>
          </cell>
          <cell r="R94">
            <v>17</v>
          </cell>
          <cell r="S94">
            <v>14</v>
          </cell>
          <cell r="T94">
            <v>115</v>
          </cell>
        </row>
        <row r="95">
          <cell r="A95" t="str">
            <v>ART-151</v>
          </cell>
          <cell r="B95">
            <v>96</v>
          </cell>
          <cell r="C95">
            <v>115</v>
          </cell>
          <cell r="D95">
            <v>120</v>
          </cell>
          <cell r="E95">
            <v>111</v>
          </cell>
          <cell r="F95">
            <v>122</v>
          </cell>
          <cell r="G95">
            <v>99</v>
          </cell>
          <cell r="H95">
            <v>119</v>
          </cell>
          <cell r="I95">
            <v>117</v>
          </cell>
          <cell r="J95">
            <v>106</v>
          </cell>
          <cell r="K95">
            <v>101</v>
          </cell>
          <cell r="L95" t="str">
            <v>20</v>
          </cell>
          <cell r="M95" t="str">
            <v>53</v>
          </cell>
          <cell r="R95">
            <v>120</v>
          </cell>
          <cell r="S95">
            <v>111</v>
          </cell>
          <cell r="T95">
            <v>1410</v>
          </cell>
        </row>
        <row r="96">
          <cell r="A96" t="str">
            <v>ART-160</v>
          </cell>
          <cell r="E96">
            <v>30</v>
          </cell>
          <cell r="F96">
            <v>23</v>
          </cell>
          <cell r="J96">
            <v>28</v>
          </cell>
          <cell r="K96">
            <v>23</v>
          </cell>
          <cell r="R96">
            <v>27</v>
          </cell>
          <cell r="S96">
            <v>24</v>
          </cell>
          <cell r="T96">
            <v>155</v>
          </cell>
        </row>
        <row r="97">
          <cell r="A97" t="str">
            <v>ART-223</v>
          </cell>
          <cell r="B97">
            <v>3</v>
          </cell>
          <cell r="C97">
            <v>4</v>
          </cell>
          <cell r="D97">
            <v>1</v>
          </cell>
          <cell r="G97">
            <v>2</v>
          </cell>
          <cell r="H97">
            <v>1</v>
          </cell>
          <cell r="J97">
            <v>2</v>
          </cell>
          <cell r="K97">
            <v>3</v>
          </cell>
          <cell r="R97">
            <v>2</v>
          </cell>
          <cell r="S97">
            <v>3</v>
          </cell>
          <cell r="T97">
            <v>21</v>
          </cell>
        </row>
        <row r="98">
          <cell r="A98" t="str">
            <v>ART-299A</v>
          </cell>
          <cell r="M98" t="str">
            <v>1</v>
          </cell>
          <cell r="T98">
            <v>1</v>
          </cell>
        </row>
        <row r="99">
          <cell r="A99" t="str">
            <v>ART-299B</v>
          </cell>
          <cell r="B99">
            <v>1</v>
          </cell>
          <cell r="D99">
            <v>1</v>
          </cell>
          <cell r="E99">
            <v>1</v>
          </cell>
          <cell r="H99">
            <v>1</v>
          </cell>
          <cell r="J99">
            <v>1</v>
          </cell>
          <cell r="T99">
            <v>5</v>
          </cell>
        </row>
        <row r="100">
          <cell r="A100" t="str">
            <v>ART-299C</v>
          </cell>
          <cell r="B100">
            <v>3</v>
          </cell>
          <cell r="C100">
            <v>5</v>
          </cell>
          <cell r="E100">
            <v>1</v>
          </cell>
          <cell r="G100">
            <v>4</v>
          </cell>
          <cell r="H100">
            <v>5</v>
          </cell>
          <cell r="I100">
            <v>1</v>
          </cell>
          <cell r="L100" t="str">
            <v>1</v>
          </cell>
          <cell r="M100" t="str">
            <v>5</v>
          </cell>
          <cell r="T100">
            <v>25</v>
          </cell>
        </row>
        <row r="101">
          <cell r="A101" t="str">
            <v>ART-299D</v>
          </cell>
          <cell r="C101">
            <v>1</v>
          </cell>
          <cell r="T101">
            <v>1</v>
          </cell>
        </row>
        <row r="102">
          <cell r="A102" t="str">
            <v>ART-299I</v>
          </cell>
          <cell r="M102" t="str">
            <v>1</v>
          </cell>
          <cell r="T102">
            <v>1</v>
          </cell>
        </row>
        <row r="103">
          <cell r="A103" t="str">
            <v>ART-299P</v>
          </cell>
          <cell r="C103">
            <v>1</v>
          </cell>
          <cell r="G103">
            <v>1</v>
          </cell>
          <cell r="I103">
            <v>1</v>
          </cell>
          <cell r="S103">
            <v>3</v>
          </cell>
          <cell r="T103">
            <v>6</v>
          </cell>
        </row>
        <row r="104">
          <cell r="A104" t="str">
            <v>ASL-100</v>
          </cell>
          <cell r="B104">
            <v>113</v>
          </cell>
          <cell r="C104">
            <v>209</v>
          </cell>
          <cell r="D104">
            <v>202</v>
          </cell>
          <cell r="E104">
            <v>159</v>
          </cell>
          <cell r="F104">
            <v>172</v>
          </cell>
          <cell r="G104">
            <v>120</v>
          </cell>
          <cell r="H104">
            <v>181</v>
          </cell>
          <cell r="I104">
            <v>167</v>
          </cell>
          <cell r="J104">
            <v>170</v>
          </cell>
          <cell r="K104">
            <v>166</v>
          </cell>
          <cell r="L104" t="str">
            <v>54</v>
          </cell>
          <cell r="M104" t="str">
            <v>56</v>
          </cell>
          <cell r="N104" t="str">
            <v>21</v>
          </cell>
          <cell r="R104">
            <v>163</v>
          </cell>
          <cell r="S104">
            <v>137</v>
          </cell>
          <cell r="T104">
            <v>2090</v>
          </cell>
        </row>
        <row r="105">
          <cell r="A105" t="str">
            <v>ASL-101</v>
          </cell>
          <cell r="B105">
            <v>66</v>
          </cell>
          <cell r="C105">
            <v>59</v>
          </cell>
          <cell r="D105">
            <v>68</v>
          </cell>
          <cell r="E105">
            <v>54</v>
          </cell>
          <cell r="F105">
            <v>49</v>
          </cell>
          <cell r="G105">
            <v>47</v>
          </cell>
          <cell r="H105">
            <v>78</v>
          </cell>
          <cell r="I105">
            <v>82</v>
          </cell>
          <cell r="J105">
            <v>63</v>
          </cell>
          <cell r="K105">
            <v>55</v>
          </cell>
          <cell r="L105" t="str">
            <v>16</v>
          </cell>
          <cell r="M105" t="str">
            <v>17</v>
          </cell>
          <cell r="R105">
            <v>72</v>
          </cell>
          <cell r="S105">
            <v>48</v>
          </cell>
          <cell r="T105">
            <v>774</v>
          </cell>
        </row>
        <row r="106">
          <cell r="A106" t="str">
            <v>ASL-102</v>
          </cell>
          <cell r="G106">
            <v>9</v>
          </cell>
          <cell r="H106">
            <v>18</v>
          </cell>
          <cell r="I106">
            <v>23</v>
          </cell>
          <cell r="J106">
            <v>9</v>
          </cell>
          <cell r="K106">
            <v>8</v>
          </cell>
          <cell r="S106">
            <v>13</v>
          </cell>
          <cell r="T106">
            <v>80</v>
          </cell>
        </row>
        <row r="107">
          <cell r="A107" t="str">
            <v>ASL-103</v>
          </cell>
          <cell r="B107">
            <v>13</v>
          </cell>
          <cell r="C107">
            <v>36</v>
          </cell>
          <cell r="D107">
            <v>20</v>
          </cell>
          <cell r="E107">
            <v>21</v>
          </cell>
          <cell r="F107">
            <v>30</v>
          </cell>
          <cell r="G107">
            <v>37</v>
          </cell>
          <cell r="H107">
            <v>26</v>
          </cell>
          <cell r="I107">
            <v>27</v>
          </cell>
          <cell r="J107">
            <v>21</v>
          </cell>
          <cell r="K107">
            <v>27</v>
          </cell>
          <cell r="R107">
            <v>20</v>
          </cell>
          <cell r="S107">
            <v>28</v>
          </cell>
          <cell r="T107">
            <v>306</v>
          </cell>
        </row>
        <row r="108">
          <cell r="A108" t="str">
            <v>ASL-104</v>
          </cell>
          <cell r="B108">
            <v>6</v>
          </cell>
          <cell r="C108">
            <v>15</v>
          </cell>
          <cell r="D108">
            <v>14</v>
          </cell>
          <cell r="E108">
            <v>12</v>
          </cell>
          <cell r="F108">
            <v>15</v>
          </cell>
          <cell r="G108">
            <v>5</v>
          </cell>
          <cell r="H108">
            <v>5</v>
          </cell>
          <cell r="I108">
            <v>13</v>
          </cell>
          <cell r="J108">
            <v>13</v>
          </cell>
          <cell r="K108">
            <v>3</v>
          </cell>
          <cell r="S108">
            <v>7</v>
          </cell>
          <cell r="T108">
            <v>108</v>
          </cell>
        </row>
        <row r="109">
          <cell r="A109" t="str">
            <v>ASL-105</v>
          </cell>
          <cell r="D109">
            <v>3</v>
          </cell>
          <cell r="E109">
            <v>9</v>
          </cell>
          <cell r="H109">
            <v>10</v>
          </cell>
          <cell r="J109">
            <v>6</v>
          </cell>
          <cell r="K109">
            <v>8</v>
          </cell>
          <cell r="T109">
            <v>36</v>
          </cell>
        </row>
        <row r="110">
          <cell r="A110" t="str">
            <v>ASL-110</v>
          </cell>
          <cell r="B110">
            <v>27</v>
          </cell>
          <cell r="C110">
            <v>22</v>
          </cell>
          <cell r="D110">
            <v>25</v>
          </cell>
          <cell r="E110">
            <v>24</v>
          </cell>
          <cell r="F110">
            <v>27</v>
          </cell>
          <cell r="G110">
            <v>28</v>
          </cell>
          <cell r="H110">
            <v>22</v>
          </cell>
          <cell r="I110">
            <v>29</v>
          </cell>
          <cell r="J110">
            <v>21</v>
          </cell>
          <cell r="K110">
            <v>25</v>
          </cell>
          <cell r="R110">
            <v>24</v>
          </cell>
          <cell r="S110">
            <v>22</v>
          </cell>
          <cell r="T110">
            <v>296</v>
          </cell>
        </row>
        <row r="111">
          <cell r="A111" t="str">
            <v>ASL-150</v>
          </cell>
          <cell r="D111">
            <v>4</v>
          </cell>
          <cell r="K111">
            <v>4</v>
          </cell>
          <cell r="T111">
            <v>8</v>
          </cell>
        </row>
        <row r="112">
          <cell r="A112" t="str">
            <v>ASL-299</v>
          </cell>
          <cell r="E112">
            <v>2</v>
          </cell>
          <cell r="F112">
            <v>1</v>
          </cell>
          <cell r="I112">
            <v>1</v>
          </cell>
          <cell r="S112">
            <v>4</v>
          </cell>
          <cell r="T112">
            <v>8</v>
          </cell>
        </row>
        <row r="113">
          <cell r="A113" t="str">
            <v>ASTR-101</v>
          </cell>
          <cell r="B113">
            <v>46</v>
          </cell>
          <cell r="C113">
            <v>57</v>
          </cell>
          <cell r="D113">
            <v>53</v>
          </cell>
          <cell r="E113">
            <v>64</v>
          </cell>
          <cell r="F113">
            <v>66</v>
          </cell>
          <cell r="G113">
            <v>51</v>
          </cell>
          <cell r="H113">
            <v>56</v>
          </cell>
          <cell r="I113">
            <v>52</v>
          </cell>
          <cell r="J113">
            <v>56</v>
          </cell>
          <cell r="K113">
            <v>66</v>
          </cell>
          <cell r="R113">
            <v>57</v>
          </cell>
          <cell r="S113">
            <v>53</v>
          </cell>
          <cell r="T113">
            <v>677</v>
          </cell>
        </row>
        <row r="114">
          <cell r="A114" t="str">
            <v>ASTR-111</v>
          </cell>
          <cell r="G114">
            <v>19</v>
          </cell>
          <cell r="H114">
            <v>20</v>
          </cell>
          <cell r="I114">
            <v>17</v>
          </cell>
          <cell r="J114">
            <v>19</v>
          </cell>
          <cell r="K114">
            <v>27</v>
          </cell>
          <cell r="T114">
            <v>102</v>
          </cell>
        </row>
        <row r="115">
          <cell r="A115" t="str">
            <v>ASTR-299</v>
          </cell>
          <cell r="J115">
            <v>1</v>
          </cell>
          <cell r="S115">
            <v>1</v>
          </cell>
          <cell r="T115">
            <v>2</v>
          </cell>
        </row>
        <row r="116">
          <cell r="A116" t="str">
            <v>AUD-152</v>
          </cell>
          <cell r="D116">
            <v>6</v>
          </cell>
          <cell r="E116">
            <v>19</v>
          </cell>
          <cell r="F116">
            <v>14</v>
          </cell>
          <cell r="G116">
            <v>9</v>
          </cell>
          <cell r="H116">
            <v>4</v>
          </cell>
          <cell r="I116">
            <v>5</v>
          </cell>
          <cell r="J116">
            <v>18</v>
          </cell>
          <cell r="K116">
            <v>10</v>
          </cell>
          <cell r="L116" t="str">
            <v>2</v>
          </cell>
          <cell r="M116" t="str">
            <v>3</v>
          </cell>
          <cell r="R116">
            <v>19</v>
          </cell>
          <cell r="S116">
            <v>9</v>
          </cell>
          <cell r="T116">
            <v>118</v>
          </cell>
        </row>
        <row r="117">
          <cell r="A117" t="str">
            <v>AUD-153</v>
          </cell>
          <cell r="E117">
            <v>4</v>
          </cell>
          <cell r="F117">
            <v>4</v>
          </cell>
          <cell r="I117">
            <v>1</v>
          </cell>
          <cell r="J117">
            <v>4</v>
          </cell>
          <cell r="K117">
            <v>9</v>
          </cell>
          <cell r="R117">
            <v>3</v>
          </cell>
          <cell r="S117">
            <v>5</v>
          </cell>
          <cell r="T117">
            <v>30</v>
          </cell>
        </row>
        <row r="118">
          <cell r="A118" t="str">
            <v>AUME-101</v>
          </cell>
          <cell r="E118">
            <v>10</v>
          </cell>
          <cell r="F118">
            <v>18</v>
          </cell>
          <cell r="J118">
            <v>10</v>
          </cell>
          <cell r="T118">
            <v>38</v>
          </cell>
        </row>
        <row r="119">
          <cell r="A119" t="str">
            <v>BADM-098E</v>
          </cell>
          <cell r="G119">
            <v>11</v>
          </cell>
          <cell r="T119">
            <v>11</v>
          </cell>
        </row>
        <row r="120">
          <cell r="A120" t="str">
            <v>BADM-098F</v>
          </cell>
          <cell r="G120">
            <v>6</v>
          </cell>
          <cell r="T120">
            <v>6</v>
          </cell>
        </row>
        <row r="121">
          <cell r="A121" t="str">
            <v>BADM-103</v>
          </cell>
          <cell r="B121">
            <v>74</v>
          </cell>
          <cell r="C121">
            <v>65</v>
          </cell>
          <cell r="D121">
            <v>27</v>
          </cell>
          <cell r="E121">
            <v>86</v>
          </cell>
          <cell r="F121">
            <v>83</v>
          </cell>
          <cell r="G121">
            <v>64</v>
          </cell>
          <cell r="H121">
            <v>73</v>
          </cell>
          <cell r="I121">
            <v>69</v>
          </cell>
          <cell r="J121">
            <v>28</v>
          </cell>
          <cell r="K121">
            <v>43</v>
          </cell>
          <cell r="R121">
            <v>97</v>
          </cell>
          <cell r="S121">
            <v>83</v>
          </cell>
          <cell r="T121">
            <v>792</v>
          </cell>
        </row>
        <row r="122">
          <cell r="A122" t="str">
            <v>BADM-103H</v>
          </cell>
          <cell r="D122">
            <v>1</v>
          </cell>
          <cell r="I122">
            <v>1</v>
          </cell>
          <cell r="J122">
            <v>1</v>
          </cell>
          <cell r="K122">
            <v>2</v>
          </cell>
          <cell r="T122">
            <v>5</v>
          </cell>
        </row>
        <row r="123">
          <cell r="A123" t="str">
            <v>BADM-104</v>
          </cell>
          <cell r="B123">
            <v>15</v>
          </cell>
          <cell r="C123">
            <v>21</v>
          </cell>
          <cell r="D123">
            <v>39</v>
          </cell>
          <cell r="E123">
            <v>32</v>
          </cell>
          <cell r="F123">
            <v>38</v>
          </cell>
          <cell r="G123">
            <v>25</v>
          </cell>
          <cell r="H123">
            <v>42</v>
          </cell>
          <cell r="I123">
            <v>36</v>
          </cell>
          <cell r="J123">
            <v>44</v>
          </cell>
          <cell r="K123">
            <v>43</v>
          </cell>
          <cell r="R123">
            <v>37</v>
          </cell>
          <cell r="S123">
            <v>29</v>
          </cell>
          <cell r="T123">
            <v>401</v>
          </cell>
        </row>
        <row r="124">
          <cell r="A124" t="str">
            <v>BADM-104H</v>
          </cell>
          <cell r="B124">
            <v>1</v>
          </cell>
          <cell r="C124">
            <v>1</v>
          </cell>
          <cell r="F124">
            <v>1</v>
          </cell>
          <cell r="R124">
            <v>2</v>
          </cell>
          <cell r="S124">
            <v>1</v>
          </cell>
          <cell r="T124">
            <v>6</v>
          </cell>
        </row>
        <row r="125">
          <cell r="A125" t="str">
            <v>BADM-149</v>
          </cell>
          <cell r="B125">
            <v>2</v>
          </cell>
          <cell r="C125">
            <v>1</v>
          </cell>
          <cell r="G125">
            <v>4</v>
          </cell>
          <cell r="H125">
            <v>1</v>
          </cell>
          <cell r="I125">
            <v>1</v>
          </cell>
          <cell r="K125">
            <v>1</v>
          </cell>
          <cell r="S125">
            <v>3</v>
          </cell>
          <cell r="T125">
            <v>13</v>
          </cell>
        </row>
        <row r="126">
          <cell r="A126" t="str">
            <v>BADM-150</v>
          </cell>
          <cell r="C126">
            <v>24</v>
          </cell>
          <cell r="G126">
            <v>12</v>
          </cell>
          <cell r="I126">
            <v>18</v>
          </cell>
          <cell r="J126">
            <v>24</v>
          </cell>
          <cell r="T126">
            <v>78</v>
          </cell>
        </row>
        <row r="127">
          <cell r="A127" t="str">
            <v>BADM-157</v>
          </cell>
          <cell r="H127">
            <v>12</v>
          </cell>
          <cell r="I127">
            <v>30</v>
          </cell>
          <cell r="J127">
            <v>28</v>
          </cell>
          <cell r="K127">
            <v>18</v>
          </cell>
          <cell r="S127">
            <v>16</v>
          </cell>
          <cell r="T127">
            <v>104</v>
          </cell>
        </row>
        <row r="128">
          <cell r="A128" t="str">
            <v>BADM-170</v>
          </cell>
          <cell r="D128">
            <v>22</v>
          </cell>
          <cell r="T128">
            <v>22</v>
          </cell>
        </row>
        <row r="129">
          <cell r="A129" t="str">
            <v>BADM-201</v>
          </cell>
          <cell r="B129">
            <v>33</v>
          </cell>
          <cell r="C129">
            <v>37</v>
          </cell>
          <cell r="D129">
            <v>34</v>
          </cell>
          <cell r="F129">
            <v>35</v>
          </cell>
          <cell r="G129">
            <v>40</v>
          </cell>
          <cell r="I129">
            <v>34</v>
          </cell>
          <cell r="J129">
            <v>28</v>
          </cell>
          <cell r="K129">
            <v>27</v>
          </cell>
          <cell r="R129">
            <v>34</v>
          </cell>
          <cell r="S129">
            <v>32</v>
          </cell>
          <cell r="T129">
            <v>334</v>
          </cell>
        </row>
        <row r="130">
          <cell r="A130" t="str">
            <v>BIOL-100</v>
          </cell>
          <cell r="B130">
            <v>17</v>
          </cell>
          <cell r="C130">
            <v>32</v>
          </cell>
          <cell r="D130">
            <v>28</v>
          </cell>
          <cell r="E130">
            <v>24</v>
          </cell>
          <cell r="F130">
            <v>33</v>
          </cell>
          <cell r="G130">
            <v>21</v>
          </cell>
          <cell r="H130">
            <v>27</v>
          </cell>
          <cell r="I130">
            <v>37</v>
          </cell>
          <cell r="J130">
            <v>29</v>
          </cell>
          <cell r="K130">
            <v>31</v>
          </cell>
          <cell r="R130">
            <v>32</v>
          </cell>
          <cell r="T130">
            <v>311</v>
          </cell>
        </row>
        <row r="131">
          <cell r="A131" t="str">
            <v>BIOL-115</v>
          </cell>
          <cell r="B131">
            <v>153</v>
          </cell>
          <cell r="C131">
            <v>186</v>
          </cell>
          <cell r="D131">
            <v>175</v>
          </cell>
          <cell r="E131">
            <v>127</v>
          </cell>
          <cell r="F131">
            <v>128</v>
          </cell>
          <cell r="G131">
            <v>183</v>
          </cell>
          <cell r="H131">
            <v>177</v>
          </cell>
          <cell r="I131">
            <v>188</v>
          </cell>
          <cell r="J131">
            <v>131</v>
          </cell>
          <cell r="K131">
            <v>116</v>
          </cell>
          <cell r="L131" t="str">
            <v>39</v>
          </cell>
          <cell r="M131" t="str">
            <v>49</v>
          </cell>
          <cell r="N131" t="str">
            <v>28</v>
          </cell>
          <cell r="R131">
            <v>118</v>
          </cell>
          <cell r="S131">
            <v>96</v>
          </cell>
          <cell r="T131">
            <v>1894</v>
          </cell>
        </row>
        <row r="132">
          <cell r="A132" t="str">
            <v>BIOL-115H</v>
          </cell>
          <cell r="B132">
            <v>6</v>
          </cell>
          <cell r="C132">
            <v>6</v>
          </cell>
          <cell r="D132">
            <v>2</v>
          </cell>
          <cell r="E132">
            <v>3</v>
          </cell>
          <cell r="F132">
            <v>5</v>
          </cell>
          <cell r="G132">
            <v>6</v>
          </cell>
          <cell r="H132">
            <v>3</v>
          </cell>
          <cell r="I132">
            <v>3</v>
          </cell>
          <cell r="K132">
            <v>2</v>
          </cell>
          <cell r="T132">
            <v>36</v>
          </cell>
        </row>
        <row r="133">
          <cell r="A133" t="str">
            <v>BIOL-117</v>
          </cell>
          <cell r="C133">
            <v>25</v>
          </cell>
          <cell r="D133">
            <v>29</v>
          </cell>
          <cell r="E133">
            <v>34</v>
          </cell>
          <cell r="F133">
            <v>33</v>
          </cell>
          <cell r="R133">
            <v>33</v>
          </cell>
          <cell r="S133">
            <v>30</v>
          </cell>
          <cell r="T133">
            <v>184</v>
          </cell>
        </row>
        <row r="134">
          <cell r="A134" t="str">
            <v>BIOL-125</v>
          </cell>
          <cell r="B134">
            <v>88</v>
          </cell>
          <cell r="C134">
            <v>75</v>
          </cell>
          <cell r="D134">
            <v>76</v>
          </cell>
          <cell r="E134">
            <v>72</v>
          </cell>
          <cell r="F134">
            <v>71</v>
          </cell>
          <cell r="G134">
            <v>89</v>
          </cell>
          <cell r="H134">
            <v>78</v>
          </cell>
          <cell r="I134">
            <v>59</v>
          </cell>
          <cell r="J134">
            <v>71</v>
          </cell>
          <cell r="K134">
            <v>83</v>
          </cell>
          <cell r="L134" t="str">
            <v>33</v>
          </cell>
          <cell r="M134" t="str">
            <v>32</v>
          </cell>
          <cell r="N134" t="str">
            <v>31</v>
          </cell>
          <cell r="Q134" t="str">
            <v>24</v>
          </cell>
          <cell r="R134">
            <v>71</v>
          </cell>
          <cell r="S134">
            <v>68</v>
          </cell>
          <cell r="T134">
            <v>1021</v>
          </cell>
        </row>
        <row r="135">
          <cell r="A135" t="str">
            <v>BIOL-125H</v>
          </cell>
          <cell r="D135">
            <v>1</v>
          </cell>
          <cell r="G135">
            <v>1</v>
          </cell>
          <cell r="H135">
            <v>2</v>
          </cell>
          <cell r="I135">
            <v>2</v>
          </cell>
          <cell r="J135">
            <v>2</v>
          </cell>
          <cell r="K135">
            <v>1</v>
          </cell>
          <cell r="R135">
            <v>1</v>
          </cell>
          <cell r="T135">
            <v>10</v>
          </cell>
        </row>
        <row r="136">
          <cell r="A136" t="str">
            <v>BIOL-130</v>
          </cell>
          <cell r="B136">
            <v>25</v>
          </cell>
          <cell r="C136">
            <v>21</v>
          </cell>
          <cell r="D136">
            <v>23</v>
          </cell>
          <cell r="E136">
            <v>17</v>
          </cell>
          <cell r="G136">
            <v>23</v>
          </cell>
          <cell r="H136">
            <v>14</v>
          </cell>
          <cell r="I136">
            <v>24</v>
          </cell>
          <cell r="J136">
            <v>23</v>
          </cell>
          <cell r="T136">
            <v>170</v>
          </cell>
        </row>
        <row r="137">
          <cell r="A137" t="str">
            <v>BIOL-131</v>
          </cell>
          <cell r="E137">
            <v>29</v>
          </cell>
          <cell r="F137">
            <v>28</v>
          </cell>
          <cell r="R137">
            <v>28</v>
          </cell>
          <cell r="T137">
            <v>85</v>
          </cell>
        </row>
        <row r="138">
          <cell r="A138" t="str">
            <v>BIOL-132</v>
          </cell>
          <cell r="J138">
            <v>6</v>
          </cell>
          <cell r="K138">
            <v>12</v>
          </cell>
          <cell r="T138">
            <v>18</v>
          </cell>
        </row>
        <row r="139">
          <cell r="A139" t="str">
            <v>BIOL-134</v>
          </cell>
          <cell r="I139">
            <v>20</v>
          </cell>
          <cell r="J139">
            <v>18</v>
          </cell>
          <cell r="K139">
            <v>34</v>
          </cell>
          <cell r="T139">
            <v>72</v>
          </cell>
        </row>
        <row r="140">
          <cell r="A140" t="str">
            <v>BIOL-135</v>
          </cell>
          <cell r="B140">
            <v>25</v>
          </cell>
          <cell r="C140">
            <v>27</v>
          </cell>
          <cell r="D140">
            <v>22</v>
          </cell>
          <cell r="E140">
            <v>28</v>
          </cell>
          <cell r="G140">
            <v>24</v>
          </cell>
          <cell r="I140">
            <v>25</v>
          </cell>
          <cell r="J140">
            <v>23</v>
          </cell>
          <cell r="T140">
            <v>174</v>
          </cell>
        </row>
        <row r="141">
          <cell r="A141" t="str">
            <v>BIOL-135H</v>
          </cell>
          <cell r="B141">
            <v>2</v>
          </cell>
          <cell r="G141">
            <v>2</v>
          </cell>
          <cell r="T141">
            <v>4</v>
          </cell>
        </row>
        <row r="142">
          <cell r="A142" t="str">
            <v>BIOL-140</v>
          </cell>
          <cell r="B142">
            <v>16</v>
          </cell>
          <cell r="C142">
            <v>29</v>
          </cell>
          <cell r="D142">
            <v>23</v>
          </cell>
          <cell r="E142">
            <v>28</v>
          </cell>
          <cell r="F142">
            <v>30</v>
          </cell>
          <cell r="T142">
            <v>126</v>
          </cell>
        </row>
        <row r="143">
          <cell r="A143" t="str">
            <v>BIOL-143</v>
          </cell>
          <cell r="B143">
            <v>28</v>
          </cell>
          <cell r="C143">
            <v>28</v>
          </cell>
          <cell r="D143">
            <v>27</v>
          </cell>
          <cell r="T143">
            <v>83</v>
          </cell>
        </row>
        <row r="144">
          <cell r="A144" t="str">
            <v>BIOL-144</v>
          </cell>
          <cell r="G144">
            <v>26</v>
          </cell>
          <cell r="H144">
            <v>29</v>
          </cell>
          <cell r="I144">
            <v>36</v>
          </cell>
          <cell r="J144">
            <v>27</v>
          </cell>
          <cell r="K144">
            <v>28</v>
          </cell>
          <cell r="R144">
            <v>28</v>
          </cell>
          <cell r="S144">
            <v>33</v>
          </cell>
          <cell r="T144">
            <v>207</v>
          </cell>
        </row>
        <row r="145">
          <cell r="A145" t="str">
            <v>BIOL-146</v>
          </cell>
          <cell r="I145">
            <v>31</v>
          </cell>
          <cell r="J145">
            <v>25</v>
          </cell>
          <cell r="K145">
            <v>27</v>
          </cell>
          <cell r="T145">
            <v>83</v>
          </cell>
        </row>
        <row r="146">
          <cell r="A146" t="str">
            <v>BIOL-150</v>
          </cell>
          <cell r="B146">
            <v>26</v>
          </cell>
          <cell r="C146">
            <v>26</v>
          </cell>
          <cell r="D146">
            <v>30</v>
          </cell>
          <cell r="E146">
            <v>27</v>
          </cell>
          <cell r="F146">
            <v>27</v>
          </cell>
          <cell r="R146">
            <v>25</v>
          </cell>
          <cell r="S146">
            <v>31</v>
          </cell>
          <cell r="T146">
            <v>192</v>
          </cell>
        </row>
        <row r="147">
          <cell r="A147" t="str">
            <v>BIOL-150H</v>
          </cell>
          <cell r="B147">
            <v>4</v>
          </cell>
          <cell r="C147">
            <v>9</v>
          </cell>
          <cell r="E147">
            <v>1</v>
          </cell>
          <cell r="F147">
            <v>2</v>
          </cell>
          <cell r="R147">
            <v>4</v>
          </cell>
          <cell r="S147">
            <v>4</v>
          </cell>
          <cell r="T147">
            <v>24</v>
          </cell>
        </row>
        <row r="148">
          <cell r="A148" t="str">
            <v>BIOL-151</v>
          </cell>
          <cell r="G148">
            <v>18</v>
          </cell>
          <cell r="H148">
            <v>23</v>
          </cell>
          <cell r="I148">
            <v>24</v>
          </cell>
          <cell r="J148">
            <v>22</v>
          </cell>
          <cell r="K148">
            <v>23</v>
          </cell>
          <cell r="S148">
            <v>23</v>
          </cell>
          <cell r="T148">
            <v>133</v>
          </cell>
        </row>
        <row r="149">
          <cell r="A149" t="str">
            <v>BIOL-151H</v>
          </cell>
          <cell r="G149">
            <v>1</v>
          </cell>
          <cell r="H149">
            <v>6</v>
          </cell>
          <cell r="I149">
            <v>4</v>
          </cell>
          <cell r="J149">
            <v>2</v>
          </cell>
          <cell r="K149">
            <v>4</v>
          </cell>
          <cell r="S149">
            <v>7</v>
          </cell>
          <cell r="T149">
            <v>24</v>
          </cell>
        </row>
        <row r="150">
          <cell r="A150" t="str">
            <v>BIOL-201</v>
          </cell>
          <cell r="H150">
            <v>20</v>
          </cell>
          <cell r="T150">
            <v>20</v>
          </cell>
        </row>
        <row r="151">
          <cell r="A151" t="str">
            <v>BIOL-299</v>
          </cell>
          <cell r="B151">
            <v>7</v>
          </cell>
          <cell r="C151">
            <v>5</v>
          </cell>
          <cell r="D151">
            <v>5</v>
          </cell>
          <cell r="E151">
            <v>4</v>
          </cell>
          <cell r="F151">
            <v>4</v>
          </cell>
          <cell r="G151">
            <v>3</v>
          </cell>
          <cell r="H151">
            <v>3</v>
          </cell>
          <cell r="I151">
            <v>6</v>
          </cell>
          <cell r="J151">
            <v>9</v>
          </cell>
          <cell r="K151">
            <v>4</v>
          </cell>
          <cell r="N151" t="str">
            <v>1</v>
          </cell>
          <cell r="R151">
            <v>5</v>
          </cell>
          <cell r="S151">
            <v>4</v>
          </cell>
          <cell r="T151">
            <v>60</v>
          </cell>
        </row>
        <row r="152">
          <cell r="A152" t="str">
            <v>CAPP-065</v>
          </cell>
          <cell r="D152">
            <v>14</v>
          </cell>
          <cell r="H152">
            <v>12</v>
          </cell>
          <cell r="T152">
            <v>26</v>
          </cell>
        </row>
        <row r="153">
          <cell r="A153" t="str">
            <v>CAPP-080</v>
          </cell>
          <cell r="B153">
            <v>52</v>
          </cell>
          <cell r="C153">
            <v>30</v>
          </cell>
          <cell r="D153">
            <v>34</v>
          </cell>
          <cell r="E153">
            <v>24</v>
          </cell>
          <cell r="G153">
            <v>54</v>
          </cell>
          <cell r="H153">
            <v>57</v>
          </cell>
          <cell r="I153">
            <v>13</v>
          </cell>
          <cell r="J153">
            <v>15</v>
          </cell>
          <cell r="L153" t="str">
            <v>49</v>
          </cell>
          <cell r="M153" t="str">
            <v>6</v>
          </cell>
          <cell r="N153" t="str">
            <v>10</v>
          </cell>
          <cell r="T153">
            <v>344</v>
          </cell>
        </row>
        <row r="154">
          <cell r="A154" t="str">
            <v>CAPP-081</v>
          </cell>
          <cell r="D154">
            <v>18</v>
          </cell>
          <cell r="E154">
            <v>17</v>
          </cell>
          <cell r="I154">
            <v>21</v>
          </cell>
          <cell r="T154">
            <v>56</v>
          </cell>
        </row>
        <row r="155">
          <cell r="A155" t="str">
            <v>CAPP-082</v>
          </cell>
          <cell r="D155">
            <v>22</v>
          </cell>
          <cell r="E155">
            <v>20</v>
          </cell>
          <cell r="I155">
            <v>10</v>
          </cell>
          <cell r="J155">
            <v>17</v>
          </cell>
          <cell r="T155">
            <v>69</v>
          </cell>
        </row>
        <row r="156">
          <cell r="A156" t="str">
            <v>CAPP-120</v>
          </cell>
          <cell r="D156">
            <v>41</v>
          </cell>
          <cell r="E156">
            <v>41</v>
          </cell>
          <cell r="F156">
            <v>48</v>
          </cell>
          <cell r="I156">
            <v>39</v>
          </cell>
          <cell r="J156">
            <v>52</v>
          </cell>
          <cell r="K156">
            <v>47</v>
          </cell>
          <cell r="R156">
            <v>49</v>
          </cell>
          <cell r="T156">
            <v>317</v>
          </cell>
        </row>
        <row r="157">
          <cell r="A157" t="str">
            <v>CAPP-120C</v>
          </cell>
          <cell r="B157">
            <v>37</v>
          </cell>
          <cell r="L157" t="str">
            <v>20</v>
          </cell>
          <cell r="T157">
            <v>57</v>
          </cell>
        </row>
        <row r="158">
          <cell r="A158" t="str">
            <v>CAPP-120D</v>
          </cell>
          <cell r="C158">
            <v>41</v>
          </cell>
          <cell r="G158">
            <v>27</v>
          </cell>
          <cell r="H158">
            <v>35</v>
          </cell>
          <cell r="T158">
            <v>103</v>
          </cell>
        </row>
        <row r="159">
          <cell r="A159" t="str">
            <v>CAPP-121</v>
          </cell>
          <cell r="E159">
            <v>26</v>
          </cell>
          <cell r="T159">
            <v>26</v>
          </cell>
        </row>
        <row r="160">
          <cell r="A160" t="str">
            <v>CAPP-121C</v>
          </cell>
          <cell r="B160">
            <v>17</v>
          </cell>
          <cell r="T160">
            <v>17</v>
          </cell>
        </row>
        <row r="161">
          <cell r="A161" t="str">
            <v>CAPP-121D</v>
          </cell>
          <cell r="C161">
            <v>22</v>
          </cell>
          <cell r="G161">
            <v>15</v>
          </cell>
          <cell r="T161">
            <v>37</v>
          </cell>
        </row>
        <row r="162">
          <cell r="A162" t="str">
            <v>CAPP-122</v>
          </cell>
          <cell r="D162">
            <v>35</v>
          </cell>
          <cell r="E162">
            <v>46</v>
          </cell>
          <cell r="F162">
            <v>47</v>
          </cell>
          <cell r="I162">
            <v>52</v>
          </cell>
          <cell r="J162">
            <v>43</v>
          </cell>
          <cell r="K162">
            <v>43</v>
          </cell>
          <cell r="R162">
            <v>25</v>
          </cell>
          <cell r="S162">
            <v>48</v>
          </cell>
          <cell r="T162">
            <v>339</v>
          </cell>
        </row>
        <row r="163">
          <cell r="A163" t="str">
            <v>CAPP-122C</v>
          </cell>
          <cell r="B163">
            <v>32</v>
          </cell>
          <cell r="T163">
            <v>32</v>
          </cell>
        </row>
        <row r="164">
          <cell r="A164" t="str">
            <v>CAPP-122D</v>
          </cell>
          <cell r="C164">
            <v>36</v>
          </cell>
          <cell r="G164">
            <v>26</v>
          </cell>
          <cell r="H164">
            <v>37</v>
          </cell>
          <cell r="T164">
            <v>99</v>
          </cell>
        </row>
        <row r="165">
          <cell r="A165" t="str">
            <v>CAPP-123</v>
          </cell>
          <cell r="I165">
            <v>23</v>
          </cell>
          <cell r="J165">
            <v>20</v>
          </cell>
          <cell r="K165">
            <v>19</v>
          </cell>
          <cell r="S165">
            <v>22</v>
          </cell>
          <cell r="T165">
            <v>84</v>
          </cell>
        </row>
        <row r="166">
          <cell r="A166" t="str">
            <v>CAPP-123C</v>
          </cell>
          <cell r="B166">
            <v>8</v>
          </cell>
          <cell r="T166">
            <v>8</v>
          </cell>
        </row>
        <row r="167">
          <cell r="A167" t="str">
            <v>CAPP-124</v>
          </cell>
          <cell r="I167">
            <v>25</v>
          </cell>
          <cell r="K167">
            <v>13</v>
          </cell>
          <cell r="T167">
            <v>38</v>
          </cell>
        </row>
        <row r="168">
          <cell r="A168" t="str">
            <v>CAPP-124D</v>
          </cell>
          <cell r="H168">
            <v>24</v>
          </cell>
          <cell r="T168">
            <v>24</v>
          </cell>
        </row>
        <row r="169">
          <cell r="A169" t="str">
            <v>CAPP-127</v>
          </cell>
          <cell r="F169">
            <v>50</v>
          </cell>
          <cell r="K169">
            <v>21</v>
          </cell>
          <cell r="R169">
            <v>18</v>
          </cell>
          <cell r="S169">
            <v>27</v>
          </cell>
          <cell r="T169">
            <v>116</v>
          </cell>
        </row>
        <row r="170">
          <cell r="A170" t="str">
            <v>CAPP-131</v>
          </cell>
          <cell r="E170">
            <v>19</v>
          </cell>
          <cell r="I170">
            <v>18</v>
          </cell>
          <cell r="T170">
            <v>37</v>
          </cell>
        </row>
        <row r="171">
          <cell r="A171" t="str">
            <v>CAPP-131D</v>
          </cell>
          <cell r="C171">
            <v>32</v>
          </cell>
          <cell r="G171">
            <v>15</v>
          </cell>
          <cell r="H171">
            <v>29</v>
          </cell>
          <cell r="T171">
            <v>76</v>
          </cell>
        </row>
        <row r="172">
          <cell r="A172" t="str">
            <v>CAPP-135</v>
          </cell>
          <cell r="K172">
            <v>15</v>
          </cell>
          <cell r="S172">
            <v>16</v>
          </cell>
          <cell r="T172">
            <v>31</v>
          </cell>
        </row>
        <row r="173">
          <cell r="A173" t="str">
            <v>CDE-080A</v>
          </cell>
          <cell r="D173">
            <v>28</v>
          </cell>
          <cell r="T173">
            <v>28</v>
          </cell>
        </row>
        <row r="174">
          <cell r="A174" t="str">
            <v>CDE-080B</v>
          </cell>
          <cell r="D174">
            <v>28</v>
          </cell>
          <cell r="T174">
            <v>28</v>
          </cell>
        </row>
        <row r="175">
          <cell r="A175" t="str">
            <v>CDE-101</v>
          </cell>
          <cell r="B175">
            <v>72</v>
          </cell>
          <cell r="C175">
            <v>53</v>
          </cell>
          <cell r="D175">
            <v>84</v>
          </cell>
          <cell r="E175">
            <v>55</v>
          </cell>
          <cell r="F175">
            <v>59</v>
          </cell>
          <cell r="G175">
            <v>85</v>
          </cell>
          <cell r="H175">
            <v>80</v>
          </cell>
          <cell r="I175">
            <v>73</v>
          </cell>
          <cell r="J175">
            <v>59</v>
          </cell>
          <cell r="K175">
            <v>67</v>
          </cell>
          <cell r="L175" t="str">
            <v>40</v>
          </cell>
          <cell r="N175" t="str">
            <v>35</v>
          </cell>
          <cell r="R175">
            <v>23</v>
          </cell>
          <cell r="S175">
            <v>73</v>
          </cell>
          <cell r="T175">
            <v>858</v>
          </cell>
        </row>
        <row r="176">
          <cell r="A176" t="str">
            <v>CDE-102</v>
          </cell>
          <cell r="B176">
            <v>29</v>
          </cell>
          <cell r="C176">
            <v>34</v>
          </cell>
          <cell r="F176">
            <v>30</v>
          </cell>
          <cell r="G176">
            <v>34</v>
          </cell>
          <cell r="H176">
            <v>35</v>
          </cell>
          <cell r="I176">
            <v>26</v>
          </cell>
          <cell r="J176">
            <v>24</v>
          </cell>
          <cell r="K176">
            <v>27</v>
          </cell>
          <cell r="R176">
            <v>33</v>
          </cell>
          <cell r="S176">
            <v>30</v>
          </cell>
          <cell r="T176">
            <v>302</v>
          </cell>
        </row>
        <row r="177">
          <cell r="A177" t="str">
            <v>CDE-103</v>
          </cell>
          <cell r="B177">
            <v>46</v>
          </cell>
          <cell r="C177">
            <v>31</v>
          </cell>
          <cell r="D177">
            <v>54</v>
          </cell>
          <cell r="E177">
            <v>44</v>
          </cell>
          <cell r="F177">
            <v>32</v>
          </cell>
          <cell r="G177">
            <v>21</v>
          </cell>
          <cell r="H177">
            <v>60</v>
          </cell>
          <cell r="I177">
            <v>63</v>
          </cell>
          <cell r="J177">
            <v>24</v>
          </cell>
          <cell r="K177">
            <v>39</v>
          </cell>
          <cell r="R177">
            <v>32</v>
          </cell>
          <cell r="S177">
            <v>61</v>
          </cell>
          <cell r="T177">
            <v>507</v>
          </cell>
        </row>
        <row r="178">
          <cell r="A178" t="str">
            <v>CDE-105</v>
          </cell>
          <cell r="H178">
            <v>15</v>
          </cell>
          <cell r="T178">
            <v>15</v>
          </cell>
        </row>
        <row r="179">
          <cell r="A179" t="str">
            <v>CDE-110</v>
          </cell>
          <cell r="B179">
            <v>64</v>
          </cell>
          <cell r="C179">
            <v>70</v>
          </cell>
          <cell r="D179">
            <v>82</v>
          </cell>
          <cell r="E179">
            <v>70</v>
          </cell>
          <cell r="F179">
            <v>69</v>
          </cell>
          <cell r="G179">
            <v>73</v>
          </cell>
          <cell r="H179">
            <v>61</v>
          </cell>
          <cell r="I179">
            <v>72</v>
          </cell>
          <cell r="J179">
            <v>56</v>
          </cell>
          <cell r="K179">
            <v>99</v>
          </cell>
          <cell r="R179">
            <v>56</v>
          </cell>
          <cell r="S179">
            <v>60</v>
          </cell>
          <cell r="T179">
            <v>832</v>
          </cell>
        </row>
        <row r="180">
          <cell r="A180" t="str">
            <v>CDE-110H</v>
          </cell>
          <cell r="B180">
            <v>1</v>
          </cell>
          <cell r="F180">
            <v>2</v>
          </cell>
          <cell r="H180">
            <v>2</v>
          </cell>
          <cell r="I180">
            <v>1</v>
          </cell>
          <cell r="K180">
            <v>1</v>
          </cell>
          <cell r="R180">
            <v>1</v>
          </cell>
          <cell r="T180">
            <v>8</v>
          </cell>
        </row>
        <row r="181">
          <cell r="A181" t="str">
            <v>CDE-111</v>
          </cell>
          <cell r="B181">
            <v>22</v>
          </cell>
          <cell r="C181">
            <v>20</v>
          </cell>
          <cell r="D181">
            <v>31</v>
          </cell>
          <cell r="G181">
            <v>26</v>
          </cell>
          <cell r="I181">
            <v>32</v>
          </cell>
          <cell r="J181">
            <v>31</v>
          </cell>
          <cell r="K181">
            <v>54</v>
          </cell>
          <cell r="R181">
            <v>27</v>
          </cell>
          <cell r="T181">
            <v>243</v>
          </cell>
        </row>
        <row r="182">
          <cell r="A182" t="str">
            <v>CDE-113</v>
          </cell>
          <cell r="D182">
            <v>24</v>
          </cell>
          <cell r="L182" t="str">
            <v>31</v>
          </cell>
          <cell r="T182">
            <v>55</v>
          </cell>
        </row>
        <row r="183">
          <cell r="A183" t="str">
            <v>CDE-115</v>
          </cell>
          <cell r="C183">
            <v>17</v>
          </cell>
          <cell r="F183">
            <v>25</v>
          </cell>
          <cell r="T183">
            <v>42</v>
          </cell>
        </row>
        <row r="184">
          <cell r="A184" t="str">
            <v>CDE-119</v>
          </cell>
          <cell r="C184">
            <v>28</v>
          </cell>
          <cell r="D184">
            <v>28</v>
          </cell>
          <cell r="R184">
            <v>30</v>
          </cell>
          <cell r="T184">
            <v>86</v>
          </cell>
        </row>
        <row r="185">
          <cell r="A185" t="str">
            <v>CDE-120</v>
          </cell>
          <cell r="H185">
            <v>31</v>
          </cell>
          <cell r="J185">
            <v>24</v>
          </cell>
          <cell r="S185">
            <v>25</v>
          </cell>
          <cell r="T185">
            <v>80</v>
          </cell>
        </row>
        <row r="186">
          <cell r="A186" t="str">
            <v>CDE-125</v>
          </cell>
          <cell r="B186">
            <v>48</v>
          </cell>
          <cell r="C186">
            <v>82</v>
          </cell>
          <cell r="D186">
            <v>59</v>
          </cell>
          <cell r="E186">
            <v>60</v>
          </cell>
          <cell r="F186">
            <v>83</v>
          </cell>
          <cell r="G186">
            <v>45</v>
          </cell>
          <cell r="H186">
            <v>53</v>
          </cell>
          <cell r="I186">
            <v>80</v>
          </cell>
          <cell r="J186">
            <v>52</v>
          </cell>
          <cell r="K186">
            <v>27</v>
          </cell>
          <cell r="M186" t="str">
            <v>39</v>
          </cell>
          <cell r="Q186" t="str">
            <v>28</v>
          </cell>
          <cell r="R186">
            <v>45</v>
          </cell>
          <cell r="S186">
            <v>57</v>
          </cell>
          <cell r="T186">
            <v>758</v>
          </cell>
        </row>
        <row r="187">
          <cell r="A187" t="str">
            <v>CDE-125H</v>
          </cell>
          <cell r="B187">
            <v>1</v>
          </cell>
          <cell r="D187">
            <v>2</v>
          </cell>
          <cell r="I187">
            <v>1</v>
          </cell>
          <cell r="R187">
            <v>1</v>
          </cell>
          <cell r="T187">
            <v>5</v>
          </cell>
        </row>
        <row r="188">
          <cell r="A188" t="str">
            <v>CDE-126</v>
          </cell>
          <cell r="B188">
            <v>32</v>
          </cell>
          <cell r="D188">
            <v>29</v>
          </cell>
          <cell r="S188">
            <v>30</v>
          </cell>
          <cell r="T188">
            <v>91</v>
          </cell>
        </row>
        <row r="189">
          <cell r="A189" t="str">
            <v>CDE-127</v>
          </cell>
          <cell r="G189">
            <v>4</v>
          </cell>
          <cell r="I189">
            <v>25</v>
          </cell>
          <cell r="T189">
            <v>29</v>
          </cell>
        </row>
        <row r="190">
          <cell r="A190" t="str">
            <v>CDE-128</v>
          </cell>
          <cell r="G190">
            <v>33</v>
          </cell>
          <cell r="I190">
            <v>24</v>
          </cell>
          <cell r="T190">
            <v>57</v>
          </cell>
        </row>
        <row r="191">
          <cell r="A191" t="str">
            <v>CDE-131</v>
          </cell>
          <cell r="B191">
            <v>10</v>
          </cell>
          <cell r="C191">
            <v>4</v>
          </cell>
          <cell r="D191">
            <v>17</v>
          </cell>
          <cell r="E191">
            <v>14</v>
          </cell>
          <cell r="F191">
            <v>12</v>
          </cell>
          <cell r="G191">
            <v>2</v>
          </cell>
          <cell r="I191">
            <v>16</v>
          </cell>
          <cell r="J191">
            <v>19</v>
          </cell>
          <cell r="R191">
            <v>17</v>
          </cell>
          <cell r="T191">
            <v>111</v>
          </cell>
        </row>
        <row r="192">
          <cell r="A192" t="str">
            <v>CDE-131H</v>
          </cell>
          <cell r="G192">
            <v>1</v>
          </cell>
          <cell r="T192">
            <v>1</v>
          </cell>
        </row>
        <row r="193">
          <cell r="A193" t="str">
            <v>CDE-134</v>
          </cell>
          <cell r="C193">
            <v>27</v>
          </cell>
          <cell r="E193">
            <v>26</v>
          </cell>
          <cell r="R193">
            <v>23</v>
          </cell>
          <cell r="T193">
            <v>76</v>
          </cell>
        </row>
        <row r="194">
          <cell r="A194" t="str">
            <v>CDE-137</v>
          </cell>
          <cell r="M194" t="str">
            <v>25</v>
          </cell>
          <cell r="T194">
            <v>25</v>
          </cell>
        </row>
        <row r="195">
          <cell r="A195" t="str">
            <v>CDE-140</v>
          </cell>
          <cell r="B195">
            <v>26</v>
          </cell>
          <cell r="C195">
            <v>32</v>
          </cell>
          <cell r="D195">
            <v>33</v>
          </cell>
          <cell r="E195">
            <v>33</v>
          </cell>
          <cell r="F195">
            <v>28</v>
          </cell>
          <cell r="G195">
            <v>25</v>
          </cell>
          <cell r="K195">
            <v>31</v>
          </cell>
          <cell r="R195">
            <v>29</v>
          </cell>
          <cell r="S195">
            <v>33</v>
          </cell>
          <cell r="T195">
            <v>270</v>
          </cell>
        </row>
        <row r="196">
          <cell r="A196" t="str">
            <v>CDE-141</v>
          </cell>
          <cell r="B196">
            <v>7</v>
          </cell>
          <cell r="C196">
            <v>7</v>
          </cell>
          <cell r="D196">
            <v>21</v>
          </cell>
          <cell r="J196">
            <v>16</v>
          </cell>
          <cell r="T196">
            <v>51</v>
          </cell>
        </row>
        <row r="197">
          <cell r="A197" t="str">
            <v>CDE-143</v>
          </cell>
          <cell r="F197">
            <v>35</v>
          </cell>
          <cell r="R197">
            <v>27</v>
          </cell>
          <cell r="T197">
            <v>62</v>
          </cell>
        </row>
        <row r="198">
          <cell r="A198" t="str">
            <v>CDE-146</v>
          </cell>
          <cell r="B198">
            <v>10</v>
          </cell>
          <cell r="D198">
            <v>25</v>
          </cell>
          <cell r="T198">
            <v>35</v>
          </cell>
        </row>
        <row r="199">
          <cell r="A199" t="str">
            <v>CDE-147</v>
          </cell>
          <cell r="B199">
            <v>19</v>
          </cell>
          <cell r="C199">
            <v>16</v>
          </cell>
          <cell r="E199">
            <v>18</v>
          </cell>
          <cell r="G199">
            <v>15</v>
          </cell>
          <cell r="H199">
            <v>19</v>
          </cell>
          <cell r="I199">
            <v>20</v>
          </cell>
          <cell r="J199">
            <v>18</v>
          </cell>
          <cell r="K199">
            <v>18</v>
          </cell>
          <cell r="R199">
            <v>19</v>
          </cell>
          <cell r="S199">
            <v>19</v>
          </cell>
          <cell r="T199">
            <v>181</v>
          </cell>
        </row>
        <row r="200">
          <cell r="A200" t="str">
            <v>CDE-148</v>
          </cell>
          <cell r="B200">
            <v>10</v>
          </cell>
          <cell r="C200">
            <v>13</v>
          </cell>
          <cell r="D200">
            <v>13</v>
          </cell>
          <cell r="E200">
            <v>17</v>
          </cell>
          <cell r="F200">
            <v>14</v>
          </cell>
          <cell r="G200">
            <v>12</v>
          </cell>
          <cell r="H200">
            <v>13</v>
          </cell>
          <cell r="J200">
            <v>13</v>
          </cell>
          <cell r="R200">
            <v>11</v>
          </cell>
          <cell r="T200">
            <v>116</v>
          </cell>
        </row>
        <row r="201">
          <cell r="A201" t="str">
            <v>CDE-149</v>
          </cell>
          <cell r="C201">
            <v>11</v>
          </cell>
          <cell r="D201">
            <v>10</v>
          </cell>
          <cell r="E201">
            <v>2</v>
          </cell>
          <cell r="F201">
            <v>5</v>
          </cell>
          <cell r="H201">
            <v>9</v>
          </cell>
          <cell r="I201">
            <v>9</v>
          </cell>
          <cell r="J201">
            <v>5</v>
          </cell>
          <cell r="K201">
            <v>5</v>
          </cell>
          <cell r="R201">
            <v>5</v>
          </cell>
          <cell r="S201">
            <v>8</v>
          </cell>
          <cell r="T201">
            <v>69</v>
          </cell>
        </row>
        <row r="202">
          <cell r="A202" t="str">
            <v>CDE-201B</v>
          </cell>
          <cell r="C202">
            <v>32</v>
          </cell>
          <cell r="T202">
            <v>32</v>
          </cell>
        </row>
        <row r="203">
          <cell r="A203" t="str">
            <v>CDE-201F</v>
          </cell>
          <cell r="H203">
            <v>27</v>
          </cell>
          <cell r="T203">
            <v>27</v>
          </cell>
        </row>
        <row r="204">
          <cell r="A204" t="str">
            <v>CDE-202A</v>
          </cell>
          <cell r="B204">
            <v>21</v>
          </cell>
          <cell r="T204">
            <v>21</v>
          </cell>
        </row>
        <row r="205">
          <cell r="A205" t="str">
            <v>CDE-202B</v>
          </cell>
          <cell r="B205">
            <v>27</v>
          </cell>
          <cell r="T205">
            <v>27</v>
          </cell>
        </row>
        <row r="206">
          <cell r="A206" t="str">
            <v>CDE-202G</v>
          </cell>
          <cell r="C206">
            <v>30</v>
          </cell>
          <cell r="T206">
            <v>30</v>
          </cell>
        </row>
        <row r="207">
          <cell r="A207" t="str">
            <v>CDE-203C</v>
          </cell>
          <cell r="G207">
            <v>17</v>
          </cell>
          <cell r="T207">
            <v>17</v>
          </cell>
        </row>
        <row r="208">
          <cell r="A208" t="str">
            <v>CDE-203D</v>
          </cell>
          <cell r="G208">
            <v>25</v>
          </cell>
          <cell r="T208">
            <v>25</v>
          </cell>
        </row>
        <row r="209">
          <cell r="A209" t="str">
            <v>CDE-204G</v>
          </cell>
          <cell r="H209">
            <v>21</v>
          </cell>
          <cell r="T209">
            <v>21</v>
          </cell>
        </row>
        <row r="210">
          <cell r="A210" t="str">
            <v>CDE-299</v>
          </cell>
          <cell r="G210">
            <v>1</v>
          </cell>
          <cell r="T210">
            <v>1</v>
          </cell>
        </row>
        <row r="211">
          <cell r="A211" t="str">
            <v>CHEM-100</v>
          </cell>
          <cell r="B211">
            <v>93</v>
          </cell>
          <cell r="C211">
            <v>85</v>
          </cell>
          <cell r="D211">
            <v>103</v>
          </cell>
          <cell r="E211">
            <v>94</v>
          </cell>
          <cell r="F211">
            <v>76</v>
          </cell>
          <cell r="G211">
            <v>67</v>
          </cell>
          <cell r="H211">
            <v>105</v>
          </cell>
          <cell r="I211">
            <v>113</v>
          </cell>
          <cell r="J211">
            <v>66</v>
          </cell>
          <cell r="K211">
            <v>72</v>
          </cell>
          <cell r="L211" t="str">
            <v>44</v>
          </cell>
          <cell r="M211" t="str">
            <v>17</v>
          </cell>
          <cell r="N211" t="str">
            <v>48</v>
          </cell>
          <cell r="O211" t="str">
            <v>27</v>
          </cell>
          <cell r="Q211" t="str">
            <v>22</v>
          </cell>
          <cell r="R211">
            <v>68</v>
          </cell>
          <cell r="S211">
            <v>65</v>
          </cell>
          <cell r="T211">
            <v>1165</v>
          </cell>
        </row>
        <row r="212">
          <cell r="A212" t="str">
            <v>CHEM-101</v>
          </cell>
          <cell r="B212">
            <v>83</v>
          </cell>
          <cell r="C212">
            <v>84</v>
          </cell>
          <cell r="D212">
            <v>82</v>
          </cell>
          <cell r="E212">
            <v>73</v>
          </cell>
          <cell r="F212">
            <v>93</v>
          </cell>
          <cell r="G212">
            <v>90</v>
          </cell>
          <cell r="H212">
            <v>83</v>
          </cell>
          <cell r="I212">
            <v>87</v>
          </cell>
          <cell r="J212">
            <v>80</v>
          </cell>
          <cell r="K212">
            <v>85</v>
          </cell>
          <cell r="L212" t="str">
            <v>29</v>
          </cell>
          <cell r="M212" t="str">
            <v>24</v>
          </cell>
          <cell r="N212" t="str">
            <v>29</v>
          </cell>
          <cell r="O212" t="str">
            <v>27</v>
          </cell>
          <cell r="Q212" t="str">
            <v>20</v>
          </cell>
          <cell r="R212">
            <v>80</v>
          </cell>
          <cell r="S212">
            <v>71</v>
          </cell>
          <cell r="T212">
            <v>1120</v>
          </cell>
        </row>
        <row r="213">
          <cell r="A213" t="str">
            <v>CHEM-102</v>
          </cell>
          <cell r="B213">
            <v>36</v>
          </cell>
          <cell r="C213">
            <v>41</v>
          </cell>
          <cell r="D213">
            <v>36</v>
          </cell>
          <cell r="E213">
            <v>43</v>
          </cell>
          <cell r="F213">
            <v>46</v>
          </cell>
          <cell r="G213">
            <v>47</v>
          </cell>
          <cell r="H213">
            <v>44</v>
          </cell>
          <cell r="I213">
            <v>52</v>
          </cell>
          <cell r="J213">
            <v>46</v>
          </cell>
          <cell r="K213">
            <v>53</v>
          </cell>
          <cell r="R213">
            <v>45</v>
          </cell>
          <cell r="S213">
            <v>44</v>
          </cell>
          <cell r="T213">
            <v>533</v>
          </cell>
        </row>
        <row r="214">
          <cell r="A214" t="str">
            <v>CHEM-107</v>
          </cell>
          <cell r="F214">
            <v>29</v>
          </cell>
          <cell r="J214">
            <v>29</v>
          </cell>
          <cell r="K214">
            <v>29</v>
          </cell>
          <cell r="R214">
            <v>19</v>
          </cell>
          <cell r="S214">
            <v>13</v>
          </cell>
          <cell r="T214">
            <v>119</v>
          </cell>
        </row>
        <row r="215">
          <cell r="A215" t="str">
            <v>CHEM-299</v>
          </cell>
          <cell r="B215">
            <v>1</v>
          </cell>
          <cell r="L215" t="str">
            <v>1</v>
          </cell>
          <cell r="T215">
            <v>2</v>
          </cell>
        </row>
        <row r="216">
          <cell r="A216" t="str">
            <v>COMM-056</v>
          </cell>
          <cell r="D216">
            <v>1</v>
          </cell>
          <cell r="E216">
            <v>3</v>
          </cell>
          <cell r="F216">
            <v>1</v>
          </cell>
          <cell r="H216">
            <v>2</v>
          </cell>
          <cell r="I216">
            <v>3</v>
          </cell>
          <cell r="T216">
            <v>10</v>
          </cell>
        </row>
        <row r="217">
          <cell r="A217" t="str">
            <v>COMM-100</v>
          </cell>
          <cell r="B217">
            <v>369</v>
          </cell>
          <cell r="C217">
            <v>377</v>
          </cell>
          <cell r="D217">
            <v>433</v>
          </cell>
          <cell r="E217">
            <v>443</v>
          </cell>
          <cell r="F217">
            <v>442</v>
          </cell>
          <cell r="G217">
            <v>338</v>
          </cell>
          <cell r="H217">
            <v>369</v>
          </cell>
          <cell r="I217">
            <v>429</v>
          </cell>
          <cell r="J217">
            <v>462</v>
          </cell>
          <cell r="K217">
            <v>396</v>
          </cell>
          <cell r="L217" t="str">
            <v>79</v>
          </cell>
          <cell r="M217" t="str">
            <v>78</v>
          </cell>
          <cell r="Q217" t="str">
            <v>28</v>
          </cell>
          <cell r="R217">
            <v>257</v>
          </cell>
          <cell r="S217">
            <v>331</v>
          </cell>
          <cell r="T217">
            <v>4831</v>
          </cell>
        </row>
        <row r="218">
          <cell r="A218" t="str">
            <v>COMM-100H</v>
          </cell>
          <cell r="S218">
            <v>6</v>
          </cell>
          <cell r="T218">
            <v>6</v>
          </cell>
        </row>
        <row r="219">
          <cell r="A219" t="str">
            <v>COMM-103</v>
          </cell>
          <cell r="B219">
            <v>237</v>
          </cell>
          <cell r="C219">
            <v>270</v>
          </cell>
          <cell r="D219">
            <v>298</v>
          </cell>
          <cell r="E219">
            <v>244</v>
          </cell>
          <cell r="F219">
            <v>215</v>
          </cell>
          <cell r="G219">
            <v>264</v>
          </cell>
          <cell r="H219">
            <v>281</v>
          </cell>
          <cell r="I219">
            <v>317</v>
          </cell>
          <cell r="J219">
            <v>233</v>
          </cell>
          <cell r="K219">
            <v>288</v>
          </cell>
          <cell r="L219" t="str">
            <v>48</v>
          </cell>
          <cell r="M219" t="str">
            <v>60</v>
          </cell>
          <cell r="N219" t="str">
            <v>26</v>
          </cell>
          <cell r="R219">
            <v>325</v>
          </cell>
          <cell r="S219">
            <v>288</v>
          </cell>
          <cell r="T219">
            <v>3394</v>
          </cell>
        </row>
        <row r="220">
          <cell r="A220" t="str">
            <v>COMM-104</v>
          </cell>
          <cell r="B220">
            <v>66</v>
          </cell>
          <cell r="C220">
            <v>67</v>
          </cell>
          <cell r="D220">
            <v>79</v>
          </cell>
          <cell r="E220">
            <v>82</v>
          </cell>
          <cell r="F220">
            <v>82</v>
          </cell>
          <cell r="G220">
            <v>79</v>
          </cell>
          <cell r="H220">
            <v>78</v>
          </cell>
          <cell r="I220">
            <v>77</v>
          </cell>
          <cell r="J220">
            <v>83</v>
          </cell>
          <cell r="K220">
            <v>81</v>
          </cell>
          <cell r="L220" t="str">
            <v>6</v>
          </cell>
          <cell r="M220" t="str">
            <v>5</v>
          </cell>
          <cell r="R220">
            <v>87</v>
          </cell>
          <cell r="S220">
            <v>80</v>
          </cell>
          <cell r="T220">
            <v>952</v>
          </cell>
        </row>
        <row r="221">
          <cell r="A221" t="str">
            <v>COMM-105</v>
          </cell>
          <cell r="B221">
            <v>3</v>
          </cell>
          <cell r="C221">
            <v>1</v>
          </cell>
          <cell r="E221">
            <v>12</v>
          </cell>
          <cell r="F221">
            <v>7</v>
          </cell>
          <cell r="I221">
            <v>5</v>
          </cell>
          <cell r="K221">
            <v>9</v>
          </cell>
          <cell r="R221">
            <v>6</v>
          </cell>
          <cell r="T221">
            <v>43</v>
          </cell>
        </row>
        <row r="222">
          <cell r="A222" t="str">
            <v>COMM-106</v>
          </cell>
          <cell r="C222">
            <v>28</v>
          </cell>
          <cell r="D222">
            <v>30</v>
          </cell>
          <cell r="E222">
            <v>26</v>
          </cell>
          <cell r="F222">
            <v>27</v>
          </cell>
          <cell r="G222">
            <v>19</v>
          </cell>
          <cell r="H222">
            <v>25</v>
          </cell>
          <cell r="I222">
            <v>28</v>
          </cell>
          <cell r="R222">
            <v>30</v>
          </cell>
          <cell r="T222">
            <v>213</v>
          </cell>
        </row>
        <row r="223">
          <cell r="A223" t="str">
            <v>COMM-108</v>
          </cell>
          <cell r="B223">
            <v>25</v>
          </cell>
          <cell r="C223">
            <v>27</v>
          </cell>
          <cell r="D223">
            <v>24</v>
          </cell>
          <cell r="E223">
            <v>28</v>
          </cell>
          <cell r="F223">
            <v>30</v>
          </cell>
          <cell r="H223">
            <v>27</v>
          </cell>
          <cell r="R223">
            <v>26</v>
          </cell>
          <cell r="T223">
            <v>187</v>
          </cell>
        </row>
        <row r="224">
          <cell r="A224" t="str">
            <v>COMM-108H</v>
          </cell>
          <cell r="C224">
            <v>2</v>
          </cell>
          <cell r="D224">
            <v>4</v>
          </cell>
          <cell r="F224">
            <v>1</v>
          </cell>
          <cell r="R224">
            <v>3</v>
          </cell>
          <cell r="T224">
            <v>10</v>
          </cell>
        </row>
        <row r="225">
          <cell r="A225" t="str">
            <v>COMM-110</v>
          </cell>
          <cell r="H225">
            <v>25</v>
          </cell>
          <cell r="T225">
            <v>25</v>
          </cell>
        </row>
        <row r="226">
          <cell r="A226" t="str">
            <v>COMM-113</v>
          </cell>
          <cell r="B226">
            <v>16</v>
          </cell>
          <cell r="C226">
            <v>7</v>
          </cell>
          <cell r="D226">
            <v>20</v>
          </cell>
          <cell r="E226">
            <v>22</v>
          </cell>
          <cell r="G226">
            <v>3</v>
          </cell>
          <cell r="T226">
            <v>68</v>
          </cell>
        </row>
        <row r="227">
          <cell r="A227" t="str">
            <v>COMM-115</v>
          </cell>
          <cell r="J227">
            <v>26</v>
          </cell>
          <cell r="K227">
            <v>25</v>
          </cell>
          <cell r="T227">
            <v>51</v>
          </cell>
        </row>
        <row r="228">
          <cell r="A228" t="str">
            <v>COMM-120</v>
          </cell>
          <cell r="I228">
            <v>27</v>
          </cell>
          <cell r="J228">
            <v>27</v>
          </cell>
          <cell r="K228">
            <v>22</v>
          </cell>
          <cell r="R228">
            <v>31</v>
          </cell>
          <cell r="S228">
            <v>29</v>
          </cell>
          <cell r="T228">
            <v>136</v>
          </cell>
        </row>
        <row r="229">
          <cell r="A229" t="str">
            <v>COMM-129</v>
          </cell>
          <cell r="H229">
            <v>2</v>
          </cell>
          <cell r="I229">
            <v>4</v>
          </cell>
          <cell r="T229">
            <v>6</v>
          </cell>
        </row>
        <row r="230">
          <cell r="A230" t="str">
            <v>COMM-149</v>
          </cell>
          <cell r="H230">
            <v>1</v>
          </cell>
          <cell r="I230">
            <v>1</v>
          </cell>
          <cell r="Q230" t="str">
            <v>2</v>
          </cell>
          <cell r="S230">
            <v>1</v>
          </cell>
          <cell r="T230">
            <v>5</v>
          </cell>
        </row>
        <row r="231">
          <cell r="A231" t="str">
            <v>COMM-201</v>
          </cell>
          <cell r="G231">
            <v>8</v>
          </cell>
          <cell r="K231">
            <v>13</v>
          </cell>
          <cell r="T231">
            <v>21</v>
          </cell>
        </row>
        <row r="232">
          <cell r="A232" t="str">
            <v>COMM-299</v>
          </cell>
          <cell r="J232">
            <v>1</v>
          </cell>
          <cell r="T232">
            <v>1</v>
          </cell>
        </row>
        <row r="233">
          <cell r="A233" t="str">
            <v>CORR-101</v>
          </cell>
          <cell r="B233">
            <v>24</v>
          </cell>
          <cell r="H233">
            <v>33</v>
          </cell>
          <cell r="R233">
            <v>37</v>
          </cell>
          <cell r="T233">
            <v>94</v>
          </cell>
        </row>
        <row r="234">
          <cell r="A234" t="str">
            <v>CORR-102</v>
          </cell>
          <cell r="D234">
            <v>34</v>
          </cell>
          <cell r="G234">
            <v>18</v>
          </cell>
          <cell r="J234">
            <v>34</v>
          </cell>
          <cell r="S234">
            <v>30</v>
          </cell>
          <cell r="T234">
            <v>116</v>
          </cell>
        </row>
        <row r="235">
          <cell r="A235" t="str">
            <v>CORR-103</v>
          </cell>
          <cell r="C235">
            <v>21</v>
          </cell>
          <cell r="F235">
            <v>34</v>
          </cell>
          <cell r="I235">
            <v>38</v>
          </cell>
          <cell r="T235">
            <v>93</v>
          </cell>
        </row>
        <row r="236">
          <cell r="A236" t="str">
            <v>CSIS-101</v>
          </cell>
          <cell r="B236">
            <v>112</v>
          </cell>
          <cell r="C236">
            <v>151</v>
          </cell>
          <cell r="D236">
            <v>154</v>
          </cell>
          <cell r="E236">
            <v>115</v>
          </cell>
          <cell r="F236">
            <v>108</v>
          </cell>
          <cell r="G236">
            <v>124</v>
          </cell>
          <cell r="H236">
            <v>141</v>
          </cell>
          <cell r="I236">
            <v>121</v>
          </cell>
          <cell r="J236">
            <v>132</v>
          </cell>
          <cell r="K236">
            <v>120</v>
          </cell>
          <cell r="L236" t="str">
            <v>34</v>
          </cell>
          <cell r="M236" t="str">
            <v>50</v>
          </cell>
          <cell r="O236" t="str">
            <v>27</v>
          </cell>
          <cell r="R236">
            <v>96</v>
          </cell>
          <cell r="S236">
            <v>91</v>
          </cell>
          <cell r="T236">
            <v>1576</v>
          </cell>
        </row>
        <row r="237">
          <cell r="A237" t="str">
            <v>CSIS-103</v>
          </cell>
          <cell r="B237">
            <v>12</v>
          </cell>
          <cell r="C237">
            <v>22</v>
          </cell>
          <cell r="D237">
            <v>36</v>
          </cell>
          <cell r="E237">
            <v>21</v>
          </cell>
          <cell r="F237">
            <v>21</v>
          </cell>
          <cell r="G237">
            <v>21</v>
          </cell>
          <cell r="H237">
            <v>41</v>
          </cell>
          <cell r="I237">
            <v>50</v>
          </cell>
          <cell r="J237">
            <v>36</v>
          </cell>
          <cell r="K237">
            <v>20</v>
          </cell>
          <cell r="R237">
            <v>22</v>
          </cell>
          <cell r="S237">
            <v>20</v>
          </cell>
          <cell r="T237">
            <v>322</v>
          </cell>
        </row>
        <row r="238">
          <cell r="A238" t="str">
            <v>CSIS-111B</v>
          </cell>
          <cell r="B238">
            <v>20</v>
          </cell>
          <cell r="C238">
            <v>34</v>
          </cell>
          <cell r="D238">
            <v>30</v>
          </cell>
          <cell r="E238">
            <v>24</v>
          </cell>
          <cell r="F238">
            <v>39</v>
          </cell>
          <cell r="G238">
            <v>28</v>
          </cell>
          <cell r="H238">
            <v>13</v>
          </cell>
          <cell r="I238">
            <v>21</v>
          </cell>
          <cell r="J238">
            <v>39</v>
          </cell>
          <cell r="K238">
            <v>12</v>
          </cell>
          <cell r="L238" t="str">
            <v>18</v>
          </cell>
          <cell r="R238">
            <v>37</v>
          </cell>
          <cell r="S238">
            <v>26</v>
          </cell>
          <cell r="T238">
            <v>341</v>
          </cell>
        </row>
        <row r="239">
          <cell r="A239" t="str">
            <v>CSIS-112A</v>
          </cell>
          <cell r="B239">
            <v>19</v>
          </cell>
          <cell r="C239">
            <v>14</v>
          </cell>
          <cell r="G239">
            <v>14</v>
          </cell>
          <cell r="T239">
            <v>47</v>
          </cell>
        </row>
        <row r="240">
          <cell r="A240" t="str">
            <v>CSIS-113A</v>
          </cell>
          <cell r="B240">
            <v>26</v>
          </cell>
          <cell r="C240">
            <v>38</v>
          </cell>
          <cell r="D240">
            <v>25</v>
          </cell>
          <cell r="E240">
            <v>21</v>
          </cell>
          <cell r="F240">
            <v>15</v>
          </cell>
          <cell r="G240">
            <v>22</v>
          </cell>
          <cell r="H240">
            <v>16</v>
          </cell>
          <cell r="I240">
            <v>40</v>
          </cell>
          <cell r="J240">
            <v>40</v>
          </cell>
          <cell r="K240">
            <v>18</v>
          </cell>
          <cell r="R240">
            <v>20</v>
          </cell>
          <cell r="S240">
            <v>19</v>
          </cell>
          <cell r="T240">
            <v>300</v>
          </cell>
        </row>
        <row r="241">
          <cell r="A241" t="str">
            <v>CSIS-113B</v>
          </cell>
          <cell r="B241">
            <v>23</v>
          </cell>
          <cell r="C241">
            <v>10</v>
          </cell>
          <cell r="G241">
            <v>13</v>
          </cell>
          <cell r="T241">
            <v>46</v>
          </cell>
        </row>
        <row r="242">
          <cell r="A242" t="str">
            <v>CSIS-113C</v>
          </cell>
          <cell r="H242">
            <v>14</v>
          </cell>
          <cell r="T242">
            <v>14</v>
          </cell>
        </row>
        <row r="243">
          <cell r="A243" t="str">
            <v>CSIS-115A</v>
          </cell>
          <cell r="C243">
            <v>14</v>
          </cell>
          <cell r="D243">
            <v>21</v>
          </cell>
          <cell r="G243">
            <v>13</v>
          </cell>
          <cell r="H243">
            <v>39</v>
          </cell>
          <cell r="I243">
            <v>42</v>
          </cell>
          <cell r="T243">
            <v>129</v>
          </cell>
        </row>
        <row r="244">
          <cell r="A244" t="str">
            <v>CSIS-117D</v>
          </cell>
          <cell r="B244">
            <v>14</v>
          </cell>
          <cell r="C244">
            <v>27</v>
          </cell>
          <cell r="D244">
            <v>17</v>
          </cell>
          <cell r="E244">
            <v>20</v>
          </cell>
          <cell r="F244">
            <v>21</v>
          </cell>
          <cell r="I244">
            <v>18</v>
          </cell>
          <cell r="K244">
            <v>16</v>
          </cell>
          <cell r="R244">
            <v>28</v>
          </cell>
          <cell r="S244">
            <v>21</v>
          </cell>
          <cell r="T244">
            <v>182</v>
          </cell>
        </row>
        <row r="245">
          <cell r="A245" t="str">
            <v>CSIS-118A</v>
          </cell>
          <cell r="C245">
            <v>15</v>
          </cell>
          <cell r="E245">
            <v>14</v>
          </cell>
          <cell r="T245">
            <v>29</v>
          </cell>
        </row>
        <row r="246">
          <cell r="A246" t="str">
            <v>CSIS-122A</v>
          </cell>
          <cell r="G246">
            <v>9</v>
          </cell>
          <cell r="T246">
            <v>9</v>
          </cell>
        </row>
        <row r="247">
          <cell r="A247" t="str">
            <v>CSIS-123A</v>
          </cell>
          <cell r="B247">
            <v>11</v>
          </cell>
          <cell r="C247">
            <v>8</v>
          </cell>
          <cell r="D247">
            <v>17</v>
          </cell>
          <cell r="E247">
            <v>10</v>
          </cell>
          <cell r="F247">
            <v>9</v>
          </cell>
          <cell r="G247">
            <v>14</v>
          </cell>
          <cell r="H247">
            <v>9</v>
          </cell>
          <cell r="I247">
            <v>9</v>
          </cell>
          <cell r="J247">
            <v>8</v>
          </cell>
          <cell r="K247">
            <v>6</v>
          </cell>
          <cell r="R247">
            <v>16</v>
          </cell>
          <cell r="S247">
            <v>10</v>
          </cell>
          <cell r="T247">
            <v>127</v>
          </cell>
        </row>
        <row r="248">
          <cell r="A248" t="str">
            <v>CSIS-123B</v>
          </cell>
          <cell r="B248">
            <v>13</v>
          </cell>
          <cell r="G248">
            <v>12</v>
          </cell>
          <cell r="T248">
            <v>25</v>
          </cell>
        </row>
        <row r="249">
          <cell r="A249" t="str">
            <v>CSIS-149</v>
          </cell>
          <cell r="C249">
            <v>6</v>
          </cell>
          <cell r="H249">
            <v>3</v>
          </cell>
          <cell r="M249" t="str">
            <v>2</v>
          </cell>
          <cell r="S249">
            <v>4</v>
          </cell>
          <cell r="T249">
            <v>15</v>
          </cell>
        </row>
        <row r="250">
          <cell r="A250" t="str">
            <v>CSIS-153</v>
          </cell>
          <cell r="B250">
            <v>10</v>
          </cell>
          <cell r="T250">
            <v>10</v>
          </cell>
        </row>
        <row r="251">
          <cell r="A251" t="str">
            <v>CSIS-201</v>
          </cell>
          <cell r="B251">
            <v>18</v>
          </cell>
          <cell r="C251">
            <v>27</v>
          </cell>
          <cell r="D251">
            <v>30</v>
          </cell>
          <cell r="E251">
            <v>21</v>
          </cell>
          <cell r="F251">
            <v>27</v>
          </cell>
          <cell r="G251">
            <v>18</v>
          </cell>
          <cell r="H251">
            <v>28</v>
          </cell>
          <cell r="I251">
            <v>31</v>
          </cell>
          <cell r="J251">
            <v>21</v>
          </cell>
          <cell r="K251">
            <v>16</v>
          </cell>
          <cell r="R251">
            <v>23</v>
          </cell>
          <cell r="S251">
            <v>17</v>
          </cell>
          <cell r="T251">
            <v>277</v>
          </cell>
        </row>
        <row r="252">
          <cell r="A252" t="str">
            <v>CSIS-202</v>
          </cell>
          <cell r="B252">
            <v>29</v>
          </cell>
          <cell r="C252">
            <v>45</v>
          </cell>
          <cell r="D252">
            <v>35</v>
          </cell>
          <cell r="E252">
            <v>58</v>
          </cell>
          <cell r="F252">
            <v>58</v>
          </cell>
          <cell r="G252">
            <v>45</v>
          </cell>
          <cell r="H252">
            <v>43</v>
          </cell>
          <cell r="I252">
            <v>56</v>
          </cell>
          <cell r="J252">
            <v>56</v>
          </cell>
          <cell r="K252">
            <v>67</v>
          </cell>
          <cell r="L252" t="str">
            <v>18</v>
          </cell>
          <cell r="M252" t="str">
            <v>26</v>
          </cell>
          <cell r="R252">
            <v>58</v>
          </cell>
          <cell r="S252">
            <v>40</v>
          </cell>
          <cell r="T252">
            <v>634</v>
          </cell>
        </row>
        <row r="253">
          <cell r="A253" t="str">
            <v>CSIS-211</v>
          </cell>
          <cell r="G253">
            <v>11</v>
          </cell>
          <cell r="I253">
            <v>9</v>
          </cell>
          <cell r="S253">
            <v>11</v>
          </cell>
          <cell r="T253">
            <v>31</v>
          </cell>
        </row>
        <row r="254">
          <cell r="A254" t="str">
            <v>CSIS-299</v>
          </cell>
          <cell r="L254" t="str">
            <v>1</v>
          </cell>
          <cell r="T254">
            <v>1</v>
          </cell>
        </row>
        <row r="255">
          <cell r="A255" t="str">
            <v>DAN-100</v>
          </cell>
          <cell r="B255">
            <v>28</v>
          </cell>
          <cell r="C255">
            <v>26</v>
          </cell>
          <cell r="D255">
            <v>29</v>
          </cell>
          <cell r="E255">
            <v>25</v>
          </cell>
          <cell r="F255">
            <v>28</v>
          </cell>
          <cell r="G255">
            <v>22</v>
          </cell>
          <cell r="H255">
            <v>56</v>
          </cell>
          <cell r="I255">
            <v>59</v>
          </cell>
          <cell r="J255">
            <v>30</v>
          </cell>
          <cell r="K255">
            <v>27</v>
          </cell>
          <cell r="R255">
            <v>30</v>
          </cell>
          <cell r="S255">
            <v>33</v>
          </cell>
          <cell r="T255">
            <v>393</v>
          </cell>
        </row>
        <row r="256">
          <cell r="A256" t="str">
            <v>DAN-108</v>
          </cell>
          <cell r="B256">
            <v>10</v>
          </cell>
          <cell r="C256">
            <v>14</v>
          </cell>
          <cell r="D256">
            <v>17</v>
          </cell>
          <cell r="E256">
            <v>13</v>
          </cell>
          <cell r="F256">
            <v>9</v>
          </cell>
          <cell r="H256">
            <v>9</v>
          </cell>
          <cell r="I256">
            <v>5</v>
          </cell>
          <cell r="J256">
            <v>9</v>
          </cell>
          <cell r="K256">
            <v>9</v>
          </cell>
          <cell r="R256">
            <v>9</v>
          </cell>
          <cell r="S256">
            <v>10</v>
          </cell>
          <cell r="T256">
            <v>114</v>
          </cell>
        </row>
        <row r="257">
          <cell r="A257" t="str">
            <v>DAN-120</v>
          </cell>
          <cell r="B257">
            <v>14</v>
          </cell>
          <cell r="D257">
            <v>23</v>
          </cell>
          <cell r="E257">
            <v>21</v>
          </cell>
          <cell r="H257">
            <v>16</v>
          </cell>
          <cell r="I257">
            <v>20</v>
          </cell>
          <cell r="L257" t="str">
            <v>15</v>
          </cell>
          <cell r="T257">
            <v>109</v>
          </cell>
        </row>
        <row r="258">
          <cell r="A258" t="str">
            <v>DAN-121</v>
          </cell>
          <cell r="B258">
            <v>35</v>
          </cell>
          <cell r="C258">
            <v>45</v>
          </cell>
          <cell r="D258">
            <v>23</v>
          </cell>
          <cell r="E258">
            <v>24</v>
          </cell>
          <cell r="F258">
            <v>21</v>
          </cell>
          <cell r="G258">
            <v>28</v>
          </cell>
          <cell r="H258">
            <v>22</v>
          </cell>
          <cell r="I258">
            <v>22</v>
          </cell>
          <cell r="J258">
            <v>22</v>
          </cell>
          <cell r="M258" t="str">
            <v>22</v>
          </cell>
          <cell r="R258">
            <v>22</v>
          </cell>
          <cell r="S258">
            <v>20</v>
          </cell>
          <cell r="T258">
            <v>306</v>
          </cell>
        </row>
        <row r="259">
          <cell r="A259" t="str">
            <v>DAN-122</v>
          </cell>
          <cell r="B259">
            <v>18</v>
          </cell>
          <cell r="C259">
            <v>26</v>
          </cell>
          <cell r="D259">
            <v>16</v>
          </cell>
          <cell r="E259">
            <v>25</v>
          </cell>
          <cell r="G259">
            <v>24</v>
          </cell>
          <cell r="H259">
            <v>17</v>
          </cell>
          <cell r="I259">
            <v>24</v>
          </cell>
          <cell r="J259">
            <v>20</v>
          </cell>
          <cell r="K259">
            <v>20</v>
          </cell>
          <cell r="R259">
            <v>21</v>
          </cell>
          <cell r="T259">
            <v>211</v>
          </cell>
        </row>
        <row r="260">
          <cell r="A260" t="str">
            <v>DAN-123</v>
          </cell>
          <cell r="B260">
            <v>43</v>
          </cell>
          <cell r="C260">
            <v>46</v>
          </cell>
          <cell r="D260">
            <v>46</v>
          </cell>
          <cell r="E260">
            <v>20</v>
          </cell>
          <cell r="F260">
            <v>25</v>
          </cell>
          <cell r="G260">
            <v>15</v>
          </cell>
          <cell r="H260">
            <v>39</v>
          </cell>
          <cell r="I260">
            <v>41</v>
          </cell>
          <cell r="K260">
            <v>20</v>
          </cell>
          <cell r="L260" t="str">
            <v>26</v>
          </cell>
          <cell r="M260" t="str">
            <v>33</v>
          </cell>
          <cell r="R260">
            <v>20</v>
          </cell>
          <cell r="S260">
            <v>22</v>
          </cell>
          <cell r="T260">
            <v>396</v>
          </cell>
        </row>
        <row r="261">
          <cell r="A261" t="str">
            <v>DAN-124</v>
          </cell>
          <cell r="B261">
            <v>13</v>
          </cell>
          <cell r="C261">
            <v>22</v>
          </cell>
          <cell r="D261">
            <v>24</v>
          </cell>
          <cell r="F261">
            <v>21</v>
          </cell>
          <cell r="G261">
            <v>6</v>
          </cell>
          <cell r="T261">
            <v>86</v>
          </cell>
        </row>
        <row r="262">
          <cell r="A262" t="str">
            <v>DAN-125</v>
          </cell>
          <cell r="B262">
            <v>10</v>
          </cell>
          <cell r="C262">
            <v>20</v>
          </cell>
          <cell r="D262">
            <v>18</v>
          </cell>
          <cell r="E262">
            <v>19</v>
          </cell>
          <cell r="F262">
            <v>19</v>
          </cell>
          <cell r="G262">
            <v>14</v>
          </cell>
          <cell r="H262">
            <v>17</v>
          </cell>
          <cell r="I262">
            <v>20</v>
          </cell>
          <cell r="J262">
            <v>22</v>
          </cell>
          <cell r="R262">
            <v>20</v>
          </cell>
          <cell r="S262">
            <v>14</v>
          </cell>
          <cell r="T262">
            <v>193</v>
          </cell>
        </row>
        <row r="263">
          <cell r="A263" t="str">
            <v>DAN-126</v>
          </cell>
          <cell r="E263">
            <v>23</v>
          </cell>
          <cell r="F263">
            <v>14</v>
          </cell>
          <cell r="G263">
            <v>8</v>
          </cell>
          <cell r="I263">
            <v>23</v>
          </cell>
          <cell r="J263">
            <v>15</v>
          </cell>
          <cell r="S263">
            <v>9</v>
          </cell>
          <cell r="T263">
            <v>92</v>
          </cell>
        </row>
        <row r="264">
          <cell r="A264" t="str">
            <v>DAN-127</v>
          </cell>
          <cell r="C264">
            <v>16</v>
          </cell>
          <cell r="D264">
            <v>16</v>
          </cell>
          <cell r="G264">
            <v>11</v>
          </cell>
          <cell r="H264">
            <v>19</v>
          </cell>
          <cell r="J264">
            <v>15</v>
          </cell>
          <cell r="K264">
            <v>14</v>
          </cell>
          <cell r="T264">
            <v>91</v>
          </cell>
        </row>
        <row r="265">
          <cell r="A265" t="str">
            <v>DAN-128</v>
          </cell>
          <cell r="D265">
            <v>12</v>
          </cell>
          <cell r="G265">
            <v>12</v>
          </cell>
          <cell r="K265">
            <v>16</v>
          </cell>
          <cell r="T265">
            <v>40</v>
          </cell>
        </row>
        <row r="266">
          <cell r="A266" t="str">
            <v>DAN-131</v>
          </cell>
          <cell r="C266">
            <v>31</v>
          </cell>
          <cell r="D266">
            <v>27</v>
          </cell>
          <cell r="E266">
            <v>17</v>
          </cell>
          <cell r="F266">
            <v>23</v>
          </cell>
          <cell r="H266">
            <v>19</v>
          </cell>
          <cell r="I266">
            <v>24</v>
          </cell>
          <cell r="J266">
            <v>21</v>
          </cell>
          <cell r="K266">
            <v>23</v>
          </cell>
          <cell r="R266">
            <v>19</v>
          </cell>
          <cell r="S266">
            <v>18</v>
          </cell>
          <cell r="T266">
            <v>222</v>
          </cell>
        </row>
        <row r="267">
          <cell r="A267" t="str">
            <v>DAN-133</v>
          </cell>
          <cell r="E267">
            <v>21</v>
          </cell>
          <cell r="F267">
            <v>22</v>
          </cell>
          <cell r="G267">
            <v>7</v>
          </cell>
          <cell r="H267">
            <v>13</v>
          </cell>
          <cell r="J267">
            <v>21</v>
          </cell>
          <cell r="K267">
            <v>25</v>
          </cell>
          <cell r="R267">
            <v>36</v>
          </cell>
          <cell r="S267">
            <v>26</v>
          </cell>
          <cell r="T267">
            <v>171</v>
          </cell>
        </row>
        <row r="268">
          <cell r="A268" t="str">
            <v>DAN-201</v>
          </cell>
          <cell r="G268">
            <v>3</v>
          </cell>
          <cell r="H268">
            <v>14</v>
          </cell>
          <cell r="I268">
            <v>18</v>
          </cell>
          <cell r="J268">
            <v>14</v>
          </cell>
          <cell r="T268">
            <v>49</v>
          </cell>
        </row>
        <row r="269">
          <cell r="A269" t="str">
            <v>DAN-209</v>
          </cell>
          <cell r="B269">
            <v>8</v>
          </cell>
          <cell r="T269">
            <v>8</v>
          </cell>
        </row>
        <row r="270">
          <cell r="A270" t="str">
            <v>DAN-212</v>
          </cell>
          <cell r="C270">
            <v>17</v>
          </cell>
          <cell r="D270">
            <v>14</v>
          </cell>
          <cell r="E270">
            <v>34</v>
          </cell>
          <cell r="F270">
            <v>19</v>
          </cell>
          <cell r="G270">
            <v>10</v>
          </cell>
          <cell r="K270">
            <v>14</v>
          </cell>
          <cell r="R270">
            <v>25</v>
          </cell>
          <cell r="S270">
            <v>20</v>
          </cell>
          <cell r="T270">
            <v>153</v>
          </cell>
        </row>
        <row r="271">
          <cell r="A271" t="str">
            <v>DAN-214</v>
          </cell>
          <cell r="H271">
            <v>11</v>
          </cell>
          <cell r="I271">
            <v>7</v>
          </cell>
          <cell r="J271">
            <v>7</v>
          </cell>
          <cell r="T271">
            <v>25</v>
          </cell>
        </row>
        <row r="272">
          <cell r="A272" t="str">
            <v>DAN-299</v>
          </cell>
          <cell r="C272">
            <v>8</v>
          </cell>
          <cell r="D272">
            <v>6</v>
          </cell>
          <cell r="E272">
            <v>6</v>
          </cell>
          <cell r="F272">
            <v>8</v>
          </cell>
          <cell r="G272">
            <v>6</v>
          </cell>
          <cell r="H272">
            <v>5</v>
          </cell>
          <cell r="I272">
            <v>6</v>
          </cell>
          <cell r="J272">
            <v>2</v>
          </cell>
          <cell r="K272">
            <v>5</v>
          </cell>
          <cell r="L272" t="str">
            <v>1</v>
          </cell>
          <cell r="R272">
            <v>1</v>
          </cell>
          <cell r="S272">
            <v>2</v>
          </cell>
          <cell r="T272">
            <v>56</v>
          </cell>
        </row>
        <row r="273">
          <cell r="A273" t="str">
            <v>DMS-095</v>
          </cell>
          <cell r="C273">
            <v>5</v>
          </cell>
          <cell r="D273">
            <v>5</v>
          </cell>
          <cell r="E273">
            <v>8</v>
          </cell>
          <cell r="R273">
            <v>7</v>
          </cell>
          <cell r="T273">
            <v>25</v>
          </cell>
        </row>
        <row r="274">
          <cell r="A274" t="str">
            <v>DMS-100</v>
          </cell>
          <cell r="C274">
            <v>9</v>
          </cell>
          <cell r="D274">
            <v>10</v>
          </cell>
          <cell r="E274">
            <v>9</v>
          </cell>
          <cell r="M274" t="str">
            <v>9</v>
          </cell>
          <cell r="R274">
            <v>7</v>
          </cell>
          <cell r="T274">
            <v>44</v>
          </cell>
        </row>
        <row r="275">
          <cell r="A275" t="str">
            <v>DMS-101</v>
          </cell>
          <cell r="C275">
            <v>9</v>
          </cell>
          <cell r="D275">
            <v>10</v>
          </cell>
          <cell r="E275">
            <v>9</v>
          </cell>
          <cell r="R275">
            <v>7</v>
          </cell>
          <cell r="T275">
            <v>35</v>
          </cell>
        </row>
        <row r="276">
          <cell r="A276" t="str">
            <v>DMS-102</v>
          </cell>
          <cell r="H276">
            <v>8</v>
          </cell>
          <cell r="I276">
            <v>7</v>
          </cell>
          <cell r="J276">
            <v>9</v>
          </cell>
          <cell r="S276">
            <v>7</v>
          </cell>
          <cell r="T276">
            <v>31</v>
          </cell>
        </row>
        <row r="277">
          <cell r="A277" t="str">
            <v>DMS-103</v>
          </cell>
          <cell r="C277">
            <v>7</v>
          </cell>
          <cell r="D277">
            <v>6</v>
          </cell>
          <cell r="E277">
            <v>9</v>
          </cell>
          <cell r="R277">
            <v>7</v>
          </cell>
          <cell r="T277">
            <v>29</v>
          </cell>
        </row>
        <row r="278">
          <cell r="A278" t="str">
            <v>DMS-104</v>
          </cell>
          <cell r="S278">
            <v>7</v>
          </cell>
          <cell r="T278">
            <v>7</v>
          </cell>
        </row>
        <row r="279">
          <cell r="A279" t="str">
            <v>DMS-110</v>
          </cell>
          <cell r="G279">
            <v>9</v>
          </cell>
          <cell r="H279">
            <v>10</v>
          </cell>
          <cell r="I279">
            <v>10</v>
          </cell>
          <cell r="J279">
            <v>9</v>
          </cell>
          <cell r="S279">
            <v>7</v>
          </cell>
          <cell r="T279">
            <v>45</v>
          </cell>
        </row>
        <row r="280">
          <cell r="A280" t="str">
            <v>DMS-114</v>
          </cell>
          <cell r="M280" t="str">
            <v>9</v>
          </cell>
          <cell r="N280" t="str">
            <v>10</v>
          </cell>
          <cell r="O280" t="str">
            <v>10</v>
          </cell>
          <cell r="P280" t="str">
            <v>9</v>
          </cell>
          <cell r="T280">
            <v>38</v>
          </cell>
        </row>
        <row r="281">
          <cell r="A281" t="str">
            <v>DMS-118</v>
          </cell>
          <cell r="B281">
            <v>10</v>
          </cell>
          <cell r="C281">
            <v>10</v>
          </cell>
          <cell r="D281">
            <v>10</v>
          </cell>
          <cell r="E281">
            <v>9</v>
          </cell>
          <cell r="T281">
            <v>39</v>
          </cell>
        </row>
        <row r="282">
          <cell r="A282" t="str">
            <v>DMS-120</v>
          </cell>
          <cell r="G282">
            <v>10</v>
          </cell>
          <cell r="H282">
            <v>10</v>
          </cell>
          <cell r="I282">
            <v>10</v>
          </cell>
          <cell r="J282">
            <v>9</v>
          </cell>
          <cell r="S282">
            <v>7</v>
          </cell>
          <cell r="T282">
            <v>46</v>
          </cell>
        </row>
        <row r="283">
          <cell r="A283" t="str">
            <v>DMS-122</v>
          </cell>
          <cell r="G283">
            <v>10</v>
          </cell>
          <cell r="H283">
            <v>10</v>
          </cell>
          <cell r="I283">
            <v>10</v>
          </cell>
          <cell r="J283">
            <v>9</v>
          </cell>
          <cell r="S283">
            <v>7</v>
          </cell>
          <cell r="T283">
            <v>46</v>
          </cell>
        </row>
        <row r="284">
          <cell r="A284" t="str">
            <v>DMS-124</v>
          </cell>
          <cell r="C284">
            <v>9</v>
          </cell>
          <cell r="D284">
            <v>10</v>
          </cell>
          <cell r="E284">
            <v>9</v>
          </cell>
          <cell r="F284">
            <v>8</v>
          </cell>
          <cell r="T284">
            <v>36</v>
          </cell>
        </row>
        <row r="285">
          <cell r="A285" t="str">
            <v>DMS-126</v>
          </cell>
          <cell r="L285" t="str">
            <v>4</v>
          </cell>
          <cell r="T285">
            <v>4</v>
          </cell>
        </row>
        <row r="286">
          <cell r="A286" t="str">
            <v>DMS-128</v>
          </cell>
          <cell r="G286">
            <v>10</v>
          </cell>
          <cell r="H286">
            <v>10</v>
          </cell>
          <cell r="I286">
            <v>10</v>
          </cell>
          <cell r="J286">
            <v>9</v>
          </cell>
          <cell r="T286">
            <v>39</v>
          </cell>
        </row>
        <row r="287">
          <cell r="A287" t="str">
            <v>DMS-130</v>
          </cell>
          <cell r="C287">
            <v>9</v>
          </cell>
          <cell r="D287">
            <v>10</v>
          </cell>
          <cell r="E287">
            <v>9</v>
          </cell>
          <cell r="F287">
            <v>9</v>
          </cell>
          <cell r="T287">
            <v>37</v>
          </cell>
        </row>
        <row r="288">
          <cell r="A288" t="str">
            <v>DMS-132</v>
          </cell>
          <cell r="B288">
            <v>4</v>
          </cell>
          <cell r="C288">
            <v>9</v>
          </cell>
          <cell r="D288">
            <v>10</v>
          </cell>
          <cell r="E288">
            <v>9</v>
          </cell>
          <cell r="F288">
            <v>9</v>
          </cell>
          <cell r="T288">
            <v>41</v>
          </cell>
        </row>
        <row r="289">
          <cell r="A289" t="str">
            <v>DMS-134</v>
          </cell>
          <cell r="G289">
            <v>4</v>
          </cell>
          <cell r="H289">
            <v>9</v>
          </cell>
          <cell r="I289">
            <v>10</v>
          </cell>
          <cell r="J289">
            <v>9</v>
          </cell>
          <cell r="K289">
            <v>9</v>
          </cell>
          <cell r="T289">
            <v>41</v>
          </cell>
        </row>
        <row r="290">
          <cell r="A290" t="str">
            <v>DMS-136</v>
          </cell>
          <cell r="B290">
            <v>4</v>
          </cell>
          <cell r="H290">
            <v>9</v>
          </cell>
          <cell r="I290">
            <v>8</v>
          </cell>
          <cell r="J290">
            <v>9</v>
          </cell>
          <cell r="K290">
            <v>8</v>
          </cell>
          <cell r="O290" t="str">
            <v>3</v>
          </cell>
          <cell r="T290">
            <v>41</v>
          </cell>
        </row>
        <row r="291">
          <cell r="A291" t="str">
            <v>DMS-138</v>
          </cell>
          <cell r="B291">
            <v>4</v>
          </cell>
          <cell r="C291">
            <v>9</v>
          </cell>
          <cell r="D291">
            <v>10</v>
          </cell>
          <cell r="E291">
            <v>9</v>
          </cell>
          <cell r="T291">
            <v>32</v>
          </cell>
        </row>
        <row r="292">
          <cell r="A292" t="str">
            <v>DMS-140</v>
          </cell>
          <cell r="F292">
            <v>9</v>
          </cell>
          <cell r="T292">
            <v>9</v>
          </cell>
        </row>
        <row r="293">
          <cell r="A293" t="str">
            <v>DMS-148</v>
          </cell>
          <cell r="G293">
            <v>4</v>
          </cell>
          <cell r="H293">
            <v>9</v>
          </cell>
          <cell r="I293">
            <v>10</v>
          </cell>
          <cell r="J293">
            <v>9</v>
          </cell>
          <cell r="T293">
            <v>32</v>
          </cell>
        </row>
        <row r="294">
          <cell r="A294" t="str">
            <v>ECON-201</v>
          </cell>
          <cell r="B294">
            <v>129</v>
          </cell>
          <cell r="C294">
            <v>169</v>
          </cell>
          <cell r="D294">
            <v>192</v>
          </cell>
          <cell r="E294">
            <v>126</v>
          </cell>
          <cell r="F294">
            <v>137</v>
          </cell>
          <cell r="G294">
            <v>144</v>
          </cell>
          <cell r="H294">
            <v>136</v>
          </cell>
          <cell r="I294">
            <v>165</v>
          </cell>
          <cell r="J294">
            <v>98</v>
          </cell>
          <cell r="K294">
            <v>96</v>
          </cell>
          <cell r="L294" t="str">
            <v>50</v>
          </cell>
          <cell r="M294" t="str">
            <v>35</v>
          </cell>
          <cell r="O294" t="str">
            <v>41</v>
          </cell>
          <cell r="R294">
            <v>144</v>
          </cell>
          <cell r="S294">
            <v>90</v>
          </cell>
          <cell r="T294">
            <v>1752</v>
          </cell>
        </row>
        <row r="295">
          <cell r="A295" t="str">
            <v>ECON-201H</v>
          </cell>
          <cell r="K295">
            <v>1</v>
          </cell>
          <cell r="R295">
            <v>3</v>
          </cell>
          <cell r="S295">
            <v>2</v>
          </cell>
          <cell r="T295">
            <v>6</v>
          </cell>
        </row>
        <row r="296">
          <cell r="A296" t="str">
            <v>ECON-202</v>
          </cell>
          <cell r="B296">
            <v>117</v>
          </cell>
          <cell r="C296">
            <v>103</v>
          </cell>
          <cell r="D296">
            <v>115</v>
          </cell>
          <cell r="E296">
            <v>83</v>
          </cell>
          <cell r="F296">
            <v>69</v>
          </cell>
          <cell r="G296">
            <v>106</v>
          </cell>
          <cell r="H296">
            <v>147</v>
          </cell>
          <cell r="I296">
            <v>114</v>
          </cell>
          <cell r="J296">
            <v>73</v>
          </cell>
          <cell r="K296">
            <v>99</v>
          </cell>
          <cell r="L296" t="str">
            <v>19</v>
          </cell>
          <cell r="M296" t="str">
            <v>34</v>
          </cell>
          <cell r="R296">
            <v>74</v>
          </cell>
          <cell r="S296">
            <v>94</v>
          </cell>
          <cell r="T296">
            <v>1247</v>
          </cell>
        </row>
        <row r="297">
          <cell r="A297" t="str">
            <v>ED-132</v>
          </cell>
          <cell r="H297">
            <v>10</v>
          </cell>
          <cell r="I297">
            <v>10</v>
          </cell>
          <cell r="J297">
            <v>4</v>
          </cell>
          <cell r="S297">
            <v>4</v>
          </cell>
          <cell r="T297">
            <v>28</v>
          </cell>
        </row>
        <row r="298">
          <cell r="A298" t="str">
            <v>ED-135</v>
          </cell>
          <cell r="G298">
            <v>13</v>
          </cell>
          <cell r="H298">
            <v>25</v>
          </cell>
          <cell r="T298">
            <v>38</v>
          </cell>
        </row>
        <row r="299">
          <cell r="A299" t="str">
            <v>ED-136</v>
          </cell>
          <cell r="B299">
            <v>17</v>
          </cell>
          <cell r="C299">
            <v>8</v>
          </cell>
          <cell r="T299">
            <v>25</v>
          </cell>
        </row>
        <row r="300">
          <cell r="A300" t="str">
            <v>ED-142</v>
          </cell>
          <cell r="G300">
            <v>13</v>
          </cell>
          <cell r="T300">
            <v>13</v>
          </cell>
        </row>
        <row r="301">
          <cell r="A301" t="str">
            <v>ENGL-041</v>
          </cell>
          <cell r="B301">
            <v>5</v>
          </cell>
          <cell r="C301">
            <v>3</v>
          </cell>
          <cell r="D301">
            <v>4</v>
          </cell>
          <cell r="E301">
            <v>8</v>
          </cell>
          <cell r="G301">
            <v>8</v>
          </cell>
          <cell r="H301">
            <v>1</v>
          </cell>
          <cell r="I301">
            <v>3</v>
          </cell>
          <cell r="T301">
            <v>32</v>
          </cell>
        </row>
        <row r="302">
          <cell r="A302" t="str">
            <v>ENGL-042</v>
          </cell>
          <cell r="B302">
            <v>2</v>
          </cell>
          <cell r="C302">
            <v>2</v>
          </cell>
          <cell r="E302">
            <v>1</v>
          </cell>
          <cell r="I302">
            <v>2</v>
          </cell>
          <cell r="T302">
            <v>7</v>
          </cell>
        </row>
        <row r="303">
          <cell r="A303" t="str">
            <v>ENGL-050</v>
          </cell>
          <cell r="B303">
            <v>14</v>
          </cell>
          <cell r="C303">
            <v>18</v>
          </cell>
          <cell r="G303">
            <v>11</v>
          </cell>
          <cell r="L303" t="str">
            <v>18</v>
          </cell>
          <cell r="M303" t="str">
            <v>12</v>
          </cell>
          <cell r="T303">
            <v>73</v>
          </cell>
        </row>
        <row r="304">
          <cell r="A304" t="str">
            <v>ENGL-051</v>
          </cell>
          <cell r="B304">
            <v>28</v>
          </cell>
          <cell r="C304">
            <v>21</v>
          </cell>
          <cell r="G304">
            <v>24</v>
          </cell>
          <cell r="T304">
            <v>73</v>
          </cell>
        </row>
        <row r="305">
          <cell r="A305" t="str">
            <v>ENGL-052</v>
          </cell>
          <cell r="B305">
            <v>11</v>
          </cell>
          <cell r="C305">
            <v>13</v>
          </cell>
          <cell r="G305">
            <v>11</v>
          </cell>
          <cell r="M305" t="str">
            <v>5</v>
          </cell>
          <cell r="T305">
            <v>40</v>
          </cell>
        </row>
        <row r="306">
          <cell r="A306" t="str">
            <v>ENGL-053</v>
          </cell>
          <cell r="C306">
            <v>12</v>
          </cell>
          <cell r="T306">
            <v>12</v>
          </cell>
        </row>
        <row r="307">
          <cell r="A307" t="str">
            <v>ENGL-054</v>
          </cell>
          <cell r="L307" t="str">
            <v>9</v>
          </cell>
          <cell r="T307">
            <v>9</v>
          </cell>
        </row>
        <row r="308">
          <cell r="A308" t="str">
            <v>ENGL-056</v>
          </cell>
          <cell r="B308">
            <v>19</v>
          </cell>
          <cell r="C308">
            <v>21</v>
          </cell>
          <cell r="G308">
            <v>20</v>
          </cell>
          <cell r="L308" t="str">
            <v>4</v>
          </cell>
          <cell r="M308" t="str">
            <v>23</v>
          </cell>
          <cell r="T308">
            <v>87</v>
          </cell>
        </row>
        <row r="309">
          <cell r="A309" t="str">
            <v>ENGL-061</v>
          </cell>
          <cell r="B309">
            <v>210</v>
          </cell>
          <cell r="C309">
            <v>96</v>
          </cell>
          <cell r="D309">
            <v>138</v>
          </cell>
          <cell r="E309">
            <v>139</v>
          </cell>
          <cell r="F309">
            <v>156</v>
          </cell>
          <cell r="G309">
            <v>175</v>
          </cell>
          <cell r="H309">
            <v>98</v>
          </cell>
          <cell r="I309">
            <v>134</v>
          </cell>
          <cell r="J309">
            <v>156</v>
          </cell>
          <cell r="K309">
            <v>108</v>
          </cell>
          <cell r="L309" t="str">
            <v>31</v>
          </cell>
          <cell r="M309" t="str">
            <v>44</v>
          </cell>
          <cell r="N309" t="str">
            <v>43</v>
          </cell>
          <cell r="R309">
            <v>82</v>
          </cell>
          <cell r="S309">
            <v>53</v>
          </cell>
          <cell r="T309">
            <v>1663</v>
          </cell>
        </row>
        <row r="310">
          <cell r="A310" t="str">
            <v>ENGL-062</v>
          </cell>
          <cell r="B310">
            <v>234</v>
          </cell>
          <cell r="C310">
            <v>244</v>
          </cell>
          <cell r="D310">
            <v>265</v>
          </cell>
          <cell r="E310">
            <v>220</v>
          </cell>
          <cell r="F310">
            <v>202</v>
          </cell>
          <cell r="G310">
            <v>265</v>
          </cell>
          <cell r="H310">
            <v>324</v>
          </cell>
          <cell r="I310">
            <v>243</v>
          </cell>
          <cell r="J310">
            <v>214</v>
          </cell>
          <cell r="K310">
            <v>170</v>
          </cell>
          <cell r="L310" t="str">
            <v>67</v>
          </cell>
          <cell r="M310" t="str">
            <v>102</v>
          </cell>
          <cell r="N310" t="str">
            <v>47</v>
          </cell>
          <cell r="R310">
            <v>137</v>
          </cell>
          <cell r="S310">
            <v>159</v>
          </cell>
          <cell r="T310">
            <v>2893</v>
          </cell>
        </row>
        <row r="311">
          <cell r="A311" t="str">
            <v>ENGL-065</v>
          </cell>
          <cell r="B311">
            <v>14</v>
          </cell>
          <cell r="D311">
            <v>16</v>
          </cell>
          <cell r="T311">
            <v>30</v>
          </cell>
        </row>
        <row r="312">
          <cell r="A312" t="str">
            <v>ENGL-095</v>
          </cell>
          <cell r="B312">
            <v>4</v>
          </cell>
          <cell r="T312">
            <v>4</v>
          </cell>
        </row>
        <row r="313">
          <cell r="A313" t="str">
            <v>ENGL-098</v>
          </cell>
          <cell r="B313">
            <v>416</v>
          </cell>
          <cell r="C313">
            <v>577</v>
          </cell>
          <cell r="D313">
            <v>478</v>
          </cell>
          <cell r="E313">
            <v>437</v>
          </cell>
          <cell r="F313">
            <v>415</v>
          </cell>
          <cell r="G313">
            <v>453</v>
          </cell>
          <cell r="H313">
            <v>521</v>
          </cell>
          <cell r="I313">
            <v>478</v>
          </cell>
          <cell r="J313">
            <v>451</v>
          </cell>
          <cell r="K313">
            <v>513</v>
          </cell>
          <cell r="L313" t="str">
            <v>116</v>
          </cell>
          <cell r="M313" t="str">
            <v>129</v>
          </cell>
          <cell r="N313" t="str">
            <v>63</v>
          </cell>
          <cell r="R313">
            <v>275</v>
          </cell>
          <cell r="S313">
            <v>430</v>
          </cell>
          <cell r="T313">
            <v>5752</v>
          </cell>
        </row>
        <row r="314">
          <cell r="A314" t="str">
            <v>ENGL-101</v>
          </cell>
          <cell r="B314">
            <v>624</v>
          </cell>
          <cell r="C314">
            <v>576</v>
          </cell>
          <cell r="D314">
            <v>592</v>
          </cell>
          <cell r="E314">
            <v>525</v>
          </cell>
          <cell r="F314">
            <v>476</v>
          </cell>
          <cell r="G314">
            <v>480</v>
          </cell>
          <cell r="H314">
            <v>599</v>
          </cell>
          <cell r="I314">
            <v>531</v>
          </cell>
          <cell r="J314">
            <v>485</v>
          </cell>
          <cell r="K314">
            <v>535</v>
          </cell>
          <cell r="L314" t="str">
            <v>96</v>
          </cell>
          <cell r="M314" t="str">
            <v>121</v>
          </cell>
          <cell r="N314" t="str">
            <v>91</v>
          </cell>
          <cell r="Q314" t="str">
            <v>41</v>
          </cell>
          <cell r="R314">
            <v>497</v>
          </cell>
          <cell r="S314">
            <v>563</v>
          </cell>
          <cell r="T314">
            <v>6832</v>
          </cell>
        </row>
        <row r="315">
          <cell r="A315" t="str">
            <v>ENGL-101H</v>
          </cell>
          <cell r="B315">
            <v>3</v>
          </cell>
          <cell r="C315">
            <v>4</v>
          </cell>
          <cell r="D315">
            <v>3</v>
          </cell>
          <cell r="E315">
            <v>6</v>
          </cell>
          <cell r="F315">
            <v>4</v>
          </cell>
          <cell r="G315">
            <v>5</v>
          </cell>
          <cell r="H315">
            <v>4</v>
          </cell>
          <cell r="I315">
            <v>2</v>
          </cell>
          <cell r="J315">
            <v>4</v>
          </cell>
          <cell r="K315">
            <v>5</v>
          </cell>
          <cell r="M315" t="str">
            <v>1</v>
          </cell>
          <cell r="R315">
            <v>1</v>
          </cell>
          <cell r="S315">
            <v>3</v>
          </cell>
          <cell r="T315">
            <v>45</v>
          </cell>
        </row>
        <row r="316">
          <cell r="A316" t="str">
            <v>ENGL-103</v>
          </cell>
          <cell r="B316">
            <v>201</v>
          </cell>
          <cell r="C316">
            <v>262</v>
          </cell>
          <cell r="D316">
            <v>212</v>
          </cell>
          <cell r="E316">
            <v>219</v>
          </cell>
          <cell r="F316">
            <v>190</v>
          </cell>
          <cell r="G316">
            <v>263</v>
          </cell>
          <cell r="H316">
            <v>254</v>
          </cell>
          <cell r="I316">
            <v>266</v>
          </cell>
          <cell r="J316">
            <v>288</v>
          </cell>
          <cell r="K316">
            <v>226</v>
          </cell>
          <cell r="L316" t="str">
            <v>63</v>
          </cell>
          <cell r="M316" t="str">
            <v>36</v>
          </cell>
          <cell r="O316" t="str">
            <v>22</v>
          </cell>
          <cell r="Q316" t="str">
            <v>53</v>
          </cell>
          <cell r="R316">
            <v>203</v>
          </cell>
          <cell r="S316">
            <v>143</v>
          </cell>
          <cell r="T316">
            <v>2901</v>
          </cell>
        </row>
        <row r="317">
          <cell r="A317" t="str">
            <v>ENGL-103H</v>
          </cell>
          <cell r="B317">
            <v>9</v>
          </cell>
          <cell r="C317">
            <v>10</v>
          </cell>
          <cell r="D317">
            <v>6</v>
          </cell>
          <cell r="E317">
            <v>5</v>
          </cell>
          <cell r="F317">
            <v>9</v>
          </cell>
          <cell r="G317">
            <v>10</v>
          </cell>
          <cell r="H317">
            <v>11</v>
          </cell>
          <cell r="I317">
            <v>8</v>
          </cell>
          <cell r="J317">
            <v>11</v>
          </cell>
          <cell r="K317">
            <v>7</v>
          </cell>
          <cell r="L317" t="str">
            <v>1</v>
          </cell>
          <cell r="M317" t="str">
            <v>1</v>
          </cell>
          <cell r="R317">
            <v>9</v>
          </cell>
          <cell r="S317">
            <v>5</v>
          </cell>
          <cell r="T317">
            <v>102</v>
          </cell>
        </row>
        <row r="318">
          <cell r="A318" t="str">
            <v>ENGL-104</v>
          </cell>
          <cell r="B318">
            <v>6</v>
          </cell>
          <cell r="C318">
            <v>5</v>
          </cell>
          <cell r="D318">
            <v>12</v>
          </cell>
          <cell r="E318">
            <v>7</v>
          </cell>
          <cell r="F318">
            <v>11</v>
          </cell>
          <cell r="G318">
            <v>3</v>
          </cell>
          <cell r="H318">
            <v>3</v>
          </cell>
          <cell r="I318">
            <v>13</v>
          </cell>
          <cell r="J318">
            <v>8</v>
          </cell>
          <cell r="K318">
            <v>8</v>
          </cell>
          <cell r="R318">
            <v>12</v>
          </cell>
          <cell r="S318">
            <v>7</v>
          </cell>
          <cell r="T318">
            <v>95</v>
          </cell>
        </row>
        <row r="319">
          <cell r="A319" t="str">
            <v>ENGL-104H</v>
          </cell>
          <cell r="E319">
            <v>1</v>
          </cell>
          <cell r="H319">
            <v>1</v>
          </cell>
          <cell r="T319">
            <v>2</v>
          </cell>
        </row>
        <row r="320">
          <cell r="A320" t="str">
            <v>ENGL-106</v>
          </cell>
          <cell r="B320">
            <v>36</v>
          </cell>
          <cell r="C320">
            <v>52</v>
          </cell>
          <cell r="D320">
            <v>43</v>
          </cell>
          <cell r="E320">
            <v>42</v>
          </cell>
          <cell r="F320">
            <v>50</v>
          </cell>
          <cell r="G320">
            <v>30</v>
          </cell>
          <cell r="H320">
            <v>59</v>
          </cell>
          <cell r="I320">
            <v>53</v>
          </cell>
          <cell r="J320">
            <v>44</v>
          </cell>
          <cell r="K320">
            <v>51</v>
          </cell>
          <cell r="L320" t="str">
            <v>16</v>
          </cell>
          <cell r="M320" t="str">
            <v>14</v>
          </cell>
          <cell r="R320">
            <v>45</v>
          </cell>
          <cell r="S320">
            <v>44</v>
          </cell>
          <cell r="T320">
            <v>579</v>
          </cell>
        </row>
        <row r="321">
          <cell r="A321" t="str">
            <v>ENGL-106H</v>
          </cell>
          <cell r="B321">
            <v>4</v>
          </cell>
          <cell r="C321">
            <v>4</v>
          </cell>
          <cell r="E321">
            <v>1</v>
          </cell>
          <cell r="F321">
            <v>3</v>
          </cell>
          <cell r="G321">
            <v>4</v>
          </cell>
          <cell r="H321">
            <v>3</v>
          </cell>
          <cell r="I321">
            <v>2</v>
          </cell>
          <cell r="R321">
            <v>2</v>
          </cell>
          <cell r="S321">
            <v>4</v>
          </cell>
          <cell r="T321">
            <v>27</v>
          </cell>
        </row>
        <row r="322">
          <cell r="A322" t="str">
            <v>ENGL-130</v>
          </cell>
          <cell r="B322">
            <v>11</v>
          </cell>
          <cell r="C322">
            <v>13</v>
          </cell>
          <cell r="D322">
            <v>15</v>
          </cell>
          <cell r="E322">
            <v>22</v>
          </cell>
          <cell r="F322">
            <v>20</v>
          </cell>
          <cell r="G322">
            <v>17</v>
          </cell>
          <cell r="H322">
            <v>22</v>
          </cell>
          <cell r="J322">
            <v>20</v>
          </cell>
          <cell r="K322">
            <v>20</v>
          </cell>
          <cell r="R322">
            <v>19</v>
          </cell>
          <cell r="T322">
            <v>179</v>
          </cell>
        </row>
        <row r="323">
          <cell r="A323" t="str">
            <v>ENGL-130H</v>
          </cell>
          <cell r="C323">
            <v>2</v>
          </cell>
          <cell r="D323">
            <v>2</v>
          </cell>
          <cell r="K323">
            <v>1</v>
          </cell>
          <cell r="T323">
            <v>5</v>
          </cell>
        </row>
        <row r="324">
          <cell r="A324" t="str">
            <v>ENGL-131</v>
          </cell>
          <cell r="B324">
            <v>11</v>
          </cell>
          <cell r="C324">
            <v>11</v>
          </cell>
          <cell r="D324">
            <v>9</v>
          </cell>
          <cell r="E324">
            <v>16</v>
          </cell>
          <cell r="F324">
            <v>7</v>
          </cell>
          <cell r="G324">
            <v>9</v>
          </cell>
          <cell r="I324">
            <v>7</v>
          </cell>
          <cell r="J324">
            <v>10</v>
          </cell>
          <cell r="R324">
            <v>7</v>
          </cell>
          <cell r="T324">
            <v>87</v>
          </cell>
        </row>
        <row r="325">
          <cell r="A325" t="str">
            <v>ENGL-131H</v>
          </cell>
          <cell r="G325">
            <v>1</v>
          </cell>
          <cell r="I325">
            <v>2</v>
          </cell>
          <cell r="J325">
            <v>1</v>
          </cell>
          <cell r="T325">
            <v>4</v>
          </cell>
        </row>
        <row r="326">
          <cell r="A326" t="str">
            <v>ENGL-132</v>
          </cell>
          <cell r="H326">
            <v>13</v>
          </cell>
          <cell r="I326">
            <v>14</v>
          </cell>
          <cell r="J326">
            <v>13</v>
          </cell>
          <cell r="S326">
            <v>24</v>
          </cell>
          <cell r="T326">
            <v>64</v>
          </cell>
        </row>
        <row r="327">
          <cell r="A327" t="str">
            <v>ENGL-132H</v>
          </cell>
          <cell r="H327">
            <v>4</v>
          </cell>
          <cell r="I327">
            <v>1</v>
          </cell>
          <cell r="J327">
            <v>5</v>
          </cell>
          <cell r="S327">
            <v>2</v>
          </cell>
          <cell r="T327">
            <v>12</v>
          </cell>
        </row>
        <row r="328">
          <cell r="A328" t="str">
            <v>ENGL-145</v>
          </cell>
          <cell r="K328">
            <v>7</v>
          </cell>
          <cell r="T328">
            <v>7</v>
          </cell>
        </row>
        <row r="329">
          <cell r="A329" t="str">
            <v>ENGL-191</v>
          </cell>
          <cell r="B329">
            <v>3</v>
          </cell>
          <cell r="C329">
            <v>6</v>
          </cell>
          <cell r="D329">
            <v>3</v>
          </cell>
          <cell r="G329">
            <v>3</v>
          </cell>
          <cell r="I329">
            <v>4</v>
          </cell>
          <cell r="J329">
            <v>3</v>
          </cell>
          <cell r="T329">
            <v>22</v>
          </cell>
        </row>
        <row r="330">
          <cell r="A330" t="str">
            <v>ENGL-200</v>
          </cell>
          <cell r="E330">
            <v>16</v>
          </cell>
          <cell r="F330">
            <v>14</v>
          </cell>
          <cell r="R330">
            <v>7</v>
          </cell>
          <cell r="S330">
            <v>10</v>
          </cell>
          <cell r="T330">
            <v>47</v>
          </cell>
        </row>
        <row r="331">
          <cell r="A331" t="str">
            <v>ENGL-203</v>
          </cell>
          <cell r="B331">
            <v>8</v>
          </cell>
          <cell r="C331">
            <v>11</v>
          </cell>
          <cell r="D331">
            <v>14</v>
          </cell>
          <cell r="E331">
            <v>14</v>
          </cell>
          <cell r="T331">
            <v>47</v>
          </cell>
        </row>
        <row r="332">
          <cell r="A332" t="str">
            <v>ENGL-203H</v>
          </cell>
          <cell r="B332">
            <v>2</v>
          </cell>
          <cell r="D332">
            <v>2</v>
          </cell>
          <cell r="E332">
            <v>2</v>
          </cell>
          <cell r="T332">
            <v>6</v>
          </cell>
        </row>
        <row r="333">
          <cell r="A333" t="str">
            <v>ENGL-205</v>
          </cell>
          <cell r="D333">
            <v>26</v>
          </cell>
          <cell r="E333">
            <v>27</v>
          </cell>
          <cell r="F333">
            <v>21</v>
          </cell>
          <cell r="G333">
            <v>14</v>
          </cell>
          <cell r="H333">
            <v>17</v>
          </cell>
          <cell r="I333">
            <v>19</v>
          </cell>
          <cell r="J333">
            <v>23</v>
          </cell>
          <cell r="K333">
            <v>22</v>
          </cell>
          <cell r="S333">
            <v>22</v>
          </cell>
          <cell r="T333">
            <v>191</v>
          </cell>
        </row>
        <row r="334">
          <cell r="A334" t="str">
            <v>ENGL-205H</v>
          </cell>
          <cell r="D334">
            <v>2</v>
          </cell>
          <cell r="F334">
            <v>3</v>
          </cell>
          <cell r="G334">
            <v>3</v>
          </cell>
          <cell r="H334">
            <v>2</v>
          </cell>
          <cell r="I334">
            <v>2</v>
          </cell>
          <cell r="J334">
            <v>3</v>
          </cell>
          <cell r="S334">
            <v>2</v>
          </cell>
          <cell r="T334">
            <v>17</v>
          </cell>
        </row>
        <row r="335">
          <cell r="A335" t="str">
            <v>ENGL-207</v>
          </cell>
          <cell r="B335">
            <v>9</v>
          </cell>
          <cell r="D335">
            <v>23</v>
          </cell>
          <cell r="F335">
            <v>24</v>
          </cell>
          <cell r="T335">
            <v>56</v>
          </cell>
        </row>
        <row r="336">
          <cell r="A336" t="str">
            <v>ENGL-207H</v>
          </cell>
          <cell r="B336">
            <v>2</v>
          </cell>
          <cell r="D336">
            <v>1</v>
          </cell>
          <cell r="F336">
            <v>1</v>
          </cell>
          <cell r="T336">
            <v>4</v>
          </cell>
        </row>
        <row r="337">
          <cell r="A337" t="str">
            <v>ENGL-208</v>
          </cell>
          <cell r="G337">
            <v>14</v>
          </cell>
          <cell r="I337">
            <v>22</v>
          </cell>
          <cell r="J337">
            <v>23</v>
          </cell>
          <cell r="K337">
            <v>22</v>
          </cell>
          <cell r="T337">
            <v>81</v>
          </cell>
        </row>
        <row r="338">
          <cell r="A338" t="str">
            <v>ENGL-208H</v>
          </cell>
          <cell r="G338">
            <v>5</v>
          </cell>
          <cell r="I338">
            <v>2</v>
          </cell>
          <cell r="K338">
            <v>2</v>
          </cell>
          <cell r="T338">
            <v>9</v>
          </cell>
        </row>
        <row r="339">
          <cell r="A339" t="str">
            <v>ENGL-220</v>
          </cell>
          <cell r="B339">
            <v>15</v>
          </cell>
          <cell r="D339">
            <v>24</v>
          </cell>
          <cell r="T339">
            <v>39</v>
          </cell>
        </row>
        <row r="340">
          <cell r="A340" t="str">
            <v>ENGL-220H</v>
          </cell>
          <cell r="B340">
            <v>4</v>
          </cell>
          <cell r="D340">
            <v>2</v>
          </cell>
          <cell r="T340">
            <v>6</v>
          </cell>
        </row>
        <row r="341">
          <cell r="A341" t="str">
            <v>ENGL-225</v>
          </cell>
          <cell r="B341">
            <v>8</v>
          </cell>
          <cell r="C341">
            <v>10</v>
          </cell>
          <cell r="E341">
            <v>25</v>
          </cell>
          <cell r="G341">
            <v>13</v>
          </cell>
          <cell r="H341">
            <v>21</v>
          </cell>
          <cell r="T341">
            <v>77</v>
          </cell>
        </row>
        <row r="342">
          <cell r="A342" t="str">
            <v>ENGL-230</v>
          </cell>
          <cell r="C342">
            <v>13</v>
          </cell>
          <cell r="D342">
            <v>20</v>
          </cell>
          <cell r="E342">
            <v>24</v>
          </cell>
          <cell r="F342">
            <v>27</v>
          </cell>
          <cell r="R342">
            <v>24</v>
          </cell>
          <cell r="T342">
            <v>108</v>
          </cell>
        </row>
        <row r="343">
          <cell r="A343" t="str">
            <v>ENGL-230H</v>
          </cell>
          <cell r="F343">
            <v>1</v>
          </cell>
          <cell r="R343">
            <v>1</v>
          </cell>
          <cell r="T343">
            <v>2</v>
          </cell>
        </row>
        <row r="344">
          <cell r="A344" t="str">
            <v>ENGL-231</v>
          </cell>
          <cell r="H344">
            <v>22</v>
          </cell>
          <cell r="I344">
            <v>20</v>
          </cell>
          <cell r="J344">
            <v>28</v>
          </cell>
          <cell r="K344">
            <v>23</v>
          </cell>
          <cell r="S344">
            <v>21</v>
          </cell>
          <cell r="T344">
            <v>114</v>
          </cell>
        </row>
        <row r="345">
          <cell r="A345" t="str">
            <v>ENGL-231H</v>
          </cell>
          <cell r="H345">
            <v>3</v>
          </cell>
          <cell r="I345">
            <v>1</v>
          </cell>
          <cell r="J345">
            <v>1</v>
          </cell>
          <cell r="K345">
            <v>3</v>
          </cell>
          <cell r="S345">
            <v>3</v>
          </cell>
          <cell r="T345">
            <v>11</v>
          </cell>
        </row>
        <row r="346">
          <cell r="A346" t="str">
            <v>ENGL-235</v>
          </cell>
          <cell r="C346">
            <v>13</v>
          </cell>
          <cell r="I346">
            <v>13</v>
          </cell>
          <cell r="T346">
            <v>26</v>
          </cell>
        </row>
        <row r="347">
          <cell r="A347" t="str">
            <v>ENGL-240</v>
          </cell>
          <cell r="C347">
            <v>10</v>
          </cell>
          <cell r="J347">
            <v>17</v>
          </cell>
          <cell r="K347">
            <v>18</v>
          </cell>
          <cell r="T347">
            <v>45</v>
          </cell>
        </row>
        <row r="348">
          <cell r="A348" t="str">
            <v>ENGL-250</v>
          </cell>
          <cell r="C348">
            <v>9</v>
          </cell>
          <cell r="T348">
            <v>9</v>
          </cell>
        </row>
        <row r="349">
          <cell r="A349" t="str">
            <v>ENGL-260</v>
          </cell>
          <cell r="E349">
            <v>14</v>
          </cell>
          <cell r="H349">
            <v>18</v>
          </cell>
          <cell r="T349">
            <v>32</v>
          </cell>
        </row>
        <row r="350">
          <cell r="A350" t="str">
            <v>ENGL-270</v>
          </cell>
          <cell r="G350">
            <v>4</v>
          </cell>
          <cell r="H350">
            <v>4</v>
          </cell>
          <cell r="I350">
            <v>6</v>
          </cell>
          <cell r="J350">
            <v>7</v>
          </cell>
          <cell r="T350">
            <v>21</v>
          </cell>
        </row>
        <row r="351">
          <cell r="A351" t="str">
            <v>ENGL-280</v>
          </cell>
          <cell r="I351">
            <v>25</v>
          </cell>
          <cell r="T351">
            <v>25</v>
          </cell>
        </row>
        <row r="352">
          <cell r="A352" t="str">
            <v>ENGL-280H</v>
          </cell>
          <cell r="I352">
            <v>1</v>
          </cell>
          <cell r="T352">
            <v>1</v>
          </cell>
        </row>
        <row r="353">
          <cell r="A353" t="str">
            <v>ENGL-285</v>
          </cell>
          <cell r="H353">
            <v>10</v>
          </cell>
          <cell r="T353">
            <v>10</v>
          </cell>
        </row>
        <row r="354">
          <cell r="A354" t="str">
            <v>ENGL-285H</v>
          </cell>
          <cell r="H354">
            <v>1</v>
          </cell>
          <cell r="T354">
            <v>1</v>
          </cell>
        </row>
        <row r="355">
          <cell r="A355" t="str">
            <v>ENGL-286</v>
          </cell>
          <cell r="D355">
            <v>17</v>
          </cell>
          <cell r="T355">
            <v>17</v>
          </cell>
        </row>
        <row r="356">
          <cell r="A356" t="str">
            <v>ENGL-286H</v>
          </cell>
          <cell r="D356">
            <v>2</v>
          </cell>
          <cell r="T356">
            <v>2</v>
          </cell>
        </row>
        <row r="357">
          <cell r="A357" t="str">
            <v>ENGL-299</v>
          </cell>
          <cell r="B357">
            <v>6</v>
          </cell>
          <cell r="C357">
            <v>4</v>
          </cell>
          <cell r="D357">
            <v>1</v>
          </cell>
          <cell r="F357">
            <v>2</v>
          </cell>
          <cell r="G357">
            <v>2</v>
          </cell>
          <cell r="H357">
            <v>4</v>
          </cell>
          <cell r="I357">
            <v>6</v>
          </cell>
          <cell r="T357">
            <v>25</v>
          </cell>
        </row>
        <row r="358">
          <cell r="A358" t="str">
            <v>ENGR-108</v>
          </cell>
          <cell r="K358">
            <v>4</v>
          </cell>
          <cell r="R358">
            <v>13</v>
          </cell>
          <cell r="S358">
            <v>14</v>
          </cell>
          <cell r="T358">
            <v>31</v>
          </cell>
        </row>
        <row r="359">
          <cell r="A359" t="str">
            <v>ENGR-149</v>
          </cell>
          <cell r="F359">
            <v>1</v>
          </cell>
          <cell r="R359">
            <v>1</v>
          </cell>
          <cell r="T359">
            <v>2</v>
          </cell>
        </row>
        <row r="360">
          <cell r="A360" t="str">
            <v>ENVS-100</v>
          </cell>
          <cell r="B360">
            <v>35</v>
          </cell>
          <cell r="C360">
            <v>30</v>
          </cell>
          <cell r="D360">
            <v>40</v>
          </cell>
          <cell r="E360">
            <v>41</v>
          </cell>
          <cell r="F360">
            <v>35</v>
          </cell>
          <cell r="G360">
            <v>14</v>
          </cell>
          <cell r="H360">
            <v>25</v>
          </cell>
          <cell r="I360">
            <v>47</v>
          </cell>
          <cell r="J360">
            <v>35</v>
          </cell>
          <cell r="K360">
            <v>40</v>
          </cell>
          <cell r="R360">
            <v>37</v>
          </cell>
          <cell r="S360">
            <v>32</v>
          </cell>
          <cell r="T360">
            <v>411</v>
          </cell>
        </row>
        <row r="361">
          <cell r="A361" t="str">
            <v>ENVS-101</v>
          </cell>
          <cell r="B361">
            <v>117</v>
          </cell>
          <cell r="C361">
            <v>181</v>
          </cell>
          <cell r="D361">
            <v>170</v>
          </cell>
          <cell r="E361">
            <v>145</v>
          </cell>
          <cell r="F361">
            <v>129</v>
          </cell>
          <cell r="G361">
            <v>139</v>
          </cell>
          <cell r="H361">
            <v>160</v>
          </cell>
          <cell r="I361">
            <v>146</v>
          </cell>
          <cell r="J361">
            <v>133</v>
          </cell>
          <cell r="K361">
            <v>151</v>
          </cell>
          <cell r="L361" t="str">
            <v>16</v>
          </cell>
          <cell r="M361" t="str">
            <v>17</v>
          </cell>
          <cell r="R361">
            <v>112</v>
          </cell>
          <cell r="S361">
            <v>111</v>
          </cell>
          <cell r="T361">
            <v>1727</v>
          </cell>
        </row>
        <row r="362">
          <cell r="A362" t="str">
            <v>ENVS-101H</v>
          </cell>
          <cell r="B362">
            <v>4</v>
          </cell>
          <cell r="C362">
            <v>4</v>
          </cell>
          <cell r="D362">
            <v>1</v>
          </cell>
          <cell r="E362">
            <v>1</v>
          </cell>
          <cell r="G362">
            <v>4</v>
          </cell>
          <cell r="H362">
            <v>3</v>
          </cell>
          <cell r="I362">
            <v>4</v>
          </cell>
          <cell r="K362">
            <v>3</v>
          </cell>
          <cell r="R362">
            <v>4</v>
          </cell>
          <cell r="S362">
            <v>2</v>
          </cell>
          <cell r="T362">
            <v>30</v>
          </cell>
        </row>
        <row r="363">
          <cell r="A363" t="str">
            <v>ENVS-102</v>
          </cell>
          <cell r="B363">
            <v>11</v>
          </cell>
          <cell r="C363">
            <v>22</v>
          </cell>
          <cell r="D363">
            <v>24</v>
          </cell>
          <cell r="E363">
            <v>24</v>
          </cell>
          <cell r="F363">
            <v>25</v>
          </cell>
          <cell r="G363">
            <v>25</v>
          </cell>
          <cell r="H363">
            <v>29</v>
          </cell>
          <cell r="I363">
            <v>25</v>
          </cell>
          <cell r="J363">
            <v>30</v>
          </cell>
          <cell r="K363">
            <v>30</v>
          </cell>
          <cell r="R363">
            <v>29</v>
          </cell>
          <cell r="S363">
            <v>27</v>
          </cell>
          <cell r="T363">
            <v>301</v>
          </cell>
        </row>
        <row r="364">
          <cell r="A364" t="str">
            <v>ENVS-102H</v>
          </cell>
          <cell r="D364">
            <v>3</v>
          </cell>
          <cell r="G364">
            <v>2</v>
          </cell>
          <cell r="H364">
            <v>2</v>
          </cell>
          <cell r="I364">
            <v>1</v>
          </cell>
          <cell r="J364">
            <v>1</v>
          </cell>
          <cell r="T364">
            <v>9</v>
          </cell>
        </row>
        <row r="365">
          <cell r="A365" t="str">
            <v>ENVS-110</v>
          </cell>
          <cell r="M365" t="str">
            <v>4</v>
          </cell>
          <cell r="N365" t="str">
            <v>19</v>
          </cell>
          <cell r="T365">
            <v>23</v>
          </cell>
        </row>
        <row r="366">
          <cell r="A366" t="str">
            <v>ENVS-299</v>
          </cell>
          <cell r="J366">
            <v>3</v>
          </cell>
          <cell r="T366">
            <v>3</v>
          </cell>
        </row>
        <row r="367">
          <cell r="A367" t="str">
            <v>ESL-050</v>
          </cell>
          <cell r="D367">
            <v>23</v>
          </cell>
          <cell r="E367">
            <v>11</v>
          </cell>
          <cell r="F367">
            <v>8</v>
          </cell>
          <cell r="I367">
            <v>22</v>
          </cell>
          <cell r="J367">
            <v>18</v>
          </cell>
          <cell r="K367">
            <v>15</v>
          </cell>
          <cell r="R367">
            <v>12</v>
          </cell>
          <cell r="S367">
            <v>14</v>
          </cell>
          <cell r="T367">
            <v>123</v>
          </cell>
        </row>
        <row r="368">
          <cell r="A368" t="str">
            <v>ESL-050A</v>
          </cell>
          <cell r="H368">
            <v>13</v>
          </cell>
          <cell r="T368">
            <v>13</v>
          </cell>
        </row>
        <row r="369">
          <cell r="A369" t="str">
            <v>ESL-051</v>
          </cell>
          <cell r="D369">
            <v>25</v>
          </cell>
          <cell r="E369">
            <v>28</v>
          </cell>
          <cell r="F369">
            <v>22</v>
          </cell>
          <cell r="I369">
            <v>42</v>
          </cell>
          <cell r="J369">
            <v>35</v>
          </cell>
          <cell r="K369">
            <v>25</v>
          </cell>
          <cell r="R369">
            <v>26</v>
          </cell>
          <cell r="S369">
            <v>13</v>
          </cell>
          <cell r="T369">
            <v>216</v>
          </cell>
        </row>
        <row r="370">
          <cell r="A370" t="str">
            <v>ESL-051A</v>
          </cell>
          <cell r="H370">
            <v>10</v>
          </cell>
          <cell r="T370">
            <v>10</v>
          </cell>
        </row>
        <row r="371">
          <cell r="A371" t="str">
            <v>ESL-052A</v>
          </cell>
          <cell r="H371">
            <v>23</v>
          </cell>
          <cell r="T371">
            <v>23</v>
          </cell>
        </row>
        <row r="372">
          <cell r="A372" t="str">
            <v>ESL-053A</v>
          </cell>
          <cell r="H372">
            <v>8</v>
          </cell>
          <cell r="T372">
            <v>8</v>
          </cell>
        </row>
        <row r="373">
          <cell r="A373" t="str">
            <v>ESL-055</v>
          </cell>
          <cell r="J373">
            <v>29</v>
          </cell>
          <cell r="T373">
            <v>29</v>
          </cell>
        </row>
        <row r="374">
          <cell r="A374" t="str">
            <v>ESL-056</v>
          </cell>
          <cell r="D374">
            <v>16</v>
          </cell>
          <cell r="E374">
            <v>15</v>
          </cell>
          <cell r="F374">
            <v>24</v>
          </cell>
          <cell r="H374">
            <v>12</v>
          </cell>
          <cell r="I374">
            <v>17</v>
          </cell>
          <cell r="K374">
            <v>17</v>
          </cell>
          <cell r="N374" t="str">
            <v>21</v>
          </cell>
          <cell r="R374">
            <v>12</v>
          </cell>
          <cell r="T374">
            <v>134</v>
          </cell>
        </row>
        <row r="375">
          <cell r="A375" t="str">
            <v>ESL-062W</v>
          </cell>
          <cell r="D375">
            <v>23</v>
          </cell>
          <cell r="E375">
            <v>35</v>
          </cell>
          <cell r="F375">
            <v>42</v>
          </cell>
          <cell r="I375">
            <v>21</v>
          </cell>
          <cell r="J375">
            <v>37</v>
          </cell>
          <cell r="K375">
            <v>39</v>
          </cell>
          <cell r="R375">
            <v>38</v>
          </cell>
          <cell r="S375">
            <v>23</v>
          </cell>
          <cell r="T375">
            <v>258</v>
          </cell>
        </row>
        <row r="376">
          <cell r="A376" t="str">
            <v>ESL-063R</v>
          </cell>
          <cell r="D376">
            <v>23</v>
          </cell>
          <cell r="E376">
            <v>21</v>
          </cell>
          <cell r="F376">
            <v>10</v>
          </cell>
          <cell r="I376">
            <v>14</v>
          </cell>
          <cell r="J376">
            <v>18</v>
          </cell>
          <cell r="K376">
            <v>12</v>
          </cell>
          <cell r="R376">
            <v>15</v>
          </cell>
          <cell r="S376">
            <v>11</v>
          </cell>
          <cell r="T376">
            <v>124</v>
          </cell>
        </row>
        <row r="377">
          <cell r="A377" t="str">
            <v>ESL-064R</v>
          </cell>
          <cell r="F377">
            <v>22</v>
          </cell>
          <cell r="J377">
            <v>21</v>
          </cell>
          <cell r="K377">
            <v>13</v>
          </cell>
          <cell r="R377">
            <v>21</v>
          </cell>
          <cell r="S377">
            <v>17</v>
          </cell>
          <cell r="T377">
            <v>94</v>
          </cell>
        </row>
        <row r="378">
          <cell r="A378" t="str">
            <v>ESL-098W</v>
          </cell>
          <cell r="D378">
            <v>23</v>
          </cell>
          <cell r="E378">
            <v>23</v>
          </cell>
          <cell r="F378">
            <v>44</v>
          </cell>
          <cell r="I378">
            <v>27</v>
          </cell>
          <cell r="J378">
            <v>25</v>
          </cell>
          <cell r="K378">
            <v>42</v>
          </cell>
          <cell r="R378">
            <v>47</v>
          </cell>
          <cell r="S378">
            <v>37</v>
          </cell>
          <cell r="T378">
            <v>268</v>
          </cell>
        </row>
        <row r="379">
          <cell r="A379" t="str">
            <v>FIRE-101</v>
          </cell>
          <cell r="B379">
            <v>56</v>
          </cell>
          <cell r="C379">
            <v>70</v>
          </cell>
          <cell r="D379">
            <v>58</v>
          </cell>
          <cell r="E379">
            <v>36</v>
          </cell>
          <cell r="F379">
            <v>23</v>
          </cell>
          <cell r="G379">
            <v>69</v>
          </cell>
          <cell r="H379">
            <v>63</v>
          </cell>
          <cell r="I379">
            <v>91</v>
          </cell>
          <cell r="J379">
            <v>63</v>
          </cell>
          <cell r="K379">
            <v>52</v>
          </cell>
          <cell r="L379" t="str">
            <v>18</v>
          </cell>
          <cell r="M379" t="str">
            <v>35</v>
          </cell>
          <cell r="R379">
            <v>50</v>
          </cell>
          <cell r="S379">
            <v>81</v>
          </cell>
          <cell r="T379">
            <v>765</v>
          </cell>
        </row>
        <row r="380">
          <cell r="A380" t="str">
            <v>FIRE-102</v>
          </cell>
          <cell r="B380">
            <v>36</v>
          </cell>
          <cell r="C380">
            <v>37</v>
          </cell>
          <cell r="D380">
            <v>41</v>
          </cell>
          <cell r="E380">
            <v>39</v>
          </cell>
          <cell r="F380">
            <v>45</v>
          </cell>
          <cell r="R380">
            <v>45</v>
          </cell>
          <cell r="T380">
            <v>243</v>
          </cell>
        </row>
        <row r="381">
          <cell r="A381" t="str">
            <v>FIRE-103</v>
          </cell>
          <cell r="C381">
            <v>29</v>
          </cell>
          <cell r="D381">
            <v>29</v>
          </cell>
          <cell r="E381">
            <v>24</v>
          </cell>
          <cell r="F381">
            <v>26</v>
          </cell>
          <cell r="R381">
            <v>24</v>
          </cell>
          <cell r="T381">
            <v>132</v>
          </cell>
        </row>
        <row r="382">
          <cell r="A382" t="str">
            <v>FIRE-106</v>
          </cell>
          <cell r="D382">
            <v>38</v>
          </cell>
          <cell r="T382">
            <v>38</v>
          </cell>
        </row>
        <row r="383">
          <cell r="A383" t="str">
            <v>FIRE-107</v>
          </cell>
          <cell r="J383">
            <v>33</v>
          </cell>
          <cell r="T383">
            <v>33</v>
          </cell>
        </row>
        <row r="384">
          <cell r="A384" t="str">
            <v>FIRE-115</v>
          </cell>
          <cell r="G384">
            <v>29</v>
          </cell>
          <cell r="H384">
            <v>48</v>
          </cell>
          <cell r="I384">
            <v>30</v>
          </cell>
          <cell r="J384">
            <v>30</v>
          </cell>
          <cell r="K384">
            <v>35</v>
          </cell>
          <cell r="S384">
            <v>25</v>
          </cell>
          <cell r="T384">
            <v>197</v>
          </cell>
        </row>
        <row r="385">
          <cell r="A385" t="str">
            <v>FIRE-117</v>
          </cell>
          <cell r="S385">
            <v>20</v>
          </cell>
          <cell r="T385">
            <v>20</v>
          </cell>
        </row>
        <row r="386">
          <cell r="A386" t="str">
            <v>FIRE-121</v>
          </cell>
          <cell r="B386">
            <v>30</v>
          </cell>
          <cell r="C386">
            <v>22</v>
          </cell>
          <cell r="D386">
            <v>28</v>
          </cell>
          <cell r="E386">
            <v>27</v>
          </cell>
          <cell r="F386">
            <v>33</v>
          </cell>
          <cell r="T386">
            <v>140</v>
          </cell>
        </row>
        <row r="387">
          <cell r="A387" t="str">
            <v>FIRE-122</v>
          </cell>
          <cell r="E387">
            <v>25</v>
          </cell>
          <cell r="J387">
            <v>35</v>
          </cell>
          <cell r="K387">
            <v>37</v>
          </cell>
          <cell r="S387">
            <v>33</v>
          </cell>
          <cell r="T387">
            <v>130</v>
          </cell>
        </row>
        <row r="388">
          <cell r="A388" t="str">
            <v>FIRE-149</v>
          </cell>
          <cell r="C388">
            <v>1</v>
          </cell>
          <cell r="G388">
            <v>1</v>
          </cell>
          <cell r="H388">
            <v>2</v>
          </cell>
          <cell r="T388">
            <v>4</v>
          </cell>
        </row>
        <row r="389">
          <cell r="A389" t="str">
            <v>FIRE-299</v>
          </cell>
          <cell r="D389">
            <v>1</v>
          </cell>
          <cell r="L389" t="str">
            <v>1</v>
          </cell>
          <cell r="M389" t="str">
            <v>1</v>
          </cell>
          <cell r="T389">
            <v>3</v>
          </cell>
        </row>
        <row r="390">
          <cell r="A390" t="str">
            <v>FREN-101</v>
          </cell>
          <cell r="B390">
            <v>53</v>
          </cell>
          <cell r="C390">
            <v>65</v>
          </cell>
          <cell r="D390">
            <v>86</v>
          </cell>
          <cell r="E390">
            <v>85</v>
          </cell>
          <cell r="F390">
            <v>81</v>
          </cell>
          <cell r="G390">
            <v>36</v>
          </cell>
          <cell r="H390">
            <v>19</v>
          </cell>
          <cell r="I390">
            <v>32</v>
          </cell>
          <cell r="J390">
            <v>87</v>
          </cell>
          <cell r="K390">
            <v>56</v>
          </cell>
          <cell r="M390" t="str">
            <v>13</v>
          </cell>
          <cell r="R390">
            <v>75</v>
          </cell>
          <cell r="S390">
            <v>65</v>
          </cell>
          <cell r="T390">
            <v>753</v>
          </cell>
        </row>
        <row r="391">
          <cell r="A391" t="str">
            <v>FREN-102</v>
          </cell>
          <cell r="B391">
            <v>15</v>
          </cell>
          <cell r="C391">
            <v>11</v>
          </cell>
          <cell r="D391">
            <v>5</v>
          </cell>
          <cell r="E391">
            <v>15</v>
          </cell>
          <cell r="F391">
            <v>18</v>
          </cell>
          <cell r="G391">
            <v>17</v>
          </cell>
          <cell r="H391">
            <v>19</v>
          </cell>
          <cell r="I391">
            <v>20</v>
          </cell>
          <cell r="J391">
            <v>16</v>
          </cell>
          <cell r="K391">
            <v>34</v>
          </cell>
          <cell r="L391" t="str">
            <v>6</v>
          </cell>
          <cell r="R391">
            <v>19</v>
          </cell>
          <cell r="S391">
            <v>30</v>
          </cell>
          <cell r="T391">
            <v>225</v>
          </cell>
        </row>
        <row r="392">
          <cell r="A392" t="str">
            <v>FREN-201</v>
          </cell>
          <cell r="B392">
            <v>14</v>
          </cell>
          <cell r="C392">
            <v>11</v>
          </cell>
          <cell r="D392">
            <v>5</v>
          </cell>
          <cell r="E392">
            <v>16</v>
          </cell>
          <cell r="F392">
            <v>17</v>
          </cell>
          <cell r="G392">
            <v>4</v>
          </cell>
          <cell r="H392">
            <v>4</v>
          </cell>
          <cell r="I392">
            <v>11</v>
          </cell>
          <cell r="J392">
            <v>8</v>
          </cell>
          <cell r="K392">
            <v>7</v>
          </cell>
          <cell r="R392">
            <v>13</v>
          </cell>
          <cell r="S392">
            <v>13</v>
          </cell>
          <cell r="T392">
            <v>123</v>
          </cell>
        </row>
        <row r="393">
          <cell r="A393" t="str">
            <v>FREN-202</v>
          </cell>
          <cell r="C393">
            <v>3</v>
          </cell>
          <cell r="E393">
            <v>4</v>
          </cell>
          <cell r="G393">
            <v>3</v>
          </cell>
          <cell r="J393">
            <v>3</v>
          </cell>
          <cell r="K393">
            <v>4</v>
          </cell>
          <cell r="R393">
            <v>4</v>
          </cell>
          <cell r="S393">
            <v>6</v>
          </cell>
          <cell r="T393">
            <v>27</v>
          </cell>
        </row>
        <row r="394">
          <cell r="A394" t="str">
            <v>GEOG-080</v>
          </cell>
          <cell r="B394">
            <v>1</v>
          </cell>
          <cell r="D394">
            <v>3</v>
          </cell>
          <cell r="E394">
            <v>4</v>
          </cell>
          <cell r="G394">
            <v>2</v>
          </cell>
          <cell r="H394">
            <v>3</v>
          </cell>
          <cell r="J394">
            <v>4</v>
          </cell>
          <cell r="T394">
            <v>17</v>
          </cell>
        </row>
        <row r="395">
          <cell r="A395" t="str">
            <v>GEOG-101</v>
          </cell>
          <cell r="B395">
            <v>152</v>
          </cell>
          <cell r="C395">
            <v>87</v>
          </cell>
          <cell r="D395">
            <v>75</v>
          </cell>
          <cell r="E395">
            <v>72</v>
          </cell>
          <cell r="F395">
            <v>114</v>
          </cell>
          <cell r="G395">
            <v>87</v>
          </cell>
          <cell r="H395">
            <v>76</v>
          </cell>
          <cell r="I395">
            <v>72</v>
          </cell>
          <cell r="J395">
            <v>72</v>
          </cell>
          <cell r="K395">
            <v>73</v>
          </cell>
          <cell r="L395" t="str">
            <v>7</v>
          </cell>
          <cell r="R395">
            <v>34</v>
          </cell>
          <cell r="S395">
            <v>25</v>
          </cell>
          <cell r="T395">
            <v>946</v>
          </cell>
        </row>
        <row r="396">
          <cell r="A396" t="str">
            <v>GEOG-102</v>
          </cell>
          <cell r="B396">
            <v>20</v>
          </cell>
          <cell r="C396">
            <v>23</v>
          </cell>
          <cell r="D396">
            <v>43</v>
          </cell>
          <cell r="H396">
            <v>27</v>
          </cell>
          <cell r="L396" t="str">
            <v>9</v>
          </cell>
          <cell r="M396" t="str">
            <v>4</v>
          </cell>
          <cell r="T396">
            <v>126</v>
          </cell>
        </row>
        <row r="397">
          <cell r="A397" t="str">
            <v>GEOG-104</v>
          </cell>
          <cell r="R397">
            <v>6</v>
          </cell>
          <cell r="T397">
            <v>6</v>
          </cell>
        </row>
        <row r="398">
          <cell r="A398" t="str">
            <v>GEOG-105</v>
          </cell>
          <cell r="B398">
            <v>12</v>
          </cell>
          <cell r="C398">
            <v>10</v>
          </cell>
          <cell r="D398">
            <v>17</v>
          </cell>
          <cell r="E398">
            <v>11</v>
          </cell>
          <cell r="F398">
            <v>11</v>
          </cell>
          <cell r="G398">
            <v>8</v>
          </cell>
          <cell r="H398">
            <v>19</v>
          </cell>
          <cell r="I398">
            <v>15</v>
          </cell>
          <cell r="J398">
            <v>18</v>
          </cell>
          <cell r="K398">
            <v>10</v>
          </cell>
          <cell r="R398">
            <v>9</v>
          </cell>
          <cell r="S398">
            <v>7</v>
          </cell>
          <cell r="T398">
            <v>147</v>
          </cell>
        </row>
        <row r="399">
          <cell r="A399" t="str">
            <v>GEOG-107</v>
          </cell>
          <cell r="I399">
            <v>34</v>
          </cell>
          <cell r="J399">
            <v>38</v>
          </cell>
          <cell r="T399">
            <v>72</v>
          </cell>
        </row>
        <row r="400">
          <cell r="A400" t="str">
            <v>GEOG-108</v>
          </cell>
          <cell r="F400">
            <v>41</v>
          </cell>
          <cell r="K400">
            <v>16</v>
          </cell>
          <cell r="T400">
            <v>57</v>
          </cell>
        </row>
        <row r="401">
          <cell r="A401" t="str">
            <v>GEOG-111</v>
          </cell>
          <cell r="C401">
            <v>16</v>
          </cell>
          <cell r="D401">
            <v>46</v>
          </cell>
          <cell r="E401">
            <v>38</v>
          </cell>
          <cell r="H401">
            <v>33</v>
          </cell>
          <cell r="K401">
            <v>40</v>
          </cell>
          <cell r="T401">
            <v>173</v>
          </cell>
        </row>
        <row r="402">
          <cell r="A402" t="str">
            <v>GEOG-115</v>
          </cell>
          <cell r="B402">
            <v>3</v>
          </cell>
          <cell r="C402">
            <v>11</v>
          </cell>
          <cell r="D402">
            <v>18</v>
          </cell>
          <cell r="E402">
            <v>15</v>
          </cell>
          <cell r="F402">
            <v>24</v>
          </cell>
          <cell r="G402">
            <v>6</v>
          </cell>
          <cell r="H402">
            <v>21</v>
          </cell>
          <cell r="I402">
            <v>15</v>
          </cell>
          <cell r="J402">
            <v>16</v>
          </cell>
          <cell r="K402">
            <v>11</v>
          </cell>
          <cell r="R402">
            <v>16</v>
          </cell>
          <cell r="S402">
            <v>8</v>
          </cell>
          <cell r="T402">
            <v>164</v>
          </cell>
        </row>
        <row r="403">
          <cell r="A403" t="str">
            <v>GEOG-120</v>
          </cell>
          <cell r="B403">
            <v>4</v>
          </cell>
          <cell r="C403">
            <v>7</v>
          </cell>
          <cell r="D403">
            <v>3</v>
          </cell>
          <cell r="E403">
            <v>8</v>
          </cell>
          <cell r="H403">
            <v>13</v>
          </cell>
          <cell r="I403">
            <v>14</v>
          </cell>
          <cell r="J403">
            <v>4</v>
          </cell>
          <cell r="K403">
            <v>15</v>
          </cell>
          <cell r="S403">
            <v>11</v>
          </cell>
          <cell r="T403">
            <v>79</v>
          </cell>
        </row>
        <row r="404">
          <cell r="A404" t="str">
            <v>GEOG-125</v>
          </cell>
          <cell r="C404">
            <v>5</v>
          </cell>
          <cell r="D404">
            <v>7</v>
          </cell>
          <cell r="E404">
            <v>7</v>
          </cell>
          <cell r="G404">
            <v>4</v>
          </cell>
          <cell r="H404">
            <v>9</v>
          </cell>
          <cell r="I404">
            <v>13</v>
          </cell>
          <cell r="K404">
            <v>10</v>
          </cell>
          <cell r="S404">
            <v>11</v>
          </cell>
          <cell r="T404">
            <v>66</v>
          </cell>
        </row>
        <row r="405">
          <cell r="A405" t="str">
            <v>GEOG-130</v>
          </cell>
          <cell r="H405">
            <v>12</v>
          </cell>
          <cell r="I405">
            <v>14</v>
          </cell>
          <cell r="J405">
            <v>9</v>
          </cell>
          <cell r="K405">
            <v>11</v>
          </cell>
          <cell r="T405">
            <v>46</v>
          </cell>
        </row>
        <row r="406">
          <cell r="A406" t="str">
            <v>GEOG-298A</v>
          </cell>
          <cell r="F406">
            <v>12</v>
          </cell>
          <cell r="G406">
            <v>5</v>
          </cell>
          <cell r="I406">
            <v>8</v>
          </cell>
          <cell r="T406">
            <v>25</v>
          </cell>
        </row>
        <row r="407">
          <cell r="A407" t="str">
            <v>GEOG-298D</v>
          </cell>
          <cell r="C407">
            <v>10</v>
          </cell>
          <cell r="D407">
            <v>5</v>
          </cell>
          <cell r="T407">
            <v>15</v>
          </cell>
        </row>
        <row r="408">
          <cell r="A408" t="str">
            <v>GEOG-298K</v>
          </cell>
          <cell r="C408">
            <v>4</v>
          </cell>
          <cell r="D408">
            <v>9</v>
          </cell>
          <cell r="E408">
            <v>6</v>
          </cell>
          <cell r="G408">
            <v>11</v>
          </cell>
          <cell r="T408">
            <v>30</v>
          </cell>
        </row>
        <row r="409">
          <cell r="A409" t="str">
            <v>GEOG-298Q</v>
          </cell>
          <cell r="C409">
            <v>4</v>
          </cell>
          <cell r="J409">
            <v>8</v>
          </cell>
          <cell r="K409">
            <v>16</v>
          </cell>
          <cell r="T409">
            <v>28</v>
          </cell>
        </row>
        <row r="410">
          <cell r="A410" t="str">
            <v>GEOG-298Y</v>
          </cell>
          <cell r="E410">
            <v>17</v>
          </cell>
          <cell r="H410">
            <v>8</v>
          </cell>
          <cell r="T410">
            <v>25</v>
          </cell>
        </row>
        <row r="411">
          <cell r="A411" t="str">
            <v>GEOG-299</v>
          </cell>
          <cell r="G411">
            <v>3</v>
          </cell>
          <cell r="L411" t="str">
            <v>1</v>
          </cell>
          <cell r="N411" t="str">
            <v>3</v>
          </cell>
          <cell r="T411">
            <v>7</v>
          </cell>
        </row>
        <row r="412">
          <cell r="A412" t="str">
            <v>GEOL-100</v>
          </cell>
          <cell r="B412">
            <v>35</v>
          </cell>
          <cell r="C412">
            <v>45</v>
          </cell>
          <cell r="D412">
            <v>56</v>
          </cell>
          <cell r="E412">
            <v>42</v>
          </cell>
          <cell r="F412">
            <v>55</v>
          </cell>
          <cell r="R412">
            <v>52</v>
          </cell>
          <cell r="T412">
            <v>285</v>
          </cell>
        </row>
        <row r="413">
          <cell r="A413" t="str">
            <v>GEOL-103</v>
          </cell>
          <cell r="D413">
            <v>29</v>
          </cell>
          <cell r="E413">
            <v>24</v>
          </cell>
          <cell r="F413">
            <v>25</v>
          </cell>
          <cell r="R413">
            <v>27</v>
          </cell>
          <cell r="S413">
            <v>25</v>
          </cell>
          <cell r="T413">
            <v>130</v>
          </cell>
        </row>
        <row r="414">
          <cell r="A414" t="str">
            <v>GEOL-105</v>
          </cell>
          <cell r="G414">
            <v>10</v>
          </cell>
          <cell r="H414">
            <v>20</v>
          </cell>
          <cell r="I414">
            <v>24</v>
          </cell>
          <cell r="J414">
            <v>17</v>
          </cell>
          <cell r="K414">
            <v>16</v>
          </cell>
          <cell r="S414">
            <v>24</v>
          </cell>
          <cell r="T414">
            <v>111</v>
          </cell>
        </row>
        <row r="415">
          <cell r="A415" t="str">
            <v>GEOL-107</v>
          </cell>
          <cell r="B415">
            <v>29</v>
          </cell>
          <cell r="C415">
            <v>44</v>
          </cell>
          <cell r="D415">
            <v>28</v>
          </cell>
          <cell r="E415">
            <v>19</v>
          </cell>
          <cell r="F415">
            <v>22</v>
          </cell>
          <cell r="G415">
            <v>29</v>
          </cell>
          <cell r="H415">
            <v>41</v>
          </cell>
          <cell r="I415">
            <v>36</v>
          </cell>
          <cell r="J415">
            <v>31</v>
          </cell>
          <cell r="K415">
            <v>30</v>
          </cell>
          <cell r="R415">
            <v>22</v>
          </cell>
          <cell r="S415">
            <v>25</v>
          </cell>
          <cell r="T415">
            <v>356</v>
          </cell>
        </row>
        <row r="416">
          <cell r="A416" t="str">
            <v>GEOL-110</v>
          </cell>
          <cell r="G416">
            <v>14</v>
          </cell>
          <cell r="H416">
            <v>22</v>
          </cell>
          <cell r="I416">
            <v>25</v>
          </cell>
          <cell r="J416">
            <v>23</v>
          </cell>
          <cell r="K416">
            <v>25</v>
          </cell>
          <cell r="S416">
            <v>24</v>
          </cell>
          <cell r="T416">
            <v>133</v>
          </cell>
        </row>
        <row r="417">
          <cell r="A417" t="str">
            <v>GEOL-111</v>
          </cell>
          <cell r="G417">
            <v>6</v>
          </cell>
          <cell r="H417">
            <v>6</v>
          </cell>
          <cell r="I417">
            <v>10</v>
          </cell>
          <cell r="J417">
            <v>9</v>
          </cell>
          <cell r="K417">
            <v>6</v>
          </cell>
          <cell r="T417">
            <v>37</v>
          </cell>
        </row>
        <row r="418">
          <cell r="A418" t="str">
            <v>GER-149</v>
          </cell>
          <cell r="C418">
            <v>1</v>
          </cell>
          <cell r="T418">
            <v>1</v>
          </cell>
        </row>
        <row r="419">
          <cell r="A419" t="str">
            <v>GUID-050</v>
          </cell>
          <cell r="B419">
            <v>39</v>
          </cell>
          <cell r="C419">
            <v>32</v>
          </cell>
          <cell r="D419">
            <v>22</v>
          </cell>
          <cell r="E419">
            <v>32</v>
          </cell>
          <cell r="F419">
            <v>29</v>
          </cell>
          <cell r="G419">
            <v>18</v>
          </cell>
          <cell r="H419">
            <v>22</v>
          </cell>
          <cell r="I419">
            <v>22</v>
          </cell>
          <cell r="J419">
            <v>26</v>
          </cell>
          <cell r="K419">
            <v>23</v>
          </cell>
          <cell r="T419">
            <v>265</v>
          </cell>
        </row>
        <row r="420">
          <cell r="A420" t="str">
            <v>GUID-100</v>
          </cell>
          <cell r="B420">
            <v>42</v>
          </cell>
          <cell r="C420">
            <v>64</v>
          </cell>
          <cell r="D420">
            <v>47</v>
          </cell>
          <cell r="E420">
            <v>58</v>
          </cell>
          <cell r="F420">
            <v>62</v>
          </cell>
          <cell r="G420">
            <v>25</v>
          </cell>
          <cell r="H420">
            <v>54</v>
          </cell>
          <cell r="I420">
            <v>58</v>
          </cell>
          <cell r="J420">
            <v>47</v>
          </cell>
          <cell r="K420">
            <v>80</v>
          </cell>
          <cell r="L420" t="str">
            <v>18</v>
          </cell>
          <cell r="M420" t="str">
            <v>17</v>
          </cell>
          <cell r="N420" t="str">
            <v>14</v>
          </cell>
          <cell r="R420">
            <v>81</v>
          </cell>
          <cell r="S420">
            <v>72</v>
          </cell>
          <cell r="T420">
            <v>739</v>
          </cell>
        </row>
        <row r="421">
          <cell r="A421" t="str">
            <v>GUID-102</v>
          </cell>
          <cell r="L421" t="str">
            <v>12</v>
          </cell>
          <cell r="M421" t="str">
            <v>20</v>
          </cell>
          <cell r="N421" t="str">
            <v>10</v>
          </cell>
          <cell r="O421" t="str">
            <v>21</v>
          </cell>
          <cell r="T421">
            <v>63</v>
          </cell>
        </row>
        <row r="422">
          <cell r="A422" t="str">
            <v>GUID-110</v>
          </cell>
          <cell r="B422">
            <v>32</v>
          </cell>
          <cell r="D422">
            <v>48</v>
          </cell>
          <cell r="G422">
            <v>19</v>
          </cell>
          <cell r="H422">
            <v>42</v>
          </cell>
          <cell r="T422">
            <v>141</v>
          </cell>
        </row>
        <row r="423">
          <cell r="A423" t="str">
            <v>GUID-116</v>
          </cell>
          <cell r="B423">
            <v>97</v>
          </cell>
          <cell r="C423">
            <v>99</v>
          </cell>
          <cell r="D423">
            <v>76</v>
          </cell>
          <cell r="E423">
            <v>74</v>
          </cell>
          <cell r="F423">
            <v>81</v>
          </cell>
          <cell r="G423">
            <v>85</v>
          </cell>
          <cell r="H423">
            <v>70</v>
          </cell>
          <cell r="I423">
            <v>85</v>
          </cell>
          <cell r="J423">
            <v>79</v>
          </cell>
          <cell r="K423">
            <v>71</v>
          </cell>
          <cell r="L423" t="str">
            <v>10</v>
          </cell>
          <cell r="M423" t="str">
            <v>13</v>
          </cell>
          <cell r="R423">
            <v>78</v>
          </cell>
          <cell r="S423">
            <v>99</v>
          </cell>
          <cell r="T423">
            <v>1017</v>
          </cell>
        </row>
        <row r="424">
          <cell r="A424" t="str">
            <v>GUID-120</v>
          </cell>
          <cell r="B424">
            <v>23</v>
          </cell>
          <cell r="C424">
            <v>26</v>
          </cell>
          <cell r="D424">
            <v>49</v>
          </cell>
          <cell r="E424">
            <v>20</v>
          </cell>
          <cell r="G424">
            <v>16</v>
          </cell>
          <cell r="H424">
            <v>23</v>
          </cell>
          <cell r="I424">
            <v>44</v>
          </cell>
          <cell r="J424">
            <v>23</v>
          </cell>
          <cell r="K424">
            <v>25</v>
          </cell>
          <cell r="T424">
            <v>249</v>
          </cell>
        </row>
        <row r="425">
          <cell r="A425" t="str">
            <v>GUID-151E</v>
          </cell>
          <cell r="D425">
            <v>11</v>
          </cell>
          <cell r="T425">
            <v>11</v>
          </cell>
        </row>
        <row r="426">
          <cell r="A426" t="str">
            <v>GUID-155E</v>
          </cell>
          <cell r="R426">
            <v>15</v>
          </cell>
          <cell r="S426">
            <v>15</v>
          </cell>
          <cell r="T426">
            <v>30</v>
          </cell>
        </row>
        <row r="427">
          <cell r="A427" t="str">
            <v>GUID-299</v>
          </cell>
          <cell r="C427">
            <v>1</v>
          </cell>
          <cell r="D427">
            <v>4</v>
          </cell>
          <cell r="T427">
            <v>5</v>
          </cell>
        </row>
        <row r="428">
          <cell r="A428" t="str">
            <v>HEP-200</v>
          </cell>
          <cell r="B428">
            <v>8</v>
          </cell>
          <cell r="C428">
            <v>19</v>
          </cell>
          <cell r="D428">
            <v>22</v>
          </cell>
          <cell r="E428">
            <v>19</v>
          </cell>
          <cell r="F428">
            <v>17</v>
          </cell>
          <cell r="G428">
            <v>15</v>
          </cell>
          <cell r="H428">
            <v>15</v>
          </cell>
          <cell r="I428">
            <v>14</v>
          </cell>
          <cell r="J428">
            <v>30</v>
          </cell>
          <cell r="K428">
            <v>30</v>
          </cell>
          <cell r="R428">
            <v>15</v>
          </cell>
          <cell r="S428">
            <v>15</v>
          </cell>
          <cell r="T428">
            <v>219</v>
          </cell>
        </row>
        <row r="429">
          <cell r="A429" t="str">
            <v>HIST-101</v>
          </cell>
          <cell r="B429">
            <v>77</v>
          </cell>
          <cell r="C429">
            <v>33</v>
          </cell>
          <cell r="D429">
            <v>41</v>
          </cell>
          <cell r="G429">
            <v>27</v>
          </cell>
          <cell r="R429">
            <v>83</v>
          </cell>
          <cell r="S429">
            <v>33</v>
          </cell>
          <cell r="T429">
            <v>294</v>
          </cell>
        </row>
        <row r="430">
          <cell r="A430" t="str">
            <v>HIST-102</v>
          </cell>
          <cell r="G430">
            <v>37</v>
          </cell>
          <cell r="H430">
            <v>39</v>
          </cell>
          <cell r="I430">
            <v>40</v>
          </cell>
          <cell r="S430">
            <v>73</v>
          </cell>
          <cell r="T430">
            <v>189</v>
          </cell>
        </row>
        <row r="431">
          <cell r="A431" t="str">
            <v>HIST-103</v>
          </cell>
          <cell r="B431">
            <v>134</v>
          </cell>
          <cell r="C431">
            <v>150</v>
          </cell>
          <cell r="D431">
            <v>172</v>
          </cell>
          <cell r="E431">
            <v>157</v>
          </cell>
          <cell r="F431">
            <v>162</v>
          </cell>
          <cell r="G431">
            <v>74</v>
          </cell>
          <cell r="H431">
            <v>141</v>
          </cell>
          <cell r="I431">
            <v>109</v>
          </cell>
          <cell r="J431">
            <v>116</v>
          </cell>
          <cell r="K431">
            <v>83</v>
          </cell>
          <cell r="L431" t="str">
            <v>19</v>
          </cell>
          <cell r="M431" t="str">
            <v>24</v>
          </cell>
          <cell r="R431">
            <v>140</v>
          </cell>
          <cell r="S431">
            <v>74</v>
          </cell>
          <cell r="T431">
            <v>1555</v>
          </cell>
        </row>
        <row r="432">
          <cell r="A432" t="str">
            <v>HIST-103H</v>
          </cell>
          <cell r="B432">
            <v>3</v>
          </cell>
          <cell r="C432">
            <v>6</v>
          </cell>
          <cell r="D432">
            <v>1</v>
          </cell>
          <cell r="E432">
            <v>4</v>
          </cell>
          <cell r="F432">
            <v>3</v>
          </cell>
          <cell r="I432">
            <v>2</v>
          </cell>
          <cell r="R432">
            <v>3</v>
          </cell>
          <cell r="S432">
            <v>4</v>
          </cell>
          <cell r="T432">
            <v>26</v>
          </cell>
        </row>
        <row r="433">
          <cell r="A433" t="str">
            <v>HIST-104</v>
          </cell>
          <cell r="B433">
            <v>79</v>
          </cell>
          <cell r="C433">
            <v>123</v>
          </cell>
          <cell r="D433">
            <v>174</v>
          </cell>
          <cell r="E433">
            <v>81</v>
          </cell>
          <cell r="F433">
            <v>75</v>
          </cell>
          <cell r="G433">
            <v>141</v>
          </cell>
          <cell r="H433">
            <v>78</v>
          </cell>
          <cell r="I433">
            <v>108</v>
          </cell>
          <cell r="J433">
            <v>153</v>
          </cell>
          <cell r="K433">
            <v>152</v>
          </cell>
          <cell r="L433" t="str">
            <v>41</v>
          </cell>
          <cell r="M433" t="str">
            <v>19</v>
          </cell>
          <cell r="N433" t="str">
            <v>34</v>
          </cell>
          <cell r="O433" t="str">
            <v>46</v>
          </cell>
          <cell r="R433">
            <v>31</v>
          </cell>
          <cell r="S433">
            <v>108</v>
          </cell>
          <cell r="T433">
            <v>1443</v>
          </cell>
        </row>
        <row r="434">
          <cell r="A434" t="str">
            <v>HIST-104H</v>
          </cell>
          <cell r="E434">
            <v>3</v>
          </cell>
          <cell r="F434">
            <v>2</v>
          </cell>
          <cell r="G434">
            <v>1</v>
          </cell>
          <cell r="H434">
            <v>5</v>
          </cell>
          <cell r="I434">
            <v>6</v>
          </cell>
          <cell r="J434">
            <v>4</v>
          </cell>
          <cell r="K434">
            <v>1</v>
          </cell>
          <cell r="R434">
            <v>2</v>
          </cell>
          <cell r="S434">
            <v>1</v>
          </cell>
          <cell r="T434">
            <v>25</v>
          </cell>
        </row>
        <row r="435">
          <cell r="A435" t="str">
            <v>HIST-106</v>
          </cell>
          <cell r="B435">
            <v>38</v>
          </cell>
          <cell r="C435">
            <v>36</v>
          </cell>
          <cell r="D435">
            <v>23</v>
          </cell>
          <cell r="G435">
            <v>31</v>
          </cell>
          <cell r="H435">
            <v>23</v>
          </cell>
          <cell r="I435">
            <v>27</v>
          </cell>
          <cell r="K435">
            <v>39</v>
          </cell>
          <cell r="R435">
            <v>27</v>
          </cell>
          <cell r="T435">
            <v>244</v>
          </cell>
        </row>
        <row r="436">
          <cell r="A436" t="str">
            <v>HIST-106H</v>
          </cell>
          <cell r="B436">
            <v>1</v>
          </cell>
          <cell r="G436">
            <v>1</v>
          </cell>
          <cell r="T436">
            <v>2</v>
          </cell>
        </row>
        <row r="437">
          <cell r="A437" t="str">
            <v>HIST-107</v>
          </cell>
          <cell r="B437">
            <v>39</v>
          </cell>
          <cell r="T437">
            <v>39</v>
          </cell>
        </row>
        <row r="438">
          <cell r="A438" t="str">
            <v>HIST-108</v>
          </cell>
          <cell r="G438">
            <v>47</v>
          </cell>
          <cell r="T438">
            <v>47</v>
          </cell>
        </row>
        <row r="439">
          <cell r="A439" t="str">
            <v>HIST-109</v>
          </cell>
          <cell r="C439">
            <v>41</v>
          </cell>
          <cell r="H439">
            <v>27</v>
          </cell>
          <cell r="I439">
            <v>37</v>
          </cell>
          <cell r="J439">
            <v>34</v>
          </cell>
          <cell r="K439">
            <v>24</v>
          </cell>
          <cell r="S439">
            <v>25</v>
          </cell>
          <cell r="T439">
            <v>188</v>
          </cell>
        </row>
        <row r="440">
          <cell r="A440" t="str">
            <v>HIST-109H</v>
          </cell>
          <cell r="C440">
            <v>3</v>
          </cell>
          <cell r="I440">
            <v>3</v>
          </cell>
          <cell r="J440">
            <v>3</v>
          </cell>
          <cell r="K440">
            <v>4</v>
          </cell>
          <cell r="T440">
            <v>13</v>
          </cell>
        </row>
        <row r="441">
          <cell r="A441" t="str">
            <v>HIST-111</v>
          </cell>
          <cell r="B441">
            <v>177</v>
          </cell>
          <cell r="C441">
            <v>207</v>
          </cell>
          <cell r="D441">
            <v>232</v>
          </cell>
          <cell r="E441">
            <v>133</v>
          </cell>
          <cell r="F441">
            <v>277</v>
          </cell>
          <cell r="G441">
            <v>105</v>
          </cell>
          <cell r="H441">
            <v>132</v>
          </cell>
          <cell r="I441">
            <v>147</v>
          </cell>
          <cell r="J441">
            <v>142</v>
          </cell>
          <cell r="K441">
            <v>114</v>
          </cell>
          <cell r="L441" t="str">
            <v>26</v>
          </cell>
          <cell r="M441" t="str">
            <v>52</v>
          </cell>
          <cell r="N441" t="str">
            <v>53</v>
          </cell>
          <cell r="Q441" t="str">
            <v>39</v>
          </cell>
          <cell r="R441">
            <v>136</v>
          </cell>
          <cell r="S441">
            <v>124</v>
          </cell>
          <cell r="T441">
            <v>2096</v>
          </cell>
        </row>
        <row r="442">
          <cell r="A442" t="str">
            <v>HIST-111H</v>
          </cell>
          <cell r="B442">
            <v>6</v>
          </cell>
          <cell r="C442">
            <v>4</v>
          </cell>
          <cell r="D442">
            <v>3</v>
          </cell>
          <cell r="E442">
            <v>3</v>
          </cell>
          <cell r="F442">
            <v>7</v>
          </cell>
          <cell r="H442">
            <v>2</v>
          </cell>
          <cell r="I442">
            <v>5</v>
          </cell>
          <cell r="K442">
            <v>2</v>
          </cell>
          <cell r="R442">
            <v>7</v>
          </cell>
          <cell r="S442">
            <v>3</v>
          </cell>
          <cell r="T442">
            <v>42</v>
          </cell>
        </row>
        <row r="443">
          <cell r="A443" t="str">
            <v>HIST-112</v>
          </cell>
          <cell r="B443">
            <v>212</v>
          </cell>
          <cell r="C443">
            <v>131</v>
          </cell>
          <cell r="D443">
            <v>164</v>
          </cell>
          <cell r="E443">
            <v>113</v>
          </cell>
          <cell r="F443">
            <v>111</v>
          </cell>
          <cell r="G443">
            <v>213</v>
          </cell>
          <cell r="H443">
            <v>220</v>
          </cell>
          <cell r="I443">
            <v>243</v>
          </cell>
          <cell r="J443">
            <v>190</v>
          </cell>
          <cell r="K443">
            <v>229</v>
          </cell>
          <cell r="L443" t="str">
            <v>25</v>
          </cell>
          <cell r="M443" t="str">
            <v>50</v>
          </cell>
          <cell r="O443" t="str">
            <v>43</v>
          </cell>
          <cell r="R443">
            <v>105</v>
          </cell>
          <cell r="S443">
            <v>179</v>
          </cell>
          <cell r="T443">
            <v>2228</v>
          </cell>
        </row>
        <row r="444">
          <cell r="A444" t="str">
            <v>HIST-112H</v>
          </cell>
          <cell r="B444">
            <v>1</v>
          </cell>
          <cell r="C444">
            <v>3</v>
          </cell>
          <cell r="D444">
            <v>1</v>
          </cell>
          <cell r="E444">
            <v>1</v>
          </cell>
          <cell r="G444">
            <v>8</v>
          </cell>
          <cell r="H444">
            <v>2</v>
          </cell>
          <cell r="I444">
            <v>7</v>
          </cell>
          <cell r="J444">
            <v>3</v>
          </cell>
          <cell r="K444">
            <v>5</v>
          </cell>
          <cell r="M444" t="str">
            <v>2</v>
          </cell>
          <cell r="T444">
            <v>33</v>
          </cell>
        </row>
        <row r="445">
          <cell r="A445" t="str">
            <v>HIST-113</v>
          </cell>
          <cell r="B445">
            <v>12</v>
          </cell>
          <cell r="D445">
            <v>25</v>
          </cell>
          <cell r="E445">
            <v>18</v>
          </cell>
          <cell r="G445">
            <v>7</v>
          </cell>
          <cell r="H445">
            <v>9</v>
          </cell>
          <cell r="I445">
            <v>12</v>
          </cell>
          <cell r="J445">
            <v>24</v>
          </cell>
          <cell r="M445" t="str">
            <v>1</v>
          </cell>
          <cell r="T445">
            <v>108</v>
          </cell>
        </row>
        <row r="446">
          <cell r="A446" t="str">
            <v>HIST-114</v>
          </cell>
          <cell r="B446">
            <v>16</v>
          </cell>
          <cell r="D446">
            <v>33</v>
          </cell>
          <cell r="E446">
            <v>46</v>
          </cell>
          <cell r="G446">
            <v>10</v>
          </cell>
          <cell r="H446">
            <v>22</v>
          </cell>
          <cell r="I446">
            <v>47</v>
          </cell>
          <cell r="J446">
            <v>41</v>
          </cell>
          <cell r="L446" t="str">
            <v>1</v>
          </cell>
          <cell r="M446" t="str">
            <v>5</v>
          </cell>
          <cell r="T446">
            <v>221</v>
          </cell>
        </row>
        <row r="447">
          <cell r="A447" t="str">
            <v>HIST-115</v>
          </cell>
          <cell r="B447">
            <v>31</v>
          </cell>
          <cell r="C447">
            <v>46</v>
          </cell>
          <cell r="D447">
            <v>31</v>
          </cell>
          <cell r="E447">
            <v>26</v>
          </cell>
          <cell r="F447">
            <v>30</v>
          </cell>
          <cell r="G447">
            <v>16</v>
          </cell>
          <cell r="H447">
            <v>50</v>
          </cell>
          <cell r="I447">
            <v>31</v>
          </cell>
          <cell r="J447">
            <v>29</v>
          </cell>
          <cell r="K447">
            <v>30</v>
          </cell>
          <cell r="R447">
            <v>33</v>
          </cell>
          <cell r="T447">
            <v>353</v>
          </cell>
        </row>
        <row r="448">
          <cell r="A448" t="str">
            <v>HIST-119</v>
          </cell>
          <cell r="C448">
            <v>24</v>
          </cell>
          <cell r="D448">
            <v>44</v>
          </cell>
          <cell r="E448">
            <v>45</v>
          </cell>
          <cell r="G448">
            <v>7</v>
          </cell>
          <cell r="H448">
            <v>8</v>
          </cell>
          <cell r="T448">
            <v>128</v>
          </cell>
        </row>
        <row r="449">
          <cell r="A449" t="str">
            <v>HIST-119H</v>
          </cell>
          <cell r="E449">
            <v>2</v>
          </cell>
          <cell r="T449">
            <v>2</v>
          </cell>
        </row>
        <row r="450">
          <cell r="A450" t="str">
            <v>HIST-120</v>
          </cell>
          <cell r="D450">
            <v>34</v>
          </cell>
          <cell r="E450">
            <v>34</v>
          </cell>
          <cell r="T450">
            <v>68</v>
          </cell>
        </row>
        <row r="451">
          <cell r="A451" t="str">
            <v>HIST-121</v>
          </cell>
          <cell r="B451">
            <v>30</v>
          </cell>
          <cell r="C451">
            <v>36</v>
          </cell>
          <cell r="D451">
            <v>41</v>
          </cell>
          <cell r="E451">
            <v>25</v>
          </cell>
          <cell r="F451">
            <v>27</v>
          </cell>
          <cell r="G451">
            <v>28</v>
          </cell>
          <cell r="H451">
            <v>33</v>
          </cell>
          <cell r="I451">
            <v>27</v>
          </cell>
          <cell r="J451">
            <v>26</v>
          </cell>
          <cell r="K451">
            <v>29</v>
          </cell>
          <cell r="M451" t="str">
            <v>5</v>
          </cell>
          <cell r="R451">
            <v>34</v>
          </cell>
          <cell r="S451">
            <v>23</v>
          </cell>
          <cell r="T451">
            <v>364</v>
          </cell>
        </row>
        <row r="452">
          <cell r="A452" t="str">
            <v>HIST-124</v>
          </cell>
          <cell r="C452">
            <v>36</v>
          </cell>
          <cell r="D452">
            <v>37</v>
          </cell>
          <cell r="G452">
            <v>36</v>
          </cell>
          <cell r="H452">
            <v>35</v>
          </cell>
          <cell r="I452">
            <v>32</v>
          </cell>
          <cell r="K452">
            <v>37</v>
          </cell>
          <cell r="T452">
            <v>213</v>
          </cell>
        </row>
        <row r="453">
          <cell r="A453" t="str">
            <v>HIST-125</v>
          </cell>
          <cell r="B453">
            <v>36</v>
          </cell>
          <cell r="C453">
            <v>39</v>
          </cell>
          <cell r="H453">
            <v>31</v>
          </cell>
          <cell r="I453">
            <v>49</v>
          </cell>
          <cell r="T453">
            <v>155</v>
          </cell>
        </row>
        <row r="454">
          <cell r="A454" t="str">
            <v>HIST-136</v>
          </cell>
          <cell r="B454">
            <v>17</v>
          </cell>
          <cell r="C454">
            <v>20</v>
          </cell>
          <cell r="D454">
            <v>18</v>
          </cell>
          <cell r="E454">
            <v>19</v>
          </cell>
          <cell r="F454">
            <v>17</v>
          </cell>
          <cell r="R454">
            <v>10</v>
          </cell>
          <cell r="T454">
            <v>101</v>
          </cell>
        </row>
        <row r="455">
          <cell r="A455" t="str">
            <v>HIST-140</v>
          </cell>
          <cell r="H455">
            <v>15</v>
          </cell>
          <cell r="I455">
            <v>37</v>
          </cell>
          <cell r="T455">
            <v>52</v>
          </cell>
        </row>
        <row r="456">
          <cell r="A456" t="str">
            <v>HIST-141</v>
          </cell>
          <cell r="E456">
            <v>45</v>
          </cell>
          <cell r="T456">
            <v>45</v>
          </cell>
        </row>
        <row r="457">
          <cell r="A457" t="str">
            <v>HIST-142</v>
          </cell>
          <cell r="J457">
            <v>38</v>
          </cell>
          <cell r="T457">
            <v>38</v>
          </cell>
        </row>
        <row r="458">
          <cell r="A458" t="str">
            <v>HIST-151</v>
          </cell>
          <cell r="B458">
            <v>3</v>
          </cell>
          <cell r="C458">
            <v>7</v>
          </cell>
          <cell r="D458">
            <v>9</v>
          </cell>
          <cell r="E458">
            <v>4</v>
          </cell>
          <cell r="F458">
            <v>7</v>
          </cell>
          <cell r="G458">
            <v>5</v>
          </cell>
          <cell r="H458">
            <v>12</v>
          </cell>
          <cell r="I458">
            <v>7</v>
          </cell>
          <cell r="J458">
            <v>7</v>
          </cell>
          <cell r="K458">
            <v>8</v>
          </cell>
          <cell r="R458">
            <v>5</v>
          </cell>
          <cell r="S458">
            <v>3</v>
          </cell>
          <cell r="T458">
            <v>77</v>
          </cell>
        </row>
        <row r="459">
          <cell r="A459" t="str">
            <v>HIST-154</v>
          </cell>
          <cell r="D459">
            <v>7</v>
          </cell>
          <cell r="G459">
            <v>2</v>
          </cell>
          <cell r="H459">
            <v>1</v>
          </cell>
          <cell r="I459">
            <v>5</v>
          </cell>
          <cell r="J459">
            <v>14</v>
          </cell>
          <cell r="K459">
            <v>10</v>
          </cell>
          <cell r="T459">
            <v>39</v>
          </cell>
        </row>
        <row r="460">
          <cell r="A460" t="str">
            <v>HIST-158</v>
          </cell>
          <cell r="B460">
            <v>8</v>
          </cell>
          <cell r="C460">
            <v>20</v>
          </cell>
          <cell r="D460">
            <v>15</v>
          </cell>
          <cell r="E460">
            <v>17</v>
          </cell>
          <cell r="G460">
            <v>4</v>
          </cell>
          <cell r="H460">
            <v>7</v>
          </cell>
          <cell r="I460">
            <v>15</v>
          </cell>
          <cell r="J460">
            <v>6</v>
          </cell>
          <cell r="L460" t="str">
            <v>4</v>
          </cell>
          <cell r="T460">
            <v>96</v>
          </cell>
        </row>
        <row r="461">
          <cell r="A461" t="str">
            <v>HIST-161</v>
          </cell>
          <cell r="E461">
            <v>42</v>
          </cell>
          <cell r="T461">
            <v>42</v>
          </cell>
        </row>
        <row r="462">
          <cell r="A462" t="str">
            <v>HIST-162</v>
          </cell>
          <cell r="J462">
            <v>42</v>
          </cell>
          <cell r="K462">
            <v>43</v>
          </cell>
          <cell r="T462">
            <v>85</v>
          </cell>
        </row>
        <row r="463">
          <cell r="A463" t="str">
            <v>HIST-299</v>
          </cell>
          <cell r="B463">
            <v>1</v>
          </cell>
          <cell r="D463">
            <v>2</v>
          </cell>
          <cell r="E463">
            <v>1</v>
          </cell>
          <cell r="K463">
            <v>1</v>
          </cell>
          <cell r="T463">
            <v>5</v>
          </cell>
        </row>
        <row r="464">
          <cell r="A464" t="str">
            <v>HORT-101</v>
          </cell>
          <cell r="C464">
            <v>17</v>
          </cell>
          <cell r="I464">
            <v>44</v>
          </cell>
          <cell r="J464">
            <v>27</v>
          </cell>
          <cell r="K464">
            <v>30</v>
          </cell>
          <cell r="T464">
            <v>118</v>
          </cell>
        </row>
        <row r="465">
          <cell r="A465" t="str">
            <v>HORT-102</v>
          </cell>
          <cell r="F465">
            <v>34</v>
          </cell>
          <cell r="H465">
            <v>21</v>
          </cell>
          <cell r="I465">
            <v>29</v>
          </cell>
          <cell r="T465">
            <v>84</v>
          </cell>
        </row>
        <row r="466">
          <cell r="A466" t="str">
            <v>HORT-103</v>
          </cell>
          <cell r="B466">
            <v>1</v>
          </cell>
          <cell r="C466">
            <v>14</v>
          </cell>
          <cell r="E466">
            <v>19</v>
          </cell>
          <cell r="S466">
            <v>16</v>
          </cell>
          <cell r="T466">
            <v>50</v>
          </cell>
        </row>
        <row r="467">
          <cell r="A467" t="str">
            <v>HORT-104</v>
          </cell>
          <cell r="B467">
            <v>20</v>
          </cell>
          <cell r="D467">
            <v>39</v>
          </cell>
          <cell r="J467">
            <v>35</v>
          </cell>
          <cell r="K467">
            <v>31</v>
          </cell>
          <cell r="T467">
            <v>125</v>
          </cell>
        </row>
        <row r="468">
          <cell r="A468" t="str">
            <v>HORT-105</v>
          </cell>
          <cell r="G468">
            <v>19</v>
          </cell>
          <cell r="H468">
            <v>22</v>
          </cell>
          <cell r="J468">
            <v>38</v>
          </cell>
          <cell r="K468">
            <v>31</v>
          </cell>
          <cell r="T468">
            <v>110</v>
          </cell>
        </row>
        <row r="469">
          <cell r="A469" t="str">
            <v>HORT-106</v>
          </cell>
          <cell r="C469">
            <v>24</v>
          </cell>
          <cell r="D469">
            <v>30</v>
          </cell>
          <cell r="R469">
            <v>30</v>
          </cell>
          <cell r="T469">
            <v>84</v>
          </cell>
        </row>
        <row r="470">
          <cell r="A470" t="str">
            <v>HORT-107</v>
          </cell>
          <cell r="D470">
            <v>19</v>
          </cell>
          <cell r="S470">
            <v>28</v>
          </cell>
          <cell r="T470">
            <v>47</v>
          </cell>
        </row>
        <row r="471">
          <cell r="A471" t="str">
            <v>HORT-109</v>
          </cell>
          <cell r="F471">
            <v>40</v>
          </cell>
          <cell r="T471">
            <v>40</v>
          </cell>
        </row>
        <row r="472">
          <cell r="A472" t="str">
            <v>HORT-110</v>
          </cell>
          <cell r="E472">
            <v>33</v>
          </cell>
          <cell r="R472">
            <v>33</v>
          </cell>
          <cell r="T472">
            <v>66</v>
          </cell>
        </row>
        <row r="473">
          <cell r="A473" t="str">
            <v>HORT-149</v>
          </cell>
          <cell r="C473">
            <v>1</v>
          </cell>
          <cell r="T473">
            <v>1</v>
          </cell>
        </row>
        <row r="474">
          <cell r="A474" t="str">
            <v>HORT-299</v>
          </cell>
          <cell r="B474">
            <v>1</v>
          </cell>
          <cell r="T474">
            <v>1</v>
          </cell>
        </row>
        <row r="475">
          <cell r="A475" t="str">
            <v>HS-121</v>
          </cell>
          <cell r="B475">
            <v>208</v>
          </cell>
          <cell r="C475">
            <v>128</v>
          </cell>
          <cell r="D475">
            <v>134</v>
          </cell>
          <cell r="E475">
            <v>111</v>
          </cell>
          <cell r="F475">
            <v>95</v>
          </cell>
          <cell r="G475">
            <v>181</v>
          </cell>
          <cell r="H475">
            <v>136</v>
          </cell>
          <cell r="I475">
            <v>98</v>
          </cell>
          <cell r="J475">
            <v>112</v>
          </cell>
          <cell r="K475">
            <v>112</v>
          </cell>
          <cell r="L475" t="str">
            <v>18</v>
          </cell>
          <cell r="M475" t="str">
            <v>31</v>
          </cell>
          <cell r="R475">
            <v>92</v>
          </cell>
          <cell r="S475">
            <v>101</v>
          </cell>
          <cell r="T475">
            <v>1557</v>
          </cell>
        </row>
        <row r="476">
          <cell r="A476" t="str">
            <v>HS-123</v>
          </cell>
          <cell r="B476">
            <v>62</v>
          </cell>
          <cell r="C476">
            <v>33</v>
          </cell>
          <cell r="D476">
            <v>115</v>
          </cell>
          <cell r="F476">
            <v>37</v>
          </cell>
          <cell r="G476">
            <v>17</v>
          </cell>
          <cell r="H476">
            <v>36</v>
          </cell>
          <cell r="I476">
            <v>23</v>
          </cell>
          <cell r="L476" t="str">
            <v>6</v>
          </cell>
          <cell r="R476">
            <v>30</v>
          </cell>
          <cell r="S476">
            <v>23</v>
          </cell>
          <cell r="T476">
            <v>382</v>
          </cell>
        </row>
        <row r="477">
          <cell r="A477" t="str">
            <v>HUM-101</v>
          </cell>
          <cell r="B477">
            <v>29</v>
          </cell>
          <cell r="C477">
            <v>27</v>
          </cell>
          <cell r="D477">
            <v>22</v>
          </cell>
          <cell r="E477">
            <v>36</v>
          </cell>
          <cell r="F477">
            <v>29</v>
          </cell>
          <cell r="R477">
            <v>33</v>
          </cell>
          <cell r="T477">
            <v>176</v>
          </cell>
        </row>
        <row r="478">
          <cell r="A478" t="str">
            <v>HUM-101H</v>
          </cell>
          <cell r="B478">
            <v>2</v>
          </cell>
          <cell r="D478">
            <v>4</v>
          </cell>
          <cell r="E478">
            <v>2</v>
          </cell>
          <cell r="F478">
            <v>4</v>
          </cell>
          <cell r="T478">
            <v>12</v>
          </cell>
        </row>
        <row r="479">
          <cell r="A479" t="str">
            <v>HUM-102</v>
          </cell>
          <cell r="G479">
            <v>30</v>
          </cell>
          <cell r="H479">
            <v>25</v>
          </cell>
          <cell r="I479">
            <v>26</v>
          </cell>
          <cell r="J479">
            <v>23</v>
          </cell>
          <cell r="T479">
            <v>104</v>
          </cell>
        </row>
        <row r="480">
          <cell r="A480" t="str">
            <v>HUM-102H</v>
          </cell>
          <cell r="G480">
            <v>5</v>
          </cell>
          <cell r="I480">
            <v>2</v>
          </cell>
          <cell r="J480">
            <v>6</v>
          </cell>
          <cell r="T480">
            <v>13</v>
          </cell>
        </row>
        <row r="481">
          <cell r="A481" t="str">
            <v>HUM-137</v>
          </cell>
          <cell r="G481">
            <v>7</v>
          </cell>
          <cell r="H481">
            <v>22</v>
          </cell>
          <cell r="I481">
            <v>17</v>
          </cell>
          <cell r="J481">
            <v>17</v>
          </cell>
          <cell r="K481">
            <v>21</v>
          </cell>
          <cell r="S481">
            <v>21</v>
          </cell>
          <cell r="T481">
            <v>105</v>
          </cell>
        </row>
        <row r="482">
          <cell r="A482" t="str">
            <v>LEAD-101</v>
          </cell>
          <cell r="F482">
            <v>24</v>
          </cell>
          <cell r="T482">
            <v>24</v>
          </cell>
        </row>
        <row r="483">
          <cell r="A483" t="str">
            <v>LEG-103</v>
          </cell>
          <cell r="I483">
            <v>42</v>
          </cell>
          <cell r="T483">
            <v>42</v>
          </cell>
        </row>
        <row r="484">
          <cell r="A484" t="str">
            <v>LEG-104</v>
          </cell>
          <cell r="F484">
            <v>39</v>
          </cell>
          <cell r="T484">
            <v>39</v>
          </cell>
        </row>
        <row r="485">
          <cell r="A485" t="str">
            <v>LEG-106</v>
          </cell>
          <cell r="B485">
            <v>12</v>
          </cell>
          <cell r="G485">
            <v>8</v>
          </cell>
          <cell r="T485">
            <v>20</v>
          </cell>
        </row>
        <row r="486">
          <cell r="A486" t="str">
            <v>LEG-120</v>
          </cell>
          <cell r="B486">
            <v>11</v>
          </cell>
          <cell r="G486">
            <v>10</v>
          </cell>
          <cell r="H486">
            <v>21</v>
          </cell>
          <cell r="T486">
            <v>42</v>
          </cell>
        </row>
        <row r="487">
          <cell r="A487" t="str">
            <v>LEG-130</v>
          </cell>
          <cell r="G487">
            <v>7</v>
          </cell>
          <cell r="T487">
            <v>7</v>
          </cell>
        </row>
        <row r="488">
          <cell r="A488" t="str">
            <v>LEG-140</v>
          </cell>
          <cell r="C488">
            <v>26</v>
          </cell>
          <cell r="D488">
            <v>27</v>
          </cell>
          <cell r="E488">
            <v>31</v>
          </cell>
          <cell r="R488">
            <v>34</v>
          </cell>
          <cell r="T488">
            <v>118</v>
          </cell>
        </row>
        <row r="489">
          <cell r="A489" t="str">
            <v>LEG-149</v>
          </cell>
          <cell r="B489">
            <v>3</v>
          </cell>
          <cell r="C489">
            <v>1</v>
          </cell>
          <cell r="F489">
            <v>1</v>
          </cell>
          <cell r="G489">
            <v>1</v>
          </cell>
          <cell r="H489">
            <v>7</v>
          </cell>
          <cell r="K489">
            <v>1</v>
          </cell>
          <cell r="T489">
            <v>14</v>
          </cell>
        </row>
        <row r="490">
          <cell r="A490" t="str">
            <v>LEG-150</v>
          </cell>
          <cell r="J490">
            <v>37</v>
          </cell>
          <cell r="K490">
            <v>42</v>
          </cell>
          <cell r="S490">
            <v>33</v>
          </cell>
          <cell r="T490">
            <v>112</v>
          </cell>
        </row>
        <row r="491">
          <cell r="A491" t="str">
            <v>LIB-100</v>
          </cell>
          <cell r="B491">
            <v>15</v>
          </cell>
          <cell r="T491">
            <v>15</v>
          </cell>
        </row>
        <row r="492">
          <cell r="A492" t="str">
            <v>LIB-101</v>
          </cell>
          <cell r="C492">
            <v>14</v>
          </cell>
          <cell r="D492">
            <v>21</v>
          </cell>
          <cell r="G492">
            <v>11</v>
          </cell>
          <cell r="H492">
            <v>11</v>
          </cell>
          <cell r="T492">
            <v>57</v>
          </cell>
        </row>
        <row r="493">
          <cell r="A493" t="str">
            <v>LNSK-051</v>
          </cell>
          <cell r="E493">
            <v>16</v>
          </cell>
          <cell r="F493">
            <v>27</v>
          </cell>
          <cell r="J493">
            <v>17</v>
          </cell>
          <cell r="K493">
            <v>18</v>
          </cell>
          <cell r="R493">
            <v>21</v>
          </cell>
          <cell r="S493">
            <v>14</v>
          </cell>
          <cell r="T493">
            <v>113</v>
          </cell>
        </row>
        <row r="494">
          <cell r="A494" t="str">
            <v>LNSK-053</v>
          </cell>
          <cell r="E494">
            <v>14</v>
          </cell>
          <cell r="F494">
            <v>12</v>
          </cell>
          <cell r="J494">
            <v>12</v>
          </cell>
          <cell r="K494">
            <v>14</v>
          </cell>
          <cell r="R494">
            <v>14</v>
          </cell>
          <cell r="S494">
            <v>14</v>
          </cell>
          <cell r="T494">
            <v>80</v>
          </cell>
        </row>
        <row r="495">
          <cell r="A495" t="str">
            <v>LNSK-054</v>
          </cell>
          <cell r="E495">
            <v>12</v>
          </cell>
          <cell r="F495">
            <v>10</v>
          </cell>
          <cell r="J495">
            <v>12</v>
          </cell>
          <cell r="K495">
            <v>8</v>
          </cell>
          <cell r="R495">
            <v>11</v>
          </cell>
          <cell r="S495">
            <v>12</v>
          </cell>
          <cell r="T495">
            <v>65</v>
          </cell>
        </row>
        <row r="496">
          <cell r="A496" t="str">
            <v>LNSK-055</v>
          </cell>
          <cell r="E496">
            <v>14</v>
          </cell>
          <cell r="F496">
            <v>14</v>
          </cell>
          <cell r="J496">
            <v>9</v>
          </cell>
          <cell r="K496">
            <v>11</v>
          </cell>
          <cell r="R496">
            <v>15</v>
          </cell>
          <cell r="S496">
            <v>15</v>
          </cell>
          <cell r="T496">
            <v>78</v>
          </cell>
        </row>
        <row r="497">
          <cell r="A497" t="str">
            <v>LNSK-057</v>
          </cell>
          <cell r="D497">
            <v>15</v>
          </cell>
          <cell r="E497">
            <v>13</v>
          </cell>
          <cell r="F497">
            <v>15</v>
          </cell>
          <cell r="I497">
            <v>15</v>
          </cell>
          <cell r="J497">
            <v>14</v>
          </cell>
          <cell r="K497">
            <v>12</v>
          </cell>
          <cell r="R497">
            <v>14</v>
          </cell>
          <cell r="S497">
            <v>12</v>
          </cell>
          <cell r="T497">
            <v>110</v>
          </cell>
        </row>
        <row r="498">
          <cell r="A498" t="str">
            <v>LNSK-071</v>
          </cell>
          <cell r="B498">
            <v>8</v>
          </cell>
          <cell r="C498">
            <v>12</v>
          </cell>
          <cell r="D498">
            <v>16</v>
          </cell>
          <cell r="G498">
            <v>15</v>
          </cell>
          <cell r="H498">
            <v>23</v>
          </cell>
          <cell r="I498">
            <v>20</v>
          </cell>
          <cell r="L498" t="str">
            <v>7</v>
          </cell>
          <cell r="T498">
            <v>101</v>
          </cell>
        </row>
        <row r="499">
          <cell r="A499" t="str">
            <v>LNSK-073</v>
          </cell>
          <cell r="B499">
            <v>15</v>
          </cell>
          <cell r="C499">
            <v>15</v>
          </cell>
          <cell r="D499">
            <v>16</v>
          </cell>
          <cell r="G499">
            <v>16</v>
          </cell>
          <cell r="H499">
            <v>12</v>
          </cell>
          <cell r="I499">
            <v>16</v>
          </cell>
          <cell r="T499">
            <v>90</v>
          </cell>
        </row>
        <row r="500">
          <cell r="A500" t="str">
            <v>LNSK-074</v>
          </cell>
          <cell r="B500">
            <v>9</v>
          </cell>
          <cell r="C500">
            <v>12</v>
          </cell>
          <cell r="D500">
            <v>13</v>
          </cell>
          <cell r="G500">
            <v>9</v>
          </cell>
          <cell r="H500">
            <v>9</v>
          </cell>
          <cell r="I500">
            <v>13</v>
          </cell>
          <cell r="M500" t="str">
            <v>10</v>
          </cell>
          <cell r="T500">
            <v>75</v>
          </cell>
        </row>
        <row r="501">
          <cell r="A501" t="str">
            <v>LNSK-075</v>
          </cell>
          <cell r="B501">
            <v>9</v>
          </cell>
          <cell r="C501">
            <v>15</v>
          </cell>
          <cell r="D501">
            <v>16</v>
          </cell>
          <cell r="G501">
            <v>10</v>
          </cell>
          <cell r="H501">
            <v>14</v>
          </cell>
          <cell r="I501">
            <v>16</v>
          </cell>
          <cell r="T501">
            <v>80</v>
          </cell>
        </row>
        <row r="502">
          <cell r="A502" t="str">
            <v>LNSK-077</v>
          </cell>
          <cell r="B502">
            <v>12</v>
          </cell>
          <cell r="C502">
            <v>15</v>
          </cell>
          <cell r="D502">
            <v>14</v>
          </cell>
          <cell r="E502">
            <v>15</v>
          </cell>
          <cell r="F502">
            <v>13</v>
          </cell>
          <cell r="G502">
            <v>15</v>
          </cell>
          <cell r="H502">
            <v>15</v>
          </cell>
          <cell r="I502">
            <v>15</v>
          </cell>
          <cell r="J502">
            <v>15</v>
          </cell>
          <cell r="K502">
            <v>13</v>
          </cell>
          <cell r="R502">
            <v>11</v>
          </cell>
          <cell r="S502">
            <v>15</v>
          </cell>
          <cell r="T502">
            <v>168</v>
          </cell>
        </row>
        <row r="503">
          <cell r="A503" t="str">
            <v>MATH-041</v>
          </cell>
          <cell r="D503">
            <v>3</v>
          </cell>
          <cell r="E503">
            <v>4</v>
          </cell>
          <cell r="F503">
            <v>1</v>
          </cell>
          <cell r="H503">
            <v>4</v>
          </cell>
          <cell r="I503">
            <v>1</v>
          </cell>
          <cell r="J503">
            <v>2</v>
          </cell>
          <cell r="T503">
            <v>15</v>
          </cell>
        </row>
        <row r="504">
          <cell r="A504" t="str">
            <v>MATH-042</v>
          </cell>
          <cell r="D504">
            <v>4</v>
          </cell>
          <cell r="E504">
            <v>2</v>
          </cell>
          <cell r="F504">
            <v>1</v>
          </cell>
          <cell r="H504">
            <v>7</v>
          </cell>
          <cell r="I504">
            <v>3</v>
          </cell>
          <cell r="J504">
            <v>5</v>
          </cell>
          <cell r="K504">
            <v>4</v>
          </cell>
          <cell r="T504">
            <v>26</v>
          </cell>
        </row>
        <row r="505">
          <cell r="A505" t="str">
            <v>MATH-050</v>
          </cell>
          <cell r="B505">
            <v>304</v>
          </cell>
          <cell r="C505">
            <v>282</v>
          </cell>
          <cell r="D505">
            <v>256</v>
          </cell>
          <cell r="E505">
            <v>166</v>
          </cell>
          <cell r="F505">
            <v>93</v>
          </cell>
          <cell r="G505">
            <v>241</v>
          </cell>
          <cell r="H505">
            <v>268</v>
          </cell>
          <cell r="I505">
            <v>238</v>
          </cell>
          <cell r="J505">
            <v>174</v>
          </cell>
          <cell r="K505">
            <v>104</v>
          </cell>
          <cell r="L505" t="str">
            <v>66</v>
          </cell>
          <cell r="M505" t="str">
            <v>91</v>
          </cell>
          <cell r="N505" t="str">
            <v>53</v>
          </cell>
          <cell r="R505">
            <v>86</v>
          </cell>
          <cell r="S505">
            <v>90</v>
          </cell>
          <cell r="T505">
            <v>2512</v>
          </cell>
        </row>
        <row r="506">
          <cell r="A506" t="str">
            <v>MATH-051</v>
          </cell>
          <cell r="B506">
            <v>318</v>
          </cell>
          <cell r="C506">
            <v>299</v>
          </cell>
          <cell r="D506">
            <v>302</v>
          </cell>
          <cell r="E506">
            <v>233</v>
          </cell>
          <cell r="F506">
            <v>237</v>
          </cell>
          <cell r="G506">
            <v>308</v>
          </cell>
          <cell r="H506">
            <v>308</v>
          </cell>
          <cell r="I506">
            <v>258</v>
          </cell>
          <cell r="J506">
            <v>237</v>
          </cell>
          <cell r="K506">
            <v>248</v>
          </cell>
          <cell r="L506" t="str">
            <v>69</v>
          </cell>
          <cell r="M506" t="str">
            <v>60</v>
          </cell>
          <cell r="N506" t="str">
            <v>49</v>
          </cell>
          <cell r="R506">
            <v>230</v>
          </cell>
          <cell r="S506">
            <v>225</v>
          </cell>
          <cell r="T506">
            <v>3381</v>
          </cell>
        </row>
        <row r="507">
          <cell r="A507" t="str">
            <v>MATH-090</v>
          </cell>
          <cell r="B507">
            <v>513</v>
          </cell>
          <cell r="C507">
            <v>525</v>
          </cell>
          <cell r="D507">
            <v>575</v>
          </cell>
          <cell r="E507">
            <v>407</v>
          </cell>
          <cell r="F507">
            <v>420</v>
          </cell>
          <cell r="G507">
            <v>471</v>
          </cell>
          <cell r="H507">
            <v>497</v>
          </cell>
          <cell r="I507">
            <v>447</v>
          </cell>
          <cell r="J507">
            <v>437</v>
          </cell>
          <cell r="K507">
            <v>531</v>
          </cell>
          <cell r="L507" t="str">
            <v>79</v>
          </cell>
          <cell r="M507" t="str">
            <v>94</v>
          </cell>
          <cell r="N507" t="str">
            <v>101</v>
          </cell>
          <cell r="O507" t="str">
            <v>74</v>
          </cell>
          <cell r="R507">
            <v>367</v>
          </cell>
          <cell r="S507">
            <v>474</v>
          </cell>
          <cell r="T507">
            <v>6012</v>
          </cell>
        </row>
        <row r="508">
          <cell r="A508" t="str">
            <v>MATH-096</v>
          </cell>
          <cell r="B508">
            <v>569</v>
          </cell>
          <cell r="C508">
            <v>602</v>
          </cell>
          <cell r="D508">
            <v>560</v>
          </cell>
          <cell r="E508">
            <v>417</v>
          </cell>
          <cell r="F508">
            <v>507</v>
          </cell>
          <cell r="G508">
            <v>598</v>
          </cell>
          <cell r="H508">
            <v>491</v>
          </cell>
          <cell r="I508">
            <v>435</v>
          </cell>
          <cell r="J508">
            <v>486</v>
          </cell>
          <cell r="K508">
            <v>620</v>
          </cell>
          <cell r="L508" t="str">
            <v>128</v>
          </cell>
          <cell r="M508" t="str">
            <v>136</v>
          </cell>
          <cell r="N508" t="str">
            <v>119</v>
          </cell>
          <cell r="O508" t="str">
            <v>69</v>
          </cell>
          <cell r="Q508" t="str">
            <v>43</v>
          </cell>
          <cell r="R508">
            <v>481</v>
          </cell>
          <cell r="S508">
            <v>592</v>
          </cell>
          <cell r="T508">
            <v>6853</v>
          </cell>
        </row>
        <row r="509">
          <cell r="A509" t="str">
            <v>MATH-102</v>
          </cell>
          <cell r="B509">
            <v>66</v>
          </cell>
          <cell r="C509">
            <v>27</v>
          </cell>
          <cell r="D509">
            <v>35</v>
          </cell>
          <cell r="E509">
            <v>36</v>
          </cell>
          <cell r="G509">
            <v>55</v>
          </cell>
          <cell r="H509">
            <v>37</v>
          </cell>
          <cell r="I509">
            <v>23</v>
          </cell>
          <cell r="J509">
            <v>36</v>
          </cell>
          <cell r="L509" t="str">
            <v>15</v>
          </cell>
          <cell r="M509" t="str">
            <v>16</v>
          </cell>
          <cell r="N509" t="str">
            <v>23</v>
          </cell>
          <cell r="T509">
            <v>369</v>
          </cell>
        </row>
        <row r="510">
          <cell r="A510" t="str">
            <v>MATH-105</v>
          </cell>
          <cell r="B510">
            <v>211</v>
          </cell>
          <cell r="C510">
            <v>238</v>
          </cell>
          <cell r="D510">
            <v>314</v>
          </cell>
          <cell r="E510">
            <v>354</v>
          </cell>
          <cell r="F510">
            <v>197</v>
          </cell>
          <cell r="G510">
            <v>234</v>
          </cell>
          <cell r="H510">
            <v>199</v>
          </cell>
          <cell r="I510">
            <v>168</v>
          </cell>
          <cell r="J510">
            <v>187</v>
          </cell>
          <cell r="K510">
            <v>224</v>
          </cell>
          <cell r="L510" t="str">
            <v>85</v>
          </cell>
          <cell r="M510" t="str">
            <v>84</v>
          </cell>
          <cell r="N510" t="str">
            <v>99</v>
          </cell>
          <cell r="O510" t="str">
            <v>27</v>
          </cell>
          <cell r="Q510" t="str">
            <v>68</v>
          </cell>
          <cell r="R510">
            <v>165</v>
          </cell>
          <cell r="S510">
            <v>242</v>
          </cell>
          <cell r="T510">
            <v>3096</v>
          </cell>
        </row>
        <row r="511">
          <cell r="A511" t="str">
            <v>MATH-105H</v>
          </cell>
          <cell r="G511">
            <v>4</v>
          </cell>
          <cell r="H511">
            <v>1</v>
          </cell>
          <cell r="I511">
            <v>3</v>
          </cell>
          <cell r="S511">
            <v>2</v>
          </cell>
          <cell r="T511">
            <v>10</v>
          </cell>
        </row>
        <row r="512">
          <cell r="A512" t="str">
            <v>MATH-110</v>
          </cell>
          <cell r="B512">
            <v>65</v>
          </cell>
          <cell r="C512">
            <v>74</v>
          </cell>
          <cell r="D512">
            <v>59</v>
          </cell>
          <cell r="E512">
            <v>52</v>
          </cell>
          <cell r="F512">
            <v>62</v>
          </cell>
          <cell r="G512">
            <v>56</v>
          </cell>
          <cell r="H512">
            <v>56</v>
          </cell>
          <cell r="I512">
            <v>156</v>
          </cell>
          <cell r="J512">
            <v>230</v>
          </cell>
          <cell r="K512">
            <v>50</v>
          </cell>
          <cell r="L512" t="str">
            <v>23</v>
          </cell>
          <cell r="M512" t="str">
            <v>38</v>
          </cell>
          <cell r="N512" t="str">
            <v>23</v>
          </cell>
          <cell r="R512">
            <v>42</v>
          </cell>
          <cell r="S512">
            <v>85</v>
          </cell>
          <cell r="T512">
            <v>1071</v>
          </cell>
        </row>
        <row r="513">
          <cell r="A513" t="str">
            <v>MATH-115</v>
          </cell>
          <cell r="C513">
            <v>23</v>
          </cell>
          <cell r="D513">
            <v>33</v>
          </cell>
          <cell r="E513">
            <v>35</v>
          </cell>
          <cell r="F513">
            <v>67</v>
          </cell>
          <cell r="H513">
            <v>42</v>
          </cell>
          <cell r="I513">
            <v>36</v>
          </cell>
          <cell r="J513">
            <v>36</v>
          </cell>
          <cell r="K513">
            <v>63</v>
          </cell>
          <cell r="R513">
            <v>52</v>
          </cell>
          <cell r="S513">
            <v>60</v>
          </cell>
          <cell r="T513">
            <v>447</v>
          </cell>
        </row>
        <row r="514">
          <cell r="A514" t="str">
            <v>MATH-135</v>
          </cell>
          <cell r="B514">
            <v>28</v>
          </cell>
          <cell r="C514">
            <v>22</v>
          </cell>
          <cell r="D514">
            <v>22</v>
          </cell>
          <cell r="E514">
            <v>22</v>
          </cell>
          <cell r="F514">
            <v>26</v>
          </cell>
          <cell r="G514">
            <v>25</v>
          </cell>
          <cell r="H514">
            <v>29</v>
          </cell>
          <cell r="I514">
            <v>33</v>
          </cell>
          <cell r="J514">
            <v>32</v>
          </cell>
          <cell r="K514">
            <v>38</v>
          </cell>
          <cell r="L514" t="str">
            <v>12</v>
          </cell>
          <cell r="M514" t="str">
            <v>12</v>
          </cell>
          <cell r="N514" t="str">
            <v>21</v>
          </cell>
          <cell r="R514">
            <v>21</v>
          </cell>
          <cell r="S514">
            <v>36</v>
          </cell>
          <cell r="T514">
            <v>379</v>
          </cell>
        </row>
        <row r="515">
          <cell r="A515" t="str">
            <v>MATH-140</v>
          </cell>
          <cell r="B515">
            <v>92</v>
          </cell>
          <cell r="C515">
            <v>50</v>
          </cell>
          <cell r="D515">
            <v>59</v>
          </cell>
          <cell r="E515">
            <v>57</v>
          </cell>
          <cell r="F515">
            <v>56</v>
          </cell>
          <cell r="G515">
            <v>111</v>
          </cell>
          <cell r="H515">
            <v>56</v>
          </cell>
          <cell r="I515">
            <v>64</v>
          </cell>
          <cell r="J515">
            <v>68</v>
          </cell>
          <cell r="K515">
            <v>74</v>
          </cell>
          <cell r="L515" t="str">
            <v>35</v>
          </cell>
          <cell r="M515" t="str">
            <v>38</v>
          </cell>
          <cell r="N515" t="str">
            <v>63</v>
          </cell>
          <cell r="R515">
            <v>31</v>
          </cell>
          <cell r="S515">
            <v>106</v>
          </cell>
          <cell r="T515">
            <v>960</v>
          </cell>
        </row>
        <row r="516">
          <cell r="A516" t="str">
            <v>MATH-140H</v>
          </cell>
          <cell r="B516">
            <v>1</v>
          </cell>
          <cell r="G516">
            <v>1</v>
          </cell>
          <cell r="H516">
            <v>1</v>
          </cell>
          <cell r="T516">
            <v>3</v>
          </cell>
        </row>
        <row r="517">
          <cell r="A517" t="str">
            <v>MATH-155</v>
          </cell>
          <cell r="B517">
            <v>18</v>
          </cell>
          <cell r="C517">
            <v>19</v>
          </cell>
          <cell r="D517">
            <v>21</v>
          </cell>
          <cell r="E517">
            <v>25</v>
          </cell>
          <cell r="T517">
            <v>83</v>
          </cell>
        </row>
        <row r="518">
          <cell r="A518" t="str">
            <v>MATH-156</v>
          </cell>
          <cell r="G518">
            <v>11</v>
          </cell>
          <cell r="H518">
            <v>15</v>
          </cell>
          <cell r="I518">
            <v>12</v>
          </cell>
          <cell r="J518">
            <v>11</v>
          </cell>
          <cell r="T518">
            <v>49</v>
          </cell>
        </row>
        <row r="519">
          <cell r="A519" t="str">
            <v>MATH-211</v>
          </cell>
          <cell r="B519">
            <v>44</v>
          </cell>
          <cell r="C519">
            <v>60</v>
          </cell>
          <cell r="D519">
            <v>64</v>
          </cell>
          <cell r="E519">
            <v>105</v>
          </cell>
          <cell r="F519">
            <v>35</v>
          </cell>
          <cell r="G519">
            <v>32</v>
          </cell>
          <cell r="H519">
            <v>49</v>
          </cell>
          <cell r="I519">
            <v>43</v>
          </cell>
          <cell r="J519">
            <v>47</v>
          </cell>
          <cell r="K519">
            <v>67</v>
          </cell>
          <cell r="L519" t="str">
            <v>8</v>
          </cell>
          <cell r="M519" t="str">
            <v>13</v>
          </cell>
          <cell r="R519">
            <v>38</v>
          </cell>
          <cell r="S519">
            <v>60</v>
          </cell>
          <cell r="T519">
            <v>665</v>
          </cell>
        </row>
        <row r="520">
          <cell r="A520" t="str">
            <v>MATH-212</v>
          </cell>
          <cell r="B520">
            <v>18</v>
          </cell>
          <cell r="C520">
            <v>27</v>
          </cell>
          <cell r="D520">
            <v>26</v>
          </cell>
          <cell r="E520">
            <v>58</v>
          </cell>
          <cell r="F520">
            <v>41</v>
          </cell>
          <cell r="G520">
            <v>33</v>
          </cell>
          <cell r="H520">
            <v>40</v>
          </cell>
          <cell r="I520">
            <v>44</v>
          </cell>
          <cell r="J520">
            <v>85</v>
          </cell>
          <cell r="K520">
            <v>33</v>
          </cell>
          <cell r="R520">
            <v>32</v>
          </cell>
          <cell r="S520">
            <v>27</v>
          </cell>
          <cell r="T520">
            <v>464</v>
          </cell>
        </row>
        <row r="521">
          <cell r="A521" t="str">
            <v>MATH-212H</v>
          </cell>
          <cell r="E521">
            <v>7</v>
          </cell>
          <cell r="F521">
            <v>5</v>
          </cell>
          <cell r="G521">
            <v>2</v>
          </cell>
          <cell r="H521">
            <v>4</v>
          </cell>
          <cell r="I521">
            <v>8</v>
          </cell>
          <cell r="J521">
            <v>9</v>
          </cell>
          <cell r="T521">
            <v>35</v>
          </cell>
        </row>
        <row r="522">
          <cell r="A522" t="str">
            <v>MATH-213</v>
          </cell>
          <cell r="B522">
            <v>6</v>
          </cell>
          <cell r="C522">
            <v>21</v>
          </cell>
          <cell r="D522">
            <v>19</v>
          </cell>
          <cell r="E522">
            <v>27</v>
          </cell>
          <cell r="F522">
            <v>19</v>
          </cell>
          <cell r="G522">
            <v>15</v>
          </cell>
          <cell r="H522">
            <v>10</v>
          </cell>
          <cell r="I522">
            <v>24</v>
          </cell>
          <cell r="J522">
            <v>25</v>
          </cell>
          <cell r="K522">
            <v>27</v>
          </cell>
          <cell r="R522">
            <v>17</v>
          </cell>
          <cell r="S522">
            <v>33</v>
          </cell>
          <cell r="T522">
            <v>243</v>
          </cell>
        </row>
        <row r="523">
          <cell r="A523" t="str">
            <v>MATH-213H</v>
          </cell>
          <cell r="D523">
            <v>4</v>
          </cell>
          <cell r="F523">
            <v>6</v>
          </cell>
          <cell r="G523">
            <v>1</v>
          </cell>
          <cell r="J523">
            <v>9</v>
          </cell>
          <cell r="K523">
            <v>2</v>
          </cell>
          <cell r="T523">
            <v>22</v>
          </cell>
        </row>
        <row r="524">
          <cell r="A524" t="str">
            <v>MATH-215</v>
          </cell>
          <cell r="G524">
            <v>9</v>
          </cell>
          <cell r="H524">
            <v>20</v>
          </cell>
          <cell r="I524">
            <v>43</v>
          </cell>
          <cell r="J524">
            <v>41</v>
          </cell>
          <cell r="K524">
            <v>41</v>
          </cell>
          <cell r="S524">
            <v>34</v>
          </cell>
          <cell r="T524">
            <v>188</v>
          </cell>
        </row>
        <row r="525">
          <cell r="A525" t="str">
            <v>MATH-218</v>
          </cell>
          <cell r="B525">
            <v>7</v>
          </cell>
          <cell r="C525">
            <v>11</v>
          </cell>
          <cell r="D525">
            <v>15</v>
          </cell>
          <cell r="E525">
            <v>33</v>
          </cell>
          <cell r="F525">
            <v>23</v>
          </cell>
          <cell r="R525">
            <v>30</v>
          </cell>
          <cell r="T525">
            <v>119</v>
          </cell>
        </row>
        <row r="526">
          <cell r="A526" t="str">
            <v>MATH-299</v>
          </cell>
          <cell r="F526">
            <v>1</v>
          </cell>
          <cell r="T526">
            <v>1</v>
          </cell>
        </row>
        <row r="527">
          <cell r="A527" t="str">
            <v>MGT-103</v>
          </cell>
          <cell r="B527">
            <v>46</v>
          </cell>
          <cell r="C527">
            <v>49</v>
          </cell>
          <cell r="D527">
            <v>34</v>
          </cell>
          <cell r="E527">
            <v>86</v>
          </cell>
          <cell r="F527">
            <v>55</v>
          </cell>
          <cell r="G527">
            <v>31</v>
          </cell>
          <cell r="H527">
            <v>64</v>
          </cell>
          <cell r="I527">
            <v>48</v>
          </cell>
          <cell r="J527">
            <v>71</v>
          </cell>
          <cell r="K527">
            <v>46</v>
          </cell>
          <cell r="R527">
            <v>53</v>
          </cell>
          <cell r="S527">
            <v>27</v>
          </cell>
          <cell r="T527">
            <v>610</v>
          </cell>
        </row>
        <row r="528">
          <cell r="A528" t="str">
            <v>MGT-103H</v>
          </cell>
          <cell r="E528">
            <v>1</v>
          </cell>
          <cell r="F528">
            <v>1</v>
          </cell>
          <cell r="I528">
            <v>2</v>
          </cell>
          <cell r="J528">
            <v>3</v>
          </cell>
          <cell r="R528">
            <v>1</v>
          </cell>
          <cell r="T528">
            <v>8</v>
          </cell>
        </row>
        <row r="529">
          <cell r="A529" t="str">
            <v>MGT-108</v>
          </cell>
          <cell r="K529">
            <v>11</v>
          </cell>
          <cell r="R529">
            <v>12</v>
          </cell>
          <cell r="S529">
            <v>12</v>
          </cell>
          <cell r="T529">
            <v>35</v>
          </cell>
        </row>
        <row r="530">
          <cell r="A530" t="str">
            <v>MGT-132</v>
          </cell>
          <cell r="H530">
            <v>12</v>
          </cell>
          <cell r="T530">
            <v>12</v>
          </cell>
        </row>
        <row r="531">
          <cell r="A531" t="str">
            <v>MGT-137</v>
          </cell>
          <cell r="C531">
            <v>19</v>
          </cell>
          <cell r="G531">
            <v>12</v>
          </cell>
          <cell r="I531">
            <v>22</v>
          </cell>
          <cell r="T531">
            <v>53</v>
          </cell>
        </row>
        <row r="532">
          <cell r="A532" t="str">
            <v>MGT-138</v>
          </cell>
          <cell r="C532">
            <v>10</v>
          </cell>
          <cell r="D532">
            <v>14</v>
          </cell>
          <cell r="T532">
            <v>24</v>
          </cell>
        </row>
        <row r="533">
          <cell r="A533" t="str">
            <v>MGT-205</v>
          </cell>
          <cell r="D533">
            <v>22</v>
          </cell>
          <cell r="E533">
            <v>27</v>
          </cell>
          <cell r="F533">
            <v>33</v>
          </cell>
          <cell r="K533">
            <v>16</v>
          </cell>
          <cell r="R533">
            <v>30</v>
          </cell>
          <cell r="T533">
            <v>128</v>
          </cell>
        </row>
        <row r="534">
          <cell r="A534" t="str">
            <v>MUL-080</v>
          </cell>
          <cell r="B534">
            <v>18</v>
          </cell>
          <cell r="C534">
            <v>26</v>
          </cell>
          <cell r="D534">
            <v>38</v>
          </cell>
          <cell r="E534">
            <v>20</v>
          </cell>
          <cell r="F534">
            <v>38</v>
          </cell>
          <cell r="G534">
            <v>21</v>
          </cell>
          <cell r="H534">
            <v>24</v>
          </cell>
          <cell r="I534">
            <v>16</v>
          </cell>
          <cell r="J534">
            <v>57</v>
          </cell>
          <cell r="K534">
            <v>20</v>
          </cell>
          <cell r="M534" t="str">
            <v>10</v>
          </cell>
          <cell r="R534">
            <v>9</v>
          </cell>
          <cell r="T534">
            <v>297</v>
          </cell>
        </row>
        <row r="535">
          <cell r="A535" t="str">
            <v>MUL-081</v>
          </cell>
          <cell r="B535">
            <v>13</v>
          </cell>
          <cell r="C535">
            <v>26</v>
          </cell>
          <cell r="D535">
            <v>31</v>
          </cell>
          <cell r="E535">
            <v>35</v>
          </cell>
          <cell r="G535">
            <v>18</v>
          </cell>
          <cell r="H535">
            <v>32</v>
          </cell>
          <cell r="I535">
            <v>38</v>
          </cell>
          <cell r="T535">
            <v>193</v>
          </cell>
        </row>
        <row r="536">
          <cell r="A536" t="str">
            <v>MUL-090</v>
          </cell>
          <cell r="B536">
            <v>2</v>
          </cell>
          <cell r="C536">
            <v>9</v>
          </cell>
          <cell r="D536">
            <v>7</v>
          </cell>
          <cell r="E536">
            <v>14</v>
          </cell>
          <cell r="G536">
            <v>11</v>
          </cell>
          <cell r="H536">
            <v>7</v>
          </cell>
          <cell r="I536">
            <v>18</v>
          </cell>
          <cell r="J536">
            <v>16</v>
          </cell>
          <cell r="T536">
            <v>84</v>
          </cell>
        </row>
        <row r="537">
          <cell r="A537" t="str">
            <v>MUL-110</v>
          </cell>
          <cell r="B537">
            <v>57</v>
          </cell>
          <cell r="C537">
            <v>107</v>
          </cell>
          <cell r="D537">
            <v>103</v>
          </cell>
          <cell r="E537">
            <v>80</v>
          </cell>
          <cell r="F537">
            <v>88</v>
          </cell>
          <cell r="G537">
            <v>84</v>
          </cell>
          <cell r="H537">
            <v>90</v>
          </cell>
          <cell r="I537">
            <v>79</v>
          </cell>
          <cell r="J537">
            <v>89</v>
          </cell>
          <cell r="K537">
            <v>75</v>
          </cell>
          <cell r="M537" t="str">
            <v>20</v>
          </cell>
          <cell r="R537">
            <v>118</v>
          </cell>
          <cell r="S537">
            <v>85</v>
          </cell>
          <cell r="T537">
            <v>1075</v>
          </cell>
        </row>
        <row r="538">
          <cell r="A538" t="str">
            <v>MUL-112</v>
          </cell>
          <cell r="C538">
            <v>22</v>
          </cell>
          <cell r="D538">
            <v>19</v>
          </cell>
          <cell r="E538">
            <v>31</v>
          </cell>
          <cell r="F538">
            <v>29</v>
          </cell>
          <cell r="G538">
            <v>36</v>
          </cell>
          <cell r="H538">
            <v>24</v>
          </cell>
          <cell r="I538">
            <v>31</v>
          </cell>
          <cell r="J538">
            <v>30</v>
          </cell>
          <cell r="K538">
            <v>18</v>
          </cell>
          <cell r="R538">
            <v>33</v>
          </cell>
          <cell r="S538">
            <v>33</v>
          </cell>
          <cell r="T538">
            <v>306</v>
          </cell>
        </row>
        <row r="539">
          <cell r="A539" t="str">
            <v>MUL-114</v>
          </cell>
          <cell r="B539">
            <v>12</v>
          </cell>
          <cell r="C539">
            <v>14</v>
          </cell>
          <cell r="D539">
            <v>14</v>
          </cell>
          <cell r="E539">
            <v>14</v>
          </cell>
          <cell r="G539">
            <v>5</v>
          </cell>
          <cell r="H539">
            <v>19</v>
          </cell>
          <cell r="I539">
            <v>14</v>
          </cell>
          <cell r="J539">
            <v>9</v>
          </cell>
          <cell r="T539">
            <v>101</v>
          </cell>
        </row>
        <row r="540">
          <cell r="A540" t="str">
            <v>MUL-123</v>
          </cell>
          <cell r="B540">
            <v>22</v>
          </cell>
          <cell r="C540">
            <v>17</v>
          </cell>
          <cell r="D540">
            <v>14</v>
          </cell>
          <cell r="E540">
            <v>23</v>
          </cell>
          <cell r="F540">
            <v>22</v>
          </cell>
          <cell r="G540">
            <v>9</v>
          </cell>
          <cell r="H540">
            <v>17</v>
          </cell>
          <cell r="I540">
            <v>17</v>
          </cell>
          <cell r="J540">
            <v>19</v>
          </cell>
          <cell r="K540">
            <v>25</v>
          </cell>
          <cell r="L540" t="str">
            <v>14</v>
          </cell>
          <cell r="M540" t="str">
            <v>16</v>
          </cell>
          <cell r="R540">
            <v>24</v>
          </cell>
          <cell r="S540">
            <v>25</v>
          </cell>
          <cell r="T540">
            <v>264</v>
          </cell>
        </row>
        <row r="541">
          <cell r="A541" t="str">
            <v>MUL-124</v>
          </cell>
          <cell r="B541">
            <v>24</v>
          </cell>
          <cell r="C541">
            <v>20</v>
          </cell>
          <cell r="D541">
            <v>40</v>
          </cell>
          <cell r="E541">
            <v>30</v>
          </cell>
          <cell r="G541">
            <v>30</v>
          </cell>
          <cell r="H541">
            <v>27</v>
          </cell>
          <cell r="I541">
            <v>28</v>
          </cell>
          <cell r="J541">
            <v>37</v>
          </cell>
          <cell r="T541">
            <v>236</v>
          </cell>
        </row>
        <row r="542">
          <cell r="A542" t="str">
            <v>MUL-126</v>
          </cell>
          <cell r="E542">
            <v>10</v>
          </cell>
          <cell r="I542">
            <v>14</v>
          </cell>
          <cell r="T542">
            <v>24</v>
          </cell>
        </row>
        <row r="543">
          <cell r="A543" t="str">
            <v>MUL-127</v>
          </cell>
          <cell r="C543">
            <v>7</v>
          </cell>
          <cell r="G543">
            <v>8</v>
          </cell>
          <cell r="I543">
            <v>15</v>
          </cell>
          <cell r="T543">
            <v>30</v>
          </cell>
        </row>
        <row r="544">
          <cell r="A544" t="str">
            <v>MUL-131</v>
          </cell>
          <cell r="B544">
            <v>23</v>
          </cell>
          <cell r="C544">
            <v>22</v>
          </cell>
          <cell r="D544">
            <v>25</v>
          </cell>
          <cell r="E544">
            <v>46</v>
          </cell>
          <cell r="F544">
            <v>102</v>
          </cell>
          <cell r="G544">
            <v>23</v>
          </cell>
          <cell r="H544">
            <v>23</v>
          </cell>
          <cell r="I544">
            <v>41</v>
          </cell>
          <cell r="J544">
            <v>43</v>
          </cell>
          <cell r="K544">
            <v>62</v>
          </cell>
          <cell r="R544">
            <v>62</v>
          </cell>
          <cell r="S544">
            <v>75</v>
          </cell>
          <cell r="T544">
            <v>547</v>
          </cell>
        </row>
        <row r="545">
          <cell r="A545" t="str">
            <v>MUL-133</v>
          </cell>
          <cell r="K545">
            <v>19</v>
          </cell>
          <cell r="S545">
            <v>21</v>
          </cell>
          <cell r="T545">
            <v>40</v>
          </cell>
        </row>
        <row r="546">
          <cell r="A546" t="str">
            <v>MUL-137</v>
          </cell>
          <cell r="B546">
            <v>10</v>
          </cell>
          <cell r="C546">
            <v>20</v>
          </cell>
          <cell r="D546">
            <v>15</v>
          </cell>
          <cell r="E546">
            <v>17</v>
          </cell>
          <cell r="G546">
            <v>16</v>
          </cell>
          <cell r="H546">
            <v>12</v>
          </cell>
          <cell r="I546">
            <v>13</v>
          </cell>
          <cell r="J546">
            <v>13</v>
          </cell>
          <cell r="K546">
            <v>26</v>
          </cell>
          <cell r="R546">
            <v>21</v>
          </cell>
          <cell r="S546">
            <v>19</v>
          </cell>
          <cell r="T546">
            <v>182</v>
          </cell>
        </row>
        <row r="547">
          <cell r="A547" t="str">
            <v>MUL-139</v>
          </cell>
          <cell r="B547">
            <v>11</v>
          </cell>
          <cell r="C547">
            <v>6</v>
          </cell>
          <cell r="D547">
            <v>3</v>
          </cell>
          <cell r="E547">
            <v>13</v>
          </cell>
          <cell r="G547">
            <v>9</v>
          </cell>
          <cell r="H547">
            <v>9</v>
          </cell>
          <cell r="I547">
            <v>4</v>
          </cell>
          <cell r="J547">
            <v>9</v>
          </cell>
          <cell r="T547">
            <v>64</v>
          </cell>
        </row>
        <row r="548">
          <cell r="A548" t="str">
            <v>MUL-140</v>
          </cell>
          <cell r="B548">
            <v>4</v>
          </cell>
          <cell r="D548">
            <v>3</v>
          </cell>
          <cell r="E548">
            <v>6</v>
          </cell>
          <cell r="F548">
            <v>5</v>
          </cell>
          <cell r="G548">
            <v>6</v>
          </cell>
          <cell r="H548">
            <v>2</v>
          </cell>
          <cell r="I548">
            <v>6</v>
          </cell>
          <cell r="J548">
            <v>10</v>
          </cell>
          <cell r="K548">
            <v>12</v>
          </cell>
          <cell r="R548">
            <v>6</v>
          </cell>
          <cell r="S548">
            <v>10</v>
          </cell>
          <cell r="T548">
            <v>70</v>
          </cell>
        </row>
        <row r="549">
          <cell r="A549" t="str">
            <v>MUL-141</v>
          </cell>
          <cell r="B549">
            <v>3</v>
          </cell>
          <cell r="C549">
            <v>3</v>
          </cell>
          <cell r="D549">
            <v>5</v>
          </cell>
          <cell r="G549">
            <v>5</v>
          </cell>
          <cell r="I549">
            <v>2</v>
          </cell>
          <cell r="T549">
            <v>18</v>
          </cell>
        </row>
        <row r="550">
          <cell r="A550" t="str">
            <v>MUL-143</v>
          </cell>
          <cell r="C550">
            <v>8</v>
          </cell>
          <cell r="D550">
            <v>1</v>
          </cell>
          <cell r="G550">
            <v>2</v>
          </cell>
          <cell r="H550">
            <v>4</v>
          </cell>
          <cell r="T550">
            <v>15</v>
          </cell>
        </row>
        <row r="551">
          <cell r="A551" t="str">
            <v>MUL-149</v>
          </cell>
          <cell r="G551">
            <v>3</v>
          </cell>
          <cell r="H551">
            <v>1</v>
          </cell>
          <cell r="T551">
            <v>4</v>
          </cell>
        </row>
        <row r="552">
          <cell r="A552" t="str">
            <v>MUL-150</v>
          </cell>
          <cell r="G552">
            <v>14</v>
          </cell>
          <cell r="T552">
            <v>14</v>
          </cell>
        </row>
        <row r="553">
          <cell r="A553" t="str">
            <v>MUL-214</v>
          </cell>
          <cell r="D553">
            <v>11</v>
          </cell>
          <cell r="I553">
            <v>12</v>
          </cell>
          <cell r="R553">
            <v>17</v>
          </cell>
          <cell r="T553">
            <v>40</v>
          </cell>
        </row>
        <row r="554">
          <cell r="A554" t="str">
            <v>MUL-223</v>
          </cell>
          <cell r="C554">
            <v>13</v>
          </cell>
          <cell r="D554">
            <v>9</v>
          </cell>
          <cell r="E554">
            <v>4</v>
          </cell>
          <cell r="F554">
            <v>10</v>
          </cell>
          <cell r="H554">
            <v>9</v>
          </cell>
          <cell r="I554">
            <v>11</v>
          </cell>
          <cell r="J554">
            <v>12</v>
          </cell>
          <cell r="K554">
            <v>8</v>
          </cell>
          <cell r="R554">
            <v>14</v>
          </cell>
          <cell r="S554">
            <v>13</v>
          </cell>
          <cell r="T554">
            <v>103</v>
          </cell>
        </row>
        <row r="555">
          <cell r="A555" t="str">
            <v>MUL-224</v>
          </cell>
          <cell r="B555">
            <v>6</v>
          </cell>
          <cell r="C555">
            <v>8</v>
          </cell>
          <cell r="D555">
            <v>7</v>
          </cell>
          <cell r="E555">
            <v>18</v>
          </cell>
          <cell r="G555">
            <v>12</v>
          </cell>
          <cell r="H555">
            <v>8</v>
          </cell>
          <cell r="I555">
            <v>7</v>
          </cell>
          <cell r="J555">
            <v>20</v>
          </cell>
          <cell r="T555">
            <v>86</v>
          </cell>
        </row>
        <row r="556">
          <cell r="A556" t="str">
            <v>MUL-225</v>
          </cell>
          <cell r="C556">
            <v>9</v>
          </cell>
          <cell r="D556">
            <v>5</v>
          </cell>
          <cell r="E556">
            <v>8</v>
          </cell>
          <cell r="G556">
            <v>10</v>
          </cell>
          <cell r="H556">
            <v>7</v>
          </cell>
          <cell r="I556">
            <v>5</v>
          </cell>
          <cell r="J556">
            <v>10</v>
          </cell>
          <cell r="T556">
            <v>54</v>
          </cell>
        </row>
        <row r="557">
          <cell r="A557" t="str">
            <v>MUL-245</v>
          </cell>
          <cell r="B557">
            <v>5</v>
          </cell>
          <cell r="C557">
            <v>4</v>
          </cell>
          <cell r="G557">
            <v>2</v>
          </cell>
          <cell r="H557">
            <v>2</v>
          </cell>
          <cell r="I557">
            <v>4</v>
          </cell>
          <cell r="T557">
            <v>17</v>
          </cell>
        </row>
        <row r="558">
          <cell r="A558" t="str">
            <v>MUL-299</v>
          </cell>
          <cell r="C558">
            <v>17</v>
          </cell>
          <cell r="G558">
            <v>2</v>
          </cell>
          <cell r="H558">
            <v>8</v>
          </cell>
          <cell r="I558">
            <v>2</v>
          </cell>
          <cell r="M558" t="str">
            <v>15</v>
          </cell>
          <cell r="Q558" t="str">
            <v>9</v>
          </cell>
          <cell r="T558">
            <v>53</v>
          </cell>
        </row>
        <row r="559">
          <cell r="A559" t="str">
            <v>MUS-081</v>
          </cell>
          <cell r="H559">
            <v>1</v>
          </cell>
          <cell r="T559">
            <v>1</v>
          </cell>
        </row>
        <row r="560">
          <cell r="A560" t="str">
            <v>MUS-100</v>
          </cell>
          <cell r="B560">
            <v>74</v>
          </cell>
          <cell r="C560">
            <v>113</v>
          </cell>
          <cell r="D560">
            <v>113</v>
          </cell>
          <cell r="E560">
            <v>61</v>
          </cell>
          <cell r="F560">
            <v>70</v>
          </cell>
          <cell r="G560">
            <v>66</v>
          </cell>
          <cell r="H560">
            <v>102</v>
          </cell>
          <cell r="I560">
            <v>65</v>
          </cell>
          <cell r="J560">
            <v>56</v>
          </cell>
          <cell r="K560">
            <v>112</v>
          </cell>
          <cell r="M560" t="str">
            <v>19</v>
          </cell>
          <cell r="R560">
            <v>79</v>
          </cell>
          <cell r="S560">
            <v>66</v>
          </cell>
          <cell r="T560">
            <v>996</v>
          </cell>
        </row>
        <row r="561">
          <cell r="A561" t="str">
            <v>MUS-100H</v>
          </cell>
          <cell r="G561">
            <v>1</v>
          </cell>
          <cell r="J561">
            <v>1</v>
          </cell>
          <cell r="K561">
            <v>3</v>
          </cell>
          <cell r="R561">
            <v>2</v>
          </cell>
          <cell r="S561">
            <v>3</v>
          </cell>
          <cell r="T561">
            <v>10</v>
          </cell>
        </row>
        <row r="562">
          <cell r="A562" t="str">
            <v>MUS-101</v>
          </cell>
          <cell r="B562">
            <v>40</v>
          </cell>
          <cell r="C562">
            <v>56</v>
          </cell>
          <cell r="D562">
            <v>81</v>
          </cell>
          <cell r="E562">
            <v>95</v>
          </cell>
          <cell r="F562">
            <v>79</v>
          </cell>
          <cell r="G562">
            <v>48</v>
          </cell>
          <cell r="H562">
            <v>69</v>
          </cell>
          <cell r="I562">
            <v>64</v>
          </cell>
          <cell r="J562">
            <v>82</v>
          </cell>
          <cell r="K562">
            <v>79</v>
          </cell>
          <cell r="R562">
            <v>84</v>
          </cell>
          <cell r="S562">
            <v>58</v>
          </cell>
          <cell r="T562">
            <v>835</v>
          </cell>
        </row>
        <row r="563">
          <cell r="A563" t="str">
            <v>MUS-103</v>
          </cell>
          <cell r="B563">
            <v>14</v>
          </cell>
          <cell r="C563">
            <v>12</v>
          </cell>
          <cell r="D563">
            <v>11</v>
          </cell>
          <cell r="E563">
            <v>20</v>
          </cell>
          <cell r="F563">
            <v>19</v>
          </cell>
          <cell r="G563">
            <v>13</v>
          </cell>
          <cell r="H563">
            <v>16</v>
          </cell>
          <cell r="I563">
            <v>22</v>
          </cell>
          <cell r="J563">
            <v>10</v>
          </cell>
          <cell r="K563">
            <v>17</v>
          </cell>
          <cell r="R563">
            <v>19</v>
          </cell>
          <cell r="S563">
            <v>23</v>
          </cell>
          <cell r="T563">
            <v>196</v>
          </cell>
        </row>
        <row r="564">
          <cell r="A564" t="str">
            <v>MUS-104</v>
          </cell>
          <cell r="G564">
            <v>8</v>
          </cell>
          <cell r="H564">
            <v>8</v>
          </cell>
          <cell r="I564">
            <v>10</v>
          </cell>
          <cell r="J564">
            <v>16</v>
          </cell>
          <cell r="K564">
            <v>13</v>
          </cell>
          <cell r="S564">
            <v>16</v>
          </cell>
          <cell r="T564">
            <v>71</v>
          </cell>
        </row>
        <row r="565">
          <cell r="A565" t="str">
            <v>MUS-106</v>
          </cell>
          <cell r="C565">
            <v>35</v>
          </cell>
          <cell r="D565">
            <v>74</v>
          </cell>
          <cell r="E565">
            <v>75</v>
          </cell>
          <cell r="F565">
            <v>37</v>
          </cell>
          <cell r="H565">
            <v>69</v>
          </cell>
          <cell r="I565">
            <v>72</v>
          </cell>
          <cell r="J565">
            <v>80</v>
          </cell>
          <cell r="K565">
            <v>35</v>
          </cell>
          <cell r="R565">
            <v>33</v>
          </cell>
          <cell r="T565">
            <v>510</v>
          </cell>
        </row>
        <row r="566">
          <cell r="A566" t="str">
            <v>MUS-107</v>
          </cell>
          <cell r="B566">
            <v>83</v>
          </cell>
          <cell r="C566">
            <v>85</v>
          </cell>
          <cell r="D566">
            <v>83</v>
          </cell>
          <cell r="E566">
            <v>32</v>
          </cell>
          <cell r="F566">
            <v>72</v>
          </cell>
          <cell r="G566">
            <v>61</v>
          </cell>
          <cell r="H566">
            <v>59</v>
          </cell>
          <cell r="I566">
            <v>70</v>
          </cell>
          <cell r="J566">
            <v>33</v>
          </cell>
          <cell r="K566">
            <v>66</v>
          </cell>
          <cell r="L566" t="str">
            <v>16</v>
          </cell>
          <cell r="M566" t="str">
            <v>8</v>
          </cell>
          <cell r="R566">
            <v>74</v>
          </cell>
          <cell r="S566">
            <v>66</v>
          </cell>
          <cell r="T566">
            <v>808</v>
          </cell>
        </row>
        <row r="567">
          <cell r="A567" t="str">
            <v>MUS-108</v>
          </cell>
          <cell r="B567">
            <v>11</v>
          </cell>
          <cell r="C567">
            <v>17</v>
          </cell>
          <cell r="D567">
            <v>30</v>
          </cell>
          <cell r="E567">
            <v>22</v>
          </cell>
          <cell r="F567">
            <v>68</v>
          </cell>
          <cell r="G567">
            <v>17</v>
          </cell>
          <cell r="H567">
            <v>29</v>
          </cell>
          <cell r="I567">
            <v>29</v>
          </cell>
          <cell r="J567">
            <v>36</v>
          </cell>
          <cell r="K567">
            <v>39</v>
          </cell>
          <cell r="L567" t="str">
            <v>4</v>
          </cell>
          <cell r="M567" t="str">
            <v>12</v>
          </cell>
          <cell r="R567">
            <v>35</v>
          </cell>
          <cell r="S567">
            <v>35</v>
          </cell>
          <cell r="T567">
            <v>384</v>
          </cell>
        </row>
        <row r="568">
          <cell r="A568" t="str">
            <v>MUS-109</v>
          </cell>
          <cell r="B568">
            <v>29</v>
          </cell>
          <cell r="C568">
            <v>30</v>
          </cell>
          <cell r="D568">
            <v>108</v>
          </cell>
          <cell r="E568">
            <v>63</v>
          </cell>
          <cell r="F568">
            <v>81</v>
          </cell>
          <cell r="G568">
            <v>29</v>
          </cell>
          <cell r="H568">
            <v>48</v>
          </cell>
          <cell r="I568">
            <v>68</v>
          </cell>
          <cell r="J568">
            <v>66</v>
          </cell>
          <cell r="K568">
            <v>63</v>
          </cell>
          <cell r="R568">
            <v>78</v>
          </cell>
          <cell r="S568">
            <v>70</v>
          </cell>
          <cell r="T568">
            <v>733</v>
          </cell>
        </row>
        <row r="569">
          <cell r="A569" t="str">
            <v>MUS-111</v>
          </cell>
          <cell r="B569">
            <v>38</v>
          </cell>
          <cell r="C569">
            <v>35</v>
          </cell>
          <cell r="D569">
            <v>71</v>
          </cell>
          <cell r="E569">
            <v>55</v>
          </cell>
          <cell r="F569">
            <v>65</v>
          </cell>
          <cell r="G569">
            <v>35</v>
          </cell>
          <cell r="H569">
            <v>67</v>
          </cell>
          <cell r="I569">
            <v>42</v>
          </cell>
          <cell r="J569">
            <v>54</v>
          </cell>
          <cell r="K569">
            <v>55</v>
          </cell>
          <cell r="L569" t="str">
            <v>11</v>
          </cell>
          <cell r="M569" t="str">
            <v>23</v>
          </cell>
          <cell r="R569">
            <v>75</v>
          </cell>
          <cell r="S569">
            <v>66</v>
          </cell>
          <cell r="T569">
            <v>692</v>
          </cell>
        </row>
        <row r="570">
          <cell r="A570" t="str">
            <v>MUS-112</v>
          </cell>
          <cell r="B570">
            <v>5</v>
          </cell>
          <cell r="C570">
            <v>3</v>
          </cell>
          <cell r="D570">
            <v>5</v>
          </cell>
          <cell r="E570">
            <v>5</v>
          </cell>
          <cell r="F570">
            <v>9</v>
          </cell>
          <cell r="G570">
            <v>7</v>
          </cell>
          <cell r="H570">
            <v>6</v>
          </cell>
          <cell r="I570">
            <v>2</v>
          </cell>
          <cell r="J570">
            <v>8</v>
          </cell>
          <cell r="K570">
            <v>4</v>
          </cell>
          <cell r="M570" t="str">
            <v>3</v>
          </cell>
          <cell r="R570">
            <v>4</v>
          </cell>
          <cell r="S570">
            <v>4</v>
          </cell>
          <cell r="T570">
            <v>65</v>
          </cell>
        </row>
        <row r="571">
          <cell r="A571" t="str">
            <v>MUS-114</v>
          </cell>
          <cell r="F571">
            <v>4</v>
          </cell>
          <cell r="K571">
            <v>9</v>
          </cell>
          <cell r="S571">
            <v>10</v>
          </cell>
          <cell r="T571">
            <v>23</v>
          </cell>
        </row>
        <row r="572">
          <cell r="A572" t="str">
            <v>MUS-115</v>
          </cell>
          <cell r="B572">
            <v>26</v>
          </cell>
          <cell r="C572">
            <v>23</v>
          </cell>
          <cell r="D572">
            <v>29</v>
          </cell>
          <cell r="E572">
            <v>24</v>
          </cell>
          <cell r="F572">
            <v>23</v>
          </cell>
          <cell r="G572">
            <v>19</v>
          </cell>
          <cell r="H572">
            <v>22</v>
          </cell>
          <cell r="I572">
            <v>23</v>
          </cell>
          <cell r="J572">
            <v>22</v>
          </cell>
          <cell r="R572">
            <v>25</v>
          </cell>
          <cell r="T572">
            <v>236</v>
          </cell>
        </row>
        <row r="573">
          <cell r="A573" t="str">
            <v>MUS-116</v>
          </cell>
          <cell r="C573">
            <v>13</v>
          </cell>
          <cell r="D573">
            <v>22</v>
          </cell>
          <cell r="E573">
            <v>18</v>
          </cell>
          <cell r="G573">
            <v>14</v>
          </cell>
          <cell r="H573">
            <v>19</v>
          </cell>
          <cell r="I573">
            <v>21</v>
          </cell>
          <cell r="J573">
            <v>16</v>
          </cell>
          <cell r="K573">
            <v>23</v>
          </cell>
          <cell r="S573">
            <v>26</v>
          </cell>
          <cell r="T573">
            <v>172</v>
          </cell>
        </row>
        <row r="574">
          <cell r="A574" t="str">
            <v>MUS-125</v>
          </cell>
          <cell r="B574">
            <v>36</v>
          </cell>
          <cell r="C574">
            <v>64</v>
          </cell>
          <cell r="D574">
            <v>61</v>
          </cell>
          <cell r="E574">
            <v>55</v>
          </cell>
          <cell r="F574">
            <v>38</v>
          </cell>
          <cell r="G574">
            <v>30</v>
          </cell>
          <cell r="H574">
            <v>56</v>
          </cell>
          <cell r="I574">
            <v>57</v>
          </cell>
          <cell r="J574">
            <v>74</v>
          </cell>
          <cell r="K574">
            <v>37</v>
          </cell>
          <cell r="L574" t="str">
            <v>19</v>
          </cell>
          <cell r="M574" t="str">
            <v>26</v>
          </cell>
          <cell r="R574">
            <v>38</v>
          </cell>
          <cell r="S574">
            <v>45</v>
          </cell>
          <cell r="T574">
            <v>636</v>
          </cell>
        </row>
        <row r="575">
          <cell r="A575" t="str">
            <v>MUS-127</v>
          </cell>
          <cell r="B575">
            <v>13</v>
          </cell>
          <cell r="C575">
            <v>4</v>
          </cell>
          <cell r="D575">
            <v>7</v>
          </cell>
          <cell r="E575">
            <v>13</v>
          </cell>
          <cell r="F575">
            <v>8</v>
          </cell>
          <cell r="G575">
            <v>11</v>
          </cell>
          <cell r="H575">
            <v>8</v>
          </cell>
          <cell r="I575">
            <v>12</v>
          </cell>
          <cell r="J575">
            <v>9</v>
          </cell>
          <cell r="K575">
            <v>7</v>
          </cell>
          <cell r="L575" t="str">
            <v>1</v>
          </cell>
          <cell r="M575" t="str">
            <v>3</v>
          </cell>
          <cell r="R575">
            <v>5</v>
          </cell>
          <cell r="S575">
            <v>5</v>
          </cell>
          <cell r="T575">
            <v>106</v>
          </cell>
        </row>
        <row r="576">
          <cell r="A576" t="str">
            <v>MUS-150</v>
          </cell>
          <cell r="B576">
            <v>5</v>
          </cell>
          <cell r="C576">
            <v>8</v>
          </cell>
          <cell r="D576">
            <v>7</v>
          </cell>
          <cell r="E576">
            <v>4</v>
          </cell>
          <cell r="F576">
            <v>10</v>
          </cell>
          <cell r="G576">
            <v>3</v>
          </cell>
          <cell r="H576">
            <v>9</v>
          </cell>
          <cell r="I576">
            <v>8</v>
          </cell>
          <cell r="J576">
            <v>9</v>
          </cell>
          <cell r="K576">
            <v>12</v>
          </cell>
          <cell r="R576">
            <v>7</v>
          </cell>
          <cell r="S576">
            <v>12</v>
          </cell>
          <cell r="T576">
            <v>94</v>
          </cell>
        </row>
        <row r="577">
          <cell r="A577" t="str">
            <v>MUS-151</v>
          </cell>
          <cell r="H577">
            <v>1</v>
          </cell>
          <cell r="T577">
            <v>1</v>
          </cell>
        </row>
        <row r="578">
          <cell r="A578" t="str">
            <v>MUS-175</v>
          </cell>
          <cell r="B578">
            <v>10</v>
          </cell>
          <cell r="C578">
            <v>9</v>
          </cell>
          <cell r="D578">
            <v>9</v>
          </cell>
          <cell r="E578">
            <v>13</v>
          </cell>
          <cell r="F578">
            <v>11</v>
          </cell>
          <cell r="G578">
            <v>4</v>
          </cell>
          <cell r="H578">
            <v>5</v>
          </cell>
          <cell r="I578">
            <v>10</v>
          </cell>
          <cell r="J578">
            <v>8</v>
          </cell>
          <cell r="K578">
            <v>10</v>
          </cell>
          <cell r="R578">
            <v>10</v>
          </cell>
          <cell r="S578">
            <v>12</v>
          </cell>
          <cell r="T578">
            <v>111</v>
          </cell>
        </row>
        <row r="579">
          <cell r="A579" t="str">
            <v>MUS-176</v>
          </cell>
          <cell r="E579">
            <v>4</v>
          </cell>
          <cell r="F579">
            <v>5</v>
          </cell>
          <cell r="G579">
            <v>4</v>
          </cell>
          <cell r="H579">
            <v>4</v>
          </cell>
          <cell r="I579">
            <v>10</v>
          </cell>
          <cell r="J579">
            <v>3</v>
          </cell>
          <cell r="K579">
            <v>10</v>
          </cell>
          <cell r="R579">
            <v>4</v>
          </cell>
          <cell r="S579">
            <v>9</v>
          </cell>
          <cell r="T579">
            <v>53</v>
          </cell>
        </row>
        <row r="580">
          <cell r="A580" t="str">
            <v>MUS-201</v>
          </cell>
          <cell r="B580">
            <v>2</v>
          </cell>
          <cell r="T580">
            <v>2</v>
          </cell>
        </row>
        <row r="581">
          <cell r="A581" t="str">
            <v>MUS-205</v>
          </cell>
          <cell r="B581">
            <v>9</v>
          </cell>
          <cell r="C581">
            <v>15</v>
          </cell>
          <cell r="D581">
            <v>14</v>
          </cell>
          <cell r="E581">
            <v>13</v>
          </cell>
          <cell r="F581">
            <v>23</v>
          </cell>
          <cell r="G581">
            <v>15</v>
          </cell>
          <cell r="H581">
            <v>14</v>
          </cell>
          <cell r="I581">
            <v>21</v>
          </cell>
          <cell r="J581">
            <v>20</v>
          </cell>
          <cell r="K581">
            <v>30</v>
          </cell>
          <cell r="R581">
            <v>30</v>
          </cell>
          <cell r="S581">
            <v>16</v>
          </cell>
          <cell r="T581">
            <v>220</v>
          </cell>
        </row>
        <row r="582">
          <cell r="A582" t="str">
            <v>MUS-206</v>
          </cell>
          <cell r="C582">
            <v>3</v>
          </cell>
          <cell r="D582">
            <v>3</v>
          </cell>
          <cell r="E582">
            <v>2</v>
          </cell>
          <cell r="F582">
            <v>2</v>
          </cell>
          <cell r="G582">
            <v>2</v>
          </cell>
          <cell r="H582">
            <v>1</v>
          </cell>
          <cell r="J582">
            <v>2</v>
          </cell>
          <cell r="K582">
            <v>4</v>
          </cell>
          <cell r="R582">
            <v>5</v>
          </cell>
          <cell r="S582">
            <v>3</v>
          </cell>
          <cell r="T582">
            <v>27</v>
          </cell>
        </row>
        <row r="583">
          <cell r="A583" t="str">
            <v>MUS-209</v>
          </cell>
          <cell r="B583">
            <v>10</v>
          </cell>
          <cell r="T583">
            <v>10</v>
          </cell>
        </row>
        <row r="584">
          <cell r="A584" t="str">
            <v>MUS-210</v>
          </cell>
          <cell r="B584">
            <v>16</v>
          </cell>
          <cell r="C584">
            <v>8</v>
          </cell>
          <cell r="D584">
            <v>11</v>
          </cell>
          <cell r="E584">
            <v>15</v>
          </cell>
          <cell r="F584">
            <v>12</v>
          </cell>
          <cell r="G584">
            <v>5</v>
          </cell>
          <cell r="H584">
            <v>11</v>
          </cell>
          <cell r="I584">
            <v>13</v>
          </cell>
          <cell r="J584">
            <v>10</v>
          </cell>
          <cell r="K584">
            <v>9</v>
          </cell>
          <cell r="R584">
            <v>11</v>
          </cell>
          <cell r="S584">
            <v>11</v>
          </cell>
          <cell r="T584">
            <v>132</v>
          </cell>
        </row>
        <row r="585">
          <cell r="A585" t="str">
            <v>MUS-211</v>
          </cell>
          <cell r="B585">
            <v>1</v>
          </cell>
          <cell r="C585">
            <v>4</v>
          </cell>
          <cell r="E585">
            <v>1</v>
          </cell>
          <cell r="G585">
            <v>9</v>
          </cell>
          <cell r="H585">
            <v>2</v>
          </cell>
          <cell r="J585">
            <v>1</v>
          </cell>
          <cell r="K585">
            <v>1</v>
          </cell>
          <cell r="R585">
            <v>1</v>
          </cell>
          <cell r="S585">
            <v>2</v>
          </cell>
          <cell r="T585">
            <v>22</v>
          </cell>
        </row>
        <row r="586">
          <cell r="A586" t="str">
            <v>MUS-214</v>
          </cell>
          <cell r="E586">
            <v>10</v>
          </cell>
          <cell r="F586">
            <v>8</v>
          </cell>
          <cell r="J586">
            <v>14</v>
          </cell>
          <cell r="K586">
            <v>10</v>
          </cell>
          <cell r="R586">
            <v>7</v>
          </cell>
          <cell r="S586">
            <v>10</v>
          </cell>
          <cell r="T586">
            <v>59</v>
          </cell>
        </row>
        <row r="587">
          <cell r="A587" t="str">
            <v>MUS-253</v>
          </cell>
          <cell r="E587">
            <v>7</v>
          </cell>
          <cell r="F587">
            <v>11</v>
          </cell>
          <cell r="G587">
            <v>5</v>
          </cell>
          <cell r="H587">
            <v>2</v>
          </cell>
          <cell r="I587">
            <v>6</v>
          </cell>
          <cell r="R587">
            <v>6</v>
          </cell>
          <cell r="T587">
            <v>37</v>
          </cell>
        </row>
        <row r="588">
          <cell r="A588" t="str">
            <v>MUS-299</v>
          </cell>
          <cell r="B588">
            <v>5</v>
          </cell>
          <cell r="C588">
            <v>6</v>
          </cell>
          <cell r="D588">
            <v>2</v>
          </cell>
          <cell r="E588">
            <v>6</v>
          </cell>
          <cell r="F588">
            <v>2</v>
          </cell>
          <cell r="G588">
            <v>5</v>
          </cell>
          <cell r="H588">
            <v>1</v>
          </cell>
          <cell r="I588">
            <v>5</v>
          </cell>
          <cell r="J588">
            <v>6</v>
          </cell>
          <cell r="S588">
            <v>4</v>
          </cell>
          <cell r="T588">
            <v>42</v>
          </cell>
        </row>
        <row r="589">
          <cell r="A589" t="str">
            <v>NET-100</v>
          </cell>
          <cell r="C589">
            <v>12</v>
          </cell>
          <cell r="D589">
            <v>13</v>
          </cell>
          <cell r="E589">
            <v>10</v>
          </cell>
          <cell r="G589">
            <v>9</v>
          </cell>
          <cell r="I589">
            <v>4</v>
          </cell>
          <cell r="J589">
            <v>5</v>
          </cell>
          <cell r="T589">
            <v>53</v>
          </cell>
        </row>
        <row r="590">
          <cell r="A590" t="str">
            <v>NET-101</v>
          </cell>
          <cell r="C590">
            <v>14</v>
          </cell>
          <cell r="E590">
            <v>4</v>
          </cell>
          <cell r="I590">
            <v>6</v>
          </cell>
          <cell r="J590">
            <v>4</v>
          </cell>
          <cell r="T590">
            <v>28</v>
          </cell>
        </row>
        <row r="591">
          <cell r="A591" t="str">
            <v>NET-102</v>
          </cell>
          <cell r="D591">
            <v>5</v>
          </cell>
          <cell r="E591">
            <v>3</v>
          </cell>
          <cell r="G591">
            <v>13</v>
          </cell>
          <cell r="I591">
            <v>1</v>
          </cell>
          <cell r="J591">
            <v>3</v>
          </cell>
          <cell r="T591">
            <v>25</v>
          </cell>
        </row>
        <row r="592">
          <cell r="A592" t="str">
            <v>NET-120</v>
          </cell>
          <cell r="B592">
            <v>14</v>
          </cell>
          <cell r="C592">
            <v>19</v>
          </cell>
          <cell r="E592">
            <v>9</v>
          </cell>
          <cell r="F592">
            <v>9</v>
          </cell>
          <cell r="H592">
            <v>17</v>
          </cell>
          <cell r="J592">
            <v>5</v>
          </cell>
          <cell r="K592">
            <v>9</v>
          </cell>
          <cell r="T592">
            <v>82</v>
          </cell>
        </row>
        <row r="593">
          <cell r="A593" t="str">
            <v>NET-121</v>
          </cell>
          <cell r="E593">
            <v>2</v>
          </cell>
          <cell r="F593">
            <v>3</v>
          </cell>
          <cell r="G593">
            <v>15</v>
          </cell>
          <cell r="H593">
            <v>20</v>
          </cell>
          <cell r="J593">
            <v>5</v>
          </cell>
          <cell r="K593">
            <v>5</v>
          </cell>
          <cell r="T593">
            <v>50</v>
          </cell>
        </row>
        <row r="594">
          <cell r="A594" t="str">
            <v>NET-122</v>
          </cell>
          <cell r="C594">
            <v>24</v>
          </cell>
          <cell r="D594">
            <v>12</v>
          </cell>
          <cell r="F594">
            <v>5</v>
          </cell>
          <cell r="J594">
            <v>3</v>
          </cell>
          <cell r="K594">
            <v>2</v>
          </cell>
          <cell r="T594">
            <v>46</v>
          </cell>
        </row>
        <row r="595">
          <cell r="A595" t="str">
            <v>NET-140</v>
          </cell>
          <cell r="B595">
            <v>8</v>
          </cell>
          <cell r="T595">
            <v>8</v>
          </cell>
        </row>
        <row r="596">
          <cell r="A596" t="str">
            <v>NURS-064R</v>
          </cell>
          <cell r="E596">
            <v>4</v>
          </cell>
          <cell r="T596">
            <v>4</v>
          </cell>
        </row>
        <row r="597">
          <cell r="A597" t="str">
            <v>NURS-084A</v>
          </cell>
          <cell r="B597">
            <v>47</v>
          </cell>
          <cell r="C597">
            <v>58</v>
          </cell>
          <cell r="D597">
            <v>65</v>
          </cell>
          <cell r="E597">
            <v>55</v>
          </cell>
          <cell r="G597">
            <v>63</v>
          </cell>
          <cell r="H597">
            <v>54</v>
          </cell>
          <cell r="I597">
            <v>56</v>
          </cell>
          <cell r="J597">
            <v>51</v>
          </cell>
          <cell r="K597">
            <v>25</v>
          </cell>
          <cell r="R597">
            <v>26</v>
          </cell>
          <cell r="S597">
            <v>29</v>
          </cell>
          <cell r="T597">
            <v>529</v>
          </cell>
        </row>
        <row r="598">
          <cell r="A598" t="str">
            <v>NURS-084B</v>
          </cell>
          <cell r="B598">
            <v>62</v>
          </cell>
          <cell r="C598">
            <v>64</v>
          </cell>
          <cell r="D598">
            <v>70</v>
          </cell>
          <cell r="E598">
            <v>62</v>
          </cell>
          <cell r="F598">
            <v>39</v>
          </cell>
          <cell r="G598">
            <v>65</v>
          </cell>
          <cell r="H598">
            <v>69</v>
          </cell>
          <cell r="I598">
            <v>69</v>
          </cell>
          <cell r="J598">
            <v>57</v>
          </cell>
          <cell r="K598">
            <v>19</v>
          </cell>
          <cell r="T598">
            <v>576</v>
          </cell>
        </row>
        <row r="599">
          <cell r="A599" t="str">
            <v>NURS-084C</v>
          </cell>
          <cell r="B599">
            <v>136</v>
          </cell>
          <cell r="C599">
            <v>120</v>
          </cell>
          <cell r="D599">
            <v>147</v>
          </cell>
          <cell r="E599">
            <v>128</v>
          </cell>
          <cell r="F599">
            <v>112</v>
          </cell>
          <cell r="G599">
            <v>155</v>
          </cell>
          <cell r="H599">
            <v>139</v>
          </cell>
          <cell r="I599">
            <v>150</v>
          </cell>
          <cell r="J599">
            <v>128</v>
          </cell>
          <cell r="K599">
            <v>104</v>
          </cell>
          <cell r="N599" t="str">
            <v>13</v>
          </cell>
          <cell r="R599">
            <v>104</v>
          </cell>
          <cell r="S599">
            <v>102</v>
          </cell>
          <cell r="T599">
            <v>1538</v>
          </cell>
        </row>
        <row r="600">
          <cell r="A600" t="str">
            <v>NURS-085</v>
          </cell>
          <cell r="B600">
            <v>42</v>
          </cell>
          <cell r="D600">
            <v>56</v>
          </cell>
          <cell r="E600">
            <v>55</v>
          </cell>
          <cell r="G600">
            <v>57</v>
          </cell>
          <cell r="H600">
            <v>55</v>
          </cell>
          <cell r="I600">
            <v>57</v>
          </cell>
          <cell r="J600">
            <v>51</v>
          </cell>
          <cell r="K600">
            <v>25</v>
          </cell>
          <cell r="R600">
            <v>25</v>
          </cell>
          <cell r="S600">
            <v>28</v>
          </cell>
          <cell r="T600">
            <v>451</v>
          </cell>
        </row>
        <row r="601">
          <cell r="A601" t="str">
            <v>NURS-087</v>
          </cell>
          <cell r="M601" t="str">
            <v>8</v>
          </cell>
          <cell r="N601" t="str">
            <v>13</v>
          </cell>
          <cell r="O601" t="str">
            <v>16</v>
          </cell>
          <cell r="T601">
            <v>37</v>
          </cell>
        </row>
        <row r="602">
          <cell r="A602" t="str">
            <v>NURS-090</v>
          </cell>
          <cell r="B602">
            <v>12</v>
          </cell>
          <cell r="C602">
            <v>11</v>
          </cell>
          <cell r="D602">
            <v>12</v>
          </cell>
          <cell r="L602" t="str">
            <v>10</v>
          </cell>
          <cell r="M602" t="str">
            <v>12</v>
          </cell>
          <cell r="N602" t="str">
            <v>12</v>
          </cell>
          <cell r="O602" t="str">
            <v>12</v>
          </cell>
          <cell r="T602">
            <v>81</v>
          </cell>
        </row>
        <row r="603">
          <cell r="A603" t="str">
            <v>NURS-100</v>
          </cell>
          <cell r="B603">
            <v>35</v>
          </cell>
          <cell r="C603">
            <v>35</v>
          </cell>
          <cell r="D603">
            <v>37</v>
          </cell>
          <cell r="E603">
            <v>14</v>
          </cell>
          <cell r="F603">
            <v>11</v>
          </cell>
          <cell r="G603">
            <v>64</v>
          </cell>
          <cell r="H603">
            <v>36</v>
          </cell>
          <cell r="I603">
            <v>35</v>
          </cell>
          <cell r="J603">
            <v>14</v>
          </cell>
          <cell r="K603">
            <v>5</v>
          </cell>
          <cell r="L603" t="str">
            <v>19</v>
          </cell>
          <cell r="M603" t="str">
            <v>15</v>
          </cell>
          <cell r="T603">
            <v>320</v>
          </cell>
        </row>
        <row r="604">
          <cell r="A604" t="str">
            <v>NURS-170</v>
          </cell>
          <cell r="B604">
            <v>8</v>
          </cell>
          <cell r="C604">
            <v>11</v>
          </cell>
          <cell r="D604">
            <v>9</v>
          </cell>
          <cell r="E604">
            <v>10</v>
          </cell>
          <cell r="G604">
            <v>12</v>
          </cell>
          <cell r="H604">
            <v>12</v>
          </cell>
          <cell r="I604">
            <v>10</v>
          </cell>
          <cell r="T604">
            <v>72</v>
          </cell>
        </row>
        <row r="605">
          <cell r="A605" t="str">
            <v>NURS-171</v>
          </cell>
          <cell r="B605">
            <v>7</v>
          </cell>
          <cell r="C605">
            <v>10</v>
          </cell>
          <cell r="D605">
            <v>11</v>
          </cell>
          <cell r="E605">
            <v>9</v>
          </cell>
          <cell r="G605">
            <v>10</v>
          </cell>
          <cell r="H605">
            <v>11</v>
          </cell>
          <cell r="I605">
            <v>8</v>
          </cell>
          <cell r="J605">
            <v>8</v>
          </cell>
          <cell r="T605">
            <v>74</v>
          </cell>
        </row>
        <row r="606">
          <cell r="A606" t="str">
            <v>NURS-172</v>
          </cell>
          <cell r="B606">
            <v>6</v>
          </cell>
          <cell r="C606">
            <v>9</v>
          </cell>
          <cell r="D606">
            <v>11</v>
          </cell>
          <cell r="E606">
            <v>10</v>
          </cell>
          <cell r="F606">
            <v>8</v>
          </cell>
          <cell r="G606">
            <v>6</v>
          </cell>
          <cell r="H606">
            <v>9</v>
          </cell>
          <cell r="I606">
            <v>8</v>
          </cell>
          <cell r="J606">
            <v>9</v>
          </cell>
          <cell r="T606">
            <v>76</v>
          </cell>
        </row>
        <row r="607">
          <cell r="A607" t="str">
            <v>NURS-173</v>
          </cell>
          <cell r="B607">
            <v>5</v>
          </cell>
          <cell r="C607">
            <v>6</v>
          </cell>
          <cell r="D607">
            <v>8</v>
          </cell>
          <cell r="E607">
            <v>7</v>
          </cell>
          <cell r="F607">
            <v>9</v>
          </cell>
          <cell r="G607">
            <v>6</v>
          </cell>
          <cell r="H607">
            <v>9</v>
          </cell>
          <cell r="I607">
            <v>11</v>
          </cell>
          <cell r="J607">
            <v>10</v>
          </cell>
          <cell r="K607">
            <v>8</v>
          </cell>
          <cell r="T607">
            <v>79</v>
          </cell>
        </row>
        <row r="608">
          <cell r="A608" t="str">
            <v>NURS-180</v>
          </cell>
          <cell r="B608">
            <v>11</v>
          </cell>
          <cell r="C608">
            <v>11</v>
          </cell>
          <cell r="D608">
            <v>10</v>
          </cell>
          <cell r="E608">
            <v>11</v>
          </cell>
          <cell r="G608">
            <v>11</v>
          </cell>
          <cell r="H608">
            <v>11</v>
          </cell>
          <cell r="I608">
            <v>10</v>
          </cell>
          <cell r="J608">
            <v>12</v>
          </cell>
          <cell r="T608">
            <v>87</v>
          </cell>
        </row>
        <row r="609">
          <cell r="A609" t="str">
            <v>NURS-182</v>
          </cell>
          <cell r="B609">
            <v>46</v>
          </cell>
          <cell r="C609">
            <v>65</v>
          </cell>
          <cell r="D609">
            <v>67</v>
          </cell>
          <cell r="E609">
            <v>26</v>
          </cell>
          <cell r="F609">
            <v>38</v>
          </cell>
          <cell r="G609">
            <v>49</v>
          </cell>
          <cell r="H609">
            <v>46</v>
          </cell>
          <cell r="I609">
            <v>28</v>
          </cell>
          <cell r="J609">
            <v>85</v>
          </cell>
          <cell r="K609">
            <v>53</v>
          </cell>
          <cell r="L609" t="str">
            <v>20</v>
          </cell>
          <cell r="M609" t="str">
            <v>25</v>
          </cell>
          <cell r="T609">
            <v>548</v>
          </cell>
        </row>
        <row r="610">
          <cell r="A610" t="str">
            <v>NURS-183</v>
          </cell>
          <cell r="B610">
            <v>19</v>
          </cell>
          <cell r="C610">
            <v>17</v>
          </cell>
          <cell r="D610">
            <v>21</v>
          </cell>
          <cell r="E610">
            <v>21</v>
          </cell>
          <cell r="G610">
            <v>21</v>
          </cell>
          <cell r="H610">
            <v>15</v>
          </cell>
          <cell r="I610">
            <v>19</v>
          </cell>
          <cell r="J610">
            <v>12</v>
          </cell>
          <cell r="T610">
            <v>145</v>
          </cell>
        </row>
        <row r="611">
          <cell r="A611" t="str">
            <v>NURS-190</v>
          </cell>
          <cell r="B611">
            <v>9</v>
          </cell>
          <cell r="C611">
            <v>7</v>
          </cell>
          <cell r="D611">
            <v>10</v>
          </cell>
          <cell r="E611">
            <v>7</v>
          </cell>
          <cell r="F611">
            <v>11</v>
          </cell>
          <cell r="G611">
            <v>11</v>
          </cell>
          <cell r="H611">
            <v>10</v>
          </cell>
          <cell r="I611">
            <v>9</v>
          </cell>
          <cell r="J611">
            <v>11</v>
          </cell>
          <cell r="T611">
            <v>85</v>
          </cell>
        </row>
        <row r="612">
          <cell r="A612" t="str">
            <v>NURS-192</v>
          </cell>
          <cell r="B612">
            <v>16</v>
          </cell>
          <cell r="C612">
            <v>17</v>
          </cell>
          <cell r="D612">
            <v>23</v>
          </cell>
          <cell r="E612">
            <v>15</v>
          </cell>
          <cell r="F612">
            <v>11</v>
          </cell>
          <cell r="G612">
            <v>19</v>
          </cell>
          <cell r="H612">
            <v>21</v>
          </cell>
          <cell r="I612">
            <v>20</v>
          </cell>
          <cell r="J612">
            <v>19</v>
          </cell>
          <cell r="T612">
            <v>161</v>
          </cell>
        </row>
        <row r="613">
          <cell r="A613" t="str">
            <v>NURS-193</v>
          </cell>
          <cell r="B613">
            <v>18</v>
          </cell>
          <cell r="C613">
            <v>16</v>
          </cell>
          <cell r="D613">
            <v>21</v>
          </cell>
          <cell r="E613">
            <v>18</v>
          </cell>
          <cell r="F613">
            <v>11</v>
          </cell>
          <cell r="G613">
            <v>14</v>
          </cell>
          <cell r="H613">
            <v>13</v>
          </cell>
          <cell r="I613">
            <v>18</v>
          </cell>
          <cell r="J613">
            <v>19</v>
          </cell>
          <cell r="T613">
            <v>148</v>
          </cell>
        </row>
        <row r="614">
          <cell r="A614" t="str">
            <v>NURS-194</v>
          </cell>
          <cell r="B614">
            <v>9</v>
          </cell>
          <cell r="C614">
            <v>12</v>
          </cell>
          <cell r="D614">
            <v>13</v>
          </cell>
          <cell r="E614">
            <v>25</v>
          </cell>
          <cell r="F614">
            <v>21</v>
          </cell>
          <cell r="G614">
            <v>40</v>
          </cell>
          <cell r="H614">
            <v>44</v>
          </cell>
          <cell r="I614">
            <v>24</v>
          </cell>
          <cell r="J614">
            <v>34</v>
          </cell>
          <cell r="K614">
            <v>23</v>
          </cell>
          <cell r="R614">
            <v>27</v>
          </cell>
          <cell r="S614">
            <v>18</v>
          </cell>
          <cell r="T614">
            <v>290</v>
          </cell>
        </row>
        <row r="615">
          <cell r="A615" t="str">
            <v>NURS-200</v>
          </cell>
          <cell r="B615">
            <v>14</v>
          </cell>
          <cell r="C615">
            <v>10</v>
          </cell>
          <cell r="D615">
            <v>9</v>
          </cell>
          <cell r="E615">
            <v>8</v>
          </cell>
          <cell r="F615">
            <v>11</v>
          </cell>
          <cell r="G615">
            <v>9</v>
          </cell>
          <cell r="H615">
            <v>7</v>
          </cell>
          <cell r="I615">
            <v>10</v>
          </cell>
          <cell r="J615">
            <v>7</v>
          </cell>
          <cell r="K615">
            <v>11</v>
          </cell>
          <cell r="T615">
            <v>96</v>
          </cell>
        </row>
        <row r="616">
          <cell r="A616" t="str">
            <v>NURS-212</v>
          </cell>
          <cell r="B616">
            <v>9</v>
          </cell>
          <cell r="C616">
            <v>12</v>
          </cell>
          <cell r="D616">
            <v>13</v>
          </cell>
          <cell r="E616">
            <v>24</v>
          </cell>
          <cell r="F616">
            <v>21</v>
          </cell>
          <cell r="G616">
            <v>40</v>
          </cell>
          <cell r="H616">
            <v>44</v>
          </cell>
          <cell r="I616">
            <v>24</v>
          </cell>
          <cell r="J616">
            <v>34</v>
          </cell>
          <cell r="K616">
            <v>24</v>
          </cell>
          <cell r="R616">
            <v>27</v>
          </cell>
          <cell r="S616">
            <v>18</v>
          </cell>
          <cell r="T616">
            <v>290</v>
          </cell>
        </row>
        <row r="617">
          <cell r="A617" t="str">
            <v>NURS-214</v>
          </cell>
          <cell r="B617">
            <v>8</v>
          </cell>
          <cell r="C617">
            <v>11</v>
          </cell>
          <cell r="D617">
            <v>13</v>
          </cell>
          <cell r="E617">
            <v>24</v>
          </cell>
          <cell r="F617">
            <v>23</v>
          </cell>
          <cell r="G617">
            <v>39</v>
          </cell>
          <cell r="H617">
            <v>44</v>
          </cell>
          <cell r="I617">
            <v>23</v>
          </cell>
          <cell r="J617">
            <v>32</v>
          </cell>
          <cell r="K617">
            <v>24</v>
          </cell>
          <cell r="R617">
            <v>28</v>
          </cell>
          <cell r="S617">
            <v>18</v>
          </cell>
          <cell r="T617">
            <v>287</v>
          </cell>
        </row>
        <row r="618">
          <cell r="A618" t="str">
            <v>NURS-220</v>
          </cell>
          <cell r="B618">
            <v>43</v>
          </cell>
          <cell r="T618">
            <v>43</v>
          </cell>
        </row>
        <row r="619">
          <cell r="A619" t="str">
            <v>NURS-221</v>
          </cell>
          <cell r="B619">
            <v>41</v>
          </cell>
          <cell r="T619">
            <v>41</v>
          </cell>
        </row>
        <row r="620">
          <cell r="A620" t="str">
            <v>NURS-222</v>
          </cell>
          <cell r="C620">
            <v>40</v>
          </cell>
          <cell r="D620">
            <v>43</v>
          </cell>
          <cell r="E620">
            <v>23</v>
          </cell>
          <cell r="F620">
            <v>31</v>
          </cell>
          <cell r="G620">
            <v>9</v>
          </cell>
          <cell r="H620">
            <v>11</v>
          </cell>
          <cell r="I620">
            <v>13</v>
          </cell>
          <cell r="J620">
            <v>21</v>
          </cell>
          <cell r="K620">
            <v>21</v>
          </cell>
          <cell r="R620">
            <v>21</v>
          </cell>
          <cell r="S620">
            <v>28</v>
          </cell>
          <cell r="T620">
            <v>261</v>
          </cell>
        </row>
        <row r="621">
          <cell r="A621" t="str">
            <v>NURS-224</v>
          </cell>
          <cell r="C621">
            <v>39</v>
          </cell>
          <cell r="D621">
            <v>44</v>
          </cell>
          <cell r="E621">
            <v>23</v>
          </cell>
          <cell r="F621">
            <v>31</v>
          </cell>
          <cell r="G621">
            <v>9</v>
          </cell>
          <cell r="H621">
            <v>12</v>
          </cell>
          <cell r="I621">
            <v>13</v>
          </cell>
          <cell r="J621">
            <v>21</v>
          </cell>
          <cell r="K621">
            <v>21</v>
          </cell>
          <cell r="R621">
            <v>21</v>
          </cell>
          <cell r="S621">
            <v>28</v>
          </cell>
          <cell r="T621">
            <v>262</v>
          </cell>
        </row>
        <row r="622">
          <cell r="A622" t="str">
            <v>NURS-226</v>
          </cell>
          <cell r="C622">
            <v>40</v>
          </cell>
          <cell r="D622">
            <v>43</v>
          </cell>
          <cell r="E622">
            <v>24</v>
          </cell>
          <cell r="F622">
            <v>31</v>
          </cell>
          <cell r="G622">
            <v>9</v>
          </cell>
          <cell r="H622">
            <v>11</v>
          </cell>
          <cell r="J622">
            <v>21</v>
          </cell>
          <cell r="K622">
            <v>20</v>
          </cell>
          <cell r="R622">
            <v>21</v>
          </cell>
          <cell r="S622">
            <v>27</v>
          </cell>
          <cell r="T622">
            <v>247</v>
          </cell>
        </row>
        <row r="623">
          <cell r="A623" t="str">
            <v>NURS-230</v>
          </cell>
          <cell r="B623">
            <v>46</v>
          </cell>
          <cell r="G623">
            <v>43</v>
          </cell>
          <cell r="T623">
            <v>89</v>
          </cell>
        </row>
        <row r="624">
          <cell r="A624" t="str">
            <v>NURS-231</v>
          </cell>
          <cell r="B624">
            <v>41</v>
          </cell>
          <cell r="G624">
            <v>44</v>
          </cell>
          <cell r="T624">
            <v>85</v>
          </cell>
        </row>
        <row r="625">
          <cell r="A625" t="str">
            <v>NURS-232</v>
          </cell>
          <cell r="G625">
            <v>23</v>
          </cell>
          <cell r="H625">
            <v>21</v>
          </cell>
          <cell r="I625">
            <v>22</v>
          </cell>
          <cell r="J625">
            <v>17</v>
          </cell>
          <cell r="K625">
            <v>3</v>
          </cell>
          <cell r="N625" t="str">
            <v>13</v>
          </cell>
          <cell r="S625">
            <v>7</v>
          </cell>
          <cell r="T625">
            <v>106</v>
          </cell>
        </row>
        <row r="626">
          <cell r="A626" t="str">
            <v>NURS-234</v>
          </cell>
          <cell r="C626">
            <v>28</v>
          </cell>
          <cell r="D626">
            <v>51</v>
          </cell>
          <cell r="E626">
            <v>33</v>
          </cell>
          <cell r="F626">
            <v>31</v>
          </cell>
          <cell r="H626">
            <v>39</v>
          </cell>
          <cell r="I626">
            <v>43</v>
          </cell>
          <cell r="J626">
            <v>24</v>
          </cell>
          <cell r="K626">
            <v>28</v>
          </cell>
          <cell r="R626">
            <v>24</v>
          </cell>
          <cell r="S626">
            <v>23</v>
          </cell>
          <cell r="T626">
            <v>324</v>
          </cell>
        </row>
        <row r="627">
          <cell r="A627" t="str">
            <v>NURS-236</v>
          </cell>
          <cell r="C627">
            <v>25</v>
          </cell>
          <cell r="D627">
            <v>50</v>
          </cell>
          <cell r="E627">
            <v>33</v>
          </cell>
          <cell r="F627">
            <v>33</v>
          </cell>
          <cell r="H627">
            <v>39</v>
          </cell>
          <cell r="I627">
            <v>43</v>
          </cell>
          <cell r="J627">
            <v>23</v>
          </cell>
          <cell r="K627">
            <v>29</v>
          </cell>
          <cell r="R627">
            <v>23</v>
          </cell>
          <cell r="S627">
            <v>23</v>
          </cell>
          <cell r="T627">
            <v>321</v>
          </cell>
        </row>
        <row r="628">
          <cell r="A628" t="str">
            <v>NURS-238</v>
          </cell>
          <cell r="C628">
            <v>27</v>
          </cell>
          <cell r="D628">
            <v>51</v>
          </cell>
          <cell r="E628">
            <v>33</v>
          </cell>
          <cell r="F628">
            <v>33</v>
          </cell>
          <cell r="H628">
            <v>39</v>
          </cell>
          <cell r="I628">
            <v>43</v>
          </cell>
          <cell r="J628">
            <v>24</v>
          </cell>
          <cell r="K628">
            <v>29</v>
          </cell>
          <cell r="R628">
            <v>23</v>
          </cell>
          <cell r="S628">
            <v>23</v>
          </cell>
          <cell r="T628">
            <v>325</v>
          </cell>
        </row>
        <row r="629">
          <cell r="A629" t="str">
            <v>NURS-240</v>
          </cell>
          <cell r="B629">
            <v>42</v>
          </cell>
          <cell r="C629">
            <v>42</v>
          </cell>
          <cell r="G629">
            <v>40</v>
          </cell>
          <cell r="T629">
            <v>124</v>
          </cell>
        </row>
        <row r="630">
          <cell r="A630" t="str">
            <v>NURS-244</v>
          </cell>
          <cell r="D630">
            <v>40</v>
          </cell>
          <cell r="E630">
            <v>46</v>
          </cell>
          <cell r="F630">
            <v>24</v>
          </cell>
          <cell r="H630">
            <v>26</v>
          </cell>
          <cell r="I630">
            <v>48</v>
          </cell>
          <cell r="J630">
            <v>33</v>
          </cell>
          <cell r="K630">
            <v>30</v>
          </cell>
          <cell r="R630">
            <v>30</v>
          </cell>
          <cell r="S630">
            <v>24</v>
          </cell>
          <cell r="T630">
            <v>301</v>
          </cell>
        </row>
        <row r="631">
          <cell r="A631" t="str">
            <v>NURS-248</v>
          </cell>
          <cell r="D631">
            <v>40</v>
          </cell>
          <cell r="E631">
            <v>46</v>
          </cell>
          <cell r="F631">
            <v>24</v>
          </cell>
          <cell r="H631">
            <v>23</v>
          </cell>
          <cell r="I631">
            <v>48</v>
          </cell>
          <cell r="J631">
            <v>33</v>
          </cell>
          <cell r="K631">
            <v>25</v>
          </cell>
          <cell r="R631">
            <v>30</v>
          </cell>
          <cell r="S631">
            <v>24</v>
          </cell>
          <cell r="T631">
            <v>293</v>
          </cell>
        </row>
        <row r="632">
          <cell r="A632" t="str">
            <v>NURS-299</v>
          </cell>
          <cell r="C632">
            <v>8</v>
          </cell>
          <cell r="G632">
            <v>4</v>
          </cell>
          <cell r="H632">
            <v>15</v>
          </cell>
          <cell r="T632">
            <v>27</v>
          </cell>
        </row>
        <row r="633">
          <cell r="A633" t="str">
            <v>NUTR-100</v>
          </cell>
          <cell r="B633">
            <v>68</v>
          </cell>
          <cell r="C633">
            <v>39</v>
          </cell>
          <cell r="D633">
            <v>38</v>
          </cell>
          <cell r="E633">
            <v>39</v>
          </cell>
          <cell r="F633">
            <v>38</v>
          </cell>
          <cell r="G633">
            <v>36</v>
          </cell>
          <cell r="H633">
            <v>34</v>
          </cell>
          <cell r="I633">
            <v>45</v>
          </cell>
          <cell r="J633">
            <v>41</v>
          </cell>
          <cell r="K633">
            <v>34</v>
          </cell>
          <cell r="L633" t="str">
            <v>12</v>
          </cell>
          <cell r="R633">
            <v>33</v>
          </cell>
          <cell r="S633">
            <v>27</v>
          </cell>
          <cell r="T633">
            <v>484</v>
          </cell>
        </row>
        <row r="634">
          <cell r="A634" t="str">
            <v>NUTR-101</v>
          </cell>
          <cell r="B634">
            <v>96</v>
          </cell>
          <cell r="C634">
            <v>108</v>
          </cell>
          <cell r="D634">
            <v>77</v>
          </cell>
          <cell r="E634">
            <v>70</v>
          </cell>
          <cell r="F634">
            <v>78</v>
          </cell>
          <cell r="G634">
            <v>103</v>
          </cell>
          <cell r="H634">
            <v>70</v>
          </cell>
          <cell r="I634">
            <v>83</v>
          </cell>
          <cell r="J634">
            <v>37</v>
          </cell>
          <cell r="K634">
            <v>36</v>
          </cell>
          <cell r="L634" t="str">
            <v>25</v>
          </cell>
          <cell r="M634" t="str">
            <v>27</v>
          </cell>
          <cell r="R634">
            <v>65</v>
          </cell>
          <cell r="S634">
            <v>68</v>
          </cell>
          <cell r="T634">
            <v>943</v>
          </cell>
        </row>
        <row r="635">
          <cell r="A635" t="str">
            <v>OI-149</v>
          </cell>
          <cell r="B635">
            <v>7</v>
          </cell>
          <cell r="C635">
            <v>1</v>
          </cell>
          <cell r="G635">
            <v>11</v>
          </cell>
          <cell r="H635">
            <v>12</v>
          </cell>
          <cell r="K635">
            <v>2</v>
          </cell>
          <cell r="S635">
            <v>1</v>
          </cell>
          <cell r="T635">
            <v>34</v>
          </cell>
        </row>
        <row r="636">
          <cell r="A636" t="str">
            <v>OTEC-095</v>
          </cell>
          <cell r="B636">
            <v>1</v>
          </cell>
          <cell r="T636">
            <v>1</v>
          </cell>
        </row>
        <row r="637">
          <cell r="A637" t="str">
            <v>OTEC-131</v>
          </cell>
          <cell r="C637">
            <v>13</v>
          </cell>
          <cell r="G637">
            <v>20</v>
          </cell>
          <cell r="I637">
            <v>15</v>
          </cell>
          <cell r="T637">
            <v>48</v>
          </cell>
        </row>
        <row r="638">
          <cell r="A638" t="str">
            <v>OTEC-144</v>
          </cell>
          <cell r="B638">
            <v>40</v>
          </cell>
          <cell r="C638">
            <v>51</v>
          </cell>
          <cell r="D638">
            <v>49</v>
          </cell>
          <cell r="E638">
            <v>55</v>
          </cell>
          <cell r="F638">
            <v>45</v>
          </cell>
          <cell r="G638">
            <v>42</v>
          </cell>
          <cell r="H638">
            <v>51</v>
          </cell>
          <cell r="I638">
            <v>54</v>
          </cell>
          <cell r="J638">
            <v>43</v>
          </cell>
          <cell r="K638">
            <v>50</v>
          </cell>
          <cell r="L638" t="str">
            <v>14</v>
          </cell>
          <cell r="R638">
            <v>46</v>
          </cell>
          <cell r="S638">
            <v>51</v>
          </cell>
          <cell r="T638">
            <v>591</v>
          </cell>
        </row>
        <row r="639">
          <cell r="A639" t="str">
            <v>OTEC-178</v>
          </cell>
          <cell r="K639">
            <v>17</v>
          </cell>
          <cell r="T639">
            <v>17</v>
          </cell>
        </row>
        <row r="640">
          <cell r="A640" t="str">
            <v>OTEC-180</v>
          </cell>
          <cell r="F640">
            <v>22</v>
          </cell>
          <cell r="T640">
            <v>22</v>
          </cell>
        </row>
        <row r="641">
          <cell r="A641" t="str">
            <v>PE-100</v>
          </cell>
          <cell r="B641">
            <v>15</v>
          </cell>
          <cell r="C641">
            <v>22</v>
          </cell>
          <cell r="D641">
            <v>43</v>
          </cell>
          <cell r="E641">
            <v>39</v>
          </cell>
          <cell r="F641">
            <v>34</v>
          </cell>
          <cell r="G641">
            <v>17</v>
          </cell>
          <cell r="H641">
            <v>44</v>
          </cell>
          <cell r="I641">
            <v>47</v>
          </cell>
          <cell r="J641">
            <v>37</v>
          </cell>
          <cell r="K641">
            <v>39</v>
          </cell>
          <cell r="T641">
            <v>337</v>
          </cell>
        </row>
        <row r="642">
          <cell r="A642" t="str">
            <v>PE-108</v>
          </cell>
          <cell r="G642">
            <v>8</v>
          </cell>
          <cell r="H642">
            <v>14</v>
          </cell>
          <cell r="I642">
            <v>22</v>
          </cell>
          <cell r="J642">
            <v>22</v>
          </cell>
          <cell r="L642" t="str">
            <v>8</v>
          </cell>
          <cell r="M642" t="str">
            <v>13</v>
          </cell>
          <cell r="N642" t="str">
            <v>29</v>
          </cell>
          <cell r="O642" t="str">
            <v>20</v>
          </cell>
          <cell r="R642">
            <v>30</v>
          </cell>
          <cell r="T642">
            <v>166</v>
          </cell>
        </row>
        <row r="643">
          <cell r="A643" t="str">
            <v>PE-111</v>
          </cell>
          <cell r="C643">
            <v>22</v>
          </cell>
          <cell r="D643">
            <v>35</v>
          </cell>
          <cell r="E643">
            <v>37</v>
          </cell>
          <cell r="G643">
            <v>9</v>
          </cell>
          <cell r="H643">
            <v>23</v>
          </cell>
          <cell r="I643">
            <v>37</v>
          </cell>
          <cell r="J643">
            <v>29</v>
          </cell>
          <cell r="K643">
            <v>32</v>
          </cell>
          <cell r="T643">
            <v>224</v>
          </cell>
        </row>
        <row r="644">
          <cell r="A644" t="str">
            <v>PE-112</v>
          </cell>
          <cell r="B644">
            <v>55</v>
          </cell>
          <cell r="C644">
            <v>43</v>
          </cell>
          <cell r="D644">
            <v>44</v>
          </cell>
          <cell r="E644">
            <v>126</v>
          </cell>
          <cell r="F644">
            <v>118</v>
          </cell>
          <cell r="G644">
            <v>33</v>
          </cell>
          <cell r="H644">
            <v>45</v>
          </cell>
          <cell r="I644">
            <v>142</v>
          </cell>
          <cell r="J644">
            <v>126</v>
          </cell>
          <cell r="K644">
            <v>122</v>
          </cell>
          <cell r="L644" t="str">
            <v>11</v>
          </cell>
          <cell r="M644" t="str">
            <v>20</v>
          </cell>
          <cell r="R644">
            <v>104</v>
          </cell>
          <cell r="T644">
            <v>989</v>
          </cell>
        </row>
        <row r="645">
          <cell r="A645" t="str">
            <v>PE-112H</v>
          </cell>
          <cell r="G645">
            <v>2</v>
          </cell>
          <cell r="J645">
            <v>2</v>
          </cell>
          <cell r="K645">
            <v>1</v>
          </cell>
          <cell r="T645">
            <v>5</v>
          </cell>
        </row>
        <row r="646">
          <cell r="A646" t="str">
            <v>PE-113</v>
          </cell>
          <cell r="B646">
            <v>5</v>
          </cell>
          <cell r="C646">
            <v>14</v>
          </cell>
          <cell r="D646">
            <v>19</v>
          </cell>
          <cell r="E646">
            <v>20</v>
          </cell>
          <cell r="F646">
            <v>22</v>
          </cell>
          <cell r="G646">
            <v>12</v>
          </cell>
          <cell r="H646">
            <v>16</v>
          </cell>
          <cell r="I646">
            <v>14</v>
          </cell>
          <cell r="J646">
            <v>18</v>
          </cell>
          <cell r="K646">
            <v>22</v>
          </cell>
          <cell r="R646">
            <v>23</v>
          </cell>
          <cell r="T646">
            <v>185</v>
          </cell>
        </row>
        <row r="647">
          <cell r="A647" t="str">
            <v>PE-114</v>
          </cell>
          <cell r="B647">
            <v>24</v>
          </cell>
          <cell r="C647">
            <v>18</v>
          </cell>
          <cell r="D647">
            <v>81</v>
          </cell>
          <cell r="G647">
            <v>19</v>
          </cell>
          <cell r="H647">
            <v>22</v>
          </cell>
          <cell r="I647">
            <v>20</v>
          </cell>
          <cell r="T647">
            <v>184</v>
          </cell>
        </row>
        <row r="648">
          <cell r="A648" t="str">
            <v>PE-115</v>
          </cell>
          <cell r="B648">
            <v>68</v>
          </cell>
          <cell r="C648">
            <v>78</v>
          </cell>
          <cell r="D648">
            <v>90</v>
          </cell>
          <cell r="E648">
            <v>103</v>
          </cell>
          <cell r="F648">
            <v>58</v>
          </cell>
          <cell r="G648">
            <v>69</v>
          </cell>
          <cell r="H648">
            <v>99</v>
          </cell>
          <cell r="I648">
            <v>88</v>
          </cell>
          <cell r="J648">
            <v>78</v>
          </cell>
          <cell r="K648">
            <v>85</v>
          </cell>
          <cell r="L648" t="str">
            <v>18</v>
          </cell>
          <cell r="M648" t="str">
            <v>23</v>
          </cell>
          <cell r="R648">
            <v>104</v>
          </cell>
          <cell r="T648">
            <v>961</v>
          </cell>
        </row>
        <row r="649">
          <cell r="A649" t="str">
            <v>PE-116</v>
          </cell>
          <cell r="B649">
            <v>16</v>
          </cell>
          <cell r="C649">
            <v>15</v>
          </cell>
          <cell r="D649">
            <v>24</v>
          </cell>
          <cell r="E649">
            <v>30</v>
          </cell>
          <cell r="O649" t="str">
            <v>25</v>
          </cell>
          <cell r="T649">
            <v>110</v>
          </cell>
        </row>
        <row r="650">
          <cell r="A650" t="str">
            <v>PE-119</v>
          </cell>
          <cell r="B650">
            <v>23</v>
          </cell>
          <cell r="C650">
            <v>39</v>
          </cell>
          <cell r="D650">
            <v>80</v>
          </cell>
          <cell r="E650">
            <v>85</v>
          </cell>
          <cell r="F650">
            <v>45</v>
          </cell>
          <cell r="G650">
            <v>40</v>
          </cell>
          <cell r="H650">
            <v>65</v>
          </cell>
          <cell r="I650">
            <v>72</v>
          </cell>
          <cell r="J650">
            <v>53</v>
          </cell>
          <cell r="K650">
            <v>45</v>
          </cell>
          <cell r="R650">
            <v>61</v>
          </cell>
          <cell r="T650">
            <v>608</v>
          </cell>
        </row>
        <row r="651">
          <cell r="A651" t="str">
            <v>PE-120</v>
          </cell>
          <cell r="B651">
            <v>30</v>
          </cell>
          <cell r="C651">
            <v>60</v>
          </cell>
          <cell r="D651">
            <v>50</v>
          </cell>
          <cell r="G651">
            <v>27</v>
          </cell>
          <cell r="H651">
            <v>54</v>
          </cell>
          <cell r="T651">
            <v>221</v>
          </cell>
        </row>
        <row r="652">
          <cell r="A652" t="str">
            <v>PE-121</v>
          </cell>
          <cell r="R652">
            <v>36</v>
          </cell>
          <cell r="T652">
            <v>36</v>
          </cell>
        </row>
        <row r="653">
          <cell r="A653" t="str">
            <v>PE-133</v>
          </cell>
          <cell r="B653">
            <v>13</v>
          </cell>
          <cell r="C653">
            <v>13</v>
          </cell>
          <cell r="G653">
            <v>19</v>
          </cell>
          <cell r="H653">
            <v>25</v>
          </cell>
          <cell r="J653">
            <v>25</v>
          </cell>
          <cell r="K653">
            <v>25</v>
          </cell>
          <cell r="R653">
            <v>31</v>
          </cell>
          <cell r="T653">
            <v>151</v>
          </cell>
        </row>
        <row r="654">
          <cell r="A654" t="str">
            <v>PE-134</v>
          </cell>
          <cell r="I654">
            <v>8</v>
          </cell>
          <cell r="T654">
            <v>8</v>
          </cell>
        </row>
        <row r="655">
          <cell r="A655" t="str">
            <v>PE-135</v>
          </cell>
          <cell r="B655">
            <v>13</v>
          </cell>
          <cell r="C655">
            <v>15</v>
          </cell>
          <cell r="G655">
            <v>11</v>
          </cell>
          <cell r="T655">
            <v>39</v>
          </cell>
        </row>
        <row r="656">
          <cell r="A656" t="str">
            <v>PE-136</v>
          </cell>
          <cell r="B656">
            <v>36</v>
          </cell>
          <cell r="C656">
            <v>8</v>
          </cell>
          <cell r="G656">
            <v>16</v>
          </cell>
          <cell r="L656" t="str">
            <v>14</v>
          </cell>
          <cell r="T656">
            <v>74</v>
          </cell>
        </row>
        <row r="657">
          <cell r="A657" t="str">
            <v>PE-137</v>
          </cell>
          <cell r="B657">
            <v>21</v>
          </cell>
          <cell r="C657">
            <v>26</v>
          </cell>
          <cell r="E657">
            <v>32</v>
          </cell>
          <cell r="G657">
            <v>19</v>
          </cell>
          <cell r="H657">
            <v>32</v>
          </cell>
          <cell r="I657">
            <v>32</v>
          </cell>
          <cell r="J657">
            <v>28</v>
          </cell>
          <cell r="K657">
            <v>36</v>
          </cell>
          <cell r="T657">
            <v>226</v>
          </cell>
        </row>
        <row r="658">
          <cell r="A658" t="str">
            <v>PE-139</v>
          </cell>
          <cell r="B658">
            <v>24</v>
          </cell>
          <cell r="C658">
            <v>16</v>
          </cell>
          <cell r="D658">
            <v>20</v>
          </cell>
          <cell r="E658">
            <v>24</v>
          </cell>
          <cell r="F658">
            <v>21</v>
          </cell>
          <cell r="R658">
            <v>24</v>
          </cell>
          <cell r="T658">
            <v>129</v>
          </cell>
        </row>
        <row r="659">
          <cell r="A659" t="str">
            <v>PE-148</v>
          </cell>
          <cell r="G659">
            <v>10</v>
          </cell>
          <cell r="H659">
            <v>13</v>
          </cell>
          <cell r="I659">
            <v>20</v>
          </cell>
          <cell r="J659">
            <v>18</v>
          </cell>
          <cell r="K659">
            <v>20</v>
          </cell>
          <cell r="T659">
            <v>81</v>
          </cell>
        </row>
        <row r="660">
          <cell r="A660" t="str">
            <v>PE-150</v>
          </cell>
          <cell r="G660">
            <v>17</v>
          </cell>
          <cell r="T660">
            <v>17</v>
          </cell>
        </row>
        <row r="661">
          <cell r="A661" t="str">
            <v>PE-160</v>
          </cell>
          <cell r="C661">
            <v>12</v>
          </cell>
          <cell r="T661">
            <v>12</v>
          </cell>
        </row>
        <row r="662">
          <cell r="A662" t="str">
            <v>PE-299</v>
          </cell>
          <cell r="C662">
            <v>3</v>
          </cell>
          <cell r="D662">
            <v>1</v>
          </cell>
          <cell r="K662">
            <v>1</v>
          </cell>
          <cell r="L662" t="str">
            <v>1</v>
          </cell>
          <cell r="T662">
            <v>6</v>
          </cell>
        </row>
        <row r="663">
          <cell r="A663" t="str">
            <v>PEIC-110</v>
          </cell>
          <cell r="F663">
            <v>7</v>
          </cell>
          <cell r="P663" t="str">
            <v>28</v>
          </cell>
          <cell r="Q663" t="str">
            <v>22</v>
          </cell>
          <cell r="R663">
            <v>13</v>
          </cell>
          <cell r="T663">
            <v>70</v>
          </cell>
        </row>
        <row r="664">
          <cell r="A664" t="str">
            <v>PEIC-112</v>
          </cell>
          <cell r="F664">
            <v>10</v>
          </cell>
          <cell r="K664">
            <v>14</v>
          </cell>
          <cell r="T664">
            <v>24</v>
          </cell>
        </row>
        <row r="665">
          <cell r="A665" t="str">
            <v>PEIC-114</v>
          </cell>
          <cell r="K665">
            <v>9</v>
          </cell>
          <cell r="Q665" t="str">
            <v>8</v>
          </cell>
          <cell r="T665">
            <v>17</v>
          </cell>
        </row>
        <row r="666">
          <cell r="A666" t="str">
            <v>PHIL-101</v>
          </cell>
          <cell r="B666">
            <v>112</v>
          </cell>
          <cell r="C666">
            <v>137</v>
          </cell>
          <cell r="D666">
            <v>98</v>
          </cell>
          <cell r="E666">
            <v>67</v>
          </cell>
          <cell r="F666">
            <v>73</v>
          </cell>
          <cell r="G666">
            <v>104</v>
          </cell>
          <cell r="H666">
            <v>150</v>
          </cell>
          <cell r="I666">
            <v>112</v>
          </cell>
          <cell r="J666">
            <v>95</v>
          </cell>
          <cell r="K666">
            <v>76</v>
          </cell>
          <cell r="L666" t="str">
            <v>21</v>
          </cell>
          <cell r="M666" t="str">
            <v>40</v>
          </cell>
          <cell r="R666">
            <v>33</v>
          </cell>
          <cell r="S666">
            <v>22</v>
          </cell>
          <cell r="T666">
            <v>1140</v>
          </cell>
        </row>
        <row r="667">
          <cell r="A667" t="str">
            <v>PHIL-101H</v>
          </cell>
          <cell r="C667">
            <v>1</v>
          </cell>
          <cell r="D667">
            <v>4</v>
          </cell>
          <cell r="G667">
            <v>2</v>
          </cell>
          <cell r="H667">
            <v>10</v>
          </cell>
          <cell r="I667">
            <v>3</v>
          </cell>
          <cell r="J667">
            <v>9</v>
          </cell>
          <cell r="R667">
            <v>3</v>
          </cell>
          <cell r="S667">
            <v>5</v>
          </cell>
          <cell r="T667">
            <v>37</v>
          </cell>
        </row>
        <row r="668">
          <cell r="A668" t="str">
            <v>PHIL-103</v>
          </cell>
          <cell r="B668">
            <v>113</v>
          </cell>
          <cell r="C668">
            <v>126</v>
          </cell>
          <cell r="D668">
            <v>60</v>
          </cell>
          <cell r="E668">
            <v>34</v>
          </cell>
          <cell r="F668">
            <v>32</v>
          </cell>
          <cell r="G668">
            <v>66</v>
          </cell>
          <cell r="H668">
            <v>105</v>
          </cell>
          <cell r="K668">
            <v>39</v>
          </cell>
          <cell r="L668" t="str">
            <v>10</v>
          </cell>
          <cell r="R668">
            <v>33</v>
          </cell>
          <cell r="S668">
            <v>43</v>
          </cell>
          <cell r="T668">
            <v>661</v>
          </cell>
        </row>
        <row r="669">
          <cell r="A669" t="str">
            <v>PHIL-103H</v>
          </cell>
          <cell r="B669">
            <v>3</v>
          </cell>
          <cell r="C669">
            <v>3</v>
          </cell>
          <cell r="E669">
            <v>5</v>
          </cell>
          <cell r="F669">
            <v>4</v>
          </cell>
          <cell r="R669">
            <v>5</v>
          </cell>
          <cell r="T669">
            <v>20</v>
          </cell>
        </row>
        <row r="670">
          <cell r="A670" t="str">
            <v>PHIL-104</v>
          </cell>
          <cell r="B670">
            <v>51</v>
          </cell>
          <cell r="C670">
            <v>50</v>
          </cell>
          <cell r="D670">
            <v>60</v>
          </cell>
          <cell r="E670">
            <v>31</v>
          </cell>
          <cell r="F670">
            <v>30</v>
          </cell>
          <cell r="G670">
            <v>40</v>
          </cell>
          <cell r="H670">
            <v>47</v>
          </cell>
          <cell r="I670">
            <v>34</v>
          </cell>
          <cell r="J670">
            <v>30</v>
          </cell>
          <cell r="K670">
            <v>29</v>
          </cell>
          <cell r="L670" t="str">
            <v>20</v>
          </cell>
          <cell r="M670" t="str">
            <v>27</v>
          </cell>
          <cell r="R670">
            <v>58</v>
          </cell>
          <cell r="S670">
            <v>29</v>
          </cell>
          <cell r="T670">
            <v>536</v>
          </cell>
        </row>
        <row r="671">
          <cell r="A671" t="str">
            <v>PHIL-105</v>
          </cell>
          <cell r="B671">
            <v>27</v>
          </cell>
          <cell r="C671">
            <v>21</v>
          </cell>
          <cell r="D671">
            <v>54</v>
          </cell>
          <cell r="E671">
            <v>26</v>
          </cell>
          <cell r="F671">
            <v>23</v>
          </cell>
          <cell r="G671">
            <v>27</v>
          </cell>
          <cell r="H671">
            <v>29</v>
          </cell>
          <cell r="I671">
            <v>28</v>
          </cell>
          <cell r="J671">
            <v>22</v>
          </cell>
          <cell r="K671">
            <v>25</v>
          </cell>
          <cell r="S671">
            <v>28</v>
          </cell>
          <cell r="T671">
            <v>310</v>
          </cell>
        </row>
        <row r="672">
          <cell r="A672" t="str">
            <v>PHIL-111</v>
          </cell>
          <cell r="G672">
            <v>23</v>
          </cell>
          <cell r="H672">
            <v>31</v>
          </cell>
          <cell r="J672">
            <v>20</v>
          </cell>
          <cell r="K672">
            <v>29</v>
          </cell>
          <cell r="S672">
            <v>27</v>
          </cell>
          <cell r="T672">
            <v>130</v>
          </cell>
        </row>
        <row r="673">
          <cell r="A673" t="str">
            <v>PHIL-111H</v>
          </cell>
          <cell r="J673">
            <v>6</v>
          </cell>
          <cell r="T673">
            <v>6</v>
          </cell>
        </row>
        <row r="674">
          <cell r="A674" t="str">
            <v>PHIL-112</v>
          </cell>
          <cell r="B674">
            <v>19</v>
          </cell>
          <cell r="C674">
            <v>22</v>
          </cell>
          <cell r="D674">
            <v>28</v>
          </cell>
          <cell r="E674">
            <v>29</v>
          </cell>
          <cell r="F674">
            <v>29</v>
          </cell>
          <cell r="G674">
            <v>36</v>
          </cell>
          <cell r="H674">
            <v>23</v>
          </cell>
          <cell r="I674">
            <v>33</v>
          </cell>
          <cell r="J674">
            <v>23</v>
          </cell>
          <cell r="K674">
            <v>28</v>
          </cell>
          <cell r="R674">
            <v>27</v>
          </cell>
          <cell r="S674">
            <v>51</v>
          </cell>
          <cell r="T674">
            <v>348</v>
          </cell>
        </row>
        <row r="675">
          <cell r="A675" t="str">
            <v>PHIL-112H</v>
          </cell>
          <cell r="E675">
            <v>3</v>
          </cell>
          <cell r="G675">
            <v>5</v>
          </cell>
          <cell r="H675">
            <v>1</v>
          </cell>
          <cell r="J675">
            <v>2</v>
          </cell>
          <cell r="K675">
            <v>3</v>
          </cell>
          <cell r="S675">
            <v>11</v>
          </cell>
          <cell r="T675">
            <v>25</v>
          </cell>
        </row>
        <row r="676">
          <cell r="A676" t="str">
            <v>PHOT-090</v>
          </cell>
          <cell r="B676">
            <v>4</v>
          </cell>
          <cell r="C676">
            <v>39</v>
          </cell>
          <cell r="D676">
            <v>40</v>
          </cell>
          <cell r="E676">
            <v>45</v>
          </cell>
          <cell r="F676">
            <v>60</v>
          </cell>
          <cell r="G676">
            <v>27</v>
          </cell>
          <cell r="H676">
            <v>52</v>
          </cell>
          <cell r="I676">
            <v>43</v>
          </cell>
          <cell r="J676">
            <v>51</v>
          </cell>
          <cell r="K676">
            <v>67</v>
          </cell>
          <cell r="R676">
            <v>51</v>
          </cell>
          <cell r="S676">
            <v>50</v>
          </cell>
          <cell r="T676">
            <v>529</v>
          </cell>
        </row>
        <row r="677">
          <cell r="A677" t="str">
            <v>PHOT-125</v>
          </cell>
          <cell r="B677">
            <v>61</v>
          </cell>
          <cell r="C677">
            <v>65</v>
          </cell>
          <cell r="D677">
            <v>86</v>
          </cell>
          <cell r="E677">
            <v>108</v>
          </cell>
          <cell r="F677">
            <v>138</v>
          </cell>
          <cell r="G677">
            <v>66</v>
          </cell>
          <cell r="H677">
            <v>86</v>
          </cell>
          <cell r="I677">
            <v>80</v>
          </cell>
          <cell r="J677">
            <v>96</v>
          </cell>
          <cell r="K677">
            <v>120</v>
          </cell>
          <cell r="R677">
            <v>121</v>
          </cell>
          <cell r="S677">
            <v>111</v>
          </cell>
          <cell r="T677">
            <v>1138</v>
          </cell>
        </row>
        <row r="678">
          <cell r="A678" t="str">
            <v>PHOT-130</v>
          </cell>
          <cell r="B678">
            <v>5</v>
          </cell>
          <cell r="G678">
            <v>6</v>
          </cell>
          <cell r="T678">
            <v>11</v>
          </cell>
        </row>
        <row r="679">
          <cell r="A679" t="str">
            <v>PHOT-224</v>
          </cell>
          <cell r="B679">
            <v>13</v>
          </cell>
          <cell r="C679">
            <v>23</v>
          </cell>
          <cell r="D679">
            <v>18</v>
          </cell>
          <cell r="E679">
            <v>26</v>
          </cell>
          <cell r="F679">
            <v>46</v>
          </cell>
          <cell r="G679">
            <v>13</v>
          </cell>
          <cell r="H679">
            <v>21</v>
          </cell>
          <cell r="I679">
            <v>47</v>
          </cell>
          <cell r="J679">
            <v>26</v>
          </cell>
          <cell r="K679">
            <v>41</v>
          </cell>
          <cell r="R679">
            <v>39</v>
          </cell>
          <cell r="S679">
            <v>34</v>
          </cell>
          <cell r="T679">
            <v>347</v>
          </cell>
        </row>
        <row r="680">
          <cell r="A680" t="str">
            <v>PHOT-225</v>
          </cell>
          <cell r="C680">
            <v>12</v>
          </cell>
          <cell r="D680">
            <v>17</v>
          </cell>
          <cell r="E680">
            <v>32</v>
          </cell>
          <cell r="F680">
            <v>30</v>
          </cell>
          <cell r="G680">
            <v>13</v>
          </cell>
          <cell r="H680">
            <v>21</v>
          </cell>
          <cell r="I680">
            <v>18</v>
          </cell>
          <cell r="J680">
            <v>29</v>
          </cell>
          <cell r="K680">
            <v>38</v>
          </cell>
          <cell r="R680">
            <v>27</v>
          </cell>
          <cell r="S680">
            <v>23</v>
          </cell>
          <cell r="T680">
            <v>260</v>
          </cell>
        </row>
        <row r="681">
          <cell r="A681" t="str">
            <v>PHOT-299</v>
          </cell>
          <cell r="C681">
            <v>1</v>
          </cell>
          <cell r="G681">
            <v>1</v>
          </cell>
          <cell r="H681">
            <v>1</v>
          </cell>
          <cell r="K681">
            <v>1</v>
          </cell>
          <cell r="T681">
            <v>4</v>
          </cell>
        </row>
        <row r="682">
          <cell r="A682" t="str">
            <v>PHY-100</v>
          </cell>
          <cell r="B682">
            <v>55</v>
          </cell>
          <cell r="C682">
            <v>79</v>
          </cell>
          <cell r="D682">
            <v>72</v>
          </cell>
          <cell r="E682">
            <v>90</v>
          </cell>
          <cell r="F682">
            <v>88</v>
          </cell>
          <cell r="G682">
            <v>44</v>
          </cell>
          <cell r="H682">
            <v>41</v>
          </cell>
          <cell r="I682">
            <v>57</v>
          </cell>
          <cell r="J682">
            <v>51</v>
          </cell>
          <cell r="K682">
            <v>52</v>
          </cell>
          <cell r="L682" t="str">
            <v>17</v>
          </cell>
          <cell r="N682" t="str">
            <v>25</v>
          </cell>
          <cell r="R682">
            <v>80</v>
          </cell>
          <cell r="S682">
            <v>69</v>
          </cell>
          <cell r="T682">
            <v>820</v>
          </cell>
        </row>
        <row r="683">
          <cell r="A683" t="str">
            <v>PHY-101</v>
          </cell>
          <cell r="B683">
            <v>7</v>
          </cell>
          <cell r="C683">
            <v>25</v>
          </cell>
          <cell r="D683">
            <v>21</v>
          </cell>
          <cell r="E683">
            <v>24</v>
          </cell>
          <cell r="F683">
            <v>21</v>
          </cell>
          <cell r="J683">
            <v>23</v>
          </cell>
          <cell r="K683">
            <v>18</v>
          </cell>
          <cell r="L683" t="str">
            <v>4</v>
          </cell>
          <cell r="M683" t="str">
            <v>22</v>
          </cell>
          <cell r="R683">
            <v>16</v>
          </cell>
          <cell r="S683">
            <v>20</v>
          </cell>
          <cell r="T683">
            <v>201</v>
          </cell>
        </row>
        <row r="684">
          <cell r="A684" t="str">
            <v>PHY-102</v>
          </cell>
          <cell r="H684">
            <v>5</v>
          </cell>
          <cell r="I684">
            <v>9</v>
          </cell>
          <cell r="J684">
            <v>9</v>
          </cell>
          <cell r="K684">
            <v>6</v>
          </cell>
          <cell r="S684">
            <v>6</v>
          </cell>
          <cell r="T684">
            <v>35</v>
          </cell>
        </row>
        <row r="685">
          <cell r="A685" t="str">
            <v>PHY-201</v>
          </cell>
          <cell r="B685">
            <v>12</v>
          </cell>
          <cell r="C685">
            <v>18</v>
          </cell>
          <cell r="D685">
            <v>20</v>
          </cell>
          <cell r="E685">
            <v>28</v>
          </cell>
          <cell r="F685">
            <v>22</v>
          </cell>
          <cell r="R685">
            <v>21</v>
          </cell>
          <cell r="T685">
            <v>121</v>
          </cell>
        </row>
        <row r="686">
          <cell r="A686" t="str">
            <v>PHY-202</v>
          </cell>
          <cell r="H686">
            <v>8</v>
          </cell>
          <cell r="I686">
            <v>9</v>
          </cell>
          <cell r="J686">
            <v>18</v>
          </cell>
          <cell r="K686">
            <v>19</v>
          </cell>
          <cell r="S686">
            <v>18</v>
          </cell>
          <cell r="T686">
            <v>72</v>
          </cell>
        </row>
        <row r="687">
          <cell r="A687" t="str">
            <v>PHY-202H</v>
          </cell>
          <cell r="J687">
            <v>2</v>
          </cell>
          <cell r="T687">
            <v>2</v>
          </cell>
        </row>
        <row r="688">
          <cell r="A688" t="str">
            <v>PHY-299</v>
          </cell>
          <cell r="F688">
            <v>1</v>
          </cell>
          <cell r="T688">
            <v>1</v>
          </cell>
        </row>
        <row r="689">
          <cell r="A689" t="str">
            <v>PORT-101</v>
          </cell>
          <cell r="I689">
            <v>27</v>
          </cell>
          <cell r="T689">
            <v>27</v>
          </cell>
        </row>
        <row r="690">
          <cell r="A690" t="str">
            <v>PORT-101H</v>
          </cell>
          <cell r="I690">
            <v>1</v>
          </cell>
          <cell r="T690">
            <v>1</v>
          </cell>
        </row>
        <row r="691">
          <cell r="A691" t="str">
            <v>PORT-102</v>
          </cell>
          <cell r="E691">
            <v>12</v>
          </cell>
          <cell r="T691">
            <v>12</v>
          </cell>
        </row>
        <row r="692">
          <cell r="A692" t="str">
            <v>PORT-102H</v>
          </cell>
          <cell r="E692">
            <v>1</v>
          </cell>
          <cell r="T692">
            <v>1</v>
          </cell>
        </row>
        <row r="693">
          <cell r="A693" t="str">
            <v>PORT-201</v>
          </cell>
          <cell r="J693">
            <v>4</v>
          </cell>
          <cell r="T693">
            <v>4</v>
          </cell>
        </row>
        <row r="694">
          <cell r="A694" t="str">
            <v>PORT-201H</v>
          </cell>
          <cell r="J694">
            <v>1</v>
          </cell>
          <cell r="T694">
            <v>1</v>
          </cell>
        </row>
        <row r="695">
          <cell r="A695" t="str">
            <v>PS-101</v>
          </cell>
          <cell r="B695">
            <v>630</v>
          </cell>
          <cell r="C695">
            <v>635</v>
          </cell>
          <cell r="D695">
            <v>688</v>
          </cell>
          <cell r="E695">
            <v>535</v>
          </cell>
          <cell r="F695">
            <v>475</v>
          </cell>
          <cell r="G695">
            <v>599</v>
          </cell>
          <cell r="H695">
            <v>685</v>
          </cell>
          <cell r="I695">
            <v>649</v>
          </cell>
          <cell r="J695">
            <v>509</v>
          </cell>
          <cell r="K695">
            <v>528</v>
          </cell>
          <cell r="L695" t="str">
            <v>97</v>
          </cell>
          <cell r="M695" t="str">
            <v>137</v>
          </cell>
          <cell r="N695" t="str">
            <v>48</v>
          </cell>
          <cell r="O695" t="str">
            <v>45</v>
          </cell>
          <cell r="Q695" t="str">
            <v>51</v>
          </cell>
          <cell r="R695">
            <v>439</v>
          </cell>
          <cell r="S695">
            <v>443</v>
          </cell>
          <cell r="T695">
            <v>7193</v>
          </cell>
        </row>
        <row r="696">
          <cell r="A696" t="str">
            <v>PS-101H</v>
          </cell>
          <cell r="D696">
            <v>1</v>
          </cell>
          <cell r="E696">
            <v>6</v>
          </cell>
          <cell r="F696">
            <v>2</v>
          </cell>
          <cell r="G696">
            <v>5</v>
          </cell>
          <cell r="I696">
            <v>6</v>
          </cell>
          <cell r="J696">
            <v>5</v>
          </cell>
          <cell r="K696">
            <v>3</v>
          </cell>
          <cell r="R696">
            <v>2</v>
          </cell>
          <cell r="S696">
            <v>3</v>
          </cell>
          <cell r="T696">
            <v>33</v>
          </cell>
        </row>
        <row r="697">
          <cell r="A697" t="str">
            <v>PS-102</v>
          </cell>
          <cell r="B697">
            <v>12</v>
          </cell>
          <cell r="C697">
            <v>16</v>
          </cell>
          <cell r="D697">
            <v>43</v>
          </cell>
          <cell r="E697">
            <v>33</v>
          </cell>
          <cell r="F697">
            <v>29</v>
          </cell>
          <cell r="G697">
            <v>17</v>
          </cell>
          <cell r="H697">
            <v>14</v>
          </cell>
          <cell r="I697">
            <v>35</v>
          </cell>
          <cell r="J697">
            <v>37</v>
          </cell>
          <cell r="R697">
            <v>34</v>
          </cell>
          <cell r="T697">
            <v>270</v>
          </cell>
        </row>
        <row r="698">
          <cell r="A698" t="str">
            <v>PS-102H</v>
          </cell>
          <cell r="D698">
            <v>3</v>
          </cell>
          <cell r="E698">
            <v>2</v>
          </cell>
          <cell r="F698">
            <v>2</v>
          </cell>
          <cell r="G698">
            <v>1</v>
          </cell>
          <cell r="H698">
            <v>2</v>
          </cell>
          <cell r="I698">
            <v>2</v>
          </cell>
          <cell r="J698">
            <v>4</v>
          </cell>
          <cell r="R698">
            <v>6</v>
          </cell>
          <cell r="T698">
            <v>22</v>
          </cell>
        </row>
        <row r="699">
          <cell r="A699" t="str">
            <v>PS-104</v>
          </cell>
          <cell r="C699">
            <v>1</v>
          </cell>
          <cell r="G699">
            <v>3</v>
          </cell>
          <cell r="T699">
            <v>4</v>
          </cell>
        </row>
        <row r="700">
          <cell r="A700" t="str">
            <v>PS-299</v>
          </cell>
          <cell r="K700">
            <v>1</v>
          </cell>
          <cell r="T700">
            <v>1</v>
          </cell>
        </row>
        <row r="701">
          <cell r="A701" t="str">
            <v>PSYC-101</v>
          </cell>
          <cell r="B701">
            <v>449</v>
          </cell>
          <cell r="C701">
            <v>467</v>
          </cell>
          <cell r="D701">
            <v>442</v>
          </cell>
          <cell r="E701">
            <v>409</v>
          </cell>
          <cell r="F701">
            <v>399</v>
          </cell>
          <cell r="G701">
            <v>403</v>
          </cell>
          <cell r="H701">
            <v>441</v>
          </cell>
          <cell r="I701">
            <v>414</v>
          </cell>
          <cell r="J701">
            <v>403</v>
          </cell>
          <cell r="K701">
            <v>438</v>
          </cell>
          <cell r="L701" t="str">
            <v>51</v>
          </cell>
          <cell r="M701" t="str">
            <v>89</v>
          </cell>
          <cell r="N701" t="str">
            <v>37</v>
          </cell>
          <cell r="R701">
            <v>394</v>
          </cell>
          <cell r="S701">
            <v>306</v>
          </cell>
          <cell r="T701">
            <v>5142</v>
          </cell>
        </row>
        <row r="702">
          <cell r="A702" t="str">
            <v>PSYC-101H</v>
          </cell>
          <cell r="B702">
            <v>4</v>
          </cell>
          <cell r="C702">
            <v>10</v>
          </cell>
          <cell r="D702">
            <v>3</v>
          </cell>
          <cell r="E702">
            <v>17</v>
          </cell>
          <cell r="F702">
            <v>10</v>
          </cell>
          <cell r="G702">
            <v>13</v>
          </cell>
          <cell r="H702">
            <v>3</v>
          </cell>
          <cell r="I702">
            <v>4</v>
          </cell>
          <cell r="J702">
            <v>10</v>
          </cell>
          <cell r="K702">
            <v>7</v>
          </cell>
          <cell r="R702">
            <v>5</v>
          </cell>
          <cell r="S702">
            <v>7</v>
          </cell>
          <cell r="T702">
            <v>93</v>
          </cell>
        </row>
        <row r="703">
          <cell r="A703" t="str">
            <v>PSYC-102</v>
          </cell>
          <cell r="B703">
            <v>27</v>
          </cell>
          <cell r="C703">
            <v>20</v>
          </cell>
          <cell r="D703">
            <v>36</v>
          </cell>
          <cell r="E703">
            <v>51</v>
          </cell>
          <cell r="F703">
            <v>49</v>
          </cell>
          <cell r="G703">
            <v>29</v>
          </cell>
          <cell r="H703">
            <v>23</v>
          </cell>
          <cell r="I703">
            <v>39</v>
          </cell>
          <cell r="J703">
            <v>44</v>
          </cell>
          <cell r="K703">
            <v>46</v>
          </cell>
          <cell r="R703">
            <v>35</v>
          </cell>
          <cell r="S703">
            <v>43</v>
          </cell>
          <cell r="T703">
            <v>442</v>
          </cell>
        </row>
        <row r="704">
          <cell r="A704" t="str">
            <v>PSYC-103</v>
          </cell>
          <cell r="B704">
            <v>65</v>
          </cell>
          <cell r="C704">
            <v>63</v>
          </cell>
          <cell r="D704">
            <v>75</v>
          </cell>
          <cell r="E704">
            <v>117</v>
          </cell>
          <cell r="F704">
            <v>87</v>
          </cell>
          <cell r="G704">
            <v>73</v>
          </cell>
          <cell r="H704">
            <v>65</v>
          </cell>
          <cell r="I704">
            <v>78</v>
          </cell>
          <cell r="J704">
            <v>120</v>
          </cell>
          <cell r="K704">
            <v>71</v>
          </cell>
          <cell r="R704">
            <v>67</v>
          </cell>
          <cell r="S704">
            <v>67</v>
          </cell>
          <cell r="T704">
            <v>948</v>
          </cell>
        </row>
        <row r="705">
          <cell r="A705" t="str">
            <v>PSYC-103H</v>
          </cell>
          <cell r="B705">
            <v>1</v>
          </cell>
          <cell r="C705">
            <v>1</v>
          </cell>
          <cell r="D705">
            <v>1</v>
          </cell>
          <cell r="E705">
            <v>15</v>
          </cell>
          <cell r="F705">
            <v>6</v>
          </cell>
          <cell r="G705">
            <v>7</v>
          </cell>
          <cell r="H705">
            <v>1</v>
          </cell>
          <cell r="I705">
            <v>4</v>
          </cell>
          <cell r="J705">
            <v>7</v>
          </cell>
          <cell r="K705">
            <v>7</v>
          </cell>
          <cell r="R705">
            <v>5</v>
          </cell>
          <cell r="S705">
            <v>9</v>
          </cell>
          <cell r="T705">
            <v>64</v>
          </cell>
        </row>
        <row r="706">
          <cell r="A706" t="str">
            <v>PSYC-104</v>
          </cell>
          <cell r="B706">
            <v>110</v>
          </cell>
          <cell r="C706">
            <v>111</v>
          </cell>
          <cell r="D706">
            <v>120</v>
          </cell>
          <cell r="E706">
            <v>44</v>
          </cell>
          <cell r="F706">
            <v>43</v>
          </cell>
          <cell r="G706">
            <v>108</v>
          </cell>
          <cell r="H706">
            <v>92</v>
          </cell>
          <cell r="I706">
            <v>76</v>
          </cell>
          <cell r="J706">
            <v>35</v>
          </cell>
          <cell r="K706">
            <v>38</v>
          </cell>
          <cell r="L706" t="str">
            <v>16</v>
          </cell>
          <cell r="M706" t="str">
            <v>16</v>
          </cell>
          <cell r="R706">
            <v>30</v>
          </cell>
          <cell r="S706">
            <v>29</v>
          </cell>
          <cell r="T706">
            <v>868</v>
          </cell>
        </row>
        <row r="707">
          <cell r="A707" t="str">
            <v>PSYC-104H</v>
          </cell>
          <cell r="C707">
            <v>2</v>
          </cell>
          <cell r="D707">
            <v>1</v>
          </cell>
          <cell r="F707">
            <v>1</v>
          </cell>
          <cell r="G707">
            <v>1</v>
          </cell>
          <cell r="H707">
            <v>2</v>
          </cell>
          <cell r="I707">
            <v>1</v>
          </cell>
          <cell r="J707">
            <v>4</v>
          </cell>
          <cell r="K707">
            <v>1</v>
          </cell>
          <cell r="R707">
            <v>1</v>
          </cell>
          <cell r="T707">
            <v>14</v>
          </cell>
        </row>
        <row r="708">
          <cell r="A708" t="str">
            <v>PSYC-105</v>
          </cell>
          <cell r="B708">
            <v>15</v>
          </cell>
          <cell r="C708">
            <v>25</v>
          </cell>
          <cell r="D708">
            <v>37</v>
          </cell>
          <cell r="G708">
            <v>19</v>
          </cell>
          <cell r="H708">
            <v>28</v>
          </cell>
          <cell r="I708">
            <v>31</v>
          </cell>
          <cell r="T708">
            <v>155</v>
          </cell>
        </row>
        <row r="709">
          <cell r="A709" t="str">
            <v>PSYC-106</v>
          </cell>
          <cell r="B709">
            <v>13</v>
          </cell>
          <cell r="C709">
            <v>7</v>
          </cell>
          <cell r="D709">
            <v>21</v>
          </cell>
          <cell r="T709">
            <v>41</v>
          </cell>
        </row>
        <row r="710">
          <cell r="A710" t="str">
            <v>PSYC-107</v>
          </cell>
          <cell r="G710">
            <v>15</v>
          </cell>
          <cell r="H710">
            <v>17</v>
          </cell>
          <cell r="I710">
            <v>35</v>
          </cell>
          <cell r="K710">
            <v>38</v>
          </cell>
          <cell r="S710">
            <v>43</v>
          </cell>
          <cell r="T710">
            <v>148</v>
          </cell>
        </row>
        <row r="711">
          <cell r="A711" t="str">
            <v>PSYC-108</v>
          </cell>
          <cell r="B711">
            <v>52</v>
          </cell>
          <cell r="C711">
            <v>57</v>
          </cell>
          <cell r="D711">
            <v>49</v>
          </cell>
          <cell r="E711">
            <v>38</v>
          </cell>
          <cell r="F711">
            <v>41</v>
          </cell>
          <cell r="G711">
            <v>52</v>
          </cell>
          <cell r="H711">
            <v>42</v>
          </cell>
          <cell r="I711">
            <v>47</v>
          </cell>
          <cell r="J711">
            <v>39</v>
          </cell>
          <cell r="K711">
            <v>42</v>
          </cell>
          <cell r="R711">
            <v>35</v>
          </cell>
          <cell r="S711">
            <v>37</v>
          </cell>
          <cell r="T711">
            <v>531</v>
          </cell>
        </row>
        <row r="712">
          <cell r="A712" t="str">
            <v>PSYC-110</v>
          </cell>
          <cell r="O712" t="str">
            <v>10</v>
          </cell>
          <cell r="S712">
            <v>16</v>
          </cell>
          <cell r="T712">
            <v>26</v>
          </cell>
        </row>
        <row r="713">
          <cell r="A713" t="str">
            <v>PSYC-112</v>
          </cell>
          <cell r="B713">
            <v>8</v>
          </cell>
          <cell r="C713">
            <v>15</v>
          </cell>
          <cell r="D713">
            <v>20</v>
          </cell>
          <cell r="G713">
            <v>16</v>
          </cell>
          <cell r="H713">
            <v>9</v>
          </cell>
          <cell r="I713">
            <v>13</v>
          </cell>
          <cell r="T713">
            <v>81</v>
          </cell>
        </row>
        <row r="714">
          <cell r="A714" t="str">
            <v>PSYC-115</v>
          </cell>
          <cell r="F714">
            <v>2</v>
          </cell>
          <cell r="H714">
            <v>2</v>
          </cell>
          <cell r="I714">
            <v>3</v>
          </cell>
          <cell r="J714">
            <v>1</v>
          </cell>
          <cell r="T714">
            <v>8</v>
          </cell>
        </row>
        <row r="715">
          <cell r="A715" t="str">
            <v>PSYC-299</v>
          </cell>
          <cell r="J715">
            <v>1</v>
          </cell>
          <cell r="T715">
            <v>1</v>
          </cell>
        </row>
        <row r="716">
          <cell r="A716" t="str">
            <v>RE-140</v>
          </cell>
          <cell r="B716">
            <v>36</v>
          </cell>
          <cell r="D716">
            <v>27</v>
          </cell>
          <cell r="E716">
            <v>30</v>
          </cell>
          <cell r="F716">
            <v>24</v>
          </cell>
          <cell r="G716">
            <v>29</v>
          </cell>
          <cell r="H716">
            <v>18</v>
          </cell>
          <cell r="I716">
            <v>16</v>
          </cell>
          <cell r="J716">
            <v>48</v>
          </cell>
          <cell r="K716">
            <v>18</v>
          </cell>
          <cell r="L716" t="str">
            <v>27</v>
          </cell>
          <cell r="M716" t="str">
            <v>15</v>
          </cell>
          <cell r="R716">
            <v>29</v>
          </cell>
          <cell r="S716">
            <v>28</v>
          </cell>
          <cell r="T716">
            <v>345</v>
          </cell>
        </row>
        <row r="717">
          <cell r="A717" t="str">
            <v>RE-141</v>
          </cell>
          <cell r="B717">
            <v>48</v>
          </cell>
          <cell r="C717">
            <v>36</v>
          </cell>
          <cell r="D717">
            <v>22</v>
          </cell>
          <cell r="E717">
            <v>28</v>
          </cell>
          <cell r="F717">
            <v>13</v>
          </cell>
          <cell r="H717">
            <v>13</v>
          </cell>
          <cell r="I717">
            <v>27</v>
          </cell>
          <cell r="J717">
            <v>42</v>
          </cell>
          <cell r="R717">
            <v>13</v>
          </cell>
          <cell r="S717">
            <v>13</v>
          </cell>
          <cell r="T717">
            <v>255</v>
          </cell>
        </row>
        <row r="718">
          <cell r="A718" t="str">
            <v>RE-142</v>
          </cell>
          <cell r="B718">
            <v>12</v>
          </cell>
          <cell r="I718">
            <v>14</v>
          </cell>
          <cell r="T718">
            <v>26</v>
          </cell>
        </row>
        <row r="719">
          <cell r="A719" t="str">
            <v>RE-143</v>
          </cell>
          <cell r="B719">
            <v>23</v>
          </cell>
          <cell r="C719">
            <v>12</v>
          </cell>
          <cell r="D719">
            <v>37</v>
          </cell>
          <cell r="F719">
            <v>26</v>
          </cell>
          <cell r="G719">
            <v>34</v>
          </cell>
          <cell r="H719">
            <v>37</v>
          </cell>
          <cell r="I719">
            <v>24</v>
          </cell>
          <cell r="J719">
            <v>24</v>
          </cell>
          <cell r="K719">
            <v>14</v>
          </cell>
          <cell r="R719">
            <v>23</v>
          </cell>
          <cell r="S719">
            <v>20</v>
          </cell>
          <cell r="T719">
            <v>274</v>
          </cell>
        </row>
        <row r="720">
          <cell r="A720" t="str">
            <v>RE-144</v>
          </cell>
          <cell r="B720">
            <v>14</v>
          </cell>
          <cell r="E720">
            <v>25</v>
          </cell>
          <cell r="F720">
            <v>29</v>
          </cell>
          <cell r="G720">
            <v>16</v>
          </cell>
          <cell r="I720">
            <v>23</v>
          </cell>
          <cell r="K720">
            <v>35</v>
          </cell>
          <cell r="R720">
            <v>20</v>
          </cell>
          <cell r="S720">
            <v>21</v>
          </cell>
          <cell r="T720">
            <v>183</v>
          </cell>
        </row>
        <row r="721">
          <cell r="A721" t="str">
            <v>RE-145</v>
          </cell>
          <cell r="B721">
            <v>9</v>
          </cell>
          <cell r="F721">
            <v>11</v>
          </cell>
          <cell r="G721">
            <v>14</v>
          </cell>
          <cell r="K721">
            <v>9</v>
          </cell>
          <cell r="T721">
            <v>43</v>
          </cell>
        </row>
        <row r="722">
          <cell r="A722" t="str">
            <v>RE-146</v>
          </cell>
          <cell r="B722">
            <v>21</v>
          </cell>
          <cell r="D722">
            <v>11</v>
          </cell>
          <cell r="E722">
            <v>30</v>
          </cell>
          <cell r="J722">
            <v>17</v>
          </cell>
          <cell r="T722">
            <v>79</v>
          </cell>
        </row>
        <row r="723">
          <cell r="A723" t="str">
            <v>RE-149</v>
          </cell>
          <cell r="G723">
            <v>1</v>
          </cell>
          <cell r="H723">
            <v>2</v>
          </cell>
          <cell r="R723">
            <v>1</v>
          </cell>
          <cell r="S723">
            <v>5</v>
          </cell>
          <cell r="T723">
            <v>9</v>
          </cell>
        </row>
        <row r="724">
          <cell r="A724" t="str">
            <v>RE-150</v>
          </cell>
          <cell r="D724">
            <v>15</v>
          </cell>
          <cell r="H724">
            <v>14</v>
          </cell>
          <cell r="I724">
            <v>10</v>
          </cell>
          <cell r="T724">
            <v>39</v>
          </cell>
        </row>
        <row r="725">
          <cell r="A725" t="str">
            <v>RE-154</v>
          </cell>
          <cell r="E725">
            <v>31</v>
          </cell>
          <cell r="F725">
            <v>28</v>
          </cell>
          <cell r="I725">
            <v>16</v>
          </cell>
          <cell r="J725">
            <v>28</v>
          </cell>
          <cell r="K725">
            <v>22</v>
          </cell>
          <cell r="R725">
            <v>20</v>
          </cell>
          <cell r="S725">
            <v>33</v>
          </cell>
          <cell r="T725">
            <v>178</v>
          </cell>
        </row>
        <row r="726">
          <cell r="A726" t="str">
            <v>RE-155</v>
          </cell>
          <cell r="D726">
            <v>13</v>
          </cell>
          <cell r="E726">
            <v>19</v>
          </cell>
          <cell r="F726">
            <v>30</v>
          </cell>
          <cell r="I726">
            <v>13</v>
          </cell>
          <cell r="J726">
            <v>24</v>
          </cell>
          <cell r="K726">
            <v>20</v>
          </cell>
          <cell r="R726">
            <v>27</v>
          </cell>
          <cell r="T726">
            <v>146</v>
          </cell>
        </row>
        <row r="727">
          <cell r="A727" t="str">
            <v>RE-157</v>
          </cell>
          <cell r="H727">
            <v>5</v>
          </cell>
          <cell r="T727">
            <v>5</v>
          </cell>
        </row>
        <row r="728">
          <cell r="A728" t="str">
            <v>RE-158</v>
          </cell>
          <cell r="D728">
            <v>7</v>
          </cell>
          <cell r="H728">
            <v>6</v>
          </cell>
          <cell r="T728">
            <v>13</v>
          </cell>
        </row>
        <row r="729">
          <cell r="A729" t="str">
            <v>RE-159</v>
          </cell>
          <cell r="D729">
            <v>7</v>
          </cell>
          <cell r="H729">
            <v>6</v>
          </cell>
          <cell r="T729">
            <v>13</v>
          </cell>
        </row>
        <row r="730">
          <cell r="A730" t="str">
            <v>READ-043</v>
          </cell>
          <cell r="B730">
            <v>22</v>
          </cell>
          <cell r="C730">
            <v>16</v>
          </cell>
          <cell r="D730">
            <v>26</v>
          </cell>
          <cell r="G730">
            <v>11</v>
          </cell>
          <cell r="H730">
            <v>24</v>
          </cell>
          <cell r="I730">
            <v>22</v>
          </cell>
          <cell r="T730">
            <v>121</v>
          </cell>
        </row>
        <row r="731">
          <cell r="A731" t="str">
            <v>READ-044</v>
          </cell>
          <cell r="B731">
            <v>29</v>
          </cell>
          <cell r="C731">
            <v>13</v>
          </cell>
          <cell r="D731">
            <v>28</v>
          </cell>
          <cell r="G731">
            <v>12</v>
          </cell>
          <cell r="H731">
            <v>30</v>
          </cell>
          <cell r="I731">
            <v>29</v>
          </cell>
          <cell r="T731">
            <v>141</v>
          </cell>
        </row>
        <row r="732">
          <cell r="A732" t="str">
            <v>READ-063</v>
          </cell>
          <cell r="B732">
            <v>23</v>
          </cell>
          <cell r="C732">
            <v>20</v>
          </cell>
          <cell r="D732">
            <v>26</v>
          </cell>
          <cell r="E732">
            <v>31</v>
          </cell>
          <cell r="F732">
            <v>26</v>
          </cell>
          <cell r="G732">
            <v>11</v>
          </cell>
          <cell r="H732">
            <v>23</v>
          </cell>
          <cell r="I732">
            <v>21</v>
          </cell>
          <cell r="J732">
            <v>28</v>
          </cell>
          <cell r="K732">
            <v>19</v>
          </cell>
          <cell r="T732">
            <v>228</v>
          </cell>
        </row>
        <row r="733">
          <cell r="A733" t="str">
            <v>READ-064</v>
          </cell>
          <cell r="B733">
            <v>29</v>
          </cell>
          <cell r="C733">
            <v>26</v>
          </cell>
          <cell r="D733">
            <v>33</v>
          </cell>
          <cell r="E733">
            <v>36</v>
          </cell>
          <cell r="F733">
            <v>27</v>
          </cell>
          <cell r="G733">
            <v>22</v>
          </cell>
          <cell r="H733">
            <v>31</v>
          </cell>
          <cell r="I733">
            <v>28</v>
          </cell>
          <cell r="J733">
            <v>32</v>
          </cell>
          <cell r="K733">
            <v>33</v>
          </cell>
          <cell r="T733">
            <v>297</v>
          </cell>
        </row>
        <row r="734">
          <cell r="A734" t="str">
            <v>SEMA-100</v>
          </cell>
          <cell r="J734">
            <v>30</v>
          </cell>
          <cell r="K734">
            <v>22</v>
          </cell>
          <cell r="R734">
            <v>20</v>
          </cell>
          <cell r="T734">
            <v>72</v>
          </cell>
        </row>
        <row r="735">
          <cell r="A735" t="str">
            <v>SGA-105</v>
          </cell>
          <cell r="H735">
            <v>3</v>
          </cell>
          <cell r="T735">
            <v>3</v>
          </cell>
        </row>
        <row r="736">
          <cell r="A736" t="str">
            <v>SOCI-095</v>
          </cell>
          <cell r="B736">
            <v>30</v>
          </cell>
          <cell r="C736">
            <v>22</v>
          </cell>
          <cell r="G736">
            <v>20</v>
          </cell>
          <cell r="H736">
            <v>33</v>
          </cell>
          <cell r="T736">
            <v>105</v>
          </cell>
        </row>
        <row r="737">
          <cell r="A737" t="str">
            <v>SOCI-101</v>
          </cell>
          <cell r="B737">
            <v>177</v>
          </cell>
          <cell r="C737">
            <v>250</v>
          </cell>
          <cell r="D737">
            <v>319</v>
          </cell>
          <cell r="E737">
            <v>332</v>
          </cell>
          <cell r="F737">
            <v>276</v>
          </cell>
          <cell r="G737">
            <v>201</v>
          </cell>
          <cell r="H737">
            <v>301</v>
          </cell>
          <cell r="I737">
            <v>349</v>
          </cell>
          <cell r="J737">
            <v>303</v>
          </cell>
          <cell r="K737">
            <v>271</v>
          </cell>
          <cell r="L737" t="str">
            <v>33</v>
          </cell>
          <cell r="M737" t="str">
            <v>66</v>
          </cell>
          <cell r="N737" t="str">
            <v>34</v>
          </cell>
          <cell r="R737">
            <v>260</v>
          </cell>
          <cell r="S737">
            <v>229</v>
          </cell>
          <cell r="T737">
            <v>3401</v>
          </cell>
        </row>
        <row r="738">
          <cell r="A738" t="str">
            <v>SOCI-101H</v>
          </cell>
          <cell r="B738">
            <v>1</v>
          </cell>
          <cell r="C738">
            <v>3</v>
          </cell>
          <cell r="D738">
            <v>2</v>
          </cell>
          <cell r="E738">
            <v>5</v>
          </cell>
          <cell r="F738">
            <v>10</v>
          </cell>
          <cell r="I738">
            <v>1</v>
          </cell>
          <cell r="J738">
            <v>9</v>
          </cell>
          <cell r="K738">
            <v>7</v>
          </cell>
          <cell r="R738">
            <v>4</v>
          </cell>
          <cell r="T738">
            <v>42</v>
          </cell>
        </row>
        <row r="739">
          <cell r="A739" t="str">
            <v>SOCI-102</v>
          </cell>
          <cell r="B739">
            <v>38</v>
          </cell>
          <cell r="C739">
            <v>53</v>
          </cell>
          <cell r="D739">
            <v>66</v>
          </cell>
          <cell r="E739">
            <v>25</v>
          </cell>
          <cell r="F739">
            <v>27</v>
          </cell>
          <cell r="G739">
            <v>28</v>
          </cell>
          <cell r="H739">
            <v>29</v>
          </cell>
          <cell r="I739">
            <v>64</v>
          </cell>
          <cell r="J739">
            <v>56</v>
          </cell>
          <cell r="K739">
            <v>61</v>
          </cell>
          <cell r="R739">
            <v>24</v>
          </cell>
          <cell r="S739">
            <v>33</v>
          </cell>
          <cell r="T739">
            <v>504</v>
          </cell>
        </row>
        <row r="740">
          <cell r="A740" t="str">
            <v>SOCI-103</v>
          </cell>
          <cell r="B740">
            <v>49</v>
          </cell>
          <cell r="C740">
            <v>52</v>
          </cell>
          <cell r="D740">
            <v>86</v>
          </cell>
          <cell r="E740">
            <v>87</v>
          </cell>
          <cell r="F740">
            <v>106</v>
          </cell>
          <cell r="G740">
            <v>51</v>
          </cell>
          <cell r="H740">
            <v>56</v>
          </cell>
          <cell r="I740">
            <v>92</v>
          </cell>
          <cell r="J740">
            <v>64</v>
          </cell>
          <cell r="K740">
            <v>28</v>
          </cell>
          <cell r="R740">
            <v>55</v>
          </cell>
          <cell r="S740">
            <v>45</v>
          </cell>
          <cell r="T740">
            <v>771</v>
          </cell>
        </row>
        <row r="741">
          <cell r="A741" t="str">
            <v>SOCI-105</v>
          </cell>
          <cell r="B741">
            <v>24</v>
          </cell>
          <cell r="C741">
            <v>13</v>
          </cell>
          <cell r="D741">
            <v>15</v>
          </cell>
          <cell r="G741">
            <v>14</v>
          </cell>
          <cell r="H741">
            <v>12</v>
          </cell>
          <cell r="I741">
            <v>9</v>
          </cell>
          <cell r="T741">
            <v>87</v>
          </cell>
        </row>
        <row r="742">
          <cell r="A742" t="str">
            <v>SOCI-106</v>
          </cell>
          <cell r="B742">
            <v>55</v>
          </cell>
          <cell r="C742">
            <v>54</v>
          </cell>
          <cell r="D742">
            <v>82</v>
          </cell>
          <cell r="E742">
            <v>71</v>
          </cell>
          <cell r="F742">
            <v>61</v>
          </cell>
          <cell r="G742">
            <v>53</v>
          </cell>
          <cell r="H742">
            <v>62</v>
          </cell>
          <cell r="I742">
            <v>64</v>
          </cell>
          <cell r="J742">
            <v>67</v>
          </cell>
          <cell r="K742">
            <v>63</v>
          </cell>
          <cell r="L742" t="str">
            <v>8</v>
          </cell>
          <cell r="M742" t="str">
            <v>13</v>
          </cell>
          <cell r="R742">
            <v>92</v>
          </cell>
          <cell r="S742">
            <v>83</v>
          </cell>
          <cell r="T742">
            <v>828</v>
          </cell>
        </row>
        <row r="743">
          <cell r="A743" t="str">
            <v>SOCI-108</v>
          </cell>
          <cell r="B743">
            <v>25</v>
          </cell>
          <cell r="C743">
            <v>41</v>
          </cell>
          <cell r="D743">
            <v>54</v>
          </cell>
          <cell r="E743">
            <v>68</v>
          </cell>
          <cell r="F743">
            <v>28</v>
          </cell>
          <cell r="G743">
            <v>45</v>
          </cell>
          <cell r="H743">
            <v>46</v>
          </cell>
          <cell r="I743">
            <v>60</v>
          </cell>
          <cell r="J743">
            <v>23</v>
          </cell>
          <cell r="R743">
            <v>29</v>
          </cell>
          <cell r="S743">
            <v>28</v>
          </cell>
          <cell r="T743">
            <v>447</v>
          </cell>
        </row>
        <row r="744">
          <cell r="A744" t="str">
            <v>SOCI-110</v>
          </cell>
          <cell r="B744">
            <v>27</v>
          </cell>
          <cell r="D744">
            <v>36</v>
          </cell>
          <cell r="T744">
            <v>63</v>
          </cell>
        </row>
        <row r="745">
          <cell r="A745" t="str">
            <v>SOCI-112</v>
          </cell>
          <cell r="B745">
            <v>17</v>
          </cell>
          <cell r="C745">
            <v>9</v>
          </cell>
          <cell r="D745">
            <v>10</v>
          </cell>
          <cell r="G745">
            <v>10</v>
          </cell>
          <cell r="H745">
            <v>21</v>
          </cell>
          <cell r="I745">
            <v>13</v>
          </cell>
          <cell r="T745">
            <v>80</v>
          </cell>
        </row>
        <row r="746">
          <cell r="A746" t="str">
            <v>SOCI-125</v>
          </cell>
          <cell r="B746">
            <v>35</v>
          </cell>
          <cell r="C746">
            <v>41</v>
          </cell>
          <cell r="D746">
            <v>29</v>
          </cell>
          <cell r="E746">
            <v>29</v>
          </cell>
          <cell r="F746">
            <v>35</v>
          </cell>
          <cell r="G746">
            <v>35</v>
          </cell>
          <cell r="H746">
            <v>49</v>
          </cell>
          <cell r="I746">
            <v>31</v>
          </cell>
          <cell r="J746">
            <v>57</v>
          </cell>
          <cell r="K746">
            <v>47</v>
          </cell>
          <cell r="R746">
            <v>29</v>
          </cell>
          <cell r="S746">
            <v>31</v>
          </cell>
          <cell r="T746">
            <v>448</v>
          </cell>
        </row>
        <row r="747">
          <cell r="A747" t="str">
            <v>SOCI-140</v>
          </cell>
          <cell r="B747">
            <v>7</v>
          </cell>
          <cell r="C747">
            <v>7</v>
          </cell>
          <cell r="G747">
            <v>1</v>
          </cell>
          <cell r="H747">
            <v>4</v>
          </cell>
          <cell r="T747">
            <v>19</v>
          </cell>
        </row>
        <row r="748">
          <cell r="A748" t="str">
            <v>SOCI-141</v>
          </cell>
          <cell r="B748">
            <v>6</v>
          </cell>
          <cell r="C748">
            <v>5</v>
          </cell>
          <cell r="G748">
            <v>2</v>
          </cell>
          <cell r="H748">
            <v>4</v>
          </cell>
          <cell r="T748">
            <v>17</v>
          </cell>
        </row>
        <row r="749">
          <cell r="A749" t="str">
            <v>SOCI-150</v>
          </cell>
          <cell r="B749">
            <v>3</v>
          </cell>
          <cell r="G749">
            <v>3</v>
          </cell>
          <cell r="H749">
            <v>4</v>
          </cell>
          <cell r="T749">
            <v>10</v>
          </cell>
        </row>
        <row r="750">
          <cell r="A750" t="str">
            <v>SOCI-299</v>
          </cell>
          <cell r="D750">
            <v>1</v>
          </cell>
          <cell r="E750">
            <v>3</v>
          </cell>
          <cell r="J750">
            <v>1</v>
          </cell>
          <cell r="T750">
            <v>5</v>
          </cell>
        </row>
        <row r="751">
          <cell r="A751" t="str">
            <v>SPAN-101</v>
          </cell>
          <cell r="B751">
            <v>184</v>
          </cell>
          <cell r="C751">
            <v>199</v>
          </cell>
          <cell r="D751">
            <v>202</v>
          </cell>
          <cell r="E751">
            <v>173</v>
          </cell>
          <cell r="F751">
            <v>165</v>
          </cell>
          <cell r="G751">
            <v>178</v>
          </cell>
          <cell r="H751">
            <v>176</v>
          </cell>
          <cell r="I751">
            <v>105</v>
          </cell>
          <cell r="J751">
            <v>120</v>
          </cell>
          <cell r="K751">
            <v>114</v>
          </cell>
          <cell r="L751" t="str">
            <v>43</v>
          </cell>
          <cell r="M751" t="str">
            <v>56</v>
          </cell>
          <cell r="N751" t="str">
            <v>29</v>
          </cell>
          <cell r="R751">
            <v>129</v>
          </cell>
          <cell r="S751">
            <v>65</v>
          </cell>
          <cell r="T751">
            <v>1938</v>
          </cell>
        </row>
        <row r="752">
          <cell r="A752" t="str">
            <v>SPAN-101H</v>
          </cell>
          <cell r="D752">
            <v>2</v>
          </cell>
          <cell r="E752">
            <v>1</v>
          </cell>
          <cell r="T752">
            <v>3</v>
          </cell>
        </row>
        <row r="753">
          <cell r="A753" t="str">
            <v>SPAN-102</v>
          </cell>
          <cell r="B753">
            <v>53</v>
          </cell>
          <cell r="C753">
            <v>75</v>
          </cell>
          <cell r="D753">
            <v>89</v>
          </cell>
          <cell r="E753">
            <v>86</v>
          </cell>
          <cell r="F753">
            <v>76</v>
          </cell>
          <cell r="G753">
            <v>82</v>
          </cell>
          <cell r="H753">
            <v>86</v>
          </cell>
          <cell r="I753">
            <v>110</v>
          </cell>
          <cell r="J753">
            <v>95</v>
          </cell>
          <cell r="K753">
            <v>96</v>
          </cell>
          <cell r="L753" t="str">
            <v>22</v>
          </cell>
          <cell r="M753" t="str">
            <v>37</v>
          </cell>
          <cell r="R753">
            <v>78</v>
          </cell>
          <cell r="S753">
            <v>79</v>
          </cell>
          <cell r="T753">
            <v>1064</v>
          </cell>
        </row>
        <row r="754">
          <cell r="A754" t="str">
            <v>SPAN-102H</v>
          </cell>
          <cell r="I754">
            <v>1</v>
          </cell>
          <cell r="J754">
            <v>1</v>
          </cell>
          <cell r="T754">
            <v>2</v>
          </cell>
        </row>
        <row r="755">
          <cell r="A755" t="str">
            <v>SPAN-103</v>
          </cell>
          <cell r="B755">
            <v>8</v>
          </cell>
          <cell r="E755">
            <v>32</v>
          </cell>
          <cell r="F755">
            <v>27</v>
          </cell>
          <cell r="H755">
            <v>23</v>
          </cell>
          <cell r="I755">
            <v>19</v>
          </cell>
          <cell r="J755">
            <v>19</v>
          </cell>
          <cell r="K755">
            <v>36</v>
          </cell>
          <cell r="R755">
            <v>28</v>
          </cell>
          <cell r="S755">
            <v>25</v>
          </cell>
          <cell r="T755">
            <v>217</v>
          </cell>
        </row>
        <row r="756">
          <cell r="A756" t="str">
            <v>SPAN-104</v>
          </cell>
          <cell r="E756">
            <v>5</v>
          </cell>
          <cell r="F756">
            <v>13</v>
          </cell>
          <cell r="J756">
            <v>8</v>
          </cell>
          <cell r="K756">
            <v>13</v>
          </cell>
          <cell r="R756">
            <v>14</v>
          </cell>
          <cell r="S756">
            <v>12</v>
          </cell>
          <cell r="T756">
            <v>65</v>
          </cell>
        </row>
        <row r="757">
          <cell r="A757" t="str">
            <v>SPAN-201</v>
          </cell>
          <cell r="B757">
            <v>36</v>
          </cell>
          <cell r="C757">
            <v>38</v>
          </cell>
          <cell r="D757">
            <v>39</v>
          </cell>
          <cell r="E757">
            <v>59</v>
          </cell>
          <cell r="F757">
            <v>48</v>
          </cell>
          <cell r="G757">
            <v>37</v>
          </cell>
          <cell r="H757">
            <v>34</v>
          </cell>
          <cell r="I757">
            <v>56</v>
          </cell>
          <cell r="J757">
            <v>71</v>
          </cell>
          <cell r="K757">
            <v>58</v>
          </cell>
          <cell r="L757" t="str">
            <v>19</v>
          </cell>
          <cell r="R757">
            <v>49</v>
          </cell>
          <cell r="S757">
            <v>65</v>
          </cell>
          <cell r="T757">
            <v>609</v>
          </cell>
        </row>
        <row r="758">
          <cell r="A758" t="str">
            <v>SPAN-201H</v>
          </cell>
          <cell r="C758">
            <v>3</v>
          </cell>
          <cell r="D758">
            <v>1</v>
          </cell>
          <cell r="G758">
            <v>2</v>
          </cell>
          <cell r="I758">
            <v>1</v>
          </cell>
          <cell r="J758">
            <v>1</v>
          </cell>
          <cell r="K758">
            <v>2</v>
          </cell>
          <cell r="T758">
            <v>10</v>
          </cell>
        </row>
        <row r="759">
          <cell r="A759" t="str">
            <v>SPAN-202</v>
          </cell>
          <cell r="B759">
            <v>4</v>
          </cell>
          <cell r="C759">
            <v>8</v>
          </cell>
          <cell r="D759">
            <v>5</v>
          </cell>
          <cell r="E759">
            <v>4</v>
          </cell>
          <cell r="F759">
            <v>10</v>
          </cell>
          <cell r="G759">
            <v>5</v>
          </cell>
          <cell r="H759">
            <v>8</v>
          </cell>
          <cell r="I759">
            <v>27</v>
          </cell>
          <cell r="J759">
            <v>29</v>
          </cell>
          <cell r="K759">
            <v>11</v>
          </cell>
          <cell r="R759">
            <v>9</v>
          </cell>
          <cell r="S759">
            <v>17</v>
          </cell>
          <cell r="T759">
            <v>137</v>
          </cell>
        </row>
        <row r="760">
          <cell r="A760" t="str">
            <v>SPAN-202H</v>
          </cell>
          <cell r="B760">
            <v>1</v>
          </cell>
          <cell r="D760">
            <v>1</v>
          </cell>
          <cell r="I760">
            <v>1</v>
          </cell>
          <cell r="J760">
            <v>1</v>
          </cell>
          <cell r="T760">
            <v>4</v>
          </cell>
        </row>
        <row r="761">
          <cell r="A761" t="str">
            <v>SPAN-230</v>
          </cell>
          <cell r="B761">
            <v>6</v>
          </cell>
          <cell r="C761">
            <v>3</v>
          </cell>
          <cell r="K761">
            <v>14</v>
          </cell>
          <cell r="T761">
            <v>23</v>
          </cell>
        </row>
        <row r="762">
          <cell r="A762" t="str">
            <v>SPAN-231</v>
          </cell>
          <cell r="G762">
            <v>4</v>
          </cell>
          <cell r="H762">
            <v>3</v>
          </cell>
          <cell r="T762">
            <v>7</v>
          </cell>
        </row>
        <row r="763">
          <cell r="A763" t="str">
            <v>SPAN-270</v>
          </cell>
          <cell r="G763">
            <v>10</v>
          </cell>
          <cell r="H763">
            <v>15</v>
          </cell>
          <cell r="I763">
            <v>8</v>
          </cell>
          <cell r="J763">
            <v>19</v>
          </cell>
          <cell r="T763">
            <v>52</v>
          </cell>
        </row>
        <row r="764">
          <cell r="A764" t="str">
            <v>SPAN-299</v>
          </cell>
          <cell r="G764">
            <v>1</v>
          </cell>
          <cell r="S764">
            <v>1</v>
          </cell>
          <cell r="T764">
            <v>2</v>
          </cell>
        </row>
        <row r="765">
          <cell r="A765" t="str">
            <v>TA-080</v>
          </cell>
          <cell r="B765">
            <v>10</v>
          </cell>
          <cell r="C765">
            <v>14</v>
          </cell>
          <cell r="D765">
            <v>25</v>
          </cell>
          <cell r="G765">
            <v>12</v>
          </cell>
          <cell r="H765">
            <v>19</v>
          </cell>
          <cell r="I765">
            <v>26</v>
          </cell>
          <cell r="J765">
            <v>28</v>
          </cell>
          <cell r="L765" t="str">
            <v>8</v>
          </cell>
          <cell r="M765" t="str">
            <v>20</v>
          </cell>
          <cell r="T765">
            <v>162</v>
          </cell>
        </row>
        <row r="766">
          <cell r="A766" t="str">
            <v>TA-081</v>
          </cell>
          <cell r="B766">
            <v>3</v>
          </cell>
          <cell r="C766">
            <v>6</v>
          </cell>
          <cell r="D766">
            <v>9</v>
          </cell>
          <cell r="G766">
            <v>3</v>
          </cell>
          <cell r="H766">
            <v>11</v>
          </cell>
          <cell r="J766">
            <v>8</v>
          </cell>
          <cell r="T766">
            <v>40</v>
          </cell>
        </row>
        <row r="767">
          <cell r="A767" t="str">
            <v>TA-100</v>
          </cell>
          <cell r="F767">
            <v>24</v>
          </cell>
          <cell r="K767">
            <v>26</v>
          </cell>
          <cell r="Q767" t="str">
            <v>28</v>
          </cell>
          <cell r="T767">
            <v>78</v>
          </cell>
        </row>
        <row r="768">
          <cell r="A768" t="str">
            <v>TA-299</v>
          </cell>
          <cell r="H768">
            <v>3</v>
          </cell>
          <cell r="T768">
            <v>3</v>
          </cell>
        </row>
        <row r="769">
          <cell r="A769" t="str">
            <v>THA-101</v>
          </cell>
          <cell r="B769">
            <v>20</v>
          </cell>
          <cell r="C769">
            <v>42</v>
          </cell>
          <cell r="E769">
            <v>34</v>
          </cell>
          <cell r="G769">
            <v>29</v>
          </cell>
          <cell r="H769">
            <v>24</v>
          </cell>
          <cell r="I769">
            <v>25</v>
          </cell>
          <cell r="J769">
            <v>31</v>
          </cell>
          <cell r="K769">
            <v>29</v>
          </cell>
          <cell r="T769">
            <v>234</v>
          </cell>
        </row>
        <row r="770">
          <cell r="A770" t="str">
            <v>THA-102</v>
          </cell>
          <cell r="D770">
            <v>22</v>
          </cell>
          <cell r="G770">
            <v>3</v>
          </cell>
          <cell r="H770">
            <v>10</v>
          </cell>
          <cell r="I770">
            <v>14</v>
          </cell>
          <cell r="J770">
            <v>12</v>
          </cell>
          <cell r="K770">
            <v>15</v>
          </cell>
          <cell r="T770">
            <v>76</v>
          </cell>
        </row>
        <row r="771">
          <cell r="A771" t="str">
            <v>THA-105</v>
          </cell>
          <cell r="B771">
            <v>12</v>
          </cell>
          <cell r="C771">
            <v>16</v>
          </cell>
          <cell r="E771">
            <v>4</v>
          </cell>
          <cell r="F771">
            <v>11</v>
          </cell>
          <cell r="I771">
            <v>17</v>
          </cell>
          <cell r="K771">
            <v>8</v>
          </cell>
          <cell r="R771">
            <v>14</v>
          </cell>
          <cell r="T771">
            <v>82</v>
          </cell>
        </row>
        <row r="772">
          <cell r="A772" t="str">
            <v>THA-108</v>
          </cell>
          <cell r="B772">
            <v>3</v>
          </cell>
          <cell r="C772">
            <v>6</v>
          </cell>
          <cell r="D772">
            <v>5</v>
          </cell>
          <cell r="E772">
            <v>8</v>
          </cell>
          <cell r="F772">
            <v>12</v>
          </cell>
          <cell r="H772">
            <v>8</v>
          </cell>
          <cell r="I772">
            <v>10</v>
          </cell>
          <cell r="J772">
            <v>8</v>
          </cell>
          <cell r="K772">
            <v>10</v>
          </cell>
          <cell r="R772">
            <v>10</v>
          </cell>
          <cell r="S772">
            <v>11</v>
          </cell>
          <cell r="T772">
            <v>91</v>
          </cell>
        </row>
        <row r="773">
          <cell r="A773" t="str">
            <v>THA-109</v>
          </cell>
          <cell r="C773">
            <v>19</v>
          </cell>
          <cell r="D773">
            <v>15</v>
          </cell>
          <cell r="K773">
            <v>13</v>
          </cell>
          <cell r="T773">
            <v>47</v>
          </cell>
        </row>
        <row r="774">
          <cell r="A774" t="str">
            <v>THA-110</v>
          </cell>
          <cell r="B774">
            <v>52</v>
          </cell>
          <cell r="C774">
            <v>43</v>
          </cell>
          <cell r="D774">
            <v>37</v>
          </cell>
          <cell r="E774">
            <v>45</v>
          </cell>
          <cell r="F774">
            <v>42</v>
          </cell>
          <cell r="G774">
            <v>29</v>
          </cell>
          <cell r="H774">
            <v>44</v>
          </cell>
          <cell r="I774">
            <v>28</v>
          </cell>
          <cell r="J774">
            <v>43</v>
          </cell>
          <cell r="K774">
            <v>39</v>
          </cell>
          <cell r="L774" t="str">
            <v>8</v>
          </cell>
          <cell r="M774" t="str">
            <v>6</v>
          </cell>
          <cell r="R774">
            <v>47</v>
          </cell>
          <cell r="S774">
            <v>39</v>
          </cell>
          <cell r="T774">
            <v>502</v>
          </cell>
        </row>
        <row r="775">
          <cell r="A775" t="str">
            <v>THA-111</v>
          </cell>
          <cell r="G775">
            <v>11</v>
          </cell>
          <cell r="J775">
            <v>15</v>
          </cell>
          <cell r="K775">
            <v>3</v>
          </cell>
          <cell r="S775">
            <v>21</v>
          </cell>
          <cell r="T775">
            <v>50</v>
          </cell>
        </row>
        <row r="776">
          <cell r="A776" t="str">
            <v>THA-112</v>
          </cell>
          <cell r="D776">
            <v>14</v>
          </cell>
          <cell r="E776">
            <v>16</v>
          </cell>
          <cell r="F776">
            <v>18</v>
          </cell>
          <cell r="H776">
            <v>16</v>
          </cell>
          <cell r="I776">
            <v>12</v>
          </cell>
          <cell r="R776">
            <v>11</v>
          </cell>
          <cell r="T776">
            <v>87</v>
          </cell>
        </row>
        <row r="777">
          <cell r="A777" t="str">
            <v>THA-113</v>
          </cell>
          <cell r="C777">
            <v>3</v>
          </cell>
          <cell r="D777">
            <v>5</v>
          </cell>
          <cell r="E777">
            <v>3</v>
          </cell>
          <cell r="T777">
            <v>11</v>
          </cell>
        </row>
        <row r="778">
          <cell r="A778" t="str">
            <v>THA-117</v>
          </cell>
          <cell r="F778">
            <v>5</v>
          </cell>
          <cell r="K778">
            <v>10</v>
          </cell>
          <cell r="R778">
            <v>8</v>
          </cell>
          <cell r="S778">
            <v>6</v>
          </cell>
          <cell r="T778">
            <v>29</v>
          </cell>
        </row>
        <row r="779">
          <cell r="A779" t="str">
            <v>THA-127</v>
          </cell>
          <cell r="H779">
            <v>10</v>
          </cell>
          <cell r="I779">
            <v>6</v>
          </cell>
          <cell r="T779">
            <v>16</v>
          </cell>
        </row>
        <row r="780">
          <cell r="A780" t="str">
            <v>THA-135</v>
          </cell>
          <cell r="C780">
            <v>24</v>
          </cell>
          <cell r="D780">
            <v>45</v>
          </cell>
          <cell r="E780">
            <v>43</v>
          </cell>
          <cell r="F780">
            <v>44</v>
          </cell>
          <cell r="G780">
            <v>24</v>
          </cell>
          <cell r="H780">
            <v>26</v>
          </cell>
          <cell r="I780">
            <v>44</v>
          </cell>
          <cell r="J780">
            <v>44</v>
          </cell>
          <cell r="K780">
            <v>45</v>
          </cell>
          <cell r="R780">
            <v>44</v>
          </cell>
          <cell r="T780">
            <v>383</v>
          </cell>
        </row>
        <row r="781">
          <cell r="A781" t="str">
            <v>THA-136</v>
          </cell>
          <cell r="B781">
            <v>10</v>
          </cell>
          <cell r="C781">
            <v>21</v>
          </cell>
          <cell r="D781">
            <v>20</v>
          </cell>
          <cell r="E781">
            <v>22</v>
          </cell>
          <cell r="F781">
            <v>19</v>
          </cell>
          <cell r="R781">
            <v>22</v>
          </cell>
          <cell r="T781">
            <v>114</v>
          </cell>
        </row>
        <row r="782">
          <cell r="A782" t="str">
            <v>THA-137</v>
          </cell>
          <cell r="G782">
            <v>13</v>
          </cell>
          <cell r="H782">
            <v>9</v>
          </cell>
          <cell r="I782">
            <v>16</v>
          </cell>
          <cell r="J782">
            <v>17</v>
          </cell>
          <cell r="K782">
            <v>12</v>
          </cell>
          <cell r="S782">
            <v>12</v>
          </cell>
          <cell r="T782">
            <v>79</v>
          </cell>
        </row>
        <row r="783">
          <cell r="A783" t="str">
            <v>THA-150</v>
          </cell>
          <cell r="E783">
            <v>4</v>
          </cell>
          <cell r="F783">
            <v>17</v>
          </cell>
          <cell r="R783">
            <v>12</v>
          </cell>
          <cell r="S783">
            <v>10</v>
          </cell>
          <cell r="T783">
            <v>43</v>
          </cell>
        </row>
        <row r="784">
          <cell r="A784" t="str">
            <v>THA-155</v>
          </cell>
          <cell r="D784">
            <v>26</v>
          </cell>
          <cell r="J784">
            <v>31</v>
          </cell>
          <cell r="T784">
            <v>57</v>
          </cell>
        </row>
        <row r="785">
          <cell r="A785" t="str">
            <v>THA-200</v>
          </cell>
          <cell r="H785">
            <v>20</v>
          </cell>
          <cell r="J785">
            <v>10</v>
          </cell>
          <cell r="T785">
            <v>30</v>
          </cell>
        </row>
        <row r="786">
          <cell r="A786" t="str">
            <v>THA-201</v>
          </cell>
          <cell r="C786">
            <v>15</v>
          </cell>
          <cell r="D786">
            <v>9</v>
          </cell>
          <cell r="E786">
            <v>15</v>
          </cell>
          <cell r="F786">
            <v>10</v>
          </cell>
          <cell r="G786">
            <v>15</v>
          </cell>
          <cell r="I786">
            <v>10</v>
          </cell>
          <cell r="K786">
            <v>12</v>
          </cell>
          <cell r="R786">
            <v>14</v>
          </cell>
          <cell r="T786">
            <v>100</v>
          </cell>
        </row>
        <row r="787">
          <cell r="A787" t="str">
            <v>THA-209</v>
          </cell>
          <cell r="B787">
            <v>13</v>
          </cell>
          <cell r="T787">
            <v>13</v>
          </cell>
        </row>
        <row r="788">
          <cell r="A788" t="str">
            <v>THA-210</v>
          </cell>
          <cell r="H788">
            <v>5</v>
          </cell>
          <cell r="J788">
            <v>4</v>
          </cell>
          <cell r="T788">
            <v>9</v>
          </cell>
        </row>
        <row r="789">
          <cell r="A789" t="str">
            <v>THA-299</v>
          </cell>
          <cell r="B789">
            <v>2</v>
          </cell>
          <cell r="D789">
            <v>4</v>
          </cell>
          <cell r="E789">
            <v>3</v>
          </cell>
          <cell r="H789">
            <v>2</v>
          </cell>
          <cell r="I789">
            <v>6</v>
          </cell>
          <cell r="K789">
            <v>1</v>
          </cell>
          <cell r="T789">
            <v>18</v>
          </cell>
        </row>
        <row r="790">
          <cell r="A790" t="str">
            <v>VEW-100</v>
          </cell>
          <cell r="I790">
            <v>42</v>
          </cell>
          <cell r="T790">
            <v>42</v>
          </cell>
        </row>
        <row r="791">
          <cell r="A791" t="str">
            <v>VEW-102</v>
          </cell>
          <cell r="D791">
            <v>17</v>
          </cell>
          <cell r="T791">
            <v>17</v>
          </cell>
        </row>
        <row r="792">
          <cell r="A792" t="str">
            <v>VEW-149</v>
          </cell>
          <cell r="F792">
            <v>3</v>
          </cell>
          <cell r="J792">
            <v>6</v>
          </cell>
          <cell r="K792">
            <v>4</v>
          </cell>
          <cell r="Q792" t="str">
            <v>2</v>
          </cell>
          <cell r="T792">
            <v>15</v>
          </cell>
        </row>
        <row r="793">
          <cell r="A793" t="str">
            <v>WATR-100</v>
          </cell>
          <cell r="C793">
            <v>56</v>
          </cell>
          <cell r="D793">
            <v>30</v>
          </cell>
          <cell r="E793">
            <v>68</v>
          </cell>
          <cell r="F793">
            <v>34</v>
          </cell>
          <cell r="H793">
            <v>23</v>
          </cell>
          <cell r="I793">
            <v>41</v>
          </cell>
          <cell r="J793">
            <v>32</v>
          </cell>
          <cell r="L793" t="str">
            <v>25</v>
          </cell>
          <cell r="M793" t="str">
            <v>36</v>
          </cell>
          <cell r="T793">
            <v>345</v>
          </cell>
        </row>
        <row r="794">
          <cell r="A794" t="str">
            <v>WATR-102</v>
          </cell>
          <cell r="B794">
            <v>33</v>
          </cell>
          <cell r="C794">
            <v>36</v>
          </cell>
          <cell r="D794">
            <v>32</v>
          </cell>
          <cell r="E794">
            <v>28</v>
          </cell>
          <cell r="F794">
            <v>29</v>
          </cell>
          <cell r="H794">
            <v>67</v>
          </cell>
          <cell r="I794">
            <v>26</v>
          </cell>
          <cell r="J794">
            <v>29</v>
          </cell>
          <cell r="L794" t="str">
            <v>27</v>
          </cell>
          <cell r="M794" t="str">
            <v>38</v>
          </cell>
          <cell r="T794">
            <v>345</v>
          </cell>
        </row>
        <row r="795">
          <cell r="A795" t="str">
            <v>WATR-103</v>
          </cell>
          <cell r="B795">
            <v>35</v>
          </cell>
          <cell r="C795">
            <v>38</v>
          </cell>
          <cell r="G795">
            <v>40</v>
          </cell>
          <cell r="T795">
            <v>113</v>
          </cell>
        </row>
        <row r="796">
          <cell r="A796" t="str">
            <v>WATR-107</v>
          </cell>
          <cell r="B796">
            <v>42</v>
          </cell>
          <cell r="C796">
            <v>85</v>
          </cell>
          <cell r="D796">
            <v>44</v>
          </cell>
          <cell r="G796">
            <v>44</v>
          </cell>
          <cell r="H796">
            <v>45</v>
          </cell>
          <cell r="T796">
            <v>260</v>
          </cell>
        </row>
        <row r="797">
          <cell r="A797" t="str">
            <v>WATR-109</v>
          </cell>
          <cell r="D797">
            <v>41</v>
          </cell>
          <cell r="T797">
            <v>41</v>
          </cell>
        </row>
        <row r="798">
          <cell r="A798" t="str">
            <v>WATR-120</v>
          </cell>
          <cell r="B798">
            <v>35</v>
          </cell>
          <cell r="C798">
            <v>34</v>
          </cell>
          <cell r="D798">
            <v>42</v>
          </cell>
          <cell r="E798">
            <v>43</v>
          </cell>
          <cell r="F798">
            <v>38</v>
          </cell>
          <cell r="R798">
            <v>21</v>
          </cell>
          <cell r="T798">
            <v>213</v>
          </cell>
        </row>
        <row r="799">
          <cell r="A799" t="str">
            <v>WATR-122</v>
          </cell>
          <cell r="G799">
            <v>28</v>
          </cell>
          <cell r="H799">
            <v>23</v>
          </cell>
          <cell r="I799">
            <v>26</v>
          </cell>
          <cell r="J799">
            <v>25</v>
          </cell>
          <cell r="K799">
            <v>18</v>
          </cell>
          <cell r="S799">
            <v>14</v>
          </cell>
          <cell r="T799">
            <v>134</v>
          </cell>
        </row>
        <row r="800">
          <cell r="A800" t="str">
            <v>WATR-125</v>
          </cell>
          <cell r="C800">
            <v>15</v>
          </cell>
          <cell r="D800">
            <v>14</v>
          </cell>
          <cell r="G800">
            <v>19</v>
          </cell>
          <cell r="H800">
            <v>18</v>
          </cell>
          <cell r="J800">
            <v>26</v>
          </cell>
          <cell r="K800">
            <v>28</v>
          </cell>
          <cell r="T800">
            <v>120</v>
          </cell>
        </row>
        <row r="801">
          <cell r="A801" t="str">
            <v>WATR-130</v>
          </cell>
          <cell r="D801">
            <v>27</v>
          </cell>
          <cell r="E801">
            <v>23</v>
          </cell>
          <cell r="F801">
            <v>20</v>
          </cell>
          <cell r="G801">
            <v>24</v>
          </cell>
          <cell r="I801">
            <v>31</v>
          </cell>
          <cell r="J801">
            <v>28</v>
          </cell>
          <cell r="K801">
            <v>30</v>
          </cell>
          <cell r="R801">
            <v>22</v>
          </cell>
          <cell r="S801">
            <v>28</v>
          </cell>
          <cell r="T801">
            <v>233</v>
          </cell>
        </row>
        <row r="802">
          <cell r="A802" t="str">
            <v>WATR-140</v>
          </cell>
          <cell r="B802">
            <v>30</v>
          </cell>
          <cell r="C802">
            <v>41</v>
          </cell>
          <cell r="D802">
            <v>38</v>
          </cell>
          <cell r="E802">
            <v>34</v>
          </cell>
          <cell r="F802">
            <v>30</v>
          </cell>
          <cell r="H802">
            <v>42</v>
          </cell>
          <cell r="I802">
            <v>33</v>
          </cell>
          <cell r="J802">
            <v>32</v>
          </cell>
          <cell r="K802">
            <v>32</v>
          </cell>
          <cell r="R802">
            <v>32</v>
          </cell>
          <cell r="S802">
            <v>32</v>
          </cell>
          <cell r="T802">
            <v>376</v>
          </cell>
        </row>
        <row r="803">
          <cell r="A803" t="str">
            <v>WATR-149</v>
          </cell>
          <cell r="K803">
            <v>1</v>
          </cell>
          <cell r="T803">
            <v>1</v>
          </cell>
        </row>
        <row r="804">
          <cell r="A804" t="str">
            <v>GUID-152M</v>
          </cell>
          <cell r="K804">
            <v>17</v>
          </cell>
          <cell r="Q804" t="str">
            <v>13</v>
          </cell>
          <cell r="S804">
            <v>26</v>
          </cell>
          <cell r="T804">
            <v>56</v>
          </cell>
        </row>
        <row r="805">
          <cell r="A805" t="str">
            <v>AJ-115</v>
          </cell>
          <cell r="K805">
            <v>32</v>
          </cell>
          <cell r="T805">
            <v>32</v>
          </cell>
        </row>
        <row r="806">
          <cell r="A806" t="str">
            <v>BADM-085</v>
          </cell>
          <cell r="K806">
            <v>20</v>
          </cell>
          <cell r="S806">
            <v>17</v>
          </cell>
          <cell r="T806">
            <v>37</v>
          </cell>
        </row>
        <row r="807">
          <cell r="A807" t="str">
            <v>DAN-225</v>
          </cell>
          <cell r="K807">
            <v>6</v>
          </cell>
          <cell r="T807">
            <v>6</v>
          </cell>
        </row>
        <row r="808">
          <cell r="A808" t="str">
            <v>DMS-299</v>
          </cell>
          <cell r="K808">
            <v>9</v>
          </cell>
          <cell r="T808">
            <v>9</v>
          </cell>
        </row>
        <row r="809">
          <cell r="A809" t="str">
            <v>ECON-202H</v>
          </cell>
          <cell r="S809">
            <v>3</v>
          </cell>
          <cell r="T809">
            <v>3</v>
          </cell>
        </row>
        <row r="810">
          <cell r="A810" t="str">
            <v>ECON-203</v>
          </cell>
          <cell r="K810">
            <v>30</v>
          </cell>
          <cell r="R810">
            <v>35</v>
          </cell>
          <cell r="S810">
            <v>28</v>
          </cell>
          <cell r="T810">
            <v>93</v>
          </cell>
        </row>
        <row r="811">
          <cell r="A811" t="str">
            <v>ENGL-240H</v>
          </cell>
          <cell r="K811">
            <v>1</v>
          </cell>
          <cell r="T811">
            <v>1</v>
          </cell>
        </row>
        <row r="812">
          <cell r="A812" t="str">
            <v>HIST-160</v>
          </cell>
          <cell r="K812">
            <v>30</v>
          </cell>
          <cell r="S812">
            <v>26</v>
          </cell>
          <cell r="T812">
            <v>56</v>
          </cell>
        </row>
        <row r="813">
          <cell r="A813" t="str">
            <v>LEAD-102</v>
          </cell>
          <cell r="K813">
            <v>22</v>
          </cell>
          <cell r="T813">
            <v>22</v>
          </cell>
        </row>
        <row r="814">
          <cell r="A814" t="str">
            <v>MUS-212</v>
          </cell>
          <cell r="K814">
            <v>9</v>
          </cell>
          <cell r="R814">
            <v>9</v>
          </cell>
          <cell r="S814">
            <v>9</v>
          </cell>
          <cell r="T814">
            <v>27</v>
          </cell>
        </row>
        <row r="815">
          <cell r="A815" t="str">
            <v>NUTR-100H</v>
          </cell>
          <cell r="K815">
            <v>5</v>
          </cell>
          <cell r="S815">
            <v>5</v>
          </cell>
          <cell r="T815">
            <v>10</v>
          </cell>
        </row>
        <row r="816">
          <cell r="A816" t="str">
            <v>PS-105</v>
          </cell>
          <cell r="K816">
            <v>33</v>
          </cell>
          <cell r="S816">
            <v>24</v>
          </cell>
          <cell r="T816">
            <v>57</v>
          </cell>
        </row>
        <row r="817">
          <cell r="A817" t="str">
            <v>PS-105H</v>
          </cell>
          <cell r="K817">
            <v>1</v>
          </cell>
          <cell r="S817">
            <v>4</v>
          </cell>
          <cell r="T817">
            <v>5</v>
          </cell>
        </row>
        <row r="818">
          <cell r="A818" t="str">
            <v>CDE-144</v>
          </cell>
          <cell r="R818">
            <v>9</v>
          </cell>
          <cell r="T818">
            <v>9</v>
          </cell>
        </row>
        <row r="819">
          <cell r="A819" t="str">
            <v>DMS-125</v>
          </cell>
          <cell r="R819">
            <v>7</v>
          </cell>
          <cell r="T819">
            <v>7</v>
          </cell>
        </row>
        <row r="820">
          <cell r="A820" t="str">
            <v>ENGL-092</v>
          </cell>
          <cell r="R820">
            <v>160</v>
          </cell>
          <cell r="S820">
            <v>152</v>
          </cell>
          <cell r="T820">
            <v>312</v>
          </cell>
        </row>
        <row r="821">
          <cell r="A821" t="str">
            <v>ENGR-116</v>
          </cell>
          <cell r="R821">
            <v>19</v>
          </cell>
          <cell r="T821">
            <v>19</v>
          </cell>
        </row>
        <row r="822">
          <cell r="A822" t="str">
            <v>GEOG-081</v>
          </cell>
          <cell r="R822">
            <v>32</v>
          </cell>
          <cell r="S822">
            <v>27</v>
          </cell>
          <cell r="T822">
            <v>59</v>
          </cell>
        </row>
        <row r="823">
          <cell r="A823" t="str">
            <v>GEOG-103</v>
          </cell>
          <cell r="R823">
            <v>15</v>
          </cell>
          <cell r="T823">
            <v>15</v>
          </cell>
        </row>
        <row r="824">
          <cell r="A824" t="str">
            <v>GUID-153C</v>
          </cell>
          <cell r="R824">
            <v>22</v>
          </cell>
          <cell r="S824">
            <v>13</v>
          </cell>
          <cell r="T824">
            <v>35</v>
          </cell>
        </row>
        <row r="825">
          <cell r="A825" t="str">
            <v>PHIL-109</v>
          </cell>
          <cell r="R825">
            <v>38</v>
          </cell>
          <cell r="T825">
            <v>38</v>
          </cell>
        </row>
        <row r="826">
          <cell r="A826" t="str">
            <v>PHOT-091</v>
          </cell>
          <cell r="R826">
            <v>10</v>
          </cell>
          <cell r="S826">
            <v>14</v>
          </cell>
          <cell r="T826">
            <v>24</v>
          </cell>
        </row>
        <row r="827">
          <cell r="A827" t="str">
            <v>PS-120</v>
          </cell>
          <cell r="R827">
            <v>23</v>
          </cell>
          <cell r="T827">
            <v>23</v>
          </cell>
        </row>
        <row r="828">
          <cell r="A828" t="str">
            <v>PS-120H</v>
          </cell>
          <cell r="R828">
            <v>1</v>
          </cell>
          <cell r="T828">
            <v>1</v>
          </cell>
        </row>
        <row r="829">
          <cell r="A829" t="str">
            <v>ANTH-111</v>
          </cell>
          <cell r="S829">
            <v>51</v>
          </cell>
          <cell r="T829">
            <v>51</v>
          </cell>
        </row>
        <row r="830">
          <cell r="A830" t="str">
            <v>ART-299F</v>
          </cell>
          <cell r="S830">
            <v>1</v>
          </cell>
          <cell r="T830">
            <v>1</v>
          </cell>
        </row>
        <row r="831">
          <cell r="A831" t="str">
            <v>COMM-116</v>
          </cell>
          <cell r="S831">
            <v>30</v>
          </cell>
          <cell r="T831">
            <v>30</v>
          </cell>
        </row>
        <row r="832">
          <cell r="A832" t="str">
            <v>DMS-135</v>
          </cell>
          <cell r="S832">
            <v>7</v>
          </cell>
          <cell r="T832">
            <v>7</v>
          </cell>
        </row>
        <row r="833">
          <cell r="A833" t="str">
            <v>GEOG-149</v>
          </cell>
          <cell r="S833">
            <v>2</v>
          </cell>
          <cell r="T833">
            <v>2</v>
          </cell>
        </row>
        <row r="834">
          <cell r="A834" t="str">
            <v>GEOG-298V</v>
          </cell>
          <cell r="S834">
            <v>12</v>
          </cell>
          <cell r="T834">
            <v>12</v>
          </cell>
        </row>
        <row r="835">
          <cell r="A835" t="str">
            <v>LEAD-299</v>
          </cell>
          <cell r="S835">
            <v>8</v>
          </cell>
          <cell r="T835">
            <v>8</v>
          </cell>
        </row>
        <row r="836">
          <cell r="A836" t="str">
            <v>Grand Total</v>
          </cell>
          <cell r="B836">
            <v>16414</v>
          </cell>
          <cell r="C836">
            <v>18267</v>
          </cell>
          <cell r="D836">
            <v>19989</v>
          </cell>
          <cell r="E836">
            <v>17464</v>
          </cell>
          <cell r="F836">
            <v>16080</v>
          </cell>
          <cell r="G836">
            <v>16308</v>
          </cell>
          <cell r="H836">
            <v>18353</v>
          </cell>
          <cell r="I836">
            <v>18736</v>
          </cell>
          <cell r="J836">
            <v>17622</v>
          </cell>
          <cell r="K836">
            <v>16714</v>
          </cell>
          <cell r="L836" t="str">
            <v>2823</v>
          </cell>
          <cell r="M836" t="str">
            <v>3262</v>
          </cell>
          <cell r="N836" t="str">
            <v>1602</v>
          </cell>
          <cell r="O836" t="str">
            <v>754</v>
          </cell>
          <cell r="P836" t="str">
            <v>37</v>
          </cell>
          <cell r="Q836" t="str">
            <v>590</v>
          </cell>
          <cell r="R836">
            <v>14975</v>
          </cell>
          <cell r="S836">
            <v>14760</v>
          </cell>
          <cell r="T836">
            <v>214750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78"/>
  <sheetViews>
    <sheetView tabSelected="1" zoomScale="90" zoomScaleNormal="90" workbookViewId="0">
      <pane ySplit="4" topLeftCell="A5" activePane="bottomLeft" state="frozen"/>
      <selection pane="bottomLeft" activeCell="W13" sqref="W13"/>
    </sheetView>
  </sheetViews>
  <sheetFormatPr defaultRowHeight="15" x14ac:dyDescent="0.25"/>
  <cols>
    <col min="1" max="1" width="51.140625" style="7" bestFit="1" customWidth="1"/>
    <col min="2" max="3" width="5.5703125" style="7" bestFit="1" customWidth="1"/>
    <col min="4" max="4" width="5.42578125" style="7" bestFit="1" customWidth="1"/>
    <col min="5" max="6" width="5.5703125" style="7" bestFit="1" customWidth="1"/>
    <col min="7" max="7" width="5.42578125" style="7" bestFit="1" customWidth="1"/>
    <col min="8" max="9" width="5.5703125" style="7" bestFit="1" customWidth="1"/>
    <col min="10" max="10" width="5.42578125" style="7" bestFit="1" customWidth="1"/>
    <col min="11" max="12" width="5.5703125" style="7" bestFit="1" customWidth="1"/>
    <col min="13" max="13" width="5.42578125" style="7" bestFit="1" customWidth="1"/>
    <col min="14" max="15" width="5.5703125" style="7" bestFit="1" customWidth="1"/>
    <col min="16" max="16" width="5.42578125" style="7" bestFit="1" customWidth="1"/>
    <col min="17" max="18" width="5.5703125" style="7" bestFit="1" customWidth="1"/>
    <col min="19" max="19" width="5.42578125" style="7" bestFit="1" customWidth="1"/>
  </cols>
  <sheetData>
    <row r="1" spans="1:28" ht="15.75" x14ac:dyDescent="0.25">
      <c r="A1" s="59" t="s">
        <v>1150</v>
      </c>
      <c r="B1" s="55" t="s">
        <v>1146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28" ht="16.5" thickBot="1" x14ac:dyDescent="0.3">
      <c r="A2" s="60"/>
      <c r="B2" s="57" t="s">
        <v>1143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8" ht="15.75" thickBot="1" x14ac:dyDescent="0.3">
      <c r="A3" s="37" t="s">
        <v>1138</v>
      </c>
      <c r="B3" s="61" t="s">
        <v>1137</v>
      </c>
      <c r="C3" s="62"/>
      <c r="D3" s="63"/>
      <c r="E3" s="65" t="s">
        <v>1065</v>
      </c>
      <c r="F3" s="50"/>
      <c r="G3" s="51"/>
      <c r="H3" s="64" t="s">
        <v>1066</v>
      </c>
      <c r="I3" s="62"/>
      <c r="J3" s="66"/>
      <c r="K3" s="49" t="s">
        <v>1067</v>
      </c>
      <c r="L3" s="50"/>
      <c r="M3" s="51"/>
      <c r="N3" s="64" t="s">
        <v>1068</v>
      </c>
      <c r="O3" s="62"/>
      <c r="P3" s="63"/>
      <c r="Q3" s="49" t="s">
        <v>1156</v>
      </c>
      <c r="R3" s="50"/>
      <c r="S3" s="51"/>
    </row>
    <row r="4" spans="1:28" ht="15.75" thickBot="1" x14ac:dyDescent="0.3">
      <c r="A4" s="1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44" t="s">
        <v>1060</v>
      </c>
      <c r="I4" s="39" t="s">
        <v>675</v>
      </c>
      <c r="J4" s="45" t="s">
        <v>1006</v>
      </c>
      <c r="K4" s="46" t="s">
        <v>1062</v>
      </c>
      <c r="L4" s="42" t="s">
        <v>762</v>
      </c>
      <c r="M4" s="43" t="s">
        <v>1022</v>
      </c>
      <c r="N4" s="44" t="s">
        <v>1063</v>
      </c>
      <c r="O4" s="39" t="s">
        <v>822</v>
      </c>
      <c r="P4" s="40" t="s">
        <v>1042</v>
      </c>
      <c r="Q4" s="46" t="s">
        <v>1153</v>
      </c>
      <c r="R4" s="42" t="s">
        <v>1154</v>
      </c>
      <c r="S4" s="43" t="s">
        <v>1155</v>
      </c>
    </row>
    <row r="5" spans="1:28" x14ac:dyDescent="0.25">
      <c r="A5" s="2" t="s">
        <v>1070</v>
      </c>
      <c r="B5" s="16" t="str">
        <f>IFERROR((VLOOKUP('[1]SUBJECTS BASE'!$G1,'[1]import success seats'!$A:Z,HLOOKUP(B$4,'[1]import success seats'!$1:$2,2,FALSE),FALSE))/((VLOOKUP('[1]SUBJECTS BASE'!$G1,'[1]import GRADED seats subject piv'!$A:P,HLOOKUP(B$4,'[1]import GRADED seats subject piv'!$1:$2,2,FALSE),FALSE))),"")</f>
        <v/>
      </c>
      <c r="C5" s="17">
        <f>IFERROR((VLOOKUP('[1]SUBJECTS BASE'!$G1,'[1]import success seats'!$A:AA,HLOOKUP(C$4,'[1]import success seats'!$1:$2,2,FALSE),FALSE))/((VLOOKUP('[1]SUBJECTS BASE'!$G1,'[1]import GRADED seats subject piv'!$A:Q,HLOOKUP(C$4,'[1]import GRADED seats subject piv'!$1:$2,2,FALSE),FALSE))),"")</f>
        <v>0.70760233918128657</v>
      </c>
      <c r="D5" s="20">
        <f>IFERROR((VLOOKUP('[1]SUBJECTS BASE'!$G1,'[1]import success seats'!$A:AB,HLOOKUP(D$4,'[1]import success seats'!$1:$2,2,FALSE),FALSE))/((VLOOKUP('[1]SUBJECTS BASE'!$G1,'[1]import GRADED seats subject piv'!$A:R,HLOOKUP(D$4,'[1]import GRADED seats subject piv'!$1:$2,2,FALSE),FALSE))),"")</f>
        <v>0.71140939597315433</v>
      </c>
      <c r="E5" s="16" t="str">
        <f>IFERROR((VLOOKUP('[1]SUBJECTS BASE'!$G1,'[1]import success seats'!$A:AC,HLOOKUP(E$4,'[1]import success seats'!$1:$2,2,FALSE),FALSE))/((VLOOKUP('[1]SUBJECTS BASE'!$G1,'[1]import GRADED seats subject piv'!$A:S,HLOOKUP(E$4,'[1]import GRADED seats subject piv'!$1:$2,2,FALSE),FALSE))),"")</f>
        <v/>
      </c>
      <c r="F5" s="17">
        <f>IFERROR((VLOOKUP('[1]SUBJECTS BASE'!$G1,'[1]import success seats'!$A:AD,HLOOKUP(F$4,'[1]import success seats'!$1:$2,2,FALSE),FALSE))/((VLOOKUP('[1]SUBJECTS BASE'!$G1,'[1]import GRADED seats subject piv'!$A:T,HLOOKUP(F$4,'[1]import GRADED seats subject piv'!$1:$2,2,FALSE),FALSE))),"")</f>
        <v>0.73737373737373735</v>
      </c>
      <c r="G5" s="18">
        <f>IFERROR((VLOOKUP('[1]SUBJECTS BASE'!$G1,'[1]import success seats'!$A:AE,HLOOKUP(G$4,'[1]import success seats'!$1:$2,2,FALSE),FALSE))/((VLOOKUP('[1]SUBJECTS BASE'!$G1,'[1]import GRADED seats subject piv'!$A:U,HLOOKUP(G$4,'[1]import GRADED seats subject piv'!$1:$2,2,FALSE),FALSE))),"")</f>
        <v>0.75806451612903225</v>
      </c>
      <c r="H5" s="22" t="str">
        <f>IFERROR((VLOOKUP('[1]SUBJECTS BASE'!$G1,'[1]import success seats'!$A:AF,HLOOKUP(H$4,'[1]import success seats'!$1:$2,2,FALSE),FALSE))/((VLOOKUP('[1]SUBJECTS BASE'!$G1,'[1]import GRADED seats subject piv'!$A:V,HLOOKUP(H$4,'[1]import GRADED seats subject piv'!$1:$2,2,FALSE),FALSE))),"")</f>
        <v/>
      </c>
      <c r="I5" s="17">
        <f>IFERROR((VLOOKUP('[1]SUBJECTS BASE'!$G1,'[1]import success seats'!$A:AG,HLOOKUP(I$4,'[1]import success seats'!$1:$2,2,FALSE),FALSE))/((VLOOKUP('[1]SUBJECTS BASE'!$G1,'[1]import GRADED seats subject piv'!$A:W,HLOOKUP(I$4,'[1]import GRADED seats subject piv'!$1:$2,2,FALSE),FALSE))),"")</f>
        <v>0.75555555555555554</v>
      </c>
      <c r="J5" s="20">
        <f>IFERROR((VLOOKUP('[1]SUBJECTS BASE'!$G1,'[1]import success seats'!$A:AH,HLOOKUP(J$4,'[1]import success seats'!$1:$2,2,FALSE),FALSE))/((VLOOKUP('[1]SUBJECTS BASE'!$G1,'[1]import GRADED seats subject piv'!$A:X,HLOOKUP(J$4,'[1]import GRADED seats subject piv'!$1:$2,2,FALSE),FALSE))),"")</f>
        <v>0.83333333333333337</v>
      </c>
      <c r="K5" s="16" t="str">
        <f>IFERROR((VLOOKUP('[1]SUBJECTS BASE'!$G1,'[1]import success seats'!$A:AI,HLOOKUP(K$4,'[1]import success seats'!$1:$2,2,FALSE),FALSE))/((VLOOKUP('[1]SUBJECTS BASE'!$G1,'[1]import GRADED seats subject piv'!$A:Y,HLOOKUP(K$4,'[1]import GRADED seats subject piv'!$1:$2,2,FALSE),FALSE))),"")</f>
        <v/>
      </c>
      <c r="L5" s="17">
        <f>IFERROR((VLOOKUP('[1]SUBJECTS BASE'!$G1,'[1]import success seats'!$A:AJ,HLOOKUP(L$4,'[1]import success seats'!$1:$2,2,FALSE),FALSE))/((VLOOKUP('[1]SUBJECTS BASE'!$G1,'[1]import GRADED seats subject piv'!$A:Z,HLOOKUP(L$4,'[1]import GRADED seats subject piv'!$1:$2,2,FALSE),FALSE))),"")</f>
        <v>0.7678571428571429</v>
      </c>
      <c r="M5" s="18">
        <f>IFERROR((VLOOKUP('[1]SUBJECTS BASE'!$G1,'[1]import success seats'!$A:AK,HLOOKUP(M$4,'[1]import success seats'!$1:$2,2,FALSE),FALSE))/((VLOOKUP('[1]SUBJECTS BASE'!$G1,'[1]import GRADED seats subject piv'!$A:AB,HLOOKUP(M$4,'[1]import GRADED seats subject piv'!$1:$2,2,FALSE),FALSE))),"")</f>
        <v>0.84680851063829787</v>
      </c>
      <c r="N5" s="22" t="str">
        <f>IFERROR((VLOOKUP('[1]SUBJECTS BASE'!$G1,'[1]import success seats'!$A:AL,HLOOKUP(N$4,'[1]import success seats'!$1:$2,2,FALSE),FALSE))/((VLOOKUP('[1]SUBJECTS BASE'!$G1,'[1]import GRADED seats subject piv'!$A:AC,HLOOKUP(N$4,'[1]import GRADED seats subject piv'!$1:$2,2,FALSE),FALSE))),"")</f>
        <v/>
      </c>
      <c r="O5" s="17">
        <f>IFERROR((VLOOKUP('[1]SUBJECTS BASE'!$G1,'[1]import success seats'!$A:AM,HLOOKUP(O$4,'[1]import success seats'!$1:$2,2,FALSE),FALSE))/((VLOOKUP('[1]SUBJECTS BASE'!$G1,'[1]import GRADED seats subject piv'!$A:AD,HLOOKUP(O$4,'[1]import GRADED seats subject piv'!$1:$2,2,FALSE),FALSE))),"")</f>
        <v>0.76106194690265483</v>
      </c>
      <c r="P5" s="36">
        <f>IFERROR((VLOOKUP('[1]SUBJECTS BASE'!$G1,'[1]import success seats'!$A:AN,HLOOKUP(P$4,'[1]import success seats'!$1:$2,2,FALSE),FALSE))/((VLOOKUP('[1]SUBJECTS BASE'!$G1,'[1]import GRADED seats subject piv'!$A:AE,HLOOKUP(P$4,'[1]import GRADED seats subject piv'!$1:$2,2,FALSE),FALSE))),"")</f>
        <v>0.76470588235294112</v>
      </c>
      <c r="Q5" s="16" t="str">
        <f>IFERROR((VLOOKUP('[1]SUBJECTS BASE'!$G1,'[1]import success seats'!$A:AO,HLOOKUP(Q$4,'[1]import success seats'!$1:$2,2,FALSE),FALSE))/((VLOOKUP('[1]SUBJECTS BASE'!$G1,'[1]import GRADED seats subject piv'!$A:AF,HLOOKUP(Q$4,'[1]import GRADED seats subject piv'!$1:$2,2,FALSE),FALSE))),"")</f>
        <v/>
      </c>
      <c r="R5" s="17">
        <f>IFERROR((VLOOKUP('[1]SUBJECTS BASE'!$G1,'[1]import success seats'!$A:AP,HLOOKUP(R$4,'[1]import success seats'!$1:$2,2,FALSE),FALSE))/((VLOOKUP('[1]SUBJECTS BASE'!$G1,'[1]import GRADED seats subject piv'!$A:AG,HLOOKUP(R$4,'[1]import GRADED seats subject piv'!$1:$2,2,FALSE),FALSE))),"")</f>
        <v>0.83539094650205759</v>
      </c>
      <c r="S5" s="18">
        <f>IFERROR((VLOOKUP('[1]SUBJECTS BASE'!$G1,'[1]import success seats'!$A:AQ,HLOOKUP(S$4,'[1]import success seats'!$1:$2,2,FALSE),FALSE))/((VLOOKUP('[1]SUBJECTS BASE'!$G1,'[1]import GRADED seats subject piv'!$A:AH,HLOOKUP(S$4,'[1]import GRADED seats subject piv'!$1:$2,2,FALSE),FALSE))),"")</f>
        <v>0.78143712574850299</v>
      </c>
      <c r="Y5" s="7"/>
      <c r="Z5" s="7"/>
      <c r="AA5" s="7"/>
      <c r="AB5" s="7"/>
    </row>
    <row r="6" spans="1:28" x14ac:dyDescent="0.25">
      <c r="A6" s="3" t="s">
        <v>1071</v>
      </c>
      <c r="B6" s="13" t="str">
        <f>IFERROR((VLOOKUP('[1]SUBJECTS BASE'!$G2,'[1]import success seats'!$A:Z,HLOOKUP(B$4,'[1]import success seats'!$1:$2,2,FALSE),FALSE))/((VLOOKUP('[1]SUBJECTS BASE'!$G2,'[1]import GRADED seats subject piv'!$A:P,HLOOKUP(B$4,'[1]import GRADED seats subject piv'!$1:$2,2,FALSE),FALSE))),"")</f>
        <v/>
      </c>
      <c r="C6" s="15">
        <f>IFERROR((VLOOKUP('[1]SUBJECTS BASE'!$G2,'[1]import success seats'!$A:AA,HLOOKUP(C$4,'[1]import success seats'!$1:$2,2,FALSE),FALSE))/((VLOOKUP('[1]SUBJECTS BASE'!$G2,'[1]import GRADED seats subject piv'!$A:Q,HLOOKUP(C$4,'[1]import GRADED seats subject piv'!$1:$2,2,FALSE),FALSE))),"")</f>
        <v>1</v>
      </c>
      <c r="D6" s="21">
        <f>IFERROR((VLOOKUP('[1]SUBJECTS BASE'!$G2,'[1]import success seats'!$A:AB,HLOOKUP(D$4,'[1]import success seats'!$1:$2,2,FALSE),FALSE))/((VLOOKUP('[1]SUBJECTS BASE'!$G2,'[1]import GRADED seats subject piv'!$A:R,HLOOKUP(D$4,'[1]import GRADED seats subject piv'!$1:$2,2,FALSE),FALSE))),"")</f>
        <v>1</v>
      </c>
      <c r="E6" s="13" t="str">
        <f>IFERROR((VLOOKUP('[1]SUBJECTS BASE'!$G2,'[1]import success seats'!$A:AC,HLOOKUP(E$4,'[1]import success seats'!$1:$2,2,FALSE),FALSE))/((VLOOKUP('[1]SUBJECTS BASE'!$G2,'[1]import GRADED seats subject piv'!$A:S,HLOOKUP(E$4,'[1]import GRADED seats subject piv'!$1:$2,2,FALSE),FALSE))),"")</f>
        <v/>
      </c>
      <c r="F6" s="15">
        <f>IFERROR((VLOOKUP('[1]SUBJECTS BASE'!$G2,'[1]import success seats'!$A:AD,HLOOKUP(F$4,'[1]import success seats'!$1:$2,2,FALSE),FALSE))/((VLOOKUP('[1]SUBJECTS BASE'!$G2,'[1]import GRADED seats subject piv'!$A:T,HLOOKUP(F$4,'[1]import GRADED seats subject piv'!$1:$2,2,FALSE),FALSE))),"")</f>
        <v>0.9642857142857143</v>
      </c>
      <c r="G6" s="19">
        <f>IFERROR((VLOOKUP('[1]SUBJECTS BASE'!$G2,'[1]import success seats'!$A:AE,HLOOKUP(G$4,'[1]import success seats'!$1:$2,2,FALSE),FALSE))/((VLOOKUP('[1]SUBJECTS BASE'!$G2,'[1]import GRADED seats subject piv'!$A:U,HLOOKUP(G$4,'[1]import GRADED seats subject piv'!$1:$2,2,FALSE),FALSE))),"")</f>
        <v>0.97916666666666663</v>
      </c>
      <c r="H6" s="23" t="str">
        <f>IFERROR((VLOOKUP('[1]SUBJECTS BASE'!$G2,'[1]import success seats'!$A:AF,HLOOKUP(H$4,'[1]import success seats'!$1:$2,2,FALSE),FALSE))/((VLOOKUP('[1]SUBJECTS BASE'!$G2,'[1]import GRADED seats subject piv'!$A:V,HLOOKUP(H$4,'[1]import GRADED seats subject piv'!$1:$2,2,FALSE),FALSE))),"")</f>
        <v/>
      </c>
      <c r="I6" s="15">
        <f>IFERROR((VLOOKUP('[1]SUBJECTS BASE'!$G2,'[1]import success seats'!$A:AG,HLOOKUP(I$4,'[1]import success seats'!$1:$2,2,FALSE),FALSE))/((VLOOKUP('[1]SUBJECTS BASE'!$G2,'[1]import GRADED seats subject piv'!$A:W,HLOOKUP(I$4,'[1]import GRADED seats subject piv'!$1:$2,2,FALSE),FALSE))),"")</f>
        <v>1</v>
      </c>
      <c r="J6" s="21">
        <f>IFERROR((VLOOKUP('[1]SUBJECTS BASE'!$G2,'[1]import success seats'!$A:AH,HLOOKUP(J$4,'[1]import success seats'!$1:$2,2,FALSE),FALSE))/((VLOOKUP('[1]SUBJECTS BASE'!$G2,'[1]import GRADED seats subject piv'!$A:X,HLOOKUP(J$4,'[1]import GRADED seats subject piv'!$1:$2,2,FALSE),FALSE))),"")</f>
        <v>0.94117647058823528</v>
      </c>
      <c r="K6" s="13">
        <f>IFERROR((VLOOKUP('[1]SUBJECTS BASE'!$G2,'[1]import success seats'!$A:AI,HLOOKUP(K$4,'[1]import success seats'!$1:$2,2,FALSE),FALSE))/((VLOOKUP('[1]SUBJECTS BASE'!$G2,'[1]import GRADED seats subject piv'!$A:Y,HLOOKUP(K$4,'[1]import GRADED seats subject piv'!$1:$2,2,FALSE),FALSE))),"")</f>
        <v>0.95121951219512191</v>
      </c>
      <c r="L6" s="15">
        <f>IFERROR((VLOOKUP('[1]SUBJECTS BASE'!$G2,'[1]import success seats'!$A:AJ,HLOOKUP(L$4,'[1]import success seats'!$1:$2,2,FALSE),FALSE))/((VLOOKUP('[1]SUBJECTS BASE'!$G2,'[1]import GRADED seats subject piv'!$A:Z,HLOOKUP(L$4,'[1]import GRADED seats subject piv'!$1:$2,2,FALSE),FALSE))),"")</f>
        <v>1</v>
      </c>
      <c r="M6" s="19">
        <f>IFERROR((VLOOKUP('[1]SUBJECTS BASE'!$G2,'[1]import success seats'!$A:AK,HLOOKUP(M$4,'[1]import success seats'!$1:$2,2,FALSE),FALSE))/((VLOOKUP('[1]SUBJECTS BASE'!$G2,'[1]import GRADED seats subject piv'!$A:AB,HLOOKUP(M$4,'[1]import GRADED seats subject piv'!$1:$2,2,FALSE),FALSE))),"")</f>
        <v>0.92783505154639179</v>
      </c>
      <c r="N6" s="23" t="str">
        <f>IFERROR((VLOOKUP('[1]SUBJECTS BASE'!$G2,'[1]import success seats'!$A:AL,HLOOKUP(N$4,'[1]import success seats'!$1:$2,2,FALSE),FALSE))/((VLOOKUP('[1]SUBJECTS BASE'!$G2,'[1]import GRADED seats subject piv'!$A:AC,HLOOKUP(N$4,'[1]import GRADED seats subject piv'!$1:$2,2,FALSE),FALSE))),"")</f>
        <v/>
      </c>
      <c r="O6" s="15">
        <f>IFERROR((VLOOKUP('[1]SUBJECTS BASE'!$G2,'[1]import success seats'!$A:AM,HLOOKUP(O$4,'[1]import success seats'!$1:$2,2,FALSE),FALSE))/((VLOOKUP('[1]SUBJECTS BASE'!$G2,'[1]import GRADED seats subject piv'!$A:AD,HLOOKUP(O$4,'[1]import GRADED seats subject piv'!$1:$2,2,FALSE),FALSE))),"")</f>
        <v>0.88636363636363635</v>
      </c>
      <c r="P6" s="15">
        <f>IFERROR((VLOOKUP('[1]SUBJECTS BASE'!$G2,'[1]import success seats'!$A:AN,HLOOKUP(P$4,'[1]import success seats'!$1:$2,2,FALSE),FALSE))/((VLOOKUP('[1]SUBJECTS BASE'!$G2,'[1]import GRADED seats subject piv'!$A:AE,HLOOKUP(P$4,'[1]import GRADED seats subject piv'!$1:$2,2,FALSE),FALSE))),"")</f>
        <v>1</v>
      </c>
      <c r="Q6" s="13" t="str">
        <f>IFERROR((VLOOKUP('[1]SUBJECTS BASE'!$G2,'[1]import success seats'!$A:AO,HLOOKUP(Q$4,'[1]import success seats'!$1:$2,2,FALSE),FALSE))/((VLOOKUP('[1]SUBJECTS BASE'!$G2,'[1]import GRADED seats subject piv'!$A:AF,HLOOKUP(Q$4,'[1]import GRADED seats subject piv'!$1:$2,2,FALSE),FALSE))),"")</f>
        <v/>
      </c>
      <c r="R6" s="15">
        <f>IFERROR((VLOOKUP('[1]SUBJECTS BASE'!$G2,'[1]import success seats'!$A:AP,HLOOKUP(R$4,'[1]import success seats'!$1:$2,2,FALSE),FALSE))/((VLOOKUP('[1]SUBJECTS BASE'!$G2,'[1]import GRADED seats subject piv'!$A:AG,HLOOKUP(R$4,'[1]import GRADED seats subject piv'!$1:$2,2,FALSE),FALSE))),"")</f>
        <v>0.9375</v>
      </c>
      <c r="S6" s="19">
        <f>IFERROR((VLOOKUP('[1]SUBJECTS BASE'!$G2,'[1]import success seats'!$A:AQ,HLOOKUP(S$4,'[1]import success seats'!$1:$2,2,FALSE),FALSE))/((VLOOKUP('[1]SUBJECTS BASE'!$G2,'[1]import GRADED seats subject piv'!$A:AH,HLOOKUP(S$4,'[1]import GRADED seats subject piv'!$1:$2,2,FALSE),FALSE))),"")</f>
        <v>0.91666666666666663</v>
      </c>
    </row>
    <row r="7" spans="1:28" x14ac:dyDescent="0.25">
      <c r="A7" s="3" t="s">
        <v>1072</v>
      </c>
      <c r="B7" s="13">
        <f>IFERROR((VLOOKUP('[1]SUBJECTS BASE'!$G3,'[1]import success seats'!$A:Z,HLOOKUP(B$4,'[1]import success seats'!$1:$2,2,FALSE),FALSE))/((VLOOKUP('[1]SUBJECTS BASE'!$G3,'[1]import GRADED seats subject piv'!$A:P,HLOOKUP(B$4,'[1]import GRADED seats subject piv'!$1:$2,2,FALSE),FALSE))),"")</f>
        <v>0.93055555555555558</v>
      </c>
      <c r="C7" s="15">
        <f>IFERROR((VLOOKUP('[1]SUBJECTS BASE'!$G3,'[1]import success seats'!$A:AA,HLOOKUP(C$4,'[1]import success seats'!$1:$2,2,FALSE),FALSE))/((VLOOKUP('[1]SUBJECTS BASE'!$G3,'[1]import GRADED seats subject piv'!$A:Q,HLOOKUP(C$4,'[1]import GRADED seats subject piv'!$1:$2,2,FALSE),FALSE))),"")</f>
        <v>0.845771144278607</v>
      </c>
      <c r="D7" s="21">
        <f>IFERROR((VLOOKUP('[1]SUBJECTS BASE'!$G3,'[1]import success seats'!$A:AB,HLOOKUP(D$4,'[1]import success seats'!$1:$2,2,FALSE),FALSE))/((VLOOKUP('[1]SUBJECTS BASE'!$G3,'[1]import GRADED seats subject piv'!$A:R,HLOOKUP(D$4,'[1]import GRADED seats subject piv'!$1:$2,2,FALSE),FALSE))),"")</f>
        <v>0.83526682134570762</v>
      </c>
      <c r="E7" s="13">
        <f>IFERROR((VLOOKUP('[1]SUBJECTS BASE'!$G3,'[1]import success seats'!$A:AC,HLOOKUP(E$4,'[1]import success seats'!$1:$2,2,FALSE),FALSE))/((VLOOKUP('[1]SUBJECTS BASE'!$G3,'[1]import GRADED seats subject piv'!$A:S,HLOOKUP(E$4,'[1]import GRADED seats subject piv'!$1:$2,2,FALSE),FALSE))),"")</f>
        <v>0.85</v>
      </c>
      <c r="F7" s="15">
        <f>IFERROR((VLOOKUP('[1]SUBJECTS BASE'!$G3,'[1]import success seats'!$A:AD,HLOOKUP(F$4,'[1]import success seats'!$1:$2,2,FALSE),FALSE))/((VLOOKUP('[1]SUBJECTS BASE'!$G3,'[1]import GRADED seats subject piv'!$A:T,HLOOKUP(F$4,'[1]import GRADED seats subject piv'!$1:$2,2,FALSE),FALSE))),"")</f>
        <v>0.82460732984293195</v>
      </c>
      <c r="G7" s="19">
        <f>IFERROR((VLOOKUP('[1]SUBJECTS BASE'!$G3,'[1]import success seats'!$A:AE,HLOOKUP(G$4,'[1]import success seats'!$1:$2,2,FALSE),FALSE))/((VLOOKUP('[1]SUBJECTS BASE'!$G3,'[1]import GRADED seats subject piv'!$A:U,HLOOKUP(G$4,'[1]import GRADED seats subject piv'!$1:$2,2,FALSE),FALSE))),"")</f>
        <v>0.81122448979591832</v>
      </c>
      <c r="H7" s="23">
        <f>IFERROR((VLOOKUP('[1]SUBJECTS BASE'!$G3,'[1]import success seats'!$A:AF,HLOOKUP(H$4,'[1]import success seats'!$1:$2,2,FALSE),FALSE))/((VLOOKUP('[1]SUBJECTS BASE'!$G3,'[1]import GRADED seats subject piv'!$A:V,HLOOKUP(H$4,'[1]import GRADED seats subject piv'!$1:$2,2,FALSE),FALSE))),"")</f>
        <v>0.92</v>
      </c>
      <c r="I7" s="15">
        <f>IFERROR((VLOOKUP('[1]SUBJECTS BASE'!$G3,'[1]import success seats'!$A:AG,HLOOKUP(I$4,'[1]import success seats'!$1:$2,2,FALSE),FALSE))/((VLOOKUP('[1]SUBJECTS BASE'!$G3,'[1]import GRADED seats subject piv'!$A:W,HLOOKUP(I$4,'[1]import GRADED seats subject piv'!$1:$2,2,FALSE),FALSE))),"")</f>
        <v>0.83554376657824936</v>
      </c>
      <c r="J7" s="21">
        <f>IFERROR((VLOOKUP('[1]SUBJECTS BASE'!$G3,'[1]import success seats'!$A:AH,HLOOKUP(J$4,'[1]import success seats'!$1:$2,2,FALSE),FALSE))/((VLOOKUP('[1]SUBJECTS BASE'!$G3,'[1]import GRADED seats subject piv'!$A:X,HLOOKUP(J$4,'[1]import GRADED seats subject piv'!$1:$2,2,FALSE),FALSE))),"")</f>
        <v>0.88010899182561309</v>
      </c>
      <c r="K7" s="13">
        <f>IFERROR((VLOOKUP('[1]SUBJECTS BASE'!$G3,'[1]import success seats'!$A:AI,HLOOKUP(K$4,'[1]import success seats'!$1:$2,2,FALSE),FALSE))/((VLOOKUP('[1]SUBJECTS BASE'!$G3,'[1]import GRADED seats subject piv'!$A:Y,HLOOKUP(K$4,'[1]import GRADED seats subject piv'!$1:$2,2,FALSE),FALSE))),"")</f>
        <v>0.91954022988505746</v>
      </c>
      <c r="L7" s="15">
        <f>IFERROR((VLOOKUP('[1]SUBJECTS BASE'!$G3,'[1]import success seats'!$A:AJ,HLOOKUP(L$4,'[1]import success seats'!$1:$2,2,FALSE),FALSE))/((VLOOKUP('[1]SUBJECTS BASE'!$G3,'[1]import GRADED seats subject piv'!$A:Z,HLOOKUP(L$4,'[1]import GRADED seats subject piv'!$1:$2,2,FALSE),FALSE))),"")</f>
        <v>0.88095238095238093</v>
      </c>
      <c r="M7" s="19">
        <f>IFERROR((VLOOKUP('[1]SUBJECTS BASE'!$G3,'[1]import success seats'!$A:AK,HLOOKUP(M$4,'[1]import success seats'!$1:$2,2,FALSE),FALSE))/((VLOOKUP('[1]SUBJECTS BASE'!$G3,'[1]import GRADED seats subject piv'!$A:AB,HLOOKUP(M$4,'[1]import GRADED seats subject piv'!$1:$2,2,FALSE),FALSE))),"")</f>
        <v>0.85217391304347823</v>
      </c>
      <c r="N7" s="23" t="str">
        <f>IFERROR((VLOOKUP('[1]SUBJECTS BASE'!$G3,'[1]import success seats'!$A:AL,HLOOKUP(N$4,'[1]import success seats'!$1:$2,2,FALSE),FALSE))/((VLOOKUP('[1]SUBJECTS BASE'!$G3,'[1]import GRADED seats subject piv'!$A:AC,HLOOKUP(N$4,'[1]import GRADED seats subject piv'!$1:$2,2,FALSE),FALSE))),"")</f>
        <v/>
      </c>
      <c r="O7" s="15">
        <f>IFERROR((VLOOKUP('[1]SUBJECTS BASE'!$G3,'[1]import success seats'!$A:AM,HLOOKUP(O$4,'[1]import success seats'!$1:$2,2,FALSE),FALSE))/((VLOOKUP('[1]SUBJECTS BASE'!$G3,'[1]import GRADED seats subject piv'!$A:AD,HLOOKUP(O$4,'[1]import GRADED seats subject piv'!$1:$2,2,FALSE),FALSE))),"")</f>
        <v>0.86274509803921573</v>
      </c>
      <c r="P7" s="15">
        <f>IFERROR((VLOOKUP('[1]SUBJECTS BASE'!$G3,'[1]import success seats'!$A:AN,HLOOKUP(P$4,'[1]import success seats'!$1:$2,2,FALSE),FALSE))/((VLOOKUP('[1]SUBJECTS BASE'!$G3,'[1]import GRADED seats subject piv'!$A:AE,HLOOKUP(P$4,'[1]import GRADED seats subject piv'!$1:$2,2,FALSE),FALSE))),"")</f>
        <v>0.87214611872146119</v>
      </c>
      <c r="Q7" s="13">
        <f>IFERROR((VLOOKUP('[1]SUBJECTS BASE'!$G3,'[1]import success seats'!$A:AO,HLOOKUP(Q$4,'[1]import success seats'!$1:$2,2,FALSE),FALSE))/((VLOOKUP('[1]SUBJECTS BASE'!$G3,'[1]import GRADED seats subject piv'!$A:AF,HLOOKUP(Q$4,'[1]import GRADED seats subject piv'!$1:$2,2,FALSE),FALSE))),"")</f>
        <v>0.87096774193548387</v>
      </c>
      <c r="R7" s="15">
        <f>IFERROR((VLOOKUP('[1]SUBJECTS BASE'!$G3,'[1]import success seats'!$A:AP,HLOOKUP(R$4,'[1]import success seats'!$1:$2,2,FALSE),FALSE))/((VLOOKUP('[1]SUBJECTS BASE'!$G3,'[1]import GRADED seats subject piv'!$A:AG,HLOOKUP(R$4,'[1]import GRADED seats subject piv'!$1:$2,2,FALSE),FALSE))),"")</f>
        <v>0.6095890410958904</v>
      </c>
      <c r="S7" s="19">
        <f>IFERROR((VLOOKUP('[1]SUBJECTS BASE'!$G3,'[1]import success seats'!$A:AQ,HLOOKUP(S$4,'[1]import success seats'!$1:$2,2,FALSE),FALSE))/((VLOOKUP('[1]SUBJECTS BASE'!$G3,'[1]import GRADED seats subject piv'!$A:AH,HLOOKUP(S$4,'[1]import GRADED seats subject piv'!$1:$2,2,FALSE),FALSE))),"")</f>
        <v>0.91818181818181821</v>
      </c>
    </row>
    <row r="8" spans="1:28" x14ac:dyDescent="0.25">
      <c r="A8" s="3" t="s">
        <v>1073</v>
      </c>
      <c r="B8" s="13">
        <f>IFERROR((VLOOKUP('[1]SUBJECTS BASE'!$G4,'[1]import success seats'!$A:Z,HLOOKUP(B$4,'[1]import success seats'!$1:$2,2,FALSE),FALSE))/((VLOOKUP('[1]SUBJECTS BASE'!$G4,'[1]import GRADED seats subject piv'!$A:P,HLOOKUP(B$4,'[1]import GRADED seats subject piv'!$1:$2,2,FALSE),FALSE))),"")</f>
        <v>1</v>
      </c>
      <c r="C8" s="15">
        <f>IFERROR((VLOOKUP('[1]SUBJECTS BASE'!$G4,'[1]import success seats'!$A:AA,HLOOKUP(C$4,'[1]import success seats'!$1:$2,2,FALSE),FALSE))/((VLOOKUP('[1]SUBJECTS BASE'!$G4,'[1]import GRADED seats subject piv'!$A:Q,HLOOKUP(C$4,'[1]import GRADED seats subject piv'!$1:$2,2,FALSE),FALSE))),"")</f>
        <v>0.8978102189781022</v>
      </c>
      <c r="D8" s="21">
        <f>IFERROR((VLOOKUP('[1]SUBJECTS BASE'!$G4,'[1]import success seats'!$A:AB,HLOOKUP(D$4,'[1]import success seats'!$1:$2,2,FALSE),FALSE))/((VLOOKUP('[1]SUBJECTS BASE'!$G4,'[1]import GRADED seats subject piv'!$A:R,HLOOKUP(D$4,'[1]import GRADED seats subject piv'!$1:$2,2,FALSE),FALSE))),"")</f>
        <v>0.97714285714285709</v>
      </c>
      <c r="E8" s="13" t="str">
        <f>IFERROR((VLOOKUP('[1]SUBJECTS BASE'!$G4,'[1]import success seats'!$A:AC,HLOOKUP(E$4,'[1]import success seats'!$1:$2,2,FALSE),FALSE))/((VLOOKUP('[1]SUBJECTS BASE'!$G4,'[1]import GRADED seats subject piv'!$A:S,HLOOKUP(E$4,'[1]import GRADED seats subject piv'!$1:$2,2,FALSE),FALSE))),"")</f>
        <v/>
      </c>
      <c r="F8" s="15">
        <f>IFERROR((VLOOKUP('[1]SUBJECTS BASE'!$G4,'[1]import success seats'!$A:AD,HLOOKUP(F$4,'[1]import success seats'!$1:$2,2,FALSE),FALSE))/((VLOOKUP('[1]SUBJECTS BASE'!$G4,'[1]import GRADED seats subject piv'!$A:T,HLOOKUP(F$4,'[1]import GRADED seats subject piv'!$1:$2,2,FALSE),FALSE))),"")</f>
        <v>0.95151515151515154</v>
      </c>
      <c r="G8" s="19">
        <f>IFERROR((VLOOKUP('[1]SUBJECTS BASE'!$G4,'[1]import success seats'!$A:AE,HLOOKUP(G$4,'[1]import success seats'!$1:$2,2,FALSE),FALSE))/((VLOOKUP('[1]SUBJECTS BASE'!$G4,'[1]import GRADED seats subject piv'!$A:U,HLOOKUP(G$4,'[1]import GRADED seats subject piv'!$1:$2,2,FALSE),FALSE))),"")</f>
        <v>0.95187165775401072</v>
      </c>
      <c r="H8" s="23">
        <f>IFERROR((VLOOKUP('[1]SUBJECTS BASE'!$G4,'[1]import success seats'!$A:AF,HLOOKUP(H$4,'[1]import success seats'!$1:$2,2,FALSE),FALSE))/((VLOOKUP('[1]SUBJECTS BASE'!$G4,'[1]import GRADED seats subject piv'!$A:V,HLOOKUP(H$4,'[1]import GRADED seats subject piv'!$1:$2,2,FALSE),FALSE))),"")</f>
        <v>0.97368421052631582</v>
      </c>
      <c r="I8" s="15">
        <f>IFERROR((VLOOKUP('[1]SUBJECTS BASE'!$G4,'[1]import success seats'!$A:AG,HLOOKUP(I$4,'[1]import success seats'!$1:$2,2,FALSE),FALSE))/((VLOOKUP('[1]SUBJECTS BASE'!$G4,'[1]import GRADED seats subject piv'!$A:W,HLOOKUP(I$4,'[1]import GRADED seats subject piv'!$1:$2,2,FALSE),FALSE))),"")</f>
        <v>0.91542288557213936</v>
      </c>
      <c r="J8" s="21">
        <f>IFERROR((VLOOKUP('[1]SUBJECTS BASE'!$G4,'[1]import success seats'!$A:AH,HLOOKUP(J$4,'[1]import success seats'!$1:$2,2,FALSE),FALSE))/((VLOOKUP('[1]SUBJECTS BASE'!$G4,'[1]import GRADED seats subject piv'!$A:X,HLOOKUP(J$4,'[1]import GRADED seats subject piv'!$1:$2,2,FALSE),FALSE))),"")</f>
        <v>0.90361445783132532</v>
      </c>
      <c r="K8" s="13" t="str">
        <f>IFERROR((VLOOKUP('[1]SUBJECTS BASE'!$G4,'[1]import success seats'!$A:AI,HLOOKUP(K$4,'[1]import success seats'!$1:$2,2,FALSE),FALSE))/((VLOOKUP('[1]SUBJECTS BASE'!$G4,'[1]import GRADED seats subject piv'!$A:Y,HLOOKUP(K$4,'[1]import GRADED seats subject piv'!$1:$2,2,FALSE),FALSE))),"")</f>
        <v/>
      </c>
      <c r="L8" s="15">
        <f>IFERROR((VLOOKUP('[1]SUBJECTS BASE'!$G4,'[1]import success seats'!$A:AJ,HLOOKUP(L$4,'[1]import success seats'!$1:$2,2,FALSE),FALSE))/((VLOOKUP('[1]SUBJECTS BASE'!$G4,'[1]import GRADED seats subject piv'!$A:Z,HLOOKUP(L$4,'[1]import GRADED seats subject piv'!$1:$2,2,FALSE),FALSE))),"")</f>
        <v>0.90810810810810816</v>
      </c>
      <c r="M8" s="19">
        <f>IFERROR((VLOOKUP('[1]SUBJECTS BASE'!$G4,'[1]import success seats'!$A:AK,HLOOKUP(M$4,'[1]import success seats'!$1:$2,2,FALSE),FALSE))/((VLOOKUP('[1]SUBJECTS BASE'!$G4,'[1]import GRADED seats subject piv'!$A:AB,HLOOKUP(M$4,'[1]import GRADED seats subject piv'!$1:$2,2,FALSE),FALSE))),"")</f>
        <v>0.92215568862275454</v>
      </c>
      <c r="N8" s="23" t="str">
        <f>IFERROR((VLOOKUP('[1]SUBJECTS BASE'!$G4,'[1]import success seats'!$A:AL,HLOOKUP(N$4,'[1]import success seats'!$1:$2,2,FALSE),FALSE))/((VLOOKUP('[1]SUBJECTS BASE'!$G4,'[1]import GRADED seats subject piv'!$A:AC,HLOOKUP(N$4,'[1]import GRADED seats subject piv'!$1:$2,2,FALSE),FALSE))),"")</f>
        <v/>
      </c>
      <c r="O8" s="15">
        <f>IFERROR((VLOOKUP('[1]SUBJECTS BASE'!$G4,'[1]import success seats'!$A:AM,HLOOKUP(O$4,'[1]import success seats'!$1:$2,2,FALSE),FALSE))/((VLOOKUP('[1]SUBJECTS BASE'!$G4,'[1]import GRADED seats subject piv'!$A:AD,HLOOKUP(O$4,'[1]import GRADED seats subject piv'!$1:$2,2,FALSE),FALSE))),"")</f>
        <v>0.9642857142857143</v>
      </c>
      <c r="P8" s="15">
        <f>IFERROR((VLOOKUP('[1]SUBJECTS BASE'!$G4,'[1]import success seats'!$A:AN,HLOOKUP(P$4,'[1]import success seats'!$1:$2,2,FALSE),FALSE))/((VLOOKUP('[1]SUBJECTS BASE'!$G4,'[1]import GRADED seats subject piv'!$A:AE,HLOOKUP(P$4,'[1]import GRADED seats subject piv'!$1:$2,2,FALSE),FALSE))),"")</f>
        <v>0.92638036809815949</v>
      </c>
      <c r="Q8" s="13" t="str">
        <f>IFERROR((VLOOKUP('[1]SUBJECTS BASE'!$G4,'[1]import success seats'!$A:AO,HLOOKUP(Q$4,'[1]import success seats'!$1:$2,2,FALSE),FALSE))/((VLOOKUP('[1]SUBJECTS BASE'!$G4,'[1]import GRADED seats subject piv'!$A:AF,HLOOKUP(Q$4,'[1]import GRADED seats subject piv'!$1:$2,2,FALSE),FALSE))),"")</f>
        <v/>
      </c>
      <c r="R8" s="15">
        <f>IFERROR((VLOOKUP('[1]SUBJECTS BASE'!$G4,'[1]import success seats'!$A:AP,HLOOKUP(R$4,'[1]import success seats'!$1:$2,2,FALSE),FALSE))/((VLOOKUP('[1]SUBJECTS BASE'!$G4,'[1]import GRADED seats subject piv'!$A:AG,HLOOKUP(R$4,'[1]import GRADED seats subject piv'!$1:$2,2,FALSE),FALSE))),"")</f>
        <v>0.92820512820512824</v>
      </c>
      <c r="S8" s="19">
        <f>IFERROR((VLOOKUP('[1]SUBJECTS BASE'!$G4,'[1]import success seats'!$A:AQ,HLOOKUP(S$4,'[1]import success seats'!$1:$2,2,FALSE),FALSE))/((VLOOKUP('[1]SUBJECTS BASE'!$G4,'[1]import GRADED seats subject piv'!$A:AH,HLOOKUP(S$4,'[1]import GRADED seats subject piv'!$1:$2,2,FALSE),FALSE))),"")</f>
        <v>0.91176470588235292</v>
      </c>
    </row>
    <row r="9" spans="1:28" x14ac:dyDescent="0.25">
      <c r="A9" s="3" t="s">
        <v>1074</v>
      </c>
      <c r="B9" s="13">
        <f>IFERROR((VLOOKUP('[1]SUBJECTS BASE'!$G5,'[1]import success seats'!$A:Z,HLOOKUP(B$4,'[1]import success seats'!$1:$2,2,FALSE),FALSE))/((VLOOKUP('[1]SUBJECTS BASE'!$G5,'[1]import GRADED seats subject piv'!$A:P,HLOOKUP(B$4,'[1]import GRADED seats subject piv'!$1:$2,2,FALSE),FALSE))),"")</f>
        <v>0.93103448275862066</v>
      </c>
      <c r="C9" s="15">
        <f>IFERROR((VLOOKUP('[1]SUBJECTS BASE'!$G5,'[1]import success seats'!$A:AA,HLOOKUP(C$4,'[1]import success seats'!$1:$2,2,FALSE),FALSE))/((VLOOKUP('[1]SUBJECTS BASE'!$G5,'[1]import GRADED seats subject piv'!$A:Q,HLOOKUP(C$4,'[1]import GRADED seats subject piv'!$1:$2,2,FALSE),FALSE))),"")</f>
        <v>0.83908045977011492</v>
      </c>
      <c r="D9" s="21">
        <f>IFERROR((VLOOKUP('[1]SUBJECTS BASE'!$G5,'[1]import success seats'!$A:AB,HLOOKUP(D$4,'[1]import success seats'!$1:$2,2,FALSE),FALSE))/((VLOOKUP('[1]SUBJECTS BASE'!$G5,'[1]import GRADED seats subject piv'!$A:R,HLOOKUP(D$4,'[1]import GRADED seats subject piv'!$1:$2,2,FALSE),FALSE))),"")</f>
        <v>0.8087248322147651</v>
      </c>
      <c r="E9" s="13">
        <f>IFERROR((VLOOKUP('[1]SUBJECTS BASE'!$G5,'[1]import success seats'!$A:AC,HLOOKUP(E$4,'[1]import success seats'!$1:$2,2,FALSE),FALSE))/((VLOOKUP('[1]SUBJECTS BASE'!$G5,'[1]import GRADED seats subject piv'!$A:S,HLOOKUP(E$4,'[1]import GRADED seats subject piv'!$1:$2,2,FALSE),FALSE))),"")</f>
        <v>0.91764705882352937</v>
      </c>
      <c r="F9" s="15">
        <f>IFERROR((VLOOKUP('[1]SUBJECTS BASE'!$G5,'[1]import success seats'!$A:AD,HLOOKUP(F$4,'[1]import success seats'!$1:$2,2,FALSE),FALSE))/((VLOOKUP('[1]SUBJECTS BASE'!$G5,'[1]import GRADED seats subject piv'!$A:T,HLOOKUP(F$4,'[1]import GRADED seats subject piv'!$1:$2,2,FALSE),FALSE))),"")</f>
        <v>0.83571428571428574</v>
      </c>
      <c r="G9" s="19">
        <f>IFERROR((VLOOKUP('[1]SUBJECTS BASE'!$G5,'[1]import success seats'!$A:AE,HLOOKUP(G$4,'[1]import success seats'!$1:$2,2,FALSE),FALSE))/((VLOOKUP('[1]SUBJECTS BASE'!$G5,'[1]import GRADED seats subject piv'!$A:U,HLOOKUP(G$4,'[1]import GRADED seats subject piv'!$1:$2,2,FALSE),FALSE))),"")</f>
        <v>0.81699346405228757</v>
      </c>
      <c r="H9" s="23">
        <f>IFERROR((VLOOKUP('[1]SUBJECTS BASE'!$G5,'[1]import success seats'!$A:AF,HLOOKUP(H$4,'[1]import success seats'!$1:$2,2,FALSE),FALSE))/((VLOOKUP('[1]SUBJECTS BASE'!$G5,'[1]import GRADED seats subject piv'!$A:V,HLOOKUP(H$4,'[1]import GRADED seats subject piv'!$1:$2,2,FALSE),FALSE))),"")</f>
        <v>0.84210526315789469</v>
      </c>
      <c r="I9" s="15">
        <f>IFERROR((VLOOKUP('[1]SUBJECTS BASE'!$G5,'[1]import success seats'!$A:AG,HLOOKUP(I$4,'[1]import success seats'!$1:$2,2,FALSE),FALSE))/((VLOOKUP('[1]SUBJECTS BASE'!$G5,'[1]import GRADED seats subject piv'!$A:W,HLOOKUP(I$4,'[1]import GRADED seats subject piv'!$1:$2,2,FALSE),FALSE))),"")</f>
        <v>0.76689189189189189</v>
      </c>
      <c r="J9" s="21">
        <f>IFERROR((VLOOKUP('[1]SUBJECTS BASE'!$G5,'[1]import success seats'!$A:AH,HLOOKUP(J$4,'[1]import success seats'!$1:$2,2,FALSE),FALSE))/((VLOOKUP('[1]SUBJECTS BASE'!$G5,'[1]import GRADED seats subject piv'!$A:X,HLOOKUP(J$4,'[1]import GRADED seats subject piv'!$1:$2,2,FALSE),FALSE))),"")</f>
        <v>0.82608695652173914</v>
      </c>
      <c r="K9" s="13">
        <f>IFERROR((VLOOKUP('[1]SUBJECTS BASE'!$G5,'[1]import success seats'!$A:AI,HLOOKUP(K$4,'[1]import success seats'!$1:$2,2,FALSE),FALSE))/((VLOOKUP('[1]SUBJECTS BASE'!$G5,'[1]import GRADED seats subject piv'!$A:Y,HLOOKUP(K$4,'[1]import GRADED seats subject piv'!$1:$2,2,FALSE),FALSE))),"")</f>
        <v>0.85483870967741937</v>
      </c>
      <c r="L9" s="15">
        <f>IFERROR((VLOOKUP('[1]SUBJECTS BASE'!$G5,'[1]import success seats'!$A:AJ,HLOOKUP(L$4,'[1]import success seats'!$1:$2,2,FALSE),FALSE))/((VLOOKUP('[1]SUBJECTS BASE'!$G5,'[1]import GRADED seats subject piv'!$A:Z,HLOOKUP(L$4,'[1]import GRADED seats subject piv'!$1:$2,2,FALSE),FALSE))),"")</f>
        <v>0.84063745019920322</v>
      </c>
      <c r="M9" s="19">
        <f>IFERROR((VLOOKUP('[1]SUBJECTS BASE'!$G5,'[1]import success seats'!$A:AK,HLOOKUP(M$4,'[1]import success seats'!$1:$2,2,FALSE),FALSE))/((VLOOKUP('[1]SUBJECTS BASE'!$G5,'[1]import GRADED seats subject piv'!$A:AB,HLOOKUP(M$4,'[1]import GRADED seats subject piv'!$1:$2,2,FALSE),FALSE))),"")</f>
        <v>0.89029535864978904</v>
      </c>
      <c r="N9" s="23" t="str">
        <f>IFERROR((VLOOKUP('[1]SUBJECTS BASE'!$G5,'[1]import success seats'!$A:AL,HLOOKUP(N$4,'[1]import success seats'!$1:$2,2,FALSE),FALSE))/((VLOOKUP('[1]SUBJECTS BASE'!$G5,'[1]import GRADED seats subject piv'!$A:AC,HLOOKUP(N$4,'[1]import GRADED seats subject piv'!$1:$2,2,FALSE),FALSE))),"")</f>
        <v/>
      </c>
      <c r="O9" s="15">
        <f>IFERROR((VLOOKUP('[1]SUBJECTS BASE'!$G5,'[1]import success seats'!$A:AM,HLOOKUP(O$4,'[1]import success seats'!$1:$2,2,FALSE),FALSE))/((VLOOKUP('[1]SUBJECTS BASE'!$G5,'[1]import GRADED seats subject piv'!$A:AD,HLOOKUP(O$4,'[1]import GRADED seats subject piv'!$1:$2,2,FALSE),FALSE))),"")</f>
        <v>0.86036036036036034</v>
      </c>
      <c r="P9" s="15">
        <f>IFERROR((VLOOKUP('[1]SUBJECTS BASE'!$G5,'[1]import success seats'!$A:AN,HLOOKUP(P$4,'[1]import success seats'!$1:$2,2,FALSE),FALSE))/((VLOOKUP('[1]SUBJECTS BASE'!$G5,'[1]import GRADED seats subject piv'!$A:AE,HLOOKUP(P$4,'[1]import GRADED seats subject piv'!$1:$2,2,FALSE),FALSE))),"")</f>
        <v>0.80327868852459017</v>
      </c>
      <c r="Q9" s="13">
        <f>IFERROR((VLOOKUP('[1]SUBJECTS BASE'!$G5,'[1]import success seats'!$A:AO,HLOOKUP(Q$4,'[1]import success seats'!$1:$2,2,FALSE),FALSE))/((VLOOKUP('[1]SUBJECTS BASE'!$G5,'[1]import GRADED seats subject piv'!$A:AF,HLOOKUP(Q$4,'[1]import GRADED seats subject piv'!$1:$2,2,FALSE),FALSE))),"")</f>
        <v>0.96875</v>
      </c>
      <c r="R9" s="15">
        <f>IFERROR((VLOOKUP('[1]SUBJECTS BASE'!$G5,'[1]import success seats'!$A:AP,HLOOKUP(R$4,'[1]import success seats'!$1:$2,2,FALSE),FALSE))/((VLOOKUP('[1]SUBJECTS BASE'!$G5,'[1]import GRADED seats subject piv'!$A:AG,HLOOKUP(R$4,'[1]import GRADED seats subject piv'!$1:$2,2,FALSE),FALSE))),"")</f>
        <v>0.86224489795918369</v>
      </c>
      <c r="S9" s="19">
        <f>IFERROR((VLOOKUP('[1]SUBJECTS BASE'!$G5,'[1]import success seats'!$A:AQ,HLOOKUP(S$4,'[1]import success seats'!$1:$2,2,FALSE),FALSE))/((VLOOKUP('[1]SUBJECTS BASE'!$G5,'[1]import GRADED seats subject piv'!$A:AH,HLOOKUP(S$4,'[1]import GRADED seats subject piv'!$1:$2,2,FALSE),FALSE))),"")</f>
        <v>0.8393782383419689</v>
      </c>
    </row>
    <row r="10" spans="1:28" x14ac:dyDescent="0.25">
      <c r="A10" s="3" t="s">
        <v>1075</v>
      </c>
      <c r="B10" s="13">
        <f>IFERROR((VLOOKUP('[1]SUBJECTS BASE'!$G6,'[1]import success seats'!$A:Z,HLOOKUP(B$4,'[1]import success seats'!$1:$2,2,FALSE),FALSE))/((VLOOKUP('[1]SUBJECTS BASE'!$G6,'[1]import GRADED seats subject piv'!$A:P,HLOOKUP(B$4,'[1]import GRADED seats subject piv'!$1:$2,2,FALSE),FALSE))),"")</f>
        <v>0.94444444444444442</v>
      </c>
      <c r="C10" s="15">
        <f>IFERROR((VLOOKUP('[1]SUBJECTS BASE'!$G6,'[1]import success seats'!$A:AA,HLOOKUP(C$4,'[1]import success seats'!$1:$2,2,FALSE),FALSE))/((VLOOKUP('[1]SUBJECTS BASE'!$G6,'[1]import GRADED seats subject piv'!$A:Q,HLOOKUP(C$4,'[1]import GRADED seats subject piv'!$1:$2,2,FALSE),FALSE))),"")</f>
        <v>0.84466019417475724</v>
      </c>
      <c r="D10" s="21">
        <f>IFERROR((VLOOKUP('[1]SUBJECTS BASE'!$G6,'[1]import success seats'!$A:AB,HLOOKUP(D$4,'[1]import success seats'!$1:$2,2,FALSE),FALSE))/((VLOOKUP('[1]SUBJECTS BASE'!$G6,'[1]import GRADED seats subject piv'!$A:R,HLOOKUP(D$4,'[1]import GRADED seats subject piv'!$1:$2,2,FALSE),FALSE))),"")</f>
        <v>0.86279683377308702</v>
      </c>
      <c r="E10" s="13">
        <f>IFERROR((VLOOKUP('[1]SUBJECTS BASE'!$G6,'[1]import success seats'!$A:AC,HLOOKUP(E$4,'[1]import success seats'!$1:$2,2,FALSE),FALSE))/((VLOOKUP('[1]SUBJECTS BASE'!$G6,'[1]import GRADED seats subject piv'!$A:S,HLOOKUP(E$4,'[1]import GRADED seats subject piv'!$1:$2,2,FALSE),FALSE))),"")</f>
        <v>0.92682926829268297</v>
      </c>
      <c r="F10" s="15">
        <f>IFERROR((VLOOKUP('[1]SUBJECTS BASE'!$G6,'[1]import success seats'!$A:AD,HLOOKUP(F$4,'[1]import success seats'!$1:$2,2,FALSE),FALSE))/((VLOOKUP('[1]SUBJECTS BASE'!$G6,'[1]import GRADED seats subject piv'!$A:T,HLOOKUP(F$4,'[1]import GRADED seats subject piv'!$1:$2,2,FALSE),FALSE))),"")</f>
        <v>0.86016949152542377</v>
      </c>
      <c r="G10" s="19">
        <f>IFERROR((VLOOKUP('[1]SUBJECTS BASE'!$G6,'[1]import success seats'!$A:AE,HLOOKUP(G$4,'[1]import success seats'!$1:$2,2,FALSE),FALSE))/((VLOOKUP('[1]SUBJECTS BASE'!$G6,'[1]import GRADED seats subject piv'!$A:U,HLOOKUP(G$4,'[1]import GRADED seats subject piv'!$1:$2,2,FALSE),FALSE))),"")</f>
        <v>0.85740072202166062</v>
      </c>
      <c r="H10" s="23">
        <f>IFERROR((VLOOKUP('[1]SUBJECTS BASE'!$G6,'[1]import success seats'!$A:AF,HLOOKUP(H$4,'[1]import success seats'!$1:$2,2,FALSE),FALSE))/((VLOOKUP('[1]SUBJECTS BASE'!$G6,'[1]import GRADED seats subject piv'!$A:V,HLOOKUP(H$4,'[1]import GRADED seats subject piv'!$1:$2,2,FALSE),FALSE))),"")</f>
        <v>0.94871794871794868</v>
      </c>
      <c r="I10" s="15">
        <f>IFERROR((VLOOKUP('[1]SUBJECTS BASE'!$G6,'[1]import success seats'!$A:AG,HLOOKUP(I$4,'[1]import success seats'!$1:$2,2,FALSE),FALSE))/((VLOOKUP('[1]SUBJECTS BASE'!$G6,'[1]import GRADED seats subject piv'!$A:W,HLOOKUP(I$4,'[1]import GRADED seats subject piv'!$1:$2,2,FALSE),FALSE))),"")</f>
        <v>0.88448844884488453</v>
      </c>
      <c r="J10" s="21">
        <f>IFERROR((VLOOKUP('[1]SUBJECTS BASE'!$G6,'[1]import success seats'!$A:AH,HLOOKUP(J$4,'[1]import success seats'!$1:$2,2,FALSE),FALSE))/((VLOOKUP('[1]SUBJECTS BASE'!$G6,'[1]import GRADED seats subject piv'!$A:X,HLOOKUP(J$4,'[1]import GRADED seats subject piv'!$1:$2,2,FALSE),FALSE))),"")</f>
        <v>0.87673611111111116</v>
      </c>
      <c r="K10" s="13" t="str">
        <f>IFERROR((VLOOKUP('[1]SUBJECTS BASE'!$G6,'[1]import success seats'!$A:AI,HLOOKUP(K$4,'[1]import success seats'!$1:$2,2,FALSE),FALSE))/((VLOOKUP('[1]SUBJECTS BASE'!$G6,'[1]import GRADED seats subject piv'!$A:Y,HLOOKUP(K$4,'[1]import GRADED seats subject piv'!$1:$2,2,FALSE),FALSE))),"")</f>
        <v/>
      </c>
      <c r="L10" s="15">
        <f>IFERROR((VLOOKUP('[1]SUBJECTS BASE'!$G6,'[1]import success seats'!$A:AJ,HLOOKUP(L$4,'[1]import success seats'!$1:$2,2,FALSE),FALSE))/((VLOOKUP('[1]SUBJECTS BASE'!$G6,'[1]import GRADED seats subject piv'!$A:Z,HLOOKUP(L$4,'[1]import GRADED seats subject piv'!$1:$2,2,FALSE),FALSE))),"")</f>
        <v>0.88693957115009747</v>
      </c>
      <c r="M10" s="19">
        <f>IFERROR((VLOOKUP('[1]SUBJECTS BASE'!$G6,'[1]import success seats'!$A:AK,HLOOKUP(M$4,'[1]import success seats'!$1:$2,2,FALSE),FALSE))/((VLOOKUP('[1]SUBJECTS BASE'!$G6,'[1]import GRADED seats subject piv'!$A:AB,HLOOKUP(M$4,'[1]import GRADED seats subject piv'!$1:$2,2,FALSE),FALSE))),"")</f>
        <v>0.85433070866141736</v>
      </c>
      <c r="N10" s="23" t="str">
        <f>IFERROR((VLOOKUP('[1]SUBJECTS BASE'!$G6,'[1]import success seats'!$A:AL,HLOOKUP(N$4,'[1]import success seats'!$1:$2,2,FALSE),FALSE))/((VLOOKUP('[1]SUBJECTS BASE'!$G6,'[1]import GRADED seats subject piv'!$A:AC,HLOOKUP(N$4,'[1]import GRADED seats subject piv'!$1:$2,2,FALSE),FALSE))),"")</f>
        <v/>
      </c>
      <c r="O10" s="15">
        <f>IFERROR((VLOOKUP('[1]SUBJECTS BASE'!$G6,'[1]import success seats'!$A:AM,HLOOKUP(O$4,'[1]import success seats'!$1:$2,2,FALSE),FALSE))/((VLOOKUP('[1]SUBJECTS BASE'!$G6,'[1]import GRADED seats subject piv'!$A:AD,HLOOKUP(O$4,'[1]import GRADED seats subject piv'!$1:$2,2,FALSE),FALSE))),"")</f>
        <v>0.80993520518358531</v>
      </c>
      <c r="P10" s="15">
        <f>IFERROR((VLOOKUP('[1]SUBJECTS BASE'!$G6,'[1]import success seats'!$A:AN,HLOOKUP(P$4,'[1]import success seats'!$1:$2,2,FALSE),FALSE))/((VLOOKUP('[1]SUBJECTS BASE'!$G6,'[1]import GRADED seats subject piv'!$A:AE,HLOOKUP(P$4,'[1]import GRADED seats subject piv'!$1:$2,2,FALSE),FALSE))),"")</f>
        <v>0.86831275720164613</v>
      </c>
      <c r="Q10" s="13" t="str">
        <f>IFERROR((VLOOKUP('[1]SUBJECTS BASE'!$G6,'[1]import success seats'!$A:AO,HLOOKUP(Q$4,'[1]import success seats'!$1:$2,2,FALSE),FALSE))/((VLOOKUP('[1]SUBJECTS BASE'!$G6,'[1]import GRADED seats subject piv'!$A:AF,HLOOKUP(Q$4,'[1]import GRADED seats subject piv'!$1:$2,2,FALSE),FALSE))),"")</f>
        <v/>
      </c>
      <c r="R10" s="15">
        <f>IFERROR((VLOOKUP('[1]SUBJECTS BASE'!$G6,'[1]import success seats'!$A:AP,HLOOKUP(R$4,'[1]import success seats'!$1:$2,2,FALSE),FALSE))/((VLOOKUP('[1]SUBJECTS BASE'!$G6,'[1]import GRADED seats subject piv'!$A:AG,HLOOKUP(R$4,'[1]import GRADED seats subject piv'!$1:$2,2,FALSE),FALSE))),"")</f>
        <v>0.8811659192825112</v>
      </c>
      <c r="S10" s="19">
        <f>IFERROR((VLOOKUP('[1]SUBJECTS BASE'!$G6,'[1]import success seats'!$A:AQ,HLOOKUP(S$4,'[1]import success seats'!$1:$2,2,FALSE),FALSE))/((VLOOKUP('[1]SUBJECTS BASE'!$G6,'[1]import GRADED seats subject piv'!$A:AH,HLOOKUP(S$4,'[1]import GRADED seats subject piv'!$1:$2,2,FALSE),FALSE))),"")</f>
        <v>0.88503253796095449</v>
      </c>
    </row>
    <row r="11" spans="1:28" x14ac:dyDescent="0.25">
      <c r="A11" s="3" t="s">
        <v>1076</v>
      </c>
      <c r="B11" s="13">
        <f>IFERROR((VLOOKUP('[1]SUBJECTS BASE'!$G7,'[1]import success seats'!$A:Z,HLOOKUP(B$4,'[1]import success seats'!$1:$2,2,FALSE),FALSE))/((VLOOKUP('[1]SUBJECTS BASE'!$G7,'[1]import GRADED seats subject piv'!$A:P,HLOOKUP(B$4,'[1]import GRADED seats subject piv'!$1:$2,2,FALSE),FALSE))),"")</f>
        <v>0.971830985915493</v>
      </c>
      <c r="C11" s="15">
        <f>IFERROR((VLOOKUP('[1]SUBJECTS BASE'!$G7,'[1]import success seats'!$A:AA,HLOOKUP(C$4,'[1]import success seats'!$1:$2,2,FALSE),FALSE))/((VLOOKUP('[1]SUBJECTS BASE'!$G7,'[1]import GRADED seats subject piv'!$A:Q,HLOOKUP(C$4,'[1]import GRADED seats subject piv'!$1:$2,2,FALSE),FALSE))),"")</f>
        <v>0.89331436699857758</v>
      </c>
      <c r="D11" s="21">
        <f>IFERROR((VLOOKUP('[1]SUBJECTS BASE'!$G7,'[1]import success seats'!$A:AB,HLOOKUP(D$4,'[1]import success seats'!$1:$2,2,FALSE),FALSE))/((VLOOKUP('[1]SUBJECTS BASE'!$G7,'[1]import GRADED seats subject piv'!$A:R,HLOOKUP(D$4,'[1]import GRADED seats subject piv'!$1:$2,2,FALSE),FALSE))),"")</f>
        <v>0.91123439667128991</v>
      </c>
      <c r="E11" s="13">
        <f>IFERROR((VLOOKUP('[1]SUBJECTS BASE'!$G7,'[1]import success seats'!$A:AC,HLOOKUP(E$4,'[1]import success seats'!$1:$2,2,FALSE),FALSE))/((VLOOKUP('[1]SUBJECTS BASE'!$G7,'[1]import GRADED seats subject piv'!$A:S,HLOOKUP(E$4,'[1]import GRADED seats subject piv'!$1:$2,2,FALSE),FALSE))),"")</f>
        <v>0.95679012345679015</v>
      </c>
      <c r="F11" s="15">
        <f>IFERROR((VLOOKUP('[1]SUBJECTS BASE'!$G7,'[1]import success seats'!$A:AD,HLOOKUP(F$4,'[1]import success seats'!$1:$2,2,FALSE),FALSE))/((VLOOKUP('[1]SUBJECTS BASE'!$G7,'[1]import GRADED seats subject piv'!$A:T,HLOOKUP(F$4,'[1]import GRADED seats subject piv'!$1:$2,2,FALSE),FALSE))),"")</f>
        <v>0.87684069611780457</v>
      </c>
      <c r="G11" s="19">
        <f>IFERROR((VLOOKUP('[1]SUBJECTS BASE'!$G7,'[1]import success seats'!$A:AE,HLOOKUP(G$4,'[1]import success seats'!$1:$2,2,FALSE),FALSE))/((VLOOKUP('[1]SUBJECTS BASE'!$G7,'[1]import GRADED seats subject piv'!$A:U,HLOOKUP(G$4,'[1]import GRADED seats subject piv'!$1:$2,2,FALSE),FALSE))),"")</f>
        <v>0.91099476439790572</v>
      </c>
      <c r="H11" s="23" t="str">
        <f>IFERROR((VLOOKUP('[1]SUBJECTS BASE'!$G7,'[1]import success seats'!$A:AF,HLOOKUP(H$4,'[1]import success seats'!$1:$2,2,FALSE),FALSE))/((VLOOKUP('[1]SUBJECTS BASE'!$G7,'[1]import GRADED seats subject piv'!$A:V,HLOOKUP(H$4,'[1]import GRADED seats subject piv'!$1:$2,2,FALSE),FALSE))),"")</f>
        <v/>
      </c>
      <c r="I11" s="15">
        <f>IFERROR((VLOOKUP('[1]SUBJECTS BASE'!$G7,'[1]import success seats'!$A:AG,HLOOKUP(I$4,'[1]import success seats'!$1:$2,2,FALSE),FALSE))/((VLOOKUP('[1]SUBJECTS BASE'!$G7,'[1]import GRADED seats subject piv'!$A:W,HLOOKUP(I$4,'[1]import GRADED seats subject piv'!$1:$2,2,FALSE),FALSE))),"")</f>
        <v>0.89192399049881232</v>
      </c>
      <c r="J11" s="21">
        <f>IFERROR((VLOOKUP('[1]SUBJECTS BASE'!$G7,'[1]import success seats'!$A:AH,HLOOKUP(J$4,'[1]import success seats'!$1:$2,2,FALSE),FALSE))/((VLOOKUP('[1]SUBJECTS BASE'!$G7,'[1]import GRADED seats subject piv'!$A:X,HLOOKUP(J$4,'[1]import GRADED seats subject piv'!$1:$2,2,FALSE),FALSE))),"")</f>
        <v>0.88837209302325582</v>
      </c>
      <c r="K11" s="13">
        <f>IFERROR((VLOOKUP('[1]SUBJECTS BASE'!$G7,'[1]import success seats'!$A:AI,HLOOKUP(K$4,'[1]import success seats'!$1:$2,2,FALSE),FALSE))/((VLOOKUP('[1]SUBJECTS BASE'!$G7,'[1]import GRADED seats subject piv'!$A:Y,HLOOKUP(K$4,'[1]import GRADED seats subject piv'!$1:$2,2,FALSE),FALSE))),"")</f>
        <v>0.94444444444444442</v>
      </c>
      <c r="L11" s="15">
        <f>IFERROR((VLOOKUP('[1]SUBJECTS BASE'!$G7,'[1]import success seats'!$A:AJ,HLOOKUP(L$4,'[1]import success seats'!$1:$2,2,FALSE),FALSE))/((VLOOKUP('[1]SUBJECTS BASE'!$G7,'[1]import GRADED seats subject piv'!$A:Z,HLOOKUP(L$4,'[1]import GRADED seats subject piv'!$1:$2,2,FALSE),FALSE))),"")</f>
        <v>0.88385598141695698</v>
      </c>
      <c r="M11" s="19">
        <f>IFERROR((VLOOKUP('[1]SUBJECTS BASE'!$G7,'[1]import success seats'!$A:AK,HLOOKUP(M$4,'[1]import success seats'!$1:$2,2,FALSE),FALSE))/((VLOOKUP('[1]SUBJECTS BASE'!$G7,'[1]import GRADED seats subject piv'!$A:AB,HLOOKUP(M$4,'[1]import GRADED seats subject piv'!$1:$2,2,FALSE),FALSE))),"")</f>
        <v>0.85747126436781607</v>
      </c>
      <c r="N11" s="23" t="str">
        <f>IFERROR((VLOOKUP('[1]SUBJECTS BASE'!$G7,'[1]import success seats'!$A:AL,HLOOKUP(N$4,'[1]import success seats'!$1:$2,2,FALSE),FALSE))/((VLOOKUP('[1]SUBJECTS BASE'!$G7,'[1]import GRADED seats subject piv'!$A:AC,HLOOKUP(N$4,'[1]import GRADED seats subject piv'!$1:$2,2,FALSE),FALSE))),"")</f>
        <v/>
      </c>
      <c r="O11" s="15">
        <f>IFERROR((VLOOKUP('[1]SUBJECTS BASE'!$G7,'[1]import success seats'!$A:AM,HLOOKUP(O$4,'[1]import success seats'!$1:$2,2,FALSE),FALSE))/((VLOOKUP('[1]SUBJECTS BASE'!$G7,'[1]import GRADED seats subject piv'!$A:AD,HLOOKUP(O$4,'[1]import GRADED seats subject piv'!$1:$2,2,FALSE),FALSE))),"")</f>
        <v>0.91122071516646119</v>
      </c>
      <c r="P11" s="15">
        <f>IFERROR((VLOOKUP('[1]SUBJECTS BASE'!$G7,'[1]import success seats'!$A:AN,HLOOKUP(P$4,'[1]import success seats'!$1:$2,2,FALSE),FALSE))/((VLOOKUP('[1]SUBJECTS BASE'!$G7,'[1]import GRADED seats subject piv'!$A:AE,HLOOKUP(P$4,'[1]import GRADED seats subject piv'!$1:$2,2,FALSE),FALSE))),"")</f>
        <v>0.8925619834710744</v>
      </c>
      <c r="Q11" s="13" t="str">
        <f>IFERROR((VLOOKUP('[1]SUBJECTS BASE'!$G7,'[1]import success seats'!$A:AO,HLOOKUP(Q$4,'[1]import success seats'!$1:$2,2,FALSE),FALSE))/((VLOOKUP('[1]SUBJECTS BASE'!$G7,'[1]import GRADED seats subject piv'!$A:AF,HLOOKUP(Q$4,'[1]import GRADED seats subject piv'!$1:$2,2,FALSE),FALSE))),"")</f>
        <v/>
      </c>
      <c r="R11" s="15">
        <f>IFERROR((VLOOKUP('[1]SUBJECTS BASE'!$G7,'[1]import success seats'!$A:AP,HLOOKUP(R$4,'[1]import success seats'!$1:$2,2,FALSE),FALSE))/((VLOOKUP('[1]SUBJECTS BASE'!$G7,'[1]import GRADED seats subject piv'!$A:AG,HLOOKUP(R$4,'[1]import GRADED seats subject piv'!$1:$2,2,FALSE),FALSE))),"")</f>
        <v>0.90307867730900793</v>
      </c>
      <c r="S11" s="19">
        <f>IFERROR((VLOOKUP('[1]SUBJECTS BASE'!$G7,'[1]import success seats'!$A:AQ,HLOOKUP(S$4,'[1]import success seats'!$1:$2,2,FALSE),FALSE))/((VLOOKUP('[1]SUBJECTS BASE'!$G7,'[1]import GRADED seats subject piv'!$A:AH,HLOOKUP(S$4,'[1]import GRADED seats subject piv'!$1:$2,2,FALSE),FALSE))),"")</f>
        <v>0.92223572296476308</v>
      </c>
    </row>
    <row r="12" spans="1:28" x14ac:dyDescent="0.25">
      <c r="A12" s="3" t="s">
        <v>1077</v>
      </c>
      <c r="B12" s="13">
        <f>IFERROR((VLOOKUP('[1]SUBJECTS BASE'!$G8,'[1]import success seats'!$A:Z,HLOOKUP(B$4,'[1]import success seats'!$1:$2,2,FALSE),FALSE))/((VLOOKUP('[1]SUBJECTS BASE'!$G8,'[1]import GRADED seats subject piv'!$A:P,HLOOKUP(B$4,'[1]import GRADED seats subject piv'!$1:$2,2,FALSE),FALSE))),"")</f>
        <v>0.97222222222222221</v>
      </c>
      <c r="C12" s="15">
        <f>IFERROR((VLOOKUP('[1]SUBJECTS BASE'!$G8,'[1]import success seats'!$A:AA,HLOOKUP(C$4,'[1]import success seats'!$1:$2,2,FALSE),FALSE))/((VLOOKUP('[1]SUBJECTS BASE'!$G8,'[1]import GRADED seats subject piv'!$A:Q,HLOOKUP(C$4,'[1]import GRADED seats subject piv'!$1:$2,2,FALSE),FALSE))),"")</f>
        <v>0.8754863813229572</v>
      </c>
      <c r="D12" s="21">
        <f>IFERROR((VLOOKUP('[1]SUBJECTS BASE'!$G8,'[1]import success seats'!$A:AB,HLOOKUP(D$4,'[1]import success seats'!$1:$2,2,FALSE),FALSE))/((VLOOKUP('[1]SUBJECTS BASE'!$G8,'[1]import GRADED seats subject piv'!$A:R,HLOOKUP(D$4,'[1]import GRADED seats subject piv'!$1:$2,2,FALSE),FALSE))),"")</f>
        <v>0.93536121673003803</v>
      </c>
      <c r="E12" s="13">
        <f>IFERROR((VLOOKUP('[1]SUBJECTS BASE'!$G8,'[1]import success seats'!$A:AC,HLOOKUP(E$4,'[1]import success seats'!$1:$2,2,FALSE),FALSE))/((VLOOKUP('[1]SUBJECTS BASE'!$G8,'[1]import GRADED seats subject piv'!$A:S,HLOOKUP(E$4,'[1]import GRADED seats subject piv'!$1:$2,2,FALSE),FALSE))),"")</f>
        <v>0.96052631578947367</v>
      </c>
      <c r="F12" s="15">
        <f>IFERROR((VLOOKUP('[1]SUBJECTS BASE'!$G8,'[1]import success seats'!$A:AD,HLOOKUP(F$4,'[1]import success seats'!$1:$2,2,FALSE),FALSE))/((VLOOKUP('[1]SUBJECTS BASE'!$G8,'[1]import GRADED seats subject piv'!$A:T,HLOOKUP(F$4,'[1]import GRADED seats subject piv'!$1:$2,2,FALSE),FALSE))),"")</f>
        <v>0.90211640211640209</v>
      </c>
      <c r="G12" s="19">
        <f>IFERROR((VLOOKUP('[1]SUBJECTS BASE'!$G8,'[1]import success seats'!$A:AE,HLOOKUP(G$4,'[1]import success seats'!$1:$2,2,FALSE),FALSE))/((VLOOKUP('[1]SUBJECTS BASE'!$G8,'[1]import GRADED seats subject piv'!$A:U,HLOOKUP(G$4,'[1]import GRADED seats subject piv'!$1:$2,2,FALSE),FALSE))),"")</f>
        <v>0.88541666666666663</v>
      </c>
      <c r="H12" s="23">
        <f>IFERROR((VLOOKUP('[1]SUBJECTS BASE'!$G8,'[1]import success seats'!$A:AF,HLOOKUP(H$4,'[1]import success seats'!$1:$2,2,FALSE),FALSE))/((VLOOKUP('[1]SUBJECTS BASE'!$G8,'[1]import GRADED seats subject piv'!$A:V,HLOOKUP(H$4,'[1]import GRADED seats subject piv'!$1:$2,2,FALSE),FALSE))),"")</f>
        <v>1</v>
      </c>
      <c r="I12" s="15">
        <f>IFERROR((VLOOKUP('[1]SUBJECTS BASE'!$G8,'[1]import success seats'!$A:AG,HLOOKUP(I$4,'[1]import success seats'!$1:$2,2,FALSE),FALSE))/((VLOOKUP('[1]SUBJECTS BASE'!$G8,'[1]import GRADED seats subject piv'!$A:W,HLOOKUP(I$4,'[1]import GRADED seats subject piv'!$1:$2,2,FALSE),FALSE))),"")</f>
        <v>0.89839572192513373</v>
      </c>
      <c r="J12" s="21">
        <f>IFERROR((VLOOKUP('[1]SUBJECTS BASE'!$G8,'[1]import success seats'!$A:AH,HLOOKUP(J$4,'[1]import success seats'!$1:$2,2,FALSE),FALSE))/((VLOOKUP('[1]SUBJECTS BASE'!$G8,'[1]import GRADED seats subject piv'!$A:X,HLOOKUP(J$4,'[1]import GRADED seats subject piv'!$1:$2,2,FALSE),FALSE))),"")</f>
        <v>0.86582278481012653</v>
      </c>
      <c r="K12" s="13" t="str">
        <f>IFERROR((VLOOKUP('[1]SUBJECTS BASE'!$G8,'[1]import success seats'!$A:AI,HLOOKUP(K$4,'[1]import success seats'!$1:$2,2,FALSE),FALSE))/((VLOOKUP('[1]SUBJECTS BASE'!$G8,'[1]import GRADED seats subject piv'!$A:Y,HLOOKUP(K$4,'[1]import GRADED seats subject piv'!$1:$2,2,FALSE),FALSE))),"")</f>
        <v/>
      </c>
      <c r="L12" s="15">
        <f>IFERROR((VLOOKUP('[1]SUBJECTS BASE'!$G8,'[1]import success seats'!$A:AJ,HLOOKUP(L$4,'[1]import success seats'!$1:$2,2,FALSE),FALSE))/((VLOOKUP('[1]SUBJECTS BASE'!$G8,'[1]import GRADED seats subject piv'!$A:Z,HLOOKUP(L$4,'[1]import GRADED seats subject piv'!$1:$2,2,FALSE),FALSE))),"")</f>
        <v>0.86461538461538456</v>
      </c>
      <c r="M12" s="19">
        <f>IFERROR((VLOOKUP('[1]SUBJECTS BASE'!$G8,'[1]import success seats'!$A:AK,HLOOKUP(M$4,'[1]import success seats'!$1:$2,2,FALSE),FALSE))/((VLOOKUP('[1]SUBJECTS BASE'!$G8,'[1]import GRADED seats subject piv'!$A:AB,HLOOKUP(M$4,'[1]import GRADED seats subject piv'!$1:$2,2,FALSE),FALSE))),"")</f>
        <v>0.86324786324786329</v>
      </c>
      <c r="N12" s="23" t="str">
        <f>IFERROR((VLOOKUP('[1]SUBJECTS BASE'!$G8,'[1]import success seats'!$A:AL,HLOOKUP(N$4,'[1]import success seats'!$1:$2,2,FALSE),FALSE))/((VLOOKUP('[1]SUBJECTS BASE'!$G8,'[1]import GRADED seats subject piv'!$A:AC,HLOOKUP(N$4,'[1]import GRADED seats subject piv'!$1:$2,2,FALSE),FALSE))),"")</f>
        <v/>
      </c>
      <c r="O12" s="15">
        <f>IFERROR((VLOOKUP('[1]SUBJECTS BASE'!$G8,'[1]import success seats'!$A:AM,HLOOKUP(O$4,'[1]import success seats'!$1:$2,2,FALSE),FALSE))/((VLOOKUP('[1]SUBJECTS BASE'!$G8,'[1]import GRADED seats subject piv'!$A:AD,HLOOKUP(O$4,'[1]import GRADED seats subject piv'!$1:$2,2,FALSE),FALSE))),"")</f>
        <v>0.8936170212765957</v>
      </c>
      <c r="P12" s="15">
        <f>IFERROR((VLOOKUP('[1]SUBJECTS BASE'!$G8,'[1]import success seats'!$A:AN,HLOOKUP(P$4,'[1]import success seats'!$1:$2,2,FALSE),FALSE))/((VLOOKUP('[1]SUBJECTS BASE'!$G8,'[1]import GRADED seats subject piv'!$A:AE,HLOOKUP(P$4,'[1]import GRADED seats subject piv'!$1:$2,2,FALSE),FALSE))),"")</f>
        <v>0.84813753581661888</v>
      </c>
      <c r="Q12" s="13" t="str">
        <f>IFERROR((VLOOKUP('[1]SUBJECTS BASE'!$G8,'[1]import success seats'!$A:AO,HLOOKUP(Q$4,'[1]import success seats'!$1:$2,2,FALSE),FALSE))/((VLOOKUP('[1]SUBJECTS BASE'!$G8,'[1]import GRADED seats subject piv'!$A:AF,HLOOKUP(Q$4,'[1]import GRADED seats subject piv'!$1:$2,2,FALSE),FALSE))),"")</f>
        <v/>
      </c>
      <c r="R12" s="15">
        <f>IFERROR((VLOOKUP('[1]SUBJECTS BASE'!$G8,'[1]import success seats'!$A:AP,HLOOKUP(R$4,'[1]import success seats'!$1:$2,2,FALSE),FALSE))/((VLOOKUP('[1]SUBJECTS BASE'!$G8,'[1]import GRADED seats subject piv'!$A:AG,HLOOKUP(R$4,'[1]import GRADED seats subject piv'!$1:$2,2,FALSE),FALSE))),"")</f>
        <v>0.83283582089552244</v>
      </c>
      <c r="S12" s="19">
        <f>IFERROR((VLOOKUP('[1]SUBJECTS BASE'!$G8,'[1]import success seats'!$A:AQ,HLOOKUP(S$4,'[1]import success seats'!$1:$2,2,FALSE),FALSE))/((VLOOKUP('[1]SUBJECTS BASE'!$G8,'[1]import GRADED seats subject piv'!$A:AH,HLOOKUP(S$4,'[1]import GRADED seats subject piv'!$1:$2,2,FALSE),FALSE))),"")</f>
        <v>0.87205387205387208</v>
      </c>
    </row>
    <row r="13" spans="1:28" x14ac:dyDescent="0.25">
      <c r="A13" s="3" t="s">
        <v>1078</v>
      </c>
      <c r="B13" s="13" t="str">
        <f>IFERROR((VLOOKUP('[1]SUBJECTS BASE'!$G9,'[1]import success seats'!$A:Z,HLOOKUP(B$4,'[1]import success seats'!$1:$2,2,FALSE),FALSE))/((VLOOKUP('[1]SUBJECTS BASE'!$G9,'[1]import GRADED seats subject piv'!$A:P,HLOOKUP(B$4,'[1]import GRADED seats subject piv'!$1:$2,2,FALSE),FALSE))),"")</f>
        <v/>
      </c>
      <c r="C13" s="15">
        <f>IFERROR((VLOOKUP('[1]SUBJECTS BASE'!$G9,'[1]import success seats'!$A:AA,HLOOKUP(C$4,'[1]import success seats'!$1:$2,2,FALSE),FALSE))/((VLOOKUP('[1]SUBJECTS BASE'!$G9,'[1]import GRADED seats subject piv'!$A:Q,HLOOKUP(C$4,'[1]import GRADED seats subject piv'!$1:$2,2,FALSE),FALSE))),"")</f>
        <v>0.80701754385964908</v>
      </c>
      <c r="D13" s="21">
        <f>IFERROR((VLOOKUP('[1]SUBJECTS BASE'!$G9,'[1]import success seats'!$A:AB,HLOOKUP(D$4,'[1]import success seats'!$1:$2,2,FALSE),FALSE))/((VLOOKUP('[1]SUBJECTS BASE'!$G9,'[1]import GRADED seats subject piv'!$A:R,HLOOKUP(D$4,'[1]import GRADED seats subject piv'!$1:$2,2,FALSE),FALSE))),"")</f>
        <v>0.89743589743589747</v>
      </c>
      <c r="E13" s="13" t="str">
        <f>IFERROR((VLOOKUP('[1]SUBJECTS BASE'!$G9,'[1]import success seats'!$A:AC,HLOOKUP(E$4,'[1]import success seats'!$1:$2,2,FALSE),FALSE))/((VLOOKUP('[1]SUBJECTS BASE'!$G9,'[1]import GRADED seats subject piv'!$A:S,HLOOKUP(E$4,'[1]import GRADED seats subject piv'!$1:$2,2,FALSE),FALSE))),"")</f>
        <v/>
      </c>
      <c r="F13" s="15">
        <f>IFERROR((VLOOKUP('[1]SUBJECTS BASE'!$G9,'[1]import success seats'!$A:AD,HLOOKUP(F$4,'[1]import success seats'!$1:$2,2,FALSE),FALSE))/((VLOOKUP('[1]SUBJECTS BASE'!$G9,'[1]import GRADED seats subject piv'!$A:T,HLOOKUP(F$4,'[1]import GRADED seats subject piv'!$1:$2,2,FALSE),FALSE))),"")</f>
        <v>0.91935483870967738</v>
      </c>
      <c r="G13" s="19">
        <f>IFERROR((VLOOKUP('[1]SUBJECTS BASE'!$G9,'[1]import success seats'!$A:AE,HLOOKUP(G$4,'[1]import success seats'!$1:$2,2,FALSE),FALSE))/((VLOOKUP('[1]SUBJECTS BASE'!$G9,'[1]import GRADED seats subject piv'!$A:U,HLOOKUP(G$4,'[1]import GRADED seats subject piv'!$1:$2,2,FALSE),FALSE))),"")</f>
        <v>0.8539325842696629</v>
      </c>
      <c r="H13" s="23" t="str">
        <f>IFERROR((VLOOKUP('[1]SUBJECTS BASE'!$G9,'[1]import success seats'!$A:AF,HLOOKUP(H$4,'[1]import success seats'!$1:$2,2,FALSE),FALSE))/((VLOOKUP('[1]SUBJECTS BASE'!$G9,'[1]import GRADED seats subject piv'!$A:V,HLOOKUP(H$4,'[1]import GRADED seats subject piv'!$1:$2,2,FALSE),FALSE))),"")</f>
        <v/>
      </c>
      <c r="I13" s="15">
        <f>IFERROR((VLOOKUP('[1]SUBJECTS BASE'!$G9,'[1]import success seats'!$A:AG,HLOOKUP(I$4,'[1]import success seats'!$1:$2,2,FALSE),FALSE))/((VLOOKUP('[1]SUBJECTS BASE'!$G9,'[1]import GRADED seats subject piv'!$A:W,HLOOKUP(I$4,'[1]import GRADED seats subject piv'!$1:$2,2,FALSE),FALSE))),"")</f>
        <v>0.85483870967741937</v>
      </c>
      <c r="J13" s="21">
        <f>IFERROR((VLOOKUP('[1]SUBJECTS BASE'!$G9,'[1]import success seats'!$A:AH,HLOOKUP(J$4,'[1]import success seats'!$1:$2,2,FALSE),FALSE))/((VLOOKUP('[1]SUBJECTS BASE'!$G9,'[1]import GRADED seats subject piv'!$A:X,HLOOKUP(J$4,'[1]import GRADED seats subject piv'!$1:$2,2,FALSE),FALSE))),"")</f>
        <v>0.80232558139534882</v>
      </c>
      <c r="K13" s="13" t="str">
        <f>IFERROR((VLOOKUP('[1]SUBJECTS BASE'!$G9,'[1]import success seats'!$A:AI,HLOOKUP(K$4,'[1]import success seats'!$1:$2,2,FALSE),FALSE))/((VLOOKUP('[1]SUBJECTS BASE'!$G9,'[1]import GRADED seats subject piv'!$A:Y,HLOOKUP(K$4,'[1]import GRADED seats subject piv'!$1:$2,2,FALSE),FALSE))),"")</f>
        <v/>
      </c>
      <c r="L13" s="15">
        <f>IFERROR((VLOOKUP('[1]SUBJECTS BASE'!$G9,'[1]import success seats'!$A:AJ,HLOOKUP(L$4,'[1]import success seats'!$1:$2,2,FALSE),FALSE))/((VLOOKUP('[1]SUBJECTS BASE'!$G9,'[1]import GRADED seats subject piv'!$A:Z,HLOOKUP(L$4,'[1]import GRADED seats subject piv'!$1:$2,2,FALSE),FALSE))),"")</f>
        <v>0.91428571428571426</v>
      </c>
      <c r="M13" s="19">
        <f>IFERROR((VLOOKUP('[1]SUBJECTS BASE'!$G9,'[1]import success seats'!$A:AK,HLOOKUP(M$4,'[1]import success seats'!$1:$2,2,FALSE),FALSE))/((VLOOKUP('[1]SUBJECTS BASE'!$G9,'[1]import GRADED seats subject piv'!$A:AB,HLOOKUP(M$4,'[1]import GRADED seats subject piv'!$1:$2,2,FALSE),FALSE))),"")</f>
        <v>0.8</v>
      </c>
      <c r="N13" s="23" t="str">
        <f>IFERROR((VLOOKUP('[1]SUBJECTS BASE'!$G9,'[1]import success seats'!$A:AL,HLOOKUP(N$4,'[1]import success seats'!$1:$2,2,FALSE),FALSE))/((VLOOKUP('[1]SUBJECTS BASE'!$G9,'[1]import GRADED seats subject piv'!$A:AC,HLOOKUP(N$4,'[1]import GRADED seats subject piv'!$1:$2,2,FALSE),FALSE))),"")</f>
        <v/>
      </c>
      <c r="O13" s="15">
        <f>IFERROR((VLOOKUP('[1]SUBJECTS BASE'!$G9,'[1]import success seats'!$A:AM,HLOOKUP(O$4,'[1]import success seats'!$1:$2,2,FALSE),FALSE))/((VLOOKUP('[1]SUBJECTS BASE'!$G9,'[1]import GRADED seats subject piv'!$A:AD,HLOOKUP(O$4,'[1]import GRADED seats subject piv'!$1:$2,2,FALSE),FALSE))),"")</f>
        <v>0.79518072289156627</v>
      </c>
      <c r="P13" s="15">
        <f>IFERROR((VLOOKUP('[1]SUBJECTS BASE'!$G9,'[1]import success seats'!$A:AN,HLOOKUP(P$4,'[1]import success seats'!$1:$2,2,FALSE),FALSE))/((VLOOKUP('[1]SUBJECTS BASE'!$G9,'[1]import GRADED seats subject piv'!$A:AE,HLOOKUP(P$4,'[1]import GRADED seats subject piv'!$1:$2,2,FALSE),FALSE))),"")</f>
        <v>0.89423076923076927</v>
      </c>
      <c r="Q13" s="13" t="str">
        <f>IFERROR((VLOOKUP('[1]SUBJECTS BASE'!$G9,'[1]import success seats'!$A:AO,HLOOKUP(Q$4,'[1]import success seats'!$1:$2,2,FALSE),FALSE))/((VLOOKUP('[1]SUBJECTS BASE'!$G9,'[1]import GRADED seats subject piv'!$A:AF,HLOOKUP(Q$4,'[1]import GRADED seats subject piv'!$1:$2,2,FALSE),FALSE))),"")</f>
        <v/>
      </c>
      <c r="R13" s="15">
        <f>IFERROR((VLOOKUP('[1]SUBJECTS BASE'!$G9,'[1]import success seats'!$A:AP,HLOOKUP(R$4,'[1]import success seats'!$1:$2,2,FALSE),FALSE))/((VLOOKUP('[1]SUBJECTS BASE'!$G9,'[1]import GRADED seats subject piv'!$A:AG,HLOOKUP(R$4,'[1]import GRADED seats subject piv'!$1:$2,2,FALSE),FALSE))),"")</f>
        <v>0.90476190476190477</v>
      </c>
      <c r="S13" s="19">
        <f>IFERROR((VLOOKUP('[1]SUBJECTS BASE'!$G9,'[1]import success seats'!$A:AQ,HLOOKUP(S$4,'[1]import success seats'!$1:$2,2,FALSE),FALSE))/((VLOOKUP('[1]SUBJECTS BASE'!$G9,'[1]import GRADED seats subject piv'!$A:AH,HLOOKUP(S$4,'[1]import GRADED seats subject piv'!$1:$2,2,FALSE),FALSE))),"")</f>
        <v>0.94736842105263153</v>
      </c>
    </row>
    <row r="14" spans="1:28" x14ac:dyDescent="0.25">
      <c r="A14" s="3" t="s">
        <v>1079</v>
      </c>
      <c r="B14" s="13">
        <f>IFERROR((VLOOKUP('[1]SUBJECTS BASE'!$G10,'[1]import success seats'!$A:Z,HLOOKUP(B$4,'[1]import success seats'!$1:$2,2,FALSE),FALSE))/((VLOOKUP('[1]SUBJECTS BASE'!$G10,'[1]import GRADED seats subject piv'!$A:P,HLOOKUP(B$4,'[1]import GRADED seats subject piv'!$1:$2,2,FALSE),FALSE))),"")</f>
        <v>1</v>
      </c>
      <c r="C14" s="15" t="str">
        <f>IFERROR((VLOOKUP('[1]SUBJECTS BASE'!$G10,'[1]import success seats'!$A:AA,HLOOKUP(C$4,'[1]import success seats'!$1:$2,2,FALSE),FALSE))/((VLOOKUP('[1]SUBJECTS BASE'!$G10,'[1]import GRADED seats subject piv'!$A:Q,HLOOKUP(C$4,'[1]import GRADED seats subject piv'!$1:$2,2,FALSE),FALSE))),"")</f>
        <v/>
      </c>
      <c r="D14" s="21">
        <f>IFERROR((VLOOKUP('[1]SUBJECTS BASE'!$G10,'[1]import success seats'!$A:AB,HLOOKUP(D$4,'[1]import success seats'!$1:$2,2,FALSE),FALSE))/((VLOOKUP('[1]SUBJECTS BASE'!$G10,'[1]import GRADED seats subject piv'!$A:R,HLOOKUP(D$4,'[1]import GRADED seats subject piv'!$1:$2,2,FALSE),FALSE))),"")</f>
        <v>0.75</v>
      </c>
      <c r="E14" s="13">
        <f>IFERROR((VLOOKUP('[1]SUBJECTS BASE'!$G10,'[1]import success seats'!$A:AC,HLOOKUP(E$4,'[1]import success seats'!$1:$2,2,FALSE),FALSE))/((VLOOKUP('[1]SUBJECTS BASE'!$G10,'[1]import GRADED seats subject piv'!$A:S,HLOOKUP(E$4,'[1]import GRADED seats subject piv'!$1:$2,2,FALSE),FALSE))),"")</f>
        <v>0.75</v>
      </c>
      <c r="F14" s="15" t="str">
        <f>IFERROR((VLOOKUP('[1]SUBJECTS BASE'!$G10,'[1]import success seats'!$A:AD,HLOOKUP(F$4,'[1]import success seats'!$1:$2,2,FALSE),FALSE))/((VLOOKUP('[1]SUBJECTS BASE'!$G10,'[1]import GRADED seats subject piv'!$A:T,HLOOKUP(F$4,'[1]import GRADED seats subject piv'!$1:$2,2,FALSE),FALSE))),"")</f>
        <v/>
      </c>
      <c r="G14" s="19">
        <f>IFERROR((VLOOKUP('[1]SUBJECTS BASE'!$G10,'[1]import success seats'!$A:AE,HLOOKUP(G$4,'[1]import success seats'!$1:$2,2,FALSE),FALSE))/((VLOOKUP('[1]SUBJECTS BASE'!$G10,'[1]import GRADED seats subject piv'!$A:U,HLOOKUP(G$4,'[1]import GRADED seats subject piv'!$1:$2,2,FALSE),FALSE))),"")</f>
        <v>0.5</v>
      </c>
      <c r="H14" s="23" t="str">
        <f>IFERROR((VLOOKUP('[1]SUBJECTS BASE'!$G10,'[1]import success seats'!$A:AF,HLOOKUP(H$4,'[1]import success seats'!$1:$2,2,FALSE),FALSE))/((VLOOKUP('[1]SUBJECTS BASE'!$G10,'[1]import GRADED seats subject piv'!$A:V,HLOOKUP(H$4,'[1]import GRADED seats subject piv'!$1:$2,2,FALSE),FALSE))),"")</f>
        <v/>
      </c>
      <c r="I14" s="15">
        <f>IFERROR((VLOOKUP('[1]SUBJECTS BASE'!$G10,'[1]import success seats'!$A:AG,HLOOKUP(I$4,'[1]import success seats'!$1:$2,2,FALSE),FALSE))/((VLOOKUP('[1]SUBJECTS BASE'!$G10,'[1]import GRADED seats subject piv'!$A:W,HLOOKUP(I$4,'[1]import GRADED seats subject piv'!$1:$2,2,FALSE),FALSE))),"")</f>
        <v>0.5</v>
      </c>
      <c r="J14" s="21">
        <f>IFERROR((VLOOKUP('[1]SUBJECTS BASE'!$G10,'[1]import success seats'!$A:AH,HLOOKUP(J$4,'[1]import success seats'!$1:$2,2,FALSE),FALSE))/((VLOOKUP('[1]SUBJECTS BASE'!$G10,'[1]import GRADED seats subject piv'!$A:X,HLOOKUP(J$4,'[1]import GRADED seats subject piv'!$1:$2,2,FALSE),FALSE))),"")</f>
        <v>0.8571428571428571</v>
      </c>
      <c r="K14" s="13" t="str">
        <f>IFERROR((VLOOKUP('[1]SUBJECTS BASE'!$G10,'[1]import success seats'!$A:AI,HLOOKUP(K$4,'[1]import success seats'!$1:$2,2,FALSE),FALSE))/((VLOOKUP('[1]SUBJECTS BASE'!$G10,'[1]import GRADED seats subject piv'!$A:Y,HLOOKUP(K$4,'[1]import GRADED seats subject piv'!$1:$2,2,FALSE),FALSE))),"")</f>
        <v/>
      </c>
      <c r="L14" s="15">
        <f>IFERROR((VLOOKUP('[1]SUBJECTS BASE'!$G10,'[1]import success seats'!$A:AJ,HLOOKUP(L$4,'[1]import success seats'!$1:$2,2,FALSE),FALSE))/((VLOOKUP('[1]SUBJECTS BASE'!$G10,'[1]import GRADED seats subject piv'!$A:Z,HLOOKUP(L$4,'[1]import GRADED seats subject piv'!$1:$2,2,FALSE),FALSE))),"")</f>
        <v>0.74193548387096775</v>
      </c>
      <c r="M14" s="19">
        <f>IFERROR((VLOOKUP('[1]SUBJECTS BASE'!$G10,'[1]import success seats'!$A:AK,HLOOKUP(M$4,'[1]import success seats'!$1:$2,2,FALSE),FALSE))/((VLOOKUP('[1]SUBJECTS BASE'!$G10,'[1]import GRADED seats subject piv'!$A:AB,HLOOKUP(M$4,'[1]import GRADED seats subject piv'!$1:$2,2,FALSE),FALSE))),"")</f>
        <v>0.7857142857142857</v>
      </c>
      <c r="N14" s="23" t="str">
        <f>IFERROR((VLOOKUP('[1]SUBJECTS BASE'!$G10,'[1]import success seats'!$A:AL,HLOOKUP(N$4,'[1]import success seats'!$1:$2,2,FALSE),FALSE))/((VLOOKUP('[1]SUBJECTS BASE'!$G10,'[1]import GRADED seats subject piv'!$A:AC,HLOOKUP(N$4,'[1]import GRADED seats subject piv'!$1:$2,2,FALSE),FALSE))),"")</f>
        <v/>
      </c>
      <c r="O14" s="15">
        <f>IFERROR((VLOOKUP('[1]SUBJECTS BASE'!$G10,'[1]import success seats'!$A:AM,HLOOKUP(O$4,'[1]import success seats'!$1:$2,2,FALSE),FALSE))/((VLOOKUP('[1]SUBJECTS BASE'!$G10,'[1]import GRADED seats subject piv'!$A:AD,HLOOKUP(O$4,'[1]import GRADED seats subject piv'!$1:$2,2,FALSE),FALSE))),"")</f>
        <v>0.66666666666666663</v>
      </c>
      <c r="P14" s="15">
        <f>IFERROR((VLOOKUP('[1]SUBJECTS BASE'!$G10,'[1]import success seats'!$A:AN,HLOOKUP(P$4,'[1]import success seats'!$1:$2,2,FALSE),FALSE))/((VLOOKUP('[1]SUBJECTS BASE'!$G10,'[1]import GRADED seats subject piv'!$A:AE,HLOOKUP(P$4,'[1]import GRADED seats subject piv'!$1:$2,2,FALSE),FALSE))),"")</f>
        <v>0.65517241379310343</v>
      </c>
      <c r="Q14" s="13" t="str">
        <f>IFERROR((VLOOKUP('[1]SUBJECTS BASE'!$G10,'[1]import success seats'!$A:AO,HLOOKUP(Q$4,'[1]import success seats'!$1:$2,2,FALSE),FALSE))/((VLOOKUP('[1]SUBJECTS BASE'!$G10,'[1]import GRADED seats subject piv'!$A:AF,HLOOKUP(Q$4,'[1]import GRADED seats subject piv'!$1:$2,2,FALSE),FALSE))),"")</f>
        <v/>
      </c>
      <c r="R14" s="15">
        <f>IFERROR((VLOOKUP('[1]SUBJECTS BASE'!$G10,'[1]import success seats'!$A:AP,HLOOKUP(R$4,'[1]import success seats'!$1:$2,2,FALSE),FALSE))/((VLOOKUP('[1]SUBJECTS BASE'!$G10,'[1]import GRADED seats subject piv'!$A:AG,HLOOKUP(R$4,'[1]import GRADED seats subject piv'!$1:$2,2,FALSE),FALSE))),"")</f>
        <v>0.84615384615384615</v>
      </c>
      <c r="S14" s="19">
        <f>IFERROR((VLOOKUP('[1]SUBJECTS BASE'!$G10,'[1]import success seats'!$A:AQ,HLOOKUP(S$4,'[1]import success seats'!$1:$2,2,FALSE),FALSE))/((VLOOKUP('[1]SUBJECTS BASE'!$G10,'[1]import GRADED seats subject piv'!$A:AH,HLOOKUP(S$4,'[1]import GRADED seats subject piv'!$1:$2,2,FALSE),FALSE))),"")</f>
        <v>0.66666666666666663</v>
      </c>
    </row>
    <row r="15" spans="1:28" x14ac:dyDescent="0.25">
      <c r="A15" s="3" t="s">
        <v>1080</v>
      </c>
      <c r="B15" s="13" t="str">
        <f>IFERROR((VLOOKUP('[1]SUBJECTS BASE'!$G11,'[1]import success seats'!$A:Z,HLOOKUP(B$4,'[1]import success seats'!$1:$2,2,FALSE),FALSE))/((VLOOKUP('[1]SUBJECTS BASE'!$G11,'[1]import GRADED seats subject piv'!$A:P,HLOOKUP(B$4,'[1]import GRADED seats subject piv'!$1:$2,2,FALSE),FALSE))),"")</f>
        <v/>
      </c>
      <c r="C15" s="15" t="str">
        <f>IFERROR((VLOOKUP('[1]SUBJECTS BASE'!$G11,'[1]import success seats'!$A:AA,HLOOKUP(C$4,'[1]import success seats'!$1:$2,2,FALSE),FALSE))/((VLOOKUP('[1]SUBJECTS BASE'!$G11,'[1]import GRADED seats subject piv'!$A:Q,HLOOKUP(C$4,'[1]import GRADED seats subject piv'!$1:$2,2,FALSE),FALSE))),"")</f>
        <v/>
      </c>
      <c r="D15" s="21" t="str">
        <f>IFERROR((VLOOKUP('[1]SUBJECTS BASE'!$G11,'[1]import success seats'!$A:AB,HLOOKUP(D$4,'[1]import success seats'!$1:$2,2,FALSE),FALSE))/((VLOOKUP('[1]SUBJECTS BASE'!$G11,'[1]import GRADED seats subject piv'!$A:R,HLOOKUP(D$4,'[1]import GRADED seats subject piv'!$1:$2,2,FALSE),FALSE))),"")</f>
        <v/>
      </c>
      <c r="E15" s="13" t="str">
        <f>IFERROR((VLOOKUP('[1]SUBJECTS BASE'!$G11,'[1]import success seats'!$A:AC,HLOOKUP(E$4,'[1]import success seats'!$1:$2,2,FALSE),FALSE))/((VLOOKUP('[1]SUBJECTS BASE'!$G11,'[1]import GRADED seats subject piv'!$A:S,HLOOKUP(E$4,'[1]import GRADED seats subject piv'!$1:$2,2,FALSE),FALSE))),"")</f>
        <v/>
      </c>
      <c r="F15" s="15" t="str">
        <f>IFERROR((VLOOKUP('[1]SUBJECTS BASE'!$G11,'[1]import success seats'!$A:AD,HLOOKUP(F$4,'[1]import success seats'!$1:$2,2,FALSE),FALSE))/((VLOOKUP('[1]SUBJECTS BASE'!$G11,'[1]import GRADED seats subject piv'!$A:T,HLOOKUP(F$4,'[1]import GRADED seats subject piv'!$1:$2,2,FALSE),FALSE))),"")</f>
        <v/>
      </c>
      <c r="G15" s="19" t="str">
        <f>IFERROR((VLOOKUP('[1]SUBJECTS BASE'!$G11,'[1]import success seats'!$A:AE,HLOOKUP(G$4,'[1]import success seats'!$1:$2,2,FALSE),FALSE))/((VLOOKUP('[1]SUBJECTS BASE'!$G11,'[1]import GRADED seats subject piv'!$A:U,HLOOKUP(G$4,'[1]import GRADED seats subject piv'!$1:$2,2,FALSE),FALSE))),"")</f>
        <v/>
      </c>
      <c r="H15" s="23" t="str">
        <f>IFERROR((VLOOKUP('[1]SUBJECTS BASE'!$G11,'[1]import success seats'!$A:AF,HLOOKUP(H$4,'[1]import success seats'!$1:$2,2,FALSE),FALSE))/((VLOOKUP('[1]SUBJECTS BASE'!$G11,'[1]import GRADED seats subject piv'!$A:V,HLOOKUP(H$4,'[1]import GRADED seats subject piv'!$1:$2,2,FALSE),FALSE))),"")</f>
        <v/>
      </c>
      <c r="I15" s="15" t="str">
        <f>IFERROR((VLOOKUP('[1]SUBJECTS BASE'!$G11,'[1]import success seats'!$A:AG,HLOOKUP(I$4,'[1]import success seats'!$1:$2,2,FALSE),FALSE))/((VLOOKUP('[1]SUBJECTS BASE'!$G11,'[1]import GRADED seats subject piv'!$A:W,HLOOKUP(I$4,'[1]import GRADED seats subject piv'!$1:$2,2,FALSE),FALSE))),"")</f>
        <v/>
      </c>
      <c r="J15" s="21" t="str">
        <f>IFERROR((VLOOKUP('[1]SUBJECTS BASE'!$G11,'[1]import success seats'!$A:AH,HLOOKUP(J$4,'[1]import success seats'!$1:$2,2,FALSE),FALSE))/((VLOOKUP('[1]SUBJECTS BASE'!$G11,'[1]import GRADED seats subject piv'!$A:X,HLOOKUP(J$4,'[1]import GRADED seats subject piv'!$1:$2,2,FALSE),FALSE))),"")</f>
        <v/>
      </c>
      <c r="K15" s="13" t="str">
        <f>IFERROR((VLOOKUP('[1]SUBJECTS BASE'!$G11,'[1]import success seats'!$A:AI,HLOOKUP(K$4,'[1]import success seats'!$1:$2,2,FALSE),FALSE))/((VLOOKUP('[1]SUBJECTS BASE'!$G11,'[1]import GRADED seats subject piv'!$A:Y,HLOOKUP(K$4,'[1]import GRADED seats subject piv'!$1:$2,2,FALSE),FALSE))),"")</f>
        <v/>
      </c>
      <c r="L15" s="15">
        <f>IFERROR((VLOOKUP('[1]SUBJECTS BASE'!$G11,'[1]import success seats'!$A:AJ,HLOOKUP(L$4,'[1]import success seats'!$1:$2,2,FALSE),FALSE))/((VLOOKUP('[1]SUBJECTS BASE'!$G11,'[1]import GRADED seats subject piv'!$A:Z,HLOOKUP(L$4,'[1]import GRADED seats subject piv'!$1:$2,2,FALSE),FALSE))),"")</f>
        <v>1</v>
      </c>
      <c r="M15" s="19">
        <f>IFERROR((VLOOKUP('[1]SUBJECTS BASE'!$G11,'[1]import success seats'!$A:AK,HLOOKUP(M$4,'[1]import success seats'!$1:$2,2,FALSE),FALSE))/((VLOOKUP('[1]SUBJECTS BASE'!$G11,'[1]import GRADED seats subject piv'!$A:AB,HLOOKUP(M$4,'[1]import GRADED seats subject piv'!$1:$2,2,FALSE),FALSE))),"")</f>
        <v>1</v>
      </c>
      <c r="N15" s="23" t="str">
        <f>IFERROR((VLOOKUP('[1]SUBJECTS BASE'!$G11,'[1]import success seats'!$A:AL,HLOOKUP(N$4,'[1]import success seats'!$1:$2,2,FALSE),FALSE))/((VLOOKUP('[1]SUBJECTS BASE'!$G11,'[1]import GRADED seats subject piv'!$A:AC,HLOOKUP(N$4,'[1]import GRADED seats subject piv'!$1:$2,2,FALSE),FALSE))),"")</f>
        <v/>
      </c>
      <c r="O15" s="15">
        <f>IFERROR((VLOOKUP('[1]SUBJECTS BASE'!$G11,'[1]import success seats'!$A:AM,HLOOKUP(O$4,'[1]import success seats'!$1:$2,2,FALSE),FALSE))/((VLOOKUP('[1]SUBJECTS BASE'!$G11,'[1]import GRADED seats subject piv'!$A:AD,HLOOKUP(O$4,'[1]import GRADED seats subject piv'!$1:$2,2,FALSE),FALSE))),"")</f>
        <v>0.94736842105263153</v>
      </c>
      <c r="P15" s="15" t="str">
        <f>IFERROR((VLOOKUP('[1]SUBJECTS BASE'!$G11,'[1]import success seats'!$A:AN,HLOOKUP(P$4,'[1]import success seats'!$1:$2,2,FALSE),FALSE))/((VLOOKUP('[1]SUBJECTS BASE'!$G11,'[1]import GRADED seats subject piv'!$A:AE,HLOOKUP(P$4,'[1]import GRADED seats subject piv'!$1:$2,2,FALSE),FALSE))),"")</f>
        <v/>
      </c>
      <c r="Q15" s="13" t="str">
        <f>IFERROR((VLOOKUP('[1]SUBJECTS BASE'!$G11,'[1]import success seats'!$A:AO,HLOOKUP(Q$4,'[1]import success seats'!$1:$2,2,FALSE),FALSE))/((VLOOKUP('[1]SUBJECTS BASE'!$G11,'[1]import GRADED seats subject piv'!$A:AF,HLOOKUP(Q$4,'[1]import GRADED seats subject piv'!$1:$2,2,FALSE),FALSE))),"")</f>
        <v/>
      </c>
      <c r="R15" s="15" t="str">
        <f>IFERROR((VLOOKUP('[1]SUBJECTS BASE'!$G11,'[1]import success seats'!$A:AP,HLOOKUP(R$4,'[1]import success seats'!$1:$2,2,FALSE),FALSE))/((VLOOKUP('[1]SUBJECTS BASE'!$G11,'[1]import GRADED seats subject piv'!$A:AG,HLOOKUP(R$4,'[1]import GRADED seats subject piv'!$1:$2,2,FALSE),FALSE))),"")</f>
        <v/>
      </c>
      <c r="S15" s="19" t="str">
        <f>IFERROR((VLOOKUP('[1]SUBJECTS BASE'!$G11,'[1]import success seats'!$A:AQ,HLOOKUP(S$4,'[1]import success seats'!$1:$2,2,FALSE),FALSE))/((VLOOKUP('[1]SUBJECTS BASE'!$G11,'[1]import GRADED seats subject piv'!$A:AH,HLOOKUP(S$4,'[1]import GRADED seats subject piv'!$1:$2,2,FALSE),FALSE))),"")</f>
        <v/>
      </c>
    </row>
    <row r="16" spans="1:28" x14ac:dyDescent="0.25">
      <c r="A16" s="3" t="s">
        <v>1081</v>
      </c>
      <c r="B16" s="13" t="str">
        <f>IFERROR((VLOOKUP('[1]SUBJECTS BASE'!$G12,'[1]import success seats'!$A:Z,HLOOKUP(B$4,'[1]import success seats'!$1:$2,2,FALSE),FALSE))/((VLOOKUP('[1]SUBJECTS BASE'!$G12,'[1]import GRADED seats subject piv'!$A:P,HLOOKUP(B$4,'[1]import GRADED seats subject piv'!$1:$2,2,FALSE),FALSE))),"")</f>
        <v/>
      </c>
      <c r="C16" s="15">
        <f>IFERROR((VLOOKUP('[1]SUBJECTS BASE'!$G12,'[1]import success seats'!$A:AA,HLOOKUP(C$4,'[1]import success seats'!$1:$2,2,FALSE),FALSE))/((VLOOKUP('[1]SUBJECTS BASE'!$G12,'[1]import GRADED seats subject piv'!$A:Q,HLOOKUP(C$4,'[1]import GRADED seats subject piv'!$1:$2,2,FALSE),FALSE))),"")</f>
        <v>0.85616438356164382</v>
      </c>
      <c r="D16" s="21">
        <f>IFERROR((VLOOKUP('[1]SUBJECTS BASE'!$G12,'[1]import success seats'!$A:AB,HLOOKUP(D$4,'[1]import success seats'!$1:$2,2,FALSE),FALSE))/((VLOOKUP('[1]SUBJECTS BASE'!$G12,'[1]import GRADED seats subject piv'!$A:R,HLOOKUP(D$4,'[1]import GRADED seats subject piv'!$1:$2,2,FALSE),FALSE))),"")</f>
        <v>0.76415094339622647</v>
      </c>
      <c r="E16" s="13" t="str">
        <f>IFERROR((VLOOKUP('[1]SUBJECTS BASE'!$G12,'[1]import success seats'!$A:AC,HLOOKUP(E$4,'[1]import success seats'!$1:$2,2,FALSE),FALSE))/((VLOOKUP('[1]SUBJECTS BASE'!$G12,'[1]import GRADED seats subject piv'!$A:S,HLOOKUP(E$4,'[1]import GRADED seats subject piv'!$1:$2,2,FALSE),FALSE))),"")</f>
        <v/>
      </c>
      <c r="F16" s="15">
        <f>IFERROR((VLOOKUP('[1]SUBJECTS BASE'!$G12,'[1]import success seats'!$A:AD,HLOOKUP(F$4,'[1]import success seats'!$1:$2,2,FALSE),FALSE))/((VLOOKUP('[1]SUBJECTS BASE'!$G12,'[1]import GRADED seats subject piv'!$A:T,HLOOKUP(F$4,'[1]import GRADED seats subject piv'!$1:$2,2,FALSE),FALSE))),"")</f>
        <v>0.84659090909090906</v>
      </c>
      <c r="G16" s="19">
        <f>IFERROR((VLOOKUP('[1]SUBJECTS BASE'!$G12,'[1]import success seats'!$A:AE,HLOOKUP(G$4,'[1]import success seats'!$1:$2,2,FALSE),FALSE))/((VLOOKUP('[1]SUBJECTS BASE'!$G12,'[1]import GRADED seats subject piv'!$A:U,HLOOKUP(G$4,'[1]import GRADED seats subject piv'!$1:$2,2,FALSE),FALSE))),"")</f>
        <v>0.8</v>
      </c>
      <c r="H16" s="23" t="str">
        <f>IFERROR((VLOOKUP('[1]SUBJECTS BASE'!$G12,'[1]import success seats'!$A:AF,HLOOKUP(H$4,'[1]import success seats'!$1:$2,2,FALSE),FALSE))/((VLOOKUP('[1]SUBJECTS BASE'!$G12,'[1]import GRADED seats subject piv'!$A:V,HLOOKUP(H$4,'[1]import GRADED seats subject piv'!$1:$2,2,FALSE),FALSE))),"")</f>
        <v/>
      </c>
      <c r="I16" s="15">
        <f>IFERROR((VLOOKUP('[1]SUBJECTS BASE'!$G12,'[1]import success seats'!$A:AG,HLOOKUP(I$4,'[1]import success seats'!$1:$2,2,FALSE),FALSE))/((VLOOKUP('[1]SUBJECTS BASE'!$G12,'[1]import GRADED seats subject piv'!$A:W,HLOOKUP(I$4,'[1]import GRADED seats subject piv'!$1:$2,2,FALSE),FALSE))),"")</f>
        <v>0.83673469387755106</v>
      </c>
      <c r="J16" s="21">
        <f>IFERROR((VLOOKUP('[1]SUBJECTS BASE'!$G12,'[1]import success seats'!$A:AH,HLOOKUP(J$4,'[1]import success seats'!$1:$2,2,FALSE),FALSE))/((VLOOKUP('[1]SUBJECTS BASE'!$G12,'[1]import GRADED seats subject piv'!$A:X,HLOOKUP(J$4,'[1]import GRADED seats subject piv'!$1:$2,2,FALSE),FALSE))),"")</f>
        <v>0.77777777777777779</v>
      </c>
      <c r="K16" s="13" t="str">
        <f>IFERROR((VLOOKUP('[1]SUBJECTS BASE'!$G12,'[1]import success seats'!$A:AI,HLOOKUP(K$4,'[1]import success seats'!$1:$2,2,FALSE),FALSE))/((VLOOKUP('[1]SUBJECTS BASE'!$G12,'[1]import GRADED seats subject piv'!$A:Y,HLOOKUP(K$4,'[1]import GRADED seats subject piv'!$1:$2,2,FALSE),FALSE))),"")</f>
        <v/>
      </c>
      <c r="L16" s="15">
        <f>IFERROR((VLOOKUP('[1]SUBJECTS BASE'!$G12,'[1]import success seats'!$A:AJ,HLOOKUP(L$4,'[1]import success seats'!$1:$2,2,FALSE),FALSE))/((VLOOKUP('[1]SUBJECTS BASE'!$G12,'[1]import GRADED seats subject piv'!$A:Z,HLOOKUP(L$4,'[1]import GRADED seats subject piv'!$1:$2,2,FALSE),FALSE))),"")</f>
        <v>0.79194630872483218</v>
      </c>
      <c r="M16" s="19">
        <f>IFERROR((VLOOKUP('[1]SUBJECTS BASE'!$G12,'[1]import success seats'!$A:AK,HLOOKUP(M$4,'[1]import success seats'!$1:$2,2,FALSE),FALSE))/((VLOOKUP('[1]SUBJECTS BASE'!$G12,'[1]import GRADED seats subject piv'!$A:AB,HLOOKUP(M$4,'[1]import GRADED seats subject piv'!$1:$2,2,FALSE),FALSE))),"")</f>
        <v>0.80952380952380953</v>
      </c>
      <c r="N16" s="23" t="str">
        <f>IFERROR((VLOOKUP('[1]SUBJECTS BASE'!$G12,'[1]import success seats'!$A:AL,HLOOKUP(N$4,'[1]import success seats'!$1:$2,2,FALSE),FALSE))/((VLOOKUP('[1]SUBJECTS BASE'!$G12,'[1]import GRADED seats subject piv'!$A:AC,HLOOKUP(N$4,'[1]import GRADED seats subject piv'!$1:$2,2,FALSE),FALSE))),"")</f>
        <v/>
      </c>
      <c r="O16" s="15">
        <f>IFERROR((VLOOKUP('[1]SUBJECTS BASE'!$G12,'[1]import success seats'!$A:AM,HLOOKUP(O$4,'[1]import success seats'!$1:$2,2,FALSE),FALSE))/((VLOOKUP('[1]SUBJECTS BASE'!$G12,'[1]import GRADED seats subject piv'!$A:AD,HLOOKUP(O$4,'[1]import GRADED seats subject piv'!$1:$2,2,FALSE),FALSE))),"")</f>
        <v>0.74407582938388628</v>
      </c>
      <c r="P16" s="15">
        <f>IFERROR((VLOOKUP('[1]SUBJECTS BASE'!$G12,'[1]import success seats'!$A:AN,HLOOKUP(P$4,'[1]import success seats'!$1:$2,2,FALSE),FALSE))/((VLOOKUP('[1]SUBJECTS BASE'!$G12,'[1]import GRADED seats subject piv'!$A:AE,HLOOKUP(P$4,'[1]import GRADED seats subject piv'!$1:$2,2,FALSE),FALSE))),"")</f>
        <v>0.7857142857142857</v>
      </c>
      <c r="Q16" s="13" t="str">
        <f>IFERROR((VLOOKUP('[1]SUBJECTS BASE'!$G12,'[1]import success seats'!$A:AO,HLOOKUP(Q$4,'[1]import success seats'!$1:$2,2,FALSE),FALSE))/((VLOOKUP('[1]SUBJECTS BASE'!$G12,'[1]import GRADED seats subject piv'!$A:AF,HLOOKUP(Q$4,'[1]import GRADED seats subject piv'!$1:$2,2,FALSE),FALSE))),"")</f>
        <v/>
      </c>
      <c r="R16" s="15">
        <f>IFERROR((VLOOKUP('[1]SUBJECTS BASE'!$G12,'[1]import success seats'!$A:AP,HLOOKUP(R$4,'[1]import success seats'!$1:$2,2,FALSE),FALSE))/((VLOOKUP('[1]SUBJECTS BASE'!$G12,'[1]import GRADED seats subject piv'!$A:AG,HLOOKUP(R$4,'[1]import GRADED seats subject piv'!$1:$2,2,FALSE),FALSE))),"")</f>
        <v>0.87179487179487181</v>
      </c>
      <c r="S16" s="19">
        <f>IFERROR((VLOOKUP('[1]SUBJECTS BASE'!$G12,'[1]import success seats'!$A:AQ,HLOOKUP(S$4,'[1]import success seats'!$1:$2,2,FALSE),FALSE))/((VLOOKUP('[1]SUBJECTS BASE'!$G12,'[1]import GRADED seats subject piv'!$A:AH,HLOOKUP(S$4,'[1]import GRADED seats subject piv'!$1:$2,2,FALSE),FALSE))),"")</f>
        <v>0.79385964912280704</v>
      </c>
    </row>
    <row r="17" spans="1:19" x14ac:dyDescent="0.25">
      <c r="A17" s="3" t="s">
        <v>1082</v>
      </c>
      <c r="B17" s="13">
        <f>IFERROR((VLOOKUP('[1]SUBJECTS BASE'!$G13,'[1]import success seats'!$A:Z,HLOOKUP(B$4,'[1]import success seats'!$1:$2,2,FALSE),FALSE))/((VLOOKUP('[1]SUBJECTS BASE'!$G13,'[1]import GRADED seats subject piv'!$A:P,HLOOKUP(B$4,'[1]import GRADED seats subject piv'!$1:$2,2,FALSE),FALSE))),"")</f>
        <v>0.96</v>
      </c>
      <c r="C17" s="15">
        <f>IFERROR((VLOOKUP('[1]SUBJECTS BASE'!$G13,'[1]import success seats'!$A:AA,HLOOKUP(C$4,'[1]import success seats'!$1:$2,2,FALSE),FALSE))/((VLOOKUP('[1]SUBJECTS BASE'!$G13,'[1]import GRADED seats subject piv'!$A:Q,HLOOKUP(C$4,'[1]import GRADED seats subject piv'!$1:$2,2,FALSE),FALSE))),"")</f>
        <v>0.8861607142857143</v>
      </c>
      <c r="D17" s="21">
        <f>IFERROR((VLOOKUP('[1]SUBJECTS BASE'!$G13,'[1]import success seats'!$A:AB,HLOOKUP(D$4,'[1]import success seats'!$1:$2,2,FALSE),FALSE))/((VLOOKUP('[1]SUBJECTS BASE'!$G13,'[1]import GRADED seats subject piv'!$A:R,HLOOKUP(D$4,'[1]import GRADED seats subject piv'!$1:$2,2,FALSE),FALSE))),"")</f>
        <v>0.89616252821670428</v>
      </c>
      <c r="E17" s="13">
        <f>IFERROR((VLOOKUP('[1]SUBJECTS BASE'!$G13,'[1]import success seats'!$A:AC,HLOOKUP(E$4,'[1]import success seats'!$1:$2,2,FALSE),FALSE))/((VLOOKUP('[1]SUBJECTS BASE'!$G13,'[1]import GRADED seats subject piv'!$A:S,HLOOKUP(E$4,'[1]import GRADED seats subject piv'!$1:$2,2,FALSE),FALSE))),"")</f>
        <v>0.98780487804878048</v>
      </c>
      <c r="F17" s="15">
        <f>IFERROR((VLOOKUP('[1]SUBJECTS BASE'!$G13,'[1]import success seats'!$A:AD,HLOOKUP(F$4,'[1]import success seats'!$1:$2,2,FALSE),FALSE))/((VLOOKUP('[1]SUBJECTS BASE'!$G13,'[1]import GRADED seats subject piv'!$A:T,HLOOKUP(F$4,'[1]import GRADED seats subject piv'!$1:$2,2,FALSE),FALSE))),"")</f>
        <v>0.86691312384473196</v>
      </c>
      <c r="G17" s="19">
        <f>IFERROR((VLOOKUP('[1]SUBJECTS BASE'!$G13,'[1]import success seats'!$A:AE,HLOOKUP(G$4,'[1]import success seats'!$1:$2,2,FALSE),FALSE))/((VLOOKUP('[1]SUBJECTS BASE'!$G13,'[1]import GRADED seats subject piv'!$A:U,HLOOKUP(G$4,'[1]import GRADED seats subject piv'!$1:$2,2,FALSE),FALSE))),"")</f>
        <v>0.88837209302325582</v>
      </c>
      <c r="H17" s="23">
        <f>IFERROR((VLOOKUP('[1]SUBJECTS BASE'!$G13,'[1]import success seats'!$A:AF,HLOOKUP(H$4,'[1]import success seats'!$1:$2,2,FALSE),FALSE))/((VLOOKUP('[1]SUBJECTS BASE'!$G13,'[1]import GRADED seats subject piv'!$A:V,HLOOKUP(H$4,'[1]import GRADED seats subject piv'!$1:$2,2,FALSE),FALSE))),"")</f>
        <v>0.967741935483871</v>
      </c>
      <c r="I17" s="15">
        <f>IFERROR((VLOOKUP('[1]SUBJECTS BASE'!$G13,'[1]import success seats'!$A:AG,HLOOKUP(I$4,'[1]import success seats'!$1:$2,2,FALSE),FALSE))/((VLOOKUP('[1]SUBJECTS BASE'!$G13,'[1]import GRADED seats subject piv'!$A:W,HLOOKUP(I$4,'[1]import GRADED seats subject piv'!$1:$2,2,FALSE),FALSE))),"")</f>
        <v>0.87326732673267327</v>
      </c>
      <c r="J17" s="21">
        <f>IFERROR((VLOOKUP('[1]SUBJECTS BASE'!$G13,'[1]import success seats'!$A:AH,HLOOKUP(J$4,'[1]import success seats'!$1:$2,2,FALSE),FALSE))/((VLOOKUP('[1]SUBJECTS BASE'!$G13,'[1]import GRADED seats subject piv'!$A:X,HLOOKUP(J$4,'[1]import GRADED seats subject piv'!$1:$2,2,FALSE),FALSE))),"")</f>
        <v>0.89473684210526316</v>
      </c>
      <c r="K17" s="13" t="str">
        <f>IFERROR((VLOOKUP('[1]SUBJECTS BASE'!$G13,'[1]import success seats'!$A:AI,HLOOKUP(K$4,'[1]import success seats'!$1:$2,2,FALSE),FALSE))/((VLOOKUP('[1]SUBJECTS BASE'!$G13,'[1]import GRADED seats subject piv'!$A:Y,HLOOKUP(K$4,'[1]import GRADED seats subject piv'!$1:$2,2,FALSE),FALSE))),"")</f>
        <v/>
      </c>
      <c r="L17" s="15">
        <f>IFERROR((VLOOKUP('[1]SUBJECTS BASE'!$G13,'[1]import success seats'!$A:AJ,HLOOKUP(L$4,'[1]import success seats'!$1:$2,2,FALSE),FALSE))/((VLOOKUP('[1]SUBJECTS BASE'!$G13,'[1]import GRADED seats subject piv'!$A:Z,HLOOKUP(L$4,'[1]import GRADED seats subject piv'!$1:$2,2,FALSE),FALSE))),"")</f>
        <v>0.87555555555555553</v>
      </c>
      <c r="M17" s="19">
        <f>IFERROR((VLOOKUP('[1]SUBJECTS BASE'!$G13,'[1]import success seats'!$A:AK,HLOOKUP(M$4,'[1]import success seats'!$1:$2,2,FALSE),FALSE))/((VLOOKUP('[1]SUBJECTS BASE'!$G13,'[1]import GRADED seats subject piv'!$A:AB,HLOOKUP(M$4,'[1]import GRADED seats subject piv'!$1:$2,2,FALSE),FALSE))),"")</f>
        <v>0.8699551569506726</v>
      </c>
      <c r="N17" s="23" t="str">
        <f>IFERROR((VLOOKUP('[1]SUBJECTS BASE'!$G13,'[1]import success seats'!$A:AL,HLOOKUP(N$4,'[1]import success seats'!$1:$2,2,FALSE),FALSE))/((VLOOKUP('[1]SUBJECTS BASE'!$G13,'[1]import GRADED seats subject piv'!$A:AC,HLOOKUP(N$4,'[1]import GRADED seats subject piv'!$1:$2,2,FALSE),FALSE))),"")</f>
        <v/>
      </c>
      <c r="O17" s="15">
        <f>IFERROR((VLOOKUP('[1]SUBJECTS BASE'!$G13,'[1]import success seats'!$A:AM,HLOOKUP(O$4,'[1]import success seats'!$1:$2,2,FALSE),FALSE))/((VLOOKUP('[1]SUBJECTS BASE'!$G13,'[1]import GRADED seats subject piv'!$A:AD,HLOOKUP(O$4,'[1]import GRADED seats subject piv'!$1:$2,2,FALSE),FALSE))),"")</f>
        <v>0.91392405063291138</v>
      </c>
      <c r="P17" s="15">
        <f>IFERROR((VLOOKUP('[1]SUBJECTS BASE'!$G13,'[1]import success seats'!$A:AN,HLOOKUP(P$4,'[1]import success seats'!$1:$2,2,FALSE),FALSE))/((VLOOKUP('[1]SUBJECTS BASE'!$G13,'[1]import GRADED seats subject piv'!$A:AE,HLOOKUP(P$4,'[1]import GRADED seats subject piv'!$1:$2,2,FALSE),FALSE))),"")</f>
        <v>0.91249999999999998</v>
      </c>
      <c r="Q17" s="13">
        <f>IFERROR((VLOOKUP('[1]SUBJECTS BASE'!$G13,'[1]import success seats'!$A:AO,HLOOKUP(Q$4,'[1]import success seats'!$1:$2,2,FALSE),FALSE))/((VLOOKUP('[1]SUBJECTS BASE'!$G13,'[1]import GRADED seats subject piv'!$A:AF,HLOOKUP(Q$4,'[1]import GRADED seats subject piv'!$1:$2,2,FALSE),FALSE))),"")</f>
        <v>0.88888888888888884</v>
      </c>
      <c r="R17" s="15">
        <f>IFERROR((VLOOKUP('[1]SUBJECTS BASE'!$G13,'[1]import success seats'!$A:AP,HLOOKUP(R$4,'[1]import success seats'!$1:$2,2,FALSE),FALSE))/((VLOOKUP('[1]SUBJECTS BASE'!$G13,'[1]import GRADED seats subject piv'!$A:AG,HLOOKUP(R$4,'[1]import GRADED seats subject piv'!$1:$2,2,FALSE),FALSE))),"")</f>
        <v>0.8984375</v>
      </c>
      <c r="S17" s="19">
        <f>IFERROR((VLOOKUP('[1]SUBJECTS BASE'!$G13,'[1]import success seats'!$A:AQ,HLOOKUP(S$4,'[1]import success seats'!$1:$2,2,FALSE),FALSE))/((VLOOKUP('[1]SUBJECTS BASE'!$G13,'[1]import GRADED seats subject piv'!$A:AH,HLOOKUP(S$4,'[1]import GRADED seats subject piv'!$1:$2,2,FALSE),FALSE))),"")</f>
        <v>0.91925465838509313</v>
      </c>
    </row>
    <row r="18" spans="1:19" x14ac:dyDescent="0.25">
      <c r="A18" s="3" t="s">
        <v>1083</v>
      </c>
      <c r="B18" s="13">
        <f>IFERROR((VLOOKUP('[1]SUBJECTS BASE'!$G14,'[1]import success seats'!$A:Z,HLOOKUP(B$4,'[1]import success seats'!$1:$2,2,FALSE),FALSE))/((VLOOKUP('[1]SUBJECTS BASE'!$G14,'[1]import GRADED seats subject piv'!$A:P,HLOOKUP(B$4,'[1]import GRADED seats subject piv'!$1:$2,2,FALSE),FALSE))),"")</f>
        <v>0.971830985915493</v>
      </c>
      <c r="C18" s="15">
        <f>IFERROR((VLOOKUP('[1]SUBJECTS BASE'!$G14,'[1]import success seats'!$A:AA,HLOOKUP(C$4,'[1]import success seats'!$1:$2,2,FALSE),FALSE))/((VLOOKUP('[1]SUBJECTS BASE'!$G14,'[1]import GRADED seats subject piv'!$A:Q,HLOOKUP(C$4,'[1]import GRADED seats subject piv'!$1:$2,2,FALSE),FALSE))),"")</f>
        <v>0.85380116959064323</v>
      </c>
      <c r="D18" s="21">
        <f>IFERROR((VLOOKUP('[1]SUBJECTS BASE'!$G14,'[1]import success seats'!$A:AB,HLOOKUP(D$4,'[1]import success seats'!$1:$2,2,FALSE),FALSE))/((VLOOKUP('[1]SUBJECTS BASE'!$G14,'[1]import GRADED seats subject piv'!$A:R,HLOOKUP(D$4,'[1]import GRADED seats subject piv'!$1:$2,2,FALSE),FALSE))),"")</f>
        <v>0.86163522012578619</v>
      </c>
      <c r="E18" s="13">
        <f>IFERROR((VLOOKUP('[1]SUBJECTS BASE'!$G14,'[1]import success seats'!$A:AC,HLOOKUP(E$4,'[1]import success seats'!$1:$2,2,FALSE),FALSE))/((VLOOKUP('[1]SUBJECTS BASE'!$G14,'[1]import GRADED seats subject piv'!$A:S,HLOOKUP(E$4,'[1]import GRADED seats subject piv'!$1:$2,2,FALSE),FALSE))),"")</f>
        <v>0.75</v>
      </c>
      <c r="F18" s="15">
        <f>IFERROR((VLOOKUP('[1]SUBJECTS BASE'!$G14,'[1]import success seats'!$A:AD,HLOOKUP(F$4,'[1]import success seats'!$1:$2,2,FALSE),FALSE))/((VLOOKUP('[1]SUBJECTS BASE'!$G14,'[1]import GRADED seats subject piv'!$A:T,HLOOKUP(F$4,'[1]import GRADED seats subject piv'!$1:$2,2,FALSE),FALSE))),"")</f>
        <v>0.84293193717277481</v>
      </c>
      <c r="G18" s="19">
        <f>IFERROR((VLOOKUP('[1]SUBJECTS BASE'!$G14,'[1]import success seats'!$A:AE,HLOOKUP(G$4,'[1]import success seats'!$1:$2,2,FALSE),FALSE))/((VLOOKUP('[1]SUBJECTS BASE'!$G14,'[1]import GRADED seats subject piv'!$A:U,HLOOKUP(G$4,'[1]import GRADED seats subject piv'!$1:$2,2,FALSE),FALSE))),"")</f>
        <v>0.81512605042016806</v>
      </c>
      <c r="H18" s="23">
        <f>IFERROR((VLOOKUP('[1]SUBJECTS BASE'!$G14,'[1]import success seats'!$A:AF,HLOOKUP(H$4,'[1]import success seats'!$1:$2,2,FALSE),FALSE))/((VLOOKUP('[1]SUBJECTS BASE'!$G14,'[1]import GRADED seats subject piv'!$A:V,HLOOKUP(H$4,'[1]import GRADED seats subject piv'!$1:$2,2,FALSE),FALSE))),"")</f>
        <v>1</v>
      </c>
      <c r="I18" s="15">
        <f>IFERROR((VLOOKUP('[1]SUBJECTS BASE'!$G14,'[1]import success seats'!$A:AG,HLOOKUP(I$4,'[1]import success seats'!$1:$2,2,FALSE),FALSE))/((VLOOKUP('[1]SUBJECTS BASE'!$G14,'[1]import GRADED seats subject piv'!$A:W,HLOOKUP(I$4,'[1]import GRADED seats subject piv'!$1:$2,2,FALSE),FALSE))),"")</f>
        <v>0.78095238095238095</v>
      </c>
      <c r="J18" s="21">
        <f>IFERROR((VLOOKUP('[1]SUBJECTS BASE'!$G14,'[1]import success seats'!$A:AH,HLOOKUP(J$4,'[1]import success seats'!$1:$2,2,FALSE),FALSE))/((VLOOKUP('[1]SUBJECTS BASE'!$G14,'[1]import GRADED seats subject piv'!$A:X,HLOOKUP(J$4,'[1]import GRADED seats subject piv'!$1:$2,2,FALSE),FALSE))),"")</f>
        <v>0.8271604938271605</v>
      </c>
      <c r="K18" s="13" t="str">
        <f>IFERROR((VLOOKUP('[1]SUBJECTS BASE'!$G14,'[1]import success seats'!$A:AI,HLOOKUP(K$4,'[1]import success seats'!$1:$2,2,FALSE),FALSE))/((VLOOKUP('[1]SUBJECTS BASE'!$G14,'[1]import GRADED seats subject piv'!$A:Y,HLOOKUP(K$4,'[1]import GRADED seats subject piv'!$1:$2,2,FALSE),FALSE))),"")</f>
        <v/>
      </c>
      <c r="L18" s="15">
        <f>IFERROR((VLOOKUP('[1]SUBJECTS BASE'!$G14,'[1]import success seats'!$A:AJ,HLOOKUP(L$4,'[1]import success seats'!$1:$2,2,FALSE),FALSE))/((VLOOKUP('[1]SUBJECTS BASE'!$G14,'[1]import GRADED seats subject piv'!$A:Z,HLOOKUP(L$4,'[1]import GRADED seats subject piv'!$1:$2,2,FALSE),FALSE))),"")</f>
        <v>0.81779661016949157</v>
      </c>
      <c r="M18" s="19">
        <f>IFERROR((VLOOKUP('[1]SUBJECTS BASE'!$G14,'[1]import success seats'!$A:AK,HLOOKUP(M$4,'[1]import success seats'!$1:$2,2,FALSE),FALSE))/((VLOOKUP('[1]SUBJECTS BASE'!$G14,'[1]import GRADED seats subject piv'!$A:AB,HLOOKUP(M$4,'[1]import GRADED seats subject piv'!$1:$2,2,FALSE),FALSE))),"")</f>
        <v>0.80769230769230771</v>
      </c>
      <c r="N18" s="23" t="str">
        <f>IFERROR((VLOOKUP('[1]SUBJECTS BASE'!$G14,'[1]import success seats'!$A:AL,HLOOKUP(N$4,'[1]import success seats'!$1:$2,2,FALSE),FALSE))/((VLOOKUP('[1]SUBJECTS BASE'!$G14,'[1]import GRADED seats subject piv'!$A:AC,HLOOKUP(N$4,'[1]import GRADED seats subject piv'!$1:$2,2,FALSE),FALSE))),"")</f>
        <v/>
      </c>
      <c r="O18" s="15">
        <f>IFERROR((VLOOKUP('[1]SUBJECTS BASE'!$G14,'[1]import success seats'!$A:AM,HLOOKUP(O$4,'[1]import success seats'!$1:$2,2,FALSE),FALSE))/((VLOOKUP('[1]SUBJECTS BASE'!$G14,'[1]import GRADED seats subject piv'!$A:AD,HLOOKUP(O$4,'[1]import GRADED seats subject piv'!$1:$2,2,FALSE),FALSE))),"")</f>
        <v>0.86309523809523814</v>
      </c>
      <c r="P18" s="15">
        <f>IFERROR((VLOOKUP('[1]SUBJECTS BASE'!$G14,'[1]import success seats'!$A:AN,HLOOKUP(P$4,'[1]import success seats'!$1:$2,2,FALSE),FALSE))/((VLOOKUP('[1]SUBJECTS BASE'!$G14,'[1]import GRADED seats subject piv'!$A:AE,HLOOKUP(P$4,'[1]import GRADED seats subject piv'!$1:$2,2,FALSE),FALSE))),"")</f>
        <v>0.79797979797979801</v>
      </c>
      <c r="Q18" s="13" t="str">
        <f>IFERROR((VLOOKUP('[1]SUBJECTS BASE'!$G14,'[1]import success seats'!$A:AO,HLOOKUP(Q$4,'[1]import success seats'!$1:$2,2,FALSE),FALSE))/((VLOOKUP('[1]SUBJECTS BASE'!$G14,'[1]import GRADED seats subject piv'!$A:AF,HLOOKUP(Q$4,'[1]import GRADED seats subject piv'!$1:$2,2,FALSE),FALSE))),"")</f>
        <v/>
      </c>
      <c r="R18" s="15">
        <f>IFERROR((VLOOKUP('[1]SUBJECTS BASE'!$G14,'[1]import success seats'!$A:AP,HLOOKUP(R$4,'[1]import success seats'!$1:$2,2,FALSE),FALSE))/((VLOOKUP('[1]SUBJECTS BASE'!$G14,'[1]import GRADED seats subject piv'!$A:AG,HLOOKUP(R$4,'[1]import GRADED seats subject piv'!$1:$2,2,FALSE),FALSE))),"")</f>
        <v>0.76666666666666672</v>
      </c>
      <c r="S18" s="19">
        <f>IFERROR((VLOOKUP('[1]SUBJECTS BASE'!$G14,'[1]import success seats'!$A:AQ,HLOOKUP(S$4,'[1]import success seats'!$1:$2,2,FALSE),FALSE))/((VLOOKUP('[1]SUBJECTS BASE'!$G14,'[1]import GRADED seats subject piv'!$A:AH,HLOOKUP(S$4,'[1]import GRADED seats subject piv'!$1:$2,2,FALSE),FALSE))),"")</f>
        <v>0.80714285714285716</v>
      </c>
    </row>
    <row r="19" spans="1:19" x14ac:dyDescent="0.25">
      <c r="A19" s="3" t="s">
        <v>1084</v>
      </c>
      <c r="B19" s="13">
        <f>IFERROR((VLOOKUP('[1]SUBJECTS BASE'!$G15,'[1]import success seats'!$A:Z,HLOOKUP(B$4,'[1]import success seats'!$1:$2,2,FALSE),FALSE))/((VLOOKUP('[1]SUBJECTS BASE'!$G15,'[1]import GRADED seats subject piv'!$A:P,HLOOKUP(B$4,'[1]import GRADED seats subject piv'!$1:$2,2,FALSE),FALSE))),"")</f>
        <v>0.98611111111111116</v>
      </c>
      <c r="C19" s="15">
        <f>IFERROR((VLOOKUP('[1]SUBJECTS BASE'!$G15,'[1]import success seats'!$A:AA,HLOOKUP(C$4,'[1]import success seats'!$1:$2,2,FALSE),FALSE))/((VLOOKUP('[1]SUBJECTS BASE'!$G15,'[1]import GRADED seats subject piv'!$A:Q,HLOOKUP(C$4,'[1]import GRADED seats subject piv'!$1:$2,2,FALSE),FALSE))),"")</f>
        <v>0.86575875486381326</v>
      </c>
      <c r="D19" s="21">
        <f>IFERROR((VLOOKUP('[1]SUBJECTS BASE'!$G15,'[1]import success seats'!$A:AB,HLOOKUP(D$4,'[1]import success seats'!$1:$2,2,FALSE),FALSE))/((VLOOKUP('[1]SUBJECTS BASE'!$G15,'[1]import GRADED seats subject piv'!$A:R,HLOOKUP(D$4,'[1]import GRADED seats subject piv'!$1:$2,2,FALSE),FALSE))),"")</f>
        <v>0.89721627408993576</v>
      </c>
      <c r="E19" s="13">
        <f>IFERROR((VLOOKUP('[1]SUBJECTS BASE'!$G15,'[1]import success seats'!$A:AC,HLOOKUP(E$4,'[1]import success seats'!$1:$2,2,FALSE),FALSE))/((VLOOKUP('[1]SUBJECTS BASE'!$G15,'[1]import GRADED seats subject piv'!$A:S,HLOOKUP(E$4,'[1]import GRADED seats subject piv'!$1:$2,2,FALSE),FALSE))),"")</f>
        <v>1</v>
      </c>
      <c r="F19" s="15">
        <f>IFERROR((VLOOKUP('[1]SUBJECTS BASE'!$G15,'[1]import success seats'!$A:AD,HLOOKUP(F$4,'[1]import success seats'!$1:$2,2,FALSE),FALSE))/((VLOOKUP('[1]SUBJECTS BASE'!$G15,'[1]import GRADED seats subject piv'!$A:T,HLOOKUP(F$4,'[1]import GRADED seats subject piv'!$1:$2,2,FALSE),FALSE))),"")</f>
        <v>0.85786802030456855</v>
      </c>
      <c r="G19" s="19">
        <f>IFERROR((VLOOKUP('[1]SUBJECTS BASE'!$G15,'[1]import success seats'!$A:AE,HLOOKUP(G$4,'[1]import success seats'!$1:$2,2,FALSE),FALSE))/((VLOOKUP('[1]SUBJECTS BASE'!$G15,'[1]import GRADED seats subject piv'!$A:U,HLOOKUP(G$4,'[1]import GRADED seats subject piv'!$1:$2,2,FALSE),FALSE))),"")</f>
        <v>0.86761710794297353</v>
      </c>
      <c r="H19" s="23">
        <f>IFERROR((VLOOKUP('[1]SUBJECTS BASE'!$G15,'[1]import success seats'!$A:AF,HLOOKUP(H$4,'[1]import success seats'!$1:$2,2,FALSE),FALSE))/((VLOOKUP('[1]SUBJECTS BASE'!$G15,'[1]import GRADED seats subject piv'!$A:V,HLOOKUP(H$4,'[1]import GRADED seats subject piv'!$1:$2,2,FALSE),FALSE))),"")</f>
        <v>0.92105263157894735</v>
      </c>
      <c r="I19" s="15">
        <f>IFERROR((VLOOKUP('[1]SUBJECTS BASE'!$G15,'[1]import success seats'!$A:AG,HLOOKUP(I$4,'[1]import success seats'!$1:$2,2,FALSE),FALSE))/((VLOOKUP('[1]SUBJECTS BASE'!$G15,'[1]import GRADED seats subject piv'!$A:W,HLOOKUP(I$4,'[1]import GRADED seats subject piv'!$1:$2,2,FALSE),FALSE))),"")</f>
        <v>0.88888888888888884</v>
      </c>
      <c r="J19" s="21">
        <f>IFERROR((VLOOKUP('[1]SUBJECTS BASE'!$G15,'[1]import success seats'!$A:AH,HLOOKUP(J$4,'[1]import success seats'!$1:$2,2,FALSE),FALSE))/((VLOOKUP('[1]SUBJECTS BASE'!$G15,'[1]import GRADED seats subject piv'!$A:X,HLOOKUP(J$4,'[1]import GRADED seats subject piv'!$1:$2,2,FALSE),FALSE))),"")</f>
        <v>0.88223552894211577</v>
      </c>
      <c r="K19" s="13" t="str">
        <f>IFERROR((VLOOKUP('[1]SUBJECTS BASE'!$G15,'[1]import success seats'!$A:AI,HLOOKUP(K$4,'[1]import success seats'!$1:$2,2,FALSE),FALSE))/((VLOOKUP('[1]SUBJECTS BASE'!$G15,'[1]import GRADED seats subject piv'!$A:Y,HLOOKUP(K$4,'[1]import GRADED seats subject piv'!$1:$2,2,FALSE),FALSE))),"")</f>
        <v/>
      </c>
      <c r="L19" s="15">
        <f>IFERROR((VLOOKUP('[1]SUBJECTS BASE'!$G15,'[1]import success seats'!$A:AJ,HLOOKUP(L$4,'[1]import success seats'!$1:$2,2,FALSE),FALSE))/((VLOOKUP('[1]SUBJECTS BASE'!$G15,'[1]import GRADED seats subject piv'!$A:Z,HLOOKUP(L$4,'[1]import GRADED seats subject piv'!$1:$2,2,FALSE),FALSE))),"")</f>
        <v>0.88511749347258484</v>
      </c>
      <c r="M19" s="19">
        <f>IFERROR((VLOOKUP('[1]SUBJECTS BASE'!$G15,'[1]import success seats'!$A:AK,HLOOKUP(M$4,'[1]import success seats'!$1:$2,2,FALSE),FALSE))/((VLOOKUP('[1]SUBJECTS BASE'!$G15,'[1]import GRADED seats subject piv'!$A:AB,HLOOKUP(M$4,'[1]import GRADED seats subject piv'!$1:$2,2,FALSE),FALSE))),"")</f>
        <v>0.82566585956416461</v>
      </c>
      <c r="N19" s="23" t="str">
        <f>IFERROR((VLOOKUP('[1]SUBJECTS BASE'!$G15,'[1]import success seats'!$A:AL,HLOOKUP(N$4,'[1]import success seats'!$1:$2,2,FALSE),FALSE))/((VLOOKUP('[1]SUBJECTS BASE'!$G15,'[1]import GRADED seats subject piv'!$A:AC,HLOOKUP(N$4,'[1]import GRADED seats subject piv'!$1:$2,2,FALSE),FALSE))),"")</f>
        <v/>
      </c>
      <c r="O19" s="15">
        <f>IFERROR((VLOOKUP('[1]SUBJECTS BASE'!$G15,'[1]import success seats'!$A:AM,HLOOKUP(O$4,'[1]import success seats'!$1:$2,2,FALSE),FALSE))/((VLOOKUP('[1]SUBJECTS BASE'!$G15,'[1]import GRADED seats subject piv'!$A:AD,HLOOKUP(O$4,'[1]import GRADED seats subject piv'!$1:$2,2,FALSE),FALSE))),"")</f>
        <v>0.87168141592920356</v>
      </c>
      <c r="P19" s="15">
        <f>IFERROR((VLOOKUP('[1]SUBJECTS BASE'!$G15,'[1]import success seats'!$A:AN,HLOOKUP(P$4,'[1]import success seats'!$1:$2,2,FALSE),FALSE))/((VLOOKUP('[1]SUBJECTS BASE'!$G15,'[1]import GRADED seats subject piv'!$A:AE,HLOOKUP(P$4,'[1]import GRADED seats subject piv'!$1:$2,2,FALSE),FALSE))),"")</f>
        <v>0.87828162291169454</v>
      </c>
      <c r="Q19" s="13">
        <f>IFERROR((VLOOKUP('[1]SUBJECTS BASE'!$G15,'[1]import success seats'!$A:AO,HLOOKUP(Q$4,'[1]import success seats'!$1:$2,2,FALSE),FALSE))/((VLOOKUP('[1]SUBJECTS BASE'!$G15,'[1]import GRADED seats subject piv'!$A:AF,HLOOKUP(Q$4,'[1]import GRADED seats subject piv'!$1:$2,2,FALSE),FALSE))),"")</f>
        <v>0.96551724137931039</v>
      </c>
      <c r="R19" s="15">
        <f>IFERROR((VLOOKUP('[1]SUBJECTS BASE'!$G15,'[1]import success seats'!$A:AP,HLOOKUP(R$4,'[1]import success seats'!$1:$2,2,FALSE),FALSE))/((VLOOKUP('[1]SUBJECTS BASE'!$G15,'[1]import GRADED seats subject piv'!$A:AG,HLOOKUP(R$4,'[1]import GRADED seats subject piv'!$1:$2,2,FALSE),FALSE))),"")</f>
        <v>0.86414253897550108</v>
      </c>
      <c r="S19" s="19">
        <f>IFERROR((VLOOKUP('[1]SUBJECTS BASE'!$G15,'[1]import success seats'!$A:AQ,HLOOKUP(S$4,'[1]import success seats'!$1:$2,2,FALSE),FALSE))/((VLOOKUP('[1]SUBJECTS BASE'!$G15,'[1]import GRADED seats subject piv'!$A:AH,HLOOKUP(S$4,'[1]import GRADED seats subject piv'!$1:$2,2,FALSE),FALSE))),"")</f>
        <v>0.86274509803921573</v>
      </c>
    </row>
    <row r="20" spans="1:19" x14ac:dyDescent="0.25">
      <c r="A20" s="3" t="s">
        <v>1085</v>
      </c>
      <c r="B20" s="13">
        <f>IFERROR((VLOOKUP('[1]SUBJECTS BASE'!$G16,'[1]import success seats'!$A:Z,HLOOKUP(B$4,'[1]import success seats'!$1:$2,2,FALSE),FALSE))/((VLOOKUP('[1]SUBJECTS BASE'!$G16,'[1]import GRADED seats subject piv'!$A:P,HLOOKUP(B$4,'[1]import GRADED seats subject piv'!$1:$2,2,FALSE),FALSE))),"")</f>
        <v>0.92500000000000004</v>
      </c>
      <c r="C20" s="15">
        <f>IFERROR((VLOOKUP('[1]SUBJECTS BASE'!$G16,'[1]import success seats'!$A:AA,HLOOKUP(C$4,'[1]import success seats'!$1:$2,2,FALSE),FALSE))/((VLOOKUP('[1]SUBJECTS BASE'!$G16,'[1]import GRADED seats subject piv'!$A:Q,HLOOKUP(C$4,'[1]import GRADED seats subject piv'!$1:$2,2,FALSE),FALSE))),"")</f>
        <v>0.80681818181818177</v>
      </c>
      <c r="D20" s="21">
        <f>IFERROR((VLOOKUP('[1]SUBJECTS BASE'!$G16,'[1]import success seats'!$A:AB,HLOOKUP(D$4,'[1]import success seats'!$1:$2,2,FALSE),FALSE))/((VLOOKUP('[1]SUBJECTS BASE'!$G16,'[1]import GRADED seats subject piv'!$A:R,HLOOKUP(D$4,'[1]import GRADED seats subject piv'!$1:$2,2,FALSE),FALSE))),"")</f>
        <v>0.8127490039840638</v>
      </c>
      <c r="E20" s="13">
        <f>IFERROR((VLOOKUP('[1]SUBJECTS BASE'!$G16,'[1]import success seats'!$A:AC,HLOOKUP(E$4,'[1]import success seats'!$1:$2,2,FALSE),FALSE))/((VLOOKUP('[1]SUBJECTS BASE'!$G16,'[1]import GRADED seats subject piv'!$A:S,HLOOKUP(E$4,'[1]import GRADED seats subject piv'!$1:$2,2,FALSE),FALSE))),"")</f>
        <v>0.85416666666666663</v>
      </c>
      <c r="F20" s="15">
        <f>IFERROR((VLOOKUP('[1]SUBJECTS BASE'!$G16,'[1]import success seats'!$A:AD,HLOOKUP(F$4,'[1]import success seats'!$1:$2,2,FALSE),FALSE))/((VLOOKUP('[1]SUBJECTS BASE'!$G16,'[1]import GRADED seats subject piv'!$A:T,HLOOKUP(F$4,'[1]import GRADED seats subject piv'!$1:$2,2,FALSE),FALSE))),"")</f>
        <v>0.82677165354330706</v>
      </c>
      <c r="G20" s="19">
        <f>IFERROR((VLOOKUP('[1]SUBJECTS BASE'!$G16,'[1]import success seats'!$A:AE,HLOOKUP(G$4,'[1]import success seats'!$1:$2,2,FALSE),FALSE))/((VLOOKUP('[1]SUBJECTS BASE'!$G16,'[1]import GRADED seats subject piv'!$A:U,HLOOKUP(G$4,'[1]import GRADED seats subject piv'!$1:$2,2,FALSE),FALSE))),"")</f>
        <v>0.86891385767790263</v>
      </c>
      <c r="H20" s="23">
        <f>IFERROR((VLOOKUP('[1]SUBJECTS BASE'!$G16,'[1]import success seats'!$A:AF,HLOOKUP(H$4,'[1]import success seats'!$1:$2,2,FALSE),FALSE))/((VLOOKUP('[1]SUBJECTS BASE'!$G16,'[1]import GRADED seats subject piv'!$A:V,HLOOKUP(H$4,'[1]import GRADED seats subject piv'!$1:$2,2,FALSE),FALSE))),"")</f>
        <v>0.91666666666666663</v>
      </c>
      <c r="I20" s="15">
        <f>IFERROR((VLOOKUP('[1]SUBJECTS BASE'!$G16,'[1]import success seats'!$A:AG,HLOOKUP(I$4,'[1]import success seats'!$1:$2,2,FALSE),FALSE))/((VLOOKUP('[1]SUBJECTS BASE'!$G16,'[1]import GRADED seats subject piv'!$A:W,HLOOKUP(I$4,'[1]import GRADED seats subject piv'!$1:$2,2,FALSE),FALSE))),"")</f>
        <v>0.78928571428571426</v>
      </c>
      <c r="J20" s="21">
        <f>IFERROR((VLOOKUP('[1]SUBJECTS BASE'!$G16,'[1]import success seats'!$A:AH,HLOOKUP(J$4,'[1]import success seats'!$1:$2,2,FALSE),FALSE))/((VLOOKUP('[1]SUBJECTS BASE'!$G16,'[1]import GRADED seats subject piv'!$A:X,HLOOKUP(J$4,'[1]import GRADED seats subject piv'!$1:$2,2,FALSE),FALSE))),"")</f>
        <v>0.8571428571428571</v>
      </c>
      <c r="K20" s="13">
        <f>IFERROR((VLOOKUP('[1]SUBJECTS BASE'!$G16,'[1]import success seats'!$A:AI,HLOOKUP(K$4,'[1]import success seats'!$1:$2,2,FALSE),FALSE))/((VLOOKUP('[1]SUBJECTS BASE'!$G16,'[1]import GRADED seats subject piv'!$A:Y,HLOOKUP(K$4,'[1]import GRADED seats subject piv'!$1:$2,2,FALSE),FALSE))),"")</f>
        <v>0.9152542372881356</v>
      </c>
      <c r="L20" s="15">
        <f>IFERROR((VLOOKUP('[1]SUBJECTS BASE'!$G16,'[1]import success seats'!$A:AJ,HLOOKUP(L$4,'[1]import success seats'!$1:$2,2,FALSE),FALSE))/((VLOOKUP('[1]SUBJECTS BASE'!$G16,'[1]import GRADED seats subject piv'!$A:Z,HLOOKUP(L$4,'[1]import GRADED seats subject piv'!$1:$2,2,FALSE),FALSE))),"")</f>
        <v>0.7806691449814126</v>
      </c>
      <c r="M20" s="19">
        <f>IFERROR((VLOOKUP('[1]SUBJECTS BASE'!$G16,'[1]import success seats'!$A:AK,HLOOKUP(M$4,'[1]import success seats'!$1:$2,2,FALSE),FALSE))/((VLOOKUP('[1]SUBJECTS BASE'!$G16,'[1]import GRADED seats subject piv'!$A:AB,HLOOKUP(M$4,'[1]import GRADED seats subject piv'!$1:$2,2,FALSE),FALSE))),"")</f>
        <v>0.80656934306569339</v>
      </c>
      <c r="N20" s="23" t="str">
        <f>IFERROR((VLOOKUP('[1]SUBJECTS BASE'!$G16,'[1]import success seats'!$A:AL,HLOOKUP(N$4,'[1]import success seats'!$1:$2,2,FALSE),FALSE))/((VLOOKUP('[1]SUBJECTS BASE'!$G16,'[1]import GRADED seats subject piv'!$A:AC,HLOOKUP(N$4,'[1]import GRADED seats subject piv'!$1:$2,2,FALSE),FALSE))),"")</f>
        <v/>
      </c>
      <c r="O20" s="15">
        <f>IFERROR((VLOOKUP('[1]SUBJECTS BASE'!$G16,'[1]import success seats'!$A:AM,HLOOKUP(O$4,'[1]import success seats'!$1:$2,2,FALSE),FALSE))/((VLOOKUP('[1]SUBJECTS BASE'!$G16,'[1]import GRADED seats subject piv'!$A:AD,HLOOKUP(O$4,'[1]import GRADED seats subject piv'!$1:$2,2,FALSE),FALSE))),"")</f>
        <v>0.88405797101449279</v>
      </c>
      <c r="P20" s="15">
        <f>IFERROR((VLOOKUP('[1]SUBJECTS BASE'!$G16,'[1]import success seats'!$A:AN,HLOOKUP(P$4,'[1]import success seats'!$1:$2,2,FALSE),FALSE))/((VLOOKUP('[1]SUBJECTS BASE'!$G16,'[1]import GRADED seats subject piv'!$A:AE,HLOOKUP(P$4,'[1]import GRADED seats subject piv'!$1:$2,2,FALSE),FALSE))),"")</f>
        <v>0.85971223021582732</v>
      </c>
      <c r="Q20" s="13">
        <f>IFERROR((VLOOKUP('[1]SUBJECTS BASE'!$G16,'[1]import success seats'!$A:AO,HLOOKUP(Q$4,'[1]import success seats'!$1:$2,2,FALSE),FALSE))/((VLOOKUP('[1]SUBJECTS BASE'!$G16,'[1]import GRADED seats subject piv'!$A:AF,HLOOKUP(Q$4,'[1]import GRADED seats subject piv'!$1:$2,2,FALSE),FALSE))),"")</f>
        <v>0.80769230769230771</v>
      </c>
      <c r="R20" s="15">
        <f>IFERROR((VLOOKUP('[1]SUBJECTS BASE'!$G16,'[1]import success seats'!$A:AP,HLOOKUP(R$4,'[1]import success seats'!$1:$2,2,FALSE),FALSE))/((VLOOKUP('[1]SUBJECTS BASE'!$G16,'[1]import GRADED seats subject piv'!$A:AG,HLOOKUP(R$4,'[1]import GRADED seats subject piv'!$1:$2,2,FALSE),FALSE))),"")</f>
        <v>0.80608365019011408</v>
      </c>
      <c r="S20" s="19">
        <f>IFERROR((VLOOKUP('[1]SUBJECTS BASE'!$G16,'[1]import success seats'!$A:AQ,HLOOKUP(S$4,'[1]import success seats'!$1:$2,2,FALSE),FALSE))/((VLOOKUP('[1]SUBJECTS BASE'!$G16,'[1]import GRADED seats subject piv'!$A:AH,HLOOKUP(S$4,'[1]import GRADED seats subject piv'!$1:$2,2,FALSE),FALSE))),"")</f>
        <v>0.73664122137404575</v>
      </c>
    </row>
    <row r="21" spans="1:19" x14ac:dyDescent="0.25">
      <c r="A21" s="3" t="s">
        <v>1086</v>
      </c>
      <c r="B21" s="13">
        <f>IFERROR((VLOOKUP('[1]SUBJECTS BASE'!$G17,'[1]import success seats'!$A:Z,HLOOKUP(B$4,'[1]import success seats'!$1:$2,2,FALSE),FALSE))/((VLOOKUP('[1]SUBJECTS BASE'!$G17,'[1]import GRADED seats subject piv'!$A:P,HLOOKUP(B$4,'[1]import GRADED seats subject piv'!$1:$2,2,FALSE),FALSE))),"")</f>
        <v>0.97080291970802923</v>
      </c>
      <c r="C21" s="15">
        <f>IFERROR((VLOOKUP('[1]SUBJECTS BASE'!$G17,'[1]import success seats'!$A:AA,HLOOKUP(C$4,'[1]import success seats'!$1:$2,2,FALSE),FALSE))/((VLOOKUP('[1]SUBJECTS BASE'!$G17,'[1]import GRADED seats subject piv'!$A:Q,HLOOKUP(C$4,'[1]import GRADED seats subject piv'!$1:$2,2,FALSE),FALSE))),"")</f>
        <v>0.87852760736196323</v>
      </c>
      <c r="D21" s="21">
        <f>IFERROR((VLOOKUP('[1]SUBJECTS BASE'!$G17,'[1]import success seats'!$A:AB,HLOOKUP(D$4,'[1]import success seats'!$1:$2,2,FALSE),FALSE))/((VLOOKUP('[1]SUBJECTS BASE'!$G17,'[1]import GRADED seats subject piv'!$A:R,HLOOKUP(D$4,'[1]import GRADED seats subject piv'!$1:$2,2,FALSE),FALSE))),"")</f>
        <v>0.8832298136645963</v>
      </c>
      <c r="E21" s="13">
        <f>IFERROR((VLOOKUP('[1]SUBJECTS BASE'!$G17,'[1]import success seats'!$A:AC,HLOOKUP(E$4,'[1]import success seats'!$1:$2,2,FALSE),FALSE))/((VLOOKUP('[1]SUBJECTS BASE'!$G17,'[1]import GRADED seats subject piv'!$A:S,HLOOKUP(E$4,'[1]import GRADED seats subject piv'!$1:$2,2,FALSE),FALSE))),"")</f>
        <v>0.9285714285714286</v>
      </c>
      <c r="F21" s="15">
        <f>IFERROR((VLOOKUP('[1]SUBJECTS BASE'!$G17,'[1]import success seats'!$A:AD,HLOOKUP(F$4,'[1]import success seats'!$1:$2,2,FALSE),FALSE))/((VLOOKUP('[1]SUBJECTS BASE'!$G17,'[1]import GRADED seats subject piv'!$A:T,HLOOKUP(F$4,'[1]import GRADED seats subject piv'!$1:$2,2,FALSE),FALSE))),"")</f>
        <v>0.88926940639269403</v>
      </c>
      <c r="G21" s="19">
        <f>IFERROR((VLOOKUP('[1]SUBJECTS BASE'!$G17,'[1]import success seats'!$A:AE,HLOOKUP(G$4,'[1]import success seats'!$1:$2,2,FALSE),FALSE))/((VLOOKUP('[1]SUBJECTS BASE'!$G17,'[1]import GRADED seats subject piv'!$A:U,HLOOKUP(G$4,'[1]import GRADED seats subject piv'!$1:$2,2,FALSE),FALSE))),"")</f>
        <v>0.88815789473684215</v>
      </c>
      <c r="H21" s="23">
        <f>IFERROR((VLOOKUP('[1]SUBJECTS BASE'!$G17,'[1]import success seats'!$A:AF,HLOOKUP(H$4,'[1]import success seats'!$1:$2,2,FALSE),FALSE))/((VLOOKUP('[1]SUBJECTS BASE'!$G17,'[1]import GRADED seats subject piv'!$A:V,HLOOKUP(H$4,'[1]import GRADED seats subject piv'!$1:$2,2,FALSE),FALSE))),"")</f>
        <v>0.9285714285714286</v>
      </c>
      <c r="I21" s="15">
        <f>IFERROR((VLOOKUP('[1]SUBJECTS BASE'!$G17,'[1]import success seats'!$A:AG,HLOOKUP(I$4,'[1]import success seats'!$1:$2,2,FALSE),FALSE))/((VLOOKUP('[1]SUBJECTS BASE'!$G17,'[1]import GRADED seats subject piv'!$A:W,HLOOKUP(I$4,'[1]import GRADED seats subject piv'!$1:$2,2,FALSE),FALSE))),"")</f>
        <v>0.9016227180527383</v>
      </c>
      <c r="J21" s="21">
        <f>IFERROR((VLOOKUP('[1]SUBJECTS BASE'!$G17,'[1]import success seats'!$A:AH,HLOOKUP(J$4,'[1]import success seats'!$1:$2,2,FALSE),FALSE))/((VLOOKUP('[1]SUBJECTS BASE'!$G17,'[1]import GRADED seats subject piv'!$A:X,HLOOKUP(J$4,'[1]import GRADED seats subject piv'!$1:$2,2,FALSE),FALSE))),"")</f>
        <v>0.89637826961770628</v>
      </c>
      <c r="K21" s="13" t="str">
        <f>IFERROR((VLOOKUP('[1]SUBJECTS BASE'!$G17,'[1]import success seats'!$A:AI,HLOOKUP(K$4,'[1]import success seats'!$1:$2,2,FALSE),FALSE))/((VLOOKUP('[1]SUBJECTS BASE'!$G17,'[1]import GRADED seats subject piv'!$A:Y,HLOOKUP(K$4,'[1]import GRADED seats subject piv'!$1:$2,2,FALSE),FALSE))),"")</f>
        <v/>
      </c>
      <c r="L21" s="15">
        <f>IFERROR((VLOOKUP('[1]SUBJECTS BASE'!$G17,'[1]import success seats'!$A:AJ,HLOOKUP(L$4,'[1]import success seats'!$1:$2,2,FALSE),FALSE))/((VLOOKUP('[1]SUBJECTS BASE'!$G17,'[1]import GRADED seats subject piv'!$A:Z,HLOOKUP(L$4,'[1]import GRADED seats subject piv'!$1:$2,2,FALSE),FALSE))),"")</f>
        <v>0.89958158995815896</v>
      </c>
      <c r="M21" s="19">
        <f>IFERROR((VLOOKUP('[1]SUBJECTS BASE'!$G17,'[1]import success seats'!$A:AK,HLOOKUP(M$4,'[1]import success seats'!$1:$2,2,FALSE),FALSE))/((VLOOKUP('[1]SUBJECTS BASE'!$G17,'[1]import GRADED seats subject piv'!$A:AB,HLOOKUP(M$4,'[1]import GRADED seats subject piv'!$1:$2,2,FALSE),FALSE))),"")</f>
        <v>0.8907922912205567</v>
      </c>
      <c r="N21" s="23" t="str">
        <f>IFERROR((VLOOKUP('[1]SUBJECTS BASE'!$G17,'[1]import success seats'!$A:AL,HLOOKUP(N$4,'[1]import success seats'!$1:$2,2,FALSE),FALSE))/((VLOOKUP('[1]SUBJECTS BASE'!$G17,'[1]import GRADED seats subject piv'!$A:AC,HLOOKUP(N$4,'[1]import GRADED seats subject piv'!$1:$2,2,FALSE),FALSE))),"")</f>
        <v/>
      </c>
      <c r="O21" s="15">
        <f>IFERROR((VLOOKUP('[1]SUBJECTS BASE'!$G17,'[1]import success seats'!$A:AM,HLOOKUP(O$4,'[1]import success seats'!$1:$2,2,FALSE),FALSE))/((VLOOKUP('[1]SUBJECTS BASE'!$G17,'[1]import GRADED seats subject piv'!$A:AD,HLOOKUP(O$4,'[1]import GRADED seats subject piv'!$1:$2,2,FALSE),FALSE))),"")</f>
        <v>0.89246119733924612</v>
      </c>
      <c r="P21" s="15">
        <f>IFERROR((VLOOKUP('[1]SUBJECTS BASE'!$G17,'[1]import success seats'!$A:AN,HLOOKUP(P$4,'[1]import success seats'!$1:$2,2,FALSE),FALSE))/((VLOOKUP('[1]SUBJECTS BASE'!$G17,'[1]import GRADED seats subject piv'!$A:AE,HLOOKUP(P$4,'[1]import GRADED seats subject piv'!$1:$2,2,FALSE),FALSE))),"")</f>
        <v>0.87238493723849375</v>
      </c>
      <c r="Q21" s="13">
        <f>IFERROR((VLOOKUP('[1]SUBJECTS BASE'!$G17,'[1]import success seats'!$A:AO,HLOOKUP(Q$4,'[1]import success seats'!$1:$2,2,FALSE),FALSE))/((VLOOKUP('[1]SUBJECTS BASE'!$G17,'[1]import GRADED seats subject piv'!$A:AF,HLOOKUP(Q$4,'[1]import GRADED seats subject piv'!$1:$2,2,FALSE),FALSE))),"")</f>
        <v>0.967741935483871</v>
      </c>
      <c r="R21" s="15">
        <f>IFERROR((VLOOKUP('[1]SUBJECTS BASE'!$G17,'[1]import success seats'!$A:AP,HLOOKUP(R$4,'[1]import success seats'!$1:$2,2,FALSE),FALSE))/((VLOOKUP('[1]SUBJECTS BASE'!$G17,'[1]import GRADED seats subject piv'!$A:AG,HLOOKUP(R$4,'[1]import GRADED seats subject piv'!$1:$2,2,FALSE),FALSE))),"")</f>
        <v>0.92615012106537531</v>
      </c>
      <c r="S21" s="19">
        <f>IFERROR((VLOOKUP('[1]SUBJECTS BASE'!$G17,'[1]import success seats'!$A:AQ,HLOOKUP(S$4,'[1]import success seats'!$1:$2,2,FALSE),FALSE))/((VLOOKUP('[1]SUBJECTS BASE'!$G17,'[1]import GRADED seats subject piv'!$A:AH,HLOOKUP(S$4,'[1]import GRADED seats subject piv'!$1:$2,2,FALSE),FALSE))),"")</f>
        <v>0.89683470105509966</v>
      </c>
    </row>
    <row r="22" spans="1:19" x14ac:dyDescent="0.25">
      <c r="A22" s="3" t="s">
        <v>1087</v>
      </c>
      <c r="B22" s="13" t="str">
        <f>IFERROR((VLOOKUP('[1]SUBJECTS BASE'!$G18,'[1]import success seats'!$A:Z,HLOOKUP(B$4,'[1]import success seats'!$1:$2,2,FALSE),FALSE))/((VLOOKUP('[1]SUBJECTS BASE'!$G18,'[1]import GRADED seats subject piv'!$A:P,HLOOKUP(B$4,'[1]import GRADED seats subject piv'!$1:$2,2,FALSE),FALSE))),"")</f>
        <v/>
      </c>
      <c r="C22" s="15">
        <f>IFERROR((VLOOKUP('[1]SUBJECTS BASE'!$G18,'[1]import success seats'!$A:AA,HLOOKUP(C$4,'[1]import success seats'!$1:$2,2,FALSE),FALSE))/((VLOOKUP('[1]SUBJECTS BASE'!$G18,'[1]import GRADED seats subject piv'!$A:Q,HLOOKUP(C$4,'[1]import GRADED seats subject piv'!$1:$2,2,FALSE),FALSE))),"")</f>
        <v>0.92307692307692313</v>
      </c>
      <c r="D22" s="21">
        <f>IFERROR((VLOOKUP('[1]SUBJECTS BASE'!$G18,'[1]import success seats'!$A:AB,HLOOKUP(D$4,'[1]import success seats'!$1:$2,2,FALSE),FALSE))/((VLOOKUP('[1]SUBJECTS BASE'!$G18,'[1]import GRADED seats subject piv'!$A:R,HLOOKUP(D$4,'[1]import GRADED seats subject piv'!$1:$2,2,FALSE),FALSE))),"")</f>
        <v>0.9</v>
      </c>
      <c r="E22" s="13" t="str">
        <f>IFERROR((VLOOKUP('[1]SUBJECTS BASE'!$G18,'[1]import success seats'!$A:AC,HLOOKUP(E$4,'[1]import success seats'!$1:$2,2,FALSE),FALSE))/((VLOOKUP('[1]SUBJECTS BASE'!$G18,'[1]import GRADED seats subject piv'!$A:S,HLOOKUP(E$4,'[1]import GRADED seats subject piv'!$1:$2,2,FALSE),FALSE))),"")</f>
        <v/>
      </c>
      <c r="F22" s="15">
        <f>IFERROR((VLOOKUP('[1]SUBJECTS BASE'!$G18,'[1]import success seats'!$A:AD,HLOOKUP(F$4,'[1]import success seats'!$1:$2,2,FALSE),FALSE))/((VLOOKUP('[1]SUBJECTS BASE'!$G18,'[1]import GRADED seats subject piv'!$A:T,HLOOKUP(F$4,'[1]import GRADED seats subject piv'!$1:$2,2,FALSE),FALSE))),"")</f>
        <v>0.875</v>
      </c>
      <c r="G22" s="19">
        <f>IFERROR((VLOOKUP('[1]SUBJECTS BASE'!$G18,'[1]import success seats'!$A:AE,HLOOKUP(G$4,'[1]import success seats'!$1:$2,2,FALSE),FALSE))/((VLOOKUP('[1]SUBJECTS BASE'!$G18,'[1]import GRADED seats subject piv'!$A:U,HLOOKUP(G$4,'[1]import GRADED seats subject piv'!$1:$2,2,FALSE),FALSE))),"")</f>
        <v>0.89189189189189189</v>
      </c>
      <c r="H22" s="23" t="str">
        <f>IFERROR((VLOOKUP('[1]SUBJECTS BASE'!$G18,'[1]import success seats'!$A:AF,HLOOKUP(H$4,'[1]import success seats'!$1:$2,2,FALSE),FALSE))/((VLOOKUP('[1]SUBJECTS BASE'!$G18,'[1]import GRADED seats subject piv'!$A:V,HLOOKUP(H$4,'[1]import GRADED seats subject piv'!$1:$2,2,FALSE),FALSE))),"")</f>
        <v/>
      </c>
      <c r="I22" s="15">
        <f>IFERROR((VLOOKUP('[1]SUBJECTS BASE'!$G18,'[1]import success seats'!$A:AG,HLOOKUP(I$4,'[1]import success seats'!$1:$2,2,FALSE),FALSE))/((VLOOKUP('[1]SUBJECTS BASE'!$G18,'[1]import GRADED seats subject piv'!$A:W,HLOOKUP(I$4,'[1]import GRADED seats subject piv'!$1:$2,2,FALSE),FALSE))),"")</f>
        <v>0.89473684210526316</v>
      </c>
      <c r="J22" s="21">
        <f>IFERROR((VLOOKUP('[1]SUBJECTS BASE'!$G18,'[1]import success seats'!$A:AH,HLOOKUP(J$4,'[1]import success seats'!$1:$2,2,FALSE),FALSE))/((VLOOKUP('[1]SUBJECTS BASE'!$G18,'[1]import GRADED seats subject piv'!$A:X,HLOOKUP(J$4,'[1]import GRADED seats subject piv'!$1:$2,2,FALSE),FALSE))),"")</f>
        <v>0.92682926829268297</v>
      </c>
      <c r="K22" s="13" t="str">
        <f>IFERROR((VLOOKUP('[1]SUBJECTS BASE'!$G18,'[1]import success seats'!$A:AI,HLOOKUP(K$4,'[1]import success seats'!$1:$2,2,FALSE),FALSE))/((VLOOKUP('[1]SUBJECTS BASE'!$G18,'[1]import GRADED seats subject piv'!$A:Y,HLOOKUP(K$4,'[1]import GRADED seats subject piv'!$1:$2,2,FALSE),FALSE))),"")</f>
        <v/>
      </c>
      <c r="L22" s="15" t="str">
        <f>IFERROR((VLOOKUP('[1]SUBJECTS BASE'!$G18,'[1]import success seats'!$A:AJ,HLOOKUP(L$4,'[1]import success seats'!$1:$2,2,FALSE),FALSE))/((VLOOKUP('[1]SUBJECTS BASE'!$G18,'[1]import GRADED seats subject piv'!$A:Z,HLOOKUP(L$4,'[1]import GRADED seats subject piv'!$1:$2,2,FALSE),FALSE))),"")</f>
        <v/>
      </c>
      <c r="M22" s="19">
        <f>IFERROR((VLOOKUP('[1]SUBJECTS BASE'!$G18,'[1]import success seats'!$A:AK,HLOOKUP(M$4,'[1]import success seats'!$1:$2,2,FALSE),FALSE))/((VLOOKUP('[1]SUBJECTS BASE'!$G18,'[1]import GRADED seats subject piv'!$A:AB,HLOOKUP(M$4,'[1]import GRADED seats subject piv'!$1:$2,2,FALSE),FALSE))),"")</f>
        <v>0.94444444444444442</v>
      </c>
      <c r="N22" s="23" t="str">
        <f>IFERROR((VLOOKUP('[1]SUBJECTS BASE'!$G18,'[1]import success seats'!$A:AL,HLOOKUP(N$4,'[1]import success seats'!$1:$2,2,FALSE),FALSE))/((VLOOKUP('[1]SUBJECTS BASE'!$G18,'[1]import GRADED seats subject piv'!$A:AC,HLOOKUP(N$4,'[1]import GRADED seats subject piv'!$1:$2,2,FALSE),FALSE))),"")</f>
        <v/>
      </c>
      <c r="O22" s="15">
        <f>IFERROR((VLOOKUP('[1]SUBJECTS BASE'!$G18,'[1]import success seats'!$A:AM,HLOOKUP(O$4,'[1]import success seats'!$1:$2,2,FALSE),FALSE))/((VLOOKUP('[1]SUBJECTS BASE'!$G18,'[1]import GRADED seats subject piv'!$A:AD,HLOOKUP(O$4,'[1]import GRADED seats subject piv'!$1:$2,2,FALSE),FALSE))),"")</f>
        <v>0.91891891891891897</v>
      </c>
      <c r="P22" s="15" t="str">
        <f>IFERROR((VLOOKUP('[1]SUBJECTS BASE'!$G18,'[1]import success seats'!$A:AN,HLOOKUP(P$4,'[1]import success seats'!$1:$2,2,FALSE),FALSE))/((VLOOKUP('[1]SUBJECTS BASE'!$G18,'[1]import GRADED seats subject piv'!$A:AE,HLOOKUP(P$4,'[1]import GRADED seats subject piv'!$1:$2,2,FALSE),FALSE))),"")</f>
        <v/>
      </c>
      <c r="Q22" s="13" t="str">
        <f>IFERROR((VLOOKUP('[1]SUBJECTS BASE'!$G18,'[1]import success seats'!$A:AO,HLOOKUP(Q$4,'[1]import success seats'!$1:$2,2,FALSE),FALSE))/((VLOOKUP('[1]SUBJECTS BASE'!$G18,'[1]import GRADED seats subject piv'!$A:AF,HLOOKUP(Q$4,'[1]import GRADED seats subject piv'!$1:$2,2,FALSE),FALSE))),"")</f>
        <v/>
      </c>
      <c r="R22" s="15">
        <f>IFERROR((VLOOKUP('[1]SUBJECTS BASE'!$G18,'[1]import success seats'!$A:AP,HLOOKUP(R$4,'[1]import success seats'!$1:$2,2,FALSE),FALSE))/((VLOOKUP('[1]SUBJECTS BASE'!$G18,'[1]import GRADED seats subject piv'!$A:AG,HLOOKUP(R$4,'[1]import GRADED seats subject piv'!$1:$2,2,FALSE),FALSE))),"")</f>
        <v>0.94871794871794868</v>
      </c>
      <c r="S22" s="19">
        <f>IFERROR((VLOOKUP('[1]SUBJECTS BASE'!$G18,'[1]import success seats'!$A:AQ,HLOOKUP(S$4,'[1]import success seats'!$1:$2,2,FALSE),FALSE))/((VLOOKUP('[1]SUBJECTS BASE'!$G18,'[1]import GRADED seats subject piv'!$A:AH,HLOOKUP(S$4,'[1]import GRADED seats subject piv'!$1:$2,2,FALSE),FALSE))),"")</f>
        <v>0.88235294117647056</v>
      </c>
    </row>
    <row r="23" spans="1:19" x14ac:dyDescent="0.25">
      <c r="A23" s="3" t="s">
        <v>1088</v>
      </c>
      <c r="B23" s="13">
        <f>IFERROR((VLOOKUP('[1]SUBJECTS BASE'!$G19,'[1]import success seats'!$A:Z,HLOOKUP(B$4,'[1]import success seats'!$1:$2,2,FALSE),FALSE))/((VLOOKUP('[1]SUBJECTS BASE'!$G19,'[1]import GRADED seats subject piv'!$A:P,HLOOKUP(B$4,'[1]import GRADED seats subject piv'!$1:$2,2,FALSE),FALSE))),"")</f>
        <v>0.95945945945945943</v>
      </c>
      <c r="C23" s="15">
        <f>IFERROR((VLOOKUP('[1]SUBJECTS BASE'!$G19,'[1]import success seats'!$A:AA,HLOOKUP(C$4,'[1]import success seats'!$1:$2,2,FALSE),FALSE))/((VLOOKUP('[1]SUBJECTS BASE'!$G19,'[1]import GRADED seats subject piv'!$A:Q,HLOOKUP(C$4,'[1]import GRADED seats subject piv'!$1:$2,2,FALSE),FALSE))),"")</f>
        <v>0.88472622478386165</v>
      </c>
      <c r="D23" s="21">
        <f>IFERROR((VLOOKUP('[1]SUBJECTS BASE'!$G19,'[1]import success seats'!$A:AB,HLOOKUP(D$4,'[1]import success seats'!$1:$2,2,FALSE),FALSE))/((VLOOKUP('[1]SUBJECTS BASE'!$G19,'[1]import GRADED seats subject piv'!$A:R,HLOOKUP(D$4,'[1]import GRADED seats subject piv'!$1:$2,2,FALSE),FALSE))),"")</f>
        <v>0.91489361702127658</v>
      </c>
      <c r="E23" s="13">
        <f>IFERROR((VLOOKUP('[1]SUBJECTS BASE'!$G19,'[1]import success seats'!$A:AC,HLOOKUP(E$4,'[1]import success seats'!$1:$2,2,FALSE),FALSE))/((VLOOKUP('[1]SUBJECTS BASE'!$G19,'[1]import GRADED seats subject piv'!$A:S,HLOOKUP(E$4,'[1]import GRADED seats subject piv'!$1:$2,2,FALSE),FALSE))),"")</f>
        <v>0.97499999999999998</v>
      </c>
      <c r="F23" s="15">
        <f>IFERROR((VLOOKUP('[1]SUBJECTS BASE'!$G19,'[1]import success seats'!$A:AD,HLOOKUP(F$4,'[1]import success seats'!$1:$2,2,FALSE),FALSE))/((VLOOKUP('[1]SUBJECTS BASE'!$G19,'[1]import GRADED seats subject piv'!$A:T,HLOOKUP(F$4,'[1]import GRADED seats subject piv'!$1:$2,2,FALSE),FALSE))),"")</f>
        <v>0.85983263598326365</v>
      </c>
      <c r="G23" s="19">
        <f>IFERROR((VLOOKUP('[1]SUBJECTS BASE'!$G19,'[1]import success seats'!$A:AE,HLOOKUP(G$4,'[1]import success seats'!$1:$2,2,FALSE),FALSE))/((VLOOKUP('[1]SUBJECTS BASE'!$G19,'[1]import GRADED seats subject piv'!$A:U,HLOOKUP(G$4,'[1]import GRADED seats subject piv'!$1:$2,2,FALSE),FALSE))),"")</f>
        <v>0.86750000000000005</v>
      </c>
      <c r="H23" s="23" t="str">
        <f>IFERROR((VLOOKUP('[1]SUBJECTS BASE'!$G19,'[1]import success seats'!$A:AF,HLOOKUP(H$4,'[1]import success seats'!$1:$2,2,FALSE),FALSE))/((VLOOKUP('[1]SUBJECTS BASE'!$G19,'[1]import GRADED seats subject piv'!$A:V,HLOOKUP(H$4,'[1]import GRADED seats subject piv'!$1:$2,2,FALSE),FALSE))),"")</f>
        <v/>
      </c>
      <c r="I23" s="15">
        <f>IFERROR((VLOOKUP('[1]SUBJECTS BASE'!$G19,'[1]import success seats'!$A:AG,HLOOKUP(I$4,'[1]import success seats'!$1:$2,2,FALSE),FALSE))/((VLOOKUP('[1]SUBJECTS BASE'!$G19,'[1]import GRADED seats subject piv'!$A:W,HLOOKUP(I$4,'[1]import GRADED seats subject piv'!$1:$2,2,FALSE),FALSE))),"")</f>
        <v>0.87529976019184652</v>
      </c>
      <c r="J23" s="21">
        <f>IFERROR((VLOOKUP('[1]SUBJECTS BASE'!$G19,'[1]import success seats'!$A:AH,HLOOKUP(J$4,'[1]import success seats'!$1:$2,2,FALSE),FALSE))/((VLOOKUP('[1]SUBJECTS BASE'!$G19,'[1]import GRADED seats subject piv'!$A:X,HLOOKUP(J$4,'[1]import GRADED seats subject piv'!$1:$2,2,FALSE),FALSE))),"")</f>
        <v>0.86304347826086958</v>
      </c>
      <c r="K23" s="13">
        <f>IFERROR((VLOOKUP('[1]SUBJECTS BASE'!$G19,'[1]import success seats'!$A:AI,HLOOKUP(K$4,'[1]import success seats'!$1:$2,2,FALSE),FALSE))/((VLOOKUP('[1]SUBJECTS BASE'!$G19,'[1]import GRADED seats subject piv'!$A:Y,HLOOKUP(K$4,'[1]import GRADED seats subject piv'!$1:$2,2,FALSE),FALSE))),"")</f>
        <v>0.9642857142857143</v>
      </c>
      <c r="L23" s="15">
        <f>IFERROR((VLOOKUP('[1]SUBJECTS BASE'!$G19,'[1]import success seats'!$A:AJ,HLOOKUP(L$4,'[1]import success seats'!$1:$2,2,FALSE),FALSE))/((VLOOKUP('[1]SUBJECTS BASE'!$G19,'[1]import GRADED seats subject piv'!$A:Z,HLOOKUP(L$4,'[1]import GRADED seats subject piv'!$1:$2,2,FALSE),FALSE))),"")</f>
        <v>0.87608069164265134</v>
      </c>
      <c r="M23" s="19">
        <f>IFERROR((VLOOKUP('[1]SUBJECTS BASE'!$G19,'[1]import success seats'!$A:AK,HLOOKUP(M$4,'[1]import success seats'!$1:$2,2,FALSE),FALSE))/((VLOOKUP('[1]SUBJECTS BASE'!$G19,'[1]import GRADED seats subject piv'!$A:AB,HLOOKUP(M$4,'[1]import GRADED seats subject piv'!$1:$2,2,FALSE),FALSE))),"")</f>
        <v>0.84263959390862941</v>
      </c>
      <c r="N23" s="23" t="str">
        <f>IFERROR((VLOOKUP('[1]SUBJECTS BASE'!$G19,'[1]import success seats'!$A:AL,HLOOKUP(N$4,'[1]import success seats'!$1:$2,2,FALSE),FALSE))/((VLOOKUP('[1]SUBJECTS BASE'!$G19,'[1]import GRADED seats subject piv'!$A:AC,HLOOKUP(N$4,'[1]import GRADED seats subject piv'!$1:$2,2,FALSE),FALSE))),"")</f>
        <v/>
      </c>
      <c r="O23" s="15">
        <f>IFERROR((VLOOKUP('[1]SUBJECTS BASE'!$G19,'[1]import success seats'!$A:AM,HLOOKUP(O$4,'[1]import success seats'!$1:$2,2,FALSE),FALSE))/((VLOOKUP('[1]SUBJECTS BASE'!$G19,'[1]import GRADED seats subject piv'!$A:AD,HLOOKUP(O$4,'[1]import GRADED seats subject piv'!$1:$2,2,FALSE),FALSE))),"")</f>
        <v>0.88690476190476186</v>
      </c>
      <c r="P23" s="15">
        <f>IFERROR((VLOOKUP('[1]SUBJECTS BASE'!$G19,'[1]import success seats'!$A:AN,HLOOKUP(P$4,'[1]import success seats'!$1:$2,2,FALSE),FALSE))/((VLOOKUP('[1]SUBJECTS BASE'!$G19,'[1]import GRADED seats subject piv'!$A:AE,HLOOKUP(P$4,'[1]import GRADED seats subject piv'!$1:$2,2,FALSE),FALSE))),"")</f>
        <v>0.83586626139817632</v>
      </c>
      <c r="Q23" s="13" t="str">
        <f>IFERROR((VLOOKUP('[1]SUBJECTS BASE'!$G19,'[1]import success seats'!$A:AO,HLOOKUP(Q$4,'[1]import success seats'!$1:$2,2,FALSE),FALSE))/((VLOOKUP('[1]SUBJECTS BASE'!$G19,'[1]import GRADED seats subject piv'!$A:AF,HLOOKUP(Q$4,'[1]import GRADED seats subject piv'!$1:$2,2,FALSE),FALSE))),"")</f>
        <v/>
      </c>
      <c r="R23" s="15">
        <f>IFERROR((VLOOKUP('[1]SUBJECTS BASE'!$G19,'[1]import success seats'!$A:AP,HLOOKUP(R$4,'[1]import success seats'!$1:$2,2,FALSE),FALSE))/((VLOOKUP('[1]SUBJECTS BASE'!$G19,'[1]import GRADED seats subject piv'!$A:AG,HLOOKUP(R$4,'[1]import GRADED seats subject piv'!$1:$2,2,FALSE),FALSE))),"")</f>
        <v>0.84745762711864403</v>
      </c>
      <c r="S23" s="19">
        <f>IFERROR((VLOOKUP('[1]SUBJECTS BASE'!$G19,'[1]import success seats'!$A:AQ,HLOOKUP(S$4,'[1]import success seats'!$1:$2,2,FALSE),FALSE))/((VLOOKUP('[1]SUBJECTS BASE'!$G19,'[1]import GRADED seats subject piv'!$A:AH,HLOOKUP(S$4,'[1]import GRADED seats subject piv'!$1:$2,2,FALSE),FALSE))),"")</f>
        <v>0.79692307692307696</v>
      </c>
    </row>
    <row r="24" spans="1:19" x14ac:dyDescent="0.25">
      <c r="A24" s="3" t="s">
        <v>1089</v>
      </c>
      <c r="B24" s="13">
        <f>IFERROR((VLOOKUP('[1]SUBJECTS BASE'!$G20,'[1]import success seats'!$A:Z,HLOOKUP(B$4,'[1]import success seats'!$1:$2,2,FALSE),FALSE))/((VLOOKUP('[1]SUBJECTS BASE'!$G20,'[1]import GRADED seats subject piv'!$A:P,HLOOKUP(B$4,'[1]import GRADED seats subject piv'!$1:$2,2,FALSE),FALSE))),"")</f>
        <v>0.93333333333333335</v>
      </c>
      <c r="C24" s="15">
        <f>IFERROR((VLOOKUP('[1]SUBJECTS BASE'!$G20,'[1]import success seats'!$A:AA,HLOOKUP(C$4,'[1]import success seats'!$1:$2,2,FALSE),FALSE))/((VLOOKUP('[1]SUBJECTS BASE'!$G20,'[1]import GRADED seats subject piv'!$A:Q,HLOOKUP(C$4,'[1]import GRADED seats subject piv'!$1:$2,2,FALSE),FALSE))),"")</f>
        <v>0.80630630630630629</v>
      </c>
      <c r="D24" s="21">
        <f>IFERROR((VLOOKUP('[1]SUBJECTS BASE'!$G20,'[1]import success seats'!$A:AB,HLOOKUP(D$4,'[1]import success seats'!$1:$2,2,FALSE),FALSE))/((VLOOKUP('[1]SUBJECTS BASE'!$G20,'[1]import GRADED seats subject piv'!$A:R,HLOOKUP(D$4,'[1]import GRADED seats subject piv'!$1:$2,2,FALSE),FALSE))),"")</f>
        <v>0.81773399014778325</v>
      </c>
      <c r="E24" s="13">
        <f>IFERROR((VLOOKUP('[1]SUBJECTS BASE'!$G20,'[1]import success seats'!$A:AC,HLOOKUP(E$4,'[1]import success seats'!$1:$2,2,FALSE),FALSE))/((VLOOKUP('[1]SUBJECTS BASE'!$G20,'[1]import GRADED seats subject piv'!$A:S,HLOOKUP(E$4,'[1]import GRADED seats subject piv'!$1:$2,2,FALSE),FALSE))),"")</f>
        <v>0.94827586206896552</v>
      </c>
      <c r="F24" s="15">
        <f>IFERROR((VLOOKUP('[1]SUBJECTS BASE'!$G20,'[1]import success seats'!$A:AD,HLOOKUP(F$4,'[1]import success seats'!$1:$2,2,FALSE),FALSE))/((VLOOKUP('[1]SUBJECTS BASE'!$G20,'[1]import GRADED seats subject piv'!$A:T,HLOOKUP(F$4,'[1]import GRADED seats subject piv'!$1:$2,2,FALSE),FALSE))),"")</f>
        <v>0.86858974358974361</v>
      </c>
      <c r="G24" s="19">
        <f>IFERROR((VLOOKUP('[1]SUBJECTS BASE'!$G20,'[1]import success seats'!$A:AE,HLOOKUP(G$4,'[1]import success seats'!$1:$2,2,FALSE),FALSE))/((VLOOKUP('[1]SUBJECTS BASE'!$G20,'[1]import GRADED seats subject piv'!$A:U,HLOOKUP(G$4,'[1]import GRADED seats subject piv'!$1:$2,2,FALSE),FALSE))),"")</f>
        <v>0.83171521035598706</v>
      </c>
      <c r="H24" s="23" t="str">
        <f>IFERROR((VLOOKUP('[1]SUBJECTS BASE'!$G20,'[1]import success seats'!$A:AF,HLOOKUP(H$4,'[1]import success seats'!$1:$2,2,FALSE),FALSE))/((VLOOKUP('[1]SUBJECTS BASE'!$G20,'[1]import GRADED seats subject piv'!$A:V,HLOOKUP(H$4,'[1]import GRADED seats subject piv'!$1:$2,2,FALSE),FALSE))),"")</f>
        <v/>
      </c>
      <c r="I24" s="15">
        <f>IFERROR((VLOOKUP('[1]SUBJECTS BASE'!$G20,'[1]import success seats'!$A:AG,HLOOKUP(I$4,'[1]import success seats'!$1:$2,2,FALSE),FALSE))/((VLOOKUP('[1]SUBJECTS BASE'!$G20,'[1]import GRADED seats subject piv'!$A:W,HLOOKUP(I$4,'[1]import GRADED seats subject piv'!$1:$2,2,FALSE),FALSE))),"")</f>
        <v>0.89144736842105265</v>
      </c>
      <c r="J24" s="21">
        <f>IFERROR((VLOOKUP('[1]SUBJECTS BASE'!$G20,'[1]import success seats'!$A:AH,HLOOKUP(J$4,'[1]import success seats'!$1:$2,2,FALSE),FALSE))/((VLOOKUP('[1]SUBJECTS BASE'!$G20,'[1]import GRADED seats subject piv'!$A:X,HLOOKUP(J$4,'[1]import GRADED seats subject piv'!$1:$2,2,FALSE),FALSE))),"")</f>
        <v>0.85126582278481011</v>
      </c>
      <c r="K24" s="13" t="str">
        <f>IFERROR((VLOOKUP('[1]SUBJECTS BASE'!$G20,'[1]import success seats'!$A:AI,HLOOKUP(K$4,'[1]import success seats'!$1:$2,2,FALSE),FALSE))/((VLOOKUP('[1]SUBJECTS BASE'!$G20,'[1]import GRADED seats subject piv'!$A:Y,HLOOKUP(K$4,'[1]import GRADED seats subject piv'!$1:$2,2,FALSE),FALSE))),"")</f>
        <v/>
      </c>
      <c r="L24" s="15">
        <f>IFERROR((VLOOKUP('[1]SUBJECTS BASE'!$G20,'[1]import success seats'!$A:AJ,HLOOKUP(L$4,'[1]import success seats'!$1:$2,2,FALSE),FALSE))/((VLOOKUP('[1]SUBJECTS BASE'!$G20,'[1]import GRADED seats subject piv'!$A:Z,HLOOKUP(L$4,'[1]import GRADED seats subject piv'!$1:$2,2,FALSE),FALSE))),"")</f>
        <v>0.90181818181818185</v>
      </c>
      <c r="M24" s="19">
        <f>IFERROR((VLOOKUP('[1]SUBJECTS BASE'!$G20,'[1]import success seats'!$A:AK,HLOOKUP(M$4,'[1]import success seats'!$1:$2,2,FALSE),FALSE))/((VLOOKUP('[1]SUBJECTS BASE'!$G20,'[1]import GRADED seats subject piv'!$A:AB,HLOOKUP(M$4,'[1]import GRADED seats subject piv'!$1:$2,2,FALSE),FALSE))),"")</f>
        <v>0.86842105263157898</v>
      </c>
      <c r="N24" s="23" t="str">
        <f>IFERROR((VLOOKUP('[1]SUBJECTS BASE'!$G20,'[1]import success seats'!$A:AL,HLOOKUP(N$4,'[1]import success seats'!$1:$2,2,FALSE),FALSE))/((VLOOKUP('[1]SUBJECTS BASE'!$G20,'[1]import GRADED seats subject piv'!$A:AC,HLOOKUP(N$4,'[1]import GRADED seats subject piv'!$1:$2,2,FALSE),FALSE))),"")</f>
        <v/>
      </c>
      <c r="O24" s="15">
        <f>IFERROR((VLOOKUP('[1]SUBJECTS BASE'!$G20,'[1]import success seats'!$A:AM,HLOOKUP(O$4,'[1]import success seats'!$1:$2,2,FALSE),FALSE))/((VLOOKUP('[1]SUBJECTS BASE'!$G20,'[1]import GRADED seats subject piv'!$A:AD,HLOOKUP(O$4,'[1]import GRADED seats subject piv'!$1:$2,2,FALSE),FALSE))),"")</f>
        <v>0.91666666666666663</v>
      </c>
      <c r="P24" s="15">
        <f>IFERROR((VLOOKUP('[1]SUBJECTS BASE'!$G20,'[1]import success seats'!$A:AN,HLOOKUP(P$4,'[1]import success seats'!$1:$2,2,FALSE),FALSE))/((VLOOKUP('[1]SUBJECTS BASE'!$G20,'[1]import GRADED seats subject piv'!$A:AE,HLOOKUP(P$4,'[1]import GRADED seats subject piv'!$1:$2,2,FALSE),FALSE))),"")</f>
        <v>0.8564593301435407</v>
      </c>
      <c r="Q24" s="13" t="str">
        <f>IFERROR((VLOOKUP('[1]SUBJECTS BASE'!$G20,'[1]import success seats'!$A:AO,HLOOKUP(Q$4,'[1]import success seats'!$1:$2,2,FALSE),FALSE))/((VLOOKUP('[1]SUBJECTS BASE'!$G20,'[1]import GRADED seats subject piv'!$A:AF,HLOOKUP(Q$4,'[1]import GRADED seats subject piv'!$1:$2,2,FALSE),FALSE))),"")</f>
        <v/>
      </c>
      <c r="R24" s="15">
        <f>IFERROR((VLOOKUP('[1]SUBJECTS BASE'!$G20,'[1]import success seats'!$A:AP,HLOOKUP(R$4,'[1]import success seats'!$1:$2,2,FALSE),FALSE))/((VLOOKUP('[1]SUBJECTS BASE'!$G20,'[1]import GRADED seats subject piv'!$A:AG,HLOOKUP(R$4,'[1]import GRADED seats subject piv'!$1:$2,2,FALSE),FALSE))),"")</f>
        <v>0.89427312775330392</v>
      </c>
      <c r="S24" s="19">
        <f>IFERROR((VLOOKUP('[1]SUBJECTS BASE'!$G20,'[1]import success seats'!$A:AQ,HLOOKUP(S$4,'[1]import success seats'!$1:$2,2,FALSE),FALSE))/((VLOOKUP('[1]SUBJECTS BASE'!$G20,'[1]import GRADED seats subject piv'!$A:AH,HLOOKUP(S$4,'[1]import GRADED seats subject piv'!$1:$2,2,FALSE),FALSE))),"")</f>
        <v>0.89690721649484539</v>
      </c>
    </row>
    <row r="25" spans="1:19" x14ac:dyDescent="0.25">
      <c r="A25" s="3" t="s">
        <v>1090</v>
      </c>
      <c r="B25" s="13">
        <f>IFERROR((VLOOKUP('[1]SUBJECTS BASE'!$G21,'[1]import success seats'!$A:Z,HLOOKUP(B$4,'[1]import success seats'!$1:$2,2,FALSE),FALSE))/((VLOOKUP('[1]SUBJECTS BASE'!$G21,'[1]import GRADED seats subject piv'!$A:P,HLOOKUP(B$4,'[1]import GRADED seats subject piv'!$1:$2,2,FALSE),FALSE))),"")</f>
        <v>1</v>
      </c>
      <c r="C25" s="15">
        <f>IFERROR((VLOOKUP('[1]SUBJECTS BASE'!$G21,'[1]import success seats'!$A:AA,HLOOKUP(C$4,'[1]import success seats'!$1:$2,2,FALSE),FALSE))/((VLOOKUP('[1]SUBJECTS BASE'!$G21,'[1]import GRADED seats subject piv'!$A:Q,HLOOKUP(C$4,'[1]import GRADED seats subject piv'!$1:$2,2,FALSE),FALSE))),"")</f>
        <v>1</v>
      </c>
      <c r="D25" s="21">
        <f>IFERROR((VLOOKUP('[1]SUBJECTS BASE'!$G21,'[1]import success seats'!$A:AB,HLOOKUP(D$4,'[1]import success seats'!$1:$2,2,FALSE),FALSE))/((VLOOKUP('[1]SUBJECTS BASE'!$G21,'[1]import GRADED seats subject piv'!$A:R,HLOOKUP(D$4,'[1]import GRADED seats subject piv'!$1:$2,2,FALSE),FALSE))),"")</f>
        <v>1</v>
      </c>
      <c r="E25" s="13">
        <f>IFERROR((VLOOKUP('[1]SUBJECTS BASE'!$G21,'[1]import success seats'!$A:AC,HLOOKUP(E$4,'[1]import success seats'!$1:$2,2,FALSE),FALSE))/((VLOOKUP('[1]SUBJECTS BASE'!$G21,'[1]import GRADED seats subject piv'!$A:S,HLOOKUP(E$4,'[1]import GRADED seats subject piv'!$1:$2,2,FALSE),FALSE))),"")</f>
        <v>0.94736842105263153</v>
      </c>
      <c r="F25" s="15">
        <f>IFERROR((VLOOKUP('[1]SUBJECTS BASE'!$G21,'[1]import success seats'!$A:AD,HLOOKUP(F$4,'[1]import success seats'!$1:$2,2,FALSE),FALSE))/((VLOOKUP('[1]SUBJECTS BASE'!$G21,'[1]import GRADED seats subject piv'!$A:T,HLOOKUP(F$4,'[1]import GRADED seats subject piv'!$1:$2,2,FALSE),FALSE))),"")</f>
        <v>1</v>
      </c>
      <c r="G25" s="19">
        <f>IFERROR((VLOOKUP('[1]SUBJECTS BASE'!$G21,'[1]import success seats'!$A:AE,HLOOKUP(G$4,'[1]import success seats'!$1:$2,2,FALSE),FALSE))/((VLOOKUP('[1]SUBJECTS BASE'!$G21,'[1]import GRADED seats subject piv'!$A:U,HLOOKUP(G$4,'[1]import GRADED seats subject piv'!$1:$2,2,FALSE),FALSE))),"")</f>
        <v>1</v>
      </c>
      <c r="H25" s="23">
        <f>IFERROR((VLOOKUP('[1]SUBJECTS BASE'!$G21,'[1]import success seats'!$A:AF,HLOOKUP(H$4,'[1]import success seats'!$1:$2,2,FALSE),FALSE))/((VLOOKUP('[1]SUBJECTS BASE'!$G21,'[1]import GRADED seats subject piv'!$A:V,HLOOKUP(H$4,'[1]import GRADED seats subject piv'!$1:$2,2,FALSE),FALSE))),"")</f>
        <v>1</v>
      </c>
      <c r="I25" s="15">
        <f>IFERROR((VLOOKUP('[1]SUBJECTS BASE'!$G21,'[1]import success seats'!$A:AG,HLOOKUP(I$4,'[1]import success seats'!$1:$2,2,FALSE),FALSE))/((VLOOKUP('[1]SUBJECTS BASE'!$G21,'[1]import GRADED seats subject piv'!$A:W,HLOOKUP(I$4,'[1]import GRADED seats subject piv'!$1:$2,2,FALSE),FALSE))),"")</f>
        <v>0.98780487804878048</v>
      </c>
      <c r="J25" s="21">
        <f>IFERROR((VLOOKUP('[1]SUBJECTS BASE'!$G21,'[1]import success seats'!$A:AH,HLOOKUP(J$4,'[1]import success seats'!$1:$2,2,FALSE),FALSE))/((VLOOKUP('[1]SUBJECTS BASE'!$G21,'[1]import GRADED seats subject piv'!$A:X,HLOOKUP(J$4,'[1]import GRADED seats subject piv'!$1:$2,2,FALSE),FALSE))),"")</f>
        <v>0.97402597402597402</v>
      </c>
      <c r="K25" s="13">
        <f>IFERROR((VLOOKUP('[1]SUBJECTS BASE'!$G21,'[1]import success seats'!$A:AI,HLOOKUP(K$4,'[1]import success seats'!$1:$2,2,FALSE),FALSE))/((VLOOKUP('[1]SUBJECTS BASE'!$G21,'[1]import GRADED seats subject piv'!$A:Y,HLOOKUP(K$4,'[1]import GRADED seats subject piv'!$1:$2,2,FALSE),FALSE))),"")</f>
        <v>1</v>
      </c>
      <c r="L25" s="15">
        <f>IFERROR((VLOOKUP('[1]SUBJECTS BASE'!$G21,'[1]import success seats'!$A:AJ,HLOOKUP(L$4,'[1]import success seats'!$1:$2,2,FALSE),FALSE))/((VLOOKUP('[1]SUBJECTS BASE'!$G21,'[1]import GRADED seats subject piv'!$A:Z,HLOOKUP(L$4,'[1]import GRADED seats subject piv'!$1:$2,2,FALSE),FALSE))),"")</f>
        <v>0.95238095238095233</v>
      </c>
      <c r="M25" s="19">
        <f>IFERROR((VLOOKUP('[1]SUBJECTS BASE'!$G21,'[1]import success seats'!$A:AK,HLOOKUP(M$4,'[1]import success seats'!$1:$2,2,FALSE),FALSE))/((VLOOKUP('[1]SUBJECTS BASE'!$G21,'[1]import GRADED seats subject piv'!$A:AB,HLOOKUP(M$4,'[1]import GRADED seats subject piv'!$1:$2,2,FALSE),FALSE))),"")</f>
        <v>0.98630136986301364</v>
      </c>
      <c r="N25" s="23">
        <f>IFERROR((VLOOKUP('[1]SUBJECTS BASE'!$G21,'[1]import success seats'!$A:AL,HLOOKUP(N$4,'[1]import success seats'!$1:$2,2,FALSE),FALSE))/((VLOOKUP('[1]SUBJECTS BASE'!$G21,'[1]import GRADED seats subject piv'!$A:AC,HLOOKUP(N$4,'[1]import GRADED seats subject piv'!$1:$2,2,FALSE),FALSE))),"")</f>
        <v>1</v>
      </c>
      <c r="O25" s="15">
        <f>IFERROR((VLOOKUP('[1]SUBJECTS BASE'!$G21,'[1]import success seats'!$A:AM,HLOOKUP(O$4,'[1]import success seats'!$1:$2,2,FALSE),FALSE))/((VLOOKUP('[1]SUBJECTS BASE'!$G21,'[1]import GRADED seats subject piv'!$A:AD,HLOOKUP(O$4,'[1]import GRADED seats subject piv'!$1:$2,2,FALSE),FALSE))),"")</f>
        <v>1</v>
      </c>
      <c r="P25" s="15">
        <f>IFERROR((VLOOKUP('[1]SUBJECTS BASE'!$G21,'[1]import success seats'!$A:AN,HLOOKUP(P$4,'[1]import success seats'!$1:$2,2,FALSE),FALSE))/((VLOOKUP('[1]SUBJECTS BASE'!$G21,'[1]import GRADED seats subject piv'!$A:AE,HLOOKUP(P$4,'[1]import GRADED seats subject piv'!$1:$2,2,FALSE),FALSE))),"")</f>
        <v>1</v>
      </c>
      <c r="Q25" s="13" t="str">
        <f>IFERROR((VLOOKUP('[1]SUBJECTS BASE'!$G21,'[1]import success seats'!$A:AO,HLOOKUP(Q$4,'[1]import success seats'!$1:$2,2,FALSE),FALSE))/((VLOOKUP('[1]SUBJECTS BASE'!$G21,'[1]import GRADED seats subject piv'!$A:AF,HLOOKUP(Q$4,'[1]import GRADED seats subject piv'!$1:$2,2,FALSE),FALSE))),"")</f>
        <v/>
      </c>
      <c r="R25" s="15">
        <f>IFERROR((VLOOKUP('[1]SUBJECTS BASE'!$G21,'[1]import success seats'!$A:AP,HLOOKUP(R$4,'[1]import success seats'!$1:$2,2,FALSE),FALSE))/((VLOOKUP('[1]SUBJECTS BASE'!$G21,'[1]import GRADED seats subject piv'!$A:AG,HLOOKUP(R$4,'[1]import GRADED seats subject piv'!$1:$2,2,FALSE),FALSE))),"")</f>
        <v>1</v>
      </c>
      <c r="S25" s="19">
        <f>IFERROR((VLOOKUP('[1]SUBJECTS BASE'!$G21,'[1]import success seats'!$A:AQ,HLOOKUP(S$4,'[1]import success seats'!$1:$2,2,FALSE),FALSE))/((VLOOKUP('[1]SUBJECTS BASE'!$G21,'[1]import GRADED seats subject piv'!$A:AH,HLOOKUP(S$4,'[1]import GRADED seats subject piv'!$1:$2,2,FALSE),FALSE))),"")</f>
        <v>1</v>
      </c>
    </row>
    <row r="26" spans="1:19" x14ac:dyDescent="0.25">
      <c r="A26" s="3" t="s">
        <v>1091</v>
      </c>
      <c r="B26" s="13">
        <f>IFERROR((VLOOKUP('[1]SUBJECTS BASE'!$G22,'[1]import success seats'!$A:Z,HLOOKUP(B$4,'[1]import success seats'!$1:$2,2,FALSE),FALSE))/((VLOOKUP('[1]SUBJECTS BASE'!$G22,'[1]import GRADED seats subject piv'!$A:P,HLOOKUP(B$4,'[1]import GRADED seats subject piv'!$1:$2,2,FALSE),FALSE))),"")</f>
        <v>0.90789473684210531</v>
      </c>
      <c r="C26" s="15">
        <f>IFERROR((VLOOKUP('[1]SUBJECTS BASE'!$G22,'[1]import success seats'!$A:AA,HLOOKUP(C$4,'[1]import success seats'!$1:$2,2,FALSE),FALSE))/((VLOOKUP('[1]SUBJECTS BASE'!$G22,'[1]import GRADED seats subject piv'!$A:Q,HLOOKUP(C$4,'[1]import GRADED seats subject piv'!$1:$2,2,FALSE),FALSE))),"")</f>
        <v>0.82</v>
      </c>
      <c r="D26" s="21">
        <f>IFERROR((VLOOKUP('[1]SUBJECTS BASE'!$G22,'[1]import success seats'!$A:AB,HLOOKUP(D$4,'[1]import success seats'!$1:$2,2,FALSE),FALSE))/((VLOOKUP('[1]SUBJECTS BASE'!$G22,'[1]import GRADED seats subject piv'!$A:R,HLOOKUP(D$4,'[1]import GRADED seats subject piv'!$1:$2,2,FALSE),FALSE))),"")</f>
        <v>0.77639751552795033</v>
      </c>
      <c r="E26" s="13">
        <f>IFERROR((VLOOKUP('[1]SUBJECTS BASE'!$G22,'[1]import success seats'!$A:AC,HLOOKUP(E$4,'[1]import success seats'!$1:$2,2,FALSE),FALSE))/((VLOOKUP('[1]SUBJECTS BASE'!$G22,'[1]import GRADED seats subject piv'!$A:S,HLOOKUP(E$4,'[1]import GRADED seats subject piv'!$1:$2,2,FALSE),FALSE))),"")</f>
        <v>0.87341772151898733</v>
      </c>
      <c r="F26" s="15">
        <f>IFERROR((VLOOKUP('[1]SUBJECTS BASE'!$G22,'[1]import success seats'!$A:AD,HLOOKUP(F$4,'[1]import success seats'!$1:$2,2,FALSE),FALSE))/((VLOOKUP('[1]SUBJECTS BASE'!$G22,'[1]import GRADED seats subject piv'!$A:T,HLOOKUP(F$4,'[1]import GRADED seats subject piv'!$1:$2,2,FALSE),FALSE))),"")</f>
        <v>0.82175226586102723</v>
      </c>
      <c r="G26" s="19">
        <f>IFERROR((VLOOKUP('[1]SUBJECTS BASE'!$G22,'[1]import success seats'!$A:AE,HLOOKUP(G$4,'[1]import success seats'!$1:$2,2,FALSE),FALSE))/((VLOOKUP('[1]SUBJECTS BASE'!$G22,'[1]import GRADED seats subject piv'!$A:U,HLOOKUP(G$4,'[1]import GRADED seats subject piv'!$1:$2,2,FALSE),FALSE))),"")</f>
        <v>0.83480825958702065</v>
      </c>
      <c r="H26" s="23" t="str">
        <f>IFERROR((VLOOKUP('[1]SUBJECTS BASE'!$G22,'[1]import success seats'!$A:AF,HLOOKUP(H$4,'[1]import success seats'!$1:$2,2,FALSE),FALSE))/((VLOOKUP('[1]SUBJECTS BASE'!$G22,'[1]import GRADED seats subject piv'!$A:V,HLOOKUP(H$4,'[1]import GRADED seats subject piv'!$1:$2,2,FALSE),FALSE))),"")</f>
        <v/>
      </c>
      <c r="I26" s="15">
        <f>IFERROR((VLOOKUP('[1]SUBJECTS BASE'!$G22,'[1]import success seats'!$A:AG,HLOOKUP(I$4,'[1]import success seats'!$1:$2,2,FALSE),FALSE))/((VLOOKUP('[1]SUBJECTS BASE'!$G22,'[1]import GRADED seats subject piv'!$A:W,HLOOKUP(I$4,'[1]import GRADED seats subject piv'!$1:$2,2,FALSE),FALSE))),"")</f>
        <v>0.88472622478386165</v>
      </c>
      <c r="J26" s="21">
        <f>IFERROR((VLOOKUP('[1]SUBJECTS BASE'!$G22,'[1]import success seats'!$A:AH,HLOOKUP(J$4,'[1]import success seats'!$1:$2,2,FALSE),FALSE))/((VLOOKUP('[1]SUBJECTS BASE'!$G22,'[1]import GRADED seats subject piv'!$A:X,HLOOKUP(J$4,'[1]import GRADED seats subject piv'!$1:$2,2,FALSE),FALSE))),"")</f>
        <v>0.85582822085889576</v>
      </c>
      <c r="K26" s="13">
        <f>IFERROR((VLOOKUP('[1]SUBJECTS BASE'!$G22,'[1]import success seats'!$A:AI,HLOOKUP(K$4,'[1]import success seats'!$1:$2,2,FALSE),FALSE))/((VLOOKUP('[1]SUBJECTS BASE'!$G22,'[1]import GRADED seats subject piv'!$A:Y,HLOOKUP(K$4,'[1]import GRADED seats subject piv'!$1:$2,2,FALSE),FALSE))),"")</f>
        <v>1</v>
      </c>
      <c r="L26" s="15">
        <f>IFERROR((VLOOKUP('[1]SUBJECTS BASE'!$G22,'[1]import success seats'!$A:AJ,HLOOKUP(L$4,'[1]import success seats'!$1:$2,2,FALSE),FALSE))/((VLOOKUP('[1]SUBJECTS BASE'!$G22,'[1]import GRADED seats subject piv'!$A:Z,HLOOKUP(L$4,'[1]import GRADED seats subject piv'!$1:$2,2,FALSE),FALSE))),"")</f>
        <v>0.87815126050420167</v>
      </c>
      <c r="M26" s="19">
        <f>IFERROR((VLOOKUP('[1]SUBJECTS BASE'!$G22,'[1]import success seats'!$A:AK,HLOOKUP(M$4,'[1]import success seats'!$1:$2,2,FALSE),FALSE))/((VLOOKUP('[1]SUBJECTS BASE'!$G22,'[1]import GRADED seats subject piv'!$A:AB,HLOOKUP(M$4,'[1]import GRADED seats subject piv'!$1:$2,2,FALSE),FALSE))),"")</f>
        <v>0.90957446808510634</v>
      </c>
      <c r="N26" s="23" t="str">
        <f>IFERROR((VLOOKUP('[1]SUBJECTS BASE'!$G22,'[1]import success seats'!$A:AL,HLOOKUP(N$4,'[1]import success seats'!$1:$2,2,FALSE),FALSE))/((VLOOKUP('[1]SUBJECTS BASE'!$G22,'[1]import GRADED seats subject piv'!$A:AC,HLOOKUP(N$4,'[1]import GRADED seats subject piv'!$1:$2,2,FALSE),FALSE))),"")</f>
        <v/>
      </c>
      <c r="O26" s="15">
        <f>IFERROR((VLOOKUP('[1]SUBJECTS BASE'!$G22,'[1]import success seats'!$A:AM,HLOOKUP(O$4,'[1]import success seats'!$1:$2,2,FALSE),FALSE))/((VLOOKUP('[1]SUBJECTS BASE'!$G22,'[1]import GRADED seats subject piv'!$A:AD,HLOOKUP(O$4,'[1]import GRADED seats subject piv'!$1:$2,2,FALSE),FALSE))),"")</f>
        <v>0.88793103448275867</v>
      </c>
      <c r="P26" s="15">
        <f>IFERROR((VLOOKUP('[1]SUBJECTS BASE'!$G22,'[1]import success seats'!$A:AN,HLOOKUP(P$4,'[1]import success seats'!$1:$2,2,FALSE),FALSE))/((VLOOKUP('[1]SUBJECTS BASE'!$G22,'[1]import GRADED seats subject piv'!$A:AE,HLOOKUP(P$4,'[1]import GRADED seats subject piv'!$1:$2,2,FALSE),FALSE))),"")</f>
        <v>0.88976377952755903</v>
      </c>
      <c r="Q26" s="13" t="str">
        <f>IFERROR((VLOOKUP('[1]SUBJECTS BASE'!$G22,'[1]import success seats'!$A:AO,HLOOKUP(Q$4,'[1]import success seats'!$1:$2,2,FALSE),FALSE))/((VLOOKUP('[1]SUBJECTS BASE'!$G22,'[1]import GRADED seats subject piv'!$A:AF,HLOOKUP(Q$4,'[1]import GRADED seats subject piv'!$1:$2,2,FALSE),FALSE))),"")</f>
        <v/>
      </c>
      <c r="R26" s="15">
        <f>IFERROR((VLOOKUP('[1]SUBJECTS BASE'!$G22,'[1]import success seats'!$A:AP,HLOOKUP(R$4,'[1]import success seats'!$1:$2,2,FALSE),FALSE))/((VLOOKUP('[1]SUBJECTS BASE'!$G22,'[1]import GRADED seats subject piv'!$A:AG,HLOOKUP(R$4,'[1]import GRADED seats subject piv'!$1:$2,2,FALSE),FALSE))),"")</f>
        <v>0.90459363957597172</v>
      </c>
      <c r="S26" s="19">
        <f>IFERROR((VLOOKUP('[1]SUBJECTS BASE'!$G22,'[1]import success seats'!$A:AQ,HLOOKUP(S$4,'[1]import success seats'!$1:$2,2,FALSE),FALSE))/((VLOOKUP('[1]SUBJECTS BASE'!$G22,'[1]import GRADED seats subject piv'!$A:AH,HLOOKUP(S$4,'[1]import GRADED seats subject piv'!$1:$2,2,FALSE),FALSE))),"")</f>
        <v>0.84108527131782951</v>
      </c>
    </row>
    <row r="27" spans="1:19" x14ac:dyDescent="0.25">
      <c r="A27" s="3" t="s">
        <v>1092</v>
      </c>
      <c r="B27" s="13" t="str">
        <f>IFERROR((VLOOKUP('[1]SUBJECTS BASE'!$G23,'[1]import success seats'!$A:Z,HLOOKUP(B$4,'[1]import success seats'!$1:$2,2,FALSE),FALSE))/((VLOOKUP('[1]SUBJECTS BASE'!$G23,'[1]import GRADED seats subject piv'!$A:P,HLOOKUP(B$4,'[1]import GRADED seats subject piv'!$1:$2,2,FALSE),FALSE))),"")</f>
        <v/>
      </c>
      <c r="C27" s="15">
        <f>IFERROR((VLOOKUP('[1]SUBJECTS BASE'!$G23,'[1]import success seats'!$A:AA,HLOOKUP(C$4,'[1]import success seats'!$1:$2,2,FALSE),FALSE))/((VLOOKUP('[1]SUBJECTS BASE'!$G23,'[1]import GRADED seats subject piv'!$A:Q,HLOOKUP(C$4,'[1]import GRADED seats subject piv'!$1:$2,2,FALSE),FALSE))),"")</f>
        <v>1</v>
      </c>
      <c r="D27" s="21">
        <f>IFERROR((VLOOKUP('[1]SUBJECTS BASE'!$G23,'[1]import success seats'!$A:AB,HLOOKUP(D$4,'[1]import success seats'!$1:$2,2,FALSE),FALSE))/((VLOOKUP('[1]SUBJECTS BASE'!$G23,'[1]import GRADED seats subject piv'!$A:R,HLOOKUP(D$4,'[1]import GRADED seats subject piv'!$1:$2,2,FALSE),FALSE))),"")</f>
        <v>0.9285714285714286</v>
      </c>
      <c r="E27" s="13" t="str">
        <f>IFERROR((VLOOKUP('[1]SUBJECTS BASE'!$G23,'[1]import success seats'!$A:AC,HLOOKUP(E$4,'[1]import success seats'!$1:$2,2,FALSE),FALSE))/((VLOOKUP('[1]SUBJECTS BASE'!$G23,'[1]import GRADED seats subject piv'!$A:S,HLOOKUP(E$4,'[1]import GRADED seats subject piv'!$1:$2,2,FALSE),FALSE))),"")</f>
        <v/>
      </c>
      <c r="F27" s="15">
        <f>IFERROR((VLOOKUP('[1]SUBJECTS BASE'!$G23,'[1]import success seats'!$A:AD,HLOOKUP(F$4,'[1]import success seats'!$1:$2,2,FALSE),FALSE))/((VLOOKUP('[1]SUBJECTS BASE'!$G23,'[1]import GRADED seats subject piv'!$A:T,HLOOKUP(F$4,'[1]import GRADED seats subject piv'!$1:$2,2,FALSE),FALSE))),"")</f>
        <v>0.72727272727272729</v>
      </c>
      <c r="G27" s="19">
        <f>IFERROR((VLOOKUP('[1]SUBJECTS BASE'!$G23,'[1]import success seats'!$A:AE,HLOOKUP(G$4,'[1]import success seats'!$1:$2,2,FALSE),FALSE))/((VLOOKUP('[1]SUBJECTS BASE'!$G23,'[1]import GRADED seats subject piv'!$A:U,HLOOKUP(G$4,'[1]import GRADED seats subject piv'!$1:$2,2,FALSE),FALSE))),"")</f>
        <v>0.94594594594594594</v>
      </c>
      <c r="H27" s="23" t="str">
        <f>IFERROR((VLOOKUP('[1]SUBJECTS BASE'!$G23,'[1]import success seats'!$A:AF,HLOOKUP(H$4,'[1]import success seats'!$1:$2,2,FALSE),FALSE))/((VLOOKUP('[1]SUBJECTS BASE'!$G23,'[1]import GRADED seats subject piv'!$A:V,HLOOKUP(H$4,'[1]import GRADED seats subject piv'!$1:$2,2,FALSE),FALSE))),"")</f>
        <v/>
      </c>
      <c r="I27" s="15" t="str">
        <f>IFERROR((VLOOKUP('[1]SUBJECTS BASE'!$G23,'[1]import success seats'!$A:AG,HLOOKUP(I$4,'[1]import success seats'!$1:$2,2,FALSE),FALSE))/((VLOOKUP('[1]SUBJECTS BASE'!$G23,'[1]import GRADED seats subject piv'!$A:W,HLOOKUP(I$4,'[1]import GRADED seats subject piv'!$1:$2,2,FALSE),FALSE))),"")</f>
        <v/>
      </c>
      <c r="J27" s="21">
        <f>IFERROR((VLOOKUP('[1]SUBJECTS BASE'!$G23,'[1]import success seats'!$A:AH,HLOOKUP(J$4,'[1]import success seats'!$1:$2,2,FALSE),FALSE))/((VLOOKUP('[1]SUBJECTS BASE'!$G23,'[1]import GRADED seats subject piv'!$A:X,HLOOKUP(J$4,'[1]import GRADED seats subject piv'!$1:$2,2,FALSE),FALSE))),"")</f>
        <v>0.7142857142857143</v>
      </c>
      <c r="K27" s="13" t="str">
        <f>IFERROR((VLOOKUP('[1]SUBJECTS BASE'!$G23,'[1]import success seats'!$A:AI,HLOOKUP(K$4,'[1]import success seats'!$1:$2,2,FALSE),FALSE))/((VLOOKUP('[1]SUBJECTS BASE'!$G23,'[1]import GRADED seats subject piv'!$A:Y,HLOOKUP(K$4,'[1]import GRADED seats subject piv'!$1:$2,2,FALSE),FALSE))),"")</f>
        <v/>
      </c>
      <c r="L27" s="15" t="str">
        <f>IFERROR((VLOOKUP('[1]SUBJECTS BASE'!$G23,'[1]import success seats'!$A:AJ,HLOOKUP(L$4,'[1]import success seats'!$1:$2,2,FALSE),FALSE))/((VLOOKUP('[1]SUBJECTS BASE'!$G23,'[1]import GRADED seats subject piv'!$A:Z,HLOOKUP(L$4,'[1]import GRADED seats subject piv'!$1:$2,2,FALSE),FALSE))),"")</f>
        <v/>
      </c>
      <c r="M27" s="19">
        <f>IFERROR((VLOOKUP('[1]SUBJECTS BASE'!$G23,'[1]import success seats'!$A:AK,HLOOKUP(M$4,'[1]import success seats'!$1:$2,2,FALSE),FALSE))/((VLOOKUP('[1]SUBJECTS BASE'!$G23,'[1]import GRADED seats subject piv'!$A:AB,HLOOKUP(M$4,'[1]import GRADED seats subject piv'!$1:$2,2,FALSE),FALSE))),"")</f>
        <v>0.66666666666666663</v>
      </c>
      <c r="N27" s="23" t="str">
        <f>IFERROR((VLOOKUP('[1]SUBJECTS BASE'!$G23,'[1]import success seats'!$A:AL,HLOOKUP(N$4,'[1]import success seats'!$1:$2,2,FALSE),FALSE))/((VLOOKUP('[1]SUBJECTS BASE'!$G23,'[1]import GRADED seats subject piv'!$A:AC,HLOOKUP(N$4,'[1]import GRADED seats subject piv'!$1:$2,2,FALSE),FALSE))),"")</f>
        <v/>
      </c>
      <c r="O27" s="15" t="str">
        <f>IFERROR((VLOOKUP('[1]SUBJECTS BASE'!$G23,'[1]import success seats'!$A:AM,HLOOKUP(O$4,'[1]import success seats'!$1:$2,2,FALSE),FALSE))/((VLOOKUP('[1]SUBJECTS BASE'!$G23,'[1]import GRADED seats subject piv'!$A:AD,HLOOKUP(O$4,'[1]import GRADED seats subject piv'!$1:$2,2,FALSE),FALSE))),"")</f>
        <v/>
      </c>
      <c r="P27" s="15" t="str">
        <f>IFERROR((VLOOKUP('[1]SUBJECTS BASE'!$G23,'[1]import success seats'!$A:AN,HLOOKUP(P$4,'[1]import success seats'!$1:$2,2,FALSE),FALSE))/((VLOOKUP('[1]SUBJECTS BASE'!$G23,'[1]import GRADED seats subject piv'!$A:AE,HLOOKUP(P$4,'[1]import GRADED seats subject piv'!$1:$2,2,FALSE),FALSE))),"")</f>
        <v/>
      </c>
      <c r="Q27" s="13" t="str">
        <f>IFERROR((VLOOKUP('[1]SUBJECTS BASE'!$G23,'[1]import success seats'!$A:AO,HLOOKUP(Q$4,'[1]import success seats'!$1:$2,2,FALSE),FALSE))/((VLOOKUP('[1]SUBJECTS BASE'!$G23,'[1]import GRADED seats subject piv'!$A:AF,HLOOKUP(Q$4,'[1]import GRADED seats subject piv'!$1:$2,2,FALSE),FALSE))),"")</f>
        <v/>
      </c>
      <c r="R27" s="15" t="str">
        <f>IFERROR((VLOOKUP('[1]SUBJECTS BASE'!$G23,'[1]import success seats'!$A:AP,HLOOKUP(R$4,'[1]import success seats'!$1:$2,2,FALSE),FALSE))/((VLOOKUP('[1]SUBJECTS BASE'!$G23,'[1]import GRADED seats subject piv'!$A:AG,HLOOKUP(R$4,'[1]import GRADED seats subject piv'!$1:$2,2,FALSE),FALSE))),"")</f>
        <v/>
      </c>
      <c r="S27" s="19">
        <f>IFERROR((VLOOKUP('[1]SUBJECTS BASE'!$G23,'[1]import success seats'!$A:AQ,HLOOKUP(S$4,'[1]import success seats'!$1:$2,2,FALSE),FALSE))/((VLOOKUP('[1]SUBJECTS BASE'!$G23,'[1]import GRADED seats subject piv'!$A:AH,HLOOKUP(S$4,'[1]import GRADED seats subject piv'!$1:$2,2,FALSE),FALSE))),"")</f>
        <v>1</v>
      </c>
    </row>
    <row r="28" spans="1:19" x14ac:dyDescent="0.25">
      <c r="A28" s="3" t="s">
        <v>1093</v>
      </c>
      <c r="B28" s="13">
        <f>IFERROR((VLOOKUP('[1]SUBJECTS BASE'!$G24,'[1]import success seats'!$A:Z,HLOOKUP(B$4,'[1]import success seats'!$1:$2,2,FALSE),FALSE))/((VLOOKUP('[1]SUBJECTS BASE'!$G24,'[1]import GRADED seats subject piv'!$A:P,HLOOKUP(B$4,'[1]import GRADED seats subject piv'!$1:$2,2,FALSE),FALSE))),"")</f>
        <v>0.90928725701943847</v>
      </c>
      <c r="C28" s="15">
        <f>IFERROR((VLOOKUP('[1]SUBJECTS BASE'!$G24,'[1]import success seats'!$A:AA,HLOOKUP(C$4,'[1]import success seats'!$1:$2,2,FALSE),FALSE))/((VLOOKUP('[1]SUBJECTS BASE'!$G24,'[1]import GRADED seats subject piv'!$A:Q,HLOOKUP(C$4,'[1]import GRADED seats subject piv'!$1:$2,2,FALSE),FALSE))),"")</f>
        <v>0.85402759234534931</v>
      </c>
      <c r="D28" s="21">
        <f>IFERROR((VLOOKUP('[1]SUBJECTS BASE'!$G24,'[1]import success seats'!$A:AB,HLOOKUP(D$4,'[1]import success seats'!$1:$2,2,FALSE),FALSE))/((VLOOKUP('[1]SUBJECTS BASE'!$G24,'[1]import GRADED seats subject piv'!$A:R,HLOOKUP(D$4,'[1]import GRADED seats subject piv'!$1:$2,2,FALSE),FALSE))),"")</f>
        <v>0.84880514705882348</v>
      </c>
      <c r="E28" s="13">
        <f>IFERROR((VLOOKUP('[1]SUBJECTS BASE'!$G24,'[1]import success seats'!$A:AC,HLOOKUP(E$4,'[1]import success seats'!$1:$2,2,FALSE),FALSE))/((VLOOKUP('[1]SUBJECTS BASE'!$G24,'[1]import GRADED seats subject piv'!$A:S,HLOOKUP(E$4,'[1]import GRADED seats subject piv'!$1:$2,2,FALSE),FALSE))),"")</f>
        <v>0.9020332717190388</v>
      </c>
      <c r="F28" s="15">
        <f>IFERROR((VLOOKUP('[1]SUBJECTS BASE'!$G24,'[1]import success seats'!$A:AD,HLOOKUP(F$4,'[1]import success seats'!$1:$2,2,FALSE),FALSE))/((VLOOKUP('[1]SUBJECTS BASE'!$G24,'[1]import GRADED seats subject piv'!$A:T,HLOOKUP(F$4,'[1]import GRADED seats subject piv'!$1:$2,2,FALSE),FALSE))),"")</f>
        <v>0.85388513513513509</v>
      </c>
      <c r="G28" s="19">
        <f>IFERROR((VLOOKUP('[1]SUBJECTS BASE'!$G24,'[1]import success seats'!$A:AE,HLOOKUP(G$4,'[1]import success seats'!$1:$2,2,FALSE),FALSE))/((VLOOKUP('[1]SUBJECTS BASE'!$G24,'[1]import GRADED seats subject piv'!$A:U,HLOOKUP(G$4,'[1]import GRADED seats subject piv'!$1:$2,2,FALSE),FALSE))),"")</f>
        <v>0.87478336221837083</v>
      </c>
      <c r="H28" s="23">
        <f>IFERROR((VLOOKUP('[1]SUBJECTS BASE'!$G24,'[1]import success seats'!$A:AF,HLOOKUP(H$4,'[1]import success seats'!$1:$2,2,FALSE),FALSE))/((VLOOKUP('[1]SUBJECTS BASE'!$G24,'[1]import GRADED seats subject piv'!$A:V,HLOOKUP(H$4,'[1]import GRADED seats subject piv'!$1:$2,2,FALSE),FALSE))),"")</f>
        <v>0.92775665399239549</v>
      </c>
      <c r="I28" s="15">
        <f>IFERROR((VLOOKUP('[1]SUBJECTS BASE'!$G24,'[1]import success seats'!$A:AG,HLOOKUP(I$4,'[1]import success seats'!$1:$2,2,FALSE),FALSE))/((VLOOKUP('[1]SUBJECTS BASE'!$G24,'[1]import GRADED seats subject piv'!$A:W,HLOOKUP(I$4,'[1]import GRADED seats subject piv'!$1:$2,2,FALSE),FALSE))),"")</f>
        <v>0.87460389316432774</v>
      </c>
      <c r="J28" s="21">
        <f>IFERROR((VLOOKUP('[1]SUBJECTS BASE'!$G24,'[1]import success seats'!$A:AH,HLOOKUP(J$4,'[1]import success seats'!$1:$2,2,FALSE),FALSE))/((VLOOKUP('[1]SUBJECTS BASE'!$G24,'[1]import GRADED seats subject piv'!$A:X,HLOOKUP(J$4,'[1]import GRADED seats subject piv'!$1:$2,2,FALSE),FALSE))),"")</f>
        <v>0.86278109224414867</v>
      </c>
      <c r="K28" s="13">
        <f>IFERROR((VLOOKUP('[1]SUBJECTS BASE'!$G24,'[1]import success seats'!$A:AI,HLOOKUP(K$4,'[1]import success seats'!$1:$2,2,FALSE),FALSE))/((VLOOKUP('[1]SUBJECTS BASE'!$G24,'[1]import GRADED seats subject piv'!$A:Y,HLOOKUP(K$4,'[1]import GRADED seats subject piv'!$1:$2,2,FALSE),FALSE))),"")</f>
        <v>0.95652173913043481</v>
      </c>
      <c r="L28" s="15">
        <f>IFERROR((VLOOKUP('[1]SUBJECTS BASE'!$G24,'[1]import success seats'!$A:AJ,HLOOKUP(L$4,'[1]import success seats'!$1:$2,2,FALSE),FALSE))/((VLOOKUP('[1]SUBJECTS BASE'!$G24,'[1]import GRADED seats subject piv'!$A:Z,HLOOKUP(L$4,'[1]import GRADED seats subject piv'!$1:$2,2,FALSE),FALSE))),"")</f>
        <v>0.85845855550169659</v>
      </c>
      <c r="M28" s="19">
        <f>IFERROR((VLOOKUP('[1]SUBJECTS BASE'!$G24,'[1]import success seats'!$A:AK,HLOOKUP(M$4,'[1]import success seats'!$1:$2,2,FALSE),FALSE))/((VLOOKUP('[1]SUBJECTS BASE'!$G24,'[1]import GRADED seats subject piv'!$A:AB,HLOOKUP(M$4,'[1]import GRADED seats subject piv'!$1:$2,2,FALSE),FALSE))),"")</f>
        <v>0.87893462469733652</v>
      </c>
      <c r="N28" s="23" t="str">
        <f>IFERROR((VLOOKUP('[1]SUBJECTS BASE'!$G24,'[1]import success seats'!$A:AL,HLOOKUP(N$4,'[1]import success seats'!$1:$2,2,FALSE),FALSE))/((VLOOKUP('[1]SUBJECTS BASE'!$G24,'[1]import GRADED seats subject piv'!$A:AC,HLOOKUP(N$4,'[1]import GRADED seats subject piv'!$1:$2,2,FALSE),FALSE))),"")</f>
        <v/>
      </c>
      <c r="O28" s="15">
        <f>IFERROR((VLOOKUP('[1]SUBJECTS BASE'!$G24,'[1]import success seats'!$A:AM,HLOOKUP(O$4,'[1]import success seats'!$1:$2,2,FALSE),FALSE))/((VLOOKUP('[1]SUBJECTS BASE'!$G24,'[1]import GRADED seats subject piv'!$A:AD,HLOOKUP(O$4,'[1]import GRADED seats subject piv'!$1:$2,2,FALSE),FALSE))),"")</f>
        <v>0.87815351583467527</v>
      </c>
      <c r="P28" s="15">
        <f>IFERROR((VLOOKUP('[1]SUBJECTS BASE'!$G24,'[1]import success seats'!$A:AN,HLOOKUP(P$4,'[1]import success seats'!$1:$2,2,FALSE),FALSE))/((VLOOKUP('[1]SUBJECTS BASE'!$G24,'[1]import GRADED seats subject piv'!$A:AE,HLOOKUP(P$4,'[1]import GRADED seats subject piv'!$1:$2,2,FALSE),FALSE))),"")</f>
        <v>0.87362086258776328</v>
      </c>
      <c r="Q28" s="13">
        <f>IFERROR((VLOOKUP('[1]SUBJECTS BASE'!$G24,'[1]import success seats'!$A:AO,HLOOKUP(Q$4,'[1]import success seats'!$1:$2,2,FALSE),FALSE))/((VLOOKUP('[1]SUBJECTS BASE'!$G24,'[1]import GRADED seats subject piv'!$A:AF,HLOOKUP(Q$4,'[1]import GRADED seats subject piv'!$1:$2,2,FALSE),FALSE))),"")</f>
        <v>0.92156862745098034</v>
      </c>
      <c r="R28" s="15">
        <f>IFERROR((VLOOKUP('[1]SUBJECTS BASE'!$G24,'[1]import success seats'!$A:AP,HLOOKUP(R$4,'[1]import success seats'!$1:$2,2,FALSE),FALSE))/((VLOOKUP('[1]SUBJECTS BASE'!$G24,'[1]import GRADED seats subject piv'!$A:AG,HLOOKUP(R$4,'[1]import GRADED seats subject piv'!$1:$2,2,FALSE),FALSE))),"")</f>
        <v>0.89324487334137515</v>
      </c>
      <c r="S28" s="19">
        <f>IFERROR((VLOOKUP('[1]SUBJECTS BASE'!$G24,'[1]import success seats'!$A:AQ,HLOOKUP(S$4,'[1]import success seats'!$1:$2,2,FALSE),FALSE))/((VLOOKUP('[1]SUBJECTS BASE'!$G24,'[1]import GRADED seats subject piv'!$A:AH,HLOOKUP(S$4,'[1]import GRADED seats subject piv'!$1:$2,2,FALSE),FALSE))),"")</f>
        <v>0.88074866310160427</v>
      </c>
    </row>
    <row r="29" spans="1:19" x14ac:dyDescent="0.25">
      <c r="A29" s="3" t="s">
        <v>1094</v>
      </c>
      <c r="B29" s="13" t="str">
        <f>IFERROR((VLOOKUP('[1]SUBJECTS BASE'!$G25,'[1]import success seats'!$A:Z,HLOOKUP(B$4,'[1]import success seats'!$1:$2,2,FALSE),FALSE))/((VLOOKUP('[1]SUBJECTS BASE'!$G25,'[1]import GRADED seats subject piv'!$A:P,HLOOKUP(B$4,'[1]import GRADED seats subject piv'!$1:$2,2,FALSE),FALSE))),"")</f>
        <v/>
      </c>
      <c r="C29" s="15" t="str">
        <f>IFERROR((VLOOKUP('[1]SUBJECTS BASE'!$G25,'[1]import success seats'!$A:AA,HLOOKUP(C$4,'[1]import success seats'!$1:$2,2,FALSE),FALSE))/((VLOOKUP('[1]SUBJECTS BASE'!$G25,'[1]import GRADED seats subject piv'!$A:Q,HLOOKUP(C$4,'[1]import GRADED seats subject piv'!$1:$2,2,FALSE),FALSE))),"")</f>
        <v/>
      </c>
      <c r="D29" s="21" t="str">
        <f>IFERROR((VLOOKUP('[1]SUBJECTS BASE'!$G25,'[1]import success seats'!$A:AB,HLOOKUP(D$4,'[1]import success seats'!$1:$2,2,FALSE),FALSE))/((VLOOKUP('[1]SUBJECTS BASE'!$G25,'[1]import GRADED seats subject piv'!$A:R,HLOOKUP(D$4,'[1]import GRADED seats subject piv'!$1:$2,2,FALSE),FALSE))),"")</f>
        <v/>
      </c>
      <c r="E29" s="13" t="str">
        <f>IFERROR((VLOOKUP('[1]SUBJECTS BASE'!$G25,'[1]import success seats'!$A:AC,HLOOKUP(E$4,'[1]import success seats'!$1:$2,2,FALSE),FALSE))/((VLOOKUP('[1]SUBJECTS BASE'!$G25,'[1]import GRADED seats subject piv'!$A:S,HLOOKUP(E$4,'[1]import GRADED seats subject piv'!$1:$2,2,FALSE),FALSE))),"")</f>
        <v/>
      </c>
      <c r="F29" s="15" t="str">
        <f>IFERROR((VLOOKUP('[1]SUBJECTS BASE'!$G25,'[1]import success seats'!$A:AD,HLOOKUP(F$4,'[1]import success seats'!$1:$2,2,FALSE),FALSE))/((VLOOKUP('[1]SUBJECTS BASE'!$G25,'[1]import GRADED seats subject piv'!$A:T,HLOOKUP(F$4,'[1]import GRADED seats subject piv'!$1:$2,2,FALSE),FALSE))),"")</f>
        <v/>
      </c>
      <c r="G29" s="19" t="str">
        <f>IFERROR((VLOOKUP('[1]SUBJECTS BASE'!$G25,'[1]import success seats'!$A:AE,HLOOKUP(G$4,'[1]import success seats'!$1:$2,2,FALSE),FALSE))/((VLOOKUP('[1]SUBJECTS BASE'!$G25,'[1]import GRADED seats subject piv'!$A:U,HLOOKUP(G$4,'[1]import GRADED seats subject piv'!$1:$2,2,FALSE),FALSE))),"")</f>
        <v/>
      </c>
      <c r="H29" s="23" t="str">
        <f>IFERROR((VLOOKUP('[1]SUBJECTS BASE'!$G25,'[1]import success seats'!$A:AF,HLOOKUP(H$4,'[1]import success seats'!$1:$2,2,FALSE),FALSE))/((VLOOKUP('[1]SUBJECTS BASE'!$G25,'[1]import GRADED seats subject piv'!$A:V,HLOOKUP(H$4,'[1]import GRADED seats subject piv'!$1:$2,2,FALSE),FALSE))),"")</f>
        <v/>
      </c>
      <c r="I29" s="15" t="str">
        <f>IFERROR((VLOOKUP('[1]SUBJECTS BASE'!$G25,'[1]import success seats'!$A:AG,HLOOKUP(I$4,'[1]import success seats'!$1:$2,2,FALSE),FALSE))/((VLOOKUP('[1]SUBJECTS BASE'!$G25,'[1]import GRADED seats subject piv'!$A:W,HLOOKUP(I$4,'[1]import GRADED seats subject piv'!$1:$2,2,FALSE),FALSE))),"")</f>
        <v/>
      </c>
      <c r="J29" s="21" t="str">
        <f>IFERROR((VLOOKUP('[1]SUBJECTS BASE'!$G25,'[1]import success seats'!$A:AH,HLOOKUP(J$4,'[1]import success seats'!$1:$2,2,FALSE),FALSE))/((VLOOKUP('[1]SUBJECTS BASE'!$G25,'[1]import GRADED seats subject piv'!$A:X,HLOOKUP(J$4,'[1]import GRADED seats subject piv'!$1:$2,2,FALSE),FALSE))),"")</f>
        <v/>
      </c>
      <c r="K29" s="13" t="str">
        <f>IFERROR((VLOOKUP('[1]SUBJECTS BASE'!$G25,'[1]import success seats'!$A:AI,HLOOKUP(K$4,'[1]import success seats'!$1:$2,2,FALSE),FALSE))/((VLOOKUP('[1]SUBJECTS BASE'!$G25,'[1]import GRADED seats subject piv'!$A:Y,HLOOKUP(K$4,'[1]import GRADED seats subject piv'!$1:$2,2,FALSE),FALSE))),"")</f>
        <v/>
      </c>
      <c r="L29" s="15" t="str">
        <f>IFERROR((VLOOKUP('[1]SUBJECTS BASE'!$G25,'[1]import success seats'!$A:AJ,HLOOKUP(L$4,'[1]import success seats'!$1:$2,2,FALSE),FALSE))/((VLOOKUP('[1]SUBJECTS BASE'!$G25,'[1]import GRADED seats subject piv'!$A:Z,HLOOKUP(L$4,'[1]import GRADED seats subject piv'!$1:$2,2,FALSE),FALSE))),"")</f>
        <v/>
      </c>
      <c r="M29" s="19" t="str">
        <f>IFERROR((VLOOKUP('[1]SUBJECTS BASE'!$G25,'[1]import success seats'!$A:AK,HLOOKUP(M$4,'[1]import success seats'!$1:$2,2,FALSE),FALSE))/((VLOOKUP('[1]SUBJECTS BASE'!$G25,'[1]import GRADED seats subject piv'!$A:AB,HLOOKUP(M$4,'[1]import GRADED seats subject piv'!$1:$2,2,FALSE),FALSE))),"")</f>
        <v/>
      </c>
      <c r="N29" s="23" t="str">
        <f>IFERROR((VLOOKUP('[1]SUBJECTS BASE'!$G25,'[1]import success seats'!$A:AL,HLOOKUP(N$4,'[1]import success seats'!$1:$2,2,FALSE),FALSE))/((VLOOKUP('[1]SUBJECTS BASE'!$G25,'[1]import GRADED seats subject piv'!$A:AC,HLOOKUP(N$4,'[1]import GRADED seats subject piv'!$1:$2,2,FALSE),FALSE))),"")</f>
        <v/>
      </c>
      <c r="O29" s="15">
        <f>IFERROR((VLOOKUP('[1]SUBJECTS BASE'!$G25,'[1]import success seats'!$A:AM,HLOOKUP(O$4,'[1]import success seats'!$1:$2,2,FALSE),FALSE))/((VLOOKUP('[1]SUBJECTS BASE'!$G25,'[1]import GRADED seats subject piv'!$A:AD,HLOOKUP(O$4,'[1]import GRADED seats subject piv'!$1:$2,2,FALSE),FALSE))),"")</f>
        <v>1</v>
      </c>
      <c r="P29" s="15">
        <f>IFERROR((VLOOKUP('[1]SUBJECTS BASE'!$G25,'[1]import success seats'!$A:AN,HLOOKUP(P$4,'[1]import success seats'!$1:$2,2,FALSE),FALSE))/((VLOOKUP('[1]SUBJECTS BASE'!$G25,'[1]import GRADED seats subject piv'!$A:AE,HLOOKUP(P$4,'[1]import GRADED seats subject piv'!$1:$2,2,FALSE),FALSE))),"")</f>
        <v>0.66666666666666663</v>
      </c>
      <c r="Q29" s="13" t="str">
        <f>IFERROR((VLOOKUP('[1]SUBJECTS BASE'!$G25,'[1]import success seats'!$A:AO,HLOOKUP(Q$4,'[1]import success seats'!$1:$2,2,FALSE),FALSE))/((VLOOKUP('[1]SUBJECTS BASE'!$G25,'[1]import GRADED seats subject piv'!$A:AF,HLOOKUP(Q$4,'[1]import GRADED seats subject piv'!$1:$2,2,FALSE),FALSE))),"")</f>
        <v/>
      </c>
      <c r="R29" s="15">
        <f>IFERROR((VLOOKUP('[1]SUBJECTS BASE'!$G25,'[1]import success seats'!$A:AP,HLOOKUP(R$4,'[1]import success seats'!$1:$2,2,FALSE),FALSE))/((VLOOKUP('[1]SUBJECTS BASE'!$G25,'[1]import GRADED seats subject piv'!$A:AG,HLOOKUP(R$4,'[1]import GRADED seats subject piv'!$1:$2,2,FALSE),FALSE))),"")</f>
        <v>0.86842105263157898</v>
      </c>
      <c r="S29" s="19">
        <f>IFERROR((VLOOKUP('[1]SUBJECTS BASE'!$G25,'[1]import success seats'!$A:AQ,HLOOKUP(S$4,'[1]import success seats'!$1:$2,2,FALSE),FALSE))/((VLOOKUP('[1]SUBJECTS BASE'!$G25,'[1]import GRADED seats subject piv'!$A:AH,HLOOKUP(S$4,'[1]import GRADED seats subject piv'!$1:$2,2,FALSE),FALSE))),"")</f>
        <v>0.93333333333333335</v>
      </c>
    </row>
    <row r="30" spans="1:19" x14ac:dyDescent="0.25">
      <c r="A30" s="3" t="s">
        <v>1095</v>
      </c>
      <c r="B30" s="13">
        <f>IFERROR((VLOOKUP('[1]SUBJECTS BASE'!$G26,'[1]import success seats'!$A:Z,HLOOKUP(B$4,'[1]import success seats'!$1:$2,2,FALSE),FALSE))/((VLOOKUP('[1]SUBJECTS BASE'!$G26,'[1]import GRADED seats subject piv'!$A:P,HLOOKUP(B$4,'[1]import GRADED seats subject piv'!$1:$2,2,FALSE),FALSE))),"")</f>
        <v>0.88888888888888884</v>
      </c>
      <c r="C30" s="15">
        <f>IFERROR((VLOOKUP('[1]SUBJECTS BASE'!$G26,'[1]import success seats'!$A:AA,HLOOKUP(C$4,'[1]import success seats'!$1:$2,2,FALSE),FALSE))/((VLOOKUP('[1]SUBJECTS BASE'!$G26,'[1]import GRADED seats subject piv'!$A:Q,HLOOKUP(C$4,'[1]import GRADED seats subject piv'!$1:$2,2,FALSE),FALSE))),"")</f>
        <v>0.82673267326732669</v>
      </c>
      <c r="D30" s="21">
        <f>IFERROR((VLOOKUP('[1]SUBJECTS BASE'!$G26,'[1]import success seats'!$A:AB,HLOOKUP(D$4,'[1]import success seats'!$1:$2,2,FALSE),FALSE))/((VLOOKUP('[1]SUBJECTS BASE'!$G26,'[1]import GRADED seats subject piv'!$A:R,HLOOKUP(D$4,'[1]import GRADED seats subject piv'!$1:$2,2,FALSE),FALSE))),"")</f>
        <v>0.88888888888888884</v>
      </c>
      <c r="E30" s="13">
        <f>IFERROR((VLOOKUP('[1]SUBJECTS BASE'!$G26,'[1]import success seats'!$A:AC,HLOOKUP(E$4,'[1]import success seats'!$1:$2,2,FALSE),FALSE))/((VLOOKUP('[1]SUBJECTS BASE'!$G26,'[1]import GRADED seats subject piv'!$A:S,HLOOKUP(E$4,'[1]import GRADED seats subject piv'!$1:$2,2,FALSE),FALSE))),"")</f>
        <v>0.95454545454545459</v>
      </c>
      <c r="F30" s="15">
        <f>IFERROR((VLOOKUP('[1]SUBJECTS BASE'!$G26,'[1]import success seats'!$A:AD,HLOOKUP(F$4,'[1]import success seats'!$1:$2,2,FALSE),FALSE))/((VLOOKUP('[1]SUBJECTS BASE'!$G26,'[1]import GRADED seats subject piv'!$A:T,HLOOKUP(F$4,'[1]import GRADED seats subject piv'!$1:$2,2,FALSE),FALSE))),"")</f>
        <v>0.88432835820895528</v>
      </c>
      <c r="G30" s="19">
        <f>IFERROR((VLOOKUP('[1]SUBJECTS BASE'!$G26,'[1]import success seats'!$A:AE,HLOOKUP(G$4,'[1]import success seats'!$1:$2,2,FALSE),FALSE))/((VLOOKUP('[1]SUBJECTS BASE'!$G26,'[1]import GRADED seats subject piv'!$A:U,HLOOKUP(G$4,'[1]import GRADED seats subject piv'!$1:$2,2,FALSE),FALSE))),"")</f>
        <v>0.86561264822134387</v>
      </c>
      <c r="H30" s="23">
        <f>IFERROR((VLOOKUP('[1]SUBJECTS BASE'!$G26,'[1]import success seats'!$A:AF,HLOOKUP(H$4,'[1]import success seats'!$1:$2,2,FALSE),FALSE))/((VLOOKUP('[1]SUBJECTS BASE'!$G26,'[1]import GRADED seats subject piv'!$A:V,HLOOKUP(H$4,'[1]import GRADED seats subject piv'!$1:$2,2,FALSE),FALSE))),"")</f>
        <v>0.70370370370370372</v>
      </c>
      <c r="I30" s="15">
        <f>IFERROR((VLOOKUP('[1]SUBJECTS BASE'!$G26,'[1]import success seats'!$A:AG,HLOOKUP(I$4,'[1]import success seats'!$1:$2,2,FALSE),FALSE))/((VLOOKUP('[1]SUBJECTS BASE'!$G26,'[1]import GRADED seats subject piv'!$A:W,HLOOKUP(I$4,'[1]import GRADED seats subject piv'!$1:$2,2,FALSE),FALSE))),"")</f>
        <v>0.90151515151515149</v>
      </c>
      <c r="J30" s="21">
        <f>IFERROR((VLOOKUP('[1]SUBJECTS BASE'!$G26,'[1]import success seats'!$A:AH,HLOOKUP(J$4,'[1]import success seats'!$1:$2,2,FALSE),FALSE))/((VLOOKUP('[1]SUBJECTS BASE'!$G26,'[1]import GRADED seats subject piv'!$A:X,HLOOKUP(J$4,'[1]import GRADED seats subject piv'!$1:$2,2,FALSE),FALSE))),"")</f>
        <v>0.90283400809716596</v>
      </c>
      <c r="K30" s="13" t="str">
        <f>IFERROR((VLOOKUP('[1]SUBJECTS BASE'!$G26,'[1]import success seats'!$A:AI,HLOOKUP(K$4,'[1]import success seats'!$1:$2,2,FALSE),FALSE))/((VLOOKUP('[1]SUBJECTS BASE'!$G26,'[1]import GRADED seats subject piv'!$A:Y,HLOOKUP(K$4,'[1]import GRADED seats subject piv'!$1:$2,2,FALSE),FALSE))),"")</f>
        <v/>
      </c>
      <c r="L30" s="15">
        <f>IFERROR((VLOOKUP('[1]SUBJECTS BASE'!$G26,'[1]import success seats'!$A:AJ,HLOOKUP(L$4,'[1]import success seats'!$1:$2,2,FALSE),FALSE))/((VLOOKUP('[1]SUBJECTS BASE'!$G26,'[1]import GRADED seats subject piv'!$A:Z,HLOOKUP(L$4,'[1]import GRADED seats subject piv'!$1:$2,2,FALSE),FALSE))),"")</f>
        <v>0.90948275862068961</v>
      </c>
      <c r="M30" s="19">
        <f>IFERROR((VLOOKUP('[1]SUBJECTS BASE'!$G26,'[1]import success seats'!$A:AK,HLOOKUP(M$4,'[1]import success seats'!$1:$2,2,FALSE),FALSE))/((VLOOKUP('[1]SUBJECTS BASE'!$G26,'[1]import GRADED seats subject piv'!$A:AB,HLOOKUP(M$4,'[1]import GRADED seats subject piv'!$1:$2,2,FALSE),FALSE))),"")</f>
        <v>0.91818181818181821</v>
      </c>
      <c r="N30" s="23" t="str">
        <f>IFERROR((VLOOKUP('[1]SUBJECTS BASE'!$G26,'[1]import success seats'!$A:AL,HLOOKUP(N$4,'[1]import success seats'!$1:$2,2,FALSE),FALSE))/((VLOOKUP('[1]SUBJECTS BASE'!$G26,'[1]import GRADED seats subject piv'!$A:AC,HLOOKUP(N$4,'[1]import GRADED seats subject piv'!$1:$2,2,FALSE),FALSE))),"")</f>
        <v/>
      </c>
      <c r="O30" s="15">
        <f>IFERROR((VLOOKUP('[1]SUBJECTS BASE'!$G26,'[1]import success seats'!$A:AM,HLOOKUP(O$4,'[1]import success seats'!$1:$2,2,FALSE),FALSE))/((VLOOKUP('[1]SUBJECTS BASE'!$G26,'[1]import GRADED seats subject piv'!$A:AD,HLOOKUP(O$4,'[1]import GRADED seats subject piv'!$1:$2,2,FALSE),FALSE))),"")</f>
        <v>0.89573459715639814</v>
      </c>
      <c r="P30" s="15">
        <f>IFERROR((VLOOKUP('[1]SUBJECTS BASE'!$G26,'[1]import success seats'!$A:AN,HLOOKUP(P$4,'[1]import success seats'!$1:$2,2,FALSE),FALSE))/((VLOOKUP('[1]SUBJECTS BASE'!$G26,'[1]import GRADED seats subject piv'!$A:AE,HLOOKUP(P$4,'[1]import GRADED seats subject piv'!$1:$2,2,FALSE),FALSE))),"")</f>
        <v>0.92181069958847739</v>
      </c>
      <c r="Q30" s="13" t="str">
        <f>IFERROR((VLOOKUP('[1]SUBJECTS BASE'!$G26,'[1]import success seats'!$A:AO,HLOOKUP(Q$4,'[1]import success seats'!$1:$2,2,FALSE),FALSE))/((VLOOKUP('[1]SUBJECTS BASE'!$G26,'[1]import GRADED seats subject piv'!$A:AF,HLOOKUP(Q$4,'[1]import GRADED seats subject piv'!$1:$2,2,FALSE),FALSE))),"")</f>
        <v/>
      </c>
      <c r="R30" s="15">
        <f>IFERROR((VLOOKUP('[1]SUBJECTS BASE'!$G26,'[1]import success seats'!$A:AP,HLOOKUP(R$4,'[1]import success seats'!$1:$2,2,FALSE),FALSE))/((VLOOKUP('[1]SUBJECTS BASE'!$G26,'[1]import GRADED seats subject piv'!$A:AG,HLOOKUP(R$4,'[1]import GRADED seats subject piv'!$1:$2,2,FALSE),FALSE))),"")</f>
        <v>0.92385786802030456</v>
      </c>
      <c r="S30" s="19">
        <f>IFERROR((VLOOKUP('[1]SUBJECTS BASE'!$G26,'[1]import success seats'!$A:AQ,HLOOKUP(S$4,'[1]import success seats'!$1:$2,2,FALSE),FALSE))/((VLOOKUP('[1]SUBJECTS BASE'!$G26,'[1]import GRADED seats subject piv'!$A:AH,HLOOKUP(S$4,'[1]import GRADED seats subject piv'!$1:$2,2,FALSE),FALSE))),"")</f>
        <v>0.93989071038251371</v>
      </c>
    </row>
    <row r="31" spans="1:19" ht="15" hidden="1" customHeight="1" x14ac:dyDescent="0.25">
      <c r="A31" s="3" t="s">
        <v>1096</v>
      </c>
      <c r="B31" s="13" t="str">
        <f>IFERROR((VLOOKUP('[1]SUBJECTS BASE'!$G27,'[1]import success seats'!$A:Z,HLOOKUP(B$4,'[1]import success seats'!$1:$2,2,FALSE),FALSE))/((VLOOKUP('[1]SUBJECTS BASE'!$G27,'[1]import GRADED seats subject piv'!$A:P,HLOOKUP(B$4,'[1]import GRADED seats subject piv'!$1:$2,2,FALSE),FALSE))),"")</f>
        <v/>
      </c>
      <c r="C31" s="15" t="str">
        <f>IFERROR((VLOOKUP('[1]SUBJECTS BASE'!$G27,'[1]import success seats'!$A:AA,HLOOKUP(C$4,'[1]import success seats'!$1:$2,2,FALSE),FALSE))/((VLOOKUP('[1]SUBJECTS BASE'!$G27,'[1]import GRADED seats subject piv'!$A:Q,HLOOKUP(C$4,'[1]import GRADED seats subject piv'!$1:$2,2,FALSE),FALSE))),"")</f>
        <v/>
      </c>
      <c r="D31" s="21" t="str">
        <f>IFERROR((VLOOKUP('[1]SUBJECTS BASE'!$G27,'[1]import success seats'!$A:AB,HLOOKUP(D$4,'[1]import success seats'!$1:$2,2,FALSE),FALSE))/((VLOOKUP('[1]SUBJECTS BASE'!$G27,'[1]import GRADED seats subject piv'!$A:R,HLOOKUP(D$4,'[1]import GRADED seats subject piv'!$1:$2,2,FALSE),FALSE))),"")</f>
        <v/>
      </c>
      <c r="E31" s="13" t="str">
        <f>IFERROR((VLOOKUP('[1]SUBJECTS BASE'!$G27,'[1]import success seats'!$A:AC,HLOOKUP(E$4,'[1]import success seats'!$1:$2,2,FALSE),FALSE))/((VLOOKUP('[1]SUBJECTS BASE'!$G27,'[1]import GRADED seats subject piv'!$A:S,HLOOKUP(E$4,'[1]import GRADED seats subject piv'!$1:$2,2,FALSE),FALSE))),"")</f>
        <v/>
      </c>
      <c r="F31" s="15" t="str">
        <f>IFERROR((VLOOKUP('[1]SUBJECTS BASE'!$G27,'[1]import success seats'!$A:AD,HLOOKUP(F$4,'[1]import success seats'!$1:$2,2,FALSE),FALSE))/((VLOOKUP('[1]SUBJECTS BASE'!$G27,'[1]import GRADED seats subject piv'!$A:T,HLOOKUP(F$4,'[1]import GRADED seats subject piv'!$1:$2,2,FALSE),FALSE))),"")</f>
        <v/>
      </c>
      <c r="G31" s="19" t="str">
        <f>IFERROR((VLOOKUP('[1]SUBJECTS BASE'!$G27,'[1]import success seats'!$A:AE,HLOOKUP(G$4,'[1]import success seats'!$1:$2,2,FALSE),FALSE))/((VLOOKUP('[1]SUBJECTS BASE'!$G27,'[1]import GRADED seats subject piv'!$A:U,HLOOKUP(G$4,'[1]import GRADED seats subject piv'!$1:$2,2,FALSE),FALSE))),"")</f>
        <v/>
      </c>
      <c r="H31" s="23" t="str">
        <f>IFERROR((VLOOKUP('[1]SUBJECTS BASE'!$G27,'[1]import success seats'!$A:AF,HLOOKUP(H$4,'[1]import success seats'!$1:$2,2,FALSE),FALSE))/((VLOOKUP('[1]SUBJECTS BASE'!$G27,'[1]import GRADED seats subject piv'!$A:V,HLOOKUP(H$4,'[1]import GRADED seats subject piv'!$1:$2,2,FALSE),FALSE))),"")</f>
        <v/>
      </c>
      <c r="I31" s="15" t="str">
        <f>IFERROR((VLOOKUP('[1]SUBJECTS BASE'!$G27,'[1]import success seats'!$A:AG,HLOOKUP(I$4,'[1]import success seats'!$1:$2,2,FALSE),FALSE))/((VLOOKUP('[1]SUBJECTS BASE'!$G27,'[1]import GRADED seats subject piv'!$A:W,HLOOKUP(I$4,'[1]import GRADED seats subject piv'!$1:$2,2,FALSE),FALSE))),"")</f>
        <v/>
      </c>
      <c r="J31" s="21" t="str">
        <f>IFERROR((VLOOKUP('[1]SUBJECTS BASE'!$G27,'[1]import success seats'!$A:AH,HLOOKUP(J$4,'[1]import success seats'!$1:$2,2,FALSE),FALSE))/((VLOOKUP('[1]SUBJECTS BASE'!$G27,'[1]import GRADED seats subject piv'!$A:X,HLOOKUP(J$4,'[1]import GRADED seats subject piv'!$1:$2,2,FALSE),FALSE))),"")</f>
        <v/>
      </c>
      <c r="K31" s="13" t="str">
        <f>IFERROR((VLOOKUP('[1]SUBJECTS BASE'!$G27,'[1]import success seats'!$A:AI,HLOOKUP(K$4,'[1]import success seats'!$1:$2,2,FALSE),FALSE))/((VLOOKUP('[1]SUBJECTS BASE'!$G27,'[1]import GRADED seats subject piv'!$A:Y,HLOOKUP(K$4,'[1]import GRADED seats subject piv'!$1:$2,2,FALSE),FALSE))),"")</f>
        <v/>
      </c>
      <c r="L31" s="15" t="str">
        <f>IFERROR((VLOOKUP('[1]SUBJECTS BASE'!$G27,'[1]import success seats'!$A:AJ,HLOOKUP(L$4,'[1]import success seats'!$1:$2,2,FALSE),FALSE))/((VLOOKUP('[1]SUBJECTS BASE'!$G27,'[1]import GRADED seats subject piv'!$A:Z,HLOOKUP(L$4,'[1]import GRADED seats subject piv'!$1:$2,2,FALSE),FALSE))),"")</f>
        <v/>
      </c>
      <c r="M31" s="19" t="str">
        <f>IFERROR((VLOOKUP('[1]SUBJECTS BASE'!$G27,'[1]import success seats'!$A:AK,HLOOKUP(M$4,'[1]import success seats'!$1:$2,2,FALSE),FALSE))/((VLOOKUP('[1]SUBJECTS BASE'!$G27,'[1]import GRADED seats subject piv'!$A:AB,HLOOKUP(M$4,'[1]import GRADED seats subject piv'!$1:$2,2,FALSE),FALSE))),"")</f>
        <v/>
      </c>
      <c r="N31" s="23" t="str">
        <f>IFERROR((VLOOKUP('[1]SUBJECTS BASE'!$G27,'[1]import success seats'!$A:AL,HLOOKUP(N$4,'[1]import success seats'!$1:$2,2,FALSE),FALSE))/((VLOOKUP('[1]SUBJECTS BASE'!$G27,'[1]import GRADED seats subject piv'!$A:AC,HLOOKUP(N$4,'[1]import GRADED seats subject piv'!$1:$2,2,FALSE),FALSE))),"")</f>
        <v/>
      </c>
      <c r="O31" s="15" t="str">
        <f>IFERROR((VLOOKUP('[1]SUBJECTS BASE'!$G27,'[1]import success seats'!$A:AM,HLOOKUP(O$4,'[1]import success seats'!$1:$2,2,FALSE),FALSE))/((VLOOKUP('[1]SUBJECTS BASE'!$G27,'[1]import GRADED seats subject piv'!$A:AD,HLOOKUP(O$4,'[1]import GRADED seats subject piv'!$1:$2,2,FALSE),FALSE))),"")</f>
        <v/>
      </c>
      <c r="P31" s="15" t="str">
        <f>IFERROR((VLOOKUP('[1]SUBJECTS BASE'!$G27,'[1]import success seats'!$A:AN,HLOOKUP(P$4,'[1]import success seats'!$1:$2,2,FALSE),FALSE))/((VLOOKUP('[1]SUBJECTS BASE'!$G27,'[1]import GRADED seats subject piv'!$A:AE,HLOOKUP(P$4,'[1]import GRADED seats subject piv'!$1:$2,2,FALSE),FALSE))),"")</f>
        <v/>
      </c>
      <c r="Q31" s="13" t="str">
        <f>IFERROR((VLOOKUP('[1]SUBJECTS BASE'!$G27,'[1]import success seats'!$A:AO,HLOOKUP(Q$4,'[1]import success seats'!$1:$2,2,FALSE),FALSE))/((VLOOKUP('[1]SUBJECTS BASE'!$G27,'[1]import GRADED seats subject piv'!$A:AF,HLOOKUP(Q$4,'[1]import GRADED seats subject piv'!$1:$2,2,FALSE),FALSE))),"")</f>
        <v/>
      </c>
      <c r="R31" s="15" t="str">
        <f>IFERROR((VLOOKUP('[1]SUBJECTS BASE'!$G27,'[1]import success seats'!$A:AP,HLOOKUP(R$4,'[1]import success seats'!$1:$2,2,FALSE),FALSE))/((VLOOKUP('[1]SUBJECTS BASE'!$G27,'[1]import GRADED seats subject piv'!$A:AG,HLOOKUP(R$4,'[1]import GRADED seats subject piv'!$1:$2,2,FALSE),FALSE))),"")</f>
        <v/>
      </c>
      <c r="S31" s="19" t="str">
        <f>IFERROR((VLOOKUP('[1]SUBJECTS BASE'!$G27,'[1]import success seats'!$A:AQ,HLOOKUP(S$4,'[1]import success seats'!$1:$2,2,FALSE),FALSE))/((VLOOKUP('[1]SUBJECTS BASE'!$G27,'[1]import GRADED seats subject piv'!$A:AH,HLOOKUP(S$4,'[1]import GRADED seats subject piv'!$1:$2,2,FALSE),FALSE))),"")</f>
        <v/>
      </c>
    </row>
    <row r="32" spans="1:19" x14ac:dyDescent="0.25">
      <c r="A32" s="3" t="s">
        <v>1097</v>
      </c>
      <c r="B32" s="13" t="str">
        <f>IFERROR((VLOOKUP('[1]SUBJECTS BASE'!$G28,'[1]import success seats'!$A:Z,HLOOKUP(B$4,'[1]import success seats'!$1:$2,2,FALSE),FALSE))/((VLOOKUP('[1]SUBJECTS BASE'!$G28,'[1]import GRADED seats subject piv'!$A:P,HLOOKUP(B$4,'[1]import GRADED seats subject piv'!$1:$2,2,FALSE),FALSE))),"")</f>
        <v/>
      </c>
      <c r="C32" s="15" t="str">
        <f>IFERROR((VLOOKUP('[1]SUBJECTS BASE'!$G28,'[1]import success seats'!$A:AA,HLOOKUP(C$4,'[1]import success seats'!$1:$2,2,FALSE),FALSE))/((VLOOKUP('[1]SUBJECTS BASE'!$G28,'[1]import GRADED seats subject piv'!$A:Q,HLOOKUP(C$4,'[1]import GRADED seats subject piv'!$1:$2,2,FALSE),FALSE))),"")</f>
        <v/>
      </c>
      <c r="D32" s="21" t="str">
        <f>IFERROR((VLOOKUP('[1]SUBJECTS BASE'!$G28,'[1]import success seats'!$A:AB,HLOOKUP(D$4,'[1]import success seats'!$1:$2,2,FALSE),FALSE))/((VLOOKUP('[1]SUBJECTS BASE'!$G28,'[1]import GRADED seats subject piv'!$A:R,HLOOKUP(D$4,'[1]import GRADED seats subject piv'!$1:$2,2,FALSE),FALSE))),"")</f>
        <v/>
      </c>
      <c r="E32" s="13" t="str">
        <f>IFERROR((VLOOKUP('[1]SUBJECTS BASE'!$G28,'[1]import success seats'!$A:AC,HLOOKUP(E$4,'[1]import success seats'!$1:$2,2,FALSE),FALSE))/((VLOOKUP('[1]SUBJECTS BASE'!$G28,'[1]import GRADED seats subject piv'!$A:S,HLOOKUP(E$4,'[1]import GRADED seats subject piv'!$1:$2,2,FALSE),FALSE))),"")</f>
        <v/>
      </c>
      <c r="F32" s="15" t="str">
        <f>IFERROR((VLOOKUP('[1]SUBJECTS BASE'!$G28,'[1]import success seats'!$A:AD,HLOOKUP(F$4,'[1]import success seats'!$1:$2,2,FALSE),FALSE))/((VLOOKUP('[1]SUBJECTS BASE'!$G28,'[1]import GRADED seats subject piv'!$A:T,HLOOKUP(F$4,'[1]import GRADED seats subject piv'!$1:$2,2,FALSE),FALSE))),"")</f>
        <v/>
      </c>
      <c r="G32" s="19">
        <f>IFERROR((VLOOKUP('[1]SUBJECTS BASE'!$G28,'[1]import success seats'!$A:AE,HLOOKUP(G$4,'[1]import success seats'!$1:$2,2,FALSE),FALSE))/((VLOOKUP('[1]SUBJECTS BASE'!$G28,'[1]import GRADED seats subject piv'!$A:U,HLOOKUP(G$4,'[1]import GRADED seats subject piv'!$1:$2,2,FALSE),FALSE))),"")</f>
        <v>0.9850746268656716</v>
      </c>
      <c r="H32" s="23">
        <f>IFERROR((VLOOKUP('[1]SUBJECTS BASE'!$G28,'[1]import success seats'!$A:AF,HLOOKUP(H$4,'[1]import success seats'!$1:$2,2,FALSE),FALSE))/((VLOOKUP('[1]SUBJECTS BASE'!$G28,'[1]import GRADED seats subject piv'!$A:V,HLOOKUP(H$4,'[1]import GRADED seats subject piv'!$1:$2,2,FALSE),FALSE))),"")</f>
        <v>0.875</v>
      </c>
      <c r="I32" s="15">
        <f>IFERROR((VLOOKUP('[1]SUBJECTS BASE'!$G28,'[1]import success seats'!$A:AG,HLOOKUP(I$4,'[1]import success seats'!$1:$2,2,FALSE),FALSE))/((VLOOKUP('[1]SUBJECTS BASE'!$G28,'[1]import GRADED seats subject piv'!$A:W,HLOOKUP(I$4,'[1]import GRADED seats subject piv'!$1:$2,2,FALSE),FALSE))),"")</f>
        <v>0.93006993006993011</v>
      </c>
      <c r="J32" s="21">
        <f>IFERROR((VLOOKUP('[1]SUBJECTS BASE'!$G28,'[1]import success seats'!$A:AH,HLOOKUP(J$4,'[1]import success seats'!$1:$2,2,FALSE),FALSE))/((VLOOKUP('[1]SUBJECTS BASE'!$G28,'[1]import GRADED seats subject piv'!$A:X,HLOOKUP(J$4,'[1]import GRADED seats subject piv'!$1:$2,2,FALSE),FALSE))),"")</f>
        <v>0.90506329113924056</v>
      </c>
      <c r="K32" s="13" t="str">
        <f>IFERROR((VLOOKUP('[1]SUBJECTS BASE'!$G28,'[1]import success seats'!$A:AI,HLOOKUP(K$4,'[1]import success seats'!$1:$2,2,FALSE),FALSE))/((VLOOKUP('[1]SUBJECTS BASE'!$G28,'[1]import GRADED seats subject piv'!$A:Y,HLOOKUP(K$4,'[1]import GRADED seats subject piv'!$1:$2,2,FALSE),FALSE))),"")</f>
        <v/>
      </c>
      <c r="L32" s="15">
        <f>IFERROR((VLOOKUP('[1]SUBJECTS BASE'!$G28,'[1]import success seats'!$A:AJ,HLOOKUP(L$4,'[1]import success seats'!$1:$2,2,FALSE),FALSE))/((VLOOKUP('[1]SUBJECTS BASE'!$G28,'[1]import GRADED seats subject piv'!$A:Z,HLOOKUP(L$4,'[1]import GRADED seats subject piv'!$1:$2,2,FALSE),FALSE))),"")</f>
        <v>0.83125000000000004</v>
      </c>
      <c r="M32" s="19">
        <f>IFERROR((VLOOKUP('[1]SUBJECTS BASE'!$G28,'[1]import success seats'!$A:AK,HLOOKUP(M$4,'[1]import success seats'!$1:$2,2,FALSE),FALSE))/((VLOOKUP('[1]SUBJECTS BASE'!$G28,'[1]import GRADED seats subject piv'!$A:AB,HLOOKUP(M$4,'[1]import GRADED seats subject piv'!$1:$2,2,FALSE),FALSE))),"")</f>
        <v>0.91959798994974873</v>
      </c>
      <c r="N32" s="23" t="str">
        <f>IFERROR((VLOOKUP('[1]SUBJECTS BASE'!$G28,'[1]import success seats'!$A:AL,HLOOKUP(N$4,'[1]import success seats'!$1:$2,2,FALSE),FALSE))/((VLOOKUP('[1]SUBJECTS BASE'!$G28,'[1]import GRADED seats subject piv'!$A:AC,HLOOKUP(N$4,'[1]import GRADED seats subject piv'!$1:$2,2,FALSE),FALSE))),"")</f>
        <v/>
      </c>
      <c r="O32" s="15">
        <f>IFERROR((VLOOKUP('[1]SUBJECTS BASE'!$G28,'[1]import success seats'!$A:AM,HLOOKUP(O$4,'[1]import success seats'!$1:$2,2,FALSE),FALSE))/((VLOOKUP('[1]SUBJECTS BASE'!$G28,'[1]import GRADED seats subject piv'!$A:AD,HLOOKUP(O$4,'[1]import GRADED seats subject piv'!$1:$2,2,FALSE),FALSE))),"")</f>
        <v>0.91005291005291</v>
      </c>
      <c r="P32" s="15">
        <f>IFERROR((VLOOKUP('[1]SUBJECTS BASE'!$G28,'[1]import success seats'!$A:AN,HLOOKUP(P$4,'[1]import success seats'!$1:$2,2,FALSE),FALSE))/((VLOOKUP('[1]SUBJECTS BASE'!$G28,'[1]import GRADED seats subject piv'!$A:AE,HLOOKUP(P$4,'[1]import GRADED seats subject piv'!$1:$2,2,FALSE),FALSE))),"")</f>
        <v>0.86702127659574468</v>
      </c>
      <c r="Q32" s="13" t="str">
        <f>IFERROR((VLOOKUP('[1]SUBJECTS BASE'!$G28,'[1]import success seats'!$A:AO,HLOOKUP(Q$4,'[1]import success seats'!$1:$2,2,FALSE),FALSE))/((VLOOKUP('[1]SUBJECTS BASE'!$G28,'[1]import GRADED seats subject piv'!$A:AF,HLOOKUP(Q$4,'[1]import GRADED seats subject piv'!$1:$2,2,FALSE),FALSE))),"")</f>
        <v/>
      </c>
      <c r="R32" s="15">
        <f>IFERROR((VLOOKUP('[1]SUBJECTS BASE'!$G28,'[1]import success seats'!$A:AP,HLOOKUP(R$4,'[1]import success seats'!$1:$2,2,FALSE),FALSE))/((VLOOKUP('[1]SUBJECTS BASE'!$G28,'[1]import GRADED seats subject piv'!$A:AG,HLOOKUP(R$4,'[1]import GRADED seats subject piv'!$1:$2,2,FALSE),FALSE))),"")</f>
        <v>0.90476190476190477</v>
      </c>
      <c r="S32" s="19">
        <f>IFERROR((VLOOKUP('[1]SUBJECTS BASE'!$G28,'[1]import success seats'!$A:AQ,HLOOKUP(S$4,'[1]import success seats'!$1:$2,2,FALSE),FALSE))/((VLOOKUP('[1]SUBJECTS BASE'!$G28,'[1]import GRADED seats subject piv'!$A:AH,HLOOKUP(S$4,'[1]import GRADED seats subject piv'!$1:$2,2,FALSE),FALSE))),"")</f>
        <v>0.94262295081967218</v>
      </c>
    </row>
    <row r="33" spans="1:19" x14ac:dyDescent="0.25">
      <c r="A33" s="3" t="s">
        <v>1098</v>
      </c>
      <c r="B33" s="13">
        <f>IFERROR((VLOOKUP('[1]SUBJECTS BASE'!$G29,'[1]import success seats'!$A:Z,HLOOKUP(B$4,'[1]import success seats'!$1:$2,2,FALSE),FALSE))/((VLOOKUP('[1]SUBJECTS BASE'!$G29,'[1]import GRADED seats subject piv'!$A:P,HLOOKUP(B$4,'[1]import GRADED seats subject piv'!$1:$2,2,FALSE),FALSE))),"")</f>
        <v>1</v>
      </c>
      <c r="C33" s="15">
        <f>IFERROR((VLOOKUP('[1]SUBJECTS BASE'!$G29,'[1]import success seats'!$A:AA,HLOOKUP(C$4,'[1]import success seats'!$1:$2,2,FALSE),FALSE))/((VLOOKUP('[1]SUBJECTS BASE'!$G29,'[1]import GRADED seats subject piv'!$A:Q,HLOOKUP(C$4,'[1]import GRADED seats subject piv'!$1:$2,2,FALSE),FALSE))),"")</f>
        <v>0.94573643410852715</v>
      </c>
      <c r="D33" s="21">
        <f>IFERROR((VLOOKUP('[1]SUBJECTS BASE'!$G29,'[1]import success seats'!$A:AB,HLOOKUP(D$4,'[1]import success seats'!$1:$2,2,FALSE),FALSE))/((VLOOKUP('[1]SUBJECTS BASE'!$G29,'[1]import GRADED seats subject piv'!$A:R,HLOOKUP(D$4,'[1]import GRADED seats subject piv'!$1:$2,2,FALSE),FALSE))),"")</f>
        <v>0.86842105263157898</v>
      </c>
      <c r="E33" s="13">
        <f>IFERROR((VLOOKUP('[1]SUBJECTS BASE'!$G29,'[1]import success seats'!$A:AC,HLOOKUP(E$4,'[1]import success seats'!$1:$2,2,FALSE),FALSE))/((VLOOKUP('[1]SUBJECTS BASE'!$G29,'[1]import GRADED seats subject piv'!$A:S,HLOOKUP(E$4,'[1]import GRADED seats subject piv'!$1:$2,2,FALSE),FALSE))),"")</f>
        <v>0.97297297297297303</v>
      </c>
      <c r="F33" s="15">
        <f>IFERROR((VLOOKUP('[1]SUBJECTS BASE'!$G29,'[1]import success seats'!$A:AD,HLOOKUP(F$4,'[1]import success seats'!$1:$2,2,FALSE),FALSE))/((VLOOKUP('[1]SUBJECTS BASE'!$G29,'[1]import GRADED seats subject piv'!$A:T,HLOOKUP(F$4,'[1]import GRADED seats subject piv'!$1:$2,2,FALSE),FALSE))),"")</f>
        <v>0.87845303867403313</v>
      </c>
      <c r="G33" s="19">
        <f>IFERROR((VLOOKUP('[1]SUBJECTS BASE'!$G29,'[1]import success seats'!$A:AE,HLOOKUP(G$4,'[1]import success seats'!$1:$2,2,FALSE),FALSE))/((VLOOKUP('[1]SUBJECTS BASE'!$G29,'[1]import GRADED seats subject piv'!$A:U,HLOOKUP(G$4,'[1]import GRADED seats subject piv'!$1:$2,2,FALSE),FALSE))),"")</f>
        <v>0.84328358208955223</v>
      </c>
      <c r="H33" s="23" t="str">
        <f>IFERROR((VLOOKUP('[1]SUBJECTS BASE'!$G29,'[1]import success seats'!$A:AF,HLOOKUP(H$4,'[1]import success seats'!$1:$2,2,FALSE),FALSE))/((VLOOKUP('[1]SUBJECTS BASE'!$G29,'[1]import GRADED seats subject piv'!$A:V,HLOOKUP(H$4,'[1]import GRADED seats subject piv'!$1:$2,2,FALSE),FALSE))),"")</f>
        <v/>
      </c>
      <c r="I33" s="15">
        <f>IFERROR((VLOOKUP('[1]SUBJECTS BASE'!$G29,'[1]import success seats'!$A:AG,HLOOKUP(I$4,'[1]import success seats'!$1:$2,2,FALSE),FALSE))/((VLOOKUP('[1]SUBJECTS BASE'!$G29,'[1]import GRADED seats subject piv'!$A:W,HLOOKUP(I$4,'[1]import GRADED seats subject piv'!$1:$2,2,FALSE),FALSE))),"")</f>
        <v>0.89449541284403666</v>
      </c>
      <c r="J33" s="21">
        <f>IFERROR((VLOOKUP('[1]SUBJECTS BASE'!$G29,'[1]import success seats'!$A:AH,HLOOKUP(J$4,'[1]import success seats'!$1:$2,2,FALSE),FALSE))/((VLOOKUP('[1]SUBJECTS BASE'!$G29,'[1]import GRADED seats subject piv'!$A:X,HLOOKUP(J$4,'[1]import GRADED seats subject piv'!$1:$2,2,FALSE),FALSE))),"")</f>
        <v>0.91666666666666663</v>
      </c>
      <c r="K33" s="13" t="str">
        <f>IFERROR((VLOOKUP('[1]SUBJECTS BASE'!$G29,'[1]import success seats'!$A:AI,HLOOKUP(K$4,'[1]import success seats'!$1:$2,2,FALSE),FALSE))/((VLOOKUP('[1]SUBJECTS BASE'!$G29,'[1]import GRADED seats subject piv'!$A:Y,HLOOKUP(K$4,'[1]import GRADED seats subject piv'!$1:$2,2,FALSE),FALSE))),"")</f>
        <v/>
      </c>
      <c r="L33" s="15">
        <f>IFERROR((VLOOKUP('[1]SUBJECTS BASE'!$G29,'[1]import success seats'!$A:AJ,HLOOKUP(L$4,'[1]import success seats'!$1:$2,2,FALSE),FALSE))/((VLOOKUP('[1]SUBJECTS BASE'!$G29,'[1]import GRADED seats subject piv'!$A:Z,HLOOKUP(L$4,'[1]import GRADED seats subject piv'!$1:$2,2,FALSE),FALSE))),"")</f>
        <v>0.87283236994219648</v>
      </c>
      <c r="M33" s="19">
        <f>IFERROR((VLOOKUP('[1]SUBJECTS BASE'!$G29,'[1]import success seats'!$A:AK,HLOOKUP(M$4,'[1]import success seats'!$1:$2,2,FALSE),FALSE))/((VLOOKUP('[1]SUBJECTS BASE'!$G29,'[1]import GRADED seats subject piv'!$A:AB,HLOOKUP(M$4,'[1]import GRADED seats subject piv'!$1:$2,2,FALSE),FALSE))),"")</f>
        <v>0.9640718562874252</v>
      </c>
      <c r="N33" s="23" t="str">
        <f>IFERROR((VLOOKUP('[1]SUBJECTS BASE'!$G29,'[1]import success seats'!$A:AL,HLOOKUP(N$4,'[1]import success seats'!$1:$2,2,FALSE),FALSE))/((VLOOKUP('[1]SUBJECTS BASE'!$G29,'[1]import GRADED seats subject piv'!$A:AC,HLOOKUP(N$4,'[1]import GRADED seats subject piv'!$1:$2,2,FALSE),FALSE))),"")</f>
        <v/>
      </c>
      <c r="O33" s="15">
        <f>IFERROR((VLOOKUP('[1]SUBJECTS BASE'!$G29,'[1]import success seats'!$A:AM,HLOOKUP(O$4,'[1]import success seats'!$1:$2,2,FALSE),FALSE))/((VLOOKUP('[1]SUBJECTS BASE'!$G29,'[1]import GRADED seats subject piv'!$A:AD,HLOOKUP(O$4,'[1]import GRADED seats subject piv'!$1:$2,2,FALSE),FALSE))),"")</f>
        <v>0.92700729927007297</v>
      </c>
      <c r="P33" s="15">
        <f>IFERROR((VLOOKUP('[1]SUBJECTS BASE'!$G29,'[1]import success seats'!$A:AN,HLOOKUP(P$4,'[1]import success seats'!$1:$2,2,FALSE),FALSE))/((VLOOKUP('[1]SUBJECTS BASE'!$G29,'[1]import GRADED seats subject piv'!$A:AE,HLOOKUP(P$4,'[1]import GRADED seats subject piv'!$1:$2,2,FALSE),FALSE))),"")</f>
        <v>0.92537313432835822</v>
      </c>
      <c r="Q33" s="13" t="str">
        <f>IFERROR((VLOOKUP('[1]SUBJECTS BASE'!$G29,'[1]import success seats'!$A:AO,HLOOKUP(Q$4,'[1]import success seats'!$1:$2,2,FALSE),FALSE))/((VLOOKUP('[1]SUBJECTS BASE'!$G29,'[1]import GRADED seats subject piv'!$A:AF,HLOOKUP(Q$4,'[1]import GRADED seats subject piv'!$1:$2,2,FALSE),FALSE))),"")</f>
        <v/>
      </c>
      <c r="R33" s="15">
        <f>IFERROR((VLOOKUP('[1]SUBJECTS BASE'!$G29,'[1]import success seats'!$A:AP,HLOOKUP(R$4,'[1]import success seats'!$1:$2,2,FALSE),FALSE))/((VLOOKUP('[1]SUBJECTS BASE'!$G29,'[1]import GRADED seats subject piv'!$A:AG,HLOOKUP(R$4,'[1]import GRADED seats subject piv'!$1:$2,2,FALSE),FALSE))),"")</f>
        <v>0.88805970149253732</v>
      </c>
      <c r="S33" s="19">
        <f>IFERROR((VLOOKUP('[1]SUBJECTS BASE'!$G29,'[1]import success seats'!$A:AQ,HLOOKUP(S$4,'[1]import success seats'!$1:$2,2,FALSE),FALSE))/((VLOOKUP('[1]SUBJECTS BASE'!$G29,'[1]import GRADED seats subject piv'!$A:AH,HLOOKUP(S$4,'[1]import GRADED seats subject piv'!$1:$2,2,FALSE),FALSE))),"")</f>
        <v>0.87362637362637363</v>
      </c>
    </row>
    <row r="34" spans="1:19" x14ac:dyDescent="0.25">
      <c r="A34" s="3" t="s">
        <v>1099</v>
      </c>
      <c r="B34" s="13">
        <f>IFERROR((VLOOKUP('[1]SUBJECTS BASE'!$G30,'[1]import success seats'!$A:Z,HLOOKUP(B$4,'[1]import success seats'!$1:$2,2,FALSE),FALSE))/((VLOOKUP('[1]SUBJECTS BASE'!$G30,'[1]import GRADED seats subject piv'!$A:P,HLOOKUP(B$4,'[1]import GRADED seats subject piv'!$1:$2,2,FALSE),FALSE))),"")</f>
        <v>1</v>
      </c>
      <c r="C34" s="15">
        <f>IFERROR((VLOOKUP('[1]SUBJECTS BASE'!$G30,'[1]import success seats'!$A:AA,HLOOKUP(C$4,'[1]import success seats'!$1:$2,2,FALSE),FALSE))/((VLOOKUP('[1]SUBJECTS BASE'!$G30,'[1]import GRADED seats subject piv'!$A:Q,HLOOKUP(C$4,'[1]import GRADED seats subject piv'!$1:$2,2,FALSE),FALSE))),"")</f>
        <v>0.84536082474226804</v>
      </c>
      <c r="D34" s="21">
        <f>IFERROR((VLOOKUP('[1]SUBJECTS BASE'!$G30,'[1]import success seats'!$A:AB,HLOOKUP(D$4,'[1]import success seats'!$1:$2,2,FALSE),FALSE))/((VLOOKUP('[1]SUBJECTS BASE'!$G30,'[1]import GRADED seats subject piv'!$A:R,HLOOKUP(D$4,'[1]import GRADED seats subject piv'!$1:$2,2,FALSE),FALSE))),"")</f>
        <v>0.86956521739130432</v>
      </c>
      <c r="E34" s="13">
        <f>IFERROR((VLOOKUP('[1]SUBJECTS BASE'!$G30,'[1]import success seats'!$A:AC,HLOOKUP(E$4,'[1]import success seats'!$1:$2,2,FALSE),FALSE))/((VLOOKUP('[1]SUBJECTS BASE'!$G30,'[1]import GRADED seats subject piv'!$A:S,HLOOKUP(E$4,'[1]import GRADED seats subject piv'!$1:$2,2,FALSE),FALSE))),"")</f>
        <v>1</v>
      </c>
      <c r="F34" s="15">
        <f>IFERROR((VLOOKUP('[1]SUBJECTS BASE'!$G30,'[1]import success seats'!$A:AD,HLOOKUP(F$4,'[1]import success seats'!$1:$2,2,FALSE),FALSE))/((VLOOKUP('[1]SUBJECTS BASE'!$G30,'[1]import GRADED seats subject piv'!$A:T,HLOOKUP(F$4,'[1]import GRADED seats subject piv'!$1:$2,2,FALSE),FALSE))),"")</f>
        <v>0.79646017699115046</v>
      </c>
      <c r="G34" s="19">
        <f>IFERROR((VLOOKUP('[1]SUBJECTS BASE'!$G30,'[1]import success seats'!$A:AE,HLOOKUP(G$4,'[1]import success seats'!$1:$2,2,FALSE),FALSE))/((VLOOKUP('[1]SUBJECTS BASE'!$G30,'[1]import GRADED seats subject piv'!$A:U,HLOOKUP(G$4,'[1]import GRADED seats subject piv'!$1:$2,2,FALSE),FALSE))),"")</f>
        <v>0.82352941176470584</v>
      </c>
      <c r="H34" s="23" t="str">
        <f>IFERROR((VLOOKUP('[1]SUBJECTS BASE'!$G30,'[1]import success seats'!$A:AF,HLOOKUP(H$4,'[1]import success seats'!$1:$2,2,FALSE),FALSE))/((VLOOKUP('[1]SUBJECTS BASE'!$G30,'[1]import GRADED seats subject piv'!$A:V,HLOOKUP(H$4,'[1]import GRADED seats subject piv'!$1:$2,2,FALSE),FALSE))),"")</f>
        <v/>
      </c>
      <c r="I34" s="15">
        <f>IFERROR((VLOOKUP('[1]SUBJECTS BASE'!$G30,'[1]import success seats'!$A:AG,HLOOKUP(I$4,'[1]import success seats'!$1:$2,2,FALSE),FALSE))/((VLOOKUP('[1]SUBJECTS BASE'!$G30,'[1]import GRADED seats subject piv'!$A:W,HLOOKUP(I$4,'[1]import GRADED seats subject piv'!$1:$2,2,FALSE),FALSE))),"")</f>
        <v>0.79338842975206614</v>
      </c>
      <c r="J34" s="21">
        <f>IFERROR((VLOOKUP('[1]SUBJECTS BASE'!$G30,'[1]import success seats'!$A:AH,HLOOKUP(J$4,'[1]import success seats'!$1:$2,2,FALSE),FALSE))/((VLOOKUP('[1]SUBJECTS BASE'!$G30,'[1]import GRADED seats subject piv'!$A:X,HLOOKUP(J$4,'[1]import GRADED seats subject piv'!$1:$2,2,FALSE),FALSE))),"")</f>
        <v>0.80769230769230771</v>
      </c>
      <c r="K34" s="13" t="str">
        <f>IFERROR((VLOOKUP('[1]SUBJECTS BASE'!$G30,'[1]import success seats'!$A:AI,HLOOKUP(K$4,'[1]import success seats'!$1:$2,2,FALSE),FALSE))/((VLOOKUP('[1]SUBJECTS BASE'!$G30,'[1]import GRADED seats subject piv'!$A:Y,HLOOKUP(K$4,'[1]import GRADED seats subject piv'!$1:$2,2,FALSE),FALSE))),"")</f>
        <v/>
      </c>
      <c r="L34" s="15">
        <f>IFERROR((VLOOKUP('[1]SUBJECTS BASE'!$G30,'[1]import success seats'!$A:AJ,HLOOKUP(L$4,'[1]import success seats'!$1:$2,2,FALSE),FALSE))/((VLOOKUP('[1]SUBJECTS BASE'!$G30,'[1]import GRADED seats subject piv'!$A:Z,HLOOKUP(L$4,'[1]import GRADED seats subject piv'!$1:$2,2,FALSE),FALSE))),"")</f>
        <v>0.83916083916083917</v>
      </c>
      <c r="M34" s="19">
        <f>IFERROR((VLOOKUP('[1]SUBJECTS BASE'!$G30,'[1]import success seats'!$A:AK,HLOOKUP(M$4,'[1]import success seats'!$1:$2,2,FALSE),FALSE))/((VLOOKUP('[1]SUBJECTS BASE'!$G30,'[1]import GRADED seats subject piv'!$A:AB,HLOOKUP(M$4,'[1]import GRADED seats subject piv'!$1:$2,2,FALSE),FALSE))),"")</f>
        <v>0.87022900763358779</v>
      </c>
      <c r="N34" s="23" t="str">
        <f>IFERROR((VLOOKUP('[1]SUBJECTS BASE'!$G30,'[1]import success seats'!$A:AL,HLOOKUP(N$4,'[1]import success seats'!$1:$2,2,FALSE),FALSE))/((VLOOKUP('[1]SUBJECTS BASE'!$G30,'[1]import GRADED seats subject piv'!$A:AC,HLOOKUP(N$4,'[1]import GRADED seats subject piv'!$1:$2,2,FALSE),FALSE))),"")</f>
        <v/>
      </c>
      <c r="O34" s="15">
        <f>IFERROR((VLOOKUP('[1]SUBJECTS BASE'!$G30,'[1]import success seats'!$A:AM,HLOOKUP(O$4,'[1]import success seats'!$1:$2,2,FALSE),FALSE))/((VLOOKUP('[1]SUBJECTS BASE'!$G30,'[1]import GRADED seats subject piv'!$A:AD,HLOOKUP(O$4,'[1]import GRADED seats subject piv'!$1:$2,2,FALSE),FALSE))),"")</f>
        <v>0.84671532846715325</v>
      </c>
      <c r="P34" s="15">
        <f>IFERROR((VLOOKUP('[1]SUBJECTS BASE'!$G30,'[1]import success seats'!$A:AN,HLOOKUP(P$4,'[1]import success seats'!$1:$2,2,FALSE),FALSE))/((VLOOKUP('[1]SUBJECTS BASE'!$G30,'[1]import GRADED seats subject piv'!$A:AE,HLOOKUP(P$4,'[1]import GRADED seats subject piv'!$1:$2,2,FALSE),FALSE))),"")</f>
        <v>0.84873949579831931</v>
      </c>
      <c r="Q34" s="13" t="str">
        <f>IFERROR((VLOOKUP('[1]SUBJECTS BASE'!$G30,'[1]import success seats'!$A:AO,HLOOKUP(Q$4,'[1]import success seats'!$1:$2,2,FALSE),FALSE))/((VLOOKUP('[1]SUBJECTS BASE'!$G30,'[1]import GRADED seats subject piv'!$A:AF,HLOOKUP(Q$4,'[1]import GRADED seats subject piv'!$1:$2,2,FALSE),FALSE))),"")</f>
        <v/>
      </c>
      <c r="R34" s="15">
        <f>IFERROR((VLOOKUP('[1]SUBJECTS BASE'!$G30,'[1]import success seats'!$A:AP,HLOOKUP(R$4,'[1]import success seats'!$1:$2,2,FALSE),FALSE))/((VLOOKUP('[1]SUBJECTS BASE'!$G30,'[1]import GRADED seats subject piv'!$A:AG,HLOOKUP(R$4,'[1]import GRADED seats subject piv'!$1:$2,2,FALSE),FALSE))),"")</f>
        <v>0.79856115107913672</v>
      </c>
      <c r="S34" s="19">
        <f>IFERROR((VLOOKUP('[1]SUBJECTS BASE'!$G30,'[1]import success seats'!$A:AQ,HLOOKUP(S$4,'[1]import success seats'!$1:$2,2,FALSE),FALSE))/((VLOOKUP('[1]SUBJECTS BASE'!$G30,'[1]import GRADED seats subject piv'!$A:AH,HLOOKUP(S$4,'[1]import GRADED seats subject piv'!$1:$2,2,FALSE),FALSE))),"")</f>
        <v>0.79166666666666663</v>
      </c>
    </row>
    <row r="35" spans="1:19" x14ac:dyDescent="0.25">
      <c r="A35" s="3" t="s">
        <v>1100</v>
      </c>
      <c r="B35" s="13">
        <f>IFERROR((VLOOKUP('[1]SUBJECTS BASE'!$G31,'[1]import success seats'!$A:Z,HLOOKUP(B$4,'[1]import success seats'!$1:$2,2,FALSE),FALSE))/((VLOOKUP('[1]SUBJECTS BASE'!$G31,'[1]import GRADED seats subject piv'!$A:P,HLOOKUP(B$4,'[1]import GRADED seats subject piv'!$1:$2,2,FALSE),FALSE))),"")</f>
        <v>0.89473684210526316</v>
      </c>
      <c r="C35" s="15">
        <f>IFERROR((VLOOKUP('[1]SUBJECTS BASE'!$G31,'[1]import success seats'!$A:AA,HLOOKUP(C$4,'[1]import success seats'!$1:$2,2,FALSE),FALSE))/((VLOOKUP('[1]SUBJECTS BASE'!$G31,'[1]import GRADED seats subject piv'!$A:Q,HLOOKUP(C$4,'[1]import GRADED seats subject piv'!$1:$2,2,FALSE),FALSE))),"")</f>
        <v>0.85333333333333339</v>
      </c>
      <c r="D35" s="21">
        <f>IFERROR((VLOOKUP('[1]SUBJECTS BASE'!$G31,'[1]import success seats'!$A:AB,HLOOKUP(D$4,'[1]import success seats'!$1:$2,2,FALSE),FALSE))/((VLOOKUP('[1]SUBJECTS BASE'!$G31,'[1]import GRADED seats subject piv'!$A:R,HLOOKUP(D$4,'[1]import GRADED seats subject piv'!$1:$2,2,FALSE),FALSE))),"")</f>
        <v>0.84</v>
      </c>
      <c r="E35" s="13">
        <f>IFERROR((VLOOKUP('[1]SUBJECTS BASE'!$G31,'[1]import success seats'!$A:AC,HLOOKUP(E$4,'[1]import success seats'!$1:$2,2,FALSE),FALSE))/((VLOOKUP('[1]SUBJECTS BASE'!$G31,'[1]import GRADED seats subject piv'!$A:S,HLOOKUP(E$4,'[1]import GRADED seats subject piv'!$1:$2,2,FALSE),FALSE))),"")</f>
        <v>0.8</v>
      </c>
      <c r="F35" s="15">
        <f>IFERROR((VLOOKUP('[1]SUBJECTS BASE'!$G31,'[1]import success seats'!$A:AD,HLOOKUP(F$4,'[1]import success seats'!$1:$2,2,FALSE),FALSE))/((VLOOKUP('[1]SUBJECTS BASE'!$G31,'[1]import GRADED seats subject piv'!$A:T,HLOOKUP(F$4,'[1]import GRADED seats subject piv'!$1:$2,2,FALSE),FALSE))),"")</f>
        <v>0.90769230769230769</v>
      </c>
      <c r="G35" s="19">
        <f>IFERROR((VLOOKUP('[1]SUBJECTS BASE'!$G31,'[1]import success seats'!$A:AE,HLOOKUP(G$4,'[1]import success seats'!$1:$2,2,FALSE),FALSE))/((VLOOKUP('[1]SUBJECTS BASE'!$G31,'[1]import GRADED seats subject piv'!$A:U,HLOOKUP(G$4,'[1]import GRADED seats subject piv'!$1:$2,2,FALSE),FALSE))),"")</f>
        <v>0.90946502057613166</v>
      </c>
      <c r="H35" s="23">
        <f>IFERROR((VLOOKUP('[1]SUBJECTS BASE'!$G31,'[1]import success seats'!$A:AF,HLOOKUP(H$4,'[1]import success seats'!$1:$2,2,FALSE),FALSE))/((VLOOKUP('[1]SUBJECTS BASE'!$G31,'[1]import GRADED seats subject piv'!$A:V,HLOOKUP(H$4,'[1]import GRADED seats subject piv'!$1:$2,2,FALSE),FALSE))),"")</f>
        <v>1</v>
      </c>
      <c r="I35" s="15">
        <f>IFERROR((VLOOKUP('[1]SUBJECTS BASE'!$G31,'[1]import success seats'!$A:AG,HLOOKUP(I$4,'[1]import success seats'!$1:$2,2,FALSE),FALSE))/((VLOOKUP('[1]SUBJECTS BASE'!$G31,'[1]import GRADED seats subject piv'!$A:W,HLOOKUP(I$4,'[1]import GRADED seats subject piv'!$1:$2,2,FALSE),FALSE))),"")</f>
        <v>0.85283018867924532</v>
      </c>
      <c r="J35" s="21">
        <f>IFERROR((VLOOKUP('[1]SUBJECTS BASE'!$G31,'[1]import success seats'!$A:AH,HLOOKUP(J$4,'[1]import success seats'!$1:$2,2,FALSE),FALSE))/((VLOOKUP('[1]SUBJECTS BASE'!$G31,'[1]import GRADED seats subject piv'!$A:X,HLOOKUP(J$4,'[1]import GRADED seats subject piv'!$1:$2,2,FALSE),FALSE))),"")</f>
        <v>0.81858407079646023</v>
      </c>
      <c r="K35" s="13" t="str">
        <f>IFERROR((VLOOKUP('[1]SUBJECTS BASE'!$G31,'[1]import success seats'!$A:AI,HLOOKUP(K$4,'[1]import success seats'!$1:$2,2,FALSE),FALSE))/((VLOOKUP('[1]SUBJECTS BASE'!$G31,'[1]import GRADED seats subject piv'!$A:Y,HLOOKUP(K$4,'[1]import GRADED seats subject piv'!$1:$2,2,FALSE),FALSE))),"")</f>
        <v/>
      </c>
      <c r="L35" s="15">
        <f>IFERROR((VLOOKUP('[1]SUBJECTS BASE'!$G31,'[1]import success seats'!$A:AJ,HLOOKUP(L$4,'[1]import success seats'!$1:$2,2,FALSE),FALSE))/((VLOOKUP('[1]SUBJECTS BASE'!$G31,'[1]import GRADED seats subject piv'!$A:Z,HLOOKUP(L$4,'[1]import GRADED seats subject piv'!$1:$2,2,FALSE),FALSE))),"")</f>
        <v>0.82790697674418601</v>
      </c>
      <c r="M35" s="19">
        <f>IFERROR((VLOOKUP('[1]SUBJECTS BASE'!$G31,'[1]import success seats'!$A:AK,HLOOKUP(M$4,'[1]import success seats'!$1:$2,2,FALSE),FALSE))/((VLOOKUP('[1]SUBJECTS BASE'!$G31,'[1]import GRADED seats subject piv'!$A:AB,HLOOKUP(M$4,'[1]import GRADED seats subject piv'!$1:$2,2,FALSE),FALSE))),"")</f>
        <v>0.80094786729857825</v>
      </c>
      <c r="N35" s="23" t="str">
        <f>IFERROR((VLOOKUP('[1]SUBJECTS BASE'!$G31,'[1]import success seats'!$A:AL,HLOOKUP(N$4,'[1]import success seats'!$1:$2,2,FALSE),FALSE))/((VLOOKUP('[1]SUBJECTS BASE'!$G31,'[1]import GRADED seats subject piv'!$A:AC,HLOOKUP(N$4,'[1]import GRADED seats subject piv'!$1:$2,2,FALSE),FALSE))),"")</f>
        <v/>
      </c>
      <c r="O35" s="15">
        <f>IFERROR((VLOOKUP('[1]SUBJECTS BASE'!$G31,'[1]import success seats'!$A:AM,HLOOKUP(O$4,'[1]import success seats'!$1:$2,2,FALSE),FALSE))/((VLOOKUP('[1]SUBJECTS BASE'!$G31,'[1]import GRADED seats subject piv'!$A:AD,HLOOKUP(O$4,'[1]import GRADED seats subject piv'!$1:$2,2,FALSE),FALSE))),"")</f>
        <v>0.83817427385892118</v>
      </c>
      <c r="P35" s="15">
        <f>IFERROR((VLOOKUP('[1]SUBJECTS BASE'!$G31,'[1]import success seats'!$A:AN,HLOOKUP(P$4,'[1]import success seats'!$1:$2,2,FALSE),FALSE))/((VLOOKUP('[1]SUBJECTS BASE'!$G31,'[1]import GRADED seats subject piv'!$A:AE,HLOOKUP(P$4,'[1]import GRADED seats subject piv'!$1:$2,2,FALSE),FALSE))),"")</f>
        <v>0.81451612903225812</v>
      </c>
      <c r="Q35" s="13" t="str">
        <f>IFERROR((VLOOKUP('[1]SUBJECTS BASE'!$G31,'[1]import success seats'!$A:AO,HLOOKUP(Q$4,'[1]import success seats'!$1:$2,2,FALSE),FALSE))/((VLOOKUP('[1]SUBJECTS BASE'!$G31,'[1]import GRADED seats subject piv'!$A:AF,HLOOKUP(Q$4,'[1]import GRADED seats subject piv'!$1:$2,2,FALSE),FALSE))),"")</f>
        <v/>
      </c>
      <c r="R35" s="15">
        <f>IFERROR((VLOOKUP('[1]SUBJECTS BASE'!$G31,'[1]import success seats'!$A:AP,HLOOKUP(R$4,'[1]import success seats'!$1:$2,2,FALSE),FALSE))/((VLOOKUP('[1]SUBJECTS BASE'!$G31,'[1]import GRADED seats subject piv'!$A:AG,HLOOKUP(R$4,'[1]import GRADED seats subject piv'!$1:$2,2,FALSE),FALSE))),"")</f>
        <v>0.67878787878787883</v>
      </c>
      <c r="S35" s="19">
        <f>IFERROR((VLOOKUP('[1]SUBJECTS BASE'!$G31,'[1]import success seats'!$A:AQ,HLOOKUP(S$4,'[1]import success seats'!$1:$2,2,FALSE),FALSE))/((VLOOKUP('[1]SUBJECTS BASE'!$G31,'[1]import GRADED seats subject piv'!$A:AH,HLOOKUP(S$4,'[1]import GRADED seats subject piv'!$1:$2,2,FALSE),FALSE))),"")</f>
        <v>0.88034188034188032</v>
      </c>
    </row>
    <row r="36" spans="1:19" x14ac:dyDescent="0.25">
      <c r="A36" s="3" t="s">
        <v>1101</v>
      </c>
      <c r="B36" s="13" t="str">
        <f>IFERROR((VLOOKUP('[1]SUBJECTS BASE'!$G32,'[1]import success seats'!$A:Z,HLOOKUP(B$4,'[1]import success seats'!$1:$2,2,FALSE),FALSE))/((VLOOKUP('[1]SUBJECTS BASE'!$G32,'[1]import GRADED seats subject piv'!$A:P,HLOOKUP(B$4,'[1]import GRADED seats subject piv'!$1:$2,2,FALSE),FALSE))),"")</f>
        <v/>
      </c>
      <c r="C36" s="15">
        <f>IFERROR((VLOOKUP('[1]SUBJECTS BASE'!$G32,'[1]import success seats'!$A:AA,HLOOKUP(C$4,'[1]import success seats'!$1:$2,2,FALSE),FALSE))/((VLOOKUP('[1]SUBJECTS BASE'!$G32,'[1]import GRADED seats subject piv'!$A:Q,HLOOKUP(C$4,'[1]import GRADED seats subject piv'!$1:$2,2,FALSE),FALSE))),"")</f>
        <v>0.90140845070422537</v>
      </c>
      <c r="D36" s="21">
        <f>IFERROR((VLOOKUP('[1]SUBJECTS BASE'!$G32,'[1]import success seats'!$A:AB,HLOOKUP(D$4,'[1]import success seats'!$1:$2,2,FALSE),FALSE))/((VLOOKUP('[1]SUBJECTS BASE'!$G32,'[1]import GRADED seats subject piv'!$A:R,HLOOKUP(D$4,'[1]import GRADED seats subject piv'!$1:$2,2,FALSE),FALSE))),"")</f>
        <v>0.89393939393939392</v>
      </c>
      <c r="E36" s="13" t="str">
        <f>IFERROR((VLOOKUP('[1]SUBJECTS BASE'!$G32,'[1]import success seats'!$A:AC,HLOOKUP(E$4,'[1]import success seats'!$1:$2,2,FALSE),FALSE))/((VLOOKUP('[1]SUBJECTS BASE'!$G32,'[1]import GRADED seats subject piv'!$A:S,HLOOKUP(E$4,'[1]import GRADED seats subject piv'!$1:$2,2,FALSE),FALSE))),"")</f>
        <v/>
      </c>
      <c r="F36" s="15">
        <f>IFERROR((VLOOKUP('[1]SUBJECTS BASE'!$G32,'[1]import success seats'!$A:AD,HLOOKUP(F$4,'[1]import success seats'!$1:$2,2,FALSE),FALSE))/((VLOOKUP('[1]SUBJECTS BASE'!$G32,'[1]import GRADED seats subject piv'!$A:T,HLOOKUP(F$4,'[1]import GRADED seats subject piv'!$1:$2,2,FALSE),FALSE))),"")</f>
        <v>0.86407766990291257</v>
      </c>
      <c r="G36" s="19">
        <f>IFERROR((VLOOKUP('[1]SUBJECTS BASE'!$G32,'[1]import success seats'!$A:AE,HLOOKUP(G$4,'[1]import success seats'!$1:$2,2,FALSE),FALSE))/((VLOOKUP('[1]SUBJECTS BASE'!$G32,'[1]import GRADED seats subject piv'!$A:U,HLOOKUP(G$4,'[1]import GRADED seats subject piv'!$1:$2,2,FALSE),FALSE))),"")</f>
        <v>0.839622641509434</v>
      </c>
      <c r="H36" s="23" t="str">
        <f>IFERROR((VLOOKUP('[1]SUBJECTS BASE'!$G32,'[1]import success seats'!$A:AF,HLOOKUP(H$4,'[1]import success seats'!$1:$2,2,FALSE),FALSE))/((VLOOKUP('[1]SUBJECTS BASE'!$G32,'[1]import GRADED seats subject piv'!$A:V,HLOOKUP(H$4,'[1]import GRADED seats subject piv'!$1:$2,2,FALSE),FALSE))),"")</f>
        <v/>
      </c>
      <c r="I36" s="15">
        <f>IFERROR((VLOOKUP('[1]SUBJECTS BASE'!$G32,'[1]import success seats'!$A:AG,HLOOKUP(I$4,'[1]import success seats'!$1:$2,2,FALSE),FALSE))/((VLOOKUP('[1]SUBJECTS BASE'!$G32,'[1]import GRADED seats subject piv'!$A:W,HLOOKUP(I$4,'[1]import GRADED seats subject piv'!$1:$2,2,FALSE),FALSE))),"")</f>
        <v>0.87596899224806202</v>
      </c>
      <c r="J36" s="21">
        <f>IFERROR((VLOOKUP('[1]SUBJECTS BASE'!$G32,'[1]import success seats'!$A:AH,HLOOKUP(J$4,'[1]import success seats'!$1:$2,2,FALSE),FALSE))/((VLOOKUP('[1]SUBJECTS BASE'!$G32,'[1]import GRADED seats subject piv'!$A:X,HLOOKUP(J$4,'[1]import GRADED seats subject piv'!$1:$2,2,FALSE),FALSE))),"")</f>
        <v>0.80508474576271183</v>
      </c>
      <c r="K36" s="13" t="str">
        <f>IFERROR((VLOOKUP('[1]SUBJECTS BASE'!$G32,'[1]import success seats'!$A:AI,HLOOKUP(K$4,'[1]import success seats'!$1:$2,2,FALSE),FALSE))/((VLOOKUP('[1]SUBJECTS BASE'!$G32,'[1]import GRADED seats subject piv'!$A:Y,HLOOKUP(K$4,'[1]import GRADED seats subject piv'!$1:$2,2,FALSE),FALSE))),"")</f>
        <v/>
      </c>
      <c r="L36" s="15">
        <f>IFERROR((VLOOKUP('[1]SUBJECTS BASE'!$G32,'[1]import success seats'!$A:AJ,HLOOKUP(L$4,'[1]import success seats'!$1:$2,2,FALSE),FALSE))/((VLOOKUP('[1]SUBJECTS BASE'!$G32,'[1]import GRADED seats subject piv'!$A:Z,HLOOKUP(L$4,'[1]import GRADED seats subject piv'!$1:$2,2,FALSE),FALSE))),"")</f>
        <v>0.76576576576576572</v>
      </c>
      <c r="M36" s="19">
        <f>IFERROR((VLOOKUP('[1]SUBJECTS BASE'!$G32,'[1]import success seats'!$A:AK,HLOOKUP(M$4,'[1]import success seats'!$1:$2,2,FALSE),FALSE))/((VLOOKUP('[1]SUBJECTS BASE'!$G32,'[1]import GRADED seats subject piv'!$A:AB,HLOOKUP(M$4,'[1]import GRADED seats subject piv'!$1:$2,2,FALSE),FALSE))),"")</f>
        <v>0.79207920792079212</v>
      </c>
      <c r="N36" s="23" t="str">
        <f>IFERROR((VLOOKUP('[1]SUBJECTS BASE'!$G32,'[1]import success seats'!$A:AL,HLOOKUP(N$4,'[1]import success seats'!$1:$2,2,FALSE),FALSE))/((VLOOKUP('[1]SUBJECTS BASE'!$G32,'[1]import GRADED seats subject piv'!$A:AC,HLOOKUP(N$4,'[1]import GRADED seats subject piv'!$1:$2,2,FALSE),FALSE))),"")</f>
        <v/>
      </c>
      <c r="O36" s="15">
        <f>IFERROR((VLOOKUP('[1]SUBJECTS BASE'!$G32,'[1]import success seats'!$A:AM,HLOOKUP(O$4,'[1]import success seats'!$1:$2,2,FALSE),FALSE))/((VLOOKUP('[1]SUBJECTS BASE'!$G32,'[1]import GRADED seats subject piv'!$A:AD,HLOOKUP(O$4,'[1]import GRADED seats subject piv'!$1:$2,2,FALSE),FALSE))),"")</f>
        <v>0.81599999999999995</v>
      </c>
      <c r="P36" s="15">
        <f>IFERROR((VLOOKUP('[1]SUBJECTS BASE'!$G32,'[1]import success seats'!$A:AN,HLOOKUP(P$4,'[1]import success seats'!$1:$2,2,FALSE),FALSE))/((VLOOKUP('[1]SUBJECTS BASE'!$G32,'[1]import GRADED seats subject piv'!$A:AE,HLOOKUP(P$4,'[1]import GRADED seats subject piv'!$1:$2,2,FALSE),FALSE))),"")</f>
        <v>0.80208333333333337</v>
      </c>
      <c r="Q36" s="13" t="str">
        <f>IFERROR((VLOOKUP('[1]SUBJECTS BASE'!$G32,'[1]import success seats'!$A:AO,HLOOKUP(Q$4,'[1]import success seats'!$1:$2,2,FALSE),FALSE))/((VLOOKUP('[1]SUBJECTS BASE'!$G32,'[1]import GRADED seats subject piv'!$A:AF,HLOOKUP(Q$4,'[1]import GRADED seats subject piv'!$1:$2,2,FALSE),FALSE))),"")</f>
        <v/>
      </c>
      <c r="R36" s="15">
        <f>IFERROR((VLOOKUP('[1]SUBJECTS BASE'!$G32,'[1]import success seats'!$A:AP,HLOOKUP(R$4,'[1]import success seats'!$1:$2,2,FALSE),FALSE))/((VLOOKUP('[1]SUBJECTS BASE'!$G32,'[1]import GRADED seats subject piv'!$A:AG,HLOOKUP(R$4,'[1]import GRADED seats subject piv'!$1:$2,2,FALSE),FALSE))),"")</f>
        <v>0.81451612903225812</v>
      </c>
      <c r="S36" s="19">
        <f>IFERROR((VLOOKUP('[1]SUBJECTS BASE'!$G32,'[1]import success seats'!$A:AQ,HLOOKUP(S$4,'[1]import success seats'!$1:$2,2,FALSE),FALSE))/((VLOOKUP('[1]SUBJECTS BASE'!$G32,'[1]import GRADED seats subject piv'!$A:AH,HLOOKUP(S$4,'[1]import GRADED seats subject piv'!$1:$2,2,FALSE),FALSE))),"")</f>
        <v>0.80991735537190079</v>
      </c>
    </row>
    <row r="37" spans="1:19" x14ac:dyDescent="0.25">
      <c r="A37" s="3" t="s">
        <v>1102</v>
      </c>
      <c r="B37" s="13" t="str">
        <f>IFERROR((VLOOKUP('[1]SUBJECTS BASE'!$G33,'[1]import success seats'!$A:Z,HLOOKUP(B$4,'[1]import success seats'!$1:$2,2,FALSE),FALSE))/((VLOOKUP('[1]SUBJECTS BASE'!$G33,'[1]import GRADED seats subject piv'!$A:P,HLOOKUP(B$4,'[1]import GRADED seats subject piv'!$1:$2,2,FALSE),FALSE))),"")</f>
        <v/>
      </c>
      <c r="C37" s="15" t="str">
        <f>IFERROR((VLOOKUP('[1]SUBJECTS BASE'!$G33,'[1]import success seats'!$A:AA,HLOOKUP(C$4,'[1]import success seats'!$1:$2,2,FALSE),FALSE))/((VLOOKUP('[1]SUBJECTS BASE'!$G33,'[1]import GRADED seats subject piv'!$A:Q,HLOOKUP(C$4,'[1]import GRADED seats subject piv'!$1:$2,2,FALSE),FALSE))),"")</f>
        <v/>
      </c>
      <c r="D37" s="21" t="str">
        <f>IFERROR((VLOOKUP('[1]SUBJECTS BASE'!$G33,'[1]import success seats'!$A:AB,HLOOKUP(D$4,'[1]import success seats'!$1:$2,2,FALSE),FALSE))/((VLOOKUP('[1]SUBJECTS BASE'!$G33,'[1]import GRADED seats subject piv'!$A:R,HLOOKUP(D$4,'[1]import GRADED seats subject piv'!$1:$2,2,FALSE),FALSE))),"")</f>
        <v/>
      </c>
      <c r="E37" s="13" t="str">
        <f>IFERROR((VLOOKUP('[1]SUBJECTS BASE'!$G33,'[1]import success seats'!$A:AC,HLOOKUP(E$4,'[1]import success seats'!$1:$2,2,FALSE),FALSE))/((VLOOKUP('[1]SUBJECTS BASE'!$G33,'[1]import GRADED seats subject piv'!$A:S,HLOOKUP(E$4,'[1]import GRADED seats subject piv'!$1:$2,2,FALSE),FALSE))),"")</f>
        <v/>
      </c>
      <c r="F37" s="15">
        <f>IFERROR((VLOOKUP('[1]SUBJECTS BASE'!$G33,'[1]import success seats'!$A:AD,HLOOKUP(F$4,'[1]import success seats'!$1:$2,2,FALSE),FALSE))/((VLOOKUP('[1]SUBJECTS BASE'!$G33,'[1]import GRADED seats subject piv'!$A:T,HLOOKUP(F$4,'[1]import GRADED seats subject piv'!$1:$2,2,FALSE),FALSE))),"")</f>
        <v>1</v>
      </c>
      <c r="G37" s="19" t="str">
        <f>IFERROR((VLOOKUP('[1]SUBJECTS BASE'!$G33,'[1]import success seats'!$A:AE,HLOOKUP(G$4,'[1]import success seats'!$1:$2,2,FALSE),FALSE))/((VLOOKUP('[1]SUBJECTS BASE'!$G33,'[1]import GRADED seats subject piv'!$A:U,HLOOKUP(G$4,'[1]import GRADED seats subject piv'!$1:$2,2,FALSE),FALSE))),"")</f>
        <v/>
      </c>
      <c r="H37" s="23" t="str">
        <f>IFERROR((VLOOKUP('[1]SUBJECTS BASE'!$G33,'[1]import success seats'!$A:AF,HLOOKUP(H$4,'[1]import success seats'!$1:$2,2,FALSE),FALSE))/((VLOOKUP('[1]SUBJECTS BASE'!$G33,'[1]import GRADED seats subject piv'!$A:V,HLOOKUP(H$4,'[1]import GRADED seats subject piv'!$1:$2,2,FALSE),FALSE))),"")</f>
        <v/>
      </c>
      <c r="I37" s="15" t="str">
        <f>IFERROR((VLOOKUP('[1]SUBJECTS BASE'!$G33,'[1]import success seats'!$A:AG,HLOOKUP(I$4,'[1]import success seats'!$1:$2,2,FALSE),FALSE))/((VLOOKUP('[1]SUBJECTS BASE'!$G33,'[1]import GRADED seats subject piv'!$A:W,HLOOKUP(I$4,'[1]import GRADED seats subject piv'!$1:$2,2,FALSE),FALSE))),"")</f>
        <v/>
      </c>
      <c r="J37" s="21" t="str">
        <f>IFERROR((VLOOKUP('[1]SUBJECTS BASE'!$G33,'[1]import success seats'!$A:AH,HLOOKUP(J$4,'[1]import success seats'!$1:$2,2,FALSE),FALSE))/((VLOOKUP('[1]SUBJECTS BASE'!$G33,'[1]import GRADED seats subject piv'!$A:X,HLOOKUP(J$4,'[1]import GRADED seats subject piv'!$1:$2,2,FALSE),FALSE))),"")</f>
        <v/>
      </c>
      <c r="K37" s="13" t="str">
        <f>IFERROR((VLOOKUP('[1]SUBJECTS BASE'!$G33,'[1]import success seats'!$A:AI,HLOOKUP(K$4,'[1]import success seats'!$1:$2,2,FALSE),FALSE))/((VLOOKUP('[1]SUBJECTS BASE'!$G33,'[1]import GRADED seats subject piv'!$A:Y,HLOOKUP(K$4,'[1]import GRADED seats subject piv'!$1:$2,2,FALSE),FALSE))),"")</f>
        <v/>
      </c>
      <c r="L37" s="15" t="str">
        <f>IFERROR((VLOOKUP('[1]SUBJECTS BASE'!$G33,'[1]import success seats'!$A:AJ,HLOOKUP(L$4,'[1]import success seats'!$1:$2,2,FALSE),FALSE))/((VLOOKUP('[1]SUBJECTS BASE'!$G33,'[1]import GRADED seats subject piv'!$A:Z,HLOOKUP(L$4,'[1]import GRADED seats subject piv'!$1:$2,2,FALSE),FALSE))),"")</f>
        <v/>
      </c>
      <c r="M37" s="19" t="str">
        <f>IFERROR((VLOOKUP('[1]SUBJECTS BASE'!$G33,'[1]import success seats'!$A:AK,HLOOKUP(M$4,'[1]import success seats'!$1:$2,2,FALSE),FALSE))/((VLOOKUP('[1]SUBJECTS BASE'!$G33,'[1]import GRADED seats subject piv'!$A:AB,HLOOKUP(M$4,'[1]import GRADED seats subject piv'!$1:$2,2,FALSE),FALSE))),"")</f>
        <v/>
      </c>
      <c r="N37" s="23" t="str">
        <f>IFERROR((VLOOKUP('[1]SUBJECTS BASE'!$G33,'[1]import success seats'!$A:AL,HLOOKUP(N$4,'[1]import success seats'!$1:$2,2,FALSE),FALSE))/((VLOOKUP('[1]SUBJECTS BASE'!$G33,'[1]import GRADED seats subject piv'!$A:AC,HLOOKUP(N$4,'[1]import GRADED seats subject piv'!$1:$2,2,FALSE),FALSE))),"")</f>
        <v/>
      </c>
      <c r="O37" s="15" t="str">
        <f>IFERROR((VLOOKUP('[1]SUBJECTS BASE'!$G33,'[1]import success seats'!$A:AM,HLOOKUP(O$4,'[1]import success seats'!$1:$2,2,FALSE),FALSE))/((VLOOKUP('[1]SUBJECTS BASE'!$G33,'[1]import GRADED seats subject piv'!$A:AD,HLOOKUP(O$4,'[1]import GRADED seats subject piv'!$1:$2,2,FALSE),FALSE))),"")</f>
        <v/>
      </c>
      <c r="P37" s="15" t="str">
        <f>IFERROR((VLOOKUP('[1]SUBJECTS BASE'!$G33,'[1]import success seats'!$A:AN,HLOOKUP(P$4,'[1]import success seats'!$1:$2,2,FALSE),FALSE))/((VLOOKUP('[1]SUBJECTS BASE'!$G33,'[1]import GRADED seats subject piv'!$A:AE,HLOOKUP(P$4,'[1]import GRADED seats subject piv'!$1:$2,2,FALSE),FALSE))),"")</f>
        <v/>
      </c>
      <c r="Q37" s="13" t="str">
        <f>IFERROR((VLOOKUP('[1]SUBJECTS BASE'!$G33,'[1]import success seats'!$A:AO,HLOOKUP(Q$4,'[1]import success seats'!$1:$2,2,FALSE),FALSE))/((VLOOKUP('[1]SUBJECTS BASE'!$G33,'[1]import GRADED seats subject piv'!$A:AF,HLOOKUP(Q$4,'[1]import GRADED seats subject piv'!$1:$2,2,FALSE),FALSE))),"")</f>
        <v/>
      </c>
      <c r="R37" s="15" t="str">
        <f>IFERROR((VLOOKUP('[1]SUBJECTS BASE'!$G33,'[1]import success seats'!$A:AP,HLOOKUP(R$4,'[1]import success seats'!$1:$2,2,FALSE),FALSE))/((VLOOKUP('[1]SUBJECTS BASE'!$G33,'[1]import GRADED seats subject piv'!$A:AG,HLOOKUP(R$4,'[1]import GRADED seats subject piv'!$1:$2,2,FALSE),FALSE))),"")</f>
        <v/>
      </c>
      <c r="S37" s="19" t="str">
        <f>IFERROR((VLOOKUP('[1]SUBJECTS BASE'!$G33,'[1]import success seats'!$A:AQ,HLOOKUP(S$4,'[1]import success seats'!$1:$2,2,FALSE),FALSE))/((VLOOKUP('[1]SUBJECTS BASE'!$G33,'[1]import GRADED seats subject piv'!$A:AH,HLOOKUP(S$4,'[1]import GRADED seats subject piv'!$1:$2,2,FALSE),FALSE))),"")</f>
        <v/>
      </c>
    </row>
    <row r="38" spans="1:19" x14ac:dyDescent="0.25">
      <c r="A38" s="3" t="s">
        <v>1103</v>
      </c>
      <c r="B38" s="13">
        <f>IFERROR((VLOOKUP('[1]SUBJECTS BASE'!$G34,'[1]import success seats'!$A:Z,HLOOKUP(B$4,'[1]import success seats'!$1:$2,2,FALSE),FALSE))/((VLOOKUP('[1]SUBJECTS BASE'!$G34,'[1]import GRADED seats subject piv'!$A:P,HLOOKUP(B$4,'[1]import GRADED seats subject piv'!$1:$2,2,FALSE),FALSE))),"")</f>
        <v>0.93023255813953487</v>
      </c>
      <c r="C38" s="15">
        <f>IFERROR((VLOOKUP('[1]SUBJECTS BASE'!$G34,'[1]import success seats'!$A:AA,HLOOKUP(C$4,'[1]import success seats'!$1:$2,2,FALSE),FALSE))/((VLOOKUP('[1]SUBJECTS BASE'!$G34,'[1]import GRADED seats subject piv'!$A:Q,HLOOKUP(C$4,'[1]import GRADED seats subject piv'!$1:$2,2,FALSE),FALSE))),"")</f>
        <v>0.87593984962406013</v>
      </c>
      <c r="D38" s="21">
        <f>IFERROR((VLOOKUP('[1]SUBJECTS BASE'!$G34,'[1]import success seats'!$A:AB,HLOOKUP(D$4,'[1]import success seats'!$1:$2,2,FALSE),FALSE))/((VLOOKUP('[1]SUBJECTS BASE'!$G34,'[1]import GRADED seats subject piv'!$A:R,HLOOKUP(D$4,'[1]import GRADED seats subject piv'!$1:$2,2,FALSE),FALSE))),"")</f>
        <v>0.87634408602150538</v>
      </c>
      <c r="E38" s="13">
        <f>IFERROR((VLOOKUP('[1]SUBJECTS BASE'!$G34,'[1]import success seats'!$A:AC,HLOOKUP(E$4,'[1]import success seats'!$1:$2,2,FALSE),FALSE))/((VLOOKUP('[1]SUBJECTS BASE'!$G34,'[1]import GRADED seats subject piv'!$A:S,HLOOKUP(E$4,'[1]import GRADED seats subject piv'!$1:$2,2,FALSE),FALSE))),"")</f>
        <v>0.8928571428571429</v>
      </c>
      <c r="F38" s="15">
        <f>IFERROR((VLOOKUP('[1]SUBJECTS BASE'!$G34,'[1]import success seats'!$A:AD,HLOOKUP(F$4,'[1]import success seats'!$1:$2,2,FALSE),FALSE))/((VLOOKUP('[1]SUBJECTS BASE'!$G34,'[1]import GRADED seats subject piv'!$A:T,HLOOKUP(F$4,'[1]import GRADED seats subject piv'!$1:$2,2,FALSE),FALSE))),"")</f>
        <v>0.9135802469135802</v>
      </c>
      <c r="G38" s="19">
        <f>IFERROR((VLOOKUP('[1]SUBJECTS BASE'!$G34,'[1]import success seats'!$A:AE,HLOOKUP(G$4,'[1]import success seats'!$1:$2,2,FALSE),FALSE))/((VLOOKUP('[1]SUBJECTS BASE'!$G34,'[1]import GRADED seats subject piv'!$A:U,HLOOKUP(G$4,'[1]import GRADED seats subject piv'!$1:$2,2,FALSE),FALSE))),"")</f>
        <v>0.86475409836065575</v>
      </c>
      <c r="H38" s="23">
        <f>IFERROR((VLOOKUP('[1]SUBJECTS BASE'!$G34,'[1]import success seats'!$A:AF,HLOOKUP(H$4,'[1]import success seats'!$1:$2,2,FALSE),FALSE))/((VLOOKUP('[1]SUBJECTS BASE'!$G34,'[1]import GRADED seats subject piv'!$A:V,HLOOKUP(H$4,'[1]import GRADED seats subject piv'!$1:$2,2,FALSE),FALSE))),"")</f>
        <v>1</v>
      </c>
      <c r="I38" s="15">
        <f>IFERROR((VLOOKUP('[1]SUBJECTS BASE'!$G34,'[1]import success seats'!$A:AG,HLOOKUP(I$4,'[1]import success seats'!$1:$2,2,FALSE),FALSE))/((VLOOKUP('[1]SUBJECTS BASE'!$G34,'[1]import GRADED seats subject piv'!$A:W,HLOOKUP(I$4,'[1]import GRADED seats subject piv'!$1:$2,2,FALSE),FALSE))),"")</f>
        <v>0.93795620437956206</v>
      </c>
      <c r="J38" s="21">
        <f>IFERROR((VLOOKUP('[1]SUBJECTS BASE'!$G34,'[1]import success seats'!$A:AH,HLOOKUP(J$4,'[1]import success seats'!$1:$2,2,FALSE),FALSE))/((VLOOKUP('[1]SUBJECTS BASE'!$G34,'[1]import GRADED seats subject piv'!$A:X,HLOOKUP(J$4,'[1]import GRADED seats subject piv'!$1:$2,2,FALSE),FALSE))),"")</f>
        <v>0.90086206896551724</v>
      </c>
      <c r="K38" s="13">
        <f>IFERROR((VLOOKUP('[1]SUBJECTS BASE'!$G34,'[1]import success seats'!$A:AI,HLOOKUP(K$4,'[1]import success seats'!$1:$2,2,FALSE),FALSE))/((VLOOKUP('[1]SUBJECTS BASE'!$G34,'[1]import GRADED seats subject piv'!$A:Y,HLOOKUP(K$4,'[1]import GRADED seats subject piv'!$1:$2,2,FALSE),FALSE))),"")</f>
        <v>1</v>
      </c>
      <c r="L38" s="15">
        <f>IFERROR((VLOOKUP('[1]SUBJECTS BASE'!$G34,'[1]import success seats'!$A:AJ,HLOOKUP(L$4,'[1]import success seats'!$1:$2,2,FALSE),FALSE))/((VLOOKUP('[1]SUBJECTS BASE'!$G34,'[1]import GRADED seats subject piv'!$A:Z,HLOOKUP(L$4,'[1]import GRADED seats subject piv'!$1:$2,2,FALSE),FALSE))),"")</f>
        <v>0.92929292929292928</v>
      </c>
      <c r="M38" s="19">
        <f>IFERROR((VLOOKUP('[1]SUBJECTS BASE'!$G34,'[1]import success seats'!$A:AK,HLOOKUP(M$4,'[1]import success seats'!$1:$2,2,FALSE),FALSE))/((VLOOKUP('[1]SUBJECTS BASE'!$G34,'[1]import GRADED seats subject piv'!$A:AB,HLOOKUP(M$4,'[1]import GRADED seats subject piv'!$1:$2,2,FALSE),FALSE))),"")</f>
        <v>0.93085106382978722</v>
      </c>
      <c r="N38" s="23" t="str">
        <f>IFERROR((VLOOKUP('[1]SUBJECTS BASE'!$G34,'[1]import success seats'!$A:AL,HLOOKUP(N$4,'[1]import success seats'!$1:$2,2,FALSE),FALSE))/((VLOOKUP('[1]SUBJECTS BASE'!$G34,'[1]import GRADED seats subject piv'!$A:AC,HLOOKUP(N$4,'[1]import GRADED seats subject piv'!$1:$2,2,FALSE),FALSE))),"")</f>
        <v/>
      </c>
      <c r="O38" s="15">
        <f>IFERROR((VLOOKUP('[1]SUBJECTS BASE'!$G34,'[1]import success seats'!$A:AM,HLOOKUP(O$4,'[1]import success seats'!$1:$2,2,FALSE),FALSE))/((VLOOKUP('[1]SUBJECTS BASE'!$G34,'[1]import GRADED seats subject piv'!$A:AD,HLOOKUP(O$4,'[1]import GRADED seats subject piv'!$1:$2,2,FALSE),FALSE))),"")</f>
        <v>0.9662921348314607</v>
      </c>
      <c r="P38" s="15">
        <f>IFERROR((VLOOKUP('[1]SUBJECTS BASE'!$G34,'[1]import success seats'!$A:AN,HLOOKUP(P$4,'[1]import success seats'!$1:$2,2,FALSE),FALSE))/((VLOOKUP('[1]SUBJECTS BASE'!$G34,'[1]import GRADED seats subject piv'!$A:AE,HLOOKUP(P$4,'[1]import GRADED seats subject piv'!$1:$2,2,FALSE),FALSE))),"")</f>
        <v>0.93913043478260871</v>
      </c>
      <c r="Q38" s="13">
        <f>IFERROR((VLOOKUP('[1]SUBJECTS BASE'!$G34,'[1]import success seats'!$A:AO,HLOOKUP(Q$4,'[1]import success seats'!$1:$2,2,FALSE),FALSE))/((VLOOKUP('[1]SUBJECTS BASE'!$G34,'[1]import GRADED seats subject piv'!$A:AF,HLOOKUP(Q$4,'[1]import GRADED seats subject piv'!$1:$2,2,FALSE),FALSE))),"")</f>
        <v>1</v>
      </c>
      <c r="R38" s="15">
        <f>IFERROR((VLOOKUP('[1]SUBJECTS BASE'!$G34,'[1]import success seats'!$A:AP,HLOOKUP(R$4,'[1]import success seats'!$1:$2,2,FALSE),FALSE))/((VLOOKUP('[1]SUBJECTS BASE'!$G34,'[1]import GRADED seats subject piv'!$A:AG,HLOOKUP(R$4,'[1]import GRADED seats subject piv'!$1:$2,2,FALSE),FALSE))),"")</f>
        <v>0.94230769230769229</v>
      </c>
      <c r="S38" s="19">
        <f>IFERROR((VLOOKUP('[1]SUBJECTS BASE'!$G34,'[1]import success seats'!$A:AQ,HLOOKUP(S$4,'[1]import success seats'!$1:$2,2,FALSE),FALSE))/((VLOOKUP('[1]SUBJECTS BASE'!$G34,'[1]import GRADED seats subject piv'!$A:AH,HLOOKUP(S$4,'[1]import GRADED seats subject piv'!$1:$2,2,FALSE),FALSE))),"")</f>
        <v>0.94142259414225937</v>
      </c>
    </row>
    <row r="39" spans="1:19" x14ac:dyDescent="0.25">
      <c r="A39" s="3" t="s">
        <v>1104</v>
      </c>
      <c r="B39" s="13" t="str">
        <f>IFERROR((VLOOKUP('[1]SUBJECTS BASE'!$G35,'[1]import success seats'!$A:Z,HLOOKUP(B$4,'[1]import success seats'!$1:$2,2,FALSE),FALSE))/((VLOOKUP('[1]SUBJECTS BASE'!$G35,'[1]import GRADED seats subject piv'!$A:P,HLOOKUP(B$4,'[1]import GRADED seats subject piv'!$1:$2,2,FALSE),FALSE))),"")</f>
        <v/>
      </c>
      <c r="C39" s="15">
        <f>IFERROR((VLOOKUP('[1]SUBJECTS BASE'!$G35,'[1]import success seats'!$A:AA,HLOOKUP(C$4,'[1]import success seats'!$1:$2,2,FALSE),FALSE))/((VLOOKUP('[1]SUBJECTS BASE'!$G35,'[1]import GRADED seats subject piv'!$A:Q,HLOOKUP(C$4,'[1]import GRADED seats subject piv'!$1:$2,2,FALSE),FALSE))),"")</f>
        <v>0.61538461538461542</v>
      </c>
      <c r="D39" s="21">
        <f>IFERROR((VLOOKUP('[1]SUBJECTS BASE'!$G35,'[1]import success seats'!$A:AB,HLOOKUP(D$4,'[1]import success seats'!$1:$2,2,FALSE),FALSE))/((VLOOKUP('[1]SUBJECTS BASE'!$G35,'[1]import GRADED seats subject piv'!$A:R,HLOOKUP(D$4,'[1]import GRADED seats subject piv'!$1:$2,2,FALSE),FALSE))),"")</f>
        <v>0.78947368421052633</v>
      </c>
      <c r="E39" s="13" t="str">
        <f>IFERROR((VLOOKUP('[1]SUBJECTS BASE'!$G35,'[1]import success seats'!$A:AC,HLOOKUP(E$4,'[1]import success seats'!$1:$2,2,FALSE),FALSE))/((VLOOKUP('[1]SUBJECTS BASE'!$G35,'[1]import GRADED seats subject piv'!$A:S,HLOOKUP(E$4,'[1]import GRADED seats subject piv'!$1:$2,2,FALSE),FALSE))),"")</f>
        <v/>
      </c>
      <c r="F39" s="15">
        <f>IFERROR((VLOOKUP('[1]SUBJECTS BASE'!$G35,'[1]import success seats'!$A:AD,HLOOKUP(F$4,'[1]import success seats'!$1:$2,2,FALSE),FALSE))/((VLOOKUP('[1]SUBJECTS BASE'!$G35,'[1]import GRADED seats subject piv'!$A:T,HLOOKUP(F$4,'[1]import GRADED seats subject piv'!$1:$2,2,FALSE),FALSE))),"")</f>
        <v>0.82608695652173914</v>
      </c>
      <c r="G39" s="19">
        <f>IFERROR((VLOOKUP('[1]SUBJECTS BASE'!$G35,'[1]import success seats'!$A:AE,HLOOKUP(G$4,'[1]import success seats'!$1:$2,2,FALSE),FALSE))/((VLOOKUP('[1]SUBJECTS BASE'!$G35,'[1]import GRADED seats subject piv'!$A:U,HLOOKUP(G$4,'[1]import GRADED seats subject piv'!$1:$2,2,FALSE),FALSE))),"")</f>
        <v>0.88235294117647056</v>
      </c>
      <c r="H39" s="23" t="str">
        <f>IFERROR((VLOOKUP('[1]SUBJECTS BASE'!$G35,'[1]import success seats'!$A:AF,HLOOKUP(H$4,'[1]import success seats'!$1:$2,2,FALSE),FALSE))/((VLOOKUP('[1]SUBJECTS BASE'!$G35,'[1]import GRADED seats subject piv'!$A:V,HLOOKUP(H$4,'[1]import GRADED seats subject piv'!$1:$2,2,FALSE),FALSE))),"")</f>
        <v/>
      </c>
      <c r="I39" s="15">
        <f>IFERROR((VLOOKUP('[1]SUBJECTS BASE'!$G35,'[1]import success seats'!$A:AG,HLOOKUP(I$4,'[1]import success seats'!$1:$2,2,FALSE),FALSE))/((VLOOKUP('[1]SUBJECTS BASE'!$G35,'[1]import GRADED seats subject piv'!$A:W,HLOOKUP(I$4,'[1]import GRADED seats subject piv'!$1:$2,2,FALSE),FALSE))),"")</f>
        <v>0.88</v>
      </c>
      <c r="J39" s="21">
        <f>IFERROR((VLOOKUP('[1]SUBJECTS BASE'!$G35,'[1]import success seats'!$A:AH,HLOOKUP(J$4,'[1]import success seats'!$1:$2,2,FALSE),FALSE))/((VLOOKUP('[1]SUBJECTS BASE'!$G35,'[1]import GRADED seats subject piv'!$A:X,HLOOKUP(J$4,'[1]import GRADED seats subject piv'!$1:$2,2,FALSE),FALSE))),"")</f>
        <v>0.875</v>
      </c>
      <c r="K39" s="13" t="str">
        <f>IFERROR((VLOOKUP('[1]SUBJECTS BASE'!$G35,'[1]import success seats'!$A:AI,HLOOKUP(K$4,'[1]import success seats'!$1:$2,2,FALSE),FALSE))/((VLOOKUP('[1]SUBJECTS BASE'!$G35,'[1]import GRADED seats subject piv'!$A:Y,HLOOKUP(K$4,'[1]import GRADED seats subject piv'!$1:$2,2,FALSE),FALSE))),"")</f>
        <v/>
      </c>
      <c r="L39" s="15">
        <f>IFERROR((VLOOKUP('[1]SUBJECTS BASE'!$G35,'[1]import success seats'!$A:AJ,HLOOKUP(L$4,'[1]import success seats'!$1:$2,2,FALSE),FALSE))/((VLOOKUP('[1]SUBJECTS BASE'!$G35,'[1]import GRADED seats subject piv'!$A:Z,HLOOKUP(L$4,'[1]import GRADED seats subject piv'!$1:$2,2,FALSE),FALSE))),"")</f>
        <v>0.86363636363636365</v>
      </c>
      <c r="M39" s="19">
        <f>IFERROR((VLOOKUP('[1]SUBJECTS BASE'!$G35,'[1]import success seats'!$A:AK,HLOOKUP(M$4,'[1]import success seats'!$1:$2,2,FALSE),FALSE))/((VLOOKUP('[1]SUBJECTS BASE'!$G35,'[1]import GRADED seats subject piv'!$A:AB,HLOOKUP(M$4,'[1]import GRADED seats subject piv'!$1:$2,2,FALSE),FALSE))),"")</f>
        <v>0.967741935483871</v>
      </c>
      <c r="N39" s="23" t="str">
        <f>IFERROR((VLOOKUP('[1]SUBJECTS BASE'!$G35,'[1]import success seats'!$A:AL,HLOOKUP(N$4,'[1]import success seats'!$1:$2,2,FALSE),FALSE))/((VLOOKUP('[1]SUBJECTS BASE'!$G35,'[1]import GRADED seats subject piv'!$A:AC,HLOOKUP(N$4,'[1]import GRADED seats subject piv'!$1:$2,2,FALSE),FALSE))),"")</f>
        <v/>
      </c>
      <c r="O39" s="15">
        <f>IFERROR((VLOOKUP('[1]SUBJECTS BASE'!$G35,'[1]import success seats'!$A:AM,HLOOKUP(O$4,'[1]import success seats'!$1:$2,2,FALSE),FALSE))/((VLOOKUP('[1]SUBJECTS BASE'!$G35,'[1]import GRADED seats subject piv'!$A:AD,HLOOKUP(O$4,'[1]import GRADED seats subject piv'!$1:$2,2,FALSE),FALSE))),"")</f>
        <v>0.94444444444444442</v>
      </c>
      <c r="P39" s="15">
        <f>IFERROR((VLOOKUP('[1]SUBJECTS BASE'!$G35,'[1]import success seats'!$A:AN,HLOOKUP(P$4,'[1]import success seats'!$1:$2,2,FALSE),FALSE))/((VLOOKUP('[1]SUBJECTS BASE'!$G35,'[1]import GRADED seats subject piv'!$A:AE,HLOOKUP(P$4,'[1]import GRADED seats subject piv'!$1:$2,2,FALSE),FALSE))),"")</f>
        <v>0.90909090909090906</v>
      </c>
      <c r="Q39" s="13" t="str">
        <f>IFERROR((VLOOKUP('[1]SUBJECTS BASE'!$G35,'[1]import success seats'!$A:AO,HLOOKUP(Q$4,'[1]import success seats'!$1:$2,2,FALSE),FALSE))/((VLOOKUP('[1]SUBJECTS BASE'!$G35,'[1]import GRADED seats subject piv'!$A:AF,HLOOKUP(Q$4,'[1]import GRADED seats subject piv'!$1:$2,2,FALSE),FALSE))),"")</f>
        <v/>
      </c>
      <c r="R39" s="15">
        <f>IFERROR((VLOOKUP('[1]SUBJECTS BASE'!$G35,'[1]import success seats'!$A:AP,HLOOKUP(R$4,'[1]import success seats'!$1:$2,2,FALSE),FALSE))/((VLOOKUP('[1]SUBJECTS BASE'!$G35,'[1]import GRADED seats subject piv'!$A:AG,HLOOKUP(R$4,'[1]import GRADED seats subject piv'!$1:$2,2,FALSE),FALSE))),"")</f>
        <v>0.9375</v>
      </c>
      <c r="S39" s="19">
        <f>IFERROR((VLOOKUP('[1]SUBJECTS BASE'!$G35,'[1]import success seats'!$A:AQ,HLOOKUP(S$4,'[1]import success seats'!$1:$2,2,FALSE),FALSE))/((VLOOKUP('[1]SUBJECTS BASE'!$G35,'[1]import GRADED seats subject piv'!$A:AH,HLOOKUP(S$4,'[1]import GRADED seats subject piv'!$1:$2,2,FALSE),FALSE))),"")</f>
        <v>1</v>
      </c>
    </row>
    <row r="40" spans="1:19" x14ac:dyDescent="0.25">
      <c r="A40" s="3" t="s">
        <v>1105</v>
      </c>
      <c r="B40" s="13">
        <f>IFERROR((VLOOKUP('[1]SUBJECTS BASE'!$G36,'[1]import success seats'!$A:Z,HLOOKUP(B$4,'[1]import success seats'!$1:$2,2,FALSE),FALSE))/((VLOOKUP('[1]SUBJECTS BASE'!$G36,'[1]import GRADED seats subject piv'!$A:P,HLOOKUP(B$4,'[1]import GRADED seats subject piv'!$1:$2,2,FALSE),FALSE))),"")</f>
        <v>0.93548387096774188</v>
      </c>
      <c r="C40" s="15">
        <f>IFERROR((VLOOKUP('[1]SUBJECTS BASE'!$G36,'[1]import success seats'!$A:AA,HLOOKUP(C$4,'[1]import success seats'!$1:$2,2,FALSE),FALSE))/((VLOOKUP('[1]SUBJECTS BASE'!$G36,'[1]import GRADED seats subject piv'!$A:Q,HLOOKUP(C$4,'[1]import GRADED seats subject piv'!$1:$2,2,FALSE),FALSE))),"")</f>
        <v>0.86074766355140186</v>
      </c>
      <c r="D40" s="21">
        <f>IFERROR((VLOOKUP('[1]SUBJECTS BASE'!$G36,'[1]import success seats'!$A:AB,HLOOKUP(D$4,'[1]import success seats'!$1:$2,2,FALSE),FALSE))/((VLOOKUP('[1]SUBJECTS BASE'!$G36,'[1]import GRADED seats subject piv'!$A:R,HLOOKUP(D$4,'[1]import GRADED seats subject piv'!$1:$2,2,FALSE),FALSE))),"")</f>
        <v>0.86486486486486491</v>
      </c>
      <c r="E40" s="13">
        <f>IFERROR((VLOOKUP('[1]SUBJECTS BASE'!$G36,'[1]import success seats'!$A:AC,HLOOKUP(E$4,'[1]import success seats'!$1:$2,2,FALSE),FALSE))/((VLOOKUP('[1]SUBJECTS BASE'!$G36,'[1]import GRADED seats subject piv'!$A:S,HLOOKUP(E$4,'[1]import GRADED seats subject piv'!$1:$2,2,FALSE),FALSE))),"")</f>
        <v>0.90804597701149425</v>
      </c>
      <c r="F40" s="15">
        <f>IFERROR((VLOOKUP('[1]SUBJECTS BASE'!$G36,'[1]import success seats'!$A:AD,HLOOKUP(F$4,'[1]import success seats'!$1:$2,2,FALSE),FALSE))/((VLOOKUP('[1]SUBJECTS BASE'!$G36,'[1]import GRADED seats subject piv'!$A:T,HLOOKUP(F$4,'[1]import GRADED seats subject piv'!$1:$2,2,FALSE),FALSE))),"")</f>
        <v>0.8442694663167104</v>
      </c>
      <c r="G40" s="19">
        <f>IFERROR((VLOOKUP('[1]SUBJECTS BASE'!$G36,'[1]import success seats'!$A:AE,HLOOKUP(G$4,'[1]import success seats'!$1:$2,2,FALSE),FALSE))/((VLOOKUP('[1]SUBJECTS BASE'!$G36,'[1]import GRADED seats subject piv'!$A:U,HLOOKUP(G$4,'[1]import GRADED seats subject piv'!$1:$2,2,FALSE),FALSE))),"")</f>
        <v>0.8</v>
      </c>
      <c r="H40" s="23">
        <f>IFERROR((VLOOKUP('[1]SUBJECTS BASE'!$G36,'[1]import success seats'!$A:AF,HLOOKUP(H$4,'[1]import success seats'!$1:$2,2,FALSE),FALSE))/((VLOOKUP('[1]SUBJECTS BASE'!$G36,'[1]import GRADED seats subject piv'!$A:V,HLOOKUP(H$4,'[1]import GRADED seats subject piv'!$1:$2,2,FALSE),FALSE))),"")</f>
        <v>0.98863636363636365</v>
      </c>
      <c r="I40" s="15">
        <f>IFERROR((VLOOKUP('[1]SUBJECTS BASE'!$G36,'[1]import success seats'!$A:AG,HLOOKUP(I$4,'[1]import success seats'!$1:$2,2,FALSE),FALSE))/((VLOOKUP('[1]SUBJECTS BASE'!$G36,'[1]import GRADED seats subject piv'!$A:W,HLOOKUP(I$4,'[1]import GRADED seats subject piv'!$1:$2,2,FALSE),FALSE))),"")</f>
        <v>0.86147859922178993</v>
      </c>
      <c r="J40" s="21">
        <f>IFERROR((VLOOKUP('[1]SUBJECTS BASE'!$G36,'[1]import success seats'!$A:AH,HLOOKUP(J$4,'[1]import success seats'!$1:$2,2,FALSE),FALSE))/((VLOOKUP('[1]SUBJECTS BASE'!$G36,'[1]import GRADED seats subject piv'!$A:X,HLOOKUP(J$4,'[1]import GRADED seats subject piv'!$1:$2,2,FALSE),FALSE))),"")</f>
        <v>0.84478371501272265</v>
      </c>
      <c r="K40" s="13">
        <f>IFERROR((VLOOKUP('[1]SUBJECTS BASE'!$G36,'[1]import success seats'!$A:AI,HLOOKUP(K$4,'[1]import success seats'!$1:$2,2,FALSE),FALSE))/((VLOOKUP('[1]SUBJECTS BASE'!$G36,'[1]import GRADED seats subject piv'!$A:Y,HLOOKUP(K$4,'[1]import GRADED seats subject piv'!$1:$2,2,FALSE),FALSE))),"")</f>
        <v>0.956989247311828</v>
      </c>
      <c r="L40" s="15">
        <f>IFERROR((VLOOKUP('[1]SUBJECTS BASE'!$G36,'[1]import success seats'!$A:AJ,HLOOKUP(L$4,'[1]import success seats'!$1:$2,2,FALSE),FALSE))/((VLOOKUP('[1]SUBJECTS BASE'!$G36,'[1]import GRADED seats subject piv'!$A:Z,HLOOKUP(L$4,'[1]import GRADED seats subject piv'!$1:$2,2,FALSE),FALSE))),"")</f>
        <v>0.85669456066945604</v>
      </c>
      <c r="M40" s="19">
        <f>IFERROR((VLOOKUP('[1]SUBJECTS BASE'!$G36,'[1]import success seats'!$A:AK,HLOOKUP(M$4,'[1]import success seats'!$1:$2,2,FALSE),FALSE))/((VLOOKUP('[1]SUBJECTS BASE'!$G36,'[1]import GRADED seats subject piv'!$A:AB,HLOOKUP(M$4,'[1]import GRADED seats subject piv'!$1:$2,2,FALSE),FALSE))),"")</f>
        <v>0.84251207729468602</v>
      </c>
      <c r="N40" s="23" t="str">
        <f>IFERROR((VLOOKUP('[1]SUBJECTS BASE'!$G36,'[1]import success seats'!$A:AL,HLOOKUP(N$4,'[1]import success seats'!$1:$2,2,FALSE),FALSE))/((VLOOKUP('[1]SUBJECTS BASE'!$G36,'[1]import GRADED seats subject piv'!$A:AC,HLOOKUP(N$4,'[1]import GRADED seats subject piv'!$1:$2,2,FALSE),FALSE))),"")</f>
        <v/>
      </c>
      <c r="O40" s="15">
        <f>IFERROR((VLOOKUP('[1]SUBJECTS BASE'!$G36,'[1]import success seats'!$A:AM,HLOOKUP(O$4,'[1]import success seats'!$1:$2,2,FALSE),FALSE))/((VLOOKUP('[1]SUBJECTS BASE'!$G36,'[1]import GRADED seats subject piv'!$A:AD,HLOOKUP(O$4,'[1]import GRADED seats subject piv'!$1:$2,2,FALSE),FALSE))),"")</f>
        <v>0.8447058823529412</v>
      </c>
      <c r="P40" s="15">
        <f>IFERROR((VLOOKUP('[1]SUBJECTS BASE'!$G36,'[1]import success seats'!$A:AN,HLOOKUP(P$4,'[1]import success seats'!$1:$2,2,FALSE),FALSE))/((VLOOKUP('[1]SUBJECTS BASE'!$G36,'[1]import GRADED seats subject piv'!$A:AE,HLOOKUP(P$4,'[1]import GRADED seats subject piv'!$1:$2,2,FALSE),FALSE))),"")</f>
        <v>0.83681592039801</v>
      </c>
      <c r="Q40" s="13">
        <f>IFERROR((VLOOKUP('[1]SUBJECTS BASE'!$G36,'[1]import success seats'!$A:AO,HLOOKUP(Q$4,'[1]import success seats'!$1:$2,2,FALSE),FALSE))/((VLOOKUP('[1]SUBJECTS BASE'!$G36,'[1]import GRADED seats subject piv'!$A:AF,HLOOKUP(Q$4,'[1]import GRADED seats subject piv'!$1:$2,2,FALSE),FALSE))),"")</f>
        <v>0.8666666666666667</v>
      </c>
      <c r="R40" s="15">
        <f>IFERROR((VLOOKUP('[1]SUBJECTS BASE'!$G36,'[1]import success seats'!$A:AP,HLOOKUP(R$4,'[1]import success seats'!$1:$2,2,FALSE),FALSE))/((VLOOKUP('[1]SUBJECTS BASE'!$G36,'[1]import GRADED seats subject piv'!$A:AG,HLOOKUP(R$4,'[1]import GRADED seats subject piv'!$1:$2,2,FALSE),FALSE))),"")</f>
        <v>0.83018867924528306</v>
      </c>
      <c r="S40" s="19">
        <f>IFERROR((VLOOKUP('[1]SUBJECTS BASE'!$G36,'[1]import success seats'!$A:AQ,HLOOKUP(S$4,'[1]import success seats'!$1:$2,2,FALSE),FALSE))/((VLOOKUP('[1]SUBJECTS BASE'!$G36,'[1]import GRADED seats subject piv'!$A:AH,HLOOKUP(S$4,'[1]import GRADED seats subject piv'!$1:$2,2,FALSE),FALSE))),"")</f>
        <v>0.85031446540880506</v>
      </c>
    </row>
    <row r="41" spans="1:19" x14ac:dyDescent="0.25">
      <c r="A41" s="3" t="s">
        <v>1106</v>
      </c>
      <c r="B41" s="13" t="str">
        <f>IFERROR((VLOOKUP('[1]SUBJECTS BASE'!$G37,'[1]import success seats'!$A:Z,HLOOKUP(B$4,'[1]import success seats'!$1:$2,2,FALSE),FALSE))/((VLOOKUP('[1]SUBJECTS BASE'!$G37,'[1]import GRADED seats subject piv'!$A:P,HLOOKUP(B$4,'[1]import GRADED seats subject piv'!$1:$2,2,FALSE),FALSE))),"")</f>
        <v/>
      </c>
      <c r="C41" s="15">
        <f>IFERROR((VLOOKUP('[1]SUBJECTS BASE'!$G37,'[1]import success seats'!$A:AA,HLOOKUP(C$4,'[1]import success seats'!$1:$2,2,FALSE),FALSE))/((VLOOKUP('[1]SUBJECTS BASE'!$G37,'[1]import GRADED seats subject piv'!$A:Q,HLOOKUP(C$4,'[1]import GRADED seats subject piv'!$1:$2,2,FALSE),FALSE))),"")</f>
        <v>1</v>
      </c>
      <c r="D41" s="21">
        <f>IFERROR((VLOOKUP('[1]SUBJECTS BASE'!$G37,'[1]import success seats'!$A:AB,HLOOKUP(D$4,'[1]import success seats'!$1:$2,2,FALSE),FALSE))/((VLOOKUP('[1]SUBJECTS BASE'!$G37,'[1]import GRADED seats subject piv'!$A:R,HLOOKUP(D$4,'[1]import GRADED seats subject piv'!$1:$2,2,FALSE),FALSE))),"")</f>
        <v>0.95</v>
      </c>
      <c r="E41" s="13" t="str">
        <f>IFERROR((VLOOKUP('[1]SUBJECTS BASE'!$G37,'[1]import success seats'!$A:AC,HLOOKUP(E$4,'[1]import success seats'!$1:$2,2,FALSE),FALSE))/((VLOOKUP('[1]SUBJECTS BASE'!$G37,'[1]import GRADED seats subject piv'!$A:S,HLOOKUP(E$4,'[1]import GRADED seats subject piv'!$1:$2,2,FALSE),FALSE))),"")</f>
        <v/>
      </c>
      <c r="F41" s="15">
        <f>IFERROR((VLOOKUP('[1]SUBJECTS BASE'!$G37,'[1]import success seats'!$A:AD,HLOOKUP(F$4,'[1]import success seats'!$1:$2,2,FALSE),FALSE))/((VLOOKUP('[1]SUBJECTS BASE'!$G37,'[1]import GRADED seats subject piv'!$A:T,HLOOKUP(F$4,'[1]import GRADED seats subject piv'!$1:$2,2,FALSE),FALSE))),"")</f>
        <v>0.96551724137931039</v>
      </c>
      <c r="G41" s="19">
        <f>IFERROR((VLOOKUP('[1]SUBJECTS BASE'!$G37,'[1]import success seats'!$A:AE,HLOOKUP(G$4,'[1]import success seats'!$1:$2,2,FALSE),FALSE))/((VLOOKUP('[1]SUBJECTS BASE'!$G37,'[1]import GRADED seats subject piv'!$A:U,HLOOKUP(G$4,'[1]import GRADED seats subject piv'!$1:$2,2,FALSE),FALSE))),"")</f>
        <v>0.97727272727272729</v>
      </c>
      <c r="H41" s="23" t="str">
        <f>IFERROR((VLOOKUP('[1]SUBJECTS BASE'!$G37,'[1]import success seats'!$A:AF,HLOOKUP(H$4,'[1]import success seats'!$1:$2,2,FALSE),FALSE))/((VLOOKUP('[1]SUBJECTS BASE'!$G37,'[1]import GRADED seats subject piv'!$A:V,HLOOKUP(H$4,'[1]import GRADED seats subject piv'!$1:$2,2,FALSE),FALSE))),"")</f>
        <v/>
      </c>
      <c r="I41" s="15">
        <f>IFERROR((VLOOKUP('[1]SUBJECTS BASE'!$G37,'[1]import success seats'!$A:AG,HLOOKUP(I$4,'[1]import success seats'!$1:$2,2,FALSE),FALSE))/((VLOOKUP('[1]SUBJECTS BASE'!$G37,'[1]import GRADED seats subject piv'!$A:W,HLOOKUP(I$4,'[1]import GRADED seats subject piv'!$1:$2,2,FALSE),FALSE))),"")</f>
        <v>0.95652173913043481</v>
      </c>
      <c r="J41" s="21">
        <f>IFERROR((VLOOKUP('[1]SUBJECTS BASE'!$G37,'[1]import success seats'!$A:AH,HLOOKUP(J$4,'[1]import success seats'!$1:$2,2,FALSE),FALSE))/((VLOOKUP('[1]SUBJECTS BASE'!$G37,'[1]import GRADED seats subject piv'!$A:X,HLOOKUP(J$4,'[1]import GRADED seats subject piv'!$1:$2,2,FALSE),FALSE))),"")</f>
        <v>0.92405063291139244</v>
      </c>
      <c r="K41" s="13" t="str">
        <f>IFERROR((VLOOKUP('[1]SUBJECTS BASE'!$G37,'[1]import success seats'!$A:AI,HLOOKUP(K$4,'[1]import success seats'!$1:$2,2,FALSE),FALSE))/((VLOOKUP('[1]SUBJECTS BASE'!$G37,'[1]import GRADED seats subject piv'!$A:Y,HLOOKUP(K$4,'[1]import GRADED seats subject piv'!$1:$2,2,FALSE),FALSE))),"")</f>
        <v/>
      </c>
      <c r="L41" s="15">
        <f>IFERROR((VLOOKUP('[1]SUBJECTS BASE'!$G37,'[1]import success seats'!$A:AJ,HLOOKUP(L$4,'[1]import success seats'!$1:$2,2,FALSE),FALSE))/((VLOOKUP('[1]SUBJECTS BASE'!$G37,'[1]import GRADED seats subject piv'!$A:Z,HLOOKUP(L$4,'[1]import GRADED seats subject piv'!$1:$2,2,FALSE),FALSE))),"")</f>
        <v>0.9285714285714286</v>
      </c>
      <c r="M41" s="19">
        <f>IFERROR((VLOOKUP('[1]SUBJECTS BASE'!$G37,'[1]import success seats'!$A:AK,HLOOKUP(M$4,'[1]import success seats'!$1:$2,2,FALSE),FALSE))/((VLOOKUP('[1]SUBJECTS BASE'!$G37,'[1]import GRADED seats subject piv'!$A:AB,HLOOKUP(M$4,'[1]import GRADED seats subject piv'!$1:$2,2,FALSE),FALSE))),"")</f>
        <v>0.85470085470085466</v>
      </c>
      <c r="N41" s="23" t="str">
        <f>IFERROR((VLOOKUP('[1]SUBJECTS BASE'!$G37,'[1]import success seats'!$A:AL,HLOOKUP(N$4,'[1]import success seats'!$1:$2,2,FALSE),FALSE))/((VLOOKUP('[1]SUBJECTS BASE'!$G37,'[1]import GRADED seats subject piv'!$A:AC,HLOOKUP(N$4,'[1]import GRADED seats subject piv'!$1:$2,2,FALSE),FALSE))),"")</f>
        <v/>
      </c>
      <c r="O41" s="15">
        <f>IFERROR((VLOOKUP('[1]SUBJECTS BASE'!$G37,'[1]import success seats'!$A:AM,HLOOKUP(O$4,'[1]import success seats'!$1:$2,2,FALSE),FALSE))/((VLOOKUP('[1]SUBJECTS BASE'!$G37,'[1]import GRADED seats subject piv'!$A:AD,HLOOKUP(O$4,'[1]import GRADED seats subject piv'!$1:$2,2,FALSE),FALSE))),"")</f>
        <v>1</v>
      </c>
      <c r="P41" s="15">
        <f>IFERROR((VLOOKUP('[1]SUBJECTS BASE'!$G37,'[1]import success seats'!$A:AN,HLOOKUP(P$4,'[1]import success seats'!$1:$2,2,FALSE),FALSE))/((VLOOKUP('[1]SUBJECTS BASE'!$G37,'[1]import GRADED seats subject piv'!$A:AE,HLOOKUP(P$4,'[1]import GRADED seats subject piv'!$1:$2,2,FALSE),FALSE))),"")</f>
        <v>0.92</v>
      </c>
      <c r="Q41" s="13" t="str">
        <f>IFERROR((VLOOKUP('[1]SUBJECTS BASE'!$G37,'[1]import success seats'!$A:AO,HLOOKUP(Q$4,'[1]import success seats'!$1:$2,2,FALSE),FALSE))/((VLOOKUP('[1]SUBJECTS BASE'!$G37,'[1]import GRADED seats subject piv'!$A:AF,HLOOKUP(Q$4,'[1]import GRADED seats subject piv'!$1:$2,2,FALSE),FALSE))),"")</f>
        <v/>
      </c>
      <c r="R41" s="15">
        <f>IFERROR((VLOOKUP('[1]SUBJECTS BASE'!$G37,'[1]import success seats'!$A:AP,HLOOKUP(R$4,'[1]import success seats'!$1:$2,2,FALSE),FALSE))/((VLOOKUP('[1]SUBJECTS BASE'!$G37,'[1]import GRADED seats subject piv'!$A:AG,HLOOKUP(R$4,'[1]import GRADED seats subject piv'!$1:$2,2,FALSE),FALSE))),"")</f>
        <v>0.91304347826086951</v>
      </c>
      <c r="S41" s="19">
        <f>IFERROR((VLOOKUP('[1]SUBJECTS BASE'!$G37,'[1]import success seats'!$A:AQ,HLOOKUP(S$4,'[1]import success seats'!$1:$2,2,FALSE),FALSE))/((VLOOKUP('[1]SUBJECTS BASE'!$G37,'[1]import GRADED seats subject piv'!$A:AH,HLOOKUP(S$4,'[1]import GRADED seats subject piv'!$1:$2,2,FALSE),FALSE))),"")</f>
        <v>0.93617021276595747</v>
      </c>
    </row>
    <row r="42" spans="1:19" x14ac:dyDescent="0.25">
      <c r="A42" s="3" t="s">
        <v>1107</v>
      </c>
      <c r="B42" s="13">
        <f>IFERROR((VLOOKUP('[1]SUBJECTS BASE'!$G38,'[1]import success seats'!$A:Z,HLOOKUP(B$4,'[1]import success seats'!$1:$2,2,FALSE),FALSE))/((VLOOKUP('[1]SUBJECTS BASE'!$G38,'[1]import GRADED seats subject piv'!$A:P,HLOOKUP(B$4,'[1]import GRADED seats subject piv'!$1:$2,2,FALSE),FALSE))),"")</f>
        <v>0.96</v>
      </c>
      <c r="C42" s="15">
        <f>IFERROR((VLOOKUP('[1]SUBJECTS BASE'!$G38,'[1]import success seats'!$A:AA,HLOOKUP(C$4,'[1]import success seats'!$1:$2,2,FALSE),FALSE))/((VLOOKUP('[1]SUBJECTS BASE'!$G38,'[1]import GRADED seats subject piv'!$A:Q,HLOOKUP(C$4,'[1]import GRADED seats subject piv'!$1:$2,2,FALSE),FALSE))),"")</f>
        <v>0.90909090909090906</v>
      </c>
      <c r="D42" s="21">
        <f>IFERROR((VLOOKUP('[1]SUBJECTS BASE'!$G38,'[1]import success seats'!$A:AB,HLOOKUP(D$4,'[1]import success seats'!$1:$2,2,FALSE),FALSE))/((VLOOKUP('[1]SUBJECTS BASE'!$G38,'[1]import GRADED seats subject piv'!$A:R,HLOOKUP(D$4,'[1]import GRADED seats subject piv'!$1:$2,2,FALSE),FALSE))),"")</f>
        <v>0.8839285714285714</v>
      </c>
      <c r="E42" s="13">
        <f>IFERROR((VLOOKUP('[1]SUBJECTS BASE'!$G38,'[1]import success seats'!$A:AC,HLOOKUP(E$4,'[1]import success seats'!$1:$2,2,FALSE),FALSE))/((VLOOKUP('[1]SUBJECTS BASE'!$G38,'[1]import GRADED seats subject piv'!$A:S,HLOOKUP(E$4,'[1]import GRADED seats subject piv'!$1:$2,2,FALSE),FALSE))),"")</f>
        <v>1</v>
      </c>
      <c r="F42" s="15">
        <f>IFERROR((VLOOKUP('[1]SUBJECTS BASE'!$G38,'[1]import success seats'!$A:AD,HLOOKUP(F$4,'[1]import success seats'!$1:$2,2,FALSE),FALSE))/((VLOOKUP('[1]SUBJECTS BASE'!$G38,'[1]import GRADED seats subject piv'!$A:T,HLOOKUP(F$4,'[1]import GRADED seats subject piv'!$1:$2,2,FALSE),FALSE))),"")</f>
        <v>0.875</v>
      </c>
      <c r="G42" s="19">
        <f>IFERROR((VLOOKUP('[1]SUBJECTS BASE'!$G38,'[1]import success seats'!$A:AE,HLOOKUP(G$4,'[1]import success seats'!$1:$2,2,FALSE),FALSE))/((VLOOKUP('[1]SUBJECTS BASE'!$G38,'[1]import GRADED seats subject piv'!$A:U,HLOOKUP(G$4,'[1]import GRADED seats subject piv'!$1:$2,2,FALSE),FALSE))),"")</f>
        <v>0.93478260869565222</v>
      </c>
      <c r="H42" s="23" t="str">
        <f>IFERROR((VLOOKUP('[1]SUBJECTS BASE'!$G38,'[1]import success seats'!$A:AF,HLOOKUP(H$4,'[1]import success seats'!$1:$2,2,FALSE),FALSE))/((VLOOKUP('[1]SUBJECTS BASE'!$G38,'[1]import GRADED seats subject piv'!$A:V,HLOOKUP(H$4,'[1]import GRADED seats subject piv'!$1:$2,2,FALSE),FALSE))),"")</f>
        <v/>
      </c>
      <c r="I42" s="15">
        <f>IFERROR((VLOOKUP('[1]SUBJECTS BASE'!$G38,'[1]import success seats'!$A:AG,HLOOKUP(I$4,'[1]import success seats'!$1:$2,2,FALSE),FALSE))/((VLOOKUP('[1]SUBJECTS BASE'!$G38,'[1]import GRADED seats subject piv'!$A:W,HLOOKUP(I$4,'[1]import GRADED seats subject piv'!$1:$2,2,FALSE),FALSE))),"")</f>
        <v>0.94318181818181823</v>
      </c>
      <c r="J42" s="21">
        <f>IFERROR((VLOOKUP('[1]SUBJECTS BASE'!$G38,'[1]import success seats'!$A:AH,HLOOKUP(J$4,'[1]import success seats'!$1:$2,2,FALSE),FALSE))/((VLOOKUP('[1]SUBJECTS BASE'!$G38,'[1]import GRADED seats subject piv'!$A:X,HLOOKUP(J$4,'[1]import GRADED seats subject piv'!$1:$2,2,FALSE),FALSE))),"")</f>
        <v>0.93076923076923079</v>
      </c>
      <c r="K42" s="13" t="str">
        <f>IFERROR((VLOOKUP('[1]SUBJECTS BASE'!$G38,'[1]import success seats'!$A:AI,HLOOKUP(K$4,'[1]import success seats'!$1:$2,2,FALSE),FALSE))/((VLOOKUP('[1]SUBJECTS BASE'!$G38,'[1]import GRADED seats subject piv'!$A:Y,HLOOKUP(K$4,'[1]import GRADED seats subject piv'!$1:$2,2,FALSE),FALSE))),"")</f>
        <v/>
      </c>
      <c r="L42" s="15">
        <f>IFERROR((VLOOKUP('[1]SUBJECTS BASE'!$G38,'[1]import success seats'!$A:AJ,HLOOKUP(L$4,'[1]import success seats'!$1:$2,2,FALSE),FALSE))/((VLOOKUP('[1]SUBJECTS BASE'!$G38,'[1]import GRADED seats subject piv'!$A:Z,HLOOKUP(L$4,'[1]import GRADED seats subject piv'!$1:$2,2,FALSE),FALSE))),"")</f>
        <v>0.9173553719008265</v>
      </c>
      <c r="M42" s="19">
        <f>IFERROR((VLOOKUP('[1]SUBJECTS BASE'!$G38,'[1]import success seats'!$A:AK,HLOOKUP(M$4,'[1]import success seats'!$1:$2,2,FALSE),FALSE))/((VLOOKUP('[1]SUBJECTS BASE'!$G38,'[1]import GRADED seats subject piv'!$A:AB,HLOOKUP(M$4,'[1]import GRADED seats subject piv'!$1:$2,2,FALSE),FALSE))),"")</f>
        <v>0.93333333333333335</v>
      </c>
      <c r="N42" s="23" t="str">
        <f>IFERROR((VLOOKUP('[1]SUBJECTS BASE'!$G38,'[1]import success seats'!$A:AL,HLOOKUP(N$4,'[1]import success seats'!$1:$2,2,FALSE),FALSE))/((VLOOKUP('[1]SUBJECTS BASE'!$G38,'[1]import GRADED seats subject piv'!$A:AC,HLOOKUP(N$4,'[1]import GRADED seats subject piv'!$1:$2,2,FALSE),FALSE))),"")</f>
        <v/>
      </c>
      <c r="O42" s="15">
        <f>IFERROR((VLOOKUP('[1]SUBJECTS BASE'!$G38,'[1]import success seats'!$A:AM,HLOOKUP(O$4,'[1]import success seats'!$1:$2,2,FALSE),FALSE))/((VLOOKUP('[1]SUBJECTS BASE'!$G38,'[1]import GRADED seats subject piv'!$A:AD,HLOOKUP(O$4,'[1]import GRADED seats subject piv'!$1:$2,2,FALSE),FALSE))),"")</f>
        <v>0.88</v>
      </c>
      <c r="P42" s="15">
        <f>IFERROR((VLOOKUP('[1]SUBJECTS BASE'!$G38,'[1]import success seats'!$A:AN,HLOOKUP(P$4,'[1]import success seats'!$1:$2,2,FALSE),FALSE))/((VLOOKUP('[1]SUBJECTS BASE'!$G38,'[1]import GRADED seats subject piv'!$A:AE,HLOOKUP(P$4,'[1]import GRADED seats subject piv'!$1:$2,2,FALSE),FALSE))),"")</f>
        <v>0.93333333333333335</v>
      </c>
      <c r="Q42" s="13" t="str">
        <f>IFERROR((VLOOKUP('[1]SUBJECTS BASE'!$G38,'[1]import success seats'!$A:AO,HLOOKUP(Q$4,'[1]import success seats'!$1:$2,2,FALSE),FALSE))/((VLOOKUP('[1]SUBJECTS BASE'!$G38,'[1]import GRADED seats subject piv'!$A:AF,HLOOKUP(Q$4,'[1]import GRADED seats subject piv'!$1:$2,2,FALSE),FALSE))),"")</f>
        <v/>
      </c>
      <c r="R42" s="15">
        <f>IFERROR((VLOOKUP('[1]SUBJECTS BASE'!$G38,'[1]import success seats'!$A:AP,HLOOKUP(R$4,'[1]import success seats'!$1:$2,2,FALSE),FALSE))/((VLOOKUP('[1]SUBJECTS BASE'!$G38,'[1]import GRADED seats subject piv'!$A:AG,HLOOKUP(R$4,'[1]import GRADED seats subject piv'!$1:$2,2,FALSE),FALSE))),"")</f>
        <v>0.90370370370370368</v>
      </c>
      <c r="S42" s="19">
        <f>IFERROR((VLOOKUP('[1]SUBJECTS BASE'!$G38,'[1]import success seats'!$A:AQ,HLOOKUP(S$4,'[1]import success seats'!$1:$2,2,FALSE),FALSE))/((VLOOKUP('[1]SUBJECTS BASE'!$G38,'[1]import GRADED seats subject piv'!$A:AH,HLOOKUP(S$4,'[1]import GRADED seats subject piv'!$1:$2,2,FALSE),FALSE))),"")</f>
        <v>0.78481012658227844</v>
      </c>
    </row>
    <row r="43" spans="1:19" x14ac:dyDescent="0.25">
      <c r="A43" s="3" t="s">
        <v>1108</v>
      </c>
      <c r="B43" s="13" t="str">
        <f>IFERROR((VLOOKUP('[1]SUBJECTS BASE'!$G39,'[1]import success seats'!$A:Z,HLOOKUP(B$4,'[1]import success seats'!$1:$2,2,FALSE),FALSE))/((VLOOKUP('[1]SUBJECTS BASE'!$G39,'[1]import GRADED seats subject piv'!$A:P,HLOOKUP(B$4,'[1]import GRADED seats subject piv'!$1:$2,2,FALSE),FALSE))),"")</f>
        <v/>
      </c>
      <c r="C43" s="15">
        <f>IFERROR((VLOOKUP('[1]SUBJECTS BASE'!$G39,'[1]import success seats'!$A:AA,HLOOKUP(C$4,'[1]import success seats'!$1:$2,2,FALSE),FALSE))/((VLOOKUP('[1]SUBJECTS BASE'!$G39,'[1]import GRADED seats subject piv'!$A:Q,HLOOKUP(C$4,'[1]import GRADED seats subject piv'!$1:$2,2,FALSE),FALSE))),"")</f>
        <v>0.83783783783783783</v>
      </c>
      <c r="D43" s="21">
        <f>IFERROR((VLOOKUP('[1]SUBJECTS BASE'!$G39,'[1]import success seats'!$A:AB,HLOOKUP(D$4,'[1]import success seats'!$1:$2,2,FALSE),FALSE))/((VLOOKUP('[1]SUBJECTS BASE'!$G39,'[1]import GRADED seats subject piv'!$A:R,HLOOKUP(D$4,'[1]import GRADED seats subject piv'!$1:$2,2,FALSE),FALSE))),"")</f>
        <v>0.91304347826086951</v>
      </c>
      <c r="E43" s="13" t="str">
        <f>IFERROR((VLOOKUP('[1]SUBJECTS BASE'!$G39,'[1]import success seats'!$A:AC,HLOOKUP(E$4,'[1]import success seats'!$1:$2,2,FALSE),FALSE))/((VLOOKUP('[1]SUBJECTS BASE'!$G39,'[1]import GRADED seats subject piv'!$A:S,HLOOKUP(E$4,'[1]import GRADED seats subject piv'!$1:$2,2,FALSE),FALSE))),"")</f>
        <v/>
      </c>
      <c r="F43" s="15">
        <f>IFERROR((VLOOKUP('[1]SUBJECTS BASE'!$G39,'[1]import success seats'!$A:AD,HLOOKUP(F$4,'[1]import success seats'!$1:$2,2,FALSE),FALSE))/((VLOOKUP('[1]SUBJECTS BASE'!$G39,'[1]import GRADED seats subject piv'!$A:T,HLOOKUP(F$4,'[1]import GRADED seats subject piv'!$1:$2,2,FALSE),FALSE))),"")</f>
        <v>0.77142857142857146</v>
      </c>
      <c r="G43" s="19">
        <f>IFERROR((VLOOKUP('[1]SUBJECTS BASE'!$G39,'[1]import success seats'!$A:AE,HLOOKUP(G$4,'[1]import success seats'!$1:$2,2,FALSE),FALSE))/((VLOOKUP('[1]SUBJECTS BASE'!$G39,'[1]import GRADED seats subject piv'!$A:U,HLOOKUP(G$4,'[1]import GRADED seats subject piv'!$1:$2,2,FALSE),FALSE))),"")</f>
        <v>0.8545454545454545</v>
      </c>
      <c r="H43" s="23" t="str">
        <f>IFERROR((VLOOKUP('[1]SUBJECTS BASE'!$G39,'[1]import success seats'!$A:AF,HLOOKUP(H$4,'[1]import success seats'!$1:$2,2,FALSE),FALSE))/((VLOOKUP('[1]SUBJECTS BASE'!$G39,'[1]import GRADED seats subject piv'!$A:V,HLOOKUP(H$4,'[1]import GRADED seats subject piv'!$1:$2,2,FALSE),FALSE))),"")</f>
        <v/>
      </c>
      <c r="I43" s="15">
        <f>IFERROR((VLOOKUP('[1]SUBJECTS BASE'!$G39,'[1]import success seats'!$A:AG,HLOOKUP(I$4,'[1]import success seats'!$1:$2,2,FALSE),FALSE))/((VLOOKUP('[1]SUBJECTS BASE'!$G39,'[1]import GRADED seats subject piv'!$A:W,HLOOKUP(I$4,'[1]import GRADED seats subject piv'!$1:$2,2,FALSE),FALSE))),"")</f>
        <v>0.9285714285714286</v>
      </c>
      <c r="J43" s="21">
        <f>IFERROR((VLOOKUP('[1]SUBJECTS BASE'!$G39,'[1]import success seats'!$A:AH,HLOOKUP(J$4,'[1]import success seats'!$1:$2,2,FALSE),FALSE))/((VLOOKUP('[1]SUBJECTS BASE'!$G39,'[1]import GRADED seats subject piv'!$A:X,HLOOKUP(J$4,'[1]import GRADED seats subject piv'!$1:$2,2,FALSE),FALSE))),"")</f>
        <v>0.81818181818181823</v>
      </c>
      <c r="K43" s="13" t="str">
        <f>IFERROR((VLOOKUP('[1]SUBJECTS BASE'!$G39,'[1]import success seats'!$A:AI,HLOOKUP(K$4,'[1]import success seats'!$1:$2,2,FALSE),FALSE))/((VLOOKUP('[1]SUBJECTS BASE'!$G39,'[1]import GRADED seats subject piv'!$A:Y,HLOOKUP(K$4,'[1]import GRADED seats subject piv'!$1:$2,2,FALSE),FALSE))),"")</f>
        <v/>
      </c>
      <c r="L43" s="15">
        <f>IFERROR((VLOOKUP('[1]SUBJECTS BASE'!$G39,'[1]import success seats'!$A:AJ,HLOOKUP(L$4,'[1]import success seats'!$1:$2,2,FALSE),FALSE))/((VLOOKUP('[1]SUBJECTS BASE'!$G39,'[1]import GRADED seats subject piv'!$A:Z,HLOOKUP(L$4,'[1]import GRADED seats subject piv'!$1:$2,2,FALSE),FALSE))),"")</f>
        <v>0.97435897435897434</v>
      </c>
      <c r="M43" s="19">
        <f>IFERROR((VLOOKUP('[1]SUBJECTS BASE'!$G39,'[1]import success seats'!$A:AK,HLOOKUP(M$4,'[1]import success seats'!$1:$2,2,FALSE),FALSE))/((VLOOKUP('[1]SUBJECTS BASE'!$G39,'[1]import GRADED seats subject piv'!$A:AB,HLOOKUP(M$4,'[1]import GRADED seats subject piv'!$1:$2,2,FALSE),FALSE))),"")</f>
        <v>0.7931034482758621</v>
      </c>
      <c r="N43" s="23" t="str">
        <f>IFERROR((VLOOKUP('[1]SUBJECTS BASE'!$G39,'[1]import success seats'!$A:AL,HLOOKUP(N$4,'[1]import success seats'!$1:$2,2,FALSE),FALSE))/((VLOOKUP('[1]SUBJECTS BASE'!$G39,'[1]import GRADED seats subject piv'!$A:AC,HLOOKUP(N$4,'[1]import GRADED seats subject piv'!$1:$2,2,FALSE),FALSE))),"")</f>
        <v/>
      </c>
      <c r="O43" s="15">
        <f>IFERROR((VLOOKUP('[1]SUBJECTS BASE'!$G39,'[1]import success seats'!$A:AM,HLOOKUP(O$4,'[1]import success seats'!$1:$2,2,FALSE),FALSE))/((VLOOKUP('[1]SUBJECTS BASE'!$G39,'[1]import GRADED seats subject piv'!$A:AD,HLOOKUP(O$4,'[1]import GRADED seats subject piv'!$1:$2,2,FALSE),FALSE))),"")</f>
        <v>0.91666666666666663</v>
      </c>
      <c r="P43" s="15">
        <f>IFERROR((VLOOKUP('[1]SUBJECTS BASE'!$G39,'[1]import success seats'!$A:AN,HLOOKUP(P$4,'[1]import success seats'!$1:$2,2,FALSE),FALSE))/((VLOOKUP('[1]SUBJECTS BASE'!$G39,'[1]import GRADED seats subject piv'!$A:AE,HLOOKUP(P$4,'[1]import GRADED seats subject piv'!$1:$2,2,FALSE),FALSE))),"")</f>
        <v>0.77777777777777779</v>
      </c>
      <c r="Q43" s="13" t="str">
        <f>IFERROR((VLOOKUP('[1]SUBJECTS BASE'!$G39,'[1]import success seats'!$A:AO,HLOOKUP(Q$4,'[1]import success seats'!$1:$2,2,FALSE),FALSE))/((VLOOKUP('[1]SUBJECTS BASE'!$G39,'[1]import GRADED seats subject piv'!$A:AF,HLOOKUP(Q$4,'[1]import GRADED seats subject piv'!$1:$2,2,FALSE),FALSE))),"")</f>
        <v/>
      </c>
      <c r="R43" s="15">
        <f>IFERROR((VLOOKUP('[1]SUBJECTS BASE'!$G39,'[1]import success seats'!$A:AP,HLOOKUP(R$4,'[1]import success seats'!$1:$2,2,FALSE),FALSE))/((VLOOKUP('[1]SUBJECTS BASE'!$G39,'[1]import GRADED seats subject piv'!$A:AG,HLOOKUP(R$4,'[1]import GRADED seats subject piv'!$1:$2,2,FALSE),FALSE))),"")</f>
        <v>0.94285714285714284</v>
      </c>
      <c r="S43" s="19">
        <f>IFERROR((VLOOKUP('[1]SUBJECTS BASE'!$G39,'[1]import success seats'!$A:AQ,HLOOKUP(S$4,'[1]import success seats'!$1:$2,2,FALSE),FALSE))/((VLOOKUP('[1]SUBJECTS BASE'!$G39,'[1]import GRADED seats subject piv'!$A:AH,HLOOKUP(S$4,'[1]import GRADED seats subject piv'!$1:$2,2,FALSE),FALSE))),"")</f>
        <v>0.80769230769230771</v>
      </c>
    </row>
    <row r="44" spans="1:19" x14ac:dyDescent="0.25">
      <c r="A44" s="3" t="s">
        <v>850</v>
      </c>
      <c r="B44" s="13" t="str">
        <f>IFERROR((VLOOKUP('[1]SUBJECTS BASE'!$G40,'[1]import success seats'!$A:Z,HLOOKUP(B$4,'[1]import success seats'!$1:$2,2,FALSE),FALSE))/((VLOOKUP('[1]SUBJECTS BASE'!$G40,'[1]import GRADED seats subject piv'!$A:P,HLOOKUP(B$4,'[1]import GRADED seats subject piv'!$1:$2,2,FALSE),FALSE))),"")</f>
        <v/>
      </c>
      <c r="C44" s="15" t="str">
        <f>IFERROR((VLOOKUP('[1]SUBJECTS BASE'!$G40,'[1]import success seats'!$A:AA,HLOOKUP(C$4,'[1]import success seats'!$1:$2,2,FALSE),FALSE))/((VLOOKUP('[1]SUBJECTS BASE'!$G40,'[1]import GRADED seats subject piv'!$A:Q,HLOOKUP(C$4,'[1]import GRADED seats subject piv'!$1:$2,2,FALSE),FALSE))),"")</f>
        <v/>
      </c>
      <c r="D44" s="21" t="str">
        <f>IFERROR((VLOOKUP('[1]SUBJECTS BASE'!$G40,'[1]import success seats'!$A:AB,HLOOKUP(D$4,'[1]import success seats'!$1:$2,2,FALSE),FALSE))/((VLOOKUP('[1]SUBJECTS BASE'!$G40,'[1]import GRADED seats subject piv'!$A:R,HLOOKUP(D$4,'[1]import GRADED seats subject piv'!$1:$2,2,FALSE),FALSE))),"")</f>
        <v/>
      </c>
      <c r="E44" s="13" t="str">
        <f>IFERROR((VLOOKUP('[1]SUBJECTS BASE'!$G40,'[1]import success seats'!$A:AC,HLOOKUP(E$4,'[1]import success seats'!$1:$2,2,FALSE),FALSE))/((VLOOKUP('[1]SUBJECTS BASE'!$G40,'[1]import GRADED seats subject piv'!$A:S,HLOOKUP(E$4,'[1]import GRADED seats subject piv'!$1:$2,2,FALSE),FALSE))),"")</f>
        <v/>
      </c>
      <c r="F44" s="15" t="str">
        <f>IFERROR((VLOOKUP('[1]SUBJECTS BASE'!$G40,'[1]import success seats'!$A:AD,HLOOKUP(F$4,'[1]import success seats'!$1:$2,2,FALSE),FALSE))/((VLOOKUP('[1]SUBJECTS BASE'!$G40,'[1]import GRADED seats subject piv'!$A:T,HLOOKUP(F$4,'[1]import GRADED seats subject piv'!$1:$2,2,FALSE),FALSE))),"")</f>
        <v/>
      </c>
      <c r="G44" s="19" t="str">
        <f>IFERROR((VLOOKUP('[1]SUBJECTS BASE'!$G40,'[1]import success seats'!$A:AE,HLOOKUP(G$4,'[1]import success seats'!$1:$2,2,FALSE),FALSE))/((VLOOKUP('[1]SUBJECTS BASE'!$G40,'[1]import GRADED seats subject piv'!$A:U,HLOOKUP(G$4,'[1]import GRADED seats subject piv'!$1:$2,2,FALSE),FALSE))),"")</f>
        <v/>
      </c>
      <c r="H44" s="23" t="str">
        <f>IFERROR((VLOOKUP('[1]SUBJECTS BASE'!$G40,'[1]import success seats'!$A:AF,HLOOKUP(H$4,'[1]import success seats'!$1:$2,2,FALSE),FALSE))/((VLOOKUP('[1]SUBJECTS BASE'!$G40,'[1]import GRADED seats subject piv'!$A:V,HLOOKUP(H$4,'[1]import GRADED seats subject piv'!$1:$2,2,FALSE),FALSE))),"")</f>
        <v/>
      </c>
      <c r="I44" s="15" t="str">
        <f>IFERROR((VLOOKUP('[1]SUBJECTS BASE'!$G40,'[1]import success seats'!$A:AG,HLOOKUP(I$4,'[1]import success seats'!$1:$2,2,FALSE),FALSE))/((VLOOKUP('[1]SUBJECTS BASE'!$G40,'[1]import GRADED seats subject piv'!$A:W,HLOOKUP(I$4,'[1]import GRADED seats subject piv'!$1:$2,2,FALSE),FALSE))),"")</f>
        <v/>
      </c>
      <c r="J44" s="21" t="str">
        <f>IFERROR((VLOOKUP('[1]SUBJECTS BASE'!$G40,'[1]import success seats'!$A:AH,HLOOKUP(J$4,'[1]import success seats'!$1:$2,2,FALSE),FALSE))/((VLOOKUP('[1]SUBJECTS BASE'!$G40,'[1]import GRADED seats subject piv'!$A:X,HLOOKUP(J$4,'[1]import GRADED seats subject piv'!$1:$2,2,FALSE),FALSE))),"")</f>
        <v/>
      </c>
      <c r="K44" s="13" t="str">
        <f>IFERROR((VLOOKUP('[1]SUBJECTS BASE'!$G40,'[1]import success seats'!$A:AI,HLOOKUP(K$4,'[1]import success seats'!$1:$2,2,FALSE),FALSE))/((VLOOKUP('[1]SUBJECTS BASE'!$G40,'[1]import GRADED seats subject piv'!$A:Y,HLOOKUP(K$4,'[1]import GRADED seats subject piv'!$1:$2,2,FALSE),FALSE))),"")</f>
        <v/>
      </c>
      <c r="L44" s="15" t="str">
        <f>IFERROR((VLOOKUP('[1]SUBJECTS BASE'!$G40,'[1]import success seats'!$A:AJ,HLOOKUP(L$4,'[1]import success seats'!$1:$2,2,FALSE),FALSE))/((VLOOKUP('[1]SUBJECTS BASE'!$G40,'[1]import GRADED seats subject piv'!$A:Z,HLOOKUP(L$4,'[1]import GRADED seats subject piv'!$1:$2,2,FALSE),FALSE))),"")</f>
        <v/>
      </c>
      <c r="M44" s="19" t="str">
        <f>IFERROR((VLOOKUP('[1]SUBJECTS BASE'!$G40,'[1]import success seats'!$A:AK,HLOOKUP(M$4,'[1]import success seats'!$1:$2,2,FALSE),FALSE))/((VLOOKUP('[1]SUBJECTS BASE'!$G40,'[1]import GRADED seats subject piv'!$A:AB,HLOOKUP(M$4,'[1]import GRADED seats subject piv'!$1:$2,2,FALSE),FALSE))),"")</f>
        <v/>
      </c>
      <c r="N44" s="23" t="str">
        <f>IFERROR((VLOOKUP('[1]SUBJECTS BASE'!$G40,'[1]import success seats'!$A:AL,HLOOKUP(N$4,'[1]import success seats'!$1:$2,2,FALSE),FALSE))/((VLOOKUP('[1]SUBJECTS BASE'!$G40,'[1]import GRADED seats subject piv'!$A:AC,HLOOKUP(N$4,'[1]import GRADED seats subject piv'!$1:$2,2,FALSE),FALSE))),"")</f>
        <v/>
      </c>
      <c r="O44" s="15">
        <f>IFERROR((VLOOKUP('[1]SUBJECTS BASE'!$G40,'[1]import success seats'!$A:AM,HLOOKUP(O$4,'[1]import success seats'!$1:$2,2,FALSE),FALSE))/((VLOOKUP('[1]SUBJECTS BASE'!$G40,'[1]import GRADED seats subject piv'!$A:AD,HLOOKUP(O$4,'[1]import GRADED seats subject piv'!$1:$2,2,FALSE),FALSE))),"")</f>
        <v>0.92307692307692313</v>
      </c>
      <c r="P44" s="15">
        <f>IFERROR((VLOOKUP('[1]SUBJECTS BASE'!$G40,'[1]import success seats'!$A:AN,HLOOKUP(P$4,'[1]import success seats'!$1:$2,2,FALSE),FALSE))/((VLOOKUP('[1]SUBJECTS BASE'!$G40,'[1]import GRADED seats subject piv'!$A:AE,HLOOKUP(P$4,'[1]import GRADED seats subject piv'!$1:$2,2,FALSE),FALSE))),"")</f>
        <v>0.88</v>
      </c>
      <c r="Q44" s="13" t="str">
        <f>IFERROR((VLOOKUP('[1]SUBJECTS BASE'!$G40,'[1]import success seats'!$A:AO,HLOOKUP(Q$4,'[1]import success seats'!$1:$2,2,FALSE),FALSE))/((VLOOKUP('[1]SUBJECTS BASE'!$G40,'[1]import GRADED seats subject piv'!$A:AF,HLOOKUP(Q$4,'[1]import GRADED seats subject piv'!$1:$2,2,FALSE),FALSE))),"")</f>
        <v/>
      </c>
      <c r="R44" s="15" t="str">
        <f>IFERROR((VLOOKUP('[1]SUBJECTS BASE'!$G40,'[1]import success seats'!$A:AP,HLOOKUP(R$4,'[1]import success seats'!$1:$2,2,FALSE),FALSE))/((VLOOKUP('[1]SUBJECTS BASE'!$G40,'[1]import GRADED seats subject piv'!$A:AG,HLOOKUP(R$4,'[1]import GRADED seats subject piv'!$1:$2,2,FALSE),FALSE))),"")</f>
        <v/>
      </c>
      <c r="S44" s="19">
        <f>IFERROR((VLOOKUP('[1]SUBJECTS BASE'!$G40,'[1]import success seats'!$A:AQ,HLOOKUP(S$4,'[1]import success seats'!$1:$2,2,FALSE),FALSE))/((VLOOKUP('[1]SUBJECTS BASE'!$G40,'[1]import GRADED seats subject piv'!$A:AH,HLOOKUP(S$4,'[1]import GRADED seats subject piv'!$1:$2,2,FALSE),FALSE))),"")</f>
        <v>1</v>
      </c>
    </row>
    <row r="45" spans="1:19" x14ac:dyDescent="0.25">
      <c r="A45" s="3" t="s">
        <v>1109</v>
      </c>
      <c r="B45" s="13" t="str">
        <f>IFERROR((VLOOKUP('[1]SUBJECTS BASE'!$G41,'[1]import success seats'!$A:Z,HLOOKUP(B$4,'[1]import success seats'!$1:$2,2,FALSE),FALSE))/((VLOOKUP('[1]SUBJECTS BASE'!$G41,'[1]import GRADED seats subject piv'!$A:P,HLOOKUP(B$4,'[1]import GRADED seats subject piv'!$1:$2,2,FALSE),FALSE))),"")</f>
        <v/>
      </c>
      <c r="C45" s="15">
        <f>IFERROR((VLOOKUP('[1]SUBJECTS BASE'!$G41,'[1]import success seats'!$A:AA,HLOOKUP(C$4,'[1]import success seats'!$1:$2,2,FALSE),FALSE))/((VLOOKUP('[1]SUBJECTS BASE'!$G41,'[1]import GRADED seats subject piv'!$A:Q,HLOOKUP(C$4,'[1]import GRADED seats subject piv'!$1:$2,2,FALSE),FALSE))),"")</f>
        <v>0.89655172413793105</v>
      </c>
      <c r="D45" s="21">
        <f>IFERROR((VLOOKUP('[1]SUBJECTS BASE'!$G41,'[1]import success seats'!$A:AB,HLOOKUP(D$4,'[1]import success seats'!$1:$2,2,FALSE),FALSE))/((VLOOKUP('[1]SUBJECTS BASE'!$G41,'[1]import GRADED seats subject piv'!$A:R,HLOOKUP(D$4,'[1]import GRADED seats subject piv'!$1:$2,2,FALSE),FALSE))),"")</f>
        <v>0.9285714285714286</v>
      </c>
      <c r="E45" s="13" t="str">
        <f>IFERROR((VLOOKUP('[1]SUBJECTS BASE'!$G41,'[1]import success seats'!$A:AC,HLOOKUP(E$4,'[1]import success seats'!$1:$2,2,FALSE),FALSE))/((VLOOKUP('[1]SUBJECTS BASE'!$G41,'[1]import GRADED seats subject piv'!$A:S,HLOOKUP(E$4,'[1]import GRADED seats subject piv'!$1:$2,2,FALSE),FALSE))),"")</f>
        <v/>
      </c>
      <c r="F45" s="15">
        <f>IFERROR((VLOOKUP('[1]SUBJECTS BASE'!$G41,'[1]import success seats'!$A:AD,HLOOKUP(F$4,'[1]import success seats'!$1:$2,2,FALSE),FALSE))/((VLOOKUP('[1]SUBJECTS BASE'!$G41,'[1]import GRADED seats subject piv'!$A:T,HLOOKUP(F$4,'[1]import GRADED seats subject piv'!$1:$2,2,FALSE),FALSE))),"")</f>
        <v>0.87096774193548387</v>
      </c>
      <c r="G45" s="19">
        <f>IFERROR((VLOOKUP('[1]SUBJECTS BASE'!$G41,'[1]import success seats'!$A:AE,HLOOKUP(G$4,'[1]import success seats'!$1:$2,2,FALSE),FALSE))/((VLOOKUP('[1]SUBJECTS BASE'!$G41,'[1]import GRADED seats subject piv'!$A:U,HLOOKUP(G$4,'[1]import GRADED seats subject piv'!$1:$2,2,FALSE),FALSE))),"")</f>
        <v>0.90322580645161288</v>
      </c>
      <c r="H45" s="23" t="str">
        <f>IFERROR((VLOOKUP('[1]SUBJECTS BASE'!$G41,'[1]import success seats'!$A:AF,HLOOKUP(H$4,'[1]import success seats'!$1:$2,2,FALSE),FALSE))/((VLOOKUP('[1]SUBJECTS BASE'!$G41,'[1]import GRADED seats subject piv'!$A:V,HLOOKUP(H$4,'[1]import GRADED seats subject piv'!$1:$2,2,FALSE),FALSE))),"")</f>
        <v/>
      </c>
      <c r="I45" s="15">
        <f>IFERROR((VLOOKUP('[1]SUBJECTS BASE'!$G41,'[1]import success seats'!$A:AG,HLOOKUP(I$4,'[1]import success seats'!$1:$2,2,FALSE),FALSE))/((VLOOKUP('[1]SUBJECTS BASE'!$G41,'[1]import GRADED seats subject piv'!$A:W,HLOOKUP(I$4,'[1]import GRADED seats subject piv'!$1:$2,2,FALSE),FALSE))),"")</f>
        <v>0.72972972972972971</v>
      </c>
      <c r="J45" s="21">
        <f>IFERROR((VLOOKUP('[1]SUBJECTS BASE'!$G41,'[1]import success seats'!$A:AH,HLOOKUP(J$4,'[1]import success seats'!$1:$2,2,FALSE),FALSE))/((VLOOKUP('[1]SUBJECTS BASE'!$G41,'[1]import GRADED seats subject piv'!$A:X,HLOOKUP(J$4,'[1]import GRADED seats subject piv'!$1:$2,2,FALSE),FALSE))),"")</f>
        <v>0.97674418604651159</v>
      </c>
      <c r="K45" s="13" t="str">
        <f>IFERROR((VLOOKUP('[1]SUBJECTS BASE'!$G41,'[1]import success seats'!$A:AI,HLOOKUP(K$4,'[1]import success seats'!$1:$2,2,FALSE),FALSE))/((VLOOKUP('[1]SUBJECTS BASE'!$G41,'[1]import GRADED seats subject piv'!$A:Y,HLOOKUP(K$4,'[1]import GRADED seats subject piv'!$1:$2,2,FALSE),FALSE))),"")</f>
        <v/>
      </c>
      <c r="L45" s="15">
        <f>IFERROR((VLOOKUP('[1]SUBJECTS BASE'!$G41,'[1]import success seats'!$A:AJ,HLOOKUP(L$4,'[1]import success seats'!$1:$2,2,FALSE),FALSE))/((VLOOKUP('[1]SUBJECTS BASE'!$G41,'[1]import GRADED seats subject piv'!$A:Z,HLOOKUP(L$4,'[1]import GRADED seats subject piv'!$1:$2,2,FALSE),FALSE))),"")</f>
        <v>0.77500000000000002</v>
      </c>
      <c r="M45" s="19">
        <f>IFERROR((VLOOKUP('[1]SUBJECTS BASE'!$G41,'[1]import success seats'!$A:AK,HLOOKUP(M$4,'[1]import success seats'!$1:$2,2,FALSE),FALSE))/((VLOOKUP('[1]SUBJECTS BASE'!$G41,'[1]import GRADED seats subject piv'!$A:AB,HLOOKUP(M$4,'[1]import GRADED seats subject piv'!$1:$2,2,FALSE),FALSE))),"")</f>
        <v>0.94871794871794868</v>
      </c>
      <c r="N45" s="23" t="str">
        <f>IFERROR((VLOOKUP('[1]SUBJECTS BASE'!$G41,'[1]import success seats'!$A:AL,HLOOKUP(N$4,'[1]import success seats'!$1:$2,2,FALSE),FALSE))/((VLOOKUP('[1]SUBJECTS BASE'!$G41,'[1]import GRADED seats subject piv'!$A:AC,HLOOKUP(N$4,'[1]import GRADED seats subject piv'!$1:$2,2,FALSE),FALSE))),"")</f>
        <v/>
      </c>
      <c r="O45" s="15">
        <f>IFERROR((VLOOKUP('[1]SUBJECTS BASE'!$G41,'[1]import success seats'!$A:AM,HLOOKUP(O$4,'[1]import success seats'!$1:$2,2,FALSE),FALSE))/((VLOOKUP('[1]SUBJECTS BASE'!$G41,'[1]import GRADED seats subject piv'!$A:AD,HLOOKUP(O$4,'[1]import GRADED seats subject piv'!$1:$2,2,FALSE),FALSE))),"")</f>
        <v>0.88888888888888884</v>
      </c>
      <c r="P45" s="15">
        <f>IFERROR((VLOOKUP('[1]SUBJECTS BASE'!$G41,'[1]import success seats'!$A:AN,HLOOKUP(P$4,'[1]import success seats'!$1:$2,2,FALSE),FALSE))/((VLOOKUP('[1]SUBJECTS BASE'!$G41,'[1]import GRADED seats subject piv'!$A:AE,HLOOKUP(P$4,'[1]import GRADED seats subject piv'!$1:$2,2,FALSE),FALSE))),"")</f>
        <v>0.91489361702127658</v>
      </c>
      <c r="Q45" s="13" t="str">
        <f>IFERROR((VLOOKUP('[1]SUBJECTS BASE'!$G41,'[1]import success seats'!$A:AO,HLOOKUP(Q$4,'[1]import success seats'!$1:$2,2,FALSE),FALSE))/((VLOOKUP('[1]SUBJECTS BASE'!$G41,'[1]import GRADED seats subject piv'!$A:AF,HLOOKUP(Q$4,'[1]import GRADED seats subject piv'!$1:$2,2,FALSE),FALSE))),"")</f>
        <v/>
      </c>
      <c r="R45" s="15">
        <f>IFERROR((VLOOKUP('[1]SUBJECTS BASE'!$G41,'[1]import success seats'!$A:AP,HLOOKUP(R$4,'[1]import success seats'!$1:$2,2,FALSE),FALSE))/((VLOOKUP('[1]SUBJECTS BASE'!$G41,'[1]import GRADED seats subject piv'!$A:AG,HLOOKUP(R$4,'[1]import GRADED seats subject piv'!$1:$2,2,FALSE),FALSE))),"")</f>
        <v>0.85</v>
      </c>
      <c r="S45" s="19">
        <f>IFERROR((VLOOKUP('[1]SUBJECTS BASE'!$G41,'[1]import success seats'!$A:AQ,HLOOKUP(S$4,'[1]import success seats'!$1:$2,2,FALSE),FALSE))/((VLOOKUP('[1]SUBJECTS BASE'!$G41,'[1]import GRADED seats subject piv'!$A:AH,HLOOKUP(S$4,'[1]import GRADED seats subject piv'!$1:$2,2,FALSE),FALSE))),"")</f>
        <v>0.89189189189189189</v>
      </c>
    </row>
    <row r="46" spans="1:19" x14ac:dyDescent="0.25">
      <c r="A46" s="3" t="s">
        <v>1110</v>
      </c>
      <c r="B46" s="13" t="str">
        <f>IFERROR((VLOOKUP('[1]SUBJECTS BASE'!$G42,'[1]import success seats'!$A:Z,HLOOKUP(B$4,'[1]import success seats'!$1:$2,2,FALSE),FALSE))/((VLOOKUP('[1]SUBJECTS BASE'!$G42,'[1]import GRADED seats subject piv'!$A:P,HLOOKUP(B$4,'[1]import GRADED seats subject piv'!$1:$2,2,FALSE),FALSE))),"")</f>
        <v/>
      </c>
      <c r="C46" s="15">
        <f>IFERROR((VLOOKUP('[1]SUBJECTS BASE'!$G42,'[1]import success seats'!$A:AA,HLOOKUP(C$4,'[1]import success seats'!$1:$2,2,FALSE),FALSE))/((VLOOKUP('[1]SUBJECTS BASE'!$G42,'[1]import GRADED seats subject piv'!$A:Q,HLOOKUP(C$4,'[1]import GRADED seats subject piv'!$1:$2,2,FALSE),FALSE))),"")</f>
        <v>0.88235294117647056</v>
      </c>
      <c r="D46" s="21">
        <f>IFERROR((VLOOKUP('[1]SUBJECTS BASE'!$G42,'[1]import success seats'!$A:AB,HLOOKUP(D$4,'[1]import success seats'!$1:$2,2,FALSE),FALSE))/((VLOOKUP('[1]SUBJECTS BASE'!$G42,'[1]import GRADED seats subject piv'!$A:R,HLOOKUP(D$4,'[1]import GRADED seats subject piv'!$1:$2,2,FALSE),FALSE))),"")</f>
        <v>0.7857142857142857</v>
      </c>
      <c r="E46" s="13" t="str">
        <f>IFERROR((VLOOKUP('[1]SUBJECTS BASE'!$G42,'[1]import success seats'!$A:AC,HLOOKUP(E$4,'[1]import success seats'!$1:$2,2,FALSE),FALSE))/((VLOOKUP('[1]SUBJECTS BASE'!$G42,'[1]import GRADED seats subject piv'!$A:S,HLOOKUP(E$4,'[1]import GRADED seats subject piv'!$1:$2,2,FALSE),FALSE))),"")</f>
        <v/>
      </c>
      <c r="F46" s="15">
        <f>IFERROR((VLOOKUP('[1]SUBJECTS BASE'!$G42,'[1]import success seats'!$A:AD,HLOOKUP(F$4,'[1]import success seats'!$1:$2,2,FALSE),FALSE))/((VLOOKUP('[1]SUBJECTS BASE'!$G42,'[1]import GRADED seats subject piv'!$A:T,HLOOKUP(F$4,'[1]import GRADED seats subject piv'!$1:$2,2,FALSE),FALSE))),"")</f>
        <v>0.56000000000000005</v>
      </c>
      <c r="G46" s="19">
        <f>IFERROR((VLOOKUP('[1]SUBJECTS BASE'!$G42,'[1]import success seats'!$A:AE,HLOOKUP(G$4,'[1]import success seats'!$1:$2,2,FALSE),FALSE))/((VLOOKUP('[1]SUBJECTS BASE'!$G42,'[1]import GRADED seats subject piv'!$A:U,HLOOKUP(G$4,'[1]import GRADED seats subject piv'!$1:$2,2,FALSE),FALSE))),"")</f>
        <v>0.61111111111111116</v>
      </c>
      <c r="H46" s="23" t="str">
        <f>IFERROR((VLOOKUP('[1]SUBJECTS BASE'!$G42,'[1]import success seats'!$A:AF,HLOOKUP(H$4,'[1]import success seats'!$1:$2,2,FALSE),FALSE))/((VLOOKUP('[1]SUBJECTS BASE'!$G42,'[1]import GRADED seats subject piv'!$A:V,HLOOKUP(H$4,'[1]import GRADED seats subject piv'!$1:$2,2,FALSE),FALSE))),"")</f>
        <v/>
      </c>
      <c r="I46" s="15">
        <f>IFERROR((VLOOKUP('[1]SUBJECTS BASE'!$G42,'[1]import success seats'!$A:AG,HLOOKUP(I$4,'[1]import success seats'!$1:$2,2,FALSE),FALSE))/((VLOOKUP('[1]SUBJECTS BASE'!$G42,'[1]import GRADED seats subject piv'!$A:W,HLOOKUP(I$4,'[1]import GRADED seats subject piv'!$1:$2,2,FALSE),FALSE))),"")</f>
        <v>0.77777777777777779</v>
      </c>
      <c r="J46" s="21" t="str">
        <f>IFERROR((VLOOKUP('[1]SUBJECTS BASE'!$G42,'[1]import success seats'!$A:AH,HLOOKUP(J$4,'[1]import success seats'!$1:$2,2,FALSE),FALSE))/((VLOOKUP('[1]SUBJECTS BASE'!$G42,'[1]import GRADED seats subject piv'!$A:X,HLOOKUP(J$4,'[1]import GRADED seats subject piv'!$1:$2,2,FALSE),FALSE))),"")</f>
        <v/>
      </c>
      <c r="K46" s="13" t="str">
        <f>IFERROR((VLOOKUP('[1]SUBJECTS BASE'!$G42,'[1]import success seats'!$A:AI,HLOOKUP(K$4,'[1]import success seats'!$1:$2,2,FALSE),FALSE))/((VLOOKUP('[1]SUBJECTS BASE'!$G42,'[1]import GRADED seats subject piv'!$A:Y,HLOOKUP(K$4,'[1]import GRADED seats subject piv'!$1:$2,2,FALSE),FALSE))),"")</f>
        <v/>
      </c>
      <c r="L46" s="15" t="str">
        <f>IFERROR((VLOOKUP('[1]SUBJECTS BASE'!$G42,'[1]import success seats'!$A:AJ,HLOOKUP(L$4,'[1]import success seats'!$1:$2,2,FALSE),FALSE))/((VLOOKUP('[1]SUBJECTS BASE'!$G42,'[1]import GRADED seats subject piv'!$A:Z,HLOOKUP(L$4,'[1]import GRADED seats subject piv'!$1:$2,2,FALSE),FALSE))),"")</f>
        <v/>
      </c>
      <c r="M46" s="19" t="str">
        <f>IFERROR((VLOOKUP('[1]SUBJECTS BASE'!$G42,'[1]import success seats'!$A:AK,HLOOKUP(M$4,'[1]import success seats'!$1:$2,2,FALSE),FALSE))/((VLOOKUP('[1]SUBJECTS BASE'!$G42,'[1]import GRADED seats subject piv'!$A:AB,HLOOKUP(M$4,'[1]import GRADED seats subject piv'!$1:$2,2,FALSE),FALSE))),"")</f>
        <v/>
      </c>
      <c r="N46" s="23" t="str">
        <f>IFERROR((VLOOKUP('[1]SUBJECTS BASE'!$G42,'[1]import success seats'!$A:AL,HLOOKUP(N$4,'[1]import success seats'!$1:$2,2,FALSE),FALSE))/((VLOOKUP('[1]SUBJECTS BASE'!$G42,'[1]import GRADED seats subject piv'!$A:AC,HLOOKUP(N$4,'[1]import GRADED seats subject piv'!$1:$2,2,FALSE),FALSE))),"")</f>
        <v/>
      </c>
      <c r="O46" s="15" t="str">
        <f>IFERROR((VLOOKUP('[1]SUBJECTS BASE'!$G42,'[1]import success seats'!$A:AM,HLOOKUP(O$4,'[1]import success seats'!$1:$2,2,FALSE),FALSE))/((VLOOKUP('[1]SUBJECTS BASE'!$G42,'[1]import GRADED seats subject piv'!$A:AD,HLOOKUP(O$4,'[1]import GRADED seats subject piv'!$1:$2,2,FALSE),FALSE))),"")</f>
        <v/>
      </c>
      <c r="P46" s="15" t="str">
        <f>IFERROR((VLOOKUP('[1]SUBJECTS BASE'!$G42,'[1]import success seats'!$A:AN,HLOOKUP(P$4,'[1]import success seats'!$1:$2,2,FALSE),FALSE))/((VLOOKUP('[1]SUBJECTS BASE'!$G42,'[1]import GRADED seats subject piv'!$A:AE,HLOOKUP(P$4,'[1]import GRADED seats subject piv'!$1:$2,2,FALSE),FALSE))),"")</f>
        <v/>
      </c>
      <c r="Q46" s="13" t="str">
        <f>IFERROR((VLOOKUP('[1]SUBJECTS BASE'!$G42,'[1]import success seats'!$A:AO,HLOOKUP(Q$4,'[1]import success seats'!$1:$2,2,FALSE),FALSE))/((VLOOKUP('[1]SUBJECTS BASE'!$G42,'[1]import GRADED seats subject piv'!$A:AF,HLOOKUP(Q$4,'[1]import GRADED seats subject piv'!$1:$2,2,FALSE),FALSE))),"")</f>
        <v/>
      </c>
      <c r="R46" s="15" t="str">
        <f>IFERROR((VLOOKUP('[1]SUBJECTS BASE'!$G42,'[1]import success seats'!$A:AP,HLOOKUP(R$4,'[1]import success seats'!$1:$2,2,FALSE),FALSE))/((VLOOKUP('[1]SUBJECTS BASE'!$G42,'[1]import GRADED seats subject piv'!$A:AG,HLOOKUP(R$4,'[1]import GRADED seats subject piv'!$1:$2,2,FALSE),FALSE))),"")</f>
        <v/>
      </c>
      <c r="S46" s="19" t="str">
        <f>IFERROR((VLOOKUP('[1]SUBJECTS BASE'!$G42,'[1]import success seats'!$A:AQ,HLOOKUP(S$4,'[1]import success seats'!$1:$2,2,FALSE),FALSE))/((VLOOKUP('[1]SUBJECTS BASE'!$G42,'[1]import GRADED seats subject piv'!$A:AH,HLOOKUP(S$4,'[1]import GRADED seats subject piv'!$1:$2,2,FALSE),FALSE))),"")</f>
        <v/>
      </c>
    </row>
    <row r="47" spans="1:19" x14ac:dyDescent="0.25">
      <c r="A47" s="3" t="s">
        <v>1111</v>
      </c>
      <c r="B47" s="13">
        <f>IFERROR((VLOOKUP('[1]SUBJECTS BASE'!$G43,'[1]import success seats'!$A:Z,HLOOKUP(B$4,'[1]import success seats'!$1:$2,2,FALSE),FALSE))/((VLOOKUP('[1]SUBJECTS BASE'!$G43,'[1]import GRADED seats subject piv'!$A:P,HLOOKUP(B$4,'[1]import GRADED seats subject piv'!$1:$2,2,FALSE),FALSE))),"")</f>
        <v>0.875</v>
      </c>
      <c r="C47" s="15">
        <f>IFERROR((VLOOKUP('[1]SUBJECTS BASE'!$G43,'[1]import success seats'!$A:AA,HLOOKUP(C$4,'[1]import success seats'!$1:$2,2,FALSE),FALSE))/((VLOOKUP('[1]SUBJECTS BASE'!$G43,'[1]import GRADED seats subject piv'!$A:Q,HLOOKUP(C$4,'[1]import GRADED seats subject piv'!$1:$2,2,FALSE),FALSE))),"")</f>
        <v>0.98148148148148151</v>
      </c>
      <c r="D47" s="21">
        <f>IFERROR((VLOOKUP('[1]SUBJECTS BASE'!$G43,'[1]import success seats'!$A:AB,HLOOKUP(D$4,'[1]import success seats'!$1:$2,2,FALSE),FALSE))/((VLOOKUP('[1]SUBJECTS BASE'!$G43,'[1]import GRADED seats subject piv'!$A:R,HLOOKUP(D$4,'[1]import GRADED seats subject piv'!$1:$2,2,FALSE),FALSE))),"")</f>
        <v>0.97014925373134331</v>
      </c>
      <c r="E47" s="13">
        <f>IFERROR((VLOOKUP('[1]SUBJECTS BASE'!$G43,'[1]import success seats'!$A:AC,HLOOKUP(E$4,'[1]import success seats'!$1:$2,2,FALSE),FALSE))/((VLOOKUP('[1]SUBJECTS BASE'!$G43,'[1]import GRADED seats subject piv'!$A:S,HLOOKUP(E$4,'[1]import GRADED seats subject piv'!$1:$2,2,FALSE),FALSE))),"")</f>
        <v>0.90909090909090906</v>
      </c>
      <c r="F47" s="15">
        <f>IFERROR((VLOOKUP('[1]SUBJECTS BASE'!$G43,'[1]import success seats'!$A:AD,HLOOKUP(F$4,'[1]import success seats'!$1:$2,2,FALSE),FALSE))/((VLOOKUP('[1]SUBJECTS BASE'!$G43,'[1]import GRADED seats subject piv'!$A:T,HLOOKUP(F$4,'[1]import GRADED seats subject piv'!$1:$2,2,FALSE),FALSE))),"")</f>
        <v>0.92</v>
      </c>
      <c r="G47" s="19">
        <f>IFERROR((VLOOKUP('[1]SUBJECTS BASE'!$G43,'[1]import success seats'!$A:AE,HLOOKUP(G$4,'[1]import success seats'!$1:$2,2,FALSE),FALSE))/((VLOOKUP('[1]SUBJECTS BASE'!$G43,'[1]import GRADED seats subject piv'!$A:U,HLOOKUP(G$4,'[1]import GRADED seats subject piv'!$1:$2,2,FALSE),FALSE))),"")</f>
        <v>0.84883720930232553</v>
      </c>
      <c r="H47" s="23" t="str">
        <f>IFERROR((VLOOKUP('[1]SUBJECTS BASE'!$G43,'[1]import success seats'!$A:AF,HLOOKUP(H$4,'[1]import success seats'!$1:$2,2,FALSE),FALSE))/((VLOOKUP('[1]SUBJECTS BASE'!$G43,'[1]import GRADED seats subject piv'!$A:V,HLOOKUP(H$4,'[1]import GRADED seats subject piv'!$1:$2,2,FALSE),FALSE))),"")</f>
        <v/>
      </c>
      <c r="I47" s="15">
        <f>IFERROR((VLOOKUP('[1]SUBJECTS BASE'!$G43,'[1]import success seats'!$A:AG,HLOOKUP(I$4,'[1]import success seats'!$1:$2,2,FALSE),FALSE))/((VLOOKUP('[1]SUBJECTS BASE'!$G43,'[1]import GRADED seats subject piv'!$A:W,HLOOKUP(I$4,'[1]import GRADED seats subject piv'!$1:$2,2,FALSE),FALSE))),"")</f>
        <v>0.97826086956521741</v>
      </c>
      <c r="J47" s="21">
        <f>IFERROR((VLOOKUP('[1]SUBJECTS BASE'!$G43,'[1]import success seats'!$A:AH,HLOOKUP(J$4,'[1]import success seats'!$1:$2,2,FALSE),FALSE))/((VLOOKUP('[1]SUBJECTS BASE'!$G43,'[1]import GRADED seats subject piv'!$A:X,HLOOKUP(J$4,'[1]import GRADED seats subject piv'!$1:$2,2,FALSE),FALSE))),"")</f>
        <v>0.97938144329896903</v>
      </c>
      <c r="K47" s="13" t="str">
        <f>IFERROR((VLOOKUP('[1]SUBJECTS BASE'!$G43,'[1]import success seats'!$A:AI,HLOOKUP(K$4,'[1]import success seats'!$1:$2,2,FALSE),FALSE))/((VLOOKUP('[1]SUBJECTS BASE'!$G43,'[1]import GRADED seats subject piv'!$A:Y,HLOOKUP(K$4,'[1]import GRADED seats subject piv'!$1:$2,2,FALSE),FALSE))),"")</f>
        <v/>
      </c>
      <c r="L47" s="15">
        <f>IFERROR((VLOOKUP('[1]SUBJECTS BASE'!$G43,'[1]import success seats'!$A:AJ,HLOOKUP(L$4,'[1]import success seats'!$1:$2,2,FALSE),FALSE))/((VLOOKUP('[1]SUBJECTS BASE'!$G43,'[1]import GRADED seats subject piv'!$A:Z,HLOOKUP(L$4,'[1]import GRADED seats subject piv'!$1:$2,2,FALSE),FALSE))),"")</f>
        <v>0.88421052631578945</v>
      </c>
      <c r="M47" s="19">
        <f>IFERROR((VLOOKUP('[1]SUBJECTS BASE'!$G43,'[1]import success seats'!$A:AK,HLOOKUP(M$4,'[1]import success seats'!$1:$2,2,FALSE),FALSE))/((VLOOKUP('[1]SUBJECTS BASE'!$G43,'[1]import GRADED seats subject piv'!$A:AB,HLOOKUP(M$4,'[1]import GRADED seats subject piv'!$1:$2,2,FALSE),FALSE))),"")</f>
        <v>0.90804597701149425</v>
      </c>
      <c r="N47" s="23" t="str">
        <f>IFERROR((VLOOKUP('[1]SUBJECTS BASE'!$G43,'[1]import success seats'!$A:AL,HLOOKUP(N$4,'[1]import success seats'!$1:$2,2,FALSE),FALSE))/((VLOOKUP('[1]SUBJECTS BASE'!$G43,'[1]import GRADED seats subject piv'!$A:AC,HLOOKUP(N$4,'[1]import GRADED seats subject piv'!$1:$2,2,FALSE),FALSE))),"")</f>
        <v/>
      </c>
      <c r="O47" s="15">
        <f>IFERROR((VLOOKUP('[1]SUBJECTS BASE'!$G43,'[1]import success seats'!$A:AM,HLOOKUP(O$4,'[1]import success seats'!$1:$2,2,FALSE),FALSE))/((VLOOKUP('[1]SUBJECTS BASE'!$G43,'[1]import GRADED seats subject piv'!$A:AD,HLOOKUP(O$4,'[1]import GRADED seats subject piv'!$1:$2,2,FALSE),FALSE))),"")</f>
        <v>0.9285714285714286</v>
      </c>
      <c r="P47" s="15">
        <f>IFERROR((VLOOKUP('[1]SUBJECTS BASE'!$G43,'[1]import success seats'!$A:AN,HLOOKUP(P$4,'[1]import success seats'!$1:$2,2,FALSE),FALSE))/((VLOOKUP('[1]SUBJECTS BASE'!$G43,'[1]import GRADED seats subject piv'!$A:AE,HLOOKUP(P$4,'[1]import GRADED seats subject piv'!$1:$2,2,FALSE),FALSE))),"")</f>
        <v>0.88372093023255816</v>
      </c>
      <c r="Q47" s="13" t="str">
        <f>IFERROR((VLOOKUP('[1]SUBJECTS BASE'!$G43,'[1]import success seats'!$A:AO,HLOOKUP(Q$4,'[1]import success seats'!$1:$2,2,FALSE),FALSE))/((VLOOKUP('[1]SUBJECTS BASE'!$G43,'[1]import GRADED seats subject piv'!$A:AF,HLOOKUP(Q$4,'[1]import GRADED seats subject piv'!$1:$2,2,FALSE),FALSE))),"")</f>
        <v/>
      </c>
      <c r="R47" s="15">
        <f>IFERROR((VLOOKUP('[1]SUBJECTS BASE'!$G43,'[1]import success seats'!$A:AP,HLOOKUP(R$4,'[1]import success seats'!$1:$2,2,FALSE),FALSE))/((VLOOKUP('[1]SUBJECTS BASE'!$G43,'[1]import GRADED seats subject piv'!$A:AG,HLOOKUP(R$4,'[1]import GRADED seats subject piv'!$1:$2,2,FALSE),FALSE))),"")</f>
        <v>0.94505494505494503</v>
      </c>
      <c r="S47" s="19">
        <f>IFERROR((VLOOKUP('[1]SUBJECTS BASE'!$G43,'[1]import success seats'!$A:AQ,HLOOKUP(S$4,'[1]import success seats'!$1:$2,2,FALSE),FALSE))/((VLOOKUP('[1]SUBJECTS BASE'!$G43,'[1]import GRADED seats subject piv'!$A:AH,HLOOKUP(S$4,'[1]import GRADED seats subject piv'!$1:$2,2,FALSE),FALSE))),"")</f>
        <v>0.96470588235294119</v>
      </c>
    </row>
    <row r="48" spans="1:19" x14ac:dyDescent="0.25">
      <c r="A48" s="3" t="s">
        <v>1112</v>
      </c>
      <c r="B48" s="13">
        <f>IFERROR((VLOOKUP('[1]SUBJECTS BASE'!$G44,'[1]import success seats'!$A:Z,HLOOKUP(B$4,'[1]import success seats'!$1:$2,2,FALSE),FALSE))/((VLOOKUP('[1]SUBJECTS BASE'!$G44,'[1]import GRADED seats subject piv'!$A:P,HLOOKUP(B$4,'[1]import GRADED seats subject piv'!$1:$2,2,FALSE),FALSE))),"")</f>
        <v>0.8783783783783784</v>
      </c>
      <c r="C48" s="15">
        <f>IFERROR((VLOOKUP('[1]SUBJECTS BASE'!$G44,'[1]import success seats'!$A:AA,HLOOKUP(C$4,'[1]import success seats'!$1:$2,2,FALSE),FALSE))/((VLOOKUP('[1]SUBJECTS BASE'!$G44,'[1]import GRADED seats subject piv'!$A:Q,HLOOKUP(C$4,'[1]import GRADED seats subject piv'!$1:$2,2,FALSE),FALSE))),"")</f>
        <v>0.79605494892567807</v>
      </c>
      <c r="D48" s="21">
        <f>IFERROR((VLOOKUP('[1]SUBJECTS BASE'!$G44,'[1]import success seats'!$A:AB,HLOOKUP(D$4,'[1]import success seats'!$1:$2,2,FALSE),FALSE))/((VLOOKUP('[1]SUBJECTS BASE'!$G44,'[1]import GRADED seats subject piv'!$A:R,HLOOKUP(D$4,'[1]import GRADED seats subject piv'!$1:$2,2,FALSE),FALSE))),"")</f>
        <v>0.83440453686200378</v>
      </c>
      <c r="E48" s="13">
        <f>IFERROR((VLOOKUP('[1]SUBJECTS BASE'!$G44,'[1]import success seats'!$A:AC,HLOOKUP(E$4,'[1]import success seats'!$1:$2,2,FALSE),FALSE))/((VLOOKUP('[1]SUBJECTS BASE'!$G44,'[1]import GRADED seats subject piv'!$A:S,HLOOKUP(E$4,'[1]import GRADED seats subject piv'!$1:$2,2,FALSE),FALSE))),"")</f>
        <v>0.89538461538461533</v>
      </c>
      <c r="F48" s="15">
        <f>IFERROR((VLOOKUP('[1]SUBJECTS BASE'!$G44,'[1]import success seats'!$A:AD,HLOOKUP(F$4,'[1]import success seats'!$1:$2,2,FALSE),FALSE))/((VLOOKUP('[1]SUBJECTS BASE'!$G44,'[1]import GRADED seats subject piv'!$A:T,HLOOKUP(F$4,'[1]import GRADED seats subject piv'!$1:$2,2,FALSE),FALSE))),"")</f>
        <v>0.80879744590280245</v>
      </c>
      <c r="G48" s="19">
        <f>IFERROR((VLOOKUP('[1]SUBJECTS BASE'!$G44,'[1]import success seats'!$A:AE,HLOOKUP(G$4,'[1]import success seats'!$1:$2,2,FALSE),FALSE))/((VLOOKUP('[1]SUBJECTS BASE'!$G44,'[1]import GRADED seats subject piv'!$A:U,HLOOKUP(G$4,'[1]import GRADED seats subject piv'!$1:$2,2,FALSE),FALSE))),"")</f>
        <v>0.80045011252813203</v>
      </c>
      <c r="H48" s="23">
        <f>IFERROR((VLOOKUP('[1]SUBJECTS BASE'!$G44,'[1]import success seats'!$A:AF,HLOOKUP(H$4,'[1]import success seats'!$1:$2,2,FALSE),FALSE))/((VLOOKUP('[1]SUBJECTS BASE'!$G44,'[1]import GRADED seats subject piv'!$A:V,HLOOKUP(H$4,'[1]import GRADED seats subject piv'!$1:$2,2,FALSE),FALSE))),"")</f>
        <v>0.91074380165289259</v>
      </c>
      <c r="I48" s="15">
        <f>IFERROR((VLOOKUP('[1]SUBJECTS BASE'!$G44,'[1]import success seats'!$A:AG,HLOOKUP(I$4,'[1]import success seats'!$1:$2,2,FALSE),FALSE))/((VLOOKUP('[1]SUBJECTS BASE'!$G44,'[1]import GRADED seats subject piv'!$A:W,HLOOKUP(I$4,'[1]import GRADED seats subject piv'!$1:$2,2,FALSE),FALSE))),"")</f>
        <v>0.80949129395698194</v>
      </c>
      <c r="J48" s="21">
        <f>IFERROR((VLOOKUP('[1]SUBJECTS BASE'!$G44,'[1]import success seats'!$A:AH,HLOOKUP(J$4,'[1]import success seats'!$1:$2,2,FALSE),FALSE))/((VLOOKUP('[1]SUBJECTS BASE'!$G44,'[1]import GRADED seats subject piv'!$A:X,HLOOKUP(J$4,'[1]import GRADED seats subject piv'!$1:$2,2,FALSE),FALSE))),"")</f>
        <v>0.78003060443764349</v>
      </c>
      <c r="K48" s="13">
        <f>IFERROR((VLOOKUP('[1]SUBJECTS BASE'!$G44,'[1]import success seats'!$A:AI,HLOOKUP(K$4,'[1]import success seats'!$1:$2,2,FALSE),FALSE))/((VLOOKUP('[1]SUBJECTS BASE'!$G44,'[1]import GRADED seats subject piv'!$A:Y,HLOOKUP(K$4,'[1]import GRADED seats subject piv'!$1:$2,2,FALSE),FALSE))),"")</f>
        <v>0.91891891891891897</v>
      </c>
      <c r="L48" s="15">
        <f>IFERROR((VLOOKUP('[1]SUBJECTS BASE'!$G44,'[1]import success seats'!$A:AJ,HLOOKUP(L$4,'[1]import success seats'!$1:$2,2,FALSE),FALSE))/((VLOOKUP('[1]SUBJECTS BASE'!$G44,'[1]import GRADED seats subject piv'!$A:Z,HLOOKUP(L$4,'[1]import GRADED seats subject piv'!$1:$2,2,FALSE),FALSE))),"")</f>
        <v>0.78734079505982246</v>
      </c>
      <c r="M48" s="19">
        <f>IFERROR((VLOOKUP('[1]SUBJECTS BASE'!$G44,'[1]import success seats'!$A:AK,HLOOKUP(M$4,'[1]import success seats'!$1:$2,2,FALSE),FALSE))/((VLOOKUP('[1]SUBJECTS BASE'!$G44,'[1]import GRADED seats subject piv'!$A:AB,HLOOKUP(M$4,'[1]import GRADED seats subject piv'!$1:$2,2,FALSE),FALSE))),"")</f>
        <v>0.91865417376490632</v>
      </c>
      <c r="N48" s="23" t="str">
        <f>IFERROR((VLOOKUP('[1]SUBJECTS BASE'!$G44,'[1]import success seats'!$A:AL,HLOOKUP(N$4,'[1]import success seats'!$1:$2,2,FALSE),FALSE))/((VLOOKUP('[1]SUBJECTS BASE'!$G44,'[1]import GRADED seats subject piv'!$A:AC,HLOOKUP(N$4,'[1]import GRADED seats subject piv'!$1:$2,2,FALSE),FALSE))),"")</f>
        <v/>
      </c>
      <c r="O48" s="15">
        <f>IFERROR((VLOOKUP('[1]SUBJECTS BASE'!$G44,'[1]import success seats'!$A:AM,HLOOKUP(O$4,'[1]import success seats'!$1:$2,2,FALSE),FALSE))/((VLOOKUP('[1]SUBJECTS BASE'!$G44,'[1]import GRADED seats subject piv'!$A:AD,HLOOKUP(O$4,'[1]import GRADED seats subject piv'!$1:$2,2,FALSE),FALSE))),"")</f>
        <v>0.81681818181818178</v>
      </c>
      <c r="P48" s="15">
        <f>IFERROR((VLOOKUP('[1]SUBJECTS BASE'!$G44,'[1]import success seats'!$A:AN,HLOOKUP(P$4,'[1]import success seats'!$1:$2,2,FALSE),FALSE))/((VLOOKUP('[1]SUBJECTS BASE'!$G44,'[1]import GRADED seats subject piv'!$A:AE,HLOOKUP(P$4,'[1]import GRADED seats subject piv'!$1:$2,2,FALSE),FALSE))),"")</f>
        <v>0.82211910286156231</v>
      </c>
      <c r="Q48" s="13">
        <f>IFERROR((VLOOKUP('[1]SUBJECTS BASE'!$G44,'[1]import success seats'!$A:AO,HLOOKUP(Q$4,'[1]import success seats'!$1:$2,2,FALSE),FALSE))/((VLOOKUP('[1]SUBJECTS BASE'!$G44,'[1]import GRADED seats subject piv'!$A:AF,HLOOKUP(Q$4,'[1]import GRADED seats subject piv'!$1:$2,2,FALSE),FALSE))),"")</f>
        <v>0.89516129032258063</v>
      </c>
      <c r="R48" s="15">
        <f>IFERROR((VLOOKUP('[1]SUBJECTS BASE'!$G44,'[1]import success seats'!$A:AP,HLOOKUP(R$4,'[1]import success seats'!$1:$2,2,FALSE),FALSE))/((VLOOKUP('[1]SUBJECTS BASE'!$G44,'[1]import GRADED seats subject piv'!$A:AG,HLOOKUP(R$4,'[1]import GRADED seats subject piv'!$1:$2,2,FALSE),FALSE))),"")</f>
        <v>0.79480778831752374</v>
      </c>
      <c r="S48" s="19">
        <f>IFERROR((VLOOKUP('[1]SUBJECTS BASE'!$G44,'[1]import success seats'!$A:AQ,HLOOKUP(S$4,'[1]import success seats'!$1:$2,2,FALSE),FALSE))/((VLOOKUP('[1]SUBJECTS BASE'!$G44,'[1]import GRADED seats subject piv'!$A:AH,HLOOKUP(S$4,'[1]import GRADED seats subject piv'!$1:$2,2,FALSE),FALSE))),"")</f>
        <v>0.8051441932969603</v>
      </c>
    </row>
    <row r="49" spans="1:19" x14ac:dyDescent="0.25">
      <c r="A49" s="3" t="s">
        <v>1113</v>
      </c>
      <c r="B49" s="13" t="str">
        <f>IFERROR((VLOOKUP('[1]SUBJECTS BASE'!$G45,'[1]import success seats'!$A:Z,HLOOKUP(B$4,'[1]import success seats'!$1:$2,2,FALSE),FALSE))/((VLOOKUP('[1]SUBJECTS BASE'!$G45,'[1]import GRADED seats subject piv'!$A:P,HLOOKUP(B$4,'[1]import GRADED seats subject piv'!$1:$2,2,FALSE),FALSE))),"")</f>
        <v/>
      </c>
      <c r="C49" s="15">
        <f>IFERROR((VLOOKUP('[1]SUBJECTS BASE'!$G45,'[1]import success seats'!$A:AA,HLOOKUP(C$4,'[1]import success seats'!$1:$2,2,FALSE),FALSE))/((VLOOKUP('[1]SUBJECTS BASE'!$G45,'[1]import GRADED seats subject piv'!$A:Q,HLOOKUP(C$4,'[1]import GRADED seats subject piv'!$1:$2,2,FALSE),FALSE))),"")</f>
        <v>0.8214285714285714</v>
      </c>
      <c r="D49" s="21">
        <f>IFERROR((VLOOKUP('[1]SUBJECTS BASE'!$G45,'[1]import success seats'!$A:AB,HLOOKUP(D$4,'[1]import success seats'!$1:$2,2,FALSE),FALSE))/((VLOOKUP('[1]SUBJECTS BASE'!$G45,'[1]import GRADED seats subject piv'!$A:R,HLOOKUP(D$4,'[1]import GRADED seats subject piv'!$1:$2,2,FALSE),FALSE))),"")</f>
        <v>0.84313725490196079</v>
      </c>
      <c r="E49" s="13" t="str">
        <f>IFERROR((VLOOKUP('[1]SUBJECTS BASE'!$G45,'[1]import success seats'!$A:AC,HLOOKUP(E$4,'[1]import success seats'!$1:$2,2,FALSE),FALSE))/((VLOOKUP('[1]SUBJECTS BASE'!$G45,'[1]import GRADED seats subject piv'!$A:S,HLOOKUP(E$4,'[1]import GRADED seats subject piv'!$1:$2,2,FALSE),FALSE))),"")</f>
        <v/>
      </c>
      <c r="F49" s="15">
        <f>IFERROR((VLOOKUP('[1]SUBJECTS BASE'!$G45,'[1]import success seats'!$A:AD,HLOOKUP(F$4,'[1]import success seats'!$1:$2,2,FALSE),FALSE))/((VLOOKUP('[1]SUBJECTS BASE'!$G45,'[1]import GRADED seats subject piv'!$A:T,HLOOKUP(F$4,'[1]import GRADED seats subject piv'!$1:$2,2,FALSE),FALSE))),"")</f>
        <v>0.89655172413793105</v>
      </c>
      <c r="G49" s="19">
        <f>IFERROR((VLOOKUP('[1]SUBJECTS BASE'!$G45,'[1]import success seats'!$A:AE,HLOOKUP(G$4,'[1]import success seats'!$1:$2,2,FALSE),FALSE))/((VLOOKUP('[1]SUBJECTS BASE'!$G45,'[1]import GRADED seats subject piv'!$A:U,HLOOKUP(G$4,'[1]import GRADED seats subject piv'!$1:$2,2,FALSE),FALSE))),"")</f>
        <v>0.79166666666666663</v>
      </c>
      <c r="H49" s="23" t="str">
        <f>IFERROR((VLOOKUP('[1]SUBJECTS BASE'!$G45,'[1]import success seats'!$A:AF,HLOOKUP(H$4,'[1]import success seats'!$1:$2,2,FALSE),FALSE))/((VLOOKUP('[1]SUBJECTS BASE'!$G45,'[1]import GRADED seats subject piv'!$A:V,HLOOKUP(H$4,'[1]import GRADED seats subject piv'!$1:$2,2,FALSE),FALSE))),"")</f>
        <v/>
      </c>
      <c r="I49" s="15">
        <f>IFERROR((VLOOKUP('[1]SUBJECTS BASE'!$G45,'[1]import success seats'!$A:AG,HLOOKUP(I$4,'[1]import success seats'!$1:$2,2,FALSE),FALSE))/((VLOOKUP('[1]SUBJECTS BASE'!$G45,'[1]import GRADED seats subject piv'!$A:W,HLOOKUP(I$4,'[1]import GRADED seats subject piv'!$1:$2,2,FALSE),FALSE))),"")</f>
        <v>0.73684210526315785</v>
      </c>
      <c r="J49" s="21">
        <f>IFERROR((VLOOKUP('[1]SUBJECTS BASE'!$G45,'[1]import success seats'!$A:AH,HLOOKUP(J$4,'[1]import success seats'!$1:$2,2,FALSE),FALSE))/((VLOOKUP('[1]SUBJECTS BASE'!$G45,'[1]import GRADED seats subject piv'!$A:X,HLOOKUP(J$4,'[1]import GRADED seats subject piv'!$1:$2,2,FALSE),FALSE))),"")</f>
        <v>0.72</v>
      </c>
      <c r="K49" s="13" t="str">
        <f>IFERROR((VLOOKUP('[1]SUBJECTS BASE'!$G45,'[1]import success seats'!$A:AI,HLOOKUP(K$4,'[1]import success seats'!$1:$2,2,FALSE),FALSE))/((VLOOKUP('[1]SUBJECTS BASE'!$G45,'[1]import GRADED seats subject piv'!$A:Y,HLOOKUP(K$4,'[1]import GRADED seats subject piv'!$1:$2,2,FALSE),FALSE))),"")</f>
        <v/>
      </c>
      <c r="L49" s="15">
        <f>IFERROR((VLOOKUP('[1]SUBJECTS BASE'!$G45,'[1]import success seats'!$A:AJ,HLOOKUP(L$4,'[1]import success seats'!$1:$2,2,FALSE),FALSE))/((VLOOKUP('[1]SUBJECTS BASE'!$G45,'[1]import GRADED seats subject piv'!$A:Z,HLOOKUP(L$4,'[1]import GRADED seats subject piv'!$1:$2,2,FALSE),FALSE))),"")</f>
        <v>0.91200000000000003</v>
      </c>
      <c r="M49" s="19">
        <f>IFERROR((VLOOKUP('[1]SUBJECTS BASE'!$G45,'[1]import success seats'!$A:AK,HLOOKUP(M$4,'[1]import success seats'!$1:$2,2,FALSE),FALSE))/((VLOOKUP('[1]SUBJECTS BASE'!$G45,'[1]import GRADED seats subject piv'!$A:AB,HLOOKUP(M$4,'[1]import GRADED seats subject piv'!$1:$2,2,FALSE),FALSE))),"")</f>
        <v>0.80434782608695654</v>
      </c>
      <c r="N49" s="23" t="str">
        <f>IFERROR((VLOOKUP('[1]SUBJECTS BASE'!$G45,'[1]import success seats'!$A:AL,HLOOKUP(N$4,'[1]import success seats'!$1:$2,2,FALSE),FALSE))/((VLOOKUP('[1]SUBJECTS BASE'!$G45,'[1]import GRADED seats subject piv'!$A:AC,HLOOKUP(N$4,'[1]import GRADED seats subject piv'!$1:$2,2,FALSE),FALSE))),"")</f>
        <v/>
      </c>
      <c r="O49" s="15">
        <f>IFERROR((VLOOKUP('[1]SUBJECTS BASE'!$G45,'[1]import success seats'!$A:AM,HLOOKUP(O$4,'[1]import success seats'!$1:$2,2,FALSE),FALSE))/((VLOOKUP('[1]SUBJECTS BASE'!$G45,'[1]import GRADED seats subject piv'!$A:AD,HLOOKUP(O$4,'[1]import GRADED seats subject piv'!$1:$2,2,FALSE),FALSE))),"")</f>
        <v>0.73553719008264462</v>
      </c>
      <c r="P49" s="15">
        <f>IFERROR((VLOOKUP('[1]SUBJECTS BASE'!$G45,'[1]import success seats'!$A:AN,HLOOKUP(P$4,'[1]import success seats'!$1:$2,2,FALSE),FALSE))/((VLOOKUP('[1]SUBJECTS BASE'!$G45,'[1]import GRADED seats subject piv'!$A:AE,HLOOKUP(P$4,'[1]import GRADED seats subject piv'!$1:$2,2,FALSE),FALSE))),"")</f>
        <v>0.59836065573770492</v>
      </c>
      <c r="Q49" s="13" t="str">
        <f>IFERROR((VLOOKUP('[1]SUBJECTS BASE'!$G45,'[1]import success seats'!$A:AO,HLOOKUP(Q$4,'[1]import success seats'!$1:$2,2,FALSE),FALSE))/((VLOOKUP('[1]SUBJECTS BASE'!$G45,'[1]import GRADED seats subject piv'!$A:AF,HLOOKUP(Q$4,'[1]import GRADED seats subject piv'!$1:$2,2,FALSE),FALSE))),"")</f>
        <v/>
      </c>
      <c r="R49" s="15">
        <f>IFERROR((VLOOKUP('[1]SUBJECTS BASE'!$G45,'[1]import success seats'!$A:AP,HLOOKUP(R$4,'[1]import success seats'!$1:$2,2,FALSE),FALSE))/((VLOOKUP('[1]SUBJECTS BASE'!$G45,'[1]import GRADED seats subject piv'!$A:AG,HLOOKUP(R$4,'[1]import GRADED seats subject piv'!$1:$2,2,FALSE),FALSE))),"")</f>
        <v>0.84210526315789469</v>
      </c>
      <c r="S49" s="19">
        <f>IFERROR((VLOOKUP('[1]SUBJECTS BASE'!$G45,'[1]import success seats'!$A:AQ,HLOOKUP(S$4,'[1]import success seats'!$1:$2,2,FALSE),FALSE))/((VLOOKUP('[1]SUBJECTS BASE'!$G45,'[1]import GRADED seats subject piv'!$A:AH,HLOOKUP(S$4,'[1]import GRADED seats subject piv'!$1:$2,2,FALSE),FALSE))),"")</f>
        <v>0.9285714285714286</v>
      </c>
    </row>
    <row r="50" spans="1:19" x14ac:dyDescent="0.25">
      <c r="A50" s="3" t="s">
        <v>1114</v>
      </c>
      <c r="B50" s="13">
        <f>IFERROR((VLOOKUP('[1]SUBJECTS BASE'!$G46,'[1]import success seats'!$A:Z,HLOOKUP(B$4,'[1]import success seats'!$1:$2,2,FALSE),FALSE))/((VLOOKUP('[1]SUBJECTS BASE'!$G46,'[1]import GRADED seats subject piv'!$A:P,HLOOKUP(B$4,'[1]import GRADED seats subject piv'!$1:$2,2,FALSE),FALSE))),"")</f>
        <v>0.875</v>
      </c>
      <c r="C50" s="15">
        <f>IFERROR((VLOOKUP('[1]SUBJECTS BASE'!$G46,'[1]import success seats'!$A:AA,HLOOKUP(C$4,'[1]import success seats'!$1:$2,2,FALSE),FALSE))/((VLOOKUP('[1]SUBJECTS BASE'!$G46,'[1]import GRADED seats subject piv'!$A:Q,HLOOKUP(C$4,'[1]import GRADED seats subject piv'!$1:$2,2,FALSE),FALSE))),"")</f>
        <v>0.86776859504132231</v>
      </c>
      <c r="D50" s="21">
        <f>IFERROR((VLOOKUP('[1]SUBJECTS BASE'!$G46,'[1]import success seats'!$A:AB,HLOOKUP(D$4,'[1]import success seats'!$1:$2,2,FALSE),FALSE))/((VLOOKUP('[1]SUBJECTS BASE'!$G46,'[1]import GRADED seats subject piv'!$A:R,HLOOKUP(D$4,'[1]import GRADED seats subject piv'!$1:$2,2,FALSE),FALSE))),"")</f>
        <v>0.92351274787535409</v>
      </c>
      <c r="E50" s="13">
        <f>IFERROR((VLOOKUP('[1]SUBJECTS BASE'!$G46,'[1]import success seats'!$A:AC,HLOOKUP(E$4,'[1]import success seats'!$1:$2,2,FALSE),FALSE))/((VLOOKUP('[1]SUBJECTS BASE'!$G46,'[1]import GRADED seats subject piv'!$A:S,HLOOKUP(E$4,'[1]import GRADED seats subject piv'!$1:$2,2,FALSE),FALSE))),"")</f>
        <v>0.91044776119402981</v>
      </c>
      <c r="F50" s="15">
        <f>IFERROR((VLOOKUP('[1]SUBJECTS BASE'!$G46,'[1]import success seats'!$A:AD,HLOOKUP(F$4,'[1]import success seats'!$1:$2,2,FALSE),FALSE))/((VLOOKUP('[1]SUBJECTS BASE'!$G46,'[1]import GRADED seats subject piv'!$A:T,HLOOKUP(F$4,'[1]import GRADED seats subject piv'!$1:$2,2,FALSE),FALSE))),"")</f>
        <v>0.88177339901477836</v>
      </c>
      <c r="G50" s="19">
        <f>IFERROR((VLOOKUP('[1]SUBJECTS BASE'!$G46,'[1]import success seats'!$A:AE,HLOOKUP(G$4,'[1]import success seats'!$1:$2,2,FALSE),FALSE))/((VLOOKUP('[1]SUBJECTS BASE'!$G46,'[1]import GRADED seats subject piv'!$A:U,HLOOKUP(G$4,'[1]import GRADED seats subject piv'!$1:$2,2,FALSE),FALSE))),"")</f>
        <v>0.86436170212765961</v>
      </c>
      <c r="H50" s="23" t="str">
        <f>IFERROR((VLOOKUP('[1]SUBJECTS BASE'!$G46,'[1]import success seats'!$A:AF,HLOOKUP(H$4,'[1]import success seats'!$1:$2,2,FALSE),FALSE))/((VLOOKUP('[1]SUBJECTS BASE'!$G46,'[1]import GRADED seats subject piv'!$A:V,HLOOKUP(H$4,'[1]import GRADED seats subject piv'!$1:$2,2,FALSE),FALSE))),"")</f>
        <v/>
      </c>
      <c r="I50" s="15">
        <f>IFERROR((VLOOKUP('[1]SUBJECTS BASE'!$G46,'[1]import success seats'!$A:AG,HLOOKUP(I$4,'[1]import success seats'!$1:$2,2,FALSE),FALSE))/((VLOOKUP('[1]SUBJECTS BASE'!$G46,'[1]import GRADED seats subject piv'!$A:W,HLOOKUP(I$4,'[1]import GRADED seats subject piv'!$1:$2,2,FALSE),FALSE))),"")</f>
        <v>0.8883248730964467</v>
      </c>
      <c r="J50" s="21">
        <f>IFERROR((VLOOKUP('[1]SUBJECTS BASE'!$G46,'[1]import success seats'!$A:AH,HLOOKUP(J$4,'[1]import success seats'!$1:$2,2,FALSE),FALSE))/((VLOOKUP('[1]SUBJECTS BASE'!$G46,'[1]import GRADED seats subject piv'!$A:X,HLOOKUP(J$4,'[1]import GRADED seats subject piv'!$1:$2,2,FALSE),FALSE))),"")</f>
        <v>0.86270022883295194</v>
      </c>
      <c r="K50" s="13" t="str">
        <f>IFERROR((VLOOKUP('[1]SUBJECTS BASE'!$G46,'[1]import success seats'!$A:AI,HLOOKUP(K$4,'[1]import success seats'!$1:$2,2,FALSE),FALSE))/((VLOOKUP('[1]SUBJECTS BASE'!$G46,'[1]import GRADED seats subject piv'!$A:Y,HLOOKUP(K$4,'[1]import GRADED seats subject piv'!$1:$2,2,FALSE),FALSE))),"")</f>
        <v/>
      </c>
      <c r="L50" s="15">
        <f>IFERROR((VLOOKUP('[1]SUBJECTS BASE'!$G46,'[1]import success seats'!$A:AJ,HLOOKUP(L$4,'[1]import success seats'!$1:$2,2,FALSE),FALSE))/((VLOOKUP('[1]SUBJECTS BASE'!$G46,'[1]import GRADED seats subject piv'!$A:Z,HLOOKUP(L$4,'[1]import GRADED seats subject piv'!$1:$2,2,FALSE),FALSE))),"")</f>
        <v>0.86619718309859151</v>
      </c>
      <c r="M50" s="19">
        <f>IFERROR((VLOOKUP('[1]SUBJECTS BASE'!$G46,'[1]import success seats'!$A:AK,HLOOKUP(M$4,'[1]import success seats'!$1:$2,2,FALSE),FALSE))/((VLOOKUP('[1]SUBJECTS BASE'!$G46,'[1]import GRADED seats subject piv'!$A:AB,HLOOKUP(M$4,'[1]import GRADED seats subject piv'!$1:$2,2,FALSE),FALSE))),"")</f>
        <v>0.86374133949191689</v>
      </c>
      <c r="N50" s="23" t="str">
        <f>IFERROR((VLOOKUP('[1]SUBJECTS BASE'!$G46,'[1]import success seats'!$A:AL,HLOOKUP(N$4,'[1]import success seats'!$1:$2,2,FALSE),FALSE))/((VLOOKUP('[1]SUBJECTS BASE'!$G46,'[1]import GRADED seats subject piv'!$A:AC,HLOOKUP(N$4,'[1]import GRADED seats subject piv'!$1:$2,2,FALSE),FALSE))),"")</f>
        <v/>
      </c>
      <c r="O50" s="15">
        <f>IFERROR((VLOOKUP('[1]SUBJECTS BASE'!$G46,'[1]import success seats'!$A:AM,HLOOKUP(O$4,'[1]import success seats'!$1:$2,2,FALSE),FALSE))/((VLOOKUP('[1]SUBJECTS BASE'!$G46,'[1]import GRADED seats subject piv'!$A:AD,HLOOKUP(O$4,'[1]import GRADED seats subject piv'!$1:$2,2,FALSE),FALSE))),"")</f>
        <v>0.8472622478386167</v>
      </c>
      <c r="P50" s="15">
        <f>IFERROR((VLOOKUP('[1]SUBJECTS BASE'!$G46,'[1]import success seats'!$A:AN,HLOOKUP(P$4,'[1]import success seats'!$1:$2,2,FALSE),FALSE))/((VLOOKUP('[1]SUBJECTS BASE'!$G46,'[1]import GRADED seats subject piv'!$A:AE,HLOOKUP(P$4,'[1]import GRADED seats subject piv'!$1:$2,2,FALSE),FALSE))),"")</f>
        <v>0.86885245901639341</v>
      </c>
      <c r="Q50" s="13">
        <f>IFERROR((VLOOKUP('[1]SUBJECTS BASE'!$G46,'[1]import success seats'!$A:AO,HLOOKUP(Q$4,'[1]import success seats'!$1:$2,2,FALSE),FALSE))/((VLOOKUP('[1]SUBJECTS BASE'!$G46,'[1]import GRADED seats subject piv'!$A:AF,HLOOKUP(Q$4,'[1]import GRADED seats subject piv'!$1:$2,2,FALSE),FALSE))),"")</f>
        <v>1</v>
      </c>
      <c r="R50" s="15">
        <f>IFERROR((VLOOKUP('[1]SUBJECTS BASE'!$G46,'[1]import success seats'!$A:AP,HLOOKUP(R$4,'[1]import success seats'!$1:$2,2,FALSE),FALSE))/((VLOOKUP('[1]SUBJECTS BASE'!$G46,'[1]import GRADED seats subject piv'!$A:AG,HLOOKUP(R$4,'[1]import GRADED seats subject piv'!$1:$2,2,FALSE),FALSE))),"")</f>
        <v>0.8351648351648352</v>
      </c>
      <c r="S50" s="19">
        <f>IFERROR((VLOOKUP('[1]SUBJECTS BASE'!$G46,'[1]import success seats'!$A:AQ,HLOOKUP(S$4,'[1]import success seats'!$1:$2,2,FALSE),FALSE))/((VLOOKUP('[1]SUBJECTS BASE'!$G46,'[1]import GRADED seats subject piv'!$A:AH,HLOOKUP(S$4,'[1]import GRADED seats subject piv'!$1:$2,2,FALSE),FALSE))),"")</f>
        <v>0.83880597014925373</v>
      </c>
    </row>
    <row r="51" spans="1:19" x14ac:dyDescent="0.25">
      <c r="A51" s="3" t="s">
        <v>1115</v>
      </c>
      <c r="B51" s="13">
        <f>IFERROR((VLOOKUP('[1]SUBJECTS BASE'!$G47,'[1]import success seats'!$A:Z,HLOOKUP(B$4,'[1]import success seats'!$1:$2,2,FALSE),FALSE))/((VLOOKUP('[1]SUBJECTS BASE'!$G47,'[1]import GRADED seats subject piv'!$A:P,HLOOKUP(B$4,'[1]import GRADED seats subject piv'!$1:$2,2,FALSE),FALSE))),"")</f>
        <v>0.9107142857142857</v>
      </c>
      <c r="C51" s="15">
        <f>IFERROR((VLOOKUP('[1]SUBJECTS BASE'!$G47,'[1]import success seats'!$A:AA,HLOOKUP(C$4,'[1]import success seats'!$1:$2,2,FALSE),FALSE))/((VLOOKUP('[1]SUBJECTS BASE'!$G47,'[1]import GRADED seats subject piv'!$A:Q,HLOOKUP(C$4,'[1]import GRADED seats subject piv'!$1:$2,2,FALSE),FALSE))),"")</f>
        <v>0.79220779220779225</v>
      </c>
      <c r="D51" s="21">
        <f>IFERROR((VLOOKUP('[1]SUBJECTS BASE'!$G47,'[1]import success seats'!$A:AB,HLOOKUP(D$4,'[1]import success seats'!$1:$2,2,FALSE),FALSE))/((VLOOKUP('[1]SUBJECTS BASE'!$G47,'[1]import GRADED seats subject piv'!$A:R,HLOOKUP(D$4,'[1]import GRADED seats subject piv'!$1:$2,2,FALSE),FALSE))),"")</f>
        <v>0.78886756238003841</v>
      </c>
      <c r="E51" s="13">
        <f>IFERROR((VLOOKUP('[1]SUBJECTS BASE'!$G47,'[1]import success seats'!$A:AC,HLOOKUP(E$4,'[1]import success seats'!$1:$2,2,FALSE),FALSE))/((VLOOKUP('[1]SUBJECTS BASE'!$G47,'[1]import GRADED seats subject piv'!$A:S,HLOOKUP(E$4,'[1]import GRADED seats subject piv'!$1:$2,2,FALSE),FALSE))),"")</f>
        <v>0.96907216494845361</v>
      </c>
      <c r="F51" s="15">
        <f>IFERROR((VLOOKUP('[1]SUBJECTS BASE'!$G47,'[1]import success seats'!$A:AD,HLOOKUP(F$4,'[1]import success seats'!$1:$2,2,FALSE),FALSE))/((VLOOKUP('[1]SUBJECTS BASE'!$G47,'[1]import GRADED seats subject piv'!$A:T,HLOOKUP(F$4,'[1]import GRADED seats subject piv'!$1:$2,2,FALSE),FALSE))),"")</f>
        <v>0.84055727554179571</v>
      </c>
      <c r="G51" s="19">
        <f>IFERROR((VLOOKUP('[1]SUBJECTS BASE'!$G47,'[1]import success seats'!$A:AE,HLOOKUP(G$4,'[1]import success seats'!$1:$2,2,FALSE),FALSE))/((VLOOKUP('[1]SUBJECTS BASE'!$G47,'[1]import GRADED seats subject piv'!$A:U,HLOOKUP(G$4,'[1]import GRADED seats subject piv'!$1:$2,2,FALSE),FALSE))),"")</f>
        <v>0.83091149273447817</v>
      </c>
      <c r="H51" s="23" t="str">
        <f>IFERROR((VLOOKUP('[1]SUBJECTS BASE'!$G47,'[1]import success seats'!$A:AF,HLOOKUP(H$4,'[1]import success seats'!$1:$2,2,FALSE),FALSE))/((VLOOKUP('[1]SUBJECTS BASE'!$G47,'[1]import GRADED seats subject piv'!$A:V,HLOOKUP(H$4,'[1]import GRADED seats subject piv'!$1:$2,2,FALSE),FALSE))),"")</f>
        <v/>
      </c>
      <c r="I51" s="15">
        <f>IFERROR((VLOOKUP('[1]SUBJECTS BASE'!$G47,'[1]import success seats'!$A:AG,HLOOKUP(I$4,'[1]import success seats'!$1:$2,2,FALSE),FALSE))/((VLOOKUP('[1]SUBJECTS BASE'!$G47,'[1]import GRADED seats subject piv'!$A:W,HLOOKUP(I$4,'[1]import GRADED seats subject piv'!$1:$2,2,FALSE),FALSE))),"")</f>
        <v>0.83634311512415349</v>
      </c>
      <c r="J51" s="21">
        <f>IFERROR((VLOOKUP('[1]SUBJECTS BASE'!$G47,'[1]import success seats'!$A:AH,HLOOKUP(J$4,'[1]import success seats'!$1:$2,2,FALSE),FALSE))/((VLOOKUP('[1]SUBJECTS BASE'!$G47,'[1]import GRADED seats subject piv'!$A:X,HLOOKUP(J$4,'[1]import GRADED seats subject piv'!$1:$2,2,FALSE),FALSE))),"")</f>
        <v>0.82568807339449546</v>
      </c>
      <c r="K51" s="13" t="str">
        <f>IFERROR((VLOOKUP('[1]SUBJECTS BASE'!$G47,'[1]import success seats'!$A:AI,HLOOKUP(K$4,'[1]import success seats'!$1:$2,2,FALSE),FALSE))/((VLOOKUP('[1]SUBJECTS BASE'!$G47,'[1]import GRADED seats subject piv'!$A:Y,HLOOKUP(K$4,'[1]import GRADED seats subject piv'!$1:$2,2,FALSE),FALSE))),"")</f>
        <v/>
      </c>
      <c r="L51" s="15">
        <f>IFERROR((VLOOKUP('[1]SUBJECTS BASE'!$G47,'[1]import success seats'!$A:AJ,HLOOKUP(L$4,'[1]import success seats'!$1:$2,2,FALSE),FALSE))/((VLOOKUP('[1]SUBJECTS BASE'!$G47,'[1]import GRADED seats subject piv'!$A:Z,HLOOKUP(L$4,'[1]import GRADED seats subject piv'!$1:$2,2,FALSE),FALSE))),"")</f>
        <v>0.81733333333333336</v>
      </c>
      <c r="M51" s="19">
        <f>IFERROR((VLOOKUP('[1]SUBJECTS BASE'!$G47,'[1]import success seats'!$A:AK,HLOOKUP(M$4,'[1]import success seats'!$1:$2,2,FALSE),FALSE))/((VLOOKUP('[1]SUBJECTS BASE'!$G47,'[1]import GRADED seats subject piv'!$A:AB,HLOOKUP(M$4,'[1]import GRADED seats subject piv'!$1:$2,2,FALSE),FALSE))),"")</f>
        <v>0.81122448979591832</v>
      </c>
      <c r="N51" s="23" t="str">
        <f>IFERROR((VLOOKUP('[1]SUBJECTS BASE'!$G47,'[1]import success seats'!$A:AL,HLOOKUP(N$4,'[1]import success seats'!$1:$2,2,FALSE),FALSE))/((VLOOKUP('[1]SUBJECTS BASE'!$G47,'[1]import GRADED seats subject piv'!$A:AC,HLOOKUP(N$4,'[1]import GRADED seats subject piv'!$1:$2,2,FALSE),FALSE))),"")</f>
        <v/>
      </c>
      <c r="O51" s="15">
        <f>IFERROR((VLOOKUP('[1]SUBJECTS BASE'!$G47,'[1]import success seats'!$A:AM,HLOOKUP(O$4,'[1]import success seats'!$1:$2,2,FALSE),FALSE))/((VLOOKUP('[1]SUBJECTS BASE'!$G47,'[1]import GRADED seats subject piv'!$A:AD,HLOOKUP(O$4,'[1]import GRADED seats subject piv'!$1:$2,2,FALSE),FALSE))),"")</f>
        <v>0.88306451612903225</v>
      </c>
      <c r="P51" s="15">
        <f>IFERROR((VLOOKUP('[1]SUBJECTS BASE'!$G47,'[1]import success seats'!$A:AN,HLOOKUP(P$4,'[1]import success seats'!$1:$2,2,FALSE),FALSE))/((VLOOKUP('[1]SUBJECTS BASE'!$G47,'[1]import GRADED seats subject piv'!$A:AE,HLOOKUP(P$4,'[1]import GRADED seats subject piv'!$1:$2,2,FALSE),FALSE))),"")</f>
        <v>0.83269961977186313</v>
      </c>
      <c r="Q51" s="13" t="str">
        <f>IFERROR((VLOOKUP('[1]SUBJECTS BASE'!$G47,'[1]import success seats'!$A:AO,HLOOKUP(Q$4,'[1]import success seats'!$1:$2,2,FALSE),FALSE))/((VLOOKUP('[1]SUBJECTS BASE'!$G47,'[1]import GRADED seats subject piv'!$A:AF,HLOOKUP(Q$4,'[1]import GRADED seats subject piv'!$1:$2,2,FALSE),FALSE))),"")</f>
        <v/>
      </c>
      <c r="R51" s="15">
        <f>IFERROR((VLOOKUP('[1]SUBJECTS BASE'!$G47,'[1]import success seats'!$A:AP,HLOOKUP(R$4,'[1]import success seats'!$1:$2,2,FALSE),FALSE))/((VLOOKUP('[1]SUBJECTS BASE'!$G47,'[1]import GRADED seats subject piv'!$A:AG,HLOOKUP(R$4,'[1]import GRADED seats subject piv'!$1:$2,2,FALSE),FALSE))),"")</f>
        <v>0.87092391304347827</v>
      </c>
      <c r="S51" s="19">
        <f>IFERROR((VLOOKUP('[1]SUBJECTS BASE'!$G47,'[1]import success seats'!$A:AQ,HLOOKUP(S$4,'[1]import success seats'!$1:$2,2,FALSE),FALSE))/((VLOOKUP('[1]SUBJECTS BASE'!$G47,'[1]import GRADED seats subject piv'!$A:AH,HLOOKUP(S$4,'[1]import GRADED seats subject piv'!$1:$2,2,FALSE),FALSE))),"")</f>
        <v>0.88702290076335877</v>
      </c>
    </row>
    <row r="52" spans="1:19" x14ac:dyDescent="0.25">
      <c r="A52" s="3" t="s">
        <v>1116</v>
      </c>
      <c r="B52" s="13" t="str">
        <f>IFERROR((VLOOKUP('[1]SUBJECTS BASE'!$G48,'[1]import success seats'!$A:Z,HLOOKUP(B$4,'[1]import success seats'!$1:$2,2,FALSE),FALSE))/((VLOOKUP('[1]SUBJECTS BASE'!$G48,'[1]import GRADED seats subject piv'!$A:P,HLOOKUP(B$4,'[1]import GRADED seats subject piv'!$1:$2,2,FALSE),FALSE))),"")</f>
        <v/>
      </c>
      <c r="C52" s="15">
        <f>IFERROR((VLOOKUP('[1]SUBJECTS BASE'!$G48,'[1]import success seats'!$A:AA,HLOOKUP(C$4,'[1]import success seats'!$1:$2,2,FALSE),FALSE))/((VLOOKUP('[1]SUBJECTS BASE'!$G48,'[1]import GRADED seats subject piv'!$A:Q,HLOOKUP(C$4,'[1]import GRADED seats subject piv'!$1:$2,2,FALSE),FALSE))),"")</f>
        <v>0.95652173913043481</v>
      </c>
      <c r="D52" s="21">
        <f>IFERROR((VLOOKUP('[1]SUBJECTS BASE'!$G48,'[1]import success seats'!$A:AB,HLOOKUP(D$4,'[1]import success seats'!$1:$2,2,FALSE),FALSE))/((VLOOKUP('[1]SUBJECTS BASE'!$G48,'[1]import GRADED seats subject piv'!$A:R,HLOOKUP(D$4,'[1]import GRADED seats subject piv'!$1:$2,2,FALSE),FALSE))),"")</f>
        <v>0.97368421052631582</v>
      </c>
      <c r="E52" s="13" t="str">
        <f>IFERROR((VLOOKUP('[1]SUBJECTS BASE'!$G48,'[1]import success seats'!$A:AC,HLOOKUP(E$4,'[1]import success seats'!$1:$2,2,FALSE),FALSE))/((VLOOKUP('[1]SUBJECTS BASE'!$G48,'[1]import GRADED seats subject piv'!$A:S,HLOOKUP(E$4,'[1]import GRADED seats subject piv'!$1:$2,2,FALSE),FALSE))),"")</f>
        <v/>
      </c>
      <c r="F52" s="15">
        <f>IFERROR((VLOOKUP('[1]SUBJECTS BASE'!$G48,'[1]import success seats'!$A:AD,HLOOKUP(F$4,'[1]import success seats'!$1:$2,2,FALSE),FALSE))/((VLOOKUP('[1]SUBJECTS BASE'!$G48,'[1]import GRADED seats subject piv'!$A:T,HLOOKUP(F$4,'[1]import GRADED seats subject piv'!$1:$2,2,FALSE),FALSE))),"")</f>
        <v>0.95833333333333337</v>
      </c>
      <c r="G52" s="19">
        <f>IFERROR((VLOOKUP('[1]SUBJECTS BASE'!$G48,'[1]import success seats'!$A:AE,HLOOKUP(G$4,'[1]import success seats'!$1:$2,2,FALSE),FALSE))/((VLOOKUP('[1]SUBJECTS BASE'!$G48,'[1]import GRADED seats subject piv'!$A:U,HLOOKUP(G$4,'[1]import GRADED seats subject piv'!$1:$2,2,FALSE),FALSE))),"")</f>
        <v>0.94871794871794868</v>
      </c>
      <c r="H52" s="23" t="str">
        <f>IFERROR((VLOOKUP('[1]SUBJECTS BASE'!$G48,'[1]import success seats'!$A:AF,HLOOKUP(H$4,'[1]import success seats'!$1:$2,2,FALSE),FALSE))/((VLOOKUP('[1]SUBJECTS BASE'!$G48,'[1]import GRADED seats subject piv'!$A:V,HLOOKUP(H$4,'[1]import GRADED seats subject piv'!$1:$2,2,FALSE),FALSE))),"")</f>
        <v/>
      </c>
      <c r="I52" s="15">
        <f>IFERROR((VLOOKUP('[1]SUBJECTS BASE'!$G48,'[1]import success seats'!$A:AG,HLOOKUP(I$4,'[1]import success seats'!$1:$2,2,FALSE),FALSE))/((VLOOKUP('[1]SUBJECTS BASE'!$G48,'[1]import GRADED seats subject piv'!$A:W,HLOOKUP(I$4,'[1]import GRADED seats subject piv'!$1:$2,2,FALSE),FALSE))),"")</f>
        <v>0.90909090909090906</v>
      </c>
      <c r="J52" s="21">
        <f>IFERROR((VLOOKUP('[1]SUBJECTS BASE'!$G48,'[1]import success seats'!$A:AH,HLOOKUP(J$4,'[1]import success seats'!$1:$2,2,FALSE),FALSE))/((VLOOKUP('[1]SUBJECTS BASE'!$G48,'[1]import GRADED seats subject piv'!$A:X,HLOOKUP(J$4,'[1]import GRADED seats subject piv'!$1:$2,2,FALSE),FALSE))),"")</f>
        <v>0.91666666666666663</v>
      </c>
      <c r="K52" s="13" t="str">
        <f>IFERROR((VLOOKUP('[1]SUBJECTS BASE'!$G48,'[1]import success seats'!$A:AI,HLOOKUP(K$4,'[1]import success seats'!$1:$2,2,FALSE),FALSE))/((VLOOKUP('[1]SUBJECTS BASE'!$G48,'[1]import GRADED seats subject piv'!$A:Y,HLOOKUP(K$4,'[1]import GRADED seats subject piv'!$1:$2,2,FALSE),FALSE))),"")</f>
        <v/>
      </c>
      <c r="L52" s="15">
        <f>IFERROR((VLOOKUP('[1]SUBJECTS BASE'!$G48,'[1]import success seats'!$A:AJ,HLOOKUP(L$4,'[1]import success seats'!$1:$2,2,FALSE),FALSE))/((VLOOKUP('[1]SUBJECTS BASE'!$G48,'[1]import GRADED seats subject piv'!$A:Z,HLOOKUP(L$4,'[1]import GRADED seats subject piv'!$1:$2,2,FALSE),FALSE))),"")</f>
        <v>0.7567567567567568</v>
      </c>
      <c r="M52" s="19">
        <f>IFERROR((VLOOKUP('[1]SUBJECTS BASE'!$G48,'[1]import success seats'!$A:AK,HLOOKUP(M$4,'[1]import success seats'!$1:$2,2,FALSE),FALSE))/((VLOOKUP('[1]SUBJECTS BASE'!$G48,'[1]import GRADED seats subject piv'!$A:AB,HLOOKUP(M$4,'[1]import GRADED seats subject piv'!$1:$2,2,FALSE),FALSE))),"")</f>
        <v>0.78125</v>
      </c>
      <c r="N52" s="23" t="str">
        <f>IFERROR((VLOOKUP('[1]SUBJECTS BASE'!$G48,'[1]import success seats'!$A:AL,HLOOKUP(N$4,'[1]import success seats'!$1:$2,2,FALSE),FALSE))/((VLOOKUP('[1]SUBJECTS BASE'!$G48,'[1]import GRADED seats subject piv'!$A:AC,HLOOKUP(N$4,'[1]import GRADED seats subject piv'!$1:$2,2,FALSE),FALSE))),"")</f>
        <v/>
      </c>
      <c r="O52" s="15">
        <f>IFERROR((VLOOKUP('[1]SUBJECTS BASE'!$G48,'[1]import success seats'!$A:AM,HLOOKUP(O$4,'[1]import success seats'!$1:$2,2,FALSE),FALSE))/((VLOOKUP('[1]SUBJECTS BASE'!$G48,'[1]import GRADED seats subject piv'!$A:AD,HLOOKUP(O$4,'[1]import GRADED seats subject piv'!$1:$2,2,FALSE),FALSE))),"")</f>
        <v>0.94444444444444442</v>
      </c>
      <c r="P52" s="15">
        <f>IFERROR((VLOOKUP('[1]SUBJECTS BASE'!$G48,'[1]import success seats'!$A:AN,HLOOKUP(P$4,'[1]import success seats'!$1:$2,2,FALSE),FALSE))/((VLOOKUP('[1]SUBJECTS BASE'!$G48,'[1]import GRADED seats subject piv'!$A:AE,HLOOKUP(P$4,'[1]import GRADED seats subject piv'!$1:$2,2,FALSE),FALSE))),"")</f>
        <v>0.72727272727272729</v>
      </c>
      <c r="Q52" s="13" t="str">
        <f>IFERROR((VLOOKUP('[1]SUBJECTS BASE'!$G48,'[1]import success seats'!$A:AO,HLOOKUP(Q$4,'[1]import success seats'!$1:$2,2,FALSE),FALSE))/((VLOOKUP('[1]SUBJECTS BASE'!$G48,'[1]import GRADED seats subject piv'!$A:AF,HLOOKUP(Q$4,'[1]import GRADED seats subject piv'!$1:$2,2,FALSE),FALSE))),"")</f>
        <v/>
      </c>
      <c r="R52" s="15" t="str">
        <f>IFERROR((VLOOKUP('[1]SUBJECTS BASE'!$G48,'[1]import success seats'!$A:AP,HLOOKUP(R$4,'[1]import success seats'!$1:$2,2,FALSE),FALSE))/((VLOOKUP('[1]SUBJECTS BASE'!$G48,'[1]import GRADED seats subject piv'!$A:AG,HLOOKUP(R$4,'[1]import GRADED seats subject piv'!$1:$2,2,FALSE),FALSE))),"")</f>
        <v/>
      </c>
      <c r="S52" s="19" t="str">
        <f>IFERROR((VLOOKUP('[1]SUBJECTS BASE'!$G48,'[1]import success seats'!$A:AQ,HLOOKUP(S$4,'[1]import success seats'!$1:$2,2,FALSE),FALSE))/((VLOOKUP('[1]SUBJECTS BASE'!$G48,'[1]import GRADED seats subject piv'!$A:AH,HLOOKUP(S$4,'[1]import GRADED seats subject piv'!$1:$2,2,FALSE),FALSE))),"")</f>
        <v/>
      </c>
    </row>
    <row r="53" spans="1:19" x14ac:dyDescent="0.25">
      <c r="A53" s="3" t="s">
        <v>1117</v>
      </c>
      <c r="B53" s="13">
        <f>IFERROR((VLOOKUP('[1]SUBJECTS BASE'!$G49,'[1]import success seats'!$A:Z,HLOOKUP(B$4,'[1]import success seats'!$1:$2,2,FALSE),FALSE))/((VLOOKUP('[1]SUBJECTS BASE'!$G49,'[1]import GRADED seats subject piv'!$A:P,HLOOKUP(B$4,'[1]import GRADED seats subject piv'!$1:$2,2,FALSE),FALSE))),"")</f>
        <v>0.89090909090909087</v>
      </c>
      <c r="C53" s="15">
        <f>IFERROR((VLOOKUP('[1]SUBJECTS BASE'!$G49,'[1]import success seats'!$A:AA,HLOOKUP(C$4,'[1]import success seats'!$1:$2,2,FALSE),FALSE))/((VLOOKUP('[1]SUBJECTS BASE'!$G49,'[1]import GRADED seats subject piv'!$A:Q,HLOOKUP(C$4,'[1]import GRADED seats subject piv'!$1:$2,2,FALSE),FALSE))),"")</f>
        <v>0.93129770992366412</v>
      </c>
      <c r="D53" s="21">
        <f>IFERROR((VLOOKUP('[1]SUBJECTS BASE'!$G49,'[1]import success seats'!$A:AB,HLOOKUP(D$4,'[1]import success seats'!$1:$2,2,FALSE),FALSE))/((VLOOKUP('[1]SUBJECTS BASE'!$G49,'[1]import GRADED seats subject piv'!$A:R,HLOOKUP(D$4,'[1]import GRADED seats subject piv'!$1:$2,2,FALSE),FALSE))),"")</f>
        <v>0.93864370290635091</v>
      </c>
      <c r="E53" s="13">
        <f>IFERROR((VLOOKUP('[1]SUBJECTS BASE'!$G49,'[1]import success seats'!$A:AC,HLOOKUP(E$4,'[1]import success seats'!$1:$2,2,FALSE),FALSE))/((VLOOKUP('[1]SUBJECTS BASE'!$G49,'[1]import GRADED seats subject piv'!$A:S,HLOOKUP(E$4,'[1]import GRADED seats subject piv'!$1:$2,2,FALSE),FALSE))),"")</f>
        <v>0.8571428571428571</v>
      </c>
      <c r="F53" s="15">
        <f>IFERROR((VLOOKUP('[1]SUBJECTS BASE'!$G49,'[1]import success seats'!$A:AD,HLOOKUP(F$4,'[1]import success seats'!$1:$2,2,FALSE),FALSE))/((VLOOKUP('[1]SUBJECTS BASE'!$G49,'[1]import GRADED seats subject piv'!$A:T,HLOOKUP(F$4,'[1]import GRADED seats subject piv'!$1:$2,2,FALSE),FALSE))),"")</f>
        <v>0.9329192546583851</v>
      </c>
      <c r="G53" s="19">
        <f>IFERROR((VLOOKUP('[1]SUBJECTS BASE'!$G49,'[1]import success seats'!$A:AE,HLOOKUP(G$4,'[1]import success seats'!$1:$2,2,FALSE),FALSE))/((VLOOKUP('[1]SUBJECTS BASE'!$G49,'[1]import GRADED seats subject piv'!$A:U,HLOOKUP(G$4,'[1]import GRADED seats subject piv'!$1:$2,2,FALSE),FALSE))),"")</f>
        <v>0.92476489028213171</v>
      </c>
      <c r="H53" s="23">
        <f>IFERROR((VLOOKUP('[1]SUBJECTS BASE'!$G49,'[1]import success seats'!$A:AF,HLOOKUP(H$4,'[1]import success seats'!$1:$2,2,FALSE),FALSE))/((VLOOKUP('[1]SUBJECTS BASE'!$G49,'[1]import GRADED seats subject piv'!$A:V,HLOOKUP(H$4,'[1]import GRADED seats subject piv'!$1:$2,2,FALSE),FALSE))),"")</f>
        <v>0.96226415094339623</v>
      </c>
      <c r="I53" s="15">
        <f>IFERROR((VLOOKUP('[1]SUBJECTS BASE'!$G49,'[1]import success seats'!$A:AG,HLOOKUP(I$4,'[1]import success seats'!$1:$2,2,FALSE),FALSE))/((VLOOKUP('[1]SUBJECTS BASE'!$G49,'[1]import GRADED seats subject piv'!$A:W,HLOOKUP(I$4,'[1]import GRADED seats subject piv'!$1:$2,2,FALSE),FALSE))),"")</f>
        <v>0.95183044315992293</v>
      </c>
      <c r="J53" s="21">
        <f>IFERROR((VLOOKUP('[1]SUBJECTS BASE'!$G49,'[1]import success seats'!$A:AH,HLOOKUP(J$4,'[1]import success seats'!$1:$2,2,FALSE),FALSE))/((VLOOKUP('[1]SUBJECTS BASE'!$G49,'[1]import GRADED seats subject piv'!$A:X,HLOOKUP(J$4,'[1]import GRADED seats subject piv'!$1:$2,2,FALSE),FALSE))),"")</f>
        <v>0.95459579180509413</v>
      </c>
      <c r="K53" s="13">
        <f>IFERROR((VLOOKUP('[1]SUBJECTS BASE'!$G49,'[1]import success seats'!$A:AI,HLOOKUP(K$4,'[1]import success seats'!$1:$2,2,FALSE),FALSE))/((VLOOKUP('[1]SUBJECTS BASE'!$G49,'[1]import GRADED seats subject piv'!$A:Y,HLOOKUP(K$4,'[1]import GRADED seats subject piv'!$1:$2,2,FALSE),FALSE))),"")</f>
        <v>1</v>
      </c>
      <c r="L53" s="15">
        <f>IFERROR((VLOOKUP('[1]SUBJECTS BASE'!$G49,'[1]import success seats'!$A:AJ,HLOOKUP(L$4,'[1]import success seats'!$1:$2,2,FALSE),FALSE))/((VLOOKUP('[1]SUBJECTS BASE'!$G49,'[1]import GRADED seats subject piv'!$A:Z,HLOOKUP(L$4,'[1]import GRADED seats subject piv'!$1:$2,2,FALSE),FALSE))),"")</f>
        <v>0.97662976629766296</v>
      </c>
      <c r="M53" s="19">
        <f>IFERROR((VLOOKUP('[1]SUBJECTS BASE'!$G49,'[1]import success seats'!$A:AK,HLOOKUP(M$4,'[1]import success seats'!$1:$2,2,FALSE),FALSE))/((VLOOKUP('[1]SUBJECTS BASE'!$G49,'[1]import GRADED seats subject piv'!$A:AB,HLOOKUP(M$4,'[1]import GRADED seats subject piv'!$1:$2,2,FALSE),FALSE))),"")</f>
        <v>0.95518867924528306</v>
      </c>
      <c r="N53" s="23" t="str">
        <f>IFERROR((VLOOKUP('[1]SUBJECTS BASE'!$G49,'[1]import success seats'!$A:AL,HLOOKUP(N$4,'[1]import success seats'!$1:$2,2,FALSE),FALSE))/((VLOOKUP('[1]SUBJECTS BASE'!$G49,'[1]import GRADED seats subject piv'!$A:AC,HLOOKUP(N$4,'[1]import GRADED seats subject piv'!$1:$2,2,FALSE),FALSE))),"")</f>
        <v/>
      </c>
      <c r="O53" s="15">
        <f>IFERROR((VLOOKUP('[1]SUBJECTS BASE'!$G49,'[1]import success seats'!$A:AM,HLOOKUP(O$4,'[1]import success seats'!$1:$2,2,FALSE),FALSE))/((VLOOKUP('[1]SUBJECTS BASE'!$G49,'[1]import GRADED seats subject piv'!$A:AD,HLOOKUP(O$4,'[1]import GRADED seats subject piv'!$1:$2,2,FALSE),FALSE))),"")</f>
        <v>0.97577854671280273</v>
      </c>
      <c r="P53" s="15">
        <f>IFERROR((VLOOKUP('[1]SUBJECTS BASE'!$G49,'[1]import success seats'!$A:AN,HLOOKUP(P$4,'[1]import success seats'!$1:$2,2,FALSE),FALSE))/((VLOOKUP('[1]SUBJECTS BASE'!$G49,'[1]import GRADED seats subject piv'!$A:AE,HLOOKUP(P$4,'[1]import GRADED seats subject piv'!$1:$2,2,FALSE),FALSE))),"")</f>
        <v>0.95992714025500914</v>
      </c>
      <c r="Q53" s="13" t="str">
        <f>IFERROR((VLOOKUP('[1]SUBJECTS BASE'!$G49,'[1]import success seats'!$A:AO,HLOOKUP(Q$4,'[1]import success seats'!$1:$2,2,FALSE),FALSE))/((VLOOKUP('[1]SUBJECTS BASE'!$G49,'[1]import GRADED seats subject piv'!$A:AF,HLOOKUP(Q$4,'[1]import GRADED seats subject piv'!$1:$2,2,FALSE),FALSE))),"")</f>
        <v/>
      </c>
      <c r="R53" s="15">
        <f>IFERROR((VLOOKUP('[1]SUBJECTS BASE'!$G49,'[1]import success seats'!$A:AP,HLOOKUP(R$4,'[1]import success seats'!$1:$2,2,FALSE),FALSE))/((VLOOKUP('[1]SUBJECTS BASE'!$G49,'[1]import GRADED seats subject piv'!$A:AG,HLOOKUP(R$4,'[1]import GRADED seats subject piv'!$1:$2,2,FALSE),FALSE))),"")</f>
        <v>1</v>
      </c>
      <c r="S53" s="19">
        <f>IFERROR((VLOOKUP('[1]SUBJECTS BASE'!$G49,'[1]import success seats'!$A:AQ,HLOOKUP(S$4,'[1]import success seats'!$1:$2,2,FALSE),FALSE))/((VLOOKUP('[1]SUBJECTS BASE'!$G49,'[1]import GRADED seats subject piv'!$A:AH,HLOOKUP(S$4,'[1]import GRADED seats subject piv'!$1:$2,2,FALSE),FALSE))),"")</f>
        <v>0.9882352941176471</v>
      </c>
    </row>
    <row r="54" spans="1:19" x14ac:dyDescent="0.25">
      <c r="A54" s="3" t="s">
        <v>1118</v>
      </c>
      <c r="B54" s="13">
        <f>IFERROR((VLOOKUP('[1]SUBJECTS BASE'!$G50,'[1]import success seats'!$A:Z,HLOOKUP(B$4,'[1]import success seats'!$1:$2,2,FALSE),FALSE))/((VLOOKUP('[1]SUBJECTS BASE'!$G50,'[1]import GRADED seats subject piv'!$A:P,HLOOKUP(B$4,'[1]import GRADED seats subject piv'!$1:$2,2,FALSE),FALSE))),"")</f>
        <v>0.92500000000000004</v>
      </c>
      <c r="C54" s="15">
        <f>IFERROR((VLOOKUP('[1]SUBJECTS BASE'!$G50,'[1]import success seats'!$A:AA,HLOOKUP(C$4,'[1]import success seats'!$1:$2,2,FALSE),FALSE))/((VLOOKUP('[1]SUBJECTS BASE'!$G50,'[1]import GRADED seats subject piv'!$A:Q,HLOOKUP(C$4,'[1]import GRADED seats subject piv'!$1:$2,2,FALSE),FALSE))),"")</f>
        <v>0.87234042553191493</v>
      </c>
      <c r="D54" s="21">
        <f>IFERROR((VLOOKUP('[1]SUBJECTS BASE'!$G50,'[1]import success seats'!$A:AB,HLOOKUP(D$4,'[1]import success seats'!$1:$2,2,FALSE),FALSE))/((VLOOKUP('[1]SUBJECTS BASE'!$G50,'[1]import GRADED seats subject piv'!$A:R,HLOOKUP(D$4,'[1]import GRADED seats subject piv'!$1:$2,2,FALSE),FALSE))),"")</f>
        <v>0.879746835443038</v>
      </c>
      <c r="E54" s="13">
        <f>IFERROR((VLOOKUP('[1]SUBJECTS BASE'!$G50,'[1]import success seats'!$A:AC,HLOOKUP(E$4,'[1]import success seats'!$1:$2,2,FALSE),FALSE))/((VLOOKUP('[1]SUBJECTS BASE'!$G50,'[1]import GRADED seats subject piv'!$A:S,HLOOKUP(E$4,'[1]import GRADED seats subject piv'!$1:$2,2,FALSE),FALSE))),"")</f>
        <v>0.87096774193548387</v>
      </c>
      <c r="F54" s="15">
        <f>IFERROR((VLOOKUP('[1]SUBJECTS BASE'!$G50,'[1]import success seats'!$A:AD,HLOOKUP(F$4,'[1]import success seats'!$1:$2,2,FALSE),FALSE))/((VLOOKUP('[1]SUBJECTS BASE'!$G50,'[1]import GRADED seats subject piv'!$A:T,HLOOKUP(F$4,'[1]import GRADED seats subject piv'!$1:$2,2,FALSE),FALSE))),"")</f>
        <v>0.875</v>
      </c>
      <c r="G54" s="19">
        <f>IFERROR((VLOOKUP('[1]SUBJECTS BASE'!$G50,'[1]import success seats'!$A:AE,HLOOKUP(G$4,'[1]import success seats'!$1:$2,2,FALSE),FALSE))/((VLOOKUP('[1]SUBJECTS BASE'!$G50,'[1]import GRADED seats subject piv'!$A:U,HLOOKUP(G$4,'[1]import GRADED seats subject piv'!$1:$2,2,FALSE),FALSE))),"")</f>
        <v>0.92035398230088494</v>
      </c>
      <c r="H54" s="23" t="str">
        <f>IFERROR((VLOOKUP('[1]SUBJECTS BASE'!$G50,'[1]import success seats'!$A:AF,HLOOKUP(H$4,'[1]import success seats'!$1:$2,2,FALSE),FALSE))/((VLOOKUP('[1]SUBJECTS BASE'!$G50,'[1]import GRADED seats subject piv'!$A:V,HLOOKUP(H$4,'[1]import GRADED seats subject piv'!$1:$2,2,FALSE),FALSE))),"")</f>
        <v/>
      </c>
      <c r="I54" s="15">
        <f>IFERROR((VLOOKUP('[1]SUBJECTS BASE'!$G50,'[1]import success seats'!$A:AG,HLOOKUP(I$4,'[1]import success seats'!$1:$2,2,FALSE),FALSE))/((VLOOKUP('[1]SUBJECTS BASE'!$G50,'[1]import GRADED seats subject piv'!$A:W,HLOOKUP(I$4,'[1]import GRADED seats subject piv'!$1:$2,2,FALSE),FALSE))),"")</f>
        <v>0.90551181102362199</v>
      </c>
      <c r="J54" s="21">
        <f>IFERROR((VLOOKUP('[1]SUBJECTS BASE'!$G50,'[1]import success seats'!$A:AH,HLOOKUP(J$4,'[1]import success seats'!$1:$2,2,FALSE),FALSE))/((VLOOKUP('[1]SUBJECTS BASE'!$G50,'[1]import GRADED seats subject piv'!$A:X,HLOOKUP(J$4,'[1]import GRADED seats subject piv'!$1:$2,2,FALSE),FALSE))),"")</f>
        <v>0.94117647058823528</v>
      </c>
      <c r="K54" s="13" t="str">
        <f>IFERROR((VLOOKUP('[1]SUBJECTS BASE'!$G50,'[1]import success seats'!$A:AI,HLOOKUP(K$4,'[1]import success seats'!$1:$2,2,FALSE),FALSE))/((VLOOKUP('[1]SUBJECTS BASE'!$G50,'[1]import GRADED seats subject piv'!$A:Y,HLOOKUP(K$4,'[1]import GRADED seats subject piv'!$1:$2,2,FALSE),FALSE))),"")</f>
        <v/>
      </c>
      <c r="L54" s="15">
        <f>IFERROR((VLOOKUP('[1]SUBJECTS BASE'!$G50,'[1]import success seats'!$A:AJ,HLOOKUP(L$4,'[1]import success seats'!$1:$2,2,FALSE),FALSE))/((VLOOKUP('[1]SUBJECTS BASE'!$G50,'[1]import GRADED seats subject piv'!$A:Z,HLOOKUP(L$4,'[1]import GRADED seats subject piv'!$1:$2,2,FALSE),FALSE))),"")</f>
        <v>0.91596638655462181</v>
      </c>
      <c r="M54" s="19">
        <f>IFERROR((VLOOKUP('[1]SUBJECTS BASE'!$G50,'[1]import success seats'!$A:AK,HLOOKUP(M$4,'[1]import success seats'!$1:$2,2,FALSE),FALSE))/((VLOOKUP('[1]SUBJECTS BASE'!$G50,'[1]import GRADED seats subject piv'!$A:AB,HLOOKUP(M$4,'[1]import GRADED seats subject piv'!$1:$2,2,FALSE),FALSE))),"")</f>
        <v>0.97499999999999998</v>
      </c>
      <c r="N54" s="23" t="str">
        <f>IFERROR((VLOOKUP('[1]SUBJECTS BASE'!$G50,'[1]import success seats'!$A:AL,HLOOKUP(N$4,'[1]import success seats'!$1:$2,2,FALSE),FALSE))/((VLOOKUP('[1]SUBJECTS BASE'!$G50,'[1]import GRADED seats subject piv'!$A:AC,HLOOKUP(N$4,'[1]import GRADED seats subject piv'!$1:$2,2,FALSE),FALSE))),"")</f>
        <v/>
      </c>
      <c r="O54" s="15">
        <f>IFERROR((VLOOKUP('[1]SUBJECTS BASE'!$G50,'[1]import success seats'!$A:AM,HLOOKUP(O$4,'[1]import success seats'!$1:$2,2,FALSE),FALSE))/((VLOOKUP('[1]SUBJECTS BASE'!$G50,'[1]import GRADED seats subject piv'!$A:AD,HLOOKUP(O$4,'[1]import GRADED seats subject piv'!$1:$2,2,FALSE),FALSE))),"")</f>
        <v>0.92063492063492058</v>
      </c>
      <c r="P54" s="15">
        <f>IFERROR((VLOOKUP('[1]SUBJECTS BASE'!$G50,'[1]import success seats'!$A:AN,HLOOKUP(P$4,'[1]import success seats'!$1:$2,2,FALSE),FALSE))/((VLOOKUP('[1]SUBJECTS BASE'!$G50,'[1]import GRADED seats subject piv'!$A:AE,HLOOKUP(P$4,'[1]import GRADED seats subject piv'!$1:$2,2,FALSE),FALSE))),"")</f>
        <v>0.90361445783132532</v>
      </c>
      <c r="Q54" s="13" t="str">
        <f>IFERROR((VLOOKUP('[1]SUBJECTS BASE'!$G50,'[1]import success seats'!$A:AO,HLOOKUP(Q$4,'[1]import success seats'!$1:$2,2,FALSE),FALSE))/((VLOOKUP('[1]SUBJECTS BASE'!$G50,'[1]import GRADED seats subject piv'!$A:AF,HLOOKUP(Q$4,'[1]import GRADED seats subject piv'!$1:$2,2,FALSE),FALSE))),"")</f>
        <v/>
      </c>
      <c r="R54" s="15">
        <f>IFERROR((VLOOKUP('[1]SUBJECTS BASE'!$G50,'[1]import success seats'!$A:AP,HLOOKUP(R$4,'[1]import success seats'!$1:$2,2,FALSE),FALSE))/((VLOOKUP('[1]SUBJECTS BASE'!$G50,'[1]import GRADED seats subject piv'!$A:AG,HLOOKUP(R$4,'[1]import GRADED seats subject piv'!$1:$2,2,FALSE),FALSE))),"")</f>
        <v>0.95145631067961167</v>
      </c>
      <c r="S54" s="19">
        <f>IFERROR((VLOOKUP('[1]SUBJECTS BASE'!$G50,'[1]import success seats'!$A:AQ,HLOOKUP(S$4,'[1]import success seats'!$1:$2,2,FALSE),FALSE))/((VLOOKUP('[1]SUBJECTS BASE'!$G50,'[1]import GRADED seats subject piv'!$A:AH,HLOOKUP(S$4,'[1]import GRADED seats subject piv'!$1:$2,2,FALSE),FALSE))),"")</f>
        <v>0.92592592592592593</v>
      </c>
    </row>
    <row r="55" spans="1:19" x14ac:dyDescent="0.25">
      <c r="A55" s="3" t="s">
        <v>1119</v>
      </c>
      <c r="B55" s="13" t="str">
        <f>IFERROR((VLOOKUP('[1]SUBJECTS BASE'!$G51,'[1]import success seats'!$A:Z,HLOOKUP(B$4,'[1]import success seats'!$1:$2,2,FALSE),FALSE))/((VLOOKUP('[1]SUBJECTS BASE'!$G51,'[1]import GRADED seats subject piv'!$A:P,HLOOKUP(B$4,'[1]import GRADED seats subject piv'!$1:$2,2,FALSE),FALSE))),"")</f>
        <v/>
      </c>
      <c r="C55" s="15">
        <f>IFERROR((VLOOKUP('[1]SUBJECTS BASE'!$G51,'[1]import success seats'!$A:AA,HLOOKUP(C$4,'[1]import success seats'!$1:$2,2,FALSE),FALSE))/((VLOOKUP('[1]SUBJECTS BASE'!$G51,'[1]import GRADED seats subject piv'!$A:Q,HLOOKUP(C$4,'[1]import GRADED seats subject piv'!$1:$2,2,FALSE),FALSE))),"")</f>
        <v>0.875</v>
      </c>
      <c r="D55" s="21">
        <f>IFERROR((VLOOKUP('[1]SUBJECTS BASE'!$G51,'[1]import success seats'!$A:AB,HLOOKUP(D$4,'[1]import success seats'!$1:$2,2,FALSE),FALSE))/((VLOOKUP('[1]SUBJECTS BASE'!$G51,'[1]import GRADED seats subject piv'!$A:R,HLOOKUP(D$4,'[1]import GRADED seats subject piv'!$1:$2,2,FALSE),FALSE))),"")</f>
        <v>0.91666666666666663</v>
      </c>
      <c r="E55" s="13" t="str">
        <f>IFERROR((VLOOKUP('[1]SUBJECTS BASE'!$G51,'[1]import success seats'!$A:AC,HLOOKUP(E$4,'[1]import success seats'!$1:$2,2,FALSE),FALSE))/((VLOOKUP('[1]SUBJECTS BASE'!$G51,'[1]import GRADED seats subject piv'!$A:S,HLOOKUP(E$4,'[1]import GRADED seats subject piv'!$1:$2,2,FALSE),FALSE))),"")</f>
        <v/>
      </c>
      <c r="F55" s="15">
        <f>IFERROR((VLOOKUP('[1]SUBJECTS BASE'!$G51,'[1]import success seats'!$A:AD,HLOOKUP(F$4,'[1]import success seats'!$1:$2,2,FALSE),FALSE))/((VLOOKUP('[1]SUBJECTS BASE'!$G51,'[1]import GRADED seats subject piv'!$A:T,HLOOKUP(F$4,'[1]import GRADED seats subject piv'!$1:$2,2,FALSE),FALSE))),"")</f>
        <v>0.5</v>
      </c>
      <c r="G55" s="19">
        <f>IFERROR((VLOOKUP('[1]SUBJECTS BASE'!$G51,'[1]import success seats'!$A:AE,HLOOKUP(G$4,'[1]import success seats'!$1:$2,2,FALSE),FALSE))/((VLOOKUP('[1]SUBJECTS BASE'!$G51,'[1]import GRADED seats subject piv'!$A:U,HLOOKUP(G$4,'[1]import GRADED seats subject piv'!$1:$2,2,FALSE),FALSE))),"")</f>
        <v>0.92307692307692313</v>
      </c>
      <c r="H55" s="23" t="str">
        <f>IFERROR((VLOOKUP('[1]SUBJECTS BASE'!$G51,'[1]import success seats'!$A:AF,HLOOKUP(H$4,'[1]import success seats'!$1:$2,2,FALSE),FALSE))/((VLOOKUP('[1]SUBJECTS BASE'!$G51,'[1]import GRADED seats subject piv'!$A:V,HLOOKUP(H$4,'[1]import GRADED seats subject piv'!$1:$2,2,FALSE),FALSE))),"")</f>
        <v/>
      </c>
      <c r="I55" s="15" t="str">
        <f>IFERROR((VLOOKUP('[1]SUBJECTS BASE'!$G51,'[1]import success seats'!$A:AG,HLOOKUP(I$4,'[1]import success seats'!$1:$2,2,FALSE),FALSE))/((VLOOKUP('[1]SUBJECTS BASE'!$G51,'[1]import GRADED seats subject piv'!$A:W,HLOOKUP(I$4,'[1]import GRADED seats subject piv'!$1:$2,2,FALSE),FALSE))),"")</f>
        <v/>
      </c>
      <c r="J55" s="21" t="str">
        <f>IFERROR((VLOOKUP('[1]SUBJECTS BASE'!$G51,'[1]import success seats'!$A:AH,HLOOKUP(J$4,'[1]import success seats'!$1:$2,2,FALSE),FALSE))/((VLOOKUP('[1]SUBJECTS BASE'!$G51,'[1]import GRADED seats subject piv'!$A:X,HLOOKUP(J$4,'[1]import GRADED seats subject piv'!$1:$2,2,FALSE),FALSE))),"")</f>
        <v/>
      </c>
      <c r="K55" s="13" t="str">
        <f>IFERROR((VLOOKUP('[1]SUBJECTS BASE'!$G51,'[1]import success seats'!$A:AI,HLOOKUP(K$4,'[1]import success seats'!$1:$2,2,FALSE),FALSE))/((VLOOKUP('[1]SUBJECTS BASE'!$G51,'[1]import GRADED seats subject piv'!$A:Y,HLOOKUP(K$4,'[1]import GRADED seats subject piv'!$1:$2,2,FALSE),FALSE))),"")</f>
        <v/>
      </c>
      <c r="L55" s="15" t="str">
        <f>IFERROR((VLOOKUP('[1]SUBJECTS BASE'!$G51,'[1]import success seats'!$A:AJ,HLOOKUP(L$4,'[1]import success seats'!$1:$2,2,FALSE),FALSE))/((VLOOKUP('[1]SUBJECTS BASE'!$G51,'[1]import GRADED seats subject piv'!$A:Z,HLOOKUP(L$4,'[1]import GRADED seats subject piv'!$1:$2,2,FALSE),FALSE))),"")</f>
        <v/>
      </c>
      <c r="M55" s="19" t="str">
        <f>IFERROR((VLOOKUP('[1]SUBJECTS BASE'!$G51,'[1]import success seats'!$A:AK,HLOOKUP(M$4,'[1]import success seats'!$1:$2,2,FALSE),FALSE))/((VLOOKUP('[1]SUBJECTS BASE'!$G51,'[1]import GRADED seats subject piv'!$A:AB,HLOOKUP(M$4,'[1]import GRADED seats subject piv'!$1:$2,2,FALSE),FALSE))),"")</f>
        <v/>
      </c>
      <c r="N55" s="23" t="str">
        <f>IFERROR((VLOOKUP('[1]SUBJECTS BASE'!$G51,'[1]import success seats'!$A:AL,HLOOKUP(N$4,'[1]import success seats'!$1:$2,2,FALSE),FALSE))/((VLOOKUP('[1]SUBJECTS BASE'!$G51,'[1]import GRADED seats subject piv'!$A:AC,HLOOKUP(N$4,'[1]import GRADED seats subject piv'!$1:$2,2,FALSE),FALSE))),"")</f>
        <v/>
      </c>
      <c r="O55" s="15" t="str">
        <f>IFERROR((VLOOKUP('[1]SUBJECTS BASE'!$G51,'[1]import success seats'!$A:AM,HLOOKUP(O$4,'[1]import success seats'!$1:$2,2,FALSE),FALSE))/((VLOOKUP('[1]SUBJECTS BASE'!$G51,'[1]import GRADED seats subject piv'!$A:AD,HLOOKUP(O$4,'[1]import GRADED seats subject piv'!$1:$2,2,FALSE),FALSE))),"")</f>
        <v/>
      </c>
      <c r="P55" s="15">
        <f>IFERROR((VLOOKUP('[1]SUBJECTS BASE'!$G51,'[1]import success seats'!$A:AN,HLOOKUP(P$4,'[1]import success seats'!$1:$2,2,FALSE),FALSE))/((VLOOKUP('[1]SUBJECTS BASE'!$G51,'[1]import GRADED seats subject piv'!$A:AE,HLOOKUP(P$4,'[1]import GRADED seats subject piv'!$1:$2,2,FALSE),FALSE))),"")</f>
        <v>1</v>
      </c>
      <c r="Q55" s="13" t="str">
        <f>IFERROR((VLOOKUP('[1]SUBJECTS BASE'!$G51,'[1]import success seats'!$A:AO,HLOOKUP(Q$4,'[1]import success seats'!$1:$2,2,FALSE),FALSE))/((VLOOKUP('[1]SUBJECTS BASE'!$G51,'[1]import GRADED seats subject piv'!$A:AF,HLOOKUP(Q$4,'[1]import GRADED seats subject piv'!$1:$2,2,FALSE),FALSE))),"")</f>
        <v/>
      </c>
      <c r="R55" s="15" t="str">
        <f>IFERROR((VLOOKUP('[1]SUBJECTS BASE'!$G51,'[1]import success seats'!$A:AP,HLOOKUP(R$4,'[1]import success seats'!$1:$2,2,FALSE),FALSE))/((VLOOKUP('[1]SUBJECTS BASE'!$G51,'[1]import GRADED seats subject piv'!$A:AG,HLOOKUP(R$4,'[1]import GRADED seats subject piv'!$1:$2,2,FALSE),FALSE))),"")</f>
        <v/>
      </c>
      <c r="S55" s="19">
        <f>IFERROR((VLOOKUP('[1]SUBJECTS BASE'!$G51,'[1]import success seats'!$A:AQ,HLOOKUP(S$4,'[1]import success seats'!$1:$2,2,FALSE),FALSE))/((VLOOKUP('[1]SUBJECTS BASE'!$G51,'[1]import GRADED seats subject piv'!$A:AH,HLOOKUP(S$4,'[1]import GRADED seats subject piv'!$1:$2,2,FALSE),FALSE))),"")</f>
        <v>1</v>
      </c>
    </row>
    <row r="56" spans="1:19" x14ac:dyDescent="0.25">
      <c r="A56" s="3" t="s">
        <v>1120</v>
      </c>
      <c r="B56" s="13">
        <f>IFERROR((VLOOKUP('[1]SUBJECTS BASE'!$G52,'[1]import success seats'!$A:Z,HLOOKUP(B$4,'[1]import success seats'!$1:$2,2,FALSE),FALSE))/((VLOOKUP('[1]SUBJECTS BASE'!$G52,'[1]import GRADED seats subject piv'!$A:P,HLOOKUP(B$4,'[1]import GRADED seats subject piv'!$1:$2,2,FALSE),FALSE))),"")</f>
        <v>0.93333333333333335</v>
      </c>
      <c r="C56" s="15">
        <f>IFERROR((VLOOKUP('[1]SUBJECTS BASE'!$G52,'[1]import success seats'!$A:AA,HLOOKUP(C$4,'[1]import success seats'!$1:$2,2,FALSE),FALSE))/((VLOOKUP('[1]SUBJECTS BASE'!$G52,'[1]import GRADED seats subject piv'!$A:Q,HLOOKUP(C$4,'[1]import GRADED seats subject piv'!$1:$2,2,FALSE),FALSE))),"")</f>
        <v>0.83673469387755106</v>
      </c>
      <c r="D56" s="21">
        <f>IFERROR((VLOOKUP('[1]SUBJECTS BASE'!$G52,'[1]import success seats'!$A:AB,HLOOKUP(D$4,'[1]import success seats'!$1:$2,2,FALSE),FALSE))/((VLOOKUP('[1]SUBJECTS BASE'!$G52,'[1]import GRADED seats subject piv'!$A:R,HLOOKUP(D$4,'[1]import GRADED seats subject piv'!$1:$2,2,FALSE),FALSE))),"")</f>
        <v>0.88571428571428568</v>
      </c>
      <c r="E56" s="13" t="str">
        <f>IFERROR((VLOOKUP('[1]SUBJECTS BASE'!$G52,'[1]import success seats'!$A:AC,HLOOKUP(E$4,'[1]import success seats'!$1:$2,2,FALSE),FALSE))/((VLOOKUP('[1]SUBJECTS BASE'!$G52,'[1]import GRADED seats subject piv'!$A:S,HLOOKUP(E$4,'[1]import GRADED seats subject piv'!$1:$2,2,FALSE),FALSE))),"")</f>
        <v/>
      </c>
      <c r="F56" s="15">
        <f>IFERROR((VLOOKUP('[1]SUBJECTS BASE'!$G52,'[1]import success seats'!$A:AD,HLOOKUP(F$4,'[1]import success seats'!$1:$2,2,FALSE),FALSE))/((VLOOKUP('[1]SUBJECTS BASE'!$G52,'[1]import GRADED seats subject piv'!$A:T,HLOOKUP(F$4,'[1]import GRADED seats subject piv'!$1:$2,2,FALSE),FALSE))),"")</f>
        <v>0.87671232876712324</v>
      </c>
      <c r="G56" s="19">
        <f>IFERROR((VLOOKUP('[1]SUBJECTS BASE'!$G52,'[1]import success seats'!$A:AE,HLOOKUP(G$4,'[1]import success seats'!$1:$2,2,FALSE),FALSE))/((VLOOKUP('[1]SUBJECTS BASE'!$G52,'[1]import GRADED seats subject piv'!$A:U,HLOOKUP(G$4,'[1]import GRADED seats subject piv'!$1:$2,2,FALSE),FALSE))),"")</f>
        <v>0.87931034482758619</v>
      </c>
      <c r="H56" s="23" t="str">
        <f>IFERROR((VLOOKUP('[1]SUBJECTS BASE'!$G52,'[1]import success seats'!$A:AF,HLOOKUP(H$4,'[1]import success seats'!$1:$2,2,FALSE),FALSE))/((VLOOKUP('[1]SUBJECTS BASE'!$G52,'[1]import GRADED seats subject piv'!$A:V,HLOOKUP(H$4,'[1]import GRADED seats subject piv'!$1:$2,2,FALSE),FALSE))),"")</f>
        <v/>
      </c>
      <c r="I56" s="15">
        <f>IFERROR((VLOOKUP('[1]SUBJECTS BASE'!$G52,'[1]import success seats'!$A:AG,HLOOKUP(I$4,'[1]import success seats'!$1:$2,2,FALSE),FALSE))/((VLOOKUP('[1]SUBJECTS BASE'!$G52,'[1]import GRADED seats subject piv'!$A:W,HLOOKUP(I$4,'[1]import GRADED seats subject piv'!$1:$2,2,FALSE),FALSE))),"")</f>
        <v>0.84482758620689657</v>
      </c>
      <c r="J56" s="21">
        <f>IFERROR((VLOOKUP('[1]SUBJECTS BASE'!$G52,'[1]import success seats'!$A:AH,HLOOKUP(J$4,'[1]import success seats'!$1:$2,2,FALSE),FALSE))/((VLOOKUP('[1]SUBJECTS BASE'!$G52,'[1]import GRADED seats subject piv'!$A:X,HLOOKUP(J$4,'[1]import GRADED seats subject piv'!$1:$2,2,FALSE),FALSE))),"")</f>
        <v>0.93243243243243246</v>
      </c>
      <c r="K56" s="13" t="str">
        <f>IFERROR((VLOOKUP('[1]SUBJECTS BASE'!$G52,'[1]import success seats'!$A:AI,HLOOKUP(K$4,'[1]import success seats'!$1:$2,2,FALSE),FALSE))/((VLOOKUP('[1]SUBJECTS BASE'!$G52,'[1]import GRADED seats subject piv'!$A:Y,HLOOKUP(K$4,'[1]import GRADED seats subject piv'!$1:$2,2,FALSE),FALSE))),"")</f>
        <v/>
      </c>
      <c r="L56" s="15">
        <f>IFERROR((VLOOKUP('[1]SUBJECTS BASE'!$G52,'[1]import success seats'!$A:AJ,HLOOKUP(L$4,'[1]import success seats'!$1:$2,2,FALSE),FALSE))/((VLOOKUP('[1]SUBJECTS BASE'!$G52,'[1]import GRADED seats subject piv'!$A:Z,HLOOKUP(L$4,'[1]import GRADED seats subject piv'!$1:$2,2,FALSE),FALSE))),"")</f>
        <v>0.96491228070175439</v>
      </c>
      <c r="M56" s="19">
        <f>IFERROR((VLOOKUP('[1]SUBJECTS BASE'!$G52,'[1]import success seats'!$A:AK,HLOOKUP(M$4,'[1]import success seats'!$1:$2,2,FALSE),FALSE))/((VLOOKUP('[1]SUBJECTS BASE'!$G52,'[1]import GRADED seats subject piv'!$A:AB,HLOOKUP(M$4,'[1]import GRADED seats subject piv'!$1:$2,2,FALSE),FALSE))),"")</f>
        <v>0.78181818181818186</v>
      </c>
      <c r="N56" s="23" t="str">
        <f>IFERROR((VLOOKUP('[1]SUBJECTS BASE'!$G52,'[1]import success seats'!$A:AL,HLOOKUP(N$4,'[1]import success seats'!$1:$2,2,FALSE),FALSE))/((VLOOKUP('[1]SUBJECTS BASE'!$G52,'[1]import GRADED seats subject piv'!$A:AC,HLOOKUP(N$4,'[1]import GRADED seats subject piv'!$1:$2,2,FALSE),FALSE))),"")</f>
        <v/>
      </c>
      <c r="O56" s="15">
        <f>IFERROR((VLOOKUP('[1]SUBJECTS BASE'!$G52,'[1]import success seats'!$A:AM,HLOOKUP(O$4,'[1]import success seats'!$1:$2,2,FALSE),FALSE))/((VLOOKUP('[1]SUBJECTS BASE'!$G52,'[1]import GRADED seats subject piv'!$A:AD,HLOOKUP(O$4,'[1]import GRADED seats subject piv'!$1:$2,2,FALSE),FALSE))),"")</f>
        <v>0.80722891566265065</v>
      </c>
      <c r="P56" s="15">
        <f>IFERROR((VLOOKUP('[1]SUBJECTS BASE'!$G52,'[1]import success seats'!$A:AN,HLOOKUP(P$4,'[1]import success seats'!$1:$2,2,FALSE),FALSE))/((VLOOKUP('[1]SUBJECTS BASE'!$G52,'[1]import GRADED seats subject piv'!$A:AE,HLOOKUP(P$4,'[1]import GRADED seats subject piv'!$1:$2,2,FALSE),FALSE))),"")</f>
        <v>0.85897435897435892</v>
      </c>
      <c r="Q56" s="13" t="str">
        <f>IFERROR((VLOOKUP('[1]SUBJECTS BASE'!$G52,'[1]import success seats'!$A:AO,HLOOKUP(Q$4,'[1]import success seats'!$1:$2,2,FALSE),FALSE))/((VLOOKUP('[1]SUBJECTS BASE'!$G52,'[1]import GRADED seats subject piv'!$A:AF,HLOOKUP(Q$4,'[1]import GRADED seats subject piv'!$1:$2,2,FALSE),FALSE))),"")</f>
        <v/>
      </c>
      <c r="R56" s="15">
        <f>IFERROR((VLOOKUP('[1]SUBJECTS BASE'!$G52,'[1]import success seats'!$A:AP,HLOOKUP(R$4,'[1]import success seats'!$1:$2,2,FALSE),FALSE))/((VLOOKUP('[1]SUBJECTS BASE'!$G52,'[1]import GRADED seats subject piv'!$A:AG,HLOOKUP(R$4,'[1]import GRADED seats subject piv'!$1:$2,2,FALSE),FALSE))),"")</f>
        <v>0.86792452830188682</v>
      </c>
      <c r="S56" s="19">
        <f>IFERROR((VLOOKUP('[1]SUBJECTS BASE'!$G52,'[1]import success seats'!$A:AQ,HLOOKUP(S$4,'[1]import success seats'!$1:$2,2,FALSE),FALSE))/((VLOOKUP('[1]SUBJECTS BASE'!$G52,'[1]import GRADED seats subject piv'!$A:AH,HLOOKUP(S$4,'[1]import GRADED seats subject piv'!$1:$2,2,FALSE),FALSE))),"")</f>
        <v>0.9107142857142857</v>
      </c>
    </row>
    <row r="57" spans="1:19" x14ac:dyDescent="0.25">
      <c r="A57" s="3" t="s">
        <v>1121</v>
      </c>
      <c r="B57" s="13">
        <f>IFERROR((VLOOKUP('[1]SUBJECTS BASE'!$G53,'[1]import success seats'!$A:Z,HLOOKUP(B$4,'[1]import success seats'!$1:$2,2,FALSE),FALSE))/((VLOOKUP('[1]SUBJECTS BASE'!$G53,'[1]import GRADED seats subject piv'!$A:P,HLOOKUP(B$4,'[1]import GRADED seats subject piv'!$1:$2,2,FALSE),FALSE))),"")</f>
        <v>0.96296296296296291</v>
      </c>
      <c r="C57" s="15">
        <f>IFERROR((VLOOKUP('[1]SUBJECTS BASE'!$G53,'[1]import success seats'!$A:AA,HLOOKUP(C$4,'[1]import success seats'!$1:$2,2,FALSE),FALSE))/((VLOOKUP('[1]SUBJECTS BASE'!$G53,'[1]import GRADED seats subject piv'!$A:Q,HLOOKUP(C$4,'[1]import GRADED seats subject piv'!$1:$2,2,FALSE),FALSE))),"")</f>
        <v>0.8863049095607235</v>
      </c>
      <c r="D57" s="21">
        <f>IFERROR((VLOOKUP('[1]SUBJECTS BASE'!$G53,'[1]import success seats'!$A:AB,HLOOKUP(D$4,'[1]import success seats'!$1:$2,2,FALSE),FALSE))/((VLOOKUP('[1]SUBJECTS BASE'!$G53,'[1]import GRADED seats subject piv'!$A:R,HLOOKUP(D$4,'[1]import GRADED seats subject piv'!$1:$2,2,FALSE),FALSE))),"")</f>
        <v>0.88409703504043125</v>
      </c>
      <c r="E57" s="13">
        <f>IFERROR((VLOOKUP('[1]SUBJECTS BASE'!$G53,'[1]import success seats'!$A:AC,HLOOKUP(E$4,'[1]import success seats'!$1:$2,2,FALSE),FALSE))/((VLOOKUP('[1]SUBJECTS BASE'!$G53,'[1]import GRADED seats subject piv'!$A:S,HLOOKUP(E$4,'[1]import GRADED seats subject piv'!$1:$2,2,FALSE),FALSE))),"")</f>
        <v>0.93333333333333335</v>
      </c>
      <c r="F57" s="15">
        <f>IFERROR((VLOOKUP('[1]SUBJECTS BASE'!$G53,'[1]import success seats'!$A:AD,HLOOKUP(F$4,'[1]import success seats'!$1:$2,2,FALSE),FALSE))/((VLOOKUP('[1]SUBJECTS BASE'!$G53,'[1]import GRADED seats subject piv'!$A:T,HLOOKUP(F$4,'[1]import GRADED seats subject piv'!$1:$2,2,FALSE),FALSE))),"")</f>
        <v>0.86140724946695091</v>
      </c>
      <c r="G57" s="19">
        <f>IFERROR((VLOOKUP('[1]SUBJECTS BASE'!$G53,'[1]import success seats'!$A:AE,HLOOKUP(G$4,'[1]import success seats'!$1:$2,2,FALSE),FALSE))/((VLOOKUP('[1]SUBJECTS BASE'!$G53,'[1]import GRADED seats subject piv'!$A:U,HLOOKUP(G$4,'[1]import GRADED seats subject piv'!$1:$2,2,FALSE),FALSE))),"")</f>
        <v>0.86095238095238091</v>
      </c>
      <c r="H57" s="23">
        <f>IFERROR((VLOOKUP('[1]SUBJECTS BASE'!$G53,'[1]import success seats'!$A:AF,HLOOKUP(H$4,'[1]import success seats'!$1:$2,2,FALSE),FALSE))/((VLOOKUP('[1]SUBJECTS BASE'!$G53,'[1]import GRADED seats subject piv'!$A:V,HLOOKUP(H$4,'[1]import GRADED seats subject piv'!$1:$2,2,FALSE),FALSE))),"")</f>
        <v>0.93548387096774188</v>
      </c>
      <c r="I57" s="15">
        <f>IFERROR((VLOOKUP('[1]SUBJECTS BASE'!$G53,'[1]import success seats'!$A:AG,HLOOKUP(I$4,'[1]import success seats'!$1:$2,2,FALSE),FALSE))/((VLOOKUP('[1]SUBJECTS BASE'!$G53,'[1]import GRADED seats subject piv'!$A:W,HLOOKUP(I$4,'[1]import GRADED seats subject piv'!$1:$2,2,FALSE),FALSE))),"")</f>
        <v>0.89686924493554332</v>
      </c>
      <c r="J57" s="21">
        <f>IFERROR((VLOOKUP('[1]SUBJECTS BASE'!$G53,'[1]import success seats'!$A:AH,HLOOKUP(J$4,'[1]import success seats'!$1:$2,2,FALSE),FALSE))/((VLOOKUP('[1]SUBJECTS BASE'!$G53,'[1]import GRADED seats subject piv'!$A:X,HLOOKUP(J$4,'[1]import GRADED seats subject piv'!$1:$2,2,FALSE),FALSE))),"")</f>
        <v>0.87152777777777779</v>
      </c>
      <c r="K57" s="13">
        <f>IFERROR((VLOOKUP('[1]SUBJECTS BASE'!$G53,'[1]import success seats'!$A:AI,HLOOKUP(K$4,'[1]import success seats'!$1:$2,2,FALSE),FALSE))/((VLOOKUP('[1]SUBJECTS BASE'!$G53,'[1]import GRADED seats subject piv'!$A:Y,HLOOKUP(K$4,'[1]import GRADED seats subject piv'!$1:$2,2,FALSE),FALSE))),"")</f>
        <v>0.81818181818181823</v>
      </c>
      <c r="L57" s="15">
        <f>IFERROR((VLOOKUP('[1]SUBJECTS BASE'!$G53,'[1]import success seats'!$A:AJ,HLOOKUP(L$4,'[1]import success seats'!$1:$2,2,FALSE),FALSE))/((VLOOKUP('[1]SUBJECTS BASE'!$G53,'[1]import GRADED seats subject piv'!$A:Z,HLOOKUP(L$4,'[1]import GRADED seats subject piv'!$1:$2,2,FALSE),FALSE))),"")</f>
        <v>0.92364990689013038</v>
      </c>
      <c r="M57" s="19">
        <f>IFERROR((VLOOKUP('[1]SUBJECTS BASE'!$G53,'[1]import success seats'!$A:AK,HLOOKUP(M$4,'[1]import success seats'!$1:$2,2,FALSE),FALSE))/((VLOOKUP('[1]SUBJECTS BASE'!$G53,'[1]import GRADED seats subject piv'!$A:AB,HLOOKUP(M$4,'[1]import GRADED seats subject piv'!$1:$2,2,FALSE),FALSE))),"")</f>
        <v>0.89161554192229042</v>
      </c>
      <c r="N57" s="23" t="str">
        <f>IFERROR((VLOOKUP('[1]SUBJECTS BASE'!$G53,'[1]import success seats'!$A:AL,HLOOKUP(N$4,'[1]import success seats'!$1:$2,2,FALSE),FALSE))/((VLOOKUP('[1]SUBJECTS BASE'!$G53,'[1]import GRADED seats subject piv'!$A:AC,HLOOKUP(N$4,'[1]import GRADED seats subject piv'!$1:$2,2,FALSE),FALSE))),"")</f>
        <v/>
      </c>
      <c r="O57" s="15">
        <f>IFERROR((VLOOKUP('[1]SUBJECTS BASE'!$G53,'[1]import success seats'!$A:AM,HLOOKUP(O$4,'[1]import success seats'!$1:$2,2,FALSE),FALSE))/((VLOOKUP('[1]SUBJECTS BASE'!$G53,'[1]import GRADED seats subject piv'!$A:AD,HLOOKUP(O$4,'[1]import GRADED seats subject piv'!$1:$2,2,FALSE),FALSE))),"")</f>
        <v>0.83008356545961004</v>
      </c>
      <c r="P57" s="15">
        <f>IFERROR((VLOOKUP('[1]SUBJECTS BASE'!$G53,'[1]import success seats'!$A:AN,HLOOKUP(P$4,'[1]import success seats'!$1:$2,2,FALSE),FALSE))/((VLOOKUP('[1]SUBJECTS BASE'!$G53,'[1]import GRADED seats subject piv'!$A:AE,HLOOKUP(P$4,'[1]import GRADED seats subject piv'!$1:$2,2,FALSE),FALSE))),"")</f>
        <v>0.87525562372188137</v>
      </c>
      <c r="Q57" s="13" t="str">
        <f>IFERROR((VLOOKUP('[1]SUBJECTS BASE'!$G53,'[1]import success seats'!$A:AO,HLOOKUP(Q$4,'[1]import success seats'!$1:$2,2,FALSE),FALSE))/((VLOOKUP('[1]SUBJECTS BASE'!$G53,'[1]import GRADED seats subject piv'!$A:AF,HLOOKUP(Q$4,'[1]import GRADED seats subject piv'!$1:$2,2,FALSE),FALSE))),"")</f>
        <v/>
      </c>
      <c r="R57" s="15">
        <f>IFERROR((VLOOKUP('[1]SUBJECTS BASE'!$G53,'[1]import success seats'!$A:AP,HLOOKUP(R$4,'[1]import success seats'!$1:$2,2,FALSE),FALSE))/((VLOOKUP('[1]SUBJECTS BASE'!$G53,'[1]import GRADED seats subject piv'!$A:AG,HLOOKUP(R$4,'[1]import GRADED seats subject piv'!$1:$2,2,FALSE),FALSE))),"")</f>
        <v>0.921875</v>
      </c>
      <c r="S57" s="19" t="str">
        <f>IFERROR((VLOOKUP('[1]SUBJECTS BASE'!$G53,'[1]import success seats'!$A:AQ,HLOOKUP(S$4,'[1]import success seats'!$1:$2,2,FALSE),FALSE))/((VLOOKUP('[1]SUBJECTS BASE'!$G53,'[1]import GRADED seats subject piv'!$A:AH,HLOOKUP(S$4,'[1]import GRADED seats subject piv'!$1:$2,2,FALSE),FALSE))),"")</f>
        <v/>
      </c>
    </row>
    <row r="58" spans="1:19" x14ac:dyDescent="0.25">
      <c r="A58" s="3" t="s">
        <v>861</v>
      </c>
      <c r="B58" s="13" t="str">
        <f>IFERROR((VLOOKUP('[1]SUBJECTS BASE'!$G54,'[1]import success seats'!$A:Z,HLOOKUP(B$4,'[1]import success seats'!$1:$2,2,FALSE),FALSE))/((VLOOKUP('[1]SUBJECTS BASE'!$G54,'[1]import GRADED seats subject piv'!$A:P,HLOOKUP(B$4,'[1]import GRADED seats subject piv'!$1:$2,2,FALSE),FALSE))),"")</f>
        <v/>
      </c>
      <c r="C58" s="15" t="str">
        <f>IFERROR((VLOOKUP('[1]SUBJECTS BASE'!$G54,'[1]import success seats'!$A:AA,HLOOKUP(C$4,'[1]import success seats'!$1:$2,2,FALSE),FALSE))/((VLOOKUP('[1]SUBJECTS BASE'!$G54,'[1]import GRADED seats subject piv'!$A:Q,HLOOKUP(C$4,'[1]import GRADED seats subject piv'!$1:$2,2,FALSE),FALSE))),"")</f>
        <v/>
      </c>
      <c r="D58" s="21" t="str">
        <f>IFERROR((VLOOKUP('[1]SUBJECTS BASE'!$G54,'[1]import success seats'!$A:AB,HLOOKUP(D$4,'[1]import success seats'!$1:$2,2,FALSE),FALSE))/((VLOOKUP('[1]SUBJECTS BASE'!$G54,'[1]import GRADED seats subject piv'!$A:R,HLOOKUP(D$4,'[1]import GRADED seats subject piv'!$1:$2,2,FALSE),FALSE))),"")</f>
        <v/>
      </c>
      <c r="E58" s="13" t="str">
        <f>IFERROR((VLOOKUP('[1]SUBJECTS BASE'!$G54,'[1]import success seats'!$A:AC,HLOOKUP(E$4,'[1]import success seats'!$1:$2,2,FALSE),FALSE))/((VLOOKUP('[1]SUBJECTS BASE'!$G54,'[1]import GRADED seats subject piv'!$A:S,HLOOKUP(E$4,'[1]import GRADED seats subject piv'!$1:$2,2,FALSE),FALSE))),"")</f>
        <v/>
      </c>
      <c r="F58" s="15" t="str">
        <f>IFERROR((VLOOKUP('[1]SUBJECTS BASE'!$G54,'[1]import success seats'!$A:AD,HLOOKUP(F$4,'[1]import success seats'!$1:$2,2,FALSE),FALSE))/((VLOOKUP('[1]SUBJECTS BASE'!$G54,'[1]import GRADED seats subject piv'!$A:T,HLOOKUP(F$4,'[1]import GRADED seats subject piv'!$1:$2,2,FALSE),FALSE))),"")</f>
        <v/>
      </c>
      <c r="G58" s="19" t="str">
        <f>IFERROR((VLOOKUP('[1]SUBJECTS BASE'!$G54,'[1]import success seats'!$A:AE,HLOOKUP(G$4,'[1]import success seats'!$1:$2,2,FALSE),FALSE))/((VLOOKUP('[1]SUBJECTS BASE'!$G54,'[1]import GRADED seats subject piv'!$A:U,HLOOKUP(G$4,'[1]import GRADED seats subject piv'!$1:$2,2,FALSE),FALSE))),"")</f>
        <v/>
      </c>
      <c r="H58" s="23" t="str">
        <f>IFERROR((VLOOKUP('[1]SUBJECTS BASE'!$G54,'[1]import success seats'!$A:AF,HLOOKUP(H$4,'[1]import success seats'!$1:$2,2,FALSE),FALSE))/((VLOOKUP('[1]SUBJECTS BASE'!$G54,'[1]import GRADED seats subject piv'!$A:V,HLOOKUP(H$4,'[1]import GRADED seats subject piv'!$1:$2,2,FALSE),FALSE))),"")</f>
        <v/>
      </c>
      <c r="I58" s="15" t="str">
        <f>IFERROR((VLOOKUP('[1]SUBJECTS BASE'!$G54,'[1]import success seats'!$A:AG,HLOOKUP(I$4,'[1]import success seats'!$1:$2,2,FALSE),FALSE))/((VLOOKUP('[1]SUBJECTS BASE'!$G54,'[1]import GRADED seats subject piv'!$A:W,HLOOKUP(I$4,'[1]import GRADED seats subject piv'!$1:$2,2,FALSE),FALSE))),"")</f>
        <v/>
      </c>
      <c r="J58" s="21" t="str">
        <f>IFERROR((VLOOKUP('[1]SUBJECTS BASE'!$G54,'[1]import success seats'!$A:AH,HLOOKUP(J$4,'[1]import success seats'!$1:$2,2,FALSE),FALSE))/((VLOOKUP('[1]SUBJECTS BASE'!$G54,'[1]import GRADED seats subject piv'!$A:X,HLOOKUP(J$4,'[1]import GRADED seats subject piv'!$1:$2,2,FALSE),FALSE))),"")</f>
        <v/>
      </c>
      <c r="K58" s="13" t="str">
        <f>IFERROR((VLOOKUP('[1]SUBJECTS BASE'!$G54,'[1]import success seats'!$A:AI,HLOOKUP(K$4,'[1]import success seats'!$1:$2,2,FALSE),FALSE))/((VLOOKUP('[1]SUBJECTS BASE'!$G54,'[1]import GRADED seats subject piv'!$A:Y,HLOOKUP(K$4,'[1]import GRADED seats subject piv'!$1:$2,2,FALSE),FALSE))),"")</f>
        <v/>
      </c>
      <c r="L58" s="15" t="str">
        <f>IFERROR((VLOOKUP('[1]SUBJECTS BASE'!$G54,'[1]import success seats'!$A:AJ,HLOOKUP(L$4,'[1]import success seats'!$1:$2,2,FALSE),FALSE))/((VLOOKUP('[1]SUBJECTS BASE'!$G54,'[1]import GRADED seats subject piv'!$A:Z,HLOOKUP(L$4,'[1]import GRADED seats subject piv'!$1:$2,2,FALSE),FALSE))),"")</f>
        <v/>
      </c>
      <c r="M58" s="19" t="str">
        <f>IFERROR((VLOOKUP('[1]SUBJECTS BASE'!$G54,'[1]import success seats'!$A:AK,HLOOKUP(M$4,'[1]import success seats'!$1:$2,2,FALSE),FALSE))/((VLOOKUP('[1]SUBJECTS BASE'!$G54,'[1]import GRADED seats subject piv'!$A:AB,HLOOKUP(M$4,'[1]import GRADED seats subject piv'!$1:$2,2,FALSE),FALSE))),"")</f>
        <v/>
      </c>
      <c r="N58" s="23">
        <f>IFERROR((VLOOKUP('[1]SUBJECTS BASE'!$G54,'[1]import success seats'!$A:AL,HLOOKUP(N$4,'[1]import success seats'!$1:$2,2,FALSE),FALSE))/((VLOOKUP('[1]SUBJECTS BASE'!$G54,'[1]import GRADED seats subject piv'!$A:AC,HLOOKUP(N$4,'[1]import GRADED seats subject piv'!$1:$2,2,FALSE),FALSE))),"")</f>
        <v>1</v>
      </c>
      <c r="O58" s="15">
        <f>IFERROR((VLOOKUP('[1]SUBJECTS BASE'!$G54,'[1]import success seats'!$A:AM,HLOOKUP(O$4,'[1]import success seats'!$1:$2,2,FALSE),FALSE))/((VLOOKUP('[1]SUBJECTS BASE'!$G54,'[1]import GRADED seats subject piv'!$A:AD,HLOOKUP(O$4,'[1]import GRADED seats subject piv'!$1:$2,2,FALSE),FALSE))),"")</f>
        <v>1</v>
      </c>
      <c r="P58" s="15">
        <f>IFERROR((VLOOKUP('[1]SUBJECTS BASE'!$G54,'[1]import success seats'!$A:AN,HLOOKUP(P$4,'[1]import success seats'!$1:$2,2,FALSE),FALSE))/((VLOOKUP('[1]SUBJECTS BASE'!$G54,'[1]import GRADED seats subject piv'!$A:AE,HLOOKUP(P$4,'[1]import GRADED seats subject piv'!$1:$2,2,FALSE),FALSE))),"")</f>
        <v>0.95833333333333337</v>
      </c>
      <c r="Q58" s="13">
        <f>IFERROR((VLOOKUP('[1]SUBJECTS BASE'!$G54,'[1]import success seats'!$A:AO,HLOOKUP(Q$4,'[1]import success seats'!$1:$2,2,FALSE),FALSE))/((VLOOKUP('[1]SUBJECTS BASE'!$G54,'[1]import GRADED seats subject piv'!$A:AF,HLOOKUP(Q$4,'[1]import GRADED seats subject piv'!$1:$2,2,FALSE),FALSE))),"")</f>
        <v>0.9375</v>
      </c>
      <c r="R58" s="15">
        <f>IFERROR((VLOOKUP('[1]SUBJECTS BASE'!$G54,'[1]import success seats'!$A:AP,HLOOKUP(R$4,'[1]import success seats'!$1:$2,2,FALSE),FALSE))/((VLOOKUP('[1]SUBJECTS BASE'!$G54,'[1]import GRADED seats subject piv'!$A:AG,HLOOKUP(R$4,'[1]import GRADED seats subject piv'!$1:$2,2,FALSE),FALSE))),"")</f>
        <v>1</v>
      </c>
      <c r="S58" s="19" t="str">
        <f>IFERROR((VLOOKUP('[1]SUBJECTS BASE'!$G54,'[1]import success seats'!$A:AQ,HLOOKUP(S$4,'[1]import success seats'!$1:$2,2,FALSE),FALSE))/((VLOOKUP('[1]SUBJECTS BASE'!$G54,'[1]import GRADED seats subject piv'!$A:AH,HLOOKUP(S$4,'[1]import GRADED seats subject piv'!$1:$2,2,FALSE),FALSE))),"")</f>
        <v/>
      </c>
    </row>
    <row r="59" spans="1:19" x14ac:dyDescent="0.25">
      <c r="A59" s="3" t="s">
        <v>1122</v>
      </c>
      <c r="B59" s="13">
        <f>IFERROR((VLOOKUP('[1]SUBJECTS BASE'!$G55,'[1]import success seats'!$A:Z,HLOOKUP(B$4,'[1]import success seats'!$1:$2,2,FALSE),FALSE))/((VLOOKUP('[1]SUBJECTS BASE'!$G55,'[1]import GRADED seats subject piv'!$A:P,HLOOKUP(B$4,'[1]import GRADED seats subject piv'!$1:$2,2,FALSE),FALSE))),"")</f>
        <v>0.96226415094339623</v>
      </c>
      <c r="C59" s="15">
        <f>IFERROR((VLOOKUP('[1]SUBJECTS BASE'!$G55,'[1]import success seats'!$A:AA,HLOOKUP(C$4,'[1]import success seats'!$1:$2,2,FALSE),FALSE))/((VLOOKUP('[1]SUBJECTS BASE'!$G55,'[1]import GRADED seats subject piv'!$A:Q,HLOOKUP(C$4,'[1]import GRADED seats subject piv'!$1:$2,2,FALSE),FALSE))),"")</f>
        <v>0.8441558441558441</v>
      </c>
      <c r="D59" s="21">
        <f>IFERROR((VLOOKUP('[1]SUBJECTS BASE'!$G55,'[1]import success seats'!$A:AB,HLOOKUP(D$4,'[1]import success seats'!$1:$2,2,FALSE),FALSE))/((VLOOKUP('[1]SUBJECTS BASE'!$G55,'[1]import GRADED seats subject piv'!$A:R,HLOOKUP(D$4,'[1]import GRADED seats subject piv'!$1:$2,2,FALSE),FALSE))),"")</f>
        <v>0.81451612903225812</v>
      </c>
      <c r="E59" s="13">
        <f>IFERROR((VLOOKUP('[1]SUBJECTS BASE'!$G55,'[1]import success seats'!$A:AC,HLOOKUP(E$4,'[1]import success seats'!$1:$2,2,FALSE),FALSE))/((VLOOKUP('[1]SUBJECTS BASE'!$G55,'[1]import GRADED seats subject piv'!$A:S,HLOOKUP(E$4,'[1]import GRADED seats subject piv'!$1:$2,2,FALSE),FALSE))),"")</f>
        <v>0.97101449275362317</v>
      </c>
      <c r="F59" s="15">
        <f>IFERROR((VLOOKUP('[1]SUBJECTS BASE'!$G55,'[1]import success seats'!$A:AD,HLOOKUP(F$4,'[1]import success seats'!$1:$2,2,FALSE),FALSE))/((VLOOKUP('[1]SUBJECTS BASE'!$G55,'[1]import GRADED seats subject piv'!$A:T,HLOOKUP(F$4,'[1]import GRADED seats subject piv'!$1:$2,2,FALSE),FALSE))),"")</f>
        <v>0.87591240875912413</v>
      </c>
      <c r="G59" s="19">
        <f>IFERROR((VLOOKUP('[1]SUBJECTS BASE'!$G55,'[1]import success seats'!$A:AE,HLOOKUP(G$4,'[1]import success seats'!$1:$2,2,FALSE),FALSE))/((VLOOKUP('[1]SUBJECTS BASE'!$G55,'[1]import GRADED seats subject piv'!$A:U,HLOOKUP(G$4,'[1]import GRADED seats subject piv'!$1:$2,2,FALSE),FALSE))),"")</f>
        <v>0.8819599109131403</v>
      </c>
      <c r="H59" s="23" t="str">
        <f>IFERROR((VLOOKUP('[1]SUBJECTS BASE'!$G55,'[1]import success seats'!$A:AF,HLOOKUP(H$4,'[1]import success seats'!$1:$2,2,FALSE),FALSE))/((VLOOKUP('[1]SUBJECTS BASE'!$G55,'[1]import GRADED seats subject piv'!$A:V,HLOOKUP(H$4,'[1]import GRADED seats subject piv'!$1:$2,2,FALSE),FALSE))),"")</f>
        <v/>
      </c>
      <c r="I59" s="15">
        <f>IFERROR((VLOOKUP('[1]SUBJECTS BASE'!$G55,'[1]import success seats'!$A:AG,HLOOKUP(I$4,'[1]import success seats'!$1:$2,2,FALSE),FALSE))/((VLOOKUP('[1]SUBJECTS BASE'!$G55,'[1]import GRADED seats subject piv'!$A:W,HLOOKUP(I$4,'[1]import GRADED seats subject piv'!$1:$2,2,FALSE),FALSE))),"")</f>
        <v>0.85633802816901405</v>
      </c>
      <c r="J59" s="21">
        <f>IFERROR((VLOOKUP('[1]SUBJECTS BASE'!$G55,'[1]import success seats'!$A:AH,HLOOKUP(J$4,'[1]import success seats'!$1:$2,2,FALSE),FALSE))/((VLOOKUP('[1]SUBJECTS BASE'!$G55,'[1]import GRADED seats subject piv'!$A:X,HLOOKUP(J$4,'[1]import GRADED seats subject piv'!$1:$2,2,FALSE),FALSE))),"")</f>
        <v>0.91703056768558955</v>
      </c>
      <c r="K59" s="13" t="str">
        <f>IFERROR((VLOOKUP('[1]SUBJECTS BASE'!$G55,'[1]import success seats'!$A:AI,HLOOKUP(K$4,'[1]import success seats'!$1:$2,2,FALSE),FALSE))/((VLOOKUP('[1]SUBJECTS BASE'!$G55,'[1]import GRADED seats subject piv'!$A:Y,HLOOKUP(K$4,'[1]import GRADED seats subject piv'!$1:$2,2,FALSE),FALSE))),"")</f>
        <v/>
      </c>
      <c r="L59" s="15">
        <f>IFERROR((VLOOKUP('[1]SUBJECTS BASE'!$G55,'[1]import success seats'!$A:AJ,HLOOKUP(L$4,'[1]import success seats'!$1:$2,2,FALSE),FALSE))/((VLOOKUP('[1]SUBJECTS BASE'!$G55,'[1]import GRADED seats subject piv'!$A:Z,HLOOKUP(L$4,'[1]import GRADED seats subject piv'!$1:$2,2,FALSE),FALSE))),"")</f>
        <v>0.91549295774647887</v>
      </c>
      <c r="M59" s="19">
        <f>IFERROR((VLOOKUP('[1]SUBJECTS BASE'!$G55,'[1]import success seats'!$A:AK,HLOOKUP(M$4,'[1]import success seats'!$1:$2,2,FALSE),FALSE))/((VLOOKUP('[1]SUBJECTS BASE'!$G55,'[1]import GRADED seats subject piv'!$A:AB,HLOOKUP(M$4,'[1]import GRADED seats subject piv'!$1:$2,2,FALSE),FALSE))),"")</f>
        <v>0.88085106382978728</v>
      </c>
      <c r="N59" s="23" t="str">
        <f>IFERROR((VLOOKUP('[1]SUBJECTS BASE'!$G55,'[1]import success seats'!$A:AL,HLOOKUP(N$4,'[1]import success seats'!$1:$2,2,FALSE),FALSE))/((VLOOKUP('[1]SUBJECTS BASE'!$G55,'[1]import GRADED seats subject piv'!$A:AC,HLOOKUP(N$4,'[1]import GRADED seats subject piv'!$1:$2,2,FALSE),FALSE))),"")</f>
        <v/>
      </c>
      <c r="O59" s="15">
        <f>IFERROR((VLOOKUP('[1]SUBJECTS BASE'!$G55,'[1]import success seats'!$A:AM,HLOOKUP(O$4,'[1]import success seats'!$1:$2,2,FALSE),FALSE))/((VLOOKUP('[1]SUBJECTS BASE'!$G55,'[1]import GRADED seats subject piv'!$A:AD,HLOOKUP(O$4,'[1]import GRADED seats subject piv'!$1:$2,2,FALSE),FALSE))),"")</f>
        <v>0.90521327014218012</v>
      </c>
      <c r="P59" s="15">
        <f>IFERROR((VLOOKUP('[1]SUBJECTS BASE'!$G55,'[1]import success seats'!$A:AN,HLOOKUP(P$4,'[1]import success seats'!$1:$2,2,FALSE),FALSE))/((VLOOKUP('[1]SUBJECTS BASE'!$G55,'[1]import GRADED seats subject piv'!$A:AE,HLOOKUP(P$4,'[1]import GRADED seats subject piv'!$1:$2,2,FALSE),FALSE))),"")</f>
        <v>0.88759689922480622</v>
      </c>
      <c r="Q59" s="13" t="str">
        <f>IFERROR((VLOOKUP('[1]SUBJECTS BASE'!$G55,'[1]import success seats'!$A:AO,HLOOKUP(Q$4,'[1]import success seats'!$1:$2,2,FALSE),FALSE))/((VLOOKUP('[1]SUBJECTS BASE'!$G55,'[1]import GRADED seats subject piv'!$A:AF,HLOOKUP(Q$4,'[1]import GRADED seats subject piv'!$1:$2,2,FALSE),FALSE))),"")</f>
        <v/>
      </c>
      <c r="R59" s="15">
        <f>IFERROR((VLOOKUP('[1]SUBJECTS BASE'!$G55,'[1]import success seats'!$A:AP,HLOOKUP(R$4,'[1]import success seats'!$1:$2,2,FALSE),FALSE))/((VLOOKUP('[1]SUBJECTS BASE'!$G55,'[1]import GRADED seats subject piv'!$A:AG,HLOOKUP(R$4,'[1]import GRADED seats subject piv'!$1:$2,2,FALSE),FALSE))),"")</f>
        <v>0.92056074766355145</v>
      </c>
      <c r="S59" s="19">
        <f>IFERROR((VLOOKUP('[1]SUBJECTS BASE'!$G55,'[1]import success seats'!$A:AQ,HLOOKUP(S$4,'[1]import success seats'!$1:$2,2,FALSE),FALSE))/((VLOOKUP('[1]SUBJECTS BASE'!$G55,'[1]import GRADED seats subject piv'!$A:AH,HLOOKUP(S$4,'[1]import GRADED seats subject piv'!$1:$2,2,FALSE),FALSE))),"")</f>
        <v>0.91914893617021276</v>
      </c>
    </row>
    <row r="60" spans="1:19" x14ac:dyDescent="0.25">
      <c r="A60" s="3" t="s">
        <v>1123</v>
      </c>
      <c r="B60" s="13" t="str">
        <f>IFERROR((VLOOKUP('[1]SUBJECTS BASE'!$G56,'[1]import success seats'!$A:Z,HLOOKUP(B$4,'[1]import success seats'!$1:$2,2,FALSE),FALSE))/((VLOOKUP('[1]SUBJECTS BASE'!$G56,'[1]import GRADED seats subject piv'!$A:P,HLOOKUP(B$4,'[1]import GRADED seats subject piv'!$1:$2,2,FALSE),FALSE))),"")</f>
        <v/>
      </c>
      <c r="C60" s="15">
        <f>IFERROR((VLOOKUP('[1]SUBJECTS BASE'!$G56,'[1]import success seats'!$A:AA,HLOOKUP(C$4,'[1]import success seats'!$1:$2,2,FALSE),FALSE))/((VLOOKUP('[1]SUBJECTS BASE'!$G56,'[1]import GRADED seats subject piv'!$A:Q,HLOOKUP(C$4,'[1]import GRADED seats subject piv'!$1:$2,2,FALSE),FALSE))),"")</f>
        <v>0.82178217821782173</v>
      </c>
      <c r="D60" s="21">
        <f>IFERROR((VLOOKUP('[1]SUBJECTS BASE'!$G56,'[1]import success seats'!$A:AB,HLOOKUP(D$4,'[1]import success seats'!$1:$2,2,FALSE),FALSE))/((VLOOKUP('[1]SUBJECTS BASE'!$G56,'[1]import GRADED seats subject piv'!$A:R,HLOOKUP(D$4,'[1]import GRADED seats subject piv'!$1:$2,2,FALSE),FALSE))),"")</f>
        <v>0.92647058823529416</v>
      </c>
      <c r="E60" s="13" t="str">
        <f>IFERROR((VLOOKUP('[1]SUBJECTS BASE'!$G56,'[1]import success seats'!$A:AC,HLOOKUP(E$4,'[1]import success seats'!$1:$2,2,FALSE),FALSE))/((VLOOKUP('[1]SUBJECTS BASE'!$G56,'[1]import GRADED seats subject piv'!$A:S,HLOOKUP(E$4,'[1]import GRADED seats subject piv'!$1:$2,2,FALSE),FALSE))),"")</f>
        <v/>
      </c>
      <c r="F60" s="15">
        <f>IFERROR((VLOOKUP('[1]SUBJECTS BASE'!$G56,'[1]import success seats'!$A:AD,HLOOKUP(F$4,'[1]import success seats'!$1:$2,2,FALSE),FALSE))/((VLOOKUP('[1]SUBJECTS BASE'!$G56,'[1]import GRADED seats subject piv'!$A:T,HLOOKUP(F$4,'[1]import GRADED seats subject piv'!$1:$2,2,FALSE),FALSE))),"")</f>
        <v>0.86419753086419748</v>
      </c>
      <c r="G60" s="19">
        <f>IFERROR((VLOOKUP('[1]SUBJECTS BASE'!$G56,'[1]import success seats'!$A:AE,HLOOKUP(G$4,'[1]import success seats'!$1:$2,2,FALSE),FALSE))/((VLOOKUP('[1]SUBJECTS BASE'!$G56,'[1]import GRADED seats subject piv'!$A:U,HLOOKUP(G$4,'[1]import GRADED seats subject piv'!$1:$2,2,FALSE),FALSE))),"")</f>
        <v>0.86602870813397126</v>
      </c>
      <c r="H60" s="23" t="str">
        <f>IFERROR((VLOOKUP('[1]SUBJECTS BASE'!$G56,'[1]import success seats'!$A:AF,HLOOKUP(H$4,'[1]import success seats'!$1:$2,2,FALSE),FALSE))/((VLOOKUP('[1]SUBJECTS BASE'!$G56,'[1]import GRADED seats subject piv'!$A:V,HLOOKUP(H$4,'[1]import GRADED seats subject piv'!$1:$2,2,FALSE),FALSE))),"")</f>
        <v/>
      </c>
      <c r="I60" s="15">
        <f>IFERROR((VLOOKUP('[1]SUBJECTS BASE'!$G56,'[1]import success seats'!$A:AG,HLOOKUP(I$4,'[1]import success seats'!$1:$2,2,FALSE),FALSE))/((VLOOKUP('[1]SUBJECTS BASE'!$G56,'[1]import GRADED seats subject piv'!$A:W,HLOOKUP(I$4,'[1]import GRADED seats subject piv'!$1:$2,2,FALSE),FALSE))),"")</f>
        <v>0.8797814207650273</v>
      </c>
      <c r="J60" s="21">
        <f>IFERROR((VLOOKUP('[1]SUBJECTS BASE'!$G56,'[1]import success seats'!$A:AH,HLOOKUP(J$4,'[1]import success seats'!$1:$2,2,FALSE),FALSE))/((VLOOKUP('[1]SUBJECTS BASE'!$G56,'[1]import GRADED seats subject piv'!$A:X,HLOOKUP(J$4,'[1]import GRADED seats subject piv'!$1:$2,2,FALSE),FALSE))),"")</f>
        <v>0.87037037037037035</v>
      </c>
      <c r="K60" s="13" t="str">
        <f>IFERROR((VLOOKUP('[1]SUBJECTS BASE'!$G56,'[1]import success seats'!$A:AI,HLOOKUP(K$4,'[1]import success seats'!$1:$2,2,FALSE),FALSE))/((VLOOKUP('[1]SUBJECTS BASE'!$G56,'[1]import GRADED seats subject piv'!$A:Y,HLOOKUP(K$4,'[1]import GRADED seats subject piv'!$1:$2,2,FALSE),FALSE))),"")</f>
        <v/>
      </c>
      <c r="L60" s="15">
        <f>IFERROR((VLOOKUP('[1]SUBJECTS BASE'!$G56,'[1]import success seats'!$A:AJ,HLOOKUP(L$4,'[1]import success seats'!$1:$2,2,FALSE),FALSE))/((VLOOKUP('[1]SUBJECTS BASE'!$G56,'[1]import GRADED seats subject piv'!$A:Z,HLOOKUP(L$4,'[1]import GRADED seats subject piv'!$1:$2,2,FALSE),FALSE))),"")</f>
        <v>0.85080645161290325</v>
      </c>
      <c r="M60" s="19">
        <f>IFERROR((VLOOKUP('[1]SUBJECTS BASE'!$G56,'[1]import success seats'!$A:AK,HLOOKUP(M$4,'[1]import success seats'!$1:$2,2,FALSE),FALSE))/((VLOOKUP('[1]SUBJECTS BASE'!$G56,'[1]import GRADED seats subject piv'!$A:AB,HLOOKUP(M$4,'[1]import GRADED seats subject piv'!$1:$2,2,FALSE),FALSE))),"")</f>
        <v>0.85593220338983056</v>
      </c>
      <c r="N60" s="23" t="str">
        <f>IFERROR((VLOOKUP('[1]SUBJECTS BASE'!$G56,'[1]import success seats'!$A:AL,HLOOKUP(N$4,'[1]import success seats'!$1:$2,2,FALSE),FALSE))/((VLOOKUP('[1]SUBJECTS BASE'!$G56,'[1]import GRADED seats subject piv'!$A:AC,HLOOKUP(N$4,'[1]import GRADED seats subject piv'!$1:$2,2,FALSE),FALSE))),"")</f>
        <v/>
      </c>
      <c r="O60" s="15">
        <f>IFERROR((VLOOKUP('[1]SUBJECTS BASE'!$G56,'[1]import success seats'!$A:AM,HLOOKUP(O$4,'[1]import success seats'!$1:$2,2,FALSE),FALSE))/((VLOOKUP('[1]SUBJECTS BASE'!$G56,'[1]import GRADED seats subject piv'!$A:AD,HLOOKUP(O$4,'[1]import GRADED seats subject piv'!$1:$2,2,FALSE),FALSE))),"")</f>
        <v>0.88102893890675238</v>
      </c>
      <c r="P60" s="15">
        <f>IFERROR((VLOOKUP('[1]SUBJECTS BASE'!$G56,'[1]import success seats'!$A:AN,HLOOKUP(P$4,'[1]import success seats'!$1:$2,2,FALSE),FALSE))/((VLOOKUP('[1]SUBJECTS BASE'!$G56,'[1]import GRADED seats subject piv'!$A:AE,HLOOKUP(P$4,'[1]import GRADED seats subject piv'!$1:$2,2,FALSE),FALSE))),"")</f>
        <v>0.88410596026490063</v>
      </c>
      <c r="Q60" s="13" t="str">
        <f>IFERROR((VLOOKUP('[1]SUBJECTS BASE'!$G56,'[1]import success seats'!$A:AO,HLOOKUP(Q$4,'[1]import success seats'!$1:$2,2,FALSE),FALSE))/((VLOOKUP('[1]SUBJECTS BASE'!$G56,'[1]import GRADED seats subject piv'!$A:AF,HLOOKUP(Q$4,'[1]import GRADED seats subject piv'!$1:$2,2,FALSE),FALSE))),"")</f>
        <v/>
      </c>
      <c r="R60" s="15">
        <f>IFERROR((VLOOKUP('[1]SUBJECTS BASE'!$G56,'[1]import success seats'!$A:AP,HLOOKUP(R$4,'[1]import success seats'!$1:$2,2,FALSE),FALSE))/((VLOOKUP('[1]SUBJECTS BASE'!$G56,'[1]import GRADED seats subject piv'!$A:AG,HLOOKUP(R$4,'[1]import GRADED seats subject piv'!$1:$2,2,FALSE),FALSE))),"")</f>
        <v>0.86411149825783973</v>
      </c>
      <c r="S60" s="19">
        <f>IFERROR((VLOOKUP('[1]SUBJECTS BASE'!$G56,'[1]import success seats'!$A:AQ,HLOOKUP(S$4,'[1]import success seats'!$1:$2,2,FALSE),FALSE))/((VLOOKUP('[1]SUBJECTS BASE'!$G56,'[1]import GRADED seats subject piv'!$A:AH,HLOOKUP(S$4,'[1]import GRADED seats subject piv'!$1:$2,2,FALSE),FALSE))),"")</f>
        <v>0.81403508771929822</v>
      </c>
    </row>
    <row r="61" spans="1:19" x14ac:dyDescent="0.25">
      <c r="A61" s="3" t="s">
        <v>1124</v>
      </c>
      <c r="B61" s="13">
        <f>IFERROR((VLOOKUP('[1]SUBJECTS BASE'!$G57,'[1]import success seats'!$A:Z,HLOOKUP(B$4,'[1]import success seats'!$1:$2,2,FALSE),FALSE))/((VLOOKUP('[1]SUBJECTS BASE'!$G57,'[1]import GRADED seats subject piv'!$A:P,HLOOKUP(B$4,'[1]import GRADED seats subject piv'!$1:$2,2,FALSE),FALSE))),"")</f>
        <v>0.80769230769230771</v>
      </c>
      <c r="C61" s="15">
        <f>IFERROR((VLOOKUP('[1]SUBJECTS BASE'!$G57,'[1]import success seats'!$A:AA,HLOOKUP(C$4,'[1]import success seats'!$1:$2,2,FALSE),FALSE))/((VLOOKUP('[1]SUBJECTS BASE'!$G57,'[1]import GRADED seats subject piv'!$A:Q,HLOOKUP(C$4,'[1]import GRADED seats subject piv'!$1:$2,2,FALSE),FALSE))),"")</f>
        <v>0.6166666666666667</v>
      </c>
      <c r="D61" s="21">
        <f>IFERROR((VLOOKUP('[1]SUBJECTS BASE'!$G57,'[1]import success seats'!$A:AB,HLOOKUP(D$4,'[1]import success seats'!$1:$2,2,FALSE),FALSE))/((VLOOKUP('[1]SUBJECTS BASE'!$G57,'[1]import GRADED seats subject piv'!$A:R,HLOOKUP(D$4,'[1]import GRADED seats subject piv'!$1:$2,2,FALSE),FALSE))),"")</f>
        <v>0.75862068965517238</v>
      </c>
      <c r="E61" s="13">
        <f>IFERROR((VLOOKUP('[1]SUBJECTS BASE'!$G57,'[1]import success seats'!$A:AC,HLOOKUP(E$4,'[1]import success seats'!$1:$2,2,FALSE),FALSE))/((VLOOKUP('[1]SUBJECTS BASE'!$G57,'[1]import GRADED seats subject piv'!$A:S,HLOOKUP(E$4,'[1]import GRADED seats subject piv'!$1:$2,2,FALSE),FALSE))),"")</f>
        <v>0.95652173913043481</v>
      </c>
      <c r="F61" s="15">
        <f>IFERROR((VLOOKUP('[1]SUBJECTS BASE'!$G57,'[1]import success seats'!$A:AD,HLOOKUP(F$4,'[1]import success seats'!$1:$2,2,FALSE),FALSE))/((VLOOKUP('[1]SUBJECTS BASE'!$G57,'[1]import GRADED seats subject piv'!$A:T,HLOOKUP(F$4,'[1]import GRADED seats subject piv'!$1:$2,2,FALSE),FALSE))),"")</f>
        <v>0.71764705882352942</v>
      </c>
      <c r="G61" s="19">
        <f>IFERROR((VLOOKUP('[1]SUBJECTS BASE'!$G57,'[1]import success seats'!$A:AE,HLOOKUP(G$4,'[1]import success seats'!$1:$2,2,FALSE),FALSE))/((VLOOKUP('[1]SUBJECTS BASE'!$G57,'[1]import GRADED seats subject piv'!$A:U,HLOOKUP(G$4,'[1]import GRADED seats subject piv'!$1:$2,2,FALSE),FALSE))),"")</f>
        <v>0.75</v>
      </c>
      <c r="H61" s="23">
        <f>IFERROR((VLOOKUP('[1]SUBJECTS BASE'!$G57,'[1]import success seats'!$A:AF,HLOOKUP(H$4,'[1]import success seats'!$1:$2,2,FALSE),FALSE))/((VLOOKUP('[1]SUBJECTS BASE'!$G57,'[1]import GRADED seats subject piv'!$A:V,HLOOKUP(H$4,'[1]import GRADED seats subject piv'!$1:$2,2,FALSE),FALSE))),"")</f>
        <v>0.92592592592592593</v>
      </c>
      <c r="I61" s="15">
        <f>IFERROR((VLOOKUP('[1]SUBJECTS BASE'!$G57,'[1]import success seats'!$A:AG,HLOOKUP(I$4,'[1]import success seats'!$1:$2,2,FALSE),FALSE))/((VLOOKUP('[1]SUBJECTS BASE'!$G57,'[1]import GRADED seats subject piv'!$A:W,HLOOKUP(I$4,'[1]import GRADED seats subject piv'!$1:$2,2,FALSE),FALSE))),"")</f>
        <v>0.71069182389937102</v>
      </c>
      <c r="J61" s="21">
        <f>IFERROR((VLOOKUP('[1]SUBJECTS BASE'!$G57,'[1]import success seats'!$A:AH,HLOOKUP(J$4,'[1]import success seats'!$1:$2,2,FALSE),FALSE))/((VLOOKUP('[1]SUBJECTS BASE'!$G57,'[1]import GRADED seats subject piv'!$A:X,HLOOKUP(J$4,'[1]import GRADED seats subject piv'!$1:$2,2,FALSE),FALSE))),"")</f>
        <v>0.78125</v>
      </c>
      <c r="K61" s="13" t="str">
        <f>IFERROR((VLOOKUP('[1]SUBJECTS BASE'!$G57,'[1]import success seats'!$A:AI,HLOOKUP(K$4,'[1]import success seats'!$1:$2,2,FALSE),FALSE))/((VLOOKUP('[1]SUBJECTS BASE'!$G57,'[1]import GRADED seats subject piv'!$A:Y,HLOOKUP(K$4,'[1]import GRADED seats subject piv'!$1:$2,2,FALSE),FALSE))),"")</f>
        <v/>
      </c>
      <c r="L61" s="15">
        <f>IFERROR((VLOOKUP('[1]SUBJECTS BASE'!$G57,'[1]import success seats'!$A:AJ,HLOOKUP(L$4,'[1]import success seats'!$1:$2,2,FALSE),FALSE))/((VLOOKUP('[1]SUBJECTS BASE'!$G57,'[1]import GRADED seats subject piv'!$A:Z,HLOOKUP(L$4,'[1]import GRADED seats subject piv'!$1:$2,2,FALSE),FALSE))),"")</f>
        <v>0.80225988700564976</v>
      </c>
      <c r="M61" s="19">
        <f>IFERROR((VLOOKUP('[1]SUBJECTS BASE'!$G57,'[1]import success seats'!$A:AK,HLOOKUP(M$4,'[1]import success seats'!$1:$2,2,FALSE),FALSE))/((VLOOKUP('[1]SUBJECTS BASE'!$G57,'[1]import GRADED seats subject piv'!$A:AB,HLOOKUP(M$4,'[1]import GRADED seats subject piv'!$1:$2,2,FALSE),FALSE))),"")</f>
        <v>0.75735294117647056</v>
      </c>
      <c r="N61" s="23" t="str">
        <f>IFERROR((VLOOKUP('[1]SUBJECTS BASE'!$G57,'[1]import success seats'!$A:AL,HLOOKUP(N$4,'[1]import success seats'!$1:$2,2,FALSE),FALSE))/((VLOOKUP('[1]SUBJECTS BASE'!$G57,'[1]import GRADED seats subject piv'!$A:AC,HLOOKUP(N$4,'[1]import GRADED seats subject piv'!$1:$2,2,FALSE),FALSE))),"")</f>
        <v/>
      </c>
      <c r="O61" s="15">
        <f>IFERROR((VLOOKUP('[1]SUBJECTS BASE'!$G57,'[1]import success seats'!$A:AM,HLOOKUP(O$4,'[1]import success seats'!$1:$2,2,FALSE),FALSE))/((VLOOKUP('[1]SUBJECTS BASE'!$G57,'[1]import GRADED seats subject piv'!$A:AD,HLOOKUP(O$4,'[1]import GRADED seats subject piv'!$1:$2,2,FALSE),FALSE))),"")</f>
        <v>0.73743016759776536</v>
      </c>
      <c r="P61" s="15">
        <f>IFERROR((VLOOKUP('[1]SUBJECTS BASE'!$G57,'[1]import success seats'!$A:AN,HLOOKUP(P$4,'[1]import success seats'!$1:$2,2,FALSE),FALSE))/((VLOOKUP('[1]SUBJECTS BASE'!$G57,'[1]import GRADED seats subject piv'!$A:AE,HLOOKUP(P$4,'[1]import GRADED seats subject piv'!$1:$2,2,FALSE),FALSE))),"")</f>
        <v>0.71969696969696972</v>
      </c>
      <c r="Q61" s="13" t="str">
        <f>IFERROR((VLOOKUP('[1]SUBJECTS BASE'!$G57,'[1]import success seats'!$A:AO,HLOOKUP(Q$4,'[1]import success seats'!$1:$2,2,FALSE),FALSE))/((VLOOKUP('[1]SUBJECTS BASE'!$G57,'[1]import GRADED seats subject piv'!$A:AF,HLOOKUP(Q$4,'[1]import GRADED seats subject piv'!$1:$2,2,FALSE),FALSE))),"")</f>
        <v/>
      </c>
      <c r="R61" s="15">
        <f>IFERROR((VLOOKUP('[1]SUBJECTS BASE'!$G57,'[1]import success seats'!$A:AP,HLOOKUP(R$4,'[1]import success seats'!$1:$2,2,FALSE),FALSE))/((VLOOKUP('[1]SUBJECTS BASE'!$G57,'[1]import GRADED seats subject piv'!$A:AG,HLOOKUP(R$4,'[1]import GRADED seats subject piv'!$1:$2,2,FALSE),FALSE))),"")</f>
        <v>0.70059880239520955</v>
      </c>
      <c r="S61" s="19">
        <f>IFERROR((VLOOKUP('[1]SUBJECTS BASE'!$G57,'[1]import success seats'!$A:AQ,HLOOKUP(S$4,'[1]import success seats'!$1:$2,2,FALSE),FALSE))/((VLOOKUP('[1]SUBJECTS BASE'!$G57,'[1]import GRADED seats subject piv'!$A:AH,HLOOKUP(S$4,'[1]import GRADED seats subject piv'!$1:$2,2,FALSE),FALSE))),"")</f>
        <v>0.83088235294117652</v>
      </c>
    </row>
    <row r="62" spans="1:19" x14ac:dyDescent="0.25">
      <c r="A62" s="3" t="s">
        <v>1125</v>
      </c>
      <c r="B62" s="13" t="str">
        <f>IFERROR((VLOOKUP('[1]SUBJECTS BASE'!$G58,'[1]import success seats'!$A:Z,HLOOKUP(B$4,'[1]import success seats'!$1:$2,2,FALSE),FALSE))/((VLOOKUP('[1]SUBJECTS BASE'!$G58,'[1]import GRADED seats subject piv'!$A:P,HLOOKUP(B$4,'[1]import GRADED seats subject piv'!$1:$2,2,FALSE),FALSE))),"")</f>
        <v/>
      </c>
      <c r="C62" s="15" t="str">
        <f>IFERROR((VLOOKUP('[1]SUBJECTS BASE'!$G58,'[1]import success seats'!$A:AA,HLOOKUP(C$4,'[1]import success seats'!$1:$2,2,FALSE),FALSE))/((VLOOKUP('[1]SUBJECTS BASE'!$G58,'[1]import GRADED seats subject piv'!$A:Q,HLOOKUP(C$4,'[1]import GRADED seats subject piv'!$1:$2,2,FALSE),FALSE))),"")</f>
        <v/>
      </c>
      <c r="D62" s="21" t="str">
        <f>IFERROR((VLOOKUP('[1]SUBJECTS BASE'!$G58,'[1]import success seats'!$A:AB,HLOOKUP(D$4,'[1]import success seats'!$1:$2,2,FALSE),FALSE))/((VLOOKUP('[1]SUBJECTS BASE'!$G58,'[1]import GRADED seats subject piv'!$A:R,HLOOKUP(D$4,'[1]import GRADED seats subject piv'!$1:$2,2,FALSE),FALSE))),"")</f>
        <v/>
      </c>
      <c r="E62" s="13" t="str">
        <f>IFERROR((VLOOKUP('[1]SUBJECTS BASE'!$G58,'[1]import success seats'!$A:AC,HLOOKUP(E$4,'[1]import success seats'!$1:$2,2,FALSE),FALSE))/((VLOOKUP('[1]SUBJECTS BASE'!$G58,'[1]import GRADED seats subject piv'!$A:S,HLOOKUP(E$4,'[1]import GRADED seats subject piv'!$1:$2,2,FALSE),FALSE))),"")</f>
        <v/>
      </c>
      <c r="F62" s="15" t="str">
        <f>IFERROR((VLOOKUP('[1]SUBJECTS BASE'!$G58,'[1]import success seats'!$A:AD,HLOOKUP(F$4,'[1]import success seats'!$1:$2,2,FALSE),FALSE))/((VLOOKUP('[1]SUBJECTS BASE'!$G58,'[1]import GRADED seats subject piv'!$A:T,HLOOKUP(F$4,'[1]import GRADED seats subject piv'!$1:$2,2,FALSE),FALSE))),"")</f>
        <v/>
      </c>
      <c r="G62" s="19" t="str">
        <f>IFERROR((VLOOKUP('[1]SUBJECTS BASE'!$G58,'[1]import success seats'!$A:AE,HLOOKUP(G$4,'[1]import success seats'!$1:$2,2,FALSE),FALSE))/((VLOOKUP('[1]SUBJECTS BASE'!$G58,'[1]import GRADED seats subject piv'!$A:U,HLOOKUP(G$4,'[1]import GRADED seats subject piv'!$1:$2,2,FALSE),FALSE))),"")</f>
        <v/>
      </c>
      <c r="H62" s="23" t="str">
        <f>IFERROR((VLOOKUP('[1]SUBJECTS BASE'!$G58,'[1]import success seats'!$A:AF,HLOOKUP(H$4,'[1]import success seats'!$1:$2,2,FALSE),FALSE))/((VLOOKUP('[1]SUBJECTS BASE'!$G58,'[1]import GRADED seats subject piv'!$A:V,HLOOKUP(H$4,'[1]import GRADED seats subject piv'!$1:$2,2,FALSE),FALSE))),"")</f>
        <v/>
      </c>
      <c r="I62" s="15" t="str">
        <f>IFERROR((VLOOKUP('[1]SUBJECTS BASE'!$G58,'[1]import success seats'!$A:AG,HLOOKUP(I$4,'[1]import success seats'!$1:$2,2,FALSE),FALSE))/((VLOOKUP('[1]SUBJECTS BASE'!$G58,'[1]import GRADED seats subject piv'!$A:W,HLOOKUP(I$4,'[1]import GRADED seats subject piv'!$1:$2,2,FALSE),FALSE))),"")</f>
        <v/>
      </c>
      <c r="J62" s="21">
        <f>IFERROR((VLOOKUP('[1]SUBJECTS BASE'!$G58,'[1]import success seats'!$A:AH,HLOOKUP(J$4,'[1]import success seats'!$1:$2,2,FALSE),FALSE))/((VLOOKUP('[1]SUBJECTS BASE'!$G58,'[1]import GRADED seats subject piv'!$A:X,HLOOKUP(J$4,'[1]import GRADED seats subject piv'!$1:$2,2,FALSE),FALSE))),"")</f>
        <v>0.84848484848484851</v>
      </c>
      <c r="K62" s="13" t="str">
        <f>IFERROR((VLOOKUP('[1]SUBJECTS BASE'!$G58,'[1]import success seats'!$A:AI,HLOOKUP(K$4,'[1]import success seats'!$1:$2,2,FALSE),FALSE))/((VLOOKUP('[1]SUBJECTS BASE'!$G58,'[1]import GRADED seats subject piv'!$A:Y,HLOOKUP(K$4,'[1]import GRADED seats subject piv'!$1:$2,2,FALSE),FALSE))),"")</f>
        <v/>
      </c>
      <c r="L62" s="15">
        <f>IFERROR((VLOOKUP('[1]SUBJECTS BASE'!$G58,'[1]import success seats'!$A:AJ,HLOOKUP(L$4,'[1]import success seats'!$1:$2,2,FALSE),FALSE))/((VLOOKUP('[1]SUBJECTS BASE'!$G58,'[1]import GRADED seats subject piv'!$A:Z,HLOOKUP(L$4,'[1]import GRADED seats subject piv'!$1:$2,2,FALSE),FALSE))),"")</f>
        <v>0.9285714285714286</v>
      </c>
      <c r="M62" s="19">
        <f>IFERROR((VLOOKUP('[1]SUBJECTS BASE'!$G58,'[1]import success seats'!$A:AK,HLOOKUP(M$4,'[1]import success seats'!$1:$2,2,FALSE),FALSE))/((VLOOKUP('[1]SUBJECTS BASE'!$G58,'[1]import GRADED seats subject piv'!$A:AB,HLOOKUP(M$4,'[1]import GRADED seats subject piv'!$1:$2,2,FALSE),FALSE))),"")</f>
        <v>0.83333333333333337</v>
      </c>
      <c r="N62" s="23" t="str">
        <f>IFERROR((VLOOKUP('[1]SUBJECTS BASE'!$G58,'[1]import success seats'!$A:AL,HLOOKUP(N$4,'[1]import success seats'!$1:$2,2,FALSE),FALSE))/((VLOOKUP('[1]SUBJECTS BASE'!$G58,'[1]import GRADED seats subject piv'!$A:AC,HLOOKUP(N$4,'[1]import GRADED seats subject piv'!$1:$2,2,FALSE),FALSE))),"")</f>
        <v/>
      </c>
      <c r="O62" s="15" t="str">
        <f>IFERROR((VLOOKUP('[1]SUBJECTS BASE'!$G58,'[1]import success seats'!$A:AM,HLOOKUP(O$4,'[1]import success seats'!$1:$2,2,FALSE),FALSE))/((VLOOKUP('[1]SUBJECTS BASE'!$G58,'[1]import GRADED seats subject piv'!$A:AD,HLOOKUP(O$4,'[1]import GRADED seats subject piv'!$1:$2,2,FALSE),FALSE))),"")</f>
        <v/>
      </c>
      <c r="P62" s="15" t="str">
        <f>IFERROR((VLOOKUP('[1]SUBJECTS BASE'!$G58,'[1]import success seats'!$A:AN,HLOOKUP(P$4,'[1]import success seats'!$1:$2,2,FALSE),FALSE))/((VLOOKUP('[1]SUBJECTS BASE'!$G58,'[1]import GRADED seats subject piv'!$A:AE,HLOOKUP(P$4,'[1]import GRADED seats subject piv'!$1:$2,2,FALSE),FALSE))),"")</f>
        <v/>
      </c>
      <c r="Q62" s="13" t="str">
        <f>IFERROR((VLOOKUP('[1]SUBJECTS BASE'!$G58,'[1]import success seats'!$A:AO,HLOOKUP(Q$4,'[1]import success seats'!$1:$2,2,FALSE),FALSE))/((VLOOKUP('[1]SUBJECTS BASE'!$G58,'[1]import GRADED seats subject piv'!$A:AF,HLOOKUP(Q$4,'[1]import GRADED seats subject piv'!$1:$2,2,FALSE),FALSE))),"")</f>
        <v/>
      </c>
      <c r="R62" s="15" t="str">
        <f>IFERROR((VLOOKUP('[1]SUBJECTS BASE'!$G58,'[1]import success seats'!$A:AP,HLOOKUP(R$4,'[1]import success seats'!$1:$2,2,FALSE),FALSE))/((VLOOKUP('[1]SUBJECTS BASE'!$G58,'[1]import GRADED seats subject piv'!$A:AG,HLOOKUP(R$4,'[1]import GRADED seats subject piv'!$1:$2,2,FALSE),FALSE))),"")</f>
        <v/>
      </c>
      <c r="S62" s="19" t="str">
        <f>IFERROR((VLOOKUP('[1]SUBJECTS BASE'!$G58,'[1]import success seats'!$A:AQ,HLOOKUP(S$4,'[1]import success seats'!$1:$2,2,FALSE),FALSE))/((VLOOKUP('[1]SUBJECTS BASE'!$G58,'[1]import GRADED seats subject piv'!$A:AH,HLOOKUP(S$4,'[1]import GRADED seats subject piv'!$1:$2,2,FALSE),FALSE))),"")</f>
        <v/>
      </c>
    </row>
    <row r="63" spans="1:19" x14ac:dyDescent="0.25">
      <c r="A63" s="3" t="s">
        <v>1126</v>
      </c>
      <c r="B63" s="13">
        <f>IFERROR((VLOOKUP('[1]SUBJECTS BASE'!$G59,'[1]import success seats'!$A:Z,HLOOKUP(B$4,'[1]import success seats'!$1:$2,2,FALSE),FALSE))/((VLOOKUP('[1]SUBJECTS BASE'!$G59,'[1]import GRADED seats subject piv'!$A:P,HLOOKUP(B$4,'[1]import GRADED seats subject piv'!$1:$2,2,FALSE),FALSE))),"")</f>
        <v>0.97979797979797978</v>
      </c>
      <c r="C63" s="15">
        <f>IFERROR((VLOOKUP('[1]SUBJECTS BASE'!$G59,'[1]import success seats'!$A:AA,HLOOKUP(C$4,'[1]import success seats'!$1:$2,2,FALSE),FALSE))/((VLOOKUP('[1]SUBJECTS BASE'!$G59,'[1]import GRADED seats subject piv'!$A:Q,HLOOKUP(C$4,'[1]import GRADED seats subject piv'!$1:$2,2,FALSE),FALSE))),"")</f>
        <v>0.84808454425363278</v>
      </c>
      <c r="D63" s="21">
        <f>IFERROR((VLOOKUP('[1]SUBJECTS BASE'!$G59,'[1]import success seats'!$A:AB,HLOOKUP(D$4,'[1]import success seats'!$1:$2,2,FALSE),FALSE))/((VLOOKUP('[1]SUBJECTS BASE'!$G59,'[1]import GRADED seats subject piv'!$A:R,HLOOKUP(D$4,'[1]import GRADED seats subject piv'!$1:$2,2,FALSE),FALSE))),"")</f>
        <v>0.86445366528354084</v>
      </c>
      <c r="E63" s="13">
        <f>IFERROR((VLOOKUP('[1]SUBJECTS BASE'!$G59,'[1]import success seats'!$A:AC,HLOOKUP(E$4,'[1]import success seats'!$1:$2,2,FALSE),FALSE))/((VLOOKUP('[1]SUBJECTS BASE'!$G59,'[1]import GRADED seats subject piv'!$A:S,HLOOKUP(E$4,'[1]import GRADED seats subject piv'!$1:$2,2,FALSE),FALSE))),"")</f>
        <v>0.98561151079136688</v>
      </c>
      <c r="F63" s="15">
        <f>IFERROR((VLOOKUP('[1]SUBJECTS BASE'!$G59,'[1]import success seats'!$A:AD,HLOOKUP(F$4,'[1]import success seats'!$1:$2,2,FALSE),FALSE))/((VLOOKUP('[1]SUBJECTS BASE'!$G59,'[1]import GRADED seats subject piv'!$A:T,HLOOKUP(F$4,'[1]import GRADED seats subject piv'!$1:$2,2,FALSE),FALSE))),"")</f>
        <v>0.82951653944020354</v>
      </c>
      <c r="G63" s="19">
        <f>IFERROR((VLOOKUP('[1]SUBJECTS BASE'!$G59,'[1]import success seats'!$A:AE,HLOOKUP(G$4,'[1]import success seats'!$1:$2,2,FALSE),FALSE))/((VLOOKUP('[1]SUBJECTS BASE'!$G59,'[1]import GRADED seats subject piv'!$A:U,HLOOKUP(G$4,'[1]import GRADED seats subject piv'!$1:$2,2,FALSE),FALSE))),"")</f>
        <v>0.80667433831990798</v>
      </c>
      <c r="H63" s="23">
        <f>IFERROR((VLOOKUP('[1]SUBJECTS BASE'!$G59,'[1]import success seats'!$A:AF,HLOOKUP(H$4,'[1]import success seats'!$1:$2,2,FALSE),FALSE))/((VLOOKUP('[1]SUBJECTS BASE'!$G59,'[1]import GRADED seats subject piv'!$A:V,HLOOKUP(H$4,'[1]import GRADED seats subject piv'!$1:$2,2,FALSE),FALSE))),"")</f>
        <v>0.97959183673469385</v>
      </c>
      <c r="I63" s="15">
        <f>IFERROR((VLOOKUP('[1]SUBJECTS BASE'!$G59,'[1]import success seats'!$A:AG,HLOOKUP(I$4,'[1]import success seats'!$1:$2,2,FALSE),FALSE))/((VLOOKUP('[1]SUBJECTS BASE'!$G59,'[1]import GRADED seats subject piv'!$A:W,HLOOKUP(I$4,'[1]import GRADED seats subject piv'!$1:$2,2,FALSE),FALSE))),"")</f>
        <v>0.87604290822407627</v>
      </c>
      <c r="J63" s="21">
        <f>IFERROR((VLOOKUP('[1]SUBJECTS BASE'!$G59,'[1]import success seats'!$A:AH,HLOOKUP(J$4,'[1]import success seats'!$1:$2,2,FALSE),FALSE))/((VLOOKUP('[1]SUBJECTS BASE'!$G59,'[1]import GRADED seats subject piv'!$A:X,HLOOKUP(J$4,'[1]import GRADED seats subject piv'!$1:$2,2,FALSE),FALSE))),"")</f>
        <v>0.85643564356435642</v>
      </c>
      <c r="K63" s="13">
        <f>IFERROR((VLOOKUP('[1]SUBJECTS BASE'!$G59,'[1]import success seats'!$A:AI,HLOOKUP(K$4,'[1]import success seats'!$1:$2,2,FALSE),FALSE))/((VLOOKUP('[1]SUBJECTS BASE'!$G59,'[1]import GRADED seats subject piv'!$A:Y,HLOOKUP(K$4,'[1]import GRADED seats subject piv'!$1:$2,2,FALSE),FALSE))),"")</f>
        <v>0.9375</v>
      </c>
      <c r="L63" s="15">
        <f>IFERROR((VLOOKUP('[1]SUBJECTS BASE'!$G59,'[1]import success seats'!$A:AJ,HLOOKUP(L$4,'[1]import success seats'!$1:$2,2,FALSE),FALSE))/((VLOOKUP('[1]SUBJECTS BASE'!$G59,'[1]import GRADED seats subject piv'!$A:Z,HLOOKUP(L$4,'[1]import GRADED seats subject piv'!$1:$2,2,FALSE),FALSE))),"")</f>
        <v>0.89719626168224298</v>
      </c>
      <c r="M63" s="19">
        <f>IFERROR((VLOOKUP('[1]SUBJECTS BASE'!$G59,'[1]import success seats'!$A:AK,HLOOKUP(M$4,'[1]import success seats'!$1:$2,2,FALSE),FALSE))/((VLOOKUP('[1]SUBJECTS BASE'!$G59,'[1]import GRADED seats subject piv'!$A:AB,HLOOKUP(M$4,'[1]import GRADED seats subject piv'!$1:$2,2,FALSE),FALSE))),"")</f>
        <v>0.88375796178343946</v>
      </c>
      <c r="N63" s="23" t="str">
        <f>IFERROR((VLOOKUP('[1]SUBJECTS BASE'!$G59,'[1]import success seats'!$A:AL,HLOOKUP(N$4,'[1]import success seats'!$1:$2,2,FALSE),FALSE))/((VLOOKUP('[1]SUBJECTS BASE'!$G59,'[1]import GRADED seats subject piv'!$A:AC,HLOOKUP(N$4,'[1]import GRADED seats subject piv'!$1:$2,2,FALSE),FALSE))),"")</f>
        <v/>
      </c>
      <c r="O63" s="15">
        <f>IFERROR((VLOOKUP('[1]SUBJECTS BASE'!$G59,'[1]import success seats'!$A:AM,HLOOKUP(O$4,'[1]import success seats'!$1:$2,2,FALSE),FALSE))/((VLOOKUP('[1]SUBJECTS BASE'!$G59,'[1]import GRADED seats subject piv'!$A:AD,HLOOKUP(O$4,'[1]import GRADED seats subject piv'!$1:$2,2,FALSE),FALSE))),"")</f>
        <v>0.90230905861456479</v>
      </c>
      <c r="P63" s="15">
        <f>IFERROR((VLOOKUP('[1]SUBJECTS BASE'!$G59,'[1]import success seats'!$A:AN,HLOOKUP(P$4,'[1]import success seats'!$1:$2,2,FALSE),FALSE))/((VLOOKUP('[1]SUBJECTS BASE'!$G59,'[1]import GRADED seats subject piv'!$A:AE,HLOOKUP(P$4,'[1]import GRADED seats subject piv'!$1:$2,2,FALSE),FALSE))),"")</f>
        <v>0.89984101748807632</v>
      </c>
      <c r="Q63" s="13">
        <f>IFERROR((VLOOKUP('[1]SUBJECTS BASE'!$G59,'[1]import success seats'!$A:AO,HLOOKUP(Q$4,'[1]import success seats'!$1:$2,2,FALSE),FALSE))/((VLOOKUP('[1]SUBJECTS BASE'!$G59,'[1]import GRADED seats subject piv'!$A:AF,HLOOKUP(Q$4,'[1]import GRADED seats subject piv'!$1:$2,2,FALSE),FALSE))),"")</f>
        <v>0.98076923076923073</v>
      </c>
      <c r="R63" s="15">
        <f>IFERROR((VLOOKUP('[1]SUBJECTS BASE'!$G59,'[1]import success seats'!$A:AP,HLOOKUP(R$4,'[1]import success seats'!$1:$2,2,FALSE),FALSE))/((VLOOKUP('[1]SUBJECTS BASE'!$G59,'[1]import GRADED seats subject piv'!$A:AG,HLOOKUP(R$4,'[1]import GRADED seats subject piv'!$1:$2,2,FALSE),FALSE))),"")</f>
        <v>0.89857651245551606</v>
      </c>
      <c r="S63" s="19">
        <f>IFERROR((VLOOKUP('[1]SUBJECTS BASE'!$G59,'[1]import success seats'!$A:AQ,HLOOKUP(S$4,'[1]import success seats'!$1:$2,2,FALSE),FALSE))/((VLOOKUP('[1]SUBJECTS BASE'!$G59,'[1]import GRADED seats subject piv'!$A:AH,HLOOKUP(S$4,'[1]import GRADED seats subject piv'!$1:$2,2,FALSE),FALSE))),"")</f>
        <v>0.8571428571428571</v>
      </c>
    </row>
    <row r="64" spans="1:19" x14ac:dyDescent="0.25">
      <c r="A64" s="3" t="s">
        <v>1127</v>
      </c>
      <c r="B64" s="13">
        <f>IFERROR((VLOOKUP('[1]SUBJECTS BASE'!$G60,'[1]import success seats'!$A:Z,HLOOKUP(B$4,'[1]import success seats'!$1:$2,2,FALSE),FALSE))/((VLOOKUP('[1]SUBJECTS BASE'!$G60,'[1]import GRADED seats subject piv'!$A:P,HLOOKUP(B$4,'[1]import GRADED seats subject piv'!$1:$2,2,FALSE),FALSE))),"")</f>
        <v>0.93055555555555558</v>
      </c>
      <c r="C64" s="15">
        <f>IFERROR((VLOOKUP('[1]SUBJECTS BASE'!$G60,'[1]import success seats'!$A:AA,HLOOKUP(C$4,'[1]import success seats'!$1:$2,2,FALSE),FALSE))/((VLOOKUP('[1]SUBJECTS BASE'!$G60,'[1]import GRADED seats subject piv'!$A:Q,HLOOKUP(C$4,'[1]import GRADED seats subject piv'!$1:$2,2,FALSE),FALSE))),"")</f>
        <v>0.87943262411347523</v>
      </c>
      <c r="D64" s="21">
        <f>IFERROR((VLOOKUP('[1]SUBJECTS BASE'!$G60,'[1]import success seats'!$A:AB,HLOOKUP(D$4,'[1]import success seats'!$1:$2,2,FALSE),FALSE))/((VLOOKUP('[1]SUBJECTS BASE'!$G60,'[1]import GRADED seats subject piv'!$A:R,HLOOKUP(D$4,'[1]import GRADED seats subject piv'!$1:$2,2,FALSE),FALSE))),"")</f>
        <v>0.87410926365795727</v>
      </c>
      <c r="E64" s="13">
        <f>IFERROR((VLOOKUP('[1]SUBJECTS BASE'!$G60,'[1]import success seats'!$A:AC,HLOOKUP(E$4,'[1]import success seats'!$1:$2,2,FALSE),FALSE))/((VLOOKUP('[1]SUBJECTS BASE'!$G60,'[1]import GRADED seats subject piv'!$A:S,HLOOKUP(E$4,'[1]import GRADED seats subject piv'!$1:$2,2,FALSE),FALSE))),"")</f>
        <v>0.98130841121495327</v>
      </c>
      <c r="F64" s="15">
        <f>IFERROR((VLOOKUP('[1]SUBJECTS BASE'!$G60,'[1]import success seats'!$A:AD,HLOOKUP(F$4,'[1]import success seats'!$1:$2,2,FALSE),FALSE))/((VLOOKUP('[1]SUBJECTS BASE'!$G60,'[1]import GRADED seats subject piv'!$A:T,HLOOKUP(F$4,'[1]import GRADED seats subject piv'!$1:$2,2,FALSE),FALSE))),"")</f>
        <v>0.86636971046770606</v>
      </c>
      <c r="G64" s="19">
        <f>IFERROR((VLOOKUP('[1]SUBJECTS BASE'!$G60,'[1]import success seats'!$A:AE,HLOOKUP(G$4,'[1]import success seats'!$1:$2,2,FALSE),FALSE))/((VLOOKUP('[1]SUBJECTS BASE'!$G60,'[1]import GRADED seats subject piv'!$A:U,HLOOKUP(G$4,'[1]import GRADED seats subject piv'!$1:$2,2,FALSE),FALSE))),"")</f>
        <v>0.84994138335287217</v>
      </c>
      <c r="H64" s="23">
        <f>IFERROR((VLOOKUP('[1]SUBJECTS BASE'!$G60,'[1]import success seats'!$A:AF,HLOOKUP(H$4,'[1]import success seats'!$1:$2,2,FALSE),FALSE))/((VLOOKUP('[1]SUBJECTS BASE'!$G60,'[1]import GRADED seats subject piv'!$A:V,HLOOKUP(H$4,'[1]import GRADED seats subject piv'!$1:$2,2,FALSE),FALSE))),"")</f>
        <v>0.90243902439024393</v>
      </c>
      <c r="I64" s="15">
        <f>IFERROR((VLOOKUP('[1]SUBJECTS BASE'!$G60,'[1]import success seats'!$A:AG,HLOOKUP(I$4,'[1]import success seats'!$1:$2,2,FALSE),FALSE))/((VLOOKUP('[1]SUBJECTS BASE'!$G60,'[1]import GRADED seats subject piv'!$A:W,HLOOKUP(I$4,'[1]import GRADED seats subject piv'!$1:$2,2,FALSE),FALSE))),"")</f>
        <v>0.86745689655172409</v>
      </c>
      <c r="J64" s="21">
        <f>IFERROR((VLOOKUP('[1]SUBJECTS BASE'!$G60,'[1]import success seats'!$A:AH,HLOOKUP(J$4,'[1]import success seats'!$1:$2,2,FALSE),FALSE))/((VLOOKUP('[1]SUBJECTS BASE'!$G60,'[1]import GRADED seats subject piv'!$A:X,HLOOKUP(J$4,'[1]import GRADED seats subject piv'!$1:$2,2,FALSE),FALSE))),"")</f>
        <v>0.85533869115958672</v>
      </c>
      <c r="K64" s="13">
        <f>IFERROR((VLOOKUP('[1]SUBJECTS BASE'!$G60,'[1]import success seats'!$A:AI,HLOOKUP(K$4,'[1]import success seats'!$1:$2,2,FALSE),FALSE))/((VLOOKUP('[1]SUBJECTS BASE'!$G60,'[1]import GRADED seats subject piv'!$A:Y,HLOOKUP(K$4,'[1]import GRADED seats subject piv'!$1:$2,2,FALSE),FALSE))),"")</f>
        <v>0.76923076923076927</v>
      </c>
      <c r="L64" s="15">
        <f>IFERROR((VLOOKUP('[1]SUBJECTS BASE'!$G60,'[1]import success seats'!$A:AJ,HLOOKUP(L$4,'[1]import success seats'!$1:$2,2,FALSE),FALSE))/((VLOOKUP('[1]SUBJECTS BASE'!$G60,'[1]import GRADED seats subject piv'!$A:Z,HLOOKUP(L$4,'[1]import GRADED seats subject piv'!$1:$2,2,FALSE),FALSE))),"")</f>
        <v>0.87468354430379747</v>
      </c>
      <c r="M64" s="19">
        <f>IFERROR((VLOOKUP('[1]SUBJECTS BASE'!$G60,'[1]import success seats'!$A:AK,HLOOKUP(M$4,'[1]import success seats'!$1:$2,2,FALSE),FALSE))/((VLOOKUP('[1]SUBJECTS BASE'!$G60,'[1]import GRADED seats subject piv'!$A:AB,HLOOKUP(M$4,'[1]import GRADED seats subject piv'!$1:$2,2,FALSE),FALSE))),"")</f>
        <v>0.86684073107049608</v>
      </c>
      <c r="N64" s="23" t="str">
        <f>IFERROR((VLOOKUP('[1]SUBJECTS BASE'!$G60,'[1]import success seats'!$A:AL,HLOOKUP(N$4,'[1]import success seats'!$1:$2,2,FALSE),FALSE))/((VLOOKUP('[1]SUBJECTS BASE'!$G60,'[1]import GRADED seats subject piv'!$A:AC,HLOOKUP(N$4,'[1]import GRADED seats subject piv'!$1:$2,2,FALSE),FALSE))),"")</f>
        <v/>
      </c>
      <c r="O64" s="15">
        <f>IFERROR((VLOOKUP('[1]SUBJECTS BASE'!$G60,'[1]import success seats'!$A:AM,HLOOKUP(O$4,'[1]import success seats'!$1:$2,2,FALSE),FALSE))/((VLOOKUP('[1]SUBJECTS BASE'!$G60,'[1]import GRADED seats subject piv'!$A:AD,HLOOKUP(O$4,'[1]import GRADED seats subject piv'!$1:$2,2,FALSE),FALSE))),"")</f>
        <v>0.90368271954674217</v>
      </c>
      <c r="P64" s="15">
        <f>IFERROR((VLOOKUP('[1]SUBJECTS BASE'!$G60,'[1]import success seats'!$A:AN,HLOOKUP(P$4,'[1]import success seats'!$1:$2,2,FALSE),FALSE))/((VLOOKUP('[1]SUBJECTS BASE'!$G60,'[1]import GRADED seats subject piv'!$A:AE,HLOOKUP(P$4,'[1]import GRADED seats subject piv'!$1:$2,2,FALSE),FALSE))),"")</f>
        <v>0.90885072655217969</v>
      </c>
      <c r="Q64" s="13" t="str">
        <f>IFERROR((VLOOKUP('[1]SUBJECTS BASE'!$G60,'[1]import success seats'!$A:AO,HLOOKUP(Q$4,'[1]import success seats'!$1:$2,2,FALSE),FALSE))/((VLOOKUP('[1]SUBJECTS BASE'!$G60,'[1]import GRADED seats subject piv'!$A:AF,HLOOKUP(Q$4,'[1]import GRADED seats subject piv'!$1:$2,2,FALSE),FALSE))),"")</f>
        <v/>
      </c>
      <c r="R64" s="15">
        <f>IFERROR((VLOOKUP('[1]SUBJECTS BASE'!$G60,'[1]import success seats'!$A:AP,HLOOKUP(R$4,'[1]import success seats'!$1:$2,2,FALSE),FALSE))/((VLOOKUP('[1]SUBJECTS BASE'!$G60,'[1]import GRADED seats subject piv'!$A:AG,HLOOKUP(R$4,'[1]import GRADED seats subject piv'!$1:$2,2,FALSE),FALSE))),"")</f>
        <v>0.9036334913112164</v>
      </c>
      <c r="S64" s="19">
        <f>IFERROR((VLOOKUP('[1]SUBJECTS BASE'!$G60,'[1]import success seats'!$A:AQ,HLOOKUP(S$4,'[1]import success seats'!$1:$2,2,FALSE),FALSE))/((VLOOKUP('[1]SUBJECTS BASE'!$G60,'[1]import GRADED seats subject piv'!$A:AH,HLOOKUP(S$4,'[1]import GRADED seats subject piv'!$1:$2,2,FALSE),FALSE))),"")</f>
        <v>0.91013071895424835</v>
      </c>
    </row>
    <row r="65" spans="1:19" x14ac:dyDescent="0.25">
      <c r="A65" s="3" t="s">
        <v>1128</v>
      </c>
      <c r="B65" s="13">
        <f>IFERROR((VLOOKUP('[1]SUBJECTS BASE'!$G61,'[1]import success seats'!$A:Z,HLOOKUP(B$4,'[1]import success seats'!$1:$2,2,FALSE),FALSE))/((VLOOKUP('[1]SUBJECTS BASE'!$G61,'[1]import GRADED seats subject piv'!$A:P,HLOOKUP(B$4,'[1]import GRADED seats subject piv'!$1:$2,2,FALSE),FALSE))),"")</f>
        <v>0.9</v>
      </c>
      <c r="C65" s="15">
        <f>IFERROR((VLOOKUP('[1]SUBJECTS BASE'!$G61,'[1]import success seats'!$A:AA,HLOOKUP(C$4,'[1]import success seats'!$1:$2,2,FALSE),FALSE))/((VLOOKUP('[1]SUBJECTS BASE'!$G61,'[1]import GRADED seats subject piv'!$A:Q,HLOOKUP(C$4,'[1]import GRADED seats subject piv'!$1:$2,2,FALSE),FALSE))),"")</f>
        <v>0.8534031413612565</v>
      </c>
      <c r="D65" s="21">
        <f>IFERROR((VLOOKUP('[1]SUBJECTS BASE'!$G61,'[1]import success seats'!$A:AB,HLOOKUP(D$4,'[1]import success seats'!$1:$2,2,FALSE),FALSE))/((VLOOKUP('[1]SUBJECTS BASE'!$G61,'[1]import GRADED seats subject piv'!$A:R,HLOOKUP(D$4,'[1]import GRADED seats subject piv'!$1:$2,2,FALSE),FALSE))),"")</f>
        <v>0.87850467289719625</v>
      </c>
      <c r="E65" s="13">
        <f>IFERROR((VLOOKUP('[1]SUBJECTS BASE'!$G61,'[1]import success seats'!$A:AC,HLOOKUP(E$4,'[1]import success seats'!$1:$2,2,FALSE),FALSE))/((VLOOKUP('[1]SUBJECTS BASE'!$G61,'[1]import GRADED seats subject piv'!$A:S,HLOOKUP(E$4,'[1]import GRADED seats subject piv'!$1:$2,2,FALSE),FALSE))),"")</f>
        <v>0.83333333333333337</v>
      </c>
      <c r="F65" s="15">
        <f>IFERROR((VLOOKUP('[1]SUBJECTS BASE'!$G61,'[1]import success seats'!$A:AD,HLOOKUP(F$4,'[1]import success seats'!$1:$2,2,FALSE),FALSE))/((VLOOKUP('[1]SUBJECTS BASE'!$G61,'[1]import GRADED seats subject piv'!$A:T,HLOOKUP(F$4,'[1]import GRADED seats subject piv'!$1:$2,2,FALSE),FALSE))),"")</f>
        <v>0.81355932203389836</v>
      </c>
      <c r="G65" s="19">
        <f>IFERROR((VLOOKUP('[1]SUBJECTS BASE'!$G61,'[1]import success seats'!$A:AE,HLOOKUP(G$4,'[1]import success seats'!$1:$2,2,FALSE),FALSE))/((VLOOKUP('[1]SUBJECTS BASE'!$G61,'[1]import GRADED seats subject piv'!$A:U,HLOOKUP(G$4,'[1]import GRADED seats subject piv'!$1:$2,2,FALSE),FALSE))),"")</f>
        <v>0.78294573643410847</v>
      </c>
      <c r="H65" s="23" t="str">
        <f>IFERROR((VLOOKUP('[1]SUBJECTS BASE'!$G61,'[1]import success seats'!$A:AF,HLOOKUP(H$4,'[1]import success seats'!$1:$2,2,FALSE),FALSE))/((VLOOKUP('[1]SUBJECTS BASE'!$G61,'[1]import GRADED seats subject piv'!$A:V,HLOOKUP(H$4,'[1]import GRADED seats subject piv'!$1:$2,2,FALSE),FALSE))),"")</f>
        <v/>
      </c>
      <c r="I65" s="15">
        <f>IFERROR((VLOOKUP('[1]SUBJECTS BASE'!$G61,'[1]import success seats'!$A:AG,HLOOKUP(I$4,'[1]import success seats'!$1:$2,2,FALSE),FALSE))/((VLOOKUP('[1]SUBJECTS BASE'!$G61,'[1]import GRADED seats subject piv'!$A:W,HLOOKUP(I$4,'[1]import GRADED seats subject piv'!$1:$2,2,FALSE),FALSE))),"")</f>
        <v>0.79885057471264365</v>
      </c>
      <c r="J65" s="21">
        <f>IFERROR((VLOOKUP('[1]SUBJECTS BASE'!$G61,'[1]import success seats'!$A:AH,HLOOKUP(J$4,'[1]import success seats'!$1:$2,2,FALSE),FALSE))/((VLOOKUP('[1]SUBJECTS BASE'!$G61,'[1]import GRADED seats subject piv'!$A:X,HLOOKUP(J$4,'[1]import GRADED seats subject piv'!$1:$2,2,FALSE),FALSE))),"")</f>
        <v>0.71144278606965172</v>
      </c>
      <c r="K65" s="13" t="str">
        <f>IFERROR((VLOOKUP('[1]SUBJECTS BASE'!$G61,'[1]import success seats'!$A:AI,HLOOKUP(K$4,'[1]import success seats'!$1:$2,2,FALSE),FALSE))/((VLOOKUP('[1]SUBJECTS BASE'!$G61,'[1]import GRADED seats subject piv'!$A:Y,HLOOKUP(K$4,'[1]import GRADED seats subject piv'!$1:$2,2,FALSE),FALSE))),"")</f>
        <v/>
      </c>
      <c r="L65" s="15">
        <f>IFERROR((VLOOKUP('[1]SUBJECTS BASE'!$G61,'[1]import success seats'!$A:AJ,HLOOKUP(L$4,'[1]import success seats'!$1:$2,2,FALSE),FALSE))/((VLOOKUP('[1]SUBJECTS BASE'!$G61,'[1]import GRADED seats subject piv'!$A:Z,HLOOKUP(L$4,'[1]import GRADED seats subject piv'!$1:$2,2,FALSE),FALSE))),"")</f>
        <v>0.84455958549222798</v>
      </c>
      <c r="M65" s="19">
        <f>IFERROR((VLOOKUP('[1]SUBJECTS BASE'!$G61,'[1]import success seats'!$A:AK,HLOOKUP(M$4,'[1]import success seats'!$1:$2,2,FALSE),FALSE))/((VLOOKUP('[1]SUBJECTS BASE'!$G61,'[1]import GRADED seats subject piv'!$A:AB,HLOOKUP(M$4,'[1]import GRADED seats subject piv'!$1:$2,2,FALSE),FALSE))),"")</f>
        <v>0.91500000000000004</v>
      </c>
      <c r="N65" s="23" t="str">
        <f>IFERROR((VLOOKUP('[1]SUBJECTS BASE'!$G61,'[1]import success seats'!$A:AL,HLOOKUP(N$4,'[1]import success seats'!$1:$2,2,FALSE),FALSE))/((VLOOKUP('[1]SUBJECTS BASE'!$G61,'[1]import GRADED seats subject piv'!$A:AC,HLOOKUP(N$4,'[1]import GRADED seats subject piv'!$1:$2,2,FALSE),FALSE))),"")</f>
        <v/>
      </c>
      <c r="O65" s="15">
        <f>IFERROR((VLOOKUP('[1]SUBJECTS BASE'!$G61,'[1]import success seats'!$A:AM,HLOOKUP(O$4,'[1]import success seats'!$1:$2,2,FALSE),FALSE))/((VLOOKUP('[1]SUBJECTS BASE'!$G61,'[1]import GRADED seats subject piv'!$A:AD,HLOOKUP(O$4,'[1]import GRADED seats subject piv'!$1:$2,2,FALSE),FALSE))),"")</f>
        <v>0.8797814207650273</v>
      </c>
      <c r="P65" s="15">
        <f>IFERROR((VLOOKUP('[1]SUBJECTS BASE'!$G61,'[1]import success seats'!$A:AN,HLOOKUP(P$4,'[1]import success seats'!$1:$2,2,FALSE),FALSE))/((VLOOKUP('[1]SUBJECTS BASE'!$G61,'[1]import GRADED seats subject piv'!$A:AE,HLOOKUP(P$4,'[1]import GRADED seats subject piv'!$1:$2,2,FALSE),FALSE))),"")</f>
        <v>0.7814569536423841</v>
      </c>
      <c r="Q65" s="13" t="str">
        <f>IFERROR((VLOOKUP('[1]SUBJECTS BASE'!$G61,'[1]import success seats'!$A:AO,HLOOKUP(Q$4,'[1]import success seats'!$1:$2,2,FALSE),FALSE))/((VLOOKUP('[1]SUBJECTS BASE'!$G61,'[1]import GRADED seats subject piv'!$A:AF,HLOOKUP(Q$4,'[1]import GRADED seats subject piv'!$1:$2,2,FALSE),FALSE))),"")</f>
        <v/>
      </c>
      <c r="R65" s="15">
        <f>IFERROR((VLOOKUP('[1]SUBJECTS BASE'!$G61,'[1]import success seats'!$A:AP,HLOOKUP(R$4,'[1]import success seats'!$1:$2,2,FALSE),FALSE))/((VLOOKUP('[1]SUBJECTS BASE'!$G61,'[1]import GRADED seats subject piv'!$A:AG,HLOOKUP(R$4,'[1]import GRADED seats subject piv'!$1:$2,2,FALSE),FALSE))),"")</f>
        <v>0.82098765432098764</v>
      </c>
      <c r="S65" s="19">
        <f>IFERROR((VLOOKUP('[1]SUBJECTS BASE'!$G61,'[1]import success seats'!$A:AQ,HLOOKUP(S$4,'[1]import success seats'!$1:$2,2,FALSE),FALSE))/((VLOOKUP('[1]SUBJECTS BASE'!$G61,'[1]import GRADED seats subject piv'!$A:AH,HLOOKUP(S$4,'[1]import GRADED seats subject piv'!$1:$2,2,FALSE),FALSE))),"")</f>
        <v>0.92307692307692313</v>
      </c>
    </row>
    <row r="66" spans="1:19" x14ac:dyDescent="0.25">
      <c r="A66" s="3" t="s">
        <v>1129</v>
      </c>
      <c r="B66" s="13" t="str">
        <f>IFERROR((VLOOKUP('[1]SUBJECTS BASE'!$G62,'[1]import success seats'!$A:Z,HLOOKUP(B$4,'[1]import success seats'!$1:$2,2,FALSE),FALSE))/((VLOOKUP('[1]SUBJECTS BASE'!$G62,'[1]import GRADED seats subject piv'!$A:P,HLOOKUP(B$4,'[1]import GRADED seats subject piv'!$1:$2,2,FALSE),FALSE))),"")</f>
        <v/>
      </c>
      <c r="C66" s="15">
        <f>IFERROR((VLOOKUP('[1]SUBJECTS BASE'!$G62,'[1]import success seats'!$A:AA,HLOOKUP(C$4,'[1]import success seats'!$1:$2,2,FALSE),FALSE))/((VLOOKUP('[1]SUBJECTS BASE'!$G62,'[1]import GRADED seats subject piv'!$A:Q,HLOOKUP(C$4,'[1]import GRADED seats subject piv'!$1:$2,2,FALSE),FALSE))),"")</f>
        <v>0.86554621848739499</v>
      </c>
      <c r="D66" s="21">
        <f>IFERROR((VLOOKUP('[1]SUBJECTS BASE'!$G62,'[1]import success seats'!$A:AB,HLOOKUP(D$4,'[1]import success seats'!$1:$2,2,FALSE),FALSE))/((VLOOKUP('[1]SUBJECTS BASE'!$G62,'[1]import GRADED seats subject piv'!$A:R,HLOOKUP(D$4,'[1]import GRADED seats subject piv'!$1:$2,2,FALSE),FALSE))),"")</f>
        <v>0.82352941176470584</v>
      </c>
      <c r="E66" s="13" t="str">
        <f>IFERROR((VLOOKUP('[1]SUBJECTS BASE'!$G62,'[1]import success seats'!$A:AC,HLOOKUP(E$4,'[1]import success seats'!$1:$2,2,FALSE),FALSE))/((VLOOKUP('[1]SUBJECTS BASE'!$G62,'[1]import GRADED seats subject piv'!$A:S,HLOOKUP(E$4,'[1]import GRADED seats subject piv'!$1:$2,2,FALSE),FALSE))),"")</f>
        <v/>
      </c>
      <c r="F66" s="15">
        <f>IFERROR((VLOOKUP('[1]SUBJECTS BASE'!$G62,'[1]import success seats'!$A:AD,HLOOKUP(F$4,'[1]import success seats'!$1:$2,2,FALSE),FALSE))/((VLOOKUP('[1]SUBJECTS BASE'!$G62,'[1]import GRADED seats subject piv'!$A:T,HLOOKUP(F$4,'[1]import GRADED seats subject piv'!$1:$2,2,FALSE),FALSE))),"")</f>
        <v>0.78125</v>
      </c>
      <c r="G66" s="19">
        <f>IFERROR((VLOOKUP('[1]SUBJECTS BASE'!$G62,'[1]import success seats'!$A:AE,HLOOKUP(G$4,'[1]import success seats'!$1:$2,2,FALSE),FALSE))/((VLOOKUP('[1]SUBJECTS BASE'!$G62,'[1]import GRADED seats subject piv'!$A:U,HLOOKUP(G$4,'[1]import GRADED seats subject piv'!$1:$2,2,FALSE),FALSE))),"")</f>
        <v>0.86399999999999999</v>
      </c>
      <c r="H66" s="23" t="str">
        <f>IFERROR((VLOOKUP('[1]SUBJECTS BASE'!$G62,'[1]import success seats'!$A:AF,HLOOKUP(H$4,'[1]import success seats'!$1:$2,2,FALSE),FALSE))/((VLOOKUP('[1]SUBJECTS BASE'!$G62,'[1]import GRADED seats subject piv'!$A:V,HLOOKUP(H$4,'[1]import GRADED seats subject piv'!$1:$2,2,FALSE),FALSE))),"")</f>
        <v/>
      </c>
      <c r="I66" s="15">
        <f>IFERROR((VLOOKUP('[1]SUBJECTS BASE'!$G62,'[1]import success seats'!$A:AG,HLOOKUP(I$4,'[1]import success seats'!$1:$2,2,FALSE),FALSE))/((VLOOKUP('[1]SUBJECTS BASE'!$G62,'[1]import GRADED seats subject piv'!$A:W,HLOOKUP(I$4,'[1]import GRADED seats subject piv'!$1:$2,2,FALSE),FALSE))),"")</f>
        <v>0.91869918699186992</v>
      </c>
      <c r="J66" s="21">
        <f>IFERROR((VLOOKUP('[1]SUBJECTS BASE'!$G62,'[1]import success seats'!$A:AH,HLOOKUP(J$4,'[1]import success seats'!$1:$2,2,FALSE),FALSE))/((VLOOKUP('[1]SUBJECTS BASE'!$G62,'[1]import GRADED seats subject piv'!$A:X,HLOOKUP(J$4,'[1]import GRADED seats subject piv'!$1:$2,2,FALSE),FALSE))),"")</f>
        <v>0.90909090909090906</v>
      </c>
      <c r="K66" s="13" t="str">
        <f>IFERROR((VLOOKUP('[1]SUBJECTS BASE'!$G62,'[1]import success seats'!$A:AI,HLOOKUP(K$4,'[1]import success seats'!$1:$2,2,FALSE),FALSE))/((VLOOKUP('[1]SUBJECTS BASE'!$G62,'[1]import GRADED seats subject piv'!$A:Y,HLOOKUP(K$4,'[1]import GRADED seats subject piv'!$1:$2,2,FALSE),FALSE))),"")</f>
        <v/>
      </c>
      <c r="L66" s="15">
        <f>IFERROR((VLOOKUP('[1]SUBJECTS BASE'!$G62,'[1]import success seats'!$A:AJ,HLOOKUP(L$4,'[1]import success seats'!$1:$2,2,FALSE),FALSE))/((VLOOKUP('[1]SUBJECTS BASE'!$G62,'[1]import GRADED seats subject piv'!$A:Z,HLOOKUP(L$4,'[1]import GRADED seats subject piv'!$1:$2,2,FALSE),FALSE))),"")</f>
        <v>0.95714285714285718</v>
      </c>
      <c r="M66" s="19">
        <f>IFERROR((VLOOKUP('[1]SUBJECTS BASE'!$G62,'[1]import success seats'!$A:AK,HLOOKUP(M$4,'[1]import success seats'!$1:$2,2,FALSE),FALSE))/((VLOOKUP('[1]SUBJECTS BASE'!$G62,'[1]import GRADED seats subject piv'!$A:AB,HLOOKUP(M$4,'[1]import GRADED seats subject piv'!$1:$2,2,FALSE),FALSE))),"")</f>
        <v>0.9375</v>
      </c>
      <c r="N66" s="23" t="str">
        <f>IFERROR((VLOOKUP('[1]SUBJECTS BASE'!$G62,'[1]import success seats'!$A:AL,HLOOKUP(N$4,'[1]import success seats'!$1:$2,2,FALSE),FALSE))/((VLOOKUP('[1]SUBJECTS BASE'!$G62,'[1]import GRADED seats subject piv'!$A:AC,HLOOKUP(N$4,'[1]import GRADED seats subject piv'!$1:$2,2,FALSE),FALSE))),"")</f>
        <v/>
      </c>
      <c r="O66" s="15">
        <f>IFERROR((VLOOKUP('[1]SUBJECTS BASE'!$G62,'[1]import success seats'!$A:AM,HLOOKUP(O$4,'[1]import success seats'!$1:$2,2,FALSE),FALSE))/((VLOOKUP('[1]SUBJECTS BASE'!$G62,'[1]import GRADED seats subject piv'!$A:AD,HLOOKUP(O$4,'[1]import GRADED seats subject piv'!$1:$2,2,FALSE),FALSE))),"")</f>
        <v>0.84126984126984128</v>
      </c>
      <c r="P66" s="15">
        <f>IFERROR((VLOOKUP('[1]SUBJECTS BASE'!$G62,'[1]import success seats'!$A:AN,HLOOKUP(P$4,'[1]import success seats'!$1:$2,2,FALSE),FALSE))/((VLOOKUP('[1]SUBJECTS BASE'!$G62,'[1]import GRADED seats subject piv'!$A:AE,HLOOKUP(P$4,'[1]import GRADED seats subject piv'!$1:$2,2,FALSE),FALSE))),"")</f>
        <v>0.89655172413793105</v>
      </c>
      <c r="Q66" s="13" t="str">
        <f>IFERROR((VLOOKUP('[1]SUBJECTS BASE'!$G62,'[1]import success seats'!$A:AO,HLOOKUP(Q$4,'[1]import success seats'!$1:$2,2,FALSE),FALSE))/((VLOOKUP('[1]SUBJECTS BASE'!$G62,'[1]import GRADED seats subject piv'!$A:AF,HLOOKUP(Q$4,'[1]import GRADED seats subject piv'!$1:$2,2,FALSE),FALSE))),"")</f>
        <v/>
      </c>
      <c r="R66" s="15" t="str">
        <f>IFERROR((VLOOKUP('[1]SUBJECTS BASE'!$G62,'[1]import success seats'!$A:AP,HLOOKUP(R$4,'[1]import success seats'!$1:$2,2,FALSE),FALSE))/((VLOOKUP('[1]SUBJECTS BASE'!$G62,'[1]import GRADED seats subject piv'!$A:AG,HLOOKUP(R$4,'[1]import GRADED seats subject piv'!$1:$2,2,FALSE),FALSE))),"")</f>
        <v/>
      </c>
      <c r="S66" s="19" t="str">
        <f>IFERROR((VLOOKUP('[1]SUBJECTS BASE'!$G62,'[1]import success seats'!$A:AQ,HLOOKUP(S$4,'[1]import success seats'!$1:$2,2,FALSE),FALSE))/((VLOOKUP('[1]SUBJECTS BASE'!$G62,'[1]import GRADED seats subject piv'!$A:AH,HLOOKUP(S$4,'[1]import GRADED seats subject piv'!$1:$2,2,FALSE),FALSE))),"")</f>
        <v/>
      </c>
    </row>
    <row r="67" spans="1:19" x14ac:dyDescent="0.25">
      <c r="A67" s="3" t="s">
        <v>1130</v>
      </c>
      <c r="B67" s="13" t="str">
        <f>IFERROR((VLOOKUP('[1]SUBJECTS BASE'!$G63,'[1]import success seats'!$A:Z,HLOOKUP(B$4,'[1]import success seats'!$1:$2,2,FALSE),FALSE))/((VLOOKUP('[1]SUBJECTS BASE'!$G63,'[1]import GRADED seats subject piv'!$A:P,HLOOKUP(B$4,'[1]import GRADED seats subject piv'!$1:$2,2,FALSE),FALSE))),"")</f>
        <v/>
      </c>
      <c r="C67" s="15" t="str">
        <f>IFERROR((VLOOKUP('[1]SUBJECTS BASE'!$G63,'[1]import success seats'!$A:AA,HLOOKUP(C$4,'[1]import success seats'!$1:$2,2,FALSE),FALSE))/((VLOOKUP('[1]SUBJECTS BASE'!$G63,'[1]import GRADED seats subject piv'!$A:Q,HLOOKUP(C$4,'[1]import GRADED seats subject piv'!$1:$2,2,FALSE),FALSE))),"")</f>
        <v/>
      </c>
      <c r="D67" s="21" t="str">
        <f>IFERROR((VLOOKUP('[1]SUBJECTS BASE'!$G63,'[1]import success seats'!$A:AB,HLOOKUP(D$4,'[1]import success seats'!$1:$2,2,FALSE),FALSE))/((VLOOKUP('[1]SUBJECTS BASE'!$G63,'[1]import GRADED seats subject piv'!$A:R,HLOOKUP(D$4,'[1]import GRADED seats subject piv'!$1:$2,2,FALSE),FALSE))),"")</f>
        <v/>
      </c>
      <c r="E67" s="13" t="str">
        <f>IFERROR((VLOOKUP('[1]SUBJECTS BASE'!$G63,'[1]import success seats'!$A:AC,HLOOKUP(E$4,'[1]import success seats'!$1:$2,2,FALSE),FALSE))/((VLOOKUP('[1]SUBJECTS BASE'!$G63,'[1]import GRADED seats subject piv'!$A:S,HLOOKUP(E$4,'[1]import GRADED seats subject piv'!$1:$2,2,FALSE),FALSE))),"")</f>
        <v/>
      </c>
      <c r="F67" s="15" t="str">
        <f>IFERROR((VLOOKUP('[1]SUBJECTS BASE'!$G63,'[1]import success seats'!$A:AD,HLOOKUP(F$4,'[1]import success seats'!$1:$2,2,FALSE),FALSE))/((VLOOKUP('[1]SUBJECTS BASE'!$G63,'[1]import GRADED seats subject piv'!$A:T,HLOOKUP(F$4,'[1]import GRADED seats subject piv'!$1:$2,2,FALSE),FALSE))),"")</f>
        <v/>
      </c>
      <c r="G67" s="19" t="str">
        <f>IFERROR((VLOOKUP('[1]SUBJECTS BASE'!$G63,'[1]import success seats'!$A:AE,HLOOKUP(G$4,'[1]import success seats'!$1:$2,2,FALSE),FALSE))/((VLOOKUP('[1]SUBJECTS BASE'!$G63,'[1]import GRADED seats subject piv'!$A:U,HLOOKUP(G$4,'[1]import GRADED seats subject piv'!$1:$2,2,FALSE),FALSE))),"")</f>
        <v/>
      </c>
      <c r="H67" s="23" t="str">
        <f>IFERROR((VLOOKUP('[1]SUBJECTS BASE'!$G63,'[1]import success seats'!$A:AF,HLOOKUP(H$4,'[1]import success seats'!$1:$2,2,FALSE),FALSE))/((VLOOKUP('[1]SUBJECTS BASE'!$G63,'[1]import GRADED seats subject piv'!$A:V,HLOOKUP(H$4,'[1]import GRADED seats subject piv'!$1:$2,2,FALSE),FALSE))),"")</f>
        <v/>
      </c>
      <c r="I67" s="15" t="str">
        <f>IFERROR((VLOOKUP('[1]SUBJECTS BASE'!$G63,'[1]import success seats'!$A:AG,HLOOKUP(I$4,'[1]import success seats'!$1:$2,2,FALSE),FALSE))/((VLOOKUP('[1]SUBJECTS BASE'!$G63,'[1]import GRADED seats subject piv'!$A:W,HLOOKUP(I$4,'[1]import GRADED seats subject piv'!$1:$2,2,FALSE),FALSE))),"")</f>
        <v/>
      </c>
      <c r="J67" s="21" t="str">
        <f>IFERROR((VLOOKUP('[1]SUBJECTS BASE'!$G63,'[1]import success seats'!$A:AH,HLOOKUP(J$4,'[1]import success seats'!$1:$2,2,FALSE),FALSE))/((VLOOKUP('[1]SUBJECTS BASE'!$G63,'[1]import GRADED seats subject piv'!$A:X,HLOOKUP(J$4,'[1]import GRADED seats subject piv'!$1:$2,2,FALSE),FALSE))),"")</f>
        <v/>
      </c>
      <c r="K67" s="13" t="str">
        <f>IFERROR((VLOOKUP('[1]SUBJECTS BASE'!$G63,'[1]import success seats'!$A:AI,HLOOKUP(K$4,'[1]import success seats'!$1:$2,2,FALSE),FALSE))/((VLOOKUP('[1]SUBJECTS BASE'!$G63,'[1]import GRADED seats subject piv'!$A:Y,HLOOKUP(K$4,'[1]import GRADED seats subject piv'!$1:$2,2,FALSE),FALSE))),"")</f>
        <v/>
      </c>
      <c r="L67" s="15" t="str">
        <f>IFERROR((VLOOKUP('[1]SUBJECTS BASE'!$G63,'[1]import success seats'!$A:AJ,HLOOKUP(L$4,'[1]import success seats'!$1:$2,2,FALSE),FALSE))/((VLOOKUP('[1]SUBJECTS BASE'!$G63,'[1]import GRADED seats subject piv'!$A:Z,HLOOKUP(L$4,'[1]import GRADED seats subject piv'!$1:$2,2,FALSE),FALSE))),"")</f>
        <v/>
      </c>
      <c r="M67" s="19">
        <f>IFERROR((VLOOKUP('[1]SUBJECTS BASE'!$G63,'[1]import success seats'!$A:AK,HLOOKUP(M$4,'[1]import success seats'!$1:$2,2,FALSE),FALSE))/((VLOOKUP('[1]SUBJECTS BASE'!$G63,'[1]import GRADED seats subject piv'!$A:AB,HLOOKUP(M$4,'[1]import GRADED seats subject piv'!$1:$2,2,FALSE),FALSE))),"")</f>
        <v>0.76923076923076927</v>
      </c>
      <c r="N67" s="23" t="str">
        <f>IFERROR((VLOOKUP('[1]SUBJECTS BASE'!$G63,'[1]import success seats'!$A:AL,HLOOKUP(N$4,'[1]import success seats'!$1:$2,2,FALSE),FALSE))/((VLOOKUP('[1]SUBJECTS BASE'!$G63,'[1]import GRADED seats subject piv'!$A:AC,HLOOKUP(N$4,'[1]import GRADED seats subject piv'!$1:$2,2,FALSE),FALSE))),"")</f>
        <v/>
      </c>
      <c r="O67" s="15" t="str">
        <f>IFERROR((VLOOKUP('[1]SUBJECTS BASE'!$G63,'[1]import success seats'!$A:AM,HLOOKUP(O$4,'[1]import success seats'!$1:$2,2,FALSE),FALSE))/((VLOOKUP('[1]SUBJECTS BASE'!$G63,'[1]import GRADED seats subject piv'!$A:AD,HLOOKUP(O$4,'[1]import GRADED seats subject piv'!$1:$2,2,FALSE),FALSE))),"")</f>
        <v/>
      </c>
      <c r="P67" s="15">
        <f>IFERROR((VLOOKUP('[1]SUBJECTS BASE'!$G63,'[1]import success seats'!$A:AN,HLOOKUP(P$4,'[1]import success seats'!$1:$2,2,FALSE),FALSE))/((VLOOKUP('[1]SUBJECTS BASE'!$G63,'[1]import GRADED seats subject piv'!$A:AE,HLOOKUP(P$4,'[1]import GRADED seats subject piv'!$1:$2,2,FALSE),FALSE))),"")</f>
        <v>0.81481481481481477</v>
      </c>
      <c r="Q67" s="13" t="str">
        <f>IFERROR((VLOOKUP('[1]SUBJECTS BASE'!$G63,'[1]import success seats'!$A:AO,HLOOKUP(Q$4,'[1]import success seats'!$1:$2,2,FALSE),FALSE))/((VLOOKUP('[1]SUBJECTS BASE'!$G63,'[1]import GRADED seats subject piv'!$A:AF,HLOOKUP(Q$4,'[1]import GRADED seats subject piv'!$1:$2,2,FALSE),FALSE))),"")</f>
        <v/>
      </c>
      <c r="R67" s="15">
        <f>IFERROR((VLOOKUP('[1]SUBJECTS BASE'!$G63,'[1]import success seats'!$A:AP,HLOOKUP(R$4,'[1]import success seats'!$1:$2,2,FALSE),FALSE))/((VLOOKUP('[1]SUBJECTS BASE'!$G63,'[1]import GRADED seats subject piv'!$A:AG,HLOOKUP(R$4,'[1]import GRADED seats subject piv'!$1:$2,2,FALSE),FALSE))),"")</f>
        <v>0.90909090909090906</v>
      </c>
      <c r="S67" s="19" t="str">
        <f>IFERROR((VLOOKUP('[1]SUBJECTS BASE'!$G63,'[1]import success seats'!$A:AQ,HLOOKUP(S$4,'[1]import success seats'!$1:$2,2,FALSE),FALSE))/((VLOOKUP('[1]SUBJECTS BASE'!$G63,'[1]import GRADED seats subject piv'!$A:AH,HLOOKUP(S$4,'[1]import GRADED seats subject piv'!$1:$2,2,FALSE),FALSE))),"")</f>
        <v/>
      </c>
    </row>
    <row r="68" spans="1:19" x14ac:dyDescent="0.25">
      <c r="A68" s="3" t="s">
        <v>1131</v>
      </c>
      <c r="B68" s="13">
        <f>IFERROR((VLOOKUP('[1]SUBJECTS BASE'!$G64,'[1]import success seats'!$A:Z,HLOOKUP(B$4,'[1]import success seats'!$1:$2,2,FALSE),FALSE))/((VLOOKUP('[1]SUBJECTS BASE'!$G64,'[1]import GRADED seats subject piv'!$A:P,HLOOKUP(B$4,'[1]import GRADED seats subject piv'!$1:$2,2,FALSE),FALSE))),"")</f>
        <v>0.95348837209302328</v>
      </c>
      <c r="C68" s="15">
        <f>IFERROR((VLOOKUP('[1]SUBJECTS BASE'!$G64,'[1]import success seats'!$A:AA,HLOOKUP(C$4,'[1]import success seats'!$1:$2,2,FALSE),FALSE))/((VLOOKUP('[1]SUBJECTS BASE'!$G64,'[1]import GRADED seats subject piv'!$A:Q,HLOOKUP(C$4,'[1]import GRADED seats subject piv'!$1:$2,2,FALSE),FALSE))),"")</f>
        <v>0.84156729131175467</v>
      </c>
      <c r="D68" s="21">
        <f>IFERROR((VLOOKUP('[1]SUBJECTS BASE'!$G64,'[1]import success seats'!$A:AB,HLOOKUP(D$4,'[1]import success seats'!$1:$2,2,FALSE),FALSE))/((VLOOKUP('[1]SUBJECTS BASE'!$G64,'[1]import GRADED seats subject piv'!$A:R,HLOOKUP(D$4,'[1]import GRADED seats subject piv'!$1:$2,2,FALSE),FALSE))),"")</f>
        <v>0.84643510054844606</v>
      </c>
      <c r="E68" s="13">
        <f>IFERROR((VLOOKUP('[1]SUBJECTS BASE'!$G64,'[1]import success seats'!$A:AC,HLOOKUP(E$4,'[1]import success seats'!$1:$2,2,FALSE),FALSE))/((VLOOKUP('[1]SUBJECTS BASE'!$G64,'[1]import GRADED seats subject piv'!$A:S,HLOOKUP(E$4,'[1]import GRADED seats subject piv'!$1:$2,2,FALSE),FALSE))),"")</f>
        <v>0.95180722891566261</v>
      </c>
      <c r="F68" s="15">
        <f>IFERROR((VLOOKUP('[1]SUBJECTS BASE'!$G64,'[1]import success seats'!$A:AD,HLOOKUP(F$4,'[1]import success seats'!$1:$2,2,FALSE),FALSE))/((VLOOKUP('[1]SUBJECTS BASE'!$G64,'[1]import GRADED seats subject piv'!$A:T,HLOOKUP(F$4,'[1]import GRADED seats subject piv'!$1:$2,2,FALSE),FALSE))),"")</f>
        <v>0.85536547433903576</v>
      </c>
      <c r="G68" s="19">
        <f>IFERROR((VLOOKUP('[1]SUBJECTS BASE'!$G64,'[1]import success seats'!$A:AE,HLOOKUP(G$4,'[1]import success seats'!$1:$2,2,FALSE),FALSE))/((VLOOKUP('[1]SUBJECTS BASE'!$G64,'[1]import GRADED seats subject piv'!$A:U,HLOOKUP(G$4,'[1]import GRADED seats subject piv'!$1:$2,2,FALSE),FALSE))),"")</f>
        <v>0.86130374479889038</v>
      </c>
      <c r="H68" s="23">
        <f>IFERROR((VLOOKUP('[1]SUBJECTS BASE'!$G64,'[1]import success seats'!$A:AF,HLOOKUP(H$4,'[1]import success seats'!$1:$2,2,FALSE),FALSE))/((VLOOKUP('[1]SUBJECTS BASE'!$G64,'[1]import GRADED seats subject piv'!$A:V,HLOOKUP(H$4,'[1]import GRADED seats subject piv'!$1:$2,2,FALSE),FALSE))),"")</f>
        <v>1</v>
      </c>
      <c r="I68" s="15">
        <f>IFERROR((VLOOKUP('[1]SUBJECTS BASE'!$G64,'[1]import success seats'!$A:AG,HLOOKUP(I$4,'[1]import success seats'!$1:$2,2,FALSE),FALSE))/((VLOOKUP('[1]SUBJECTS BASE'!$G64,'[1]import GRADED seats subject piv'!$A:W,HLOOKUP(I$4,'[1]import GRADED seats subject piv'!$1:$2,2,FALSE),FALSE))),"")</f>
        <v>0.85054678007290396</v>
      </c>
      <c r="J68" s="21">
        <f>IFERROR((VLOOKUP('[1]SUBJECTS BASE'!$G64,'[1]import success seats'!$A:AH,HLOOKUP(J$4,'[1]import success seats'!$1:$2,2,FALSE),FALSE))/((VLOOKUP('[1]SUBJECTS BASE'!$G64,'[1]import GRADED seats subject piv'!$A:X,HLOOKUP(J$4,'[1]import GRADED seats subject piv'!$1:$2,2,FALSE),FALSE))),"")</f>
        <v>0.8722860791826309</v>
      </c>
      <c r="K68" s="13" t="str">
        <f>IFERROR((VLOOKUP('[1]SUBJECTS BASE'!$G64,'[1]import success seats'!$A:AI,HLOOKUP(K$4,'[1]import success seats'!$1:$2,2,FALSE),FALSE))/((VLOOKUP('[1]SUBJECTS BASE'!$G64,'[1]import GRADED seats subject piv'!$A:Y,HLOOKUP(K$4,'[1]import GRADED seats subject piv'!$1:$2,2,FALSE),FALSE))),"")</f>
        <v/>
      </c>
      <c r="L68" s="15">
        <f>IFERROR((VLOOKUP('[1]SUBJECTS BASE'!$G64,'[1]import success seats'!$A:AJ,HLOOKUP(L$4,'[1]import success seats'!$1:$2,2,FALSE),FALSE))/((VLOOKUP('[1]SUBJECTS BASE'!$G64,'[1]import GRADED seats subject piv'!$A:Z,HLOOKUP(L$4,'[1]import GRADED seats subject piv'!$1:$2,2,FALSE),FALSE))),"")</f>
        <v>0.88445078459343796</v>
      </c>
      <c r="M68" s="19">
        <f>IFERROR((VLOOKUP('[1]SUBJECTS BASE'!$G64,'[1]import success seats'!$A:AK,HLOOKUP(M$4,'[1]import success seats'!$1:$2,2,FALSE),FALSE))/((VLOOKUP('[1]SUBJECTS BASE'!$G64,'[1]import GRADED seats subject piv'!$A:AB,HLOOKUP(M$4,'[1]import GRADED seats subject piv'!$1:$2,2,FALSE),FALSE))),"")</f>
        <v>0.85925925925925928</v>
      </c>
      <c r="N68" s="23" t="str">
        <f>IFERROR((VLOOKUP('[1]SUBJECTS BASE'!$G64,'[1]import success seats'!$A:AL,HLOOKUP(N$4,'[1]import success seats'!$1:$2,2,FALSE),FALSE))/((VLOOKUP('[1]SUBJECTS BASE'!$G64,'[1]import GRADED seats subject piv'!$A:AC,HLOOKUP(N$4,'[1]import GRADED seats subject piv'!$1:$2,2,FALSE),FALSE))),"")</f>
        <v/>
      </c>
      <c r="O68" s="15">
        <f>IFERROR((VLOOKUP('[1]SUBJECTS BASE'!$G64,'[1]import success seats'!$A:AM,HLOOKUP(O$4,'[1]import success seats'!$1:$2,2,FALSE),FALSE))/((VLOOKUP('[1]SUBJECTS BASE'!$G64,'[1]import GRADED seats subject piv'!$A:AD,HLOOKUP(O$4,'[1]import GRADED seats subject piv'!$1:$2,2,FALSE),FALSE))),"")</f>
        <v>0.86327503974562803</v>
      </c>
      <c r="P68" s="15">
        <f>IFERROR((VLOOKUP('[1]SUBJECTS BASE'!$G64,'[1]import success seats'!$A:AN,HLOOKUP(P$4,'[1]import success seats'!$1:$2,2,FALSE),FALSE))/((VLOOKUP('[1]SUBJECTS BASE'!$G64,'[1]import GRADED seats subject piv'!$A:AE,HLOOKUP(P$4,'[1]import GRADED seats subject piv'!$1:$2,2,FALSE),FALSE))),"")</f>
        <v>0.84275618374558303</v>
      </c>
      <c r="Q68" s="13" t="str">
        <f>IFERROR((VLOOKUP('[1]SUBJECTS BASE'!$G64,'[1]import success seats'!$A:AO,HLOOKUP(Q$4,'[1]import success seats'!$1:$2,2,FALSE),FALSE))/((VLOOKUP('[1]SUBJECTS BASE'!$G64,'[1]import GRADED seats subject piv'!$A:AF,HLOOKUP(Q$4,'[1]import GRADED seats subject piv'!$1:$2,2,FALSE),FALSE))),"")</f>
        <v/>
      </c>
      <c r="R68" s="15">
        <f>IFERROR((VLOOKUP('[1]SUBJECTS BASE'!$G64,'[1]import success seats'!$A:AP,HLOOKUP(R$4,'[1]import success seats'!$1:$2,2,FALSE),FALSE))/((VLOOKUP('[1]SUBJECTS BASE'!$G64,'[1]import GRADED seats subject piv'!$A:AG,HLOOKUP(R$4,'[1]import GRADED seats subject piv'!$1:$2,2,FALSE),FALSE))),"")</f>
        <v>0.86038394415357766</v>
      </c>
      <c r="S68" s="19">
        <f>IFERROR((VLOOKUP('[1]SUBJECTS BASE'!$G64,'[1]import success seats'!$A:AQ,HLOOKUP(S$4,'[1]import success seats'!$1:$2,2,FALSE),FALSE))/((VLOOKUP('[1]SUBJECTS BASE'!$G64,'[1]import GRADED seats subject piv'!$A:AH,HLOOKUP(S$4,'[1]import GRADED seats subject piv'!$1:$2,2,FALSE),FALSE))),"")</f>
        <v>0.905241935483871</v>
      </c>
    </row>
    <row r="69" spans="1:19" x14ac:dyDescent="0.25">
      <c r="A69" s="3" t="s">
        <v>1132</v>
      </c>
      <c r="B69" s="13">
        <f>IFERROR((VLOOKUP('[1]SUBJECTS BASE'!$G65,'[1]import success seats'!$A:Z,HLOOKUP(B$4,'[1]import success seats'!$1:$2,2,FALSE),FALSE))/((VLOOKUP('[1]SUBJECTS BASE'!$G65,'[1]import GRADED seats subject piv'!$A:P,HLOOKUP(B$4,'[1]import GRADED seats subject piv'!$1:$2,2,FALSE),FALSE))),"")</f>
        <v>0.96551724137931039</v>
      </c>
      <c r="C69" s="15">
        <f>IFERROR((VLOOKUP('[1]SUBJECTS BASE'!$G65,'[1]import success seats'!$A:AA,HLOOKUP(C$4,'[1]import success seats'!$1:$2,2,FALSE),FALSE))/((VLOOKUP('[1]SUBJECTS BASE'!$G65,'[1]import GRADED seats subject piv'!$A:Q,HLOOKUP(C$4,'[1]import GRADED seats subject piv'!$1:$2,2,FALSE),FALSE))),"")</f>
        <v>0.82719546742209626</v>
      </c>
      <c r="D69" s="21">
        <f>IFERROR((VLOOKUP('[1]SUBJECTS BASE'!$G65,'[1]import success seats'!$A:AB,HLOOKUP(D$4,'[1]import success seats'!$1:$2,2,FALSE),FALSE))/((VLOOKUP('[1]SUBJECTS BASE'!$G65,'[1]import GRADED seats subject piv'!$A:R,HLOOKUP(D$4,'[1]import GRADED seats subject piv'!$1:$2,2,FALSE),FALSE))),"")</f>
        <v>0.90625</v>
      </c>
      <c r="E69" s="13">
        <f>IFERROR((VLOOKUP('[1]SUBJECTS BASE'!$G65,'[1]import success seats'!$A:AC,HLOOKUP(E$4,'[1]import success seats'!$1:$2,2,FALSE),FALSE))/((VLOOKUP('[1]SUBJECTS BASE'!$G65,'[1]import GRADED seats subject piv'!$A:S,HLOOKUP(E$4,'[1]import GRADED seats subject piv'!$1:$2,2,FALSE),FALSE))),"")</f>
        <v>0.91176470588235292</v>
      </c>
      <c r="F69" s="15">
        <f>IFERROR((VLOOKUP('[1]SUBJECTS BASE'!$G65,'[1]import success seats'!$A:AD,HLOOKUP(F$4,'[1]import success seats'!$1:$2,2,FALSE),FALSE))/((VLOOKUP('[1]SUBJECTS BASE'!$G65,'[1]import GRADED seats subject piv'!$A:T,HLOOKUP(F$4,'[1]import GRADED seats subject piv'!$1:$2,2,FALSE),FALSE))),"")</f>
        <v>0.8467532467532467</v>
      </c>
      <c r="G69" s="19">
        <f>IFERROR((VLOOKUP('[1]SUBJECTS BASE'!$G65,'[1]import success seats'!$A:AE,HLOOKUP(G$4,'[1]import success seats'!$1:$2,2,FALSE),FALSE))/((VLOOKUP('[1]SUBJECTS BASE'!$G65,'[1]import GRADED seats subject piv'!$A:U,HLOOKUP(G$4,'[1]import GRADED seats subject piv'!$1:$2,2,FALSE),FALSE))),"")</f>
        <v>0.84146341463414631</v>
      </c>
      <c r="H69" s="23">
        <f>IFERROR((VLOOKUP('[1]SUBJECTS BASE'!$G65,'[1]import success seats'!$A:AF,HLOOKUP(H$4,'[1]import success seats'!$1:$2,2,FALSE),FALSE))/((VLOOKUP('[1]SUBJECTS BASE'!$G65,'[1]import GRADED seats subject piv'!$A:V,HLOOKUP(H$4,'[1]import GRADED seats subject piv'!$1:$2,2,FALSE),FALSE))),"")</f>
        <v>0.93548387096774188</v>
      </c>
      <c r="I69" s="15">
        <f>IFERROR((VLOOKUP('[1]SUBJECTS BASE'!$G65,'[1]import success seats'!$A:AG,HLOOKUP(I$4,'[1]import success seats'!$1:$2,2,FALSE),FALSE))/((VLOOKUP('[1]SUBJECTS BASE'!$G65,'[1]import GRADED seats subject piv'!$A:W,HLOOKUP(I$4,'[1]import GRADED seats subject piv'!$1:$2,2,FALSE),FALSE))),"")</f>
        <v>0.86259541984732824</v>
      </c>
      <c r="J69" s="21">
        <f>IFERROR((VLOOKUP('[1]SUBJECTS BASE'!$G65,'[1]import success seats'!$A:AH,HLOOKUP(J$4,'[1]import success seats'!$1:$2,2,FALSE),FALSE))/((VLOOKUP('[1]SUBJECTS BASE'!$G65,'[1]import GRADED seats subject piv'!$A:X,HLOOKUP(J$4,'[1]import GRADED seats subject piv'!$1:$2,2,FALSE),FALSE))),"")</f>
        <v>0.85416666666666663</v>
      </c>
      <c r="K69" s="13" t="str">
        <f>IFERROR((VLOOKUP('[1]SUBJECTS BASE'!$G65,'[1]import success seats'!$A:AI,HLOOKUP(K$4,'[1]import success seats'!$1:$2,2,FALSE),FALSE))/((VLOOKUP('[1]SUBJECTS BASE'!$G65,'[1]import GRADED seats subject piv'!$A:Y,HLOOKUP(K$4,'[1]import GRADED seats subject piv'!$1:$2,2,FALSE),FALSE))),"")</f>
        <v/>
      </c>
      <c r="L69" s="15">
        <f>IFERROR((VLOOKUP('[1]SUBJECTS BASE'!$G65,'[1]import success seats'!$A:AJ,HLOOKUP(L$4,'[1]import success seats'!$1:$2,2,FALSE),FALSE))/((VLOOKUP('[1]SUBJECTS BASE'!$G65,'[1]import GRADED seats subject piv'!$A:Z,HLOOKUP(L$4,'[1]import GRADED seats subject piv'!$1:$2,2,FALSE),FALSE))),"")</f>
        <v>0.89330024813895781</v>
      </c>
      <c r="M69" s="19">
        <f>IFERROR((VLOOKUP('[1]SUBJECTS BASE'!$G65,'[1]import success seats'!$A:AK,HLOOKUP(M$4,'[1]import success seats'!$1:$2,2,FALSE),FALSE))/((VLOOKUP('[1]SUBJECTS BASE'!$G65,'[1]import GRADED seats subject piv'!$A:AB,HLOOKUP(M$4,'[1]import GRADED seats subject piv'!$1:$2,2,FALSE),FALSE))),"")</f>
        <v>0.8666666666666667</v>
      </c>
      <c r="N69" s="23" t="str">
        <f>IFERROR((VLOOKUP('[1]SUBJECTS BASE'!$G65,'[1]import success seats'!$A:AL,HLOOKUP(N$4,'[1]import success seats'!$1:$2,2,FALSE),FALSE))/((VLOOKUP('[1]SUBJECTS BASE'!$G65,'[1]import GRADED seats subject piv'!$A:AC,HLOOKUP(N$4,'[1]import GRADED seats subject piv'!$1:$2,2,FALSE),FALSE))),"")</f>
        <v/>
      </c>
      <c r="O69" s="15">
        <f>IFERROR((VLOOKUP('[1]SUBJECTS BASE'!$G65,'[1]import success seats'!$A:AM,HLOOKUP(O$4,'[1]import success seats'!$1:$2,2,FALSE),FALSE))/((VLOOKUP('[1]SUBJECTS BASE'!$G65,'[1]import GRADED seats subject piv'!$A:AD,HLOOKUP(O$4,'[1]import GRADED seats subject piv'!$1:$2,2,FALSE),FALSE))),"")</f>
        <v>0.86040609137055835</v>
      </c>
      <c r="P69" s="15">
        <f>IFERROR((VLOOKUP('[1]SUBJECTS BASE'!$G65,'[1]import success seats'!$A:AN,HLOOKUP(P$4,'[1]import success seats'!$1:$2,2,FALSE),FALSE))/((VLOOKUP('[1]SUBJECTS BASE'!$G65,'[1]import GRADED seats subject piv'!$A:AE,HLOOKUP(P$4,'[1]import GRADED seats subject piv'!$1:$2,2,FALSE),FALSE))),"")</f>
        <v>0.85572139303482586</v>
      </c>
      <c r="Q69" s="13" t="str">
        <f>IFERROR((VLOOKUP('[1]SUBJECTS BASE'!$G65,'[1]import success seats'!$A:AO,HLOOKUP(Q$4,'[1]import success seats'!$1:$2,2,FALSE),FALSE))/((VLOOKUP('[1]SUBJECTS BASE'!$G65,'[1]import GRADED seats subject piv'!$A:AF,HLOOKUP(Q$4,'[1]import GRADED seats subject piv'!$1:$2,2,FALSE),FALSE))),"")</f>
        <v/>
      </c>
      <c r="R69" s="15">
        <f>IFERROR((VLOOKUP('[1]SUBJECTS BASE'!$G65,'[1]import success seats'!$A:AP,HLOOKUP(R$4,'[1]import success seats'!$1:$2,2,FALSE),FALSE))/((VLOOKUP('[1]SUBJECTS BASE'!$G65,'[1]import GRADED seats subject piv'!$A:AG,HLOOKUP(R$4,'[1]import GRADED seats subject piv'!$1:$2,2,FALSE),FALSE))),"")</f>
        <v>0.85277777777777775</v>
      </c>
      <c r="S69" s="19">
        <f>IFERROR((VLOOKUP('[1]SUBJECTS BASE'!$G65,'[1]import success seats'!$A:AQ,HLOOKUP(S$4,'[1]import success seats'!$1:$2,2,FALSE),FALSE))/((VLOOKUP('[1]SUBJECTS BASE'!$G65,'[1]import GRADED seats subject piv'!$A:AH,HLOOKUP(S$4,'[1]import GRADED seats subject piv'!$1:$2,2,FALSE),FALSE))),"")</f>
        <v>0.81987577639751552</v>
      </c>
    </row>
    <row r="70" spans="1:19" x14ac:dyDescent="0.25">
      <c r="A70" s="3" t="s">
        <v>1133</v>
      </c>
      <c r="B70" s="13">
        <f>IFERROR((VLOOKUP('[1]SUBJECTS BASE'!$G66,'[1]import success seats'!$A:Z,HLOOKUP(B$4,'[1]import success seats'!$1:$2,2,FALSE),FALSE))/((VLOOKUP('[1]SUBJECTS BASE'!$G66,'[1]import GRADED seats subject piv'!$A:P,HLOOKUP(B$4,'[1]import GRADED seats subject piv'!$1:$2,2,FALSE),FALSE))),"")</f>
        <v>1</v>
      </c>
      <c r="C70" s="15">
        <f>IFERROR((VLOOKUP('[1]SUBJECTS BASE'!$G66,'[1]import success seats'!$A:AA,HLOOKUP(C$4,'[1]import success seats'!$1:$2,2,FALSE),FALSE))/((VLOOKUP('[1]SUBJECTS BASE'!$G66,'[1]import GRADED seats subject piv'!$A:Q,HLOOKUP(C$4,'[1]import GRADED seats subject piv'!$1:$2,2,FALSE),FALSE))),"")</f>
        <v>1</v>
      </c>
      <c r="D70" s="21">
        <f>IFERROR((VLOOKUP('[1]SUBJECTS BASE'!$G66,'[1]import success seats'!$A:AB,HLOOKUP(D$4,'[1]import success seats'!$1:$2,2,FALSE),FALSE))/((VLOOKUP('[1]SUBJECTS BASE'!$G66,'[1]import GRADED seats subject piv'!$A:R,HLOOKUP(D$4,'[1]import GRADED seats subject piv'!$1:$2,2,FALSE),FALSE))),"")</f>
        <v>0.88235294117647056</v>
      </c>
      <c r="E70" s="13">
        <f>IFERROR((VLOOKUP('[1]SUBJECTS BASE'!$G66,'[1]import success seats'!$A:AC,HLOOKUP(E$4,'[1]import success seats'!$1:$2,2,FALSE),FALSE))/((VLOOKUP('[1]SUBJECTS BASE'!$G66,'[1]import GRADED seats subject piv'!$A:S,HLOOKUP(E$4,'[1]import GRADED seats subject piv'!$1:$2,2,FALSE),FALSE))),"")</f>
        <v>0.90909090909090906</v>
      </c>
      <c r="F70" s="15">
        <f>IFERROR((VLOOKUP('[1]SUBJECTS BASE'!$G66,'[1]import success seats'!$A:AD,HLOOKUP(F$4,'[1]import success seats'!$1:$2,2,FALSE),FALSE))/((VLOOKUP('[1]SUBJECTS BASE'!$G66,'[1]import GRADED seats subject piv'!$A:T,HLOOKUP(F$4,'[1]import GRADED seats subject piv'!$1:$2,2,FALSE),FALSE))),"")</f>
        <v>0.95238095238095233</v>
      </c>
      <c r="G70" s="19">
        <f>IFERROR((VLOOKUP('[1]SUBJECTS BASE'!$G66,'[1]import success seats'!$A:AE,HLOOKUP(G$4,'[1]import success seats'!$1:$2,2,FALSE),FALSE))/((VLOOKUP('[1]SUBJECTS BASE'!$G66,'[1]import GRADED seats subject piv'!$A:U,HLOOKUP(G$4,'[1]import GRADED seats subject piv'!$1:$2,2,FALSE),FALSE))),"")</f>
        <v>0.94285714285714284</v>
      </c>
      <c r="H70" s="23" t="str">
        <f>IFERROR((VLOOKUP('[1]SUBJECTS BASE'!$G66,'[1]import success seats'!$A:AF,HLOOKUP(H$4,'[1]import success seats'!$1:$2,2,FALSE),FALSE))/((VLOOKUP('[1]SUBJECTS BASE'!$G66,'[1]import GRADED seats subject piv'!$A:V,HLOOKUP(H$4,'[1]import GRADED seats subject piv'!$1:$2,2,FALSE),FALSE))),"")</f>
        <v/>
      </c>
      <c r="I70" s="15">
        <f>IFERROR((VLOOKUP('[1]SUBJECTS BASE'!$G66,'[1]import success seats'!$A:AG,HLOOKUP(I$4,'[1]import success seats'!$1:$2,2,FALSE),FALSE))/((VLOOKUP('[1]SUBJECTS BASE'!$G66,'[1]import GRADED seats subject piv'!$A:W,HLOOKUP(I$4,'[1]import GRADED seats subject piv'!$1:$2,2,FALSE),FALSE))),"")</f>
        <v>0.91891891891891897</v>
      </c>
      <c r="J70" s="21">
        <f>IFERROR((VLOOKUP('[1]SUBJECTS BASE'!$G66,'[1]import success seats'!$A:AH,HLOOKUP(J$4,'[1]import success seats'!$1:$2,2,FALSE),FALSE))/((VLOOKUP('[1]SUBJECTS BASE'!$G66,'[1]import GRADED seats subject piv'!$A:X,HLOOKUP(J$4,'[1]import GRADED seats subject piv'!$1:$2,2,FALSE),FALSE))),"")</f>
        <v>0.8666666666666667</v>
      </c>
      <c r="K70" s="13" t="str">
        <f>IFERROR((VLOOKUP('[1]SUBJECTS BASE'!$G66,'[1]import success seats'!$A:AI,HLOOKUP(K$4,'[1]import success seats'!$1:$2,2,FALSE),FALSE))/((VLOOKUP('[1]SUBJECTS BASE'!$G66,'[1]import GRADED seats subject piv'!$A:Y,HLOOKUP(K$4,'[1]import GRADED seats subject piv'!$1:$2,2,FALSE),FALSE))),"")</f>
        <v/>
      </c>
      <c r="L70" s="15" t="str">
        <f>IFERROR((VLOOKUP('[1]SUBJECTS BASE'!$G66,'[1]import success seats'!$A:AJ,HLOOKUP(L$4,'[1]import success seats'!$1:$2,2,FALSE),FALSE))/((VLOOKUP('[1]SUBJECTS BASE'!$G66,'[1]import GRADED seats subject piv'!$A:Z,HLOOKUP(L$4,'[1]import GRADED seats subject piv'!$1:$2,2,FALSE),FALSE))),"")</f>
        <v/>
      </c>
      <c r="M70" s="19">
        <f>IFERROR((VLOOKUP('[1]SUBJECTS BASE'!$G66,'[1]import success seats'!$A:AK,HLOOKUP(M$4,'[1]import success seats'!$1:$2,2,FALSE),FALSE))/((VLOOKUP('[1]SUBJECTS BASE'!$G66,'[1]import GRADED seats subject piv'!$A:AB,HLOOKUP(M$4,'[1]import GRADED seats subject piv'!$1:$2,2,FALSE),FALSE))),"")</f>
        <v>0.92307692307692313</v>
      </c>
      <c r="N70" s="23" t="str">
        <f>IFERROR((VLOOKUP('[1]SUBJECTS BASE'!$G66,'[1]import success seats'!$A:AL,HLOOKUP(N$4,'[1]import success seats'!$1:$2,2,FALSE),FALSE))/((VLOOKUP('[1]SUBJECTS BASE'!$G66,'[1]import GRADED seats subject piv'!$A:AC,HLOOKUP(N$4,'[1]import GRADED seats subject piv'!$1:$2,2,FALSE),FALSE))),"")</f>
        <v/>
      </c>
      <c r="O70" s="15">
        <f>IFERROR((VLOOKUP('[1]SUBJECTS BASE'!$G66,'[1]import success seats'!$A:AM,HLOOKUP(O$4,'[1]import success seats'!$1:$2,2,FALSE),FALSE))/((VLOOKUP('[1]SUBJECTS BASE'!$G66,'[1]import GRADED seats subject piv'!$A:AD,HLOOKUP(O$4,'[1]import GRADED seats subject piv'!$1:$2,2,FALSE),FALSE))),"")</f>
        <v>0.8571428571428571</v>
      </c>
      <c r="P70" s="15">
        <f>IFERROR((VLOOKUP('[1]SUBJECTS BASE'!$G66,'[1]import success seats'!$A:AN,HLOOKUP(P$4,'[1]import success seats'!$1:$2,2,FALSE),FALSE))/((VLOOKUP('[1]SUBJECTS BASE'!$G66,'[1]import GRADED seats subject piv'!$A:AE,HLOOKUP(P$4,'[1]import GRADED seats subject piv'!$1:$2,2,FALSE),FALSE))),"")</f>
        <v>0.72222222222222221</v>
      </c>
      <c r="Q70" s="13">
        <f>IFERROR((VLOOKUP('[1]SUBJECTS BASE'!$G66,'[1]import success seats'!$A:AO,HLOOKUP(Q$4,'[1]import success seats'!$1:$2,2,FALSE),FALSE))/((VLOOKUP('[1]SUBJECTS BASE'!$G66,'[1]import GRADED seats subject piv'!$A:AF,HLOOKUP(Q$4,'[1]import GRADED seats subject piv'!$1:$2,2,FALSE),FALSE))),"")</f>
        <v>0.93333333333333335</v>
      </c>
      <c r="R70" s="15" t="str">
        <f>IFERROR((VLOOKUP('[1]SUBJECTS BASE'!$G66,'[1]import success seats'!$A:AP,HLOOKUP(R$4,'[1]import success seats'!$1:$2,2,FALSE),FALSE))/((VLOOKUP('[1]SUBJECTS BASE'!$G66,'[1]import GRADED seats subject piv'!$A:AG,HLOOKUP(R$4,'[1]import GRADED seats subject piv'!$1:$2,2,FALSE),FALSE))),"")</f>
        <v/>
      </c>
      <c r="S70" s="19" t="str">
        <f>IFERROR((VLOOKUP('[1]SUBJECTS BASE'!$G66,'[1]import success seats'!$A:AQ,HLOOKUP(S$4,'[1]import success seats'!$1:$2,2,FALSE),FALSE))/((VLOOKUP('[1]SUBJECTS BASE'!$G66,'[1]import GRADED seats subject piv'!$A:AH,HLOOKUP(S$4,'[1]import GRADED seats subject piv'!$1:$2,2,FALSE),FALSE))),"")</f>
        <v/>
      </c>
    </row>
    <row r="71" spans="1:19" x14ac:dyDescent="0.25">
      <c r="A71" s="3" t="s">
        <v>1134</v>
      </c>
      <c r="B71" s="13">
        <f>IFERROR((VLOOKUP('[1]SUBJECTS BASE'!$G67,'[1]import success seats'!$A:Z,HLOOKUP(B$4,'[1]import success seats'!$1:$2,2,FALSE),FALSE))/((VLOOKUP('[1]SUBJECTS BASE'!$G67,'[1]import GRADED seats subject piv'!$A:P,HLOOKUP(B$4,'[1]import GRADED seats subject piv'!$1:$2,2,FALSE),FALSE))),"")</f>
        <v>0.88888888888888884</v>
      </c>
      <c r="C71" s="15">
        <f>IFERROR((VLOOKUP('[1]SUBJECTS BASE'!$G67,'[1]import success seats'!$A:AA,HLOOKUP(C$4,'[1]import success seats'!$1:$2,2,FALSE),FALSE))/((VLOOKUP('[1]SUBJECTS BASE'!$G67,'[1]import GRADED seats subject piv'!$A:Q,HLOOKUP(C$4,'[1]import GRADED seats subject piv'!$1:$2,2,FALSE),FALSE))),"")</f>
        <v>0.84210526315789469</v>
      </c>
      <c r="D71" s="21">
        <f>IFERROR((VLOOKUP('[1]SUBJECTS BASE'!$G67,'[1]import success seats'!$A:AB,HLOOKUP(D$4,'[1]import success seats'!$1:$2,2,FALSE),FALSE))/((VLOOKUP('[1]SUBJECTS BASE'!$G67,'[1]import GRADED seats subject piv'!$A:R,HLOOKUP(D$4,'[1]import GRADED seats subject piv'!$1:$2,2,FALSE),FALSE))),"")</f>
        <v>0.88571428571428568</v>
      </c>
      <c r="E71" s="13">
        <f>IFERROR((VLOOKUP('[1]SUBJECTS BASE'!$G67,'[1]import success seats'!$A:AC,HLOOKUP(E$4,'[1]import success seats'!$1:$2,2,FALSE),FALSE))/((VLOOKUP('[1]SUBJECTS BASE'!$G67,'[1]import GRADED seats subject piv'!$A:S,HLOOKUP(E$4,'[1]import GRADED seats subject piv'!$1:$2,2,FALSE),FALSE))),"")</f>
        <v>1</v>
      </c>
      <c r="F71" s="15">
        <f>IFERROR((VLOOKUP('[1]SUBJECTS BASE'!$G67,'[1]import success seats'!$A:AD,HLOOKUP(F$4,'[1]import success seats'!$1:$2,2,FALSE),FALSE))/((VLOOKUP('[1]SUBJECTS BASE'!$G67,'[1]import GRADED seats subject piv'!$A:T,HLOOKUP(F$4,'[1]import GRADED seats subject piv'!$1:$2,2,FALSE),FALSE))),"")</f>
        <v>0.91304347826086951</v>
      </c>
      <c r="G71" s="19">
        <f>IFERROR((VLOOKUP('[1]SUBJECTS BASE'!$G67,'[1]import success seats'!$A:AE,HLOOKUP(G$4,'[1]import success seats'!$1:$2,2,FALSE),FALSE))/((VLOOKUP('[1]SUBJECTS BASE'!$G67,'[1]import GRADED seats subject piv'!$A:U,HLOOKUP(G$4,'[1]import GRADED seats subject piv'!$1:$2,2,FALSE),FALSE))),"")</f>
        <v>0.88324873096446699</v>
      </c>
      <c r="H71" s="23" t="str">
        <f>IFERROR((VLOOKUP('[1]SUBJECTS BASE'!$G67,'[1]import success seats'!$A:AF,HLOOKUP(H$4,'[1]import success seats'!$1:$2,2,FALSE),FALSE))/((VLOOKUP('[1]SUBJECTS BASE'!$G67,'[1]import GRADED seats subject piv'!$A:V,HLOOKUP(H$4,'[1]import GRADED seats subject piv'!$1:$2,2,FALSE),FALSE))),"")</f>
        <v/>
      </c>
      <c r="I71" s="15">
        <f>IFERROR((VLOOKUP('[1]SUBJECTS BASE'!$G67,'[1]import success seats'!$A:AG,HLOOKUP(I$4,'[1]import success seats'!$1:$2,2,FALSE),FALSE))/((VLOOKUP('[1]SUBJECTS BASE'!$G67,'[1]import GRADED seats subject piv'!$A:W,HLOOKUP(I$4,'[1]import GRADED seats subject piv'!$1:$2,2,FALSE),FALSE))),"")</f>
        <v>0.8595744680851064</v>
      </c>
      <c r="J71" s="21">
        <f>IFERROR((VLOOKUP('[1]SUBJECTS BASE'!$G67,'[1]import success seats'!$A:AH,HLOOKUP(J$4,'[1]import success seats'!$1:$2,2,FALSE),FALSE))/((VLOOKUP('[1]SUBJECTS BASE'!$G67,'[1]import GRADED seats subject piv'!$A:X,HLOOKUP(J$4,'[1]import GRADED seats subject piv'!$1:$2,2,FALSE),FALSE))),"")</f>
        <v>0.83185840707964598</v>
      </c>
      <c r="K71" s="13" t="str">
        <f>IFERROR((VLOOKUP('[1]SUBJECTS BASE'!$G67,'[1]import success seats'!$A:AI,HLOOKUP(K$4,'[1]import success seats'!$1:$2,2,FALSE),FALSE))/((VLOOKUP('[1]SUBJECTS BASE'!$G67,'[1]import GRADED seats subject piv'!$A:Y,HLOOKUP(K$4,'[1]import GRADED seats subject piv'!$1:$2,2,FALSE),FALSE))),"")</f>
        <v/>
      </c>
      <c r="L71" s="15">
        <f>IFERROR((VLOOKUP('[1]SUBJECTS BASE'!$G67,'[1]import success seats'!$A:AJ,HLOOKUP(L$4,'[1]import success seats'!$1:$2,2,FALSE),FALSE))/((VLOOKUP('[1]SUBJECTS BASE'!$G67,'[1]import GRADED seats subject piv'!$A:Z,HLOOKUP(L$4,'[1]import GRADED seats subject piv'!$1:$2,2,FALSE),FALSE))),"")</f>
        <v>0.8995433789954338</v>
      </c>
      <c r="M71" s="19">
        <f>IFERROR((VLOOKUP('[1]SUBJECTS BASE'!$G67,'[1]import success seats'!$A:AK,HLOOKUP(M$4,'[1]import success seats'!$1:$2,2,FALSE),FALSE))/((VLOOKUP('[1]SUBJECTS BASE'!$G67,'[1]import GRADED seats subject piv'!$A:AB,HLOOKUP(M$4,'[1]import GRADED seats subject piv'!$1:$2,2,FALSE),FALSE))),"")</f>
        <v>0.85317460317460314</v>
      </c>
      <c r="N71" s="23" t="str">
        <f>IFERROR((VLOOKUP('[1]SUBJECTS BASE'!$G67,'[1]import success seats'!$A:AL,HLOOKUP(N$4,'[1]import success seats'!$1:$2,2,FALSE),FALSE))/((VLOOKUP('[1]SUBJECTS BASE'!$G67,'[1]import GRADED seats subject piv'!$A:AC,HLOOKUP(N$4,'[1]import GRADED seats subject piv'!$1:$2,2,FALSE),FALSE))),"")</f>
        <v/>
      </c>
      <c r="O71" s="15">
        <f>IFERROR((VLOOKUP('[1]SUBJECTS BASE'!$G67,'[1]import success seats'!$A:AM,HLOOKUP(O$4,'[1]import success seats'!$1:$2,2,FALSE),FALSE))/((VLOOKUP('[1]SUBJECTS BASE'!$G67,'[1]import GRADED seats subject piv'!$A:AD,HLOOKUP(O$4,'[1]import GRADED seats subject piv'!$1:$2,2,FALSE),FALSE))),"")</f>
        <v>0.87254901960784315</v>
      </c>
      <c r="P71" s="15">
        <f>IFERROR((VLOOKUP('[1]SUBJECTS BASE'!$G67,'[1]import success seats'!$A:AN,HLOOKUP(P$4,'[1]import success seats'!$1:$2,2,FALSE),FALSE))/((VLOOKUP('[1]SUBJECTS BASE'!$G67,'[1]import GRADED seats subject piv'!$A:AE,HLOOKUP(P$4,'[1]import GRADED seats subject piv'!$1:$2,2,FALSE),FALSE))),"")</f>
        <v>0.8347457627118644</v>
      </c>
      <c r="Q71" s="13" t="str">
        <f>IFERROR((VLOOKUP('[1]SUBJECTS BASE'!$G67,'[1]import success seats'!$A:AO,HLOOKUP(Q$4,'[1]import success seats'!$1:$2,2,FALSE),FALSE))/((VLOOKUP('[1]SUBJECTS BASE'!$G67,'[1]import GRADED seats subject piv'!$A:AF,HLOOKUP(Q$4,'[1]import GRADED seats subject piv'!$1:$2,2,FALSE),FALSE))),"")</f>
        <v/>
      </c>
      <c r="R71" s="15">
        <f>IFERROR((VLOOKUP('[1]SUBJECTS BASE'!$G67,'[1]import success seats'!$A:AP,HLOOKUP(R$4,'[1]import success seats'!$1:$2,2,FALSE),FALSE))/((VLOOKUP('[1]SUBJECTS BASE'!$G67,'[1]import GRADED seats subject piv'!$A:AG,HLOOKUP(R$4,'[1]import GRADED seats subject piv'!$1:$2,2,FALSE),FALSE))),"")</f>
        <v>0.92385786802030456</v>
      </c>
      <c r="S71" s="19">
        <f>IFERROR((VLOOKUP('[1]SUBJECTS BASE'!$G67,'[1]import success seats'!$A:AQ,HLOOKUP(S$4,'[1]import success seats'!$1:$2,2,FALSE),FALSE))/((VLOOKUP('[1]SUBJECTS BASE'!$G67,'[1]import GRADED seats subject piv'!$A:AH,HLOOKUP(S$4,'[1]import GRADED seats subject piv'!$1:$2,2,FALSE),FALSE))),"")</f>
        <v>0.83898305084745761</v>
      </c>
    </row>
    <row r="72" spans="1:19" x14ac:dyDescent="0.25">
      <c r="A72" s="3" t="s">
        <v>1135</v>
      </c>
      <c r="B72" s="13" t="str">
        <f>IFERROR((VLOOKUP('[1]SUBJECTS BASE'!$G68,'[1]import success seats'!$A:Z,HLOOKUP(B$4,'[1]import success seats'!$1:$2,2,FALSE),FALSE))/((VLOOKUP('[1]SUBJECTS BASE'!$G68,'[1]import GRADED seats subject piv'!$A:P,HLOOKUP(B$4,'[1]import GRADED seats subject piv'!$1:$2,2,FALSE),FALSE))),"")</f>
        <v/>
      </c>
      <c r="C72" s="15" t="str">
        <f>IFERROR((VLOOKUP('[1]SUBJECTS BASE'!$G68,'[1]import success seats'!$A:AA,HLOOKUP(C$4,'[1]import success seats'!$1:$2,2,FALSE),FALSE))/((VLOOKUP('[1]SUBJECTS BASE'!$G68,'[1]import GRADED seats subject piv'!$A:Q,HLOOKUP(C$4,'[1]import GRADED seats subject piv'!$1:$2,2,FALSE),FALSE))),"")</f>
        <v/>
      </c>
      <c r="D72" s="21" t="str">
        <f>IFERROR((VLOOKUP('[1]SUBJECTS BASE'!$G68,'[1]import success seats'!$A:AB,HLOOKUP(D$4,'[1]import success seats'!$1:$2,2,FALSE),FALSE))/((VLOOKUP('[1]SUBJECTS BASE'!$G68,'[1]import GRADED seats subject piv'!$A:R,HLOOKUP(D$4,'[1]import GRADED seats subject piv'!$1:$2,2,FALSE),FALSE))),"")</f>
        <v/>
      </c>
      <c r="E72" s="13" t="str">
        <f>IFERROR((VLOOKUP('[1]SUBJECTS BASE'!$G68,'[1]import success seats'!$A:AC,HLOOKUP(E$4,'[1]import success seats'!$1:$2,2,FALSE),FALSE))/((VLOOKUP('[1]SUBJECTS BASE'!$G68,'[1]import GRADED seats subject piv'!$A:S,HLOOKUP(E$4,'[1]import GRADED seats subject piv'!$1:$2,2,FALSE),FALSE))),"")</f>
        <v/>
      </c>
      <c r="F72" s="15" t="str">
        <f>IFERROR((VLOOKUP('[1]SUBJECTS BASE'!$G68,'[1]import success seats'!$A:AD,HLOOKUP(F$4,'[1]import success seats'!$1:$2,2,FALSE),FALSE))/((VLOOKUP('[1]SUBJECTS BASE'!$G68,'[1]import GRADED seats subject piv'!$A:T,HLOOKUP(F$4,'[1]import GRADED seats subject piv'!$1:$2,2,FALSE),FALSE))),"")</f>
        <v/>
      </c>
      <c r="G72" s="19" t="str">
        <f>IFERROR((VLOOKUP('[1]SUBJECTS BASE'!$G68,'[1]import success seats'!$A:AE,HLOOKUP(G$4,'[1]import success seats'!$1:$2,2,FALSE),FALSE))/((VLOOKUP('[1]SUBJECTS BASE'!$G68,'[1]import GRADED seats subject piv'!$A:U,HLOOKUP(G$4,'[1]import GRADED seats subject piv'!$1:$2,2,FALSE),FALSE))),"")</f>
        <v/>
      </c>
      <c r="H72" s="23" t="str">
        <f>IFERROR((VLOOKUP('[1]SUBJECTS BASE'!$G68,'[1]import success seats'!$A:AF,HLOOKUP(H$4,'[1]import success seats'!$1:$2,2,FALSE),FALSE))/((VLOOKUP('[1]SUBJECTS BASE'!$G68,'[1]import GRADED seats subject piv'!$A:V,HLOOKUP(H$4,'[1]import GRADED seats subject piv'!$1:$2,2,FALSE),FALSE))),"")</f>
        <v/>
      </c>
      <c r="I72" s="15">
        <f>IFERROR((VLOOKUP('[1]SUBJECTS BASE'!$G68,'[1]import success seats'!$A:AG,HLOOKUP(I$4,'[1]import success seats'!$1:$2,2,FALSE),FALSE))/((VLOOKUP('[1]SUBJECTS BASE'!$G68,'[1]import GRADED seats subject piv'!$A:W,HLOOKUP(I$4,'[1]import GRADED seats subject piv'!$1:$2,2,FALSE),FALSE))),"")</f>
        <v>0.89473684210526316</v>
      </c>
      <c r="J72" s="21">
        <f>IFERROR((VLOOKUP('[1]SUBJECTS BASE'!$G68,'[1]import success seats'!$A:AH,HLOOKUP(J$4,'[1]import success seats'!$1:$2,2,FALSE),FALSE))/((VLOOKUP('[1]SUBJECTS BASE'!$G68,'[1]import GRADED seats subject piv'!$A:X,HLOOKUP(J$4,'[1]import GRADED seats subject piv'!$1:$2,2,FALSE),FALSE))),"")</f>
        <v>0.8571428571428571</v>
      </c>
      <c r="K72" s="13" t="str">
        <f>IFERROR((VLOOKUP('[1]SUBJECTS BASE'!$G68,'[1]import success seats'!$A:AI,HLOOKUP(K$4,'[1]import success seats'!$1:$2,2,FALSE),FALSE))/((VLOOKUP('[1]SUBJECTS BASE'!$G68,'[1]import GRADED seats subject piv'!$A:Y,HLOOKUP(K$4,'[1]import GRADED seats subject piv'!$1:$2,2,FALSE),FALSE))),"")</f>
        <v/>
      </c>
      <c r="L72" s="15" t="str">
        <f>IFERROR((VLOOKUP('[1]SUBJECTS BASE'!$G68,'[1]import success seats'!$A:AJ,HLOOKUP(L$4,'[1]import success seats'!$1:$2,2,FALSE),FALSE))/((VLOOKUP('[1]SUBJECTS BASE'!$G68,'[1]import GRADED seats subject piv'!$A:Z,HLOOKUP(L$4,'[1]import GRADED seats subject piv'!$1:$2,2,FALSE),FALSE))),"")</f>
        <v/>
      </c>
      <c r="M72" s="19">
        <f>IFERROR((VLOOKUP('[1]SUBJECTS BASE'!$G68,'[1]import success seats'!$A:AK,HLOOKUP(M$4,'[1]import success seats'!$1:$2,2,FALSE),FALSE))/((VLOOKUP('[1]SUBJECTS BASE'!$G68,'[1]import GRADED seats subject piv'!$A:AB,HLOOKUP(M$4,'[1]import GRADED seats subject piv'!$1:$2,2,FALSE),FALSE))),"")</f>
        <v>1</v>
      </c>
      <c r="N72" s="23" t="str">
        <f>IFERROR((VLOOKUP('[1]SUBJECTS BASE'!$G68,'[1]import success seats'!$A:AL,HLOOKUP(N$4,'[1]import success seats'!$1:$2,2,FALSE),FALSE))/((VLOOKUP('[1]SUBJECTS BASE'!$G68,'[1]import GRADED seats subject piv'!$A:AC,HLOOKUP(N$4,'[1]import GRADED seats subject piv'!$1:$2,2,FALSE),FALSE))),"")</f>
        <v/>
      </c>
      <c r="O72" s="15">
        <f>IFERROR((VLOOKUP('[1]SUBJECTS BASE'!$G68,'[1]import success seats'!$A:AM,HLOOKUP(O$4,'[1]import success seats'!$1:$2,2,FALSE),FALSE))/((VLOOKUP('[1]SUBJECTS BASE'!$G68,'[1]import GRADED seats subject piv'!$A:AD,HLOOKUP(O$4,'[1]import GRADED seats subject piv'!$1:$2,2,FALSE),FALSE))),"")</f>
        <v>1</v>
      </c>
      <c r="P72" s="15">
        <f>IFERROR((VLOOKUP('[1]SUBJECTS BASE'!$G68,'[1]import success seats'!$A:AN,HLOOKUP(P$4,'[1]import success seats'!$1:$2,2,FALSE),FALSE))/((VLOOKUP('[1]SUBJECTS BASE'!$G68,'[1]import GRADED seats subject piv'!$A:AE,HLOOKUP(P$4,'[1]import GRADED seats subject piv'!$1:$2,2,FALSE),FALSE))),"")</f>
        <v>1</v>
      </c>
      <c r="Q72" s="13">
        <f>IFERROR((VLOOKUP('[1]SUBJECTS BASE'!$G68,'[1]import success seats'!$A:AO,HLOOKUP(Q$4,'[1]import success seats'!$1:$2,2,FALSE),FALSE))/((VLOOKUP('[1]SUBJECTS BASE'!$G68,'[1]import GRADED seats subject piv'!$A:AF,HLOOKUP(Q$4,'[1]import GRADED seats subject piv'!$1:$2,2,FALSE),FALSE))),"")</f>
        <v>1</v>
      </c>
      <c r="R72" s="15" t="str">
        <f>IFERROR((VLOOKUP('[1]SUBJECTS BASE'!$G68,'[1]import success seats'!$A:AP,HLOOKUP(R$4,'[1]import success seats'!$1:$2,2,FALSE),FALSE))/((VLOOKUP('[1]SUBJECTS BASE'!$G68,'[1]import GRADED seats subject piv'!$A:AG,HLOOKUP(R$4,'[1]import GRADED seats subject piv'!$1:$2,2,FALSE),FALSE))),"")</f>
        <v/>
      </c>
      <c r="S72" s="19" t="str">
        <f>IFERROR((VLOOKUP('[1]SUBJECTS BASE'!$G68,'[1]import success seats'!$A:AQ,HLOOKUP(S$4,'[1]import success seats'!$1:$2,2,FALSE),FALSE))/((VLOOKUP('[1]SUBJECTS BASE'!$G68,'[1]import GRADED seats subject piv'!$A:AH,HLOOKUP(S$4,'[1]import GRADED seats subject piv'!$1:$2,2,FALSE),FALSE))),"")</f>
        <v/>
      </c>
    </row>
    <row r="73" spans="1:19" ht="15.75" thickBot="1" x14ac:dyDescent="0.3">
      <c r="A73" s="5" t="s">
        <v>1136</v>
      </c>
      <c r="B73" s="30">
        <f>IFERROR((VLOOKUP('[1]SUBJECTS BASE'!$G69,'[1]import success seats'!$A:Z,HLOOKUP(B$4,'[1]import success seats'!$1:$2,2,FALSE),FALSE))/((VLOOKUP('[1]SUBJECTS BASE'!$G69,'[1]import GRADED seats subject piv'!$A:P,HLOOKUP(B$4,'[1]import GRADED seats subject piv'!$1:$2,2,FALSE),FALSE))),"")</f>
        <v>0.94545454545454544</v>
      </c>
      <c r="C73" s="29">
        <f>IFERROR((VLOOKUP('[1]SUBJECTS BASE'!$G69,'[1]import success seats'!$A:AA,HLOOKUP(C$4,'[1]import success seats'!$1:$2,2,FALSE),FALSE))/((VLOOKUP('[1]SUBJECTS BASE'!$G69,'[1]import GRADED seats subject piv'!$A:Q,HLOOKUP(C$4,'[1]import GRADED seats subject piv'!$1:$2,2,FALSE),FALSE))),"")</f>
        <v>0.92592592592592593</v>
      </c>
      <c r="D73" s="27">
        <f>IFERROR((VLOOKUP('[1]SUBJECTS BASE'!$G69,'[1]import success seats'!$A:AB,HLOOKUP(D$4,'[1]import success seats'!$1:$2,2,FALSE),FALSE))/((VLOOKUP('[1]SUBJECTS BASE'!$G69,'[1]import GRADED seats subject piv'!$A:R,HLOOKUP(D$4,'[1]import GRADED seats subject piv'!$1:$2,2,FALSE),FALSE))),"")</f>
        <v>0.9064327485380117</v>
      </c>
      <c r="E73" s="30">
        <f>IFERROR((VLOOKUP('[1]SUBJECTS BASE'!$G69,'[1]import success seats'!$A:AC,HLOOKUP(E$4,'[1]import success seats'!$1:$2,2,FALSE),FALSE))/((VLOOKUP('[1]SUBJECTS BASE'!$G69,'[1]import GRADED seats subject piv'!$A:S,HLOOKUP(E$4,'[1]import GRADED seats subject piv'!$1:$2,2,FALSE),FALSE))),"")</f>
        <v>0.98666666666666669</v>
      </c>
      <c r="F73" s="29">
        <f>IFERROR((VLOOKUP('[1]SUBJECTS BASE'!$G69,'[1]import success seats'!$A:AD,HLOOKUP(F$4,'[1]import success seats'!$1:$2,2,FALSE),FALSE))/((VLOOKUP('[1]SUBJECTS BASE'!$G69,'[1]import GRADED seats subject piv'!$A:T,HLOOKUP(F$4,'[1]import GRADED seats subject piv'!$1:$2,2,FALSE),FALSE))),"")</f>
        <v>0.94720496894409933</v>
      </c>
      <c r="G73" s="26">
        <f>IFERROR((VLOOKUP('[1]SUBJECTS BASE'!$G69,'[1]import success seats'!$A:AE,HLOOKUP(G$4,'[1]import success seats'!$1:$2,2,FALSE),FALSE))/((VLOOKUP('[1]SUBJECTS BASE'!$G69,'[1]import GRADED seats subject piv'!$A:U,HLOOKUP(G$4,'[1]import GRADED seats subject piv'!$1:$2,2,FALSE),FALSE))),"")</f>
        <v>0.95196506550218341</v>
      </c>
      <c r="H73" s="25" t="str">
        <f>IFERROR((VLOOKUP('[1]SUBJECTS BASE'!$G69,'[1]import success seats'!$A:AF,HLOOKUP(H$4,'[1]import success seats'!$1:$2,2,FALSE),FALSE))/((VLOOKUP('[1]SUBJECTS BASE'!$G69,'[1]import GRADED seats subject piv'!$A:V,HLOOKUP(H$4,'[1]import GRADED seats subject piv'!$1:$2,2,FALSE),FALSE))),"")</f>
        <v/>
      </c>
      <c r="I73" s="29">
        <f>IFERROR((VLOOKUP('[1]SUBJECTS BASE'!$G69,'[1]import success seats'!$A:AG,HLOOKUP(I$4,'[1]import success seats'!$1:$2,2,FALSE),FALSE))/((VLOOKUP('[1]SUBJECTS BASE'!$G69,'[1]import GRADED seats subject piv'!$A:W,HLOOKUP(I$4,'[1]import GRADED seats subject piv'!$1:$2,2,FALSE),FALSE))),"")</f>
        <v>0.93379790940766549</v>
      </c>
      <c r="J73" s="27">
        <f>IFERROR((VLOOKUP('[1]SUBJECTS BASE'!$G69,'[1]import success seats'!$A:AH,HLOOKUP(J$4,'[1]import success seats'!$1:$2,2,FALSE),FALSE))/((VLOOKUP('[1]SUBJECTS BASE'!$G69,'[1]import GRADED seats subject piv'!$A:X,HLOOKUP(J$4,'[1]import GRADED seats subject piv'!$1:$2,2,FALSE),FALSE))),"")</f>
        <v>0.87222222222222223</v>
      </c>
      <c r="K73" s="30" t="str">
        <f>IFERROR((VLOOKUP('[1]SUBJECTS BASE'!$G69,'[1]import success seats'!$A:AI,HLOOKUP(K$4,'[1]import success seats'!$1:$2,2,FALSE),FALSE))/((VLOOKUP('[1]SUBJECTS BASE'!$G69,'[1]import GRADED seats subject piv'!$A:Y,HLOOKUP(K$4,'[1]import GRADED seats subject piv'!$1:$2,2,FALSE),FALSE))),"")</f>
        <v/>
      </c>
      <c r="L73" s="29">
        <f>IFERROR((VLOOKUP('[1]SUBJECTS BASE'!$G69,'[1]import success seats'!$A:AJ,HLOOKUP(L$4,'[1]import success seats'!$1:$2,2,FALSE),FALSE))/((VLOOKUP('[1]SUBJECTS BASE'!$G69,'[1]import GRADED seats subject piv'!$A:Z,HLOOKUP(L$4,'[1]import GRADED seats subject piv'!$1:$2,2,FALSE),FALSE))),"")</f>
        <v>0.92890995260663511</v>
      </c>
      <c r="M73" s="26">
        <f>IFERROR((VLOOKUP('[1]SUBJECTS BASE'!$G69,'[1]import success seats'!$A:AK,HLOOKUP(M$4,'[1]import success seats'!$1:$2,2,FALSE),FALSE))/((VLOOKUP('[1]SUBJECTS BASE'!$G69,'[1]import GRADED seats subject piv'!$A:AB,HLOOKUP(M$4,'[1]import GRADED seats subject piv'!$1:$2,2,FALSE),FALSE))),"")</f>
        <v>0.80751173708920188</v>
      </c>
      <c r="N73" s="25" t="str">
        <f>IFERROR((VLOOKUP('[1]SUBJECTS BASE'!$G69,'[1]import success seats'!$A:AL,HLOOKUP(N$4,'[1]import success seats'!$1:$2,2,FALSE),FALSE))/((VLOOKUP('[1]SUBJECTS BASE'!$G69,'[1]import GRADED seats subject piv'!$A:AC,HLOOKUP(N$4,'[1]import GRADED seats subject piv'!$1:$2,2,FALSE),FALSE))),"")</f>
        <v/>
      </c>
      <c r="O73" s="29">
        <f>IFERROR((VLOOKUP('[1]SUBJECTS BASE'!$G69,'[1]import success seats'!$A:AM,HLOOKUP(O$4,'[1]import success seats'!$1:$2,2,FALSE),FALSE))/((VLOOKUP('[1]SUBJECTS BASE'!$G69,'[1]import GRADED seats subject piv'!$A:AD,HLOOKUP(O$4,'[1]import GRADED seats subject piv'!$1:$2,2,FALSE),FALSE))),"")</f>
        <v>0.94968553459119498</v>
      </c>
      <c r="P73" s="15">
        <f>IFERROR((VLOOKUP('[1]SUBJECTS BASE'!$G69,'[1]import success seats'!$A:AN,HLOOKUP(P$4,'[1]import success seats'!$1:$2,2,FALSE),FALSE))/((VLOOKUP('[1]SUBJECTS BASE'!$G69,'[1]import GRADED seats subject piv'!$A:AE,HLOOKUP(P$4,'[1]import GRADED seats subject piv'!$1:$2,2,FALSE),FALSE))),"")</f>
        <v>0.93162393162393164</v>
      </c>
      <c r="Q73" s="30" t="str">
        <f>IFERROR((VLOOKUP('[1]SUBJECTS BASE'!$G69,'[1]import success seats'!$A:AO,HLOOKUP(Q$4,'[1]import success seats'!$1:$2,2,FALSE),FALSE))/((VLOOKUP('[1]SUBJECTS BASE'!$G69,'[1]import GRADED seats subject piv'!$A:AF,HLOOKUP(Q$4,'[1]import GRADED seats subject piv'!$1:$2,2,FALSE),FALSE))),"")</f>
        <v/>
      </c>
      <c r="R73" s="29">
        <f>IFERROR((VLOOKUP('[1]SUBJECTS BASE'!$G69,'[1]import success seats'!$A:AP,HLOOKUP(R$4,'[1]import success seats'!$1:$2,2,FALSE),FALSE))/((VLOOKUP('[1]SUBJECTS BASE'!$G69,'[1]import GRADED seats subject piv'!$A:AG,HLOOKUP(R$4,'[1]import GRADED seats subject piv'!$1:$2,2,FALSE),FALSE))),"")</f>
        <v>0.8928571428571429</v>
      </c>
      <c r="S73" s="26">
        <f>IFERROR((VLOOKUP('[1]SUBJECTS BASE'!$G69,'[1]import success seats'!$A:AQ,HLOOKUP(S$4,'[1]import success seats'!$1:$2,2,FALSE),FALSE))/((VLOOKUP('[1]SUBJECTS BASE'!$G69,'[1]import GRADED seats subject piv'!$A:AH,HLOOKUP(S$4,'[1]import GRADED seats subject piv'!$1:$2,2,FALSE),FALSE))),"")</f>
        <v>0.89156626506024095</v>
      </c>
    </row>
    <row r="74" spans="1:19" ht="15.75" thickBot="1" x14ac:dyDescent="0.3">
      <c r="A74" s="4" t="s">
        <v>1147</v>
      </c>
      <c r="B74" s="28">
        <f>IFERROR((VLOOKUP('[1]SUBJECTS BASE'!$G70,'[1]import success seats'!$A:Z,HLOOKUP(B$4,'[1]import success seats'!$1:$2,2,FALSE),FALSE))/((VLOOKUP('[1]SUBJECTS BASE'!$G70,'[1]import GRADED seats subject piv'!$A:P,HLOOKUP(B$4,'[1]import GRADED seats subject piv'!$1:$2,2,FALSE),FALSE))),"")</f>
        <v>0.92709359605911335</v>
      </c>
      <c r="C74" s="32">
        <f>IFERROR((VLOOKUP('[1]SUBJECTS BASE'!$G70,'[1]import success seats'!$A:AA,HLOOKUP(C$4,'[1]import success seats'!$1:$2,2,FALSE),FALSE))/((VLOOKUP('[1]SUBJECTS BASE'!$G70,'[1]import GRADED seats subject piv'!$A:Q,HLOOKUP(C$4,'[1]import GRADED seats subject piv'!$1:$2,2,FALSE),FALSE))),"")</f>
        <v>0.85077489244803817</v>
      </c>
      <c r="D74" s="31">
        <f>IFERROR((VLOOKUP('[1]SUBJECTS BASE'!$G70,'[1]import success seats'!$A:AB,HLOOKUP(D$4,'[1]import success seats'!$1:$2,2,FALSE),FALSE))/((VLOOKUP('[1]SUBJECTS BASE'!$G70,'[1]import GRADED seats subject piv'!$A:R,HLOOKUP(D$4,'[1]import GRADED seats subject piv'!$1:$2,2,FALSE),FALSE))),"")</f>
        <v>0.86464132336567523</v>
      </c>
      <c r="E74" s="28">
        <f>IFERROR((VLOOKUP('[1]SUBJECTS BASE'!$G70,'[1]import success seats'!$A:AC,HLOOKUP(E$4,'[1]import success seats'!$1:$2,2,FALSE),FALSE))/((VLOOKUP('[1]SUBJECTS BASE'!$G70,'[1]import GRADED seats subject piv'!$A:S,HLOOKUP(E$4,'[1]import GRADED seats subject piv'!$1:$2,2,FALSE),FALSE))),"")</f>
        <v>0.92434117313686592</v>
      </c>
      <c r="F74" s="32">
        <f>IFERROR((VLOOKUP('[1]SUBJECTS BASE'!$G70,'[1]import success seats'!$A:AD,HLOOKUP(F$4,'[1]import success seats'!$1:$2,2,FALSE),FALSE))/((VLOOKUP('[1]SUBJECTS BASE'!$G70,'[1]import GRADED seats subject piv'!$A:T,HLOOKUP(F$4,'[1]import GRADED seats subject piv'!$1:$2,2,FALSE),FALSE))),"")</f>
        <v>0.85656006752321112</v>
      </c>
      <c r="G74" s="31">
        <f>IFERROR((VLOOKUP('[1]SUBJECTS BASE'!$G70,'[1]import success seats'!$A:AE,HLOOKUP(G$4,'[1]import success seats'!$1:$2,2,FALSE),FALSE))/((VLOOKUP('[1]SUBJECTS BASE'!$G70,'[1]import GRADED seats subject piv'!$A:U,HLOOKUP(G$4,'[1]import GRADED seats subject piv'!$1:$2,2,FALSE),FALSE))),"")</f>
        <v>0.85474105812220569</v>
      </c>
      <c r="H74" s="28">
        <f>IFERROR((VLOOKUP('[1]SUBJECTS BASE'!$G70,'[1]import success seats'!$A:AF,HLOOKUP(H$4,'[1]import success seats'!$1:$2,2,FALSE),FALSE))/((VLOOKUP('[1]SUBJECTS BASE'!$G70,'[1]import GRADED seats subject piv'!$A:V,HLOOKUP(H$4,'[1]import GRADED seats subject piv'!$1:$2,2,FALSE),FALSE))),"")</f>
        <v>0.92547660311958402</v>
      </c>
      <c r="I74" s="32">
        <f>IFERROR((VLOOKUP('[1]SUBJECTS BASE'!$G70,'[1]import success seats'!$A:AG,HLOOKUP(I$4,'[1]import success seats'!$1:$2,2,FALSE),FALSE))/((VLOOKUP('[1]SUBJECTS BASE'!$G70,'[1]import GRADED seats subject piv'!$A:W,HLOOKUP(I$4,'[1]import GRADED seats subject piv'!$1:$2,2,FALSE),FALSE))),"")</f>
        <v>0.86660019075695827</v>
      </c>
      <c r="J74" s="31">
        <f>IFERROR((VLOOKUP('[1]SUBJECTS BASE'!$G70,'[1]import success seats'!$A:AH,HLOOKUP(J$4,'[1]import success seats'!$1:$2,2,FALSE),FALSE))/((VLOOKUP('[1]SUBJECTS BASE'!$G70,'[1]import GRADED seats subject piv'!$A:X,HLOOKUP(J$4,'[1]import GRADED seats subject piv'!$1:$2,2,FALSE),FALSE))),"")</f>
        <v>0.85767910276951242</v>
      </c>
      <c r="K74" s="28">
        <f>IFERROR((VLOOKUP('[1]SUBJECTS BASE'!$G70,'[1]import success seats'!$A:AI,HLOOKUP(K$4,'[1]import success seats'!$1:$2,2,FALSE),FALSE))/((VLOOKUP('[1]SUBJECTS BASE'!$G70,'[1]import GRADED seats subject piv'!$A:Y,HLOOKUP(K$4,'[1]import GRADED seats subject piv'!$1:$2,2,FALSE),FALSE))),"")</f>
        <v>0.92515337423312882</v>
      </c>
      <c r="L74" s="32">
        <f>IFERROR((VLOOKUP('[1]SUBJECTS BASE'!$G70,'[1]import success seats'!$A:AJ,HLOOKUP(L$4,'[1]import success seats'!$1:$2,2,FALSE),FALSE))/((VLOOKUP('[1]SUBJECTS BASE'!$G70,'[1]import GRADED seats subject piv'!$A:Z,HLOOKUP(L$4,'[1]import GRADED seats subject piv'!$1:$2,2,FALSE),FALSE))),"")</f>
        <v>0.86519692841218732</v>
      </c>
      <c r="M74" s="31">
        <f>IFERROR((VLOOKUP('[1]SUBJECTS BASE'!$G70,'[1]import success seats'!$A:AK,HLOOKUP(M$4,'[1]import success seats'!$1:$2,2,FALSE),FALSE))/((VLOOKUP('[1]SUBJECTS BASE'!$G70,'[1]import GRADED seats subject piv'!$A:AB,HLOOKUP(M$4,'[1]import GRADED seats subject piv'!$1:$2,2,FALSE),FALSE))),"")</f>
        <v>0.874497543546226</v>
      </c>
      <c r="N74" s="28">
        <f>IFERROR((VLOOKUP('[1]SUBJECTS BASE'!$G70,'[1]import success seats'!$A:AL,HLOOKUP(N$4,'[1]import success seats'!$1:$2,2,FALSE),FALSE))/((VLOOKUP('[1]SUBJECTS BASE'!$G70,'[1]import GRADED seats subject piv'!$A:AC,HLOOKUP(N$4,'[1]import GRADED seats subject piv'!$1:$2,2,FALSE),FALSE))),"")</f>
        <v>1</v>
      </c>
      <c r="O74" s="32">
        <f>IFERROR((VLOOKUP('[1]SUBJECTS BASE'!$G70,'[1]import success seats'!$A:AM,HLOOKUP(O$4,'[1]import success seats'!$1:$2,2,FALSE),FALSE))/((VLOOKUP('[1]SUBJECTS BASE'!$G70,'[1]import GRADED seats subject piv'!$A:AD,HLOOKUP(O$4,'[1]import GRADED seats subject piv'!$1:$2,2,FALSE),FALSE))),"")</f>
        <v>0.87102540490764313</v>
      </c>
      <c r="P74" s="32">
        <f>IFERROR((VLOOKUP('[1]SUBJECTS BASE'!$G70,'[1]import success seats'!$A:AN,HLOOKUP(P$4,'[1]import success seats'!$1:$2,2,FALSE),FALSE))/((VLOOKUP('[1]SUBJECTS BASE'!$G70,'[1]import GRADED seats subject piv'!$A:AE,HLOOKUP(P$4,'[1]import GRADED seats subject piv'!$1:$2,2,FALSE),FALSE))),"")</f>
        <v>0.86128001648974539</v>
      </c>
      <c r="Q74" s="28">
        <f>IFERROR((VLOOKUP('[1]SUBJECTS BASE'!$G70,'[1]import success seats'!$A:AO,HLOOKUP(Q$4,'[1]import success seats'!$1:$2,2,FALSE),FALSE))/((VLOOKUP('[1]SUBJECTS BASE'!$G70,'[1]import GRADED seats subject piv'!$A:AF,HLOOKUP(Q$4,'[1]import GRADED seats subject piv'!$1:$2,2,FALSE),FALSE))),"")</f>
        <v>0.91757387247278388</v>
      </c>
      <c r="R74" s="32">
        <f>IFERROR((VLOOKUP('[1]SUBJECTS BASE'!$G70,'[1]import success seats'!$A:AP,HLOOKUP(R$4,'[1]import success seats'!$1:$2,2,FALSE),FALSE))/((VLOOKUP('[1]SUBJECTS BASE'!$G70,'[1]import GRADED seats subject piv'!$A:AG,HLOOKUP(R$4,'[1]import GRADED seats subject piv'!$1:$2,2,FALSE),FALSE))),"")</f>
        <v>0.86866987644294913</v>
      </c>
      <c r="S74" s="31">
        <f>IFERROR((VLOOKUP('[1]SUBJECTS BASE'!$G70,'[1]import success seats'!$A:AQ,HLOOKUP(S$4,'[1]import success seats'!$1:$2,2,FALSE),FALSE))/((VLOOKUP('[1]SUBJECTS BASE'!$G70,'[1]import GRADED seats subject piv'!$A:AH,HLOOKUP(S$4,'[1]import GRADED seats subject piv'!$1:$2,2,FALSE),FALSE))),"")</f>
        <v>0.86563837898070495</v>
      </c>
    </row>
    <row r="75" spans="1:19" ht="16.5" thickTop="1" thickBot="1" x14ac:dyDescent="0.3">
      <c r="A75" s="6" t="s">
        <v>1148</v>
      </c>
      <c r="B75" s="52">
        <f>IFERROR((SUM(VLOOKUP('[1]SUBJECTS BASE'!$G70,'[1]import success seats'!$A:P,HLOOKUP(B$4,'[1]import success seats'!1:2,2,FALSE),FALSE))+(VLOOKUP('[1]SUBJECTS BASE'!$G70,'[1]import success seats'!$A:P,HLOOKUP(C$4,'[1]import success seats'!1:2,2,FALSE),FALSE))+(VLOOKUP('[1]SUBJECTS BASE'!$G70,'[1]import success seats'!$A:P,HLOOKUP(D$4,'[1]import success seats'!1:2,2,FALSE),FALSE)))/(SUM(VLOOKUP('[1]SUBJECTS BASE'!$G70,'[1]import GRADED seats subject piv'!$A:P,HLOOKUP(B$4,'[1]import GRADED seats subject piv'!$1:$2,2,FALSE),FALSE))+(VLOOKUP('[1]SUBJECTS BASE'!$G70,'[1]import GRADED seats subject piv'!$A:P,HLOOKUP(C$4,'[1]import GRADED seats subject piv'!$1:$2,2,FALSE),FALSE))+(VLOOKUP('[1]SUBJECTS BASE'!$G70,'[1]import GRADED seats subject piv'!$A:P,HLOOKUP(D$4,'[1]import GRADED seats subject piv'!$1:$2,2,FALSE),FALSE))),"")</f>
        <v>0.86276365931211918</v>
      </c>
      <c r="C75" s="53"/>
      <c r="D75" s="54"/>
      <c r="E75" s="52">
        <f>IFERROR((SUM(VLOOKUP('[1]SUBJECTS BASE'!$G70,'[1]import success seats'!$A:S,HLOOKUP(E$4,'[1]import success seats'!1:2,2,FALSE),FALSE))+(VLOOKUP('[1]SUBJECTS BASE'!$G70,'[1]import success seats'!$A:S,HLOOKUP(F$4,'[1]import success seats'!1:2,2,FALSE),FALSE))+(VLOOKUP('[1]SUBJECTS BASE'!$G70,'[1]import success seats'!$A:S,HLOOKUP(G$4,'[1]import success seats'!1:2,2,FALSE),FALSE)))/(SUM(VLOOKUP('[1]SUBJECTS BASE'!$G70,'[1]import GRADED seats subject piv'!$A:S,HLOOKUP(E$4,'[1]import GRADED seats subject piv'!$1:$2,2,FALSE),FALSE))+(VLOOKUP('[1]SUBJECTS BASE'!$G70,'[1]import GRADED seats subject piv'!$A:S,HLOOKUP(F$4,'[1]import GRADED seats subject piv'!$1:$2,2,FALSE),FALSE))+(VLOOKUP('[1]SUBJECTS BASE'!$G70,'[1]import GRADED seats subject piv'!$A:S,HLOOKUP(G$4,'[1]import GRADED seats subject piv'!$1:$2,2,FALSE),FALSE))),"")</f>
        <v>0.86088026420877672</v>
      </c>
      <c r="F75" s="53"/>
      <c r="G75" s="54"/>
      <c r="H75" s="52">
        <f>IFERROR((SUM(VLOOKUP('[1]SUBJECTS BASE'!$G70,'[1]import success seats'!$A:V,HLOOKUP(H$4,'[1]import success seats'!1:2,2,FALSE),FALSE))+(VLOOKUP('[1]SUBJECTS BASE'!$G70,'[1]import success seats'!$A:V,HLOOKUP(I$4,'[1]import success seats'!1:2,2,FALSE),FALSE))+(VLOOKUP('[1]SUBJECTS BASE'!$G70,'[1]import success seats'!$A:V,HLOOKUP(J$4,'[1]import success seats'!1:2,2,FALSE),FALSE)))/(SUM(VLOOKUP('[1]SUBJECTS BASE'!$G70,'[1]import GRADED seats subject piv'!$A:V,HLOOKUP(H$4,'[1]import GRADED seats subject piv'!$1:$2,2,FALSE),FALSE))+(VLOOKUP('[1]SUBJECTS BASE'!$G70,'[1]import GRADED seats subject piv'!$A:V,HLOOKUP(I$4,'[1]import GRADED seats subject piv'!$1:$2,2,FALSE),FALSE))+(VLOOKUP('[1]SUBJECTS BASE'!$G70,'[1]import GRADED seats subject piv'!$A:V,HLOOKUP(J$4,'[1]import GRADED seats subject piv'!$1:$2,2,FALSE),FALSE))),"")</f>
        <v>0.86460700656061062</v>
      </c>
      <c r="I75" s="53"/>
      <c r="J75" s="54"/>
      <c r="K75" s="52">
        <f>IFERROR((SUM(VLOOKUP('[1]SUBJECTS BASE'!$G70,'[1]import success seats'!$A:Y,HLOOKUP(K$4,'[1]import success seats'!1:2,2,FALSE),FALSE))+(VLOOKUP('[1]SUBJECTS BASE'!$G70,'[1]import success seats'!$A:Y,HLOOKUP(L$4,'[1]import success seats'!1:2,2,FALSE),FALSE))+(VLOOKUP('[1]SUBJECTS BASE'!$G70,'[1]import success seats'!$A:Y,HLOOKUP(M$4,'[1]import success seats'!1:2,2,FALSE),FALSE)))/(SUM(VLOOKUP('[1]SUBJECTS BASE'!$G70,'[1]import GRADED seats subject piv'!$A:Y,HLOOKUP(K$4,'[1]import GRADED seats subject piv'!$1:$2,2,FALSE),FALSE))+(VLOOKUP('[1]SUBJECTS BASE'!$G70,'[1]import GRADED seats subject piv'!$A:Y,HLOOKUP(L$4,'[1]import GRADED seats subject piv'!$1:$2,2,FALSE),FALSE))+(VLOOKUP('[1]SUBJECTS BASE'!$G70,'[1]import GRADED seats subject piv'!$A:Y,HLOOKUP(M$4,'[1]import GRADED seats subject piv'!$1:$2,2,FALSE),FALSE))),"")</f>
        <v>0.87093873781925102</v>
      </c>
      <c r="L75" s="53"/>
      <c r="M75" s="54"/>
      <c r="N75" s="52">
        <f>IFERROR((SUM(VLOOKUP('[1]SUBJECTS BASE'!$G70,'[1]import success seats'!$A:AB,HLOOKUP(N$4,'[1]import success seats'!1:2,2,FALSE),FALSE))+(VLOOKUP('[1]SUBJECTS BASE'!$G70,'[1]import success seats'!$A:AB,HLOOKUP(O$4,'[1]import success seats'!1:2,2,FALSE),FALSE))+(VLOOKUP('[1]SUBJECTS BASE'!$G70,'[1]import success seats'!$A:AB,HLOOKUP(P$4,'[1]import success seats'!1:2,2,FALSE),FALSE)))/(SUM(VLOOKUP('[1]SUBJECTS BASE'!$G70,'[1]import GRADED seats subject piv'!$A:AB,HLOOKUP(N$4,'[1]import GRADED seats subject piv'!$1:$2,2,FALSE),FALSE))+(VLOOKUP('[1]SUBJECTS BASE'!$G70,'[1]import GRADED seats subject piv'!$A:AB,HLOOKUP(O$4,'[1]import GRADED seats subject piv'!$1:$2,2,FALSE),FALSE))+(VLOOKUP('[1]SUBJECTS BASE'!$G70,'[1]import GRADED seats subject piv'!$A:AB,HLOOKUP(P$4,'[1]import GRADED seats subject piv'!$1:$2,2,FALSE),FALSE))),"")</f>
        <v>0.86616188265090754</v>
      </c>
      <c r="O75" s="53"/>
      <c r="P75" s="54"/>
      <c r="Q75" s="52">
        <f>IFERROR((SUM(VLOOKUP('[1]SUBJECTS BASE'!$G70,'[1]import success seats'!$A:AE,HLOOKUP(Q$4,'[1]import success seats'!1:2,2,FALSE),FALSE))+(VLOOKUP('[1]SUBJECTS BASE'!$G70,'[1]import success seats'!$A:AE,HLOOKUP(R$4,'[1]import success seats'!1:2,2,FALSE),FALSE))+(VLOOKUP('[1]SUBJECTS BASE'!$G70,'[1]import success seats'!$A:AE,HLOOKUP(S$4,'[1]import success seats'!1:2,2,FALSE),FALSE)))/(SUM(VLOOKUP('[1]SUBJECTS BASE'!$G70,'[1]import GRADED seats subject piv'!$A:AE,HLOOKUP(Q$4,'[1]import GRADED seats subject piv'!$1:$2,2,FALSE),FALSE))+(VLOOKUP('[1]SUBJECTS BASE'!$G70,'[1]import GRADED seats subject piv'!$A:AE,HLOOKUP(R$4,'[1]import GRADED seats subject piv'!$1:$2,2,FALSE),FALSE))+(VLOOKUP('[1]SUBJECTS BASE'!$G70,'[1]import GRADED seats subject piv'!$A:AE,HLOOKUP(S$4,'[1]import GRADED seats subject piv'!$1:$2,2,FALSE),FALSE))),"")</f>
        <v>0.86809034437351507</v>
      </c>
      <c r="R75" s="53"/>
      <c r="S75" s="54"/>
    </row>
    <row r="76" spans="1:19" x14ac:dyDescent="0.25">
      <c r="A76" s="34" t="s">
        <v>1151</v>
      </c>
    </row>
    <row r="77" spans="1:19" x14ac:dyDescent="0.25">
      <c r="A77" s="35" t="s">
        <v>1152</v>
      </c>
    </row>
    <row r="78" spans="1:19" x14ac:dyDescent="0.25">
      <c r="A78" s="33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workbookViewId="0">
      <pane ySplit="3" topLeftCell="A4" activePane="bottomLeft" state="frozen"/>
      <selection pane="bottomLeft" activeCell="U24" sqref="U24"/>
    </sheetView>
  </sheetViews>
  <sheetFormatPr defaultRowHeight="15" x14ac:dyDescent="0.25"/>
  <cols>
    <col min="1" max="1" width="58.140625" style="7" bestFit="1" customWidth="1"/>
    <col min="2" max="17" width="5.5703125" style="7" bestFit="1" customWidth="1"/>
    <col min="18" max="18" width="5.28515625" style="7" bestFit="1" customWidth="1"/>
    <col min="19" max="19" width="5.5703125" style="7" bestFit="1" customWidth="1"/>
  </cols>
  <sheetData>
    <row r="1" spans="1:29" ht="15.75" x14ac:dyDescent="0.25">
      <c r="A1" s="47" t="s">
        <v>1149</v>
      </c>
      <c r="B1" s="55" t="str">
        <f>'[1]Subject TOTALS'!$B$1:$P$1</f>
        <v xml:space="preserve">MVC Retention Rates 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29" ht="16.5" thickBot="1" x14ac:dyDescent="0.3">
      <c r="A2" s="48" t="s">
        <v>1139</v>
      </c>
      <c r="B2" s="57" t="s">
        <v>1144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9" x14ac:dyDescent="0.25">
      <c r="A3" s="10" t="s">
        <v>1145</v>
      </c>
      <c r="B3" s="61" t="s">
        <v>1137</v>
      </c>
      <c r="C3" s="62"/>
      <c r="D3" s="63"/>
      <c r="E3" s="65" t="s">
        <v>1065</v>
      </c>
      <c r="F3" s="50"/>
      <c r="G3" s="51"/>
      <c r="H3" s="64" t="s">
        <v>1066</v>
      </c>
      <c r="I3" s="62"/>
      <c r="J3" s="66"/>
      <c r="K3" s="49" t="s">
        <v>1067</v>
      </c>
      <c r="L3" s="50"/>
      <c r="M3" s="51"/>
      <c r="N3" s="64" t="s">
        <v>1068</v>
      </c>
      <c r="O3" s="62"/>
      <c r="P3" s="63"/>
      <c r="Q3" s="49" t="s">
        <v>1156</v>
      </c>
      <c r="R3" s="50"/>
      <c r="S3" s="51"/>
    </row>
    <row r="4" spans="1:29" ht="15.75" thickBot="1" x14ac:dyDescent="0.3">
      <c r="A4" s="11" t="s">
        <v>1070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44" t="s">
        <v>1060</v>
      </c>
      <c r="I4" s="39" t="s">
        <v>675</v>
      </c>
      <c r="J4" s="45" t="s">
        <v>1006</v>
      </c>
      <c r="K4" s="46" t="s">
        <v>1062</v>
      </c>
      <c r="L4" s="42" t="s">
        <v>762</v>
      </c>
      <c r="M4" s="43" t="s">
        <v>1022</v>
      </c>
      <c r="N4" s="44" t="s">
        <v>1063</v>
      </c>
      <c r="O4" s="39" t="s">
        <v>822</v>
      </c>
      <c r="P4" s="40" t="s">
        <v>1042</v>
      </c>
      <c r="Q4" s="46" t="s">
        <v>1153</v>
      </c>
      <c r="R4" s="42" t="s">
        <v>1154</v>
      </c>
      <c r="S4" s="43" t="s">
        <v>1155</v>
      </c>
      <c r="Z4" s="7"/>
      <c r="AA4" s="7"/>
      <c r="AB4" s="7"/>
      <c r="AC4" s="7"/>
    </row>
    <row r="5" spans="1:29" x14ac:dyDescent="0.25">
      <c r="A5" s="12" t="s">
        <v>1</v>
      </c>
      <c r="B5" s="24" t="str">
        <f>IFERROR((VLOOKUP($A5,'[1]import success seats course'!$A:P,HLOOKUP('[1]Course Totals'!B$4,'[1]import success seats course'!$1:$2,2,FALSE),FALSE)/(VLOOKUP($A5,'[1]import graded seats course pivo'!$A:Z,HLOOKUP('[1]Course Totals'!B$4,'[1]import graded seats course pivo'!$1:$2,2,FALSE),FALSE))),"")</f>
        <v/>
      </c>
      <c r="C5" s="24">
        <f>IFERROR((VLOOKUP($A5,'[1]import success seats course'!$A:Q,HLOOKUP('[1]Course Totals'!C$4,'[1]import success seats course'!$1:$2,2,FALSE),FALSE)/(VLOOKUP($A5,'[1]import graded seats course pivo'!$A:AA,HLOOKUP('[1]Course Totals'!C$4,'[1]import graded seats course pivo'!$1:$2,2,FALSE),FALSE))),"")</f>
        <v>0.63043478260869568</v>
      </c>
      <c r="D5" s="24">
        <f>IFERROR((VLOOKUP($A5,'[1]import success seats course'!$A:R,HLOOKUP('[1]Course Totals'!D$4,'[1]import success seats course'!$1:$2,2,FALSE),FALSE)/(VLOOKUP($A5,'[1]import graded seats course pivo'!$A:AB,HLOOKUP('[1]Course Totals'!D$4,'[1]import graded seats course pivo'!$1:$2,2,FALSE),FALSE))),"")</f>
        <v>0.7</v>
      </c>
      <c r="E5" s="24" t="str">
        <f>IFERROR((VLOOKUP($A5,'[1]import success seats course'!$A:S,HLOOKUP('[1]Course Totals'!E$4,'[1]import success seats course'!$1:$2,2,FALSE),FALSE)/(VLOOKUP($A5,'[1]import graded seats course pivo'!$A:AC,HLOOKUP('[1]Course Totals'!E$4,'[1]import graded seats course pivo'!$1:$2,2,FALSE),FALSE))),"")</f>
        <v/>
      </c>
      <c r="F5" s="24">
        <f>IFERROR((VLOOKUP($A5,'[1]import success seats course'!$A:T,HLOOKUP('[1]Course Totals'!F$4,'[1]import success seats course'!$1:$2,2,FALSE),FALSE)/(VLOOKUP($A5,'[1]import graded seats course pivo'!$A:AD,HLOOKUP('[1]Course Totals'!F$4,'[1]import graded seats course pivo'!$1:$2,2,FALSE),FALSE))),"")</f>
        <v>0.73770491803278693</v>
      </c>
      <c r="G5" s="24">
        <f>IFERROR((VLOOKUP($A5,'[1]import success seats course'!$A:U,HLOOKUP('[1]Course Totals'!G$4,'[1]import success seats course'!$1:$2,2,FALSE),FALSE)/(VLOOKUP($A5,'[1]import graded seats course pivo'!$A:AE,HLOOKUP('[1]Course Totals'!G$4,'[1]import graded seats course pivo'!$1:$2,2,FALSE),FALSE))),"")</f>
        <v>0.65306122448979587</v>
      </c>
      <c r="H5" s="24" t="str">
        <f>IFERROR((VLOOKUP($A5,'[1]import success seats course'!$A:V,HLOOKUP('[1]Course Totals'!H$4,'[1]import success seats course'!$1:$2,2,FALSE),FALSE)/(VLOOKUP($A5,'[1]import graded seats course pivo'!$A:AF,HLOOKUP('[1]Course Totals'!H$4,'[1]import graded seats course pivo'!$1:$2,2,FALSE),FALSE))),"")</f>
        <v/>
      </c>
      <c r="I5" s="24">
        <f>IFERROR((VLOOKUP($A5,'[1]import success seats course'!$A:W,HLOOKUP('[1]Course Totals'!I$4,'[1]import success seats course'!$1:$2,2,FALSE),FALSE)/(VLOOKUP($A5,'[1]import graded seats course pivo'!$A:AG,HLOOKUP('[1]Course Totals'!I$4,'[1]import graded seats course pivo'!$1:$2,2,FALSE),FALSE))),"")</f>
        <v>0.56862745098039214</v>
      </c>
      <c r="J5" s="24">
        <f>IFERROR((VLOOKUP($A5,'[1]import success seats course'!$A:X,HLOOKUP('[1]Course Totals'!J$4,'[1]import success seats course'!$1:$2,2,FALSE),FALSE)/(VLOOKUP($A5,'[1]import graded seats course pivo'!$A:AH,HLOOKUP('[1]Course Totals'!J$4,'[1]import graded seats course pivo'!$1:$2,2,FALSE),FALSE))),"")</f>
        <v>0.85</v>
      </c>
      <c r="K5" s="24" t="str">
        <f>IFERROR((VLOOKUP($A5,'[1]import success seats course'!$A:Y,HLOOKUP('[1]Course Totals'!K$4,'[1]import success seats course'!$1:$2,2,FALSE),FALSE)/(VLOOKUP($A5,'[1]import graded seats course pivo'!$A:AI,HLOOKUP('[1]Course Totals'!K$4,'[1]import graded seats course pivo'!$1:$2,2,FALSE),FALSE))),"")</f>
        <v/>
      </c>
      <c r="L5" s="24" t="str">
        <f>IFERROR((VLOOKUP($A5,'[1]import success seats course'!$A:Z,HLOOKUP('[1]Course Totals'!L$4,'[1]import success seats course'!$1:$2,2,FALSE),FALSE)/(VLOOKUP($A5,'[1]import graded seats course pivo'!$A:AJ,HLOOKUP('[1]Course Totals'!L$4,'[1]import graded seats course pivo'!$1:$2,2,FALSE),FALSE))),"")</f>
        <v/>
      </c>
      <c r="M5" s="24" t="str">
        <f>IFERROR((VLOOKUP($A5,'[1]import success seats course'!$A:AA,HLOOKUP('[1]Course Totals'!M$4,'[1]import success seats course'!$1:$2,2,FALSE),FALSE)/(VLOOKUP($A5,'[1]import graded seats course pivo'!$A:AK,HLOOKUP('[1]Course Totals'!M$4,'[1]import graded seats course pivo'!$1:$2,2,FALSE),FALSE))),"")</f>
        <v/>
      </c>
      <c r="N5" s="24" t="str">
        <f>IFERROR((VLOOKUP($A5,'[1]import success seats course'!$A:AB,HLOOKUP('[1]Course Totals'!N$4,'[1]import success seats course'!$1:$2,2,FALSE),FALSE)/(VLOOKUP($A5,'[1]import graded seats course pivo'!$A:AL,HLOOKUP('[1]Course Totals'!N$4,'[1]import graded seats course pivo'!$1:$2,2,FALSE),FALSE))),"")</f>
        <v/>
      </c>
      <c r="O5" s="24" t="str">
        <f>IFERROR((VLOOKUP($A5,'[1]import success seats course'!$A:AC,HLOOKUP('[1]Course Totals'!O$4,'[1]import success seats course'!$1:$2,2,FALSE),FALSE)/(VLOOKUP($A5,'[1]import graded seats course pivo'!$A:AM,HLOOKUP('[1]Course Totals'!O$4,'[1]import graded seats course pivo'!$1:$2,2,FALSE),FALSE))),"")</f>
        <v/>
      </c>
      <c r="P5" s="24" t="str">
        <f>IFERROR((VLOOKUP($A5,'[1]import success seats course'!$A:AD,HLOOKUP('[1]Course Totals'!P$4,'[1]import success seats course'!$1:$2,2,FALSE),FALSE)/(VLOOKUP($A5,'[1]import graded seats course pivo'!$A:AN,HLOOKUP('[1]Course Totals'!P$4,'[1]import graded seats course pivo'!$1:$2,2,FALSE),FALSE))),"")</f>
        <v/>
      </c>
      <c r="Q5" s="24" t="str">
        <f>IFERROR((VLOOKUP($A5,'[1]import success seats course'!$A:AE,HLOOKUP('[1]Course Totals'!Q$4,'[1]import success seats course'!$1:$2,2,FALSE),FALSE)/(VLOOKUP($A5,'[1]import graded seats course pivo'!$A:AO,HLOOKUP('[1]Course Totals'!Q$4,'[1]import graded seats course pivo'!$1:$2,2,FALSE),FALSE))),"")</f>
        <v/>
      </c>
      <c r="R5" s="24" t="str">
        <f>IFERROR((VLOOKUP($A5,'[1]import success seats course'!$A:AF,HLOOKUP('[1]Course Totals'!R$4,'[1]import success seats course'!$1:$2,2,FALSE),FALSE)/(VLOOKUP($A5,'[1]import graded seats course pivo'!$A:AP,HLOOKUP('[1]Course Totals'!R$4,'[1]import graded seats course pivo'!$1:$2,2,FALSE),FALSE))),"")</f>
        <v/>
      </c>
      <c r="S5" s="24" t="str">
        <f>IFERROR((VLOOKUP($A5,'[1]import success seats course'!$A:AG,HLOOKUP('[1]Course Totals'!S$4,'[1]import success seats course'!$1:$2,2,FALSE),FALSE)/(VLOOKUP($A5,'[1]import graded seats course pivo'!$A:AQ,HLOOKUP('[1]Course Totals'!S$4,'[1]import graded seats course pivo'!$1:$2,2,FALSE),FALSE))),"")</f>
        <v/>
      </c>
      <c r="Z5" s="7"/>
      <c r="AA5" s="7"/>
      <c r="AB5" s="7"/>
      <c r="AC5" s="7"/>
    </row>
    <row r="6" spans="1:29" x14ac:dyDescent="0.25">
      <c r="A6" s="12" t="s">
        <v>763</v>
      </c>
      <c r="B6" s="14" t="str">
        <f>IFERROR((VLOOKUP($A6,'[1]import success seats course'!$A:P,HLOOKUP('[1]Course Totals'!B$4,'[1]import success seats course'!$1:$2,2,FALSE),FALSE)/(VLOOKUP($A6,'[1]import graded seats course pivo'!$A:Z,HLOOKUP('[1]Course Totals'!B$4,'[1]import graded seats course pivo'!$1:$2,2,FALSE),FALSE))),"")</f>
        <v/>
      </c>
      <c r="C6" s="14" t="str">
        <f>IFERROR((VLOOKUP($A6,'[1]import success seats course'!$A:Q,HLOOKUP('[1]Course Totals'!C$4,'[1]import success seats course'!$1:$2,2,FALSE),FALSE)/(VLOOKUP($A6,'[1]import graded seats course pivo'!$A:AA,HLOOKUP('[1]Course Totals'!C$4,'[1]import graded seats course pivo'!$1:$2,2,FALSE),FALSE))),"")</f>
        <v/>
      </c>
      <c r="D6" s="14" t="str">
        <f>IFERROR((VLOOKUP($A6,'[1]import success seats course'!$A:R,HLOOKUP('[1]Course Totals'!D$4,'[1]import success seats course'!$1:$2,2,FALSE),FALSE)/(VLOOKUP($A6,'[1]import graded seats course pivo'!$A:AB,HLOOKUP('[1]Course Totals'!D$4,'[1]import graded seats course pivo'!$1:$2,2,FALSE),FALSE))),"")</f>
        <v/>
      </c>
      <c r="E6" s="14" t="str">
        <f>IFERROR((VLOOKUP($A6,'[1]import success seats course'!$A:S,HLOOKUP('[1]Course Totals'!E$4,'[1]import success seats course'!$1:$2,2,FALSE),FALSE)/(VLOOKUP($A6,'[1]import graded seats course pivo'!$A:AC,HLOOKUP('[1]Course Totals'!E$4,'[1]import graded seats course pivo'!$1:$2,2,FALSE),FALSE))),"")</f>
        <v/>
      </c>
      <c r="F6" s="14" t="str">
        <f>IFERROR((VLOOKUP($A6,'[1]import success seats course'!$A:T,HLOOKUP('[1]Course Totals'!F$4,'[1]import success seats course'!$1:$2,2,FALSE),FALSE)/(VLOOKUP($A6,'[1]import graded seats course pivo'!$A:AD,HLOOKUP('[1]Course Totals'!F$4,'[1]import graded seats course pivo'!$1:$2,2,FALSE),FALSE))),"")</f>
        <v/>
      </c>
      <c r="G6" s="14" t="str">
        <f>IFERROR((VLOOKUP($A6,'[1]import success seats course'!$A:U,HLOOKUP('[1]Course Totals'!G$4,'[1]import success seats course'!$1:$2,2,FALSE),FALSE)/(VLOOKUP($A6,'[1]import graded seats course pivo'!$A:AE,HLOOKUP('[1]Course Totals'!G$4,'[1]import graded seats course pivo'!$1:$2,2,FALSE),FALSE))),"")</f>
        <v/>
      </c>
      <c r="H6" s="14" t="str">
        <f>IFERROR((VLOOKUP($A6,'[1]import success seats course'!$A:V,HLOOKUP('[1]Course Totals'!H$4,'[1]import success seats course'!$1:$2,2,FALSE),FALSE)/(VLOOKUP($A6,'[1]import graded seats course pivo'!$A:AF,HLOOKUP('[1]Course Totals'!H$4,'[1]import graded seats course pivo'!$1:$2,2,FALSE),FALSE))),"")</f>
        <v/>
      </c>
      <c r="I6" s="14" t="str">
        <f>IFERROR((VLOOKUP($A6,'[1]import success seats course'!$A:W,HLOOKUP('[1]Course Totals'!I$4,'[1]import success seats course'!$1:$2,2,FALSE),FALSE)/(VLOOKUP($A6,'[1]import graded seats course pivo'!$A:AG,HLOOKUP('[1]Course Totals'!I$4,'[1]import graded seats course pivo'!$1:$2,2,FALSE),FALSE))),"")</f>
        <v/>
      </c>
      <c r="J6" s="14" t="str">
        <f>IFERROR((VLOOKUP($A6,'[1]import success seats course'!$A:X,HLOOKUP('[1]Course Totals'!J$4,'[1]import success seats course'!$1:$2,2,FALSE),FALSE)/(VLOOKUP($A6,'[1]import graded seats course pivo'!$A:AH,HLOOKUP('[1]Course Totals'!J$4,'[1]import graded seats course pivo'!$1:$2,2,FALSE),FALSE))),"")</f>
        <v/>
      </c>
      <c r="K6" s="14" t="str">
        <f>IFERROR((VLOOKUP($A6,'[1]import success seats course'!$A:Y,HLOOKUP('[1]Course Totals'!K$4,'[1]import success seats course'!$1:$2,2,FALSE),FALSE)/(VLOOKUP($A6,'[1]import graded seats course pivo'!$A:AI,HLOOKUP('[1]Course Totals'!K$4,'[1]import graded seats course pivo'!$1:$2,2,FALSE),FALSE))),"")</f>
        <v/>
      </c>
      <c r="L6" s="14">
        <f>IFERROR((VLOOKUP($A6,'[1]import success seats course'!$A:Z,HLOOKUP('[1]Course Totals'!L$4,'[1]import success seats course'!$1:$2,2,FALSE),FALSE)/(VLOOKUP($A6,'[1]import graded seats course pivo'!$A:AJ,HLOOKUP('[1]Course Totals'!L$4,'[1]import graded seats course pivo'!$1:$2,2,FALSE),FALSE))),"")</f>
        <v>0.63157894736842102</v>
      </c>
      <c r="M6" s="14">
        <f>IFERROR((VLOOKUP($A6,'[1]import success seats course'!$A:AA,HLOOKUP('[1]Course Totals'!M$4,'[1]import success seats course'!$1:$2,2,FALSE),FALSE)/(VLOOKUP($A6,'[1]import graded seats course pivo'!$A:AK,HLOOKUP('[1]Course Totals'!M$4,'[1]import graded seats course pivo'!$1:$2,2,FALSE),FALSE))),"")</f>
        <v>0.81481481481481477</v>
      </c>
      <c r="N6" s="14" t="str">
        <f>IFERROR((VLOOKUP($A6,'[1]import success seats course'!$A:AB,HLOOKUP('[1]Course Totals'!N$4,'[1]import success seats course'!$1:$2,2,FALSE),FALSE)/(VLOOKUP($A6,'[1]import graded seats course pivo'!$A:AL,HLOOKUP('[1]Course Totals'!N$4,'[1]import graded seats course pivo'!$1:$2,2,FALSE),FALSE))),"")</f>
        <v/>
      </c>
      <c r="O6" s="14">
        <f>IFERROR((VLOOKUP($A6,'[1]import success seats course'!$A:AC,HLOOKUP('[1]Course Totals'!O$4,'[1]import success seats course'!$1:$2,2,FALSE),FALSE)/(VLOOKUP($A6,'[1]import graded seats course pivo'!$A:AM,HLOOKUP('[1]Course Totals'!O$4,'[1]import graded seats course pivo'!$1:$2,2,FALSE),FALSE))),"")</f>
        <v>0.66666666666666663</v>
      </c>
      <c r="P6" s="14">
        <f>IFERROR((VLOOKUP($A6,'[1]import success seats course'!$A:AD,HLOOKUP('[1]Course Totals'!P$4,'[1]import success seats course'!$1:$2,2,FALSE),FALSE)/(VLOOKUP($A6,'[1]import graded seats course pivo'!$A:AN,HLOOKUP('[1]Course Totals'!P$4,'[1]import graded seats course pivo'!$1:$2,2,FALSE),FALSE))),"")</f>
        <v>0.72</v>
      </c>
      <c r="Q6" s="14" t="str">
        <f>IFERROR((VLOOKUP($A6,'[1]import success seats course'!$A:AE,HLOOKUP('[1]Course Totals'!Q$4,'[1]import success seats course'!$1:$2,2,FALSE),FALSE)/(VLOOKUP($A6,'[1]import graded seats course pivo'!$A:AO,HLOOKUP('[1]Course Totals'!Q$4,'[1]import graded seats course pivo'!$1:$2,2,FALSE),FALSE))),"")</f>
        <v/>
      </c>
      <c r="R6" s="14">
        <f>IFERROR((VLOOKUP($A6,'[1]import success seats course'!$A:AF,HLOOKUP('[1]Course Totals'!R$4,'[1]import success seats course'!$1:$2,2,FALSE),FALSE)/(VLOOKUP($A6,'[1]import graded seats course pivo'!$A:AP,HLOOKUP('[1]Course Totals'!R$4,'[1]import graded seats course pivo'!$1:$2,2,FALSE),FALSE))),"")</f>
        <v>0.90196078431372551</v>
      </c>
      <c r="S6" s="14">
        <f>IFERROR((VLOOKUP($A6,'[1]import success seats course'!$A:AG,HLOOKUP('[1]Course Totals'!S$4,'[1]import success seats course'!$1:$2,2,FALSE),FALSE)/(VLOOKUP($A6,'[1]import graded seats course pivo'!$A:AQ,HLOOKUP('[1]Course Totals'!S$4,'[1]import graded seats course pivo'!$1:$2,2,FALSE),FALSE))),"")</f>
        <v>0.8571428571428571</v>
      </c>
      <c r="Z6" s="7"/>
      <c r="AA6" s="7"/>
      <c r="AB6" s="7"/>
      <c r="AC6" s="7"/>
    </row>
    <row r="7" spans="1:29" x14ac:dyDescent="0.25">
      <c r="A7" s="12" t="s">
        <v>823</v>
      </c>
      <c r="B7" s="14" t="str">
        <f>IFERROR((VLOOKUP($A7,'[1]import success seats course'!$A:P,HLOOKUP('[1]Course Totals'!B$4,'[1]import success seats course'!$1:$2,2,FALSE),FALSE)/(VLOOKUP($A7,'[1]import graded seats course pivo'!$A:Z,HLOOKUP('[1]Course Totals'!B$4,'[1]import graded seats course pivo'!$1:$2,2,FALSE),FALSE))),"")</f>
        <v/>
      </c>
      <c r="C7" s="14" t="str">
        <f>IFERROR((VLOOKUP($A7,'[1]import success seats course'!$A:Q,HLOOKUP('[1]Course Totals'!C$4,'[1]import success seats course'!$1:$2,2,FALSE),FALSE)/(VLOOKUP($A7,'[1]import graded seats course pivo'!$A:AA,HLOOKUP('[1]Course Totals'!C$4,'[1]import graded seats course pivo'!$1:$2,2,FALSE),FALSE))),"")</f>
        <v/>
      </c>
      <c r="D7" s="14" t="str">
        <f>IFERROR((VLOOKUP($A7,'[1]import success seats course'!$A:R,HLOOKUP('[1]Course Totals'!D$4,'[1]import success seats course'!$1:$2,2,FALSE),FALSE)/(VLOOKUP($A7,'[1]import graded seats course pivo'!$A:AB,HLOOKUP('[1]Course Totals'!D$4,'[1]import graded seats course pivo'!$1:$2,2,FALSE),FALSE))),"")</f>
        <v/>
      </c>
      <c r="E7" s="14" t="str">
        <f>IFERROR((VLOOKUP($A7,'[1]import success seats course'!$A:S,HLOOKUP('[1]Course Totals'!E$4,'[1]import success seats course'!$1:$2,2,FALSE),FALSE)/(VLOOKUP($A7,'[1]import graded seats course pivo'!$A:AC,HLOOKUP('[1]Course Totals'!E$4,'[1]import graded seats course pivo'!$1:$2,2,FALSE),FALSE))),"")</f>
        <v/>
      </c>
      <c r="F7" s="14" t="str">
        <f>IFERROR((VLOOKUP($A7,'[1]import success seats course'!$A:T,HLOOKUP('[1]Course Totals'!F$4,'[1]import success seats course'!$1:$2,2,FALSE),FALSE)/(VLOOKUP($A7,'[1]import graded seats course pivo'!$A:AD,HLOOKUP('[1]Course Totals'!F$4,'[1]import graded seats course pivo'!$1:$2,2,FALSE),FALSE))),"")</f>
        <v/>
      </c>
      <c r="G7" s="14" t="str">
        <f>IFERROR((VLOOKUP($A7,'[1]import success seats course'!$A:U,HLOOKUP('[1]Course Totals'!G$4,'[1]import success seats course'!$1:$2,2,FALSE),FALSE)/(VLOOKUP($A7,'[1]import graded seats course pivo'!$A:AE,HLOOKUP('[1]Course Totals'!G$4,'[1]import graded seats course pivo'!$1:$2,2,FALSE),FALSE))),"")</f>
        <v/>
      </c>
      <c r="H7" s="14" t="str">
        <f>IFERROR((VLOOKUP($A7,'[1]import success seats course'!$A:V,HLOOKUP('[1]Course Totals'!H$4,'[1]import success seats course'!$1:$2,2,FALSE),FALSE)/(VLOOKUP($A7,'[1]import graded seats course pivo'!$A:AF,HLOOKUP('[1]Course Totals'!H$4,'[1]import graded seats course pivo'!$1:$2,2,FALSE),FALSE))),"")</f>
        <v/>
      </c>
      <c r="I7" s="14" t="str">
        <f>IFERROR((VLOOKUP($A7,'[1]import success seats course'!$A:W,HLOOKUP('[1]Course Totals'!I$4,'[1]import success seats course'!$1:$2,2,FALSE),FALSE)/(VLOOKUP($A7,'[1]import graded seats course pivo'!$A:AG,HLOOKUP('[1]Course Totals'!I$4,'[1]import graded seats course pivo'!$1:$2,2,FALSE),FALSE))),"")</f>
        <v/>
      </c>
      <c r="J7" s="14" t="str">
        <f>IFERROR((VLOOKUP($A7,'[1]import success seats course'!$A:X,HLOOKUP('[1]Course Totals'!J$4,'[1]import success seats course'!$1:$2,2,FALSE),FALSE)/(VLOOKUP($A7,'[1]import graded seats course pivo'!$A:AH,HLOOKUP('[1]Course Totals'!J$4,'[1]import graded seats course pivo'!$1:$2,2,FALSE),FALSE))),"")</f>
        <v/>
      </c>
      <c r="K7" s="14" t="str">
        <f>IFERROR((VLOOKUP($A7,'[1]import success seats course'!$A:Y,HLOOKUP('[1]Course Totals'!K$4,'[1]import success seats course'!$1:$2,2,FALSE),FALSE)/(VLOOKUP($A7,'[1]import graded seats course pivo'!$A:AI,HLOOKUP('[1]Course Totals'!K$4,'[1]import graded seats course pivo'!$1:$2,2,FALSE),FALSE))),"")</f>
        <v/>
      </c>
      <c r="L7" s="14" t="str">
        <f>IFERROR((VLOOKUP($A7,'[1]import success seats course'!$A:Z,HLOOKUP('[1]Course Totals'!L$4,'[1]import success seats course'!$1:$2,2,FALSE),FALSE)/(VLOOKUP($A7,'[1]import graded seats course pivo'!$A:AJ,HLOOKUP('[1]Course Totals'!L$4,'[1]import graded seats course pivo'!$1:$2,2,FALSE),FALSE))),"")</f>
        <v/>
      </c>
      <c r="M7" s="14">
        <f>IFERROR((VLOOKUP($A7,'[1]import success seats course'!$A:AA,HLOOKUP('[1]Course Totals'!M$4,'[1]import success seats course'!$1:$2,2,FALSE),FALSE)/(VLOOKUP($A7,'[1]import graded seats course pivo'!$A:AK,HLOOKUP('[1]Course Totals'!M$4,'[1]import graded seats course pivo'!$1:$2,2,FALSE),FALSE))),"")</f>
        <v>1</v>
      </c>
      <c r="N7" s="14" t="str">
        <f>IFERROR((VLOOKUP($A7,'[1]import success seats course'!$A:AB,HLOOKUP('[1]Course Totals'!N$4,'[1]import success seats course'!$1:$2,2,FALSE),FALSE)/(VLOOKUP($A7,'[1]import graded seats course pivo'!$A:AL,HLOOKUP('[1]Course Totals'!N$4,'[1]import graded seats course pivo'!$1:$2,2,FALSE),FALSE))),"")</f>
        <v/>
      </c>
      <c r="O7" s="14">
        <f>IFERROR((VLOOKUP($A7,'[1]import success seats course'!$A:AC,HLOOKUP('[1]Course Totals'!O$4,'[1]import success seats course'!$1:$2,2,FALSE),FALSE)/(VLOOKUP($A7,'[1]import graded seats course pivo'!$A:AM,HLOOKUP('[1]Course Totals'!O$4,'[1]import graded seats course pivo'!$1:$2,2,FALSE),FALSE))),"")</f>
        <v>0.90909090909090906</v>
      </c>
      <c r="P7" s="14">
        <f>IFERROR((VLOOKUP($A7,'[1]import success seats course'!$A:AD,HLOOKUP('[1]Course Totals'!P$4,'[1]import success seats course'!$1:$2,2,FALSE),FALSE)/(VLOOKUP($A7,'[1]import graded seats course pivo'!$A:AN,HLOOKUP('[1]Course Totals'!P$4,'[1]import graded seats course pivo'!$1:$2,2,FALSE),FALSE))),"")</f>
        <v>0.86363636363636365</v>
      </c>
      <c r="Q7" s="14" t="str">
        <f>IFERROR((VLOOKUP($A7,'[1]import success seats course'!$A:AE,HLOOKUP('[1]Course Totals'!Q$4,'[1]import success seats course'!$1:$2,2,FALSE),FALSE)/(VLOOKUP($A7,'[1]import graded seats course pivo'!$A:AO,HLOOKUP('[1]Course Totals'!Q$4,'[1]import graded seats course pivo'!$1:$2,2,FALSE),FALSE))),"")</f>
        <v/>
      </c>
      <c r="R7" s="14">
        <f>IFERROR((VLOOKUP($A7,'[1]import success seats course'!$A:AF,HLOOKUP('[1]Course Totals'!R$4,'[1]import success seats course'!$1:$2,2,FALSE),FALSE)/(VLOOKUP($A7,'[1]import graded seats course pivo'!$A:AP,HLOOKUP('[1]Course Totals'!R$4,'[1]import graded seats course pivo'!$1:$2,2,FALSE),FALSE))),"")</f>
        <v>0.9</v>
      </c>
      <c r="S7" s="14">
        <f>IFERROR((VLOOKUP($A7,'[1]import success seats course'!$A:AG,HLOOKUP('[1]Course Totals'!S$4,'[1]import success seats course'!$1:$2,2,FALSE),FALSE)/(VLOOKUP($A7,'[1]import graded seats course pivo'!$A:AQ,HLOOKUP('[1]Course Totals'!S$4,'[1]import graded seats course pivo'!$1:$2,2,FALSE),FALSE))),"")</f>
        <v>0.9</v>
      </c>
      <c r="Z7" s="7"/>
      <c r="AA7" s="7"/>
      <c r="AB7" s="7"/>
      <c r="AC7" s="7"/>
    </row>
    <row r="8" spans="1:29" x14ac:dyDescent="0.25">
      <c r="A8" s="12" t="s">
        <v>547</v>
      </c>
      <c r="B8" s="14" t="str">
        <f>IFERROR((VLOOKUP($A8,'[1]import success seats course'!$A:P,HLOOKUP('[1]Course Totals'!B$4,'[1]import success seats course'!$1:$2,2,FALSE),FALSE)/(VLOOKUP($A8,'[1]import graded seats course pivo'!$A:Z,HLOOKUP('[1]Course Totals'!B$4,'[1]import graded seats course pivo'!$1:$2,2,FALSE),FALSE))),"")</f>
        <v/>
      </c>
      <c r="C8" s="14" t="str">
        <f>IFERROR((VLOOKUP($A8,'[1]import success seats course'!$A:Q,HLOOKUP('[1]Course Totals'!C$4,'[1]import success seats course'!$1:$2,2,FALSE),FALSE)/(VLOOKUP($A8,'[1]import graded seats course pivo'!$A:AA,HLOOKUP('[1]Course Totals'!C$4,'[1]import graded seats course pivo'!$1:$2,2,FALSE),FALSE))),"")</f>
        <v/>
      </c>
      <c r="D8" s="14" t="str">
        <f>IFERROR((VLOOKUP($A8,'[1]import success seats course'!$A:R,HLOOKUP('[1]Course Totals'!D$4,'[1]import success seats course'!$1:$2,2,FALSE),FALSE)/(VLOOKUP($A8,'[1]import graded seats course pivo'!$A:AB,HLOOKUP('[1]Course Totals'!D$4,'[1]import graded seats course pivo'!$1:$2,2,FALSE),FALSE))),"")</f>
        <v/>
      </c>
      <c r="E8" s="14" t="str">
        <f>IFERROR((VLOOKUP($A8,'[1]import success seats course'!$A:S,HLOOKUP('[1]Course Totals'!E$4,'[1]import success seats course'!$1:$2,2,FALSE),FALSE)/(VLOOKUP($A8,'[1]import graded seats course pivo'!$A:AC,HLOOKUP('[1]Course Totals'!E$4,'[1]import graded seats course pivo'!$1:$2,2,FALSE),FALSE))),"")</f>
        <v/>
      </c>
      <c r="F8" s="14" t="str">
        <f>IFERROR((VLOOKUP($A8,'[1]import success seats course'!$A:T,HLOOKUP('[1]Course Totals'!F$4,'[1]import success seats course'!$1:$2,2,FALSE),FALSE)/(VLOOKUP($A8,'[1]import graded seats course pivo'!$A:AD,HLOOKUP('[1]Course Totals'!F$4,'[1]import graded seats course pivo'!$1:$2,2,FALSE),FALSE))),"")</f>
        <v/>
      </c>
      <c r="G8" s="14" t="str">
        <f>IFERROR((VLOOKUP($A8,'[1]import success seats course'!$A:U,HLOOKUP('[1]Course Totals'!G$4,'[1]import success seats course'!$1:$2,2,FALSE),FALSE)/(VLOOKUP($A8,'[1]import graded seats course pivo'!$A:AE,HLOOKUP('[1]Course Totals'!G$4,'[1]import graded seats course pivo'!$1:$2,2,FALSE),FALSE))),"")</f>
        <v/>
      </c>
      <c r="H8" s="14" t="str">
        <f>IFERROR((VLOOKUP($A8,'[1]import success seats course'!$A:V,HLOOKUP('[1]Course Totals'!H$4,'[1]import success seats course'!$1:$2,2,FALSE),FALSE)/(VLOOKUP($A8,'[1]import graded seats course pivo'!$A:AF,HLOOKUP('[1]Course Totals'!H$4,'[1]import graded seats course pivo'!$1:$2,2,FALSE),FALSE))),"")</f>
        <v/>
      </c>
      <c r="I8" s="14" t="str">
        <f>IFERROR((VLOOKUP($A8,'[1]import success seats course'!$A:W,HLOOKUP('[1]Course Totals'!I$4,'[1]import success seats course'!$1:$2,2,FALSE),FALSE)/(VLOOKUP($A8,'[1]import graded seats course pivo'!$A:AG,HLOOKUP('[1]Course Totals'!I$4,'[1]import graded seats course pivo'!$1:$2,2,FALSE),FALSE))),"")</f>
        <v/>
      </c>
      <c r="J8" s="14" t="str">
        <f>IFERROR((VLOOKUP($A8,'[1]import success seats course'!$A:X,HLOOKUP('[1]Course Totals'!J$4,'[1]import success seats course'!$1:$2,2,FALSE),FALSE)/(VLOOKUP($A8,'[1]import graded seats course pivo'!$A:AH,HLOOKUP('[1]Course Totals'!J$4,'[1]import graded seats course pivo'!$1:$2,2,FALSE),FALSE))),"")</f>
        <v/>
      </c>
      <c r="K8" s="14" t="str">
        <f>IFERROR((VLOOKUP($A8,'[1]import success seats course'!$A:Y,HLOOKUP('[1]Course Totals'!K$4,'[1]import success seats course'!$1:$2,2,FALSE),FALSE)/(VLOOKUP($A8,'[1]import graded seats course pivo'!$A:AI,HLOOKUP('[1]Course Totals'!K$4,'[1]import graded seats course pivo'!$1:$2,2,FALSE),FALSE))),"")</f>
        <v/>
      </c>
      <c r="L8" s="14">
        <f>IFERROR((VLOOKUP($A8,'[1]import success seats course'!$A:Z,HLOOKUP('[1]Course Totals'!L$4,'[1]import success seats course'!$1:$2,2,FALSE),FALSE)/(VLOOKUP($A8,'[1]import graded seats course pivo'!$A:AJ,HLOOKUP('[1]Course Totals'!L$4,'[1]import graded seats course pivo'!$1:$2,2,FALSE),FALSE))),"")</f>
        <v>0.95238095238095233</v>
      </c>
      <c r="M8" s="14" t="str">
        <f>IFERROR((VLOOKUP($A8,'[1]import success seats course'!$A:AA,HLOOKUP('[1]Course Totals'!M$4,'[1]import success seats course'!$1:$2,2,FALSE),FALSE)/(VLOOKUP($A8,'[1]import graded seats course pivo'!$A:AK,HLOOKUP('[1]Course Totals'!M$4,'[1]import graded seats course pivo'!$1:$2,2,FALSE),FALSE))),"")</f>
        <v/>
      </c>
      <c r="N8" s="14" t="str">
        <f>IFERROR((VLOOKUP($A8,'[1]import success seats course'!$A:AB,HLOOKUP('[1]Course Totals'!N$4,'[1]import success seats course'!$1:$2,2,FALSE),FALSE)/(VLOOKUP($A8,'[1]import graded seats course pivo'!$A:AL,HLOOKUP('[1]Course Totals'!N$4,'[1]import graded seats course pivo'!$1:$2,2,FALSE),FALSE))),"")</f>
        <v/>
      </c>
      <c r="O8" s="14" t="str">
        <f>IFERROR((VLOOKUP($A8,'[1]import success seats course'!$A:AC,HLOOKUP('[1]Course Totals'!O$4,'[1]import success seats course'!$1:$2,2,FALSE),FALSE)/(VLOOKUP($A8,'[1]import graded seats course pivo'!$A:AM,HLOOKUP('[1]Course Totals'!O$4,'[1]import graded seats course pivo'!$1:$2,2,FALSE),FALSE))),"")</f>
        <v/>
      </c>
      <c r="P8" s="14" t="str">
        <f>IFERROR((VLOOKUP($A8,'[1]import success seats course'!$A:AD,HLOOKUP('[1]Course Totals'!P$4,'[1]import success seats course'!$1:$2,2,FALSE),FALSE)/(VLOOKUP($A8,'[1]import graded seats course pivo'!$A:AN,HLOOKUP('[1]Course Totals'!P$4,'[1]import graded seats course pivo'!$1:$2,2,FALSE),FALSE))),"")</f>
        <v/>
      </c>
      <c r="Q8" s="14" t="str">
        <f>IFERROR((VLOOKUP($A8,'[1]import success seats course'!$A:AE,HLOOKUP('[1]Course Totals'!Q$4,'[1]import success seats course'!$1:$2,2,FALSE),FALSE)/(VLOOKUP($A8,'[1]import graded seats course pivo'!$A:AO,HLOOKUP('[1]Course Totals'!Q$4,'[1]import graded seats course pivo'!$1:$2,2,FALSE),FALSE))),"")</f>
        <v/>
      </c>
      <c r="R8" s="14" t="str">
        <f>IFERROR((VLOOKUP($A8,'[1]import success seats course'!$A:AF,HLOOKUP('[1]Course Totals'!R$4,'[1]import success seats course'!$1:$2,2,FALSE),FALSE)/(VLOOKUP($A8,'[1]import graded seats course pivo'!$A:AP,HLOOKUP('[1]Course Totals'!R$4,'[1]import graded seats course pivo'!$1:$2,2,FALSE),FALSE))),"")</f>
        <v/>
      </c>
      <c r="S8" s="14" t="str">
        <f>IFERROR((VLOOKUP($A8,'[1]import success seats course'!$A:AG,HLOOKUP('[1]Course Totals'!S$4,'[1]import success seats course'!$1:$2,2,FALSE),FALSE)/(VLOOKUP($A8,'[1]import graded seats course pivo'!$A:AQ,HLOOKUP('[1]Course Totals'!S$4,'[1]import graded seats course pivo'!$1:$2,2,FALSE),FALSE))),"")</f>
        <v/>
      </c>
      <c r="Z8" s="7"/>
      <c r="AA8" s="7"/>
      <c r="AB8" s="7"/>
      <c r="AC8" s="7"/>
    </row>
    <row r="9" spans="1:29" ht="15" hidden="1" customHeight="1" x14ac:dyDescent="0.25">
      <c r="A9" s="12" t="s">
        <v>676</v>
      </c>
      <c r="B9" s="14" t="str">
        <f>IFERROR((VLOOKUP($A9,'[1]import success seats course'!$A:P,HLOOKUP('[1]Course Totals'!B$4,'[1]import success seats course'!$1:$2,2,FALSE),FALSE)/(VLOOKUP($A9,'[1]import graded seats course pivo'!$A:Z,HLOOKUP('[1]Course Totals'!B$4,'[1]import graded seats course pivo'!$1:$2,2,FALSE),FALSE))),"")</f>
        <v/>
      </c>
      <c r="C9" s="14" t="str">
        <f>IFERROR((VLOOKUP($A9,'[1]import success seats course'!$A:Q,HLOOKUP('[1]Course Totals'!C$4,'[1]import success seats course'!$1:$2,2,FALSE),FALSE)/(VLOOKUP($A9,'[1]import graded seats course pivo'!$A:AA,HLOOKUP('[1]Course Totals'!C$4,'[1]import graded seats course pivo'!$1:$2,2,FALSE),FALSE))),"")</f>
        <v/>
      </c>
      <c r="D9" s="14" t="str">
        <f>IFERROR((VLOOKUP($A9,'[1]import success seats course'!$A:R,HLOOKUP('[1]Course Totals'!D$4,'[1]import success seats course'!$1:$2,2,FALSE),FALSE)/(VLOOKUP($A9,'[1]import graded seats course pivo'!$A:AB,HLOOKUP('[1]Course Totals'!D$4,'[1]import graded seats course pivo'!$1:$2,2,FALSE),FALSE))),"")</f>
        <v/>
      </c>
      <c r="E9" s="14" t="str">
        <f>IFERROR((VLOOKUP($A9,'[1]import success seats course'!$A:S,HLOOKUP('[1]Course Totals'!E$4,'[1]import success seats course'!$1:$2,2,FALSE),FALSE)/(VLOOKUP($A9,'[1]import graded seats course pivo'!$A:AC,HLOOKUP('[1]Course Totals'!E$4,'[1]import graded seats course pivo'!$1:$2,2,FALSE),FALSE))),"")</f>
        <v/>
      </c>
      <c r="F9" s="14" t="str">
        <f>IFERROR((VLOOKUP($A9,'[1]import success seats course'!$A:T,HLOOKUP('[1]Course Totals'!F$4,'[1]import success seats course'!$1:$2,2,FALSE),FALSE)/(VLOOKUP($A9,'[1]import graded seats course pivo'!$A:AD,HLOOKUP('[1]Course Totals'!F$4,'[1]import graded seats course pivo'!$1:$2,2,FALSE),FALSE))),"")</f>
        <v/>
      </c>
      <c r="G9" s="14" t="str">
        <f>IFERROR((VLOOKUP($A9,'[1]import success seats course'!$A:U,HLOOKUP('[1]Course Totals'!G$4,'[1]import success seats course'!$1:$2,2,FALSE),FALSE)/(VLOOKUP($A9,'[1]import graded seats course pivo'!$A:AE,HLOOKUP('[1]Course Totals'!G$4,'[1]import graded seats course pivo'!$1:$2,2,FALSE),FALSE))),"")</f>
        <v/>
      </c>
      <c r="H9" s="14" t="str">
        <f>IFERROR((VLOOKUP($A9,'[1]import success seats course'!$A:V,HLOOKUP('[1]Course Totals'!H$4,'[1]import success seats course'!$1:$2,2,FALSE),FALSE)/(VLOOKUP($A9,'[1]import graded seats course pivo'!$A:AF,HLOOKUP('[1]Course Totals'!H$4,'[1]import graded seats course pivo'!$1:$2,2,FALSE),FALSE))),"")</f>
        <v/>
      </c>
      <c r="I9" s="14" t="str">
        <f>IFERROR((VLOOKUP($A9,'[1]import success seats course'!$A:W,HLOOKUP('[1]Course Totals'!I$4,'[1]import success seats course'!$1:$2,2,FALSE),FALSE)/(VLOOKUP($A9,'[1]import graded seats course pivo'!$A:AG,HLOOKUP('[1]Course Totals'!I$4,'[1]import graded seats course pivo'!$1:$2,2,FALSE),FALSE))),"")</f>
        <v/>
      </c>
      <c r="J9" s="14" t="str">
        <f>IFERROR((VLOOKUP($A9,'[1]import success seats course'!$A:X,HLOOKUP('[1]Course Totals'!J$4,'[1]import success seats course'!$1:$2,2,FALSE),FALSE)/(VLOOKUP($A9,'[1]import graded seats course pivo'!$A:AH,HLOOKUP('[1]Course Totals'!J$4,'[1]import graded seats course pivo'!$1:$2,2,FALSE),FALSE))),"")</f>
        <v/>
      </c>
      <c r="K9" s="14" t="str">
        <f>IFERROR((VLOOKUP($A9,'[1]import success seats course'!$A:Y,HLOOKUP('[1]Course Totals'!K$4,'[1]import success seats course'!$1:$2,2,FALSE),FALSE)/(VLOOKUP($A9,'[1]import graded seats course pivo'!$A:AI,HLOOKUP('[1]Course Totals'!K$4,'[1]import graded seats course pivo'!$1:$2,2,FALSE),FALSE))),"")</f>
        <v/>
      </c>
      <c r="L9" s="14" t="str">
        <f>IFERROR((VLOOKUP($A9,'[1]import success seats course'!$A:Z,HLOOKUP('[1]Course Totals'!L$4,'[1]import success seats course'!$1:$2,2,FALSE),FALSE)/(VLOOKUP($A9,'[1]import graded seats course pivo'!$A:AJ,HLOOKUP('[1]Course Totals'!L$4,'[1]import graded seats course pivo'!$1:$2,2,FALSE),FALSE))),"")</f>
        <v/>
      </c>
      <c r="M9" s="14" t="str">
        <f>IFERROR((VLOOKUP($A9,'[1]import success seats course'!$A:AA,HLOOKUP('[1]Course Totals'!M$4,'[1]import success seats course'!$1:$2,2,FALSE),FALSE)/(VLOOKUP($A9,'[1]import graded seats course pivo'!$A:AK,HLOOKUP('[1]Course Totals'!M$4,'[1]import graded seats course pivo'!$1:$2,2,FALSE),FALSE))),"")</f>
        <v/>
      </c>
      <c r="N9" s="14" t="str">
        <f>IFERROR((VLOOKUP($A9,'[1]import success seats course'!$A:AB,HLOOKUP('[1]Course Totals'!N$4,'[1]import success seats course'!$1:$2,2,FALSE),FALSE)/(VLOOKUP($A9,'[1]import graded seats course pivo'!$A:AL,HLOOKUP('[1]Course Totals'!N$4,'[1]import graded seats course pivo'!$1:$2,2,FALSE),FALSE))),"")</f>
        <v/>
      </c>
      <c r="O9" s="14" t="str">
        <f>IFERROR((VLOOKUP($A9,'[1]import success seats course'!$A:AC,HLOOKUP('[1]Course Totals'!O$4,'[1]import success seats course'!$1:$2,2,FALSE),FALSE)/(VLOOKUP($A9,'[1]import graded seats course pivo'!$A:AM,HLOOKUP('[1]Course Totals'!O$4,'[1]import graded seats course pivo'!$1:$2,2,FALSE),FALSE))),"")</f>
        <v/>
      </c>
      <c r="P9" s="14" t="str">
        <f>IFERROR((VLOOKUP($A9,'[1]import success seats course'!$A:AD,HLOOKUP('[1]Course Totals'!P$4,'[1]import success seats course'!$1:$2,2,FALSE),FALSE)/(VLOOKUP($A9,'[1]import graded seats course pivo'!$A:AN,HLOOKUP('[1]Course Totals'!P$4,'[1]import graded seats course pivo'!$1:$2,2,FALSE),FALSE))),"")</f>
        <v/>
      </c>
      <c r="Q9" s="14" t="str">
        <f>IFERROR((VLOOKUP($A9,'[1]import success seats course'!$A:AE,HLOOKUP('[1]Course Totals'!Q$4,'[1]import success seats course'!$1:$2,2,FALSE),FALSE)/(VLOOKUP($A9,'[1]import graded seats course pivo'!$A:AO,HLOOKUP('[1]Course Totals'!Q$4,'[1]import graded seats course pivo'!$1:$2,2,FALSE),FALSE))),"")</f>
        <v/>
      </c>
      <c r="R9" s="14" t="str">
        <f>IFERROR((VLOOKUP($A9,'[1]import success seats course'!$A:AF,HLOOKUP('[1]Course Totals'!R$4,'[1]import success seats course'!$1:$2,2,FALSE),FALSE)/(VLOOKUP($A9,'[1]import graded seats course pivo'!$A:AP,HLOOKUP('[1]Course Totals'!R$4,'[1]import graded seats course pivo'!$1:$2,2,FALSE),FALSE))),"")</f>
        <v/>
      </c>
      <c r="S9" s="14" t="str">
        <f>IFERROR((VLOOKUP($A9,'[1]import success seats course'!$A:AG,HLOOKUP('[1]Course Totals'!S$4,'[1]import success seats course'!$1:$2,2,FALSE),FALSE)/(VLOOKUP($A9,'[1]import graded seats course pivo'!$A:AQ,HLOOKUP('[1]Course Totals'!S$4,'[1]import graded seats course pivo'!$1:$2,2,FALSE),FALSE))),"")</f>
        <v/>
      </c>
      <c r="Z9" s="7"/>
      <c r="AA9" s="7"/>
      <c r="AB9" s="7"/>
      <c r="AC9" s="7"/>
    </row>
    <row r="10" spans="1:29" ht="15" hidden="1" customHeight="1" x14ac:dyDescent="0.25">
      <c r="A10" s="12" t="s">
        <v>2</v>
      </c>
      <c r="B10" s="14" t="str">
        <f>IFERROR((VLOOKUP($A10,'[1]import success seats course'!$A:P,HLOOKUP('[1]Course Totals'!B$4,'[1]import success seats course'!$1:$2,2,FALSE),FALSE)/(VLOOKUP($A10,'[1]import graded seats course pivo'!$A:Z,HLOOKUP('[1]Course Totals'!B$4,'[1]import graded seats course pivo'!$1:$2,2,FALSE),FALSE))),"")</f>
        <v/>
      </c>
      <c r="C10" s="14" t="str">
        <f>IFERROR((VLOOKUP($A10,'[1]import success seats course'!$A:Q,HLOOKUP('[1]Course Totals'!C$4,'[1]import success seats course'!$1:$2,2,FALSE),FALSE)/(VLOOKUP($A10,'[1]import graded seats course pivo'!$A:AA,HLOOKUP('[1]Course Totals'!C$4,'[1]import graded seats course pivo'!$1:$2,2,FALSE),FALSE))),"")</f>
        <v/>
      </c>
      <c r="D10" s="14" t="str">
        <f>IFERROR((VLOOKUP($A10,'[1]import success seats course'!$A:R,HLOOKUP('[1]Course Totals'!D$4,'[1]import success seats course'!$1:$2,2,FALSE),FALSE)/(VLOOKUP($A10,'[1]import graded seats course pivo'!$A:AB,HLOOKUP('[1]Course Totals'!D$4,'[1]import graded seats course pivo'!$1:$2,2,FALSE),FALSE))),"")</f>
        <v/>
      </c>
      <c r="E10" s="14" t="str">
        <f>IFERROR((VLOOKUP($A10,'[1]import success seats course'!$A:S,HLOOKUP('[1]Course Totals'!E$4,'[1]import success seats course'!$1:$2,2,FALSE),FALSE)/(VLOOKUP($A10,'[1]import graded seats course pivo'!$A:AC,HLOOKUP('[1]Course Totals'!E$4,'[1]import graded seats course pivo'!$1:$2,2,FALSE),FALSE))),"")</f>
        <v/>
      </c>
      <c r="F10" s="14" t="str">
        <f>IFERROR((VLOOKUP($A10,'[1]import success seats course'!$A:T,HLOOKUP('[1]Course Totals'!F$4,'[1]import success seats course'!$1:$2,2,FALSE),FALSE)/(VLOOKUP($A10,'[1]import graded seats course pivo'!$A:AD,HLOOKUP('[1]Course Totals'!F$4,'[1]import graded seats course pivo'!$1:$2,2,FALSE),FALSE))),"")</f>
        <v/>
      </c>
      <c r="G10" s="14" t="str">
        <f>IFERROR((VLOOKUP($A10,'[1]import success seats course'!$A:U,HLOOKUP('[1]Course Totals'!G$4,'[1]import success seats course'!$1:$2,2,FALSE),FALSE)/(VLOOKUP($A10,'[1]import graded seats course pivo'!$A:AE,HLOOKUP('[1]Course Totals'!G$4,'[1]import graded seats course pivo'!$1:$2,2,FALSE),FALSE))),"")</f>
        <v/>
      </c>
      <c r="H10" s="14" t="str">
        <f>IFERROR((VLOOKUP($A10,'[1]import success seats course'!$A:V,HLOOKUP('[1]Course Totals'!H$4,'[1]import success seats course'!$1:$2,2,FALSE),FALSE)/(VLOOKUP($A10,'[1]import graded seats course pivo'!$A:AF,HLOOKUP('[1]Course Totals'!H$4,'[1]import graded seats course pivo'!$1:$2,2,FALSE),FALSE))),"")</f>
        <v/>
      </c>
      <c r="I10" s="14" t="str">
        <f>IFERROR((VLOOKUP($A10,'[1]import success seats course'!$A:W,HLOOKUP('[1]Course Totals'!I$4,'[1]import success seats course'!$1:$2,2,FALSE),FALSE)/(VLOOKUP($A10,'[1]import graded seats course pivo'!$A:AG,HLOOKUP('[1]Course Totals'!I$4,'[1]import graded seats course pivo'!$1:$2,2,FALSE),FALSE))),"")</f>
        <v/>
      </c>
      <c r="J10" s="14" t="str">
        <f>IFERROR((VLOOKUP($A10,'[1]import success seats course'!$A:X,HLOOKUP('[1]Course Totals'!J$4,'[1]import success seats course'!$1:$2,2,FALSE),FALSE)/(VLOOKUP($A10,'[1]import graded seats course pivo'!$A:AH,HLOOKUP('[1]Course Totals'!J$4,'[1]import graded seats course pivo'!$1:$2,2,FALSE),FALSE))),"")</f>
        <v/>
      </c>
      <c r="K10" s="14" t="str">
        <f>IFERROR((VLOOKUP($A10,'[1]import success seats course'!$A:Y,HLOOKUP('[1]Course Totals'!K$4,'[1]import success seats course'!$1:$2,2,FALSE),FALSE)/(VLOOKUP($A10,'[1]import graded seats course pivo'!$A:AI,HLOOKUP('[1]Course Totals'!K$4,'[1]import graded seats course pivo'!$1:$2,2,FALSE),FALSE))),"")</f>
        <v/>
      </c>
      <c r="L10" s="14" t="str">
        <f>IFERROR((VLOOKUP($A10,'[1]import success seats course'!$A:Z,HLOOKUP('[1]Course Totals'!L$4,'[1]import success seats course'!$1:$2,2,FALSE),FALSE)/(VLOOKUP($A10,'[1]import graded seats course pivo'!$A:AJ,HLOOKUP('[1]Course Totals'!L$4,'[1]import graded seats course pivo'!$1:$2,2,FALSE),FALSE))),"")</f>
        <v/>
      </c>
      <c r="M10" s="14" t="str">
        <f>IFERROR((VLOOKUP($A10,'[1]import success seats course'!$A:AA,HLOOKUP('[1]Course Totals'!M$4,'[1]import success seats course'!$1:$2,2,FALSE),FALSE)/(VLOOKUP($A10,'[1]import graded seats course pivo'!$A:AK,HLOOKUP('[1]Course Totals'!M$4,'[1]import graded seats course pivo'!$1:$2,2,FALSE),FALSE))),"")</f>
        <v/>
      </c>
      <c r="N10" s="14" t="str">
        <f>IFERROR((VLOOKUP($A10,'[1]import success seats course'!$A:AB,HLOOKUP('[1]Course Totals'!N$4,'[1]import success seats course'!$1:$2,2,FALSE),FALSE)/(VLOOKUP($A10,'[1]import graded seats course pivo'!$A:AL,HLOOKUP('[1]Course Totals'!N$4,'[1]import graded seats course pivo'!$1:$2,2,FALSE),FALSE))),"")</f>
        <v/>
      </c>
      <c r="O10" s="14" t="str">
        <f>IFERROR((VLOOKUP($A10,'[1]import success seats course'!$A:AC,HLOOKUP('[1]Course Totals'!O$4,'[1]import success seats course'!$1:$2,2,FALSE),FALSE)/(VLOOKUP($A10,'[1]import graded seats course pivo'!$A:AM,HLOOKUP('[1]Course Totals'!O$4,'[1]import graded seats course pivo'!$1:$2,2,FALSE),FALSE))),"")</f>
        <v/>
      </c>
      <c r="P10" s="14" t="str">
        <f>IFERROR((VLOOKUP($A10,'[1]import success seats course'!$A:AD,HLOOKUP('[1]Course Totals'!P$4,'[1]import success seats course'!$1:$2,2,FALSE),FALSE)/(VLOOKUP($A10,'[1]import graded seats course pivo'!$A:AN,HLOOKUP('[1]Course Totals'!P$4,'[1]import graded seats course pivo'!$1:$2,2,FALSE),FALSE))),"")</f>
        <v/>
      </c>
      <c r="Q10" s="14" t="str">
        <f>IFERROR((VLOOKUP($A10,'[1]import success seats course'!$A:AE,HLOOKUP('[1]Course Totals'!Q$4,'[1]import success seats course'!$1:$2,2,FALSE),FALSE)/(VLOOKUP($A10,'[1]import graded seats course pivo'!$A:AO,HLOOKUP('[1]Course Totals'!Q$4,'[1]import graded seats course pivo'!$1:$2,2,FALSE),FALSE))),"")</f>
        <v/>
      </c>
      <c r="R10" s="14" t="str">
        <f>IFERROR((VLOOKUP($A10,'[1]import success seats course'!$A:AF,HLOOKUP('[1]Course Totals'!R$4,'[1]import success seats course'!$1:$2,2,FALSE),FALSE)/(VLOOKUP($A10,'[1]import graded seats course pivo'!$A:AP,HLOOKUP('[1]Course Totals'!R$4,'[1]import graded seats course pivo'!$1:$2,2,FALSE),FALSE))),"")</f>
        <v/>
      </c>
      <c r="S10" s="14" t="str">
        <f>IFERROR((VLOOKUP($A10,'[1]import success seats course'!$A:AG,HLOOKUP('[1]Course Totals'!S$4,'[1]import success seats course'!$1:$2,2,FALSE),FALSE)/(VLOOKUP($A10,'[1]import graded seats course pivo'!$A:AQ,HLOOKUP('[1]Course Totals'!S$4,'[1]import graded seats course pivo'!$1:$2,2,FALSE),FALSE))),"")</f>
        <v/>
      </c>
      <c r="Z10" s="7"/>
      <c r="AA10" s="7"/>
      <c r="AB10" s="7"/>
      <c r="AC10" s="7"/>
    </row>
    <row r="11" spans="1:29" x14ac:dyDescent="0.25">
      <c r="A11" s="12" t="s">
        <v>3</v>
      </c>
      <c r="B11" s="14" t="str">
        <f>IFERROR((VLOOKUP($A11,'[1]import success seats course'!$A:P,HLOOKUP('[1]Course Totals'!B$4,'[1]import success seats course'!$1:$2,2,FALSE),FALSE)/(VLOOKUP($A11,'[1]import graded seats course pivo'!$A:Z,HLOOKUP('[1]Course Totals'!B$4,'[1]import graded seats course pivo'!$1:$2,2,FALSE),FALSE))),"")</f>
        <v/>
      </c>
      <c r="C11" s="14">
        <f>IFERROR((VLOOKUP($A11,'[1]import success seats course'!$A:Q,HLOOKUP('[1]Course Totals'!C$4,'[1]import success seats course'!$1:$2,2,FALSE),FALSE)/(VLOOKUP($A11,'[1]import graded seats course pivo'!$A:AA,HLOOKUP('[1]Course Totals'!C$4,'[1]import graded seats course pivo'!$1:$2,2,FALSE),FALSE))),"")</f>
        <v>0.72380952380952379</v>
      </c>
      <c r="D11" s="14">
        <f>IFERROR((VLOOKUP($A11,'[1]import success seats course'!$A:R,HLOOKUP('[1]Course Totals'!D$4,'[1]import success seats course'!$1:$2,2,FALSE),FALSE)/(VLOOKUP($A11,'[1]import graded seats course pivo'!$A:AB,HLOOKUP('[1]Course Totals'!D$4,'[1]import graded seats course pivo'!$1:$2,2,FALSE),FALSE))),"")</f>
        <v>0.69</v>
      </c>
      <c r="E11" s="14" t="str">
        <f>IFERROR((VLOOKUP($A11,'[1]import success seats course'!$A:S,HLOOKUP('[1]Course Totals'!E$4,'[1]import success seats course'!$1:$2,2,FALSE),FALSE)/(VLOOKUP($A11,'[1]import graded seats course pivo'!$A:AC,HLOOKUP('[1]Course Totals'!E$4,'[1]import graded seats course pivo'!$1:$2,2,FALSE),FALSE))),"")</f>
        <v/>
      </c>
      <c r="F11" s="14">
        <f>IFERROR((VLOOKUP($A11,'[1]import success seats course'!$A:T,HLOOKUP('[1]Course Totals'!F$4,'[1]import success seats course'!$1:$2,2,FALSE),FALSE)/(VLOOKUP($A11,'[1]import graded seats course pivo'!$A:AD,HLOOKUP('[1]Course Totals'!F$4,'[1]import graded seats course pivo'!$1:$2,2,FALSE),FALSE))),"")</f>
        <v>0.72580645161290325</v>
      </c>
      <c r="G11" s="14">
        <f>IFERROR((VLOOKUP($A11,'[1]import success seats course'!$A:U,HLOOKUP('[1]Course Totals'!G$4,'[1]import success seats course'!$1:$2,2,FALSE),FALSE)/(VLOOKUP($A11,'[1]import graded seats course pivo'!$A:AE,HLOOKUP('[1]Course Totals'!G$4,'[1]import graded seats course pivo'!$1:$2,2,FALSE),FALSE))),"")</f>
        <v>0.80833333333333335</v>
      </c>
      <c r="H11" s="14" t="str">
        <f>IFERROR((VLOOKUP($A11,'[1]import success seats course'!$A:V,HLOOKUP('[1]Course Totals'!H$4,'[1]import success seats course'!$1:$2,2,FALSE),FALSE)/(VLOOKUP($A11,'[1]import graded seats course pivo'!$A:AF,HLOOKUP('[1]Course Totals'!H$4,'[1]import graded seats course pivo'!$1:$2,2,FALSE),FALSE))),"")</f>
        <v/>
      </c>
      <c r="I11" s="14">
        <f>IFERROR((VLOOKUP($A11,'[1]import success seats course'!$A:W,HLOOKUP('[1]Course Totals'!I$4,'[1]import success seats course'!$1:$2,2,FALSE),FALSE)/(VLOOKUP($A11,'[1]import graded seats course pivo'!$A:AG,HLOOKUP('[1]Course Totals'!I$4,'[1]import graded seats course pivo'!$1:$2,2,FALSE),FALSE))),"")</f>
        <v>0.82568807339449546</v>
      </c>
      <c r="J11" s="14">
        <f>IFERROR((VLOOKUP($A11,'[1]import success seats course'!$A:X,HLOOKUP('[1]Course Totals'!J$4,'[1]import success seats course'!$1:$2,2,FALSE),FALSE)/(VLOOKUP($A11,'[1]import graded seats course pivo'!$A:AH,HLOOKUP('[1]Course Totals'!J$4,'[1]import graded seats course pivo'!$1:$2,2,FALSE),FALSE))),"")</f>
        <v>0.81300813008130079</v>
      </c>
      <c r="K11" s="14" t="str">
        <f>IFERROR((VLOOKUP($A11,'[1]import success seats course'!$A:Y,HLOOKUP('[1]Course Totals'!K$4,'[1]import success seats course'!$1:$2,2,FALSE),FALSE)/(VLOOKUP($A11,'[1]import graded seats course pivo'!$A:AI,HLOOKUP('[1]Course Totals'!K$4,'[1]import graded seats course pivo'!$1:$2,2,FALSE),FALSE))),"")</f>
        <v/>
      </c>
      <c r="L11" s="14">
        <f>IFERROR((VLOOKUP($A11,'[1]import success seats course'!$A:Z,HLOOKUP('[1]Course Totals'!L$4,'[1]import success seats course'!$1:$2,2,FALSE),FALSE)/(VLOOKUP($A11,'[1]import graded seats course pivo'!$A:AJ,HLOOKUP('[1]Course Totals'!L$4,'[1]import graded seats course pivo'!$1:$2,2,FALSE),FALSE))),"")</f>
        <v>0.80487804878048785</v>
      </c>
      <c r="M11" s="14">
        <f>IFERROR((VLOOKUP($A11,'[1]import success seats course'!$A:AA,HLOOKUP('[1]Course Totals'!M$4,'[1]import success seats course'!$1:$2,2,FALSE),FALSE)/(VLOOKUP($A11,'[1]import graded seats course pivo'!$A:AK,HLOOKUP('[1]Course Totals'!M$4,'[1]import graded seats course pivo'!$1:$2,2,FALSE),FALSE))),"")</f>
        <v>0.83185840707964598</v>
      </c>
      <c r="N11" s="14" t="str">
        <f>IFERROR((VLOOKUP($A11,'[1]import success seats course'!$A:AB,HLOOKUP('[1]Course Totals'!N$4,'[1]import success seats course'!$1:$2,2,FALSE),FALSE)/(VLOOKUP($A11,'[1]import graded seats course pivo'!$A:AL,HLOOKUP('[1]Course Totals'!N$4,'[1]import graded seats course pivo'!$1:$2,2,FALSE),FALSE))),"")</f>
        <v/>
      </c>
      <c r="O11" s="14">
        <f>IFERROR((VLOOKUP($A11,'[1]import success seats course'!$A:AC,HLOOKUP('[1]Course Totals'!O$4,'[1]import success seats course'!$1:$2,2,FALSE),FALSE)/(VLOOKUP($A11,'[1]import graded seats course pivo'!$A:AM,HLOOKUP('[1]Course Totals'!O$4,'[1]import graded seats course pivo'!$1:$2,2,FALSE),FALSE))),"")</f>
        <v>0.78813559322033899</v>
      </c>
      <c r="P11" s="14">
        <f>IFERROR((VLOOKUP($A11,'[1]import success seats course'!$A:AD,HLOOKUP('[1]Course Totals'!P$4,'[1]import success seats course'!$1:$2,2,FALSE),FALSE)/(VLOOKUP($A11,'[1]import graded seats course pivo'!$A:AN,HLOOKUP('[1]Course Totals'!P$4,'[1]import graded seats course pivo'!$1:$2,2,FALSE),FALSE))),"")</f>
        <v>0.73275862068965514</v>
      </c>
      <c r="Q11" s="14" t="str">
        <f>IFERROR((VLOOKUP($A11,'[1]import success seats course'!$A:AE,HLOOKUP('[1]Course Totals'!Q$4,'[1]import success seats course'!$1:$2,2,FALSE),FALSE)/(VLOOKUP($A11,'[1]import graded seats course pivo'!$A:AO,HLOOKUP('[1]Course Totals'!Q$4,'[1]import graded seats course pivo'!$1:$2,2,FALSE),FALSE))),"")</f>
        <v/>
      </c>
      <c r="R11" s="14">
        <f>IFERROR((VLOOKUP($A11,'[1]import success seats course'!$A:AF,HLOOKUP('[1]Course Totals'!R$4,'[1]import success seats course'!$1:$2,2,FALSE),FALSE)/(VLOOKUP($A11,'[1]import graded seats course pivo'!$A:AP,HLOOKUP('[1]Course Totals'!R$4,'[1]import graded seats course pivo'!$1:$2,2,FALSE),FALSE))),"")</f>
        <v>0.77586206896551724</v>
      </c>
      <c r="S11" s="14">
        <f>IFERROR((VLOOKUP($A11,'[1]import success seats course'!$A:AG,HLOOKUP('[1]Course Totals'!S$4,'[1]import success seats course'!$1:$2,2,FALSE),FALSE)/(VLOOKUP($A11,'[1]import graded seats course pivo'!$A:AQ,HLOOKUP('[1]Course Totals'!S$4,'[1]import graded seats course pivo'!$1:$2,2,FALSE),FALSE))),"")</f>
        <v>0.70059880239520955</v>
      </c>
      <c r="Z11" s="7"/>
      <c r="AA11" s="7"/>
      <c r="AB11" s="7"/>
      <c r="AC11" s="7"/>
    </row>
    <row r="12" spans="1:29" x14ac:dyDescent="0.25">
      <c r="A12" s="12" t="s">
        <v>4</v>
      </c>
      <c r="B12" s="14" t="str">
        <f>IFERROR((VLOOKUP($A12,'[1]import success seats course'!$A:P,HLOOKUP('[1]Course Totals'!B$4,'[1]import success seats course'!$1:$2,2,FALSE),FALSE)/(VLOOKUP($A12,'[1]import graded seats course pivo'!$A:Z,HLOOKUP('[1]Course Totals'!B$4,'[1]import graded seats course pivo'!$1:$2,2,FALSE),FALSE))),"")</f>
        <v/>
      </c>
      <c r="C12" s="14">
        <f>IFERROR((VLOOKUP($A12,'[1]import success seats course'!$A:Q,HLOOKUP('[1]Course Totals'!C$4,'[1]import success seats course'!$1:$2,2,FALSE),FALSE)/(VLOOKUP($A12,'[1]import graded seats course pivo'!$A:AA,HLOOKUP('[1]Course Totals'!C$4,'[1]import graded seats course pivo'!$1:$2,2,FALSE),FALSE))),"")</f>
        <v>1</v>
      </c>
      <c r="D12" s="14">
        <f>IFERROR((VLOOKUP($A12,'[1]import success seats course'!$A:R,HLOOKUP('[1]Course Totals'!D$4,'[1]import success seats course'!$1:$2,2,FALSE),FALSE)/(VLOOKUP($A12,'[1]import graded seats course pivo'!$A:AB,HLOOKUP('[1]Course Totals'!D$4,'[1]import graded seats course pivo'!$1:$2,2,FALSE),FALSE))),"")</f>
        <v>1</v>
      </c>
      <c r="E12" s="14" t="str">
        <f>IFERROR((VLOOKUP($A12,'[1]import success seats course'!$A:S,HLOOKUP('[1]Course Totals'!E$4,'[1]import success seats course'!$1:$2,2,FALSE),FALSE)/(VLOOKUP($A12,'[1]import graded seats course pivo'!$A:AC,HLOOKUP('[1]Course Totals'!E$4,'[1]import graded seats course pivo'!$1:$2,2,FALSE),FALSE))),"")</f>
        <v/>
      </c>
      <c r="F12" s="14" t="str">
        <f>IFERROR((VLOOKUP($A12,'[1]import success seats course'!$A:T,HLOOKUP('[1]Course Totals'!F$4,'[1]import success seats course'!$1:$2,2,FALSE),FALSE)/(VLOOKUP($A12,'[1]import graded seats course pivo'!$A:AD,HLOOKUP('[1]Course Totals'!F$4,'[1]import graded seats course pivo'!$1:$2,2,FALSE),FALSE))),"")</f>
        <v/>
      </c>
      <c r="G12" s="14">
        <f>IFERROR((VLOOKUP($A12,'[1]import success seats course'!$A:U,HLOOKUP('[1]Course Totals'!G$4,'[1]import success seats course'!$1:$2,2,FALSE),FALSE)/(VLOOKUP($A12,'[1]import graded seats course pivo'!$A:AE,HLOOKUP('[1]Course Totals'!G$4,'[1]import graded seats course pivo'!$1:$2,2,FALSE),FALSE))),"")</f>
        <v>1</v>
      </c>
      <c r="H12" s="14" t="str">
        <f>IFERROR((VLOOKUP($A12,'[1]import success seats course'!$A:V,HLOOKUP('[1]Course Totals'!H$4,'[1]import success seats course'!$1:$2,2,FALSE),FALSE)/(VLOOKUP($A12,'[1]import graded seats course pivo'!$A:AF,HLOOKUP('[1]Course Totals'!H$4,'[1]import graded seats course pivo'!$1:$2,2,FALSE),FALSE))),"")</f>
        <v/>
      </c>
      <c r="I12" s="14" t="str">
        <f>IFERROR((VLOOKUP($A12,'[1]import success seats course'!$A:W,HLOOKUP('[1]Course Totals'!I$4,'[1]import success seats course'!$1:$2,2,FALSE),FALSE)/(VLOOKUP($A12,'[1]import graded seats course pivo'!$A:AG,HLOOKUP('[1]Course Totals'!I$4,'[1]import graded seats course pivo'!$1:$2,2,FALSE),FALSE))),"")</f>
        <v/>
      </c>
      <c r="J12" s="14">
        <f>IFERROR((VLOOKUP($A12,'[1]import success seats course'!$A:X,HLOOKUP('[1]Course Totals'!J$4,'[1]import success seats course'!$1:$2,2,FALSE),FALSE)/(VLOOKUP($A12,'[1]import graded seats course pivo'!$A:AH,HLOOKUP('[1]Course Totals'!J$4,'[1]import graded seats course pivo'!$1:$2,2,FALSE),FALSE))),"")</f>
        <v>1</v>
      </c>
      <c r="K12" s="14" t="str">
        <f>IFERROR((VLOOKUP($A12,'[1]import success seats course'!$A:Y,HLOOKUP('[1]Course Totals'!K$4,'[1]import success seats course'!$1:$2,2,FALSE),FALSE)/(VLOOKUP($A12,'[1]import graded seats course pivo'!$A:AI,HLOOKUP('[1]Course Totals'!K$4,'[1]import graded seats course pivo'!$1:$2,2,FALSE),FALSE))),"")</f>
        <v/>
      </c>
      <c r="L12" s="14" t="str">
        <f>IFERROR((VLOOKUP($A12,'[1]import success seats course'!$A:Z,HLOOKUP('[1]Course Totals'!L$4,'[1]import success seats course'!$1:$2,2,FALSE),FALSE)/(VLOOKUP($A12,'[1]import graded seats course pivo'!$A:AJ,HLOOKUP('[1]Course Totals'!L$4,'[1]import graded seats course pivo'!$1:$2,2,FALSE),FALSE))),"")</f>
        <v/>
      </c>
      <c r="M12" s="14" t="str">
        <f>IFERROR((VLOOKUP($A12,'[1]import success seats course'!$A:AA,HLOOKUP('[1]Course Totals'!M$4,'[1]import success seats course'!$1:$2,2,FALSE),FALSE)/(VLOOKUP($A12,'[1]import graded seats course pivo'!$A:AK,HLOOKUP('[1]Course Totals'!M$4,'[1]import graded seats course pivo'!$1:$2,2,FALSE),FALSE))),"")</f>
        <v/>
      </c>
      <c r="N12" s="14" t="str">
        <f>IFERROR((VLOOKUP($A12,'[1]import success seats course'!$A:AB,HLOOKUP('[1]Course Totals'!N$4,'[1]import success seats course'!$1:$2,2,FALSE),FALSE)/(VLOOKUP($A12,'[1]import graded seats course pivo'!$A:AL,HLOOKUP('[1]Course Totals'!N$4,'[1]import graded seats course pivo'!$1:$2,2,FALSE),FALSE))),"")</f>
        <v/>
      </c>
      <c r="O12" s="14">
        <f>IFERROR((VLOOKUP($A12,'[1]import success seats course'!$A:AC,HLOOKUP('[1]Course Totals'!O$4,'[1]import success seats course'!$1:$2,2,FALSE),FALSE)/(VLOOKUP($A12,'[1]import graded seats course pivo'!$A:AM,HLOOKUP('[1]Course Totals'!O$4,'[1]import graded seats course pivo'!$1:$2,2,FALSE),FALSE))),"")</f>
        <v>1</v>
      </c>
      <c r="P12" s="14">
        <f>IFERROR((VLOOKUP($A12,'[1]import success seats course'!$A:AD,HLOOKUP('[1]Course Totals'!P$4,'[1]import success seats course'!$1:$2,2,FALSE),FALSE)/(VLOOKUP($A12,'[1]import graded seats course pivo'!$A:AN,HLOOKUP('[1]Course Totals'!P$4,'[1]import graded seats course pivo'!$1:$2,2,FALSE),FALSE))),"")</f>
        <v>0.66666666666666663</v>
      </c>
      <c r="Q12" s="14" t="str">
        <f>IFERROR((VLOOKUP($A12,'[1]import success seats course'!$A:AE,HLOOKUP('[1]Course Totals'!Q$4,'[1]import success seats course'!$1:$2,2,FALSE),FALSE)/(VLOOKUP($A12,'[1]import graded seats course pivo'!$A:AO,HLOOKUP('[1]Course Totals'!Q$4,'[1]import graded seats course pivo'!$1:$2,2,FALSE),FALSE))),"")</f>
        <v/>
      </c>
      <c r="R12" s="14">
        <f>IFERROR((VLOOKUP($A12,'[1]import success seats course'!$A:AF,HLOOKUP('[1]Course Totals'!R$4,'[1]import success seats course'!$1:$2,2,FALSE),FALSE)/(VLOOKUP($A12,'[1]import graded seats course pivo'!$A:AP,HLOOKUP('[1]Course Totals'!R$4,'[1]import graded seats course pivo'!$1:$2,2,FALSE),FALSE))),"")</f>
        <v>0.66666666666666663</v>
      </c>
      <c r="S12" s="14">
        <f>IFERROR((VLOOKUP($A12,'[1]import success seats course'!$A:AG,HLOOKUP('[1]Course Totals'!S$4,'[1]import success seats course'!$1:$2,2,FALSE),FALSE)/(VLOOKUP($A12,'[1]import graded seats course pivo'!$A:AQ,HLOOKUP('[1]Course Totals'!S$4,'[1]import graded seats course pivo'!$1:$2,2,FALSE),FALSE))),"")</f>
        <v>1</v>
      </c>
      <c r="Z12" s="7"/>
      <c r="AA12" s="7"/>
      <c r="AB12" s="7"/>
      <c r="AC12" s="7"/>
    </row>
    <row r="13" spans="1:29" x14ac:dyDescent="0.25">
      <c r="A13" s="12" t="s">
        <v>5</v>
      </c>
      <c r="B13" s="14" t="str">
        <f>IFERROR((VLOOKUP($A13,'[1]import success seats course'!$A:P,HLOOKUP('[1]Course Totals'!B$4,'[1]import success seats course'!$1:$2,2,FALSE),FALSE)/(VLOOKUP($A13,'[1]import graded seats course pivo'!$A:Z,HLOOKUP('[1]Course Totals'!B$4,'[1]import graded seats course pivo'!$1:$2,2,FALSE),FALSE))),"")</f>
        <v/>
      </c>
      <c r="C13" s="14">
        <f>IFERROR((VLOOKUP($A13,'[1]import success seats course'!$A:Q,HLOOKUP('[1]Course Totals'!C$4,'[1]import success seats course'!$1:$2,2,FALSE),FALSE)/(VLOOKUP($A13,'[1]import graded seats course pivo'!$A:AA,HLOOKUP('[1]Course Totals'!C$4,'[1]import graded seats course pivo'!$1:$2,2,FALSE),FALSE))),"")</f>
        <v>0.77777777777777779</v>
      </c>
      <c r="D13" s="14">
        <f>IFERROR((VLOOKUP($A13,'[1]import success seats course'!$A:R,HLOOKUP('[1]Course Totals'!D$4,'[1]import success seats course'!$1:$2,2,FALSE),FALSE)/(VLOOKUP($A13,'[1]import graded seats course pivo'!$A:AB,HLOOKUP('[1]Course Totals'!D$4,'[1]import graded seats course pivo'!$1:$2,2,FALSE),FALSE))),"")</f>
        <v>0.8125</v>
      </c>
      <c r="E13" s="14" t="str">
        <f>IFERROR((VLOOKUP($A13,'[1]import success seats course'!$A:S,HLOOKUP('[1]Course Totals'!E$4,'[1]import success seats course'!$1:$2,2,FALSE),FALSE)/(VLOOKUP($A13,'[1]import graded seats course pivo'!$A:AC,HLOOKUP('[1]Course Totals'!E$4,'[1]import graded seats course pivo'!$1:$2,2,FALSE),FALSE))),"")</f>
        <v/>
      </c>
      <c r="F13" s="14">
        <f>IFERROR((VLOOKUP($A13,'[1]import success seats course'!$A:T,HLOOKUP('[1]Course Totals'!F$4,'[1]import success seats course'!$1:$2,2,FALSE),FALSE)/(VLOOKUP($A13,'[1]import graded seats course pivo'!$A:AD,HLOOKUP('[1]Course Totals'!F$4,'[1]import graded seats course pivo'!$1:$2,2,FALSE),FALSE))),"")</f>
        <v>0.83333333333333337</v>
      </c>
      <c r="G13" s="14">
        <f>IFERROR((VLOOKUP($A13,'[1]import success seats course'!$A:U,HLOOKUP('[1]Course Totals'!G$4,'[1]import success seats course'!$1:$2,2,FALSE),FALSE)/(VLOOKUP($A13,'[1]import graded seats course pivo'!$A:AE,HLOOKUP('[1]Course Totals'!G$4,'[1]import graded seats course pivo'!$1:$2,2,FALSE),FALSE))),"")</f>
        <v>0.66666666666666663</v>
      </c>
      <c r="H13" s="14" t="str">
        <f>IFERROR((VLOOKUP($A13,'[1]import success seats course'!$A:V,HLOOKUP('[1]Course Totals'!H$4,'[1]import success seats course'!$1:$2,2,FALSE),FALSE)/(VLOOKUP($A13,'[1]import graded seats course pivo'!$A:AF,HLOOKUP('[1]Course Totals'!H$4,'[1]import graded seats course pivo'!$1:$2,2,FALSE),FALSE))),"")</f>
        <v/>
      </c>
      <c r="I13" s="14">
        <f>IFERROR((VLOOKUP($A13,'[1]import success seats course'!$A:W,HLOOKUP('[1]Course Totals'!I$4,'[1]import success seats course'!$1:$2,2,FALSE),FALSE)/(VLOOKUP($A13,'[1]import graded seats course pivo'!$A:AG,HLOOKUP('[1]Course Totals'!I$4,'[1]import graded seats course pivo'!$1:$2,2,FALSE),FALSE))),"")</f>
        <v>0.85</v>
      </c>
      <c r="J13" s="14">
        <f>IFERROR((VLOOKUP($A13,'[1]import success seats course'!$A:X,HLOOKUP('[1]Course Totals'!J$4,'[1]import success seats course'!$1:$2,2,FALSE),FALSE)/(VLOOKUP($A13,'[1]import graded seats course pivo'!$A:AH,HLOOKUP('[1]Course Totals'!J$4,'[1]import graded seats course pivo'!$1:$2,2,FALSE),FALSE))),"")</f>
        <v>0.87096774193548387</v>
      </c>
      <c r="K13" s="14" t="str">
        <f>IFERROR((VLOOKUP($A13,'[1]import success seats course'!$A:Y,HLOOKUP('[1]Course Totals'!K$4,'[1]import success seats course'!$1:$2,2,FALSE),FALSE)/(VLOOKUP($A13,'[1]import graded seats course pivo'!$A:AI,HLOOKUP('[1]Course Totals'!K$4,'[1]import graded seats course pivo'!$1:$2,2,FALSE),FALSE))),"")</f>
        <v/>
      </c>
      <c r="L13" s="14">
        <f>IFERROR((VLOOKUP($A13,'[1]import success seats course'!$A:Z,HLOOKUP('[1]Course Totals'!L$4,'[1]import success seats course'!$1:$2,2,FALSE),FALSE)/(VLOOKUP($A13,'[1]import graded seats course pivo'!$A:AJ,HLOOKUP('[1]Course Totals'!L$4,'[1]import graded seats course pivo'!$1:$2,2,FALSE),FALSE))),"")</f>
        <v>0.73913043478260865</v>
      </c>
      <c r="M13" s="14">
        <f>IFERROR((VLOOKUP($A13,'[1]import success seats course'!$A:AA,HLOOKUP('[1]Course Totals'!M$4,'[1]import success seats course'!$1:$2,2,FALSE),FALSE)/(VLOOKUP($A13,'[1]import graded seats course pivo'!$A:AK,HLOOKUP('[1]Course Totals'!M$4,'[1]import graded seats course pivo'!$1:$2,2,FALSE),FALSE))),"")</f>
        <v>0.84848484848484851</v>
      </c>
      <c r="N13" s="14" t="str">
        <f>IFERROR((VLOOKUP($A13,'[1]import success seats course'!$A:AB,HLOOKUP('[1]Course Totals'!N$4,'[1]import success seats course'!$1:$2,2,FALSE),FALSE)/(VLOOKUP($A13,'[1]import graded seats course pivo'!$A:AL,HLOOKUP('[1]Course Totals'!N$4,'[1]import graded seats course pivo'!$1:$2,2,FALSE),FALSE))),"")</f>
        <v/>
      </c>
      <c r="O13" s="14">
        <f>IFERROR((VLOOKUP($A13,'[1]import success seats course'!$A:AC,HLOOKUP('[1]Course Totals'!O$4,'[1]import success seats course'!$1:$2,2,FALSE),FALSE)/(VLOOKUP($A13,'[1]import graded seats course pivo'!$A:AM,HLOOKUP('[1]Course Totals'!O$4,'[1]import graded seats course pivo'!$1:$2,2,FALSE),FALSE))),"")</f>
        <v>0.72727272727272729</v>
      </c>
      <c r="P13" s="14">
        <f>IFERROR((VLOOKUP($A13,'[1]import success seats course'!$A:AD,HLOOKUP('[1]Course Totals'!P$4,'[1]import success seats course'!$1:$2,2,FALSE),FALSE)/(VLOOKUP($A13,'[1]import graded seats course pivo'!$A:AN,HLOOKUP('[1]Course Totals'!P$4,'[1]import graded seats course pivo'!$1:$2,2,FALSE),FALSE))),"")</f>
        <v>0.9</v>
      </c>
      <c r="Q13" s="14" t="str">
        <f>IFERROR((VLOOKUP($A13,'[1]import success seats course'!$A:AE,HLOOKUP('[1]Course Totals'!Q$4,'[1]import success seats course'!$1:$2,2,FALSE),FALSE)/(VLOOKUP($A13,'[1]import graded seats course pivo'!$A:AO,HLOOKUP('[1]Course Totals'!Q$4,'[1]import graded seats course pivo'!$1:$2,2,FALSE),FALSE))),"")</f>
        <v/>
      </c>
      <c r="R13" s="14">
        <f>IFERROR((VLOOKUP($A13,'[1]import success seats course'!$A:AF,HLOOKUP('[1]Course Totals'!R$4,'[1]import success seats course'!$1:$2,2,FALSE),FALSE)/(VLOOKUP($A13,'[1]import graded seats course pivo'!$A:AP,HLOOKUP('[1]Course Totals'!R$4,'[1]import graded seats course pivo'!$1:$2,2,FALSE),FALSE))),"")</f>
        <v>0.8867924528301887</v>
      </c>
      <c r="S13" s="14">
        <f>IFERROR((VLOOKUP($A13,'[1]import success seats course'!$A:AG,HLOOKUP('[1]Course Totals'!S$4,'[1]import success seats course'!$1:$2,2,FALSE),FALSE)/(VLOOKUP($A13,'[1]import graded seats course pivo'!$A:AQ,HLOOKUP('[1]Course Totals'!S$4,'[1]import graded seats course pivo'!$1:$2,2,FALSE),FALSE))),"")</f>
        <v>0.8125</v>
      </c>
      <c r="Z13" s="7"/>
      <c r="AA13" s="7"/>
      <c r="AB13" s="7"/>
      <c r="AC13" s="7"/>
    </row>
    <row r="14" spans="1:29" x14ac:dyDescent="0.25">
      <c r="A14" s="12" t="s">
        <v>548</v>
      </c>
      <c r="B14" s="14" t="str">
        <f>IFERROR((VLOOKUP($A14,'[1]import success seats course'!$A:P,HLOOKUP('[1]Course Totals'!B$4,'[1]import success seats course'!$1:$2,2,FALSE),FALSE)/(VLOOKUP($A14,'[1]import graded seats course pivo'!$A:Z,HLOOKUP('[1]Course Totals'!B$4,'[1]import graded seats course pivo'!$1:$2,2,FALSE),FALSE))),"")</f>
        <v/>
      </c>
      <c r="C14" s="14" t="str">
        <f>IFERROR((VLOOKUP($A14,'[1]import success seats course'!$A:Q,HLOOKUP('[1]Course Totals'!C$4,'[1]import success seats course'!$1:$2,2,FALSE),FALSE)/(VLOOKUP($A14,'[1]import graded seats course pivo'!$A:AA,HLOOKUP('[1]Course Totals'!C$4,'[1]import graded seats course pivo'!$1:$2,2,FALSE),FALSE))),"")</f>
        <v/>
      </c>
      <c r="D14" s="14" t="str">
        <f>IFERROR((VLOOKUP($A14,'[1]import success seats course'!$A:R,HLOOKUP('[1]Course Totals'!D$4,'[1]import success seats course'!$1:$2,2,FALSE),FALSE)/(VLOOKUP($A14,'[1]import graded seats course pivo'!$A:AB,HLOOKUP('[1]Course Totals'!D$4,'[1]import graded seats course pivo'!$1:$2,2,FALSE),FALSE))),"")</f>
        <v/>
      </c>
      <c r="E14" s="14" t="str">
        <f>IFERROR((VLOOKUP($A14,'[1]import success seats course'!$A:S,HLOOKUP('[1]Course Totals'!E$4,'[1]import success seats course'!$1:$2,2,FALSE),FALSE)/(VLOOKUP($A14,'[1]import graded seats course pivo'!$A:AC,HLOOKUP('[1]Course Totals'!E$4,'[1]import graded seats course pivo'!$1:$2,2,FALSE),FALSE))),"")</f>
        <v/>
      </c>
      <c r="F14" s="14">
        <f>IFERROR((VLOOKUP($A14,'[1]import success seats course'!$A:T,HLOOKUP('[1]Course Totals'!F$4,'[1]import success seats course'!$1:$2,2,FALSE),FALSE)/(VLOOKUP($A14,'[1]import graded seats course pivo'!$A:AD,HLOOKUP('[1]Course Totals'!F$4,'[1]import graded seats course pivo'!$1:$2,2,FALSE),FALSE))),"")</f>
        <v>1</v>
      </c>
      <c r="G14" s="14" t="str">
        <f>IFERROR((VLOOKUP($A14,'[1]import success seats course'!$A:U,HLOOKUP('[1]Course Totals'!G$4,'[1]import success seats course'!$1:$2,2,FALSE),FALSE)/(VLOOKUP($A14,'[1]import graded seats course pivo'!$A:AE,HLOOKUP('[1]Course Totals'!G$4,'[1]import graded seats course pivo'!$1:$2,2,FALSE),FALSE))),"")</f>
        <v/>
      </c>
      <c r="H14" s="14" t="str">
        <f>IFERROR((VLOOKUP($A14,'[1]import success seats course'!$A:V,HLOOKUP('[1]Course Totals'!H$4,'[1]import success seats course'!$1:$2,2,FALSE),FALSE)/(VLOOKUP($A14,'[1]import graded seats course pivo'!$A:AF,HLOOKUP('[1]Course Totals'!H$4,'[1]import graded seats course pivo'!$1:$2,2,FALSE),FALSE))),"")</f>
        <v/>
      </c>
      <c r="I14" s="14" t="str">
        <f>IFERROR((VLOOKUP($A14,'[1]import success seats course'!$A:W,HLOOKUP('[1]Course Totals'!I$4,'[1]import success seats course'!$1:$2,2,FALSE),FALSE)/(VLOOKUP($A14,'[1]import graded seats course pivo'!$A:AG,HLOOKUP('[1]Course Totals'!I$4,'[1]import graded seats course pivo'!$1:$2,2,FALSE),FALSE))),"")</f>
        <v/>
      </c>
      <c r="J14" s="14" t="str">
        <f>IFERROR((VLOOKUP($A14,'[1]import success seats course'!$A:X,HLOOKUP('[1]Course Totals'!J$4,'[1]import success seats course'!$1:$2,2,FALSE),FALSE)/(VLOOKUP($A14,'[1]import graded seats course pivo'!$A:AH,HLOOKUP('[1]Course Totals'!J$4,'[1]import graded seats course pivo'!$1:$2,2,FALSE),FALSE))),"")</f>
        <v/>
      </c>
      <c r="K14" s="14" t="str">
        <f>IFERROR((VLOOKUP($A14,'[1]import success seats course'!$A:Y,HLOOKUP('[1]Course Totals'!K$4,'[1]import success seats course'!$1:$2,2,FALSE),FALSE)/(VLOOKUP($A14,'[1]import graded seats course pivo'!$A:AI,HLOOKUP('[1]Course Totals'!K$4,'[1]import graded seats course pivo'!$1:$2,2,FALSE),FALSE))),"")</f>
        <v/>
      </c>
      <c r="L14" s="14" t="str">
        <f>IFERROR((VLOOKUP($A14,'[1]import success seats course'!$A:Z,HLOOKUP('[1]Course Totals'!L$4,'[1]import success seats course'!$1:$2,2,FALSE),FALSE)/(VLOOKUP($A14,'[1]import graded seats course pivo'!$A:AJ,HLOOKUP('[1]Course Totals'!L$4,'[1]import graded seats course pivo'!$1:$2,2,FALSE),FALSE))),"")</f>
        <v/>
      </c>
      <c r="M14" s="14" t="str">
        <f>IFERROR((VLOOKUP($A14,'[1]import success seats course'!$A:AA,HLOOKUP('[1]Course Totals'!M$4,'[1]import success seats course'!$1:$2,2,FALSE),FALSE)/(VLOOKUP($A14,'[1]import graded seats course pivo'!$A:AK,HLOOKUP('[1]Course Totals'!M$4,'[1]import graded seats course pivo'!$1:$2,2,FALSE),FALSE))),"")</f>
        <v/>
      </c>
      <c r="N14" s="14" t="str">
        <f>IFERROR((VLOOKUP($A14,'[1]import success seats course'!$A:AB,HLOOKUP('[1]Course Totals'!N$4,'[1]import success seats course'!$1:$2,2,FALSE),FALSE)/(VLOOKUP($A14,'[1]import graded seats course pivo'!$A:AL,HLOOKUP('[1]Course Totals'!N$4,'[1]import graded seats course pivo'!$1:$2,2,FALSE),FALSE))),"")</f>
        <v/>
      </c>
      <c r="O14" s="14" t="str">
        <f>IFERROR((VLOOKUP($A14,'[1]import success seats course'!$A:AC,HLOOKUP('[1]Course Totals'!O$4,'[1]import success seats course'!$1:$2,2,FALSE),FALSE)/(VLOOKUP($A14,'[1]import graded seats course pivo'!$A:AM,HLOOKUP('[1]Course Totals'!O$4,'[1]import graded seats course pivo'!$1:$2,2,FALSE),FALSE))),"")</f>
        <v/>
      </c>
      <c r="P14" s="14" t="str">
        <f>IFERROR((VLOOKUP($A14,'[1]import success seats course'!$A:AD,HLOOKUP('[1]Course Totals'!P$4,'[1]import success seats course'!$1:$2,2,FALSE),FALSE)/(VLOOKUP($A14,'[1]import graded seats course pivo'!$A:AN,HLOOKUP('[1]Course Totals'!P$4,'[1]import graded seats course pivo'!$1:$2,2,FALSE),FALSE))),"")</f>
        <v/>
      </c>
      <c r="Q14" s="14" t="str">
        <f>IFERROR((VLOOKUP($A14,'[1]import success seats course'!$A:AE,HLOOKUP('[1]Course Totals'!Q$4,'[1]import success seats course'!$1:$2,2,FALSE),FALSE)/(VLOOKUP($A14,'[1]import graded seats course pivo'!$A:AO,HLOOKUP('[1]Course Totals'!Q$4,'[1]import graded seats course pivo'!$1:$2,2,FALSE),FALSE))),"")</f>
        <v/>
      </c>
      <c r="R14" s="14" t="str">
        <f>IFERROR((VLOOKUP($A14,'[1]import success seats course'!$A:AF,HLOOKUP('[1]Course Totals'!R$4,'[1]import success seats course'!$1:$2,2,FALSE),FALSE)/(VLOOKUP($A14,'[1]import graded seats course pivo'!$A:AP,HLOOKUP('[1]Course Totals'!R$4,'[1]import graded seats course pivo'!$1:$2,2,FALSE),FALSE))),"")</f>
        <v/>
      </c>
      <c r="S14" s="14" t="str">
        <f>IFERROR((VLOOKUP($A14,'[1]import success seats course'!$A:AG,HLOOKUP('[1]Course Totals'!S$4,'[1]import success seats course'!$1:$2,2,FALSE),FALSE)/(VLOOKUP($A14,'[1]import graded seats course pivo'!$A:AQ,HLOOKUP('[1]Course Totals'!S$4,'[1]import graded seats course pivo'!$1:$2,2,FALSE),FALSE))),"")</f>
        <v/>
      </c>
      <c r="Z14" s="7"/>
      <c r="AA14" s="7"/>
      <c r="AB14" s="7"/>
      <c r="AC14" s="7"/>
    </row>
    <row r="15" spans="1:29" ht="15" hidden="1" customHeight="1" x14ac:dyDescent="0.25">
      <c r="A15" s="12" t="s">
        <v>6</v>
      </c>
      <c r="B15" s="14" t="str">
        <f>IFERROR((VLOOKUP($A15,'[1]import success seats course'!$A:P,HLOOKUP('[1]Course Totals'!B$4,'[1]import success seats course'!$1:$2,2,FALSE),FALSE)/(VLOOKUP($A15,'[1]import graded seats course pivo'!$A:Z,HLOOKUP('[1]Course Totals'!B$4,'[1]import graded seats course pivo'!$1:$2,2,FALSE),FALSE))),"")</f>
        <v/>
      </c>
      <c r="C15" s="14" t="str">
        <f>IFERROR((VLOOKUP($A15,'[1]import success seats course'!$A:Q,HLOOKUP('[1]Course Totals'!C$4,'[1]import success seats course'!$1:$2,2,FALSE),FALSE)/(VLOOKUP($A15,'[1]import graded seats course pivo'!$A:AA,HLOOKUP('[1]Course Totals'!C$4,'[1]import graded seats course pivo'!$1:$2,2,FALSE),FALSE))),"")</f>
        <v/>
      </c>
      <c r="D15" s="14" t="str">
        <f>IFERROR((VLOOKUP($A15,'[1]import success seats course'!$A:R,HLOOKUP('[1]Course Totals'!D$4,'[1]import success seats course'!$1:$2,2,FALSE),FALSE)/(VLOOKUP($A15,'[1]import graded seats course pivo'!$A:AB,HLOOKUP('[1]Course Totals'!D$4,'[1]import graded seats course pivo'!$1:$2,2,FALSE),FALSE))),"")</f>
        <v/>
      </c>
      <c r="E15" s="14" t="str">
        <f>IFERROR((VLOOKUP($A15,'[1]import success seats course'!$A:S,HLOOKUP('[1]Course Totals'!E$4,'[1]import success seats course'!$1:$2,2,FALSE),FALSE)/(VLOOKUP($A15,'[1]import graded seats course pivo'!$A:AC,HLOOKUP('[1]Course Totals'!E$4,'[1]import graded seats course pivo'!$1:$2,2,FALSE),FALSE))),"")</f>
        <v/>
      </c>
      <c r="F15" s="14" t="str">
        <f>IFERROR((VLOOKUP($A15,'[1]import success seats course'!$A:T,HLOOKUP('[1]Course Totals'!F$4,'[1]import success seats course'!$1:$2,2,FALSE),FALSE)/(VLOOKUP($A15,'[1]import graded seats course pivo'!$A:AD,HLOOKUP('[1]Course Totals'!F$4,'[1]import graded seats course pivo'!$1:$2,2,FALSE),FALSE))),"")</f>
        <v/>
      </c>
      <c r="G15" s="14" t="str">
        <f>IFERROR((VLOOKUP($A15,'[1]import success seats course'!$A:U,HLOOKUP('[1]Course Totals'!G$4,'[1]import success seats course'!$1:$2,2,FALSE),FALSE)/(VLOOKUP($A15,'[1]import graded seats course pivo'!$A:AE,HLOOKUP('[1]Course Totals'!G$4,'[1]import graded seats course pivo'!$1:$2,2,FALSE),FALSE))),"")</f>
        <v/>
      </c>
      <c r="H15" s="14" t="str">
        <f>IFERROR((VLOOKUP($A15,'[1]import success seats course'!$A:V,HLOOKUP('[1]Course Totals'!H$4,'[1]import success seats course'!$1:$2,2,FALSE),FALSE)/(VLOOKUP($A15,'[1]import graded seats course pivo'!$A:AF,HLOOKUP('[1]Course Totals'!H$4,'[1]import graded seats course pivo'!$1:$2,2,FALSE),FALSE))),"")</f>
        <v/>
      </c>
      <c r="I15" s="14" t="str">
        <f>IFERROR((VLOOKUP($A15,'[1]import success seats course'!$A:W,HLOOKUP('[1]Course Totals'!I$4,'[1]import success seats course'!$1:$2,2,FALSE),FALSE)/(VLOOKUP($A15,'[1]import graded seats course pivo'!$A:AG,HLOOKUP('[1]Course Totals'!I$4,'[1]import graded seats course pivo'!$1:$2,2,FALSE),FALSE))),"")</f>
        <v/>
      </c>
      <c r="J15" s="14" t="str">
        <f>IFERROR((VLOOKUP($A15,'[1]import success seats course'!$A:X,HLOOKUP('[1]Course Totals'!J$4,'[1]import success seats course'!$1:$2,2,FALSE),FALSE)/(VLOOKUP($A15,'[1]import graded seats course pivo'!$A:AH,HLOOKUP('[1]Course Totals'!J$4,'[1]import graded seats course pivo'!$1:$2,2,FALSE),FALSE))),"")</f>
        <v/>
      </c>
      <c r="K15" s="14" t="str">
        <f>IFERROR((VLOOKUP($A15,'[1]import success seats course'!$A:Y,HLOOKUP('[1]Course Totals'!K$4,'[1]import success seats course'!$1:$2,2,FALSE),FALSE)/(VLOOKUP($A15,'[1]import graded seats course pivo'!$A:AI,HLOOKUP('[1]Course Totals'!K$4,'[1]import graded seats course pivo'!$1:$2,2,FALSE),FALSE))),"")</f>
        <v/>
      </c>
      <c r="L15" s="14" t="str">
        <f>IFERROR((VLOOKUP($A15,'[1]import success seats course'!$A:Z,HLOOKUP('[1]Course Totals'!L$4,'[1]import success seats course'!$1:$2,2,FALSE),FALSE)/(VLOOKUP($A15,'[1]import graded seats course pivo'!$A:AJ,HLOOKUP('[1]Course Totals'!L$4,'[1]import graded seats course pivo'!$1:$2,2,FALSE),FALSE))),"")</f>
        <v/>
      </c>
      <c r="M15" s="14" t="str">
        <f>IFERROR((VLOOKUP($A15,'[1]import success seats course'!$A:AA,HLOOKUP('[1]Course Totals'!M$4,'[1]import success seats course'!$1:$2,2,FALSE),FALSE)/(VLOOKUP($A15,'[1]import graded seats course pivo'!$A:AK,HLOOKUP('[1]Course Totals'!M$4,'[1]import graded seats course pivo'!$1:$2,2,FALSE),FALSE))),"")</f>
        <v/>
      </c>
      <c r="N15" s="14" t="str">
        <f>IFERROR((VLOOKUP($A15,'[1]import success seats course'!$A:AB,HLOOKUP('[1]Course Totals'!N$4,'[1]import success seats course'!$1:$2,2,FALSE),FALSE)/(VLOOKUP($A15,'[1]import graded seats course pivo'!$A:AL,HLOOKUP('[1]Course Totals'!N$4,'[1]import graded seats course pivo'!$1:$2,2,FALSE),FALSE))),"")</f>
        <v/>
      </c>
      <c r="O15" s="14" t="str">
        <f>IFERROR((VLOOKUP($A15,'[1]import success seats course'!$A:AC,HLOOKUP('[1]Course Totals'!O$4,'[1]import success seats course'!$1:$2,2,FALSE),FALSE)/(VLOOKUP($A15,'[1]import graded seats course pivo'!$A:AM,HLOOKUP('[1]Course Totals'!O$4,'[1]import graded seats course pivo'!$1:$2,2,FALSE),FALSE))),"")</f>
        <v/>
      </c>
      <c r="P15" s="14" t="str">
        <f>IFERROR((VLOOKUP($A15,'[1]import success seats course'!$A:AD,HLOOKUP('[1]Course Totals'!P$4,'[1]import success seats course'!$1:$2,2,FALSE),FALSE)/(VLOOKUP($A15,'[1]import graded seats course pivo'!$A:AN,HLOOKUP('[1]Course Totals'!P$4,'[1]import graded seats course pivo'!$1:$2,2,FALSE),FALSE))),"")</f>
        <v/>
      </c>
      <c r="Q15" s="14" t="str">
        <f>IFERROR((VLOOKUP($A15,'[1]import success seats course'!$A:AE,HLOOKUP('[1]Course Totals'!Q$4,'[1]import success seats course'!$1:$2,2,FALSE),FALSE)/(VLOOKUP($A15,'[1]import graded seats course pivo'!$A:AO,HLOOKUP('[1]Course Totals'!Q$4,'[1]import graded seats course pivo'!$1:$2,2,FALSE),FALSE))),"")</f>
        <v/>
      </c>
      <c r="R15" s="14" t="str">
        <f>IFERROR((VLOOKUP($A15,'[1]import success seats course'!$A:AF,HLOOKUP('[1]Course Totals'!R$4,'[1]import success seats course'!$1:$2,2,FALSE),FALSE)/(VLOOKUP($A15,'[1]import graded seats course pivo'!$A:AP,HLOOKUP('[1]Course Totals'!R$4,'[1]import graded seats course pivo'!$1:$2,2,FALSE),FALSE))),"")</f>
        <v/>
      </c>
      <c r="S15" s="14">
        <f>IFERROR((VLOOKUP($A15,'[1]import success seats course'!$A:AG,HLOOKUP('[1]Course Totals'!S$4,'[1]import success seats course'!$1:$2,2,FALSE),FALSE)/(VLOOKUP($A15,'[1]import graded seats course pivo'!$A:AQ,HLOOKUP('[1]Course Totals'!S$4,'[1]import graded seats course pivo'!$1:$2,2,FALSE),FALSE))),"")</f>
        <v>0.95652173913043481</v>
      </c>
      <c r="Z15" s="7"/>
      <c r="AA15" s="7"/>
      <c r="AB15" s="7"/>
      <c r="AC15" s="7"/>
    </row>
    <row r="16" spans="1:29" x14ac:dyDescent="0.25">
      <c r="A16" s="12" t="s">
        <v>7</v>
      </c>
      <c r="B16" s="14" t="str">
        <f>IFERROR((VLOOKUP($A16,'[1]import success seats course'!$A:P,HLOOKUP('[1]Course Totals'!B$4,'[1]import success seats course'!$1:$2,2,FALSE),FALSE)/(VLOOKUP($A16,'[1]import graded seats course pivo'!$A:Z,HLOOKUP('[1]Course Totals'!B$4,'[1]import graded seats course pivo'!$1:$2,2,FALSE),FALSE))),"")</f>
        <v/>
      </c>
      <c r="C16" s="14" t="str">
        <f>IFERROR((VLOOKUP($A16,'[1]import success seats course'!$A:Q,HLOOKUP('[1]Course Totals'!C$4,'[1]import success seats course'!$1:$2,2,FALSE),FALSE)/(VLOOKUP($A16,'[1]import graded seats course pivo'!$A:AA,HLOOKUP('[1]Course Totals'!C$4,'[1]import graded seats course pivo'!$1:$2,2,FALSE),FALSE))),"")</f>
        <v/>
      </c>
      <c r="D16" s="14" t="str">
        <f>IFERROR((VLOOKUP($A16,'[1]import success seats course'!$A:R,HLOOKUP('[1]Course Totals'!D$4,'[1]import success seats course'!$1:$2,2,FALSE),FALSE)/(VLOOKUP($A16,'[1]import graded seats course pivo'!$A:AB,HLOOKUP('[1]Course Totals'!D$4,'[1]import graded seats course pivo'!$1:$2,2,FALSE),FALSE))),"")</f>
        <v/>
      </c>
      <c r="E16" s="14" t="str">
        <f>IFERROR((VLOOKUP($A16,'[1]import success seats course'!$A:S,HLOOKUP('[1]Course Totals'!E$4,'[1]import success seats course'!$1:$2,2,FALSE),FALSE)/(VLOOKUP($A16,'[1]import graded seats course pivo'!$A:AC,HLOOKUP('[1]Course Totals'!E$4,'[1]import graded seats course pivo'!$1:$2,2,FALSE),FALSE))),"")</f>
        <v/>
      </c>
      <c r="F16" s="14" t="str">
        <f>IFERROR((VLOOKUP($A16,'[1]import success seats course'!$A:T,HLOOKUP('[1]Course Totals'!F$4,'[1]import success seats course'!$1:$2,2,FALSE),FALSE)/(VLOOKUP($A16,'[1]import graded seats course pivo'!$A:AD,HLOOKUP('[1]Course Totals'!F$4,'[1]import graded seats course pivo'!$1:$2,2,FALSE),FALSE))),"")</f>
        <v/>
      </c>
      <c r="G16" s="14" t="str">
        <f>IFERROR((VLOOKUP($A16,'[1]import success seats course'!$A:U,HLOOKUP('[1]Course Totals'!G$4,'[1]import success seats course'!$1:$2,2,FALSE),FALSE)/(VLOOKUP($A16,'[1]import graded seats course pivo'!$A:AE,HLOOKUP('[1]Course Totals'!G$4,'[1]import graded seats course pivo'!$1:$2,2,FALSE),FALSE))),"")</f>
        <v/>
      </c>
      <c r="H16" s="14" t="str">
        <f>IFERROR((VLOOKUP($A16,'[1]import success seats course'!$A:V,HLOOKUP('[1]Course Totals'!H$4,'[1]import success seats course'!$1:$2,2,FALSE),FALSE)/(VLOOKUP($A16,'[1]import graded seats course pivo'!$A:AF,HLOOKUP('[1]Course Totals'!H$4,'[1]import graded seats course pivo'!$1:$2,2,FALSE),FALSE))),"")</f>
        <v/>
      </c>
      <c r="I16" s="14" t="str">
        <f>IFERROR((VLOOKUP($A16,'[1]import success seats course'!$A:W,HLOOKUP('[1]Course Totals'!I$4,'[1]import success seats course'!$1:$2,2,FALSE),FALSE)/(VLOOKUP($A16,'[1]import graded seats course pivo'!$A:AG,HLOOKUP('[1]Course Totals'!I$4,'[1]import graded seats course pivo'!$1:$2,2,FALSE),FALSE))),"")</f>
        <v/>
      </c>
      <c r="J16" s="14" t="str">
        <f>IFERROR((VLOOKUP($A16,'[1]import success seats course'!$A:X,HLOOKUP('[1]Course Totals'!J$4,'[1]import success seats course'!$1:$2,2,FALSE),FALSE)/(VLOOKUP($A16,'[1]import graded seats course pivo'!$A:AH,HLOOKUP('[1]Course Totals'!J$4,'[1]import graded seats course pivo'!$1:$2,2,FALSE),FALSE))),"")</f>
        <v/>
      </c>
      <c r="K16" s="14" t="str">
        <f>IFERROR((VLOOKUP($A16,'[1]import success seats course'!$A:Y,HLOOKUP('[1]Course Totals'!K$4,'[1]import success seats course'!$1:$2,2,FALSE),FALSE)/(VLOOKUP($A16,'[1]import graded seats course pivo'!$A:AI,HLOOKUP('[1]Course Totals'!K$4,'[1]import graded seats course pivo'!$1:$2,2,FALSE),FALSE))),"")</f>
        <v/>
      </c>
      <c r="L16" s="14" t="str">
        <f>IFERROR((VLOOKUP($A16,'[1]import success seats course'!$A:Z,HLOOKUP('[1]Course Totals'!L$4,'[1]import success seats course'!$1:$2,2,FALSE),FALSE)/(VLOOKUP($A16,'[1]import graded seats course pivo'!$A:AJ,HLOOKUP('[1]Course Totals'!L$4,'[1]import graded seats course pivo'!$1:$2,2,FALSE),FALSE))),"")</f>
        <v/>
      </c>
      <c r="M16" s="14">
        <f>IFERROR((VLOOKUP($A16,'[1]import success seats course'!$A:AA,HLOOKUP('[1]Course Totals'!M$4,'[1]import success seats course'!$1:$2,2,FALSE),FALSE)/(VLOOKUP($A16,'[1]import graded seats course pivo'!$A:AK,HLOOKUP('[1]Course Totals'!M$4,'[1]import graded seats course pivo'!$1:$2,2,FALSE),FALSE))),"")</f>
        <v>0.88235294117647056</v>
      </c>
      <c r="N16" s="14" t="str">
        <f>IFERROR((VLOOKUP($A16,'[1]import success seats course'!$A:AB,HLOOKUP('[1]Course Totals'!N$4,'[1]import success seats course'!$1:$2,2,FALSE),FALSE)/(VLOOKUP($A16,'[1]import graded seats course pivo'!$A:AL,HLOOKUP('[1]Course Totals'!N$4,'[1]import graded seats course pivo'!$1:$2,2,FALSE),FALSE))),"")</f>
        <v/>
      </c>
      <c r="O16" s="14" t="str">
        <f>IFERROR((VLOOKUP($A16,'[1]import success seats course'!$A:AC,HLOOKUP('[1]Course Totals'!O$4,'[1]import success seats course'!$1:$2,2,FALSE),FALSE)/(VLOOKUP($A16,'[1]import graded seats course pivo'!$A:AM,HLOOKUP('[1]Course Totals'!O$4,'[1]import graded seats course pivo'!$1:$2,2,FALSE),FALSE))),"")</f>
        <v/>
      </c>
      <c r="P16" s="14" t="str">
        <f>IFERROR((VLOOKUP($A16,'[1]import success seats course'!$A:AD,HLOOKUP('[1]Course Totals'!P$4,'[1]import success seats course'!$1:$2,2,FALSE),FALSE)/(VLOOKUP($A16,'[1]import graded seats course pivo'!$A:AN,HLOOKUP('[1]Course Totals'!P$4,'[1]import graded seats course pivo'!$1:$2,2,FALSE),FALSE))),"")</f>
        <v/>
      </c>
      <c r="Q16" s="14" t="str">
        <f>IFERROR((VLOOKUP($A16,'[1]import success seats course'!$A:AE,HLOOKUP('[1]Course Totals'!Q$4,'[1]import success seats course'!$1:$2,2,FALSE),FALSE)/(VLOOKUP($A16,'[1]import graded seats course pivo'!$A:AO,HLOOKUP('[1]Course Totals'!Q$4,'[1]import graded seats course pivo'!$1:$2,2,FALSE),FALSE))),"")</f>
        <v/>
      </c>
      <c r="R16" s="14" t="str">
        <f>IFERROR((VLOOKUP($A16,'[1]import success seats course'!$A:AF,HLOOKUP('[1]Course Totals'!R$4,'[1]import success seats course'!$1:$2,2,FALSE),FALSE)/(VLOOKUP($A16,'[1]import graded seats course pivo'!$A:AP,HLOOKUP('[1]Course Totals'!R$4,'[1]import graded seats course pivo'!$1:$2,2,FALSE),FALSE))),"")</f>
        <v/>
      </c>
      <c r="S16" s="14" t="str">
        <f>IFERROR((VLOOKUP($A16,'[1]import success seats course'!$A:AG,HLOOKUP('[1]Course Totals'!S$4,'[1]import success seats course'!$1:$2,2,FALSE),FALSE)/(VLOOKUP($A16,'[1]import graded seats course pivo'!$A:AQ,HLOOKUP('[1]Course Totals'!S$4,'[1]import graded seats course pivo'!$1:$2,2,FALSE),FALSE))),"")</f>
        <v/>
      </c>
      <c r="Z16" s="7"/>
      <c r="AA16" s="7"/>
      <c r="AB16" s="7"/>
      <c r="AC16" s="7"/>
    </row>
    <row r="17" spans="1:29" s="7" customFormat="1" ht="15.75" thickBot="1" x14ac:dyDescent="0.3">
      <c r="A17" s="8" t="str">
        <f>'[1]SUBJECTS BASE'!H2</f>
        <v>Alcohol/Drug Studies</v>
      </c>
      <c r="B17" s="38" t="s">
        <v>1046</v>
      </c>
      <c r="C17" s="39" t="s">
        <v>0</v>
      </c>
      <c r="D17" s="40" t="s">
        <v>868</v>
      </c>
      <c r="E17" s="41" t="s">
        <v>1052</v>
      </c>
      <c r="F17" s="42" t="s">
        <v>546</v>
      </c>
      <c r="G17" s="43" t="s">
        <v>959</v>
      </c>
      <c r="H17" s="44" t="s">
        <v>1060</v>
      </c>
      <c r="I17" s="39" t="s">
        <v>675</v>
      </c>
      <c r="J17" s="45" t="s">
        <v>1006</v>
      </c>
      <c r="K17" s="46" t="s">
        <v>1062</v>
      </c>
      <c r="L17" s="42" t="s">
        <v>762</v>
      </c>
      <c r="M17" s="43" t="s">
        <v>1022</v>
      </c>
      <c r="N17" s="44" t="s">
        <v>1063</v>
      </c>
      <c r="O17" s="39" t="s">
        <v>822</v>
      </c>
      <c r="P17" s="40" t="s">
        <v>1042</v>
      </c>
      <c r="Q17" s="46" t="s">
        <v>1153</v>
      </c>
      <c r="R17" s="42" t="s">
        <v>1154</v>
      </c>
      <c r="S17" s="43" t="s">
        <v>1155</v>
      </c>
    </row>
    <row r="18" spans="1:29" x14ac:dyDescent="0.25">
      <c r="A18" s="12" t="s">
        <v>8</v>
      </c>
      <c r="B18" s="14" t="str">
        <f>IFERROR((VLOOKUP($A18,'[1]import success seats course'!$A:P,HLOOKUP('[1]Course Totals'!B$4,'[1]import success seats course'!$1:$2,2,FALSE),FALSE)/(VLOOKUP($A18,'[1]import graded seats course pivo'!$A:Z,HLOOKUP('[1]Course Totals'!B$4,'[1]import graded seats course pivo'!$1:$2,2,FALSE),FALSE))),"")</f>
        <v/>
      </c>
      <c r="C18" s="14">
        <f>IFERROR((VLOOKUP($A18,'[1]import success seats course'!$A:Q,HLOOKUP('[1]Course Totals'!C$4,'[1]import success seats course'!$1:$2,2,FALSE),FALSE)/(VLOOKUP($A18,'[1]import graded seats course pivo'!$A:AA,HLOOKUP('[1]Course Totals'!C$4,'[1]import graded seats course pivo'!$1:$2,2,FALSE),FALSE))),"")</f>
        <v>1</v>
      </c>
      <c r="D18" s="14">
        <f>IFERROR((VLOOKUP($A18,'[1]import success seats course'!$A:R,HLOOKUP('[1]Course Totals'!D$4,'[1]import success seats course'!$1:$2,2,FALSE),FALSE)/(VLOOKUP($A18,'[1]import graded seats course pivo'!$A:AB,HLOOKUP('[1]Course Totals'!D$4,'[1]import graded seats course pivo'!$1:$2,2,FALSE),FALSE))),"")</f>
        <v>1</v>
      </c>
      <c r="E18" s="14" t="str">
        <f>IFERROR((VLOOKUP($A18,'[1]import success seats course'!$A:S,HLOOKUP('[1]Course Totals'!E$4,'[1]import success seats course'!$1:$2,2,FALSE),FALSE)/(VLOOKUP($A18,'[1]import graded seats course pivo'!$A:AC,HLOOKUP('[1]Course Totals'!E$4,'[1]import graded seats course pivo'!$1:$2,2,FALSE),FALSE))),"")</f>
        <v/>
      </c>
      <c r="F18" s="14">
        <f>IFERROR((VLOOKUP($A18,'[1]import success seats course'!$A:T,HLOOKUP('[1]Course Totals'!F$4,'[1]import success seats course'!$1:$2,2,FALSE),FALSE)/(VLOOKUP($A18,'[1]import graded seats course pivo'!$A:AD,HLOOKUP('[1]Course Totals'!F$4,'[1]import graded seats course pivo'!$1:$2,2,FALSE),FALSE))),"")</f>
        <v>0.9642857142857143</v>
      </c>
      <c r="G18" s="14">
        <f>IFERROR((VLOOKUP($A18,'[1]import success seats course'!$A:U,HLOOKUP('[1]Course Totals'!G$4,'[1]import success seats course'!$1:$2,2,FALSE),FALSE)/(VLOOKUP($A18,'[1]import graded seats course pivo'!$A:AE,HLOOKUP('[1]Course Totals'!G$4,'[1]import graded seats course pivo'!$1:$2,2,FALSE),FALSE))),"")</f>
        <v>1</v>
      </c>
      <c r="H18" s="14" t="str">
        <f>IFERROR((VLOOKUP($A18,'[1]import success seats course'!$A:V,HLOOKUP('[1]Course Totals'!H$4,'[1]import success seats course'!$1:$2,2,FALSE),FALSE)/(VLOOKUP($A18,'[1]import graded seats course pivo'!$A:AF,HLOOKUP('[1]Course Totals'!H$4,'[1]import graded seats course pivo'!$1:$2,2,FALSE),FALSE))),"")</f>
        <v/>
      </c>
      <c r="I18" s="14">
        <f>IFERROR((VLOOKUP($A18,'[1]import success seats course'!$A:W,HLOOKUP('[1]Course Totals'!I$4,'[1]import success seats course'!$1:$2,2,FALSE),FALSE)/(VLOOKUP($A18,'[1]import graded seats course pivo'!$A:AG,HLOOKUP('[1]Course Totals'!I$4,'[1]import graded seats course pivo'!$1:$2,2,FALSE),FALSE))),"")</f>
        <v>1</v>
      </c>
      <c r="J18" s="14">
        <f>IFERROR((VLOOKUP($A18,'[1]import success seats course'!$A:X,HLOOKUP('[1]Course Totals'!J$4,'[1]import success seats course'!$1:$2,2,FALSE),FALSE)/(VLOOKUP($A18,'[1]import graded seats course pivo'!$A:AH,HLOOKUP('[1]Course Totals'!J$4,'[1]import graded seats course pivo'!$1:$2,2,FALSE),FALSE))),"")</f>
        <v>1</v>
      </c>
      <c r="K18" s="14">
        <f>IFERROR((VLOOKUP($A18,'[1]import success seats course'!$A:Y,HLOOKUP('[1]Course Totals'!K$4,'[1]import success seats course'!$1:$2,2,FALSE),FALSE)/(VLOOKUP($A18,'[1]import graded seats course pivo'!$A:AI,HLOOKUP('[1]Course Totals'!K$4,'[1]import graded seats course pivo'!$1:$2,2,FALSE),FALSE))),"")</f>
        <v>1</v>
      </c>
      <c r="L18" s="14">
        <f>IFERROR((VLOOKUP($A18,'[1]import success seats course'!$A:Z,HLOOKUP('[1]Course Totals'!L$4,'[1]import success seats course'!$1:$2,2,FALSE),FALSE)/(VLOOKUP($A18,'[1]import graded seats course pivo'!$A:AJ,HLOOKUP('[1]Course Totals'!L$4,'[1]import graded seats course pivo'!$1:$2,2,FALSE),FALSE))),"")</f>
        <v>1</v>
      </c>
      <c r="M18" s="14" t="str">
        <f>IFERROR((VLOOKUP($A18,'[1]import success seats course'!$A:AA,HLOOKUP('[1]Course Totals'!M$4,'[1]import success seats course'!$1:$2,2,FALSE),FALSE)/(VLOOKUP($A18,'[1]import graded seats course pivo'!$A:AK,HLOOKUP('[1]Course Totals'!M$4,'[1]import graded seats course pivo'!$1:$2,2,FALSE),FALSE))),"")</f>
        <v/>
      </c>
      <c r="N18" s="14" t="str">
        <f>IFERROR((VLOOKUP($A18,'[1]import success seats course'!$A:AB,HLOOKUP('[1]Course Totals'!N$4,'[1]import success seats course'!$1:$2,2,FALSE),FALSE)/(VLOOKUP($A18,'[1]import graded seats course pivo'!$A:AL,HLOOKUP('[1]Course Totals'!N$4,'[1]import graded seats course pivo'!$1:$2,2,FALSE),FALSE))),"")</f>
        <v/>
      </c>
      <c r="O18" s="14" t="str">
        <f>IFERROR((VLOOKUP($A18,'[1]import success seats course'!$A:AC,HLOOKUP('[1]Course Totals'!O$4,'[1]import success seats course'!$1:$2,2,FALSE),FALSE)/(VLOOKUP($A18,'[1]import graded seats course pivo'!$A:AM,HLOOKUP('[1]Course Totals'!O$4,'[1]import graded seats course pivo'!$1:$2,2,FALSE),FALSE))),"")</f>
        <v/>
      </c>
      <c r="P18" s="14" t="str">
        <f>IFERROR((VLOOKUP($A18,'[1]import success seats course'!$A:AD,HLOOKUP('[1]Course Totals'!P$4,'[1]import success seats course'!$1:$2,2,FALSE),FALSE)/(VLOOKUP($A18,'[1]import graded seats course pivo'!$A:AN,HLOOKUP('[1]Course Totals'!P$4,'[1]import graded seats course pivo'!$1:$2,2,FALSE),FALSE))),"")</f>
        <v/>
      </c>
      <c r="Q18" s="14" t="str">
        <f>IFERROR((VLOOKUP($A18,'[1]import success seats course'!$A:AE,HLOOKUP('[1]Course Totals'!Q$4,'[1]import success seats course'!$1:$2,2,FALSE),FALSE)/(VLOOKUP($A18,'[1]import graded seats course pivo'!$A:AO,HLOOKUP('[1]Course Totals'!Q$4,'[1]import graded seats course pivo'!$1:$2,2,FALSE),FALSE))),"")</f>
        <v/>
      </c>
      <c r="R18" s="14" t="str">
        <f>IFERROR((VLOOKUP($A18,'[1]import success seats course'!$A:AF,HLOOKUP('[1]Course Totals'!R$4,'[1]import success seats course'!$1:$2,2,FALSE),FALSE)/(VLOOKUP($A18,'[1]import graded seats course pivo'!$A:AP,HLOOKUP('[1]Course Totals'!R$4,'[1]import graded seats course pivo'!$1:$2,2,FALSE),FALSE))),"")</f>
        <v/>
      </c>
      <c r="S18" s="14" t="str">
        <f>IFERROR((VLOOKUP($A18,'[1]import success seats course'!$A:AG,HLOOKUP('[1]Course Totals'!S$4,'[1]import success seats course'!$1:$2,2,FALSE),FALSE)/(VLOOKUP($A18,'[1]import graded seats course pivo'!$A:AQ,HLOOKUP('[1]Course Totals'!S$4,'[1]import graded seats course pivo'!$1:$2,2,FALSE),FALSE))),"")</f>
        <v/>
      </c>
      <c r="Z18" s="7"/>
      <c r="AA18" s="7"/>
      <c r="AB18" s="7"/>
      <c r="AC18" s="7"/>
    </row>
    <row r="19" spans="1:29" x14ac:dyDescent="0.25">
      <c r="A19" s="12" t="s">
        <v>677</v>
      </c>
      <c r="B19" s="14" t="str">
        <f>IFERROR((VLOOKUP($A19,'[1]import success seats course'!$A:P,HLOOKUP('[1]Course Totals'!B$4,'[1]import success seats course'!$1:$2,2,FALSE),FALSE)/(VLOOKUP($A19,'[1]import graded seats course pivo'!$A:Z,HLOOKUP('[1]Course Totals'!B$4,'[1]import graded seats course pivo'!$1:$2,2,FALSE),FALSE))),"")</f>
        <v/>
      </c>
      <c r="C19" s="14" t="str">
        <f>IFERROR((VLOOKUP($A19,'[1]import success seats course'!$A:Q,HLOOKUP('[1]Course Totals'!C$4,'[1]import success seats course'!$1:$2,2,FALSE),FALSE)/(VLOOKUP($A19,'[1]import graded seats course pivo'!$A:AA,HLOOKUP('[1]Course Totals'!C$4,'[1]import graded seats course pivo'!$1:$2,2,FALSE),FALSE))),"")</f>
        <v/>
      </c>
      <c r="D19" s="14" t="str">
        <f>IFERROR((VLOOKUP($A19,'[1]import success seats course'!$A:R,HLOOKUP('[1]Course Totals'!D$4,'[1]import success seats course'!$1:$2,2,FALSE),FALSE)/(VLOOKUP($A19,'[1]import graded seats course pivo'!$A:AB,HLOOKUP('[1]Course Totals'!D$4,'[1]import graded seats course pivo'!$1:$2,2,FALSE),FALSE))),"")</f>
        <v/>
      </c>
      <c r="E19" s="14" t="str">
        <f>IFERROR((VLOOKUP($A19,'[1]import success seats course'!$A:S,HLOOKUP('[1]Course Totals'!E$4,'[1]import success seats course'!$1:$2,2,FALSE),FALSE)/(VLOOKUP($A19,'[1]import graded seats course pivo'!$A:AC,HLOOKUP('[1]Course Totals'!E$4,'[1]import graded seats course pivo'!$1:$2,2,FALSE),FALSE))),"")</f>
        <v/>
      </c>
      <c r="F19" s="14" t="str">
        <f>IFERROR((VLOOKUP($A19,'[1]import success seats course'!$A:T,HLOOKUP('[1]Course Totals'!F$4,'[1]import success seats course'!$1:$2,2,FALSE),FALSE)/(VLOOKUP($A19,'[1]import graded seats course pivo'!$A:AD,HLOOKUP('[1]Course Totals'!F$4,'[1]import graded seats course pivo'!$1:$2,2,FALSE),FALSE))),"")</f>
        <v/>
      </c>
      <c r="G19" s="14" t="str">
        <f>IFERROR((VLOOKUP($A19,'[1]import success seats course'!$A:U,HLOOKUP('[1]Course Totals'!G$4,'[1]import success seats course'!$1:$2,2,FALSE),FALSE)/(VLOOKUP($A19,'[1]import graded seats course pivo'!$A:AE,HLOOKUP('[1]Course Totals'!G$4,'[1]import graded seats course pivo'!$1:$2,2,FALSE),FALSE))),"")</f>
        <v/>
      </c>
      <c r="H19" s="14" t="str">
        <f>IFERROR((VLOOKUP($A19,'[1]import success seats course'!$A:V,HLOOKUP('[1]Course Totals'!H$4,'[1]import success seats course'!$1:$2,2,FALSE),FALSE)/(VLOOKUP($A19,'[1]import graded seats course pivo'!$A:AF,HLOOKUP('[1]Course Totals'!H$4,'[1]import graded seats course pivo'!$1:$2,2,FALSE),FALSE))),"")</f>
        <v/>
      </c>
      <c r="I19" s="14" t="str">
        <f>IFERROR((VLOOKUP($A19,'[1]import success seats course'!$A:W,HLOOKUP('[1]Course Totals'!I$4,'[1]import success seats course'!$1:$2,2,FALSE),FALSE)/(VLOOKUP($A19,'[1]import graded seats course pivo'!$A:AG,HLOOKUP('[1]Course Totals'!I$4,'[1]import graded seats course pivo'!$1:$2,2,FALSE),FALSE))),"")</f>
        <v/>
      </c>
      <c r="J19" s="14">
        <f>IFERROR((VLOOKUP($A19,'[1]import success seats course'!$A:X,HLOOKUP('[1]Course Totals'!J$4,'[1]import success seats course'!$1:$2,2,FALSE),FALSE)/(VLOOKUP($A19,'[1]import graded seats course pivo'!$A:AH,HLOOKUP('[1]Course Totals'!J$4,'[1]import graded seats course pivo'!$1:$2,2,FALSE),FALSE))),"")</f>
        <v>0.9285714285714286</v>
      </c>
      <c r="K19" s="14" t="str">
        <f>IFERROR((VLOOKUP($A19,'[1]import success seats course'!$A:Y,HLOOKUP('[1]Course Totals'!K$4,'[1]import success seats course'!$1:$2,2,FALSE),FALSE)/(VLOOKUP($A19,'[1]import graded seats course pivo'!$A:AI,HLOOKUP('[1]Course Totals'!K$4,'[1]import graded seats course pivo'!$1:$2,2,FALSE),FALSE))),"")</f>
        <v/>
      </c>
      <c r="L19" s="14" t="str">
        <f>IFERROR((VLOOKUP($A19,'[1]import success seats course'!$A:Z,HLOOKUP('[1]Course Totals'!L$4,'[1]import success seats course'!$1:$2,2,FALSE),FALSE)/(VLOOKUP($A19,'[1]import graded seats course pivo'!$A:AJ,HLOOKUP('[1]Course Totals'!L$4,'[1]import graded seats course pivo'!$1:$2,2,FALSE),FALSE))),"")</f>
        <v/>
      </c>
      <c r="M19" s="14">
        <f>IFERROR((VLOOKUP($A19,'[1]import success seats course'!$A:AA,HLOOKUP('[1]Course Totals'!M$4,'[1]import success seats course'!$1:$2,2,FALSE),FALSE)/(VLOOKUP($A19,'[1]import graded seats course pivo'!$A:AK,HLOOKUP('[1]Course Totals'!M$4,'[1]import graded seats course pivo'!$1:$2,2,FALSE),FALSE))),"")</f>
        <v>0.95238095238095233</v>
      </c>
      <c r="N19" s="14" t="str">
        <f>IFERROR((VLOOKUP($A19,'[1]import success seats course'!$A:AB,HLOOKUP('[1]Course Totals'!N$4,'[1]import success seats course'!$1:$2,2,FALSE),FALSE)/(VLOOKUP($A19,'[1]import graded seats course pivo'!$A:AL,HLOOKUP('[1]Course Totals'!N$4,'[1]import graded seats course pivo'!$1:$2,2,FALSE),FALSE))),"")</f>
        <v/>
      </c>
      <c r="O19" s="14">
        <f>IFERROR((VLOOKUP($A19,'[1]import success seats course'!$A:AC,HLOOKUP('[1]Course Totals'!O$4,'[1]import success seats course'!$1:$2,2,FALSE),FALSE)/(VLOOKUP($A19,'[1]import graded seats course pivo'!$A:AM,HLOOKUP('[1]Course Totals'!O$4,'[1]import graded seats course pivo'!$1:$2,2,FALSE),FALSE))),"")</f>
        <v>0.87096774193548387</v>
      </c>
      <c r="P19" s="14">
        <f>IFERROR((VLOOKUP($A19,'[1]import success seats course'!$A:AD,HLOOKUP('[1]Course Totals'!P$4,'[1]import success seats course'!$1:$2,2,FALSE),FALSE)/(VLOOKUP($A19,'[1]import graded seats course pivo'!$A:AN,HLOOKUP('[1]Course Totals'!P$4,'[1]import graded seats course pivo'!$1:$2,2,FALSE),FALSE))),"")</f>
        <v>1</v>
      </c>
      <c r="Q19" s="14" t="str">
        <f>IFERROR((VLOOKUP($A19,'[1]import success seats course'!$A:AE,HLOOKUP('[1]Course Totals'!Q$4,'[1]import success seats course'!$1:$2,2,FALSE),FALSE)/(VLOOKUP($A19,'[1]import graded seats course pivo'!$A:AO,HLOOKUP('[1]Course Totals'!Q$4,'[1]import graded seats course pivo'!$1:$2,2,FALSE),FALSE))),"")</f>
        <v/>
      </c>
      <c r="R19" s="14" t="str">
        <f>IFERROR((VLOOKUP($A19,'[1]import success seats course'!$A:AF,HLOOKUP('[1]Course Totals'!R$4,'[1]import success seats course'!$1:$2,2,FALSE),FALSE)/(VLOOKUP($A19,'[1]import graded seats course pivo'!$A:AP,HLOOKUP('[1]Course Totals'!R$4,'[1]import graded seats course pivo'!$1:$2,2,FALSE),FALSE))),"")</f>
        <v/>
      </c>
      <c r="S19" s="14" t="str">
        <f>IFERROR((VLOOKUP($A19,'[1]import success seats course'!$A:AG,HLOOKUP('[1]Course Totals'!S$4,'[1]import success seats course'!$1:$2,2,FALSE),FALSE)/(VLOOKUP($A19,'[1]import graded seats course pivo'!$A:AQ,HLOOKUP('[1]Course Totals'!S$4,'[1]import graded seats course pivo'!$1:$2,2,FALSE),FALSE))),"")</f>
        <v/>
      </c>
      <c r="Z19" s="7"/>
      <c r="AA19" s="7"/>
      <c r="AB19" s="7"/>
      <c r="AC19" s="7"/>
    </row>
    <row r="20" spans="1:29" ht="15" hidden="1" customHeight="1" x14ac:dyDescent="0.25">
      <c r="A20" s="12" t="s">
        <v>9</v>
      </c>
      <c r="B20" s="14" t="str">
        <f>IFERROR((VLOOKUP($A20,'[1]import success seats course'!$A:P,HLOOKUP('[1]Course Totals'!B$4,'[1]import success seats course'!$1:$2,2,FALSE),FALSE)/(VLOOKUP($A20,'[1]import graded seats course pivo'!$A:Z,HLOOKUP('[1]Course Totals'!B$4,'[1]import graded seats course pivo'!$1:$2,2,FALSE),FALSE))),"")</f>
        <v/>
      </c>
      <c r="C20" s="14" t="str">
        <f>IFERROR((VLOOKUP($A20,'[1]import success seats course'!$A:Q,HLOOKUP('[1]Course Totals'!C$4,'[1]import success seats course'!$1:$2,2,FALSE),FALSE)/(VLOOKUP($A20,'[1]import graded seats course pivo'!$A:AA,HLOOKUP('[1]Course Totals'!C$4,'[1]import graded seats course pivo'!$1:$2,2,FALSE),FALSE))),"")</f>
        <v/>
      </c>
      <c r="D20" s="14" t="str">
        <f>IFERROR((VLOOKUP($A20,'[1]import success seats course'!$A:R,HLOOKUP('[1]Course Totals'!D$4,'[1]import success seats course'!$1:$2,2,FALSE),FALSE)/(VLOOKUP($A20,'[1]import graded seats course pivo'!$A:AB,HLOOKUP('[1]Course Totals'!D$4,'[1]import graded seats course pivo'!$1:$2,2,FALSE),FALSE))),"")</f>
        <v/>
      </c>
      <c r="E20" s="14" t="str">
        <f>IFERROR((VLOOKUP($A20,'[1]import success seats course'!$A:S,HLOOKUP('[1]Course Totals'!E$4,'[1]import success seats course'!$1:$2,2,FALSE),FALSE)/(VLOOKUP($A20,'[1]import graded seats course pivo'!$A:AC,HLOOKUP('[1]Course Totals'!E$4,'[1]import graded seats course pivo'!$1:$2,2,FALSE),FALSE))),"")</f>
        <v/>
      </c>
      <c r="F20" s="14" t="str">
        <f>IFERROR((VLOOKUP($A20,'[1]import success seats course'!$A:T,HLOOKUP('[1]Course Totals'!F$4,'[1]import success seats course'!$1:$2,2,FALSE),FALSE)/(VLOOKUP($A20,'[1]import graded seats course pivo'!$A:AD,HLOOKUP('[1]Course Totals'!F$4,'[1]import graded seats course pivo'!$1:$2,2,FALSE),FALSE))),"")</f>
        <v/>
      </c>
      <c r="G20" s="14" t="str">
        <f>IFERROR((VLOOKUP($A20,'[1]import success seats course'!$A:U,HLOOKUP('[1]Course Totals'!G$4,'[1]import success seats course'!$1:$2,2,FALSE),FALSE)/(VLOOKUP($A20,'[1]import graded seats course pivo'!$A:AE,HLOOKUP('[1]Course Totals'!G$4,'[1]import graded seats course pivo'!$1:$2,2,FALSE),FALSE))),"")</f>
        <v/>
      </c>
      <c r="H20" s="14" t="str">
        <f>IFERROR((VLOOKUP($A20,'[1]import success seats course'!$A:V,HLOOKUP('[1]Course Totals'!H$4,'[1]import success seats course'!$1:$2,2,FALSE),FALSE)/(VLOOKUP($A20,'[1]import graded seats course pivo'!$A:AF,HLOOKUP('[1]Course Totals'!H$4,'[1]import graded seats course pivo'!$1:$2,2,FALSE),FALSE))),"")</f>
        <v/>
      </c>
      <c r="I20" s="14" t="str">
        <f>IFERROR((VLOOKUP($A20,'[1]import success seats course'!$A:W,HLOOKUP('[1]Course Totals'!I$4,'[1]import success seats course'!$1:$2,2,FALSE),FALSE)/(VLOOKUP($A20,'[1]import graded seats course pivo'!$A:AG,HLOOKUP('[1]Course Totals'!I$4,'[1]import graded seats course pivo'!$1:$2,2,FALSE),FALSE))),"")</f>
        <v/>
      </c>
      <c r="J20" s="14" t="str">
        <f>IFERROR((VLOOKUP($A20,'[1]import success seats course'!$A:X,HLOOKUP('[1]Course Totals'!J$4,'[1]import success seats course'!$1:$2,2,FALSE),FALSE)/(VLOOKUP($A20,'[1]import graded seats course pivo'!$A:AH,HLOOKUP('[1]Course Totals'!J$4,'[1]import graded seats course pivo'!$1:$2,2,FALSE),FALSE))),"")</f>
        <v/>
      </c>
      <c r="K20" s="14" t="str">
        <f>IFERROR((VLOOKUP($A20,'[1]import success seats course'!$A:Y,HLOOKUP('[1]Course Totals'!K$4,'[1]import success seats course'!$1:$2,2,FALSE),FALSE)/(VLOOKUP($A20,'[1]import graded seats course pivo'!$A:AI,HLOOKUP('[1]Course Totals'!K$4,'[1]import graded seats course pivo'!$1:$2,2,FALSE),FALSE))),"")</f>
        <v/>
      </c>
      <c r="L20" s="14" t="str">
        <f>IFERROR((VLOOKUP($A20,'[1]import success seats course'!$A:Z,HLOOKUP('[1]Course Totals'!L$4,'[1]import success seats course'!$1:$2,2,FALSE),FALSE)/(VLOOKUP($A20,'[1]import graded seats course pivo'!$A:AJ,HLOOKUP('[1]Course Totals'!L$4,'[1]import graded seats course pivo'!$1:$2,2,FALSE),FALSE))),"")</f>
        <v/>
      </c>
      <c r="M20" s="14" t="str">
        <f>IFERROR((VLOOKUP($A20,'[1]import success seats course'!$A:AA,HLOOKUP('[1]Course Totals'!M$4,'[1]import success seats course'!$1:$2,2,FALSE),FALSE)/(VLOOKUP($A20,'[1]import graded seats course pivo'!$A:AK,HLOOKUP('[1]Course Totals'!M$4,'[1]import graded seats course pivo'!$1:$2,2,FALSE),FALSE))),"")</f>
        <v/>
      </c>
      <c r="N20" s="14" t="str">
        <f>IFERROR((VLOOKUP($A20,'[1]import success seats course'!$A:AB,HLOOKUP('[1]Course Totals'!N$4,'[1]import success seats course'!$1:$2,2,FALSE),FALSE)/(VLOOKUP($A20,'[1]import graded seats course pivo'!$A:AL,HLOOKUP('[1]Course Totals'!N$4,'[1]import graded seats course pivo'!$1:$2,2,FALSE),FALSE))),"")</f>
        <v/>
      </c>
      <c r="O20" s="14" t="str">
        <f>IFERROR((VLOOKUP($A20,'[1]import success seats course'!$A:AC,HLOOKUP('[1]Course Totals'!O$4,'[1]import success seats course'!$1:$2,2,FALSE),FALSE)/(VLOOKUP($A20,'[1]import graded seats course pivo'!$A:AM,HLOOKUP('[1]Course Totals'!O$4,'[1]import graded seats course pivo'!$1:$2,2,FALSE),FALSE))),"")</f>
        <v/>
      </c>
      <c r="P20" s="14" t="str">
        <f>IFERROR((VLOOKUP($A20,'[1]import success seats course'!$A:AD,HLOOKUP('[1]Course Totals'!P$4,'[1]import success seats course'!$1:$2,2,FALSE),FALSE)/(VLOOKUP($A20,'[1]import graded seats course pivo'!$A:AN,HLOOKUP('[1]Course Totals'!P$4,'[1]import graded seats course pivo'!$1:$2,2,FALSE),FALSE))),"")</f>
        <v/>
      </c>
      <c r="Q20" s="14" t="str">
        <f>IFERROR((VLOOKUP($A20,'[1]import success seats course'!$A:AE,HLOOKUP('[1]Course Totals'!Q$4,'[1]import success seats course'!$1:$2,2,FALSE),FALSE)/(VLOOKUP($A20,'[1]import graded seats course pivo'!$A:AO,HLOOKUP('[1]Course Totals'!Q$4,'[1]import graded seats course pivo'!$1:$2,2,FALSE),FALSE))),"")</f>
        <v/>
      </c>
      <c r="R20" s="14" t="str">
        <f>IFERROR((VLOOKUP($A20,'[1]import success seats course'!$A:AF,HLOOKUP('[1]Course Totals'!R$4,'[1]import success seats course'!$1:$2,2,FALSE),FALSE)/(VLOOKUP($A20,'[1]import graded seats course pivo'!$A:AP,HLOOKUP('[1]Course Totals'!R$4,'[1]import graded seats course pivo'!$1:$2,2,FALSE),FALSE))),"")</f>
        <v/>
      </c>
      <c r="S20" s="14" t="str">
        <f>IFERROR((VLOOKUP($A20,'[1]import success seats course'!$A:AG,HLOOKUP('[1]Course Totals'!S$4,'[1]import success seats course'!$1:$2,2,FALSE),FALSE)/(VLOOKUP($A20,'[1]import graded seats course pivo'!$A:AQ,HLOOKUP('[1]Course Totals'!S$4,'[1]import graded seats course pivo'!$1:$2,2,FALSE),FALSE))),"")</f>
        <v/>
      </c>
      <c r="Z20" s="7"/>
      <c r="AA20" s="7"/>
      <c r="AB20" s="7"/>
      <c r="AC20" s="7"/>
    </row>
    <row r="21" spans="1:29" x14ac:dyDescent="0.25">
      <c r="A21" s="12" t="s">
        <v>824</v>
      </c>
      <c r="B21" s="14" t="str">
        <f>IFERROR((VLOOKUP($A21,'[1]import success seats course'!$A:P,HLOOKUP('[1]Course Totals'!B$4,'[1]import success seats course'!$1:$2,2,FALSE),FALSE)/(VLOOKUP($A21,'[1]import graded seats course pivo'!$A:Z,HLOOKUP('[1]Course Totals'!B$4,'[1]import graded seats course pivo'!$1:$2,2,FALSE),FALSE))),"")</f>
        <v/>
      </c>
      <c r="C21" s="14" t="str">
        <f>IFERROR((VLOOKUP($A21,'[1]import success seats course'!$A:Q,HLOOKUP('[1]Course Totals'!C$4,'[1]import success seats course'!$1:$2,2,FALSE),FALSE)/(VLOOKUP($A21,'[1]import graded seats course pivo'!$A:AA,HLOOKUP('[1]Course Totals'!C$4,'[1]import graded seats course pivo'!$1:$2,2,FALSE),FALSE))),"")</f>
        <v/>
      </c>
      <c r="D21" s="14" t="str">
        <f>IFERROR((VLOOKUP($A21,'[1]import success seats course'!$A:R,HLOOKUP('[1]Course Totals'!D$4,'[1]import success seats course'!$1:$2,2,FALSE),FALSE)/(VLOOKUP($A21,'[1]import graded seats course pivo'!$A:AB,HLOOKUP('[1]Course Totals'!D$4,'[1]import graded seats course pivo'!$1:$2,2,FALSE),FALSE))),"")</f>
        <v/>
      </c>
      <c r="E21" s="14" t="str">
        <f>IFERROR((VLOOKUP($A21,'[1]import success seats course'!$A:S,HLOOKUP('[1]Course Totals'!E$4,'[1]import success seats course'!$1:$2,2,FALSE),FALSE)/(VLOOKUP($A21,'[1]import graded seats course pivo'!$A:AC,HLOOKUP('[1]Course Totals'!E$4,'[1]import graded seats course pivo'!$1:$2,2,FALSE),FALSE))),"")</f>
        <v/>
      </c>
      <c r="F21" s="14" t="str">
        <f>IFERROR((VLOOKUP($A21,'[1]import success seats course'!$A:T,HLOOKUP('[1]Course Totals'!F$4,'[1]import success seats course'!$1:$2,2,FALSE),FALSE)/(VLOOKUP($A21,'[1]import graded seats course pivo'!$A:AD,HLOOKUP('[1]Course Totals'!F$4,'[1]import graded seats course pivo'!$1:$2,2,FALSE),FALSE))),"")</f>
        <v/>
      </c>
      <c r="G21" s="14" t="str">
        <f>IFERROR((VLOOKUP($A21,'[1]import success seats course'!$A:U,HLOOKUP('[1]Course Totals'!G$4,'[1]import success seats course'!$1:$2,2,FALSE),FALSE)/(VLOOKUP($A21,'[1]import graded seats course pivo'!$A:AE,HLOOKUP('[1]Course Totals'!G$4,'[1]import graded seats course pivo'!$1:$2,2,FALSE),FALSE))),"")</f>
        <v/>
      </c>
      <c r="H21" s="14" t="str">
        <f>IFERROR((VLOOKUP($A21,'[1]import success seats course'!$A:V,HLOOKUP('[1]Course Totals'!H$4,'[1]import success seats course'!$1:$2,2,FALSE),FALSE)/(VLOOKUP($A21,'[1]import graded seats course pivo'!$A:AF,HLOOKUP('[1]Course Totals'!H$4,'[1]import graded seats course pivo'!$1:$2,2,FALSE),FALSE))),"")</f>
        <v/>
      </c>
      <c r="I21" s="14" t="str">
        <f>IFERROR((VLOOKUP($A21,'[1]import success seats course'!$A:W,HLOOKUP('[1]Course Totals'!I$4,'[1]import success seats course'!$1:$2,2,FALSE),FALSE)/(VLOOKUP($A21,'[1]import graded seats course pivo'!$A:AG,HLOOKUP('[1]Course Totals'!I$4,'[1]import graded seats course pivo'!$1:$2,2,FALSE),FALSE))),"")</f>
        <v/>
      </c>
      <c r="J21" s="14" t="str">
        <f>IFERROR((VLOOKUP($A21,'[1]import success seats course'!$A:X,HLOOKUP('[1]Course Totals'!J$4,'[1]import success seats course'!$1:$2,2,FALSE),FALSE)/(VLOOKUP($A21,'[1]import graded seats course pivo'!$A:AH,HLOOKUP('[1]Course Totals'!J$4,'[1]import graded seats course pivo'!$1:$2,2,FALSE),FALSE))),"")</f>
        <v/>
      </c>
      <c r="K21" s="14" t="str">
        <f>IFERROR((VLOOKUP($A21,'[1]import success seats course'!$A:Y,HLOOKUP('[1]Course Totals'!K$4,'[1]import success seats course'!$1:$2,2,FALSE),FALSE)/(VLOOKUP($A21,'[1]import graded seats course pivo'!$A:AI,HLOOKUP('[1]Course Totals'!K$4,'[1]import graded seats course pivo'!$1:$2,2,FALSE),FALSE))),"")</f>
        <v/>
      </c>
      <c r="L21" s="14" t="str">
        <f>IFERROR((VLOOKUP($A21,'[1]import success seats course'!$A:Z,HLOOKUP('[1]Course Totals'!L$4,'[1]import success seats course'!$1:$2,2,FALSE),FALSE)/(VLOOKUP($A21,'[1]import graded seats course pivo'!$A:AJ,HLOOKUP('[1]Course Totals'!L$4,'[1]import graded seats course pivo'!$1:$2,2,FALSE),FALSE))),"")</f>
        <v/>
      </c>
      <c r="M21" s="14" t="str">
        <f>IFERROR((VLOOKUP($A21,'[1]import success seats course'!$A:AA,HLOOKUP('[1]Course Totals'!M$4,'[1]import success seats course'!$1:$2,2,FALSE),FALSE)/(VLOOKUP($A21,'[1]import graded seats course pivo'!$A:AK,HLOOKUP('[1]Course Totals'!M$4,'[1]import graded seats course pivo'!$1:$2,2,FALSE),FALSE))),"")</f>
        <v/>
      </c>
      <c r="N21" s="14" t="str">
        <f>IFERROR((VLOOKUP($A21,'[1]import success seats course'!$A:AB,HLOOKUP('[1]Course Totals'!N$4,'[1]import success seats course'!$1:$2,2,FALSE),FALSE)/(VLOOKUP($A21,'[1]import graded seats course pivo'!$A:AL,HLOOKUP('[1]Course Totals'!N$4,'[1]import graded seats course pivo'!$1:$2,2,FALSE),FALSE))),"")</f>
        <v/>
      </c>
      <c r="O21" s="14" t="str">
        <f>IFERROR((VLOOKUP($A21,'[1]import success seats course'!$A:AC,HLOOKUP('[1]Course Totals'!O$4,'[1]import success seats course'!$1:$2,2,FALSE),FALSE)/(VLOOKUP($A21,'[1]import graded seats course pivo'!$A:AM,HLOOKUP('[1]Course Totals'!O$4,'[1]import graded seats course pivo'!$1:$2,2,FALSE),FALSE))),"")</f>
        <v/>
      </c>
      <c r="P21" s="14" t="str">
        <f>IFERROR((VLOOKUP($A21,'[1]import success seats course'!$A:AD,HLOOKUP('[1]Course Totals'!P$4,'[1]import success seats course'!$1:$2,2,FALSE),FALSE)/(VLOOKUP($A21,'[1]import graded seats course pivo'!$A:AN,HLOOKUP('[1]Course Totals'!P$4,'[1]import graded seats course pivo'!$1:$2,2,FALSE),FALSE))),"")</f>
        <v/>
      </c>
      <c r="Q21" s="14" t="str">
        <f>IFERROR((VLOOKUP($A21,'[1]import success seats course'!$A:AE,HLOOKUP('[1]Course Totals'!Q$4,'[1]import success seats course'!$1:$2,2,FALSE),FALSE)/(VLOOKUP($A21,'[1]import graded seats course pivo'!$A:AO,HLOOKUP('[1]Course Totals'!Q$4,'[1]import graded seats course pivo'!$1:$2,2,FALSE),FALSE))),"")</f>
        <v/>
      </c>
      <c r="R21" s="14">
        <f>IFERROR((VLOOKUP($A21,'[1]import success seats course'!$A:AF,HLOOKUP('[1]Course Totals'!R$4,'[1]import success seats course'!$1:$2,2,FALSE),FALSE)/(VLOOKUP($A21,'[1]import graded seats course pivo'!$A:AP,HLOOKUP('[1]Course Totals'!R$4,'[1]import graded seats course pivo'!$1:$2,2,FALSE),FALSE))),"")</f>
        <v>1</v>
      </c>
      <c r="S21" s="14" t="str">
        <f>IFERROR((VLOOKUP($A21,'[1]import success seats course'!$A:AG,HLOOKUP('[1]Course Totals'!S$4,'[1]import success seats course'!$1:$2,2,FALSE),FALSE)/(VLOOKUP($A21,'[1]import graded seats course pivo'!$A:AQ,HLOOKUP('[1]Course Totals'!S$4,'[1]import graded seats course pivo'!$1:$2,2,FALSE),FALSE))),"")</f>
        <v/>
      </c>
      <c r="Z21" s="7"/>
      <c r="AA21" s="7"/>
      <c r="AB21" s="7"/>
      <c r="AC21" s="7"/>
    </row>
    <row r="22" spans="1:29" ht="15" hidden="1" customHeight="1" x14ac:dyDescent="0.25">
      <c r="A22" s="12" t="s">
        <v>10</v>
      </c>
      <c r="B22" s="14" t="str">
        <f>IFERROR((VLOOKUP($A22,'[1]import success seats course'!$A:P,HLOOKUP('[1]Course Totals'!B$4,'[1]import success seats course'!$1:$2,2,FALSE),FALSE)/(VLOOKUP($A22,'[1]import graded seats course pivo'!$A:Z,HLOOKUP('[1]Course Totals'!B$4,'[1]import graded seats course pivo'!$1:$2,2,FALSE),FALSE))),"")</f>
        <v/>
      </c>
      <c r="C22" s="14" t="str">
        <f>IFERROR((VLOOKUP($A22,'[1]import success seats course'!$A:Q,HLOOKUP('[1]Course Totals'!C$4,'[1]import success seats course'!$1:$2,2,FALSE),FALSE)/(VLOOKUP($A22,'[1]import graded seats course pivo'!$A:AA,HLOOKUP('[1]Course Totals'!C$4,'[1]import graded seats course pivo'!$1:$2,2,FALSE),FALSE))),"")</f>
        <v/>
      </c>
      <c r="D22" s="14" t="str">
        <f>IFERROR((VLOOKUP($A22,'[1]import success seats course'!$A:R,HLOOKUP('[1]Course Totals'!D$4,'[1]import success seats course'!$1:$2,2,FALSE),FALSE)/(VLOOKUP($A22,'[1]import graded seats course pivo'!$A:AB,HLOOKUP('[1]Course Totals'!D$4,'[1]import graded seats course pivo'!$1:$2,2,FALSE),FALSE))),"")</f>
        <v/>
      </c>
      <c r="E22" s="14" t="str">
        <f>IFERROR((VLOOKUP($A22,'[1]import success seats course'!$A:S,HLOOKUP('[1]Course Totals'!E$4,'[1]import success seats course'!$1:$2,2,FALSE),FALSE)/(VLOOKUP($A22,'[1]import graded seats course pivo'!$A:AC,HLOOKUP('[1]Course Totals'!E$4,'[1]import graded seats course pivo'!$1:$2,2,FALSE),FALSE))),"")</f>
        <v/>
      </c>
      <c r="F22" s="14" t="str">
        <f>IFERROR((VLOOKUP($A22,'[1]import success seats course'!$A:T,HLOOKUP('[1]Course Totals'!F$4,'[1]import success seats course'!$1:$2,2,FALSE),FALSE)/(VLOOKUP($A22,'[1]import graded seats course pivo'!$A:AD,HLOOKUP('[1]Course Totals'!F$4,'[1]import graded seats course pivo'!$1:$2,2,FALSE),FALSE))),"")</f>
        <v/>
      </c>
      <c r="G22" s="14" t="str">
        <f>IFERROR((VLOOKUP($A22,'[1]import success seats course'!$A:U,HLOOKUP('[1]Course Totals'!G$4,'[1]import success seats course'!$1:$2,2,FALSE),FALSE)/(VLOOKUP($A22,'[1]import graded seats course pivo'!$A:AE,HLOOKUP('[1]Course Totals'!G$4,'[1]import graded seats course pivo'!$1:$2,2,FALSE),FALSE))),"")</f>
        <v/>
      </c>
      <c r="H22" s="14" t="str">
        <f>IFERROR((VLOOKUP($A22,'[1]import success seats course'!$A:V,HLOOKUP('[1]Course Totals'!H$4,'[1]import success seats course'!$1:$2,2,FALSE),FALSE)/(VLOOKUP($A22,'[1]import graded seats course pivo'!$A:AF,HLOOKUP('[1]Course Totals'!H$4,'[1]import graded seats course pivo'!$1:$2,2,FALSE),FALSE))),"")</f>
        <v/>
      </c>
      <c r="I22" s="14" t="str">
        <f>IFERROR((VLOOKUP($A22,'[1]import success seats course'!$A:W,HLOOKUP('[1]Course Totals'!I$4,'[1]import success seats course'!$1:$2,2,FALSE),FALSE)/(VLOOKUP($A22,'[1]import graded seats course pivo'!$A:AG,HLOOKUP('[1]Course Totals'!I$4,'[1]import graded seats course pivo'!$1:$2,2,FALSE),FALSE))),"")</f>
        <v/>
      </c>
      <c r="J22" s="14" t="str">
        <f>IFERROR((VLOOKUP($A22,'[1]import success seats course'!$A:X,HLOOKUP('[1]Course Totals'!J$4,'[1]import success seats course'!$1:$2,2,FALSE),FALSE)/(VLOOKUP($A22,'[1]import graded seats course pivo'!$A:AH,HLOOKUP('[1]Course Totals'!J$4,'[1]import graded seats course pivo'!$1:$2,2,FALSE),FALSE))),"")</f>
        <v/>
      </c>
      <c r="K22" s="14" t="str">
        <f>IFERROR((VLOOKUP($A22,'[1]import success seats course'!$A:Y,HLOOKUP('[1]Course Totals'!K$4,'[1]import success seats course'!$1:$2,2,FALSE),FALSE)/(VLOOKUP($A22,'[1]import graded seats course pivo'!$A:AI,HLOOKUP('[1]Course Totals'!K$4,'[1]import graded seats course pivo'!$1:$2,2,FALSE),FALSE))),"")</f>
        <v/>
      </c>
      <c r="L22" s="14" t="str">
        <f>IFERROR((VLOOKUP($A22,'[1]import success seats course'!$A:Z,HLOOKUP('[1]Course Totals'!L$4,'[1]import success seats course'!$1:$2,2,FALSE),FALSE)/(VLOOKUP($A22,'[1]import graded seats course pivo'!$A:AJ,HLOOKUP('[1]Course Totals'!L$4,'[1]import graded seats course pivo'!$1:$2,2,FALSE),FALSE))),"")</f>
        <v/>
      </c>
      <c r="M22" s="14" t="str">
        <f>IFERROR((VLOOKUP($A22,'[1]import success seats course'!$A:AA,HLOOKUP('[1]Course Totals'!M$4,'[1]import success seats course'!$1:$2,2,FALSE),FALSE)/(VLOOKUP($A22,'[1]import graded seats course pivo'!$A:AK,HLOOKUP('[1]Course Totals'!M$4,'[1]import graded seats course pivo'!$1:$2,2,FALSE),FALSE))),"")</f>
        <v/>
      </c>
      <c r="N22" s="14" t="str">
        <f>IFERROR((VLOOKUP($A22,'[1]import success seats course'!$A:AB,HLOOKUP('[1]Course Totals'!N$4,'[1]import success seats course'!$1:$2,2,FALSE),FALSE)/(VLOOKUP($A22,'[1]import graded seats course pivo'!$A:AL,HLOOKUP('[1]Course Totals'!N$4,'[1]import graded seats course pivo'!$1:$2,2,FALSE),FALSE))),"")</f>
        <v/>
      </c>
      <c r="O22" s="14" t="str">
        <f>IFERROR((VLOOKUP($A22,'[1]import success seats course'!$A:AC,HLOOKUP('[1]Course Totals'!O$4,'[1]import success seats course'!$1:$2,2,FALSE),FALSE)/(VLOOKUP($A22,'[1]import graded seats course pivo'!$A:AM,HLOOKUP('[1]Course Totals'!O$4,'[1]import graded seats course pivo'!$1:$2,2,FALSE),FALSE))),"")</f>
        <v/>
      </c>
      <c r="P22" s="14" t="str">
        <f>IFERROR((VLOOKUP($A22,'[1]import success seats course'!$A:AD,HLOOKUP('[1]Course Totals'!P$4,'[1]import success seats course'!$1:$2,2,FALSE),FALSE)/(VLOOKUP($A22,'[1]import graded seats course pivo'!$A:AN,HLOOKUP('[1]Course Totals'!P$4,'[1]import graded seats course pivo'!$1:$2,2,FALSE),FALSE))),"")</f>
        <v/>
      </c>
      <c r="Q22" s="14" t="str">
        <f>IFERROR((VLOOKUP($A22,'[1]import success seats course'!$A:AE,HLOOKUP('[1]Course Totals'!Q$4,'[1]import success seats course'!$1:$2,2,FALSE),FALSE)/(VLOOKUP($A22,'[1]import graded seats course pivo'!$A:AO,HLOOKUP('[1]Course Totals'!Q$4,'[1]import graded seats course pivo'!$1:$2,2,FALSE),FALSE))),"")</f>
        <v/>
      </c>
      <c r="R22" s="14" t="str">
        <f>IFERROR((VLOOKUP($A22,'[1]import success seats course'!$A:AF,HLOOKUP('[1]Course Totals'!R$4,'[1]import success seats course'!$1:$2,2,FALSE),FALSE)/(VLOOKUP($A22,'[1]import graded seats course pivo'!$A:AP,HLOOKUP('[1]Course Totals'!R$4,'[1]import graded seats course pivo'!$1:$2,2,FALSE),FALSE))),"")</f>
        <v/>
      </c>
      <c r="S22" s="14">
        <f>IFERROR((VLOOKUP($A22,'[1]import success seats course'!$A:AG,HLOOKUP('[1]Course Totals'!S$4,'[1]import success seats course'!$1:$2,2,FALSE),FALSE)/(VLOOKUP($A22,'[1]import graded seats course pivo'!$A:AQ,HLOOKUP('[1]Course Totals'!S$4,'[1]import graded seats course pivo'!$1:$2,2,FALSE),FALSE))),"")</f>
        <v>0.84615384615384615</v>
      </c>
      <c r="Z22" s="7"/>
      <c r="AA22" s="7"/>
      <c r="AB22" s="7"/>
      <c r="AC22" s="7"/>
    </row>
    <row r="23" spans="1:29" x14ac:dyDescent="0.25">
      <c r="A23" s="12" t="s">
        <v>825</v>
      </c>
      <c r="B23" s="14" t="str">
        <f>IFERROR((VLOOKUP($A23,'[1]import success seats course'!$A:P,HLOOKUP('[1]Course Totals'!B$4,'[1]import success seats course'!$1:$2,2,FALSE),FALSE)/(VLOOKUP($A23,'[1]import graded seats course pivo'!$A:Z,HLOOKUP('[1]Course Totals'!B$4,'[1]import graded seats course pivo'!$1:$2,2,FALSE),FALSE))),"")</f>
        <v/>
      </c>
      <c r="C23" s="14" t="str">
        <f>IFERROR((VLOOKUP($A23,'[1]import success seats course'!$A:Q,HLOOKUP('[1]Course Totals'!C$4,'[1]import success seats course'!$1:$2,2,FALSE),FALSE)/(VLOOKUP($A23,'[1]import graded seats course pivo'!$A:AA,HLOOKUP('[1]Course Totals'!C$4,'[1]import graded seats course pivo'!$1:$2,2,FALSE),FALSE))),"")</f>
        <v/>
      </c>
      <c r="D23" s="14" t="str">
        <f>IFERROR((VLOOKUP($A23,'[1]import success seats course'!$A:R,HLOOKUP('[1]Course Totals'!D$4,'[1]import success seats course'!$1:$2,2,FALSE),FALSE)/(VLOOKUP($A23,'[1]import graded seats course pivo'!$A:AB,HLOOKUP('[1]Course Totals'!D$4,'[1]import graded seats course pivo'!$1:$2,2,FALSE),FALSE))),"")</f>
        <v/>
      </c>
      <c r="E23" s="14" t="str">
        <f>IFERROR((VLOOKUP($A23,'[1]import success seats course'!$A:S,HLOOKUP('[1]Course Totals'!E$4,'[1]import success seats course'!$1:$2,2,FALSE),FALSE)/(VLOOKUP($A23,'[1]import graded seats course pivo'!$A:AC,HLOOKUP('[1]Course Totals'!E$4,'[1]import graded seats course pivo'!$1:$2,2,FALSE),FALSE))),"")</f>
        <v/>
      </c>
      <c r="F23" s="14" t="str">
        <f>IFERROR((VLOOKUP($A23,'[1]import success seats course'!$A:T,HLOOKUP('[1]Course Totals'!F$4,'[1]import success seats course'!$1:$2,2,FALSE),FALSE)/(VLOOKUP($A23,'[1]import graded seats course pivo'!$A:AD,HLOOKUP('[1]Course Totals'!F$4,'[1]import graded seats course pivo'!$1:$2,2,FALSE),FALSE))),"")</f>
        <v/>
      </c>
      <c r="G23" s="14" t="str">
        <f>IFERROR((VLOOKUP($A23,'[1]import success seats course'!$A:U,HLOOKUP('[1]Course Totals'!G$4,'[1]import success seats course'!$1:$2,2,FALSE),FALSE)/(VLOOKUP($A23,'[1]import graded seats course pivo'!$A:AE,HLOOKUP('[1]Course Totals'!G$4,'[1]import graded seats course pivo'!$1:$2,2,FALSE),FALSE))),"")</f>
        <v/>
      </c>
      <c r="H23" s="14" t="str">
        <f>IFERROR((VLOOKUP($A23,'[1]import success seats course'!$A:V,HLOOKUP('[1]Course Totals'!H$4,'[1]import success seats course'!$1:$2,2,FALSE),FALSE)/(VLOOKUP($A23,'[1]import graded seats course pivo'!$A:AF,HLOOKUP('[1]Course Totals'!H$4,'[1]import graded seats course pivo'!$1:$2,2,FALSE),FALSE))),"")</f>
        <v/>
      </c>
      <c r="I23" s="14" t="str">
        <f>IFERROR((VLOOKUP($A23,'[1]import success seats course'!$A:W,HLOOKUP('[1]Course Totals'!I$4,'[1]import success seats course'!$1:$2,2,FALSE),FALSE)/(VLOOKUP($A23,'[1]import graded seats course pivo'!$A:AG,HLOOKUP('[1]Course Totals'!I$4,'[1]import graded seats course pivo'!$1:$2,2,FALSE),FALSE))),"")</f>
        <v/>
      </c>
      <c r="J23" s="14" t="str">
        <f>IFERROR((VLOOKUP($A23,'[1]import success seats course'!$A:X,HLOOKUP('[1]Course Totals'!J$4,'[1]import success seats course'!$1:$2,2,FALSE),FALSE)/(VLOOKUP($A23,'[1]import graded seats course pivo'!$A:AH,HLOOKUP('[1]Course Totals'!J$4,'[1]import graded seats course pivo'!$1:$2,2,FALSE),FALSE))),"")</f>
        <v/>
      </c>
      <c r="K23" s="14" t="str">
        <f>IFERROR((VLOOKUP($A23,'[1]import success seats course'!$A:Y,HLOOKUP('[1]Course Totals'!K$4,'[1]import success seats course'!$1:$2,2,FALSE),FALSE)/(VLOOKUP($A23,'[1]import graded seats course pivo'!$A:AI,HLOOKUP('[1]Course Totals'!K$4,'[1]import graded seats course pivo'!$1:$2,2,FALSE),FALSE))),"")</f>
        <v/>
      </c>
      <c r="L23" s="14" t="str">
        <f>IFERROR((VLOOKUP($A23,'[1]import success seats course'!$A:Z,HLOOKUP('[1]Course Totals'!L$4,'[1]import success seats course'!$1:$2,2,FALSE),FALSE)/(VLOOKUP($A23,'[1]import graded seats course pivo'!$A:AJ,HLOOKUP('[1]Course Totals'!L$4,'[1]import graded seats course pivo'!$1:$2,2,FALSE),FALSE))),"")</f>
        <v/>
      </c>
      <c r="M23" s="14" t="str">
        <f>IFERROR((VLOOKUP($A23,'[1]import success seats course'!$A:AA,HLOOKUP('[1]Course Totals'!M$4,'[1]import success seats course'!$1:$2,2,FALSE),FALSE)/(VLOOKUP($A23,'[1]import graded seats course pivo'!$A:AK,HLOOKUP('[1]Course Totals'!M$4,'[1]import graded seats course pivo'!$1:$2,2,FALSE),FALSE))),"")</f>
        <v/>
      </c>
      <c r="N23" s="14" t="str">
        <f>IFERROR((VLOOKUP($A23,'[1]import success seats course'!$A:AB,HLOOKUP('[1]Course Totals'!N$4,'[1]import success seats course'!$1:$2,2,FALSE),FALSE)/(VLOOKUP($A23,'[1]import graded seats course pivo'!$A:AL,HLOOKUP('[1]Course Totals'!N$4,'[1]import graded seats course pivo'!$1:$2,2,FALSE),FALSE))),"")</f>
        <v/>
      </c>
      <c r="O23" s="14">
        <f>IFERROR((VLOOKUP($A23,'[1]import success seats course'!$A:AC,HLOOKUP('[1]Course Totals'!O$4,'[1]import success seats course'!$1:$2,2,FALSE),FALSE)/(VLOOKUP($A23,'[1]import graded seats course pivo'!$A:AM,HLOOKUP('[1]Course Totals'!O$4,'[1]import graded seats course pivo'!$1:$2,2,FALSE),FALSE))),"")</f>
        <v>1</v>
      </c>
      <c r="P23" s="14" t="str">
        <f>IFERROR((VLOOKUP($A23,'[1]import success seats course'!$A:AD,HLOOKUP('[1]Course Totals'!P$4,'[1]import success seats course'!$1:$2,2,FALSE),FALSE)/(VLOOKUP($A23,'[1]import graded seats course pivo'!$A:AN,HLOOKUP('[1]Course Totals'!P$4,'[1]import graded seats course pivo'!$1:$2,2,FALSE),FALSE))),"")</f>
        <v/>
      </c>
      <c r="Q23" s="14" t="str">
        <f>IFERROR((VLOOKUP($A23,'[1]import success seats course'!$A:AE,HLOOKUP('[1]Course Totals'!Q$4,'[1]import success seats course'!$1:$2,2,FALSE),FALSE)/(VLOOKUP($A23,'[1]import graded seats course pivo'!$A:AO,HLOOKUP('[1]Course Totals'!Q$4,'[1]import graded seats course pivo'!$1:$2,2,FALSE),FALSE))),"")</f>
        <v/>
      </c>
      <c r="R23" s="14" t="str">
        <f>IFERROR((VLOOKUP($A23,'[1]import success seats course'!$A:AF,HLOOKUP('[1]Course Totals'!R$4,'[1]import success seats course'!$1:$2,2,FALSE),FALSE)/(VLOOKUP($A23,'[1]import graded seats course pivo'!$A:AP,HLOOKUP('[1]Course Totals'!R$4,'[1]import graded seats course pivo'!$1:$2,2,FALSE),FALSE))),"")</f>
        <v/>
      </c>
      <c r="S23" s="14">
        <f>IFERROR((VLOOKUP($A23,'[1]import success seats course'!$A:AG,HLOOKUP('[1]Course Totals'!S$4,'[1]import success seats course'!$1:$2,2,FALSE),FALSE)/(VLOOKUP($A23,'[1]import graded seats course pivo'!$A:AQ,HLOOKUP('[1]Course Totals'!S$4,'[1]import graded seats course pivo'!$1:$2,2,FALSE),FALSE))),"")</f>
        <v>0.90909090909090906</v>
      </c>
      <c r="Z23" s="7"/>
      <c r="AA23" s="7"/>
      <c r="AB23" s="7"/>
      <c r="AC23" s="7"/>
    </row>
    <row r="24" spans="1:29" x14ac:dyDescent="0.25">
      <c r="A24" s="12" t="s">
        <v>826</v>
      </c>
      <c r="B24" s="14" t="str">
        <f>IFERROR((VLOOKUP($A24,'[1]import success seats course'!$A:P,HLOOKUP('[1]Course Totals'!B$4,'[1]import success seats course'!$1:$2,2,FALSE),FALSE)/(VLOOKUP($A24,'[1]import graded seats course pivo'!$A:Z,HLOOKUP('[1]Course Totals'!B$4,'[1]import graded seats course pivo'!$1:$2,2,FALSE),FALSE))),"")</f>
        <v/>
      </c>
      <c r="C24" s="14" t="str">
        <f>IFERROR((VLOOKUP($A24,'[1]import success seats course'!$A:Q,HLOOKUP('[1]Course Totals'!C$4,'[1]import success seats course'!$1:$2,2,FALSE),FALSE)/(VLOOKUP($A24,'[1]import graded seats course pivo'!$A:AA,HLOOKUP('[1]Course Totals'!C$4,'[1]import graded seats course pivo'!$1:$2,2,FALSE),FALSE))),"")</f>
        <v/>
      </c>
      <c r="D24" s="14" t="str">
        <f>IFERROR((VLOOKUP($A24,'[1]import success seats course'!$A:R,HLOOKUP('[1]Course Totals'!D$4,'[1]import success seats course'!$1:$2,2,FALSE),FALSE)/(VLOOKUP($A24,'[1]import graded seats course pivo'!$A:AB,HLOOKUP('[1]Course Totals'!D$4,'[1]import graded seats course pivo'!$1:$2,2,FALSE),FALSE))),"")</f>
        <v/>
      </c>
      <c r="E24" s="14" t="str">
        <f>IFERROR((VLOOKUP($A24,'[1]import success seats course'!$A:S,HLOOKUP('[1]Course Totals'!E$4,'[1]import success seats course'!$1:$2,2,FALSE),FALSE)/(VLOOKUP($A24,'[1]import graded seats course pivo'!$A:AC,HLOOKUP('[1]Course Totals'!E$4,'[1]import graded seats course pivo'!$1:$2,2,FALSE),FALSE))),"")</f>
        <v/>
      </c>
      <c r="F24" s="14" t="str">
        <f>IFERROR((VLOOKUP($A24,'[1]import success seats course'!$A:T,HLOOKUP('[1]Course Totals'!F$4,'[1]import success seats course'!$1:$2,2,FALSE),FALSE)/(VLOOKUP($A24,'[1]import graded seats course pivo'!$A:AD,HLOOKUP('[1]Course Totals'!F$4,'[1]import graded seats course pivo'!$1:$2,2,FALSE),FALSE))),"")</f>
        <v/>
      </c>
      <c r="G24" s="14" t="str">
        <f>IFERROR((VLOOKUP($A24,'[1]import success seats course'!$A:U,HLOOKUP('[1]Course Totals'!G$4,'[1]import success seats course'!$1:$2,2,FALSE),FALSE)/(VLOOKUP($A24,'[1]import graded seats course pivo'!$A:AE,HLOOKUP('[1]Course Totals'!G$4,'[1]import graded seats course pivo'!$1:$2,2,FALSE),FALSE))),"")</f>
        <v/>
      </c>
      <c r="H24" s="14" t="str">
        <f>IFERROR((VLOOKUP($A24,'[1]import success seats course'!$A:V,HLOOKUP('[1]Course Totals'!H$4,'[1]import success seats course'!$1:$2,2,FALSE),FALSE)/(VLOOKUP($A24,'[1]import graded seats course pivo'!$A:AF,HLOOKUP('[1]Course Totals'!H$4,'[1]import graded seats course pivo'!$1:$2,2,FALSE),FALSE))),"")</f>
        <v/>
      </c>
      <c r="I24" s="14" t="str">
        <f>IFERROR((VLOOKUP($A24,'[1]import success seats course'!$A:W,HLOOKUP('[1]Course Totals'!I$4,'[1]import success seats course'!$1:$2,2,FALSE),FALSE)/(VLOOKUP($A24,'[1]import graded seats course pivo'!$A:AG,HLOOKUP('[1]Course Totals'!I$4,'[1]import graded seats course pivo'!$1:$2,2,FALSE),FALSE))),"")</f>
        <v/>
      </c>
      <c r="J24" s="14" t="str">
        <f>IFERROR((VLOOKUP($A24,'[1]import success seats course'!$A:X,HLOOKUP('[1]Course Totals'!J$4,'[1]import success seats course'!$1:$2,2,FALSE),FALSE)/(VLOOKUP($A24,'[1]import graded seats course pivo'!$A:AH,HLOOKUP('[1]Course Totals'!J$4,'[1]import graded seats course pivo'!$1:$2,2,FALSE),FALSE))),"")</f>
        <v/>
      </c>
      <c r="K24" s="14">
        <f>IFERROR((VLOOKUP($A24,'[1]import success seats course'!$A:Y,HLOOKUP('[1]Course Totals'!K$4,'[1]import success seats course'!$1:$2,2,FALSE),FALSE)/(VLOOKUP($A24,'[1]import graded seats course pivo'!$A:AI,HLOOKUP('[1]Course Totals'!K$4,'[1]import graded seats course pivo'!$1:$2,2,FALSE),FALSE))),"")</f>
        <v>0.90909090909090906</v>
      </c>
      <c r="L24" s="14" t="str">
        <f>IFERROR((VLOOKUP($A24,'[1]import success seats course'!$A:Z,HLOOKUP('[1]Course Totals'!L$4,'[1]import success seats course'!$1:$2,2,FALSE),FALSE)/(VLOOKUP($A24,'[1]import graded seats course pivo'!$A:AJ,HLOOKUP('[1]Course Totals'!L$4,'[1]import graded seats course pivo'!$1:$2,2,FALSE),FALSE))),"")</f>
        <v/>
      </c>
      <c r="M24" s="14" t="str">
        <f>IFERROR((VLOOKUP($A24,'[1]import success seats course'!$A:AA,HLOOKUP('[1]Course Totals'!M$4,'[1]import success seats course'!$1:$2,2,FALSE),FALSE)/(VLOOKUP($A24,'[1]import graded seats course pivo'!$A:AK,HLOOKUP('[1]Course Totals'!M$4,'[1]import graded seats course pivo'!$1:$2,2,FALSE),FALSE))),"")</f>
        <v/>
      </c>
      <c r="N24" s="14" t="str">
        <f>IFERROR((VLOOKUP($A24,'[1]import success seats course'!$A:AB,HLOOKUP('[1]Course Totals'!N$4,'[1]import success seats course'!$1:$2,2,FALSE),FALSE)/(VLOOKUP($A24,'[1]import graded seats course pivo'!$A:AL,HLOOKUP('[1]Course Totals'!N$4,'[1]import graded seats course pivo'!$1:$2,2,FALSE),FALSE))),"")</f>
        <v/>
      </c>
      <c r="O24" s="14" t="str">
        <f>IFERROR((VLOOKUP($A24,'[1]import success seats course'!$A:AC,HLOOKUP('[1]Course Totals'!O$4,'[1]import success seats course'!$1:$2,2,FALSE),FALSE)/(VLOOKUP($A24,'[1]import graded seats course pivo'!$A:AM,HLOOKUP('[1]Course Totals'!O$4,'[1]import graded seats course pivo'!$1:$2,2,FALSE),FALSE))),"")</f>
        <v/>
      </c>
      <c r="P24" s="14" t="str">
        <f>IFERROR((VLOOKUP($A24,'[1]import success seats course'!$A:AD,HLOOKUP('[1]Course Totals'!P$4,'[1]import success seats course'!$1:$2,2,FALSE),FALSE)/(VLOOKUP($A24,'[1]import graded seats course pivo'!$A:AN,HLOOKUP('[1]Course Totals'!P$4,'[1]import graded seats course pivo'!$1:$2,2,FALSE),FALSE))),"")</f>
        <v/>
      </c>
      <c r="Q24" s="14" t="str">
        <f>IFERROR((VLOOKUP($A24,'[1]import success seats course'!$A:AE,HLOOKUP('[1]Course Totals'!Q$4,'[1]import success seats course'!$1:$2,2,FALSE),FALSE)/(VLOOKUP($A24,'[1]import graded seats course pivo'!$A:AO,HLOOKUP('[1]Course Totals'!Q$4,'[1]import graded seats course pivo'!$1:$2,2,FALSE),FALSE))),"")</f>
        <v/>
      </c>
      <c r="R24" s="14" t="str">
        <f>IFERROR((VLOOKUP($A24,'[1]import success seats course'!$A:AF,HLOOKUP('[1]Course Totals'!R$4,'[1]import success seats course'!$1:$2,2,FALSE),FALSE)/(VLOOKUP($A24,'[1]import graded seats course pivo'!$A:AP,HLOOKUP('[1]Course Totals'!R$4,'[1]import graded seats course pivo'!$1:$2,2,FALSE),FALSE))),"")</f>
        <v/>
      </c>
      <c r="S24" s="14">
        <f>IFERROR((VLOOKUP($A24,'[1]import success seats course'!$A:AG,HLOOKUP('[1]Course Totals'!S$4,'[1]import success seats course'!$1:$2,2,FALSE),FALSE)/(VLOOKUP($A24,'[1]import graded seats course pivo'!$A:AQ,HLOOKUP('[1]Course Totals'!S$4,'[1]import graded seats course pivo'!$1:$2,2,FALSE),FALSE))),"")</f>
        <v>0.95</v>
      </c>
      <c r="Z24" s="7"/>
      <c r="AA24" s="7"/>
      <c r="AB24" s="7"/>
      <c r="AC24" s="7"/>
    </row>
    <row r="25" spans="1:29" x14ac:dyDescent="0.25">
      <c r="A25" s="12" t="s">
        <v>827</v>
      </c>
      <c r="B25" s="14" t="str">
        <f>IFERROR((VLOOKUP($A25,'[1]import success seats course'!$A:P,HLOOKUP('[1]Course Totals'!B$4,'[1]import success seats course'!$1:$2,2,FALSE),FALSE)/(VLOOKUP($A25,'[1]import graded seats course pivo'!$A:Z,HLOOKUP('[1]Course Totals'!B$4,'[1]import graded seats course pivo'!$1:$2,2,FALSE),FALSE))),"")</f>
        <v/>
      </c>
      <c r="C25" s="14" t="str">
        <f>IFERROR((VLOOKUP($A25,'[1]import success seats course'!$A:Q,HLOOKUP('[1]Course Totals'!C$4,'[1]import success seats course'!$1:$2,2,FALSE),FALSE)/(VLOOKUP($A25,'[1]import graded seats course pivo'!$A:AA,HLOOKUP('[1]Course Totals'!C$4,'[1]import graded seats course pivo'!$1:$2,2,FALSE),FALSE))),"")</f>
        <v/>
      </c>
      <c r="D25" s="14" t="str">
        <f>IFERROR((VLOOKUP($A25,'[1]import success seats course'!$A:R,HLOOKUP('[1]Course Totals'!D$4,'[1]import success seats course'!$1:$2,2,FALSE),FALSE)/(VLOOKUP($A25,'[1]import graded seats course pivo'!$A:AB,HLOOKUP('[1]Course Totals'!D$4,'[1]import graded seats course pivo'!$1:$2,2,FALSE),FALSE))),"")</f>
        <v/>
      </c>
      <c r="E25" s="14" t="str">
        <f>IFERROR((VLOOKUP($A25,'[1]import success seats course'!$A:S,HLOOKUP('[1]Course Totals'!E$4,'[1]import success seats course'!$1:$2,2,FALSE),FALSE)/(VLOOKUP($A25,'[1]import graded seats course pivo'!$A:AC,HLOOKUP('[1]Course Totals'!E$4,'[1]import graded seats course pivo'!$1:$2,2,FALSE),FALSE))),"")</f>
        <v/>
      </c>
      <c r="F25" s="14" t="str">
        <f>IFERROR((VLOOKUP($A25,'[1]import success seats course'!$A:T,HLOOKUP('[1]Course Totals'!F$4,'[1]import success seats course'!$1:$2,2,FALSE),FALSE)/(VLOOKUP($A25,'[1]import graded seats course pivo'!$A:AD,HLOOKUP('[1]Course Totals'!F$4,'[1]import graded seats course pivo'!$1:$2,2,FALSE),FALSE))),"")</f>
        <v/>
      </c>
      <c r="G25" s="14">
        <f>IFERROR((VLOOKUP($A25,'[1]import success seats course'!$A:U,HLOOKUP('[1]Course Totals'!G$4,'[1]import success seats course'!$1:$2,2,FALSE),FALSE)/(VLOOKUP($A25,'[1]import graded seats course pivo'!$A:AE,HLOOKUP('[1]Course Totals'!G$4,'[1]import graded seats course pivo'!$1:$2,2,FALSE),FALSE))),"")</f>
        <v>0.91666666666666663</v>
      </c>
      <c r="H25" s="14" t="str">
        <f>IFERROR((VLOOKUP($A25,'[1]import success seats course'!$A:V,HLOOKUP('[1]Course Totals'!H$4,'[1]import success seats course'!$1:$2,2,FALSE),FALSE)/(VLOOKUP($A25,'[1]import graded seats course pivo'!$A:AF,HLOOKUP('[1]Course Totals'!H$4,'[1]import graded seats course pivo'!$1:$2,2,FALSE),FALSE))),"")</f>
        <v/>
      </c>
      <c r="I25" s="14" t="str">
        <f>IFERROR((VLOOKUP($A25,'[1]import success seats course'!$A:W,HLOOKUP('[1]Course Totals'!I$4,'[1]import success seats course'!$1:$2,2,FALSE),FALSE)/(VLOOKUP($A25,'[1]import graded seats course pivo'!$A:AG,HLOOKUP('[1]Course Totals'!I$4,'[1]import graded seats course pivo'!$1:$2,2,FALSE),FALSE))),"")</f>
        <v/>
      </c>
      <c r="J25" s="14">
        <f>IFERROR((VLOOKUP($A25,'[1]import success seats course'!$A:X,HLOOKUP('[1]Course Totals'!J$4,'[1]import success seats course'!$1:$2,2,FALSE),FALSE)/(VLOOKUP($A25,'[1]import graded seats course pivo'!$A:AH,HLOOKUP('[1]Course Totals'!J$4,'[1]import graded seats course pivo'!$1:$2,2,FALSE),FALSE))),"")</f>
        <v>0.9</v>
      </c>
      <c r="K25" s="14" t="str">
        <f>IFERROR((VLOOKUP($A25,'[1]import success seats course'!$A:Y,HLOOKUP('[1]Course Totals'!K$4,'[1]import success seats course'!$1:$2,2,FALSE),FALSE)/(VLOOKUP($A25,'[1]import graded seats course pivo'!$A:AI,HLOOKUP('[1]Course Totals'!K$4,'[1]import graded seats course pivo'!$1:$2,2,FALSE),FALSE))),"")</f>
        <v/>
      </c>
      <c r="L25" s="14" t="str">
        <f>IFERROR((VLOOKUP($A25,'[1]import success seats course'!$A:Z,HLOOKUP('[1]Course Totals'!L$4,'[1]import success seats course'!$1:$2,2,FALSE),FALSE)/(VLOOKUP($A25,'[1]import graded seats course pivo'!$A:AJ,HLOOKUP('[1]Course Totals'!L$4,'[1]import graded seats course pivo'!$1:$2,2,FALSE),FALSE))),"")</f>
        <v/>
      </c>
      <c r="M25" s="14">
        <f>IFERROR((VLOOKUP($A25,'[1]import success seats course'!$A:AA,HLOOKUP('[1]Course Totals'!M$4,'[1]import success seats course'!$1:$2,2,FALSE),FALSE)/(VLOOKUP($A25,'[1]import graded seats course pivo'!$A:AK,HLOOKUP('[1]Course Totals'!M$4,'[1]import graded seats course pivo'!$1:$2,2,FALSE),FALSE))),"")</f>
        <v>0.93548387096774188</v>
      </c>
      <c r="N25" s="14" t="str">
        <f>IFERROR((VLOOKUP($A25,'[1]import success seats course'!$A:AB,HLOOKUP('[1]Course Totals'!N$4,'[1]import success seats course'!$1:$2,2,FALSE),FALSE)/(VLOOKUP($A25,'[1]import graded seats course pivo'!$A:AL,HLOOKUP('[1]Course Totals'!N$4,'[1]import graded seats course pivo'!$1:$2,2,FALSE),FALSE))),"")</f>
        <v/>
      </c>
      <c r="O25" s="14">
        <f>IFERROR((VLOOKUP($A25,'[1]import success seats course'!$A:AC,HLOOKUP('[1]Course Totals'!O$4,'[1]import success seats course'!$1:$2,2,FALSE),FALSE)/(VLOOKUP($A25,'[1]import graded seats course pivo'!$A:AM,HLOOKUP('[1]Course Totals'!O$4,'[1]import graded seats course pivo'!$1:$2,2,FALSE),FALSE))),"")</f>
        <v>0.7142857142857143</v>
      </c>
      <c r="P25" s="14" t="str">
        <f>IFERROR((VLOOKUP($A25,'[1]import success seats course'!$A:AD,HLOOKUP('[1]Course Totals'!P$4,'[1]import success seats course'!$1:$2,2,FALSE),FALSE)/(VLOOKUP($A25,'[1]import graded seats course pivo'!$A:AN,HLOOKUP('[1]Course Totals'!P$4,'[1]import graded seats course pivo'!$1:$2,2,FALSE),FALSE))),"")</f>
        <v/>
      </c>
      <c r="Q25" s="14" t="str">
        <f>IFERROR((VLOOKUP($A25,'[1]import success seats course'!$A:AE,HLOOKUP('[1]Course Totals'!Q$4,'[1]import success seats course'!$1:$2,2,FALSE),FALSE)/(VLOOKUP($A25,'[1]import graded seats course pivo'!$A:AO,HLOOKUP('[1]Course Totals'!Q$4,'[1]import graded seats course pivo'!$1:$2,2,FALSE),FALSE))),"")</f>
        <v/>
      </c>
      <c r="R25" s="14" t="str">
        <f>IFERROR((VLOOKUP($A25,'[1]import success seats course'!$A:AF,HLOOKUP('[1]Course Totals'!R$4,'[1]import success seats course'!$1:$2,2,FALSE),FALSE)/(VLOOKUP($A25,'[1]import graded seats course pivo'!$A:AP,HLOOKUP('[1]Course Totals'!R$4,'[1]import graded seats course pivo'!$1:$2,2,FALSE),FALSE))),"")</f>
        <v/>
      </c>
      <c r="S25" s="14" t="str">
        <f>IFERROR((VLOOKUP($A25,'[1]import success seats course'!$A:AG,HLOOKUP('[1]Course Totals'!S$4,'[1]import success seats course'!$1:$2,2,FALSE),FALSE)/(VLOOKUP($A25,'[1]import graded seats course pivo'!$A:AQ,HLOOKUP('[1]Course Totals'!S$4,'[1]import graded seats course pivo'!$1:$2,2,FALSE),FALSE))),"")</f>
        <v/>
      </c>
      <c r="Z25" s="7"/>
      <c r="AA25" s="7"/>
      <c r="AB25" s="7"/>
      <c r="AC25" s="7"/>
    </row>
    <row r="26" spans="1:29" ht="15" hidden="1" customHeight="1" x14ac:dyDescent="0.25">
      <c r="A26" s="12" t="s">
        <v>11</v>
      </c>
      <c r="B26" s="14" t="str">
        <f>IFERROR((VLOOKUP($A26,'[1]import success seats course'!$A:P,HLOOKUP('[1]Course Totals'!B$4,'[1]import success seats course'!$1:$2,2,FALSE),FALSE)/(VLOOKUP($A26,'[1]import graded seats course pivo'!$A:Z,HLOOKUP('[1]Course Totals'!B$4,'[1]import graded seats course pivo'!$1:$2,2,FALSE),FALSE))),"")</f>
        <v/>
      </c>
      <c r="C26" s="14" t="str">
        <f>IFERROR((VLOOKUP($A26,'[1]import success seats course'!$A:Q,HLOOKUP('[1]Course Totals'!C$4,'[1]import success seats course'!$1:$2,2,FALSE),FALSE)/(VLOOKUP($A26,'[1]import graded seats course pivo'!$A:AA,HLOOKUP('[1]Course Totals'!C$4,'[1]import graded seats course pivo'!$1:$2,2,FALSE),FALSE))),"")</f>
        <v/>
      </c>
      <c r="D26" s="14" t="str">
        <f>IFERROR((VLOOKUP($A26,'[1]import success seats course'!$A:R,HLOOKUP('[1]Course Totals'!D$4,'[1]import success seats course'!$1:$2,2,FALSE),FALSE)/(VLOOKUP($A26,'[1]import graded seats course pivo'!$A:AB,HLOOKUP('[1]Course Totals'!D$4,'[1]import graded seats course pivo'!$1:$2,2,FALSE),FALSE))),"")</f>
        <v/>
      </c>
      <c r="E26" s="14" t="str">
        <f>IFERROR((VLOOKUP($A26,'[1]import success seats course'!$A:S,HLOOKUP('[1]Course Totals'!E$4,'[1]import success seats course'!$1:$2,2,FALSE),FALSE)/(VLOOKUP($A26,'[1]import graded seats course pivo'!$A:AC,HLOOKUP('[1]Course Totals'!E$4,'[1]import graded seats course pivo'!$1:$2,2,FALSE),FALSE))),"")</f>
        <v/>
      </c>
      <c r="F26" s="14" t="str">
        <f>IFERROR((VLOOKUP($A26,'[1]import success seats course'!$A:T,HLOOKUP('[1]Course Totals'!F$4,'[1]import success seats course'!$1:$2,2,FALSE),FALSE)/(VLOOKUP($A26,'[1]import graded seats course pivo'!$A:AD,HLOOKUP('[1]Course Totals'!F$4,'[1]import graded seats course pivo'!$1:$2,2,FALSE),FALSE))),"")</f>
        <v/>
      </c>
      <c r="G26" s="14" t="str">
        <f>IFERROR((VLOOKUP($A26,'[1]import success seats course'!$A:U,HLOOKUP('[1]Course Totals'!G$4,'[1]import success seats course'!$1:$2,2,FALSE),FALSE)/(VLOOKUP($A26,'[1]import graded seats course pivo'!$A:AE,HLOOKUP('[1]Course Totals'!G$4,'[1]import graded seats course pivo'!$1:$2,2,FALSE),FALSE))),"")</f>
        <v/>
      </c>
      <c r="H26" s="14" t="str">
        <f>IFERROR((VLOOKUP($A26,'[1]import success seats course'!$A:V,HLOOKUP('[1]Course Totals'!H$4,'[1]import success seats course'!$1:$2,2,FALSE),FALSE)/(VLOOKUP($A26,'[1]import graded seats course pivo'!$A:AF,HLOOKUP('[1]Course Totals'!H$4,'[1]import graded seats course pivo'!$1:$2,2,FALSE),FALSE))),"")</f>
        <v/>
      </c>
      <c r="I26" s="14" t="str">
        <f>IFERROR((VLOOKUP($A26,'[1]import success seats course'!$A:W,HLOOKUP('[1]Course Totals'!I$4,'[1]import success seats course'!$1:$2,2,FALSE),FALSE)/(VLOOKUP($A26,'[1]import graded seats course pivo'!$A:AG,HLOOKUP('[1]Course Totals'!I$4,'[1]import graded seats course pivo'!$1:$2,2,FALSE),FALSE))),"")</f>
        <v/>
      </c>
      <c r="J26" s="14" t="str">
        <f>IFERROR((VLOOKUP($A26,'[1]import success seats course'!$A:X,HLOOKUP('[1]Course Totals'!J$4,'[1]import success seats course'!$1:$2,2,FALSE),FALSE)/(VLOOKUP($A26,'[1]import graded seats course pivo'!$A:AH,HLOOKUP('[1]Course Totals'!J$4,'[1]import graded seats course pivo'!$1:$2,2,FALSE),FALSE))),"")</f>
        <v/>
      </c>
      <c r="K26" s="14" t="str">
        <f>IFERROR((VLOOKUP($A26,'[1]import success seats course'!$A:Y,HLOOKUP('[1]Course Totals'!K$4,'[1]import success seats course'!$1:$2,2,FALSE),FALSE)/(VLOOKUP($A26,'[1]import graded seats course pivo'!$A:AI,HLOOKUP('[1]Course Totals'!K$4,'[1]import graded seats course pivo'!$1:$2,2,FALSE),FALSE))),"")</f>
        <v/>
      </c>
      <c r="L26" s="14" t="str">
        <f>IFERROR((VLOOKUP($A26,'[1]import success seats course'!$A:Z,HLOOKUP('[1]Course Totals'!L$4,'[1]import success seats course'!$1:$2,2,FALSE),FALSE)/(VLOOKUP($A26,'[1]import graded seats course pivo'!$A:AJ,HLOOKUP('[1]Course Totals'!L$4,'[1]import graded seats course pivo'!$1:$2,2,FALSE),FALSE))),"")</f>
        <v/>
      </c>
      <c r="M26" s="14" t="str">
        <f>IFERROR((VLOOKUP($A26,'[1]import success seats course'!$A:AA,HLOOKUP('[1]Course Totals'!M$4,'[1]import success seats course'!$1:$2,2,FALSE),FALSE)/(VLOOKUP($A26,'[1]import graded seats course pivo'!$A:AK,HLOOKUP('[1]Course Totals'!M$4,'[1]import graded seats course pivo'!$1:$2,2,FALSE),FALSE))),"")</f>
        <v/>
      </c>
      <c r="N26" s="14" t="str">
        <f>IFERROR((VLOOKUP($A26,'[1]import success seats course'!$A:AB,HLOOKUP('[1]Course Totals'!N$4,'[1]import success seats course'!$1:$2,2,FALSE),FALSE)/(VLOOKUP($A26,'[1]import graded seats course pivo'!$A:AL,HLOOKUP('[1]Course Totals'!N$4,'[1]import graded seats course pivo'!$1:$2,2,FALSE),FALSE))),"")</f>
        <v/>
      </c>
      <c r="O26" s="14" t="str">
        <f>IFERROR((VLOOKUP($A26,'[1]import success seats course'!$A:AC,HLOOKUP('[1]Course Totals'!O$4,'[1]import success seats course'!$1:$2,2,FALSE),FALSE)/(VLOOKUP($A26,'[1]import graded seats course pivo'!$A:AM,HLOOKUP('[1]Course Totals'!O$4,'[1]import graded seats course pivo'!$1:$2,2,FALSE),FALSE))),"")</f>
        <v/>
      </c>
      <c r="P26" s="14" t="str">
        <f>IFERROR((VLOOKUP($A26,'[1]import success seats course'!$A:AD,HLOOKUP('[1]Course Totals'!P$4,'[1]import success seats course'!$1:$2,2,FALSE),FALSE)/(VLOOKUP($A26,'[1]import graded seats course pivo'!$A:AN,HLOOKUP('[1]Course Totals'!P$4,'[1]import graded seats course pivo'!$1:$2,2,FALSE),FALSE))),"")</f>
        <v/>
      </c>
      <c r="Q26" s="14" t="str">
        <f>IFERROR((VLOOKUP($A26,'[1]import success seats course'!$A:AE,HLOOKUP('[1]Course Totals'!Q$4,'[1]import success seats course'!$1:$2,2,FALSE),FALSE)/(VLOOKUP($A26,'[1]import graded seats course pivo'!$A:AO,HLOOKUP('[1]Course Totals'!Q$4,'[1]import graded seats course pivo'!$1:$2,2,FALSE),FALSE))),"")</f>
        <v/>
      </c>
      <c r="R26" s="14" t="str">
        <f>IFERROR((VLOOKUP($A26,'[1]import success seats course'!$A:AF,HLOOKUP('[1]Course Totals'!R$4,'[1]import success seats course'!$1:$2,2,FALSE),FALSE)/(VLOOKUP($A26,'[1]import graded seats course pivo'!$A:AP,HLOOKUP('[1]Course Totals'!R$4,'[1]import graded seats course pivo'!$1:$2,2,FALSE),FALSE))),"")</f>
        <v/>
      </c>
      <c r="S26" s="14" t="str">
        <f>IFERROR((VLOOKUP($A26,'[1]import success seats course'!$A:AG,HLOOKUP('[1]Course Totals'!S$4,'[1]import success seats course'!$1:$2,2,FALSE),FALSE)/(VLOOKUP($A26,'[1]import graded seats course pivo'!$A:AQ,HLOOKUP('[1]Course Totals'!S$4,'[1]import graded seats course pivo'!$1:$2,2,FALSE),FALSE))),"")</f>
        <v/>
      </c>
      <c r="Z26" s="7"/>
      <c r="AA26" s="7"/>
      <c r="AB26" s="7"/>
      <c r="AC26" s="7"/>
    </row>
    <row r="27" spans="1:29" ht="15" hidden="1" customHeight="1" x14ac:dyDescent="0.25">
      <c r="A27" s="12" t="s">
        <v>1023</v>
      </c>
      <c r="B27" s="14" t="str">
        <f>IFERROR((VLOOKUP($A27,'[1]import success seats course'!$A:P,HLOOKUP('[1]Course Totals'!B$4,'[1]import success seats course'!$1:$2,2,FALSE),FALSE)/(VLOOKUP($A27,'[1]import graded seats course pivo'!$A:Z,HLOOKUP('[1]Course Totals'!B$4,'[1]import graded seats course pivo'!$1:$2,2,FALSE),FALSE))),"")</f>
        <v/>
      </c>
      <c r="C27" s="14" t="str">
        <f>IFERROR((VLOOKUP($A27,'[1]import success seats course'!$A:Q,HLOOKUP('[1]Course Totals'!C$4,'[1]import success seats course'!$1:$2,2,FALSE),FALSE)/(VLOOKUP($A27,'[1]import graded seats course pivo'!$A:AA,HLOOKUP('[1]Course Totals'!C$4,'[1]import graded seats course pivo'!$1:$2,2,FALSE),FALSE))),"")</f>
        <v/>
      </c>
      <c r="D27" s="14" t="str">
        <f>IFERROR((VLOOKUP($A27,'[1]import success seats course'!$A:R,HLOOKUP('[1]Course Totals'!D$4,'[1]import success seats course'!$1:$2,2,FALSE),FALSE)/(VLOOKUP($A27,'[1]import graded seats course pivo'!$A:AB,HLOOKUP('[1]Course Totals'!D$4,'[1]import graded seats course pivo'!$1:$2,2,FALSE),FALSE))),"")</f>
        <v/>
      </c>
      <c r="E27" s="14" t="str">
        <f>IFERROR((VLOOKUP($A27,'[1]import success seats course'!$A:S,HLOOKUP('[1]Course Totals'!E$4,'[1]import success seats course'!$1:$2,2,FALSE),FALSE)/(VLOOKUP($A27,'[1]import graded seats course pivo'!$A:AC,HLOOKUP('[1]Course Totals'!E$4,'[1]import graded seats course pivo'!$1:$2,2,FALSE),FALSE))),"")</f>
        <v/>
      </c>
      <c r="F27" s="14" t="str">
        <f>IFERROR((VLOOKUP($A27,'[1]import success seats course'!$A:T,HLOOKUP('[1]Course Totals'!F$4,'[1]import success seats course'!$1:$2,2,FALSE),FALSE)/(VLOOKUP($A27,'[1]import graded seats course pivo'!$A:AD,HLOOKUP('[1]Course Totals'!F$4,'[1]import graded seats course pivo'!$1:$2,2,FALSE),FALSE))),"")</f>
        <v/>
      </c>
      <c r="G27" s="14" t="str">
        <f>IFERROR((VLOOKUP($A27,'[1]import success seats course'!$A:U,HLOOKUP('[1]Course Totals'!G$4,'[1]import success seats course'!$1:$2,2,FALSE),FALSE)/(VLOOKUP($A27,'[1]import graded seats course pivo'!$A:AE,HLOOKUP('[1]Course Totals'!G$4,'[1]import graded seats course pivo'!$1:$2,2,FALSE),FALSE))),"")</f>
        <v/>
      </c>
      <c r="H27" s="14" t="str">
        <f>IFERROR((VLOOKUP($A27,'[1]import success seats course'!$A:V,HLOOKUP('[1]Course Totals'!H$4,'[1]import success seats course'!$1:$2,2,FALSE),FALSE)/(VLOOKUP($A27,'[1]import graded seats course pivo'!$A:AF,HLOOKUP('[1]Course Totals'!H$4,'[1]import graded seats course pivo'!$1:$2,2,FALSE),FALSE))),"")</f>
        <v/>
      </c>
      <c r="I27" s="14" t="str">
        <f>IFERROR((VLOOKUP($A27,'[1]import success seats course'!$A:W,HLOOKUP('[1]Course Totals'!I$4,'[1]import success seats course'!$1:$2,2,FALSE),FALSE)/(VLOOKUP($A27,'[1]import graded seats course pivo'!$A:AG,HLOOKUP('[1]Course Totals'!I$4,'[1]import graded seats course pivo'!$1:$2,2,FALSE),FALSE))),"")</f>
        <v/>
      </c>
      <c r="J27" s="14" t="str">
        <f>IFERROR((VLOOKUP($A27,'[1]import success seats course'!$A:X,HLOOKUP('[1]Course Totals'!J$4,'[1]import success seats course'!$1:$2,2,FALSE),FALSE)/(VLOOKUP($A27,'[1]import graded seats course pivo'!$A:AH,HLOOKUP('[1]Course Totals'!J$4,'[1]import graded seats course pivo'!$1:$2,2,FALSE),FALSE))),"")</f>
        <v/>
      </c>
      <c r="K27" s="14" t="str">
        <f>IFERROR((VLOOKUP($A27,'[1]import success seats course'!$A:Y,HLOOKUP('[1]Course Totals'!K$4,'[1]import success seats course'!$1:$2,2,FALSE),FALSE)/(VLOOKUP($A27,'[1]import graded seats course pivo'!$A:AI,HLOOKUP('[1]Course Totals'!K$4,'[1]import graded seats course pivo'!$1:$2,2,FALSE),FALSE))),"")</f>
        <v/>
      </c>
      <c r="L27" s="14" t="str">
        <f>IFERROR((VLOOKUP($A27,'[1]import success seats course'!$A:Z,HLOOKUP('[1]Course Totals'!L$4,'[1]import success seats course'!$1:$2,2,FALSE),FALSE)/(VLOOKUP($A27,'[1]import graded seats course pivo'!$A:AJ,HLOOKUP('[1]Course Totals'!L$4,'[1]import graded seats course pivo'!$1:$2,2,FALSE),FALSE))),"")</f>
        <v/>
      </c>
      <c r="M27" s="14" t="str">
        <f>IFERROR((VLOOKUP($A27,'[1]import success seats course'!$A:AA,HLOOKUP('[1]Course Totals'!M$4,'[1]import success seats course'!$1:$2,2,FALSE),FALSE)/(VLOOKUP($A27,'[1]import graded seats course pivo'!$A:AK,HLOOKUP('[1]Course Totals'!M$4,'[1]import graded seats course pivo'!$1:$2,2,FALSE),FALSE))),"")</f>
        <v/>
      </c>
      <c r="N27" s="14" t="str">
        <f>IFERROR((VLOOKUP($A27,'[1]import success seats course'!$A:AB,HLOOKUP('[1]Course Totals'!N$4,'[1]import success seats course'!$1:$2,2,FALSE),FALSE)/(VLOOKUP($A27,'[1]import graded seats course pivo'!$A:AL,HLOOKUP('[1]Course Totals'!N$4,'[1]import graded seats course pivo'!$1:$2,2,FALSE),FALSE))),"")</f>
        <v/>
      </c>
      <c r="O27" s="14" t="str">
        <f>IFERROR((VLOOKUP($A27,'[1]import success seats course'!$A:AC,HLOOKUP('[1]Course Totals'!O$4,'[1]import success seats course'!$1:$2,2,FALSE),FALSE)/(VLOOKUP($A27,'[1]import graded seats course pivo'!$A:AM,HLOOKUP('[1]Course Totals'!O$4,'[1]import graded seats course pivo'!$1:$2,2,FALSE),FALSE))),"")</f>
        <v/>
      </c>
      <c r="P27" s="14" t="str">
        <f>IFERROR((VLOOKUP($A27,'[1]import success seats course'!$A:AD,HLOOKUP('[1]Course Totals'!P$4,'[1]import success seats course'!$1:$2,2,FALSE),FALSE)/(VLOOKUP($A27,'[1]import graded seats course pivo'!$A:AN,HLOOKUP('[1]Course Totals'!P$4,'[1]import graded seats course pivo'!$1:$2,2,FALSE),FALSE))),"")</f>
        <v/>
      </c>
      <c r="Q27" s="14" t="str">
        <f>IFERROR((VLOOKUP($A27,'[1]import success seats course'!$A:AE,HLOOKUP('[1]Course Totals'!Q$4,'[1]import success seats course'!$1:$2,2,FALSE),FALSE)/(VLOOKUP($A27,'[1]import graded seats course pivo'!$A:AO,HLOOKUP('[1]Course Totals'!Q$4,'[1]import graded seats course pivo'!$1:$2,2,FALSE),FALSE))),"")</f>
        <v/>
      </c>
      <c r="R27" s="14" t="str">
        <f>IFERROR((VLOOKUP($A27,'[1]import success seats course'!$A:AF,HLOOKUP('[1]Course Totals'!R$4,'[1]import success seats course'!$1:$2,2,FALSE),FALSE)/(VLOOKUP($A27,'[1]import graded seats course pivo'!$A:AP,HLOOKUP('[1]Course Totals'!R$4,'[1]import graded seats course pivo'!$1:$2,2,FALSE),FALSE))),"")</f>
        <v/>
      </c>
      <c r="S27" s="14" t="str">
        <f>IFERROR((VLOOKUP($A27,'[1]import success seats course'!$A:AG,HLOOKUP('[1]Course Totals'!S$4,'[1]import success seats course'!$1:$2,2,FALSE),FALSE)/(VLOOKUP($A27,'[1]import graded seats course pivo'!$A:AQ,HLOOKUP('[1]Course Totals'!S$4,'[1]import graded seats course pivo'!$1:$2,2,FALSE),FALSE))),"")</f>
        <v/>
      </c>
      <c r="Z27" s="7"/>
      <c r="AA27" s="7"/>
      <c r="AB27" s="7"/>
      <c r="AC27" s="7"/>
    </row>
    <row r="28" spans="1:29" x14ac:dyDescent="0.25">
      <c r="A28" s="12" t="s">
        <v>828</v>
      </c>
      <c r="B28" s="14" t="str">
        <f>IFERROR((VLOOKUP($A28,'[1]import success seats course'!$A:P,HLOOKUP('[1]Course Totals'!B$4,'[1]import success seats course'!$1:$2,2,FALSE),FALSE)/(VLOOKUP($A28,'[1]import graded seats course pivo'!$A:Z,HLOOKUP('[1]Course Totals'!B$4,'[1]import graded seats course pivo'!$1:$2,2,FALSE),FALSE))),"")</f>
        <v/>
      </c>
      <c r="C28" s="14" t="str">
        <f>IFERROR((VLOOKUP($A28,'[1]import success seats course'!$A:Q,HLOOKUP('[1]Course Totals'!C$4,'[1]import success seats course'!$1:$2,2,FALSE),FALSE)/(VLOOKUP($A28,'[1]import graded seats course pivo'!$A:AA,HLOOKUP('[1]Course Totals'!C$4,'[1]import graded seats course pivo'!$1:$2,2,FALSE),FALSE))),"")</f>
        <v/>
      </c>
      <c r="D28" s="14" t="str">
        <f>IFERROR((VLOOKUP($A28,'[1]import success seats course'!$A:R,HLOOKUP('[1]Course Totals'!D$4,'[1]import success seats course'!$1:$2,2,FALSE),FALSE)/(VLOOKUP($A28,'[1]import graded seats course pivo'!$A:AB,HLOOKUP('[1]Course Totals'!D$4,'[1]import graded seats course pivo'!$1:$2,2,FALSE),FALSE))),"")</f>
        <v/>
      </c>
      <c r="E28" s="14" t="str">
        <f>IFERROR((VLOOKUP($A28,'[1]import success seats course'!$A:S,HLOOKUP('[1]Course Totals'!E$4,'[1]import success seats course'!$1:$2,2,FALSE),FALSE)/(VLOOKUP($A28,'[1]import graded seats course pivo'!$A:AC,HLOOKUP('[1]Course Totals'!E$4,'[1]import graded seats course pivo'!$1:$2,2,FALSE),FALSE))),"")</f>
        <v/>
      </c>
      <c r="F28" s="14" t="str">
        <f>IFERROR((VLOOKUP($A28,'[1]import success seats course'!$A:T,HLOOKUP('[1]Course Totals'!F$4,'[1]import success seats course'!$1:$2,2,FALSE),FALSE)/(VLOOKUP($A28,'[1]import graded seats course pivo'!$A:AD,HLOOKUP('[1]Course Totals'!F$4,'[1]import graded seats course pivo'!$1:$2,2,FALSE),FALSE))),"")</f>
        <v/>
      </c>
      <c r="G28" s="14" t="str">
        <f>IFERROR((VLOOKUP($A28,'[1]import success seats course'!$A:U,HLOOKUP('[1]Course Totals'!G$4,'[1]import success seats course'!$1:$2,2,FALSE),FALSE)/(VLOOKUP($A28,'[1]import graded seats course pivo'!$A:AE,HLOOKUP('[1]Course Totals'!G$4,'[1]import graded seats course pivo'!$1:$2,2,FALSE),FALSE))),"")</f>
        <v/>
      </c>
      <c r="H28" s="14" t="str">
        <f>IFERROR((VLOOKUP($A28,'[1]import success seats course'!$A:V,HLOOKUP('[1]Course Totals'!H$4,'[1]import success seats course'!$1:$2,2,FALSE),FALSE)/(VLOOKUP($A28,'[1]import graded seats course pivo'!$A:AF,HLOOKUP('[1]Course Totals'!H$4,'[1]import graded seats course pivo'!$1:$2,2,FALSE),FALSE))),"")</f>
        <v/>
      </c>
      <c r="I28" s="14" t="str">
        <f>IFERROR((VLOOKUP($A28,'[1]import success seats course'!$A:W,HLOOKUP('[1]Course Totals'!I$4,'[1]import success seats course'!$1:$2,2,FALSE),FALSE)/(VLOOKUP($A28,'[1]import graded seats course pivo'!$A:AG,HLOOKUP('[1]Course Totals'!I$4,'[1]import graded seats course pivo'!$1:$2,2,FALSE),FALSE))),"")</f>
        <v/>
      </c>
      <c r="J28" s="14" t="str">
        <f>IFERROR((VLOOKUP($A28,'[1]import success seats course'!$A:X,HLOOKUP('[1]Course Totals'!J$4,'[1]import success seats course'!$1:$2,2,FALSE),FALSE)/(VLOOKUP($A28,'[1]import graded seats course pivo'!$A:AH,HLOOKUP('[1]Course Totals'!J$4,'[1]import graded seats course pivo'!$1:$2,2,FALSE),FALSE))),"")</f>
        <v/>
      </c>
      <c r="K28" s="14" t="str">
        <f>IFERROR((VLOOKUP($A28,'[1]import success seats course'!$A:Y,HLOOKUP('[1]Course Totals'!K$4,'[1]import success seats course'!$1:$2,2,FALSE),FALSE)/(VLOOKUP($A28,'[1]import graded seats course pivo'!$A:AI,HLOOKUP('[1]Course Totals'!K$4,'[1]import graded seats course pivo'!$1:$2,2,FALSE),FALSE))),"")</f>
        <v/>
      </c>
      <c r="L28" s="14" t="str">
        <f>IFERROR((VLOOKUP($A28,'[1]import success seats course'!$A:Z,HLOOKUP('[1]Course Totals'!L$4,'[1]import success seats course'!$1:$2,2,FALSE),FALSE)/(VLOOKUP($A28,'[1]import graded seats course pivo'!$A:AJ,HLOOKUP('[1]Course Totals'!L$4,'[1]import graded seats course pivo'!$1:$2,2,FALSE),FALSE))),"")</f>
        <v/>
      </c>
      <c r="M28" s="14">
        <f>IFERROR((VLOOKUP($A28,'[1]import success seats course'!$A:AA,HLOOKUP('[1]Course Totals'!M$4,'[1]import success seats course'!$1:$2,2,FALSE),FALSE)/(VLOOKUP($A28,'[1]import graded seats course pivo'!$A:AK,HLOOKUP('[1]Course Totals'!M$4,'[1]import graded seats course pivo'!$1:$2,2,FALSE),FALSE))),"")</f>
        <v>0.85</v>
      </c>
      <c r="N28" s="14" t="str">
        <f>IFERROR((VLOOKUP($A28,'[1]import success seats course'!$A:AB,HLOOKUP('[1]Course Totals'!N$4,'[1]import success seats course'!$1:$2,2,FALSE),FALSE)/(VLOOKUP($A28,'[1]import graded seats course pivo'!$A:AL,HLOOKUP('[1]Course Totals'!N$4,'[1]import graded seats course pivo'!$1:$2,2,FALSE),FALSE))),"")</f>
        <v/>
      </c>
      <c r="O28" s="14">
        <f>IFERROR((VLOOKUP($A28,'[1]import success seats course'!$A:AC,HLOOKUP('[1]Course Totals'!O$4,'[1]import success seats course'!$1:$2,2,FALSE),FALSE)/(VLOOKUP($A28,'[1]import graded seats course pivo'!$A:AM,HLOOKUP('[1]Course Totals'!O$4,'[1]import graded seats course pivo'!$1:$2,2,FALSE),FALSE))),"")</f>
        <v>0.90476190476190477</v>
      </c>
      <c r="P28" s="14" t="str">
        <f>IFERROR((VLOOKUP($A28,'[1]import success seats course'!$A:AD,HLOOKUP('[1]Course Totals'!P$4,'[1]import success seats course'!$1:$2,2,FALSE),FALSE)/(VLOOKUP($A28,'[1]import graded seats course pivo'!$A:AN,HLOOKUP('[1]Course Totals'!P$4,'[1]import graded seats course pivo'!$1:$2,2,FALSE),FALSE))),"")</f>
        <v/>
      </c>
      <c r="Q28" s="14" t="str">
        <f>IFERROR((VLOOKUP($A28,'[1]import success seats course'!$A:AE,HLOOKUP('[1]Course Totals'!Q$4,'[1]import success seats course'!$1:$2,2,FALSE),FALSE)/(VLOOKUP($A28,'[1]import graded seats course pivo'!$A:AO,HLOOKUP('[1]Course Totals'!Q$4,'[1]import graded seats course pivo'!$1:$2,2,FALSE),FALSE))),"")</f>
        <v/>
      </c>
      <c r="R28" s="14" t="str">
        <f>IFERROR((VLOOKUP($A28,'[1]import success seats course'!$A:AF,HLOOKUP('[1]Course Totals'!R$4,'[1]import success seats course'!$1:$2,2,FALSE),FALSE)/(VLOOKUP($A28,'[1]import graded seats course pivo'!$A:AP,HLOOKUP('[1]Course Totals'!R$4,'[1]import graded seats course pivo'!$1:$2,2,FALSE),FALSE))),"")</f>
        <v/>
      </c>
      <c r="S28" s="14">
        <f>IFERROR((VLOOKUP($A28,'[1]import success seats course'!$A:AG,HLOOKUP('[1]Course Totals'!S$4,'[1]import success seats course'!$1:$2,2,FALSE),FALSE)/(VLOOKUP($A28,'[1]import graded seats course pivo'!$A:AQ,HLOOKUP('[1]Course Totals'!S$4,'[1]import graded seats course pivo'!$1:$2,2,FALSE),FALSE))),"")</f>
        <v>1</v>
      </c>
      <c r="Z28" s="7"/>
      <c r="AA28" s="7"/>
      <c r="AB28" s="7"/>
      <c r="AC28" s="7"/>
    </row>
    <row r="29" spans="1:29" x14ac:dyDescent="0.25">
      <c r="A29" s="12" t="s">
        <v>12</v>
      </c>
      <c r="B29" s="14" t="str">
        <f>IFERROR((VLOOKUP($A29,'[1]import success seats course'!$A:P,HLOOKUP('[1]Course Totals'!B$4,'[1]import success seats course'!$1:$2,2,FALSE),FALSE)/(VLOOKUP($A29,'[1]import graded seats course pivo'!$A:Z,HLOOKUP('[1]Course Totals'!B$4,'[1]import graded seats course pivo'!$1:$2,2,FALSE),FALSE))),"")</f>
        <v/>
      </c>
      <c r="C29" s="14" t="str">
        <f>IFERROR((VLOOKUP($A29,'[1]import success seats course'!$A:Q,HLOOKUP('[1]Course Totals'!C$4,'[1]import success seats course'!$1:$2,2,FALSE),FALSE)/(VLOOKUP($A29,'[1]import graded seats course pivo'!$A:AA,HLOOKUP('[1]Course Totals'!C$4,'[1]import graded seats course pivo'!$1:$2,2,FALSE),FALSE))),"")</f>
        <v/>
      </c>
      <c r="D29" s="14" t="str">
        <f>IFERROR((VLOOKUP($A29,'[1]import success seats course'!$A:R,HLOOKUP('[1]Course Totals'!D$4,'[1]import success seats course'!$1:$2,2,FALSE),FALSE)/(VLOOKUP($A29,'[1]import graded seats course pivo'!$A:AB,HLOOKUP('[1]Course Totals'!D$4,'[1]import graded seats course pivo'!$1:$2,2,FALSE),FALSE))),"")</f>
        <v/>
      </c>
      <c r="E29" s="14" t="str">
        <f>IFERROR((VLOOKUP($A29,'[1]import success seats course'!$A:S,HLOOKUP('[1]Course Totals'!E$4,'[1]import success seats course'!$1:$2,2,FALSE),FALSE)/(VLOOKUP($A29,'[1]import graded seats course pivo'!$A:AC,HLOOKUP('[1]Course Totals'!E$4,'[1]import graded seats course pivo'!$1:$2,2,FALSE),FALSE))),"")</f>
        <v/>
      </c>
      <c r="F29" s="14" t="str">
        <f>IFERROR((VLOOKUP($A29,'[1]import success seats course'!$A:T,HLOOKUP('[1]Course Totals'!F$4,'[1]import success seats course'!$1:$2,2,FALSE),FALSE)/(VLOOKUP($A29,'[1]import graded seats course pivo'!$A:AD,HLOOKUP('[1]Course Totals'!F$4,'[1]import graded seats course pivo'!$1:$2,2,FALSE),FALSE))),"")</f>
        <v/>
      </c>
      <c r="G29" s="14" t="str">
        <f>IFERROR((VLOOKUP($A29,'[1]import success seats course'!$A:U,HLOOKUP('[1]Course Totals'!G$4,'[1]import success seats course'!$1:$2,2,FALSE),FALSE)/(VLOOKUP($A29,'[1]import graded seats course pivo'!$A:AE,HLOOKUP('[1]Course Totals'!G$4,'[1]import graded seats course pivo'!$1:$2,2,FALSE),FALSE))),"")</f>
        <v/>
      </c>
      <c r="H29" s="14" t="str">
        <f>IFERROR((VLOOKUP($A29,'[1]import success seats course'!$A:V,HLOOKUP('[1]Course Totals'!H$4,'[1]import success seats course'!$1:$2,2,FALSE),FALSE)/(VLOOKUP($A29,'[1]import graded seats course pivo'!$A:AF,HLOOKUP('[1]Course Totals'!H$4,'[1]import graded seats course pivo'!$1:$2,2,FALSE),FALSE))),"")</f>
        <v/>
      </c>
      <c r="I29" s="14" t="str">
        <f>IFERROR((VLOOKUP($A29,'[1]import success seats course'!$A:W,HLOOKUP('[1]Course Totals'!I$4,'[1]import success seats course'!$1:$2,2,FALSE),FALSE)/(VLOOKUP($A29,'[1]import graded seats course pivo'!$A:AG,HLOOKUP('[1]Course Totals'!I$4,'[1]import graded seats course pivo'!$1:$2,2,FALSE),FALSE))),"")</f>
        <v/>
      </c>
      <c r="J29" s="14">
        <f>IFERROR((VLOOKUP($A29,'[1]import success seats course'!$A:X,HLOOKUP('[1]Course Totals'!J$4,'[1]import success seats course'!$1:$2,2,FALSE),FALSE)/(VLOOKUP($A29,'[1]import graded seats course pivo'!$A:AH,HLOOKUP('[1]Course Totals'!J$4,'[1]import graded seats course pivo'!$1:$2,2,FALSE),FALSE))),"")</f>
        <v>0.75</v>
      </c>
      <c r="K29" s="14" t="str">
        <f>IFERROR((VLOOKUP($A29,'[1]import success seats course'!$A:Y,HLOOKUP('[1]Course Totals'!K$4,'[1]import success seats course'!$1:$2,2,FALSE),FALSE)/(VLOOKUP($A29,'[1]import graded seats course pivo'!$A:AI,HLOOKUP('[1]Course Totals'!K$4,'[1]import graded seats course pivo'!$1:$2,2,FALSE),FALSE))),"")</f>
        <v/>
      </c>
      <c r="L29" s="14">
        <f>IFERROR((VLOOKUP($A29,'[1]import success seats course'!$A:Z,HLOOKUP('[1]Course Totals'!L$4,'[1]import success seats course'!$1:$2,2,FALSE),FALSE)/(VLOOKUP($A29,'[1]import graded seats course pivo'!$A:AJ,HLOOKUP('[1]Course Totals'!L$4,'[1]import graded seats course pivo'!$1:$2,2,FALSE),FALSE))),"")</f>
        <v>1</v>
      </c>
      <c r="M29" s="14">
        <f>IFERROR((VLOOKUP($A29,'[1]import success seats course'!$A:AA,HLOOKUP('[1]Course Totals'!M$4,'[1]import success seats course'!$1:$2,2,FALSE),FALSE)/(VLOOKUP($A29,'[1]import graded seats course pivo'!$A:AK,HLOOKUP('[1]Course Totals'!M$4,'[1]import graded seats course pivo'!$1:$2,2,FALSE),FALSE))),"")</f>
        <v>1</v>
      </c>
      <c r="N29" s="14" t="str">
        <f>IFERROR((VLOOKUP($A29,'[1]import success seats course'!$A:AB,HLOOKUP('[1]Course Totals'!N$4,'[1]import success seats course'!$1:$2,2,FALSE),FALSE)/(VLOOKUP($A29,'[1]import graded seats course pivo'!$A:AL,HLOOKUP('[1]Course Totals'!N$4,'[1]import graded seats course pivo'!$1:$2,2,FALSE),FALSE))),"")</f>
        <v/>
      </c>
      <c r="O29" s="14">
        <f>IFERROR((VLOOKUP($A29,'[1]import success seats course'!$A:AC,HLOOKUP('[1]Course Totals'!O$4,'[1]import success seats course'!$1:$2,2,FALSE),FALSE)/(VLOOKUP($A29,'[1]import graded seats course pivo'!$A:AM,HLOOKUP('[1]Course Totals'!O$4,'[1]import graded seats course pivo'!$1:$2,2,FALSE),FALSE))),"")</f>
        <v>0.88235294117647056</v>
      </c>
      <c r="P29" s="14">
        <f>IFERROR((VLOOKUP($A29,'[1]import success seats course'!$A:AD,HLOOKUP('[1]Course Totals'!P$4,'[1]import success seats course'!$1:$2,2,FALSE),FALSE)/(VLOOKUP($A29,'[1]import graded seats course pivo'!$A:AN,HLOOKUP('[1]Course Totals'!P$4,'[1]import graded seats course pivo'!$1:$2,2,FALSE),FALSE))),"")</f>
        <v>1</v>
      </c>
      <c r="Q29" s="14" t="str">
        <f>IFERROR((VLOOKUP($A29,'[1]import success seats course'!$A:AE,HLOOKUP('[1]Course Totals'!Q$4,'[1]import success seats course'!$1:$2,2,FALSE),FALSE)/(VLOOKUP($A29,'[1]import graded seats course pivo'!$A:AO,HLOOKUP('[1]Course Totals'!Q$4,'[1]import graded seats course pivo'!$1:$2,2,FALSE),FALSE))),"")</f>
        <v/>
      </c>
      <c r="R29" s="14">
        <f>IFERROR((VLOOKUP($A29,'[1]import success seats course'!$A:AF,HLOOKUP('[1]Course Totals'!R$4,'[1]import success seats course'!$1:$2,2,FALSE),FALSE)/(VLOOKUP($A29,'[1]import graded seats course pivo'!$A:AP,HLOOKUP('[1]Course Totals'!R$4,'[1]import graded seats course pivo'!$1:$2,2,FALSE),FALSE))),"")</f>
        <v>0.875</v>
      </c>
      <c r="S29" s="14">
        <f>IFERROR((VLOOKUP($A29,'[1]import success seats course'!$A:AG,HLOOKUP('[1]Course Totals'!S$4,'[1]import success seats course'!$1:$2,2,FALSE),FALSE)/(VLOOKUP($A29,'[1]import graded seats course pivo'!$A:AQ,HLOOKUP('[1]Course Totals'!S$4,'[1]import graded seats course pivo'!$1:$2,2,FALSE),FALSE))),"")</f>
        <v>1</v>
      </c>
      <c r="Z29" s="7"/>
      <c r="AA29" s="7"/>
      <c r="AB29" s="7"/>
      <c r="AC29" s="7"/>
    </row>
    <row r="30" spans="1:29" x14ac:dyDescent="0.25">
      <c r="A30" s="12" t="s">
        <v>13</v>
      </c>
      <c r="B30" s="14" t="str">
        <f>IFERROR((VLOOKUP($A30,'[1]import success seats course'!$A:P,HLOOKUP('[1]Course Totals'!B$4,'[1]import success seats course'!$1:$2,2,FALSE),FALSE)/(VLOOKUP($A30,'[1]import graded seats course pivo'!$A:Z,HLOOKUP('[1]Course Totals'!B$4,'[1]import graded seats course pivo'!$1:$2,2,FALSE),FALSE))),"")</f>
        <v/>
      </c>
      <c r="C30" s="14" t="str">
        <f>IFERROR((VLOOKUP($A30,'[1]import success seats course'!$A:Q,HLOOKUP('[1]Course Totals'!C$4,'[1]import success seats course'!$1:$2,2,FALSE),FALSE)/(VLOOKUP($A30,'[1]import graded seats course pivo'!$A:AA,HLOOKUP('[1]Course Totals'!C$4,'[1]import graded seats course pivo'!$1:$2,2,FALSE),FALSE))),"")</f>
        <v/>
      </c>
      <c r="D30" s="14" t="str">
        <f>IFERROR((VLOOKUP($A30,'[1]import success seats course'!$A:R,HLOOKUP('[1]Course Totals'!D$4,'[1]import success seats course'!$1:$2,2,FALSE),FALSE)/(VLOOKUP($A30,'[1]import graded seats course pivo'!$A:AB,HLOOKUP('[1]Course Totals'!D$4,'[1]import graded seats course pivo'!$1:$2,2,FALSE),FALSE))),"")</f>
        <v/>
      </c>
      <c r="E30" s="14" t="str">
        <f>IFERROR((VLOOKUP($A30,'[1]import success seats course'!$A:S,HLOOKUP('[1]Course Totals'!E$4,'[1]import success seats course'!$1:$2,2,FALSE),FALSE)/(VLOOKUP($A30,'[1]import graded seats course pivo'!$A:AC,HLOOKUP('[1]Course Totals'!E$4,'[1]import graded seats course pivo'!$1:$2,2,FALSE),FALSE))),"")</f>
        <v/>
      </c>
      <c r="F30" s="14" t="str">
        <f>IFERROR((VLOOKUP($A30,'[1]import success seats course'!$A:T,HLOOKUP('[1]Course Totals'!F$4,'[1]import success seats course'!$1:$2,2,FALSE),FALSE)/(VLOOKUP($A30,'[1]import graded seats course pivo'!$A:AD,HLOOKUP('[1]Course Totals'!F$4,'[1]import graded seats course pivo'!$1:$2,2,FALSE),FALSE))),"")</f>
        <v/>
      </c>
      <c r="G30" s="14">
        <f>IFERROR((VLOOKUP($A30,'[1]import success seats course'!$A:U,HLOOKUP('[1]Course Totals'!G$4,'[1]import success seats course'!$1:$2,2,FALSE),FALSE)/(VLOOKUP($A30,'[1]import graded seats course pivo'!$A:AE,HLOOKUP('[1]Course Totals'!G$4,'[1]import graded seats course pivo'!$1:$2,2,FALSE),FALSE))),"")</f>
        <v>1</v>
      </c>
      <c r="H30" s="14" t="str">
        <f>IFERROR((VLOOKUP($A30,'[1]import success seats course'!$A:V,HLOOKUP('[1]Course Totals'!H$4,'[1]import success seats course'!$1:$2,2,FALSE),FALSE)/(VLOOKUP($A30,'[1]import graded seats course pivo'!$A:AF,HLOOKUP('[1]Course Totals'!H$4,'[1]import graded seats course pivo'!$1:$2,2,FALSE),FALSE))),"")</f>
        <v/>
      </c>
      <c r="I30" s="14" t="str">
        <f>IFERROR((VLOOKUP($A30,'[1]import success seats course'!$A:W,HLOOKUP('[1]Course Totals'!I$4,'[1]import success seats course'!$1:$2,2,FALSE),FALSE)/(VLOOKUP($A30,'[1]import graded seats course pivo'!$A:AG,HLOOKUP('[1]Course Totals'!I$4,'[1]import graded seats course pivo'!$1:$2,2,FALSE),FALSE))),"")</f>
        <v/>
      </c>
      <c r="J30" s="14" t="str">
        <f>IFERROR((VLOOKUP($A30,'[1]import success seats course'!$A:X,HLOOKUP('[1]Course Totals'!J$4,'[1]import success seats course'!$1:$2,2,FALSE),FALSE)/(VLOOKUP($A30,'[1]import graded seats course pivo'!$A:AH,HLOOKUP('[1]Course Totals'!J$4,'[1]import graded seats course pivo'!$1:$2,2,FALSE),FALSE))),"")</f>
        <v/>
      </c>
      <c r="K30" s="14" t="str">
        <f>IFERROR((VLOOKUP($A30,'[1]import success seats course'!$A:Y,HLOOKUP('[1]Course Totals'!K$4,'[1]import success seats course'!$1:$2,2,FALSE),FALSE)/(VLOOKUP($A30,'[1]import graded seats course pivo'!$A:AI,HLOOKUP('[1]Course Totals'!K$4,'[1]import graded seats course pivo'!$1:$2,2,FALSE),FALSE))),"")</f>
        <v/>
      </c>
      <c r="L30" s="14">
        <f>IFERROR((VLOOKUP($A30,'[1]import success seats course'!$A:Z,HLOOKUP('[1]Course Totals'!L$4,'[1]import success seats course'!$1:$2,2,FALSE),FALSE)/(VLOOKUP($A30,'[1]import graded seats course pivo'!$A:AJ,HLOOKUP('[1]Course Totals'!L$4,'[1]import graded seats course pivo'!$1:$2,2,FALSE),FALSE))),"")</f>
        <v>1</v>
      </c>
      <c r="M30" s="14" t="str">
        <f>IFERROR((VLOOKUP($A30,'[1]import success seats course'!$A:AA,HLOOKUP('[1]Course Totals'!M$4,'[1]import success seats course'!$1:$2,2,FALSE),FALSE)/(VLOOKUP($A30,'[1]import graded seats course pivo'!$A:AK,HLOOKUP('[1]Course Totals'!M$4,'[1]import graded seats course pivo'!$1:$2,2,FALSE),FALSE))),"")</f>
        <v/>
      </c>
      <c r="N30" s="14" t="str">
        <f>IFERROR((VLOOKUP($A30,'[1]import success seats course'!$A:AB,HLOOKUP('[1]Course Totals'!N$4,'[1]import success seats course'!$1:$2,2,FALSE),FALSE)/(VLOOKUP($A30,'[1]import graded seats course pivo'!$A:AL,HLOOKUP('[1]Course Totals'!N$4,'[1]import graded seats course pivo'!$1:$2,2,FALSE),FALSE))),"")</f>
        <v/>
      </c>
      <c r="O30" s="14" t="str">
        <f>IFERROR((VLOOKUP($A30,'[1]import success seats course'!$A:AC,HLOOKUP('[1]Course Totals'!O$4,'[1]import success seats course'!$1:$2,2,FALSE),FALSE)/(VLOOKUP($A30,'[1]import graded seats course pivo'!$A:AM,HLOOKUP('[1]Course Totals'!O$4,'[1]import graded seats course pivo'!$1:$2,2,FALSE),FALSE))),"")</f>
        <v/>
      </c>
      <c r="P30" s="14">
        <f>IFERROR((VLOOKUP($A30,'[1]import success seats course'!$A:AD,HLOOKUP('[1]Course Totals'!P$4,'[1]import success seats course'!$1:$2,2,FALSE),FALSE)/(VLOOKUP($A30,'[1]import graded seats course pivo'!$A:AN,HLOOKUP('[1]Course Totals'!P$4,'[1]import graded seats course pivo'!$1:$2,2,FALSE),FALSE))),"")</f>
        <v>1</v>
      </c>
      <c r="Q30" s="14" t="str">
        <f>IFERROR((VLOOKUP($A30,'[1]import success seats course'!$A:AE,HLOOKUP('[1]Course Totals'!Q$4,'[1]import success seats course'!$1:$2,2,FALSE),FALSE)/(VLOOKUP($A30,'[1]import graded seats course pivo'!$A:AO,HLOOKUP('[1]Course Totals'!Q$4,'[1]import graded seats course pivo'!$1:$2,2,FALSE),FALSE))),"")</f>
        <v/>
      </c>
      <c r="R30" s="14">
        <f>IFERROR((VLOOKUP($A30,'[1]import success seats course'!$A:AF,HLOOKUP('[1]Course Totals'!R$4,'[1]import success seats course'!$1:$2,2,FALSE),FALSE)/(VLOOKUP($A30,'[1]import graded seats course pivo'!$A:AP,HLOOKUP('[1]Course Totals'!R$4,'[1]import graded seats course pivo'!$1:$2,2,FALSE),FALSE))),"")</f>
        <v>0.875</v>
      </c>
      <c r="S30" s="14">
        <f>IFERROR((VLOOKUP($A30,'[1]import success seats course'!$A:AG,HLOOKUP('[1]Course Totals'!S$4,'[1]import success seats course'!$1:$2,2,FALSE),FALSE)/(VLOOKUP($A30,'[1]import graded seats course pivo'!$A:AQ,HLOOKUP('[1]Course Totals'!S$4,'[1]import graded seats course pivo'!$1:$2,2,FALSE),FALSE))),"")</f>
        <v>1</v>
      </c>
      <c r="Z30" s="7"/>
      <c r="AA30" s="7"/>
      <c r="AB30" s="7"/>
      <c r="AC30" s="7"/>
    </row>
    <row r="31" spans="1:29" s="7" customFormat="1" ht="15.75" thickBot="1" x14ac:dyDescent="0.3">
      <c r="A31" s="8" t="str">
        <f>'[1]SUBJECTS BASE'!H3</f>
        <v>Allied Health</v>
      </c>
      <c r="B31" s="38" t="s">
        <v>1046</v>
      </c>
      <c r="C31" s="39" t="s">
        <v>0</v>
      </c>
      <c r="D31" s="40" t="s">
        <v>868</v>
      </c>
      <c r="E31" s="41" t="s">
        <v>1052</v>
      </c>
      <c r="F31" s="42" t="s">
        <v>546</v>
      </c>
      <c r="G31" s="43" t="s">
        <v>959</v>
      </c>
      <c r="H31" s="44" t="s">
        <v>1060</v>
      </c>
      <c r="I31" s="39" t="s">
        <v>675</v>
      </c>
      <c r="J31" s="45" t="s">
        <v>1006</v>
      </c>
      <c r="K31" s="46" t="s">
        <v>1062</v>
      </c>
      <c r="L31" s="42" t="s">
        <v>762</v>
      </c>
      <c r="M31" s="43" t="s">
        <v>1022</v>
      </c>
      <c r="N31" s="44" t="s">
        <v>1063</v>
      </c>
      <c r="O31" s="39" t="s">
        <v>822</v>
      </c>
      <c r="P31" s="40" t="s">
        <v>1042</v>
      </c>
      <c r="Q31" s="46" t="s">
        <v>1153</v>
      </c>
      <c r="R31" s="42" t="s">
        <v>1154</v>
      </c>
      <c r="S31" s="43" t="s">
        <v>1155</v>
      </c>
    </row>
    <row r="32" spans="1:29" x14ac:dyDescent="0.25">
      <c r="A32" s="12" t="s">
        <v>14</v>
      </c>
      <c r="B32" s="14" t="str">
        <f>IFERROR((VLOOKUP($A32,'[1]import success seats course'!$A:P,HLOOKUP('[1]Course Totals'!B$4,'[1]import success seats course'!$1:$2,2,FALSE),FALSE)/(VLOOKUP($A32,'[1]import graded seats course pivo'!$A:Z,HLOOKUP('[1]Course Totals'!B$4,'[1]import graded seats course pivo'!$1:$2,2,FALSE),FALSE))),"")</f>
        <v/>
      </c>
      <c r="C32" s="14">
        <f>IFERROR((VLOOKUP($A32,'[1]import success seats course'!$A:Q,HLOOKUP('[1]Course Totals'!C$4,'[1]import success seats course'!$1:$2,2,FALSE),FALSE)/(VLOOKUP($A32,'[1]import graded seats course pivo'!$A:AA,HLOOKUP('[1]Course Totals'!C$4,'[1]import graded seats course pivo'!$1:$2,2,FALSE),FALSE))),"")</f>
        <v>0.8571428571428571</v>
      </c>
      <c r="D32" s="14">
        <f>IFERROR((VLOOKUP($A32,'[1]import success seats course'!$A:R,HLOOKUP('[1]Course Totals'!D$4,'[1]import success seats course'!$1:$2,2,FALSE),FALSE)/(VLOOKUP($A32,'[1]import graded seats course pivo'!$A:AB,HLOOKUP('[1]Course Totals'!D$4,'[1]import graded seats course pivo'!$1:$2,2,FALSE),FALSE))),"")</f>
        <v>1</v>
      </c>
      <c r="E32" s="14" t="str">
        <f>IFERROR((VLOOKUP($A32,'[1]import success seats course'!$A:S,HLOOKUP('[1]Course Totals'!E$4,'[1]import success seats course'!$1:$2,2,FALSE),FALSE)/(VLOOKUP($A32,'[1]import graded seats course pivo'!$A:AC,HLOOKUP('[1]Course Totals'!E$4,'[1]import graded seats course pivo'!$1:$2,2,FALSE),FALSE))),"")</f>
        <v/>
      </c>
      <c r="F32" s="14">
        <f>IFERROR((VLOOKUP($A32,'[1]import success seats course'!$A:T,HLOOKUP('[1]Course Totals'!F$4,'[1]import success seats course'!$1:$2,2,FALSE),FALSE)/(VLOOKUP($A32,'[1]import graded seats course pivo'!$A:AD,HLOOKUP('[1]Course Totals'!F$4,'[1]import graded seats course pivo'!$1:$2,2,FALSE),FALSE))),"")</f>
        <v>1</v>
      </c>
      <c r="G32" s="14">
        <f>IFERROR((VLOOKUP($A32,'[1]import success seats course'!$A:U,HLOOKUP('[1]Course Totals'!G$4,'[1]import success seats course'!$1:$2,2,FALSE),FALSE)/(VLOOKUP($A32,'[1]import graded seats course pivo'!$A:AE,HLOOKUP('[1]Course Totals'!G$4,'[1]import graded seats course pivo'!$1:$2,2,FALSE),FALSE))),"")</f>
        <v>0.96153846153846156</v>
      </c>
      <c r="H32" s="14" t="str">
        <f>IFERROR((VLOOKUP($A32,'[1]import success seats course'!$A:V,HLOOKUP('[1]Course Totals'!H$4,'[1]import success seats course'!$1:$2,2,FALSE),FALSE)/(VLOOKUP($A32,'[1]import graded seats course pivo'!$A:AF,HLOOKUP('[1]Course Totals'!H$4,'[1]import graded seats course pivo'!$1:$2,2,FALSE),FALSE))),"")</f>
        <v/>
      </c>
      <c r="I32" s="14">
        <f>IFERROR((VLOOKUP($A32,'[1]import success seats course'!$A:W,HLOOKUP('[1]Course Totals'!I$4,'[1]import success seats course'!$1:$2,2,FALSE),FALSE)/(VLOOKUP($A32,'[1]import graded seats course pivo'!$A:AG,HLOOKUP('[1]Course Totals'!I$4,'[1]import graded seats course pivo'!$1:$2,2,FALSE),FALSE))),"")</f>
        <v>0.96551724137931039</v>
      </c>
      <c r="J32" s="14">
        <f>IFERROR((VLOOKUP($A32,'[1]import success seats course'!$A:X,HLOOKUP('[1]Course Totals'!J$4,'[1]import success seats course'!$1:$2,2,FALSE),FALSE)/(VLOOKUP($A32,'[1]import graded seats course pivo'!$A:AH,HLOOKUP('[1]Course Totals'!J$4,'[1]import graded seats course pivo'!$1:$2,2,FALSE),FALSE))),"")</f>
        <v>0.93939393939393945</v>
      </c>
      <c r="K32" s="14" t="str">
        <f>IFERROR((VLOOKUP($A32,'[1]import success seats course'!$A:Y,HLOOKUP('[1]Course Totals'!K$4,'[1]import success seats course'!$1:$2,2,FALSE),FALSE)/(VLOOKUP($A32,'[1]import graded seats course pivo'!$A:AI,HLOOKUP('[1]Course Totals'!K$4,'[1]import graded seats course pivo'!$1:$2,2,FALSE),FALSE))),"")</f>
        <v/>
      </c>
      <c r="L32" s="14">
        <f>IFERROR((VLOOKUP($A32,'[1]import success seats course'!$A:Z,HLOOKUP('[1]Course Totals'!L$4,'[1]import success seats course'!$1:$2,2,FALSE),FALSE)/(VLOOKUP($A32,'[1]import graded seats course pivo'!$A:AJ,HLOOKUP('[1]Course Totals'!L$4,'[1]import graded seats course pivo'!$1:$2,2,FALSE),FALSE))),"")</f>
        <v>1</v>
      </c>
      <c r="M32" s="14">
        <f>IFERROR((VLOOKUP($A32,'[1]import success seats course'!$A:AA,HLOOKUP('[1]Course Totals'!M$4,'[1]import success seats course'!$1:$2,2,FALSE),FALSE)/(VLOOKUP($A32,'[1]import graded seats course pivo'!$A:AK,HLOOKUP('[1]Course Totals'!M$4,'[1]import graded seats course pivo'!$1:$2,2,FALSE),FALSE))),"")</f>
        <v>0.84</v>
      </c>
      <c r="N32" s="14" t="str">
        <f>IFERROR((VLOOKUP($A32,'[1]import success seats course'!$A:AB,HLOOKUP('[1]Course Totals'!N$4,'[1]import success seats course'!$1:$2,2,FALSE),FALSE)/(VLOOKUP($A32,'[1]import graded seats course pivo'!$A:AL,HLOOKUP('[1]Course Totals'!N$4,'[1]import graded seats course pivo'!$1:$2,2,FALSE),FALSE))),"")</f>
        <v/>
      </c>
      <c r="O32" s="14" t="str">
        <f>IFERROR((VLOOKUP($A32,'[1]import success seats course'!$A:AC,HLOOKUP('[1]Course Totals'!O$4,'[1]import success seats course'!$1:$2,2,FALSE),FALSE)/(VLOOKUP($A32,'[1]import graded seats course pivo'!$A:AM,HLOOKUP('[1]Course Totals'!O$4,'[1]import graded seats course pivo'!$1:$2,2,FALSE),FALSE))),"")</f>
        <v/>
      </c>
      <c r="P32" s="14" t="str">
        <f>IFERROR((VLOOKUP($A32,'[1]import success seats course'!$A:AD,HLOOKUP('[1]Course Totals'!P$4,'[1]import success seats course'!$1:$2,2,FALSE),FALSE)/(VLOOKUP($A32,'[1]import graded seats course pivo'!$A:AN,HLOOKUP('[1]Course Totals'!P$4,'[1]import graded seats course pivo'!$1:$2,2,FALSE),FALSE))),"")</f>
        <v/>
      </c>
      <c r="Q32" s="14" t="str">
        <f>IFERROR((VLOOKUP($A32,'[1]import success seats course'!$A:AE,HLOOKUP('[1]Course Totals'!Q$4,'[1]import success seats course'!$1:$2,2,FALSE),FALSE)/(VLOOKUP($A32,'[1]import graded seats course pivo'!$A:AO,HLOOKUP('[1]Course Totals'!Q$4,'[1]import graded seats course pivo'!$1:$2,2,FALSE),FALSE))),"")</f>
        <v/>
      </c>
      <c r="R32" s="14" t="str">
        <f>IFERROR((VLOOKUP($A32,'[1]import success seats course'!$A:AF,HLOOKUP('[1]Course Totals'!R$4,'[1]import success seats course'!$1:$2,2,FALSE),FALSE)/(VLOOKUP($A32,'[1]import graded seats course pivo'!$A:AP,HLOOKUP('[1]Course Totals'!R$4,'[1]import graded seats course pivo'!$1:$2,2,FALSE),FALSE))),"")</f>
        <v/>
      </c>
      <c r="S32" s="14" t="str">
        <f>IFERROR((VLOOKUP($A32,'[1]import success seats course'!$A:AG,HLOOKUP('[1]Course Totals'!S$4,'[1]import success seats course'!$1:$2,2,FALSE),FALSE)/(VLOOKUP($A32,'[1]import graded seats course pivo'!$A:AQ,HLOOKUP('[1]Course Totals'!S$4,'[1]import graded seats course pivo'!$1:$2,2,FALSE),FALSE))),"")</f>
        <v/>
      </c>
      <c r="Z32" s="7"/>
      <c r="AA32" s="7"/>
      <c r="AB32" s="7"/>
      <c r="AC32" s="7"/>
    </row>
    <row r="33" spans="1:29" x14ac:dyDescent="0.25">
      <c r="A33" s="12" t="s">
        <v>15</v>
      </c>
      <c r="B33" s="14" t="str">
        <f>IFERROR((VLOOKUP($A33,'[1]import success seats course'!$A:P,HLOOKUP('[1]Course Totals'!B$4,'[1]import success seats course'!$1:$2,2,FALSE),FALSE)/(VLOOKUP($A33,'[1]import graded seats course pivo'!$A:Z,HLOOKUP('[1]Course Totals'!B$4,'[1]import graded seats course pivo'!$1:$2,2,FALSE),FALSE))),"")</f>
        <v/>
      </c>
      <c r="C33" s="14">
        <f>IFERROR((VLOOKUP($A33,'[1]import success seats course'!$A:Q,HLOOKUP('[1]Course Totals'!C$4,'[1]import success seats course'!$1:$2,2,FALSE),FALSE)/(VLOOKUP($A33,'[1]import graded seats course pivo'!$A:AA,HLOOKUP('[1]Course Totals'!C$4,'[1]import graded seats course pivo'!$1:$2,2,FALSE),FALSE))),"")</f>
        <v>0.88235294117647056</v>
      </c>
      <c r="D33" s="14">
        <f>IFERROR((VLOOKUP($A33,'[1]import success seats course'!$A:R,HLOOKUP('[1]Course Totals'!D$4,'[1]import success seats course'!$1:$2,2,FALSE),FALSE)/(VLOOKUP($A33,'[1]import graded seats course pivo'!$A:AB,HLOOKUP('[1]Course Totals'!D$4,'[1]import graded seats course pivo'!$1:$2,2,FALSE),FALSE))),"")</f>
        <v>0.8571428571428571</v>
      </c>
      <c r="E33" s="14" t="str">
        <f>IFERROR((VLOOKUP($A33,'[1]import success seats course'!$A:S,HLOOKUP('[1]Course Totals'!E$4,'[1]import success seats course'!$1:$2,2,FALSE),FALSE)/(VLOOKUP($A33,'[1]import graded seats course pivo'!$A:AC,HLOOKUP('[1]Course Totals'!E$4,'[1]import graded seats course pivo'!$1:$2,2,FALSE),FALSE))),"")</f>
        <v/>
      </c>
      <c r="F33" s="14">
        <f>IFERROR((VLOOKUP($A33,'[1]import success seats course'!$A:T,HLOOKUP('[1]Course Totals'!F$4,'[1]import success seats course'!$1:$2,2,FALSE),FALSE)/(VLOOKUP($A33,'[1]import graded seats course pivo'!$A:AD,HLOOKUP('[1]Course Totals'!F$4,'[1]import graded seats course pivo'!$1:$2,2,FALSE),FALSE))),"")</f>
        <v>1</v>
      </c>
      <c r="G33" s="14">
        <f>IFERROR((VLOOKUP($A33,'[1]import success seats course'!$A:U,HLOOKUP('[1]Course Totals'!G$4,'[1]import success seats course'!$1:$2,2,FALSE),FALSE)/(VLOOKUP($A33,'[1]import graded seats course pivo'!$A:AE,HLOOKUP('[1]Course Totals'!G$4,'[1]import graded seats course pivo'!$1:$2,2,FALSE),FALSE))),"")</f>
        <v>1</v>
      </c>
      <c r="H33" s="14" t="str">
        <f>IFERROR((VLOOKUP($A33,'[1]import success seats course'!$A:V,HLOOKUP('[1]Course Totals'!H$4,'[1]import success seats course'!$1:$2,2,FALSE),FALSE)/(VLOOKUP($A33,'[1]import graded seats course pivo'!$A:AF,HLOOKUP('[1]Course Totals'!H$4,'[1]import graded seats course pivo'!$1:$2,2,FALSE),FALSE))),"")</f>
        <v/>
      </c>
      <c r="I33" s="14">
        <f>IFERROR((VLOOKUP($A33,'[1]import success seats course'!$A:W,HLOOKUP('[1]Course Totals'!I$4,'[1]import success seats course'!$1:$2,2,FALSE),FALSE)/(VLOOKUP($A33,'[1]import graded seats course pivo'!$A:AG,HLOOKUP('[1]Course Totals'!I$4,'[1]import graded seats course pivo'!$1:$2,2,FALSE),FALSE))),"")</f>
        <v>0.86206896551724133</v>
      </c>
      <c r="J33" s="14">
        <f>IFERROR((VLOOKUP($A33,'[1]import success seats course'!$A:X,HLOOKUP('[1]Course Totals'!J$4,'[1]import success seats course'!$1:$2,2,FALSE),FALSE)/(VLOOKUP($A33,'[1]import graded seats course pivo'!$A:AH,HLOOKUP('[1]Course Totals'!J$4,'[1]import graded seats course pivo'!$1:$2,2,FALSE),FALSE))),"")</f>
        <v>0.91666666666666663</v>
      </c>
      <c r="K33" s="14" t="str">
        <f>IFERROR((VLOOKUP($A33,'[1]import success seats course'!$A:Y,HLOOKUP('[1]Course Totals'!K$4,'[1]import success seats course'!$1:$2,2,FALSE),FALSE)/(VLOOKUP($A33,'[1]import graded seats course pivo'!$A:AI,HLOOKUP('[1]Course Totals'!K$4,'[1]import graded seats course pivo'!$1:$2,2,FALSE),FALSE))),"")</f>
        <v/>
      </c>
      <c r="L33" s="14">
        <f>IFERROR((VLOOKUP($A33,'[1]import success seats course'!$A:Z,HLOOKUP('[1]Course Totals'!L$4,'[1]import success seats course'!$1:$2,2,FALSE),FALSE)/(VLOOKUP($A33,'[1]import graded seats course pivo'!$A:AJ,HLOOKUP('[1]Course Totals'!L$4,'[1]import graded seats course pivo'!$1:$2,2,FALSE),FALSE))),"")</f>
        <v>0.96</v>
      </c>
      <c r="M33" s="14">
        <f>IFERROR((VLOOKUP($A33,'[1]import success seats course'!$A:AA,HLOOKUP('[1]Course Totals'!M$4,'[1]import success seats course'!$1:$2,2,FALSE),FALSE)/(VLOOKUP($A33,'[1]import graded seats course pivo'!$A:AK,HLOOKUP('[1]Course Totals'!M$4,'[1]import graded seats course pivo'!$1:$2,2,FALSE),FALSE))),"")</f>
        <v>0.95454545454545459</v>
      </c>
      <c r="N33" s="14" t="str">
        <f>IFERROR((VLOOKUP($A33,'[1]import success seats course'!$A:AB,HLOOKUP('[1]Course Totals'!N$4,'[1]import success seats course'!$1:$2,2,FALSE),FALSE)/(VLOOKUP($A33,'[1]import graded seats course pivo'!$A:AL,HLOOKUP('[1]Course Totals'!N$4,'[1]import graded seats course pivo'!$1:$2,2,FALSE),FALSE))),"")</f>
        <v/>
      </c>
      <c r="O33" s="14" t="str">
        <f>IFERROR((VLOOKUP($A33,'[1]import success seats course'!$A:AC,HLOOKUP('[1]Course Totals'!O$4,'[1]import success seats course'!$1:$2,2,FALSE),FALSE)/(VLOOKUP($A33,'[1]import graded seats course pivo'!$A:AM,HLOOKUP('[1]Course Totals'!O$4,'[1]import graded seats course pivo'!$1:$2,2,FALSE),FALSE))),"")</f>
        <v/>
      </c>
      <c r="P33" s="14" t="str">
        <f>IFERROR((VLOOKUP($A33,'[1]import success seats course'!$A:AD,HLOOKUP('[1]Course Totals'!P$4,'[1]import success seats course'!$1:$2,2,FALSE),FALSE)/(VLOOKUP($A33,'[1]import graded seats course pivo'!$A:AN,HLOOKUP('[1]Course Totals'!P$4,'[1]import graded seats course pivo'!$1:$2,2,FALSE),FALSE))),"")</f>
        <v/>
      </c>
      <c r="Q33" s="14" t="str">
        <f>IFERROR((VLOOKUP($A33,'[1]import success seats course'!$A:AE,HLOOKUP('[1]Course Totals'!Q$4,'[1]import success seats course'!$1:$2,2,FALSE),FALSE)/(VLOOKUP($A33,'[1]import graded seats course pivo'!$A:AO,HLOOKUP('[1]Course Totals'!Q$4,'[1]import graded seats course pivo'!$1:$2,2,FALSE),FALSE))),"")</f>
        <v/>
      </c>
      <c r="R33" s="14" t="str">
        <f>IFERROR((VLOOKUP($A33,'[1]import success seats course'!$A:AF,HLOOKUP('[1]Course Totals'!R$4,'[1]import success seats course'!$1:$2,2,FALSE),FALSE)/(VLOOKUP($A33,'[1]import graded seats course pivo'!$A:AP,HLOOKUP('[1]Course Totals'!R$4,'[1]import graded seats course pivo'!$1:$2,2,FALSE),FALSE))),"")</f>
        <v/>
      </c>
      <c r="S33" s="14" t="str">
        <f>IFERROR((VLOOKUP($A33,'[1]import success seats course'!$A:AG,HLOOKUP('[1]Course Totals'!S$4,'[1]import success seats course'!$1:$2,2,FALSE),FALSE)/(VLOOKUP($A33,'[1]import graded seats course pivo'!$A:AQ,HLOOKUP('[1]Course Totals'!S$4,'[1]import graded seats course pivo'!$1:$2,2,FALSE),FALSE))),"")</f>
        <v/>
      </c>
      <c r="Z33" s="7"/>
      <c r="AA33" s="7"/>
      <c r="AB33" s="7"/>
      <c r="AC33" s="7"/>
    </row>
    <row r="34" spans="1:29" x14ac:dyDescent="0.25">
      <c r="A34" s="12" t="s">
        <v>549</v>
      </c>
      <c r="B34" s="14" t="str">
        <f>IFERROR((VLOOKUP($A34,'[1]import success seats course'!$A:P,HLOOKUP('[1]Course Totals'!B$4,'[1]import success seats course'!$1:$2,2,FALSE),FALSE)/(VLOOKUP($A34,'[1]import graded seats course pivo'!$A:Z,HLOOKUP('[1]Course Totals'!B$4,'[1]import graded seats course pivo'!$1:$2,2,FALSE),FALSE))),"")</f>
        <v/>
      </c>
      <c r="C34" s="14" t="str">
        <f>IFERROR((VLOOKUP($A34,'[1]import success seats course'!$A:Q,HLOOKUP('[1]Course Totals'!C$4,'[1]import success seats course'!$1:$2,2,FALSE),FALSE)/(VLOOKUP($A34,'[1]import graded seats course pivo'!$A:AA,HLOOKUP('[1]Course Totals'!C$4,'[1]import graded seats course pivo'!$1:$2,2,FALSE),FALSE))),"")</f>
        <v/>
      </c>
      <c r="D34" s="14" t="str">
        <f>IFERROR((VLOOKUP($A34,'[1]import success seats course'!$A:R,HLOOKUP('[1]Course Totals'!D$4,'[1]import success seats course'!$1:$2,2,FALSE),FALSE)/(VLOOKUP($A34,'[1]import graded seats course pivo'!$A:AB,HLOOKUP('[1]Course Totals'!D$4,'[1]import graded seats course pivo'!$1:$2,2,FALSE),FALSE))),"")</f>
        <v/>
      </c>
      <c r="E34" s="14" t="str">
        <f>IFERROR((VLOOKUP($A34,'[1]import success seats course'!$A:S,HLOOKUP('[1]Course Totals'!E$4,'[1]import success seats course'!$1:$2,2,FALSE),FALSE)/(VLOOKUP($A34,'[1]import graded seats course pivo'!$A:AC,HLOOKUP('[1]Course Totals'!E$4,'[1]import graded seats course pivo'!$1:$2,2,FALSE),FALSE))),"")</f>
        <v/>
      </c>
      <c r="F34" s="14">
        <f>IFERROR((VLOOKUP($A34,'[1]import success seats course'!$A:T,HLOOKUP('[1]Course Totals'!F$4,'[1]import success seats course'!$1:$2,2,FALSE),FALSE)/(VLOOKUP($A34,'[1]import graded seats course pivo'!$A:AD,HLOOKUP('[1]Course Totals'!F$4,'[1]import graded seats course pivo'!$1:$2,2,FALSE),FALSE))),"")</f>
        <v>0.8125</v>
      </c>
      <c r="G34" s="14">
        <f>IFERROR((VLOOKUP($A34,'[1]import success seats course'!$A:U,HLOOKUP('[1]Course Totals'!G$4,'[1]import success seats course'!$1:$2,2,FALSE),FALSE)/(VLOOKUP($A34,'[1]import graded seats course pivo'!$A:AE,HLOOKUP('[1]Course Totals'!G$4,'[1]import graded seats course pivo'!$1:$2,2,FALSE),FALSE))),"")</f>
        <v>0.96666666666666667</v>
      </c>
      <c r="H34" s="14" t="str">
        <f>IFERROR((VLOOKUP($A34,'[1]import success seats course'!$A:V,HLOOKUP('[1]Course Totals'!H$4,'[1]import success seats course'!$1:$2,2,FALSE),FALSE)/(VLOOKUP($A34,'[1]import graded seats course pivo'!$A:AF,HLOOKUP('[1]Course Totals'!H$4,'[1]import graded seats course pivo'!$1:$2,2,FALSE),FALSE))),"")</f>
        <v/>
      </c>
      <c r="I34" s="14">
        <f>IFERROR((VLOOKUP($A34,'[1]import success seats course'!$A:W,HLOOKUP('[1]Course Totals'!I$4,'[1]import success seats course'!$1:$2,2,FALSE),FALSE)/(VLOOKUP($A34,'[1]import graded seats course pivo'!$A:AG,HLOOKUP('[1]Course Totals'!I$4,'[1]import graded seats course pivo'!$1:$2,2,FALSE),FALSE))),"")</f>
        <v>0.91304347826086951</v>
      </c>
      <c r="J34" s="14">
        <f>IFERROR((VLOOKUP($A34,'[1]import success seats course'!$A:X,HLOOKUP('[1]Course Totals'!J$4,'[1]import success seats course'!$1:$2,2,FALSE),FALSE)/(VLOOKUP($A34,'[1]import graded seats course pivo'!$A:AH,HLOOKUP('[1]Course Totals'!J$4,'[1]import graded seats course pivo'!$1:$2,2,FALSE),FALSE))),"")</f>
        <v>1</v>
      </c>
      <c r="K34" s="14" t="str">
        <f>IFERROR((VLOOKUP($A34,'[1]import success seats course'!$A:Y,HLOOKUP('[1]Course Totals'!K$4,'[1]import success seats course'!$1:$2,2,FALSE),FALSE)/(VLOOKUP($A34,'[1]import graded seats course pivo'!$A:AI,HLOOKUP('[1]Course Totals'!K$4,'[1]import graded seats course pivo'!$1:$2,2,FALSE),FALSE))),"")</f>
        <v/>
      </c>
      <c r="L34" s="14">
        <f>IFERROR((VLOOKUP($A34,'[1]import success seats course'!$A:Z,HLOOKUP('[1]Course Totals'!L$4,'[1]import success seats course'!$1:$2,2,FALSE),FALSE)/(VLOOKUP($A34,'[1]import graded seats course pivo'!$A:AJ,HLOOKUP('[1]Course Totals'!L$4,'[1]import graded seats course pivo'!$1:$2,2,FALSE),FALSE))),"")</f>
        <v>0.95652173913043481</v>
      </c>
      <c r="M34" s="14">
        <f>IFERROR((VLOOKUP($A34,'[1]import success seats course'!$A:AA,HLOOKUP('[1]Course Totals'!M$4,'[1]import success seats course'!$1:$2,2,FALSE),FALSE)/(VLOOKUP($A34,'[1]import graded seats course pivo'!$A:AK,HLOOKUP('[1]Course Totals'!M$4,'[1]import graded seats course pivo'!$1:$2,2,FALSE),FALSE))),"")</f>
        <v>0.92</v>
      </c>
      <c r="N34" s="14" t="str">
        <f>IFERROR((VLOOKUP($A34,'[1]import success seats course'!$A:AB,HLOOKUP('[1]Course Totals'!N$4,'[1]import success seats course'!$1:$2,2,FALSE),FALSE)/(VLOOKUP($A34,'[1]import graded seats course pivo'!$A:AL,HLOOKUP('[1]Course Totals'!N$4,'[1]import graded seats course pivo'!$1:$2,2,FALSE),FALSE))),"")</f>
        <v/>
      </c>
      <c r="O34" s="14" t="str">
        <f>IFERROR((VLOOKUP($A34,'[1]import success seats course'!$A:AC,HLOOKUP('[1]Course Totals'!O$4,'[1]import success seats course'!$1:$2,2,FALSE),FALSE)/(VLOOKUP($A34,'[1]import graded seats course pivo'!$A:AM,HLOOKUP('[1]Course Totals'!O$4,'[1]import graded seats course pivo'!$1:$2,2,FALSE),FALSE))),"")</f>
        <v/>
      </c>
      <c r="P34" s="14" t="str">
        <f>IFERROR((VLOOKUP($A34,'[1]import success seats course'!$A:AD,HLOOKUP('[1]Course Totals'!P$4,'[1]import success seats course'!$1:$2,2,FALSE),FALSE)/(VLOOKUP($A34,'[1]import graded seats course pivo'!$A:AN,HLOOKUP('[1]Course Totals'!P$4,'[1]import graded seats course pivo'!$1:$2,2,FALSE),FALSE))),"")</f>
        <v/>
      </c>
      <c r="Q34" s="14" t="str">
        <f>IFERROR((VLOOKUP($A34,'[1]import success seats course'!$A:AE,HLOOKUP('[1]Course Totals'!Q$4,'[1]import success seats course'!$1:$2,2,FALSE),FALSE)/(VLOOKUP($A34,'[1]import graded seats course pivo'!$A:AO,HLOOKUP('[1]Course Totals'!Q$4,'[1]import graded seats course pivo'!$1:$2,2,FALSE),FALSE))),"")</f>
        <v/>
      </c>
      <c r="R34" s="14" t="str">
        <f>IFERROR((VLOOKUP($A34,'[1]import success seats course'!$A:AF,HLOOKUP('[1]Course Totals'!R$4,'[1]import success seats course'!$1:$2,2,FALSE),FALSE)/(VLOOKUP($A34,'[1]import graded seats course pivo'!$A:AP,HLOOKUP('[1]Course Totals'!R$4,'[1]import graded seats course pivo'!$1:$2,2,FALSE),FALSE))),"")</f>
        <v/>
      </c>
      <c r="S34" s="14" t="str">
        <f>IFERROR((VLOOKUP($A34,'[1]import success seats course'!$A:AG,HLOOKUP('[1]Course Totals'!S$4,'[1]import success seats course'!$1:$2,2,FALSE),FALSE)/(VLOOKUP($A34,'[1]import graded seats course pivo'!$A:AQ,HLOOKUP('[1]Course Totals'!S$4,'[1]import graded seats course pivo'!$1:$2,2,FALSE),FALSE))),"")</f>
        <v/>
      </c>
      <c r="Z34" s="7"/>
      <c r="AA34" s="7"/>
      <c r="AB34" s="7"/>
      <c r="AC34" s="7"/>
    </row>
    <row r="35" spans="1:29" x14ac:dyDescent="0.25">
      <c r="A35" s="12" t="s">
        <v>16</v>
      </c>
      <c r="B35" s="14" t="str">
        <f>IFERROR((VLOOKUP($A35,'[1]import success seats course'!$A:P,HLOOKUP('[1]Course Totals'!B$4,'[1]import success seats course'!$1:$2,2,FALSE),FALSE)/(VLOOKUP($A35,'[1]import graded seats course pivo'!$A:Z,HLOOKUP('[1]Course Totals'!B$4,'[1]import graded seats course pivo'!$1:$2,2,FALSE),FALSE))),"")</f>
        <v/>
      </c>
      <c r="C35" s="14">
        <f>IFERROR((VLOOKUP($A35,'[1]import success seats course'!$A:Q,HLOOKUP('[1]Course Totals'!C$4,'[1]import success seats course'!$1:$2,2,FALSE),FALSE)/(VLOOKUP($A35,'[1]import graded seats course pivo'!$A:AA,HLOOKUP('[1]Course Totals'!C$4,'[1]import graded seats course pivo'!$1:$2,2,FALSE),FALSE))),"")</f>
        <v>0.85964912280701755</v>
      </c>
      <c r="D35" s="14">
        <f>IFERROR((VLOOKUP($A35,'[1]import success seats course'!$A:R,HLOOKUP('[1]Course Totals'!D$4,'[1]import success seats course'!$1:$2,2,FALSE),FALSE)/(VLOOKUP($A35,'[1]import graded seats course pivo'!$A:AB,HLOOKUP('[1]Course Totals'!D$4,'[1]import graded seats course pivo'!$1:$2,2,FALSE),FALSE))),"")</f>
        <v>1</v>
      </c>
      <c r="E35" s="14" t="str">
        <f>IFERROR((VLOOKUP($A35,'[1]import success seats course'!$A:S,HLOOKUP('[1]Course Totals'!E$4,'[1]import success seats course'!$1:$2,2,FALSE),FALSE)/(VLOOKUP($A35,'[1]import graded seats course pivo'!$A:AC,HLOOKUP('[1]Course Totals'!E$4,'[1]import graded seats course pivo'!$1:$2,2,FALSE),FALSE))),"")</f>
        <v/>
      </c>
      <c r="F35" s="14">
        <f>IFERROR((VLOOKUP($A35,'[1]import success seats course'!$A:T,HLOOKUP('[1]Course Totals'!F$4,'[1]import success seats course'!$1:$2,2,FALSE),FALSE)/(VLOOKUP($A35,'[1]import graded seats course pivo'!$A:AD,HLOOKUP('[1]Course Totals'!F$4,'[1]import graded seats course pivo'!$1:$2,2,FALSE),FALSE))),"")</f>
        <v>0.77419354838709675</v>
      </c>
      <c r="G35" s="14">
        <f>IFERROR((VLOOKUP($A35,'[1]import success seats course'!$A:U,HLOOKUP('[1]Course Totals'!G$4,'[1]import success seats course'!$1:$2,2,FALSE),FALSE)/(VLOOKUP($A35,'[1]import graded seats course pivo'!$A:AE,HLOOKUP('[1]Course Totals'!G$4,'[1]import graded seats course pivo'!$1:$2,2,FALSE),FALSE))),"")</f>
        <v>0.70833333333333337</v>
      </c>
      <c r="H35" s="14" t="str">
        <f>IFERROR((VLOOKUP($A35,'[1]import success seats course'!$A:V,HLOOKUP('[1]Course Totals'!H$4,'[1]import success seats course'!$1:$2,2,FALSE),FALSE)/(VLOOKUP($A35,'[1]import graded seats course pivo'!$A:AF,HLOOKUP('[1]Course Totals'!H$4,'[1]import graded seats course pivo'!$1:$2,2,FALSE),FALSE))),"")</f>
        <v/>
      </c>
      <c r="I35" s="14">
        <f>IFERROR((VLOOKUP($A35,'[1]import success seats course'!$A:W,HLOOKUP('[1]Course Totals'!I$4,'[1]import success seats course'!$1:$2,2,FALSE),FALSE)/(VLOOKUP($A35,'[1]import graded seats course pivo'!$A:AG,HLOOKUP('[1]Course Totals'!I$4,'[1]import graded seats course pivo'!$1:$2,2,FALSE),FALSE))),"")</f>
        <v>0.88461538461538458</v>
      </c>
      <c r="J35" s="14">
        <f>IFERROR((VLOOKUP($A35,'[1]import success seats course'!$A:X,HLOOKUP('[1]Course Totals'!J$4,'[1]import success seats course'!$1:$2,2,FALSE),FALSE)/(VLOOKUP($A35,'[1]import graded seats course pivo'!$A:AH,HLOOKUP('[1]Course Totals'!J$4,'[1]import graded seats course pivo'!$1:$2,2,FALSE),FALSE))),"")</f>
        <v>0.66666666666666663</v>
      </c>
      <c r="K35" s="14">
        <f>IFERROR((VLOOKUP($A35,'[1]import success seats course'!$A:Y,HLOOKUP('[1]Course Totals'!K$4,'[1]import success seats course'!$1:$2,2,FALSE),FALSE)/(VLOOKUP($A35,'[1]import graded seats course pivo'!$A:AI,HLOOKUP('[1]Course Totals'!K$4,'[1]import graded seats course pivo'!$1:$2,2,FALSE),FALSE))),"")</f>
        <v>0.92</v>
      </c>
      <c r="L35" s="14">
        <f>IFERROR((VLOOKUP($A35,'[1]import success seats course'!$A:Z,HLOOKUP('[1]Course Totals'!L$4,'[1]import success seats course'!$1:$2,2,FALSE),FALSE)/(VLOOKUP($A35,'[1]import graded seats course pivo'!$A:AJ,HLOOKUP('[1]Course Totals'!L$4,'[1]import graded seats course pivo'!$1:$2,2,FALSE),FALSE))),"")</f>
        <v>0.84</v>
      </c>
      <c r="M35" s="14">
        <f>IFERROR((VLOOKUP($A35,'[1]import success seats course'!$A:AA,HLOOKUP('[1]Course Totals'!M$4,'[1]import success seats course'!$1:$2,2,FALSE),FALSE)/(VLOOKUP($A35,'[1]import graded seats course pivo'!$A:AK,HLOOKUP('[1]Course Totals'!M$4,'[1]import graded seats course pivo'!$1:$2,2,FALSE),FALSE))),"")</f>
        <v>0.8</v>
      </c>
      <c r="N35" s="14" t="str">
        <f>IFERROR((VLOOKUP($A35,'[1]import success seats course'!$A:AB,HLOOKUP('[1]Course Totals'!N$4,'[1]import success seats course'!$1:$2,2,FALSE),FALSE)/(VLOOKUP($A35,'[1]import graded seats course pivo'!$A:AL,HLOOKUP('[1]Course Totals'!N$4,'[1]import graded seats course pivo'!$1:$2,2,FALSE),FALSE))),"")</f>
        <v/>
      </c>
      <c r="O35" s="14" t="str">
        <f>IFERROR((VLOOKUP($A35,'[1]import success seats course'!$A:AC,HLOOKUP('[1]Course Totals'!O$4,'[1]import success seats course'!$1:$2,2,FALSE),FALSE)/(VLOOKUP($A35,'[1]import graded seats course pivo'!$A:AM,HLOOKUP('[1]Course Totals'!O$4,'[1]import graded seats course pivo'!$1:$2,2,FALSE),FALSE))),"")</f>
        <v/>
      </c>
      <c r="P35" s="14" t="str">
        <f>IFERROR((VLOOKUP($A35,'[1]import success seats course'!$A:AD,HLOOKUP('[1]Course Totals'!P$4,'[1]import success seats course'!$1:$2,2,FALSE),FALSE)/(VLOOKUP($A35,'[1]import graded seats course pivo'!$A:AN,HLOOKUP('[1]Course Totals'!P$4,'[1]import graded seats course pivo'!$1:$2,2,FALSE),FALSE))),"")</f>
        <v/>
      </c>
      <c r="Q35" s="14" t="str">
        <f>IFERROR((VLOOKUP($A35,'[1]import success seats course'!$A:AE,HLOOKUP('[1]Course Totals'!Q$4,'[1]import success seats course'!$1:$2,2,FALSE),FALSE)/(VLOOKUP($A35,'[1]import graded seats course pivo'!$A:AO,HLOOKUP('[1]Course Totals'!Q$4,'[1]import graded seats course pivo'!$1:$2,2,FALSE),FALSE))),"")</f>
        <v/>
      </c>
      <c r="R35" s="14" t="str">
        <f>IFERROR((VLOOKUP($A35,'[1]import success seats course'!$A:AF,HLOOKUP('[1]Course Totals'!R$4,'[1]import success seats course'!$1:$2,2,FALSE),FALSE)/(VLOOKUP($A35,'[1]import graded seats course pivo'!$A:AP,HLOOKUP('[1]Course Totals'!R$4,'[1]import graded seats course pivo'!$1:$2,2,FALSE),FALSE))),"")</f>
        <v/>
      </c>
      <c r="S35" s="14" t="str">
        <f>IFERROR((VLOOKUP($A35,'[1]import success seats course'!$A:AG,HLOOKUP('[1]Course Totals'!S$4,'[1]import success seats course'!$1:$2,2,FALSE),FALSE)/(VLOOKUP($A35,'[1]import graded seats course pivo'!$A:AQ,HLOOKUP('[1]Course Totals'!S$4,'[1]import graded seats course pivo'!$1:$2,2,FALSE),FALSE))),"")</f>
        <v/>
      </c>
      <c r="Z35" s="7"/>
      <c r="AA35" s="7"/>
      <c r="AB35" s="7"/>
      <c r="AC35" s="7"/>
    </row>
    <row r="36" spans="1:29" x14ac:dyDescent="0.25">
      <c r="A36" s="12" t="s">
        <v>17</v>
      </c>
      <c r="B36" s="14">
        <f>IFERROR((VLOOKUP($A36,'[1]import success seats course'!$A:P,HLOOKUP('[1]Course Totals'!B$4,'[1]import success seats course'!$1:$2,2,FALSE),FALSE)/(VLOOKUP($A36,'[1]import graded seats course pivo'!$A:Z,HLOOKUP('[1]Course Totals'!B$4,'[1]import graded seats course pivo'!$1:$2,2,FALSE),FALSE))),"")</f>
        <v>0.84615384615384615</v>
      </c>
      <c r="C36" s="14">
        <f>IFERROR((VLOOKUP($A36,'[1]import success seats course'!$A:Q,HLOOKUP('[1]Course Totals'!C$4,'[1]import success seats course'!$1:$2,2,FALSE),FALSE)/(VLOOKUP($A36,'[1]import graded seats course pivo'!$A:AA,HLOOKUP('[1]Course Totals'!C$4,'[1]import graded seats course pivo'!$1:$2,2,FALSE),FALSE))),"")</f>
        <v>0.84090909090909094</v>
      </c>
      <c r="D36" s="14">
        <f>IFERROR((VLOOKUP($A36,'[1]import success seats course'!$A:R,HLOOKUP('[1]Course Totals'!D$4,'[1]import success seats course'!$1:$2,2,FALSE),FALSE)/(VLOOKUP($A36,'[1]import graded seats course pivo'!$A:AB,HLOOKUP('[1]Course Totals'!D$4,'[1]import graded seats course pivo'!$1:$2,2,FALSE),FALSE))),"")</f>
        <v>0.82828282828282829</v>
      </c>
      <c r="E36" s="14">
        <f>IFERROR((VLOOKUP($A36,'[1]import success seats course'!$A:S,HLOOKUP('[1]Course Totals'!E$4,'[1]import success seats course'!$1:$2,2,FALSE),FALSE)/(VLOOKUP($A36,'[1]import graded seats course pivo'!$A:AC,HLOOKUP('[1]Course Totals'!E$4,'[1]import graded seats course pivo'!$1:$2,2,FALSE),FALSE))),"")</f>
        <v>0.84210526315789469</v>
      </c>
      <c r="F36" s="14">
        <f>IFERROR((VLOOKUP($A36,'[1]import success seats course'!$A:T,HLOOKUP('[1]Course Totals'!F$4,'[1]import success seats course'!$1:$2,2,FALSE),FALSE)/(VLOOKUP($A36,'[1]import graded seats course pivo'!$A:AD,HLOOKUP('[1]Course Totals'!F$4,'[1]import graded seats course pivo'!$1:$2,2,FALSE),FALSE))),"")</f>
        <v>0.70588235294117652</v>
      </c>
      <c r="G36" s="14">
        <f>IFERROR((VLOOKUP($A36,'[1]import success seats course'!$A:U,HLOOKUP('[1]Course Totals'!G$4,'[1]import success seats course'!$1:$2,2,FALSE),FALSE)/(VLOOKUP($A36,'[1]import graded seats course pivo'!$A:AE,HLOOKUP('[1]Course Totals'!G$4,'[1]import graded seats course pivo'!$1:$2,2,FALSE),FALSE))),"")</f>
        <v>0.76315789473684215</v>
      </c>
      <c r="H36" s="14" t="str">
        <f>IFERROR((VLOOKUP($A36,'[1]import success seats course'!$A:V,HLOOKUP('[1]Course Totals'!H$4,'[1]import success seats course'!$1:$2,2,FALSE),FALSE)/(VLOOKUP($A36,'[1]import graded seats course pivo'!$A:AF,HLOOKUP('[1]Course Totals'!H$4,'[1]import graded seats course pivo'!$1:$2,2,FALSE),FALSE))),"")</f>
        <v/>
      </c>
      <c r="I36" s="14">
        <f>IFERROR((VLOOKUP($A36,'[1]import success seats course'!$A:W,HLOOKUP('[1]Course Totals'!I$4,'[1]import success seats course'!$1:$2,2,FALSE),FALSE)/(VLOOKUP($A36,'[1]import graded seats course pivo'!$A:AG,HLOOKUP('[1]Course Totals'!I$4,'[1]import graded seats course pivo'!$1:$2,2,FALSE),FALSE))),"")</f>
        <v>0.7192982456140351</v>
      </c>
      <c r="J36" s="14">
        <f>IFERROR((VLOOKUP($A36,'[1]import success seats course'!$A:X,HLOOKUP('[1]Course Totals'!J$4,'[1]import success seats course'!$1:$2,2,FALSE),FALSE)/(VLOOKUP($A36,'[1]import graded seats course pivo'!$A:AH,HLOOKUP('[1]Course Totals'!J$4,'[1]import graded seats course pivo'!$1:$2,2,FALSE),FALSE))),"")</f>
        <v>0.97674418604651159</v>
      </c>
      <c r="K36" s="14">
        <f>IFERROR((VLOOKUP($A36,'[1]import success seats course'!$A:Y,HLOOKUP('[1]Course Totals'!K$4,'[1]import success seats course'!$1:$2,2,FALSE),FALSE)/(VLOOKUP($A36,'[1]import graded seats course pivo'!$A:AI,HLOOKUP('[1]Course Totals'!K$4,'[1]import graded seats course pivo'!$1:$2,2,FALSE),FALSE))),"")</f>
        <v>1</v>
      </c>
      <c r="L36" s="14">
        <f>IFERROR((VLOOKUP($A36,'[1]import success seats course'!$A:Z,HLOOKUP('[1]Course Totals'!L$4,'[1]import success seats course'!$1:$2,2,FALSE),FALSE)/(VLOOKUP($A36,'[1]import graded seats course pivo'!$A:AJ,HLOOKUP('[1]Course Totals'!L$4,'[1]import graded seats course pivo'!$1:$2,2,FALSE),FALSE))),"")</f>
        <v>0.86363636363636365</v>
      </c>
      <c r="M36" s="14">
        <f>IFERROR((VLOOKUP($A36,'[1]import success seats course'!$A:AA,HLOOKUP('[1]Course Totals'!M$4,'[1]import success seats course'!$1:$2,2,FALSE),FALSE)/(VLOOKUP($A36,'[1]import graded seats course pivo'!$A:AK,HLOOKUP('[1]Course Totals'!M$4,'[1]import graded seats course pivo'!$1:$2,2,FALSE),FALSE))),"")</f>
        <v>0.81481481481481477</v>
      </c>
      <c r="N36" s="14" t="str">
        <f>IFERROR((VLOOKUP($A36,'[1]import success seats course'!$A:AB,HLOOKUP('[1]Course Totals'!N$4,'[1]import success seats course'!$1:$2,2,FALSE),FALSE)/(VLOOKUP($A36,'[1]import graded seats course pivo'!$A:AL,HLOOKUP('[1]Course Totals'!N$4,'[1]import graded seats course pivo'!$1:$2,2,FALSE),FALSE))),"")</f>
        <v/>
      </c>
      <c r="O36" s="14">
        <f>IFERROR((VLOOKUP($A36,'[1]import success seats course'!$A:AC,HLOOKUP('[1]Course Totals'!O$4,'[1]import success seats course'!$1:$2,2,FALSE),FALSE)/(VLOOKUP($A36,'[1]import graded seats course pivo'!$A:AM,HLOOKUP('[1]Course Totals'!O$4,'[1]import graded seats course pivo'!$1:$2,2,FALSE),FALSE))),"")</f>
        <v>0.875</v>
      </c>
      <c r="P36" s="14">
        <f>IFERROR((VLOOKUP($A36,'[1]import success seats course'!$A:AD,HLOOKUP('[1]Course Totals'!P$4,'[1]import success seats course'!$1:$2,2,FALSE),FALSE)/(VLOOKUP($A36,'[1]import graded seats course pivo'!$A:AN,HLOOKUP('[1]Course Totals'!P$4,'[1]import graded seats course pivo'!$1:$2,2,FALSE),FALSE))),"")</f>
        <v>0.9</v>
      </c>
      <c r="Q36" s="14" t="str">
        <f>IFERROR((VLOOKUP($A36,'[1]import success seats course'!$A:AE,HLOOKUP('[1]Course Totals'!Q$4,'[1]import success seats course'!$1:$2,2,FALSE),FALSE)/(VLOOKUP($A36,'[1]import graded seats course pivo'!$A:AO,HLOOKUP('[1]Course Totals'!Q$4,'[1]import graded seats course pivo'!$1:$2,2,FALSE),FALSE))),"")</f>
        <v/>
      </c>
      <c r="R36" s="14" t="str">
        <f>IFERROR((VLOOKUP($A36,'[1]import success seats course'!$A:AF,HLOOKUP('[1]Course Totals'!R$4,'[1]import success seats course'!$1:$2,2,FALSE),FALSE)/(VLOOKUP($A36,'[1]import graded seats course pivo'!$A:AP,HLOOKUP('[1]Course Totals'!R$4,'[1]import graded seats course pivo'!$1:$2,2,FALSE),FALSE))),"")</f>
        <v/>
      </c>
      <c r="S36" s="14" t="str">
        <f>IFERROR((VLOOKUP($A36,'[1]import success seats course'!$A:AG,HLOOKUP('[1]Course Totals'!S$4,'[1]import success seats course'!$1:$2,2,FALSE),FALSE)/(VLOOKUP($A36,'[1]import graded seats course pivo'!$A:AQ,HLOOKUP('[1]Course Totals'!S$4,'[1]import graded seats course pivo'!$1:$2,2,FALSE),FALSE))),"")</f>
        <v/>
      </c>
      <c r="Z36" s="7"/>
      <c r="AA36" s="7"/>
      <c r="AB36" s="7"/>
      <c r="AC36" s="7"/>
    </row>
    <row r="37" spans="1:29" x14ac:dyDescent="0.25">
      <c r="A37" s="12" t="s">
        <v>18</v>
      </c>
      <c r="B37" s="14">
        <f>IFERROR((VLOOKUP($A37,'[1]import success seats course'!$A:P,HLOOKUP('[1]Course Totals'!B$4,'[1]import success seats course'!$1:$2,2,FALSE),FALSE)/(VLOOKUP($A37,'[1]import graded seats course pivo'!$A:Z,HLOOKUP('[1]Course Totals'!B$4,'[1]import graded seats course pivo'!$1:$2,2,FALSE),FALSE))),"")</f>
        <v>0.97826086956521741</v>
      </c>
      <c r="C37" s="14">
        <f>IFERROR((VLOOKUP($A37,'[1]import success seats course'!$A:Q,HLOOKUP('[1]Course Totals'!C$4,'[1]import success seats course'!$1:$2,2,FALSE),FALSE)/(VLOOKUP($A37,'[1]import graded seats course pivo'!$A:AA,HLOOKUP('[1]Course Totals'!C$4,'[1]import graded seats course pivo'!$1:$2,2,FALSE),FALSE))),"")</f>
        <v>0.80555555555555558</v>
      </c>
      <c r="D37" s="14">
        <f>IFERROR((VLOOKUP($A37,'[1]import success seats course'!$A:R,HLOOKUP('[1]Course Totals'!D$4,'[1]import success seats course'!$1:$2,2,FALSE),FALSE)/(VLOOKUP($A37,'[1]import graded seats course pivo'!$A:AB,HLOOKUP('[1]Course Totals'!D$4,'[1]import graded seats course pivo'!$1:$2,2,FALSE),FALSE))),"")</f>
        <v>0.77297297297297296</v>
      </c>
      <c r="E37" s="14">
        <f>IFERROR((VLOOKUP($A37,'[1]import success seats course'!$A:S,HLOOKUP('[1]Course Totals'!E$4,'[1]import success seats course'!$1:$2,2,FALSE),FALSE)/(VLOOKUP($A37,'[1]import graded seats course pivo'!$A:AC,HLOOKUP('[1]Course Totals'!E$4,'[1]import graded seats course pivo'!$1:$2,2,FALSE),FALSE))),"")</f>
        <v>0.85365853658536583</v>
      </c>
      <c r="F37" s="14">
        <f>IFERROR((VLOOKUP($A37,'[1]import success seats course'!$A:T,HLOOKUP('[1]Course Totals'!F$4,'[1]import success seats course'!$1:$2,2,FALSE),FALSE)/(VLOOKUP($A37,'[1]import graded seats course pivo'!$A:AD,HLOOKUP('[1]Course Totals'!F$4,'[1]import graded seats course pivo'!$1:$2,2,FALSE),FALSE))),"")</f>
        <v>0.82089552238805974</v>
      </c>
      <c r="G37" s="14">
        <f>IFERROR((VLOOKUP($A37,'[1]import success seats course'!$A:U,HLOOKUP('[1]Course Totals'!G$4,'[1]import success seats course'!$1:$2,2,FALSE),FALSE)/(VLOOKUP($A37,'[1]import graded seats course pivo'!$A:AE,HLOOKUP('[1]Course Totals'!G$4,'[1]import graded seats course pivo'!$1:$2,2,FALSE),FALSE))),"")</f>
        <v>0.7696629213483146</v>
      </c>
      <c r="H37" s="14">
        <f>IFERROR((VLOOKUP($A37,'[1]import success seats course'!$A:V,HLOOKUP('[1]Course Totals'!H$4,'[1]import success seats course'!$1:$2,2,FALSE),FALSE)/(VLOOKUP($A37,'[1]import graded seats course pivo'!$A:AF,HLOOKUP('[1]Course Totals'!H$4,'[1]import graded seats course pivo'!$1:$2,2,FALSE),FALSE))),"")</f>
        <v>0.92</v>
      </c>
      <c r="I37" s="14">
        <f>IFERROR((VLOOKUP($A37,'[1]import success seats course'!$A:W,HLOOKUP('[1]Course Totals'!I$4,'[1]import success seats course'!$1:$2,2,FALSE),FALSE)/(VLOOKUP($A37,'[1]import graded seats course pivo'!$A:AG,HLOOKUP('[1]Course Totals'!I$4,'[1]import graded seats course pivo'!$1:$2,2,FALSE),FALSE))),"")</f>
        <v>0.81065088757396453</v>
      </c>
      <c r="J37" s="14">
        <f>IFERROR((VLOOKUP($A37,'[1]import success seats course'!$A:X,HLOOKUP('[1]Course Totals'!J$4,'[1]import success seats course'!$1:$2,2,FALSE),FALSE)/(VLOOKUP($A37,'[1]import graded seats course pivo'!$A:AH,HLOOKUP('[1]Course Totals'!J$4,'[1]import graded seats course pivo'!$1:$2,2,FALSE),FALSE))),"")</f>
        <v>0.84666666666666668</v>
      </c>
      <c r="K37" s="14">
        <f>IFERROR((VLOOKUP($A37,'[1]import success seats course'!$A:Y,HLOOKUP('[1]Course Totals'!K$4,'[1]import success seats course'!$1:$2,2,FALSE),FALSE)/(VLOOKUP($A37,'[1]import graded seats course pivo'!$A:AI,HLOOKUP('[1]Course Totals'!K$4,'[1]import graded seats course pivo'!$1:$2,2,FALSE),FALSE))),"")</f>
        <v>0.84848484848484851</v>
      </c>
      <c r="L37" s="14">
        <f>IFERROR((VLOOKUP($A37,'[1]import success seats course'!$A:Z,HLOOKUP('[1]Course Totals'!L$4,'[1]import success seats course'!$1:$2,2,FALSE),FALSE)/(VLOOKUP($A37,'[1]import graded seats course pivo'!$A:AJ,HLOOKUP('[1]Course Totals'!L$4,'[1]import graded seats course pivo'!$1:$2,2,FALSE),FALSE))),"")</f>
        <v>0.83225806451612905</v>
      </c>
      <c r="M37" s="14">
        <f>IFERROR((VLOOKUP($A37,'[1]import success seats course'!$A:AA,HLOOKUP('[1]Course Totals'!M$4,'[1]import success seats course'!$1:$2,2,FALSE),FALSE)/(VLOOKUP($A37,'[1]import graded seats course pivo'!$A:AK,HLOOKUP('[1]Course Totals'!M$4,'[1]import graded seats course pivo'!$1:$2,2,FALSE),FALSE))),"")</f>
        <v>0.79354838709677422</v>
      </c>
      <c r="N37" s="14" t="str">
        <f>IFERROR((VLOOKUP($A37,'[1]import success seats course'!$A:AB,HLOOKUP('[1]Course Totals'!N$4,'[1]import success seats course'!$1:$2,2,FALSE),FALSE)/(VLOOKUP($A37,'[1]import graded seats course pivo'!$A:AL,HLOOKUP('[1]Course Totals'!N$4,'[1]import graded seats course pivo'!$1:$2,2,FALSE),FALSE))),"")</f>
        <v/>
      </c>
      <c r="O37" s="14">
        <f>IFERROR((VLOOKUP($A37,'[1]import success seats course'!$A:AC,HLOOKUP('[1]Course Totals'!O$4,'[1]import success seats course'!$1:$2,2,FALSE),FALSE)/(VLOOKUP($A37,'[1]import graded seats course pivo'!$A:AM,HLOOKUP('[1]Course Totals'!O$4,'[1]import graded seats course pivo'!$1:$2,2,FALSE),FALSE))),"")</f>
        <v>0.84105960264900659</v>
      </c>
      <c r="P37" s="14">
        <f>IFERROR((VLOOKUP($A37,'[1]import success seats course'!$A:AD,HLOOKUP('[1]Course Totals'!P$4,'[1]import success seats course'!$1:$2,2,FALSE),FALSE)/(VLOOKUP($A37,'[1]import graded seats course pivo'!$A:AN,HLOOKUP('[1]Course Totals'!P$4,'[1]import graded seats course pivo'!$1:$2,2,FALSE),FALSE))),"")</f>
        <v>0.83443708609271527</v>
      </c>
      <c r="Q37" s="14">
        <f>IFERROR((VLOOKUP($A37,'[1]import success seats course'!$A:AE,HLOOKUP('[1]Course Totals'!Q$4,'[1]import success seats course'!$1:$2,2,FALSE),FALSE)/(VLOOKUP($A37,'[1]import graded seats course pivo'!$A:AO,HLOOKUP('[1]Course Totals'!Q$4,'[1]import graded seats course pivo'!$1:$2,2,FALSE),FALSE))),"")</f>
        <v>0.84</v>
      </c>
      <c r="R37" s="14">
        <f>IFERROR((VLOOKUP($A37,'[1]import success seats course'!$A:AF,HLOOKUP('[1]Course Totals'!R$4,'[1]import success seats course'!$1:$2,2,FALSE),FALSE)/(VLOOKUP($A37,'[1]import graded seats course pivo'!$A:AP,HLOOKUP('[1]Course Totals'!R$4,'[1]import graded seats course pivo'!$1:$2,2,FALSE),FALSE))),"")</f>
        <v>0.61788617886178865</v>
      </c>
      <c r="S37" s="14">
        <f>IFERROR((VLOOKUP($A37,'[1]import success seats course'!$A:AG,HLOOKUP('[1]Course Totals'!S$4,'[1]import success seats course'!$1:$2,2,FALSE),FALSE)/(VLOOKUP($A37,'[1]import graded seats course pivo'!$A:AQ,HLOOKUP('[1]Course Totals'!S$4,'[1]import graded seats course pivo'!$1:$2,2,FALSE),FALSE))),"")</f>
        <v>0.90625</v>
      </c>
      <c r="Z37" s="7"/>
      <c r="AA37" s="7"/>
      <c r="AB37" s="7"/>
      <c r="AC37" s="7"/>
    </row>
    <row r="38" spans="1:29" x14ac:dyDescent="0.25">
      <c r="A38" s="12" t="s">
        <v>19</v>
      </c>
      <c r="B38" s="14" t="str">
        <f>IFERROR((VLOOKUP($A38,'[1]import success seats course'!$A:P,HLOOKUP('[1]Course Totals'!B$4,'[1]import success seats course'!$1:$2,2,FALSE),FALSE)/(VLOOKUP($A38,'[1]import graded seats course pivo'!$A:Z,HLOOKUP('[1]Course Totals'!B$4,'[1]import graded seats course pivo'!$1:$2,2,FALSE),FALSE))),"")</f>
        <v/>
      </c>
      <c r="C38" s="14">
        <f>IFERROR((VLOOKUP($A38,'[1]import success seats course'!$A:Q,HLOOKUP('[1]Course Totals'!C$4,'[1]import success seats course'!$1:$2,2,FALSE),FALSE)/(VLOOKUP($A38,'[1]import graded seats course pivo'!$A:AA,HLOOKUP('[1]Course Totals'!C$4,'[1]import graded seats course pivo'!$1:$2,2,FALSE),FALSE))),"")</f>
        <v>0.77777777777777779</v>
      </c>
      <c r="D38" s="14">
        <f>IFERROR((VLOOKUP($A38,'[1]import success seats course'!$A:R,HLOOKUP('[1]Course Totals'!D$4,'[1]import success seats course'!$1:$2,2,FALSE),FALSE)/(VLOOKUP($A38,'[1]import graded seats course pivo'!$A:AB,HLOOKUP('[1]Course Totals'!D$4,'[1]import graded seats course pivo'!$1:$2,2,FALSE),FALSE))),"")</f>
        <v>0.8571428571428571</v>
      </c>
      <c r="E38" s="14" t="str">
        <f>IFERROR((VLOOKUP($A38,'[1]import success seats course'!$A:S,HLOOKUP('[1]Course Totals'!E$4,'[1]import success seats course'!$1:$2,2,FALSE),FALSE)/(VLOOKUP($A38,'[1]import graded seats course pivo'!$A:AC,HLOOKUP('[1]Course Totals'!E$4,'[1]import graded seats course pivo'!$1:$2,2,FALSE),FALSE))),"")</f>
        <v/>
      </c>
      <c r="F38" s="14" t="str">
        <f>IFERROR((VLOOKUP($A38,'[1]import success seats course'!$A:T,HLOOKUP('[1]Course Totals'!F$4,'[1]import success seats course'!$1:$2,2,FALSE),FALSE)/(VLOOKUP($A38,'[1]import graded seats course pivo'!$A:AD,HLOOKUP('[1]Course Totals'!F$4,'[1]import graded seats course pivo'!$1:$2,2,FALSE),FALSE))),"")</f>
        <v/>
      </c>
      <c r="G38" s="14" t="str">
        <f>IFERROR((VLOOKUP($A38,'[1]import success seats course'!$A:U,HLOOKUP('[1]Course Totals'!G$4,'[1]import success seats course'!$1:$2,2,FALSE),FALSE)/(VLOOKUP($A38,'[1]import graded seats course pivo'!$A:AE,HLOOKUP('[1]Course Totals'!G$4,'[1]import graded seats course pivo'!$1:$2,2,FALSE),FALSE))),"")</f>
        <v/>
      </c>
      <c r="H38" s="14" t="str">
        <f>IFERROR((VLOOKUP($A38,'[1]import success seats course'!$A:V,HLOOKUP('[1]Course Totals'!H$4,'[1]import success seats course'!$1:$2,2,FALSE),FALSE)/(VLOOKUP($A38,'[1]import graded seats course pivo'!$A:AF,HLOOKUP('[1]Course Totals'!H$4,'[1]import graded seats course pivo'!$1:$2,2,FALSE),FALSE))),"")</f>
        <v/>
      </c>
      <c r="I38" s="14">
        <f>IFERROR((VLOOKUP($A38,'[1]import success seats course'!$A:W,HLOOKUP('[1]Course Totals'!I$4,'[1]import success seats course'!$1:$2,2,FALSE),FALSE)/(VLOOKUP($A38,'[1]import graded seats course pivo'!$A:AG,HLOOKUP('[1]Course Totals'!I$4,'[1]import graded seats course pivo'!$1:$2,2,FALSE),FALSE))),"")</f>
        <v>0.7857142857142857</v>
      </c>
      <c r="J38" s="14" t="str">
        <f>IFERROR((VLOOKUP($A38,'[1]import success seats course'!$A:X,HLOOKUP('[1]Course Totals'!J$4,'[1]import success seats course'!$1:$2,2,FALSE),FALSE)/(VLOOKUP($A38,'[1]import graded seats course pivo'!$A:AH,HLOOKUP('[1]Course Totals'!J$4,'[1]import graded seats course pivo'!$1:$2,2,FALSE),FALSE))),"")</f>
        <v/>
      </c>
      <c r="K38" s="14" t="str">
        <f>IFERROR((VLOOKUP($A38,'[1]import success seats course'!$A:Y,HLOOKUP('[1]Course Totals'!K$4,'[1]import success seats course'!$1:$2,2,FALSE),FALSE)/(VLOOKUP($A38,'[1]import graded seats course pivo'!$A:AI,HLOOKUP('[1]Course Totals'!K$4,'[1]import graded seats course pivo'!$1:$2,2,FALSE),FALSE))),"")</f>
        <v/>
      </c>
      <c r="L38" s="14" t="str">
        <f>IFERROR((VLOOKUP($A38,'[1]import success seats course'!$A:Z,HLOOKUP('[1]Course Totals'!L$4,'[1]import success seats course'!$1:$2,2,FALSE),FALSE)/(VLOOKUP($A38,'[1]import graded seats course pivo'!$A:AJ,HLOOKUP('[1]Course Totals'!L$4,'[1]import graded seats course pivo'!$1:$2,2,FALSE),FALSE))),"")</f>
        <v/>
      </c>
      <c r="M38" s="14" t="str">
        <f>IFERROR((VLOOKUP($A38,'[1]import success seats course'!$A:AA,HLOOKUP('[1]Course Totals'!M$4,'[1]import success seats course'!$1:$2,2,FALSE),FALSE)/(VLOOKUP($A38,'[1]import graded seats course pivo'!$A:AK,HLOOKUP('[1]Course Totals'!M$4,'[1]import graded seats course pivo'!$1:$2,2,FALSE),FALSE))),"")</f>
        <v/>
      </c>
      <c r="N38" s="14" t="str">
        <f>IFERROR((VLOOKUP($A38,'[1]import success seats course'!$A:AB,HLOOKUP('[1]Course Totals'!N$4,'[1]import success seats course'!$1:$2,2,FALSE),FALSE)/(VLOOKUP($A38,'[1]import graded seats course pivo'!$A:AL,HLOOKUP('[1]Course Totals'!N$4,'[1]import graded seats course pivo'!$1:$2,2,FALSE),FALSE))),"")</f>
        <v/>
      </c>
      <c r="O38" s="14" t="str">
        <f>IFERROR((VLOOKUP($A38,'[1]import success seats course'!$A:AC,HLOOKUP('[1]Course Totals'!O$4,'[1]import success seats course'!$1:$2,2,FALSE),FALSE)/(VLOOKUP($A38,'[1]import graded seats course pivo'!$A:AM,HLOOKUP('[1]Course Totals'!O$4,'[1]import graded seats course pivo'!$1:$2,2,FALSE),FALSE))),"")</f>
        <v/>
      </c>
      <c r="P38" s="14" t="str">
        <f>IFERROR((VLOOKUP($A38,'[1]import success seats course'!$A:AD,HLOOKUP('[1]Course Totals'!P$4,'[1]import success seats course'!$1:$2,2,FALSE),FALSE)/(VLOOKUP($A38,'[1]import graded seats course pivo'!$A:AN,HLOOKUP('[1]Course Totals'!P$4,'[1]import graded seats course pivo'!$1:$2,2,FALSE),FALSE))),"")</f>
        <v/>
      </c>
      <c r="Q38" s="14" t="str">
        <f>IFERROR((VLOOKUP($A38,'[1]import success seats course'!$A:AE,HLOOKUP('[1]Course Totals'!Q$4,'[1]import success seats course'!$1:$2,2,FALSE),FALSE)/(VLOOKUP($A38,'[1]import graded seats course pivo'!$A:AO,HLOOKUP('[1]Course Totals'!Q$4,'[1]import graded seats course pivo'!$1:$2,2,FALSE),FALSE))),"")</f>
        <v/>
      </c>
      <c r="R38" s="14" t="str">
        <f>IFERROR((VLOOKUP($A38,'[1]import success seats course'!$A:AF,HLOOKUP('[1]Course Totals'!R$4,'[1]import success seats course'!$1:$2,2,FALSE),FALSE)/(VLOOKUP($A38,'[1]import graded seats course pivo'!$A:AP,HLOOKUP('[1]Course Totals'!R$4,'[1]import graded seats course pivo'!$1:$2,2,FALSE),FALSE))),"")</f>
        <v/>
      </c>
      <c r="S38" s="14" t="str">
        <f>IFERROR((VLOOKUP($A38,'[1]import success seats course'!$A:AG,HLOOKUP('[1]Course Totals'!S$4,'[1]import success seats course'!$1:$2,2,FALSE),FALSE)/(VLOOKUP($A38,'[1]import graded seats course pivo'!$A:AQ,HLOOKUP('[1]Course Totals'!S$4,'[1]import graded seats course pivo'!$1:$2,2,FALSE),FALSE))),"")</f>
        <v/>
      </c>
      <c r="Z38" s="7"/>
      <c r="AA38" s="7"/>
      <c r="AB38" s="7"/>
      <c r="AC38" s="7"/>
    </row>
    <row r="39" spans="1:29" x14ac:dyDescent="0.25">
      <c r="A39" s="12" t="s">
        <v>20</v>
      </c>
      <c r="B39" s="14" t="str">
        <f>IFERROR((VLOOKUP($A39,'[1]import success seats course'!$A:P,HLOOKUP('[1]Course Totals'!B$4,'[1]import success seats course'!$1:$2,2,FALSE),FALSE)/(VLOOKUP($A39,'[1]import graded seats course pivo'!$A:Z,HLOOKUP('[1]Course Totals'!B$4,'[1]import graded seats course pivo'!$1:$2,2,FALSE),FALSE))),"")</f>
        <v/>
      </c>
      <c r="C39" s="14">
        <f>IFERROR((VLOOKUP($A39,'[1]import success seats course'!$A:Q,HLOOKUP('[1]Course Totals'!C$4,'[1]import success seats course'!$1:$2,2,FALSE),FALSE)/(VLOOKUP($A39,'[1]import graded seats course pivo'!$A:AA,HLOOKUP('[1]Course Totals'!C$4,'[1]import graded seats course pivo'!$1:$2,2,FALSE),FALSE))),"")</f>
        <v>1</v>
      </c>
      <c r="D39" s="14">
        <f>IFERROR((VLOOKUP($A39,'[1]import success seats course'!$A:R,HLOOKUP('[1]Course Totals'!D$4,'[1]import success seats course'!$1:$2,2,FALSE),FALSE)/(VLOOKUP($A39,'[1]import graded seats course pivo'!$A:AB,HLOOKUP('[1]Course Totals'!D$4,'[1]import graded seats course pivo'!$1:$2,2,FALSE),FALSE))),"")</f>
        <v>1</v>
      </c>
      <c r="E39" s="14" t="str">
        <f>IFERROR((VLOOKUP($A39,'[1]import success seats course'!$A:S,HLOOKUP('[1]Course Totals'!E$4,'[1]import success seats course'!$1:$2,2,FALSE),FALSE)/(VLOOKUP($A39,'[1]import graded seats course pivo'!$A:AC,HLOOKUP('[1]Course Totals'!E$4,'[1]import graded seats course pivo'!$1:$2,2,FALSE),FALSE))),"")</f>
        <v/>
      </c>
      <c r="F39" s="14">
        <f>IFERROR((VLOOKUP($A39,'[1]import success seats course'!$A:T,HLOOKUP('[1]Course Totals'!F$4,'[1]import success seats course'!$1:$2,2,FALSE),FALSE)/(VLOOKUP($A39,'[1]import graded seats course pivo'!$A:AD,HLOOKUP('[1]Course Totals'!F$4,'[1]import graded seats course pivo'!$1:$2,2,FALSE),FALSE))),"")</f>
        <v>0.90909090909090906</v>
      </c>
      <c r="G39" s="14">
        <f>IFERROR((VLOOKUP($A39,'[1]import success seats course'!$A:U,HLOOKUP('[1]Course Totals'!G$4,'[1]import success seats course'!$1:$2,2,FALSE),FALSE)/(VLOOKUP($A39,'[1]import graded seats course pivo'!$A:AE,HLOOKUP('[1]Course Totals'!G$4,'[1]import graded seats course pivo'!$1:$2,2,FALSE),FALSE))),"")</f>
        <v>1</v>
      </c>
      <c r="H39" s="14" t="str">
        <f>IFERROR((VLOOKUP($A39,'[1]import success seats course'!$A:V,HLOOKUP('[1]Course Totals'!H$4,'[1]import success seats course'!$1:$2,2,FALSE),FALSE)/(VLOOKUP($A39,'[1]import graded seats course pivo'!$A:AF,HLOOKUP('[1]Course Totals'!H$4,'[1]import graded seats course pivo'!$1:$2,2,FALSE),FALSE))),"")</f>
        <v/>
      </c>
      <c r="I39" s="14">
        <f>IFERROR((VLOOKUP($A39,'[1]import success seats course'!$A:W,HLOOKUP('[1]Course Totals'!I$4,'[1]import success seats course'!$1:$2,2,FALSE),FALSE)/(VLOOKUP($A39,'[1]import graded seats course pivo'!$A:AG,HLOOKUP('[1]Course Totals'!I$4,'[1]import graded seats course pivo'!$1:$2,2,FALSE),FALSE))),"")</f>
        <v>1</v>
      </c>
      <c r="J39" s="14">
        <f>IFERROR((VLOOKUP($A39,'[1]import success seats course'!$A:X,HLOOKUP('[1]Course Totals'!J$4,'[1]import success seats course'!$1:$2,2,FALSE),FALSE)/(VLOOKUP($A39,'[1]import graded seats course pivo'!$A:AH,HLOOKUP('[1]Course Totals'!J$4,'[1]import graded seats course pivo'!$1:$2,2,FALSE),FALSE))),"")</f>
        <v>1</v>
      </c>
      <c r="K39" s="14" t="str">
        <f>IFERROR((VLOOKUP($A39,'[1]import success seats course'!$A:Y,HLOOKUP('[1]Course Totals'!K$4,'[1]import success seats course'!$1:$2,2,FALSE),FALSE)/(VLOOKUP($A39,'[1]import graded seats course pivo'!$A:AI,HLOOKUP('[1]Course Totals'!K$4,'[1]import graded seats course pivo'!$1:$2,2,FALSE),FALSE))),"")</f>
        <v/>
      </c>
      <c r="L39" s="14">
        <f>IFERROR((VLOOKUP($A39,'[1]import success seats course'!$A:Z,HLOOKUP('[1]Course Totals'!L$4,'[1]import success seats course'!$1:$2,2,FALSE),FALSE)/(VLOOKUP($A39,'[1]import graded seats course pivo'!$A:AJ,HLOOKUP('[1]Course Totals'!L$4,'[1]import graded seats course pivo'!$1:$2,2,FALSE),FALSE))),"")</f>
        <v>0.95</v>
      </c>
      <c r="M39" s="14">
        <f>IFERROR((VLOOKUP($A39,'[1]import success seats course'!$A:AA,HLOOKUP('[1]Course Totals'!M$4,'[1]import success seats course'!$1:$2,2,FALSE),FALSE)/(VLOOKUP($A39,'[1]import graded seats course pivo'!$A:AK,HLOOKUP('[1]Course Totals'!M$4,'[1]import graded seats course pivo'!$1:$2,2,FALSE),FALSE))),"")</f>
        <v>0.94117647058823528</v>
      </c>
      <c r="N39" s="14" t="str">
        <f>IFERROR((VLOOKUP($A39,'[1]import success seats course'!$A:AB,HLOOKUP('[1]Course Totals'!N$4,'[1]import success seats course'!$1:$2,2,FALSE),FALSE)/(VLOOKUP($A39,'[1]import graded seats course pivo'!$A:AL,HLOOKUP('[1]Course Totals'!N$4,'[1]import graded seats course pivo'!$1:$2,2,FALSE),FALSE))),"")</f>
        <v/>
      </c>
      <c r="O39" s="14">
        <f>IFERROR((VLOOKUP($A39,'[1]import success seats course'!$A:AC,HLOOKUP('[1]Course Totals'!O$4,'[1]import success seats course'!$1:$2,2,FALSE),FALSE)/(VLOOKUP($A39,'[1]import graded seats course pivo'!$A:AM,HLOOKUP('[1]Course Totals'!O$4,'[1]import graded seats course pivo'!$1:$2,2,FALSE),FALSE))),"")</f>
        <v>1</v>
      </c>
      <c r="P39" s="14">
        <f>IFERROR((VLOOKUP($A39,'[1]import success seats course'!$A:AD,HLOOKUP('[1]Course Totals'!P$4,'[1]import success seats course'!$1:$2,2,FALSE),FALSE)/(VLOOKUP($A39,'[1]import graded seats course pivo'!$A:AN,HLOOKUP('[1]Course Totals'!P$4,'[1]import graded seats course pivo'!$1:$2,2,FALSE),FALSE))),"")</f>
        <v>1</v>
      </c>
      <c r="Q39" s="14" t="str">
        <f>IFERROR((VLOOKUP($A39,'[1]import success seats course'!$A:AE,HLOOKUP('[1]Course Totals'!Q$4,'[1]import success seats course'!$1:$2,2,FALSE),FALSE)/(VLOOKUP($A39,'[1]import graded seats course pivo'!$A:AO,HLOOKUP('[1]Course Totals'!Q$4,'[1]import graded seats course pivo'!$1:$2,2,FALSE),FALSE))),"")</f>
        <v/>
      </c>
      <c r="R39" s="14">
        <f>IFERROR((VLOOKUP($A39,'[1]import success seats course'!$A:AF,HLOOKUP('[1]Course Totals'!R$4,'[1]import success seats course'!$1:$2,2,FALSE),FALSE)/(VLOOKUP($A39,'[1]import graded seats course pivo'!$A:AP,HLOOKUP('[1]Course Totals'!R$4,'[1]import graded seats course pivo'!$1:$2,2,FALSE),FALSE))),"")</f>
        <v>0.56521739130434778</v>
      </c>
      <c r="S39" s="14" t="str">
        <f>IFERROR((VLOOKUP($A39,'[1]import success seats course'!$A:AG,HLOOKUP('[1]Course Totals'!S$4,'[1]import success seats course'!$1:$2,2,FALSE),FALSE)/(VLOOKUP($A39,'[1]import graded seats course pivo'!$A:AQ,HLOOKUP('[1]Course Totals'!S$4,'[1]import graded seats course pivo'!$1:$2,2,FALSE),FALSE))),"")</f>
        <v/>
      </c>
      <c r="Z39" s="7"/>
      <c r="AA39" s="7"/>
      <c r="AB39" s="7"/>
      <c r="AC39" s="7"/>
    </row>
    <row r="40" spans="1:29" x14ac:dyDescent="0.25">
      <c r="A40" s="12" t="s">
        <v>869</v>
      </c>
      <c r="B40" s="14" t="str">
        <f>IFERROR((VLOOKUP($A40,'[1]import success seats course'!$A:P,HLOOKUP('[1]Course Totals'!B$4,'[1]import success seats course'!$1:$2,2,FALSE),FALSE)/(VLOOKUP($A40,'[1]import graded seats course pivo'!$A:Z,HLOOKUP('[1]Course Totals'!B$4,'[1]import graded seats course pivo'!$1:$2,2,FALSE),FALSE))),"")</f>
        <v/>
      </c>
      <c r="C40" s="14" t="str">
        <f>IFERROR((VLOOKUP($A40,'[1]import success seats course'!$A:Q,HLOOKUP('[1]Course Totals'!C$4,'[1]import success seats course'!$1:$2,2,FALSE),FALSE)/(VLOOKUP($A40,'[1]import graded seats course pivo'!$A:AA,HLOOKUP('[1]Course Totals'!C$4,'[1]import graded seats course pivo'!$1:$2,2,FALSE),FALSE))),"")</f>
        <v/>
      </c>
      <c r="D40" s="14">
        <f>IFERROR((VLOOKUP($A40,'[1]import success seats course'!$A:R,HLOOKUP('[1]Course Totals'!D$4,'[1]import success seats course'!$1:$2,2,FALSE),FALSE)/(VLOOKUP($A40,'[1]import graded seats course pivo'!$A:AB,HLOOKUP('[1]Course Totals'!D$4,'[1]import graded seats course pivo'!$1:$2,2,FALSE),FALSE))),"")</f>
        <v>1</v>
      </c>
      <c r="E40" s="14" t="str">
        <f>IFERROR((VLOOKUP($A40,'[1]import success seats course'!$A:S,HLOOKUP('[1]Course Totals'!E$4,'[1]import success seats course'!$1:$2,2,FALSE),FALSE)/(VLOOKUP($A40,'[1]import graded seats course pivo'!$A:AC,HLOOKUP('[1]Course Totals'!E$4,'[1]import graded seats course pivo'!$1:$2,2,FALSE),FALSE))),"")</f>
        <v/>
      </c>
      <c r="F40" s="14" t="str">
        <f>IFERROR((VLOOKUP($A40,'[1]import success seats course'!$A:T,HLOOKUP('[1]Course Totals'!F$4,'[1]import success seats course'!$1:$2,2,FALSE),FALSE)/(VLOOKUP($A40,'[1]import graded seats course pivo'!$A:AD,HLOOKUP('[1]Course Totals'!F$4,'[1]import graded seats course pivo'!$1:$2,2,FALSE),FALSE))),"")</f>
        <v/>
      </c>
      <c r="G40" s="14" t="str">
        <f>IFERROR((VLOOKUP($A40,'[1]import success seats course'!$A:U,HLOOKUP('[1]Course Totals'!G$4,'[1]import success seats course'!$1:$2,2,FALSE),FALSE)/(VLOOKUP($A40,'[1]import graded seats course pivo'!$A:AE,HLOOKUP('[1]Course Totals'!G$4,'[1]import graded seats course pivo'!$1:$2,2,FALSE),FALSE))),"")</f>
        <v/>
      </c>
      <c r="H40" s="14" t="str">
        <f>IFERROR((VLOOKUP($A40,'[1]import success seats course'!$A:V,HLOOKUP('[1]Course Totals'!H$4,'[1]import success seats course'!$1:$2,2,FALSE),FALSE)/(VLOOKUP($A40,'[1]import graded seats course pivo'!$A:AF,HLOOKUP('[1]Course Totals'!H$4,'[1]import graded seats course pivo'!$1:$2,2,FALSE),FALSE))),"")</f>
        <v/>
      </c>
      <c r="I40" s="14" t="str">
        <f>IFERROR((VLOOKUP($A40,'[1]import success seats course'!$A:W,HLOOKUP('[1]Course Totals'!I$4,'[1]import success seats course'!$1:$2,2,FALSE),FALSE)/(VLOOKUP($A40,'[1]import graded seats course pivo'!$A:AG,HLOOKUP('[1]Course Totals'!I$4,'[1]import graded seats course pivo'!$1:$2,2,FALSE),FALSE))),"")</f>
        <v/>
      </c>
      <c r="J40" s="14" t="str">
        <f>IFERROR((VLOOKUP($A40,'[1]import success seats course'!$A:X,HLOOKUP('[1]Course Totals'!J$4,'[1]import success seats course'!$1:$2,2,FALSE),FALSE)/(VLOOKUP($A40,'[1]import graded seats course pivo'!$A:AH,HLOOKUP('[1]Course Totals'!J$4,'[1]import graded seats course pivo'!$1:$2,2,FALSE),FALSE))),"")</f>
        <v/>
      </c>
      <c r="K40" s="14" t="str">
        <f>IFERROR((VLOOKUP($A40,'[1]import success seats course'!$A:Y,HLOOKUP('[1]Course Totals'!K$4,'[1]import success seats course'!$1:$2,2,FALSE),FALSE)/(VLOOKUP($A40,'[1]import graded seats course pivo'!$A:AI,HLOOKUP('[1]Course Totals'!K$4,'[1]import graded seats course pivo'!$1:$2,2,FALSE),FALSE))),"")</f>
        <v/>
      </c>
      <c r="L40" s="14" t="str">
        <f>IFERROR((VLOOKUP($A40,'[1]import success seats course'!$A:Z,HLOOKUP('[1]Course Totals'!L$4,'[1]import success seats course'!$1:$2,2,FALSE),FALSE)/(VLOOKUP($A40,'[1]import graded seats course pivo'!$A:AJ,HLOOKUP('[1]Course Totals'!L$4,'[1]import graded seats course pivo'!$1:$2,2,FALSE),FALSE))),"")</f>
        <v/>
      </c>
      <c r="M40" s="14" t="str">
        <f>IFERROR((VLOOKUP($A40,'[1]import success seats course'!$A:AA,HLOOKUP('[1]Course Totals'!M$4,'[1]import success seats course'!$1:$2,2,FALSE),FALSE)/(VLOOKUP($A40,'[1]import graded seats course pivo'!$A:AK,HLOOKUP('[1]Course Totals'!M$4,'[1]import graded seats course pivo'!$1:$2,2,FALSE),FALSE))),"")</f>
        <v/>
      </c>
      <c r="N40" s="14" t="str">
        <f>IFERROR((VLOOKUP($A40,'[1]import success seats course'!$A:AB,HLOOKUP('[1]Course Totals'!N$4,'[1]import success seats course'!$1:$2,2,FALSE),FALSE)/(VLOOKUP($A40,'[1]import graded seats course pivo'!$A:AL,HLOOKUP('[1]Course Totals'!N$4,'[1]import graded seats course pivo'!$1:$2,2,FALSE),FALSE))),"")</f>
        <v/>
      </c>
      <c r="O40" s="14" t="str">
        <f>IFERROR((VLOOKUP($A40,'[1]import success seats course'!$A:AC,HLOOKUP('[1]Course Totals'!O$4,'[1]import success seats course'!$1:$2,2,FALSE),FALSE)/(VLOOKUP($A40,'[1]import graded seats course pivo'!$A:AM,HLOOKUP('[1]Course Totals'!O$4,'[1]import graded seats course pivo'!$1:$2,2,FALSE),FALSE))),"")</f>
        <v/>
      </c>
      <c r="P40" s="14" t="str">
        <f>IFERROR((VLOOKUP($A40,'[1]import success seats course'!$A:AD,HLOOKUP('[1]Course Totals'!P$4,'[1]import success seats course'!$1:$2,2,FALSE),FALSE)/(VLOOKUP($A40,'[1]import graded seats course pivo'!$A:AN,HLOOKUP('[1]Course Totals'!P$4,'[1]import graded seats course pivo'!$1:$2,2,FALSE),FALSE))),"")</f>
        <v/>
      </c>
      <c r="Q40" s="14" t="str">
        <f>IFERROR((VLOOKUP($A40,'[1]import success seats course'!$A:AE,HLOOKUP('[1]Course Totals'!Q$4,'[1]import success seats course'!$1:$2,2,FALSE),FALSE)/(VLOOKUP($A40,'[1]import graded seats course pivo'!$A:AO,HLOOKUP('[1]Course Totals'!Q$4,'[1]import graded seats course pivo'!$1:$2,2,FALSE),FALSE))),"")</f>
        <v/>
      </c>
      <c r="R40" s="14" t="str">
        <f>IFERROR((VLOOKUP($A40,'[1]import success seats course'!$A:AF,HLOOKUP('[1]Course Totals'!R$4,'[1]import success seats course'!$1:$2,2,FALSE),FALSE)/(VLOOKUP($A40,'[1]import graded seats course pivo'!$A:AP,HLOOKUP('[1]Course Totals'!R$4,'[1]import graded seats course pivo'!$1:$2,2,FALSE),FALSE))),"")</f>
        <v/>
      </c>
      <c r="S40" s="14" t="str">
        <f>IFERROR((VLOOKUP($A40,'[1]import success seats course'!$A:AG,HLOOKUP('[1]Course Totals'!S$4,'[1]import success seats course'!$1:$2,2,FALSE),FALSE)/(VLOOKUP($A40,'[1]import graded seats course pivo'!$A:AQ,HLOOKUP('[1]Course Totals'!S$4,'[1]import graded seats course pivo'!$1:$2,2,FALSE),FALSE))),"")</f>
        <v/>
      </c>
      <c r="Z40" s="7"/>
      <c r="AA40" s="7"/>
      <c r="AB40" s="7"/>
      <c r="AC40" s="7"/>
    </row>
    <row r="41" spans="1:29" x14ac:dyDescent="0.25">
      <c r="A41" s="12" t="s">
        <v>21</v>
      </c>
      <c r="B41" s="14" t="str">
        <f>IFERROR((VLOOKUP($A41,'[1]import success seats course'!$A:P,HLOOKUP('[1]Course Totals'!B$4,'[1]import success seats course'!$1:$2,2,FALSE),FALSE)/(VLOOKUP($A41,'[1]import graded seats course pivo'!$A:Z,HLOOKUP('[1]Course Totals'!B$4,'[1]import graded seats course pivo'!$1:$2,2,FALSE),FALSE))),"")</f>
        <v/>
      </c>
      <c r="C41" s="14">
        <f>IFERROR((VLOOKUP($A41,'[1]import success seats course'!$A:Q,HLOOKUP('[1]Course Totals'!C$4,'[1]import success seats course'!$1:$2,2,FALSE),FALSE)/(VLOOKUP($A41,'[1]import graded seats course pivo'!$A:AA,HLOOKUP('[1]Course Totals'!C$4,'[1]import graded seats course pivo'!$1:$2,2,FALSE),FALSE))),"")</f>
        <v>0.95</v>
      </c>
      <c r="D41" s="14" t="str">
        <f>IFERROR((VLOOKUP($A41,'[1]import success seats course'!$A:R,HLOOKUP('[1]Course Totals'!D$4,'[1]import success seats course'!$1:$2,2,FALSE),FALSE)/(VLOOKUP($A41,'[1]import graded seats course pivo'!$A:AB,HLOOKUP('[1]Course Totals'!D$4,'[1]import graded seats course pivo'!$1:$2,2,FALSE),FALSE))),"")</f>
        <v/>
      </c>
      <c r="E41" s="14" t="str">
        <f>IFERROR((VLOOKUP($A41,'[1]import success seats course'!$A:S,HLOOKUP('[1]Course Totals'!E$4,'[1]import success seats course'!$1:$2,2,FALSE),FALSE)/(VLOOKUP($A41,'[1]import graded seats course pivo'!$A:AC,HLOOKUP('[1]Course Totals'!E$4,'[1]import graded seats course pivo'!$1:$2,2,FALSE),FALSE))),"")</f>
        <v/>
      </c>
      <c r="F41" s="14" t="str">
        <f>IFERROR((VLOOKUP($A41,'[1]import success seats course'!$A:T,HLOOKUP('[1]Course Totals'!F$4,'[1]import success seats course'!$1:$2,2,FALSE),FALSE)/(VLOOKUP($A41,'[1]import graded seats course pivo'!$A:AD,HLOOKUP('[1]Course Totals'!F$4,'[1]import graded seats course pivo'!$1:$2,2,FALSE),FALSE))),"")</f>
        <v/>
      </c>
      <c r="G41" s="14" t="str">
        <f>IFERROR((VLOOKUP($A41,'[1]import success seats course'!$A:U,HLOOKUP('[1]Course Totals'!G$4,'[1]import success seats course'!$1:$2,2,FALSE),FALSE)/(VLOOKUP($A41,'[1]import graded seats course pivo'!$A:AE,HLOOKUP('[1]Course Totals'!G$4,'[1]import graded seats course pivo'!$1:$2,2,FALSE),FALSE))),"")</f>
        <v/>
      </c>
      <c r="H41" s="14" t="str">
        <f>IFERROR((VLOOKUP($A41,'[1]import success seats course'!$A:V,HLOOKUP('[1]Course Totals'!H$4,'[1]import success seats course'!$1:$2,2,FALSE),FALSE)/(VLOOKUP($A41,'[1]import graded seats course pivo'!$A:AF,HLOOKUP('[1]Course Totals'!H$4,'[1]import graded seats course pivo'!$1:$2,2,FALSE),FALSE))),"")</f>
        <v/>
      </c>
      <c r="I41" s="14" t="str">
        <f>IFERROR((VLOOKUP($A41,'[1]import success seats course'!$A:W,HLOOKUP('[1]Course Totals'!I$4,'[1]import success seats course'!$1:$2,2,FALSE),FALSE)/(VLOOKUP($A41,'[1]import graded seats course pivo'!$A:AG,HLOOKUP('[1]Course Totals'!I$4,'[1]import graded seats course pivo'!$1:$2,2,FALSE),FALSE))),"")</f>
        <v/>
      </c>
      <c r="J41" s="14" t="str">
        <f>IFERROR((VLOOKUP($A41,'[1]import success seats course'!$A:X,HLOOKUP('[1]Course Totals'!J$4,'[1]import success seats course'!$1:$2,2,FALSE),FALSE)/(VLOOKUP($A41,'[1]import graded seats course pivo'!$A:AH,HLOOKUP('[1]Course Totals'!J$4,'[1]import graded seats course pivo'!$1:$2,2,FALSE),FALSE))),"")</f>
        <v/>
      </c>
      <c r="K41" s="14" t="str">
        <f>IFERROR((VLOOKUP($A41,'[1]import success seats course'!$A:Y,HLOOKUP('[1]Course Totals'!K$4,'[1]import success seats course'!$1:$2,2,FALSE),FALSE)/(VLOOKUP($A41,'[1]import graded seats course pivo'!$A:AI,HLOOKUP('[1]Course Totals'!K$4,'[1]import graded seats course pivo'!$1:$2,2,FALSE),FALSE))),"")</f>
        <v/>
      </c>
      <c r="L41" s="14" t="str">
        <f>IFERROR((VLOOKUP($A41,'[1]import success seats course'!$A:Z,HLOOKUP('[1]Course Totals'!L$4,'[1]import success seats course'!$1:$2,2,FALSE),FALSE)/(VLOOKUP($A41,'[1]import graded seats course pivo'!$A:AJ,HLOOKUP('[1]Course Totals'!L$4,'[1]import graded seats course pivo'!$1:$2,2,FALSE),FALSE))),"")</f>
        <v/>
      </c>
      <c r="M41" s="14" t="str">
        <f>IFERROR((VLOOKUP($A41,'[1]import success seats course'!$A:AA,HLOOKUP('[1]Course Totals'!M$4,'[1]import success seats course'!$1:$2,2,FALSE),FALSE)/(VLOOKUP($A41,'[1]import graded seats course pivo'!$A:AK,HLOOKUP('[1]Course Totals'!M$4,'[1]import graded seats course pivo'!$1:$2,2,FALSE),FALSE))),"")</f>
        <v/>
      </c>
      <c r="N41" s="14" t="str">
        <f>IFERROR((VLOOKUP($A41,'[1]import success seats course'!$A:AB,HLOOKUP('[1]Course Totals'!N$4,'[1]import success seats course'!$1:$2,2,FALSE),FALSE)/(VLOOKUP($A41,'[1]import graded seats course pivo'!$A:AL,HLOOKUP('[1]Course Totals'!N$4,'[1]import graded seats course pivo'!$1:$2,2,FALSE),FALSE))),"")</f>
        <v/>
      </c>
      <c r="O41" s="14" t="str">
        <f>IFERROR((VLOOKUP($A41,'[1]import success seats course'!$A:AC,HLOOKUP('[1]Course Totals'!O$4,'[1]import success seats course'!$1:$2,2,FALSE),FALSE)/(VLOOKUP($A41,'[1]import graded seats course pivo'!$A:AM,HLOOKUP('[1]Course Totals'!O$4,'[1]import graded seats course pivo'!$1:$2,2,FALSE),FALSE))),"")</f>
        <v/>
      </c>
      <c r="P41" s="14" t="str">
        <f>IFERROR((VLOOKUP($A41,'[1]import success seats course'!$A:AD,HLOOKUP('[1]Course Totals'!P$4,'[1]import success seats course'!$1:$2,2,FALSE),FALSE)/(VLOOKUP($A41,'[1]import graded seats course pivo'!$A:AN,HLOOKUP('[1]Course Totals'!P$4,'[1]import graded seats course pivo'!$1:$2,2,FALSE),FALSE))),"")</f>
        <v/>
      </c>
      <c r="Q41" s="14" t="str">
        <f>IFERROR((VLOOKUP($A41,'[1]import success seats course'!$A:AE,HLOOKUP('[1]Course Totals'!Q$4,'[1]import success seats course'!$1:$2,2,FALSE),FALSE)/(VLOOKUP($A41,'[1]import graded seats course pivo'!$A:AO,HLOOKUP('[1]Course Totals'!Q$4,'[1]import graded seats course pivo'!$1:$2,2,FALSE),FALSE))),"")</f>
        <v/>
      </c>
      <c r="R41" s="14" t="str">
        <f>IFERROR((VLOOKUP($A41,'[1]import success seats course'!$A:AF,HLOOKUP('[1]Course Totals'!R$4,'[1]import success seats course'!$1:$2,2,FALSE),FALSE)/(VLOOKUP($A41,'[1]import graded seats course pivo'!$A:AP,HLOOKUP('[1]Course Totals'!R$4,'[1]import graded seats course pivo'!$1:$2,2,FALSE),FALSE))),"")</f>
        <v/>
      </c>
      <c r="S41" s="14" t="str">
        <f>IFERROR((VLOOKUP($A41,'[1]import success seats course'!$A:AG,HLOOKUP('[1]Course Totals'!S$4,'[1]import success seats course'!$1:$2,2,FALSE),FALSE)/(VLOOKUP($A41,'[1]import graded seats course pivo'!$A:AQ,HLOOKUP('[1]Course Totals'!S$4,'[1]import graded seats course pivo'!$1:$2,2,FALSE),FALSE))),"")</f>
        <v/>
      </c>
      <c r="Z41" s="7"/>
      <c r="AA41" s="7"/>
      <c r="AB41" s="7"/>
      <c r="AC41" s="7"/>
    </row>
    <row r="42" spans="1:29" x14ac:dyDescent="0.25">
      <c r="A42" s="12" t="s">
        <v>22</v>
      </c>
      <c r="B42" s="14" t="str">
        <f>IFERROR((VLOOKUP($A42,'[1]import success seats course'!$A:P,HLOOKUP('[1]Course Totals'!B$4,'[1]import success seats course'!$1:$2,2,FALSE),FALSE)/(VLOOKUP($A42,'[1]import graded seats course pivo'!$A:Z,HLOOKUP('[1]Course Totals'!B$4,'[1]import graded seats course pivo'!$1:$2,2,FALSE),FALSE))),"")</f>
        <v/>
      </c>
      <c r="C42" s="14">
        <f>IFERROR((VLOOKUP($A42,'[1]import success seats course'!$A:Q,HLOOKUP('[1]Course Totals'!C$4,'[1]import success seats course'!$1:$2,2,FALSE),FALSE)/(VLOOKUP($A42,'[1]import graded seats course pivo'!$A:AA,HLOOKUP('[1]Course Totals'!C$4,'[1]import graded seats course pivo'!$1:$2,2,FALSE),FALSE))),"")</f>
        <v>0.92307692307692313</v>
      </c>
      <c r="D42" s="14" t="str">
        <f>IFERROR((VLOOKUP($A42,'[1]import success seats course'!$A:R,HLOOKUP('[1]Course Totals'!D$4,'[1]import success seats course'!$1:$2,2,FALSE),FALSE)/(VLOOKUP($A42,'[1]import graded seats course pivo'!$A:AB,HLOOKUP('[1]Course Totals'!D$4,'[1]import graded seats course pivo'!$1:$2,2,FALSE),FALSE))),"")</f>
        <v/>
      </c>
      <c r="E42" s="14" t="str">
        <f>IFERROR((VLOOKUP($A42,'[1]import success seats course'!$A:S,HLOOKUP('[1]Course Totals'!E$4,'[1]import success seats course'!$1:$2,2,FALSE),FALSE)/(VLOOKUP($A42,'[1]import graded seats course pivo'!$A:AC,HLOOKUP('[1]Course Totals'!E$4,'[1]import graded seats course pivo'!$1:$2,2,FALSE),FALSE))),"")</f>
        <v/>
      </c>
      <c r="F42" s="14" t="str">
        <f>IFERROR((VLOOKUP($A42,'[1]import success seats course'!$A:T,HLOOKUP('[1]Course Totals'!F$4,'[1]import success seats course'!$1:$2,2,FALSE),FALSE)/(VLOOKUP($A42,'[1]import graded seats course pivo'!$A:AD,HLOOKUP('[1]Course Totals'!F$4,'[1]import graded seats course pivo'!$1:$2,2,FALSE),FALSE))),"")</f>
        <v/>
      </c>
      <c r="G42" s="14" t="str">
        <f>IFERROR((VLOOKUP($A42,'[1]import success seats course'!$A:U,HLOOKUP('[1]Course Totals'!G$4,'[1]import success seats course'!$1:$2,2,FALSE),FALSE)/(VLOOKUP($A42,'[1]import graded seats course pivo'!$A:AE,HLOOKUP('[1]Course Totals'!G$4,'[1]import graded seats course pivo'!$1:$2,2,FALSE),FALSE))),"")</f>
        <v/>
      </c>
      <c r="H42" s="14" t="str">
        <f>IFERROR((VLOOKUP($A42,'[1]import success seats course'!$A:V,HLOOKUP('[1]Course Totals'!H$4,'[1]import success seats course'!$1:$2,2,FALSE),FALSE)/(VLOOKUP($A42,'[1]import graded seats course pivo'!$A:AF,HLOOKUP('[1]Course Totals'!H$4,'[1]import graded seats course pivo'!$1:$2,2,FALSE),FALSE))),"")</f>
        <v/>
      </c>
      <c r="I42" s="14" t="str">
        <f>IFERROR((VLOOKUP($A42,'[1]import success seats course'!$A:W,HLOOKUP('[1]Course Totals'!I$4,'[1]import success seats course'!$1:$2,2,FALSE),FALSE)/(VLOOKUP($A42,'[1]import graded seats course pivo'!$A:AG,HLOOKUP('[1]Course Totals'!I$4,'[1]import graded seats course pivo'!$1:$2,2,FALSE),FALSE))),"")</f>
        <v/>
      </c>
      <c r="J42" s="14" t="str">
        <f>IFERROR((VLOOKUP($A42,'[1]import success seats course'!$A:X,HLOOKUP('[1]Course Totals'!J$4,'[1]import success seats course'!$1:$2,2,FALSE),FALSE)/(VLOOKUP($A42,'[1]import graded seats course pivo'!$A:AH,HLOOKUP('[1]Course Totals'!J$4,'[1]import graded seats course pivo'!$1:$2,2,FALSE),FALSE))),"")</f>
        <v/>
      </c>
      <c r="K42" s="14" t="str">
        <f>IFERROR((VLOOKUP($A42,'[1]import success seats course'!$A:Y,HLOOKUP('[1]Course Totals'!K$4,'[1]import success seats course'!$1:$2,2,FALSE),FALSE)/(VLOOKUP($A42,'[1]import graded seats course pivo'!$A:AI,HLOOKUP('[1]Course Totals'!K$4,'[1]import graded seats course pivo'!$1:$2,2,FALSE),FALSE))),"")</f>
        <v/>
      </c>
      <c r="L42" s="14" t="str">
        <f>IFERROR((VLOOKUP($A42,'[1]import success seats course'!$A:Z,HLOOKUP('[1]Course Totals'!L$4,'[1]import success seats course'!$1:$2,2,FALSE),FALSE)/(VLOOKUP($A42,'[1]import graded seats course pivo'!$A:AJ,HLOOKUP('[1]Course Totals'!L$4,'[1]import graded seats course pivo'!$1:$2,2,FALSE),FALSE))),"")</f>
        <v/>
      </c>
      <c r="M42" s="14" t="str">
        <f>IFERROR((VLOOKUP($A42,'[1]import success seats course'!$A:AA,HLOOKUP('[1]Course Totals'!M$4,'[1]import success seats course'!$1:$2,2,FALSE),FALSE)/(VLOOKUP($A42,'[1]import graded seats course pivo'!$A:AK,HLOOKUP('[1]Course Totals'!M$4,'[1]import graded seats course pivo'!$1:$2,2,FALSE),FALSE))),"")</f>
        <v/>
      </c>
      <c r="N42" s="14" t="str">
        <f>IFERROR((VLOOKUP($A42,'[1]import success seats course'!$A:AB,HLOOKUP('[1]Course Totals'!N$4,'[1]import success seats course'!$1:$2,2,FALSE),FALSE)/(VLOOKUP($A42,'[1]import graded seats course pivo'!$A:AL,HLOOKUP('[1]Course Totals'!N$4,'[1]import graded seats course pivo'!$1:$2,2,FALSE),FALSE))),"")</f>
        <v/>
      </c>
      <c r="O42" s="14" t="str">
        <f>IFERROR((VLOOKUP($A42,'[1]import success seats course'!$A:AC,HLOOKUP('[1]Course Totals'!O$4,'[1]import success seats course'!$1:$2,2,FALSE),FALSE)/(VLOOKUP($A42,'[1]import graded seats course pivo'!$A:AM,HLOOKUP('[1]Course Totals'!O$4,'[1]import graded seats course pivo'!$1:$2,2,FALSE),FALSE))),"")</f>
        <v/>
      </c>
      <c r="P42" s="14" t="str">
        <f>IFERROR((VLOOKUP($A42,'[1]import success seats course'!$A:AD,HLOOKUP('[1]Course Totals'!P$4,'[1]import success seats course'!$1:$2,2,FALSE),FALSE)/(VLOOKUP($A42,'[1]import graded seats course pivo'!$A:AN,HLOOKUP('[1]Course Totals'!P$4,'[1]import graded seats course pivo'!$1:$2,2,FALSE),FALSE))),"")</f>
        <v/>
      </c>
      <c r="Q42" s="14" t="str">
        <f>IFERROR((VLOOKUP($A42,'[1]import success seats course'!$A:AE,HLOOKUP('[1]Course Totals'!Q$4,'[1]import success seats course'!$1:$2,2,FALSE),FALSE)/(VLOOKUP($A42,'[1]import graded seats course pivo'!$A:AO,HLOOKUP('[1]Course Totals'!Q$4,'[1]import graded seats course pivo'!$1:$2,2,FALSE),FALSE))),"")</f>
        <v/>
      </c>
      <c r="R42" s="14" t="str">
        <f>IFERROR((VLOOKUP($A42,'[1]import success seats course'!$A:AF,HLOOKUP('[1]Course Totals'!R$4,'[1]import success seats course'!$1:$2,2,FALSE),FALSE)/(VLOOKUP($A42,'[1]import graded seats course pivo'!$A:AP,HLOOKUP('[1]Course Totals'!R$4,'[1]import graded seats course pivo'!$1:$2,2,FALSE),FALSE))),"")</f>
        <v/>
      </c>
      <c r="S42" s="14" t="str">
        <f>IFERROR((VLOOKUP($A42,'[1]import success seats course'!$A:AG,HLOOKUP('[1]Course Totals'!S$4,'[1]import success seats course'!$1:$2,2,FALSE),FALSE)/(VLOOKUP($A42,'[1]import graded seats course pivo'!$A:AQ,HLOOKUP('[1]Course Totals'!S$4,'[1]import graded seats course pivo'!$1:$2,2,FALSE),FALSE))),"")</f>
        <v/>
      </c>
      <c r="Z42" s="7"/>
      <c r="AA42" s="7"/>
      <c r="AB42" s="7"/>
      <c r="AC42" s="7"/>
    </row>
    <row r="43" spans="1:29" x14ac:dyDescent="0.25">
      <c r="A43" s="12" t="s">
        <v>23</v>
      </c>
      <c r="B43" s="14" t="str">
        <f>IFERROR((VLOOKUP($A43,'[1]import success seats course'!$A:P,HLOOKUP('[1]Course Totals'!B$4,'[1]import success seats course'!$1:$2,2,FALSE),FALSE)/(VLOOKUP($A43,'[1]import graded seats course pivo'!$A:Z,HLOOKUP('[1]Course Totals'!B$4,'[1]import graded seats course pivo'!$1:$2,2,FALSE),FALSE))),"")</f>
        <v/>
      </c>
      <c r="C43" s="14">
        <f>IFERROR((VLOOKUP($A43,'[1]import success seats course'!$A:Q,HLOOKUP('[1]Course Totals'!C$4,'[1]import success seats course'!$1:$2,2,FALSE),FALSE)/(VLOOKUP($A43,'[1]import graded seats course pivo'!$A:AA,HLOOKUP('[1]Course Totals'!C$4,'[1]import graded seats course pivo'!$1:$2,2,FALSE),FALSE))),"")</f>
        <v>0.9375</v>
      </c>
      <c r="D43" s="14">
        <f>IFERROR((VLOOKUP($A43,'[1]import success seats course'!$A:R,HLOOKUP('[1]Course Totals'!D$4,'[1]import success seats course'!$1:$2,2,FALSE),FALSE)/(VLOOKUP($A43,'[1]import graded seats course pivo'!$A:AB,HLOOKUP('[1]Course Totals'!D$4,'[1]import graded seats course pivo'!$1:$2,2,FALSE),FALSE))),"")</f>
        <v>0.8571428571428571</v>
      </c>
      <c r="E43" s="14" t="str">
        <f>IFERROR((VLOOKUP($A43,'[1]import success seats course'!$A:S,HLOOKUP('[1]Course Totals'!E$4,'[1]import success seats course'!$1:$2,2,FALSE),FALSE)/(VLOOKUP($A43,'[1]import graded seats course pivo'!$A:AC,HLOOKUP('[1]Course Totals'!E$4,'[1]import graded seats course pivo'!$1:$2,2,FALSE),FALSE))),"")</f>
        <v/>
      </c>
      <c r="F43" s="14">
        <f>IFERROR((VLOOKUP($A43,'[1]import success seats course'!$A:T,HLOOKUP('[1]Course Totals'!F$4,'[1]import success seats course'!$1:$2,2,FALSE),FALSE)/(VLOOKUP($A43,'[1]import graded seats course pivo'!$A:AD,HLOOKUP('[1]Course Totals'!F$4,'[1]import graded seats course pivo'!$1:$2,2,FALSE),FALSE))),"")</f>
        <v>0.70833333333333337</v>
      </c>
      <c r="G43" s="14">
        <f>IFERROR((VLOOKUP($A43,'[1]import success seats course'!$A:U,HLOOKUP('[1]Course Totals'!G$4,'[1]import success seats course'!$1:$2,2,FALSE),FALSE)/(VLOOKUP($A43,'[1]import graded seats course pivo'!$A:AE,HLOOKUP('[1]Course Totals'!G$4,'[1]import graded seats course pivo'!$1:$2,2,FALSE),FALSE))),"")</f>
        <v>0.65517241379310343</v>
      </c>
      <c r="H43" s="14" t="str">
        <f>IFERROR((VLOOKUP($A43,'[1]import success seats course'!$A:V,HLOOKUP('[1]Course Totals'!H$4,'[1]import success seats course'!$1:$2,2,FALSE),FALSE)/(VLOOKUP($A43,'[1]import graded seats course pivo'!$A:AF,HLOOKUP('[1]Course Totals'!H$4,'[1]import graded seats course pivo'!$1:$2,2,FALSE),FALSE))),"")</f>
        <v/>
      </c>
      <c r="I43" s="14">
        <f>IFERROR((VLOOKUP($A43,'[1]import success seats course'!$A:W,HLOOKUP('[1]Course Totals'!I$4,'[1]import success seats course'!$1:$2,2,FALSE),FALSE)/(VLOOKUP($A43,'[1]import graded seats course pivo'!$A:AG,HLOOKUP('[1]Course Totals'!I$4,'[1]import graded seats course pivo'!$1:$2,2,FALSE),FALSE))),"")</f>
        <v>0.94444444444444442</v>
      </c>
      <c r="J43" s="14">
        <f>IFERROR((VLOOKUP($A43,'[1]import success seats course'!$A:X,HLOOKUP('[1]Course Totals'!J$4,'[1]import success seats course'!$1:$2,2,FALSE),FALSE)/(VLOOKUP($A43,'[1]import graded seats course pivo'!$A:AH,HLOOKUP('[1]Course Totals'!J$4,'[1]import graded seats course pivo'!$1:$2,2,FALSE),FALSE))),"")</f>
        <v>0.75</v>
      </c>
      <c r="K43" s="14" t="str">
        <f>IFERROR((VLOOKUP($A43,'[1]import success seats course'!$A:Y,HLOOKUP('[1]Course Totals'!K$4,'[1]import success seats course'!$1:$2,2,FALSE),FALSE)/(VLOOKUP($A43,'[1]import graded seats course pivo'!$A:AI,HLOOKUP('[1]Course Totals'!K$4,'[1]import graded seats course pivo'!$1:$2,2,FALSE),FALSE))),"")</f>
        <v/>
      </c>
      <c r="L43" s="14">
        <f>IFERROR((VLOOKUP($A43,'[1]import success seats course'!$A:Z,HLOOKUP('[1]Course Totals'!L$4,'[1]import success seats course'!$1:$2,2,FALSE),FALSE)/(VLOOKUP($A43,'[1]import graded seats course pivo'!$A:AJ,HLOOKUP('[1]Course Totals'!L$4,'[1]import graded seats course pivo'!$1:$2,2,FALSE),FALSE))),"")</f>
        <v>1</v>
      </c>
      <c r="M43" s="14">
        <f>IFERROR((VLOOKUP($A43,'[1]import success seats course'!$A:AA,HLOOKUP('[1]Course Totals'!M$4,'[1]import success seats course'!$1:$2,2,FALSE),FALSE)/(VLOOKUP($A43,'[1]import graded seats course pivo'!$A:AK,HLOOKUP('[1]Course Totals'!M$4,'[1]import graded seats course pivo'!$1:$2,2,FALSE),FALSE))),"")</f>
        <v>1</v>
      </c>
      <c r="N43" s="14" t="str">
        <f>IFERROR((VLOOKUP($A43,'[1]import success seats course'!$A:AB,HLOOKUP('[1]Course Totals'!N$4,'[1]import success seats course'!$1:$2,2,FALSE),FALSE)/(VLOOKUP($A43,'[1]import graded seats course pivo'!$A:AL,HLOOKUP('[1]Course Totals'!N$4,'[1]import graded seats course pivo'!$1:$2,2,FALSE),FALSE))),"")</f>
        <v/>
      </c>
      <c r="O43" s="14">
        <f>IFERROR((VLOOKUP($A43,'[1]import success seats course'!$A:AC,HLOOKUP('[1]Course Totals'!O$4,'[1]import success seats course'!$1:$2,2,FALSE),FALSE)/(VLOOKUP($A43,'[1]import graded seats course pivo'!$A:AM,HLOOKUP('[1]Course Totals'!O$4,'[1]import graded seats course pivo'!$1:$2,2,FALSE),FALSE))),"")</f>
        <v>0.90909090909090906</v>
      </c>
      <c r="P43" s="14">
        <f>IFERROR((VLOOKUP($A43,'[1]import success seats course'!$A:AD,HLOOKUP('[1]Course Totals'!P$4,'[1]import success seats course'!$1:$2,2,FALSE),FALSE)/(VLOOKUP($A43,'[1]import graded seats course pivo'!$A:AN,HLOOKUP('[1]Course Totals'!P$4,'[1]import graded seats course pivo'!$1:$2,2,FALSE),FALSE))),"")</f>
        <v>1</v>
      </c>
      <c r="Q43" s="14">
        <f>IFERROR((VLOOKUP($A43,'[1]import success seats course'!$A:AE,HLOOKUP('[1]Course Totals'!Q$4,'[1]import success seats course'!$1:$2,2,FALSE),FALSE)/(VLOOKUP($A43,'[1]import graded seats course pivo'!$A:AO,HLOOKUP('[1]Course Totals'!Q$4,'[1]import graded seats course pivo'!$1:$2,2,FALSE),FALSE))),"")</f>
        <v>1</v>
      </c>
      <c r="R43" s="14" t="str">
        <f>IFERROR((VLOOKUP($A43,'[1]import success seats course'!$A:AF,HLOOKUP('[1]Course Totals'!R$4,'[1]import success seats course'!$1:$2,2,FALSE),FALSE)/(VLOOKUP($A43,'[1]import graded seats course pivo'!$A:AP,HLOOKUP('[1]Course Totals'!R$4,'[1]import graded seats course pivo'!$1:$2,2,FALSE),FALSE))),"")</f>
        <v/>
      </c>
      <c r="S43" s="14">
        <f>IFERROR((VLOOKUP($A43,'[1]import success seats course'!$A:AG,HLOOKUP('[1]Course Totals'!S$4,'[1]import success seats course'!$1:$2,2,FALSE),FALSE)/(VLOOKUP($A43,'[1]import graded seats course pivo'!$A:AQ,HLOOKUP('[1]Course Totals'!S$4,'[1]import graded seats course pivo'!$1:$2,2,FALSE),FALSE))),"")</f>
        <v>1</v>
      </c>
      <c r="Z43" s="7"/>
      <c r="AA43" s="7"/>
      <c r="AB43" s="7"/>
      <c r="AC43" s="7"/>
    </row>
    <row r="44" spans="1:29" x14ac:dyDescent="0.25">
      <c r="A44" s="12" t="s">
        <v>24</v>
      </c>
      <c r="B44" s="14" t="str">
        <f>IFERROR((VLOOKUP($A44,'[1]import success seats course'!$A:P,HLOOKUP('[1]Course Totals'!B$4,'[1]import success seats course'!$1:$2,2,FALSE),FALSE)/(VLOOKUP($A44,'[1]import graded seats course pivo'!$A:Z,HLOOKUP('[1]Course Totals'!B$4,'[1]import graded seats course pivo'!$1:$2,2,FALSE),FALSE))),"")</f>
        <v/>
      </c>
      <c r="C44" s="14">
        <f>IFERROR((VLOOKUP($A44,'[1]import success seats course'!$A:Q,HLOOKUP('[1]Course Totals'!C$4,'[1]import success seats course'!$1:$2,2,FALSE),FALSE)/(VLOOKUP($A44,'[1]import graded seats course pivo'!$A:AA,HLOOKUP('[1]Course Totals'!C$4,'[1]import graded seats course pivo'!$1:$2,2,FALSE),FALSE))),"")</f>
        <v>0.5</v>
      </c>
      <c r="D44" s="14">
        <f>IFERROR((VLOOKUP($A44,'[1]import success seats course'!$A:R,HLOOKUP('[1]Course Totals'!D$4,'[1]import success seats course'!$1:$2,2,FALSE),FALSE)/(VLOOKUP($A44,'[1]import graded seats course pivo'!$A:AB,HLOOKUP('[1]Course Totals'!D$4,'[1]import graded seats course pivo'!$1:$2,2,FALSE),FALSE))),"")</f>
        <v>0.5</v>
      </c>
      <c r="E44" s="14" t="str">
        <f>IFERROR((VLOOKUP($A44,'[1]import success seats course'!$A:S,HLOOKUP('[1]Course Totals'!E$4,'[1]import success seats course'!$1:$2,2,FALSE),FALSE)/(VLOOKUP($A44,'[1]import graded seats course pivo'!$A:AC,HLOOKUP('[1]Course Totals'!E$4,'[1]import graded seats course pivo'!$1:$2,2,FALSE),FALSE))),"")</f>
        <v/>
      </c>
      <c r="F44" s="14">
        <f>IFERROR((VLOOKUP($A44,'[1]import success seats course'!$A:T,HLOOKUP('[1]Course Totals'!F$4,'[1]import success seats course'!$1:$2,2,FALSE),FALSE)/(VLOOKUP($A44,'[1]import graded seats course pivo'!$A:AD,HLOOKUP('[1]Course Totals'!F$4,'[1]import graded seats course pivo'!$1:$2,2,FALSE),FALSE))),"")</f>
        <v>0.75</v>
      </c>
      <c r="G44" s="14">
        <f>IFERROR((VLOOKUP($A44,'[1]import success seats course'!$A:U,HLOOKUP('[1]Course Totals'!G$4,'[1]import success seats course'!$1:$2,2,FALSE),FALSE)/(VLOOKUP($A44,'[1]import graded seats course pivo'!$A:AE,HLOOKUP('[1]Course Totals'!G$4,'[1]import graded seats course pivo'!$1:$2,2,FALSE),FALSE))),"")</f>
        <v>0.70588235294117652</v>
      </c>
      <c r="H44" s="14" t="str">
        <f>IFERROR((VLOOKUP($A44,'[1]import success seats course'!$A:V,HLOOKUP('[1]Course Totals'!H$4,'[1]import success seats course'!$1:$2,2,FALSE),FALSE)/(VLOOKUP($A44,'[1]import graded seats course pivo'!$A:AF,HLOOKUP('[1]Course Totals'!H$4,'[1]import graded seats course pivo'!$1:$2,2,FALSE),FALSE))),"")</f>
        <v/>
      </c>
      <c r="I44" s="14">
        <f>IFERROR((VLOOKUP($A44,'[1]import success seats course'!$A:W,HLOOKUP('[1]Course Totals'!I$4,'[1]import success seats course'!$1:$2,2,FALSE),FALSE)/(VLOOKUP($A44,'[1]import graded seats course pivo'!$A:AG,HLOOKUP('[1]Course Totals'!I$4,'[1]import graded seats course pivo'!$1:$2,2,FALSE),FALSE))),"")</f>
        <v>1</v>
      </c>
      <c r="J44" s="14">
        <f>IFERROR((VLOOKUP($A44,'[1]import success seats course'!$A:X,HLOOKUP('[1]Course Totals'!J$4,'[1]import success seats course'!$1:$2,2,FALSE),FALSE)/(VLOOKUP($A44,'[1]import graded seats course pivo'!$A:AH,HLOOKUP('[1]Course Totals'!J$4,'[1]import graded seats course pivo'!$1:$2,2,FALSE),FALSE))),"")</f>
        <v>0.83333333333333337</v>
      </c>
      <c r="K44" s="14" t="str">
        <f>IFERROR((VLOOKUP($A44,'[1]import success seats course'!$A:Y,HLOOKUP('[1]Course Totals'!K$4,'[1]import success seats course'!$1:$2,2,FALSE),FALSE)/(VLOOKUP($A44,'[1]import graded seats course pivo'!$A:AI,HLOOKUP('[1]Course Totals'!K$4,'[1]import graded seats course pivo'!$1:$2,2,FALSE),FALSE))),"")</f>
        <v/>
      </c>
      <c r="L44" s="14">
        <f>IFERROR((VLOOKUP($A44,'[1]import success seats course'!$A:Z,HLOOKUP('[1]Course Totals'!L$4,'[1]import success seats course'!$1:$2,2,FALSE),FALSE)/(VLOOKUP($A44,'[1]import graded seats course pivo'!$A:AJ,HLOOKUP('[1]Course Totals'!L$4,'[1]import graded seats course pivo'!$1:$2,2,FALSE),FALSE))),"")</f>
        <v>0.8</v>
      </c>
      <c r="M44" s="14">
        <f>IFERROR((VLOOKUP($A44,'[1]import success seats course'!$A:AA,HLOOKUP('[1]Course Totals'!M$4,'[1]import success seats course'!$1:$2,2,FALSE),FALSE)/(VLOOKUP($A44,'[1]import graded seats course pivo'!$A:AK,HLOOKUP('[1]Course Totals'!M$4,'[1]import graded seats course pivo'!$1:$2,2,FALSE),FALSE))),"")</f>
        <v>1</v>
      </c>
      <c r="N44" s="14" t="str">
        <f>IFERROR((VLOOKUP($A44,'[1]import success seats course'!$A:AB,HLOOKUP('[1]Course Totals'!N$4,'[1]import success seats course'!$1:$2,2,FALSE),FALSE)/(VLOOKUP($A44,'[1]import graded seats course pivo'!$A:AL,HLOOKUP('[1]Course Totals'!N$4,'[1]import graded seats course pivo'!$1:$2,2,FALSE),FALSE))),"")</f>
        <v/>
      </c>
      <c r="O44" s="14">
        <f>IFERROR((VLOOKUP($A44,'[1]import success seats course'!$A:AC,HLOOKUP('[1]Course Totals'!O$4,'[1]import success seats course'!$1:$2,2,FALSE),FALSE)/(VLOOKUP($A44,'[1]import graded seats course pivo'!$A:AM,HLOOKUP('[1]Course Totals'!O$4,'[1]import graded seats course pivo'!$1:$2,2,FALSE),FALSE))),"")</f>
        <v>1</v>
      </c>
      <c r="P44" s="14">
        <f>IFERROR((VLOOKUP($A44,'[1]import success seats course'!$A:AD,HLOOKUP('[1]Course Totals'!P$4,'[1]import success seats course'!$1:$2,2,FALSE),FALSE)/(VLOOKUP($A44,'[1]import graded seats course pivo'!$A:AN,HLOOKUP('[1]Course Totals'!P$4,'[1]import graded seats course pivo'!$1:$2,2,FALSE),FALSE))),"")</f>
        <v>1</v>
      </c>
      <c r="Q44" s="14" t="str">
        <f>IFERROR((VLOOKUP($A44,'[1]import success seats course'!$A:AE,HLOOKUP('[1]Course Totals'!Q$4,'[1]import success seats course'!$1:$2,2,FALSE),FALSE)/(VLOOKUP($A44,'[1]import graded seats course pivo'!$A:AO,HLOOKUP('[1]Course Totals'!Q$4,'[1]import graded seats course pivo'!$1:$2,2,FALSE),FALSE))),"")</f>
        <v/>
      </c>
      <c r="R44" s="14" t="str">
        <f>IFERROR((VLOOKUP($A44,'[1]import success seats course'!$A:AF,HLOOKUP('[1]Course Totals'!R$4,'[1]import success seats course'!$1:$2,2,FALSE),FALSE)/(VLOOKUP($A44,'[1]import graded seats course pivo'!$A:AP,HLOOKUP('[1]Course Totals'!R$4,'[1]import graded seats course pivo'!$1:$2,2,FALSE),FALSE))),"")</f>
        <v/>
      </c>
      <c r="S44" s="14" t="str">
        <f>IFERROR((VLOOKUP($A44,'[1]import success seats course'!$A:AG,HLOOKUP('[1]Course Totals'!S$4,'[1]import success seats course'!$1:$2,2,FALSE),FALSE)/(VLOOKUP($A44,'[1]import graded seats course pivo'!$A:AQ,HLOOKUP('[1]Course Totals'!S$4,'[1]import graded seats course pivo'!$1:$2,2,FALSE),FALSE))),"")</f>
        <v/>
      </c>
      <c r="Z44" s="7"/>
      <c r="AA44" s="7"/>
      <c r="AB44" s="7"/>
      <c r="AC44" s="7"/>
    </row>
    <row r="45" spans="1:29" x14ac:dyDescent="0.25">
      <c r="A45" s="12" t="s">
        <v>870</v>
      </c>
      <c r="B45" s="14" t="str">
        <f>IFERROR((VLOOKUP($A45,'[1]import success seats course'!$A:P,HLOOKUP('[1]Course Totals'!B$4,'[1]import success seats course'!$1:$2,2,FALSE),FALSE)/(VLOOKUP($A45,'[1]import graded seats course pivo'!$A:Z,HLOOKUP('[1]Course Totals'!B$4,'[1]import graded seats course pivo'!$1:$2,2,FALSE),FALSE))),"")</f>
        <v/>
      </c>
      <c r="C45" s="14" t="str">
        <f>IFERROR((VLOOKUP($A45,'[1]import success seats course'!$A:Q,HLOOKUP('[1]Course Totals'!C$4,'[1]import success seats course'!$1:$2,2,FALSE),FALSE)/(VLOOKUP($A45,'[1]import graded seats course pivo'!$A:AA,HLOOKUP('[1]Course Totals'!C$4,'[1]import graded seats course pivo'!$1:$2,2,FALSE),FALSE))),"")</f>
        <v/>
      </c>
      <c r="D45" s="14">
        <f>IFERROR((VLOOKUP($A45,'[1]import success seats course'!$A:R,HLOOKUP('[1]Course Totals'!D$4,'[1]import success seats course'!$1:$2,2,FALSE),FALSE)/(VLOOKUP($A45,'[1]import graded seats course pivo'!$A:AB,HLOOKUP('[1]Course Totals'!D$4,'[1]import graded seats course pivo'!$1:$2,2,FALSE),FALSE))),"")</f>
        <v>0.92307692307692313</v>
      </c>
      <c r="E45" s="14" t="str">
        <f>IFERROR((VLOOKUP($A45,'[1]import success seats course'!$A:S,HLOOKUP('[1]Course Totals'!E$4,'[1]import success seats course'!$1:$2,2,FALSE),FALSE)/(VLOOKUP($A45,'[1]import graded seats course pivo'!$A:AC,HLOOKUP('[1]Course Totals'!E$4,'[1]import graded seats course pivo'!$1:$2,2,FALSE),FALSE))),"")</f>
        <v/>
      </c>
      <c r="F45" s="14" t="str">
        <f>IFERROR((VLOOKUP($A45,'[1]import success seats course'!$A:T,HLOOKUP('[1]Course Totals'!F$4,'[1]import success seats course'!$1:$2,2,FALSE),FALSE)/(VLOOKUP($A45,'[1]import graded seats course pivo'!$A:AD,HLOOKUP('[1]Course Totals'!F$4,'[1]import graded seats course pivo'!$1:$2,2,FALSE),FALSE))),"")</f>
        <v/>
      </c>
      <c r="G45" s="14" t="str">
        <f>IFERROR((VLOOKUP($A45,'[1]import success seats course'!$A:U,HLOOKUP('[1]Course Totals'!G$4,'[1]import success seats course'!$1:$2,2,FALSE),FALSE)/(VLOOKUP($A45,'[1]import graded seats course pivo'!$A:AE,HLOOKUP('[1]Course Totals'!G$4,'[1]import graded seats course pivo'!$1:$2,2,FALSE),FALSE))),"")</f>
        <v/>
      </c>
      <c r="H45" s="14" t="str">
        <f>IFERROR((VLOOKUP($A45,'[1]import success seats course'!$A:V,HLOOKUP('[1]Course Totals'!H$4,'[1]import success seats course'!$1:$2,2,FALSE),FALSE)/(VLOOKUP($A45,'[1]import graded seats course pivo'!$A:AF,HLOOKUP('[1]Course Totals'!H$4,'[1]import graded seats course pivo'!$1:$2,2,FALSE),FALSE))),"")</f>
        <v/>
      </c>
      <c r="I45" s="14" t="str">
        <f>IFERROR((VLOOKUP($A45,'[1]import success seats course'!$A:W,HLOOKUP('[1]Course Totals'!I$4,'[1]import success seats course'!$1:$2,2,FALSE),FALSE)/(VLOOKUP($A45,'[1]import graded seats course pivo'!$A:AG,HLOOKUP('[1]Course Totals'!I$4,'[1]import graded seats course pivo'!$1:$2,2,FALSE),FALSE))),"")</f>
        <v/>
      </c>
      <c r="J45" s="14" t="str">
        <f>IFERROR((VLOOKUP($A45,'[1]import success seats course'!$A:X,HLOOKUP('[1]Course Totals'!J$4,'[1]import success seats course'!$1:$2,2,FALSE),FALSE)/(VLOOKUP($A45,'[1]import graded seats course pivo'!$A:AH,HLOOKUP('[1]Course Totals'!J$4,'[1]import graded seats course pivo'!$1:$2,2,FALSE),FALSE))),"")</f>
        <v/>
      </c>
      <c r="K45" s="14" t="str">
        <f>IFERROR((VLOOKUP($A45,'[1]import success seats course'!$A:Y,HLOOKUP('[1]Course Totals'!K$4,'[1]import success seats course'!$1:$2,2,FALSE),FALSE)/(VLOOKUP($A45,'[1]import graded seats course pivo'!$A:AI,HLOOKUP('[1]Course Totals'!K$4,'[1]import graded seats course pivo'!$1:$2,2,FALSE),FALSE))),"")</f>
        <v/>
      </c>
      <c r="L45" s="14" t="str">
        <f>IFERROR((VLOOKUP($A45,'[1]import success seats course'!$A:Z,HLOOKUP('[1]Course Totals'!L$4,'[1]import success seats course'!$1:$2,2,FALSE),FALSE)/(VLOOKUP($A45,'[1]import graded seats course pivo'!$A:AJ,HLOOKUP('[1]Course Totals'!L$4,'[1]import graded seats course pivo'!$1:$2,2,FALSE),FALSE))),"")</f>
        <v/>
      </c>
      <c r="M45" s="14" t="str">
        <f>IFERROR((VLOOKUP($A45,'[1]import success seats course'!$A:AA,HLOOKUP('[1]Course Totals'!M$4,'[1]import success seats course'!$1:$2,2,FALSE),FALSE)/(VLOOKUP($A45,'[1]import graded seats course pivo'!$A:AK,HLOOKUP('[1]Course Totals'!M$4,'[1]import graded seats course pivo'!$1:$2,2,FALSE),FALSE))),"")</f>
        <v/>
      </c>
      <c r="N45" s="14" t="str">
        <f>IFERROR((VLOOKUP($A45,'[1]import success seats course'!$A:AB,HLOOKUP('[1]Course Totals'!N$4,'[1]import success seats course'!$1:$2,2,FALSE),FALSE)/(VLOOKUP($A45,'[1]import graded seats course pivo'!$A:AL,HLOOKUP('[1]Course Totals'!N$4,'[1]import graded seats course pivo'!$1:$2,2,FALSE),FALSE))),"")</f>
        <v/>
      </c>
      <c r="O45" s="14" t="str">
        <f>IFERROR((VLOOKUP($A45,'[1]import success seats course'!$A:AC,HLOOKUP('[1]Course Totals'!O$4,'[1]import success seats course'!$1:$2,2,FALSE),FALSE)/(VLOOKUP($A45,'[1]import graded seats course pivo'!$A:AM,HLOOKUP('[1]Course Totals'!O$4,'[1]import graded seats course pivo'!$1:$2,2,FALSE),FALSE))),"")</f>
        <v/>
      </c>
      <c r="P45" s="14" t="str">
        <f>IFERROR((VLOOKUP($A45,'[1]import success seats course'!$A:AD,HLOOKUP('[1]Course Totals'!P$4,'[1]import success seats course'!$1:$2,2,FALSE),FALSE)/(VLOOKUP($A45,'[1]import graded seats course pivo'!$A:AN,HLOOKUP('[1]Course Totals'!P$4,'[1]import graded seats course pivo'!$1:$2,2,FALSE),FALSE))),"")</f>
        <v/>
      </c>
      <c r="Q45" s="14" t="str">
        <f>IFERROR((VLOOKUP($A45,'[1]import success seats course'!$A:AE,HLOOKUP('[1]Course Totals'!Q$4,'[1]import success seats course'!$1:$2,2,FALSE),FALSE)/(VLOOKUP($A45,'[1]import graded seats course pivo'!$A:AO,HLOOKUP('[1]Course Totals'!Q$4,'[1]import graded seats course pivo'!$1:$2,2,FALSE),FALSE))),"")</f>
        <v/>
      </c>
      <c r="R45" s="14" t="str">
        <f>IFERROR((VLOOKUP($A45,'[1]import success seats course'!$A:AF,HLOOKUP('[1]Course Totals'!R$4,'[1]import success seats course'!$1:$2,2,FALSE),FALSE)/(VLOOKUP($A45,'[1]import graded seats course pivo'!$A:AP,HLOOKUP('[1]Course Totals'!R$4,'[1]import graded seats course pivo'!$1:$2,2,FALSE),FALSE))),"")</f>
        <v/>
      </c>
      <c r="S45" s="14" t="str">
        <f>IFERROR((VLOOKUP($A45,'[1]import success seats course'!$A:AG,HLOOKUP('[1]Course Totals'!S$4,'[1]import success seats course'!$1:$2,2,FALSE),FALSE)/(VLOOKUP($A45,'[1]import graded seats course pivo'!$A:AQ,HLOOKUP('[1]Course Totals'!S$4,'[1]import graded seats course pivo'!$1:$2,2,FALSE),FALSE))),"")</f>
        <v/>
      </c>
      <c r="Z45" s="7"/>
      <c r="AA45" s="7"/>
      <c r="AB45" s="7"/>
      <c r="AC45" s="7"/>
    </row>
    <row r="46" spans="1:29" s="7" customFormat="1" ht="15.75" x14ac:dyDescent="0.25">
      <c r="A46" s="9" t="s">
        <v>1139</v>
      </c>
      <c r="B46" s="67" t="str">
        <f>'[1]Subject TOTALS'!$B$1:$P$1</f>
        <v xml:space="preserve">MVC Retention Rates 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</row>
    <row r="47" spans="1:29" s="7" customFormat="1" ht="15.75" customHeight="1" thickBot="1" x14ac:dyDescent="0.3">
      <c r="A47" s="8" t="str">
        <f>'[1]SUBJECTS BASE'!H4</f>
        <v>Administration of Justice</v>
      </c>
      <c r="B47" s="38" t="s">
        <v>1046</v>
      </c>
      <c r="C47" s="39" t="s">
        <v>0</v>
      </c>
      <c r="D47" s="40" t="s">
        <v>868</v>
      </c>
      <c r="E47" s="41" t="s">
        <v>1052</v>
      </c>
      <c r="F47" s="42" t="s">
        <v>546</v>
      </c>
      <c r="G47" s="43" t="s">
        <v>959</v>
      </c>
      <c r="H47" s="44" t="s">
        <v>1060</v>
      </c>
      <c r="I47" s="39" t="s">
        <v>675</v>
      </c>
      <c r="J47" s="45" t="s">
        <v>1006</v>
      </c>
      <c r="K47" s="46" t="s">
        <v>1062</v>
      </c>
      <c r="L47" s="42" t="s">
        <v>762</v>
      </c>
      <c r="M47" s="43" t="s">
        <v>1022</v>
      </c>
      <c r="N47" s="44" t="s">
        <v>1063</v>
      </c>
      <c r="O47" s="39" t="s">
        <v>822</v>
      </c>
      <c r="P47" s="40" t="s">
        <v>1042</v>
      </c>
      <c r="Q47" s="46" t="s">
        <v>1153</v>
      </c>
      <c r="R47" s="42" t="s">
        <v>1154</v>
      </c>
      <c r="S47" s="43" t="s">
        <v>1155</v>
      </c>
    </row>
    <row r="48" spans="1:29" ht="15.75" customHeight="1" x14ac:dyDescent="0.25">
      <c r="A48" s="12" t="s">
        <v>25</v>
      </c>
      <c r="B48" s="14" t="str">
        <f>IFERROR((VLOOKUP($A48,'[1]import success seats course'!$A:P,HLOOKUP('[1]Course Totals'!B$4,'[1]import success seats course'!$1:$2,2,FALSE),FALSE)/(VLOOKUP($A48,'[1]import graded seats course pivo'!$A:Z,HLOOKUP('[1]Course Totals'!B$4,'[1]import graded seats course pivo'!$1:$2,2,FALSE),FALSE))),"")</f>
        <v/>
      </c>
      <c r="C48" s="14">
        <f>IFERROR((VLOOKUP($A48,'[1]import success seats course'!$A:Q,HLOOKUP('[1]Course Totals'!C$4,'[1]import success seats course'!$1:$2,2,FALSE),FALSE)/(VLOOKUP($A48,'[1]import graded seats course pivo'!$A:AA,HLOOKUP('[1]Course Totals'!C$4,'[1]import graded seats course pivo'!$1:$2,2,FALSE),FALSE))),"")</f>
        <v>0.8571428571428571</v>
      </c>
      <c r="D48" s="14">
        <f>IFERROR((VLOOKUP($A48,'[1]import success seats course'!$A:R,HLOOKUP('[1]Course Totals'!D$4,'[1]import success seats course'!$1:$2,2,FALSE),FALSE)/(VLOOKUP($A48,'[1]import graded seats course pivo'!$A:AB,HLOOKUP('[1]Course Totals'!D$4,'[1]import graded seats course pivo'!$1:$2,2,FALSE),FALSE))),"")</f>
        <v>0.9285714285714286</v>
      </c>
      <c r="E48" s="14" t="str">
        <f>IFERROR((VLOOKUP($A48,'[1]import success seats course'!$A:S,HLOOKUP('[1]Course Totals'!E$4,'[1]import success seats course'!$1:$2,2,FALSE),FALSE)/(VLOOKUP($A48,'[1]import graded seats course pivo'!$A:AC,HLOOKUP('[1]Course Totals'!E$4,'[1]import graded seats course pivo'!$1:$2,2,FALSE),FALSE))),"")</f>
        <v/>
      </c>
      <c r="F48" s="14">
        <f>IFERROR((VLOOKUP($A48,'[1]import success seats course'!$A:T,HLOOKUP('[1]Course Totals'!F$4,'[1]import success seats course'!$1:$2,2,FALSE),FALSE)/(VLOOKUP($A48,'[1]import graded seats course pivo'!$A:AD,HLOOKUP('[1]Course Totals'!F$4,'[1]import graded seats course pivo'!$1:$2,2,FALSE),FALSE))),"")</f>
        <v>0.90909090909090906</v>
      </c>
      <c r="G48" s="14">
        <f>IFERROR((VLOOKUP($A48,'[1]import success seats course'!$A:U,HLOOKUP('[1]Course Totals'!G$4,'[1]import success seats course'!$1:$2,2,FALSE),FALSE)/(VLOOKUP($A48,'[1]import graded seats course pivo'!$A:AE,HLOOKUP('[1]Course Totals'!G$4,'[1]import graded seats course pivo'!$1:$2,2,FALSE),FALSE))),"")</f>
        <v>1</v>
      </c>
      <c r="H48" s="14" t="str">
        <f>IFERROR((VLOOKUP($A48,'[1]import success seats course'!$A:V,HLOOKUP('[1]Course Totals'!H$4,'[1]import success seats course'!$1:$2,2,FALSE),FALSE)/(VLOOKUP($A48,'[1]import graded seats course pivo'!$A:AF,HLOOKUP('[1]Course Totals'!H$4,'[1]import graded seats course pivo'!$1:$2,2,FALSE),FALSE))),"")</f>
        <v/>
      </c>
      <c r="I48" s="14" t="str">
        <f>IFERROR((VLOOKUP($A48,'[1]import success seats course'!$A:W,HLOOKUP('[1]Course Totals'!I$4,'[1]import success seats course'!$1:$2,2,FALSE),FALSE)/(VLOOKUP($A48,'[1]import graded seats course pivo'!$A:AG,HLOOKUP('[1]Course Totals'!I$4,'[1]import graded seats course pivo'!$1:$2,2,FALSE),FALSE))),"")</f>
        <v/>
      </c>
      <c r="J48" s="14" t="str">
        <f>IFERROR((VLOOKUP($A48,'[1]import success seats course'!$A:X,HLOOKUP('[1]Course Totals'!J$4,'[1]import success seats course'!$1:$2,2,FALSE),FALSE)/(VLOOKUP($A48,'[1]import graded seats course pivo'!$A:AH,HLOOKUP('[1]Course Totals'!J$4,'[1]import graded seats course pivo'!$1:$2,2,FALSE),FALSE))),"")</f>
        <v/>
      </c>
      <c r="K48" s="14" t="str">
        <f>IFERROR((VLOOKUP($A48,'[1]import success seats course'!$A:Y,HLOOKUP('[1]Course Totals'!K$4,'[1]import success seats course'!$1:$2,2,FALSE),FALSE)/(VLOOKUP($A48,'[1]import graded seats course pivo'!$A:AI,HLOOKUP('[1]Course Totals'!K$4,'[1]import graded seats course pivo'!$1:$2,2,FALSE),FALSE))),"")</f>
        <v/>
      </c>
      <c r="L48" s="14" t="str">
        <f>IFERROR((VLOOKUP($A48,'[1]import success seats course'!$A:Z,HLOOKUP('[1]Course Totals'!L$4,'[1]import success seats course'!$1:$2,2,FALSE),FALSE)/(VLOOKUP($A48,'[1]import graded seats course pivo'!$A:AJ,HLOOKUP('[1]Course Totals'!L$4,'[1]import graded seats course pivo'!$1:$2,2,FALSE),FALSE))),"")</f>
        <v/>
      </c>
      <c r="M48" s="14" t="str">
        <f>IFERROR((VLOOKUP($A48,'[1]import success seats course'!$A:AA,HLOOKUP('[1]Course Totals'!M$4,'[1]import success seats course'!$1:$2,2,FALSE),FALSE)/(VLOOKUP($A48,'[1]import graded seats course pivo'!$A:AK,HLOOKUP('[1]Course Totals'!M$4,'[1]import graded seats course pivo'!$1:$2,2,FALSE),FALSE))),"")</f>
        <v/>
      </c>
      <c r="N48" s="14" t="str">
        <f>IFERROR((VLOOKUP($A48,'[1]import success seats course'!$A:AB,HLOOKUP('[1]Course Totals'!N$4,'[1]import success seats course'!$1:$2,2,FALSE),FALSE)/(VLOOKUP($A48,'[1]import graded seats course pivo'!$A:AL,HLOOKUP('[1]Course Totals'!N$4,'[1]import graded seats course pivo'!$1:$2,2,FALSE),FALSE))),"")</f>
        <v/>
      </c>
      <c r="O48" s="14" t="str">
        <f>IFERROR((VLOOKUP($A48,'[1]import success seats course'!$A:AC,HLOOKUP('[1]Course Totals'!O$4,'[1]import success seats course'!$1:$2,2,FALSE),FALSE)/(VLOOKUP($A48,'[1]import graded seats course pivo'!$A:AM,HLOOKUP('[1]Course Totals'!O$4,'[1]import graded seats course pivo'!$1:$2,2,FALSE),FALSE))),"")</f>
        <v/>
      </c>
      <c r="P48" s="14" t="str">
        <f>IFERROR((VLOOKUP($A48,'[1]import success seats course'!$A:AD,HLOOKUP('[1]Course Totals'!P$4,'[1]import success seats course'!$1:$2,2,FALSE),FALSE)/(VLOOKUP($A48,'[1]import graded seats course pivo'!$A:AN,HLOOKUP('[1]Course Totals'!P$4,'[1]import graded seats course pivo'!$1:$2,2,FALSE),FALSE))),"")</f>
        <v/>
      </c>
      <c r="Q48" s="14" t="str">
        <f>IFERROR((VLOOKUP($A48,'[1]import success seats course'!$A:AE,HLOOKUP('[1]Course Totals'!Q$4,'[1]import success seats course'!$1:$2,2,FALSE),FALSE)/(VLOOKUP($A48,'[1]import graded seats course pivo'!$A:AO,HLOOKUP('[1]Course Totals'!Q$4,'[1]import graded seats course pivo'!$1:$2,2,FALSE),FALSE))),"")</f>
        <v/>
      </c>
      <c r="R48" s="14" t="str">
        <f>IFERROR((VLOOKUP($A48,'[1]import success seats course'!$A:AF,HLOOKUP('[1]Course Totals'!R$4,'[1]import success seats course'!$1:$2,2,FALSE),FALSE)/(VLOOKUP($A48,'[1]import graded seats course pivo'!$A:AP,HLOOKUP('[1]Course Totals'!R$4,'[1]import graded seats course pivo'!$1:$2,2,FALSE),FALSE))),"")</f>
        <v/>
      </c>
      <c r="S48" s="14" t="str">
        <f>IFERROR((VLOOKUP($A48,'[1]import success seats course'!$A:AG,HLOOKUP('[1]Course Totals'!S$4,'[1]import success seats course'!$1:$2,2,FALSE),FALSE)/(VLOOKUP($A48,'[1]import graded seats course pivo'!$A:AQ,HLOOKUP('[1]Course Totals'!S$4,'[1]import graded seats course pivo'!$1:$2,2,FALSE),FALSE))),"")</f>
        <v/>
      </c>
      <c r="Z48" s="7"/>
      <c r="AA48" s="7"/>
      <c r="AB48" s="7"/>
      <c r="AC48" s="7"/>
    </row>
    <row r="49" spans="1:29" ht="15.75" customHeight="1" x14ac:dyDescent="0.25">
      <c r="A49" s="12" t="s">
        <v>26</v>
      </c>
      <c r="B49" s="14">
        <f>IFERROR((VLOOKUP($A49,'[1]import success seats course'!$A:P,HLOOKUP('[1]Course Totals'!B$4,'[1]import success seats course'!$1:$2,2,FALSE),FALSE)/(VLOOKUP($A49,'[1]import graded seats course pivo'!$A:Z,HLOOKUP('[1]Course Totals'!B$4,'[1]import graded seats course pivo'!$1:$2,2,FALSE),FALSE))),"")</f>
        <v>1</v>
      </c>
      <c r="C49" s="14">
        <f>IFERROR((VLOOKUP($A49,'[1]import success seats course'!$A:Q,HLOOKUP('[1]Course Totals'!C$4,'[1]import success seats course'!$1:$2,2,FALSE),FALSE)/(VLOOKUP($A49,'[1]import graded seats course pivo'!$A:AA,HLOOKUP('[1]Course Totals'!C$4,'[1]import graded seats course pivo'!$1:$2,2,FALSE),FALSE))),"")</f>
        <v>1</v>
      </c>
      <c r="D49" s="14" t="str">
        <f>IFERROR((VLOOKUP($A49,'[1]import success seats course'!$A:R,HLOOKUP('[1]Course Totals'!D$4,'[1]import success seats course'!$1:$2,2,FALSE),FALSE)/(VLOOKUP($A49,'[1]import graded seats course pivo'!$A:AB,HLOOKUP('[1]Course Totals'!D$4,'[1]import graded seats course pivo'!$1:$2,2,FALSE),FALSE))),"")</f>
        <v/>
      </c>
      <c r="E49" s="14" t="str">
        <f>IFERROR((VLOOKUP($A49,'[1]import success seats course'!$A:S,HLOOKUP('[1]Course Totals'!E$4,'[1]import success seats course'!$1:$2,2,FALSE),FALSE)/(VLOOKUP($A49,'[1]import graded seats course pivo'!$A:AC,HLOOKUP('[1]Course Totals'!E$4,'[1]import graded seats course pivo'!$1:$2,2,FALSE),FALSE))),"")</f>
        <v/>
      </c>
      <c r="F49" s="14">
        <f>IFERROR((VLOOKUP($A49,'[1]import success seats course'!$A:T,HLOOKUP('[1]Course Totals'!F$4,'[1]import success seats course'!$1:$2,2,FALSE),FALSE)/(VLOOKUP($A49,'[1]import graded seats course pivo'!$A:AD,HLOOKUP('[1]Course Totals'!F$4,'[1]import graded seats course pivo'!$1:$2,2,FALSE),FALSE))),"")</f>
        <v>0.93103448275862066</v>
      </c>
      <c r="G49" s="14" t="str">
        <f>IFERROR((VLOOKUP($A49,'[1]import success seats course'!$A:U,HLOOKUP('[1]Course Totals'!G$4,'[1]import success seats course'!$1:$2,2,FALSE),FALSE)/(VLOOKUP($A49,'[1]import graded seats course pivo'!$A:AE,HLOOKUP('[1]Course Totals'!G$4,'[1]import graded seats course pivo'!$1:$2,2,FALSE),FALSE))),"")</f>
        <v/>
      </c>
      <c r="H49" s="14">
        <f>IFERROR((VLOOKUP($A49,'[1]import success seats course'!$A:V,HLOOKUP('[1]Course Totals'!H$4,'[1]import success seats course'!$1:$2,2,FALSE),FALSE)/(VLOOKUP($A49,'[1]import graded seats course pivo'!$A:AF,HLOOKUP('[1]Course Totals'!H$4,'[1]import graded seats course pivo'!$1:$2,2,FALSE),FALSE))),"")</f>
        <v>0.97368421052631582</v>
      </c>
      <c r="I49" s="14" t="str">
        <f>IFERROR((VLOOKUP($A49,'[1]import success seats course'!$A:W,HLOOKUP('[1]Course Totals'!I$4,'[1]import success seats course'!$1:$2,2,FALSE),FALSE)/(VLOOKUP($A49,'[1]import graded seats course pivo'!$A:AG,HLOOKUP('[1]Course Totals'!I$4,'[1]import graded seats course pivo'!$1:$2,2,FALSE),FALSE))),"")</f>
        <v/>
      </c>
      <c r="J49" s="14">
        <f>IFERROR((VLOOKUP($A49,'[1]import success seats course'!$A:X,HLOOKUP('[1]Course Totals'!J$4,'[1]import success seats course'!$1:$2,2,FALSE),FALSE)/(VLOOKUP($A49,'[1]import graded seats course pivo'!$A:AH,HLOOKUP('[1]Course Totals'!J$4,'[1]import graded seats course pivo'!$1:$2,2,FALSE),FALSE))),"")</f>
        <v>0.98039215686274506</v>
      </c>
      <c r="K49" s="14" t="str">
        <f>IFERROR((VLOOKUP($A49,'[1]import success seats course'!$A:Y,HLOOKUP('[1]Course Totals'!K$4,'[1]import success seats course'!$1:$2,2,FALSE),FALSE)/(VLOOKUP($A49,'[1]import graded seats course pivo'!$A:AI,HLOOKUP('[1]Course Totals'!K$4,'[1]import graded seats course pivo'!$1:$2,2,FALSE),FALSE))),"")</f>
        <v/>
      </c>
      <c r="L49" s="14">
        <f>IFERROR((VLOOKUP($A49,'[1]import success seats course'!$A:Z,HLOOKUP('[1]Course Totals'!L$4,'[1]import success seats course'!$1:$2,2,FALSE),FALSE)/(VLOOKUP($A49,'[1]import graded seats course pivo'!$A:AJ,HLOOKUP('[1]Course Totals'!L$4,'[1]import graded seats course pivo'!$1:$2,2,FALSE),FALSE))),"")</f>
        <v>0.9555555555555556</v>
      </c>
      <c r="M49" s="14" t="str">
        <f>IFERROR((VLOOKUP($A49,'[1]import success seats course'!$A:AA,HLOOKUP('[1]Course Totals'!M$4,'[1]import success seats course'!$1:$2,2,FALSE),FALSE)/(VLOOKUP($A49,'[1]import graded seats course pivo'!$A:AK,HLOOKUP('[1]Course Totals'!M$4,'[1]import graded seats course pivo'!$1:$2,2,FALSE),FALSE))),"")</f>
        <v/>
      </c>
      <c r="N49" s="14" t="str">
        <f>IFERROR((VLOOKUP($A49,'[1]import success seats course'!$A:AB,HLOOKUP('[1]Course Totals'!N$4,'[1]import success seats course'!$1:$2,2,FALSE),FALSE)/(VLOOKUP($A49,'[1]import graded seats course pivo'!$A:AL,HLOOKUP('[1]Course Totals'!N$4,'[1]import graded seats course pivo'!$1:$2,2,FALSE),FALSE))),"")</f>
        <v/>
      </c>
      <c r="O49" s="14">
        <f>IFERROR((VLOOKUP($A49,'[1]import success seats course'!$A:AC,HLOOKUP('[1]Course Totals'!O$4,'[1]import success seats course'!$1:$2,2,FALSE),FALSE)/(VLOOKUP($A49,'[1]import graded seats course pivo'!$A:AM,HLOOKUP('[1]Course Totals'!O$4,'[1]import graded seats course pivo'!$1:$2,2,FALSE),FALSE))),"")</f>
        <v>0.97499999999999998</v>
      </c>
      <c r="P49" s="14" t="str">
        <f>IFERROR((VLOOKUP($A49,'[1]import success seats course'!$A:AD,HLOOKUP('[1]Course Totals'!P$4,'[1]import success seats course'!$1:$2,2,FALSE),FALSE)/(VLOOKUP($A49,'[1]import graded seats course pivo'!$A:AN,HLOOKUP('[1]Course Totals'!P$4,'[1]import graded seats course pivo'!$1:$2,2,FALSE),FALSE))),"")</f>
        <v/>
      </c>
      <c r="Q49" s="14" t="str">
        <f>IFERROR((VLOOKUP($A49,'[1]import success seats course'!$A:AE,HLOOKUP('[1]Course Totals'!Q$4,'[1]import success seats course'!$1:$2,2,FALSE),FALSE)/(VLOOKUP($A49,'[1]import graded seats course pivo'!$A:AO,HLOOKUP('[1]Course Totals'!Q$4,'[1]import graded seats course pivo'!$1:$2,2,FALSE),FALSE))),"")</f>
        <v/>
      </c>
      <c r="R49" s="14" t="str">
        <f>IFERROR((VLOOKUP($A49,'[1]import success seats course'!$A:AF,HLOOKUP('[1]Course Totals'!R$4,'[1]import success seats course'!$1:$2,2,FALSE),FALSE)/(VLOOKUP($A49,'[1]import graded seats course pivo'!$A:AP,HLOOKUP('[1]Course Totals'!R$4,'[1]import graded seats course pivo'!$1:$2,2,FALSE),FALSE))),"")</f>
        <v/>
      </c>
      <c r="S49" s="14">
        <f>IFERROR((VLOOKUP($A49,'[1]import success seats course'!$A:AG,HLOOKUP('[1]Course Totals'!S$4,'[1]import success seats course'!$1:$2,2,FALSE),FALSE)/(VLOOKUP($A49,'[1]import graded seats course pivo'!$A:AQ,HLOOKUP('[1]Course Totals'!S$4,'[1]import graded seats course pivo'!$1:$2,2,FALSE),FALSE))),"")</f>
        <v>0.97499999999999998</v>
      </c>
      <c r="Z49" s="7"/>
      <c r="AA49" s="7"/>
      <c r="AB49" s="7"/>
      <c r="AC49" s="7"/>
    </row>
    <row r="50" spans="1:29" ht="15.75" customHeight="1" x14ac:dyDescent="0.25">
      <c r="A50" s="12" t="s">
        <v>27</v>
      </c>
      <c r="B50" s="14" t="str">
        <f>IFERROR((VLOOKUP($A50,'[1]import success seats course'!$A:P,HLOOKUP('[1]Course Totals'!B$4,'[1]import success seats course'!$1:$2,2,FALSE),FALSE)/(VLOOKUP($A50,'[1]import graded seats course pivo'!$A:Z,HLOOKUP('[1]Course Totals'!B$4,'[1]import graded seats course pivo'!$1:$2,2,FALSE),FALSE))),"")</f>
        <v/>
      </c>
      <c r="C50" s="14" t="str">
        <f>IFERROR((VLOOKUP($A50,'[1]import success seats course'!$A:Q,HLOOKUP('[1]Course Totals'!C$4,'[1]import success seats course'!$1:$2,2,FALSE),FALSE)/(VLOOKUP($A50,'[1]import graded seats course pivo'!$A:AA,HLOOKUP('[1]Course Totals'!C$4,'[1]import graded seats course pivo'!$1:$2,2,FALSE),FALSE))),"")</f>
        <v/>
      </c>
      <c r="D50" s="14">
        <f>IFERROR((VLOOKUP($A50,'[1]import success seats course'!$A:R,HLOOKUP('[1]Course Totals'!D$4,'[1]import success seats course'!$1:$2,2,FALSE),FALSE)/(VLOOKUP($A50,'[1]import graded seats course pivo'!$A:AB,HLOOKUP('[1]Course Totals'!D$4,'[1]import graded seats course pivo'!$1:$2,2,FALSE),FALSE))),"")</f>
        <v>0.9464285714285714</v>
      </c>
      <c r="E50" s="14" t="str">
        <f>IFERROR((VLOOKUP($A50,'[1]import success seats course'!$A:S,HLOOKUP('[1]Course Totals'!E$4,'[1]import success seats course'!$1:$2,2,FALSE),FALSE)/(VLOOKUP($A50,'[1]import graded seats course pivo'!$A:AC,HLOOKUP('[1]Course Totals'!E$4,'[1]import graded seats course pivo'!$1:$2,2,FALSE),FALSE))),"")</f>
        <v/>
      </c>
      <c r="F50" s="14">
        <f>IFERROR((VLOOKUP($A50,'[1]import success seats course'!$A:T,HLOOKUP('[1]Course Totals'!F$4,'[1]import success seats course'!$1:$2,2,FALSE),FALSE)/(VLOOKUP($A50,'[1]import graded seats course pivo'!$A:AD,HLOOKUP('[1]Course Totals'!F$4,'[1]import graded seats course pivo'!$1:$2,2,FALSE),FALSE))),"")</f>
        <v>1</v>
      </c>
      <c r="G50" s="14" t="str">
        <f>IFERROR((VLOOKUP($A50,'[1]import success seats course'!$A:U,HLOOKUP('[1]Course Totals'!G$4,'[1]import success seats course'!$1:$2,2,FALSE),FALSE)/(VLOOKUP($A50,'[1]import graded seats course pivo'!$A:AE,HLOOKUP('[1]Course Totals'!G$4,'[1]import graded seats course pivo'!$1:$2,2,FALSE),FALSE))),"")</f>
        <v/>
      </c>
      <c r="H50" s="14" t="str">
        <f>IFERROR((VLOOKUP($A50,'[1]import success seats course'!$A:V,HLOOKUP('[1]Course Totals'!H$4,'[1]import success seats course'!$1:$2,2,FALSE),FALSE)/(VLOOKUP($A50,'[1]import graded seats course pivo'!$A:AF,HLOOKUP('[1]Course Totals'!H$4,'[1]import graded seats course pivo'!$1:$2,2,FALSE),FALSE))),"")</f>
        <v/>
      </c>
      <c r="I50" s="14">
        <f>IFERROR((VLOOKUP($A50,'[1]import success seats course'!$A:W,HLOOKUP('[1]Course Totals'!I$4,'[1]import success seats course'!$1:$2,2,FALSE),FALSE)/(VLOOKUP($A50,'[1]import graded seats course pivo'!$A:AG,HLOOKUP('[1]Course Totals'!I$4,'[1]import graded seats course pivo'!$1:$2,2,FALSE),FALSE))),"")</f>
        <v>0.87234042553191493</v>
      </c>
      <c r="J50" s="14" t="str">
        <f>IFERROR((VLOOKUP($A50,'[1]import success seats course'!$A:X,HLOOKUP('[1]Course Totals'!J$4,'[1]import success seats course'!$1:$2,2,FALSE),FALSE)/(VLOOKUP($A50,'[1]import graded seats course pivo'!$A:AH,HLOOKUP('[1]Course Totals'!J$4,'[1]import graded seats course pivo'!$1:$2,2,FALSE),FALSE))),"")</f>
        <v/>
      </c>
      <c r="K50" s="14" t="str">
        <f>IFERROR((VLOOKUP($A50,'[1]import success seats course'!$A:Y,HLOOKUP('[1]Course Totals'!K$4,'[1]import success seats course'!$1:$2,2,FALSE),FALSE)/(VLOOKUP($A50,'[1]import graded seats course pivo'!$A:AI,HLOOKUP('[1]Course Totals'!K$4,'[1]import graded seats course pivo'!$1:$2,2,FALSE),FALSE))),"")</f>
        <v/>
      </c>
      <c r="L50" s="14">
        <f>IFERROR((VLOOKUP($A50,'[1]import success seats course'!$A:Z,HLOOKUP('[1]Course Totals'!L$4,'[1]import success seats course'!$1:$2,2,FALSE),FALSE)/(VLOOKUP($A50,'[1]import graded seats course pivo'!$A:AJ,HLOOKUP('[1]Course Totals'!L$4,'[1]import graded seats course pivo'!$1:$2,2,FALSE),FALSE))),"")</f>
        <v>0.92307692307692313</v>
      </c>
      <c r="M50" s="14" t="str">
        <f>IFERROR((VLOOKUP($A50,'[1]import success seats course'!$A:AA,HLOOKUP('[1]Course Totals'!M$4,'[1]import success seats course'!$1:$2,2,FALSE),FALSE)/(VLOOKUP($A50,'[1]import graded seats course pivo'!$A:AK,HLOOKUP('[1]Course Totals'!M$4,'[1]import graded seats course pivo'!$1:$2,2,FALSE),FALSE))),"")</f>
        <v/>
      </c>
      <c r="N50" s="14" t="str">
        <f>IFERROR((VLOOKUP($A50,'[1]import success seats course'!$A:AB,HLOOKUP('[1]Course Totals'!N$4,'[1]import success seats course'!$1:$2,2,FALSE),FALSE)/(VLOOKUP($A50,'[1]import graded seats course pivo'!$A:AL,HLOOKUP('[1]Course Totals'!N$4,'[1]import graded seats course pivo'!$1:$2,2,FALSE),FALSE))),"")</f>
        <v/>
      </c>
      <c r="O50" s="14" t="str">
        <f>IFERROR((VLOOKUP($A50,'[1]import success seats course'!$A:AC,HLOOKUP('[1]Course Totals'!O$4,'[1]import success seats course'!$1:$2,2,FALSE),FALSE)/(VLOOKUP($A50,'[1]import graded seats course pivo'!$A:AM,HLOOKUP('[1]Course Totals'!O$4,'[1]import graded seats course pivo'!$1:$2,2,FALSE),FALSE))),"")</f>
        <v/>
      </c>
      <c r="P50" s="14" t="str">
        <f>IFERROR((VLOOKUP($A50,'[1]import success seats course'!$A:AD,HLOOKUP('[1]Course Totals'!P$4,'[1]import success seats course'!$1:$2,2,FALSE),FALSE)/(VLOOKUP($A50,'[1]import graded seats course pivo'!$A:AN,HLOOKUP('[1]Course Totals'!P$4,'[1]import graded seats course pivo'!$1:$2,2,FALSE),FALSE))),"")</f>
        <v/>
      </c>
      <c r="Q50" s="14" t="str">
        <f>IFERROR((VLOOKUP($A50,'[1]import success seats course'!$A:AE,HLOOKUP('[1]Course Totals'!Q$4,'[1]import success seats course'!$1:$2,2,FALSE),FALSE)/(VLOOKUP($A50,'[1]import graded seats course pivo'!$A:AO,HLOOKUP('[1]Course Totals'!Q$4,'[1]import graded seats course pivo'!$1:$2,2,FALSE),FALSE))),"")</f>
        <v/>
      </c>
      <c r="R50" s="14">
        <f>IFERROR((VLOOKUP($A50,'[1]import success seats course'!$A:AF,HLOOKUP('[1]Course Totals'!R$4,'[1]import success seats course'!$1:$2,2,FALSE),FALSE)/(VLOOKUP($A50,'[1]import graded seats course pivo'!$A:AP,HLOOKUP('[1]Course Totals'!R$4,'[1]import graded seats course pivo'!$1:$2,2,FALSE),FALSE))),"")</f>
        <v>0.92771084337349397</v>
      </c>
      <c r="S50" s="14" t="str">
        <f>IFERROR((VLOOKUP($A50,'[1]import success seats course'!$A:AG,HLOOKUP('[1]Course Totals'!S$4,'[1]import success seats course'!$1:$2,2,FALSE),FALSE)/(VLOOKUP($A50,'[1]import graded seats course pivo'!$A:AQ,HLOOKUP('[1]Course Totals'!S$4,'[1]import graded seats course pivo'!$1:$2,2,FALSE),FALSE))),"")</f>
        <v/>
      </c>
      <c r="Z50" s="7"/>
      <c r="AA50" s="7"/>
      <c r="AB50" s="7"/>
      <c r="AC50" s="7"/>
    </row>
    <row r="51" spans="1:29" ht="15.75" customHeight="1" x14ac:dyDescent="0.25">
      <c r="A51" s="12" t="s">
        <v>28</v>
      </c>
      <c r="B51" s="14" t="str">
        <f>IFERROR((VLOOKUP($A51,'[1]import success seats course'!$A:P,HLOOKUP('[1]Course Totals'!B$4,'[1]import success seats course'!$1:$2,2,FALSE),FALSE)/(VLOOKUP($A51,'[1]import graded seats course pivo'!$A:Z,HLOOKUP('[1]Course Totals'!B$4,'[1]import graded seats course pivo'!$1:$2,2,FALSE),FALSE))),"")</f>
        <v/>
      </c>
      <c r="C51" s="14" t="str">
        <f>IFERROR((VLOOKUP($A51,'[1]import success seats course'!$A:Q,HLOOKUP('[1]Course Totals'!C$4,'[1]import success seats course'!$1:$2,2,FALSE),FALSE)/(VLOOKUP($A51,'[1]import graded seats course pivo'!$A:AA,HLOOKUP('[1]Course Totals'!C$4,'[1]import graded seats course pivo'!$1:$2,2,FALSE),FALSE))),"")</f>
        <v/>
      </c>
      <c r="D51" s="14">
        <f>IFERROR((VLOOKUP($A51,'[1]import success seats course'!$A:R,HLOOKUP('[1]Course Totals'!D$4,'[1]import success seats course'!$1:$2,2,FALSE),FALSE)/(VLOOKUP($A51,'[1]import graded seats course pivo'!$A:AB,HLOOKUP('[1]Course Totals'!D$4,'[1]import graded seats course pivo'!$1:$2,2,FALSE),FALSE))),"")</f>
        <v>1</v>
      </c>
      <c r="E51" s="14" t="str">
        <f>IFERROR((VLOOKUP($A51,'[1]import success seats course'!$A:S,HLOOKUP('[1]Course Totals'!E$4,'[1]import success seats course'!$1:$2,2,FALSE),FALSE)/(VLOOKUP($A51,'[1]import graded seats course pivo'!$A:AC,HLOOKUP('[1]Course Totals'!E$4,'[1]import graded seats course pivo'!$1:$2,2,FALSE),FALSE))),"")</f>
        <v/>
      </c>
      <c r="F51" s="14" t="str">
        <f>IFERROR((VLOOKUP($A51,'[1]import success seats course'!$A:T,HLOOKUP('[1]Course Totals'!F$4,'[1]import success seats course'!$1:$2,2,FALSE),FALSE)/(VLOOKUP($A51,'[1]import graded seats course pivo'!$A:AD,HLOOKUP('[1]Course Totals'!F$4,'[1]import graded seats course pivo'!$1:$2,2,FALSE),FALSE))),"")</f>
        <v/>
      </c>
      <c r="G51" s="14">
        <f>IFERROR((VLOOKUP($A51,'[1]import success seats course'!$A:U,HLOOKUP('[1]Course Totals'!G$4,'[1]import success seats course'!$1:$2,2,FALSE),FALSE)/(VLOOKUP($A51,'[1]import graded seats course pivo'!$A:AE,HLOOKUP('[1]Course Totals'!G$4,'[1]import graded seats course pivo'!$1:$2,2,FALSE),FALSE))),"")</f>
        <v>0.91428571428571426</v>
      </c>
      <c r="H51" s="14" t="str">
        <f>IFERROR((VLOOKUP($A51,'[1]import success seats course'!$A:V,HLOOKUP('[1]Course Totals'!H$4,'[1]import success seats course'!$1:$2,2,FALSE),FALSE)/(VLOOKUP($A51,'[1]import graded seats course pivo'!$A:AF,HLOOKUP('[1]Course Totals'!H$4,'[1]import graded seats course pivo'!$1:$2,2,FALSE),FALSE))),"")</f>
        <v/>
      </c>
      <c r="I51" s="14" t="str">
        <f>IFERROR((VLOOKUP($A51,'[1]import success seats course'!$A:W,HLOOKUP('[1]Course Totals'!I$4,'[1]import success seats course'!$1:$2,2,FALSE),FALSE)/(VLOOKUP($A51,'[1]import graded seats course pivo'!$A:AG,HLOOKUP('[1]Course Totals'!I$4,'[1]import graded seats course pivo'!$1:$2,2,FALSE),FALSE))),"")</f>
        <v/>
      </c>
      <c r="J51" s="14" t="str">
        <f>IFERROR((VLOOKUP($A51,'[1]import success seats course'!$A:X,HLOOKUP('[1]Course Totals'!J$4,'[1]import success seats course'!$1:$2,2,FALSE),FALSE)/(VLOOKUP($A51,'[1]import graded seats course pivo'!$A:AH,HLOOKUP('[1]Course Totals'!J$4,'[1]import graded seats course pivo'!$1:$2,2,FALSE),FALSE))),"")</f>
        <v/>
      </c>
      <c r="K51" s="14" t="str">
        <f>IFERROR((VLOOKUP($A51,'[1]import success seats course'!$A:Y,HLOOKUP('[1]Course Totals'!K$4,'[1]import success seats course'!$1:$2,2,FALSE),FALSE)/(VLOOKUP($A51,'[1]import graded seats course pivo'!$A:AI,HLOOKUP('[1]Course Totals'!K$4,'[1]import graded seats course pivo'!$1:$2,2,FALSE),FALSE))),"")</f>
        <v/>
      </c>
      <c r="L51" s="14">
        <f>IFERROR((VLOOKUP($A51,'[1]import success seats course'!$A:Z,HLOOKUP('[1]Course Totals'!L$4,'[1]import success seats course'!$1:$2,2,FALSE),FALSE)/(VLOOKUP($A51,'[1]import graded seats course pivo'!$A:AJ,HLOOKUP('[1]Course Totals'!L$4,'[1]import graded seats course pivo'!$1:$2,2,FALSE),FALSE))),"")</f>
        <v>0.91176470588235292</v>
      </c>
      <c r="M51" s="14" t="str">
        <f>IFERROR((VLOOKUP($A51,'[1]import success seats course'!$A:AA,HLOOKUP('[1]Course Totals'!M$4,'[1]import success seats course'!$1:$2,2,FALSE),FALSE)/(VLOOKUP($A51,'[1]import graded seats course pivo'!$A:AK,HLOOKUP('[1]Course Totals'!M$4,'[1]import graded seats course pivo'!$1:$2,2,FALSE),FALSE))),"")</f>
        <v/>
      </c>
      <c r="N51" s="14" t="str">
        <f>IFERROR((VLOOKUP($A51,'[1]import success seats course'!$A:AB,HLOOKUP('[1]Course Totals'!N$4,'[1]import success seats course'!$1:$2,2,FALSE),FALSE)/(VLOOKUP($A51,'[1]import graded seats course pivo'!$A:AL,HLOOKUP('[1]Course Totals'!N$4,'[1]import graded seats course pivo'!$1:$2,2,FALSE),FALSE))),"")</f>
        <v/>
      </c>
      <c r="O51" s="14" t="str">
        <f>IFERROR((VLOOKUP($A51,'[1]import success seats course'!$A:AC,HLOOKUP('[1]Course Totals'!O$4,'[1]import success seats course'!$1:$2,2,FALSE),FALSE)/(VLOOKUP($A51,'[1]import graded seats course pivo'!$A:AM,HLOOKUP('[1]Course Totals'!O$4,'[1]import graded seats course pivo'!$1:$2,2,FALSE),FALSE))),"")</f>
        <v/>
      </c>
      <c r="P51" s="14" t="str">
        <f>IFERROR((VLOOKUP($A51,'[1]import success seats course'!$A:AD,HLOOKUP('[1]Course Totals'!P$4,'[1]import success seats course'!$1:$2,2,FALSE),FALSE)/(VLOOKUP($A51,'[1]import graded seats course pivo'!$A:AN,HLOOKUP('[1]Course Totals'!P$4,'[1]import graded seats course pivo'!$1:$2,2,FALSE),FALSE))),"")</f>
        <v/>
      </c>
      <c r="Q51" s="14" t="str">
        <f>IFERROR((VLOOKUP($A51,'[1]import success seats course'!$A:AE,HLOOKUP('[1]Course Totals'!Q$4,'[1]import success seats course'!$1:$2,2,FALSE),FALSE)/(VLOOKUP($A51,'[1]import graded seats course pivo'!$A:AO,HLOOKUP('[1]Course Totals'!Q$4,'[1]import graded seats course pivo'!$1:$2,2,FALSE),FALSE))),"")</f>
        <v/>
      </c>
      <c r="R51" s="14" t="str">
        <f>IFERROR((VLOOKUP($A51,'[1]import success seats course'!$A:AF,HLOOKUP('[1]Course Totals'!R$4,'[1]import success seats course'!$1:$2,2,FALSE),FALSE)/(VLOOKUP($A51,'[1]import graded seats course pivo'!$A:AP,HLOOKUP('[1]Course Totals'!R$4,'[1]import graded seats course pivo'!$1:$2,2,FALSE),FALSE))),"")</f>
        <v/>
      </c>
      <c r="S51" s="14">
        <f>IFERROR((VLOOKUP($A51,'[1]import success seats course'!$A:AG,HLOOKUP('[1]Course Totals'!S$4,'[1]import success seats course'!$1:$2,2,FALSE),FALSE)/(VLOOKUP($A51,'[1]import graded seats course pivo'!$A:AQ,HLOOKUP('[1]Course Totals'!S$4,'[1]import graded seats course pivo'!$1:$2,2,FALSE),FALSE))),"")</f>
        <v>0.875</v>
      </c>
      <c r="Z51" s="7"/>
      <c r="AA51" s="7"/>
      <c r="AB51" s="7"/>
      <c r="AC51" s="7"/>
    </row>
    <row r="52" spans="1:29" ht="15.75" customHeight="1" x14ac:dyDescent="0.25">
      <c r="A52" s="12" t="s">
        <v>550</v>
      </c>
      <c r="B52" s="14" t="str">
        <f>IFERROR((VLOOKUP($A52,'[1]import success seats course'!$A:P,HLOOKUP('[1]Course Totals'!B$4,'[1]import success seats course'!$1:$2,2,FALSE),FALSE)/(VLOOKUP($A52,'[1]import graded seats course pivo'!$A:Z,HLOOKUP('[1]Course Totals'!B$4,'[1]import graded seats course pivo'!$1:$2,2,FALSE),FALSE))),"")</f>
        <v/>
      </c>
      <c r="C52" s="14" t="str">
        <f>IFERROR((VLOOKUP($A52,'[1]import success seats course'!$A:Q,HLOOKUP('[1]Course Totals'!C$4,'[1]import success seats course'!$1:$2,2,FALSE),FALSE)/(VLOOKUP($A52,'[1]import graded seats course pivo'!$A:AA,HLOOKUP('[1]Course Totals'!C$4,'[1]import graded seats course pivo'!$1:$2,2,FALSE),FALSE))),"")</f>
        <v/>
      </c>
      <c r="D52" s="14" t="str">
        <f>IFERROR((VLOOKUP($A52,'[1]import success seats course'!$A:R,HLOOKUP('[1]Course Totals'!D$4,'[1]import success seats course'!$1:$2,2,FALSE),FALSE)/(VLOOKUP($A52,'[1]import graded seats course pivo'!$A:AB,HLOOKUP('[1]Course Totals'!D$4,'[1]import graded seats course pivo'!$1:$2,2,FALSE),FALSE))),"")</f>
        <v/>
      </c>
      <c r="E52" s="14" t="str">
        <f>IFERROR((VLOOKUP($A52,'[1]import success seats course'!$A:S,HLOOKUP('[1]Course Totals'!E$4,'[1]import success seats course'!$1:$2,2,FALSE),FALSE)/(VLOOKUP($A52,'[1]import graded seats course pivo'!$A:AC,HLOOKUP('[1]Course Totals'!E$4,'[1]import graded seats course pivo'!$1:$2,2,FALSE),FALSE))),"")</f>
        <v/>
      </c>
      <c r="F52" s="14">
        <f>IFERROR((VLOOKUP($A52,'[1]import success seats course'!$A:T,HLOOKUP('[1]Course Totals'!F$4,'[1]import success seats course'!$1:$2,2,FALSE),FALSE)/(VLOOKUP($A52,'[1]import graded seats course pivo'!$A:AD,HLOOKUP('[1]Course Totals'!F$4,'[1]import graded seats course pivo'!$1:$2,2,FALSE),FALSE))),"")</f>
        <v>0.88235294117647056</v>
      </c>
      <c r="G52" s="14" t="str">
        <f>IFERROR((VLOOKUP($A52,'[1]import success seats course'!$A:U,HLOOKUP('[1]Course Totals'!G$4,'[1]import success seats course'!$1:$2,2,FALSE),FALSE)/(VLOOKUP($A52,'[1]import graded seats course pivo'!$A:AE,HLOOKUP('[1]Course Totals'!G$4,'[1]import graded seats course pivo'!$1:$2,2,FALSE),FALSE))),"")</f>
        <v/>
      </c>
      <c r="H52" s="14" t="str">
        <f>IFERROR((VLOOKUP($A52,'[1]import success seats course'!$A:V,HLOOKUP('[1]Course Totals'!H$4,'[1]import success seats course'!$1:$2,2,FALSE),FALSE)/(VLOOKUP($A52,'[1]import graded seats course pivo'!$A:AF,HLOOKUP('[1]Course Totals'!H$4,'[1]import graded seats course pivo'!$1:$2,2,FALSE),FALSE))),"")</f>
        <v/>
      </c>
      <c r="I52" s="14" t="str">
        <f>IFERROR((VLOOKUP($A52,'[1]import success seats course'!$A:W,HLOOKUP('[1]Course Totals'!I$4,'[1]import success seats course'!$1:$2,2,FALSE),FALSE)/(VLOOKUP($A52,'[1]import graded seats course pivo'!$A:AG,HLOOKUP('[1]Course Totals'!I$4,'[1]import graded seats course pivo'!$1:$2,2,FALSE),FALSE))),"")</f>
        <v/>
      </c>
      <c r="J52" s="14" t="str">
        <f>IFERROR((VLOOKUP($A52,'[1]import success seats course'!$A:X,HLOOKUP('[1]Course Totals'!J$4,'[1]import success seats course'!$1:$2,2,FALSE),FALSE)/(VLOOKUP($A52,'[1]import graded seats course pivo'!$A:AH,HLOOKUP('[1]Course Totals'!J$4,'[1]import graded seats course pivo'!$1:$2,2,FALSE),FALSE))),"")</f>
        <v/>
      </c>
      <c r="K52" s="14" t="str">
        <f>IFERROR((VLOOKUP($A52,'[1]import success seats course'!$A:Y,HLOOKUP('[1]Course Totals'!K$4,'[1]import success seats course'!$1:$2,2,FALSE),FALSE)/(VLOOKUP($A52,'[1]import graded seats course pivo'!$A:AI,HLOOKUP('[1]Course Totals'!K$4,'[1]import graded seats course pivo'!$1:$2,2,FALSE),FALSE))),"")</f>
        <v/>
      </c>
      <c r="L52" s="14" t="str">
        <f>IFERROR((VLOOKUP($A52,'[1]import success seats course'!$A:Z,HLOOKUP('[1]Course Totals'!L$4,'[1]import success seats course'!$1:$2,2,FALSE),FALSE)/(VLOOKUP($A52,'[1]import graded seats course pivo'!$A:AJ,HLOOKUP('[1]Course Totals'!L$4,'[1]import graded seats course pivo'!$1:$2,2,FALSE),FALSE))),"")</f>
        <v/>
      </c>
      <c r="M52" s="14" t="str">
        <f>IFERROR((VLOOKUP($A52,'[1]import success seats course'!$A:AA,HLOOKUP('[1]Course Totals'!M$4,'[1]import success seats course'!$1:$2,2,FALSE),FALSE)/(VLOOKUP($A52,'[1]import graded seats course pivo'!$A:AK,HLOOKUP('[1]Course Totals'!M$4,'[1]import graded seats course pivo'!$1:$2,2,FALSE),FALSE))),"")</f>
        <v/>
      </c>
      <c r="N52" s="14" t="str">
        <f>IFERROR((VLOOKUP($A52,'[1]import success seats course'!$A:AB,HLOOKUP('[1]Course Totals'!N$4,'[1]import success seats course'!$1:$2,2,FALSE),FALSE)/(VLOOKUP($A52,'[1]import graded seats course pivo'!$A:AL,HLOOKUP('[1]Course Totals'!N$4,'[1]import graded seats course pivo'!$1:$2,2,FALSE),FALSE))),"")</f>
        <v/>
      </c>
      <c r="O52" s="14" t="str">
        <f>IFERROR((VLOOKUP($A52,'[1]import success seats course'!$A:AC,HLOOKUP('[1]Course Totals'!O$4,'[1]import success seats course'!$1:$2,2,FALSE),FALSE)/(VLOOKUP($A52,'[1]import graded seats course pivo'!$A:AM,HLOOKUP('[1]Course Totals'!O$4,'[1]import graded seats course pivo'!$1:$2,2,FALSE),FALSE))),"")</f>
        <v/>
      </c>
      <c r="P52" s="14" t="str">
        <f>IFERROR((VLOOKUP($A52,'[1]import success seats course'!$A:AD,HLOOKUP('[1]Course Totals'!P$4,'[1]import success seats course'!$1:$2,2,FALSE),FALSE)/(VLOOKUP($A52,'[1]import graded seats course pivo'!$A:AN,HLOOKUP('[1]Course Totals'!P$4,'[1]import graded seats course pivo'!$1:$2,2,FALSE),FALSE))),"")</f>
        <v/>
      </c>
      <c r="Q52" s="14" t="str">
        <f>IFERROR((VLOOKUP($A52,'[1]import success seats course'!$A:AE,HLOOKUP('[1]Course Totals'!Q$4,'[1]import success seats course'!$1:$2,2,FALSE),FALSE)/(VLOOKUP($A52,'[1]import graded seats course pivo'!$A:AO,HLOOKUP('[1]Course Totals'!Q$4,'[1]import graded seats course pivo'!$1:$2,2,FALSE),FALSE))),"")</f>
        <v/>
      </c>
      <c r="R52" s="14" t="str">
        <f>IFERROR((VLOOKUP($A52,'[1]import success seats course'!$A:AF,HLOOKUP('[1]Course Totals'!R$4,'[1]import success seats course'!$1:$2,2,FALSE),FALSE)/(VLOOKUP($A52,'[1]import graded seats course pivo'!$A:AP,HLOOKUP('[1]Course Totals'!R$4,'[1]import graded seats course pivo'!$1:$2,2,FALSE),FALSE))),"")</f>
        <v/>
      </c>
      <c r="S52" s="14" t="str">
        <f>IFERROR((VLOOKUP($A52,'[1]import success seats course'!$A:AG,HLOOKUP('[1]Course Totals'!S$4,'[1]import success seats course'!$1:$2,2,FALSE),FALSE)/(VLOOKUP($A52,'[1]import graded seats course pivo'!$A:AQ,HLOOKUP('[1]Course Totals'!S$4,'[1]import graded seats course pivo'!$1:$2,2,FALSE),FALSE))),"")</f>
        <v/>
      </c>
      <c r="Z52" s="7"/>
      <c r="AA52" s="7"/>
      <c r="AB52" s="7"/>
      <c r="AC52" s="7"/>
    </row>
    <row r="53" spans="1:29" ht="15.75" customHeight="1" x14ac:dyDescent="0.25">
      <c r="A53" s="12" t="s">
        <v>29</v>
      </c>
      <c r="B53" s="14" t="str">
        <f>IFERROR((VLOOKUP($A53,'[1]import success seats course'!$A:P,HLOOKUP('[1]Course Totals'!B$4,'[1]import success seats course'!$1:$2,2,FALSE),FALSE)/(VLOOKUP($A53,'[1]import graded seats course pivo'!$A:Z,HLOOKUP('[1]Course Totals'!B$4,'[1]import graded seats course pivo'!$1:$2,2,FALSE),FALSE))),"")</f>
        <v/>
      </c>
      <c r="C53" s="14">
        <f>IFERROR((VLOOKUP($A53,'[1]import success seats course'!$A:Q,HLOOKUP('[1]Course Totals'!C$4,'[1]import success seats course'!$1:$2,2,FALSE),FALSE)/(VLOOKUP($A53,'[1]import graded seats course pivo'!$A:AA,HLOOKUP('[1]Course Totals'!C$4,'[1]import graded seats course pivo'!$1:$2,2,FALSE),FALSE))),"")</f>
        <v>0.88235294117647056</v>
      </c>
      <c r="D53" s="14" t="str">
        <f>IFERROR((VLOOKUP($A53,'[1]import success seats course'!$A:R,HLOOKUP('[1]Course Totals'!D$4,'[1]import success seats course'!$1:$2,2,FALSE),FALSE)/(VLOOKUP($A53,'[1]import graded seats course pivo'!$A:AB,HLOOKUP('[1]Course Totals'!D$4,'[1]import graded seats course pivo'!$1:$2,2,FALSE),FALSE))),"")</f>
        <v/>
      </c>
      <c r="E53" s="14" t="str">
        <f>IFERROR((VLOOKUP($A53,'[1]import success seats course'!$A:S,HLOOKUP('[1]Course Totals'!E$4,'[1]import success seats course'!$1:$2,2,FALSE),FALSE)/(VLOOKUP($A53,'[1]import graded seats course pivo'!$A:AC,HLOOKUP('[1]Course Totals'!E$4,'[1]import graded seats course pivo'!$1:$2,2,FALSE),FALSE))),"")</f>
        <v/>
      </c>
      <c r="F53" s="14">
        <f>IFERROR((VLOOKUP($A53,'[1]import success seats course'!$A:T,HLOOKUP('[1]Course Totals'!F$4,'[1]import success seats course'!$1:$2,2,FALSE),FALSE)/(VLOOKUP($A53,'[1]import graded seats course pivo'!$A:AD,HLOOKUP('[1]Course Totals'!F$4,'[1]import graded seats course pivo'!$1:$2,2,FALSE),FALSE))),"")</f>
        <v>1</v>
      </c>
      <c r="G53" s="14" t="str">
        <f>IFERROR((VLOOKUP($A53,'[1]import success seats course'!$A:U,HLOOKUP('[1]Course Totals'!G$4,'[1]import success seats course'!$1:$2,2,FALSE),FALSE)/(VLOOKUP($A53,'[1]import graded seats course pivo'!$A:AE,HLOOKUP('[1]Course Totals'!G$4,'[1]import graded seats course pivo'!$1:$2,2,FALSE),FALSE))),"")</f>
        <v/>
      </c>
      <c r="H53" s="14" t="str">
        <f>IFERROR((VLOOKUP($A53,'[1]import success seats course'!$A:V,HLOOKUP('[1]Course Totals'!H$4,'[1]import success seats course'!$1:$2,2,FALSE),FALSE)/(VLOOKUP($A53,'[1]import graded seats course pivo'!$A:AF,HLOOKUP('[1]Course Totals'!H$4,'[1]import graded seats course pivo'!$1:$2,2,FALSE),FALSE))),"")</f>
        <v/>
      </c>
      <c r="I53" s="14">
        <f>IFERROR((VLOOKUP($A53,'[1]import success seats course'!$A:W,HLOOKUP('[1]Course Totals'!I$4,'[1]import success seats course'!$1:$2,2,FALSE),FALSE)/(VLOOKUP($A53,'[1]import graded seats course pivo'!$A:AG,HLOOKUP('[1]Course Totals'!I$4,'[1]import graded seats course pivo'!$1:$2,2,FALSE),FALSE))),"")</f>
        <v>0.875</v>
      </c>
      <c r="J53" s="14" t="str">
        <f>IFERROR((VLOOKUP($A53,'[1]import success seats course'!$A:X,HLOOKUP('[1]Course Totals'!J$4,'[1]import success seats course'!$1:$2,2,FALSE),FALSE)/(VLOOKUP($A53,'[1]import graded seats course pivo'!$A:AH,HLOOKUP('[1]Course Totals'!J$4,'[1]import graded seats course pivo'!$1:$2,2,FALSE),FALSE))),"")</f>
        <v/>
      </c>
      <c r="K53" s="14" t="str">
        <f>IFERROR((VLOOKUP($A53,'[1]import success seats course'!$A:Y,HLOOKUP('[1]Course Totals'!K$4,'[1]import success seats course'!$1:$2,2,FALSE),FALSE)/(VLOOKUP($A53,'[1]import graded seats course pivo'!$A:AI,HLOOKUP('[1]Course Totals'!K$4,'[1]import graded seats course pivo'!$1:$2,2,FALSE),FALSE))),"")</f>
        <v/>
      </c>
      <c r="L53" s="14">
        <f>IFERROR((VLOOKUP($A53,'[1]import success seats course'!$A:Z,HLOOKUP('[1]Course Totals'!L$4,'[1]import success seats course'!$1:$2,2,FALSE),FALSE)/(VLOOKUP($A53,'[1]import graded seats course pivo'!$A:AJ,HLOOKUP('[1]Course Totals'!L$4,'[1]import graded seats course pivo'!$1:$2,2,FALSE),FALSE))),"")</f>
        <v>0.7931034482758621</v>
      </c>
      <c r="M53" s="14" t="str">
        <f>IFERROR((VLOOKUP($A53,'[1]import success seats course'!$A:AA,HLOOKUP('[1]Course Totals'!M$4,'[1]import success seats course'!$1:$2,2,FALSE),FALSE)/(VLOOKUP($A53,'[1]import graded seats course pivo'!$A:AK,HLOOKUP('[1]Course Totals'!M$4,'[1]import graded seats course pivo'!$1:$2,2,FALSE),FALSE))),"")</f>
        <v/>
      </c>
      <c r="N53" s="14" t="str">
        <f>IFERROR((VLOOKUP($A53,'[1]import success seats course'!$A:AB,HLOOKUP('[1]Course Totals'!N$4,'[1]import success seats course'!$1:$2,2,FALSE),FALSE)/(VLOOKUP($A53,'[1]import graded seats course pivo'!$A:AL,HLOOKUP('[1]Course Totals'!N$4,'[1]import graded seats course pivo'!$1:$2,2,FALSE),FALSE))),"")</f>
        <v/>
      </c>
      <c r="O53" s="14">
        <f>IFERROR((VLOOKUP($A53,'[1]import success seats course'!$A:AC,HLOOKUP('[1]Course Totals'!O$4,'[1]import success seats course'!$1:$2,2,FALSE),FALSE)/(VLOOKUP($A53,'[1]import graded seats course pivo'!$A:AM,HLOOKUP('[1]Course Totals'!O$4,'[1]import graded seats course pivo'!$1:$2,2,FALSE),FALSE))),"")</f>
        <v>0.90625</v>
      </c>
      <c r="P53" s="14" t="str">
        <f>IFERROR((VLOOKUP($A53,'[1]import success seats course'!$A:AD,HLOOKUP('[1]Course Totals'!P$4,'[1]import success seats course'!$1:$2,2,FALSE),FALSE)/(VLOOKUP($A53,'[1]import graded seats course pivo'!$A:AN,HLOOKUP('[1]Course Totals'!P$4,'[1]import graded seats course pivo'!$1:$2,2,FALSE),FALSE))),"")</f>
        <v/>
      </c>
      <c r="Q53" s="14" t="str">
        <f>IFERROR((VLOOKUP($A53,'[1]import success seats course'!$A:AE,HLOOKUP('[1]Course Totals'!Q$4,'[1]import success seats course'!$1:$2,2,FALSE),FALSE)/(VLOOKUP($A53,'[1]import graded seats course pivo'!$A:AO,HLOOKUP('[1]Course Totals'!Q$4,'[1]import graded seats course pivo'!$1:$2,2,FALSE),FALSE))),"")</f>
        <v/>
      </c>
      <c r="R53" s="14">
        <f>IFERROR((VLOOKUP($A53,'[1]import success seats course'!$A:AF,HLOOKUP('[1]Course Totals'!R$4,'[1]import success seats course'!$1:$2,2,FALSE),FALSE)/(VLOOKUP($A53,'[1]import graded seats course pivo'!$A:AP,HLOOKUP('[1]Course Totals'!R$4,'[1]import graded seats course pivo'!$1:$2,2,FALSE),FALSE))),"")</f>
        <v>1</v>
      </c>
      <c r="S53" s="14" t="str">
        <f>IFERROR((VLOOKUP($A53,'[1]import success seats course'!$A:AG,HLOOKUP('[1]Course Totals'!S$4,'[1]import success seats course'!$1:$2,2,FALSE),FALSE)/(VLOOKUP($A53,'[1]import graded seats course pivo'!$A:AQ,HLOOKUP('[1]Course Totals'!S$4,'[1]import graded seats course pivo'!$1:$2,2,FALSE),FALSE))),"")</f>
        <v/>
      </c>
      <c r="Z53" s="7"/>
      <c r="AA53" s="7"/>
      <c r="AB53" s="7"/>
      <c r="AC53" s="7"/>
    </row>
    <row r="54" spans="1:29" ht="15.75" customHeight="1" x14ac:dyDescent="0.25">
      <c r="A54" s="12" t="s">
        <v>30</v>
      </c>
      <c r="B54" s="14" t="str">
        <f>IFERROR((VLOOKUP($A54,'[1]import success seats course'!$A:P,HLOOKUP('[1]Course Totals'!B$4,'[1]import success seats course'!$1:$2,2,FALSE),FALSE)/(VLOOKUP($A54,'[1]import graded seats course pivo'!$A:Z,HLOOKUP('[1]Course Totals'!B$4,'[1]import graded seats course pivo'!$1:$2,2,FALSE),FALSE))),"")</f>
        <v/>
      </c>
      <c r="C54" s="14">
        <f>IFERROR((VLOOKUP($A54,'[1]import success seats course'!$A:Q,HLOOKUP('[1]Course Totals'!C$4,'[1]import success seats course'!$1:$2,2,FALSE),FALSE)/(VLOOKUP($A54,'[1]import graded seats course pivo'!$A:AA,HLOOKUP('[1]Course Totals'!C$4,'[1]import graded seats course pivo'!$1:$2,2,FALSE),FALSE))),"")</f>
        <v>0.96</v>
      </c>
      <c r="D54" s="14" t="str">
        <f>IFERROR((VLOOKUP($A54,'[1]import success seats course'!$A:R,HLOOKUP('[1]Course Totals'!D$4,'[1]import success seats course'!$1:$2,2,FALSE),FALSE)/(VLOOKUP($A54,'[1]import graded seats course pivo'!$A:AB,HLOOKUP('[1]Course Totals'!D$4,'[1]import graded seats course pivo'!$1:$2,2,FALSE),FALSE))),"")</f>
        <v/>
      </c>
      <c r="E54" s="14" t="str">
        <f>IFERROR((VLOOKUP($A54,'[1]import success seats course'!$A:S,HLOOKUP('[1]Course Totals'!E$4,'[1]import success seats course'!$1:$2,2,FALSE),FALSE)/(VLOOKUP($A54,'[1]import graded seats course pivo'!$A:AC,HLOOKUP('[1]Course Totals'!E$4,'[1]import graded seats course pivo'!$1:$2,2,FALSE),FALSE))),"")</f>
        <v/>
      </c>
      <c r="F54" s="14" t="str">
        <f>IFERROR((VLOOKUP($A54,'[1]import success seats course'!$A:T,HLOOKUP('[1]Course Totals'!F$4,'[1]import success seats course'!$1:$2,2,FALSE),FALSE)/(VLOOKUP($A54,'[1]import graded seats course pivo'!$A:AD,HLOOKUP('[1]Course Totals'!F$4,'[1]import graded seats course pivo'!$1:$2,2,FALSE),FALSE))),"")</f>
        <v/>
      </c>
      <c r="G54" s="14" t="str">
        <f>IFERROR((VLOOKUP($A54,'[1]import success seats course'!$A:U,HLOOKUP('[1]Course Totals'!G$4,'[1]import success seats course'!$1:$2,2,FALSE),FALSE)/(VLOOKUP($A54,'[1]import graded seats course pivo'!$A:AE,HLOOKUP('[1]Course Totals'!G$4,'[1]import graded seats course pivo'!$1:$2,2,FALSE),FALSE))),"")</f>
        <v/>
      </c>
      <c r="H54" s="14" t="str">
        <f>IFERROR((VLOOKUP($A54,'[1]import success seats course'!$A:V,HLOOKUP('[1]Course Totals'!H$4,'[1]import success seats course'!$1:$2,2,FALSE),FALSE)/(VLOOKUP($A54,'[1]import graded seats course pivo'!$A:AF,HLOOKUP('[1]Course Totals'!H$4,'[1]import graded seats course pivo'!$1:$2,2,FALSE),FALSE))),"")</f>
        <v/>
      </c>
      <c r="I54" s="14">
        <f>IFERROR((VLOOKUP($A54,'[1]import success seats course'!$A:W,HLOOKUP('[1]Course Totals'!I$4,'[1]import success seats course'!$1:$2,2,FALSE),FALSE)/(VLOOKUP($A54,'[1]import graded seats course pivo'!$A:AG,HLOOKUP('[1]Course Totals'!I$4,'[1]import graded seats course pivo'!$1:$2,2,FALSE),FALSE))),"")</f>
        <v>0.95348837209302328</v>
      </c>
      <c r="J54" s="14" t="str">
        <f>IFERROR((VLOOKUP($A54,'[1]import success seats course'!$A:X,HLOOKUP('[1]Course Totals'!J$4,'[1]import success seats course'!$1:$2,2,FALSE),FALSE)/(VLOOKUP($A54,'[1]import graded seats course pivo'!$A:AH,HLOOKUP('[1]Course Totals'!J$4,'[1]import graded seats course pivo'!$1:$2,2,FALSE),FALSE))),"")</f>
        <v/>
      </c>
      <c r="K54" s="14" t="str">
        <f>IFERROR((VLOOKUP($A54,'[1]import success seats course'!$A:Y,HLOOKUP('[1]Course Totals'!K$4,'[1]import success seats course'!$1:$2,2,FALSE),FALSE)/(VLOOKUP($A54,'[1]import graded seats course pivo'!$A:AI,HLOOKUP('[1]Course Totals'!K$4,'[1]import graded seats course pivo'!$1:$2,2,FALSE),FALSE))),"")</f>
        <v/>
      </c>
      <c r="L54" s="14" t="str">
        <f>IFERROR((VLOOKUP($A54,'[1]import success seats course'!$A:Z,HLOOKUP('[1]Course Totals'!L$4,'[1]import success seats course'!$1:$2,2,FALSE),FALSE)/(VLOOKUP($A54,'[1]import graded seats course pivo'!$A:AJ,HLOOKUP('[1]Course Totals'!L$4,'[1]import graded seats course pivo'!$1:$2,2,FALSE),FALSE))),"")</f>
        <v/>
      </c>
      <c r="M54" s="14">
        <f>IFERROR((VLOOKUP($A54,'[1]import success seats course'!$A:AA,HLOOKUP('[1]Course Totals'!M$4,'[1]import success seats course'!$1:$2,2,FALSE),FALSE)/(VLOOKUP($A54,'[1]import graded seats course pivo'!$A:AK,HLOOKUP('[1]Course Totals'!M$4,'[1]import graded seats course pivo'!$1:$2,2,FALSE),FALSE))),"")</f>
        <v>0.85106382978723405</v>
      </c>
      <c r="N54" s="14" t="str">
        <f>IFERROR((VLOOKUP($A54,'[1]import success seats course'!$A:AB,HLOOKUP('[1]Course Totals'!N$4,'[1]import success seats course'!$1:$2,2,FALSE),FALSE)/(VLOOKUP($A54,'[1]import graded seats course pivo'!$A:AL,HLOOKUP('[1]Course Totals'!N$4,'[1]import graded seats course pivo'!$1:$2,2,FALSE),FALSE))),"")</f>
        <v/>
      </c>
      <c r="O54" s="14" t="str">
        <f>IFERROR((VLOOKUP($A54,'[1]import success seats course'!$A:AC,HLOOKUP('[1]Course Totals'!O$4,'[1]import success seats course'!$1:$2,2,FALSE),FALSE)/(VLOOKUP($A54,'[1]import graded seats course pivo'!$A:AM,HLOOKUP('[1]Course Totals'!O$4,'[1]import graded seats course pivo'!$1:$2,2,FALSE),FALSE))),"")</f>
        <v/>
      </c>
      <c r="P54" s="14" t="str">
        <f>IFERROR((VLOOKUP($A54,'[1]import success seats course'!$A:AD,HLOOKUP('[1]Course Totals'!P$4,'[1]import success seats course'!$1:$2,2,FALSE),FALSE)/(VLOOKUP($A54,'[1]import graded seats course pivo'!$A:AN,HLOOKUP('[1]Course Totals'!P$4,'[1]import graded seats course pivo'!$1:$2,2,FALSE),FALSE))),"")</f>
        <v/>
      </c>
      <c r="Q54" s="14" t="str">
        <f>IFERROR((VLOOKUP($A54,'[1]import success seats course'!$A:AE,HLOOKUP('[1]Course Totals'!Q$4,'[1]import success seats course'!$1:$2,2,FALSE),FALSE)/(VLOOKUP($A54,'[1]import graded seats course pivo'!$A:AO,HLOOKUP('[1]Course Totals'!Q$4,'[1]import graded seats course pivo'!$1:$2,2,FALSE),FALSE))),"")</f>
        <v/>
      </c>
      <c r="R54" s="14">
        <f>IFERROR((VLOOKUP($A54,'[1]import success seats course'!$A:AF,HLOOKUP('[1]Course Totals'!R$4,'[1]import success seats course'!$1:$2,2,FALSE),FALSE)/(VLOOKUP($A54,'[1]import graded seats course pivo'!$A:AP,HLOOKUP('[1]Course Totals'!R$4,'[1]import graded seats course pivo'!$1:$2,2,FALSE),FALSE))),"")</f>
        <v>0.92500000000000004</v>
      </c>
      <c r="S54" s="14" t="str">
        <f>IFERROR((VLOOKUP($A54,'[1]import success seats course'!$A:AG,HLOOKUP('[1]Course Totals'!S$4,'[1]import success seats course'!$1:$2,2,FALSE),FALSE)/(VLOOKUP($A54,'[1]import graded seats course pivo'!$A:AQ,HLOOKUP('[1]Course Totals'!S$4,'[1]import graded seats course pivo'!$1:$2,2,FALSE),FALSE))),"")</f>
        <v/>
      </c>
      <c r="Z54" s="7"/>
      <c r="AA54" s="7"/>
      <c r="AB54" s="7"/>
      <c r="AC54" s="7"/>
    </row>
    <row r="55" spans="1:29" ht="15.75" customHeight="1" x14ac:dyDescent="0.25">
      <c r="A55" s="12" t="s">
        <v>31</v>
      </c>
      <c r="B55" s="14" t="str">
        <f>IFERROR((VLOOKUP($A55,'[1]import success seats course'!$A:P,HLOOKUP('[1]Course Totals'!B$4,'[1]import success seats course'!$1:$2,2,FALSE),FALSE)/(VLOOKUP($A55,'[1]import graded seats course pivo'!$A:Z,HLOOKUP('[1]Course Totals'!B$4,'[1]import graded seats course pivo'!$1:$2,2,FALSE),FALSE))),"")</f>
        <v/>
      </c>
      <c r="C55" s="14" t="str">
        <f>IFERROR((VLOOKUP($A55,'[1]import success seats course'!$A:Q,HLOOKUP('[1]Course Totals'!C$4,'[1]import success seats course'!$1:$2,2,FALSE),FALSE)/(VLOOKUP($A55,'[1]import graded seats course pivo'!$A:AA,HLOOKUP('[1]Course Totals'!C$4,'[1]import graded seats course pivo'!$1:$2,2,FALSE),FALSE))),"")</f>
        <v/>
      </c>
      <c r="D55" s="14">
        <f>IFERROR((VLOOKUP($A55,'[1]import success seats course'!$A:R,HLOOKUP('[1]Course Totals'!D$4,'[1]import success seats course'!$1:$2,2,FALSE),FALSE)/(VLOOKUP($A55,'[1]import graded seats course pivo'!$A:AB,HLOOKUP('[1]Course Totals'!D$4,'[1]import graded seats course pivo'!$1:$2,2,FALSE),FALSE))),"")</f>
        <v>1</v>
      </c>
      <c r="E55" s="14" t="str">
        <f>IFERROR((VLOOKUP($A55,'[1]import success seats course'!$A:S,HLOOKUP('[1]Course Totals'!E$4,'[1]import success seats course'!$1:$2,2,FALSE),FALSE)/(VLOOKUP($A55,'[1]import graded seats course pivo'!$A:AC,HLOOKUP('[1]Course Totals'!E$4,'[1]import graded seats course pivo'!$1:$2,2,FALSE),FALSE))),"")</f>
        <v/>
      </c>
      <c r="F55" s="14" t="str">
        <f>IFERROR((VLOOKUP($A55,'[1]import success seats course'!$A:T,HLOOKUP('[1]Course Totals'!F$4,'[1]import success seats course'!$1:$2,2,FALSE),FALSE)/(VLOOKUP($A55,'[1]import graded seats course pivo'!$A:AD,HLOOKUP('[1]Course Totals'!F$4,'[1]import graded seats course pivo'!$1:$2,2,FALSE),FALSE))),"")</f>
        <v/>
      </c>
      <c r="G55" s="14">
        <f>IFERROR((VLOOKUP($A55,'[1]import success seats course'!$A:U,HLOOKUP('[1]Course Totals'!G$4,'[1]import success seats course'!$1:$2,2,FALSE),FALSE)/(VLOOKUP($A55,'[1]import graded seats course pivo'!$A:AE,HLOOKUP('[1]Course Totals'!G$4,'[1]import graded seats course pivo'!$1:$2,2,FALSE),FALSE))),"")</f>
        <v>0.98</v>
      </c>
      <c r="H55" s="14" t="str">
        <f>IFERROR((VLOOKUP($A55,'[1]import success seats course'!$A:V,HLOOKUP('[1]Course Totals'!H$4,'[1]import success seats course'!$1:$2,2,FALSE),FALSE)/(VLOOKUP($A55,'[1]import graded seats course pivo'!$A:AF,HLOOKUP('[1]Course Totals'!H$4,'[1]import graded seats course pivo'!$1:$2,2,FALSE),FALSE))),"")</f>
        <v/>
      </c>
      <c r="I55" s="14" t="str">
        <f>IFERROR((VLOOKUP($A55,'[1]import success seats course'!$A:W,HLOOKUP('[1]Course Totals'!I$4,'[1]import success seats course'!$1:$2,2,FALSE),FALSE)/(VLOOKUP($A55,'[1]import graded seats course pivo'!$A:AG,HLOOKUP('[1]Course Totals'!I$4,'[1]import graded seats course pivo'!$1:$2,2,FALSE),FALSE))),"")</f>
        <v/>
      </c>
      <c r="J55" s="14" t="str">
        <f>IFERROR((VLOOKUP($A55,'[1]import success seats course'!$A:X,HLOOKUP('[1]Course Totals'!J$4,'[1]import success seats course'!$1:$2,2,FALSE),FALSE)/(VLOOKUP($A55,'[1]import graded seats course pivo'!$A:AH,HLOOKUP('[1]Course Totals'!J$4,'[1]import graded seats course pivo'!$1:$2,2,FALSE),FALSE))),"")</f>
        <v/>
      </c>
      <c r="K55" s="14" t="str">
        <f>IFERROR((VLOOKUP($A55,'[1]import success seats course'!$A:Y,HLOOKUP('[1]Course Totals'!K$4,'[1]import success seats course'!$1:$2,2,FALSE),FALSE)/(VLOOKUP($A55,'[1]import graded seats course pivo'!$A:AI,HLOOKUP('[1]Course Totals'!K$4,'[1]import graded seats course pivo'!$1:$2,2,FALSE),FALSE))),"")</f>
        <v/>
      </c>
      <c r="L55" s="14" t="str">
        <f>IFERROR((VLOOKUP($A55,'[1]import success seats course'!$A:Z,HLOOKUP('[1]Course Totals'!L$4,'[1]import success seats course'!$1:$2,2,FALSE),FALSE)/(VLOOKUP($A55,'[1]import graded seats course pivo'!$A:AJ,HLOOKUP('[1]Course Totals'!L$4,'[1]import graded seats course pivo'!$1:$2,2,FALSE),FALSE))),"")</f>
        <v/>
      </c>
      <c r="M55" s="14" t="str">
        <f>IFERROR((VLOOKUP($A55,'[1]import success seats course'!$A:AA,HLOOKUP('[1]Course Totals'!M$4,'[1]import success seats course'!$1:$2,2,FALSE),FALSE)/(VLOOKUP($A55,'[1]import graded seats course pivo'!$A:AK,HLOOKUP('[1]Course Totals'!M$4,'[1]import graded seats course pivo'!$1:$2,2,FALSE),FALSE))),"")</f>
        <v/>
      </c>
      <c r="N55" s="14" t="str">
        <f>IFERROR((VLOOKUP($A55,'[1]import success seats course'!$A:AB,HLOOKUP('[1]Course Totals'!N$4,'[1]import success seats course'!$1:$2,2,FALSE),FALSE)/(VLOOKUP($A55,'[1]import graded seats course pivo'!$A:AL,HLOOKUP('[1]Course Totals'!N$4,'[1]import graded seats course pivo'!$1:$2,2,FALSE),FALSE))),"")</f>
        <v/>
      </c>
      <c r="O55" s="14" t="str">
        <f>IFERROR((VLOOKUP($A55,'[1]import success seats course'!$A:AC,HLOOKUP('[1]Course Totals'!O$4,'[1]import success seats course'!$1:$2,2,FALSE),FALSE)/(VLOOKUP($A55,'[1]import graded seats course pivo'!$A:AM,HLOOKUP('[1]Course Totals'!O$4,'[1]import graded seats course pivo'!$1:$2,2,FALSE),FALSE))),"")</f>
        <v/>
      </c>
      <c r="P55" s="14">
        <f>IFERROR((VLOOKUP($A55,'[1]import success seats course'!$A:AD,HLOOKUP('[1]Course Totals'!P$4,'[1]import success seats course'!$1:$2,2,FALSE),FALSE)/(VLOOKUP($A55,'[1]import graded seats course pivo'!$A:AN,HLOOKUP('[1]Course Totals'!P$4,'[1]import graded seats course pivo'!$1:$2,2,FALSE),FALSE))),"")</f>
        <v>0.94871794871794868</v>
      </c>
      <c r="Q55" s="14" t="str">
        <f>IFERROR((VLOOKUP($A55,'[1]import success seats course'!$A:AE,HLOOKUP('[1]Course Totals'!Q$4,'[1]import success seats course'!$1:$2,2,FALSE),FALSE)/(VLOOKUP($A55,'[1]import graded seats course pivo'!$A:AO,HLOOKUP('[1]Course Totals'!Q$4,'[1]import graded seats course pivo'!$1:$2,2,FALSE),FALSE))),"")</f>
        <v/>
      </c>
      <c r="R55" s="14" t="str">
        <f>IFERROR((VLOOKUP($A55,'[1]import success seats course'!$A:AF,HLOOKUP('[1]Course Totals'!R$4,'[1]import success seats course'!$1:$2,2,FALSE),FALSE)/(VLOOKUP($A55,'[1]import graded seats course pivo'!$A:AP,HLOOKUP('[1]Course Totals'!R$4,'[1]import graded seats course pivo'!$1:$2,2,FALSE),FALSE))),"")</f>
        <v/>
      </c>
      <c r="S55" s="14" t="str">
        <f>IFERROR((VLOOKUP($A55,'[1]import success seats course'!$A:AG,HLOOKUP('[1]Course Totals'!S$4,'[1]import success seats course'!$1:$2,2,FALSE),FALSE)/(VLOOKUP($A55,'[1]import graded seats course pivo'!$A:AQ,HLOOKUP('[1]Course Totals'!S$4,'[1]import graded seats course pivo'!$1:$2,2,FALSE),FALSE))),"")</f>
        <v/>
      </c>
      <c r="Z55" s="7"/>
      <c r="AA55" s="7"/>
      <c r="AB55" s="7"/>
      <c r="AC55" s="7"/>
    </row>
    <row r="56" spans="1:29" ht="15.75" customHeight="1" x14ac:dyDescent="0.25">
      <c r="A56" s="12" t="s">
        <v>32</v>
      </c>
      <c r="B56" s="14" t="str">
        <f>IFERROR((VLOOKUP($A56,'[1]import success seats course'!$A:P,HLOOKUP('[1]Course Totals'!B$4,'[1]import success seats course'!$1:$2,2,FALSE),FALSE)/(VLOOKUP($A56,'[1]import graded seats course pivo'!$A:Z,HLOOKUP('[1]Course Totals'!B$4,'[1]import graded seats course pivo'!$1:$2,2,FALSE),FALSE))),"")</f>
        <v/>
      </c>
      <c r="C56" s="14">
        <f>IFERROR((VLOOKUP($A56,'[1]import success seats course'!$A:Q,HLOOKUP('[1]Course Totals'!C$4,'[1]import success seats course'!$1:$2,2,FALSE),FALSE)/(VLOOKUP($A56,'[1]import graded seats course pivo'!$A:AA,HLOOKUP('[1]Course Totals'!C$4,'[1]import graded seats course pivo'!$1:$2,2,FALSE),FALSE))),"")</f>
        <v>0.9285714285714286</v>
      </c>
      <c r="D56" s="14" t="str">
        <f>IFERROR((VLOOKUP($A56,'[1]import success seats course'!$A:R,HLOOKUP('[1]Course Totals'!D$4,'[1]import success seats course'!$1:$2,2,FALSE),FALSE)/(VLOOKUP($A56,'[1]import graded seats course pivo'!$A:AB,HLOOKUP('[1]Course Totals'!D$4,'[1]import graded seats course pivo'!$1:$2,2,FALSE),FALSE))),"")</f>
        <v/>
      </c>
      <c r="E56" s="14" t="str">
        <f>IFERROR((VLOOKUP($A56,'[1]import success seats course'!$A:S,HLOOKUP('[1]Course Totals'!E$4,'[1]import success seats course'!$1:$2,2,FALSE),FALSE)/(VLOOKUP($A56,'[1]import graded seats course pivo'!$A:AC,HLOOKUP('[1]Course Totals'!E$4,'[1]import graded seats course pivo'!$1:$2,2,FALSE),FALSE))),"")</f>
        <v/>
      </c>
      <c r="F56" s="14">
        <f>IFERROR((VLOOKUP($A56,'[1]import success seats course'!$A:T,HLOOKUP('[1]Course Totals'!F$4,'[1]import success seats course'!$1:$2,2,FALSE),FALSE)/(VLOOKUP($A56,'[1]import graded seats course pivo'!$A:AD,HLOOKUP('[1]Course Totals'!F$4,'[1]import graded seats course pivo'!$1:$2,2,FALSE),FALSE))),"")</f>
        <v>0.9375</v>
      </c>
      <c r="G56" s="14" t="str">
        <f>IFERROR((VLOOKUP($A56,'[1]import success seats course'!$A:U,HLOOKUP('[1]Course Totals'!G$4,'[1]import success seats course'!$1:$2,2,FALSE),FALSE)/(VLOOKUP($A56,'[1]import graded seats course pivo'!$A:AE,HLOOKUP('[1]Course Totals'!G$4,'[1]import graded seats course pivo'!$1:$2,2,FALSE),FALSE))),"")</f>
        <v/>
      </c>
      <c r="H56" s="14" t="str">
        <f>IFERROR((VLOOKUP($A56,'[1]import success seats course'!$A:V,HLOOKUP('[1]Course Totals'!H$4,'[1]import success seats course'!$1:$2,2,FALSE),FALSE)/(VLOOKUP($A56,'[1]import graded seats course pivo'!$A:AF,HLOOKUP('[1]Course Totals'!H$4,'[1]import graded seats course pivo'!$1:$2,2,FALSE),FALSE))),"")</f>
        <v/>
      </c>
      <c r="I56" s="14">
        <f>IFERROR((VLOOKUP($A56,'[1]import success seats course'!$A:W,HLOOKUP('[1]Course Totals'!I$4,'[1]import success seats course'!$1:$2,2,FALSE),FALSE)/(VLOOKUP($A56,'[1]import graded seats course pivo'!$A:AG,HLOOKUP('[1]Course Totals'!I$4,'[1]import graded seats course pivo'!$1:$2,2,FALSE),FALSE))),"")</f>
        <v>0.84848484848484851</v>
      </c>
      <c r="J56" s="14">
        <f>IFERROR((VLOOKUP($A56,'[1]import success seats course'!$A:X,HLOOKUP('[1]Course Totals'!J$4,'[1]import success seats course'!$1:$2,2,FALSE),FALSE)/(VLOOKUP($A56,'[1]import graded seats course pivo'!$A:AH,HLOOKUP('[1]Course Totals'!J$4,'[1]import graded seats course pivo'!$1:$2,2,FALSE),FALSE))),"")</f>
        <v>0.92307692307692313</v>
      </c>
      <c r="K56" s="14" t="str">
        <f>IFERROR((VLOOKUP($A56,'[1]import success seats course'!$A:Y,HLOOKUP('[1]Course Totals'!K$4,'[1]import success seats course'!$1:$2,2,FALSE),FALSE)/(VLOOKUP($A56,'[1]import graded seats course pivo'!$A:AI,HLOOKUP('[1]Course Totals'!K$4,'[1]import graded seats course pivo'!$1:$2,2,FALSE),FALSE))),"")</f>
        <v/>
      </c>
      <c r="L56" s="14" t="str">
        <f>IFERROR((VLOOKUP($A56,'[1]import success seats course'!$A:Z,HLOOKUP('[1]Course Totals'!L$4,'[1]import success seats course'!$1:$2,2,FALSE),FALSE)/(VLOOKUP($A56,'[1]import graded seats course pivo'!$A:AJ,HLOOKUP('[1]Course Totals'!L$4,'[1]import graded seats course pivo'!$1:$2,2,FALSE),FALSE))),"")</f>
        <v/>
      </c>
      <c r="M56" s="14">
        <f>IFERROR((VLOOKUP($A56,'[1]import success seats course'!$A:AA,HLOOKUP('[1]Course Totals'!M$4,'[1]import success seats course'!$1:$2,2,FALSE),FALSE)/(VLOOKUP($A56,'[1]import graded seats course pivo'!$A:AK,HLOOKUP('[1]Course Totals'!M$4,'[1]import graded seats course pivo'!$1:$2,2,FALSE),FALSE))),"")</f>
        <v>1</v>
      </c>
      <c r="N56" s="14" t="str">
        <f>IFERROR((VLOOKUP($A56,'[1]import success seats course'!$A:AB,HLOOKUP('[1]Course Totals'!N$4,'[1]import success seats course'!$1:$2,2,FALSE),FALSE)/(VLOOKUP($A56,'[1]import graded seats course pivo'!$A:AL,HLOOKUP('[1]Course Totals'!N$4,'[1]import graded seats course pivo'!$1:$2,2,FALSE),FALSE))),"")</f>
        <v/>
      </c>
      <c r="O56" s="14" t="str">
        <f>IFERROR((VLOOKUP($A56,'[1]import success seats course'!$A:AC,HLOOKUP('[1]Course Totals'!O$4,'[1]import success seats course'!$1:$2,2,FALSE),FALSE)/(VLOOKUP($A56,'[1]import graded seats course pivo'!$A:AM,HLOOKUP('[1]Course Totals'!O$4,'[1]import graded seats course pivo'!$1:$2,2,FALSE),FALSE))),"")</f>
        <v/>
      </c>
      <c r="P56" s="14">
        <f>IFERROR((VLOOKUP($A56,'[1]import success seats course'!$A:AD,HLOOKUP('[1]Course Totals'!P$4,'[1]import success seats course'!$1:$2,2,FALSE),FALSE)/(VLOOKUP($A56,'[1]import graded seats course pivo'!$A:AN,HLOOKUP('[1]Course Totals'!P$4,'[1]import graded seats course pivo'!$1:$2,2,FALSE),FALSE))),"")</f>
        <v>0.9375</v>
      </c>
      <c r="Q56" s="14" t="str">
        <f>IFERROR((VLOOKUP($A56,'[1]import success seats course'!$A:AE,HLOOKUP('[1]Course Totals'!Q$4,'[1]import success seats course'!$1:$2,2,FALSE),FALSE)/(VLOOKUP($A56,'[1]import graded seats course pivo'!$A:AO,HLOOKUP('[1]Course Totals'!Q$4,'[1]import graded seats course pivo'!$1:$2,2,FALSE),FALSE))),"")</f>
        <v/>
      </c>
      <c r="R56" s="14">
        <f>IFERROR((VLOOKUP($A56,'[1]import success seats course'!$A:AF,HLOOKUP('[1]Course Totals'!R$4,'[1]import success seats course'!$1:$2,2,FALSE),FALSE)/(VLOOKUP($A56,'[1]import graded seats course pivo'!$A:AP,HLOOKUP('[1]Course Totals'!R$4,'[1]import graded seats course pivo'!$1:$2,2,FALSE),FALSE))),"")</f>
        <v>0.87804878048780488</v>
      </c>
      <c r="S56" s="14">
        <f>IFERROR((VLOOKUP($A56,'[1]import success seats course'!$A:AG,HLOOKUP('[1]Course Totals'!S$4,'[1]import success seats course'!$1:$2,2,FALSE),FALSE)/(VLOOKUP($A56,'[1]import graded seats course pivo'!$A:AQ,HLOOKUP('[1]Course Totals'!S$4,'[1]import graded seats course pivo'!$1:$2,2,FALSE),FALSE))),"")</f>
        <v>0.97435897435897434</v>
      </c>
      <c r="Z56" s="7"/>
      <c r="AA56" s="7"/>
      <c r="AB56" s="7"/>
      <c r="AC56" s="7"/>
    </row>
    <row r="57" spans="1:29" ht="15.75" customHeight="1" x14ac:dyDescent="0.25">
      <c r="A57" s="12" t="s">
        <v>764</v>
      </c>
      <c r="B57" s="14" t="str">
        <f>IFERROR((VLOOKUP($A57,'[1]import success seats course'!$A:P,HLOOKUP('[1]Course Totals'!B$4,'[1]import success seats course'!$1:$2,2,FALSE),FALSE)/(VLOOKUP($A57,'[1]import graded seats course pivo'!$A:Z,HLOOKUP('[1]Course Totals'!B$4,'[1]import graded seats course pivo'!$1:$2,2,FALSE),FALSE))),"")</f>
        <v/>
      </c>
      <c r="C57" s="14" t="str">
        <f>IFERROR((VLOOKUP($A57,'[1]import success seats course'!$A:Q,HLOOKUP('[1]Course Totals'!C$4,'[1]import success seats course'!$1:$2,2,FALSE),FALSE)/(VLOOKUP($A57,'[1]import graded seats course pivo'!$A:AA,HLOOKUP('[1]Course Totals'!C$4,'[1]import graded seats course pivo'!$1:$2,2,FALSE),FALSE))),"")</f>
        <v/>
      </c>
      <c r="D57" s="14" t="str">
        <f>IFERROR((VLOOKUP($A57,'[1]import success seats course'!$A:R,HLOOKUP('[1]Course Totals'!D$4,'[1]import success seats course'!$1:$2,2,FALSE),FALSE)/(VLOOKUP($A57,'[1]import graded seats course pivo'!$A:AB,HLOOKUP('[1]Course Totals'!D$4,'[1]import graded seats course pivo'!$1:$2,2,FALSE),FALSE))),"")</f>
        <v/>
      </c>
      <c r="E57" s="14" t="str">
        <f>IFERROR((VLOOKUP($A57,'[1]import success seats course'!$A:S,HLOOKUP('[1]Course Totals'!E$4,'[1]import success seats course'!$1:$2,2,FALSE),FALSE)/(VLOOKUP($A57,'[1]import graded seats course pivo'!$A:AC,HLOOKUP('[1]Course Totals'!E$4,'[1]import graded seats course pivo'!$1:$2,2,FALSE),FALSE))),"")</f>
        <v/>
      </c>
      <c r="F57" s="14" t="str">
        <f>IFERROR((VLOOKUP($A57,'[1]import success seats course'!$A:T,HLOOKUP('[1]Course Totals'!F$4,'[1]import success seats course'!$1:$2,2,FALSE),FALSE)/(VLOOKUP($A57,'[1]import graded seats course pivo'!$A:AD,HLOOKUP('[1]Course Totals'!F$4,'[1]import graded seats course pivo'!$1:$2,2,FALSE),FALSE))),"")</f>
        <v/>
      </c>
      <c r="G57" s="14" t="str">
        <f>IFERROR((VLOOKUP($A57,'[1]import success seats course'!$A:U,HLOOKUP('[1]Course Totals'!G$4,'[1]import success seats course'!$1:$2,2,FALSE),FALSE)/(VLOOKUP($A57,'[1]import graded seats course pivo'!$A:AE,HLOOKUP('[1]Course Totals'!G$4,'[1]import graded seats course pivo'!$1:$2,2,FALSE),FALSE))),"")</f>
        <v/>
      </c>
      <c r="H57" s="14" t="str">
        <f>IFERROR((VLOOKUP($A57,'[1]import success seats course'!$A:V,HLOOKUP('[1]Course Totals'!H$4,'[1]import success seats course'!$1:$2,2,FALSE),FALSE)/(VLOOKUP($A57,'[1]import graded seats course pivo'!$A:AF,HLOOKUP('[1]Course Totals'!H$4,'[1]import graded seats course pivo'!$1:$2,2,FALSE),FALSE))),"")</f>
        <v/>
      </c>
      <c r="I57" s="14" t="str">
        <f>IFERROR((VLOOKUP($A57,'[1]import success seats course'!$A:W,HLOOKUP('[1]Course Totals'!I$4,'[1]import success seats course'!$1:$2,2,FALSE),FALSE)/(VLOOKUP($A57,'[1]import graded seats course pivo'!$A:AG,HLOOKUP('[1]Course Totals'!I$4,'[1]import graded seats course pivo'!$1:$2,2,FALSE),FALSE))),"")</f>
        <v/>
      </c>
      <c r="J57" s="14" t="str">
        <f>IFERROR((VLOOKUP($A57,'[1]import success seats course'!$A:X,HLOOKUP('[1]Course Totals'!J$4,'[1]import success seats course'!$1:$2,2,FALSE),FALSE)/(VLOOKUP($A57,'[1]import graded seats course pivo'!$A:AH,HLOOKUP('[1]Course Totals'!J$4,'[1]import graded seats course pivo'!$1:$2,2,FALSE),FALSE))),"")</f>
        <v/>
      </c>
      <c r="K57" s="14" t="str">
        <f>IFERROR((VLOOKUP($A57,'[1]import success seats course'!$A:Y,HLOOKUP('[1]Course Totals'!K$4,'[1]import success seats course'!$1:$2,2,FALSE),FALSE)/(VLOOKUP($A57,'[1]import graded seats course pivo'!$A:AI,HLOOKUP('[1]Course Totals'!K$4,'[1]import graded seats course pivo'!$1:$2,2,FALSE),FALSE))),"")</f>
        <v/>
      </c>
      <c r="L57" s="14">
        <f>IFERROR((VLOOKUP($A57,'[1]import success seats course'!$A:Z,HLOOKUP('[1]Course Totals'!L$4,'[1]import success seats course'!$1:$2,2,FALSE),FALSE)/(VLOOKUP($A57,'[1]import graded seats course pivo'!$A:AJ,HLOOKUP('[1]Course Totals'!L$4,'[1]import graded seats course pivo'!$1:$2,2,FALSE),FALSE))),"")</f>
        <v>0.92105263157894735</v>
      </c>
      <c r="M57" s="14" t="str">
        <f>IFERROR((VLOOKUP($A57,'[1]import success seats course'!$A:AA,HLOOKUP('[1]Course Totals'!M$4,'[1]import success seats course'!$1:$2,2,FALSE),FALSE)/(VLOOKUP($A57,'[1]import graded seats course pivo'!$A:AK,HLOOKUP('[1]Course Totals'!M$4,'[1]import graded seats course pivo'!$1:$2,2,FALSE),FALSE))),"")</f>
        <v/>
      </c>
      <c r="N57" s="14" t="str">
        <f>IFERROR((VLOOKUP($A57,'[1]import success seats course'!$A:AB,HLOOKUP('[1]Course Totals'!N$4,'[1]import success seats course'!$1:$2,2,FALSE),FALSE)/(VLOOKUP($A57,'[1]import graded seats course pivo'!$A:AL,HLOOKUP('[1]Course Totals'!N$4,'[1]import graded seats course pivo'!$1:$2,2,FALSE),FALSE))),"")</f>
        <v/>
      </c>
      <c r="O57" s="14" t="str">
        <f>IFERROR((VLOOKUP($A57,'[1]import success seats course'!$A:AC,HLOOKUP('[1]Course Totals'!O$4,'[1]import success seats course'!$1:$2,2,FALSE),FALSE)/(VLOOKUP($A57,'[1]import graded seats course pivo'!$A:AM,HLOOKUP('[1]Course Totals'!O$4,'[1]import graded seats course pivo'!$1:$2,2,FALSE),FALSE))),"")</f>
        <v/>
      </c>
      <c r="P57" s="14" t="str">
        <f>IFERROR((VLOOKUP($A57,'[1]import success seats course'!$A:AD,HLOOKUP('[1]Course Totals'!P$4,'[1]import success seats course'!$1:$2,2,FALSE),FALSE)/(VLOOKUP($A57,'[1]import graded seats course pivo'!$A:AN,HLOOKUP('[1]Course Totals'!P$4,'[1]import graded seats course pivo'!$1:$2,2,FALSE),FALSE))),"")</f>
        <v/>
      </c>
      <c r="Q57" s="14" t="str">
        <f>IFERROR((VLOOKUP($A57,'[1]import success seats course'!$A:AE,HLOOKUP('[1]Course Totals'!Q$4,'[1]import success seats course'!$1:$2,2,FALSE),FALSE)/(VLOOKUP($A57,'[1]import graded seats course pivo'!$A:AO,HLOOKUP('[1]Course Totals'!Q$4,'[1]import graded seats course pivo'!$1:$2,2,FALSE),FALSE))),"")</f>
        <v/>
      </c>
      <c r="R57" s="14" t="str">
        <f>IFERROR((VLOOKUP($A57,'[1]import success seats course'!$A:AF,HLOOKUP('[1]Course Totals'!R$4,'[1]import success seats course'!$1:$2,2,FALSE),FALSE)/(VLOOKUP($A57,'[1]import graded seats course pivo'!$A:AP,HLOOKUP('[1]Course Totals'!R$4,'[1]import graded seats course pivo'!$1:$2,2,FALSE),FALSE))),"")</f>
        <v/>
      </c>
      <c r="S57" s="14" t="str">
        <f>IFERROR((VLOOKUP($A57,'[1]import success seats course'!$A:AG,HLOOKUP('[1]Course Totals'!S$4,'[1]import success seats course'!$1:$2,2,FALSE),FALSE)/(VLOOKUP($A57,'[1]import graded seats course pivo'!$A:AQ,HLOOKUP('[1]Course Totals'!S$4,'[1]import graded seats course pivo'!$1:$2,2,FALSE),FALSE))),"")</f>
        <v/>
      </c>
      <c r="Z57" s="7"/>
      <c r="AA57" s="7"/>
      <c r="AB57" s="7"/>
      <c r="AC57" s="7"/>
    </row>
    <row r="58" spans="1:29" ht="15.75" customHeight="1" x14ac:dyDescent="0.25">
      <c r="A58" s="12" t="s">
        <v>551</v>
      </c>
      <c r="B58" s="14" t="str">
        <f>IFERROR((VLOOKUP($A58,'[1]import success seats course'!$A:P,HLOOKUP('[1]Course Totals'!B$4,'[1]import success seats course'!$1:$2,2,FALSE),FALSE)/(VLOOKUP($A58,'[1]import graded seats course pivo'!$A:Z,HLOOKUP('[1]Course Totals'!B$4,'[1]import graded seats course pivo'!$1:$2,2,FALSE),FALSE))),"")</f>
        <v/>
      </c>
      <c r="C58" s="14" t="str">
        <f>IFERROR((VLOOKUP($A58,'[1]import success seats course'!$A:Q,HLOOKUP('[1]Course Totals'!C$4,'[1]import success seats course'!$1:$2,2,FALSE),FALSE)/(VLOOKUP($A58,'[1]import graded seats course pivo'!$A:AA,HLOOKUP('[1]Course Totals'!C$4,'[1]import graded seats course pivo'!$1:$2,2,FALSE),FALSE))),"")</f>
        <v/>
      </c>
      <c r="D58" s="14" t="str">
        <f>IFERROR((VLOOKUP($A58,'[1]import success seats course'!$A:R,HLOOKUP('[1]Course Totals'!D$4,'[1]import success seats course'!$1:$2,2,FALSE),FALSE)/(VLOOKUP($A58,'[1]import graded seats course pivo'!$A:AB,HLOOKUP('[1]Course Totals'!D$4,'[1]import graded seats course pivo'!$1:$2,2,FALSE),FALSE))),"")</f>
        <v/>
      </c>
      <c r="E58" s="14" t="str">
        <f>IFERROR((VLOOKUP($A58,'[1]import success seats course'!$A:S,HLOOKUP('[1]Course Totals'!E$4,'[1]import success seats course'!$1:$2,2,FALSE),FALSE)/(VLOOKUP($A58,'[1]import graded seats course pivo'!$A:AC,HLOOKUP('[1]Course Totals'!E$4,'[1]import graded seats course pivo'!$1:$2,2,FALSE),FALSE))),"")</f>
        <v/>
      </c>
      <c r="F58" s="14" t="str">
        <f>IFERROR((VLOOKUP($A58,'[1]import success seats course'!$A:T,HLOOKUP('[1]Course Totals'!F$4,'[1]import success seats course'!$1:$2,2,FALSE),FALSE)/(VLOOKUP($A58,'[1]import graded seats course pivo'!$A:AD,HLOOKUP('[1]Course Totals'!F$4,'[1]import graded seats course pivo'!$1:$2,2,FALSE),FALSE))),"")</f>
        <v/>
      </c>
      <c r="G58" s="14">
        <f>IFERROR((VLOOKUP($A58,'[1]import success seats course'!$A:U,HLOOKUP('[1]Course Totals'!G$4,'[1]import success seats course'!$1:$2,2,FALSE),FALSE)/(VLOOKUP($A58,'[1]import graded seats course pivo'!$A:AE,HLOOKUP('[1]Course Totals'!G$4,'[1]import graded seats course pivo'!$1:$2,2,FALSE),FALSE))),"")</f>
        <v>0.9555555555555556</v>
      </c>
      <c r="H58" s="14" t="str">
        <f>IFERROR((VLOOKUP($A58,'[1]import success seats course'!$A:V,HLOOKUP('[1]Course Totals'!H$4,'[1]import success seats course'!$1:$2,2,FALSE),FALSE)/(VLOOKUP($A58,'[1]import graded seats course pivo'!$A:AF,HLOOKUP('[1]Course Totals'!H$4,'[1]import graded seats course pivo'!$1:$2,2,FALSE),FALSE))),"")</f>
        <v/>
      </c>
      <c r="I58" s="14" t="str">
        <f>IFERROR((VLOOKUP($A58,'[1]import success seats course'!$A:W,HLOOKUP('[1]Course Totals'!I$4,'[1]import success seats course'!$1:$2,2,FALSE),FALSE)/(VLOOKUP($A58,'[1]import graded seats course pivo'!$A:AG,HLOOKUP('[1]Course Totals'!I$4,'[1]import graded seats course pivo'!$1:$2,2,FALSE),FALSE))),"")</f>
        <v/>
      </c>
      <c r="J58" s="14">
        <f>IFERROR((VLOOKUP($A58,'[1]import success seats course'!$A:X,HLOOKUP('[1]Course Totals'!J$4,'[1]import success seats course'!$1:$2,2,FALSE),FALSE)/(VLOOKUP($A58,'[1]import graded seats course pivo'!$A:AH,HLOOKUP('[1]Course Totals'!J$4,'[1]import graded seats course pivo'!$1:$2,2,FALSE),FALSE))),"")</f>
        <v>0.84210526315789469</v>
      </c>
      <c r="K58" s="14" t="str">
        <f>IFERROR((VLOOKUP($A58,'[1]import success seats course'!$A:Y,HLOOKUP('[1]Course Totals'!K$4,'[1]import success seats course'!$1:$2,2,FALSE),FALSE)/(VLOOKUP($A58,'[1]import graded seats course pivo'!$A:AI,HLOOKUP('[1]Course Totals'!K$4,'[1]import graded seats course pivo'!$1:$2,2,FALSE),FALSE))),"")</f>
        <v/>
      </c>
      <c r="L58" s="14" t="str">
        <f>IFERROR((VLOOKUP($A58,'[1]import success seats course'!$A:Z,HLOOKUP('[1]Course Totals'!L$4,'[1]import success seats course'!$1:$2,2,FALSE),FALSE)/(VLOOKUP($A58,'[1]import graded seats course pivo'!$A:AJ,HLOOKUP('[1]Course Totals'!L$4,'[1]import graded seats course pivo'!$1:$2,2,FALSE),FALSE))),"")</f>
        <v/>
      </c>
      <c r="M58" s="14">
        <f>IFERROR((VLOOKUP($A58,'[1]import success seats course'!$A:AA,HLOOKUP('[1]Course Totals'!M$4,'[1]import success seats course'!$1:$2,2,FALSE),FALSE)/(VLOOKUP($A58,'[1]import graded seats course pivo'!$A:AK,HLOOKUP('[1]Course Totals'!M$4,'[1]import graded seats course pivo'!$1:$2,2,FALSE),FALSE))),"")</f>
        <v>0.97368421052631582</v>
      </c>
      <c r="N58" s="14" t="str">
        <f>IFERROR((VLOOKUP($A58,'[1]import success seats course'!$A:AB,HLOOKUP('[1]Course Totals'!N$4,'[1]import success seats course'!$1:$2,2,FALSE),FALSE)/(VLOOKUP($A58,'[1]import graded seats course pivo'!$A:AL,HLOOKUP('[1]Course Totals'!N$4,'[1]import graded seats course pivo'!$1:$2,2,FALSE),FALSE))),"")</f>
        <v/>
      </c>
      <c r="O58" s="14" t="str">
        <f>IFERROR((VLOOKUP($A58,'[1]import success seats course'!$A:AC,HLOOKUP('[1]Course Totals'!O$4,'[1]import success seats course'!$1:$2,2,FALSE),FALSE)/(VLOOKUP($A58,'[1]import graded seats course pivo'!$A:AM,HLOOKUP('[1]Course Totals'!O$4,'[1]import graded seats course pivo'!$1:$2,2,FALSE),FALSE))),"")</f>
        <v/>
      </c>
      <c r="P58" s="14" t="str">
        <f>IFERROR((VLOOKUP($A58,'[1]import success seats course'!$A:AD,HLOOKUP('[1]Course Totals'!P$4,'[1]import success seats course'!$1:$2,2,FALSE),FALSE)/(VLOOKUP($A58,'[1]import graded seats course pivo'!$A:AN,HLOOKUP('[1]Course Totals'!P$4,'[1]import graded seats course pivo'!$1:$2,2,FALSE),FALSE))),"")</f>
        <v/>
      </c>
      <c r="Q58" s="14" t="str">
        <f>IFERROR((VLOOKUP($A58,'[1]import success seats course'!$A:AE,HLOOKUP('[1]Course Totals'!Q$4,'[1]import success seats course'!$1:$2,2,FALSE),FALSE)/(VLOOKUP($A58,'[1]import graded seats course pivo'!$A:AO,HLOOKUP('[1]Course Totals'!Q$4,'[1]import graded seats course pivo'!$1:$2,2,FALSE),FALSE))),"")</f>
        <v/>
      </c>
      <c r="R58" s="14" t="str">
        <f>IFERROR((VLOOKUP($A58,'[1]import success seats course'!$A:AF,HLOOKUP('[1]Course Totals'!R$4,'[1]import success seats course'!$1:$2,2,FALSE),FALSE)/(VLOOKUP($A58,'[1]import graded seats course pivo'!$A:AP,HLOOKUP('[1]Course Totals'!R$4,'[1]import graded seats course pivo'!$1:$2,2,FALSE),FALSE))),"")</f>
        <v/>
      </c>
      <c r="S58" s="14">
        <f>IFERROR((VLOOKUP($A58,'[1]import success seats course'!$A:AG,HLOOKUP('[1]Course Totals'!S$4,'[1]import success seats course'!$1:$2,2,FALSE),FALSE)/(VLOOKUP($A58,'[1]import graded seats course pivo'!$A:AQ,HLOOKUP('[1]Course Totals'!S$4,'[1]import graded seats course pivo'!$1:$2,2,FALSE),FALSE))),"")</f>
        <v>0.9</v>
      </c>
      <c r="Z58" s="7"/>
      <c r="AA58" s="7"/>
      <c r="AB58" s="7"/>
      <c r="AC58" s="7"/>
    </row>
    <row r="59" spans="1:29" ht="15.75" customHeight="1" x14ac:dyDescent="0.25">
      <c r="A59" s="12" t="s">
        <v>33</v>
      </c>
      <c r="B59" s="14" t="str">
        <f>IFERROR((VLOOKUP($A59,'[1]import success seats course'!$A:P,HLOOKUP('[1]Course Totals'!B$4,'[1]import success seats course'!$1:$2,2,FALSE),FALSE)/(VLOOKUP($A59,'[1]import graded seats course pivo'!$A:Z,HLOOKUP('[1]Course Totals'!B$4,'[1]import graded seats course pivo'!$1:$2,2,FALSE),FALSE))),"")</f>
        <v/>
      </c>
      <c r="C59" s="14" t="str">
        <f>IFERROR((VLOOKUP($A59,'[1]import success seats course'!$A:Q,HLOOKUP('[1]Course Totals'!C$4,'[1]import success seats course'!$1:$2,2,FALSE),FALSE)/(VLOOKUP($A59,'[1]import graded seats course pivo'!$A:AA,HLOOKUP('[1]Course Totals'!C$4,'[1]import graded seats course pivo'!$1:$2,2,FALSE),FALSE))),"")</f>
        <v/>
      </c>
      <c r="D59" s="14">
        <f>IFERROR((VLOOKUP($A59,'[1]import success seats course'!$A:R,HLOOKUP('[1]Course Totals'!D$4,'[1]import success seats course'!$1:$2,2,FALSE),FALSE)/(VLOOKUP($A59,'[1]import graded seats course pivo'!$A:AB,HLOOKUP('[1]Course Totals'!D$4,'[1]import graded seats course pivo'!$1:$2,2,FALSE),FALSE))),"")</f>
        <v>1</v>
      </c>
      <c r="E59" s="14" t="str">
        <f>IFERROR((VLOOKUP($A59,'[1]import success seats course'!$A:S,HLOOKUP('[1]Course Totals'!E$4,'[1]import success seats course'!$1:$2,2,FALSE),FALSE)/(VLOOKUP($A59,'[1]import graded seats course pivo'!$A:AC,HLOOKUP('[1]Course Totals'!E$4,'[1]import graded seats course pivo'!$1:$2,2,FALSE),FALSE))),"")</f>
        <v/>
      </c>
      <c r="F59" s="14" t="str">
        <f>IFERROR((VLOOKUP($A59,'[1]import success seats course'!$A:T,HLOOKUP('[1]Course Totals'!F$4,'[1]import success seats course'!$1:$2,2,FALSE),FALSE)/(VLOOKUP($A59,'[1]import graded seats course pivo'!$A:AD,HLOOKUP('[1]Course Totals'!F$4,'[1]import graded seats course pivo'!$1:$2,2,FALSE),FALSE))),"")</f>
        <v/>
      </c>
      <c r="G59" s="14" t="str">
        <f>IFERROR((VLOOKUP($A59,'[1]import success seats course'!$A:U,HLOOKUP('[1]Course Totals'!G$4,'[1]import success seats course'!$1:$2,2,FALSE),FALSE)/(VLOOKUP($A59,'[1]import graded seats course pivo'!$A:AE,HLOOKUP('[1]Course Totals'!G$4,'[1]import graded seats course pivo'!$1:$2,2,FALSE),FALSE))),"")</f>
        <v/>
      </c>
      <c r="H59" s="14" t="str">
        <f>IFERROR((VLOOKUP($A59,'[1]import success seats course'!$A:V,HLOOKUP('[1]Course Totals'!H$4,'[1]import success seats course'!$1:$2,2,FALSE),FALSE)/(VLOOKUP($A59,'[1]import graded seats course pivo'!$A:AF,HLOOKUP('[1]Course Totals'!H$4,'[1]import graded seats course pivo'!$1:$2,2,FALSE),FALSE))),"")</f>
        <v/>
      </c>
      <c r="I59" s="14">
        <f>IFERROR((VLOOKUP($A59,'[1]import success seats course'!$A:W,HLOOKUP('[1]Course Totals'!I$4,'[1]import success seats course'!$1:$2,2,FALSE),FALSE)/(VLOOKUP($A59,'[1]import graded seats course pivo'!$A:AG,HLOOKUP('[1]Course Totals'!I$4,'[1]import graded seats course pivo'!$1:$2,2,FALSE),FALSE))),"")</f>
        <v>1</v>
      </c>
      <c r="J59" s="14" t="str">
        <f>IFERROR((VLOOKUP($A59,'[1]import success seats course'!$A:X,HLOOKUP('[1]Course Totals'!J$4,'[1]import success seats course'!$1:$2,2,FALSE),FALSE)/(VLOOKUP($A59,'[1]import graded seats course pivo'!$A:AH,HLOOKUP('[1]Course Totals'!J$4,'[1]import graded seats course pivo'!$1:$2,2,FALSE),FALSE))),"")</f>
        <v/>
      </c>
      <c r="K59" s="14" t="str">
        <f>IFERROR((VLOOKUP($A59,'[1]import success seats course'!$A:Y,HLOOKUP('[1]Course Totals'!K$4,'[1]import success seats course'!$1:$2,2,FALSE),FALSE)/(VLOOKUP($A59,'[1]import graded seats course pivo'!$A:AI,HLOOKUP('[1]Course Totals'!K$4,'[1]import graded seats course pivo'!$1:$2,2,FALSE),FALSE))),"")</f>
        <v/>
      </c>
      <c r="L59" s="14" t="str">
        <f>IFERROR((VLOOKUP($A59,'[1]import success seats course'!$A:Z,HLOOKUP('[1]Course Totals'!L$4,'[1]import success seats course'!$1:$2,2,FALSE),FALSE)/(VLOOKUP($A59,'[1]import graded seats course pivo'!$A:AJ,HLOOKUP('[1]Course Totals'!L$4,'[1]import graded seats course pivo'!$1:$2,2,FALSE),FALSE))),"")</f>
        <v/>
      </c>
      <c r="M59" s="14" t="str">
        <f>IFERROR((VLOOKUP($A59,'[1]import success seats course'!$A:AA,HLOOKUP('[1]Course Totals'!M$4,'[1]import success seats course'!$1:$2,2,FALSE),FALSE)/(VLOOKUP($A59,'[1]import graded seats course pivo'!$A:AK,HLOOKUP('[1]Course Totals'!M$4,'[1]import graded seats course pivo'!$1:$2,2,FALSE),FALSE))),"")</f>
        <v/>
      </c>
      <c r="N59" s="14" t="str">
        <f>IFERROR((VLOOKUP($A59,'[1]import success seats course'!$A:AB,HLOOKUP('[1]Course Totals'!N$4,'[1]import success seats course'!$1:$2,2,FALSE),FALSE)/(VLOOKUP($A59,'[1]import graded seats course pivo'!$A:AL,HLOOKUP('[1]Course Totals'!N$4,'[1]import graded seats course pivo'!$1:$2,2,FALSE),FALSE))),"")</f>
        <v/>
      </c>
      <c r="O59" s="14">
        <f>IFERROR((VLOOKUP($A59,'[1]import success seats course'!$A:AC,HLOOKUP('[1]Course Totals'!O$4,'[1]import success seats course'!$1:$2,2,FALSE),FALSE)/(VLOOKUP($A59,'[1]import graded seats course pivo'!$A:AM,HLOOKUP('[1]Course Totals'!O$4,'[1]import graded seats course pivo'!$1:$2,2,FALSE),FALSE))),"")</f>
        <v>1</v>
      </c>
      <c r="P59" s="14" t="str">
        <f>IFERROR((VLOOKUP($A59,'[1]import success seats course'!$A:AD,HLOOKUP('[1]Course Totals'!P$4,'[1]import success seats course'!$1:$2,2,FALSE),FALSE)/(VLOOKUP($A59,'[1]import graded seats course pivo'!$A:AN,HLOOKUP('[1]Course Totals'!P$4,'[1]import graded seats course pivo'!$1:$2,2,FALSE),FALSE))),"")</f>
        <v/>
      </c>
      <c r="Q59" s="14" t="str">
        <f>IFERROR((VLOOKUP($A59,'[1]import success seats course'!$A:AE,HLOOKUP('[1]Course Totals'!Q$4,'[1]import success seats course'!$1:$2,2,FALSE),FALSE)/(VLOOKUP($A59,'[1]import graded seats course pivo'!$A:AO,HLOOKUP('[1]Course Totals'!Q$4,'[1]import graded seats course pivo'!$1:$2,2,FALSE),FALSE))),"")</f>
        <v/>
      </c>
      <c r="R59" s="14" t="str">
        <f>IFERROR((VLOOKUP($A59,'[1]import success seats course'!$A:AF,HLOOKUP('[1]Course Totals'!R$4,'[1]import success seats course'!$1:$2,2,FALSE),FALSE)/(VLOOKUP($A59,'[1]import graded seats course pivo'!$A:AP,HLOOKUP('[1]Course Totals'!R$4,'[1]import graded seats course pivo'!$1:$2,2,FALSE),FALSE))),"")</f>
        <v/>
      </c>
      <c r="S59" s="14" t="str">
        <f>IFERROR((VLOOKUP($A59,'[1]import success seats course'!$A:AG,HLOOKUP('[1]Course Totals'!S$4,'[1]import success seats course'!$1:$2,2,FALSE),FALSE)/(VLOOKUP($A59,'[1]import graded seats course pivo'!$A:AQ,HLOOKUP('[1]Course Totals'!S$4,'[1]import graded seats course pivo'!$1:$2,2,FALSE),FALSE))),"")</f>
        <v/>
      </c>
      <c r="Z59" s="7"/>
      <c r="AA59" s="7"/>
      <c r="AB59" s="7"/>
      <c r="AC59" s="7"/>
    </row>
    <row r="60" spans="1:29" ht="15.75" customHeight="1" x14ac:dyDescent="0.25">
      <c r="A60" s="12" t="s">
        <v>34</v>
      </c>
      <c r="B60" s="14" t="str">
        <f>IFERROR((VLOOKUP($A60,'[1]import success seats course'!$A:P,HLOOKUP('[1]Course Totals'!B$4,'[1]import success seats course'!$1:$2,2,FALSE),FALSE)/(VLOOKUP($A60,'[1]import graded seats course pivo'!$A:Z,HLOOKUP('[1]Course Totals'!B$4,'[1]import graded seats course pivo'!$1:$2,2,FALSE),FALSE))),"")</f>
        <v/>
      </c>
      <c r="C60" s="14">
        <f>IFERROR((VLOOKUP($A60,'[1]import success seats course'!$A:Q,HLOOKUP('[1]Course Totals'!C$4,'[1]import success seats course'!$1:$2,2,FALSE),FALSE)/(VLOOKUP($A60,'[1]import graded seats course pivo'!$A:AA,HLOOKUP('[1]Course Totals'!C$4,'[1]import graded seats course pivo'!$1:$2,2,FALSE),FALSE))),"")</f>
        <v>0.81818181818181823</v>
      </c>
      <c r="D60" s="14" t="str">
        <f>IFERROR((VLOOKUP($A60,'[1]import success seats course'!$A:R,HLOOKUP('[1]Course Totals'!D$4,'[1]import success seats course'!$1:$2,2,FALSE),FALSE)/(VLOOKUP($A60,'[1]import graded seats course pivo'!$A:AB,HLOOKUP('[1]Course Totals'!D$4,'[1]import graded seats course pivo'!$1:$2,2,FALSE),FALSE))),"")</f>
        <v/>
      </c>
      <c r="E60" s="14" t="str">
        <f>IFERROR((VLOOKUP($A60,'[1]import success seats course'!$A:S,HLOOKUP('[1]Course Totals'!E$4,'[1]import success seats course'!$1:$2,2,FALSE),FALSE)/(VLOOKUP($A60,'[1]import graded seats course pivo'!$A:AC,HLOOKUP('[1]Course Totals'!E$4,'[1]import graded seats course pivo'!$1:$2,2,FALSE),FALSE))),"")</f>
        <v/>
      </c>
      <c r="F60" s="14" t="str">
        <f>IFERROR((VLOOKUP($A60,'[1]import success seats course'!$A:T,HLOOKUP('[1]Course Totals'!F$4,'[1]import success seats course'!$1:$2,2,FALSE),FALSE)/(VLOOKUP($A60,'[1]import graded seats course pivo'!$A:AD,HLOOKUP('[1]Course Totals'!F$4,'[1]import graded seats course pivo'!$1:$2,2,FALSE),FALSE))),"")</f>
        <v/>
      </c>
      <c r="G60" s="14">
        <f>IFERROR((VLOOKUP($A60,'[1]import success seats course'!$A:U,HLOOKUP('[1]Course Totals'!G$4,'[1]import success seats course'!$1:$2,2,FALSE),FALSE)/(VLOOKUP($A60,'[1]import graded seats course pivo'!$A:AE,HLOOKUP('[1]Course Totals'!G$4,'[1]import graded seats course pivo'!$1:$2,2,FALSE),FALSE))),"")</f>
        <v>0.91666666666666663</v>
      </c>
      <c r="H60" s="14" t="str">
        <f>IFERROR((VLOOKUP($A60,'[1]import success seats course'!$A:V,HLOOKUP('[1]Course Totals'!H$4,'[1]import success seats course'!$1:$2,2,FALSE),FALSE)/(VLOOKUP($A60,'[1]import graded seats course pivo'!$A:AF,HLOOKUP('[1]Course Totals'!H$4,'[1]import graded seats course pivo'!$1:$2,2,FALSE),FALSE))),"")</f>
        <v/>
      </c>
      <c r="I60" s="14" t="str">
        <f>IFERROR((VLOOKUP($A60,'[1]import success seats course'!$A:W,HLOOKUP('[1]Course Totals'!I$4,'[1]import success seats course'!$1:$2,2,FALSE),FALSE)/(VLOOKUP($A60,'[1]import graded seats course pivo'!$A:AG,HLOOKUP('[1]Course Totals'!I$4,'[1]import graded seats course pivo'!$1:$2,2,FALSE),FALSE))),"")</f>
        <v/>
      </c>
      <c r="J60" s="14" t="str">
        <f>IFERROR((VLOOKUP($A60,'[1]import success seats course'!$A:X,HLOOKUP('[1]Course Totals'!J$4,'[1]import success seats course'!$1:$2,2,FALSE),FALSE)/(VLOOKUP($A60,'[1]import graded seats course pivo'!$A:AH,HLOOKUP('[1]Course Totals'!J$4,'[1]import graded seats course pivo'!$1:$2,2,FALSE),FALSE))),"")</f>
        <v/>
      </c>
      <c r="K60" s="14" t="str">
        <f>IFERROR((VLOOKUP($A60,'[1]import success seats course'!$A:Y,HLOOKUP('[1]Course Totals'!K$4,'[1]import success seats course'!$1:$2,2,FALSE),FALSE)/(VLOOKUP($A60,'[1]import graded seats course pivo'!$A:AI,HLOOKUP('[1]Course Totals'!K$4,'[1]import graded seats course pivo'!$1:$2,2,FALSE),FALSE))),"")</f>
        <v/>
      </c>
      <c r="L60" s="14" t="str">
        <f>IFERROR((VLOOKUP($A60,'[1]import success seats course'!$A:Z,HLOOKUP('[1]Course Totals'!L$4,'[1]import success seats course'!$1:$2,2,FALSE),FALSE)/(VLOOKUP($A60,'[1]import graded seats course pivo'!$A:AJ,HLOOKUP('[1]Course Totals'!L$4,'[1]import graded seats course pivo'!$1:$2,2,FALSE),FALSE))),"")</f>
        <v/>
      </c>
      <c r="M60" s="14">
        <f>IFERROR((VLOOKUP($A60,'[1]import success seats course'!$A:AA,HLOOKUP('[1]Course Totals'!M$4,'[1]import success seats course'!$1:$2,2,FALSE),FALSE)/(VLOOKUP($A60,'[1]import graded seats course pivo'!$A:AK,HLOOKUP('[1]Course Totals'!M$4,'[1]import graded seats course pivo'!$1:$2,2,FALSE),FALSE))),"")</f>
        <v>0.86842105263157898</v>
      </c>
      <c r="N60" s="14" t="str">
        <f>IFERROR((VLOOKUP($A60,'[1]import success seats course'!$A:AB,HLOOKUP('[1]Course Totals'!N$4,'[1]import success seats course'!$1:$2,2,FALSE),FALSE)/(VLOOKUP($A60,'[1]import graded seats course pivo'!$A:AL,HLOOKUP('[1]Course Totals'!N$4,'[1]import graded seats course pivo'!$1:$2,2,FALSE),FALSE))),"")</f>
        <v/>
      </c>
      <c r="O60" s="14" t="str">
        <f>IFERROR((VLOOKUP($A60,'[1]import success seats course'!$A:AC,HLOOKUP('[1]Course Totals'!O$4,'[1]import success seats course'!$1:$2,2,FALSE),FALSE)/(VLOOKUP($A60,'[1]import graded seats course pivo'!$A:AM,HLOOKUP('[1]Course Totals'!O$4,'[1]import graded seats course pivo'!$1:$2,2,FALSE),FALSE))),"")</f>
        <v/>
      </c>
      <c r="P60" s="14">
        <f>IFERROR((VLOOKUP($A60,'[1]import success seats course'!$A:AD,HLOOKUP('[1]Course Totals'!P$4,'[1]import success seats course'!$1:$2,2,FALSE),FALSE)/(VLOOKUP($A60,'[1]import graded seats course pivo'!$A:AN,HLOOKUP('[1]Course Totals'!P$4,'[1]import graded seats course pivo'!$1:$2,2,FALSE),FALSE))),"")</f>
        <v>0.92105263157894735</v>
      </c>
      <c r="Q60" s="14" t="str">
        <f>IFERROR((VLOOKUP($A60,'[1]import success seats course'!$A:AE,HLOOKUP('[1]Course Totals'!Q$4,'[1]import success seats course'!$1:$2,2,FALSE),FALSE)/(VLOOKUP($A60,'[1]import graded seats course pivo'!$A:AO,HLOOKUP('[1]Course Totals'!Q$4,'[1]import graded seats course pivo'!$1:$2,2,FALSE),FALSE))),"")</f>
        <v/>
      </c>
      <c r="R60" s="14" t="str">
        <f>IFERROR((VLOOKUP($A60,'[1]import success seats course'!$A:AF,HLOOKUP('[1]Course Totals'!R$4,'[1]import success seats course'!$1:$2,2,FALSE),FALSE)/(VLOOKUP($A60,'[1]import graded seats course pivo'!$A:AP,HLOOKUP('[1]Course Totals'!R$4,'[1]import graded seats course pivo'!$1:$2,2,FALSE),FALSE))),"")</f>
        <v/>
      </c>
      <c r="S60" s="14">
        <f>IFERROR((VLOOKUP($A60,'[1]import success seats course'!$A:AG,HLOOKUP('[1]Course Totals'!S$4,'[1]import success seats course'!$1:$2,2,FALSE),FALSE)/(VLOOKUP($A60,'[1]import graded seats course pivo'!$A:AQ,HLOOKUP('[1]Course Totals'!S$4,'[1]import graded seats course pivo'!$1:$2,2,FALSE),FALSE))),"")</f>
        <v>0.82499999999999996</v>
      </c>
      <c r="Z60" s="7"/>
      <c r="AA60" s="7"/>
      <c r="AB60" s="7"/>
      <c r="AC60" s="7"/>
    </row>
    <row r="61" spans="1:29" ht="15.75" customHeight="1" x14ac:dyDescent="0.25">
      <c r="A61" s="12" t="s">
        <v>35</v>
      </c>
      <c r="B61" s="14" t="str">
        <f>IFERROR((VLOOKUP($A61,'[1]import success seats course'!$A:P,HLOOKUP('[1]Course Totals'!B$4,'[1]import success seats course'!$1:$2,2,FALSE),FALSE)/(VLOOKUP($A61,'[1]import graded seats course pivo'!$A:Z,HLOOKUP('[1]Course Totals'!B$4,'[1]import graded seats course pivo'!$1:$2,2,FALSE),FALSE))),"")</f>
        <v/>
      </c>
      <c r="C61" s="14">
        <f>IFERROR((VLOOKUP($A61,'[1]import success seats course'!$A:Q,HLOOKUP('[1]Course Totals'!C$4,'[1]import success seats course'!$1:$2,2,FALSE),FALSE)/(VLOOKUP($A61,'[1]import graded seats course pivo'!$A:AA,HLOOKUP('[1]Course Totals'!C$4,'[1]import graded seats course pivo'!$1:$2,2,FALSE),FALSE))),"")</f>
        <v>0.5</v>
      </c>
      <c r="D61" s="14" t="str">
        <f>IFERROR((VLOOKUP($A61,'[1]import success seats course'!$A:R,HLOOKUP('[1]Course Totals'!D$4,'[1]import success seats course'!$1:$2,2,FALSE),FALSE)/(VLOOKUP($A61,'[1]import graded seats course pivo'!$A:AB,HLOOKUP('[1]Course Totals'!D$4,'[1]import graded seats course pivo'!$1:$2,2,FALSE),FALSE))),"")</f>
        <v/>
      </c>
      <c r="E61" s="14" t="str">
        <f>IFERROR((VLOOKUP($A61,'[1]import success seats course'!$A:S,HLOOKUP('[1]Course Totals'!E$4,'[1]import success seats course'!$1:$2,2,FALSE),FALSE)/(VLOOKUP($A61,'[1]import graded seats course pivo'!$A:AC,HLOOKUP('[1]Course Totals'!E$4,'[1]import graded seats course pivo'!$1:$2,2,FALSE),FALSE))),"")</f>
        <v/>
      </c>
      <c r="F61" s="14">
        <f>IFERROR((VLOOKUP($A61,'[1]import success seats course'!$A:T,HLOOKUP('[1]Course Totals'!F$4,'[1]import success seats course'!$1:$2,2,FALSE),FALSE)/(VLOOKUP($A61,'[1]import graded seats course pivo'!$A:AD,HLOOKUP('[1]Course Totals'!F$4,'[1]import graded seats course pivo'!$1:$2,2,FALSE),FALSE))),"")</f>
        <v>1</v>
      </c>
      <c r="G61" s="14">
        <f>IFERROR((VLOOKUP($A61,'[1]import success seats course'!$A:U,HLOOKUP('[1]Course Totals'!G$4,'[1]import success seats course'!$1:$2,2,FALSE),FALSE)/(VLOOKUP($A61,'[1]import graded seats course pivo'!$A:AE,HLOOKUP('[1]Course Totals'!G$4,'[1]import graded seats course pivo'!$1:$2,2,FALSE),FALSE))),"")</f>
        <v>1</v>
      </c>
      <c r="H61" s="14" t="str">
        <f>IFERROR((VLOOKUP($A61,'[1]import success seats course'!$A:V,HLOOKUP('[1]Course Totals'!H$4,'[1]import success seats course'!$1:$2,2,FALSE),FALSE)/(VLOOKUP($A61,'[1]import graded seats course pivo'!$A:AF,HLOOKUP('[1]Course Totals'!H$4,'[1]import graded seats course pivo'!$1:$2,2,FALSE),FALSE))),"")</f>
        <v/>
      </c>
      <c r="I61" s="14">
        <f>IFERROR((VLOOKUP($A61,'[1]import success seats course'!$A:W,HLOOKUP('[1]Course Totals'!I$4,'[1]import success seats course'!$1:$2,2,FALSE),FALSE)/(VLOOKUP($A61,'[1]import graded seats course pivo'!$A:AG,HLOOKUP('[1]Course Totals'!I$4,'[1]import graded seats course pivo'!$1:$2,2,FALSE),FALSE))),"")</f>
        <v>1</v>
      </c>
      <c r="J61" s="14" t="str">
        <f>IFERROR((VLOOKUP($A61,'[1]import success seats course'!$A:X,HLOOKUP('[1]Course Totals'!J$4,'[1]import success seats course'!$1:$2,2,FALSE),FALSE)/(VLOOKUP($A61,'[1]import graded seats course pivo'!$A:AH,HLOOKUP('[1]Course Totals'!J$4,'[1]import graded seats course pivo'!$1:$2,2,FALSE),FALSE))),"")</f>
        <v/>
      </c>
      <c r="K61" s="14" t="str">
        <f>IFERROR((VLOOKUP($A61,'[1]import success seats course'!$A:Y,HLOOKUP('[1]Course Totals'!K$4,'[1]import success seats course'!$1:$2,2,FALSE),FALSE)/(VLOOKUP($A61,'[1]import graded seats course pivo'!$A:AI,HLOOKUP('[1]Course Totals'!K$4,'[1]import graded seats course pivo'!$1:$2,2,FALSE),FALSE))),"")</f>
        <v/>
      </c>
      <c r="L61" s="14" t="str">
        <f>IFERROR((VLOOKUP($A61,'[1]import success seats course'!$A:Z,HLOOKUP('[1]Course Totals'!L$4,'[1]import success seats course'!$1:$2,2,FALSE),FALSE)/(VLOOKUP($A61,'[1]import graded seats course pivo'!$A:AJ,HLOOKUP('[1]Course Totals'!L$4,'[1]import graded seats course pivo'!$1:$2,2,FALSE),FALSE))),"")</f>
        <v/>
      </c>
      <c r="M61" s="14" t="str">
        <f>IFERROR((VLOOKUP($A61,'[1]import success seats course'!$A:AA,HLOOKUP('[1]Course Totals'!M$4,'[1]import success seats course'!$1:$2,2,FALSE),FALSE)/(VLOOKUP($A61,'[1]import graded seats course pivo'!$A:AK,HLOOKUP('[1]Course Totals'!M$4,'[1]import graded seats course pivo'!$1:$2,2,FALSE),FALSE))),"")</f>
        <v/>
      </c>
      <c r="N61" s="14" t="str">
        <f>IFERROR((VLOOKUP($A61,'[1]import success seats course'!$A:AB,HLOOKUP('[1]Course Totals'!N$4,'[1]import success seats course'!$1:$2,2,FALSE),FALSE)/(VLOOKUP($A61,'[1]import graded seats course pivo'!$A:AL,HLOOKUP('[1]Course Totals'!N$4,'[1]import graded seats course pivo'!$1:$2,2,FALSE),FALSE))),"")</f>
        <v/>
      </c>
      <c r="O61" s="14" t="str">
        <f>IFERROR((VLOOKUP($A61,'[1]import success seats course'!$A:AC,HLOOKUP('[1]Course Totals'!O$4,'[1]import success seats course'!$1:$2,2,FALSE),FALSE)/(VLOOKUP($A61,'[1]import graded seats course pivo'!$A:AM,HLOOKUP('[1]Course Totals'!O$4,'[1]import graded seats course pivo'!$1:$2,2,FALSE),FALSE))),"")</f>
        <v/>
      </c>
      <c r="P61" s="14">
        <f>IFERROR((VLOOKUP($A61,'[1]import success seats course'!$A:AD,HLOOKUP('[1]Course Totals'!P$4,'[1]import success seats course'!$1:$2,2,FALSE),FALSE)/(VLOOKUP($A61,'[1]import graded seats course pivo'!$A:AN,HLOOKUP('[1]Course Totals'!P$4,'[1]import graded seats course pivo'!$1:$2,2,FALSE),FALSE))),"")</f>
        <v>1</v>
      </c>
      <c r="Q61" s="14" t="str">
        <f>IFERROR((VLOOKUP($A61,'[1]import success seats course'!$A:AE,HLOOKUP('[1]Course Totals'!Q$4,'[1]import success seats course'!$1:$2,2,FALSE),FALSE)/(VLOOKUP($A61,'[1]import graded seats course pivo'!$A:AO,HLOOKUP('[1]Course Totals'!Q$4,'[1]import graded seats course pivo'!$1:$2,2,FALSE),FALSE))),"")</f>
        <v/>
      </c>
      <c r="R61" s="14">
        <f>IFERROR((VLOOKUP($A61,'[1]import success seats course'!$A:AF,HLOOKUP('[1]Course Totals'!R$4,'[1]import success seats course'!$1:$2,2,FALSE),FALSE)/(VLOOKUP($A61,'[1]import graded seats course pivo'!$A:AP,HLOOKUP('[1]Course Totals'!R$4,'[1]import graded seats course pivo'!$1:$2,2,FALSE),FALSE))),"")</f>
        <v>1</v>
      </c>
      <c r="S61" s="14">
        <f>IFERROR((VLOOKUP($A61,'[1]import success seats course'!$A:AG,HLOOKUP('[1]Course Totals'!S$4,'[1]import success seats course'!$1:$2,2,FALSE),FALSE)/(VLOOKUP($A61,'[1]import graded seats course pivo'!$A:AQ,HLOOKUP('[1]Course Totals'!S$4,'[1]import graded seats course pivo'!$1:$2,2,FALSE),FALSE))),"")</f>
        <v>1</v>
      </c>
      <c r="Z61" s="7"/>
      <c r="AA61" s="7"/>
      <c r="AB61" s="7"/>
      <c r="AC61" s="7"/>
    </row>
    <row r="62" spans="1:29" ht="15.75" customHeight="1" x14ac:dyDescent="0.25">
      <c r="A62" s="12" t="s">
        <v>36</v>
      </c>
      <c r="B62" s="14" t="str">
        <f>IFERROR((VLOOKUP($A62,'[1]import success seats course'!$A:P,HLOOKUP('[1]Course Totals'!B$4,'[1]import success seats course'!$1:$2,2,FALSE),FALSE)/(VLOOKUP($A62,'[1]import graded seats course pivo'!$A:Z,HLOOKUP('[1]Course Totals'!B$4,'[1]import graded seats course pivo'!$1:$2,2,FALSE),FALSE))),"")</f>
        <v/>
      </c>
      <c r="C62" s="14">
        <f>IFERROR((VLOOKUP($A62,'[1]import success seats course'!$A:Q,HLOOKUP('[1]Course Totals'!C$4,'[1]import success seats course'!$1:$2,2,FALSE),FALSE)/(VLOOKUP($A62,'[1]import graded seats course pivo'!$A:AA,HLOOKUP('[1]Course Totals'!C$4,'[1]import graded seats course pivo'!$1:$2,2,FALSE),FALSE))),"")</f>
        <v>1</v>
      </c>
      <c r="D62" s="14" t="str">
        <f>IFERROR((VLOOKUP($A62,'[1]import success seats course'!$A:R,HLOOKUP('[1]Course Totals'!D$4,'[1]import success seats course'!$1:$2,2,FALSE),FALSE)/(VLOOKUP($A62,'[1]import graded seats course pivo'!$A:AB,HLOOKUP('[1]Course Totals'!D$4,'[1]import graded seats course pivo'!$1:$2,2,FALSE),FALSE))),"")</f>
        <v/>
      </c>
      <c r="E62" s="14" t="str">
        <f>IFERROR((VLOOKUP($A62,'[1]import success seats course'!$A:S,HLOOKUP('[1]Course Totals'!E$4,'[1]import success seats course'!$1:$2,2,FALSE),FALSE)/(VLOOKUP($A62,'[1]import graded seats course pivo'!$A:AC,HLOOKUP('[1]Course Totals'!E$4,'[1]import graded seats course pivo'!$1:$2,2,FALSE),FALSE))),"")</f>
        <v/>
      </c>
      <c r="F62" s="14" t="str">
        <f>IFERROR((VLOOKUP($A62,'[1]import success seats course'!$A:T,HLOOKUP('[1]Course Totals'!F$4,'[1]import success seats course'!$1:$2,2,FALSE),FALSE)/(VLOOKUP($A62,'[1]import graded seats course pivo'!$A:AD,HLOOKUP('[1]Course Totals'!F$4,'[1]import graded seats course pivo'!$1:$2,2,FALSE),FALSE))),"")</f>
        <v/>
      </c>
      <c r="G62" s="14" t="str">
        <f>IFERROR((VLOOKUP($A62,'[1]import success seats course'!$A:U,HLOOKUP('[1]Course Totals'!G$4,'[1]import success seats course'!$1:$2,2,FALSE),FALSE)/(VLOOKUP($A62,'[1]import graded seats course pivo'!$A:AE,HLOOKUP('[1]Course Totals'!G$4,'[1]import graded seats course pivo'!$1:$2,2,FALSE),FALSE))),"")</f>
        <v/>
      </c>
      <c r="H62" s="14" t="str">
        <f>IFERROR((VLOOKUP($A62,'[1]import success seats course'!$A:V,HLOOKUP('[1]Course Totals'!H$4,'[1]import success seats course'!$1:$2,2,FALSE),FALSE)/(VLOOKUP($A62,'[1]import graded seats course pivo'!$A:AF,HLOOKUP('[1]Course Totals'!H$4,'[1]import graded seats course pivo'!$1:$2,2,FALSE),FALSE))),"")</f>
        <v/>
      </c>
      <c r="I62" s="14" t="str">
        <f>IFERROR((VLOOKUP($A62,'[1]import success seats course'!$A:W,HLOOKUP('[1]Course Totals'!I$4,'[1]import success seats course'!$1:$2,2,FALSE),FALSE)/(VLOOKUP($A62,'[1]import graded seats course pivo'!$A:AG,HLOOKUP('[1]Course Totals'!I$4,'[1]import graded seats course pivo'!$1:$2,2,FALSE),FALSE))),"")</f>
        <v/>
      </c>
      <c r="J62" s="14" t="str">
        <f>IFERROR((VLOOKUP($A62,'[1]import success seats course'!$A:X,HLOOKUP('[1]Course Totals'!J$4,'[1]import success seats course'!$1:$2,2,FALSE),FALSE)/(VLOOKUP($A62,'[1]import graded seats course pivo'!$A:AH,HLOOKUP('[1]Course Totals'!J$4,'[1]import graded seats course pivo'!$1:$2,2,FALSE),FALSE))),"")</f>
        <v/>
      </c>
      <c r="K62" s="14" t="str">
        <f>IFERROR((VLOOKUP($A62,'[1]import success seats course'!$A:Y,HLOOKUP('[1]Course Totals'!K$4,'[1]import success seats course'!$1:$2,2,FALSE),FALSE)/(VLOOKUP($A62,'[1]import graded seats course pivo'!$A:AI,HLOOKUP('[1]Course Totals'!K$4,'[1]import graded seats course pivo'!$1:$2,2,FALSE),FALSE))),"")</f>
        <v/>
      </c>
      <c r="L62" s="14" t="str">
        <f>IFERROR((VLOOKUP($A62,'[1]import success seats course'!$A:Z,HLOOKUP('[1]Course Totals'!L$4,'[1]import success seats course'!$1:$2,2,FALSE),FALSE)/(VLOOKUP($A62,'[1]import graded seats course pivo'!$A:AJ,HLOOKUP('[1]Course Totals'!L$4,'[1]import graded seats course pivo'!$1:$2,2,FALSE),FALSE))),"")</f>
        <v/>
      </c>
      <c r="M62" s="14" t="str">
        <f>IFERROR((VLOOKUP($A62,'[1]import success seats course'!$A:AA,HLOOKUP('[1]Course Totals'!M$4,'[1]import success seats course'!$1:$2,2,FALSE),FALSE)/(VLOOKUP($A62,'[1]import graded seats course pivo'!$A:AK,HLOOKUP('[1]Course Totals'!M$4,'[1]import graded seats course pivo'!$1:$2,2,FALSE),FALSE))),"")</f>
        <v/>
      </c>
      <c r="N62" s="14" t="str">
        <f>IFERROR((VLOOKUP($A62,'[1]import success seats course'!$A:AB,HLOOKUP('[1]Course Totals'!N$4,'[1]import success seats course'!$1:$2,2,FALSE),FALSE)/(VLOOKUP($A62,'[1]import graded seats course pivo'!$A:AL,HLOOKUP('[1]Course Totals'!N$4,'[1]import graded seats course pivo'!$1:$2,2,FALSE),FALSE))),"")</f>
        <v/>
      </c>
      <c r="O62" s="14" t="str">
        <f>IFERROR((VLOOKUP($A62,'[1]import success seats course'!$A:AC,HLOOKUP('[1]Course Totals'!O$4,'[1]import success seats course'!$1:$2,2,FALSE),FALSE)/(VLOOKUP($A62,'[1]import graded seats course pivo'!$A:AM,HLOOKUP('[1]Course Totals'!O$4,'[1]import graded seats course pivo'!$1:$2,2,FALSE),FALSE))),"")</f>
        <v/>
      </c>
      <c r="P62" s="14">
        <f>IFERROR((VLOOKUP($A62,'[1]import success seats course'!$A:AD,HLOOKUP('[1]Course Totals'!P$4,'[1]import success seats course'!$1:$2,2,FALSE),FALSE)/(VLOOKUP($A62,'[1]import graded seats course pivo'!$A:AN,HLOOKUP('[1]Course Totals'!P$4,'[1]import graded seats course pivo'!$1:$2,2,FALSE),FALSE))),"")</f>
        <v>1</v>
      </c>
      <c r="Q62" s="14" t="str">
        <f>IFERROR((VLOOKUP($A62,'[1]import success seats course'!$A:AE,HLOOKUP('[1]Course Totals'!Q$4,'[1]import success seats course'!$1:$2,2,FALSE),FALSE)/(VLOOKUP($A62,'[1]import graded seats course pivo'!$A:AO,HLOOKUP('[1]Course Totals'!Q$4,'[1]import graded seats course pivo'!$1:$2,2,FALSE),FALSE))),"")</f>
        <v/>
      </c>
      <c r="R62" s="14" t="str">
        <f>IFERROR((VLOOKUP($A62,'[1]import success seats course'!$A:AF,HLOOKUP('[1]Course Totals'!R$4,'[1]import success seats course'!$1:$2,2,FALSE),FALSE)/(VLOOKUP($A62,'[1]import graded seats course pivo'!$A:AP,HLOOKUP('[1]Course Totals'!R$4,'[1]import graded seats course pivo'!$1:$2,2,FALSE),FALSE))),"")</f>
        <v/>
      </c>
      <c r="S62" s="14" t="str">
        <f>IFERROR((VLOOKUP($A62,'[1]import success seats course'!$A:AG,HLOOKUP('[1]Course Totals'!S$4,'[1]import success seats course'!$1:$2,2,FALSE),FALSE)/(VLOOKUP($A62,'[1]import graded seats course pivo'!$A:AQ,HLOOKUP('[1]Course Totals'!S$4,'[1]import graded seats course pivo'!$1:$2,2,FALSE),FALSE))),"")</f>
        <v/>
      </c>
      <c r="Z62" s="7"/>
      <c r="AA62" s="7"/>
      <c r="AB62" s="7"/>
      <c r="AC62" s="7"/>
    </row>
    <row r="63" spans="1:29" s="7" customFormat="1" ht="15.75" customHeight="1" thickBot="1" x14ac:dyDescent="0.3">
      <c r="A63" s="8" t="str">
        <f>'[1]SUBJECTS BASE'!H5</f>
        <v>Anatomy &amp; Physiology</v>
      </c>
      <c r="B63" s="38" t="s">
        <v>1046</v>
      </c>
      <c r="C63" s="39" t="s">
        <v>0</v>
      </c>
      <c r="D63" s="40" t="s">
        <v>868</v>
      </c>
      <c r="E63" s="41" t="s">
        <v>1052</v>
      </c>
      <c r="F63" s="42" t="s">
        <v>546</v>
      </c>
      <c r="G63" s="43" t="s">
        <v>959</v>
      </c>
      <c r="H63" s="44" t="s">
        <v>1060</v>
      </c>
      <c r="I63" s="39" t="s">
        <v>675</v>
      </c>
      <c r="J63" s="45" t="s">
        <v>1006</v>
      </c>
      <c r="K63" s="46" t="s">
        <v>1062</v>
      </c>
      <c r="L63" s="42" t="s">
        <v>762</v>
      </c>
      <c r="M63" s="43" t="s">
        <v>1022</v>
      </c>
      <c r="N63" s="44" t="s">
        <v>1063</v>
      </c>
      <c r="O63" s="39" t="s">
        <v>822</v>
      </c>
      <c r="P63" s="40" t="s">
        <v>1042</v>
      </c>
      <c r="Q63" s="46" t="s">
        <v>1153</v>
      </c>
      <c r="R63" s="42" t="s">
        <v>1154</v>
      </c>
      <c r="S63" s="43" t="s">
        <v>1155</v>
      </c>
    </row>
    <row r="64" spans="1:29" ht="15.75" customHeight="1" x14ac:dyDescent="0.25">
      <c r="A64" s="12" t="s">
        <v>37</v>
      </c>
      <c r="B64" s="14">
        <f>IFERROR((VLOOKUP($A64,'[1]import success seats course'!$A:P,HLOOKUP('[1]Course Totals'!B$4,'[1]import success seats course'!$1:$2,2,FALSE),FALSE)/(VLOOKUP($A64,'[1]import graded seats course pivo'!$A:Z,HLOOKUP('[1]Course Totals'!B$4,'[1]import graded seats course pivo'!$1:$2,2,FALSE),FALSE))),"")</f>
        <v>0.88888888888888884</v>
      </c>
      <c r="C64" s="14">
        <f>IFERROR((VLOOKUP($A64,'[1]import success seats course'!$A:Q,HLOOKUP('[1]Course Totals'!C$4,'[1]import success seats course'!$1:$2,2,FALSE),FALSE)/(VLOOKUP($A64,'[1]import graded seats course pivo'!$A:AA,HLOOKUP('[1]Course Totals'!C$4,'[1]import graded seats course pivo'!$1:$2,2,FALSE),FALSE))),"")</f>
        <v>0.76470588235294112</v>
      </c>
      <c r="D64" s="14">
        <f>IFERROR((VLOOKUP($A64,'[1]import success seats course'!$A:R,HLOOKUP('[1]Course Totals'!D$4,'[1]import success seats course'!$1:$2,2,FALSE),FALSE)/(VLOOKUP($A64,'[1]import graded seats course pivo'!$A:AB,HLOOKUP('[1]Course Totals'!D$4,'[1]import graded seats course pivo'!$1:$2,2,FALSE),FALSE))),"")</f>
        <v>0.6428571428571429</v>
      </c>
      <c r="E64" s="14">
        <f>IFERROR((VLOOKUP($A64,'[1]import success seats course'!$A:S,HLOOKUP('[1]Course Totals'!E$4,'[1]import success seats course'!$1:$2,2,FALSE),FALSE)/(VLOOKUP($A64,'[1]import graded seats course pivo'!$A:AC,HLOOKUP('[1]Course Totals'!E$4,'[1]import graded seats course pivo'!$1:$2,2,FALSE),FALSE))),"")</f>
        <v>0.7142857142857143</v>
      </c>
      <c r="F64" s="14">
        <f>IFERROR((VLOOKUP($A64,'[1]import success seats course'!$A:T,HLOOKUP('[1]Course Totals'!F$4,'[1]import success seats course'!$1:$2,2,FALSE),FALSE)/(VLOOKUP($A64,'[1]import graded seats course pivo'!$A:AD,HLOOKUP('[1]Course Totals'!F$4,'[1]import graded seats course pivo'!$1:$2,2,FALSE),FALSE))),"")</f>
        <v>0.69767441860465118</v>
      </c>
      <c r="G64" s="14">
        <f>IFERROR((VLOOKUP($A64,'[1]import success seats course'!$A:U,HLOOKUP('[1]Course Totals'!G$4,'[1]import success seats course'!$1:$2,2,FALSE),FALSE)/(VLOOKUP($A64,'[1]import graded seats course pivo'!$A:AE,HLOOKUP('[1]Course Totals'!G$4,'[1]import graded seats course pivo'!$1:$2,2,FALSE),FALSE))),"")</f>
        <v>0.76923076923076927</v>
      </c>
      <c r="H64" s="14" t="str">
        <f>IFERROR((VLOOKUP($A64,'[1]import success seats course'!$A:V,HLOOKUP('[1]Course Totals'!H$4,'[1]import success seats course'!$1:$2,2,FALSE),FALSE)/(VLOOKUP($A64,'[1]import graded seats course pivo'!$A:AF,HLOOKUP('[1]Course Totals'!H$4,'[1]import graded seats course pivo'!$1:$2,2,FALSE),FALSE))),"")</f>
        <v/>
      </c>
      <c r="I64" s="14">
        <f>IFERROR((VLOOKUP($A64,'[1]import success seats course'!$A:W,HLOOKUP('[1]Course Totals'!I$4,'[1]import success seats course'!$1:$2,2,FALSE),FALSE)/(VLOOKUP($A64,'[1]import graded seats course pivo'!$A:AG,HLOOKUP('[1]Course Totals'!I$4,'[1]import graded seats course pivo'!$1:$2,2,FALSE),FALSE))),"")</f>
        <v>0.60317460317460314</v>
      </c>
      <c r="J64" s="14">
        <f>IFERROR((VLOOKUP($A64,'[1]import success seats course'!$A:X,HLOOKUP('[1]Course Totals'!J$4,'[1]import success seats course'!$1:$2,2,FALSE),FALSE)/(VLOOKUP($A64,'[1]import graded seats course pivo'!$A:AH,HLOOKUP('[1]Course Totals'!J$4,'[1]import graded seats course pivo'!$1:$2,2,FALSE),FALSE))),"")</f>
        <v>0.90697674418604646</v>
      </c>
      <c r="K64" s="14" t="str">
        <f>IFERROR((VLOOKUP($A64,'[1]import success seats course'!$A:Y,HLOOKUP('[1]Course Totals'!K$4,'[1]import success seats course'!$1:$2,2,FALSE),FALSE)/(VLOOKUP($A64,'[1]import graded seats course pivo'!$A:AI,HLOOKUP('[1]Course Totals'!K$4,'[1]import graded seats course pivo'!$1:$2,2,FALSE),FALSE))),"")</f>
        <v/>
      </c>
      <c r="L64" s="14">
        <f>IFERROR((VLOOKUP($A64,'[1]import success seats course'!$A:Z,HLOOKUP('[1]Course Totals'!L$4,'[1]import success seats course'!$1:$2,2,FALSE),FALSE)/(VLOOKUP($A64,'[1]import graded seats course pivo'!$A:AJ,HLOOKUP('[1]Course Totals'!L$4,'[1]import graded seats course pivo'!$1:$2,2,FALSE),FALSE))),"")</f>
        <v>0.69565217391304346</v>
      </c>
      <c r="M64" s="14">
        <f>IFERROR((VLOOKUP($A64,'[1]import success seats course'!$A:AA,HLOOKUP('[1]Course Totals'!M$4,'[1]import success seats course'!$1:$2,2,FALSE),FALSE)/(VLOOKUP($A64,'[1]import graded seats course pivo'!$A:AK,HLOOKUP('[1]Course Totals'!M$4,'[1]import graded seats course pivo'!$1:$2,2,FALSE),FALSE))),"")</f>
        <v>0.81818181818181823</v>
      </c>
      <c r="N64" s="14" t="str">
        <f>IFERROR((VLOOKUP($A64,'[1]import success seats course'!$A:AB,HLOOKUP('[1]Course Totals'!N$4,'[1]import success seats course'!$1:$2,2,FALSE),FALSE)/(VLOOKUP($A64,'[1]import graded seats course pivo'!$A:AL,HLOOKUP('[1]Course Totals'!N$4,'[1]import graded seats course pivo'!$1:$2,2,FALSE),FALSE))),"")</f>
        <v/>
      </c>
      <c r="O64" s="14">
        <f>IFERROR((VLOOKUP($A64,'[1]import success seats course'!$A:AC,HLOOKUP('[1]Course Totals'!O$4,'[1]import success seats course'!$1:$2,2,FALSE),FALSE)/(VLOOKUP($A64,'[1]import graded seats course pivo'!$A:AM,HLOOKUP('[1]Course Totals'!O$4,'[1]import graded seats course pivo'!$1:$2,2,FALSE),FALSE))),"")</f>
        <v>1</v>
      </c>
      <c r="P64" s="14">
        <f>IFERROR((VLOOKUP($A64,'[1]import success seats course'!$A:AD,HLOOKUP('[1]Course Totals'!P$4,'[1]import success seats course'!$1:$2,2,FALSE),FALSE)/(VLOOKUP($A64,'[1]import graded seats course pivo'!$A:AN,HLOOKUP('[1]Course Totals'!P$4,'[1]import graded seats course pivo'!$1:$2,2,FALSE),FALSE))),"")</f>
        <v>0.76666666666666672</v>
      </c>
      <c r="Q64" s="14" t="str">
        <f>IFERROR((VLOOKUP($A64,'[1]import success seats course'!$A:AE,HLOOKUP('[1]Course Totals'!Q$4,'[1]import success seats course'!$1:$2,2,FALSE),FALSE)/(VLOOKUP($A64,'[1]import graded seats course pivo'!$A:AO,HLOOKUP('[1]Course Totals'!Q$4,'[1]import graded seats course pivo'!$1:$2,2,FALSE),FALSE))),"")</f>
        <v/>
      </c>
      <c r="R64" s="14" t="str">
        <f>IFERROR((VLOOKUP($A64,'[1]import success seats course'!$A:AF,HLOOKUP('[1]Course Totals'!R$4,'[1]import success seats course'!$1:$2,2,FALSE),FALSE)/(VLOOKUP($A64,'[1]import graded seats course pivo'!$A:AP,HLOOKUP('[1]Course Totals'!R$4,'[1]import graded seats course pivo'!$1:$2,2,FALSE),FALSE))),"")</f>
        <v/>
      </c>
      <c r="S64" s="14" t="str">
        <f>IFERROR((VLOOKUP($A64,'[1]import success seats course'!$A:AG,HLOOKUP('[1]Course Totals'!S$4,'[1]import success seats course'!$1:$2,2,FALSE),FALSE)/(VLOOKUP($A64,'[1]import graded seats course pivo'!$A:AQ,HLOOKUP('[1]Course Totals'!S$4,'[1]import graded seats course pivo'!$1:$2,2,FALSE),FALSE))),"")</f>
        <v/>
      </c>
      <c r="Z64" s="7"/>
      <c r="AA64" s="7"/>
      <c r="AB64" s="7"/>
      <c r="AC64" s="7"/>
    </row>
    <row r="65" spans="1:29" ht="15.75" customHeight="1" x14ac:dyDescent="0.25">
      <c r="A65" s="12" t="s">
        <v>38</v>
      </c>
      <c r="B65" s="14">
        <f>IFERROR((VLOOKUP($A65,'[1]import success seats course'!$A:P,HLOOKUP('[1]Course Totals'!B$4,'[1]import success seats course'!$1:$2,2,FALSE),FALSE)/(VLOOKUP($A65,'[1]import graded seats course pivo'!$A:Z,HLOOKUP('[1]Course Totals'!B$4,'[1]import graded seats course pivo'!$1:$2,2,FALSE),FALSE))),"")</f>
        <v>0.92307692307692313</v>
      </c>
      <c r="C65" s="14">
        <f>IFERROR((VLOOKUP($A65,'[1]import success seats course'!$A:Q,HLOOKUP('[1]Course Totals'!C$4,'[1]import success seats course'!$1:$2,2,FALSE),FALSE)/(VLOOKUP($A65,'[1]import graded seats course pivo'!$A:AA,HLOOKUP('[1]Course Totals'!C$4,'[1]import graded seats course pivo'!$1:$2,2,FALSE),FALSE))),"")</f>
        <v>0.83486238532110091</v>
      </c>
      <c r="D65" s="14">
        <f>IFERROR((VLOOKUP($A65,'[1]import success seats course'!$A:R,HLOOKUP('[1]Course Totals'!D$4,'[1]import success seats course'!$1:$2,2,FALSE),FALSE)/(VLOOKUP($A65,'[1]import graded seats course pivo'!$A:AB,HLOOKUP('[1]Course Totals'!D$4,'[1]import graded seats course pivo'!$1:$2,2,FALSE),FALSE))),"")</f>
        <v>0.84615384615384615</v>
      </c>
      <c r="E65" s="14">
        <f>IFERROR((VLOOKUP($A65,'[1]import success seats course'!$A:S,HLOOKUP('[1]Course Totals'!E$4,'[1]import success seats course'!$1:$2,2,FALSE),FALSE)/(VLOOKUP($A65,'[1]import graded seats course pivo'!$A:AC,HLOOKUP('[1]Course Totals'!E$4,'[1]import graded seats course pivo'!$1:$2,2,FALSE),FALSE))),"")</f>
        <v>1</v>
      </c>
      <c r="F65" s="14">
        <f>IFERROR((VLOOKUP($A65,'[1]import success seats course'!$A:T,HLOOKUP('[1]Course Totals'!F$4,'[1]import success seats course'!$1:$2,2,FALSE),FALSE)/(VLOOKUP($A65,'[1]import graded seats course pivo'!$A:AD,HLOOKUP('[1]Course Totals'!F$4,'[1]import graded seats course pivo'!$1:$2,2,FALSE),FALSE))),"")</f>
        <v>0.80701754385964908</v>
      </c>
      <c r="G65" s="14">
        <f>IFERROR((VLOOKUP($A65,'[1]import success seats course'!$A:U,HLOOKUP('[1]Course Totals'!G$4,'[1]import success seats course'!$1:$2,2,FALSE),FALSE)/(VLOOKUP($A65,'[1]import graded seats course pivo'!$A:AE,HLOOKUP('[1]Course Totals'!G$4,'[1]import graded seats course pivo'!$1:$2,2,FALSE),FALSE))),"")</f>
        <v>0.78195488721804507</v>
      </c>
      <c r="H65" s="14">
        <f>IFERROR((VLOOKUP($A65,'[1]import success seats course'!$A:V,HLOOKUP('[1]Course Totals'!H$4,'[1]import success seats course'!$1:$2,2,FALSE),FALSE)/(VLOOKUP($A65,'[1]import graded seats course pivo'!$A:AF,HLOOKUP('[1]Course Totals'!H$4,'[1]import graded seats course pivo'!$1:$2,2,FALSE),FALSE))),"")</f>
        <v>0.90909090909090906</v>
      </c>
      <c r="I65" s="14">
        <f>IFERROR((VLOOKUP($A65,'[1]import success seats course'!$A:W,HLOOKUP('[1]Course Totals'!I$4,'[1]import success seats course'!$1:$2,2,FALSE),FALSE)/(VLOOKUP($A65,'[1]import graded seats course pivo'!$A:AG,HLOOKUP('[1]Course Totals'!I$4,'[1]import graded seats course pivo'!$1:$2,2,FALSE),FALSE))),"")</f>
        <v>0.83333333333333337</v>
      </c>
      <c r="J65" s="14">
        <f>IFERROR((VLOOKUP($A65,'[1]import success seats course'!$A:X,HLOOKUP('[1]Course Totals'!J$4,'[1]import success seats course'!$1:$2,2,FALSE),FALSE)/(VLOOKUP($A65,'[1]import graded seats course pivo'!$A:AH,HLOOKUP('[1]Course Totals'!J$4,'[1]import graded seats course pivo'!$1:$2,2,FALSE),FALSE))),"")</f>
        <v>0.76724137931034486</v>
      </c>
      <c r="K65" s="14">
        <f>IFERROR((VLOOKUP($A65,'[1]import success seats course'!$A:Y,HLOOKUP('[1]Course Totals'!K$4,'[1]import success seats course'!$1:$2,2,FALSE),FALSE)/(VLOOKUP($A65,'[1]import graded seats course pivo'!$A:AI,HLOOKUP('[1]Course Totals'!K$4,'[1]import graded seats course pivo'!$1:$2,2,FALSE),FALSE))),"")</f>
        <v>0.84210526315789469</v>
      </c>
      <c r="L65" s="14">
        <f>IFERROR((VLOOKUP($A65,'[1]import success seats course'!$A:Z,HLOOKUP('[1]Course Totals'!L$4,'[1]import success seats course'!$1:$2,2,FALSE),FALSE)/(VLOOKUP($A65,'[1]import graded seats course pivo'!$A:AJ,HLOOKUP('[1]Course Totals'!L$4,'[1]import graded seats course pivo'!$1:$2,2,FALSE),FALSE))),"")</f>
        <v>0.81481481481481477</v>
      </c>
      <c r="M65" s="14">
        <f>IFERROR((VLOOKUP($A65,'[1]import success seats course'!$A:AA,HLOOKUP('[1]Course Totals'!M$4,'[1]import success seats course'!$1:$2,2,FALSE),FALSE)/(VLOOKUP($A65,'[1]import graded seats course pivo'!$A:AK,HLOOKUP('[1]Course Totals'!M$4,'[1]import graded seats course pivo'!$1:$2,2,FALSE),FALSE))),"")</f>
        <v>0.8666666666666667</v>
      </c>
      <c r="N65" s="14" t="str">
        <f>IFERROR((VLOOKUP($A65,'[1]import success seats course'!$A:AB,HLOOKUP('[1]Course Totals'!N$4,'[1]import success seats course'!$1:$2,2,FALSE),FALSE)/(VLOOKUP($A65,'[1]import graded seats course pivo'!$A:AL,HLOOKUP('[1]Course Totals'!N$4,'[1]import graded seats course pivo'!$1:$2,2,FALSE),FALSE))),"")</f>
        <v/>
      </c>
      <c r="O65" s="14">
        <f>IFERROR((VLOOKUP($A65,'[1]import success seats course'!$A:AC,HLOOKUP('[1]Course Totals'!O$4,'[1]import success seats course'!$1:$2,2,FALSE),FALSE)/(VLOOKUP($A65,'[1]import graded seats course pivo'!$A:AM,HLOOKUP('[1]Course Totals'!O$4,'[1]import graded seats course pivo'!$1:$2,2,FALSE),FALSE))),"")</f>
        <v>0.86274509803921573</v>
      </c>
      <c r="P65" s="14">
        <f>IFERROR((VLOOKUP($A65,'[1]import success seats course'!$A:AD,HLOOKUP('[1]Course Totals'!P$4,'[1]import success seats course'!$1:$2,2,FALSE),FALSE)/(VLOOKUP($A65,'[1]import graded seats course pivo'!$A:AN,HLOOKUP('[1]Course Totals'!P$4,'[1]import graded seats course pivo'!$1:$2,2,FALSE),FALSE))),"")</f>
        <v>0.78846153846153844</v>
      </c>
      <c r="Q65" s="14">
        <f>IFERROR((VLOOKUP($A65,'[1]import success seats course'!$A:AE,HLOOKUP('[1]Course Totals'!Q$4,'[1]import success seats course'!$1:$2,2,FALSE),FALSE)/(VLOOKUP($A65,'[1]import graded seats course pivo'!$A:AO,HLOOKUP('[1]Course Totals'!Q$4,'[1]import graded seats course pivo'!$1:$2,2,FALSE),FALSE))),"")</f>
        <v>1</v>
      </c>
      <c r="R65" s="14">
        <f>IFERROR((VLOOKUP($A65,'[1]import success seats course'!$A:AF,HLOOKUP('[1]Course Totals'!R$4,'[1]import success seats course'!$1:$2,2,FALSE),FALSE)/(VLOOKUP($A65,'[1]import graded seats course pivo'!$A:AP,HLOOKUP('[1]Course Totals'!R$4,'[1]import graded seats course pivo'!$1:$2,2,FALSE),FALSE))),"")</f>
        <v>0.865979381443299</v>
      </c>
      <c r="S65" s="14">
        <f>IFERROR((VLOOKUP($A65,'[1]import success seats course'!$A:AG,HLOOKUP('[1]Course Totals'!S$4,'[1]import success seats course'!$1:$2,2,FALSE),FALSE)/(VLOOKUP($A65,'[1]import graded seats course pivo'!$A:AQ,HLOOKUP('[1]Course Totals'!S$4,'[1]import graded seats course pivo'!$1:$2,2,FALSE),FALSE))),"")</f>
        <v>0.85436893203883491</v>
      </c>
      <c r="Z65" s="7"/>
      <c r="AA65" s="7"/>
      <c r="AB65" s="7"/>
      <c r="AC65" s="7"/>
    </row>
    <row r="66" spans="1:29" ht="15.75" customHeight="1" x14ac:dyDescent="0.25">
      <c r="A66" s="12" t="s">
        <v>39</v>
      </c>
      <c r="B66" s="14" t="str">
        <f>IFERROR((VLOOKUP($A66,'[1]import success seats course'!$A:P,HLOOKUP('[1]Course Totals'!B$4,'[1]import success seats course'!$1:$2,2,FALSE),FALSE)/(VLOOKUP($A66,'[1]import graded seats course pivo'!$A:Z,HLOOKUP('[1]Course Totals'!B$4,'[1]import graded seats course pivo'!$1:$2,2,FALSE),FALSE))),"")</f>
        <v/>
      </c>
      <c r="C66" s="14">
        <f>IFERROR((VLOOKUP($A66,'[1]import success seats course'!$A:Q,HLOOKUP('[1]Course Totals'!C$4,'[1]import success seats course'!$1:$2,2,FALSE),FALSE)/(VLOOKUP($A66,'[1]import graded seats course pivo'!$A:AA,HLOOKUP('[1]Course Totals'!C$4,'[1]import graded seats course pivo'!$1:$2,2,FALSE),FALSE))),"")</f>
        <v>1</v>
      </c>
      <c r="D66" s="14">
        <f>IFERROR((VLOOKUP($A66,'[1]import success seats course'!$A:R,HLOOKUP('[1]Course Totals'!D$4,'[1]import success seats course'!$1:$2,2,FALSE),FALSE)/(VLOOKUP($A66,'[1]import graded seats course pivo'!$A:AB,HLOOKUP('[1]Course Totals'!D$4,'[1]import graded seats course pivo'!$1:$2,2,FALSE),FALSE))),"")</f>
        <v>0.5</v>
      </c>
      <c r="E66" s="14" t="str">
        <f>IFERROR((VLOOKUP($A66,'[1]import success seats course'!$A:S,HLOOKUP('[1]Course Totals'!E$4,'[1]import success seats course'!$1:$2,2,FALSE),FALSE)/(VLOOKUP($A66,'[1]import graded seats course pivo'!$A:AC,HLOOKUP('[1]Course Totals'!E$4,'[1]import graded seats course pivo'!$1:$2,2,FALSE),FALSE))),"")</f>
        <v/>
      </c>
      <c r="F66" s="14">
        <f>IFERROR((VLOOKUP($A66,'[1]import success seats course'!$A:T,HLOOKUP('[1]Course Totals'!F$4,'[1]import success seats course'!$1:$2,2,FALSE),FALSE)/(VLOOKUP($A66,'[1]import graded seats course pivo'!$A:AD,HLOOKUP('[1]Course Totals'!F$4,'[1]import graded seats course pivo'!$1:$2,2,FALSE),FALSE))),"")</f>
        <v>1</v>
      </c>
      <c r="G66" s="14">
        <f>IFERROR((VLOOKUP($A66,'[1]import success seats course'!$A:U,HLOOKUP('[1]Course Totals'!G$4,'[1]import success seats course'!$1:$2,2,FALSE),FALSE)/(VLOOKUP($A66,'[1]import graded seats course pivo'!$A:AE,HLOOKUP('[1]Course Totals'!G$4,'[1]import graded seats course pivo'!$1:$2,2,FALSE),FALSE))),"")</f>
        <v>1</v>
      </c>
      <c r="H66" s="14" t="str">
        <f>IFERROR((VLOOKUP($A66,'[1]import success seats course'!$A:V,HLOOKUP('[1]Course Totals'!H$4,'[1]import success seats course'!$1:$2,2,FALSE),FALSE)/(VLOOKUP($A66,'[1]import graded seats course pivo'!$A:AF,HLOOKUP('[1]Course Totals'!H$4,'[1]import graded seats course pivo'!$1:$2,2,FALSE),FALSE))),"")</f>
        <v/>
      </c>
      <c r="I66" s="14" t="str">
        <f>IFERROR((VLOOKUP($A66,'[1]import success seats course'!$A:W,HLOOKUP('[1]Course Totals'!I$4,'[1]import success seats course'!$1:$2,2,FALSE),FALSE)/(VLOOKUP($A66,'[1]import graded seats course pivo'!$A:AG,HLOOKUP('[1]Course Totals'!I$4,'[1]import graded seats course pivo'!$1:$2,2,FALSE),FALSE))),"")</f>
        <v/>
      </c>
      <c r="J66" s="14" t="str">
        <f>IFERROR((VLOOKUP($A66,'[1]import success seats course'!$A:X,HLOOKUP('[1]Course Totals'!J$4,'[1]import success seats course'!$1:$2,2,FALSE),FALSE)/(VLOOKUP($A66,'[1]import graded seats course pivo'!$A:AH,HLOOKUP('[1]Course Totals'!J$4,'[1]import graded seats course pivo'!$1:$2,2,FALSE),FALSE))),"")</f>
        <v/>
      </c>
      <c r="K66" s="14" t="str">
        <f>IFERROR((VLOOKUP($A66,'[1]import success seats course'!$A:Y,HLOOKUP('[1]Course Totals'!K$4,'[1]import success seats course'!$1:$2,2,FALSE),FALSE)/(VLOOKUP($A66,'[1]import graded seats course pivo'!$A:AI,HLOOKUP('[1]Course Totals'!K$4,'[1]import graded seats course pivo'!$1:$2,2,FALSE),FALSE))),"")</f>
        <v/>
      </c>
      <c r="L66" s="14">
        <f>IFERROR((VLOOKUP($A66,'[1]import success seats course'!$A:Z,HLOOKUP('[1]Course Totals'!L$4,'[1]import success seats course'!$1:$2,2,FALSE),FALSE)/(VLOOKUP($A66,'[1]import graded seats course pivo'!$A:AJ,HLOOKUP('[1]Course Totals'!L$4,'[1]import graded seats course pivo'!$1:$2,2,FALSE),FALSE))),"")</f>
        <v>1</v>
      </c>
      <c r="M66" s="14" t="str">
        <f>IFERROR((VLOOKUP($A66,'[1]import success seats course'!$A:AA,HLOOKUP('[1]Course Totals'!M$4,'[1]import success seats course'!$1:$2,2,FALSE),FALSE)/(VLOOKUP($A66,'[1]import graded seats course pivo'!$A:AK,HLOOKUP('[1]Course Totals'!M$4,'[1]import graded seats course pivo'!$1:$2,2,FALSE),FALSE))),"")</f>
        <v/>
      </c>
      <c r="N66" s="14" t="str">
        <f>IFERROR((VLOOKUP($A66,'[1]import success seats course'!$A:AB,HLOOKUP('[1]Course Totals'!N$4,'[1]import success seats course'!$1:$2,2,FALSE),FALSE)/(VLOOKUP($A66,'[1]import graded seats course pivo'!$A:AL,HLOOKUP('[1]Course Totals'!N$4,'[1]import graded seats course pivo'!$1:$2,2,FALSE),FALSE))),"")</f>
        <v/>
      </c>
      <c r="O66" s="14">
        <f>IFERROR((VLOOKUP($A66,'[1]import success seats course'!$A:AC,HLOOKUP('[1]Course Totals'!O$4,'[1]import success seats course'!$1:$2,2,FALSE),FALSE)/(VLOOKUP($A66,'[1]import graded seats course pivo'!$A:AM,HLOOKUP('[1]Course Totals'!O$4,'[1]import graded seats course pivo'!$1:$2,2,FALSE),FALSE))),"")</f>
        <v>1</v>
      </c>
      <c r="P66" s="14" t="str">
        <f>IFERROR((VLOOKUP($A66,'[1]import success seats course'!$A:AD,HLOOKUP('[1]Course Totals'!P$4,'[1]import success seats course'!$1:$2,2,FALSE),FALSE)/(VLOOKUP($A66,'[1]import graded seats course pivo'!$A:AN,HLOOKUP('[1]Course Totals'!P$4,'[1]import graded seats course pivo'!$1:$2,2,FALSE),FALSE))),"")</f>
        <v/>
      </c>
      <c r="Q66" s="14" t="str">
        <f>IFERROR((VLOOKUP($A66,'[1]import success seats course'!$A:AE,HLOOKUP('[1]Course Totals'!Q$4,'[1]import success seats course'!$1:$2,2,FALSE),FALSE)/(VLOOKUP($A66,'[1]import graded seats course pivo'!$A:AO,HLOOKUP('[1]Course Totals'!Q$4,'[1]import graded seats course pivo'!$1:$2,2,FALSE),FALSE))),"")</f>
        <v/>
      </c>
      <c r="R66" s="14" t="str">
        <f>IFERROR((VLOOKUP($A66,'[1]import success seats course'!$A:AF,HLOOKUP('[1]Course Totals'!R$4,'[1]import success seats course'!$1:$2,2,FALSE),FALSE)/(VLOOKUP($A66,'[1]import graded seats course pivo'!$A:AP,HLOOKUP('[1]Course Totals'!R$4,'[1]import graded seats course pivo'!$1:$2,2,FALSE),FALSE))),"")</f>
        <v/>
      </c>
      <c r="S66" s="14" t="str">
        <f>IFERROR((VLOOKUP($A66,'[1]import success seats course'!$A:AG,HLOOKUP('[1]Course Totals'!S$4,'[1]import success seats course'!$1:$2,2,FALSE),FALSE)/(VLOOKUP($A66,'[1]import graded seats course pivo'!$A:AQ,HLOOKUP('[1]Course Totals'!S$4,'[1]import graded seats course pivo'!$1:$2,2,FALSE),FALSE))),"")</f>
        <v/>
      </c>
      <c r="Z66" s="7"/>
      <c r="AA66" s="7"/>
      <c r="AB66" s="7"/>
      <c r="AC66" s="7"/>
    </row>
    <row r="67" spans="1:29" ht="15.75" customHeight="1" x14ac:dyDescent="0.25">
      <c r="A67" s="12" t="s">
        <v>40</v>
      </c>
      <c r="B67" s="14">
        <f>IFERROR((VLOOKUP($A67,'[1]import success seats course'!$A:P,HLOOKUP('[1]Course Totals'!B$4,'[1]import success seats course'!$1:$2,2,FALSE),FALSE)/(VLOOKUP($A67,'[1]import graded seats course pivo'!$A:Z,HLOOKUP('[1]Course Totals'!B$4,'[1]import graded seats course pivo'!$1:$2,2,FALSE),FALSE))),"")</f>
        <v>0.94594594594594594</v>
      </c>
      <c r="C67" s="14">
        <f>IFERROR((VLOOKUP($A67,'[1]import success seats course'!$A:Q,HLOOKUP('[1]Course Totals'!C$4,'[1]import success seats course'!$1:$2,2,FALSE),FALSE)/(VLOOKUP($A67,'[1]import graded seats course pivo'!$A:AA,HLOOKUP('[1]Course Totals'!C$4,'[1]import graded seats course pivo'!$1:$2,2,FALSE),FALSE))),"")</f>
        <v>0.86486486486486491</v>
      </c>
      <c r="D67" s="14">
        <f>IFERROR((VLOOKUP($A67,'[1]import success seats course'!$A:R,HLOOKUP('[1]Course Totals'!D$4,'[1]import success seats course'!$1:$2,2,FALSE),FALSE)/(VLOOKUP($A67,'[1]import graded seats course pivo'!$A:AB,HLOOKUP('[1]Course Totals'!D$4,'[1]import graded seats course pivo'!$1:$2,2,FALSE),FALSE))),"")</f>
        <v>0.8571428571428571</v>
      </c>
      <c r="E67" s="14">
        <f>IFERROR((VLOOKUP($A67,'[1]import success seats course'!$A:S,HLOOKUP('[1]Course Totals'!E$4,'[1]import success seats course'!$1:$2,2,FALSE),FALSE)/(VLOOKUP($A67,'[1]import graded seats course pivo'!$A:AC,HLOOKUP('[1]Course Totals'!E$4,'[1]import graded seats course pivo'!$1:$2,2,FALSE),FALSE))),"")</f>
        <v>0.875</v>
      </c>
      <c r="F67" s="14">
        <f>IFERROR((VLOOKUP($A67,'[1]import success seats course'!$A:T,HLOOKUP('[1]Course Totals'!F$4,'[1]import success seats course'!$1:$2,2,FALSE),FALSE)/(VLOOKUP($A67,'[1]import graded seats course pivo'!$A:AD,HLOOKUP('[1]Course Totals'!F$4,'[1]import graded seats course pivo'!$1:$2,2,FALSE),FALSE))),"")</f>
        <v>0.90740740740740744</v>
      </c>
      <c r="G67" s="14">
        <f>IFERROR((VLOOKUP($A67,'[1]import success seats course'!$A:U,HLOOKUP('[1]Course Totals'!G$4,'[1]import success seats course'!$1:$2,2,FALSE),FALSE)/(VLOOKUP($A67,'[1]import graded seats course pivo'!$A:AE,HLOOKUP('[1]Course Totals'!G$4,'[1]import graded seats course pivo'!$1:$2,2,FALSE),FALSE))),"")</f>
        <v>0.87628865979381443</v>
      </c>
      <c r="H67" s="14">
        <f>IFERROR((VLOOKUP($A67,'[1]import success seats course'!$A:V,HLOOKUP('[1]Course Totals'!H$4,'[1]import success seats course'!$1:$2,2,FALSE),FALSE)/(VLOOKUP($A67,'[1]import graded seats course pivo'!$A:AF,HLOOKUP('[1]Course Totals'!H$4,'[1]import graded seats course pivo'!$1:$2,2,FALSE),FALSE))),"")</f>
        <v>0.75862068965517238</v>
      </c>
      <c r="I67" s="14">
        <f>IFERROR((VLOOKUP($A67,'[1]import success seats course'!$A:W,HLOOKUP('[1]Course Totals'!I$4,'[1]import success seats course'!$1:$2,2,FALSE),FALSE)/(VLOOKUP($A67,'[1]import graded seats course pivo'!$A:AG,HLOOKUP('[1]Course Totals'!I$4,'[1]import graded seats course pivo'!$1:$2,2,FALSE),FALSE))),"")</f>
        <v>0.76146788990825687</v>
      </c>
      <c r="J67" s="14">
        <f>IFERROR((VLOOKUP($A67,'[1]import success seats course'!$A:X,HLOOKUP('[1]Course Totals'!J$4,'[1]import success seats course'!$1:$2,2,FALSE),FALSE)/(VLOOKUP($A67,'[1]import graded seats course pivo'!$A:AH,HLOOKUP('[1]Course Totals'!J$4,'[1]import graded seats course pivo'!$1:$2,2,FALSE),FALSE))),"")</f>
        <v>0.83495145631067957</v>
      </c>
      <c r="K67" s="14">
        <f>IFERROR((VLOOKUP($A67,'[1]import success seats course'!$A:Y,HLOOKUP('[1]Course Totals'!K$4,'[1]import success seats course'!$1:$2,2,FALSE),FALSE)/(VLOOKUP($A67,'[1]import graded seats course pivo'!$A:AI,HLOOKUP('[1]Course Totals'!K$4,'[1]import graded seats course pivo'!$1:$2,2,FALSE),FALSE))),"")</f>
        <v>0.875</v>
      </c>
      <c r="L67" s="14">
        <f>IFERROR((VLOOKUP($A67,'[1]import success seats course'!$A:Z,HLOOKUP('[1]Course Totals'!L$4,'[1]import success seats course'!$1:$2,2,FALSE),FALSE)/(VLOOKUP($A67,'[1]import graded seats course pivo'!$A:AJ,HLOOKUP('[1]Course Totals'!L$4,'[1]import graded seats course pivo'!$1:$2,2,FALSE),FALSE))),"")</f>
        <v>0.875</v>
      </c>
      <c r="M67" s="14">
        <f>IFERROR((VLOOKUP($A67,'[1]import success seats course'!$A:AA,HLOOKUP('[1]Course Totals'!M$4,'[1]import success seats course'!$1:$2,2,FALSE),FALSE)/(VLOOKUP($A67,'[1]import graded seats course pivo'!$A:AK,HLOOKUP('[1]Course Totals'!M$4,'[1]import graded seats course pivo'!$1:$2,2,FALSE),FALSE))),"")</f>
        <v>0.91208791208791207</v>
      </c>
      <c r="N67" s="14" t="str">
        <f>IFERROR((VLOOKUP($A67,'[1]import success seats course'!$A:AB,HLOOKUP('[1]Course Totals'!N$4,'[1]import success seats course'!$1:$2,2,FALSE),FALSE)/(VLOOKUP($A67,'[1]import graded seats course pivo'!$A:AL,HLOOKUP('[1]Course Totals'!N$4,'[1]import graded seats course pivo'!$1:$2,2,FALSE),FALSE))),"")</f>
        <v/>
      </c>
      <c r="O67" s="14">
        <f>IFERROR((VLOOKUP($A67,'[1]import success seats course'!$A:AC,HLOOKUP('[1]Course Totals'!O$4,'[1]import success seats course'!$1:$2,2,FALSE),FALSE)/(VLOOKUP($A67,'[1]import graded seats course pivo'!$A:AM,HLOOKUP('[1]Course Totals'!O$4,'[1]import graded seats course pivo'!$1:$2,2,FALSE),FALSE))),"")</f>
        <v>0.83157894736842108</v>
      </c>
      <c r="P67" s="14">
        <f>IFERROR((VLOOKUP($A67,'[1]import success seats course'!$A:AD,HLOOKUP('[1]Course Totals'!P$4,'[1]import success seats course'!$1:$2,2,FALSE),FALSE)/(VLOOKUP($A67,'[1]import graded seats course pivo'!$A:AN,HLOOKUP('[1]Course Totals'!P$4,'[1]import graded seats course pivo'!$1:$2,2,FALSE),FALSE))),"")</f>
        <v>0.81818181818181823</v>
      </c>
      <c r="Q67" s="14">
        <f>IFERROR((VLOOKUP($A67,'[1]import success seats course'!$A:AE,HLOOKUP('[1]Course Totals'!Q$4,'[1]import success seats course'!$1:$2,2,FALSE),FALSE)/(VLOOKUP($A67,'[1]import graded seats course pivo'!$A:AO,HLOOKUP('[1]Course Totals'!Q$4,'[1]import graded seats course pivo'!$1:$2,2,FALSE),FALSE))),"")</f>
        <v>0.92</v>
      </c>
      <c r="R67" s="14">
        <f>IFERROR((VLOOKUP($A67,'[1]import success seats course'!$A:AF,HLOOKUP('[1]Course Totals'!R$4,'[1]import success seats course'!$1:$2,2,FALSE),FALSE)/(VLOOKUP($A67,'[1]import graded seats course pivo'!$A:AP,HLOOKUP('[1]Course Totals'!R$4,'[1]import graded seats course pivo'!$1:$2,2,FALSE),FALSE))),"")</f>
        <v>0.85858585858585856</v>
      </c>
      <c r="S67" s="14">
        <f>IFERROR((VLOOKUP($A67,'[1]import success seats course'!$A:AG,HLOOKUP('[1]Course Totals'!S$4,'[1]import success seats course'!$1:$2,2,FALSE),FALSE)/(VLOOKUP($A67,'[1]import graded seats course pivo'!$A:AQ,HLOOKUP('[1]Course Totals'!S$4,'[1]import graded seats course pivo'!$1:$2,2,FALSE),FALSE))),"")</f>
        <v>0.82352941176470584</v>
      </c>
      <c r="Z67" s="7"/>
      <c r="AA67" s="7"/>
      <c r="AB67" s="7"/>
      <c r="AC67" s="7"/>
    </row>
    <row r="68" spans="1:29" ht="15.75" customHeight="1" x14ac:dyDescent="0.25">
      <c r="A68" s="12" t="s">
        <v>41</v>
      </c>
      <c r="B68" s="14" t="str">
        <f>IFERROR((VLOOKUP($A68,'[1]import success seats course'!$A:P,HLOOKUP('[1]Course Totals'!B$4,'[1]import success seats course'!$1:$2,2,FALSE),FALSE)/(VLOOKUP($A68,'[1]import graded seats course pivo'!$A:Z,HLOOKUP('[1]Course Totals'!B$4,'[1]import graded seats course pivo'!$1:$2,2,FALSE),FALSE))),"")</f>
        <v/>
      </c>
      <c r="C68" s="14" t="str">
        <f>IFERROR((VLOOKUP($A68,'[1]import success seats course'!$A:Q,HLOOKUP('[1]Course Totals'!C$4,'[1]import success seats course'!$1:$2,2,FALSE),FALSE)/(VLOOKUP($A68,'[1]import graded seats course pivo'!$A:AA,HLOOKUP('[1]Course Totals'!C$4,'[1]import graded seats course pivo'!$1:$2,2,FALSE),FALSE))),"")</f>
        <v/>
      </c>
      <c r="D68" s="14" t="str">
        <f>IFERROR((VLOOKUP($A68,'[1]import success seats course'!$A:R,HLOOKUP('[1]Course Totals'!D$4,'[1]import success seats course'!$1:$2,2,FALSE),FALSE)/(VLOOKUP($A68,'[1]import graded seats course pivo'!$A:AB,HLOOKUP('[1]Course Totals'!D$4,'[1]import graded seats course pivo'!$1:$2,2,FALSE),FALSE))),"")</f>
        <v/>
      </c>
      <c r="E68" s="14" t="str">
        <f>IFERROR((VLOOKUP($A68,'[1]import success seats course'!$A:S,HLOOKUP('[1]Course Totals'!E$4,'[1]import success seats course'!$1:$2,2,FALSE),FALSE)/(VLOOKUP($A68,'[1]import graded seats course pivo'!$A:AC,HLOOKUP('[1]Course Totals'!E$4,'[1]import graded seats course pivo'!$1:$2,2,FALSE),FALSE))),"")</f>
        <v/>
      </c>
      <c r="F68" s="14">
        <f>IFERROR((VLOOKUP($A68,'[1]import success seats course'!$A:T,HLOOKUP('[1]Course Totals'!F$4,'[1]import success seats course'!$1:$2,2,FALSE),FALSE)/(VLOOKUP($A68,'[1]import graded seats course pivo'!$A:AD,HLOOKUP('[1]Course Totals'!F$4,'[1]import graded seats course pivo'!$1:$2,2,FALSE),FALSE))),"")</f>
        <v>0.5</v>
      </c>
      <c r="G68" s="14" t="str">
        <f>IFERROR((VLOOKUP($A68,'[1]import success seats course'!$A:U,HLOOKUP('[1]Course Totals'!G$4,'[1]import success seats course'!$1:$2,2,FALSE),FALSE)/(VLOOKUP($A68,'[1]import graded seats course pivo'!$A:AE,HLOOKUP('[1]Course Totals'!G$4,'[1]import graded seats course pivo'!$1:$2,2,FALSE),FALSE))),"")</f>
        <v/>
      </c>
      <c r="H68" s="14" t="str">
        <f>IFERROR((VLOOKUP($A68,'[1]import success seats course'!$A:V,HLOOKUP('[1]Course Totals'!H$4,'[1]import success seats course'!$1:$2,2,FALSE),FALSE)/(VLOOKUP($A68,'[1]import graded seats course pivo'!$A:AF,HLOOKUP('[1]Course Totals'!H$4,'[1]import graded seats course pivo'!$1:$2,2,FALSE),FALSE))),"")</f>
        <v/>
      </c>
      <c r="I68" s="14" t="str">
        <f>IFERROR((VLOOKUP($A68,'[1]import success seats course'!$A:W,HLOOKUP('[1]Course Totals'!I$4,'[1]import success seats course'!$1:$2,2,FALSE),FALSE)/(VLOOKUP($A68,'[1]import graded seats course pivo'!$A:AG,HLOOKUP('[1]Course Totals'!I$4,'[1]import graded seats course pivo'!$1:$2,2,FALSE),FALSE))),"")</f>
        <v/>
      </c>
      <c r="J68" s="14" t="str">
        <f>IFERROR((VLOOKUP($A68,'[1]import success seats course'!$A:X,HLOOKUP('[1]Course Totals'!J$4,'[1]import success seats course'!$1:$2,2,FALSE),FALSE)/(VLOOKUP($A68,'[1]import graded seats course pivo'!$A:AH,HLOOKUP('[1]Course Totals'!J$4,'[1]import graded seats course pivo'!$1:$2,2,FALSE),FALSE))),"")</f>
        <v/>
      </c>
      <c r="K68" s="14" t="str">
        <f>IFERROR((VLOOKUP($A68,'[1]import success seats course'!$A:Y,HLOOKUP('[1]Course Totals'!K$4,'[1]import success seats course'!$1:$2,2,FALSE),FALSE)/(VLOOKUP($A68,'[1]import graded seats course pivo'!$A:AI,HLOOKUP('[1]Course Totals'!K$4,'[1]import graded seats course pivo'!$1:$2,2,FALSE),FALSE))),"")</f>
        <v/>
      </c>
      <c r="L68" s="14">
        <f>IFERROR((VLOOKUP($A68,'[1]import success seats course'!$A:Z,HLOOKUP('[1]Course Totals'!L$4,'[1]import success seats course'!$1:$2,2,FALSE),FALSE)/(VLOOKUP($A68,'[1]import graded seats course pivo'!$A:AJ,HLOOKUP('[1]Course Totals'!L$4,'[1]import graded seats course pivo'!$1:$2,2,FALSE),FALSE))),"")</f>
        <v>1</v>
      </c>
      <c r="M68" s="14">
        <f>IFERROR((VLOOKUP($A68,'[1]import success seats course'!$A:AA,HLOOKUP('[1]Course Totals'!M$4,'[1]import success seats course'!$1:$2,2,FALSE),FALSE)/(VLOOKUP($A68,'[1]import graded seats course pivo'!$A:AK,HLOOKUP('[1]Course Totals'!M$4,'[1]import graded seats course pivo'!$1:$2,2,FALSE),FALSE))),"")</f>
        <v>1</v>
      </c>
      <c r="N68" s="14" t="str">
        <f>IFERROR((VLOOKUP($A68,'[1]import success seats course'!$A:AB,HLOOKUP('[1]Course Totals'!N$4,'[1]import success seats course'!$1:$2,2,FALSE),FALSE)/(VLOOKUP($A68,'[1]import graded seats course pivo'!$A:AL,HLOOKUP('[1]Course Totals'!N$4,'[1]import graded seats course pivo'!$1:$2,2,FALSE),FALSE))),"")</f>
        <v/>
      </c>
      <c r="O68" s="14" t="str">
        <f>IFERROR((VLOOKUP($A68,'[1]import success seats course'!$A:AC,HLOOKUP('[1]Course Totals'!O$4,'[1]import success seats course'!$1:$2,2,FALSE),FALSE)/(VLOOKUP($A68,'[1]import graded seats course pivo'!$A:AM,HLOOKUP('[1]Course Totals'!O$4,'[1]import graded seats course pivo'!$1:$2,2,FALSE),FALSE))),"")</f>
        <v/>
      </c>
      <c r="P68" s="14" t="str">
        <f>IFERROR((VLOOKUP($A68,'[1]import success seats course'!$A:AD,HLOOKUP('[1]Course Totals'!P$4,'[1]import success seats course'!$1:$2,2,FALSE),FALSE)/(VLOOKUP($A68,'[1]import graded seats course pivo'!$A:AN,HLOOKUP('[1]Course Totals'!P$4,'[1]import graded seats course pivo'!$1:$2,2,FALSE),FALSE))),"")</f>
        <v/>
      </c>
      <c r="Q68" s="14" t="str">
        <f>IFERROR((VLOOKUP($A68,'[1]import success seats course'!$A:AE,HLOOKUP('[1]Course Totals'!Q$4,'[1]import success seats course'!$1:$2,2,FALSE),FALSE)/(VLOOKUP($A68,'[1]import graded seats course pivo'!$A:AO,HLOOKUP('[1]Course Totals'!Q$4,'[1]import graded seats course pivo'!$1:$2,2,FALSE),FALSE))),"")</f>
        <v/>
      </c>
      <c r="R68" s="14" t="str">
        <f>IFERROR((VLOOKUP($A68,'[1]import success seats course'!$A:AF,HLOOKUP('[1]Course Totals'!R$4,'[1]import success seats course'!$1:$2,2,FALSE),FALSE)/(VLOOKUP($A68,'[1]import graded seats course pivo'!$A:AP,HLOOKUP('[1]Course Totals'!R$4,'[1]import graded seats course pivo'!$1:$2,2,FALSE),FALSE))),"")</f>
        <v/>
      </c>
      <c r="S68" s="14" t="str">
        <f>IFERROR((VLOOKUP($A68,'[1]import success seats course'!$A:AG,HLOOKUP('[1]Course Totals'!S$4,'[1]import success seats course'!$1:$2,2,FALSE),FALSE)/(VLOOKUP($A68,'[1]import graded seats course pivo'!$A:AQ,HLOOKUP('[1]Course Totals'!S$4,'[1]import graded seats course pivo'!$1:$2,2,FALSE),FALSE))),"")</f>
        <v/>
      </c>
      <c r="Z68" s="7"/>
      <c r="AA68" s="7"/>
      <c r="AB68" s="7"/>
      <c r="AC68" s="7"/>
    </row>
    <row r="69" spans="1:29" ht="15.75" customHeight="1" x14ac:dyDescent="0.25">
      <c r="A69" s="12" t="s">
        <v>42</v>
      </c>
      <c r="B69" s="14">
        <f>IFERROR((VLOOKUP($A69,'[1]import success seats course'!$A:P,HLOOKUP('[1]Course Totals'!B$4,'[1]import success seats course'!$1:$2,2,FALSE),FALSE)/(VLOOKUP($A69,'[1]import graded seats course pivo'!$A:Z,HLOOKUP('[1]Course Totals'!B$4,'[1]import graded seats course pivo'!$1:$2,2,FALSE),FALSE))),"")</f>
        <v>1</v>
      </c>
      <c r="C69" s="14">
        <f>IFERROR((VLOOKUP($A69,'[1]import success seats course'!$A:Q,HLOOKUP('[1]Course Totals'!C$4,'[1]import success seats course'!$1:$2,2,FALSE),FALSE)/(VLOOKUP($A69,'[1]import graded seats course pivo'!$A:AA,HLOOKUP('[1]Course Totals'!C$4,'[1]import graded seats course pivo'!$1:$2,2,FALSE),FALSE))),"")</f>
        <v>0.8</v>
      </c>
      <c r="D69" s="14">
        <f>IFERROR((VLOOKUP($A69,'[1]import success seats course'!$A:R,HLOOKUP('[1]Course Totals'!D$4,'[1]import success seats course'!$1:$2,2,FALSE),FALSE)/(VLOOKUP($A69,'[1]import graded seats course pivo'!$A:AB,HLOOKUP('[1]Course Totals'!D$4,'[1]import graded seats course pivo'!$1:$2,2,FALSE),FALSE))),"")</f>
        <v>0.83333333333333337</v>
      </c>
      <c r="E69" s="14">
        <f>IFERROR((VLOOKUP($A69,'[1]import success seats course'!$A:S,HLOOKUP('[1]Course Totals'!E$4,'[1]import success seats course'!$1:$2,2,FALSE),FALSE)/(VLOOKUP($A69,'[1]import graded seats course pivo'!$A:AC,HLOOKUP('[1]Course Totals'!E$4,'[1]import graded seats course pivo'!$1:$2,2,FALSE),FALSE))),"")</f>
        <v>1</v>
      </c>
      <c r="F69" s="14">
        <f>IFERROR((VLOOKUP($A69,'[1]import success seats course'!$A:T,HLOOKUP('[1]Course Totals'!F$4,'[1]import success seats course'!$1:$2,2,FALSE),FALSE)/(VLOOKUP($A69,'[1]import graded seats course pivo'!$A:AD,HLOOKUP('[1]Course Totals'!F$4,'[1]import graded seats course pivo'!$1:$2,2,FALSE),FALSE))),"")</f>
        <v>1</v>
      </c>
      <c r="G69" s="14">
        <f>IFERROR((VLOOKUP($A69,'[1]import success seats course'!$A:U,HLOOKUP('[1]Course Totals'!G$4,'[1]import success seats course'!$1:$2,2,FALSE),FALSE)/(VLOOKUP($A69,'[1]import graded seats course pivo'!$A:AE,HLOOKUP('[1]Course Totals'!G$4,'[1]import graded seats course pivo'!$1:$2,2,FALSE),FALSE))),"")</f>
        <v>0.86363636363636365</v>
      </c>
      <c r="H69" s="14">
        <f>IFERROR((VLOOKUP($A69,'[1]import success seats course'!$A:V,HLOOKUP('[1]Course Totals'!H$4,'[1]import success seats course'!$1:$2,2,FALSE),FALSE)/(VLOOKUP($A69,'[1]import graded seats course pivo'!$A:AF,HLOOKUP('[1]Course Totals'!H$4,'[1]import graded seats course pivo'!$1:$2,2,FALSE),FALSE))),"")</f>
        <v>0.8571428571428571</v>
      </c>
      <c r="I69" s="14">
        <f>IFERROR((VLOOKUP($A69,'[1]import success seats course'!$A:W,HLOOKUP('[1]Course Totals'!I$4,'[1]import success seats course'!$1:$2,2,FALSE),FALSE)/(VLOOKUP($A69,'[1]import graded seats course pivo'!$A:AG,HLOOKUP('[1]Course Totals'!I$4,'[1]import graded seats course pivo'!$1:$2,2,FALSE),FALSE))),"")</f>
        <v>1</v>
      </c>
      <c r="J69" s="14">
        <f>IFERROR((VLOOKUP($A69,'[1]import success seats course'!$A:X,HLOOKUP('[1]Course Totals'!J$4,'[1]import success seats course'!$1:$2,2,FALSE),FALSE)/(VLOOKUP($A69,'[1]import graded seats course pivo'!$A:AH,HLOOKUP('[1]Course Totals'!J$4,'[1]import graded seats course pivo'!$1:$2,2,FALSE),FALSE))),"")</f>
        <v>0.89189189189189189</v>
      </c>
      <c r="K69" s="14" t="str">
        <f>IFERROR((VLOOKUP($A69,'[1]import success seats course'!$A:Y,HLOOKUP('[1]Course Totals'!K$4,'[1]import success seats course'!$1:$2,2,FALSE),FALSE)/(VLOOKUP($A69,'[1]import graded seats course pivo'!$A:AI,HLOOKUP('[1]Course Totals'!K$4,'[1]import graded seats course pivo'!$1:$2,2,FALSE),FALSE))),"")</f>
        <v/>
      </c>
      <c r="L69" s="14">
        <f>IFERROR((VLOOKUP($A69,'[1]import success seats course'!$A:Z,HLOOKUP('[1]Course Totals'!L$4,'[1]import success seats course'!$1:$2,2,FALSE),FALSE)/(VLOOKUP($A69,'[1]import graded seats course pivo'!$A:AJ,HLOOKUP('[1]Course Totals'!L$4,'[1]import graded seats course pivo'!$1:$2,2,FALSE),FALSE))),"")</f>
        <v>0.95238095238095233</v>
      </c>
      <c r="M69" s="14">
        <f>IFERROR((VLOOKUP($A69,'[1]import success seats course'!$A:AA,HLOOKUP('[1]Course Totals'!M$4,'[1]import success seats course'!$1:$2,2,FALSE),FALSE)/(VLOOKUP($A69,'[1]import graded seats course pivo'!$A:AK,HLOOKUP('[1]Course Totals'!M$4,'[1]import graded seats course pivo'!$1:$2,2,FALSE),FALSE))),"")</f>
        <v>1</v>
      </c>
      <c r="N69" s="14" t="str">
        <f>IFERROR((VLOOKUP($A69,'[1]import success seats course'!$A:AB,HLOOKUP('[1]Course Totals'!N$4,'[1]import success seats course'!$1:$2,2,FALSE),FALSE)/(VLOOKUP($A69,'[1]import graded seats course pivo'!$A:AL,HLOOKUP('[1]Course Totals'!N$4,'[1]import graded seats course pivo'!$1:$2,2,FALSE),FALSE))),"")</f>
        <v/>
      </c>
      <c r="O69" s="14">
        <f>IFERROR((VLOOKUP($A69,'[1]import success seats course'!$A:AC,HLOOKUP('[1]Course Totals'!O$4,'[1]import success seats course'!$1:$2,2,FALSE),FALSE)/(VLOOKUP($A69,'[1]import graded seats course pivo'!$A:AM,HLOOKUP('[1]Course Totals'!O$4,'[1]import graded seats course pivo'!$1:$2,2,FALSE),FALSE))),"")</f>
        <v>0.90909090909090906</v>
      </c>
      <c r="P69" s="14">
        <f>IFERROR((VLOOKUP($A69,'[1]import success seats course'!$A:AD,HLOOKUP('[1]Course Totals'!P$4,'[1]import success seats course'!$1:$2,2,FALSE),FALSE)/(VLOOKUP($A69,'[1]import graded seats course pivo'!$A:AN,HLOOKUP('[1]Course Totals'!P$4,'[1]import graded seats course pivo'!$1:$2,2,FALSE),FALSE))),"")</f>
        <v>0.90909090909090906</v>
      </c>
      <c r="Q69" s="14" t="str">
        <f>IFERROR((VLOOKUP($A69,'[1]import success seats course'!$A:AE,HLOOKUP('[1]Course Totals'!Q$4,'[1]import success seats course'!$1:$2,2,FALSE),FALSE)/(VLOOKUP($A69,'[1]import graded seats course pivo'!$A:AO,HLOOKUP('[1]Course Totals'!Q$4,'[1]import graded seats course pivo'!$1:$2,2,FALSE),FALSE))),"")</f>
        <v/>
      </c>
      <c r="R69" s="14" t="str">
        <f>IFERROR((VLOOKUP($A69,'[1]import success seats course'!$A:AF,HLOOKUP('[1]Course Totals'!R$4,'[1]import success seats course'!$1:$2,2,FALSE),FALSE)/(VLOOKUP($A69,'[1]import graded seats course pivo'!$A:AP,HLOOKUP('[1]Course Totals'!R$4,'[1]import graded seats course pivo'!$1:$2,2,FALSE),FALSE))),"")</f>
        <v/>
      </c>
      <c r="S69" s="14">
        <f>IFERROR((VLOOKUP($A69,'[1]import success seats course'!$A:AG,HLOOKUP('[1]Course Totals'!S$4,'[1]import success seats course'!$1:$2,2,FALSE),FALSE)/(VLOOKUP($A69,'[1]import graded seats course pivo'!$A:AQ,HLOOKUP('[1]Course Totals'!S$4,'[1]import graded seats course pivo'!$1:$2,2,FALSE),FALSE))),"")</f>
        <v>0.8</v>
      </c>
      <c r="Z69" s="7"/>
      <c r="AA69" s="7"/>
      <c r="AB69" s="7"/>
      <c r="AC69" s="7"/>
    </row>
    <row r="70" spans="1:29" s="7" customFormat="1" ht="15.75" customHeight="1" thickBot="1" x14ac:dyDescent="0.3">
      <c r="A70" s="8" t="str">
        <f>'[1]SUBJECTS BASE'!H6</f>
        <v>Anthropology</v>
      </c>
      <c r="B70" s="38" t="s">
        <v>1046</v>
      </c>
      <c r="C70" s="39" t="s">
        <v>0</v>
      </c>
      <c r="D70" s="40" t="s">
        <v>868</v>
      </c>
      <c r="E70" s="41" t="s">
        <v>1052</v>
      </c>
      <c r="F70" s="42" t="s">
        <v>546</v>
      </c>
      <c r="G70" s="43" t="s">
        <v>959</v>
      </c>
      <c r="H70" s="44" t="s">
        <v>1060</v>
      </c>
      <c r="I70" s="39" t="s">
        <v>675</v>
      </c>
      <c r="J70" s="45" t="s">
        <v>1006</v>
      </c>
      <c r="K70" s="46" t="s">
        <v>1062</v>
      </c>
      <c r="L70" s="42" t="s">
        <v>762</v>
      </c>
      <c r="M70" s="43" t="s">
        <v>1022</v>
      </c>
      <c r="N70" s="44" t="s">
        <v>1063</v>
      </c>
      <c r="O70" s="39" t="s">
        <v>822</v>
      </c>
      <c r="P70" s="40" t="s">
        <v>1042</v>
      </c>
      <c r="Q70" s="46" t="s">
        <v>1153</v>
      </c>
      <c r="R70" s="42" t="s">
        <v>1154</v>
      </c>
      <c r="S70" s="43" t="s">
        <v>1155</v>
      </c>
    </row>
    <row r="71" spans="1:29" ht="15.75" customHeight="1" x14ac:dyDescent="0.25">
      <c r="A71" s="12" t="s">
        <v>43</v>
      </c>
      <c r="B71" s="14">
        <f>IFERROR((VLOOKUP($A71,'[1]import success seats course'!$A:P,HLOOKUP('[1]Course Totals'!B$4,'[1]import success seats course'!$1:$2,2,FALSE),FALSE)/(VLOOKUP($A71,'[1]import graded seats course pivo'!$A:Z,HLOOKUP('[1]Course Totals'!B$4,'[1]import graded seats course pivo'!$1:$2,2,FALSE),FALSE))),"")</f>
        <v>0.92307692307692313</v>
      </c>
      <c r="C71" s="14">
        <f>IFERROR((VLOOKUP($A71,'[1]import success seats course'!$A:Q,HLOOKUP('[1]Course Totals'!C$4,'[1]import success seats course'!$1:$2,2,FALSE),FALSE)/(VLOOKUP($A71,'[1]import graded seats course pivo'!$A:AA,HLOOKUP('[1]Course Totals'!C$4,'[1]import graded seats course pivo'!$1:$2,2,FALSE),FALSE))),"")</f>
        <v>0.83636363636363631</v>
      </c>
      <c r="D71" s="14">
        <f>IFERROR((VLOOKUP($A71,'[1]import success seats course'!$A:R,HLOOKUP('[1]Course Totals'!D$4,'[1]import success seats course'!$1:$2,2,FALSE),FALSE)/(VLOOKUP($A71,'[1]import graded seats course pivo'!$A:AB,HLOOKUP('[1]Course Totals'!D$4,'[1]import graded seats course pivo'!$1:$2,2,FALSE),FALSE))),"")</f>
        <v>0.89595375722543358</v>
      </c>
      <c r="E71" s="14">
        <f>IFERROR((VLOOKUP($A71,'[1]import success seats course'!$A:S,HLOOKUP('[1]Course Totals'!E$4,'[1]import success seats course'!$1:$2,2,FALSE),FALSE)/(VLOOKUP($A71,'[1]import graded seats course pivo'!$A:AC,HLOOKUP('[1]Course Totals'!E$4,'[1]import graded seats course pivo'!$1:$2,2,FALSE),FALSE))),"")</f>
        <v>0.9285714285714286</v>
      </c>
      <c r="F71" s="14">
        <f>IFERROR((VLOOKUP($A71,'[1]import success seats course'!$A:T,HLOOKUP('[1]Course Totals'!F$4,'[1]import success seats course'!$1:$2,2,FALSE),FALSE)/(VLOOKUP($A71,'[1]import graded seats course pivo'!$A:AD,HLOOKUP('[1]Course Totals'!F$4,'[1]import graded seats course pivo'!$1:$2,2,FALSE),FALSE))),"")</f>
        <v>0.8393782383419689</v>
      </c>
      <c r="G71" s="14">
        <f>IFERROR((VLOOKUP($A71,'[1]import success seats course'!$A:U,HLOOKUP('[1]Course Totals'!G$4,'[1]import success seats course'!$1:$2,2,FALSE),FALSE)/(VLOOKUP($A71,'[1]import graded seats course pivo'!$A:AE,HLOOKUP('[1]Course Totals'!G$4,'[1]import graded seats course pivo'!$1:$2,2,FALSE),FALSE))),"")</f>
        <v>0.86877828054298645</v>
      </c>
      <c r="H71" s="14" t="str">
        <f>IFERROR((VLOOKUP($A71,'[1]import success seats course'!$A:V,HLOOKUP('[1]Course Totals'!H$4,'[1]import success seats course'!$1:$2,2,FALSE),FALSE)/(VLOOKUP($A71,'[1]import graded seats course pivo'!$A:AF,HLOOKUP('[1]Course Totals'!H$4,'[1]import graded seats course pivo'!$1:$2,2,FALSE),FALSE))),"")</f>
        <v/>
      </c>
      <c r="I71" s="14">
        <f>IFERROR((VLOOKUP($A71,'[1]import success seats course'!$A:W,HLOOKUP('[1]Course Totals'!I$4,'[1]import success seats course'!$1:$2,2,FALSE),FALSE)/(VLOOKUP($A71,'[1]import graded seats course pivo'!$A:AG,HLOOKUP('[1]Course Totals'!I$4,'[1]import graded seats course pivo'!$1:$2,2,FALSE),FALSE))),"")</f>
        <v>0.86274509803921573</v>
      </c>
      <c r="J71" s="14">
        <f>IFERROR((VLOOKUP($A71,'[1]import success seats course'!$A:X,HLOOKUP('[1]Course Totals'!J$4,'[1]import success seats course'!$1:$2,2,FALSE),FALSE)/(VLOOKUP($A71,'[1]import graded seats course pivo'!$A:AH,HLOOKUP('[1]Course Totals'!J$4,'[1]import graded seats course pivo'!$1:$2,2,FALSE),FALSE))),"")</f>
        <v>0.88</v>
      </c>
      <c r="K71" s="14" t="str">
        <f>IFERROR((VLOOKUP($A71,'[1]import success seats course'!$A:Y,HLOOKUP('[1]Course Totals'!K$4,'[1]import success seats course'!$1:$2,2,FALSE),FALSE)/(VLOOKUP($A71,'[1]import graded seats course pivo'!$A:AI,HLOOKUP('[1]Course Totals'!K$4,'[1]import graded seats course pivo'!$1:$2,2,FALSE),FALSE))),"")</f>
        <v/>
      </c>
      <c r="L71" s="14">
        <f>IFERROR((VLOOKUP($A71,'[1]import success seats course'!$A:Z,HLOOKUP('[1]Course Totals'!L$4,'[1]import success seats course'!$1:$2,2,FALSE),FALSE)/(VLOOKUP($A71,'[1]import graded seats course pivo'!$A:AJ,HLOOKUP('[1]Course Totals'!L$4,'[1]import graded seats course pivo'!$1:$2,2,FALSE),FALSE))),"")</f>
        <v>0.88601036269430056</v>
      </c>
      <c r="M71" s="14">
        <f>IFERROR((VLOOKUP($A71,'[1]import success seats course'!$A:AA,HLOOKUP('[1]Course Totals'!M$4,'[1]import success seats course'!$1:$2,2,FALSE),FALSE)/(VLOOKUP($A71,'[1]import graded seats course pivo'!$A:AK,HLOOKUP('[1]Course Totals'!M$4,'[1]import graded seats course pivo'!$1:$2,2,FALSE),FALSE))),"")</f>
        <v>0.87958115183246077</v>
      </c>
      <c r="N71" s="14" t="str">
        <f>IFERROR((VLOOKUP($A71,'[1]import success seats course'!$A:AB,HLOOKUP('[1]Course Totals'!N$4,'[1]import success seats course'!$1:$2,2,FALSE),FALSE)/(VLOOKUP($A71,'[1]import graded seats course pivo'!$A:AL,HLOOKUP('[1]Course Totals'!N$4,'[1]import graded seats course pivo'!$1:$2,2,FALSE),FALSE))),"")</f>
        <v/>
      </c>
      <c r="O71" s="14">
        <f>IFERROR((VLOOKUP($A71,'[1]import success seats course'!$A:AC,HLOOKUP('[1]Course Totals'!O$4,'[1]import success seats course'!$1:$2,2,FALSE),FALSE)/(VLOOKUP($A71,'[1]import graded seats course pivo'!$A:AM,HLOOKUP('[1]Course Totals'!O$4,'[1]import graded seats course pivo'!$1:$2,2,FALSE),FALSE))),"")</f>
        <v>0.80099502487562191</v>
      </c>
      <c r="P71" s="14">
        <f>IFERROR((VLOOKUP($A71,'[1]import success seats course'!$A:AD,HLOOKUP('[1]Course Totals'!P$4,'[1]import success seats course'!$1:$2,2,FALSE),FALSE)/(VLOOKUP($A71,'[1]import graded seats course pivo'!$A:AN,HLOOKUP('[1]Course Totals'!P$4,'[1]import graded seats course pivo'!$1:$2,2,FALSE),FALSE))),"")</f>
        <v>0.87317073170731707</v>
      </c>
      <c r="Q71" s="14" t="str">
        <f>IFERROR((VLOOKUP($A71,'[1]import success seats course'!$A:AE,HLOOKUP('[1]Course Totals'!Q$4,'[1]import success seats course'!$1:$2,2,FALSE),FALSE)/(VLOOKUP($A71,'[1]import graded seats course pivo'!$A:AO,HLOOKUP('[1]Course Totals'!Q$4,'[1]import graded seats course pivo'!$1:$2,2,FALSE),FALSE))),"")</f>
        <v/>
      </c>
      <c r="R71" s="14">
        <f>IFERROR((VLOOKUP($A71,'[1]import success seats course'!$A:AF,HLOOKUP('[1]Course Totals'!R$4,'[1]import success seats course'!$1:$2,2,FALSE),FALSE)/(VLOOKUP($A71,'[1]import graded seats course pivo'!$A:AP,HLOOKUP('[1]Course Totals'!R$4,'[1]import graded seats course pivo'!$1:$2,2,FALSE),FALSE))),"")</f>
        <v>0.88947368421052631</v>
      </c>
      <c r="S71" s="14">
        <f>IFERROR((VLOOKUP($A71,'[1]import success seats course'!$A:AG,HLOOKUP('[1]Course Totals'!S$4,'[1]import success seats course'!$1:$2,2,FALSE),FALSE)/(VLOOKUP($A71,'[1]import graded seats course pivo'!$A:AQ,HLOOKUP('[1]Course Totals'!S$4,'[1]import graded seats course pivo'!$1:$2,2,FALSE),FALSE))),"")</f>
        <v>0.89308176100628933</v>
      </c>
      <c r="Z71" s="7"/>
      <c r="AA71" s="7"/>
      <c r="AB71" s="7"/>
      <c r="AC71" s="7"/>
    </row>
    <row r="72" spans="1:29" ht="15.75" customHeight="1" x14ac:dyDescent="0.25">
      <c r="A72" s="12" t="s">
        <v>552</v>
      </c>
      <c r="B72" s="14" t="str">
        <f>IFERROR((VLOOKUP($A72,'[1]import success seats course'!$A:P,HLOOKUP('[1]Course Totals'!B$4,'[1]import success seats course'!$1:$2,2,FALSE),FALSE)/(VLOOKUP($A72,'[1]import graded seats course pivo'!$A:Z,HLOOKUP('[1]Course Totals'!B$4,'[1]import graded seats course pivo'!$1:$2,2,FALSE),FALSE))),"")</f>
        <v/>
      </c>
      <c r="C72" s="14" t="str">
        <f>IFERROR((VLOOKUP($A72,'[1]import success seats course'!$A:Q,HLOOKUP('[1]Course Totals'!C$4,'[1]import success seats course'!$1:$2,2,FALSE),FALSE)/(VLOOKUP($A72,'[1]import graded seats course pivo'!$A:AA,HLOOKUP('[1]Course Totals'!C$4,'[1]import graded seats course pivo'!$1:$2,2,FALSE),FALSE))),"")</f>
        <v/>
      </c>
      <c r="D72" s="14">
        <f>IFERROR((VLOOKUP($A72,'[1]import success seats course'!$A:R,HLOOKUP('[1]Course Totals'!D$4,'[1]import success seats course'!$1:$2,2,FALSE),FALSE)/(VLOOKUP($A72,'[1]import graded seats course pivo'!$A:AB,HLOOKUP('[1]Course Totals'!D$4,'[1]import graded seats course pivo'!$1:$2,2,FALSE),FALSE))),"")</f>
        <v>1</v>
      </c>
      <c r="E72" s="14" t="str">
        <f>IFERROR((VLOOKUP($A72,'[1]import success seats course'!$A:S,HLOOKUP('[1]Course Totals'!E$4,'[1]import success seats course'!$1:$2,2,FALSE),FALSE)/(VLOOKUP($A72,'[1]import graded seats course pivo'!$A:AC,HLOOKUP('[1]Course Totals'!E$4,'[1]import graded seats course pivo'!$1:$2,2,FALSE),FALSE))),"")</f>
        <v/>
      </c>
      <c r="F72" s="14">
        <f>IFERROR((VLOOKUP($A72,'[1]import success seats course'!$A:T,HLOOKUP('[1]Course Totals'!F$4,'[1]import success seats course'!$1:$2,2,FALSE),FALSE)/(VLOOKUP($A72,'[1]import graded seats course pivo'!$A:AD,HLOOKUP('[1]Course Totals'!F$4,'[1]import graded seats course pivo'!$1:$2,2,FALSE),FALSE))),"")</f>
        <v>1</v>
      </c>
      <c r="G72" s="14">
        <f>IFERROR((VLOOKUP($A72,'[1]import success seats course'!$A:U,HLOOKUP('[1]Course Totals'!G$4,'[1]import success seats course'!$1:$2,2,FALSE),FALSE)/(VLOOKUP($A72,'[1]import graded seats course pivo'!$A:AE,HLOOKUP('[1]Course Totals'!G$4,'[1]import graded seats course pivo'!$1:$2,2,FALSE),FALSE))),"")</f>
        <v>1</v>
      </c>
      <c r="H72" s="14" t="str">
        <f>IFERROR((VLOOKUP($A72,'[1]import success seats course'!$A:V,HLOOKUP('[1]Course Totals'!H$4,'[1]import success seats course'!$1:$2,2,FALSE),FALSE)/(VLOOKUP($A72,'[1]import graded seats course pivo'!$A:AF,HLOOKUP('[1]Course Totals'!H$4,'[1]import graded seats course pivo'!$1:$2,2,FALSE),FALSE))),"")</f>
        <v/>
      </c>
      <c r="I72" s="14">
        <f>IFERROR((VLOOKUP($A72,'[1]import success seats course'!$A:W,HLOOKUP('[1]Course Totals'!I$4,'[1]import success seats course'!$1:$2,2,FALSE),FALSE)/(VLOOKUP($A72,'[1]import graded seats course pivo'!$A:AG,HLOOKUP('[1]Course Totals'!I$4,'[1]import graded seats course pivo'!$1:$2,2,FALSE),FALSE))),"")</f>
        <v>1</v>
      </c>
      <c r="J72" s="14">
        <f>IFERROR((VLOOKUP($A72,'[1]import success seats course'!$A:X,HLOOKUP('[1]Course Totals'!J$4,'[1]import success seats course'!$1:$2,2,FALSE),FALSE)/(VLOOKUP($A72,'[1]import graded seats course pivo'!$A:AH,HLOOKUP('[1]Course Totals'!J$4,'[1]import graded seats course pivo'!$1:$2,2,FALSE),FALSE))),"")</f>
        <v>0.83333333333333337</v>
      </c>
      <c r="K72" s="14" t="str">
        <f>IFERROR((VLOOKUP($A72,'[1]import success seats course'!$A:Y,HLOOKUP('[1]Course Totals'!K$4,'[1]import success seats course'!$1:$2,2,FALSE),FALSE)/(VLOOKUP($A72,'[1]import graded seats course pivo'!$A:AI,HLOOKUP('[1]Course Totals'!K$4,'[1]import graded seats course pivo'!$1:$2,2,FALSE),FALSE))),"")</f>
        <v/>
      </c>
      <c r="L72" s="14">
        <f>IFERROR((VLOOKUP($A72,'[1]import success seats course'!$A:Z,HLOOKUP('[1]Course Totals'!L$4,'[1]import success seats course'!$1:$2,2,FALSE),FALSE)/(VLOOKUP($A72,'[1]import graded seats course pivo'!$A:AJ,HLOOKUP('[1]Course Totals'!L$4,'[1]import graded seats course pivo'!$1:$2,2,FALSE),FALSE))),"")</f>
        <v>1</v>
      </c>
      <c r="M72" s="14">
        <f>IFERROR((VLOOKUP($A72,'[1]import success seats course'!$A:AA,HLOOKUP('[1]Course Totals'!M$4,'[1]import success seats course'!$1:$2,2,FALSE),FALSE)/(VLOOKUP($A72,'[1]import graded seats course pivo'!$A:AK,HLOOKUP('[1]Course Totals'!M$4,'[1]import graded seats course pivo'!$1:$2,2,FALSE),FALSE))),"")</f>
        <v>1</v>
      </c>
      <c r="N72" s="14" t="str">
        <f>IFERROR((VLOOKUP($A72,'[1]import success seats course'!$A:AB,HLOOKUP('[1]Course Totals'!N$4,'[1]import success seats course'!$1:$2,2,FALSE),FALSE)/(VLOOKUP($A72,'[1]import graded seats course pivo'!$A:AL,HLOOKUP('[1]Course Totals'!N$4,'[1]import graded seats course pivo'!$1:$2,2,FALSE),FALSE))),"")</f>
        <v/>
      </c>
      <c r="O72" s="14">
        <f>IFERROR((VLOOKUP($A72,'[1]import success seats course'!$A:AC,HLOOKUP('[1]Course Totals'!O$4,'[1]import success seats course'!$1:$2,2,FALSE),FALSE)/(VLOOKUP($A72,'[1]import graded seats course pivo'!$A:AM,HLOOKUP('[1]Course Totals'!O$4,'[1]import graded seats course pivo'!$1:$2,2,FALSE),FALSE))),"")</f>
        <v>1</v>
      </c>
      <c r="P72" s="14">
        <f>IFERROR((VLOOKUP($A72,'[1]import success seats course'!$A:AD,HLOOKUP('[1]Course Totals'!P$4,'[1]import success seats course'!$1:$2,2,FALSE),FALSE)/(VLOOKUP($A72,'[1]import graded seats course pivo'!$A:AN,HLOOKUP('[1]Course Totals'!P$4,'[1]import graded seats course pivo'!$1:$2,2,FALSE),FALSE))),"")</f>
        <v>1</v>
      </c>
      <c r="Q72" s="14" t="str">
        <f>IFERROR((VLOOKUP($A72,'[1]import success seats course'!$A:AE,HLOOKUP('[1]Course Totals'!Q$4,'[1]import success seats course'!$1:$2,2,FALSE),FALSE)/(VLOOKUP($A72,'[1]import graded seats course pivo'!$A:AO,HLOOKUP('[1]Course Totals'!Q$4,'[1]import graded seats course pivo'!$1:$2,2,FALSE),FALSE))),"")</f>
        <v/>
      </c>
      <c r="R72" s="14">
        <f>IFERROR((VLOOKUP($A72,'[1]import success seats course'!$A:AF,HLOOKUP('[1]Course Totals'!R$4,'[1]import success seats course'!$1:$2,2,FALSE),FALSE)/(VLOOKUP($A72,'[1]import graded seats course pivo'!$A:AP,HLOOKUP('[1]Course Totals'!R$4,'[1]import graded seats course pivo'!$1:$2,2,FALSE),FALSE))),"")</f>
        <v>0.88888888888888884</v>
      </c>
      <c r="S72" s="14">
        <f>IFERROR((VLOOKUP($A72,'[1]import success seats course'!$A:AG,HLOOKUP('[1]Course Totals'!S$4,'[1]import success seats course'!$1:$2,2,FALSE),FALSE)/(VLOOKUP($A72,'[1]import graded seats course pivo'!$A:AQ,HLOOKUP('[1]Course Totals'!S$4,'[1]import graded seats course pivo'!$1:$2,2,FALSE),FALSE))),"")</f>
        <v>0.83333333333333337</v>
      </c>
      <c r="Z72" s="7"/>
      <c r="AA72" s="7"/>
      <c r="AB72" s="7"/>
      <c r="AC72" s="7"/>
    </row>
    <row r="73" spans="1:29" ht="15.75" customHeight="1" x14ac:dyDescent="0.25">
      <c r="A73" s="12" t="s">
        <v>44</v>
      </c>
      <c r="B73" s="14">
        <f>IFERROR((VLOOKUP($A73,'[1]import success seats course'!$A:P,HLOOKUP('[1]Course Totals'!B$4,'[1]import success seats course'!$1:$2,2,FALSE),FALSE)/(VLOOKUP($A73,'[1]import graded seats course pivo'!$A:Z,HLOOKUP('[1]Course Totals'!B$4,'[1]import graded seats course pivo'!$1:$2,2,FALSE),FALSE))),"")</f>
        <v>1</v>
      </c>
      <c r="C73" s="14">
        <f>IFERROR((VLOOKUP($A73,'[1]import success seats course'!$A:Q,HLOOKUP('[1]Course Totals'!C$4,'[1]import success seats course'!$1:$2,2,FALSE),FALSE)/(VLOOKUP($A73,'[1]import graded seats course pivo'!$A:AA,HLOOKUP('[1]Course Totals'!C$4,'[1]import graded seats course pivo'!$1:$2,2,FALSE),FALSE))),"")</f>
        <v>0.83673469387755106</v>
      </c>
      <c r="D73" s="14">
        <f>IFERROR((VLOOKUP($A73,'[1]import success seats course'!$A:R,HLOOKUP('[1]Course Totals'!D$4,'[1]import success seats course'!$1:$2,2,FALSE),FALSE)/(VLOOKUP($A73,'[1]import graded seats course pivo'!$A:AB,HLOOKUP('[1]Course Totals'!D$4,'[1]import graded seats course pivo'!$1:$2,2,FALSE),FALSE))),"")</f>
        <v>0.82758620689655171</v>
      </c>
      <c r="E73" s="14">
        <f>IFERROR((VLOOKUP($A73,'[1]import success seats course'!$A:S,HLOOKUP('[1]Course Totals'!E$4,'[1]import success seats course'!$1:$2,2,FALSE),FALSE)/(VLOOKUP($A73,'[1]import graded seats course pivo'!$A:AC,HLOOKUP('[1]Course Totals'!E$4,'[1]import graded seats course pivo'!$1:$2,2,FALSE),FALSE))),"")</f>
        <v>0.95652173913043481</v>
      </c>
      <c r="F73" s="14">
        <f>IFERROR((VLOOKUP($A73,'[1]import success seats course'!$A:T,HLOOKUP('[1]Course Totals'!F$4,'[1]import success seats course'!$1:$2,2,FALSE),FALSE)/(VLOOKUP($A73,'[1]import graded seats course pivo'!$A:AD,HLOOKUP('[1]Course Totals'!F$4,'[1]import graded seats course pivo'!$1:$2,2,FALSE),FALSE))),"")</f>
        <v>0.86075949367088611</v>
      </c>
      <c r="G73" s="14">
        <f>IFERROR((VLOOKUP($A73,'[1]import success seats course'!$A:U,HLOOKUP('[1]Course Totals'!G$4,'[1]import success seats course'!$1:$2,2,FALSE),FALSE)/(VLOOKUP($A73,'[1]import graded seats course pivo'!$A:AE,HLOOKUP('[1]Course Totals'!G$4,'[1]import graded seats course pivo'!$1:$2,2,FALSE),FALSE))),"")</f>
        <v>0.86036036036036034</v>
      </c>
      <c r="H73" s="14">
        <f>IFERROR((VLOOKUP($A73,'[1]import success seats course'!$A:V,HLOOKUP('[1]Course Totals'!H$4,'[1]import success seats course'!$1:$2,2,FALSE),FALSE)/(VLOOKUP($A73,'[1]import graded seats course pivo'!$A:AF,HLOOKUP('[1]Course Totals'!H$4,'[1]import graded seats course pivo'!$1:$2,2,FALSE),FALSE))),"")</f>
        <v>0.94871794871794868</v>
      </c>
      <c r="I73" s="14">
        <f>IFERROR((VLOOKUP($A73,'[1]import success seats course'!$A:W,HLOOKUP('[1]Course Totals'!I$4,'[1]import success seats course'!$1:$2,2,FALSE),FALSE)/(VLOOKUP($A73,'[1]import graded seats course pivo'!$A:AG,HLOOKUP('[1]Course Totals'!I$4,'[1]import graded seats course pivo'!$1:$2,2,FALSE),FALSE))),"")</f>
        <v>0.8854961832061069</v>
      </c>
      <c r="J73" s="14">
        <f>IFERROR((VLOOKUP($A73,'[1]import success seats course'!$A:X,HLOOKUP('[1]Course Totals'!J$4,'[1]import success seats course'!$1:$2,2,FALSE),FALSE)/(VLOOKUP($A73,'[1]import graded seats course pivo'!$A:AH,HLOOKUP('[1]Course Totals'!J$4,'[1]import graded seats course pivo'!$1:$2,2,FALSE),FALSE))),"")</f>
        <v>0.87037037037037035</v>
      </c>
      <c r="K73" s="14" t="str">
        <f>IFERROR((VLOOKUP($A73,'[1]import success seats course'!$A:Y,HLOOKUP('[1]Course Totals'!K$4,'[1]import success seats course'!$1:$2,2,FALSE),FALSE)/(VLOOKUP($A73,'[1]import graded seats course pivo'!$A:AI,HLOOKUP('[1]Course Totals'!K$4,'[1]import graded seats course pivo'!$1:$2,2,FALSE),FALSE))),"")</f>
        <v/>
      </c>
      <c r="L73" s="14">
        <f>IFERROR((VLOOKUP($A73,'[1]import success seats course'!$A:Z,HLOOKUP('[1]Course Totals'!L$4,'[1]import success seats course'!$1:$2,2,FALSE),FALSE)/(VLOOKUP($A73,'[1]import graded seats course pivo'!$A:AJ,HLOOKUP('[1]Course Totals'!L$4,'[1]import graded seats course pivo'!$1:$2,2,FALSE),FALSE))),"")</f>
        <v>0.875</v>
      </c>
      <c r="M73" s="14">
        <f>IFERROR((VLOOKUP($A73,'[1]import success seats course'!$A:AA,HLOOKUP('[1]Course Totals'!M$4,'[1]import success seats course'!$1:$2,2,FALSE),FALSE)/(VLOOKUP($A73,'[1]import graded seats course pivo'!$A:AK,HLOOKUP('[1]Course Totals'!M$4,'[1]import graded seats course pivo'!$1:$2,2,FALSE),FALSE))),"")</f>
        <v>0.82802547770700641</v>
      </c>
      <c r="N73" s="14" t="str">
        <f>IFERROR((VLOOKUP($A73,'[1]import success seats course'!$A:AB,HLOOKUP('[1]Course Totals'!N$4,'[1]import success seats course'!$1:$2,2,FALSE),FALSE)/(VLOOKUP($A73,'[1]import graded seats course pivo'!$A:AL,HLOOKUP('[1]Course Totals'!N$4,'[1]import graded seats course pivo'!$1:$2,2,FALSE),FALSE))),"")</f>
        <v/>
      </c>
      <c r="O73" s="14">
        <f>IFERROR((VLOOKUP($A73,'[1]import success seats course'!$A:AC,HLOOKUP('[1]Course Totals'!O$4,'[1]import success seats course'!$1:$2,2,FALSE),FALSE)/(VLOOKUP($A73,'[1]import graded seats course pivo'!$A:AM,HLOOKUP('[1]Course Totals'!O$4,'[1]import graded seats course pivo'!$1:$2,2,FALSE),FALSE))),"")</f>
        <v>0.82</v>
      </c>
      <c r="P73" s="14">
        <f>IFERROR((VLOOKUP($A73,'[1]import success seats course'!$A:AD,HLOOKUP('[1]Course Totals'!P$4,'[1]import success seats course'!$1:$2,2,FALSE),FALSE)/(VLOOKUP($A73,'[1]import graded seats course pivo'!$A:AN,HLOOKUP('[1]Course Totals'!P$4,'[1]import graded seats course pivo'!$1:$2,2,FALSE),FALSE))),"")</f>
        <v>0.90604026845637586</v>
      </c>
      <c r="Q73" s="14" t="str">
        <f>IFERROR((VLOOKUP($A73,'[1]import success seats course'!$A:AE,HLOOKUP('[1]Course Totals'!Q$4,'[1]import success seats course'!$1:$2,2,FALSE),FALSE)/(VLOOKUP($A73,'[1]import graded seats course pivo'!$A:AO,HLOOKUP('[1]Course Totals'!Q$4,'[1]import graded seats course pivo'!$1:$2,2,FALSE),FALSE))),"")</f>
        <v/>
      </c>
      <c r="R73" s="14">
        <f>IFERROR((VLOOKUP($A73,'[1]import success seats course'!$A:AF,HLOOKUP('[1]Course Totals'!R$4,'[1]import success seats course'!$1:$2,2,FALSE),FALSE)/(VLOOKUP($A73,'[1]import graded seats course pivo'!$A:AP,HLOOKUP('[1]Course Totals'!R$4,'[1]import graded seats course pivo'!$1:$2,2,FALSE),FALSE))),"")</f>
        <v>0.88741721854304634</v>
      </c>
      <c r="S73" s="14">
        <f>IFERROR((VLOOKUP($A73,'[1]import success seats course'!$A:AG,HLOOKUP('[1]Course Totals'!S$4,'[1]import success seats course'!$1:$2,2,FALSE),FALSE)/(VLOOKUP($A73,'[1]import graded seats course pivo'!$A:AQ,HLOOKUP('[1]Course Totals'!S$4,'[1]import graded seats course pivo'!$1:$2,2,FALSE),FALSE))),"")</f>
        <v>0.86805555555555558</v>
      </c>
      <c r="Z73" s="7"/>
      <c r="AA73" s="7"/>
      <c r="AB73" s="7"/>
      <c r="AC73" s="7"/>
    </row>
    <row r="74" spans="1:29" ht="15.75" customHeight="1" x14ac:dyDescent="0.25">
      <c r="A74" s="12" t="s">
        <v>45</v>
      </c>
      <c r="B74" s="14" t="str">
        <f>IFERROR((VLOOKUP($A74,'[1]import success seats course'!$A:P,HLOOKUP('[1]Course Totals'!B$4,'[1]import success seats course'!$1:$2,2,FALSE),FALSE)/(VLOOKUP($A74,'[1]import graded seats course pivo'!$A:Z,HLOOKUP('[1]Course Totals'!B$4,'[1]import graded seats course pivo'!$1:$2,2,FALSE),FALSE))),"")</f>
        <v/>
      </c>
      <c r="C74" s="14">
        <f>IFERROR((VLOOKUP($A74,'[1]import success seats course'!$A:Q,HLOOKUP('[1]Course Totals'!C$4,'[1]import success seats course'!$1:$2,2,FALSE),FALSE)/(VLOOKUP($A74,'[1]import graded seats course pivo'!$A:AA,HLOOKUP('[1]Course Totals'!C$4,'[1]import graded seats course pivo'!$1:$2,2,FALSE),FALSE))),"")</f>
        <v>0.66666666666666663</v>
      </c>
      <c r="D74" s="14">
        <f>IFERROR((VLOOKUP($A74,'[1]import success seats course'!$A:R,HLOOKUP('[1]Course Totals'!D$4,'[1]import success seats course'!$1:$2,2,FALSE),FALSE)/(VLOOKUP($A74,'[1]import graded seats course pivo'!$A:AB,HLOOKUP('[1]Course Totals'!D$4,'[1]import graded seats course pivo'!$1:$2,2,FALSE),FALSE))),"")</f>
        <v>1</v>
      </c>
      <c r="E74" s="14" t="str">
        <f>IFERROR((VLOOKUP($A74,'[1]import success seats course'!$A:S,HLOOKUP('[1]Course Totals'!E$4,'[1]import success seats course'!$1:$2,2,FALSE),FALSE)/(VLOOKUP($A74,'[1]import graded seats course pivo'!$A:AC,HLOOKUP('[1]Course Totals'!E$4,'[1]import graded seats course pivo'!$1:$2,2,FALSE),FALSE))),"")</f>
        <v/>
      </c>
      <c r="F74" s="14">
        <f>IFERROR((VLOOKUP($A74,'[1]import success seats course'!$A:T,HLOOKUP('[1]Course Totals'!F$4,'[1]import success seats course'!$1:$2,2,FALSE),FALSE)/(VLOOKUP($A74,'[1]import graded seats course pivo'!$A:AD,HLOOKUP('[1]Course Totals'!F$4,'[1]import graded seats course pivo'!$1:$2,2,FALSE),FALSE))),"")</f>
        <v>1</v>
      </c>
      <c r="G74" s="14">
        <f>IFERROR((VLOOKUP($A74,'[1]import success seats course'!$A:U,HLOOKUP('[1]Course Totals'!G$4,'[1]import success seats course'!$1:$2,2,FALSE),FALSE)/(VLOOKUP($A74,'[1]import graded seats course pivo'!$A:AE,HLOOKUP('[1]Course Totals'!G$4,'[1]import graded seats course pivo'!$1:$2,2,FALSE),FALSE))),"")</f>
        <v>1</v>
      </c>
      <c r="H74" s="14" t="str">
        <f>IFERROR((VLOOKUP($A74,'[1]import success seats course'!$A:V,HLOOKUP('[1]Course Totals'!H$4,'[1]import success seats course'!$1:$2,2,FALSE),FALSE)/(VLOOKUP($A74,'[1]import graded seats course pivo'!$A:AF,HLOOKUP('[1]Course Totals'!H$4,'[1]import graded seats course pivo'!$1:$2,2,FALSE),FALSE))),"")</f>
        <v/>
      </c>
      <c r="I74" s="14">
        <f>IFERROR((VLOOKUP($A74,'[1]import success seats course'!$A:W,HLOOKUP('[1]Course Totals'!I$4,'[1]import success seats course'!$1:$2,2,FALSE),FALSE)/(VLOOKUP($A74,'[1]import graded seats course pivo'!$A:AG,HLOOKUP('[1]Course Totals'!I$4,'[1]import graded seats course pivo'!$1:$2,2,FALSE),FALSE))),"")</f>
        <v>1</v>
      </c>
      <c r="J74" s="14">
        <f>IFERROR((VLOOKUP($A74,'[1]import success seats course'!$A:X,HLOOKUP('[1]Course Totals'!J$4,'[1]import success seats course'!$1:$2,2,FALSE),FALSE)/(VLOOKUP($A74,'[1]import graded seats course pivo'!$A:AH,HLOOKUP('[1]Course Totals'!J$4,'[1]import graded seats course pivo'!$1:$2,2,FALSE),FALSE))),"")</f>
        <v>0.33333333333333331</v>
      </c>
      <c r="K74" s="14" t="str">
        <f>IFERROR((VLOOKUP($A74,'[1]import success seats course'!$A:Y,HLOOKUP('[1]Course Totals'!K$4,'[1]import success seats course'!$1:$2,2,FALSE),FALSE)/(VLOOKUP($A74,'[1]import graded seats course pivo'!$A:AI,HLOOKUP('[1]Course Totals'!K$4,'[1]import graded seats course pivo'!$1:$2,2,FALSE),FALSE))),"")</f>
        <v/>
      </c>
      <c r="L74" s="14">
        <f>IFERROR((VLOOKUP($A74,'[1]import success seats course'!$A:Z,HLOOKUP('[1]Course Totals'!L$4,'[1]import success seats course'!$1:$2,2,FALSE),FALSE)/(VLOOKUP($A74,'[1]import graded seats course pivo'!$A:AJ,HLOOKUP('[1]Course Totals'!L$4,'[1]import graded seats course pivo'!$1:$2,2,FALSE),FALSE))),"")</f>
        <v>1</v>
      </c>
      <c r="M74" s="14">
        <f>IFERROR((VLOOKUP($A74,'[1]import success seats course'!$A:AA,HLOOKUP('[1]Course Totals'!M$4,'[1]import success seats course'!$1:$2,2,FALSE),FALSE)/(VLOOKUP($A74,'[1]import graded seats course pivo'!$A:AK,HLOOKUP('[1]Course Totals'!M$4,'[1]import graded seats course pivo'!$1:$2,2,FALSE),FALSE))),"")</f>
        <v>1</v>
      </c>
      <c r="N74" s="14" t="str">
        <f>IFERROR((VLOOKUP($A74,'[1]import success seats course'!$A:AB,HLOOKUP('[1]Course Totals'!N$4,'[1]import success seats course'!$1:$2,2,FALSE),FALSE)/(VLOOKUP($A74,'[1]import graded seats course pivo'!$A:AL,HLOOKUP('[1]Course Totals'!N$4,'[1]import graded seats course pivo'!$1:$2,2,FALSE),FALSE))),"")</f>
        <v/>
      </c>
      <c r="O74" s="14">
        <f>IFERROR((VLOOKUP($A74,'[1]import success seats course'!$A:AC,HLOOKUP('[1]Course Totals'!O$4,'[1]import success seats course'!$1:$2,2,FALSE),FALSE)/(VLOOKUP($A74,'[1]import graded seats course pivo'!$A:AM,HLOOKUP('[1]Course Totals'!O$4,'[1]import graded seats course pivo'!$1:$2,2,FALSE),FALSE))),"")</f>
        <v>1</v>
      </c>
      <c r="P74" s="14">
        <f>IFERROR((VLOOKUP($A74,'[1]import success seats course'!$A:AD,HLOOKUP('[1]Course Totals'!P$4,'[1]import success seats course'!$1:$2,2,FALSE),FALSE)/(VLOOKUP($A74,'[1]import graded seats course pivo'!$A:AN,HLOOKUP('[1]Course Totals'!P$4,'[1]import graded seats course pivo'!$1:$2,2,FALSE),FALSE))),"")</f>
        <v>1</v>
      </c>
      <c r="Q74" s="14" t="str">
        <f>IFERROR((VLOOKUP($A74,'[1]import success seats course'!$A:AE,HLOOKUP('[1]Course Totals'!Q$4,'[1]import success seats course'!$1:$2,2,FALSE),FALSE)/(VLOOKUP($A74,'[1]import graded seats course pivo'!$A:AO,HLOOKUP('[1]Course Totals'!Q$4,'[1]import graded seats course pivo'!$1:$2,2,FALSE),FALSE))),"")</f>
        <v/>
      </c>
      <c r="R74" s="14">
        <f>IFERROR((VLOOKUP($A74,'[1]import success seats course'!$A:AF,HLOOKUP('[1]Course Totals'!R$4,'[1]import success seats course'!$1:$2,2,FALSE),FALSE)/(VLOOKUP($A74,'[1]import graded seats course pivo'!$A:AP,HLOOKUP('[1]Course Totals'!R$4,'[1]import graded seats course pivo'!$1:$2,2,FALSE),FALSE))),"")</f>
        <v>1</v>
      </c>
      <c r="S74" s="14">
        <f>IFERROR((VLOOKUP($A74,'[1]import success seats course'!$A:AG,HLOOKUP('[1]Course Totals'!S$4,'[1]import success seats course'!$1:$2,2,FALSE),FALSE)/(VLOOKUP($A74,'[1]import graded seats course pivo'!$A:AQ,HLOOKUP('[1]Course Totals'!S$4,'[1]import graded seats course pivo'!$1:$2,2,FALSE),FALSE))),"")</f>
        <v>1</v>
      </c>
      <c r="Z74" s="7"/>
      <c r="AA74" s="7"/>
      <c r="AB74" s="7"/>
      <c r="AC74" s="7"/>
    </row>
    <row r="75" spans="1:29" ht="15.75" hidden="1" customHeight="1" x14ac:dyDescent="0.25">
      <c r="A75" s="12" t="s">
        <v>46</v>
      </c>
      <c r="B75" s="14" t="str">
        <f>IFERROR((VLOOKUP($A75,'[1]import success seats course'!$A:P,HLOOKUP('[1]Course Totals'!B$4,'[1]import success seats course'!$1:$2,2,FALSE),FALSE)/(VLOOKUP($A75,'[1]import graded seats course pivo'!$A:Z,HLOOKUP('[1]Course Totals'!B$4,'[1]import graded seats course pivo'!$1:$2,2,FALSE),FALSE))),"")</f>
        <v/>
      </c>
      <c r="C75" s="14" t="str">
        <f>IFERROR((VLOOKUP($A75,'[1]import success seats course'!$A:Q,HLOOKUP('[1]Course Totals'!C$4,'[1]import success seats course'!$1:$2,2,FALSE),FALSE)/(VLOOKUP($A75,'[1]import graded seats course pivo'!$A:AA,HLOOKUP('[1]Course Totals'!C$4,'[1]import graded seats course pivo'!$1:$2,2,FALSE),FALSE))),"")</f>
        <v/>
      </c>
      <c r="D75" s="14" t="str">
        <f>IFERROR((VLOOKUP($A75,'[1]import success seats course'!$A:R,HLOOKUP('[1]Course Totals'!D$4,'[1]import success seats course'!$1:$2,2,FALSE),FALSE)/(VLOOKUP($A75,'[1]import graded seats course pivo'!$A:AB,HLOOKUP('[1]Course Totals'!D$4,'[1]import graded seats course pivo'!$1:$2,2,FALSE),FALSE))),"")</f>
        <v/>
      </c>
      <c r="E75" s="14" t="str">
        <f>IFERROR((VLOOKUP($A75,'[1]import success seats course'!$A:S,HLOOKUP('[1]Course Totals'!E$4,'[1]import success seats course'!$1:$2,2,FALSE),FALSE)/(VLOOKUP($A75,'[1]import graded seats course pivo'!$A:AC,HLOOKUP('[1]Course Totals'!E$4,'[1]import graded seats course pivo'!$1:$2,2,FALSE),FALSE))),"")</f>
        <v/>
      </c>
      <c r="F75" s="14" t="str">
        <f>IFERROR((VLOOKUP($A75,'[1]import success seats course'!$A:T,HLOOKUP('[1]Course Totals'!F$4,'[1]import success seats course'!$1:$2,2,FALSE),FALSE)/(VLOOKUP($A75,'[1]import graded seats course pivo'!$A:AD,HLOOKUP('[1]Course Totals'!F$4,'[1]import graded seats course pivo'!$1:$2,2,FALSE),FALSE))),"")</f>
        <v/>
      </c>
      <c r="G75" s="14" t="str">
        <f>IFERROR((VLOOKUP($A75,'[1]import success seats course'!$A:U,HLOOKUP('[1]Course Totals'!G$4,'[1]import success seats course'!$1:$2,2,FALSE),FALSE)/(VLOOKUP($A75,'[1]import graded seats course pivo'!$A:AE,HLOOKUP('[1]Course Totals'!G$4,'[1]import graded seats course pivo'!$1:$2,2,FALSE),FALSE))),"")</f>
        <v/>
      </c>
      <c r="H75" s="14" t="str">
        <f>IFERROR((VLOOKUP($A75,'[1]import success seats course'!$A:V,HLOOKUP('[1]Course Totals'!H$4,'[1]import success seats course'!$1:$2,2,FALSE),FALSE)/(VLOOKUP($A75,'[1]import graded seats course pivo'!$A:AF,HLOOKUP('[1]Course Totals'!H$4,'[1]import graded seats course pivo'!$1:$2,2,FALSE),FALSE))),"")</f>
        <v/>
      </c>
      <c r="I75" s="14" t="str">
        <f>IFERROR((VLOOKUP($A75,'[1]import success seats course'!$A:W,HLOOKUP('[1]Course Totals'!I$4,'[1]import success seats course'!$1:$2,2,FALSE),FALSE)/(VLOOKUP($A75,'[1]import graded seats course pivo'!$A:AG,HLOOKUP('[1]Course Totals'!I$4,'[1]import graded seats course pivo'!$1:$2,2,FALSE),FALSE))),"")</f>
        <v/>
      </c>
      <c r="J75" s="14" t="str">
        <f>IFERROR((VLOOKUP($A75,'[1]import success seats course'!$A:X,HLOOKUP('[1]Course Totals'!J$4,'[1]import success seats course'!$1:$2,2,FALSE),FALSE)/(VLOOKUP($A75,'[1]import graded seats course pivo'!$A:AH,HLOOKUP('[1]Course Totals'!J$4,'[1]import graded seats course pivo'!$1:$2,2,FALSE),FALSE))),"")</f>
        <v/>
      </c>
      <c r="K75" s="14" t="str">
        <f>IFERROR((VLOOKUP($A75,'[1]import success seats course'!$A:Y,HLOOKUP('[1]Course Totals'!K$4,'[1]import success seats course'!$1:$2,2,FALSE),FALSE)/(VLOOKUP($A75,'[1]import graded seats course pivo'!$A:AI,HLOOKUP('[1]Course Totals'!K$4,'[1]import graded seats course pivo'!$1:$2,2,FALSE),FALSE))),"")</f>
        <v/>
      </c>
      <c r="L75" s="14" t="str">
        <f>IFERROR((VLOOKUP($A75,'[1]import success seats course'!$A:Z,HLOOKUP('[1]Course Totals'!L$4,'[1]import success seats course'!$1:$2,2,FALSE),FALSE)/(VLOOKUP($A75,'[1]import graded seats course pivo'!$A:AJ,HLOOKUP('[1]Course Totals'!L$4,'[1]import graded seats course pivo'!$1:$2,2,FALSE),FALSE))),"")</f>
        <v/>
      </c>
      <c r="M75" s="14" t="str">
        <f>IFERROR((VLOOKUP($A75,'[1]import success seats course'!$A:AA,HLOOKUP('[1]Course Totals'!M$4,'[1]import success seats course'!$1:$2,2,FALSE),FALSE)/(VLOOKUP($A75,'[1]import graded seats course pivo'!$A:AK,HLOOKUP('[1]Course Totals'!M$4,'[1]import graded seats course pivo'!$1:$2,2,FALSE),FALSE))),"")</f>
        <v/>
      </c>
      <c r="N75" s="14" t="str">
        <f>IFERROR((VLOOKUP($A75,'[1]import success seats course'!$A:AB,HLOOKUP('[1]Course Totals'!N$4,'[1]import success seats course'!$1:$2,2,FALSE),FALSE)/(VLOOKUP($A75,'[1]import graded seats course pivo'!$A:AL,HLOOKUP('[1]Course Totals'!N$4,'[1]import graded seats course pivo'!$1:$2,2,FALSE),FALSE))),"")</f>
        <v/>
      </c>
      <c r="O75" s="14" t="str">
        <f>IFERROR((VLOOKUP($A75,'[1]import success seats course'!$A:AC,HLOOKUP('[1]Course Totals'!O$4,'[1]import success seats course'!$1:$2,2,FALSE),FALSE)/(VLOOKUP($A75,'[1]import graded seats course pivo'!$A:AM,HLOOKUP('[1]Course Totals'!O$4,'[1]import graded seats course pivo'!$1:$2,2,FALSE),FALSE))),"")</f>
        <v/>
      </c>
      <c r="P75" s="14" t="str">
        <f>IFERROR((VLOOKUP($A75,'[1]import success seats course'!$A:AD,HLOOKUP('[1]Course Totals'!P$4,'[1]import success seats course'!$1:$2,2,FALSE),FALSE)/(VLOOKUP($A75,'[1]import graded seats course pivo'!$A:AN,HLOOKUP('[1]Course Totals'!P$4,'[1]import graded seats course pivo'!$1:$2,2,FALSE),FALSE))),"")</f>
        <v/>
      </c>
      <c r="Q75" s="14" t="str">
        <f>IFERROR((VLOOKUP($A75,'[1]import success seats course'!$A:AE,HLOOKUP('[1]Course Totals'!Q$4,'[1]import success seats course'!$1:$2,2,FALSE),FALSE)/(VLOOKUP($A75,'[1]import graded seats course pivo'!$A:AO,HLOOKUP('[1]Course Totals'!Q$4,'[1]import graded seats course pivo'!$1:$2,2,FALSE),FALSE))),"")</f>
        <v/>
      </c>
      <c r="R75" s="14" t="str">
        <f>IFERROR((VLOOKUP($A75,'[1]import success seats course'!$A:AF,HLOOKUP('[1]Course Totals'!R$4,'[1]import success seats course'!$1:$2,2,FALSE),FALSE)/(VLOOKUP($A75,'[1]import graded seats course pivo'!$A:AP,HLOOKUP('[1]Course Totals'!R$4,'[1]import graded seats course pivo'!$1:$2,2,FALSE),FALSE))),"")</f>
        <v/>
      </c>
      <c r="S75" s="14" t="str">
        <f>IFERROR((VLOOKUP($A75,'[1]import success seats course'!$A:AG,HLOOKUP('[1]Course Totals'!S$4,'[1]import success seats course'!$1:$2,2,FALSE),FALSE)/(VLOOKUP($A75,'[1]import graded seats course pivo'!$A:AQ,HLOOKUP('[1]Course Totals'!S$4,'[1]import graded seats course pivo'!$1:$2,2,FALSE),FALSE))),"")</f>
        <v/>
      </c>
      <c r="Z75" s="7"/>
      <c r="AA75" s="7"/>
      <c r="AB75" s="7"/>
      <c r="AC75" s="7"/>
    </row>
    <row r="76" spans="1:29" ht="15.75" customHeight="1" x14ac:dyDescent="0.25">
      <c r="A76" s="12" t="s">
        <v>47</v>
      </c>
      <c r="B76" s="14" t="str">
        <f>IFERROR((VLOOKUP($A76,'[1]import success seats course'!$A:P,HLOOKUP('[1]Course Totals'!B$4,'[1]import success seats course'!$1:$2,2,FALSE),FALSE)/(VLOOKUP($A76,'[1]import graded seats course pivo'!$A:Z,HLOOKUP('[1]Course Totals'!B$4,'[1]import graded seats course pivo'!$1:$2,2,FALSE),FALSE))),"")</f>
        <v/>
      </c>
      <c r="C76" s="14">
        <f>IFERROR((VLOOKUP($A76,'[1]import success seats course'!$A:Q,HLOOKUP('[1]Course Totals'!C$4,'[1]import success seats course'!$1:$2,2,FALSE),FALSE)/(VLOOKUP($A76,'[1]import graded seats course pivo'!$A:AA,HLOOKUP('[1]Course Totals'!C$4,'[1]import graded seats course pivo'!$1:$2,2,FALSE),FALSE))),"")</f>
        <v>0.83333333333333337</v>
      </c>
      <c r="D76" s="14">
        <f>IFERROR((VLOOKUP($A76,'[1]import success seats course'!$A:R,HLOOKUP('[1]Course Totals'!D$4,'[1]import success seats course'!$1:$2,2,FALSE),FALSE)/(VLOOKUP($A76,'[1]import graded seats course pivo'!$A:AB,HLOOKUP('[1]Course Totals'!D$4,'[1]import graded seats course pivo'!$1:$2,2,FALSE),FALSE))),"")</f>
        <v>0.83333333333333337</v>
      </c>
      <c r="E76" s="14" t="str">
        <f>IFERROR((VLOOKUP($A76,'[1]import success seats course'!$A:S,HLOOKUP('[1]Course Totals'!E$4,'[1]import success seats course'!$1:$2,2,FALSE),FALSE)/(VLOOKUP($A76,'[1]import graded seats course pivo'!$A:AC,HLOOKUP('[1]Course Totals'!E$4,'[1]import graded seats course pivo'!$1:$2,2,FALSE),FALSE))),"")</f>
        <v/>
      </c>
      <c r="F76" s="14">
        <f>IFERROR((VLOOKUP($A76,'[1]import success seats course'!$A:T,HLOOKUP('[1]Course Totals'!F$4,'[1]import success seats course'!$1:$2,2,FALSE),FALSE)/(VLOOKUP($A76,'[1]import graded seats course pivo'!$A:AD,HLOOKUP('[1]Course Totals'!F$4,'[1]import graded seats course pivo'!$1:$2,2,FALSE),FALSE))),"")</f>
        <v>0.91666666666666663</v>
      </c>
      <c r="G76" s="14" t="str">
        <f>IFERROR((VLOOKUP($A76,'[1]import success seats course'!$A:U,HLOOKUP('[1]Course Totals'!G$4,'[1]import success seats course'!$1:$2,2,FALSE),FALSE)/(VLOOKUP($A76,'[1]import graded seats course pivo'!$A:AE,HLOOKUP('[1]Course Totals'!G$4,'[1]import graded seats course pivo'!$1:$2,2,FALSE),FALSE))),"")</f>
        <v/>
      </c>
      <c r="H76" s="14" t="str">
        <f>IFERROR((VLOOKUP($A76,'[1]import success seats course'!$A:V,HLOOKUP('[1]Course Totals'!H$4,'[1]import success seats course'!$1:$2,2,FALSE),FALSE)/(VLOOKUP($A76,'[1]import graded seats course pivo'!$A:AF,HLOOKUP('[1]Course Totals'!H$4,'[1]import graded seats course pivo'!$1:$2,2,FALSE),FALSE))),"")</f>
        <v/>
      </c>
      <c r="I76" s="14">
        <f>IFERROR((VLOOKUP($A76,'[1]import success seats course'!$A:W,HLOOKUP('[1]Course Totals'!I$4,'[1]import success seats course'!$1:$2,2,FALSE),FALSE)/(VLOOKUP($A76,'[1]import graded seats course pivo'!$A:AG,HLOOKUP('[1]Course Totals'!I$4,'[1]import graded seats course pivo'!$1:$2,2,FALSE),FALSE))),"")</f>
        <v>0.875</v>
      </c>
      <c r="J76" s="14" t="str">
        <f>IFERROR((VLOOKUP($A76,'[1]import success seats course'!$A:X,HLOOKUP('[1]Course Totals'!J$4,'[1]import success seats course'!$1:$2,2,FALSE),FALSE)/(VLOOKUP($A76,'[1]import graded seats course pivo'!$A:AH,HLOOKUP('[1]Course Totals'!J$4,'[1]import graded seats course pivo'!$1:$2,2,FALSE),FALSE))),"")</f>
        <v/>
      </c>
      <c r="K76" s="14" t="str">
        <f>IFERROR((VLOOKUP($A76,'[1]import success seats course'!$A:Y,HLOOKUP('[1]Course Totals'!K$4,'[1]import success seats course'!$1:$2,2,FALSE),FALSE)/(VLOOKUP($A76,'[1]import graded seats course pivo'!$A:AI,HLOOKUP('[1]Course Totals'!K$4,'[1]import graded seats course pivo'!$1:$2,2,FALSE),FALSE))),"")</f>
        <v/>
      </c>
      <c r="L76" s="14">
        <f>IFERROR((VLOOKUP($A76,'[1]import success seats course'!$A:Z,HLOOKUP('[1]Course Totals'!L$4,'[1]import success seats course'!$1:$2,2,FALSE),FALSE)/(VLOOKUP($A76,'[1]import graded seats course pivo'!$A:AJ,HLOOKUP('[1]Course Totals'!L$4,'[1]import graded seats course pivo'!$1:$2,2,FALSE),FALSE))),"")</f>
        <v>0.95238095238095233</v>
      </c>
      <c r="M76" s="14" t="str">
        <f>IFERROR((VLOOKUP($A76,'[1]import success seats course'!$A:AA,HLOOKUP('[1]Course Totals'!M$4,'[1]import success seats course'!$1:$2,2,FALSE),FALSE)/(VLOOKUP($A76,'[1]import graded seats course pivo'!$A:AK,HLOOKUP('[1]Course Totals'!M$4,'[1]import graded seats course pivo'!$1:$2,2,FALSE),FALSE))),"")</f>
        <v/>
      </c>
      <c r="N76" s="14" t="str">
        <f>IFERROR((VLOOKUP($A76,'[1]import success seats course'!$A:AB,HLOOKUP('[1]Course Totals'!N$4,'[1]import success seats course'!$1:$2,2,FALSE),FALSE)/(VLOOKUP($A76,'[1]import graded seats course pivo'!$A:AL,HLOOKUP('[1]Course Totals'!N$4,'[1]import graded seats course pivo'!$1:$2,2,FALSE),FALSE))),"")</f>
        <v/>
      </c>
      <c r="O76" s="14">
        <f>IFERROR((VLOOKUP($A76,'[1]import success seats course'!$A:AC,HLOOKUP('[1]Course Totals'!O$4,'[1]import success seats course'!$1:$2,2,FALSE),FALSE)/(VLOOKUP($A76,'[1]import graded seats course pivo'!$A:AM,HLOOKUP('[1]Course Totals'!O$4,'[1]import graded seats course pivo'!$1:$2,2,FALSE),FALSE))),"")</f>
        <v>0.71794871794871795</v>
      </c>
      <c r="P76" s="14" t="str">
        <f>IFERROR((VLOOKUP($A76,'[1]import success seats course'!$A:AD,HLOOKUP('[1]Course Totals'!P$4,'[1]import success seats course'!$1:$2,2,FALSE),FALSE)/(VLOOKUP($A76,'[1]import graded seats course pivo'!$A:AN,HLOOKUP('[1]Course Totals'!P$4,'[1]import graded seats course pivo'!$1:$2,2,FALSE),FALSE))),"")</f>
        <v/>
      </c>
      <c r="Q76" s="14" t="str">
        <f>IFERROR((VLOOKUP($A76,'[1]import success seats course'!$A:AE,HLOOKUP('[1]Course Totals'!Q$4,'[1]import success seats course'!$1:$2,2,FALSE),FALSE)/(VLOOKUP($A76,'[1]import graded seats course pivo'!$A:AO,HLOOKUP('[1]Course Totals'!Q$4,'[1]import graded seats course pivo'!$1:$2,2,FALSE),FALSE))),"")</f>
        <v/>
      </c>
      <c r="R76" s="14">
        <f>IFERROR((VLOOKUP($A76,'[1]import success seats course'!$A:AF,HLOOKUP('[1]Course Totals'!R$4,'[1]import success seats course'!$1:$2,2,FALSE),FALSE)/(VLOOKUP($A76,'[1]import graded seats course pivo'!$A:AP,HLOOKUP('[1]Course Totals'!R$4,'[1]import graded seats course pivo'!$1:$2,2,FALSE),FALSE))),"")</f>
        <v>0.87804878048780488</v>
      </c>
      <c r="S76" s="14" t="str">
        <f>IFERROR((VLOOKUP($A76,'[1]import success seats course'!$A:AG,HLOOKUP('[1]Course Totals'!S$4,'[1]import success seats course'!$1:$2,2,FALSE),FALSE)/(VLOOKUP($A76,'[1]import graded seats course pivo'!$A:AQ,HLOOKUP('[1]Course Totals'!S$4,'[1]import graded seats course pivo'!$1:$2,2,FALSE),FALSE))),"")</f>
        <v/>
      </c>
      <c r="Z76" s="7"/>
      <c r="AA76" s="7"/>
      <c r="AB76" s="7"/>
      <c r="AC76" s="7"/>
    </row>
    <row r="77" spans="1:29" ht="15.75" customHeight="1" x14ac:dyDescent="0.25">
      <c r="A77" s="12" t="s">
        <v>48</v>
      </c>
      <c r="B77" s="14" t="str">
        <f>IFERROR((VLOOKUP($A77,'[1]import success seats course'!$A:P,HLOOKUP('[1]Course Totals'!B$4,'[1]import success seats course'!$1:$2,2,FALSE),FALSE)/(VLOOKUP($A77,'[1]import graded seats course pivo'!$A:Z,HLOOKUP('[1]Course Totals'!B$4,'[1]import graded seats course pivo'!$1:$2,2,FALSE),FALSE))),"")</f>
        <v/>
      </c>
      <c r="C77" s="14">
        <f>IFERROR((VLOOKUP($A77,'[1]import success seats course'!$A:Q,HLOOKUP('[1]Course Totals'!C$4,'[1]import success seats course'!$1:$2,2,FALSE),FALSE)/(VLOOKUP($A77,'[1]import graded seats course pivo'!$A:AA,HLOOKUP('[1]Course Totals'!C$4,'[1]import graded seats course pivo'!$1:$2,2,FALSE),FALSE))),"")</f>
        <v>0.8</v>
      </c>
      <c r="D77" s="14" t="str">
        <f>IFERROR((VLOOKUP($A77,'[1]import success seats course'!$A:R,HLOOKUP('[1]Course Totals'!D$4,'[1]import success seats course'!$1:$2,2,FALSE),FALSE)/(VLOOKUP($A77,'[1]import graded seats course pivo'!$A:AB,HLOOKUP('[1]Course Totals'!D$4,'[1]import graded seats course pivo'!$1:$2,2,FALSE),FALSE))),"")</f>
        <v/>
      </c>
      <c r="E77" s="14" t="str">
        <f>IFERROR((VLOOKUP($A77,'[1]import success seats course'!$A:S,HLOOKUP('[1]Course Totals'!E$4,'[1]import success seats course'!$1:$2,2,FALSE),FALSE)/(VLOOKUP($A77,'[1]import graded seats course pivo'!$A:AC,HLOOKUP('[1]Course Totals'!E$4,'[1]import graded seats course pivo'!$1:$2,2,FALSE),FALSE))),"")</f>
        <v/>
      </c>
      <c r="F77" s="14" t="str">
        <f>IFERROR((VLOOKUP($A77,'[1]import success seats course'!$A:T,HLOOKUP('[1]Course Totals'!F$4,'[1]import success seats course'!$1:$2,2,FALSE),FALSE)/(VLOOKUP($A77,'[1]import graded seats course pivo'!$A:AD,HLOOKUP('[1]Course Totals'!F$4,'[1]import graded seats course pivo'!$1:$2,2,FALSE),FALSE))),"")</f>
        <v/>
      </c>
      <c r="G77" s="14" t="str">
        <f>IFERROR((VLOOKUP($A77,'[1]import success seats course'!$A:U,HLOOKUP('[1]Course Totals'!G$4,'[1]import success seats course'!$1:$2,2,FALSE),FALSE)/(VLOOKUP($A77,'[1]import graded seats course pivo'!$A:AE,HLOOKUP('[1]Course Totals'!G$4,'[1]import graded seats course pivo'!$1:$2,2,FALSE),FALSE))),"")</f>
        <v/>
      </c>
      <c r="H77" s="14" t="str">
        <f>IFERROR((VLOOKUP($A77,'[1]import success seats course'!$A:V,HLOOKUP('[1]Course Totals'!H$4,'[1]import success seats course'!$1:$2,2,FALSE),FALSE)/(VLOOKUP($A77,'[1]import graded seats course pivo'!$A:AF,HLOOKUP('[1]Course Totals'!H$4,'[1]import graded seats course pivo'!$1:$2,2,FALSE),FALSE))),"")</f>
        <v/>
      </c>
      <c r="I77" s="14">
        <f>IFERROR((VLOOKUP($A77,'[1]import success seats course'!$A:W,HLOOKUP('[1]Course Totals'!I$4,'[1]import success seats course'!$1:$2,2,FALSE),FALSE)/(VLOOKUP($A77,'[1]import graded seats course pivo'!$A:AG,HLOOKUP('[1]Course Totals'!I$4,'[1]import graded seats course pivo'!$1:$2,2,FALSE),FALSE))),"")</f>
        <v>1</v>
      </c>
      <c r="J77" s="14" t="str">
        <f>IFERROR((VLOOKUP($A77,'[1]import success seats course'!$A:X,HLOOKUP('[1]Course Totals'!J$4,'[1]import success seats course'!$1:$2,2,FALSE),FALSE)/(VLOOKUP($A77,'[1]import graded seats course pivo'!$A:AH,HLOOKUP('[1]Course Totals'!J$4,'[1]import graded seats course pivo'!$1:$2,2,FALSE),FALSE))),"")</f>
        <v/>
      </c>
      <c r="K77" s="14" t="str">
        <f>IFERROR((VLOOKUP($A77,'[1]import success seats course'!$A:Y,HLOOKUP('[1]Course Totals'!K$4,'[1]import success seats course'!$1:$2,2,FALSE),FALSE)/(VLOOKUP($A77,'[1]import graded seats course pivo'!$A:AI,HLOOKUP('[1]Course Totals'!K$4,'[1]import graded seats course pivo'!$1:$2,2,FALSE),FALSE))),"")</f>
        <v/>
      </c>
      <c r="L77" s="14" t="str">
        <f>IFERROR((VLOOKUP($A77,'[1]import success seats course'!$A:Z,HLOOKUP('[1]Course Totals'!L$4,'[1]import success seats course'!$1:$2,2,FALSE),FALSE)/(VLOOKUP($A77,'[1]import graded seats course pivo'!$A:AJ,HLOOKUP('[1]Course Totals'!L$4,'[1]import graded seats course pivo'!$1:$2,2,FALSE),FALSE))),"")</f>
        <v/>
      </c>
      <c r="M77" s="14" t="str">
        <f>IFERROR((VLOOKUP($A77,'[1]import success seats course'!$A:AA,HLOOKUP('[1]Course Totals'!M$4,'[1]import success seats course'!$1:$2,2,FALSE),FALSE)/(VLOOKUP($A77,'[1]import graded seats course pivo'!$A:AK,HLOOKUP('[1]Course Totals'!M$4,'[1]import graded seats course pivo'!$1:$2,2,FALSE),FALSE))),"")</f>
        <v/>
      </c>
      <c r="N77" s="14" t="str">
        <f>IFERROR((VLOOKUP($A77,'[1]import success seats course'!$A:AB,HLOOKUP('[1]Course Totals'!N$4,'[1]import success seats course'!$1:$2,2,FALSE),FALSE)/(VLOOKUP($A77,'[1]import graded seats course pivo'!$A:AL,HLOOKUP('[1]Course Totals'!N$4,'[1]import graded seats course pivo'!$1:$2,2,FALSE),FALSE))),"")</f>
        <v/>
      </c>
      <c r="O77" s="14">
        <f>IFERROR((VLOOKUP($A77,'[1]import success seats course'!$A:AC,HLOOKUP('[1]Course Totals'!O$4,'[1]import success seats course'!$1:$2,2,FALSE),FALSE)/(VLOOKUP($A77,'[1]import graded seats course pivo'!$A:AM,HLOOKUP('[1]Course Totals'!O$4,'[1]import graded seats course pivo'!$1:$2,2,FALSE),FALSE))),"")</f>
        <v>1</v>
      </c>
      <c r="P77" s="14" t="str">
        <f>IFERROR((VLOOKUP($A77,'[1]import success seats course'!$A:AD,HLOOKUP('[1]Course Totals'!P$4,'[1]import success seats course'!$1:$2,2,FALSE),FALSE)/(VLOOKUP($A77,'[1]import graded seats course pivo'!$A:AN,HLOOKUP('[1]Course Totals'!P$4,'[1]import graded seats course pivo'!$1:$2,2,FALSE),FALSE))),"")</f>
        <v/>
      </c>
      <c r="Q77" s="14" t="str">
        <f>IFERROR((VLOOKUP($A77,'[1]import success seats course'!$A:AE,HLOOKUP('[1]Course Totals'!Q$4,'[1]import success seats course'!$1:$2,2,FALSE),FALSE)/(VLOOKUP($A77,'[1]import graded seats course pivo'!$A:AO,HLOOKUP('[1]Course Totals'!Q$4,'[1]import graded seats course pivo'!$1:$2,2,FALSE),FALSE))),"")</f>
        <v/>
      </c>
      <c r="R77" s="14" t="str">
        <f>IFERROR((VLOOKUP($A77,'[1]import success seats course'!$A:AF,HLOOKUP('[1]Course Totals'!R$4,'[1]import success seats course'!$1:$2,2,FALSE),FALSE)/(VLOOKUP($A77,'[1]import graded seats course pivo'!$A:AP,HLOOKUP('[1]Course Totals'!R$4,'[1]import graded seats course pivo'!$1:$2,2,FALSE),FALSE))),"")</f>
        <v/>
      </c>
      <c r="S77" s="14" t="str">
        <f>IFERROR((VLOOKUP($A77,'[1]import success seats course'!$A:AG,HLOOKUP('[1]Course Totals'!S$4,'[1]import success seats course'!$1:$2,2,FALSE),FALSE)/(VLOOKUP($A77,'[1]import graded seats course pivo'!$A:AQ,HLOOKUP('[1]Course Totals'!S$4,'[1]import graded seats course pivo'!$1:$2,2,FALSE),FALSE))),"")</f>
        <v/>
      </c>
      <c r="Z77" s="7"/>
      <c r="AA77" s="7"/>
      <c r="AB77" s="7"/>
      <c r="AC77" s="7"/>
    </row>
    <row r="78" spans="1:29" ht="15.75" customHeight="1" x14ac:dyDescent="0.25">
      <c r="A78" s="12" t="s">
        <v>49</v>
      </c>
      <c r="B78" s="14" t="str">
        <f>IFERROR((VLOOKUP($A78,'[1]import success seats course'!$A:P,HLOOKUP('[1]Course Totals'!B$4,'[1]import success seats course'!$1:$2,2,FALSE),FALSE)/(VLOOKUP($A78,'[1]import graded seats course pivo'!$A:Z,HLOOKUP('[1]Course Totals'!B$4,'[1]import graded seats course pivo'!$1:$2,2,FALSE),FALSE))),"")</f>
        <v/>
      </c>
      <c r="C78" s="14">
        <f>IFERROR((VLOOKUP($A78,'[1]import success seats course'!$A:Q,HLOOKUP('[1]Course Totals'!C$4,'[1]import success seats course'!$1:$2,2,FALSE),FALSE)/(VLOOKUP($A78,'[1]import graded seats course pivo'!$A:AA,HLOOKUP('[1]Course Totals'!C$4,'[1]import graded seats course pivo'!$1:$2,2,FALSE),FALSE))),"")</f>
        <v>0.84615384615384615</v>
      </c>
      <c r="D78" s="14">
        <f>IFERROR((VLOOKUP($A78,'[1]import success seats course'!$A:R,HLOOKUP('[1]Course Totals'!D$4,'[1]import success seats course'!$1:$2,2,FALSE),FALSE)/(VLOOKUP($A78,'[1]import graded seats course pivo'!$A:AB,HLOOKUP('[1]Course Totals'!D$4,'[1]import graded seats course pivo'!$1:$2,2,FALSE),FALSE))),"")</f>
        <v>0.92</v>
      </c>
      <c r="E78" s="14" t="str">
        <f>IFERROR((VLOOKUP($A78,'[1]import success seats course'!$A:S,HLOOKUP('[1]Course Totals'!E$4,'[1]import success seats course'!$1:$2,2,FALSE),FALSE)/(VLOOKUP($A78,'[1]import graded seats course pivo'!$A:AC,HLOOKUP('[1]Course Totals'!E$4,'[1]import graded seats course pivo'!$1:$2,2,FALSE),FALSE))),"")</f>
        <v/>
      </c>
      <c r="F78" s="14" t="str">
        <f>IFERROR((VLOOKUP($A78,'[1]import success seats course'!$A:T,HLOOKUP('[1]Course Totals'!F$4,'[1]import success seats course'!$1:$2,2,FALSE),FALSE)/(VLOOKUP($A78,'[1]import graded seats course pivo'!$A:AD,HLOOKUP('[1]Course Totals'!F$4,'[1]import graded seats course pivo'!$1:$2,2,FALSE),FALSE))),"")</f>
        <v/>
      </c>
      <c r="G78" s="14">
        <f>IFERROR((VLOOKUP($A78,'[1]import success seats course'!$A:U,HLOOKUP('[1]Course Totals'!G$4,'[1]import success seats course'!$1:$2,2,FALSE),FALSE)/(VLOOKUP($A78,'[1]import graded seats course pivo'!$A:AE,HLOOKUP('[1]Course Totals'!G$4,'[1]import graded seats course pivo'!$1:$2,2,FALSE),FALSE))),"")</f>
        <v>0.875</v>
      </c>
      <c r="H78" s="14" t="str">
        <f>IFERROR((VLOOKUP($A78,'[1]import success seats course'!$A:V,HLOOKUP('[1]Course Totals'!H$4,'[1]import success seats course'!$1:$2,2,FALSE),FALSE)/(VLOOKUP($A78,'[1]import graded seats course pivo'!$A:AF,HLOOKUP('[1]Course Totals'!H$4,'[1]import graded seats course pivo'!$1:$2,2,FALSE),FALSE))),"")</f>
        <v/>
      </c>
      <c r="I78" s="14" t="str">
        <f>IFERROR((VLOOKUP($A78,'[1]import success seats course'!$A:W,HLOOKUP('[1]Course Totals'!I$4,'[1]import success seats course'!$1:$2,2,FALSE),FALSE)/(VLOOKUP($A78,'[1]import graded seats course pivo'!$A:AG,HLOOKUP('[1]Course Totals'!I$4,'[1]import graded seats course pivo'!$1:$2,2,FALSE),FALSE))),"")</f>
        <v/>
      </c>
      <c r="J78" s="14">
        <f>IFERROR((VLOOKUP($A78,'[1]import success seats course'!$A:X,HLOOKUP('[1]Course Totals'!J$4,'[1]import success seats course'!$1:$2,2,FALSE),FALSE)/(VLOOKUP($A78,'[1]import graded seats course pivo'!$A:AH,HLOOKUP('[1]Course Totals'!J$4,'[1]import graded seats course pivo'!$1:$2,2,FALSE),FALSE))),"")</f>
        <v>0.9</v>
      </c>
      <c r="K78" s="14" t="str">
        <f>IFERROR((VLOOKUP($A78,'[1]import success seats course'!$A:Y,HLOOKUP('[1]Course Totals'!K$4,'[1]import success seats course'!$1:$2,2,FALSE),FALSE)/(VLOOKUP($A78,'[1]import graded seats course pivo'!$A:AI,HLOOKUP('[1]Course Totals'!K$4,'[1]import graded seats course pivo'!$1:$2,2,FALSE),FALSE))),"")</f>
        <v/>
      </c>
      <c r="L78" s="14" t="str">
        <f>IFERROR((VLOOKUP($A78,'[1]import success seats course'!$A:Z,HLOOKUP('[1]Course Totals'!L$4,'[1]import success seats course'!$1:$2,2,FALSE),FALSE)/(VLOOKUP($A78,'[1]import graded seats course pivo'!$A:AJ,HLOOKUP('[1]Course Totals'!L$4,'[1]import graded seats course pivo'!$1:$2,2,FALSE),FALSE))),"")</f>
        <v/>
      </c>
      <c r="M78" s="14">
        <f>IFERROR((VLOOKUP($A78,'[1]import success seats course'!$A:AA,HLOOKUP('[1]Course Totals'!M$4,'[1]import success seats course'!$1:$2,2,FALSE),FALSE)/(VLOOKUP($A78,'[1]import graded seats course pivo'!$A:AK,HLOOKUP('[1]Course Totals'!M$4,'[1]import graded seats course pivo'!$1:$2,2,FALSE),FALSE))),"")</f>
        <v>0.88372093023255816</v>
      </c>
      <c r="N78" s="14" t="str">
        <f>IFERROR((VLOOKUP($A78,'[1]import success seats course'!$A:AB,HLOOKUP('[1]Course Totals'!N$4,'[1]import success seats course'!$1:$2,2,FALSE),FALSE)/(VLOOKUP($A78,'[1]import graded seats course pivo'!$A:AL,HLOOKUP('[1]Course Totals'!N$4,'[1]import graded seats course pivo'!$1:$2,2,FALSE),FALSE))),"")</f>
        <v/>
      </c>
      <c r="O78" s="14" t="str">
        <f>IFERROR((VLOOKUP($A78,'[1]import success seats course'!$A:AC,HLOOKUP('[1]Course Totals'!O$4,'[1]import success seats course'!$1:$2,2,FALSE),FALSE)/(VLOOKUP($A78,'[1]import graded seats course pivo'!$A:AM,HLOOKUP('[1]Course Totals'!O$4,'[1]import graded seats course pivo'!$1:$2,2,FALSE),FALSE))),"")</f>
        <v/>
      </c>
      <c r="P78" s="14">
        <f>IFERROR((VLOOKUP($A78,'[1]import success seats course'!$A:AD,HLOOKUP('[1]Course Totals'!P$4,'[1]import success seats course'!$1:$2,2,FALSE),FALSE)/(VLOOKUP($A78,'[1]import graded seats course pivo'!$A:AN,HLOOKUP('[1]Course Totals'!P$4,'[1]import graded seats course pivo'!$1:$2,2,FALSE),FALSE))),"")</f>
        <v>0.8</v>
      </c>
      <c r="Q78" s="14" t="str">
        <f>IFERROR((VLOOKUP($A78,'[1]import success seats course'!$A:AE,HLOOKUP('[1]Course Totals'!Q$4,'[1]import success seats course'!$1:$2,2,FALSE),FALSE)/(VLOOKUP($A78,'[1]import graded seats course pivo'!$A:AO,HLOOKUP('[1]Course Totals'!Q$4,'[1]import graded seats course pivo'!$1:$2,2,FALSE),FALSE))),"")</f>
        <v/>
      </c>
      <c r="R78" s="14" t="str">
        <f>IFERROR((VLOOKUP($A78,'[1]import success seats course'!$A:AF,HLOOKUP('[1]Course Totals'!R$4,'[1]import success seats course'!$1:$2,2,FALSE),FALSE)/(VLOOKUP($A78,'[1]import graded seats course pivo'!$A:AP,HLOOKUP('[1]Course Totals'!R$4,'[1]import graded seats course pivo'!$1:$2,2,FALSE),FALSE))),"")</f>
        <v/>
      </c>
      <c r="S78" s="14">
        <f>IFERROR((VLOOKUP($A78,'[1]import success seats course'!$A:AG,HLOOKUP('[1]Course Totals'!S$4,'[1]import success seats course'!$1:$2,2,FALSE),FALSE)/(VLOOKUP($A78,'[1]import graded seats course pivo'!$A:AQ,HLOOKUP('[1]Course Totals'!S$4,'[1]import graded seats course pivo'!$1:$2,2,FALSE),FALSE))),"")</f>
        <v>0.95121951219512191</v>
      </c>
      <c r="Z78" s="7"/>
      <c r="AA78" s="7"/>
      <c r="AB78" s="7"/>
      <c r="AC78" s="7"/>
    </row>
    <row r="79" spans="1:29" ht="15.75" customHeight="1" x14ac:dyDescent="0.25">
      <c r="A79" s="12" t="s">
        <v>50</v>
      </c>
      <c r="B79" s="14" t="str">
        <f>IFERROR((VLOOKUP($A79,'[1]import success seats course'!$A:P,HLOOKUP('[1]Course Totals'!B$4,'[1]import success seats course'!$1:$2,2,FALSE),FALSE)/(VLOOKUP($A79,'[1]import graded seats course pivo'!$A:Z,HLOOKUP('[1]Course Totals'!B$4,'[1]import graded seats course pivo'!$1:$2,2,FALSE),FALSE))),"")</f>
        <v/>
      </c>
      <c r="C79" s="14">
        <f>IFERROR((VLOOKUP($A79,'[1]import success seats course'!$A:Q,HLOOKUP('[1]Course Totals'!C$4,'[1]import success seats course'!$1:$2,2,FALSE),FALSE)/(VLOOKUP($A79,'[1]import graded seats course pivo'!$A:AA,HLOOKUP('[1]Course Totals'!C$4,'[1]import graded seats course pivo'!$1:$2,2,FALSE),FALSE))),"")</f>
        <v>0.86111111111111116</v>
      </c>
      <c r="D79" s="14">
        <f>IFERROR((VLOOKUP($A79,'[1]import success seats course'!$A:R,HLOOKUP('[1]Course Totals'!D$4,'[1]import success seats course'!$1:$2,2,FALSE),FALSE)/(VLOOKUP($A79,'[1]import graded seats course pivo'!$A:AB,HLOOKUP('[1]Course Totals'!D$4,'[1]import graded seats course pivo'!$1:$2,2,FALSE),FALSE))),"")</f>
        <v>0.94444444444444442</v>
      </c>
      <c r="E79" s="14">
        <f>IFERROR((VLOOKUP($A79,'[1]import success seats course'!$A:S,HLOOKUP('[1]Course Totals'!E$4,'[1]import success seats course'!$1:$2,2,FALSE),FALSE)/(VLOOKUP($A79,'[1]import graded seats course pivo'!$A:AC,HLOOKUP('[1]Course Totals'!E$4,'[1]import graded seats course pivo'!$1:$2,2,FALSE),FALSE))),"")</f>
        <v>0.75</v>
      </c>
      <c r="F79" s="14">
        <f>IFERROR((VLOOKUP($A79,'[1]import success seats course'!$A:T,HLOOKUP('[1]Course Totals'!F$4,'[1]import success seats course'!$1:$2,2,FALSE),FALSE)/(VLOOKUP($A79,'[1]import graded seats course pivo'!$A:AD,HLOOKUP('[1]Course Totals'!F$4,'[1]import graded seats course pivo'!$1:$2,2,FALSE),FALSE))),"")</f>
        <v>0.94117647058823528</v>
      </c>
      <c r="G79" s="14">
        <f>IFERROR((VLOOKUP($A79,'[1]import success seats course'!$A:U,HLOOKUP('[1]Course Totals'!G$4,'[1]import success seats course'!$1:$2,2,FALSE),FALSE)/(VLOOKUP($A79,'[1]import graded seats course pivo'!$A:AE,HLOOKUP('[1]Course Totals'!G$4,'[1]import graded seats course pivo'!$1:$2,2,FALSE),FALSE))),"")</f>
        <v>0.86206896551724133</v>
      </c>
      <c r="H79" s="14" t="str">
        <f>IFERROR((VLOOKUP($A79,'[1]import success seats course'!$A:V,HLOOKUP('[1]Course Totals'!H$4,'[1]import success seats course'!$1:$2,2,FALSE),FALSE)/(VLOOKUP($A79,'[1]import graded seats course pivo'!$A:AF,HLOOKUP('[1]Course Totals'!H$4,'[1]import graded seats course pivo'!$1:$2,2,FALSE),FALSE))),"")</f>
        <v/>
      </c>
      <c r="I79" s="14">
        <f>IFERROR((VLOOKUP($A79,'[1]import success seats course'!$A:W,HLOOKUP('[1]Course Totals'!I$4,'[1]import success seats course'!$1:$2,2,FALSE),FALSE)/(VLOOKUP($A79,'[1]import graded seats course pivo'!$A:AG,HLOOKUP('[1]Course Totals'!I$4,'[1]import graded seats course pivo'!$1:$2,2,FALSE),FALSE))),"")</f>
        <v>0.94</v>
      </c>
      <c r="J79" s="14">
        <f>IFERROR((VLOOKUP($A79,'[1]import success seats course'!$A:X,HLOOKUP('[1]Course Totals'!J$4,'[1]import success seats course'!$1:$2,2,FALSE),FALSE)/(VLOOKUP($A79,'[1]import graded seats course pivo'!$A:AH,HLOOKUP('[1]Course Totals'!J$4,'[1]import graded seats course pivo'!$1:$2,2,FALSE),FALSE))),"")</f>
        <v>0.92592592592592593</v>
      </c>
      <c r="K79" s="14" t="str">
        <f>IFERROR((VLOOKUP($A79,'[1]import success seats course'!$A:Y,HLOOKUP('[1]Course Totals'!K$4,'[1]import success seats course'!$1:$2,2,FALSE),FALSE)/(VLOOKUP($A79,'[1]import graded seats course pivo'!$A:AI,HLOOKUP('[1]Course Totals'!K$4,'[1]import graded seats course pivo'!$1:$2,2,FALSE),FALSE))),"")</f>
        <v/>
      </c>
      <c r="L79" s="14">
        <f>IFERROR((VLOOKUP($A79,'[1]import success seats course'!$A:Z,HLOOKUP('[1]Course Totals'!L$4,'[1]import success seats course'!$1:$2,2,FALSE),FALSE)/(VLOOKUP($A79,'[1]import graded seats course pivo'!$A:AJ,HLOOKUP('[1]Course Totals'!L$4,'[1]import graded seats course pivo'!$1:$2,2,FALSE),FALSE))),"")</f>
        <v>0.93333333333333335</v>
      </c>
      <c r="M79" s="14">
        <f>IFERROR((VLOOKUP($A79,'[1]import success seats course'!$A:AA,HLOOKUP('[1]Course Totals'!M$4,'[1]import success seats course'!$1:$2,2,FALSE),FALSE)/(VLOOKUP($A79,'[1]import graded seats course pivo'!$A:AK,HLOOKUP('[1]Course Totals'!M$4,'[1]import graded seats course pivo'!$1:$2,2,FALSE),FALSE))),"")</f>
        <v>0.8928571428571429</v>
      </c>
      <c r="N79" s="14" t="str">
        <f>IFERROR((VLOOKUP($A79,'[1]import success seats course'!$A:AB,HLOOKUP('[1]Course Totals'!N$4,'[1]import success seats course'!$1:$2,2,FALSE),FALSE)/(VLOOKUP($A79,'[1]import graded seats course pivo'!$A:AL,HLOOKUP('[1]Course Totals'!N$4,'[1]import graded seats course pivo'!$1:$2,2,FALSE),FALSE))),"")</f>
        <v/>
      </c>
      <c r="O79" s="14">
        <f>IFERROR((VLOOKUP($A79,'[1]import success seats course'!$A:AC,HLOOKUP('[1]Course Totals'!O$4,'[1]import success seats course'!$1:$2,2,FALSE),FALSE)/(VLOOKUP($A79,'[1]import graded seats course pivo'!$A:AM,HLOOKUP('[1]Course Totals'!O$4,'[1]import graded seats course pivo'!$1:$2,2,FALSE),FALSE))),"")</f>
        <v>0.8</v>
      </c>
      <c r="P79" s="14">
        <f>IFERROR((VLOOKUP($A79,'[1]import success seats course'!$A:AD,HLOOKUP('[1]Course Totals'!P$4,'[1]import success seats course'!$1:$2,2,FALSE),FALSE)/(VLOOKUP($A79,'[1]import graded seats course pivo'!$A:AN,HLOOKUP('[1]Course Totals'!P$4,'[1]import graded seats course pivo'!$1:$2,2,FALSE),FALSE))),"")</f>
        <v>1</v>
      </c>
      <c r="Q79" s="14" t="str">
        <f>IFERROR((VLOOKUP($A79,'[1]import success seats course'!$A:AE,HLOOKUP('[1]Course Totals'!Q$4,'[1]import success seats course'!$1:$2,2,FALSE),FALSE)/(VLOOKUP($A79,'[1]import graded seats course pivo'!$A:AO,HLOOKUP('[1]Course Totals'!Q$4,'[1]import graded seats course pivo'!$1:$2,2,FALSE),FALSE))),"")</f>
        <v/>
      </c>
      <c r="R79" s="14">
        <f>IFERROR((VLOOKUP($A79,'[1]import success seats course'!$A:AF,HLOOKUP('[1]Course Totals'!R$4,'[1]import success seats course'!$1:$2,2,FALSE),FALSE)/(VLOOKUP($A79,'[1]import graded seats course pivo'!$A:AP,HLOOKUP('[1]Course Totals'!R$4,'[1]import graded seats course pivo'!$1:$2,2,FALSE),FALSE))),"")</f>
        <v>0.84615384615384615</v>
      </c>
      <c r="S79" s="14">
        <f>IFERROR((VLOOKUP($A79,'[1]import success seats course'!$A:AG,HLOOKUP('[1]Course Totals'!S$4,'[1]import success seats course'!$1:$2,2,FALSE),FALSE)/(VLOOKUP($A79,'[1]import graded seats course pivo'!$A:AQ,HLOOKUP('[1]Course Totals'!S$4,'[1]import graded seats course pivo'!$1:$2,2,FALSE),FALSE))),"")</f>
        <v>1</v>
      </c>
      <c r="Z79" s="7"/>
      <c r="AA79" s="7"/>
      <c r="AB79" s="7"/>
      <c r="AC79" s="7"/>
    </row>
    <row r="80" spans="1:29" ht="15.75" customHeight="1" x14ac:dyDescent="0.25">
      <c r="A80" s="12" t="s">
        <v>678</v>
      </c>
      <c r="B80" s="14" t="str">
        <f>IFERROR((VLOOKUP($A80,'[1]import success seats course'!$A:P,HLOOKUP('[1]Course Totals'!B$4,'[1]import success seats course'!$1:$2,2,FALSE),FALSE)/(VLOOKUP($A80,'[1]import graded seats course pivo'!$A:Z,HLOOKUP('[1]Course Totals'!B$4,'[1]import graded seats course pivo'!$1:$2,2,FALSE),FALSE))),"")</f>
        <v/>
      </c>
      <c r="C80" s="14" t="str">
        <f>IFERROR((VLOOKUP($A80,'[1]import success seats course'!$A:Q,HLOOKUP('[1]Course Totals'!C$4,'[1]import success seats course'!$1:$2,2,FALSE),FALSE)/(VLOOKUP($A80,'[1]import graded seats course pivo'!$A:AA,HLOOKUP('[1]Course Totals'!C$4,'[1]import graded seats course pivo'!$1:$2,2,FALSE),FALSE))),"")</f>
        <v/>
      </c>
      <c r="D80" s="14" t="str">
        <f>IFERROR((VLOOKUP($A80,'[1]import success seats course'!$A:R,HLOOKUP('[1]Course Totals'!D$4,'[1]import success seats course'!$1:$2,2,FALSE),FALSE)/(VLOOKUP($A80,'[1]import graded seats course pivo'!$A:AB,HLOOKUP('[1]Course Totals'!D$4,'[1]import graded seats course pivo'!$1:$2,2,FALSE),FALSE))),"")</f>
        <v/>
      </c>
      <c r="E80" s="14" t="str">
        <f>IFERROR((VLOOKUP($A80,'[1]import success seats course'!$A:S,HLOOKUP('[1]Course Totals'!E$4,'[1]import success seats course'!$1:$2,2,FALSE),FALSE)/(VLOOKUP($A80,'[1]import graded seats course pivo'!$A:AC,HLOOKUP('[1]Course Totals'!E$4,'[1]import graded seats course pivo'!$1:$2,2,FALSE),FALSE))),"")</f>
        <v/>
      </c>
      <c r="F80" s="14" t="str">
        <f>IFERROR((VLOOKUP($A80,'[1]import success seats course'!$A:T,HLOOKUP('[1]Course Totals'!F$4,'[1]import success seats course'!$1:$2,2,FALSE),FALSE)/(VLOOKUP($A80,'[1]import graded seats course pivo'!$A:AD,HLOOKUP('[1]Course Totals'!F$4,'[1]import graded seats course pivo'!$1:$2,2,FALSE),FALSE))),"")</f>
        <v/>
      </c>
      <c r="G80" s="14" t="str">
        <f>IFERROR((VLOOKUP($A80,'[1]import success seats course'!$A:U,HLOOKUP('[1]Course Totals'!G$4,'[1]import success seats course'!$1:$2,2,FALSE),FALSE)/(VLOOKUP($A80,'[1]import graded seats course pivo'!$A:AE,HLOOKUP('[1]Course Totals'!G$4,'[1]import graded seats course pivo'!$1:$2,2,FALSE),FALSE))),"")</f>
        <v/>
      </c>
      <c r="H80" s="14" t="str">
        <f>IFERROR((VLOOKUP($A80,'[1]import success seats course'!$A:V,HLOOKUP('[1]Course Totals'!H$4,'[1]import success seats course'!$1:$2,2,FALSE),FALSE)/(VLOOKUP($A80,'[1]import graded seats course pivo'!$A:AF,HLOOKUP('[1]Course Totals'!H$4,'[1]import graded seats course pivo'!$1:$2,2,FALSE),FALSE))),"")</f>
        <v/>
      </c>
      <c r="I80" s="14">
        <f>IFERROR((VLOOKUP($A80,'[1]import success seats course'!$A:W,HLOOKUP('[1]Course Totals'!I$4,'[1]import success seats course'!$1:$2,2,FALSE),FALSE)/(VLOOKUP($A80,'[1]import graded seats course pivo'!$A:AG,HLOOKUP('[1]Course Totals'!I$4,'[1]import graded seats course pivo'!$1:$2,2,FALSE),FALSE))),"")</f>
        <v>0.91111111111111109</v>
      </c>
      <c r="J80" s="14">
        <f>IFERROR((VLOOKUP($A80,'[1]import success seats course'!$A:X,HLOOKUP('[1]Course Totals'!J$4,'[1]import success seats course'!$1:$2,2,FALSE),FALSE)/(VLOOKUP($A80,'[1]import graded seats course pivo'!$A:AH,HLOOKUP('[1]Course Totals'!J$4,'[1]import graded seats course pivo'!$1:$2,2,FALSE),FALSE))),"")</f>
        <v>0.87234042553191493</v>
      </c>
      <c r="K80" s="14" t="str">
        <f>IFERROR((VLOOKUP($A80,'[1]import success seats course'!$A:Y,HLOOKUP('[1]Course Totals'!K$4,'[1]import success seats course'!$1:$2,2,FALSE),FALSE)/(VLOOKUP($A80,'[1]import graded seats course pivo'!$A:AI,HLOOKUP('[1]Course Totals'!K$4,'[1]import graded seats course pivo'!$1:$2,2,FALSE),FALSE))),"")</f>
        <v/>
      </c>
      <c r="L80" s="14">
        <f>IFERROR((VLOOKUP($A80,'[1]import success seats course'!$A:Z,HLOOKUP('[1]Course Totals'!L$4,'[1]import success seats course'!$1:$2,2,FALSE),FALSE)/(VLOOKUP($A80,'[1]import graded seats course pivo'!$A:AJ,HLOOKUP('[1]Course Totals'!L$4,'[1]import graded seats course pivo'!$1:$2,2,FALSE),FALSE))),"")</f>
        <v>0.82926829268292679</v>
      </c>
      <c r="M80" s="14">
        <f>IFERROR((VLOOKUP($A80,'[1]import success seats course'!$A:AA,HLOOKUP('[1]Course Totals'!M$4,'[1]import success seats course'!$1:$2,2,FALSE),FALSE)/(VLOOKUP($A80,'[1]import graded seats course pivo'!$A:AK,HLOOKUP('[1]Course Totals'!M$4,'[1]import graded seats course pivo'!$1:$2,2,FALSE),FALSE))),"")</f>
        <v>0.78947368421052633</v>
      </c>
      <c r="N80" s="14" t="str">
        <f>IFERROR((VLOOKUP($A80,'[1]import success seats course'!$A:AB,HLOOKUP('[1]Course Totals'!N$4,'[1]import success seats course'!$1:$2,2,FALSE),FALSE)/(VLOOKUP($A80,'[1]import graded seats course pivo'!$A:AL,HLOOKUP('[1]Course Totals'!N$4,'[1]import graded seats course pivo'!$1:$2,2,FALSE),FALSE))),"")</f>
        <v/>
      </c>
      <c r="O80" s="14">
        <f>IFERROR((VLOOKUP($A80,'[1]import success seats course'!$A:AC,HLOOKUP('[1]Course Totals'!O$4,'[1]import success seats course'!$1:$2,2,FALSE),FALSE)/(VLOOKUP($A80,'[1]import graded seats course pivo'!$A:AM,HLOOKUP('[1]Course Totals'!O$4,'[1]import graded seats course pivo'!$1:$2,2,FALSE),FALSE))),"")</f>
        <v>0.8571428571428571</v>
      </c>
      <c r="P80" s="14">
        <f>IFERROR((VLOOKUP($A80,'[1]import success seats course'!$A:AD,HLOOKUP('[1]Course Totals'!P$4,'[1]import success seats course'!$1:$2,2,FALSE),FALSE)/(VLOOKUP($A80,'[1]import graded seats course pivo'!$A:AN,HLOOKUP('[1]Course Totals'!P$4,'[1]import graded seats course pivo'!$1:$2,2,FALSE),FALSE))),"")</f>
        <v>0.75609756097560976</v>
      </c>
      <c r="Q80" s="14" t="str">
        <f>IFERROR((VLOOKUP($A80,'[1]import success seats course'!$A:AE,HLOOKUP('[1]Course Totals'!Q$4,'[1]import success seats course'!$1:$2,2,FALSE),FALSE)/(VLOOKUP($A80,'[1]import graded seats course pivo'!$A:AO,HLOOKUP('[1]Course Totals'!Q$4,'[1]import graded seats course pivo'!$1:$2,2,FALSE),FALSE))),"")</f>
        <v/>
      </c>
      <c r="R80" s="14">
        <f>IFERROR((VLOOKUP($A80,'[1]import success seats course'!$A:AF,HLOOKUP('[1]Course Totals'!R$4,'[1]import success seats course'!$1:$2,2,FALSE),FALSE)/(VLOOKUP($A80,'[1]import graded seats course pivo'!$A:AP,HLOOKUP('[1]Course Totals'!R$4,'[1]import graded seats course pivo'!$1:$2,2,FALSE),FALSE))),"")</f>
        <v>0.81578947368421051</v>
      </c>
      <c r="S80" s="14" t="str">
        <f>IFERROR((VLOOKUP($A80,'[1]import success seats course'!$A:AG,HLOOKUP('[1]Course Totals'!S$4,'[1]import success seats course'!$1:$2,2,FALSE),FALSE)/(VLOOKUP($A80,'[1]import graded seats course pivo'!$A:AQ,HLOOKUP('[1]Course Totals'!S$4,'[1]import graded seats course pivo'!$1:$2,2,FALSE),FALSE))),"")</f>
        <v/>
      </c>
      <c r="Z80" s="7"/>
      <c r="AA80" s="7"/>
      <c r="AB80" s="7"/>
      <c r="AC80" s="7"/>
    </row>
    <row r="81" spans="1:29" ht="15.75" customHeight="1" x14ac:dyDescent="0.25">
      <c r="A81" s="12" t="s">
        <v>553</v>
      </c>
      <c r="B81" s="14" t="str">
        <f>IFERROR((VLOOKUP($A81,'[1]import success seats course'!$A:P,HLOOKUP('[1]Course Totals'!B$4,'[1]import success seats course'!$1:$2,2,FALSE),FALSE)/(VLOOKUP($A81,'[1]import graded seats course pivo'!$A:Z,HLOOKUP('[1]Course Totals'!B$4,'[1]import graded seats course pivo'!$1:$2,2,FALSE),FALSE))),"")</f>
        <v/>
      </c>
      <c r="C81" s="14" t="str">
        <f>IFERROR((VLOOKUP($A81,'[1]import success seats course'!$A:Q,HLOOKUP('[1]Course Totals'!C$4,'[1]import success seats course'!$1:$2,2,FALSE),FALSE)/(VLOOKUP($A81,'[1]import graded seats course pivo'!$A:AA,HLOOKUP('[1]Course Totals'!C$4,'[1]import graded seats course pivo'!$1:$2,2,FALSE),FALSE))),"")</f>
        <v/>
      </c>
      <c r="D81" s="14" t="str">
        <f>IFERROR((VLOOKUP($A81,'[1]import success seats course'!$A:R,HLOOKUP('[1]Course Totals'!D$4,'[1]import success seats course'!$1:$2,2,FALSE),FALSE)/(VLOOKUP($A81,'[1]import graded seats course pivo'!$A:AB,HLOOKUP('[1]Course Totals'!D$4,'[1]import graded seats course pivo'!$1:$2,2,FALSE),FALSE))),"")</f>
        <v/>
      </c>
      <c r="E81" s="14" t="str">
        <f>IFERROR((VLOOKUP($A81,'[1]import success seats course'!$A:S,HLOOKUP('[1]Course Totals'!E$4,'[1]import success seats course'!$1:$2,2,FALSE),FALSE)/(VLOOKUP($A81,'[1]import graded seats course pivo'!$A:AC,HLOOKUP('[1]Course Totals'!E$4,'[1]import graded seats course pivo'!$1:$2,2,FALSE),FALSE))),"")</f>
        <v/>
      </c>
      <c r="F81" s="14" t="str">
        <f>IFERROR((VLOOKUP($A81,'[1]import success seats course'!$A:T,HLOOKUP('[1]Course Totals'!F$4,'[1]import success seats course'!$1:$2,2,FALSE),FALSE)/(VLOOKUP($A81,'[1]import graded seats course pivo'!$A:AD,HLOOKUP('[1]Course Totals'!F$4,'[1]import graded seats course pivo'!$1:$2,2,FALSE),FALSE))),"")</f>
        <v/>
      </c>
      <c r="G81" s="14" t="str">
        <f>IFERROR((VLOOKUP($A81,'[1]import success seats course'!$A:U,HLOOKUP('[1]Course Totals'!G$4,'[1]import success seats course'!$1:$2,2,FALSE),FALSE)/(VLOOKUP($A81,'[1]import graded seats course pivo'!$A:AE,HLOOKUP('[1]Course Totals'!G$4,'[1]import graded seats course pivo'!$1:$2,2,FALSE),FALSE))),"")</f>
        <v/>
      </c>
      <c r="H81" s="14" t="str">
        <f>IFERROR((VLOOKUP($A81,'[1]import success seats course'!$A:V,HLOOKUP('[1]Course Totals'!H$4,'[1]import success seats course'!$1:$2,2,FALSE),FALSE)/(VLOOKUP($A81,'[1]import graded seats course pivo'!$A:AF,HLOOKUP('[1]Course Totals'!H$4,'[1]import graded seats course pivo'!$1:$2,2,FALSE),FALSE))),"")</f>
        <v/>
      </c>
      <c r="I81" s="14" t="str">
        <f>IFERROR((VLOOKUP($A81,'[1]import success seats course'!$A:W,HLOOKUP('[1]Course Totals'!I$4,'[1]import success seats course'!$1:$2,2,FALSE),FALSE)/(VLOOKUP($A81,'[1]import graded seats course pivo'!$A:AG,HLOOKUP('[1]Course Totals'!I$4,'[1]import graded seats course pivo'!$1:$2,2,FALSE),FALSE))),"")</f>
        <v/>
      </c>
      <c r="J81" s="14" t="str">
        <f>IFERROR((VLOOKUP($A81,'[1]import success seats course'!$A:X,HLOOKUP('[1]Course Totals'!J$4,'[1]import success seats course'!$1:$2,2,FALSE),FALSE)/(VLOOKUP($A81,'[1]import graded seats course pivo'!$A:AH,HLOOKUP('[1]Course Totals'!J$4,'[1]import graded seats course pivo'!$1:$2,2,FALSE),FALSE))),"")</f>
        <v/>
      </c>
      <c r="K81" s="14" t="str">
        <f>IFERROR((VLOOKUP($A81,'[1]import success seats course'!$A:Y,HLOOKUP('[1]Course Totals'!K$4,'[1]import success seats course'!$1:$2,2,FALSE),FALSE)/(VLOOKUP($A81,'[1]import graded seats course pivo'!$A:AI,HLOOKUP('[1]Course Totals'!K$4,'[1]import graded seats course pivo'!$1:$2,2,FALSE),FALSE))),"")</f>
        <v/>
      </c>
      <c r="L81" s="14" t="str">
        <f>IFERROR((VLOOKUP($A81,'[1]import success seats course'!$A:Z,HLOOKUP('[1]Course Totals'!L$4,'[1]import success seats course'!$1:$2,2,FALSE),FALSE)/(VLOOKUP($A81,'[1]import graded seats course pivo'!$A:AJ,HLOOKUP('[1]Course Totals'!L$4,'[1]import graded seats course pivo'!$1:$2,2,FALSE),FALSE))),"")</f>
        <v/>
      </c>
      <c r="M81" s="14" t="str">
        <f>IFERROR((VLOOKUP($A81,'[1]import success seats course'!$A:AA,HLOOKUP('[1]Course Totals'!M$4,'[1]import success seats course'!$1:$2,2,FALSE),FALSE)/(VLOOKUP($A81,'[1]import graded seats course pivo'!$A:AK,HLOOKUP('[1]Course Totals'!M$4,'[1]import graded seats course pivo'!$1:$2,2,FALSE),FALSE))),"")</f>
        <v/>
      </c>
      <c r="N81" s="14" t="str">
        <f>IFERROR((VLOOKUP($A81,'[1]import success seats course'!$A:AB,HLOOKUP('[1]Course Totals'!N$4,'[1]import success seats course'!$1:$2,2,FALSE),FALSE)/(VLOOKUP($A81,'[1]import graded seats course pivo'!$A:AL,HLOOKUP('[1]Course Totals'!N$4,'[1]import graded seats course pivo'!$1:$2,2,FALSE),FALSE))),"")</f>
        <v/>
      </c>
      <c r="O81" s="14" t="str">
        <f>IFERROR((VLOOKUP($A81,'[1]import success seats course'!$A:AC,HLOOKUP('[1]Course Totals'!O$4,'[1]import success seats course'!$1:$2,2,FALSE),FALSE)/(VLOOKUP($A81,'[1]import graded seats course pivo'!$A:AM,HLOOKUP('[1]Course Totals'!O$4,'[1]import graded seats course pivo'!$1:$2,2,FALSE),FALSE))),"")</f>
        <v/>
      </c>
      <c r="P81" s="14">
        <f>IFERROR((VLOOKUP($A81,'[1]import success seats course'!$A:AD,HLOOKUP('[1]Course Totals'!P$4,'[1]import success seats course'!$1:$2,2,FALSE),FALSE)/(VLOOKUP($A81,'[1]import graded seats course pivo'!$A:AN,HLOOKUP('[1]Course Totals'!P$4,'[1]import graded seats course pivo'!$1:$2,2,FALSE),FALSE))),"")</f>
        <v>0.72727272727272729</v>
      </c>
      <c r="Q81" s="14" t="str">
        <f>IFERROR((VLOOKUP($A81,'[1]import success seats course'!$A:AE,HLOOKUP('[1]Course Totals'!Q$4,'[1]import success seats course'!$1:$2,2,FALSE),FALSE)/(VLOOKUP($A81,'[1]import graded seats course pivo'!$A:AO,HLOOKUP('[1]Course Totals'!Q$4,'[1]import graded seats course pivo'!$1:$2,2,FALSE),FALSE))),"")</f>
        <v/>
      </c>
      <c r="R81" s="14" t="str">
        <f>IFERROR((VLOOKUP($A81,'[1]import success seats course'!$A:AF,HLOOKUP('[1]Course Totals'!R$4,'[1]import success seats course'!$1:$2,2,FALSE),FALSE)/(VLOOKUP($A81,'[1]import graded seats course pivo'!$A:AP,HLOOKUP('[1]Course Totals'!R$4,'[1]import graded seats course pivo'!$1:$2,2,FALSE),FALSE))),"")</f>
        <v/>
      </c>
      <c r="S81" s="14" t="str">
        <f>IFERROR((VLOOKUP($A81,'[1]import success seats course'!$A:AG,HLOOKUP('[1]Course Totals'!S$4,'[1]import success seats course'!$1:$2,2,FALSE),FALSE)/(VLOOKUP($A81,'[1]import graded seats course pivo'!$A:AQ,HLOOKUP('[1]Course Totals'!S$4,'[1]import graded seats course pivo'!$1:$2,2,FALSE),FALSE))),"")</f>
        <v/>
      </c>
      <c r="Z81" s="7"/>
      <c r="AA81" s="7"/>
      <c r="AB81" s="7"/>
      <c r="AC81" s="7"/>
    </row>
    <row r="82" spans="1:29" ht="15.75" hidden="1" customHeight="1" x14ac:dyDescent="0.25">
      <c r="A82" s="12" t="s">
        <v>960</v>
      </c>
      <c r="B82" s="14" t="str">
        <f>IFERROR((VLOOKUP($A82,'[1]import success seats course'!$A:P,HLOOKUP('[1]Course Totals'!B$4,'[1]import success seats course'!$1:$2,2,FALSE),FALSE)/(VLOOKUP($A82,'[1]import graded seats course pivo'!$A:Z,HLOOKUP('[1]Course Totals'!B$4,'[1]import graded seats course pivo'!$1:$2,2,FALSE),FALSE))),"")</f>
        <v/>
      </c>
      <c r="C82" s="14" t="str">
        <f>IFERROR((VLOOKUP($A82,'[1]import success seats course'!$A:Q,HLOOKUP('[1]Course Totals'!C$4,'[1]import success seats course'!$1:$2,2,FALSE),FALSE)/(VLOOKUP($A82,'[1]import graded seats course pivo'!$A:AA,HLOOKUP('[1]Course Totals'!C$4,'[1]import graded seats course pivo'!$1:$2,2,FALSE),FALSE))),"")</f>
        <v/>
      </c>
      <c r="D82" s="14" t="str">
        <f>IFERROR((VLOOKUP($A82,'[1]import success seats course'!$A:R,HLOOKUP('[1]Course Totals'!D$4,'[1]import success seats course'!$1:$2,2,FALSE),FALSE)/(VLOOKUP($A82,'[1]import graded seats course pivo'!$A:AB,HLOOKUP('[1]Course Totals'!D$4,'[1]import graded seats course pivo'!$1:$2,2,FALSE),FALSE))),"")</f>
        <v/>
      </c>
      <c r="E82" s="14" t="str">
        <f>IFERROR((VLOOKUP($A82,'[1]import success seats course'!$A:S,HLOOKUP('[1]Course Totals'!E$4,'[1]import success seats course'!$1:$2,2,FALSE),FALSE)/(VLOOKUP($A82,'[1]import graded seats course pivo'!$A:AC,HLOOKUP('[1]Course Totals'!E$4,'[1]import graded seats course pivo'!$1:$2,2,FALSE),FALSE))),"")</f>
        <v/>
      </c>
      <c r="F82" s="14" t="str">
        <f>IFERROR((VLOOKUP($A82,'[1]import success seats course'!$A:T,HLOOKUP('[1]Course Totals'!F$4,'[1]import success seats course'!$1:$2,2,FALSE),FALSE)/(VLOOKUP($A82,'[1]import graded seats course pivo'!$A:AD,HLOOKUP('[1]Course Totals'!F$4,'[1]import graded seats course pivo'!$1:$2,2,FALSE),FALSE))),"")</f>
        <v/>
      </c>
      <c r="G82" s="14" t="str">
        <f>IFERROR((VLOOKUP($A82,'[1]import success seats course'!$A:U,HLOOKUP('[1]Course Totals'!G$4,'[1]import success seats course'!$1:$2,2,FALSE),FALSE)/(VLOOKUP($A82,'[1]import graded seats course pivo'!$A:AE,HLOOKUP('[1]Course Totals'!G$4,'[1]import graded seats course pivo'!$1:$2,2,FALSE),FALSE))),"")</f>
        <v/>
      </c>
      <c r="H82" s="14" t="str">
        <f>IFERROR((VLOOKUP($A82,'[1]import success seats course'!$A:V,HLOOKUP('[1]Course Totals'!H$4,'[1]import success seats course'!$1:$2,2,FALSE),FALSE)/(VLOOKUP($A82,'[1]import graded seats course pivo'!$A:AF,HLOOKUP('[1]Course Totals'!H$4,'[1]import graded seats course pivo'!$1:$2,2,FALSE),FALSE))),"")</f>
        <v/>
      </c>
      <c r="I82" s="14" t="str">
        <f>IFERROR((VLOOKUP($A82,'[1]import success seats course'!$A:W,HLOOKUP('[1]Course Totals'!I$4,'[1]import success seats course'!$1:$2,2,FALSE),FALSE)/(VLOOKUP($A82,'[1]import graded seats course pivo'!$A:AG,HLOOKUP('[1]Course Totals'!I$4,'[1]import graded seats course pivo'!$1:$2,2,FALSE),FALSE))),"")</f>
        <v/>
      </c>
      <c r="J82" s="14" t="str">
        <f>IFERROR((VLOOKUP($A82,'[1]import success seats course'!$A:X,HLOOKUP('[1]Course Totals'!J$4,'[1]import success seats course'!$1:$2,2,FALSE),FALSE)/(VLOOKUP($A82,'[1]import graded seats course pivo'!$A:AH,HLOOKUP('[1]Course Totals'!J$4,'[1]import graded seats course pivo'!$1:$2,2,FALSE),FALSE))),"")</f>
        <v/>
      </c>
      <c r="K82" s="14" t="str">
        <f>IFERROR((VLOOKUP($A82,'[1]import success seats course'!$A:Y,HLOOKUP('[1]Course Totals'!K$4,'[1]import success seats course'!$1:$2,2,FALSE),FALSE)/(VLOOKUP($A82,'[1]import graded seats course pivo'!$A:AI,HLOOKUP('[1]Course Totals'!K$4,'[1]import graded seats course pivo'!$1:$2,2,FALSE),FALSE))),"")</f>
        <v/>
      </c>
      <c r="L82" s="14" t="str">
        <f>IFERROR((VLOOKUP($A82,'[1]import success seats course'!$A:Z,HLOOKUP('[1]Course Totals'!L$4,'[1]import success seats course'!$1:$2,2,FALSE),FALSE)/(VLOOKUP($A82,'[1]import graded seats course pivo'!$A:AJ,HLOOKUP('[1]Course Totals'!L$4,'[1]import graded seats course pivo'!$1:$2,2,FALSE),FALSE))),"")</f>
        <v/>
      </c>
      <c r="M82" s="14" t="str">
        <f>IFERROR((VLOOKUP($A82,'[1]import success seats course'!$A:AA,HLOOKUP('[1]Course Totals'!M$4,'[1]import success seats course'!$1:$2,2,FALSE),FALSE)/(VLOOKUP($A82,'[1]import graded seats course pivo'!$A:AK,HLOOKUP('[1]Course Totals'!M$4,'[1]import graded seats course pivo'!$1:$2,2,FALSE),FALSE))),"")</f>
        <v/>
      </c>
      <c r="N82" s="14" t="str">
        <f>IFERROR((VLOOKUP($A82,'[1]import success seats course'!$A:AB,HLOOKUP('[1]Course Totals'!N$4,'[1]import success seats course'!$1:$2,2,FALSE),FALSE)/(VLOOKUP($A82,'[1]import graded seats course pivo'!$A:AL,HLOOKUP('[1]Course Totals'!N$4,'[1]import graded seats course pivo'!$1:$2,2,FALSE),FALSE))),"")</f>
        <v/>
      </c>
      <c r="O82" s="14" t="str">
        <f>IFERROR((VLOOKUP($A82,'[1]import success seats course'!$A:AC,HLOOKUP('[1]Course Totals'!O$4,'[1]import success seats course'!$1:$2,2,FALSE),FALSE)/(VLOOKUP($A82,'[1]import graded seats course pivo'!$A:AM,HLOOKUP('[1]Course Totals'!O$4,'[1]import graded seats course pivo'!$1:$2,2,FALSE),FALSE))),"")</f>
        <v/>
      </c>
      <c r="P82" s="14" t="str">
        <f>IFERROR((VLOOKUP($A82,'[1]import success seats course'!$A:AD,HLOOKUP('[1]Course Totals'!P$4,'[1]import success seats course'!$1:$2,2,FALSE),FALSE)/(VLOOKUP($A82,'[1]import graded seats course pivo'!$A:AN,HLOOKUP('[1]Course Totals'!P$4,'[1]import graded seats course pivo'!$1:$2,2,FALSE),FALSE))),"")</f>
        <v/>
      </c>
      <c r="Q82" s="14" t="str">
        <f>IFERROR((VLOOKUP($A82,'[1]import success seats course'!$A:AE,HLOOKUP('[1]Course Totals'!Q$4,'[1]import success seats course'!$1:$2,2,FALSE),FALSE)/(VLOOKUP($A82,'[1]import graded seats course pivo'!$A:AO,HLOOKUP('[1]Course Totals'!Q$4,'[1]import graded seats course pivo'!$1:$2,2,FALSE),FALSE))),"")</f>
        <v/>
      </c>
      <c r="R82" s="14" t="str">
        <f>IFERROR((VLOOKUP($A82,'[1]import success seats course'!$A:AF,HLOOKUP('[1]Course Totals'!R$4,'[1]import success seats course'!$1:$2,2,FALSE),FALSE)/(VLOOKUP($A82,'[1]import graded seats course pivo'!$A:AP,HLOOKUP('[1]Course Totals'!R$4,'[1]import graded seats course pivo'!$1:$2,2,FALSE),FALSE))),"")</f>
        <v/>
      </c>
      <c r="S82" s="14" t="str">
        <f>IFERROR((VLOOKUP($A82,'[1]import success seats course'!$A:AG,HLOOKUP('[1]Course Totals'!S$4,'[1]import success seats course'!$1:$2,2,FALSE),FALSE)/(VLOOKUP($A82,'[1]import graded seats course pivo'!$A:AQ,HLOOKUP('[1]Course Totals'!S$4,'[1]import graded seats course pivo'!$1:$2,2,FALSE),FALSE))),"")</f>
        <v/>
      </c>
      <c r="Z82" s="7"/>
      <c r="AA82" s="7"/>
      <c r="AB82" s="7"/>
      <c r="AC82" s="7"/>
    </row>
    <row r="83" spans="1:29" ht="15.75" customHeight="1" x14ac:dyDescent="0.25">
      <c r="A83" s="12" t="s">
        <v>51</v>
      </c>
      <c r="B83" s="14" t="str">
        <f>IFERROR((VLOOKUP($A83,'[1]import success seats course'!$A:P,HLOOKUP('[1]Course Totals'!B$4,'[1]import success seats course'!$1:$2,2,FALSE),FALSE)/(VLOOKUP($A83,'[1]import graded seats course pivo'!$A:Z,HLOOKUP('[1]Course Totals'!B$4,'[1]import graded seats course pivo'!$1:$2,2,FALSE),FALSE))),"")</f>
        <v/>
      </c>
      <c r="C83" s="14">
        <f>IFERROR((VLOOKUP($A83,'[1]import success seats course'!$A:Q,HLOOKUP('[1]Course Totals'!C$4,'[1]import success seats course'!$1:$2,2,FALSE),FALSE)/(VLOOKUP($A83,'[1]import graded seats course pivo'!$A:AA,HLOOKUP('[1]Course Totals'!C$4,'[1]import graded seats course pivo'!$1:$2,2,FALSE),FALSE))),"")</f>
        <v>1</v>
      </c>
      <c r="D83" s="14">
        <f>IFERROR((VLOOKUP($A83,'[1]import success seats course'!$A:R,HLOOKUP('[1]Course Totals'!D$4,'[1]import success seats course'!$1:$2,2,FALSE),FALSE)/(VLOOKUP($A83,'[1]import graded seats course pivo'!$A:AB,HLOOKUP('[1]Course Totals'!D$4,'[1]import graded seats course pivo'!$1:$2,2,FALSE),FALSE))),"")</f>
        <v>0.57894736842105265</v>
      </c>
      <c r="E83" s="14" t="str">
        <f>IFERROR((VLOOKUP($A83,'[1]import success seats course'!$A:S,HLOOKUP('[1]Course Totals'!E$4,'[1]import success seats course'!$1:$2,2,FALSE),FALSE)/(VLOOKUP($A83,'[1]import graded seats course pivo'!$A:AC,HLOOKUP('[1]Course Totals'!E$4,'[1]import graded seats course pivo'!$1:$2,2,FALSE),FALSE))),"")</f>
        <v/>
      </c>
      <c r="F83" s="14" t="str">
        <f>IFERROR((VLOOKUP($A83,'[1]import success seats course'!$A:T,HLOOKUP('[1]Course Totals'!F$4,'[1]import success seats course'!$1:$2,2,FALSE),FALSE)/(VLOOKUP($A83,'[1]import graded seats course pivo'!$A:AD,HLOOKUP('[1]Course Totals'!F$4,'[1]import graded seats course pivo'!$1:$2,2,FALSE),FALSE))),"")</f>
        <v/>
      </c>
      <c r="G83" s="14">
        <f>IFERROR((VLOOKUP($A83,'[1]import success seats course'!$A:U,HLOOKUP('[1]Course Totals'!G$4,'[1]import success seats course'!$1:$2,2,FALSE),FALSE)/(VLOOKUP($A83,'[1]import graded seats course pivo'!$A:AE,HLOOKUP('[1]Course Totals'!G$4,'[1]import graded seats course pivo'!$1:$2,2,FALSE),FALSE))),"")</f>
        <v>0.72222222222222221</v>
      </c>
      <c r="H83" s="14" t="str">
        <f>IFERROR((VLOOKUP($A83,'[1]import success seats course'!$A:V,HLOOKUP('[1]Course Totals'!H$4,'[1]import success seats course'!$1:$2,2,FALSE),FALSE)/(VLOOKUP($A83,'[1]import graded seats course pivo'!$A:AF,HLOOKUP('[1]Course Totals'!H$4,'[1]import graded seats course pivo'!$1:$2,2,FALSE),FALSE))),"")</f>
        <v/>
      </c>
      <c r="I83" s="14" t="str">
        <f>IFERROR((VLOOKUP($A83,'[1]import success seats course'!$A:W,HLOOKUP('[1]Course Totals'!I$4,'[1]import success seats course'!$1:$2,2,FALSE),FALSE)/(VLOOKUP($A83,'[1]import graded seats course pivo'!$A:AG,HLOOKUP('[1]Course Totals'!I$4,'[1]import graded seats course pivo'!$1:$2,2,FALSE),FALSE))),"")</f>
        <v/>
      </c>
      <c r="J83" s="14">
        <f>IFERROR((VLOOKUP($A83,'[1]import success seats course'!$A:X,HLOOKUP('[1]Course Totals'!J$4,'[1]import success seats course'!$1:$2,2,FALSE),FALSE)/(VLOOKUP($A83,'[1]import graded seats course pivo'!$A:AH,HLOOKUP('[1]Course Totals'!J$4,'[1]import graded seats course pivo'!$1:$2,2,FALSE),FALSE))),"")</f>
        <v>0.87804878048780488</v>
      </c>
      <c r="K83" s="14" t="str">
        <f>IFERROR((VLOOKUP($A83,'[1]import success seats course'!$A:Y,HLOOKUP('[1]Course Totals'!K$4,'[1]import success seats course'!$1:$2,2,FALSE),FALSE)/(VLOOKUP($A83,'[1]import graded seats course pivo'!$A:AI,HLOOKUP('[1]Course Totals'!K$4,'[1]import graded seats course pivo'!$1:$2,2,FALSE),FALSE))),"")</f>
        <v/>
      </c>
      <c r="L83" s="14" t="str">
        <f>IFERROR((VLOOKUP($A83,'[1]import success seats course'!$A:Z,HLOOKUP('[1]Course Totals'!L$4,'[1]import success seats course'!$1:$2,2,FALSE),FALSE)/(VLOOKUP($A83,'[1]import graded seats course pivo'!$A:AJ,HLOOKUP('[1]Course Totals'!L$4,'[1]import graded seats course pivo'!$1:$2,2,FALSE),FALSE))),"")</f>
        <v/>
      </c>
      <c r="M83" s="14">
        <f>IFERROR((VLOOKUP($A83,'[1]import success seats course'!$A:AA,HLOOKUP('[1]Course Totals'!M$4,'[1]import success seats course'!$1:$2,2,FALSE),FALSE)/(VLOOKUP($A83,'[1]import graded seats course pivo'!$A:AK,HLOOKUP('[1]Course Totals'!M$4,'[1]import graded seats course pivo'!$1:$2,2,FALSE),FALSE))),"")</f>
        <v>0.8</v>
      </c>
      <c r="N83" s="14" t="str">
        <f>IFERROR((VLOOKUP($A83,'[1]import success seats course'!$A:AB,HLOOKUP('[1]Course Totals'!N$4,'[1]import success seats course'!$1:$2,2,FALSE),FALSE)/(VLOOKUP($A83,'[1]import graded seats course pivo'!$A:AL,HLOOKUP('[1]Course Totals'!N$4,'[1]import graded seats course pivo'!$1:$2,2,FALSE),FALSE))),"")</f>
        <v/>
      </c>
      <c r="O83" s="14" t="str">
        <f>IFERROR((VLOOKUP($A83,'[1]import success seats course'!$A:AC,HLOOKUP('[1]Course Totals'!O$4,'[1]import success seats course'!$1:$2,2,FALSE),FALSE)/(VLOOKUP($A83,'[1]import graded seats course pivo'!$A:AM,HLOOKUP('[1]Course Totals'!O$4,'[1]import graded seats course pivo'!$1:$2,2,FALSE),FALSE))),"")</f>
        <v/>
      </c>
      <c r="P83" s="14" t="str">
        <f>IFERROR((VLOOKUP($A83,'[1]import success seats course'!$A:AD,HLOOKUP('[1]Course Totals'!P$4,'[1]import success seats course'!$1:$2,2,FALSE),FALSE)/(VLOOKUP($A83,'[1]import graded seats course pivo'!$A:AN,HLOOKUP('[1]Course Totals'!P$4,'[1]import graded seats course pivo'!$1:$2,2,FALSE),FALSE))),"")</f>
        <v/>
      </c>
      <c r="Q83" s="14" t="str">
        <f>IFERROR((VLOOKUP($A83,'[1]import success seats course'!$A:AE,HLOOKUP('[1]Course Totals'!Q$4,'[1]import success seats course'!$1:$2,2,FALSE),FALSE)/(VLOOKUP($A83,'[1]import graded seats course pivo'!$A:AO,HLOOKUP('[1]Course Totals'!Q$4,'[1]import graded seats course pivo'!$1:$2,2,FALSE),FALSE))),"")</f>
        <v/>
      </c>
      <c r="R83" s="14" t="str">
        <f>IFERROR((VLOOKUP($A83,'[1]import success seats course'!$A:AF,HLOOKUP('[1]Course Totals'!R$4,'[1]import success seats course'!$1:$2,2,FALSE),FALSE)/(VLOOKUP($A83,'[1]import graded seats course pivo'!$A:AP,HLOOKUP('[1]Course Totals'!R$4,'[1]import graded seats course pivo'!$1:$2,2,FALSE),FALSE))),"")</f>
        <v/>
      </c>
      <c r="S83" s="14">
        <f>IFERROR((VLOOKUP($A83,'[1]import success seats course'!$A:AG,HLOOKUP('[1]Course Totals'!S$4,'[1]import success seats course'!$1:$2,2,FALSE),FALSE)/(VLOOKUP($A83,'[1]import graded seats course pivo'!$A:AQ,HLOOKUP('[1]Course Totals'!S$4,'[1]import graded seats course pivo'!$1:$2,2,FALSE),FALSE))),"")</f>
        <v>0.7857142857142857</v>
      </c>
      <c r="Z83" s="7"/>
      <c r="AA83" s="7"/>
      <c r="AB83" s="7"/>
      <c r="AC83" s="7"/>
    </row>
    <row r="84" spans="1:29" ht="15.75" hidden="1" customHeight="1" x14ac:dyDescent="0.25">
      <c r="A84" s="12" t="s">
        <v>679</v>
      </c>
      <c r="B84" s="14" t="str">
        <f>IFERROR((VLOOKUP($A84,'[1]import success seats course'!$A:P,HLOOKUP('[1]Course Totals'!B$4,'[1]import success seats course'!$1:$2,2,FALSE),FALSE)/(VLOOKUP($A84,'[1]import graded seats course pivo'!$A:Z,HLOOKUP('[1]Course Totals'!B$4,'[1]import graded seats course pivo'!$1:$2,2,FALSE),FALSE))),"")</f>
        <v/>
      </c>
      <c r="C84" s="14" t="str">
        <f>IFERROR((VLOOKUP($A84,'[1]import success seats course'!$A:Q,HLOOKUP('[1]Course Totals'!C$4,'[1]import success seats course'!$1:$2,2,FALSE),FALSE)/(VLOOKUP($A84,'[1]import graded seats course pivo'!$A:AA,HLOOKUP('[1]Course Totals'!C$4,'[1]import graded seats course pivo'!$1:$2,2,FALSE),FALSE))),"")</f>
        <v/>
      </c>
      <c r="D84" s="14" t="str">
        <f>IFERROR((VLOOKUP($A84,'[1]import success seats course'!$A:R,HLOOKUP('[1]Course Totals'!D$4,'[1]import success seats course'!$1:$2,2,FALSE),FALSE)/(VLOOKUP($A84,'[1]import graded seats course pivo'!$A:AB,HLOOKUP('[1]Course Totals'!D$4,'[1]import graded seats course pivo'!$1:$2,2,FALSE),FALSE))),"")</f>
        <v/>
      </c>
      <c r="E84" s="14" t="str">
        <f>IFERROR((VLOOKUP($A84,'[1]import success seats course'!$A:S,HLOOKUP('[1]Course Totals'!E$4,'[1]import success seats course'!$1:$2,2,FALSE),FALSE)/(VLOOKUP($A84,'[1]import graded seats course pivo'!$A:AC,HLOOKUP('[1]Course Totals'!E$4,'[1]import graded seats course pivo'!$1:$2,2,FALSE),FALSE))),"")</f>
        <v/>
      </c>
      <c r="F84" s="14" t="str">
        <f>IFERROR((VLOOKUP($A84,'[1]import success seats course'!$A:T,HLOOKUP('[1]Course Totals'!F$4,'[1]import success seats course'!$1:$2,2,FALSE),FALSE)/(VLOOKUP($A84,'[1]import graded seats course pivo'!$A:AD,HLOOKUP('[1]Course Totals'!F$4,'[1]import graded seats course pivo'!$1:$2,2,FALSE),FALSE))),"")</f>
        <v/>
      </c>
      <c r="G84" s="14" t="str">
        <f>IFERROR((VLOOKUP($A84,'[1]import success seats course'!$A:U,HLOOKUP('[1]Course Totals'!G$4,'[1]import success seats course'!$1:$2,2,FALSE),FALSE)/(VLOOKUP($A84,'[1]import graded seats course pivo'!$A:AE,HLOOKUP('[1]Course Totals'!G$4,'[1]import graded seats course pivo'!$1:$2,2,FALSE),FALSE))),"")</f>
        <v/>
      </c>
      <c r="H84" s="14" t="str">
        <f>IFERROR((VLOOKUP($A84,'[1]import success seats course'!$A:V,HLOOKUP('[1]Course Totals'!H$4,'[1]import success seats course'!$1:$2,2,FALSE),FALSE)/(VLOOKUP($A84,'[1]import graded seats course pivo'!$A:AF,HLOOKUP('[1]Course Totals'!H$4,'[1]import graded seats course pivo'!$1:$2,2,FALSE),FALSE))),"")</f>
        <v/>
      </c>
      <c r="I84" s="14" t="str">
        <f>IFERROR((VLOOKUP($A84,'[1]import success seats course'!$A:W,HLOOKUP('[1]Course Totals'!I$4,'[1]import success seats course'!$1:$2,2,FALSE),FALSE)/(VLOOKUP($A84,'[1]import graded seats course pivo'!$A:AG,HLOOKUP('[1]Course Totals'!I$4,'[1]import graded seats course pivo'!$1:$2,2,FALSE),FALSE))),"")</f>
        <v/>
      </c>
      <c r="J84" s="14" t="str">
        <f>IFERROR((VLOOKUP($A84,'[1]import success seats course'!$A:X,HLOOKUP('[1]Course Totals'!J$4,'[1]import success seats course'!$1:$2,2,FALSE),FALSE)/(VLOOKUP($A84,'[1]import graded seats course pivo'!$A:AH,HLOOKUP('[1]Course Totals'!J$4,'[1]import graded seats course pivo'!$1:$2,2,FALSE),FALSE))),"")</f>
        <v/>
      </c>
      <c r="K84" s="14" t="str">
        <f>IFERROR((VLOOKUP($A84,'[1]import success seats course'!$A:Y,HLOOKUP('[1]Course Totals'!K$4,'[1]import success seats course'!$1:$2,2,FALSE),FALSE)/(VLOOKUP($A84,'[1]import graded seats course pivo'!$A:AI,HLOOKUP('[1]Course Totals'!K$4,'[1]import graded seats course pivo'!$1:$2,2,FALSE),FALSE))),"")</f>
        <v/>
      </c>
      <c r="L84" s="14" t="str">
        <f>IFERROR((VLOOKUP($A84,'[1]import success seats course'!$A:Z,HLOOKUP('[1]Course Totals'!L$4,'[1]import success seats course'!$1:$2,2,FALSE),FALSE)/(VLOOKUP($A84,'[1]import graded seats course pivo'!$A:AJ,HLOOKUP('[1]Course Totals'!L$4,'[1]import graded seats course pivo'!$1:$2,2,FALSE),FALSE))),"")</f>
        <v/>
      </c>
      <c r="M84" s="14" t="str">
        <f>IFERROR((VLOOKUP($A84,'[1]import success seats course'!$A:AA,HLOOKUP('[1]Course Totals'!M$4,'[1]import success seats course'!$1:$2,2,FALSE),FALSE)/(VLOOKUP($A84,'[1]import graded seats course pivo'!$A:AK,HLOOKUP('[1]Course Totals'!M$4,'[1]import graded seats course pivo'!$1:$2,2,FALSE),FALSE))),"")</f>
        <v/>
      </c>
      <c r="N84" s="14" t="str">
        <f>IFERROR((VLOOKUP($A84,'[1]import success seats course'!$A:AB,HLOOKUP('[1]Course Totals'!N$4,'[1]import success seats course'!$1:$2,2,FALSE),FALSE)/(VLOOKUP($A84,'[1]import graded seats course pivo'!$A:AL,HLOOKUP('[1]Course Totals'!N$4,'[1]import graded seats course pivo'!$1:$2,2,FALSE),FALSE))),"")</f>
        <v/>
      </c>
      <c r="O84" s="14" t="str">
        <f>IFERROR((VLOOKUP($A84,'[1]import success seats course'!$A:AC,HLOOKUP('[1]Course Totals'!O$4,'[1]import success seats course'!$1:$2,2,FALSE),FALSE)/(VLOOKUP($A84,'[1]import graded seats course pivo'!$A:AM,HLOOKUP('[1]Course Totals'!O$4,'[1]import graded seats course pivo'!$1:$2,2,FALSE),FALSE))),"")</f>
        <v/>
      </c>
      <c r="P84" s="14" t="str">
        <f>IFERROR((VLOOKUP($A84,'[1]import success seats course'!$A:AD,HLOOKUP('[1]Course Totals'!P$4,'[1]import success seats course'!$1:$2,2,FALSE),FALSE)/(VLOOKUP($A84,'[1]import graded seats course pivo'!$A:AN,HLOOKUP('[1]Course Totals'!P$4,'[1]import graded seats course pivo'!$1:$2,2,FALSE),FALSE))),"")</f>
        <v/>
      </c>
      <c r="Q84" s="14" t="str">
        <f>IFERROR((VLOOKUP($A84,'[1]import success seats course'!$A:AE,HLOOKUP('[1]Course Totals'!Q$4,'[1]import success seats course'!$1:$2,2,FALSE),FALSE)/(VLOOKUP($A84,'[1]import graded seats course pivo'!$A:AO,HLOOKUP('[1]Course Totals'!Q$4,'[1]import graded seats course pivo'!$1:$2,2,FALSE),FALSE))),"")</f>
        <v/>
      </c>
      <c r="R84" s="14" t="str">
        <f>IFERROR((VLOOKUP($A84,'[1]import success seats course'!$A:AF,HLOOKUP('[1]Course Totals'!R$4,'[1]import success seats course'!$1:$2,2,FALSE),FALSE)/(VLOOKUP($A84,'[1]import graded seats course pivo'!$A:AP,HLOOKUP('[1]Course Totals'!R$4,'[1]import graded seats course pivo'!$1:$2,2,FALSE),FALSE))),"")</f>
        <v/>
      </c>
      <c r="S84" s="14" t="str">
        <f>IFERROR((VLOOKUP($A84,'[1]import success seats course'!$A:AG,HLOOKUP('[1]Course Totals'!S$4,'[1]import success seats course'!$1:$2,2,FALSE),FALSE)/(VLOOKUP($A84,'[1]import graded seats course pivo'!$A:AQ,HLOOKUP('[1]Course Totals'!S$4,'[1]import graded seats course pivo'!$1:$2,2,FALSE),FALSE))),"")</f>
        <v/>
      </c>
      <c r="Z84" s="7"/>
      <c r="AA84" s="7"/>
      <c r="AB84" s="7"/>
      <c r="AC84" s="7"/>
    </row>
    <row r="85" spans="1:29" ht="15.75" hidden="1" customHeight="1" x14ac:dyDescent="0.25">
      <c r="A85" s="12" t="s">
        <v>52</v>
      </c>
      <c r="B85" s="14" t="str">
        <f>IFERROR((VLOOKUP($A85,'[1]import success seats course'!$A:P,HLOOKUP('[1]Course Totals'!B$4,'[1]import success seats course'!$1:$2,2,FALSE),FALSE)/(VLOOKUP($A85,'[1]import graded seats course pivo'!$A:Z,HLOOKUP('[1]Course Totals'!B$4,'[1]import graded seats course pivo'!$1:$2,2,FALSE),FALSE))),"")</f>
        <v/>
      </c>
      <c r="C85" s="14" t="str">
        <f>IFERROR((VLOOKUP($A85,'[1]import success seats course'!$A:Q,HLOOKUP('[1]Course Totals'!C$4,'[1]import success seats course'!$1:$2,2,FALSE),FALSE)/(VLOOKUP($A85,'[1]import graded seats course pivo'!$A:AA,HLOOKUP('[1]Course Totals'!C$4,'[1]import graded seats course pivo'!$1:$2,2,FALSE),FALSE))),"")</f>
        <v/>
      </c>
      <c r="D85" s="14" t="str">
        <f>IFERROR((VLOOKUP($A85,'[1]import success seats course'!$A:R,HLOOKUP('[1]Course Totals'!D$4,'[1]import success seats course'!$1:$2,2,FALSE),FALSE)/(VLOOKUP($A85,'[1]import graded seats course pivo'!$A:AB,HLOOKUP('[1]Course Totals'!D$4,'[1]import graded seats course pivo'!$1:$2,2,FALSE),FALSE))),"")</f>
        <v/>
      </c>
      <c r="E85" s="14" t="str">
        <f>IFERROR((VLOOKUP($A85,'[1]import success seats course'!$A:S,HLOOKUP('[1]Course Totals'!E$4,'[1]import success seats course'!$1:$2,2,FALSE),FALSE)/(VLOOKUP($A85,'[1]import graded seats course pivo'!$A:AC,HLOOKUP('[1]Course Totals'!E$4,'[1]import graded seats course pivo'!$1:$2,2,FALSE),FALSE))),"")</f>
        <v/>
      </c>
      <c r="F85" s="14" t="str">
        <f>IFERROR((VLOOKUP($A85,'[1]import success seats course'!$A:T,HLOOKUP('[1]Course Totals'!F$4,'[1]import success seats course'!$1:$2,2,FALSE),FALSE)/(VLOOKUP($A85,'[1]import graded seats course pivo'!$A:AD,HLOOKUP('[1]Course Totals'!F$4,'[1]import graded seats course pivo'!$1:$2,2,FALSE),FALSE))),"")</f>
        <v/>
      </c>
      <c r="G85" s="14" t="str">
        <f>IFERROR((VLOOKUP($A85,'[1]import success seats course'!$A:U,HLOOKUP('[1]Course Totals'!G$4,'[1]import success seats course'!$1:$2,2,FALSE),FALSE)/(VLOOKUP($A85,'[1]import graded seats course pivo'!$A:AE,HLOOKUP('[1]Course Totals'!G$4,'[1]import graded seats course pivo'!$1:$2,2,FALSE),FALSE))),"")</f>
        <v/>
      </c>
      <c r="H85" s="14" t="str">
        <f>IFERROR((VLOOKUP($A85,'[1]import success seats course'!$A:V,HLOOKUP('[1]Course Totals'!H$4,'[1]import success seats course'!$1:$2,2,FALSE),FALSE)/(VLOOKUP($A85,'[1]import graded seats course pivo'!$A:AF,HLOOKUP('[1]Course Totals'!H$4,'[1]import graded seats course pivo'!$1:$2,2,FALSE),FALSE))),"")</f>
        <v/>
      </c>
      <c r="I85" s="14" t="str">
        <f>IFERROR((VLOOKUP($A85,'[1]import success seats course'!$A:W,HLOOKUP('[1]Course Totals'!I$4,'[1]import success seats course'!$1:$2,2,FALSE),FALSE)/(VLOOKUP($A85,'[1]import graded seats course pivo'!$A:AG,HLOOKUP('[1]Course Totals'!I$4,'[1]import graded seats course pivo'!$1:$2,2,FALSE),FALSE))),"")</f>
        <v/>
      </c>
      <c r="J85" s="14" t="str">
        <f>IFERROR((VLOOKUP($A85,'[1]import success seats course'!$A:X,HLOOKUP('[1]Course Totals'!J$4,'[1]import success seats course'!$1:$2,2,FALSE),FALSE)/(VLOOKUP($A85,'[1]import graded seats course pivo'!$A:AH,HLOOKUP('[1]Course Totals'!J$4,'[1]import graded seats course pivo'!$1:$2,2,FALSE),FALSE))),"")</f>
        <v/>
      </c>
      <c r="K85" s="14" t="str">
        <f>IFERROR((VLOOKUP($A85,'[1]import success seats course'!$A:Y,HLOOKUP('[1]Course Totals'!K$4,'[1]import success seats course'!$1:$2,2,FALSE),FALSE)/(VLOOKUP($A85,'[1]import graded seats course pivo'!$A:AI,HLOOKUP('[1]Course Totals'!K$4,'[1]import graded seats course pivo'!$1:$2,2,FALSE),FALSE))),"")</f>
        <v/>
      </c>
      <c r="L85" s="14" t="str">
        <f>IFERROR((VLOOKUP($A85,'[1]import success seats course'!$A:Z,HLOOKUP('[1]Course Totals'!L$4,'[1]import success seats course'!$1:$2,2,FALSE),FALSE)/(VLOOKUP($A85,'[1]import graded seats course pivo'!$A:AJ,HLOOKUP('[1]Course Totals'!L$4,'[1]import graded seats course pivo'!$1:$2,2,FALSE),FALSE))),"")</f>
        <v/>
      </c>
      <c r="M85" s="14" t="str">
        <f>IFERROR((VLOOKUP($A85,'[1]import success seats course'!$A:AA,HLOOKUP('[1]Course Totals'!M$4,'[1]import success seats course'!$1:$2,2,FALSE),FALSE)/(VLOOKUP($A85,'[1]import graded seats course pivo'!$A:AK,HLOOKUP('[1]Course Totals'!M$4,'[1]import graded seats course pivo'!$1:$2,2,FALSE),FALSE))),"")</f>
        <v/>
      </c>
      <c r="N85" s="14" t="str">
        <f>IFERROR((VLOOKUP($A85,'[1]import success seats course'!$A:AB,HLOOKUP('[1]Course Totals'!N$4,'[1]import success seats course'!$1:$2,2,FALSE),FALSE)/(VLOOKUP($A85,'[1]import graded seats course pivo'!$A:AL,HLOOKUP('[1]Course Totals'!N$4,'[1]import graded seats course pivo'!$1:$2,2,FALSE),FALSE))),"")</f>
        <v/>
      </c>
      <c r="O85" s="14" t="str">
        <f>IFERROR((VLOOKUP($A85,'[1]import success seats course'!$A:AC,HLOOKUP('[1]Course Totals'!O$4,'[1]import success seats course'!$1:$2,2,FALSE),FALSE)/(VLOOKUP($A85,'[1]import graded seats course pivo'!$A:AM,HLOOKUP('[1]Course Totals'!O$4,'[1]import graded seats course pivo'!$1:$2,2,FALSE),FALSE))),"")</f>
        <v/>
      </c>
      <c r="P85" s="14" t="str">
        <f>IFERROR((VLOOKUP($A85,'[1]import success seats course'!$A:AD,HLOOKUP('[1]Course Totals'!P$4,'[1]import success seats course'!$1:$2,2,FALSE),FALSE)/(VLOOKUP($A85,'[1]import graded seats course pivo'!$A:AN,HLOOKUP('[1]Course Totals'!P$4,'[1]import graded seats course pivo'!$1:$2,2,FALSE),FALSE))),"")</f>
        <v/>
      </c>
      <c r="Q85" s="14" t="str">
        <f>IFERROR((VLOOKUP($A85,'[1]import success seats course'!$A:AE,HLOOKUP('[1]Course Totals'!Q$4,'[1]import success seats course'!$1:$2,2,FALSE),FALSE)/(VLOOKUP($A85,'[1]import graded seats course pivo'!$A:AO,HLOOKUP('[1]Course Totals'!Q$4,'[1]import graded seats course pivo'!$1:$2,2,FALSE),FALSE))),"")</f>
        <v/>
      </c>
      <c r="R85" s="14" t="str">
        <f>IFERROR((VLOOKUP($A85,'[1]import success seats course'!$A:AF,HLOOKUP('[1]Course Totals'!R$4,'[1]import success seats course'!$1:$2,2,FALSE),FALSE)/(VLOOKUP($A85,'[1]import graded seats course pivo'!$A:AP,HLOOKUP('[1]Course Totals'!R$4,'[1]import graded seats course pivo'!$1:$2,2,FALSE),FALSE))),"")</f>
        <v/>
      </c>
      <c r="S85" s="14" t="str">
        <f>IFERROR((VLOOKUP($A85,'[1]import success seats course'!$A:AG,HLOOKUP('[1]Course Totals'!S$4,'[1]import success seats course'!$1:$2,2,FALSE),FALSE)/(VLOOKUP($A85,'[1]import graded seats course pivo'!$A:AQ,HLOOKUP('[1]Course Totals'!S$4,'[1]import graded seats course pivo'!$1:$2,2,FALSE),FALSE))),"")</f>
        <v/>
      </c>
      <c r="Z85" s="7"/>
      <c r="AA85" s="7"/>
      <c r="AB85" s="7"/>
      <c r="AC85" s="7"/>
    </row>
    <row r="86" spans="1:29" ht="15.75" hidden="1" customHeight="1" x14ac:dyDescent="0.25">
      <c r="A86" s="12" t="s">
        <v>871</v>
      </c>
      <c r="B86" s="14" t="str">
        <f>IFERROR((VLOOKUP($A86,'[1]import success seats course'!$A:P,HLOOKUP('[1]Course Totals'!B$4,'[1]import success seats course'!$1:$2,2,FALSE),FALSE)/(VLOOKUP($A86,'[1]import graded seats course pivo'!$A:Z,HLOOKUP('[1]Course Totals'!B$4,'[1]import graded seats course pivo'!$1:$2,2,FALSE),FALSE))),"")</f>
        <v/>
      </c>
      <c r="C86" s="14" t="str">
        <f>IFERROR((VLOOKUP($A86,'[1]import success seats course'!$A:Q,HLOOKUP('[1]Course Totals'!C$4,'[1]import success seats course'!$1:$2,2,FALSE),FALSE)/(VLOOKUP($A86,'[1]import graded seats course pivo'!$A:AA,HLOOKUP('[1]Course Totals'!C$4,'[1]import graded seats course pivo'!$1:$2,2,FALSE),FALSE))),"")</f>
        <v/>
      </c>
      <c r="D86" s="14" t="str">
        <f>IFERROR((VLOOKUP($A86,'[1]import success seats course'!$A:R,HLOOKUP('[1]Course Totals'!D$4,'[1]import success seats course'!$1:$2,2,FALSE),FALSE)/(VLOOKUP($A86,'[1]import graded seats course pivo'!$A:AB,HLOOKUP('[1]Course Totals'!D$4,'[1]import graded seats course pivo'!$1:$2,2,FALSE),FALSE))),"")</f>
        <v/>
      </c>
      <c r="E86" s="14" t="str">
        <f>IFERROR((VLOOKUP($A86,'[1]import success seats course'!$A:S,HLOOKUP('[1]Course Totals'!E$4,'[1]import success seats course'!$1:$2,2,FALSE),FALSE)/(VLOOKUP($A86,'[1]import graded seats course pivo'!$A:AC,HLOOKUP('[1]Course Totals'!E$4,'[1]import graded seats course pivo'!$1:$2,2,FALSE),FALSE))),"")</f>
        <v/>
      </c>
      <c r="F86" s="14" t="str">
        <f>IFERROR((VLOOKUP($A86,'[1]import success seats course'!$A:T,HLOOKUP('[1]Course Totals'!F$4,'[1]import success seats course'!$1:$2,2,FALSE),FALSE)/(VLOOKUP($A86,'[1]import graded seats course pivo'!$A:AD,HLOOKUP('[1]Course Totals'!F$4,'[1]import graded seats course pivo'!$1:$2,2,FALSE),FALSE))),"")</f>
        <v/>
      </c>
      <c r="G86" s="14" t="str">
        <f>IFERROR((VLOOKUP($A86,'[1]import success seats course'!$A:U,HLOOKUP('[1]Course Totals'!G$4,'[1]import success seats course'!$1:$2,2,FALSE),FALSE)/(VLOOKUP($A86,'[1]import graded seats course pivo'!$A:AE,HLOOKUP('[1]Course Totals'!G$4,'[1]import graded seats course pivo'!$1:$2,2,FALSE),FALSE))),"")</f>
        <v/>
      </c>
      <c r="H86" s="14" t="str">
        <f>IFERROR((VLOOKUP($A86,'[1]import success seats course'!$A:V,HLOOKUP('[1]Course Totals'!H$4,'[1]import success seats course'!$1:$2,2,FALSE),FALSE)/(VLOOKUP($A86,'[1]import graded seats course pivo'!$A:AF,HLOOKUP('[1]Course Totals'!H$4,'[1]import graded seats course pivo'!$1:$2,2,FALSE),FALSE))),"")</f>
        <v/>
      </c>
      <c r="I86" s="14" t="str">
        <f>IFERROR((VLOOKUP($A86,'[1]import success seats course'!$A:W,HLOOKUP('[1]Course Totals'!I$4,'[1]import success seats course'!$1:$2,2,FALSE),FALSE)/(VLOOKUP($A86,'[1]import graded seats course pivo'!$A:AG,HLOOKUP('[1]Course Totals'!I$4,'[1]import graded seats course pivo'!$1:$2,2,FALSE),FALSE))),"")</f>
        <v/>
      </c>
      <c r="J86" s="14" t="str">
        <f>IFERROR((VLOOKUP($A86,'[1]import success seats course'!$A:X,HLOOKUP('[1]Course Totals'!J$4,'[1]import success seats course'!$1:$2,2,FALSE),FALSE)/(VLOOKUP($A86,'[1]import graded seats course pivo'!$A:AH,HLOOKUP('[1]Course Totals'!J$4,'[1]import graded seats course pivo'!$1:$2,2,FALSE),FALSE))),"")</f>
        <v/>
      </c>
      <c r="K86" s="14" t="str">
        <f>IFERROR((VLOOKUP($A86,'[1]import success seats course'!$A:Y,HLOOKUP('[1]Course Totals'!K$4,'[1]import success seats course'!$1:$2,2,FALSE),FALSE)/(VLOOKUP($A86,'[1]import graded seats course pivo'!$A:AI,HLOOKUP('[1]Course Totals'!K$4,'[1]import graded seats course pivo'!$1:$2,2,FALSE),FALSE))),"")</f>
        <v/>
      </c>
      <c r="L86" s="14" t="str">
        <f>IFERROR((VLOOKUP($A86,'[1]import success seats course'!$A:Z,HLOOKUP('[1]Course Totals'!L$4,'[1]import success seats course'!$1:$2,2,FALSE),FALSE)/(VLOOKUP($A86,'[1]import graded seats course pivo'!$A:AJ,HLOOKUP('[1]Course Totals'!L$4,'[1]import graded seats course pivo'!$1:$2,2,FALSE),FALSE))),"")</f>
        <v/>
      </c>
      <c r="M86" s="14" t="str">
        <f>IFERROR((VLOOKUP($A86,'[1]import success seats course'!$A:AA,HLOOKUP('[1]Course Totals'!M$4,'[1]import success seats course'!$1:$2,2,FALSE),FALSE)/(VLOOKUP($A86,'[1]import graded seats course pivo'!$A:AK,HLOOKUP('[1]Course Totals'!M$4,'[1]import graded seats course pivo'!$1:$2,2,FALSE),FALSE))),"")</f>
        <v/>
      </c>
      <c r="N86" s="14" t="str">
        <f>IFERROR((VLOOKUP($A86,'[1]import success seats course'!$A:AB,HLOOKUP('[1]Course Totals'!N$4,'[1]import success seats course'!$1:$2,2,FALSE),FALSE)/(VLOOKUP($A86,'[1]import graded seats course pivo'!$A:AL,HLOOKUP('[1]Course Totals'!N$4,'[1]import graded seats course pivo'!$1:$2,2,FALSE),FALSE))),"")</f>
        <v/>
      </c>
      <c r="O86" s="14" t="str">
        <f>IFERROR((VLOOKUP($A86,'[1]import success seats course'!$A:AC,HLOOKUP('[1]Course Totals'!O$4,'[1]import success seats course'!$1:$2,2,FALSE),FALSE)/(VLOOKUP($A86,'[1]import graded seats course pivo'!$A:AM,HLOOKUP('[1]Course Totals'!O$4,'[1]import graded seats course pivo'!$1:$2,2,FALSE),FALSE))),"")</f>
        <v/>
      </c>
      <c r="P86" s="14" t="str">
        <f>IFERROR((VLOOKUP($A86,'[1]import success seats course'!$A:AD,HLOOKUP('[1]Course Totals'!P$4,'[1]import success seats course'!$1:$2,2,FALSE),FALSE)/(VLOOKUP($A86,'[1]import graded seats course pivo'!$A:AN,HLOOKUP('[1]Course Totals'!P$4,'[1]import graded seats course pivo'!$1:$2,2,FALSE),FALSE))),"")</f>
        <v/>
      </c>
      <c r="Q86" s="14" t="str">
        <f>IFERROR((VLOOKUP($A86,'[1]import success seats course'!$A:AE,HLOOKUP('[1]Course Totals'!Q$4,'[1]import success seats course'!$1:$2,2,FALSE),FALSE)/(VLOOKUP($A86,'[1]import graded seats course pivo'!$A:AO,HLOOKUP('[1]Course Totals'!Q$4,'[1]import graded seats course pivo'!$1:$2,2,FALSE),FALSE))),"")</f>
        <v/>
      </c>
      <c r="R86" s="14" t="str">
        <f>IFERROR((VLOOKUP($A86,'[1]import success seats course'!$A:AF,HLOOKUP('[1]Course Totals'!R$4,'[1]import success seats course'!$1:$2,2,FALSE),FALSE)/(VLOOKUP($A86,'[1]import graded seats course pivo'!$A:AP,HLOOKUP('[1]Course Totals'!R$4,'[1]import graded seats course pivo'!$1:$2,2,FALSE),FALSE))),"")</f>
        <v/>
      </c>
      <c r="S86" s="14" t="str">
        <f>IFERROR((VLOOKUP($A86,'[1]import success seats course'!$A:AG,HLOOKUP('[1]Course Totals'!S$4,'[1]import success seats course'!$1:$2,2,FALSE),FALSE)/(VLOOKUP($A86,'[1]import graded seats course pivo'!$A:AQ,HLOOKUP('[1]Course Totals'!S$4,'[1]import graded seats course pivo'!$1:$2,2,FALSE),FALSE))),"")</f>
        <v/>
      </c>
      <c r="Z86" s="7"/>
      <c r="AA86" s="7"/>
      <c r="AB86" s="7"/>
      <c r="AC86" s="7"/>
    </row>
    <row r="87" spans="1:29" ht="15.75" customHeight="1" x14ac:dyDescent="0.25">
      <c r="A87" s="12" t="s">
        <v>680</v>
      </c>
      <c r="B87" s="14" t="str">
        <f>IFERROR((VLOOKUP($A87,'[1]import success seats course'!$A:P,HLOOKUP('[1]Course Totals'!B$4,'[1]import success seats course'!$1:$2,2,FALSE),FALSE)/(VLOOKUP($A87,'[1]import graded seats course pivo'!$A:Z,HLOOKUP('[1]Course Totals'!B$4,'[1]import graded seats course pivo'!$1:$2,2,FALSE),FALSE))),"")</f>
        <v/>
      </c>
      <c r="C87" s="14" t="str">
        <f>IFERROR((VLOOKUP($A87,'[1]import success seats course'!$A:Q,HLOOKUP('[1]Course Totals'!C$4,'[1]import success seats course'!$1:$2,2,FALSE),FALSE)/(VLOOKUP($A87,'[1]import graded seats course pivo'!$A:AA,HLOOKUP('[1]Course Totals'!C$4,'[1]import graded seats course pivo'!$1:$2,2,FALSE),FALSE))),"")</f>
        <v/>
      </c>
      <c r="D87" s="14">
        <f>IFERROR((VLOOKUP($A87,'[1]import success seats course'!$A:R,HLOOKUP('[1]Course Totals'!D$4,'[1]import success seats course'!$1:$2,2,FALSE),FALSE)/(VLOOKUP($A87,'[1]import graded seats course pivo'!$A:AB,HLOOKUP('[1]Course Totals'!D$4,'[1]import graded seats course pivo'!$1:$2,2,FALSE),FALSE))),"")</f>
        <v>1</v>
      </c>
      <c r="E87" s="14" t="str">
        <f>IFERROR((VLOOKUP($A87,'[1]import success seats course'!$A:S,HLOOKUP('[1]Course Totals'!E$4,'[1]import success seats course'!$1:$2,2,FALSE),FALSE)/(VLOOKUP($A87,'[1]import graded seats course pivo'!$A:AC,HLOOKUP('[1]Course Totals'!E$4,'[1]import graded seats course pivo'!$1:$2,2,FALSE),FALSE))),"")</f>
        <v/>
      </c>
      <c r="F87" s="14" t="str">
        <f>IFERROR((VLOOKUP($A87,'[1]import success seats course'!$A:T,HLOOKUP('[1]Course Totals'!F$4,'[1]import success seats course'!$1:$2,2,FALSE),FALSE)/(VLOOKUP($A87,'[1]import graded seats course pivo'!$A:AD,HLOOKUP('[1]Course Totals'!F$4,'[1]import graded seats course pivo'!$1:$2,2,FALSE),FALSE))),"")</f>
        <v/>
      </c>
      <c r="G87" s="14" t="str">
        <f>IFERROR((VLOOKUP($A87,'[1]import success seats course'!$A:U,HLOOKUP('[1]Course Totals'!G$4,'[1]import success seats course'!$1:$2,2,FALSE),FALSE)/(VLOOKUP($A87,'[1]import graded seats course pivo'!$A:AE,HLOOKUP('[1]Course Totals'!G$4,'[1]import graded seats course pivo'!$1:$2,2,FALSE),FALSE))),"")</f>
        <v/>
      </c>
      <c r="H87" s="14" t="str">
        <f>IFERROR((VLOOKUP($A87,'[1]import success seats course'!$A:V,HLOOKUP('[1]Course Totals'!H$4,'[1]import success seats course'!$1:$2,2,FALSE),FALSE)/(VLOOKUP($A87,'[1]import graded seats course pivo'!$A:AF,HLOOKUP('[1]Course Totals'!H$4,'[1]import graded seats course pivo'!$1:$2,2,FALSE),FALSE))),"")</f>
        <v/>
      </c>
      <c r="I87" s="14">
        <f>IFERROR((VLOOKUP($A87,'[1]import success seats course'!$A:W,HLOOKUP('[1]Course Totals'!I$4,'[1]import success seats course'!$1:$2,2,FALSE),FALSE)/(VLOOKUP($A87,'[1]import graded seats course pivo'!$A:AG,HLOOKUP('[1]Course Totals'!I$4,'[1]import graded seats course pivo'!$1:$2,2,FALSE),FALSE))),"")</f>
        <v>1</v>
      </c>
      <c r="J87" s="14" t="str">
        <f>IFERROR((VLOOKUP($A87,'[1]import success seats course'!$A:X,HLOOKUP('[1]Course Totals'!J$4,'[1]import success seats course'!$1:$2,2,FALSE),FALSE)/(VLOOKUP($A87,'[1]import graded seats course pivo'!$A:AH,HLOOKUP('[1]Course Totals'!J$4,'[1]import graded seats course pivo'!$1:$2,2,FALSE),FALSE))),"")</f>
        <v/>
      </c>
      <c r="K87" s="14" t="str">
        <f>IFERROR((VLOOKUP($A87,'[1]import success seats course'!$A:Y,HLOOKUP('[1]Course Totals'!K$4,'[1]import success seats course'!$1:$2,2,FALSE),FALSE)/(VLOOKUP($A87,'[1]import graded seats course pivo'!$A:AI,HLOOKUP('[1]Course Totals'!K$4,'[1]import graded seats course pivo'!$1:$2,2,FALSE),FALSE))),"")</f>
        <v/>
      </c>
      <c r="L87" s="14" t="str">
        <f>IFERROR((VLOOKUP($A87,'[1]import success seats course'!$A:Z,HLOOKUP('[1]Course Totals'!L$4,'[1]import success seats course'!$1:$2,2,FALSE),FALSE)/(VLOOKUP($A87,'[1]import graded seats course pivo'!$A:AJ,HLOOKUP('[1]Course Totals'!L$4,'[1]import graded seats course pivo'!$1:$2,2,FALSE),FALSE))),"")</f>
        <v/>
      </c>
      <c r="M87" s="14" t="str">
        <f>IFERROR((VLOOKUP($A87,'[1]import success seats course'!$A:AA,HLOOKUP('[1]Course Totals'!M$4,'[1]import success seats course'!$1:$2,2,FALSE),FALSE)/(VLOOKUP($A87,'[1]import graded seats course pivo'!$A:AK,HLOOKUP('[1]Course Totals'!M$4,'[1]import graded seats course pivo'!$1:$2,2,FALSE),FALSE))),"")</f>
        <v/>
      </c>
      <c r="N87" s="14" t="str">
        <f>IFERROR((VLOOKUP($A87,'[1]import success seats course'!$A:AB,HLOOKUP('[1]Course Totals'!N$4,'[1]import success seats course'!$1:$2,2,FALSE),FALSE)/(VLOOKUP($A87,'[1]import graded seats course pivo'!$A:AL,HLOOKUP('[1]Course Totals'!N$4,'[1]import graded seats course pivo'!$1:$2,2,FALSE),FALSE))),"")</f>
        <v/>
      </c>
      <c r="O87" s="14" t="str">
        <f>IFERROR((VLOOKUP($A87,'[1]import success seats course'!$A:AC,HLOOKUP('[1]Course Totals'!O$4,'[1]import success seats course'!$1:$2,2,FALSE),FALSE)/(VLOOKUP($A87,'[1]import graded seats course pivo'!$A:AM,HLOOKUP('[1]Course Totals'!O$4,'[1]import graded seats course pivo'!$1:$2,2,FALSE),FALSE))),"")</f>
        <v/>
      </c>
      <c r="P87" s="14" t="str">
        <f>IFERROR((VLOOKUP($A87,'[1]import success seats course'!$A:AD,HLOOKUP('[1]Course Totals'!P$4,'[1]import success seats course'!$1:$2,2,FALSE),FALSE)/(VLOOKUP($A87,'[1]import graded seats course pivo'!$A:AN,HLOOKUP('[1]Course Totals'!P$4,'[1]import graded seats course pivo'!$1:$2,2,FALSE),FALSE))),"")</f>
        <v/>
      </c>
      <c r="Q87" s="14" t="str">
        <f>IFERROR((VLOOKUP($A87,'[1]import success seats course'!$A:AE,HLOOKUP('[1]Course Totals'!Q$4,'[1]import success seats course'!$1:$2,2,FALSE),FALSE)/(VLOOKUP($A87,'[1]import graded seats course pivo'!$A:AO,HLOOKUP('[1]Course Totals'!Q$4,'[1]import graded seats course pivo'!$1:$2,2,FALSE),FALSE))),"")</f>
        <v/>
      </c>
      <c r="R87" s="14" t="str">
        <f>IFERROR((VLOOKUP($A87,'[1]import success seats course'!$A:AF,HLOOKUP('[1]Course Totals'!R$4,'[1]import success seats course'!$1:$2,2,FALSE),FALSE)/(VLOOKUP($A87,'[1]import graded seats course pivo'!$A:AP,HLOOKUP('[1]Course Totals'!R$4,'[1]import graded seats course pivo'!$1:$2,2,FALSE),FALSE))),"")</f>
        <v/>
      </c>
      <c r="S87" s="14" t="str">
        <f>IFERROR((VLOOKUP($A87,'[1]import success seats course'!$A:AG,HLOOKUP('[1]Course Totals'!S$4,'[1]import success seats course'!$1:$2,2,FALSE),FALSE)/(VLOOKUP($A87,'[1]import graded seats course pivo'!$A:AQ,HLOOKUP('[1]Course Totals'!S$4,'[1]import graded seats course pivo'!$1:$2,2,FALSE),FALSE))),"")</f>
        <v/>
      </c>
      <c r="Z87" s="7"/>
      <c r="AA87" s="7"/>
      <c r="AB87" s="7"/>
      <c r="AC87" s="7"/>
    </row>
    <row r="88" spans="1:29" s="7" customFormat="1" ht="15.75" x14ac:dyDescent="0.25">
      <c r="A88" s="9" t="s">
        <v>1139</v>
      </c>
      <c r="B88" s="67" t="str">
        <f>'[1]Subject TOTALS'!$B$1:$P$1</f>
        <v xml:space="preserve">MVC Retention Rates 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</row>
    <row r="89" spans="1:29" s="7" customFormat="1" ht="15.75" customHeight="1" thickBot="1" x14ac:dyDescent="0.3">
      <c r="A89" s="8" t="str">
        <f>'[1]SUBJECTS BASE'!H7</f>
        <v>Art</v>
      </c>
      <c r="B89" s="38" t="s">
        <v>1046</v>
      </c>
      <c r="C89" s="39" t="s">
        <v>0</v>
      </c>
      <c r="D89" s="40" t="s">
        <v>868</v>
      </c>
      <c r="E89" s="41" t="s">
        <v>1052</v>
      </c>
      <c r="F89" s="42" t="s">
        <v>546</v>
      </c>
      <c r="G89" s="43" t="s">
        <v>959</v>
      </c>
      <c r="H89" s="44" t="s">
        <v>1060</v>
      </c>
      <c r="I89" s="39" t="s">
        <v>675</v>
      </c>
      <c r="J89" s="45" t="s">
        <v>1006</v>
      </c>
      <c r="K89" s="46" t="s">
        <v>1062</v>
      </c>
      <c r="L89" s="42" t="s">
        <v>762</v>
      </c>
      <c r="M89" s="43" t="s">
        <v>1022</v>
      </c>
      <c r="N89" s="44" t="s">
        <v>1063</v>
      </c>
      <c r="O89" s="39" t="s">
        <v>822</v>
      </c>
      <c r="P89" s="40" t="s">
        <v>1042</v>
      </c>
      <c r="Q89" s="46" t="s">
        <v>1153</v>
      </c>
      <c r="R89" s="42" t="s">
        <v>1154</v>
      </c>
      <c r="S89" s="43" t="s">
        <v>1155</v>
      </c>
    </row>
    <row r="90" spans="1:29" ht="15.75" customHeight="1" x14ac:dyDescent="0.25">
      <c r="A90" s="12" t="s">
        <v>765</v>
      </c>
      <c r="B90" s="14" t="str">
        <f>IFERROR((VLOOKUP($A90,'[1]import success seats course'!$A:P,HLOOKUP('[1]Course Totals'!B$4,'[1]import success seats course'!$1:$2,2,FALSE),FALSE)/(VLOOKUP($A90,'[1]import graded seats course pivo'!$A:Z,HLOOKUP('[1]Course Totals'!B$4,'[1]import graded seats course pivo'!$1:$2,2,FALSE),FALSE))),"")</f>
        <v/>
      </c>
      <c r="C90" s="14" t="str">
        <f>IFERROR((VLOOKUP($A90,'[1]import success seats course'!$A:Q,HLOOKUP('[1]Course Totals'!C$4,'[1]import success seats course'!$1:$2,2,FALSE),FALSE)/(VLOOKUP($A90,'[1]import graded seats course pivo'!$A:AA,HLOOKUP('[1]Course Totals'!C$4,'[1]import graded seats course pivo'!$1:$2,2,FALSE),FALSE))),"")</f>
        <v/>
      </c>
      <c r="D90" s="14" t="str">
        <f>IFERROR((VLOOKUP($A90,'[1]import success seats course'!$A:R,HLOOKUP('[1]Course Totals'!D$4,'[1]import success seats course'!$1:$2,2,FALSE),FALSE)/(VLOOKUP($A90,'[1]import graded seats course pivo'!$A:AB,HLOOKUP('[1]Course Totals'!D$4,'[1]import graded seats course pivo'!$1:$2,2,FALSE),FALSE))),"")</f>
        <v/>
      </c>
      <c r="E90" s="14" t="str">
        <f>IFERROR((VLOOKUP($A90,'[1]import success seats course'!$A:S,HLOOKUP('[1]Course Totals'!E$4,'[1]import success seats course'!$1:$2,2,FALSE),FALSE)/(VLOOKUP($A90,'[1]import graded seats course pivo'!$A:AC,HLOOKUP('[1]Course Totals'!E$4,'[1]import graded seats course pivo'!$1:$2,2,FALSE),FALSE))),"")</f>
        <v/>
      </c>
      <c r="F90" s="14" t="str">
        <f>IFERROR((VLOOKUP($A90,'[1]import success seats course'!$A:T,HLOOKUP('[1]Course Totals'!F$4,'[1]import success seats course'!$1:$2,2,FALSE),FALSE)/(VLOOKUP($A90,'[1]import graded seats course pivo'!$A:AD,HLOOKUP('[1]Course Totals'!F$4,'[1]import graded seats course pivo'!$1:$2,2,FALSE),FALSE))),"")</f>
        <v/>
      </c>
      <c r="G90" s="14" t="str">
        <f>IFERROR((VLOOKUP($A90,'[1]import success seats course'!$A:U,HLOOKUP('[1]Course Totals'!G$4,'[1]import success seats course'!$1:$2,2,FALSE),FALSE)/(VLOOKUP($A90,'[1]import graded seats course pivo'!$A:AE,HLOOKUP('[1]Course Totals'!G$4,'[1]import graded seats course pivo'!$1:$2,2,FALSE),FALSE))),"")</f>
        <v/>
      </c>
      <c r="H90" s="14" t="str">
        <f>IFERROR((VLOOKUP($A90,'[1]import success seats course'!$A:V,HLOOKUP('[1]Course Totals'!H$4,'[1]import success seats course'!$1:$2,2,FALSE),FALSE)/(VLOOKUP($A90,'[1]import graded seats course pivo'!$A:AF,HLOOKUP('[1]Course Totals'!H$4,'[1]import graded seats course pivo'!$1:$2,2,FALSE),FALSE))),"")</f>
        <v/>
      </c>
      <c r="I90" s="14" t="str">
        <f>IFERROR((VLOOKUP($A90,'[1]import success seats course'!$A:W,HLOOKUP('[1]Course Totals'!I$4,'[1]import success seats course'!$1:$2,2,FALSE),FALSE)/(VLOOKUP($A90,'[1]import graded seats course pivo'!$A:AG,HLOOKUP('[1]Course Totals'!I$4,'[1]import graded seats course pivo'!$1:$2,2,FALSE),FALSE))),"")</f>
        <v/>
      </c>
      <c r="J90" s="14" t="str">
        <f>IFERROR((VLOOKUP($A90,'[1]import success seats course'!$A:X,HLOOKUP('[1]Course Totals'!J$4,'[1]import success seats course'!$1:$2,2,FALSE),FALSE)/(VLOOKUP($A90,'[1]import graded seats course pivo'!$A:AH,HLOOKUP('[1]Course Totals'!J$4,'[1]import graded seats course pivo'!$1:$2,2,FALSE),FALSE))),"")</f>
        <v/>
      </c>
      <c r="K90" s="14" t="str">
        <f>IFERROR((VLOOKUP($A90,'[1]import success seats course'!$A:Y,HLOOKUP('[1]Course Totals'!K$4,'[1]import success seats course'!$1:$2,2,FALSE),FALSE)/(VLOOKUP($A90,'[1]import graded seats course pivo'!$A:AI,HLOOKUP('[1]Course Totals'!K$4,'[1]import graded seats course pivo'!$1:$2,2,FALSE),FALSE))),"")</f>
        <v/>
      </c>
      <c r="L90" s="14">
        <f>IFERROR((VLOOKUP($A90,'[1]import success seats course'!$A:Z,HLOOKUP('[1]Course Totals'!L$4,'[1]import success seats course'!$1:$2,2,FALSE),FALSE)/(VLOOKUP($A90,'[1]import graded seats course pivo'!$A:AJ,HLOOKUP('[1]Course Totals'!L$4,'[1]import graded seats course pivo'!$1:$2,2,FALSE),FALSE))),"")</f>
        <v>0.63636363636363635</v>
      </c>
      <c r="M90" s="14">
        <f>IFERROR((VLOOKUP($A90,'[1]import success seats course'!$A:AA,HLOOKUP('[1]Course Totals'!M$4,'[1]import success seats course'!$1:$2,2,FALSE),FALSE)/(VLOOKUP($A90,'[1]import graded seats course pivo'!$A:AK,HLOOKUP('[1]Course Totals'!M$4,'[1]import graded seats course pivo'!$1:$2,2,FALSE),FALSE))),"")</f>
        <v>0.38461538461538464</v>
      </c>
      <c r="N90" s="14" t="str">
        <f>IFERROR((VLOOKUP($A90,'[1]import success seats course'!$A:AB,HLOOKUP('[1]Course Totals'!N$4,'[1]import success seats course'!$1:$2,2,FALSE),FALSE)/(VLOOKUP($A90,'[1]import graded seats course pivo'!$A:AL,HLOOKUP('[1]Course Totals'!N$4,'[1]import graded seats course pivo'!$1:$2,2,FALSE),FALSE))),"")</f>
        <v/>
      </c>
      <c r="O90" s="14">
        <f>IFERROR((VLOOKUP($A90,'[1]import success seats course'!$A:AC,HLOOKUP('[1]Course Totals'!O$4,'[1]import success seats course'!$1:$2,2,FALSE),FALSE)/(VLOOKUP($A90,'[1]import graded seats course pivo'!$A:AM,HLOOKUP('[1]Course Totals'!O$4,'[1]import graded seats course pivo'!$1:$2,2,FALSE),FALSE))),"")</f>
        <v>0.8666666666666667</v>
      </c>
      <c r="P90" s="14">
        <f>IFERROR((VLOOKUP($A90,'[1]import success seats course'!$A:AD,HLOOKUP('[1]Course Totals'!P$4,'[1]import success seats course'!$1:$2,2,FALSE),FALSE)/(VLOOKUP($A90,'[1]import graded seats course pivo'!$A:AN,HLOOKUP('[1]Course Totals'!P$4,'[1]import graded seats course pivo'!$1:$2,2,FALSE),FALSE))),"")</f>
        <v>0.5625</v>
      </c>
      <c r="Q90" s="14" t="str">
        <f>IFERROR((VLOOKUP($A90,'[1]import success seats course'!$A:AE,HLOOKUP('[1]Course Totals'!Q$4,'[1]import success seats course'!$1:$2,2,FALSE),FALSE)/(VLOOKUP($A90,'[1]import graded seats course pivo'!$A:AO,HLOOKUP('[1]Course Totals'!Q$4,'[1]import graded seats course pivo'!$1:$2,2,FALSE),FALSE))),"")</f>
        <v/>
      </c>
      <c r="R90" s="14">
        <f>IFERROR((VLOOKUP($A90,'[1]import success seats course'!$A:AF,HLOOKUP('[1]Course Totals'!R$4,'[1]import success seats course'!$1:$2,2,FALSE),FALSE)/(VLOOKUP($A90,'[1]import graded seats course pivo'!$A:AP,HLOOKUP('[1]Course Totals'!R$4,'[1]import graded seats course pivo'!$1:$2,2,FALSE),FALSE))),"")</f>
        <v>0.91666666666666663</v>
      </c>
      <c r="S90" s="14">
        <f>IFERROR((VLOOKUP($A90,'[1]import success seats course'!$A:AG,HLOOKUP('[1]Course Totals'!S$4,'[1]import success seats course'!$1:$2,2,FALSE),FALSE)/(VLOOKUP($A90,'[1]import graded seats course pivo'!$A:AQ,HLOOKUP('[1]Course Totals'!S$4,'[1]import graded seats course pivo'!$1:$2,2,FALSE),FALSE))),"")</f>
        <v>0.8125</v>
      </c>
      <c r="Z90" s="7"/>
      <c r="AA90" s="7"/>
      <c r="AB90" s="7"/>
      <c r="AC90" s="7"/>
    </row>
    <row r="91" spans="1:29" ht="15.75" customHeight="1" x14ac:dyDescent="0.25">
      <c r="A91" s="12" t="s">
        <v>766</v>
      </c>
      <c r="B91" s="14" t="str">
        <f>IFERROR((VLOOKUP($A91,'[1]import success seats course'!$A:P,HLOOKUP('[1]Course Totals'!B$4,'[1]import success seats course'!$1:$2,2,FALSE),FALSE)/(VLOOKUP($A91,'[1]import graded seats course pivo'!$A:Z,HLOOKUP('[1]Course Totals'!B$4,'[1]import graded seats course pivo'!$1:$2,2,FALSE),FALSE))),"")</f>
        <v/>
      </c>
      <c r="C91" s="14" t="str">
        <f>IFERROR((VLOOKUP($A91,'[1]import success seats course'!$A:Q,HLOOKUP('[1]Course Totals'!C$4,'[1]import success seats course'!$1:$2,2,FALSE),FALSE)/(VLOOKUP($A91,'[1]import graded seats course pivo'!$A:AA,HLOOKUP('[1]Course Totals'!C$4,'[1]import graded seats course pivo'!$1:$2,2,FALSE),FALSE))),"")</f>
        <v/>
      </c>
      <c r="D91" s="14" t="str">
        <f>IFERROR((VLOOKUP($A91,'[1]import success seats course'!$A:R,HLOOKUP('[1]Course Totals'!D$4,'[1]import success seats course'!$1:$2,2,FALSE),FALSE)/(VLOOKUP($A91,'[1]import graded seats course pivo'!$A:AB,HLOOKUP('[1]Course Totals'!D$4,'[1]import graded seats course pivo'!$1:$2,2,FALSE),FALSE))),"")</f>
        <v/>
      </c>
      <c r="E91" s="14" t="str">
        <f>IFERROR((VLOOKUP($A91,'[1]import success seats course'!$A:S,HLOOKUP('[1]Course Totals'!E$4,'[1]import success seats course'!$1:$2,2,FALSE),FALSE)/(VLOOKUP($A91,'[1]import graded seats course pivo'!$A:AC,HLOOKUP('[1]Course Totals'!E$4,'[1]import graded seats course pivo'!$1:$2,2,FALSE),FALSE))),"")</f>
        <v/>
      </c>
      <c r="F91" s="14" t="str">
        <f>IFERROR((VLOOKUP($A91,'[1]import success seats course'!$A:T,HLOOKUP('[1]Course Totals'!F$4,'[1]import success seats course'!$1:$2,2,FALSE),FALSE)/(VLOOKUP($A91,'[1]import graded seats course pivo'!$A:AD,HLOOKUP('[1]Course Totals'!F$4,'[1]import graded seats course pivo'!$1:$2,2,FALSE),FALSE))),"")</f>
        <v/>
      </c>
      <c r="G91" s="14" t="str">
        <f>IFERROR((VLOOKUP($A91,'[1]import success seats course'!$A:U,HLOOKUP('[1]Course Totals'!G$4,'[1]import success seats course'!$1:$2,2,FALSE),FALSE)/(VLOOKUP($A91,'[1]import graded seats course pivo'!$A:AE,HLOOKUP('[1]Course Totals'!G$4,'[1]import graded seats course pivo'!$1:$2,2,FALSE),FALSE))),"")</f>
        <v/>
      </c>
      <c r="H91" s="14" t="str">
        <f>IFERROR((VLOOKUP($A91,'[1]import success seats course'!$A:V,HLOOKUP('[1]Course Totals'!H$4,'[1]import success seats course'!$1:$2,2,FALSE),FALSE)/(VLOOKUP($A91,'[1]import graded seats course pivo'!$A:AF,HLOOKUP('[1]Course Totals'!H$4,'[1]import graded seats course pivo'!$1:$2,2,FALSE),FALSE))),"")</f>
        <v/>
      </c>
      <c r="I91" s="14" t="str">
        <f>IFERROR((VLOOKUP($A91,'[1]import success seats course'!$A:W,HLOOKUP('[1]Course Totals'!I$4,'[1]import success seats course'!$1:$2,2,FALSE),FALSE)/(VLOOKUP($A91,'[1]import graded seats course pivo'!$A:AG,HLOOKUP('[1]Course Totals'!I$4,'[1]import graded seats course pivo'!$1:$2,2,FALSE),FALSE))),"")</f>
        <v/>
      </c>
      <c r="J91" s="14" t="str">
        <f>IFERROR((VLOOKUP($A91,'[1]import success seats course'!$A:X,HLOOKUP('[1]Course Totals'!J$4,'[1]import success seats course'!$1:$2,2,FALSE),FALSE)/(VLOOKUP($A91,'[1]import graded seats course pivo'!$A:AH,HLOOKUP('[1]Course Totals'!J$4,'[1]import graded seats course pivo'!$1:$2,2,FALSE),FALSE))),"")</f>
        <v/>
      </c>
      <c r="K91" s="14" t="str">
        <f>IFERROR((VLOOKUP($A91,'[1]import success seats course'!$A:Y,HLOOKUP('[1]Course Totals'!K$4,'[1]import success seats course'!$1:$2,2,FALSE),FALSE)/(VLOOKUP($A91,'[1]import graded seats course pivo'!$A:AI,HLOOKUP('[1]Course Totals'!K$4,'[1]import graded seats course pivo'!$1:$2,2,FALSE),FALSE))),"")</f>
        <v/>
      </c>
      <c r="L91" s="14">
        <f>IFERROR((VLOOKUP($A91,'[1]import success seats course'!$A:Z,HLOOKUP('[1]Course Totals'!L$4,'[1]import success seats course'!$1:$2,2,FALSE),FALSE)/(VLOOKUP($A91,'[1]import graded seats course pivo'!$A:AJ,HLOOKUP('[1]Course Totals'!L$4,'[1]import graded seats course pivo'!$1:$2,2,FALSE),FALSE))),"")</f>
        <v>0.8125</v>
      </c>
      <c r="M91" s="14">
        <f>IFERROR((VLOOKUP($A91,'[1]import success seats course'!$A:AA,HLOOKUP('[1]Course Totals'!M$4,'[1]import success seats course'!$1:$2,2,FALSE),FALSE)/(VLOOKUP($A91,'[1]import graded seats course pivo'!$A:AK,HLOOKUP('[1]Course Totals'!M$4,'[1]import graded seats course pivo'!$1:$2,2,FALSE),FALSE))),"")</f>
        <v>0.7</v>
      </c>
      <c r="N91" s="14" t="str">
        <f>IFERROR((VLOOKUP($A91,'[1]import success seats course'!$A:AB,HLOOKUP('[1]Course Totals'!N$4,'[1]import success seats course'!$1:$2,2,FALSE),FALSE)/(VLOOKUP($A91,'[1]import graded seats course pivo'!$A:AL,HLOOKUP('[1]Course Totals'!N$4,'[1]import graded seats course pivo'!$1:$2,2,FALSE),FALSE))),"")</f>
        <v/>
      </c>
      <c r="O91" s="14">
        <f>IFERROR((VLOOKUP($A91,'[1]import success seats course'!$A:AC,HLOOKUP('[1]Course Totals'!O$4,'[1]import success seats course'!$1:$2,2,FALSE),FALSE)/(VLOOKUP($A91,'[1]import graded seats course pivo'!$A:AM,HLOOKUP('[1]Course Totals'!O$4,'[1]import graded seats course pivo'!$1:$2,2,FALSE),FALSE))),"")</f>
        <v>0.76923076923076927</v>
      </c>
      <c r="P91" s="14">
        <f>IFERROR((VLOOKUP($A91,'[1]import success seats course'!$A:AD,HLOOKUP('[1]Course Totals'!P$4,'[1]import success seats course'!$1:$2,2,FALSE),FALSE)/(VLOOKUP($A91,'[1]import graded seats course pivo'!$A:AN,HLOOKUP('[1]Course Totals'!P$4,'[1]import graded seats course pivo'!$1:$2,2,FALSE),FALSE))),"")</f>
        <v>0.63636363636363635</v>
      </c>
      <c r="Q91" s="14" t="str">
        <f>IFERROR((VLOOKUP($A91,'[1]import success seats course'!$A:AE,HLOOKUP('[1]Course Totals'!Q$4,'[1]import success seats course'!$1:$2,2,FALSE),FALSE)/(VLOOKUP($A91,'[1]import graded seats course pivo'!$A:AO,HLOOKUP('[1]Course Totals'!Q$4,'[1]import graded seats course pivo'!$1:$2,2,FALSE),FALSE))),"")</f>
        <v/>
      </c>
      <c r="R91" s="14">
        <f>IFERROR((VLOOKUP($A91,'[1]import success seats course'!$A:AF,HLOOKUP('[1]Course Totals'!R$4,'[1]import success seats course'!$1:$2,2,FALSE),FALSE)/(VLOOKUP($A91,'[1]import graded seats course pivo'!$A:AP,HLOOKUP('[1]Course Totals'!R$4,'[1]import graded seats course pivo'!$1:$2,2,FALSE),FALSE))),"")</f>
        <v>0.89473684210526316</v>
      </c>
      <c r="S91" s="14">
        <f>IFERROR((VLOOKUP($A91,'[1]import success seats course'!$A:AG,HLOOKUP('[1]Course Totals'!S$4,'[1]import success seats course'!$1:$2,2,FALSE),FALSE)/(VLOOKUP($A91,'[1]import graded seats course pivo'!$A:AQ,HLOOKUP('[1]Course Totals'!S$4,'[1]import graded seats course pivo'!$1:$2,2,FALSE),FALSE))),"")</f>
        <v>0.76470588235294112</v>
      </c>
      <c r="Z91" s="7"/>
      <c r="AA91" s="7"/>
      <c r="AB91" s="7"/>
      <c r="AC91" s="7"/>
    </row>
    <row r="92" spans="1:29" ht="15.75" customHeight="1" x14ac:dyDescent="0.25">
      <c r="A92" s="12" t="s">
        <v>53</v>
      </c>
      <c r="B92" s="14" t="str">
        <f>IFERROR((VLOOKUP($A92,'[1]import success seats course'!$A:P,HLOOKUP('[1]Course Totals'!B$4,'[1]import success seats course'!$1:$2,2,FALSE),FALSE)/(VLOOKUP($A92,'[1]import graded seats course pivo'!$A:Z,HLOOKUP('[1]Course Totals'!B$4,'[1]import graded seats course pivo'!$1:$2,2,FALSE),FALSE))),"")</f>
        <v/>
      </c>
      <c r="C92" s="14">
        <f>IFERROR((VLOOKUP($A92,'[1]import success seats course'!$A:Q,HLOOKUP('[1]Course Totals'!C$4,'[1]import success seats course'!$1:$2,2,FALSE),FALSE)/(VLOOKUP($A92,'[1]import graded seats course pivo'!$A:AA,HLOOKUP('[1]Course Totals'!C$4,'[1]import graded seats course pivo'!$1:$2,2,FALSE),FALSE))),"")</f>
        <v>0.88888888888888884</v>
      </c>
      <c r="D92" s="14">
        <f>IFERROR((VLOOKUP($A92,'[1]import success seats course'!$A:R,HLOOKUP('[1]Course Totals'!D$4,'[1]import success seats course'!$1:$2,2,FALSE),FALSE)/(VLOOKUP($A92,'[1]import graded seats course pivo'!$A:AB,HLOOKUP('[1]Course Totals'!D$4,'[1]import graded seats course pivo'!$1:$2,2,FALSE),FALSE))),"")</f>
        <v>0.97222222222222221</v>
      </c>
      <c r="E92" s="14">
        <f>IFERROR((VLOOKUP($A92,'[1]import success seats course'!$A:S,HLOOKUP('[1]Course Totals'!E$4,'[1]import success seats course'!$1:$2,2,FALSE),FALSE)/(VLOOKUP($A92,'[1]import graded seats course pivo'!$A:AC,HLOOKUP('[1]Course Totals'!E$4,'[1]import graded seats course pivo'!$1:$2,2,FALSE),FALSE))),"")</f>
        <v>1</v>
      </c>
      <c r="F92" s="14">
        <f>IFERROR((VLOOKUP($A92,'[1]import success seats course'!$A:T,HLOOKUP('[1]Course Totals'!F$4,'[1]import success seats course'!$1:$2,2,FALSE),FALSE)/(VLOOKUP($A92,'[1]import graded seats course pivo'!$A:AD,HLOOKUP('[1]Course Totals'!F$4,'[1]import graded seats course pivo'!$1:$2,2,FALSE),FALSE))),"")</f>
        <v>0.85</v>
      </c>
      <c r="G92" s="14">
        <f>IFERROR((VLOOKUP($A92,'[1]import success seats course'!$A:U,HLOOKUP('[1]Course Totals'!G$4,'[1]import success seats course'!$1:$2,2,FALSE),FALSE)/(VLOOKUP($A92,'[1]import graded seats course pivo'!$A:AE,HLOOKUP('[1]Course Totals'!G$4,'[1]import graded seats course pivo'!$1:$2,2,FALSE),FALSE))),"")</f>
        <v>0.97674418604651159</v>
      </c>
      <c r="H92" s="14" t="str">
        <f>IFERROR((VLOOKUP($A92,'[1]import success seats course'!$A:V,HLOOKUP('[1]Course Totals'!H$4,'[1]import success seats course'!$1:$2,2,FALSE),FALSE)/(VLOOKUP($A92,'[1]import graded seats course pivo'!$A:AF,HLOOKUP('[1]Course Totals'!H$4,'[1]import graded seats course pivo'!$1:$2,2,FALSE),FALSE))),"")</f>
        <v/>
      </c>
      <c r="I92" s="14">
        <f>IFERROR((VLOOKUP($A92,'[1]import success seats course'!$A:W,HLOOKUP('[1]Course Totals'!I$4,'[1]import success seats course'!$1:$2,2,FALSE),FALSE)/(VLOOKUP($A92,'[1]import graded seats course pivo'!$A:AG,HLOOKUP('[1]Course Totals'!I$4,'[1]import graded seats course pivo'!$1:$2,2,FALSE),FALSE))),"")</f>
        <v>0.95833333333333337</v>
      </c>
      <c r="J92" s="14">
        <f>IFERROR((VLOOKUP($A92,'[1]import success seats course'!$A:X,HLOOKUP('[1]Course Totals'!J$4,'[1]import success seats course'!$1:$2,2,FALSE),FALSE)/(VLOOKUP($A92,'[1]import graded seats course pivo'!$A:AH,HLOOKUP('[1]Course Totals'!J$4,'[1]import graded seats course pivo'!$1:$2,2,FALSE),FALSE))),"")</f>
        <v>0.92727272727272725</v>
      </c>
      <c r="K92" s="14" t="str">
        <f>IFERROR((VLOOKUP($A92,'[1]import success seats course'!$A:Y,HLOOKUP('[1]Course Totals'!K$4,'[1]import success seats course'!$1:$2,2,FALSE),FALSE)/(VLOOKUP($A92,'[1]import graded seats course pivo'!$A:AI,HLOOKUP('[1]Course Totals'!K$4,'[1]import graded seats course pivo'!$1:$2,2,FALSE),FALSE))),"")</f>
        <v/>
      </c>
      <c r="L92" s="14">
        <f>IFERROR((VLOOKUP($A92,'[1]import success seats course'!$A:Z,HLOOKUP('[1]Course Totals'!L$4,'[1]import success seats course'!$1:$2,2,FALSE),FALSE)/(VLOOKUP($A92,'[1]import graded seats course pivo'!$A:AJ,HLOOKUP('[1]Course Totals'!L$4,'[1]import graded seats course pivo'!$1:$2,2,FALSE),FALSE))),"")</f>
        <v>0.97560975609756095</v>
      </c>
      <c r="M92" s="14">
        <f>IFERROR((VLOOKUP($A92,'[1]import success seats course'!$A:AA,HLOOKUP('[1]Course Totals'!M$4,'[1]import success seats course'!$1:$2,2,FALSE),FALSE)/(VLOOKUP($A92,'[1]import graded seats course pivo'!$A:AK,HLOOKUP('[1]Course Totals'!M$4,'[1]import graded seats course pivo'!$1:$2,2,FALSE),FALSE))),"")</f>
        <v>0.90697674418604646</v>
      </c>
      <c r="N92" s="14" t="str">
        <f>IFERROR((VLOOKUP($A92,'[1]import success seats course'!$A:AB,HLOOKUP('[1]Course Totals'!N$4,'[1]import success seats course'!$1:$2,2,FALSE),FALSE)/(VLOOKUP($A92,'[1]import graded seats course pivo'!$A:AL,HLOOKUP('[1]Course Totals'!N$4,'[1]import graded seats course pivo'!$1:$2,2,FALSE),FALSE))),"")</f>
        <v/>
      </c>
      <c r="O92" s="14">
        <f>IFERROR((VLOOKUP($A92,'[1]import success seats course'!$A:AC,HLOOKUP('[1]Course Totals'!O$4,'[1]import success seats course'!$1:$2,2,FALSE),FALSE)/(VLOOKUP($A92,'[1]import graded seats course pivo'!$A:AM,HLOOKUP('[1]Course Totals'!O$4,'[1]import graded seats course pivo'!$1:$2,2,FALSE),FALSE))),"")</f>
        <v>0.95744680851063835</v>
      </c>
      <c r="P92" s="14">
        <f>IFERROR((VLOOKUP($A92,'[1]import success seats course'!$A:AD,HLOOKUP('[1]Course Totals'!P$4,'[1]import success seats course'!$1:$2,2,FALSE),FALSE)/(VLOOKUP($A92,'[1]import graded seats course pivo'!$A:AN,HLOOKUP('[1]Course Totals'!P$4,'[1]import graded seats course pivo'!$1:$2,2,FALSE),FALSE))),"")</f>
        <v>1</v>
      </c>
      <c r="Q92" s="14" t="str">
        <f>IFERROR((VLOOKUP($A92,'[1]import success seats course'!$A:AE,HLOOKUP('[1]Course Totals'!Q$4,'[1]import success seats course'!$1:$2,2,FALSE),FALSE)/(VLOOKUP($A92,'[1]import graded seats course pivo'!$A:AO,HLOOKUP('[1]Course Totals'!Q$4,'[1]import graded seats course pivo'!$1:$2,2,FALSE),FALSE))),"")</f>
        <v/>
      </c>
      <c r="R92" s="14">
        <f>IFERROR((VLOOKUP($A92,'[1]import success seats course'!$A:AF,HLOOKUP('[1]Course Totals'!R$4,'[1]import success seats course'!$1:$2,2,FALSE),FALSE)/(VLOOKUP($A92,'[1]import graded seats course pivo'!$A:AP,HLOOKUP('[1]Course Totals'!R$4,'[1]import graded seats course pivo'!$1:$2,2,FALSE),FALSE))),"")</f>
        <v>0.92156862745098034</v>
      </c>
      <c r="S92" s="14">
        <f>IFERROR((VLOOKUP($A92,'[1]import success seats course'!$A:AG,HLOOKUP('[1]Course Totals'!S$4,'[1]import success seats course'!$1:$2,2,FALSE),FALSE)/(VLOOKUP($A92,'[1]import graded seats course pivo'!$A:AQ,HLOOKUP('[1]Course Totals'!S$4,'[1]import graded seats course pivo'!$1:$2,2,FALSE),FALSE))),"")</f>
        <v>0.97777777777777775</v>
      </c>
      <c r="Z92" s="7"/>
      <c r="AA92" s="7"/>
      <c r="AB92" s="7"/>
      <c r="AC92" s="7"/>
    </row>
    <row r="93" spans="1:29" ht="15.75" customHeight="1" x14ac:dyDescent="0.25">
      <c r="A93" s="12" t="s">
        <v>54</v>
      </c>
      <c r="B93" s="14" t="str">
        <f>IFERROR((VLOOKUP($A93,'[1]import success seats course'!$A:P,HLOOKUP('[1]Course Totals'!B$4,'[1]import success seats course'!$1:$2,2,FALSE),FALSE)/(VLOOKUP($A93,'[1]import graded seats course pivo'!$A:Z,HLOOKUP('[1]Course Totals'!B$4,'[1]import graded seats course pivo'!$1:$2,2,FALSE),FALSE))),"")</f>
        <v/>
      </c>
      <c r="C93" s="14">
        <f>IFERROR((VLOOKUP($A93,'[1]import success seats course'!$A:Q,HLOOKUP('[1]Course Totals'!C$4,'[1]import success seats course'!$1:$2,2,FALSE),FALSE)/(VLOOKUP($A93,'[1]import graded seats course pivo'!$A:AA,HLOOKUP('[1]Course Totals'!C$4,'[1]import graded seats course pivo'!$1:$2,2,FALSE),FALSE))),"")</f>
        <v>0.90243902439024393</v>
      </c>
      <c r="D93" s="14">
        <f>IFERROR((VLOOKUP($A93,'[1]import success seats course'!$A:R,HLOOKUP('[1]Course Totals'!D$4,'[1]import success seats course'!$1:$2,2,FALSE),FALSE)/(VLOOKUP($A93,'[1]import graded seats course pivo'!$A:AB,HLOOKUP('[1]Course Totals'!D$4,'[1]import graded seats course pivo'!$1:$2,2,FALSE),FALSE))),"")</f>
        <v>0.97916666666666663</v>
      </c>
      <c r="E93" s="14" t="str">
        <f>IFERROR((VLOOKUP($A93,'[1]import success seats course'!$A:S,HLOOKUP('[1]Course Totals'!E$4,'[1]import success seats course'!$1:$2,2,FALSE),FALSE)/(VLOOKUP($A93,'[1]import graded seats course pivo'!$A:AC,HLOOKUP('[1]Course Totals'!E$4,'[1]import graded seats course pivo'!$1:$2,2,FALSE),FALSE))),"")</f>
        <v/>
      </c>
      <c r="F93" s="14">
        <f>IFERROR((VLOOKUP($A93,'[1]import success seats course'!$A:T,HLOOKUP('[1]Course Totals'!F$4,'[1]import success seats course'!$1:$2,2,FALSE),FALSE)/(VLOOKUP($A93,'[1]import graded seats course pivo'!$A:AD,HLOOKUP('[1]Course Totals'!F$4,'[1]import graded seats course pivo'!$1:$2,2,FALSE),FALSE))),"")</f>
        <v>0.83720930232558144</v>
      </c>
      <c r="G93" s="14">
        <f>IFERROR((VLOOKUP($A93,'[1]import success seats course'!$A:U,HLOOKUP('[1]Course Totals'!G$4,'[1]import success seats course'!$1:$2,2,FALSE),FALSE)/(VLOOKUP($A93,'[1]import graded seats course pivo'!$A:AE,HLOOKUP('[1]Course Totals'!G$4,'[1]import graded seats course pivo'!$1:$2,2,FALSE),FALSE))),"")</f>
        <v>0.92105263157894735</v>
      </c>
      <c r="H93" s="14" t="str">
        <f>IFERROR((VLOOKUP($A93,'[1]import success seats course'!$A:V,HLOOKUP('[1]Course Totals'!H$4,'[1]import success seats course'!$1:$2,2,FALSE),FALSE)/(VLOOKUP($A93,'[1]import graded seats course pivo'!$A:AF,HLOOKUP('[1]Course Totals'!H$4,'[1]import graded seats course pivo'!$1:$2,2,FALSE),FALSE))),"")</f>
        <v/>
      </c>
      <c r="I93" s="14">
        <f>IFERROR((VLOOKUP($A93,'[1]import success seats course'!$A:W,HLOOKUP('[1]Course Totals'!I$4,'[1]import success seats course'!$1:$2,2,FALSE),FALSE)/(VLOOKUP($A93,'[1]import graded seats course pivo'!$A:AG,HLOOKUP('[1]Course Totals'!I$4,'[1]import graded seats course pivo'!$1:$2,2,FALSE),FALSE))),"")</f>
        <v>0.76744186046511631</v>
      </c>
      <c r="J93" s="14">
        <f>IFERROR((VLOOKUP($A93,'[1]import success seats course'!$A:X,HLOOKUP('[1]Course Totals'!J$4,'[1]import success seats course'!$1:$2,2,FALSE),FALSE)/(VLOOKUP($A93,'[1]import graded seats course pivo'!$A:AH,HLOOKUP('[1]Course Totals'!J$4,'[1]import graded seats course pivo'!$1:$2,2,FALSE),FALSE))),"")</f>
        <v>0.96296296296296291</v>
      </c>
      <c r="K93" s="14" t="str">
        <f>IFERROR((VLOOKUP($A93,'[1]import success seats course'!$A:Y,HLOOKUP('[1]Course Totals'!K$4,'[1]import success seats course'!$1:$2,2,FALSE),FALSE)/(VLOOKUP($A93,'[1]import graded seats course pivo'!$A:AI,HLOOKUP('[1]Course Totals'!K$4,'[1]import graded seats course pivo'!$1:$2,2,FALSE),FALSE))),"")</f>
        <v/>
      </c>
      <c r="L93" s="14">
        <f>IFERROR((VLOOKUP($A93,'[1]import success seats course'!$A:Z,HLOOKUP('[1]Course Totals'!L$4,'[1]import success seats course'!$1:$2,2,FALSE),FALSE)/(VLOOKUP($A93,'[1]import graded seats course pivo'!$A:AJ,HLOOKUP('[1]Course Totals'!L$4,'[1]import graded seats course pivo'!$1:$2,2,FALSE),FALSE))),"")</f>
        <v>0.8</v>
      </c>
      <c r="M93" s="14">
        <f>IFERROR((VLOOKUP($A93,'[1]import success seats course'!$A:AA,HLOOKUP('[1]Course Totals'!M$4,'[1]import success seats course'!$1:$2,2,FALSE),FALSE)/(VLOOKUP($A93,'[1]import graded seats course pivo'!$A:AK,HLOOKUP('[1]Course Totals'!M$4,'[1]import graded seats course pivo'!$1:$2,2,FALSE),FALSE))),"")</f>
        <v>0.87755102040816324</v>
      </c>
      <c r="N93" s="14" t="str">
        <f>IFERROR((VLOOKUP($A93,'[1]import success seats course'!$A:AB,HLOOKUP('[1]Course Totals'!N$4,'[1]import success seats course'!$1:$2,2,FALSE),FALSE)/(VLOOKUP($A93,'[1]import graded seats course pivo'!$A:AL,HLOOKUP('[1]Course Totals'!N$4,'[1]import graded seats course pivo'!$1:$2,2,FALSE),FALSE))),"")</f>
        <v/>
      </c>
      <c r="O93" s="14">
        <f>IFERROR((VLOOKUP($A93,'[1]import success seats course'!$A:AC,HLOOKUP('[1]Course Totals'!O$4,'[1]import success seats course'!$1:$2,2,FALSE),FALSE)/(VLOOKUP($A93,'[1]import graded seats course pivo'!$A:AM,HLOOKUP('[1]Course Totals'!O$4,'[1]import graded seats course pivo'!$1:$2,2,FALSE),FALSE))),"")</f>
        <v>0.97916666666666663</v>
      </c>
      <c r="P93" s="14">
        <f>IFERROR((VLOOKUP($A93,'[1]import success seats course'!$A:AD,HLOOKUP('[1]Course Totals'!P$4,'[1]import success seats course'!$1:$2,2,FALSE),FALSE)/(VLOOKUP($A93,'[1]import graded seats course pivo'!$A:AN,HLOOKUP('[1]Course Totals'!P$4,'[1]import graded seats course pivo'!$1:$2,2,FALSE),FALSE))),"")</f>
        <v>1</v>
      </c>
      <c r="Q93" s="14" t="str">
        <f>IFERROR((VLOOKUP($A93,'[1]import success seats course'!$A:AE,HLOOKUP('[1]Course Totals'!Q$4,'[1]import success seats course'!$1:$2,2,FALSE),FALSE)/(VLOOKUP($A93,'[1]import graded seats course pivo'!$A:AO,HLOOKUP('[1]Course Totals'!Q$4,'[1]import graded seats course pivo'!$1:$2,2,FALSE),FALSE))),"")</f>
        <v/>
      </c>
      <c r="R93" s="14">
        <f>IFERROR((VLOOKUP($A93,'[1]import success seats course'!$A:AF,HLOOKUP('[1]Course Totals'!R$4,'[1]import success seats course'!$1:$2,2,FALSE),FALSE)/(VLOOKUP($A93,'[1]import graded seats course pivo'!$A:AP,HLOOKUP('[1]Course Totals'!R$4,'[1]import graded seats course pivo'!$1:$2,2,FALSE),FALSE))),"")</f>
        <v>0.94</v>
      </c>
      <c r="S93" s="14">
        <f>IFERROR((VLOOKUP($A93,'[1]import success seats course'!$A:AG,HLOOKUP('[1]Course Totals'!S$4,'[1]import success seats course'!$1:$2,2,FALSE),FALSE)/(VLOOKUP($A93,'[1]import graded seats course pivo'!$A:AQ,HLOOKUP('[1]Course Totals'!S$4,'[1]import graded seats course pivo'!$1:$2,2,FALSE),FALSE))),"")</f>
        <v>0.97916666666666663</v>
      </c>
      <c r="Z93" s="7"/>
      <c r="AA93" s="7"/>
      <c r="AB93" s="7"/>
      <c r="AC93" s="7"/>
    </row>
    <row r="94" spans="1:29" ht="15.75" customHeight="1" x14ac:dyDescent="0.25">
      <c r="A94" s="12" t="s">
        <v>55</v>
      </c>
      <c r="B94" s="14" t="str">
        <f>IFERROR((VLOOKUP($A94,'[1]import success seats course'!$A:P,HLOOKUP('[1]Course Totals'!B$4,'[1]import success seats course'!$1:$2,2,FALSE),FALSE)/(VLOOKUP($A94,'[1]import graded seats course pivo'!$A:Z,HLOOKUP('[1]Course Totals'!B$4,'[1]import graded seats course pivo'!$1:$2,2,FALSE),FALSE))),"")</f>
        <v/>
      </c>
      <c r="C94" s="14">
        <f>IFERROR((VLOOKUP($A94,'[1]import success seats course'!$A:Q,HLOOKUP('[1]Course Totals'!C$4,'[1]import success seats course'!$1:$2,2,FALSE),FALSE)/(VLOOKUP($A94,'[1]import graded seats course pivo'!$A:AA,HLOOKUP('[1]Course Totals'!C$4,'[1]import graded seats course pivo'!$1:$2,2,FALSE),FALSE))),"")</f>
        <v>1</v>
      </c>
      <c r="D94" s="14">
        <f>IFERROR((VLOOKUP($A94,'[1]import success seats course'!$A:R,HLOOKUP('[1]Course Totals'!D$4,'[1]import success seats course'!$1:$2,2,FALSE),FALSE)/(VLOOKUP($A94,'[1]import graded seats course pivo'!$A:AB,HLOOKUP('[1]Course Totals'!D$4,'[1]import graded seats course pivo'!$1:$2,2,FALSE),FALSE))),"")</f>
        <v>1</v>
      </c>
      <c r="E94" s="14" t="str">
        <f>IFERROR((VLOOKUP($A94,'[1]import success seats course'!$A:S,HLOOKUP('[1]Course Totals'!E$4,'[1]import success seats course'!$1:$2,2,FALSE),FALSE)/(VLOOKUP($A94,'[1]import graded seats course pivo'!$A:AC,HLOOKUP('[1]Course Totals'!E$4,'[1]import graded seats course pivo'!$1:$2,2,FALSE),FALSE))),"")</f>
        <v/>
      </c>
      <c r="F94" s="14" t="str">
        <f>IFERROR((VLOOKUP($A94,'[1]import success seats course'!$A:T,HLOOKUP('[1]Course Totals'!F$4,'[1]import success seats course'!$1:$2,2,FALSE),FALSE)/(VLOOKUP($A94,'[1]import graded seats course pivo'!$A:AD,HLOOKUP('[1]Course Totals'!F$4,'[1]import graded seats course pivo'!$1:$2,2,FALSE),FALSE))),"")</f>
        <v/>
      </c>
      <c r="G94" s="14">
        <f>IFERROR((VLOOKUP($A94,'[1]import success seats course'!$A:U,HLOOKUP('[1]Course Totals'!G$4,'[1]import success seats course'!$1:$2,2,FALSE),FALSE)/(VLOOKUP($A94,'[1]import graded seats course pivo'!$A:AE,HLOOKUP('[1]Course Totals'!G$4,'[1]import graded seats course pivo'!$1:$2,2,FALSE),FALSE))),"")</f>
        <v>1</v>
      </c>
      <c r="H94" s="14" t="str">
        <f>IFERROR((VLOOKUP($A94,'[1]import success seats course'!$A:V,HLOOKUP('[1]Course Totals'!H$4,'[1]import success seats course'!$1:$2,2,FALSE),FALSE)/(VLOOKUP($A94,'[1]import graded seats course pivo'!$A:AF,HLOOKUP('[1]Course Totals'!H$4,'[1]import graded seats course pivo'!$1:$2,2,FALSE),FALSE))),"")</f>
        <v/>
      </c>
      <c r="I94" s="14">
        <f>IFERROR((VLOOKUP($A94,'[1]import success seats course'!$A:W,HLOOKUP('[1]Course Totals'!I$4,'[1]import success seats course'!$1:$2,2,FALSE),FALSE)/(VLOOKUP($A94,'[1]import graded seats course pivo'!$A:AG,HLOOKUP('[1]Course Totals'!I$4,'[1]import graded seats course pivo'!$1:$2,2,FALSE),FALSE))),"")</f>
        <v>1</v>
      </c>
      <c r="J94" s="14">
        <f>IFERROR((VLOOKUP($A94,'[1]import success seats course'!$A:X,HLOOKUP('[1]Course Totals'!J$4,'[1]import success seats course'!$1:$2,2,FALSE),FALSE)/(VLOOKUP($A94,'[1]import graded seats course pivo'!$A:AH,HLOOKUP('[1]Course Totals'!J$4,'[1]import graded seats course pivo'!$1:$2,2,FALSE),FALSE))),"")</f>
        <v>0</v>
      </c>
      <c r="K94" s="14" t="str">
        <f>IFERROR((VLOOKUP($A94,'[1]import success seats course'!$A:Y,HLOOKUP('[1]Course Totals'!K$4,'[1]import success seats course'!$1:$2,2,FALSE),FALSE)/(VLOOKUP($A94,'[1]import graded seats course pivo'!$A:AI,HLOOKUP('[1]Course Totals'!K$4,'[1]import graded seats course pivo'!$1:$2,2,FALSE),FALSE))),"")</f>
        <v/>
      </c>
      <c r="L94" s="14">
        <f>IFERROR((VLOOKUP($A94,'[1]import success seats course'!$A:Z,HLOOKUP('[1]Course Totals'!L$4,'[1]import success seats course'!$1:$2,2,FALSE),FALSE)/(VLOOKUP($A94,'[1]import graded seats course pivo'!$A:AJ,HLOOKUP('[1]Course Totals'!L$4,'[1]import graded seats course pivo'!$1:$2,2,FALSE),FALSE))),"")</f>
        <v>0.66666666666666663</v>
      </c>
      <c r="M94" s="14" t="str">
        <f>IFERROR((VLOOKUP($A94,'[1]import success seats course'!$A:AA,HLOOKUP('[1]Course Totals'!M$4,'[1]import success seats course'!$1:$2,2,FALSE),FALSE)/(VLOOKUP($A94,'[1]import graded seats course pivo'!$A:AK,HLOOKUP('[1]Course Totals'!M$4,'[1]import graded seats course pivo'!$1:$2,2,FALSE),FALSE))),"")</f>
        <v/>
      </c>
      <c r="N94" s="14" t="str">
        <f>IFERROR((VLOOKUP($A94,'[1]import success seats course'!$A:AB,HLOOKUP('[1]Course Totals'!N$4,'[1]import success seats course'!$1:$2,2,FALSE),FALSE)/(VLOOKUP($A94,'[1]import graded seats course pivo'!$A:AL,HLOOKUP('[1]Course Totals'!N$4,'[1]import graded seats course pivo'!$1:$2,2,FALSE),FALSE))),"")</f>
        <v/>
      </c>
      <c r="O94" s="14" t="str">
        <f>IFERROR((VLOOKUP($A94,'[1]import success seats course'!$A:AC,HLOOKUP('[1]Course Totals'!O$4,'[1]import success seats course'!$1:$2,2,FALSE),FALSE)/(VLOOKUP($A94,'[1]import graded seats course pivo'!$A:AM,HLOOKUP('[1]Course Totals'!O$4,'[1]import graded seats course pivo'!$1:$2,2,FALSE),FALSE))),"")</f>
        <v/>
      </c>
      <c r="P94" s="14" t="str">
        <f>IFERROR((VLOOKUP($A94,'[1]import success seats course'!$A:AD,HLOOKUP('[1]Course Totals'!P$4,'[1]import success seats course'!$1:$2,2,FALSE),FALSE)/(VLOOKUP($A94,'[1]import graded seats course pivo'!$A:AN,HLOOKUP('[1]Course Totals'!P$4,'[1]import graded seats course pivo'!$1:$2,2,FALSE),FALSE))),"")</f>
        <v/>
      </c>
      <c r="Q94" s="14" t="str">
        <f>IFERROR((VLOOKUP($A94,'[1]import success seats course'!$A:AE,HLOOKUP('[1]Course Totals'!Q$4,'[1]import success seats course'!$1:$2,2,FALSE),FALSE)/(VLOOKUP($A94,'[1]import graded seats course pivo'!$A:AO,HLOOKUP('[1]Course Totals'!Q$4,'[1]import graded seats course pivo'!$1:$2,2,FALSE),FALSE))),"")</f>
        <v/>
      </c>
      <c r="R94" s="14" t="str">
        <f>IFERROR((VLOOKUP($A94,'[1]import success seats course'!$A:AF,HLOOKUP('[1]Course Totals'!R$4,'[1]import success seats course'!$1:$2,2,FALSE),FALSE)/(VLOOKUP($A94,'[1]import graded seats course pivo'!$A:AP,HLOOKUP('[1]Course Totals'!R$4,'[1]import graded seats course pivo'!$1:$2,2,FALSE),FALSE))),"")</f>
        <v/>
      </c>
      <c r="S94" s="14" t="str">
        <f>IFERROR((VLOOKUP($A94,'[1]import success seats course'!$A:AG,HLOOKUP('[1]Course Totals'!S$4,'[1]import success seats course'!$1:$2,2,FALSE),FALSE)/(VLOOKUP($A94,'[1]import graded seats course pivo'!$A:AQ,HLOOKUP('[1]Course Totals'!S$4,'[1]import graded seats course pivo'!$1:$2,2,FALSE),FALSE))),"")</f>
        <v/>
      </c>
      <c r="Z94" s="7"/>
      <c r="AA94" s="7"/>
      <c r="AB94" s="7"/>
      <c r="AC94" s="7"/>
    </row>
    <row r="95" spans="1:29" ht="15.75" customHeight="1" x14ac:dyDescent="0.25">
      <c r="A95" s="12" t="s">
        <v>56</v>
      </c>
      <c r="B95" s="14">
        <f>IFERROR((VLOOKUP($A95,'[1]import success seats course'!$A:P,HLOOKUP('[1]Course Totals'!B$4,'[1]import success seats course'!$1:$2,2,FALSE),FALSE)/(VLOOKUP($A95,'[1]import graded seats course pivo'!$A:Z,HLOOKUP('[1]Course Totals'!B$4,'[1]import graded seats course pivo'!$1:$2,2,FALSE),FALSE))),"")</f>
        <v>0.95238095238095233</v>
      </c>
      <c r="C95" s="14">
        <f>IFERROR((VLOOKUP($A95,'[1]import success seats course'!$A:Q,HLOOKUP('[1]Course Totals'!C$4,'[1]import success seats course'!$1:$2,2,FALSE),FALSE)/(VLOOKUP($A95,'[1]import graded seats course pivo'!$A:AA,HLOOKUP('[1]Course Totals'!C$4,'[1]import graded seats course pivo'!$1:$2,2,FALSE),FALSE))),"")</f>
        <v>0.8271604938271605</v>
      </c>
      <c r="D95" s="14">
        <f>IFERROR((VLOOKUP($A95,'[1]import success seats course'!$A:R,HLOOKUP('[1]Course Totals'!D$4,'[1]import success seats course'!$1:$2,2,FALSE),FALSE)/(VLOOKUP($A95,'[1]import graded seats course pivo'!$A:AB,HLOOKUP('[1]Course Totals'!D$4,'[1]import graded seats course pivo'!$1:$2,2,FALSE),FALSE))),"")</f>
        <v>0.82926829268292679</v>
      </c>
      <c r="E95" s="14">
        <f>IFERROR((VLOOKUP($A95,'[1]import success seats course'!$A:S,HLOOKUP('[1]Course Totals'!E$4,'[1]import success seats course'!$1:$2,2,FALSE),FALSE)/(VLOOKUP($A95,'[1]import graded seats course pivo'!$A:AC,HLOOKUP('[1]Course Totals'!E$4,'[1]import graded seats course pivo'!$1:$2,2,FALSE),FALSE))),"")</f>
        <v>0.9</v>
      </c>
      <c r="F95" s="14">
        <f>IFERROR((VLOOKUP($A95,'[1]import success seats course'!$A:T,HLOOKUP('[1]Course Totals'!F$4,'[1]import success seats course'!$1:$2,2,FALSE),FALSE)/(VLOOKUP($A95,'[1]import graded seats course pivo'!$A:AD,HLOOKUP('[1]Course Totals'!F$4,'[1]import graded seats course pivo'!$1:$2,2,FALSE),FALSE))),"")</f>
        <v>0.87096774193548387</v>
      </c>
      <c r="G95" s="14">
        <f>IFERROR((VLOOKUP($A95,'[1]import success seats course'!$A:U,HLOOKUP('[1]Course Totals'!G$4,'[1]import success seats course'!$1:$2,2,FALSE),FALSE)/(VLOOKUP($A95,'[1]import graded seats course pivo'!$A:AE,HLOOKUP('[1]Course Totals'!G$4,'[1]import graded seats course pivo'!$1:$2,2,FALSE),FALSE))),"")</f>
        <v>0.85882352941176465</v>
      </c>
      <c r="H95" s="14" t="str">
        <f>IFERROR((VLOOKUP($A95,'[1]import success seats course'!$A:V,HLOOKUP('[1]Course Totals'!H$4,'[1]import success seats course'!$1:$2,2,FALSE),FALSE)/(VLOOKUP($A95,'[1]import graded seats course pivo'!$A:AF,HLOOKUP('[1]Course Totals'!H$4,'[1]import graded seats course pivo'!$1:$2,2,FALSE),FALSE))),"")</f>
        <v/>
      </c>
      <c r="I95" s="14">
        <f>IFERROR((VLOOKUP($A95,'[1]import success seats course'!$A:W,HLOOKUP('[1]Course Totals'!I$4,'[1]import success seats course'!$1:$2,2,FALSE),FALSE)/(VLOOKUP($A95,'[1]import graded seats course pivo'!$A:AG,HLOOKUP('[1]Course Totals'!I$4,'[1]import graded seats course pivo'!$1:$2,2,FALSE),FALSE))),"")</f>
        <v>0.91764705882352937</v>
      </c>
      <c r="J95" s="14">
        <f>IFERROR((VLOOKUP($A95,'[1]import success seats course'!$A:X,HLOOKUP('[1]Course Totals'!J$4,'[1]import success seats course'!$1:$2,2,FALSE),FALSE)/(VLOOKUP($A95,'[1]import graded seats course pivo'!$A:AH,HLOOKUP('[1]Course Totals'!J$4,'[1]import graded seats course pivo'!$1:$2,2,FALSE),FALSE))),"")</f>
        <v>0.86458333333333337</v>
      </c>
      <c r="K95" s="14" t="str">
        <f>IFERROR((VLOOKUP($A95,'[1]import success seats course'!$A:Y,HLOOKUP('[1]Course Totals'!K$4,'[1]import success seats course'!$1:$2,2,FALSE),FALSE)/(VLOOKUP($A95,'[1]import graded seats course pivo'!$A:AI,HLOOKUP('[1]Course Totals'!K$4,'[1]import graded seats course pivo'!$1:$2,2,FALSE),FALSE))),"")</f>
        <v/>
      </c>
      <c r="L95" s="14">
        <f>IFERROR((VLOOKUP($A95,'[1]import success seats course'!$A:Z,HLOOKUP('[1]Course Totals'!L$4,'[1]import success seats course'!$1:$2,2,FALSE),FALSE)/(VLOOKUP($A95,'[1]import graded seats course pivo'!$A:AJ,HLOOKUP('[1]Course Totals'!L$4,'[1]import graded seats course pivo'!$1:$2,2,FALSE),FALSE))),"")</f>
        <v>0.91463414634146345</v>
      </c>
      <c r="M95" s="14">
        <f>IFERROR((VLOOKUP($A95,'[1]import success seats course'!$A:AA,HLOOKUP('[1]Course Totals'!M$4,'[1]import success seats course'!$1:$2,2,FALSE),FALSE)/(VLOOKUP($A95,'[1]import graded seats course pivo'!$A:AK,HLOOKUP('[1]Course Totals'!M$4,'[1]import graded seats course pivo'!$1:$2,2,FALSE),FALSE))),"")</f>
        <v>0.92391304347826086</v>
      </c>
      <c r="N95" s="14" t="str">
        <f>IFERROR((VLOOKUP($A95,'[1]import success seats course'!$A:AB,HLOOKUP('[1]Course Totals'!N$4,'[1]import success seats course'!$1:$2,2,FALSE),FALSE)/(VLOOKUP($A95,'[1]import graded seats course pivo'!$A:AL,HLOOKUP('[1]Course Totals'!N$4,'[1]import graded seats course pivo'!$1:$2,2,FALSE),FALSE))),"")</f>
        <v/>
      </c>
      <c r="O95" s="14">
        <f>IFERROR((VLOOKUP($A95,'[1]import success seats course'!$A:AC,HLOOKUP('[1]Course Totals'!O$4,'[1]import success seats course'!$1:$2,2,FALSE),FALSE)/(VLOOKUP($A95,'[1]import graded seats course pivo'!$A:AM,HLOOKUP('[1]Course Totals'!O$4,'[1]import graded seats course pivo'!$1:$2,2,FALSE),FALSE))),"")</f>
        <v>0.8571428571428571</v>
      </c>
      <c r="P95" s="14">
        <f>IFERROR((VLOOKUP($A95,'[1]import success seats course'!$A:AD,HLOOKUP('[1]Course Totals'!P$4,'[1]import success seats course'!$1:$2,2,FALSE),FALSE)/(VLOOKUP($A95,'[1]import graded seats course pivo'!$A:AN,HLOOKUP('[1]Course Totals'!P$4,'[1]import graded seats course pivo'!$1:$2,2,FALSE),FALSE))),"")</f>
        <v>0.95454545454545459</v>
      </c>
      <c r="Q95" s="14" t="str">
        <f>IFERROR((VLOOKUP($A95,'[1]import success seats course'!$A:AE,HLOOKUP('[1]Course Totals'!Q$4,'[1]import success seats course'!$1:$2,2,FALSE),FALSE)/(VLOOKUP($A95,'[1]import graded seats course pivo'!$A:AO,HLOOKUP('[1]Course Totals'!Q$4,'[1]import graded seats course pivo'!$1:$2,2,FALSE),FALSE))),"")</f>
        <v/>
      </c>
      <c r="R95" s="14">
        <f>IFERROR((VLOOKUP($A95,'[1]import success seats course'!$A:AF,HLOOKUP('[1]Course Totals'!R$4,'[1]import success seats course'!$1:$2,2,FALSE),FALSE)/(VLOOKUP($A95,'[1]import graded seats course pivo'!$A:AP,HLOOKUP('[1]Course Totals'!R$4,'[1]import graded seats course pivo'!$1:$2,2,FALSE),FALSE))),"")</f>
        <v>0.91208791208791207</v>
      </c>
      <c r="S95" s="14">
        <f>IFERROR((VLOOKUP($A95,'[1]import success seats course'!$A:AG,HLOOKUP('[1]Course Totals'!S$4,'[1]import success seats course'!$1:$2,2,FALSE),FALSE)/(VLOOKUP($A95,'[1]import graded seats course pivo'!$A:AQ,HLOOKUP('[1]Course Totals'!S$4,'[1]import graded seats course pivo'!$1:$2,2,FALSE),FALSE))),"")</f>
        <v>0.82417582417582413</v>
      </c>
      <c r="Z95" s="7"/>
      <c r="AA95" s="7"/>
      <c r="AB95" s="7"/>
      <c r="AC95" s="7"/>
    </row>
    <row r="96" spans="1:29" ht="15.75" customHeight="1" x14ac:dyDescent="0.25">
      <c r="A96" s="12" t="s">
        <v>57</v>
      </c>
      <c r="B96" s="14" t="str">
        <f>IFERROR((VLOOKUP($A96,'[1]import success seats course'!$A:P,HLOOKUP('[1]Course Totals'!B$4,'[1]import success seats course'!$1:$2,2,FALSE),FALSE)/(VLOOKUP($A96,'[1]import graded seats course pivo'!$A:Z,HLOOKUP('[1]Course Totals'!B$4,'[1]import graded seats course pivo'!$1:$2,2,FALSE),FALSE))),"")</f>
        <v/>
      </c>
      <c r="C96" s="14">
        <f>IFERROR((VLOOKUP($A96,'[1]import success seats course'!$A:Q,HLOOKUP('[1]Course Totals'!C$4,'[1]import success seats course'!$1:$2,2,FALSE),FALSE)/(VLOOKUP($A96,'[1]import graded seats course pivo'!$A:AA,HLOOKUP('[1]Course Totals'!C$4,'[1]import graded seats course pivo'!$1:$2,2,FALSE),FALSE))),"")</f>
        <v>1</v>
      </c>
      <c r="D96" s="14">
        <f>IFERROR((VLOOKUP($A96,'[1]import success seats course'!$A:R,HLOOKUP('[1]Course Totals'!D$4,'[1]import success seats course'!$1:$2,2,FALSE),FALSE)/(VLOOKUP($A96,'[1]import graded seats course pivo'!$A:AB,HLOOKUP('[1]Course Totals'!D$4,'[1]import graded seats course pivo'!$1:$2,2,FALSE),FALSE))),"")</f>
        <v>0.90909090909090906</v>
      </c>
      <c r="E96" s="14" t="str">
        <f>IFERROR((VLOOKUP($A96,'[1]import success seats course'!$A:S,HLOOKUP('[1]Course Totals'!E$4,'[1]import success seats course'!$1:$2,2,FALSE),FALSE)/(VLOOKUP($A96,'[1]import graded seats course pivo'!$A:AC,HLOOKUP('[1]Course Totals'!E$4,'[1]import graded seats course pivo'!$1:$2,2,FALSE),FALSE))),"")</f>
        <v/>
      </c>
      <c r="F96" s="14">
        <f>IFERROR((VLOOKUP($A96,'[1]import success seats course'!$A:T,HLOOKUP('[1]Course Totals'!F$4,'[1]import success seats course'!$1:$2,2,FALSE),FALSE)/(VLOOKUP($A96,'[1]import graded seats course pivo'!$A:AD,HLOOKUP('[1]Course Totals'!F$4,'[1]import graded seats course pivo'!$1:$2,2,FALSE),FALSE))),"")</f>
        <v>1</v>
      </c>
      <c r="G96" s="14">
        <f>IFERROR((VLOOKUP($A96,'[1]import success seats course'!$A:U,HLOOKUP('[1]Course Totals'!G$4,'[1]import success seats course'!$1:$2,2,FALSE),FALSE)/(VLOOKUP($A96,'[1]import graded seats course pivo'!$A:AE,HLOOKUP('[1]Course Totals'!G$4,'[1]import graded seats course pivo'!$1:$2,2,FALSE),FALSE))),"")</f>
        <v>1</v>
      </c>
      <c r="H96" s="14" t="str">
        <f>IFERROR((VLOOKUP($A96,'[1]import success seats course'!$A:V,HLOOKUP('[1]Course Totals'!H$4,'[1]import success seats course'!$1:$2,2,FALSE),FALSE)/(VLOOKUP($A96,'[1]import graded seats course pivo'!$A:AF,HLOOKUP('[1]Course Totals'!H$4,'[1]import graded seats course pivo'!$1:$2,2,FALSE),FALSE))),"")</f>
        <v/>
      </c>
      <c r="I96" s="14">
        <f>IFERROR((VLOOKUP($A96,'[1]import success seats course'!$A:W,HLOOKUP('[1]Course Totals'!I$4,'[1]import success seats course'!$1:$2,2,FALSE),FALSE)/(VLOOKUP($A96,'[1]import graded seats course pivo'!$A:AG,HLOOKUP('[1]Course Totals'!I$4,'[1]import graded seats course pivo'!$1:$2,2,FALSE),FALSE))),"")</f>
        <v>1</v>
      </c>
      <c r="J96" s="14">
        <f>IFERROR((VLOOKUP($A96,'[1]import success seats course'!$A:X,HLOOKUP('[1]Course Totals'!J$4,'[1]import success seats course'!$1:$2,2,FALSE),FALSE)/(VLOOKUP($A96,'[1]import graded seats course pivo'!$A:AH,HLOOKUP('[1]Course Totals'!J$4,'[1]import graded seats course pivo'!$1:$2,2,FALSE),FALSE))),"")</f>
        <v>0.75</v>
      </c>
      <c r="K96" s="14" t="str">
        <f>IFERROR((VLOOKUP($A96,'[1]import success seats course'!$A:Y,HLOOKUP('[1]Course Totals'!K$4,'[1]import success seats course'!$1:$2,2,FALSE),FALSE)/(VLOOKUP($A96,'[1]import graded seats course pivo'!$A:AI,HLOOKUP('[1]Course Totals'!K$4,'[1]import graded seats course pivo'!$1:$2,2,FALSE),FALSE))),"")</f>
        <v/>
      </c>
      <c r="L96" s="14">
        <f>IFERROR((VLOOKUP($A96,'[1]import success seats course'!$A:Z,HLOOKUP('[1]Course Totals'!L$4,'[1]import success seats course'!$1:$2,2,FALSE),FALSE)/(VLOOKUP($A96,'[1]import graded seats course pivo'!$A:AJ,HLOOKUP('[1]Course Totals'!L$4,'[1]import graded seats course pivo'!$1:$2,2,FALSE),FALSE))),"")</f>
        <v>1</v>
      </c>
      <c r="M96" s="14">
        <f>IFERROR((VLOOKUP($A96,'[1]import success seats course'!$A:AA,HLOOKUP('[1]Course Totals'!M$4,'[1]import success seats course'!$1:$2,2,FALSE),FALSE)/(VLOOKUP($A96,'[1]import graded seats course pivo'!$A:AK,HLOOKUP('[1]Course Totals'!M$4,'[1]import graded seats course pivo'!$1:$2,2,FALSE),FALSE))),"")</f>
        <v>1</v>
      </c>
      <c r="N96" s="14" t="str">
        <f>IFERROR((VLOOKUP($A96,'[1]import success seats course'!$A:AB,HLOOKUP('[1]Course Totals'!N$4,'[1]import success seats course'!$1:$2,2,FALSE),FALSE)/(VLOOKUP($A96,'[1]import graded seats course pivo'!$A:AL,HLOOKUP('[1]Course Totals'!N$4,'[1]import graded seats course pivo'!$1:$2,2,FALSE),FALSE))),"")</f>
        <v/>
      </c>
      <c r="O96" s="14" t="str">
        <f>IFERROR((VLOOKUP($A96,'[1]import success seats course'!$A:AC,HLOOKUP('[1]Course Totals'!O$4,'[1]import success seats course'!$1:$2,2,FALSE),FALSE)/(VLOOKUP($A96,'[1]import graded seats course pivo'!$A:AM,HLOOKUP('[1]Course Totals'!O$4,'[1]import graded seats course pivo'!$1:$2,2,FALSE),FALSE))),"")</f>
        <v/>
      </c>
      <c r="P96" s="14">
        <f>IFERROR((VLOOKUP($A96,'[1]import success seats course'!$A:AD,HLOOKUP('[1]Course Totals'!P$4,'[1]import success seats course'!$1:$2,2,FALSE),FALSE)/(VLOOKUP($A96,'[1]import graded seats course pivo'!$A:AN,HLOOKUP('[1]Course Totals'!P$4,'[1]import graded seats course pivo'!$1:$2,2,FALSE),FALSE))),"")</f>
        <v>1</v>
      </c>
      <c r="Q96" s="14" t="str">
        <f>IFERROR((VLOOKUP($A96,'[1]import success seats course'!$A:AE,HLOOKUP('[1]Course Totals'!Q$4,'[1]import success seats course'!$1:$2,2,FALSE),FALSE)/(VLOOKUP($A96,'[1]import graded seats course pivo'!$A:AO,HLOOKUP('[1]Course Totals'!Q$4,'[1]import graded seats course pivo'!$1:$2,2,FALSE),FALSE))),"")</f>
        <v/>
      </c>
      <c r="R96" s="14">
        <f>IFERROR((VLOOKUP($A96,'[1]import success seats course'!$A:AF,HLOOKUP('[1]Course Totals'!R$4,'[1]import success seats course'!$1:$2,2,FALSE),FALSE)/(VLOOKUP($A96,'[1]import graded seats course pivo'!$A:AP,HLOOKUP('[1]Course Totals'!R$4,'[1]import graded seats course pivo'!$1:$2,2,FALSE),FALSE))),"")</f>
        <v>0.5</v>
      </c>
      <c r="S96" s="14">
        <f>IFERROR((VLOOKUP($A96,'[1]import success seats course'!$A:AG,HLOOKUP('[1]Course Totals'!S$4,'[1]import success seats course'!$1:$2,2,FALSE),FALSE)/(VLOOKUP($A96,'[1]import graded seats course pivo'!$A:AQ,HLOOKUP('[1]Course Totals'!S$4,'[1]import graded seats course pivo'!$1:$2,2,FALSE),FALSE))),"")</f>
        <v>1</v>
      </c>
      <c r="Z96" s="7"/>
      <c r="AA96" s="7"/>
      <c r="AB96" s="7"/>
      <c r="AC96" s="7"/>
    </row>
    <row r="97" spans="1:29" ht="15.75" customHeight="1" x14ac:dyDescent="0.25">
      <c r="A97" s="12" t="s">
        <v>58</v>
      </c>
      <c r="B97" s="14" t="str">
        <f>IFERROR((VLOOKUP($A97,'[1]import success seats course'!$A:P,HLOOKUP('[1]Course Totals'!B$4,'[1]import success seats course'!$1:$2,2,FALSE),FALSE)/(VLOOKUP($A97,'[1]import graded seats course pivo'!$A:Z,HLOOKUP('[1]Course Totals'!B$4,'[1]import graded seats course pivo'!$1:$2,2,FALSE),FALSE))),"")</f>
        <v/>
      </c>
      <c r="C97" s="14">
        <f>IFERROR((VLOOKUP($A97,'[1]import success seats course'!$A:Q,HLOOKUP('[1]Course Totals'!C$4,'[1]import success seats course'!$1:$2,2,FALSE),FALSE)/(VLOOKUP($A97,'[1]import graded seats course pivo'!$A:AA,HLOOKUP('[1]Course Totals'!C$4,'[1]import graded seats course pivo'!$1:$2,2,FALSE),FALSE))),"")</f>
        <v>0.9375</v>
      </c>
      <c r="D97" s="14">
        <f>IFERROR((VLOOKUP($A97,'[1]import success seats course'!$A:R,HLOOKUP('[1]Course Totals'!D$4,'[1]import success seats course'!$1:$2,2,FALSE),FALSE)/(VLOOKUP($A97,'[1]import graded seats course pivo'!$A:AB,HLOOKUP('[1]Course Totals'!D$4,'[1]import graded seats course pivo'!$1:$2,2,FALSE),FALSE))),"")</f>
        <v>0.97222222222222221</v>
      </c>
      <c r="E97" s="14" t="str">
        <f>IFERROR((VLOOKUP($A97,'[1]import success seats course'!$A:S,HLOOKUP('[1]Course Totals'!E$4,'[1]import success seats course'!$1:$2,2,FALSE),FALSE)/(VLOOKUP($A97,'[1]import graded seats course pivo'!$A:AC,HLOOKUP('[1]Course Totals'!E$4,'[1]import graded seats course pivo'!$1:$2,2,FALSE),FALSE))),"")</f>
        <v/>
      </c>
      <c r="F97" s="14">
        <f>IFERROR((VLOOKUP($A97,'[1]import success seats course'!$A:T,HLOOKUP('[1]Course Totals'!F$4,'[1]import success seats course'!$1:$2,2,FALSE),FALSE)/(VLOOKUP($A97,'[1]import graded seats course pivo'!$A:AD,HLOOKUP('[1]Course Totals'!F$4,'[1]import graded seats course pivo'!$1:$2,2,FALSE),FALSE))),"")</f>
        <v>0.88888888888888884</v>
      </c>
      <c r="G97" s="14">
        <f>IFERROR((VLOOKUP($A97,'[1]import success seats course'!$A:U,HLOOKUP('[1]Course Totals'!G$4,'[1]import success seats course'!$1:$2,2,FALSE),FALSE)/(VLOOKUP($A97,'[1]import graded seats course pivo'!$A:AE,HLOOKUP('[1]Course Totals'!G$4,'[1]import graded seats course pivo'!$1:$2,2,FALSE),FALSE))),"")</f>
        <v>0.97222222222222221</v>
      </c>
      <c r="H97" s="14" t="str">
        <f>IFERROR((VLOOKUP($A97,'[1]import success seats course'!$A:V,HLOOKUP('[1]Course Totals'!H$4,'[1]import success seats course'!$1:$2,2,FALSE),FALSE)/(VLOOKUP($A97,'[1]import graded seats course pivo'!$A:AF,HLOOKUP('[1]Course Totals'!H$4,'[1]import graded seats course pivo'!$1:$2,2,FALSE),FALSE))),"")</f>
        <v/>
      </c>
      <c r="I97" s="14">
        <f>IFERROR((VLOOKUP($A97,'[1]import success seats course'!$A:W,HLOOKUP('[1]Course Totals'!I$4,'[1]import success seats course'!$1:$2,2,FALSE),FALSE)/(VLOOKUP($A97,'[1]import graded seats course pivo'!$A:AG,HLOOKUP('[1]Course Totals'!I$4,'[1]import graded seats course pivo'!$1:$2,2,FALSE),FALSE))),"")</f>
        <v>0.96666666666666667</v>
      </c>
      <c r="J97" s="14">
        <f>IFERROR((VLOOKUP($A97,'[1]import success seats course'!$A:X,HLOOKUP('[1]Course Totals'!J$4,'[1]import success seats course'!$1:$2,2,FALSE),FALSE)/(VLOOKUP($A97,'[1]import graded seats course pivo'!$A:AH,HLOOKUP('[1]Course Totals'!J$4,'[1]import graded seats course pivo'!$1:$2,2,FALSE),FALSE))),"")</f>
        <v>0.95</v>
      </c>
      <c r="K97" s="14" t="str">
        <f>IFERROR((VLOOKUP($A97,'[1]import success seats course'!$A:Y,HLOOKUP('[1]Course Totals'!K$4,'[1]import success seats course'!$1:$2,2,FALSE),FALSE)/(VLOOKUP($A97,'[1]import graded seats course pivo'!$A:AI,HLOOKUP('[1]Course Totals'!K$4,'[1]import graded seats course pivo'!$1:$2,2,FALSE),FALSE))),"")</f>
        <v/>
      </c>
      <c r="L97" s="14" t="str">
        <f>IFERROR((VLOOKUP($A97,'[1]import success seats course'!$A:Z,HLOOKUP('[1]Course Totals'!L$4,'[1]import success seats course'!$1:$2,2,FALSE),FALSE)/(VLOOKUP($A97,'[1]import graded seats course pivo'!$A:AJ,HLOOKUP('[1]Course Totals'!L$4,'[1]import graded seats course pivo'!$1:$2,2,FALSE),FALSE))),"")</f>
        <v/>
      </c>
      <c r="M97" s="14" t="str">
        <f>IFERROR((VLOOKUP($A97,'[1]import success seats course'!$A:AA,HLOOKUP('[1]Course Totals'!M$4,'[1]import success seats course'!$1:$2,2,FALSE),FALSE)/(VLOOKUP($A97,'[1]import graded seats course pivo'!$A:AK,HLOOKUP('[1]Course Totals'!M$4,'[1]import graded seats course pivo'!$1:$2,2,FALSE),FALSE))),"")</f>
        <v/>
      </c>
      <c r="N97" s="14" t="str">
        <f>IFERROR((VLOOKUP($A97,'[1]import success seats course'!$A:AB,HLOOKUP('[1]Course Totals'!N$4,'[1]import success seats course'!$1:$2,2,FALSE),FALSE)/(VLOOKUP($A97,'[1]import graded seats course pivo'!$A:AL,HLOOKUP('[1]Course Totals'!N$4,'[1]import graded seats course pivo'!$1:$2,2,FALSE),FALSE))),"")</f>
        <v/>
      </c>
      <c r="O97" s="14" t="str">
        <f>IFERROR((VLOOKUP($A97,'[1]import success seats course'!$A:AC,HLOOKUP('[1]Course Totals'!O$4,'[1]import success seats course'!$1:$2,2,FALSE),FALSE)/(VLOOKUP($A97,'[1]import graded seats course pivo'!$A:AM,HLOOKUP('[1]Course Totals'!O$4,'[1]import graded seats course pivo'!$1:$2,2,FALSE),FALSE))),"")</f>
        <v/>
      </c>
      <c r="P97" s="14">
        <f>IFERROR((VLOOKUP($A97,'[1]import success seats course'!$A:AD,HLOOKUP('[1]Course Totals'!P$4,'[1]import success seats course'!$1:$2,2,FALSE),FALSE)/(VLOOKUP($A97,'[1]import graded seats course pivo'!$A:AN,HLOOKUP('[1]Course Totals'!P$4,'[1]import graded seats course pivo'!$1:$2,2,FALSE),FALSE))),"")</f>
        <v>0.89655172413793105</v>
      </c>
      <c r="Q97" s="14" t="str">
        <f>IFERROR((VLOOKUP($A97,'[1]import success seats course'!$A:AE,HLOOKUP('[1]Course Totals'!Q$4,'[1]import success seats course'!$1:$2,2,FALSE),FALSE)/(VLOOKUP($A97,'[1]import graded seats course pivo'!$A:AO,HLOOKUP('[1]Course Totals'!Q$4,'[1]import graded seats course pivo'!$1:$2,2,FALSE),FALSE))),"")</f>
        <v/>
      </c>
      <c r="R97" s="14">
        <f>IFERROR((VLOOKUP($A97,'[1]import success seats course'!$A:AF,HLOOKUP('[1]Course Totals'!R$4,'[1]import success seats course'!$1:$2,2,FALSE),FALSE)/(VLOOKUP($A97,'[1]import graded seats course pivo'!$A:AP,HLOOKUP('[1]Course Totals'!R$4,'[1]import graded seats course pivo'!$1:$2,2,FALSE),FALSE))),"")</f>
        <v>0.79487179487179482</v>
      </c>
      <c r="S97" s="14">
        <f>IFERROR((VLOOKUP($A97,'[1]import success seats course'!$A:AG,HLOOKUP('[1]Course Totals'!S$4,'[1]import success seats course'!$1:$2,2,FALSE),FALSE)/(VLOOKUP($A97,'[1]import graded seats course pivo'!$A:AQ,HLOOKUP('[1]Course Totals'!S$4,'[1]import graded seats course pivo'!$1:$2,2,FALSE),FALSE))),"")</f>
        <v>0.86206896551724133</v>
      </c>
      <c r="Z97" s="7"/>
      <c r="AA97" s="7"/>
      <c r="AB97" s="7"/>
      <c r="AC97" s="7"/>
    </row>
    <row r="98" spans="1:29" ht="15.75" customHeight="1" x14ac:dyDescent="0.25">
      <c r="A98" s="12" t="s">
        <v>59</v>
      </c>
      <c r="B98" s="14" t="str">
        <f>IFERROR((VLOOKUP($A98,'[1]import success seats course'!$A:P,HLOOKUP('[1]Course Totals'!B$4,'[1]import success seats course'!$1:$2,2,FALSE),FALSE)/(VLOOKUP($A98,'[1]import graded seats course pivo'!$A:Z,HLOOKUP('[1]Course Totals'!B$4,'[1]import graded seats course pivo'!$1:$2,2,FALSE),FALSE))),"")</f>
        <v/>
      </c>
      <c r="C98" s="14">
        <f>IFERROR((VLOOKUP($A98,'[1]import success seats course'!$A:Q,HLOOKUP('[1]Course Totals'!C$4,'[1]import success seats course'!$1:$2,2,FALSE),FALSE)/(VLOOKUP($A98,'[1]import graded seats course pivo'!$A:AA,HLOOKUP('[1]Course Totals'!C$4,'[1]import graded seats course pivo'!$1:$2,2,FALSE),FALSE))),"")</f>
        <v>0.66666666666666663</v>
      </c>
      <c r="D98" s="14">
        <f>IFERROR((VLOOKUP($A98,'[1]import success seats course'!$A:R,HLOOKUP('[1]Course Totals'!D$4,'[1]import success seats course'!$1:$2,2,FALSE),FALSE)/(VLOOKUP($A98,'[1]import graded seats course pivo'!$A:AB,HLOOKUP('[1]Course Totals'!D$4,'[1]import graded seats course pivo'!$1:$2,2,FALSE),FALSE))),"")</f>
        <v>1</v>
      </c>
      <c r="E98" s="14" t="str">
        <f>IFERROR((VLOOKUP($A98,'[1]import success seats course'!$A:S,HLOOKUP('[1]Course Totals'!E$4,'[1]import success seats course'!$1:$2,2,FALSE),FALSE)/(VLOOKUP($A98,'[1]import graded seats course pivo'!$A:AC,HLOOKUP('[1]Course Totals'!E$4,'[1]import graded seats course pivo'!$1:$2,2,FALSE),FALSE))),"")</f>
        <v/>
      </c>
      <c r="F98" s="14">
        <f>IFERROR((VLOOKUP($A98,'[1]import success seats course'!$A:T,HLOOKUP('[1]Course Totals'!F$4,'[1]import success seats course'!$1:$2,2,FALSE),FALSE)/(VLOOKUP($A98,'[1]import graded seats course pivo'!$A:AD,HLOOKUP('[1]Course Totals'!F$4,'[1]import graded seats course pivo'!$1:$2,2,FALSE),FALSE))),"")</f>
        <v>0.5</v>
      </c>
      <c r="G98" s="14" t="str">
        <f>IFERROR((VLOOKUP($A98,'[1]import success seats course'!$A:U,HLOOKUP('[1]Course Totals'!G$4,'[1]import success seats course'!$1:$2,2,FALSE),FALSE)/(VLOOKUP($A98,'[1]import graded seats course pivo'!$A:AE,HLOOKUP('[1]Course Totals'!G$4,'[1]import graded seats course pivo'!$1:$2,2,FALSE),FALSE))),"")</f>
        <v/>
      </c>
      <c r="H98" s="14" t="str">
        <f>IFERROR((VLOOKUP($A98,'[1]import success seats course'!$A:V,HLOOKUP('[1]Course Totals'!H$4,'[1]import success seats course'!$1:$2,2,FALSE),FALSE)/(VLOOKUP($A98,'[1]import graded seats course pivo'!$A:AF,HLOOKUP('[1]Course Totals'!H$4,'[1]import graded seats course pivo'!$1:$2,2,FALSE),FALSE))),"")</f>
        <v/>
      </c>
      <c r="I98" s="14" t="str">
        <f>IFERROR((VLOOKUP($A98,'[1]import success seats course'!$A:W,HLOOKUP('[1]Course Totals'!I$4,'[1]import success seats course'!$1:$2,2,FALSE),FALSE)/(VLOOKUP($A98,'[1]import graded seats course pivo'!$A:AG,HLOOKUP('[1]Course Totals'!I$4,'[1]import graded seats course pivo'!$1:$2,2,FALSE),FALSE))),"")</f>
        <v/>
      </c>
      <c r="J98" s="14">
        <f>IFERROR((VLOOKUP($A98,'[1]import success seats course'!$A:X,HLOOKUP('[1]Course Totals'!J$4,'[1]import success seats course'!$1:$2,2,FALSE),FALSE)/(VLOOKUP($A98,'[1]import graded seats course pivo'!$A:AH,HLOOKUP('[1]Course Totals'!J$4,'[1]import graded seats course pivo'!$1:$2,2,FALSE),FALSE))),"")</f>
        <v>1</v>
      </c>
      <c r="K98" s="14" t="str">
        <f>IFERROR((VLOOKUP($A98,'[1]import success seats course'!$A:Y,HLOOKUP('[1]Course Totals'!K$4,'[1]import success seats course'!$1:$2,2,FALSE),FALSE)/(VLOOKUP($A98,'[1]import graded seats course pivo'!$A:AI,HLOOKUP('[1]Course Totals'!K$4,'[1]import graded seats course pivo'!$1:$2,2,FALSE),FALSE))),"")</f>
        <v/>
      </c>
      <c r="L98" s="14" t="str">
        <f>IFERROR((VLOOKUP($A98,'[1]import success seats course'!$A:Z,HLOOKUP('[1]Course Totals'!L$4,'[1]import success seats course'!$1:$2,2,FALSE),FALSE)/(VLOOKUP($A98,'[1]import graded seats course pivo'!$A:AJ,HLOOKUP('[1]Course Totals'!L$4,'[1]import graded seats course pivo'!$1:$2,2,FALSE),FALSE))),"")</f>
        <v/>
      </c>
      <c r="M98" s="14" t="str">
        <f>IFERROR((VLOOKUP($A98,'[1]import success seats course'!$A:AA,HLOOKUP('[1]Course Totals'!M$4,'[1]import success seats course'!$1:$2,2,FALSE),FALSE)/(VLOOKUP($A98,'[1]import graded seats course pivo'!$A:AK,HLOOKUP('[1]Course Totals'!M$4,'[1]import graded seats course pivo'!$1:$2,2,FALSE),FALSE))),"")</f>
        <v/>
      </c>
      <c r="N98" s="14" t="str">
        <f>IFERROR((VLOOKUP($A98,'[1]import success seats course'!$A:AB,HLOOKUP('[1]Course Totals'!N$4,'[1]import success seats course'!$1:$2,2,FALSE),FALSE)/(VLOOKUP($A98,'[1]import graded seats course pivo'!$A:AL,HLOOKUP('[1]Course Totals'!N$4,'[1]import graded seats course pivo'!$1:$2,2,FALSE),FALSE))),"")</f>
        <v/>
      </c>
      <c r="O98" s="14" t="str">
        <f>IFERROR((VLOOKUP($A98,'[1]import success seats course'!$A:AC,HLOOKUP('[1]Course Totals'!O$4,'[1]import success seats course'!$1:$2,2,FALSE),FALSE)/(VLOOKUP($A98,'[1]import graded seats course pivo'!$A:AM,HLOOKUP('[1]Course Totals'!O$4,'[1]import graded seats course pivo'!$1:$2,2,FALSE),FALSE))),"")</f>
        <v/>
      </c>
      <c r="P98" s="14">
        <f>IFERROR((VLOOKUP($A98,'[1]import success seats course'!$A:AD,HLOOKUP('[1]Course Totals'!P$4,'[1]import success seats course'!$1:$2,2,FALSE),FALSE)/(VLOOKUP($A98,'[1]import graded seats course pivo'!$A:AN,HLOOKUP('[1]Course Totals'!P$4,'[1]import graded seats course pivo'!$1:$2,2,FALSE),FALSE))),"")</f>
        <v>1</v>
      </c>
      <c r="Q98" s="14" t="str">
        <f>IFERROR((VLOOKUP($A98,'[1]import success seats course'!$A:AE,HLOOKUP('[1]Course Totals'!Q$4,'[1]import success seats course'!$1:$2,2,FALSE),FALSE)/(VLOOKUP($A98,'[1]import graded seats course pivo'!$A:AO,HLOOKUP('[1]Course Totals'!Q$4,'[1]import graded seats course pivo'!$1:$2,2,FALSE),FALSE))),"")</f>
        <v/>
      </c>
      <c r="R98" s="14" t="str">
        <f>IFERROR((VLOOKUP($A98,'[1]import success seats course'!$A:AF,HLOOKUP('[1]Course Totals'!R$4,'[1]import success seats course'!$1:$2,2,FALSE),FALSE)/(VLOOKUP($A98,'[1]import graded seats course pivo'!$A:AP,HLOOKUP('[1]Course Totals'!R$4,'[1]import graded seats course pivo'!$1:$2,2,FALSE),FALSE))),"")</f>
        <v/>
      </c>
      <c r="S98" s="14">
        <f>IFERROR((VLOOKUP($A98,'[1]import success seats course'!$A:AG,HLOOKUP('[1]Course Totals'!S$4,'[1]import success seats course'!$1:$2,2,FALSE),FALSE)/(VLOOKUP($A98,'[1]import graded seats course pivo'!$A:AQ,HLOOKUP('[1]Course Totals'!S$4,'[1]import graded seats course pivo'!$1:$2,2,FALSE),FALSE))),"")</f>
        <v>1</v>
      </c>
      <c r="Z98" s="7"/>
      <c r="AA98" s="7"/>
      <c r="AB98" s="7"/>
      <c r="AC98" s="7"/>
    </row>
    <row r="99" spans="1:29" ht="15.75" hidden="1" customHeight="1" x14ac:dyDescent="0.25">
      <c r="A99" s="12" t="s">
        <v>767</v>
      </c>
      <c r="B99" s="14" t="str">
        <f>IFERROR((VLOOKUP($A99,'[1]import success seats course'!$A:P,HLOOKUP('[1]Course Totals'!B$4,'[1]import success seats course'!$1:$2,2,FALSE),FALSE)/(VLOOKUP($A99,'[1]import graded seats course pivo'!$A:Z,HLOOKUP('[1]Course Totals'!B$4,'[1]import graded seats course pivo'!$1:$2,2,FALSE),FALSE))),"")</f>
        <v/>
      </c>
      <c r="C99" s="14" t="str">
        <f>IFERROR((VLOOKUP($A99,'[1]import success seats course'!$A:Q,HLOOKUP('[1]Course Totals'!C$4,'[1]import success seats course'!$1:$2,2,FALSE),FALSE)/(VLOOKUP($A99,'[1]import graded seats course pivo'!$A:AA,HLOOKUP('[1]Course Totals'!C$4,'[1]import graded seats course pivo'!$1:$2,2,FALSE),FALSE))),"")</f>
        <v/>
      </c>
      <c r="D99" s="14" t="str">
        <f>IFERROR((VLOOKUP($A99,'[1]import success seats course'!$A:R,HLOOKUP('[1]Course Totals'!D$4,'[1]import success seats course'!$1:$2,2,FALSE),FALSE)/(VLOOKUP($A99,'[1]import graded seats course pivo'!$A:AB,HLOOKUP('[1]Course Totals'!D$4,'[1]import graded seats course pivo'!$1:$2,2,FALSE),FALSE))),"")</f>
        <v/>
      </c>
      <c r="E99" s="14" t="str">
        <f>IFERROR((VLOOKUP($A99,'[1]import success seats course'!$A:S,HLOOKUP('[1]Course Totals'!E$4,'[1]import success seats course'!$1:$2,2,FALSE),FALSE)/(VLOOKUP($A99,'[1]import graded seats course pivo'!$A:AC,HLOOKUP('[1]Course Totals'!E$4,'[1]import graded seats course pivo'!$1:$2,2,FALSE),FALSE))),"")</f>
        <v/>
      </c>
      <c r="F99" s="14" t="str">
        <f>IFERROR((VLOOKUP($A99,'[1]import success seats course'!$A:T,HLOOKUP('[1]Course Totals'!F$4,'[1]import success seats course'!$1:$2,2,FALSE),FALSE)/(VLOOKUP($A99,'[1]import graded seats course pivo'!$A:AD,HLOOKUP('[1]Course Totals'!F$4,'[1]import graded seats course pivo'!$1:$2,2,FALSE),FALSE))),"")</f>
        <v/>
      </c>
      <c r="G99" s="14" t="str">
        <f>IFERROR((VLOOKUP($A99,'[1]import success seats course'!$A:U,HLOOKUP('[1]Course Totals'!G$4,'[1]import success seats course'!$1:$2,2,FALSE),FALSE)/(VLOOKUP($A99,'[1]import graded seats course pivo'!$A:AE,HLOOKUP('[1]Course Totals'!G$4,'[1]import graded seats course pivo'!$1:$2,2,FALSE),FALSE))),"")</f>
        <v/>
      </c>
      <c r="H99" s="14" t="str">
        <f>IFERROR((VLOOKUP($A99,'[1]import success seats course'!$A:V,HLOOKUP('[1]Course Totals'!H$4,'[1]import success seats course'!$1:$2,2,FALSE),FALSE)/(VLOOKUP($A99,'[1]import graded seats course pivo'!$A:AF,HLOOKUP('[1]Course Totals'!H$4,'[1]import graded seats course pivo'!$1:$2,2,FALSE),FALSE))),"")</f>
        <v/>
      </c>
      <c r="I99" s="14" t="str">
        <f>IFERROR((VLOOKUP($A99,'[1]import success seats course'!$A:W,HLOOKUP('[1]Course Totals'!I$4,'[1]import success seats course'!$1:$2,2,FALSE),FALSE)/(VLOOKUP($A99,'[1]import graded seats course pivo'!$A:AG,HLOOKUP('[1]Course Totals'!I$4,'[1]import graded seats course pivo'!$1:$2,2,FALSE),FALSE))),"")</f>
        <v/>
      </c>
      <c r="J99" s="14" t="str">
        <f>IFERROR((VLOOKUP($A99,'[1]import success seats course'!$A:X,HLOOKUP('[1]Course Totals'!J$4,'[1]import success seats course'!$1:$2,2,FALSE),FALSE)/(VLOOKUP($A99,'[1]import graded seats course pivo'!$A:AH,HLOOKUP('[1]Course Totals'!J$4,'[1]import graded seats course pivo'!$1:$2,2,FALSE),FALSE))),"")</f>
        <v/>
      </c>
      <c r="K99" s="14" t="str">
        <f>IFERROR((VLOOKUP($A99,'[1]import success seats course'!$A:Y,HLOOKUP('[1]Course Totals'!K$4,'[1]import success seats course'!$1:$2,2,FALSE),FALSE)/(VLOOKUP($A99,'[1]import graded seats course pivo'!$A:AI,HLOOKUP('[1]Course Totals'!K$4,'[1]import graded seats course pivo'!$1:$2,2,FALSE),FALSE))),"")</f>
        <v/>
      </c>
      <c r="L99" s="14" t="str">
        <f>IFERROR((VLOOKUP($A99,'[1]import success seats course'!$A:Z,HLOOKUP('[1]Course Totals'!L$4,'[1]import success seats course'!$1:$2,2,FALSE),FALSE)/(VLOOKUP($A99,'[1]import graded seats course pivo'!$A:AJ,HLOOKUP('[1]Course Totals'!L$4,'[1]import graded seats course pivo'!$1:$2,2,FALSE),FALSE))),"")</f>
        <v/>
      </c>
      <c r="M99" s="14" t="str">
        <f>IFERROR((VLOOKUP($A99,'[1]import success seats course'!$A:AA,HLOOKUP('[1]Course Totals'!M$4,'[1]import success seats course'!$1:$2,2,FALSE),FALSE)/(VLOOKUP($A99,'[1]import graded seats course pivo'!$A:AK,HLOOKUP('[1]Course Totals'!M$4,'[1]import graded seats course pivo'!$1:$2,2,FALSE),FALSE))),"")</f>
        <v/>
      </c>
      <c r="N99" s="14" t="str">
        <f>IFERROR((VLOOKUP($A99,'[1]import success seats course'!$A:AB,HLOOKUP('[1]Course Totals'!N$4,'[1]import success seats course'!$1:$2,2,FALSE),FALSE)/(VLOOKUP($A99,'[1]import graded seats course pivo'!$A:AL,HLOOKUP('[1]Course Totals'!N$4,'[1]import graded seats course pivo'!$1:$2,2,FALSE),FALSE))),"")</f>
        <v/>
      </c>
      <c r="O99" s="14" t="str">
        <f>IFERROR((VLOOKUP($A99,'[1]import success seats course'!$A:AC,HLOOKUP('[1]Course Totals'!O$4,'[1]import success seats course'!$1:$2,2,FALSE),FALSE)/(VLOOKUP($A99,'[1]import graded seats course pivo'!$A:AM,HLOOKUP('[1]Course Totals'!O$4,'[1]import graded seats course pivo'!$1:$2,2,FALSE),FALSE))),"")</f>
        <v/>
      </c>
      <c r="P99" s="14" t="str">
        <f>IFERROR((VLOOKUP($A99,'[1]import success seats course'!$A:AD,HLOOKUP('[1]Course Totals'!P$4,'[1]import success seats course'!$1:$2,2,FALSE),FALSE)/(VLOOKUP($A99,'[1]import graded seats course pivo'!$A:AN,HLOOKUP('[1]Course Totals'!P$4,'[1]import graded seats course pivo'!$1:$2,2,FALSE),FALSE))),"")</f>
        <v/>
      </c>
      <c r="Q99" s="14" t="str">
        <f>IFERROR((VLOOKUP($A99,'[1]import success seats course'!$A:AE,HLOOKUP('[1]Course Totals'!Q$4,'[1]import success seats course'!$1:$2,2,FALSE),FALSE)/(VLOOKUP($A99,'[1]import graded seats course pivo'!$A:AO,HLOOKUP('[1]Course Totals'!Q$4,'[1]import graded seats course pivo'!$1:$2,2,FALSE),FALSE))),"")</f>
        <v/>
      </c>
      <c r="R99" s="14" t="str">
        <f>IFERROR((VLOOKUP($A99,'[1]import success seats course'!$A:AF,HLOOKUP('[1]Course Totals'!R$4,'[1]import success seats course'!$1:$2,2,FALSE),FALSE)/(VLOOKUP($A99,'[1]import graded seats course pivo'!$A:AP,HLOOKUP('[1]Course Totals'!R$4,'[1]import graded seats course pivo'!$1:$2,2,FALSE),FALSE))),"")</f>
        <v/>
      </c>
      <c r="S99" s="14" t="str">
        <f>IFERROR((VLOOKUP($A99,'[1]import success seats course'!$A:AG,HLOOKUP('[1]Course Totals'!S$4,'[1]import success seats course'!$1:$2,2,FALSE),FALSE)/(VLOOKUP($A99,'[1]import graded seats course pivo'!$A:AQ,HLOOKUP('[1]Course Totals'!S$4,'[1]import graded seats course pivo'!$1:$2,2,FALSE),FALSE))),"")</f>
        <v/>
      </c>
      <c r="Z99" s="7"/>
      <c r="AA99" s="7"/>
      <c r="AB99" s="7"/>
      <c r="AC99" s="7"/>
    </row>
    <row r="100" spans="1:29" ht="15.75" hidden="1" customHeight="1" x14ac:dyDescent="0.25">
      <c r="A100" s="12" t="s">
        <v>60</v>
      </c>
      <c r="B100" s="14" t="str">
        <f>IFERROR((VLOOKUP($A100,'[1]import success seats course'!$A:P,HLOOKUP('[1]Course Totals'!B$4,'[1]import success seats course'!$1:$2,2,FALSE),FALSE)/(VLOOKUP($A100,'[1]import graded seats course pivo'!$A:Z,HLOOKUP('[1]Course Totals'!B$4,'[1]import graded seats course pivo'!$1:$2,2,FALSE),FALSE))),"")</f>
        <v/>
      </c>
      <c r="C100" s="14" t="str">
        <f>IFERROR((VLOOKUP($A100,'[1]import success seats course'!$A:Q,HLOOKUP('[1]Course Totals'!C$4,'[1]import success seats course'!$1:$2,2,FALSE),FALSE)/(VLOOKUP($A100,'[1]import graded seats course pivo'!$A:AA,HLOOKUP('[1]Course Totals'!C$4,'[1]import graded seats course pivo'!$1:$2,2,FALSE),FALSE))),"")</f>
        <v/>
      </c>
      <c r="D100" s="14" t="str">
        <f>IFERROR((VLOOKUP($A100,'[1]import success seats course'!$A:R,HLOOKUP('[1]Course Totals'!D$4,'[1]import success seats course'!$1:$2,2,FALSE),FALSE)/(VLOOKUP($A100,'[1]import graded seats course pivo'!$A:AB,HLOOKUP('[1]Course Totals'!D$4,'[1]import graded seats course pivo'!$1:$2,2,FALSE),FALSE))),"")</f>
        <v/>
      </c>
      <c r="E100" s="14" t="str">
        <f>IFERROR((VLOOKUP($A100,'[1]import success seats course'!$A:S,HLOOKUP('[1]Course Totals'!E$4,'[1]import success seats course'!$1:$2,2,FALSE),FALSE)/(VLOOKUP($A100,'[1]import graded seats course pivo'!$A:AC,HLOOKUP('[1]Course Totals'!E$4,'[1]import graded seats course pivo'!$1:$2,2,FALSE),FALSE))),"")</f>
        <v/>
      </c>
      <c r="F100" s="14" t="str">
        <f>IFERROR((VLOOKUP($A100,'[1]import success seats course'!$A:T,HLOOKUP('[1]Course Totals'!F$4,'[1]import success seats course'!$1:$2,2,FALSE),FALSE)/(VLOOKUP($A100,'[1]import graded seats course pivo'!$A:AD,HLOOKUP('[1]Course Totals'!F$4,'[1]import graded seats course pivo'!$1:$2,2,FALSE),FALSE))),"")</f>
        <v/>
      </c>
      <c r="G100" s="14" t="str">
        <f>IFERROR((VLOOKUP($A100,'[1]import success seats course'!$A:U,HLOOKUP('[1]Course Totals'!G$4,'[1]import success seats course'!$1:$2,2,FALSE),FALSE)/(VLOOKUP($A100,'[1]import graded seats course pivo'!$A:AE,HLOOKUP('[1]Course Totals'!G$4,'[1]import graded seats course pivo'!$1:$2,2,FALSE),FALSE))),"")</f>
        <v/>
      </c>
      <c r="H100" s="14" t="str">
        <f>IFERROR((VLOOKUP($A100,'[1]import success seats course'!$A:V,HLOOKUP('[1]Course Totals'!H$4,'[1]import success seats course'!$1:$2,2,FALSE),FALSE)/(VLOOKUP($A100,'[1]import graded seats course pivo'!$A:AF,HLOOKUP('[1]Course Totals'!H$4,'[1]import graded seats course pivo'!$1:$2,2,FALSE),FALSE))),"")</f>
        <v/>
      </c>
      <c r="I100" s="14" t="str">
        <f>IFERROR((VLOOKUP($A100,'[1]import success seats course'!$A:W,HLOOKUP('[1]Course Totals'!I$4,'[1]import success seats course'!$1:$2,2,FALSE),FALSE)/(VLOOKUP($A100,'[1]import graded seats course pivo'!$A:AG,HLOOKUP('[1]Course Totals'!I$4,'[1]import graded seats course pivo'!$1:$2,2,FALSE),FALSE))),"")</f>
        <v/>
      </c>
      <c r="J100" s="14" t="str">
        <f>IFERROR((VLOOKUP($A100,'[1]import success seats course'!$A:X,HLOOKUP('[1]Course Totals'!J$4,'[1]import success seats course'!$1:$2,2,FALSE),FALSE)/(VLOOKUP($A100,'[1]import graded seats course pivo'!$A:AH,HLOOKUP('[1]Course Totals'!J$4,'[1]import graded seats course pivo'!$1:$2,2,FALSE),FALSE))),"")</f>
        <v/>
      </c>
      <c r="K100" s="14" t="str">
        <f>IFERROR((VLOOKUP($A100,'[1]import success seats course'!$A:Y,HLOOKUP('[1]Course Totals'!K$4,'[1]import success seats course'!$1:$2,2,FALSE),FALSE)/(VLOOKUP($A100,'[1]import graded seats course pivo'!$A:AI,HLOOKUP('[1]Course Totals'!K$4,'[1]import graded seats course pivo'!$1:$2,2,FALSE),FALSE))),"")</f>
        <v/>
      </c>
      <c r="L100" s="14" t="str">
        <f>IFERROR((VLOOKUP($A100,'[1]import success seats course'!$A:Z,HLOOKUP('[1]Course Totals'!L$4,'[1]import success seats course'!$1:$2,2,FALSE),FALSE)/(VLOOKUP($A100,'[1]import graded seats course pivo'!$A:AJ,HLOOKUP('[1]Course Totals'!L$4,'[1]import graded seats course pivo'!$1:$2,2,FALSE),FALSE))),"")</f>
        <v/>
      </c>
      <c r="M100" s="14" t="str">
        <f>IFERROR((VLOOKUP($A100,'[1]import success seats course'!$A:AA,HLOOKUP('[1]Course Totals'!M$4,'[1]import success seats course'!$1:$2,2,FALSE),FALSE)/(VLOOKUP($A100,'[1]import graded seats course pivo'!$A:AK,HLOOKUP('[1]Course Totals'!M$4,'[1]import graded seats course pivo'!$1:$2,2,FALSE),FALSE))),"")</f>
        <v/>
      </c>
      <c r="N100" s="14" t="str">
        <f>IFERROR((VLOOKUP($A100,'[1]import success seats course'!$A:AB,HLOOKUP('[1]Course Totals'!N$4,'[1]import success seats course'!$1:$2,2,FALSE),FALSE)/(VLOOKUP($A100,'[1]import graded seats course pivo'!$A:AL,HLOOKUP('[1]Course Totals'!N$4,'[1]import graded seats course pivo'!$1:$2,2,FALSE),FALSE))),"")</f>
        <v/>
      </c>
      <c r="O100" s="14" t="str">
        <f>IFERROR((VLOOKUP($A100,'[1]import success seats course'!$A:AC,HLOOKUP('[1]Course Totals'!O$4,'[1]import success seats course'!$1:$2,2,FALSE),FALSE)/(VLOOKUP($A100,'[1]import graded seats course pivo'!$A:AM,HLOOKUP('[1]Course Totals'!O$4,'[1]import graded seats course pivo'!$1:$2,2,FALSE),FALSE))),"")</f>
        <v/>
      </c>
      <c r="P100" s="14" t="str">
        <f>IFERROR((VLOOKUP($A100,'[1]import success seats course'!$A:AD,HLOOKUP('[1]Course Totals'!P$4,'[1]import success seats course'!$1:$2,2,FALSE),FALSE)/(VLOOKUP($A100,'[1]import graded seats course pivo'!$A:AN,HLOOKUP('[1]Course Totals'!P$4,'[1]import graded seats course pivo'!$1:$2,2,FALSE),FALSE))),"")</f>
        <v/>
      </c>
      <c r="Q100" s="14" t="str">
        <f>IFERROR((VLOOKUP($A100,'[1]import success seats course'!$A:AE,HLOOKUP('[1]Course Totals'!Q$4,'[1]import success seats course'!$1:$2,2,FALSE),FALSE)/(VLOOKUP($A100,'[1]import graded seats course pivo'!$A:AO,HLOOKUP('[1]Course Totals'!Q$4,'[1]import graded seats course pivo'!$1:$2,2,FALSE),FALSE))),"")</f>
        <v/>
      </c>
      <c r="R100" s="14" t="str">
        <f>IFERROR((VLOOKUP($A100,'[1]import success seats course'!$A:AF,HLOOKUP('[1]Course Totals'!R$4,'[1]import success seats course'!$1:$2,2,FALSE),FALSE)/(VLOOKUP($A100,'[1]import graded seats course pivo'!$A:AP,HLOOKUP('[1]Course Totals'!R$4,'[1]import graded seats course pivo'!$1:$2,2,FALSE),FALSE))),"")</f>
        <v/>
      </c>
      <c r="S100" s="14" t="str">
        <f>IFERROR((VLOOKUP($A100,'[1]import success seats course'!$A:AG,HLOOKUP('[1]Course Totals'!S$4,'[1]import success seats course'!$1:$2,2,FALSE),FALSE)/(VLOOKUP($A100,'[1]import graded seats course pivo'!$A:AQ,HLOOKUP('[1]Course Totals'!S$4,'[1]import graded seats course pivo'!$1:$2,2,FALSE),FALSE))),"")</f>
        <v/>
      </c>
      <c r="Z100" s="7"/>
      <c r="AA100" s="7"/>
      <c r="AB100" s="7"/>
      <c r="AC100" s="7"/>
    </row>
    <row r="101" spans="1:29" ht="15.75" customHeight="1" x14ac:dyDescent="0.25">
      <c r="A101" s="12" t="s">
        <v>61</v>
      </c>
      <c r="B101" s="14">
        <f>IFERROR((VLOOKUP($A101,'[1]import success seats course'!$A:P,HLOOKUP('[1]Course Totals'!B$4,'[1]import success seats course'!$1:$2,2,FALSE),FALSE)/(VLOOKUP($A101,'[1]import graded seats course pivo'!$A:Z,HLOOKUP('[1]Course Totals'!B$4,'[1]import graded seats course pivo'!$1:$2,2,FALSE),FALSE))),"")</f>
        <v>1</v>
      </c>
      <c r="C101" s="14">
        <f>IFERROR((VLOOKUP($A101,'[1]import success seats course'!$A:Q,HLOOKUP('[1]Course Totals'!C$4,'[1]import success seats course'!$1:$2,2,FALSE),FALSE)/(VLOOKUP($A101,'[1]import graded seats course pivo'!$A:AA,HLOOKUP('[1]Course Totals'!C$4,'[1]import graded seats course pivo'!$1:$2,2,FALSE),FALSE))),"")</f>
        <v>0.85620915032679734</v>
      </c>
      <c r="D101" s="14">
        <f>IFERROR((VLOOKUP($A101,'[1]import success seats course'!$A:R,HLOOKUP('[1]Course Totals'!D$4,'[1]import success seats course'!$1:$2,2,FALSE),FALSE)/(VLOOKUP($A101,'[1]import graded seats course pivo'!$A:AB,HLOOKUP('[1]Course Totals'!D$4,'[1]import graded seats course pivo'!$1:$2,2,FALSE),FALSE))),"")</f>
        <v>0.86754966887417218</v>
      </c>
      <c r="E101" s="14">
        <f>IFERROR((VLOOKUP($A101,'[1]import success seats course'!$A:S,HLOOKUP('[1]Course Totals'!E$4,'[1]import success seats course'!$1:$2,2,FALSE),FALSE)/(VLOOKUP($A101,'[1]import graded seats course pivo'!$A:AC,HLOOKUP('[1]Course Totals'!E$4,'[1]import graded seats course pivo'!$1:$2,2,FALSE),FALSE))),"")</f>
        <v>0.9642857142857143</v>
      </c>
      <c r="F101" s="14">
        <f>IFERROR((VLOOKUP($A101,'[1]import success seats course'!$A:T,HLOOKUP('[1]Course Totals'!F$4,'[1]import success seats course'!$1:$2,2,FALSE),FALSE)/(VLOOKUP($A101,'[1]import graded seats course pivo'!$A:AD,HLOOKUP('[1]Course Totals'!F$4,'[1]import graded seats course pivo'!$1:$2,2,FALSE),FALSE))),"")</f>
        <v>0.83870967741935487</v>
      </c>
      <c r="G101" s="14">
        <f>IFERROR((VLOOKUP($A101,'[1]import success seats course'!$A:U,HLOOKUP('[1]Course Totals'!G$4,'[1]import success seats course'!$1:$2,2,FALSE),FALSE)/(VLOOKUP($A101,'[1]import graded seats course pivo'!$A:AE,HLOOKUP('[1]Course Totals'!G$4,'[1]import graded seats course pivo'!$1:$2,2,FALSE),FALSE))),"")</f>
        <v>0.92361111111111116</v>
      </c>
      <c r="H101" s="14" t="str">
        <f>IFERROR((VLOOKUP($A101,'[1]import success seats course'!$A:V,HLOOKUP('[1]Course Totals'!H$4,'[1]import success seats course'!$1:$2,2,FALSE),FALSE)/(VLOOKUP($A101,'[1]import graded seats course pivo'!$A:AF,HLOOKUP('[1]Course Totals'!H$4,'[1]import graded seats course pivo'!$1:$2,2,FALSE),FALSE))),"")</f>
        <v/>
      </c>
      <c r="I101" s="14">
        <f>IFERROR((VLOOKUP($A101,'[1]import success seats course'!$A:W,HLOOKUP('[1]Course Totals'!I$4,'[1]import success seats course'!$1:$2,2,FALSE),FALSE)/(VLOOKUP($A101,'[1]import graded seats course pivo'!$A:AG,HLOOKUP('[1]Course Totals'!I$4,'[1]import graded seats course pivo'!$1:$2,2,FALSE),FALSE))),"")</f>
        <v>0.84976525821596249</v>
      </c>
      <c r="J101" s="14">
        <f>IFERROR((VLOOKUP($A101,'[1]import success seats course'!$A:X,HLOOKUP('[1]Course Totals'!J$4,'[1]import success seats course'!$1:$2,2,FALSE),FALSE)/(VLOOKUP($A101,'[1]import graded seats course pivo'!$A:AH,HLOOKUP('[1]Course Totals'!J$4,'[1]import graded seats course pivo'!$1:$2,2,FALSE),FALSE))),"")</f>
        <v>0.87272727272727268</v>
      </c>
      <c r="K101" s="14" t="str">
        <f>IFERROR((VLOOKUP($A101,'[1]import success seats course'!$A:Y,HLOOKUP('[1]Course Totals'!K$4,'[1]import success seats course'!$1:$2,2,FALSE),FALSE)/(VLOOKUP($A101,'[1]import graded seats course pivo'!$A:AI,HLOOKUP('[1]Course Totals'!K$4,'[1]import graded seats course pivo'!$1:$2,2,FALSE),FALSE))),"")</f>
        <v/>
      </c>
      <c r="L101" s="14">
        <f>IFERROR((VLOOKUP($A101,'[1]import success seats course'!$A:Z,HLOOKUP('[1]Course Totals'!L$4,'[1]import success seats course'!$1:$2,2,FALSE),FALSE)/(VLOOKUP($A101,'[1]import graded seats course pivo'!$A:AJ,HLOOKUP('[1]Course Totals'!L$4,'[1]import graded seats course pivo'!$1:$2,2,FALSE),FALSE))),"")</f>
        <v>0.86875000000000002</v>
      </c>
      <c r="M101" s="14">
        <f>IFERROR((VLOOKUP($A101,'[1]import success seats course'!$A:AA,HLOOKUP('[1]Course Totals'!M$4,'[1]import success seats course'!$1:$2,2,FALSE),FALSE)/(VLOOKUP($A101,'[1]import graded seats course pivo'!$A:AK,HLOOKUP('[1]Course Totals'!M$4,'[1]import graded seats course pivo'!$1:$2,2,FALSE),FALSE))),"")</f>
        <v>0.84662576687116564</v>
      </c>
      <c r="N101" s="14" t="str">
        <f>IFERROR((VLOOKUP($A101,'[1]import success seats course'!$A:AB,HLOOKUP('[1]Course Totals'!N$4,'[1]import success seats course'!$1:$2,2,FALSE),FALSE)/(VLOOKUP($A101,'[1]import graded seats course pivo'!$A:AL,HLOOKUP('[1]Course Totals'!N$4,'[1]import graded seats course pivo'!$1:$2,2,FALSE),FALSE))),"")</f>
        <v/>
      </c>
      <c r="O101" s="14">
        <f>IFERROR((VLOOKUP($A101,'[1]import success seats course'!$A:AC,HLOOKUP('[1]Course Totals'!O$4,'[1]import success seats course'!$1:$2,2,FALSE),FALSE)/(VLOOKUP($A101,'[1]import graded seats course pivo'!$A:AM,HLOOKUP('[1]Course Totals'!O$4,'[1]import graded seats course pivo'!$1:$2,2,FALSE),FALSE))),"")</f>
        <v>0.91874999999999996</v>
      </c>
      <c r="P101" s="14">
        <f>IFERROR((VLOOKUP($A101,'[1]import success seats course'!$A:AD,HLOOKUP('[1]Course Totals'!P$4,'[1]import success seats course'!$1:$2,2,FALSE),FALSE)/(VLOOKUP($A101,'[1]import graded seats course pivo'!$A:AN,HLOOKUP('[1]Course Totals'!P$4,'[1]import graded seats course pivo'!$1:$2,2,FALSE),FALSE))),"")</f>
        <v>0.89922480620155043</v>
      </c>
      <c r="Q101" s="14" t="str">
        <f>IFERROR((VLOOKUP($A101,'[1]import success seats course'!$A:AE,HLOOKUP('[1]Course Totals'!Q$4,'[1]import success seats course'!$1:$2,2,FALSE),FALSE)/(VLOOKUP($A101,'[1]import graded seats course pivo'!$A:AO,HLOOKUP('[1]Course Totals'!Q$4,'[1]import graded seats course pivo'!$1:$2,2,FALSE),FALSE))),"")</f>
        <v/>
      </c>
      <c r="R101" s="14">
        <f>IFERROR((VLOOKUP($A101,'[1]import success seats course'!$A:AF,HLOOKUP('[1]Course Totals'!R$4,'[1]import success seats course'!$1:$2,2,FALSE),FALSE)/(VLOOKUP($A101,'[1]import graded seats course pivo'!$A:AP,HLOOKUP('[1]Course Totals'!R$4,'[1]import graded seats course pivo'!$1:$2,2,FALSE),FALSE))),"")</f>
        <v>0.91044776119402981</v>
      </c>
      <c r="S101" s="14">
        <f>IFERROR((VLOOKUP($A101,'[1]import success seats course'!$A:AG,HLOOKUP('[1]Course Totals'!S$4,'[1]import success seats course'!$1:$2,2,FALSE),FALSE)/(VLOOKUP($A101,'[1]import graded seats course pivo'!$A:AQ,HLOOKUP('[1]Course Totals'!S$4,'[1]import graded seats course pivo'!$1:$2,2,FALSE),FALSE))),"")</f>
        <v>0.93965517241379315</v>
      </c>
      <c r="Z101" s="7"/>
      <c r="AA101" s="7"/>
      <c r="AB101" s="7"/>
      <c r="AC101" s="7"/>
    </row>
    <row r="102" spans="1:29" ht="15.75" customHeight="1" x14ac:dyDescent="0.25">
      <c r="A102" s="12" t="s">
        <v>62</v>
      </c>
      <c r="B102" s="14" t="str">
        <f>IFERROR((VLOOKUP($A102,'[1]import success seats course'!$A:P,HLOOKUP('[1]Course Totals'!B$4,'[1]import success seats course'!$1:$2,2,FALSE),FALSE)/(VLOOKUP($A102,'[1]import graded seats course pivo'!$A:Z,HLOOKUP('[1]Course Totals'!B$4,'[1]import graded seats course pivo'!$1:$2,2,FALSE),FALSE))),"")</f>
        <v/>
      </c>
      <c r="C102" s="14">
        <f>IFERROR((VLOOKUP($A102,'[1]import success seats course'!$A:Q,HLOOKUP('[1]Course Totals'!C$4,'[1]import success seats course'!$1:$2,2,FALSE),FALSE)/(VLOOKUP($A102,'[1]import graded seats course pivo'!$A:AA,HLOOKUP('[1]Course Totals'!C$4,'[1]import graded seats course pivo'!$1:$2,2,FALSE),FALSE))),"")</f>
        <v>1</v>
      </c>
      <c r="D102" s="14">
        <f>IFERROR((VLOOKUP($A102,'[1]import success seats course'!$A:R,HLOOKUP('[1]Course Totals'!D$4,'[1]import success seats course'!$1:$2,2,FALSE),FALSE)/(VLOOKUP($A102,'[1]import graded seats course pivo'!$A:AB,HLOOKUP('[1]Course Totals'!D$4,'[1]import graded seats course pivo'!$1:$2,2,FALSE),FALSE))),"")</f>
        <v>0.94117647058823528</v>
      </c>
      <c r="E102" s="14" t="str">
        <f>IFERROR((VLOOKUP($A102,'[1]import success seats course'!$A:S,HLOOKUP('[1]Course Totals'!E$4,'[1]import success seats course'!$1:$2,2,FALSE),FALSE)/(VLOOKUP($A102,'[1]import graded seats course pivo'!$A:AC,HLOOKUP('[1]Course Totals'!E$4,'[1]import graded seats course pivo'!$1:$2,2,FALSE),FALSE))),"")</f>
        <v/>
      </c>
      <c r="F102" s="14" t="str">
        <f>IFERROR((VLOOKUP($A102,'[1]import success seats course'!$A:T,HLOOKUP('[1]Course Totals'!F$4,'[1]import success seats course'!$1:$2,2,FALSE),FALSE)/(VLOOKUP($A102,'[1]import graded seats course pivo'!$A:AD,HLOOKUP('[1]Course Totals'!F$4,'[1]import graded seats course pivo'!$1:$2,2,FALSE),FALSE))),"")</f>
        <v/>
      </c>
      <c r="G102" s="14">
        <f>IFERROR((VLOOKUP($A102,'[1]import success seats course'!$A:U,HLOOKUP('[1]Course Totals'!G$4,'[1]import success seats course'!$1:$2,2,FALSE),FALSE)/(VLOOKUP($A102,'[1]import graded seats course pivo'!$A:AE,HLOOKUP('[1]Course Totals'!G$4,'[1]import graded seats course pivo'!$1:$2,2,FALSE),FALSE))),"")</f>
        <v>0.8928571428571429</v>
      </c>
      <c r="H102" s="14" t="str">
        <f>IFERROR((VLOOKUP($A102,'[1]import success seats course'!$A:V,HLOOKUP('[1]Course Totals'!H$4,'[1]import success seats course'!$1:$2,2,FALSE),FALSE)/(VLOOKUP($A102,'[1]import graded seats course pivo'!$A:AF,HLOOKUP('[1]Course Totals'!H$4,'[1]import graded seats course pivo'!$1:$2,2,FALSE),FALSE))),"")</f>
        <v/>
      </c>
      <c r="I102" s="14">
        <f>IFERROR((VLOOKUP($A102,'[1]import success seats course'!$A:W,HLOOKUP('[1]Course Totals'!I$4,'[1]import success seats course'!$1:$2,2,FALSE),FALSE)/(VLOOKUP($A102,'[1]import graded seats course pivo'!$A:AG,HLOOKUP('[1]Course Totals'!I$4,'[1]import graded seats course pivo'!$1:$2,2,FALSE),FALSE))),"")</f>
        <v>0.9285714285714286</v>
      </c>
      <c r="J102" s="14" t="str">
        <f>IFERROR((VLOOKUP($A102,'[1]import success seats course'!$A:X,HLOOKUP('[1]Course Totals'!J$4,'[1]import success seats course'!$1:$2,2,FALSE),FALSE)/(VLOOKUP($A102,'[1]import graded seats course pivo'!$A:AH,HLOOKUP('[1]Course Totals'!J$4,'[1]import graded seats course pivo'!$1:$2,2,FALSE),FALSE))),"")</f>
        <v/>
      </c>
      <c r="K102" s="14" t="str">
        <f>IFERROR((VLOOKUP($A102,'[1]import success seats course'!$A:Y,HLOOKUP('[1]Course Totals'!K$4,'[1]import success seats course'!$1:$2,2,FALSE),FALSE)/(VLOOKUP($A102,'[1]import graded seats course pivo'!$A:AI,HLOOKUP('[1]Course Totals'!K$4,'[1]import graded seats course pivo'!$1:$2,2,FALSE),FALSE))),"")</f>
        <v/>
      </c>
      <c r="L102" s="14">
        <f>IFERROR((VLOOKUP($A102,'[1]import success seats course'!$A:Z,HLOOKUP('[1]Course Totals'!L$4,'[1]import success seats course'!$1:$2,2,FALSE),FALSE)/(VLOOKUP($A102,'[1]import graded seats course pivo'!$A:AJ,HLOOKUP('[1]Course Totals'!L$4,'[1]import graded seats course pivo'!$1:$2,2,FALSE),FALSE))),"")</f>
        <v>0.91304347826086951</v>
      </c>
      <c r="M102" s="14" t="str">
        <f>IFERROR((VLOOKUP($A102,'[1]import success seats course'!$A:AA,HLOOKUP('[1]Course Totals'!M$4,'[1]import success seats course'!$1:$2,2,FALSE),FALSE)/(VLOOKUP($A102,'[1]import graded seats course pivo'!$A:AK,HLOOKUP('[1]Course Totals'!M$4,'[1]import graded seats course pivo'!$1:$2,2,FALSE),FALSE))),"")</f>
        <v/>
      </c>
      <c r="N102" s="14" t="str">
        <f>IFERROR((VLOOKUP($A102,'[1]import success seats course'!$A:AB,HLOOKUP('[1]Course Totals'!N$4,'[1]import success seats course'!$1:$2,2,FALSE),FALSE)/(VLOOKUP($A102,'[1]import graded seats course pivo'!$A:AL,HLOOKUP('[1]Course Totals'!N$4,'[1]import graded seats course pivo'!$1:$2,2,FALSE),FALSE))),"")</f>
        <v/>
      </c>
      <c r="O102" s="14">
        <f>IFERROR((VLOOKUP($A102,'[1]import success seats course'!$A:AC,HLOOKUP('[1]Course Totals'!O$4,'[1]import success seats course'!$1:$2,2,FALSE),FALSE)/(VLOOKUP($A102,'[1]import graded seats course pivo'!$A:AM,HLOOKUP('[1]Course Totals'!O$4,'[1]import graded seats course pivo'!$1:$2,2,FALSE),FALSE))),"")</f>
        <v>0.93103448275862066</v>
      </c>
      <c r="P102" s="14">
        <f>IFERROR((VLOOKUP($A102,'[1]import success seats course'!$A:AD,HLOOKUP('[1]Course Totals'!P$4,'[1]import success seats course'!$1:$2,2,FALSE),FALSE)/(VLOOKUP($A102,'[1]import graded seats course pivo'!$A:AN,HLOOKUP('[1]Course Totals'!P$4,'[1]import graded seats course pivo'!$1:$2,2,FALSE),FALSE))),"")</f>
        <v>0.86206896551724133</v>
      </c>
      <c r="Q102" s="14" t="str">
        <f>IFERROR((VLOOKUP($A102,'[1]import success seats course'!$A:AE,HLOOKUP('[1]Course Totals'!Q$4,'[1]import success seats course'!$1:$2,2,FALSE),FALSE)/(VLOOKUP($A102,'[1]import graded seats course pivo'!$A:AO,HLOOKUP('[1]Course Totals'!Q$4,'[1]import graded seats course pivo'!$1:$2,2,FALSE),FALSE))),"")</f>
        <v/>
      </c>
      <c r="R102" s="14">
        <f>IFERROR((VLOOKUP($A102,'[1]import success seats course'!$A:AF,HLOOKUP('[1]Course Totals'!R$4,'[1]import success seats course'!$1:$2,2,FALSE),FALSE)/(VLOOKUP($A102,'[1]import graded seats course pivo'!$A:AP,HLOOKUP('[1]Course Totals'!R$4,'[1]import graded seats course pivo'!$1:$2,2,FALSE),FALSE))),"")</f>
        <v>0.88461538461538458</v>
      </c>
      <c r="S102" s="14" t="str">
        <f>IFERROR((VLOOKUP($A102,'[1]import success seats course'!$A:AG,HLOOKUP('[1]Course Totals'!S$4,'[1]import success seats course'!$1:$2,2,FALSE),FALSE)/(VLOOKUP($A102,'[1]import graded seats course pivo'!$A:AQ,HLOOKUP('[1]Course Totals'!S$4,'[1]import graded seats course pivo'!$1:$2,2,FALSE),FALSE))),"")</f>
        <v/>
      </c>
      <c r="Z102" s="7"/>
      <c r="AA102" s="7"/>
      <c r="AB102" s="7"/>
      <c r="AC102" s="7"/>
    </row>
    <row r="103" spans="1:29" ht="15.75" customHeight="1" x14ac:dyDescent="0.25">
      <c r="A103" s="12" t="s">
        <v>63</v>
      </c>
      <c r="B103" s="14" t="str">
        <f>IFERROR((VLOOKUP($A103,'[1]import success seats course'!$A:P,HLOOKUP('[1]Course Totals'!B$4,'[1]import success seats course'!$1:$2,2,FALSE),FALSE)/(VLOOKUP($A103,'[1]import graded seats course pivo'!$A:Z,HLOOKUP('[1]Course Totals'!B$4,'[1]import graded seats course pivo'!$1:$2,2,FALSE),FALSE))),"")</f>
        <v/>
      </c>
      <c r="C103" s="14">
        <f>IFERROR((VLOOKUP($A103,'[1]import success seats course'!$A:Q,HLOOKUP('[1]Course Totals'!C$4,'[1]import success seats course'!$1:$2,2,FALSE),FALSE)/(VLOOKUP($A103,'[1]import graded seats course pivo'!$A:AA,HLOOKUP('[1]Course Totals'!C$4,'[1]import graded seats course pivo'!$1:$2,2,FALSE),FALSE))),"")</f>
        <v>0.94117647058823528</v>
      </c>
      <c r="D103" s="14">
        <f>IFERROR((VLOOKUP($A103,'[1]import success seats course'!$A:R,HLOOKUP('[1]Course Totals'!D$4,'[1]import success seats course'!$1:$2,2,FALSE),FALSE)/(VLOOKUP($A103,'[1]import graded seats course pivo'!$A:AB,HLOOKUP('[1]Course Totals'!D$4,'[1]import graded seats course pivo'!$1:$2,2,FALSE),FALSE))),"")</f>
        <v>1</v>
      </c>
      <c r="E103" s="14" t="str">
        <f>IFERROR((VLOOKUP($A103,'[1]import success seats course'!$A:S,HLOOKUP('[1]Course Totals'!E$4,'[1]import success seats course'!$1:$2,2,FALSE),FALSE)/(VLOOKUP($A103,'[1]import graded seats course pivo'!$A:AC,HLOOKUP('[1]Course Totals'!E$4,'[1]import graded seats course pivo'!$1:$2,2,FALSE),FALSE))),"")</f>
        <v/>
      </c>
      <c r="F103" s="14">
        <f>IFERROR((VLOOKUP($A103,'[1]import success seats course'!$A:T,HLOOKUP('[1]Course Totals'!F$4,'[1]import success seats course'!$1:$2,2,FALSE),FALSE)/(VLOOKUP($A103,'[1]import graded seats course pivo'!$A:AD,HLOOKUP('[1]Course Totals'!F$4,'[1]import graded seats course pivo'!$1:$2,2,FALSE),FALSE))),"")</f>
        <v>1</v>
      </c>
      <c r="G103" s="14" t="str">
        <f>IFERROR((VLOOKUP($A103,'[1]import success seats course'!$A:U,HLOOKUP('[1]Course Totals'!G$4,'[1]import success seats course'!$1:$2,2,FALSE),FALSE)/(VLOOKUP($A103,'[1]import graded seats course pivo'!$A:AE,HLOOKUP('[1]Course Totals'!G$4,'[1]import graded seats course pivo'!$1:$2,2,FALSE),FALSE))),"")</f>
        <v/>
      </c>
      <c r="H103" s="14" t="str">
        <f>IFERROR((VLOOKUP($A103,'[1]import success seats course'!$A:V,HLOOKUP('[1]Course Totals'!H$4,'[1]import success seats course'!$1:$2,2,FALSE),FALSE)/(VLOOKUP($A103,'[1]import graded seats course pivo'!$A:AF,HLOOKUP('[1]Course Totals'!H$4,'[1]import graded seats course pivo'!$1:$2,2,FALSE),FALSE))),"")</f>
        <v/>
      </c>
      <c r="I103" s="14" t="str">
        <f>IFERROR((VLOOKUP($A103,'[1]import success seats course'!$A:W,HLOOKUP('[1]Course Totals'!I$4,'[1]import success seats course'!$1:$2,2,FALSE),FALSE)/(VLOOKUP($A103,'[1]import graded seats course pivo'!$A:AG,HLOOKUP('[1]Course Totals'!I$4,'[1]import graded seats course pivo'!$1:$2,2,FALSE),FALSE))),"")</f>
        <v/>
      </c>
      <c r="J103" s="14">
        <f>IFERROR((VLOOKUP($A103,'[1]import success seats course'!$A:X,HLOOKUP('[1]Course Totals'!J$4,'[1]import success seats course'!$1:$2,2,FALSE),FALSE)/(VLOOKUP($A103,'[1]import graded seats course pivo'!$A:AH,HLOOKUP('[1]Course Totals'!J$4,'[1]import graded seats course pivo'!$1:$2,2,FALSE),FALSE))),"")</f>
        <v>0.97142857142857142</v>
      </c>
      <c r="K103" s="14" t="str">
        <f>IFERROR((VLOOKUP($A103,'[1]import success seats course'!$A:Y,HLOOKUP('[1]Course Totals'!K$4,'[1]import success seats course'!$1:$2,2,FALSE),FALSE)/(VLOOKUP($A103,'[1]import graded seats course pivo'!$A:AI,HLOOKUP('[1]Course Totals'!K$4,'[1]import graded seats course pivo'!$1:$2,2,FALSE),FALSE))),"")</f>
        <v/>
      </c>
      <c r="L103" s="14" t="str">
        <f>IFERROR((VLOOKUP($A103,'[1]import success seats course'!$A:Z,HLOOKUP('[1]Course Totals'!L$4,'[1]import success seats course'!$1:$2,2,FALSE),FALSE)/(VLOOKUP($A103,'[1]import graded seats course pivo'!$A:AJ,HLOOKUP('[1]Course Totals'!L$4,'[1]import graded seats course pivo'!$1:$2,2,FALSE),FALSE))),"")</f>
        <v/>
      </c>
      <c r="M103" s="14">
        <f>IFERROR((VLOOKUP($A103,'[1]import success seats course'!$A:AA,HLOOKUP('[1]Course Totals'!M$4,'[1]import success seats course'!$1:$2,2,FALSE),FALSE)/(VLOOKUP($A103,'[1]import graded seats course pivo'!$A:AK,HLOOKUP('[1]Course Totals'!M$4,'[1]import graded seats course pivo'!$1:$2,2,FALSE),FALSE))),"")</f>
        <v>0.90322580645161288</v>
      </c>
      <c r="N103" s="14" t="str">
        <f>IFERROR((VLOOKUP($A103,'[1]import success seats course'!$A:AB,HLOOKUP('[1]Course Totals'!N$4,'[1]import success seats course'!$1:$2,2,FALSE),FALSE)/(VLOOKUP($A103,'[1]import graded seats course pivo'!$A:AL,HLOOKUP('[1]Course Totals'!N$4,'[1]import graded seats course pivo'!$1:$2,2,FALSE),FALSE))),"")</f>
        <v/>
      </c>
      <c r="O103" s="14" t="str">
        <f>IFERROR((VLOOKUP($A103,'[1]import success seats course'!$A:AC,HLOOKUP('[1]Course Totals'!O$4,'[1]import success seats course'!$1:$2,2,FALSE),FALSE)/(VLOOKUP($A103,'[1]import graded seats course pivo'!$A:AM,HLOOKUP('[1]Course Totals'!O$4,'[1]import graded seats course pivo'!$1:$2,2,FALSE),FALSE))),"")</f>
        <v/>
      </c>
      <c r="P103" s="14">
        <f>IFERROR((VLOOKUP($A103,'[1]import success seats course'!$A:AD,HLOOKUP('[1]Course Totals'!P$4,'[1]import success seats course'!$1:$2,2,FALSE),FALSE)/(VLOOKUP($A103,'[1]import graded seats course pivo'!$A:AN,HLOOKUP('[1]Course Totals'!P$4,'[1]import graded seats course pivo'!$1:$2,2,FALSE),FALSE))),"")</f>
        <v>0.8928571428571429</v>
      </c>
      <c r="Q103" s="14" t="str">
        <f>IFERROR((VLOOKUP($A103,'[1]import success seats course'!$A:AE,HLOOKUP('[1]Course Totals'!Q$4,'[1]import success seats course'!$1:$2,2,FALSE),FALSE)/(VLOOKUP($A103,'[1]import graded seats course pivo'!$A:AO,HLOOKUP('[1]Course Totals'!Q$4,'[1]import graded seats course pivo'!$1:$2,2,FALSE),FALSE))),"")</f>
        <v/>
      </c>
      <c r="R103" s="14" t="str">
        <f>IFERROR((VLOOKUP($A103,'[1]import success seats course'!$A:AF,HLOOKUP('[1]Course Totals'!R$4,'[1]import success seats course'!$1:$2,2,FALSE),FALSE)/(VLOOKUP($A103,'[1]import graded seats course pivo'!$A:AP,HLOOKUP('[1]Course Totals'!R$4,'[1]import graded seats course pivo'!$1:$2,2,FALSE),FALSE))),"")</f>
        <v/>
      </c>
      <c r="S103" s="14">
        <f>IFERROR((VLOOKUP($A103,'[1]import success seats course'!$A:AG,HLOOKUP('[1]Course Totals'!S$4,'[1]import success seats course'!$1:$2,2,FALSE),FALSE)/(VLOOKUP($A103,'[1]import graded seats course pivo'!$A:AQ,HLOOKUP('[1]Course Totals'!S$4,'[1]import graded seats course pivo'!$1:$2,2,FALSE),FALSE))),"")</f>
        <v>1</v>
      </c>
      <c r="Z103" s="7"/>
      <c r="AA103" s="7"/>
      <c r="AB103" s="7"/>
      <c r="AC103" s="7"/>
    </row>
    <row r="104" spans="1:29" ht="15.75" customHeight="1" x14ac:dyDescent="0.25">
      <c r="A104" s="12" t="s">
        <v>64</v>
      </c>
      <c r="B104" s="14" t="str">
        <f>IFERROR((VLOOKUP($A104,'[1]import success seats course'!$A:P,HLOOKUP('[1]Course Totals'!B$4,'[1]import success seats course'!$1:$2,2,FALSE),FALSE)/(VLOOKUP($A104,'[1]import graded seats course pivo'!$A:Z,HLOOKUP('[1]Course Totals'!B$4,'[1]import graded seats course pivo'!$1:$2,2,FALSE),FALSE))),"")</f>
        <v/>
      </c>
      <c r="C104" s="14">
        <f>IFERROR((VLOOKUP($A104,'[1]import success seats course'!$A:Q,HLOOKUP('[1]Course Totals'!C$4,'[1]import success seats course'!$1:$2,2,FALSE),FALSE)/(VLOOKUP($A104,'[1]import graded seats course pivo'!$A:AA,HLOOKUP('[1]Course Totals'!C$4,'[1]import graded seats course pivo'!$1:$2,2,FALSE),FALSE))),"")</f>
        <v>0.91666666666666663</v>
      </c>
      <c r="D104" s="14">
        <f>IFERROR((VLOOKUP($A104,'[1]import success seats course'!$A:R,HLOOKUP('[1]Course Totals'!D$4,'[1]import success seats course'!$1:$2,2,FALSE),FALSE)/(VLOOKUP($A104,'[1]import graded seats course pivo'!$A:AB,HLOOKUP('[1]Course Totals'!D$4,'[1]import graded seats course pivo'!$1:$2,2,FALSE),FALSE))),"")</f>
        <v>0.92307692307692313</v>
      </c>
      <c r="E104" s="14" t="str">
        <f>IFERROR((VLOOKUP($A104,'[1]import success seats course'!$A:S,HLOOKUP('[1]Course Totals'!E$4,'[1]import success seats course'!$1:$2,2,FALSE),FALSE)/(VLOOKUP($A104,'[1]import graded seats course pivo'!$A:AC,HLOOKUP('[1]Course Totals'!E$4,'[1]import graded seats course pivo'!$1:$2,2,FALSE),FALSE))),"")</f>
        <v/>
      </c>
      <c r="F104" s="14">
        <f>IFERROR((VLOOKUP($A104,'[1]import success seats course'!$A:T,HLOOKUP('[1]Course Totals'!F$4,'[1]import success seats course'!$1:$2,2,FALSE),FALSE)/(VLOOKUP($A104,'[1]import graded seats course pivo'!$A:AD,HLOOKUP('[1]Course Totals'!F$4,'[1]import graded seats course pivo'!$1:$2,2,FALSE),FALSE))),"")</f>
        <v>0.75</v>
      </c>
      <c r="G104" s="14">
        <f>IFERROR((VLOOKUP($A104,'[1]import success seats course'!$A:U,HLOOKUP('[1]Course Totals'!G$4,'[1]import success seats course'!$1:$2,2,FALSE),FALSE)/(VLOOKUP($A104,'[1]import graded seats course pivo'!$A:AE,HLOOKUP('[1]Course Totals'!G$4,'[1]import graded seats course pivo'!$1:$2,2,FALSE),FALSE))),"")</f>
        <v>0.7142857142857143</v>
      </c>
      <c r="H104" s="14" t="str">
        <f>IFERROR((VLOOKUP($A104,'[1]import success seats course'!$A:V,HLOOKUP('[1]Course Totals'!H$4,'[1]import success seats course'!$1:$2,2,FALSE),FALSE)/(VLOOKUP($A104,'[1]import graded seats course pivo'!$A:AF,HLOOKUP('[1]Course Totals'!H$4,'[1]import graded seats course pivo'!$1:$2,2,FALSE),FALSE))),"")</f>
        <v/>
      </c>
      <c r="I104" s="14">
        <f>IFERROR((VLOOKUP($A104,'[1]import success seats course'!$A:W,HLOOKUP('[1]Course Totals'!I$4,'[1]import success seats course'!$1:$2,2,FALSE),FALSE)/(VLOOKUP($A104,'[1]import graded seats course pivo'!$A:AG,HLOOKUP('[1]Course Totals'!I$4,'[1]import graded seats course pivo'!$1:$2,2,FALSE),FALSE))),"")</f>
        <v>0.94444444444444442</v>
      </c>
      <c r="J104" s="14">
        <f>IFERROR((VLOOKUP($A104,'[1]import success seats course'!$A:X,HLOOKUP('[1]Course Totals'!J$4,'[1]import success seats course'!$1:$2,2,FALSE),FALSE)/(VLOOKUP($A104,'[1]import graded seats course pivo'!$A:AH,HLOOKUP('[1]Course Totals'!J$4,'[1]import graded seats course pivo'!$1:$2,2,FALSE),FALSE))),"")</f>
        <v>0.88</v>
      </c>
      <c r="K104" s="14" t="str">
        <f>IFERROR((VLOOKUP($A104,'[1]import success seats course'!$A:Y,HLOOKUP('[1]Course Totals'!K$4,'[1]import success seats course'!$1:$2,2,FALSE),FALSE)/(VLOOKUP($A104,'[1]import graded seats course pivo'!$A:AI,HLOOKUP('[1]Course Totals'!K$4,'[1]import graded seats course pivo'!$1:$2,2,FALSE),FALSE))),"")</f>
        <v/>
      </c>
      <c r="L104" s="14">
        <f>IFERROR((VLOOKUP($A104,'[1]import success seats course'!$A:Z,HLOOKUP('[1]Course Totals'!L$4,'[1]import success seats course'!$1:$2,2,FALSE),FALSE)/(VLOOKUP($A104,'[1]import graded seats course pivo'!$A:AJ,HLOOKUP('[1]Course Totals'!L$4,'[1]import graded seats course pivo'!$1:$2,2,FALSE),FALSE))),"")</f>
        <v>0.87878787878787878</v>
      </c>
      <c r="M104" s="14">
        <f>IFERROR((VLOOKUP($A104,'[1]import success seats course'!$A:AA,HLOOKUP('[1]Course Totals'!M$4,'[1]import success seats course'!$1:$2,2,FALSE),FALSE)/(VLOOKUP($A104,'[1]import graded seats course pivo'!$A:AK,HLOOKUP('[1]Course Totals'!M$4,'[1]import graded seats course pivo'!$1:$2,2,FALSE),FALSE))),"")</f>
        <v>0.95</v>
      </c>
      <c r="N104" s="14" t="str">
        <f>IFERROR((VLOOKUP($A104,'[1]import success seats course'!$A:AB,HLOOKUP('[1]Course Totals'!N$4,'[1]import success seats course'!$1:$2,2,FALSE),FALSE)/(VLOOKUP($A104,'[1]import graded seats course pivo'!$A:AL,HLOOKUP('[1]Course Totals'!N$4,'[1]import graded seats course pivo'!$1:$2,2,FALSE),FALSE))),"")</f>
        <v/>
      </c>
      <c r="O104" s="14">
        <f>IFERROR((VLOOKUP($A104,'[1]import success seats course'!$A:AC,HLOOKUP('[1]Course Totals'!O$4,'[1]import success seats course'!$1:$2,2,FALSE),FALSE)/(VLOOKUP($A104,'[1]import graded seats course pivo'!$A:AM,HLOOKUP('[1]Course Totals'!O$4,'[1]import graded seats course pivo'!$1:$2,2,FALSE),FALSE))),"")</f>
        <v>1</v>
      </c>
      <c r="P104" s="14">
        <f>IFERROR((VLOOKUP($A104,'[1]import success seats course'!$A:AD,HLOOKUP('[1]Course Totals'!P$4,'[1]import success seats course'!$1:$2,2,FALSE),FALSE)/(VLOOKUP($A104,'[1]import graded seats course pivo'!$A:AN,HLOOKUP('[1]Course Totals'!P$4,'[1]import graded seats course pivo'!$1:$2,2,FALSE),FALSE))),"")</f>
        <v>0.94594594594594594</v>
      </c>
      <c r="Q104" s="14" t="str">
        <f>IFERROR((VLOOKUP($A104,'[1]import success seats course'!$A:AE,HLOOKUP('[1]Course Totals'!Q$4,'[1]import success seats course'!$1:$2,2,FALSE),FALSE)/(VLOOKUP($A104,'[1]import graded seats course pivo'!$A:AO,HLOOKUP('[1]Course Totals'!Q$4,'[1]import graded seats course pivo'!$1:$2,2,FALSE),FALSE))),"")</f>
        <v/>
      </c>
      <c r="R104" s="14">
        <f>IFERROR((VLOOKUP($A104,'[1]import success seats course'!$A:AF,HLOOKUP('[1]Course Totals'!R$4,'[1]import success seats course'!$1:$2,2,FALSE),FALSE)/(VLOOKUP($A104,'[1]import graded seats course pivo'!$A:AP,HLOOKUP('[1]Course Totals'!R$4,'[1]import graded seats course pivo'!$1:$2,2,FALSE),FALSE))),"")</f>
        <v>0.94736842105263153</v>
      </c>
      <c r="S104" s="14">
        <f>IFERROR((VLOOKUP($A104,'[1]import success seats course'!$A:AG,HLOOKUP('[1]Course Totals'!S$4,'[1]import success seats course'!$1:$2,2,FALSE),FALSE)/(VLOOKUP($A104,'[1]import graded seats course pivo'!$A:AQ,HLOOKUP('[1]Course Totals'!S$4,'[1]import graded seats course pivo'!$1:$2,2,FALSE),FALSE))),"")</f>
        <v>0.94285714285714284</v>
      </c>
      <c r="Z104" s="7"/>
      <c r="AA104" s="7"/>
      <c r="AB104" s="7"/>
      <c r="AC104" s="7"/>
    </row>
    <row r="105" spans="1:29" ht="15.75" customHeight="1" x14ac:dyDescent="0.25">
      <c r="A105" s="12" t="s">
        <v>65</v>
      </c>
      <c r="B105" s="14" t="str">
        <f>IFERROR((VLOOKUP($A105,'[1]import success seats course'!$A:P,HLOOKUP('[1]Course Totals'!B$4,'[1]import success seats course'!$1:$2,2,FALSE),FALSE)/(VLOOKUP($A105,'[1]import graded seats course pivo'!$A:Z,HLOOKUP('[1]Course Totals'!B$4,'[1]import graded seats course pivo'!$1:$2,2,FALSE),FALSE))),"")</f>
        <v/>
      </c>
      <c r="C105" s="14">
        <f>IFERROR((VLOOKUP($A105,'[1]import success seats course'!$A:Q,HLOOKUP('[1]Course Totals'!C$4,'[1]import success seats course'!$1:$2,2,FALSE),FALSE)/(VLOOKUP($A105,'[1]import graded seats course pivo'!$A:AA,HLOOKUP('[1]Course Totals'!C$4,'[1]import graded seats course pivo'!$1:$2,2,FALSE),FALSE))),"")</f>
        <v>0.8571428571428571</v>
      </c>
      <c r="D105" s="14">
        <f>IFERROR((VLOOKUP($A105,'[1]import success seats course'!$A:R,HLOOKUP('[1]Course Totals'!D$4,'[1]import success seats course'!$1:$2,2,FALSE),FALSE)/(VLOOKUP($A105,'[1]import graded seats course pivo'!$A:AB,HLOOKUP('[1]Course Totals'!D$4,'[1]import graded seats course pivo'!$1:$2,2,FALSE),FALSE))),"")</f>
        <v>1</v>
      </c>
      <c r="E105" s="14" t="str">
        <f>IFERROR((VLOOKUP($A105,'[1]import success seats course'!$A:S,HLOOKUP('[1]Course Totals'!E$4,'[1]import success seats course'!$1:$2,2,FALSE),FALSE)/(VLOOKUP($A105,'[1]import graded seats course pivo'!$A:AC,HLOOKUP('[1]Course Totals'!E$4,'[1]import graded seats course pivo'!$1:$2,2,FALSE),FALSE))),"")</f>
        <v/>
      </c>
      <c r="F105" s="14">
        <f>IFERROR((VLOOKUP($A105,'[1]import success seats course'!$A:T,HLOOKUP('[1]Course Totals'!F$4,'[1]import success seats course'!$1:$2,2,FALSE),FALSE)/(VLOOKUP($A105,'[1]import graded seats course pivo'!$A:AD,HLOOKUP('[1]Course Totals'!F$4,'[1]import graded seats course pivo'!$1:$2,2,FALSE),FALSE))),"")</f>
        <v>0.875</v>
      </c>
      <c r="G105" s="14">
        <f>IFERROR((VLOOKUP($A105,'[1]import success seats course'!$A:U,HLOOKUP('[1]Course Totals'!G$4,'[1]import success seats course'!$1:$2,2,FALSE),FALSE)/(VLOOKUP($A105,'[1]import graded seats course pivo'!$A:AE,HLOOKUP('[1]Course Totals'!G$4,'[1]import graded seats course pivo'!$1:$2,2,FALSE),FALSE))),"")</f>
        <v>1</v>
      </c>
      <c r="H105" s="14" t="str">
        <f>IFERROR((VLOOKUP($A105,'[1]import success seats course'!$A:V,HLOOKUP('[1]Course Totals'!H$4,'[1]import success seats course'!$1:$2,2,FALSE),FALSE)/(VLOOKUP($A105,'[1]import graded seats course pivo'!$A:AF,HLOOKUP('[1]Course Totals'!H$4,'[1]import graded seats course pivo'!$1:$2,2,FALSE),FALSE))),"")</f>
        <v/>
      </c>
      <c r="I105" s="14">
        <f>IFERROR((VLOOKUP($A105,'[1]import success seats course'!$A:W,HLOOKUP('[1]Course Totals'!I$4,'[1]import success seats course'!$1:$2,2,FALSE),FALSE)/(VLOOKUP($A105,'[1]import graded seats course pivo'!$A:AG,HLOOKUP('[1]Course Totals'!I$4,'[1]import graded seats course pivo'!$1:$2,2,FALSE),FALSE))),"")</f>
        <v>0.8571428571428571</v>
      </c>
      <c r="J105" s="14">
        <f>IFERROR((VLOOKUP($A105,'[1]import success seats course'!$A:X,HLOOKUP('[1]Course Totals'!J$4,'[1]import success seats course'!$1:$2,2,FALSE),FALSE)/(VLOOKUP($A105,'[1]import graded seats course pivo'!$A:AH,HLOOKUP('[1]Course Totals'!J$4,'[1]import graded seats course pivo'!$1:$2,2,FALSE),FALSE))),"")</f>
        <v>0.8571428571428571</v>
      </c>
      <c r="K105" s="14" t="str">
        <f>IFERROR((VLOOKUP($A105,'[1]import success seats course'!$A:Y,HLOOKUP('[1]Course Totals'!K$4,'[1]import success seats course'!$1:$2,2,FALSE),FALSE)/(VLOOKUP($A105,'[1]import graded seats course pivo'!$A:AI,HLOOKUP('[1]Course Totals'!K$4,'[1]import graded seats course pivo'!$1:$2,2,FALSE),FALSE))),"")</f>
        <v/>
      </c>
      <c r="L105" s="14">
        <f>IFERROR((VLOOKUP($A105,'[1]import success seats course'!$A:Z,HLOOKUP('[1]Course Totals'!L$4,'[1]import success seats course'!$1:$2,2,FALSE),FALSE)/(VLOOKUP($A105,'[1]import graded seats course pivo'!$A:AJ,HLOOKUP('[1]Course Totals'!L$4,'[1]import graded seats course pivo'!$1:$2,2,FALSE),FALSE))),"")</f>
        <v>1</v>
      </c>
      <c r="M105" s="14">
        <f>IFERROR((VLOOKUP($A105,'[1]import success seats course'!$A:AA,HLOOKUP('[1]Course Totals'!M$4,'[1]import success seats course'!$1:$2,2,FALSE),FALSE)/(VLOOKUP($A105,'[1]import graded seats course pivo'!$A:AK,HLOOKUP('[1]Course Totals'!M$4,'[1]import graded seats course pivo'!$1:$2,2,FALSE),FALSE))),"")</f>
        <v>0.93333333333333335</v>
      </c>
      <c r="N105" s="14" t="str">
        <f>IFERROR((VLOOKUP($A105,'[1]import success seats course'!$A:AB,HLOOKUP('[1]Course Totals'!N$4,'[1]import success seats course'!$1:$2,2,FALSE),FALSE)/(VLOOKUP($A105,'[1]import graded seats course pivo'!$A:AL,HLOOKUP('[1]Course Totals'!N$4,'[1]import graded seats course pivo'!$1:$2,2,FALSE),FALSE))),"")</f>
        <v/>
      </c>
      <c r="O105" s="14">
        <f>IFERROR((VLOOKUP($A105,'[1]import success seats course'!$A:AC,HLOOKUP('[1]Course Totals'!O$4,'[1]import success seats course'!$1:$2,2,FALSE),FALSE)/(VLOOKUP($A105,'[1]import graded seats course pivo'!$A:AM,HLOOKUP('[1]Course Totals'!O$4,'[1]import graded seats course pivo'!$1:$2,2,FALSE),FALSE))),"")</f>
        <v>1</v>
      </c>
      <c r="P105" s="14">
        <f>IFERROR((VLOOKUP($A105,'[1]import success seats course'!$A:AD,HLOOKUP('[1]Course Totals'!P$4,'[1]import success seats course'!$1:$2,2,FALSE),FALSE)/(VLOOKUP($A105,'[1]import graded seats course pivo'!$A:AN,HLOOKUP('[1]Course Totals'!P$4,'[1]import graded seats course pivo'!$1:$2,2,FALSE),FALSE))),"")</f>
        <v>0.88888888888888884</v>
      </c>
      <c r="Q105" s="14" t="str">
        <f>IFERROR((VLOOKUP($A105,'[1]import success seats course'!$A:AE,HLOOKUP('[1]Course Totals'!Q$4,'[1]import success seats course'!$1:$2,2,FALSE),FALSE)/(VLOOKUP($A105,'[1]import graded seats course pivo'!$A:AO,HLOOKUP('[1]Course Totals'!Q$4,'[1]import graded seats course pivo'!$1:$2,2,FALSE),FALSE))),"")</f>
        <v/>
      </c>
      <c r="R105" s="14">
        <f>IFERROR((VLOOKUP($A105,'[1]import success seats course'!$A:AF,HLOOKUP('[1]Course Totals'!R$4,'[1]import success seats course'!$1:$2,2,FALSE),FALSE)/(VLOOKUP($A105,'[1]import graded seats course pivo'!$A:AP,HLOOKUP('[1]Course Totals'!R$4,'[1]import graded seats course pivo'!$1:$2,2,FALSE),FALSE))),"")</f>
        <v>1</v>
      </c>
      <c r="S105" s="14">
        <f>IFERROR((VLOOKUP($A105,'[1]import success seats course'!$A:AG,HLOOKUP('[1]Course Totals'!S$4,'[1]import success seats course'!$1:$2,2,FALSE),FALSE)/(VLOOKUP($A105,'[1]import graded seats course pivo'!$A:AQ,HLOOKUP('[1]Course Totals'!S$4,'[1]import graded seats course pivo'!$1:$2,2,FALSE),FALSE))),"")</f>
        <v>1</v>
      </c>
      <c r="Z105" s="7"/>
      <c r="AA105" s="7"/>
      <c r="AB105" s="7"/>
      <c r="AC105" s="7"/>
    </row>
    <row r="106" spans="1:29" ht="15.75" customHeight="1" x14ac:dyDescent="0.25">
      <c r="A106" s="12" t="s">
        <v>66</v>
      </c>
      <c r="B106" s="14" t="str">
        <f>IFERROR((VLOOKUP($A106,'[1]import success seats course'!$A:P,HLOOKUP('[1]Course Totals'!B$4,'[1]import success seats course'!$1:$2,2,FALSE),FALSE)/(VLOOKUP($A106,'[1]import graded seats course pivo'!$A:Z,HLOOKUP('[1]Course Totals'!B$4,'[1]import graded seats course pivo'!$1:$2,2,FALSE),FALSE))),"")</f>
        <v/>
      </c>
      <c r="C106" s="14">
        <f>IFERROR((VLOOKUP($A106,'[1]import success seats course'!$A:Q,HLOOKUP('[1]Course Totals'!C$4,'[1]import success seats course'!$1:$2,2,FALSE),FALSE)/(VLOOKUP($A106,'[1]import graded seats course pivo'!$A:AA,HLOOKUP('[1]Course Totals'!C$4,'[1]import graded seats course pivo'!$1:$2,2,FALSE),FALSE))),"")</f>
        <v>1</v>
      </c>
      <c r="D106" s="14">
        <f>IFERROR((VLOOKUP($A106,'[1]import success seats course'!$A:R,HLOOKUP('[1]Course Totals'!D$4,'[1]import success seats course'!$1:$2,2,FALSE),FALSE)/(VLOOKUP($A106,'[1]import graded seats course pivo'!$A:AB,HLOOKUP('[1]Course Totals'!D$4,'[1]import graded seats course pivo'!$1:$2,2,FALSE),FALSE))),"")</f>
        <v>0.89473684210526316</v>
      </c>
      <c r="E106" s="14" t="str">
        <f>IFERROR((VLOOKUP($A106,'[1]import success seats course'!$A:S,HLOOKUP('[1]Course Totals'!E$4,'[1]import success seats course'!$1:$2,2,FALSE),FALSE)/(VLOOKUP($A106,'[1]import graded seats course pivo'!$A:AC,HLOOKUP('[1]Course Totals'!E$4,'[1]import graded seats course pivo'!$1:$2,2,FALSE),FALSE))),"")</f>
        <v/>
      </c>
      <c r="F106" s="14">
        <f>IFERROR((VLOOKUP($A106,'[1]import success seats course'!$A:T,HLOOKUP('[1]Course Totals'!F$4,'[1]import success seats course'!$1:$2,2,FALSE),FALSE)/(VLOOKUP($A106,'[1]import graded seats course pivo'!$A:AD,HLOOKUP('[1]Course Totals'!F$4,'[1]import graded seats course pivo'!$1:$2,2,FALSE),FALSE))),"")</f>
        <v>0.875</v>
      </c>
      <c r="G106" s="14" t="str">
        <f>IFERROR((VLOOKUP($A106,'[1]import success seats course'!$A:U,HLOOKUP('[1]Course Totals'!G$4,'[1]import success seats course'!$1:$2,2,FALSE),FALSE)/(VLOOKUP($A106,'[1]import graded seats course pivo'!$A:AE,HLOOKUP('[1]Course Totals'!G$4,'[1]import graded seats course pivo'!$1:$2,2,FALSE),FALSE))),"")</f>
        <v/>
      </c>
      <c r="H106" s="14" t="str">
        <f>IFERROR((VLOOKUP($A106,'[1]import success seats course'!$A:V,HLOOKUP('[1]Course Totals'!H$4,'[1]import success seats course'!$1:$2,2,FALSE),FALSE)/(VLOOKUP($A106,'[1]import graded seats course pivo'!$A:AF,HLOOKUP('[1]Course Totals'!H$4,'[1]import graded seats course pivo'!$1:$2,2,FALSE),FALSE))),"")</f>
        <v/>
      </c>
      <c r="I106" s="14" t="str">
        <f>IFERROR((VLOOKUP($A106,'[1]import success seats course'!$A:W,HLOOKUP('[1]Course Totals'!I$4,'[1]import success seats course'!$1:$2,2,FALSE),FALSE)/(VLOOKUP($A106,'[1]import graded seats course pivo'!$A:AG,HLOOKUP('[1]Course Totals'!I$4,'[1]import graded seats course pivo'!$1:$2,2,FALSE),FALSE))),"")</f>
        <v/>
      </c>
      <c r="J106" s="14" t="str">
        <f>IFERROR((VLOOKUP($A106,'[1]import success seats course'!$A:X,HLOOKUP('[1]Course Totals'!J$4,'[1]import success seats course'!$1:$2,2,FALSE),FALSE)/(VLOOKUP($A106,'[1]import graded seats course pivo'!$A:AH,HLOOKUP('[1]Course Totals'!J$4,'[1]import graded seats course pivo'!$1:$2,2,FALSE),FALSE))),"")</f>
        <v/>
      </c>
      <c r="K106" s="14" t="str">
        <f>IFERROR((VLOOKUP($A106,'[1]import success seats course'!$A:Y,HLOOKUP('[1]Course Totals'!K$4,'[1]import success seats course'!$1:$2,2,FALSE),FALSE)/(VLOOKUP($A106,'[1]import graded seats course pivo'!$A:AI,HLOOKUP('[1]Course Totals'!K$4,'[1]import graded seats course pivo'!$1:$2,2,FALSE),FALSE))),"")</f>
        <v/>
      </c>
      <c r="L106" s="14" t="str">
        <f>IFERROR((VLOOKUP($A106,'[1]import success seats course'!$A:Z,HLOOKUP('[1]Course Totals'!L$4,'[1]import success seats course'!$1:$2,2,FALSE),FALSE)/(VLOOKUP($A106,'[1]import graded seats course pivo'!$A:AJ,HLOOKUP('[1]Course Totals'!L$4,'[1]import graded seats course pivo'!$1:$2,2,FALSE),FALSE))),"")</f>
        <v/>
      </c>
      <c r="M106" s="14" t="str">
        <f>IFERROR((VLOOKUP($A106,'[1]import success seats course'!$A:AA,HLOOKUP('[1]Course Totals'!M$4,'[1]import success seats course'!$1:$2,2,FALSE),FALSE)/(VLOOKUP($A106,'[1]import graded seats course pivo'!$A:AK,HLOOKUP('[1]Course Totals'!M$4,'[1]import graded seats course pivo'!$1:$2,2,FALSE),FALSE))),"")</f>
        <v/>
      </c>
      <c r="N106" s="14" t="str">
        <f>IFERROR((VLOOKUP($A106,'[1]import success seats course'!$A:AB,HLOOKUP('[1]Course Totals'!N$4,'[1]import success seats course'!$1:$2,2,FALSE),FALSE)/(VLOOKUP($A106,'[1]import graded seats course pivo'!$A:AL,HLOOKUP('[1]Course Totals'!N$4,'[1]import graded seats course pivo'!$1:$2,2,FALSE),FALSE))),"")</f>
        <v/>
      </c>
      <c r="O106" s="14" t="str">
        <f>IFERROR((VLOOKUP($A106,'[1]import success seats course'!$A:AC,HLOOKUP('[1]Course Totals'!O$4,'[1]import success seats course'!$1:$2,2,FALSE),FALSE)/(VLOOKUP($A106,'[1]import graded seats course pivo'!$A:AM,HLOOKUP('[1]Course Totals'!O$4,'[1]import graded seats course pivo'!$1:$2,2,FALSE),FALSE))),"")</f>
        <v/>
      </c>
      <c r="P106" s="14" t="str">
        <f>IFERROR((VLOOKUP($A106,'[1]import success seats course'!$A:AD,HLOOKUP('[1]Course Totals'!P$4,'[1]import success seats course'!$1:$2,2,FALSE),FALSE)/(VLOOKUP($A106,'[1]import graded seats course pivo'!$A:AN,HLOOKUP('[1]Course Totals'!P$4,'[1]import graded seats course pivo'!$1:$2,2,FALSE),FALSE))),"")</f>
        <v/>
      </c>
      <c r="Q106" s="14" t="str">
        <f>IFERROR((VLOOKUP($A106,'[1]import success seats course'!$A:AE,HLOOKUP('[1]Course Totals'!Q$4,'[1]import success seats course'!$1:$2,2,FALSE),FALSE)/(VLOOKUP($A106,'[1]import graded seats course pivo'!$A:AO,HLOOKUP('[1]Course Totals'!Q$4,'[1]import graded seats course pivo'!$1:$2,2,FALSE),FALSE))),"")</f>
        <v/>
      </c>
      <c r="R106" s="14" t="str">
        <f>IFERROR((VLOOKUP($A106,'[1]import success seats course'!$A:AF,HLOOKUP('[1]Course Totals'!R$4,'[1]import success seats course'!$1:$2,2,FALSE),FALSE)/(VLOOKUP($A106,'[1]import graded seats course pivo'!$A:AP,HLOOKUP('[1]Course Totals'!R$4,'[1]import graded seats course pivo'!$1:$2,2,FALSE),FALSE))),"")</f>
        <v/>
      </c>
      <c r="S106" s="14" t="str">
        <f>IFERROR((VLOOKUP($A106,'[1]import success seats course'!$A:AG,HLOOKUP('[1]Course Totals'!S$4,'[1]import success seats course'!$1:$2,2,FALSE),FALSE)/(VLOOKUP($A106,'[1]import graded seats course pivo'!$A:AQ,HLOOKUP('[1]Course Totals'!S$4,'[1]import graded seats course pivo'!$1:$2,2,FALSE),FALSE))),"")</f>
        <v/>
      </c>
      <c r="Z106" s="7"/>
      <c r="AA106" s="7"/>
      <c r="AB106" s="7"/>
      <c r="AC106" s="7"/>
    </row>
    <row r="107" spans="1:29" ht="15.75" hidden="1" customHeight="1" x14ac:dyDescent="0.25">
      <c r="A107" s="12" t="s">
        <v>768</v>
      </c>
      <c r="B107" s="14" t="str">
        <f>IFERROR((VLOOKUP($A107,'[1]import success seats course'!$A:P,HLOOKUP('[1]Course Totals'!B$4,'[1]import success seats course'!$1:$2,2,FALSE),FALSE)/(VLOOKUP($A107,'[1]import graded seats course pivo'!$A:Z,HLOOKUP('[1]Course Totals'!B$4,'[1]import graded seats course pivo'!$1:$2,2,FALSE),FALSE))),"")</f>
        <v/>
      </c>
      <c r="C107" s="14" t="str">
        <f>IFERROR((VLOOKUP($A107,'[1]import success seats course'!$A:Q,HLOOKUP('[1]Course Totals'!C$4,'[1]import success seats course'!$1:$2,2,FALSE),FALSE)/(VLOOKUP($A107,'[1]import graded seats course pivo'!$A:AA,HLOOKUP('[1]Course Totals'!C$4,'[1]import graded seats course pivo'!$1:$2,2,FALSE),FALSE))),"")</f>
        <v/>
      </c>
      <c r="D107" s="14" t="str">
        <f>IFERROR((VLOOKUP($A107,'[1]import success seats course'!$A:R,HLOOKUP('[1]Course Totals'!D$4,'[1]import success seats course'!$1:$2,2,FALSE),FALSE)/(VLOOKUP($A107,'[1]import graded seats course pivo'!$A:AB,HLOOKUP('[1]Course Totals'!D$4,'[1]import graded seats course pivo'!$1:$2,2,FALSE),FALSE))),"")</f>
        <v/>
      </c>
      <c r="E107" s="14" t="str">
        <f>IFERROR((VLOOKUP($A107,'[1]import success seats course'!$A:S,HLOOKUP('[1]Course Totals'!E$4,'[1]import success seats course'!$1:$2,2,FALSE),FALSE)/(VLOOKUP($A107,'[1]import graded seats course pivo'!$A:AC,HLOOKUP('[1]Course Totals'!E$4,'[1]import graded seats course pivo'!$1:$2,2,FALSE),FALSE))),"")</f>
        <v/>
      </c>
      <c r="F107" s="14" t="str">
        <f>IFERROR((VLOOKUP($A107,'[1]import success seats course'!$A:T,HLOOKUP('[1]Course Totals'!F$4,'[1]import success seats course'!$1:$2,2,FALSE),FALSE)/(VLOOKUP($A107,'[1]import graded seats course pivo'!$A:AD,HLOOKUP('[1]Course Totals'!F$4,'[1]import graded seats course pivo'!$1:$2,2,FALSE),FALSE))),"")</f>
        <v/>
      </c>
      <c r="G107" s="14" t="str">
        <f>IFERROR((VLOOKUP($A107,'[1]import success seats course'!$A:U,HLOOKUP('[1]Course Totals'!G$4,'[1]import success seats course'!$1:$2,2,FALSE),FALSE)/(VLOOKUP($A107,'[1]import graded seats course pivo'!$A:AE,HLOOKUP('[1]Course Totals'!G$4,'[1]import graded seats course pivo'!$1:$2,2,FALSE),FALSE))),"")</f>
        <v/>
      </c>
      <c r="H107" s="14" t="str">
        <f>IFERROR((VLOOKUP($A107,'[1]import success seats course'!$A:V,HLOOKUP('[1]Course Totals'!H$4,'[1]import success seats course'!$1:$2,2,FALSE),FALSE)/(VLOOKUP($A107,'[1]import graded seats course pivo'!$A:AF,HLOOKUP('[1]Course Totals'!H$4,'[1]import graded seats course pivo'!$1:$2,2,FALSE),FALSE))),"")</f>
        <v/>
      </c>
      <c r="I107" s="14" t="str">
        <f>IFERROR((VLOOKUP($A107,'[1]import success seats course'!$A:W,HLOOKUP('[1]Course Totals'!I$4,'[1]import success seats course'!$1:$2,2,FALSE),FALSE)/(VLOOKUP($A107,'[1]import graded seats course pivo'!$A:AG,HLOOKUP('[1]Course Totals'!I$4,'[1]import graded seats course pivo'!$1:$2,2,FALSE),FALSE))),"")</f>
        <v/>
      </c>
      <c r="J107" s="14" t="str">
        <f>IFERROR((VLOOKUP($A107,'[1]import success seats course'!$A:X,HLOOKUP('[1]Course Totals'!J$4,'[1]import success seats course'!$1:$2,2,FALSE),FALSE)/(VLOOKUP($A107,'[1]import graded seats course pivo'!$A:AH,HLOOKUP('[1]Course Totals'!J$4,'[1]import graded seats course pivo'!$1:$2,2,FALSE),FALSE))),"")</f>
        <v/>
      </c>
      <c r="K107" s="14" t="str">
        <f>IFERROR((VLOOKUP($A107,'[1]import success seats course'!$A:Y,HLOOKUP('[1]Course Totals'!K$4,'[1]import success seats course'!$1:$2,2,FALSE),FALSE)/(VLOOKUP($A107,'[1]import graded seats course pivo'!$A:AI,HLOOKUP('[1]Course Totals'!K$4,'[1]import graded seats course pivo'!$1:$2,2,FALSE),FALSE))),"")</f>
        <v/>
      </c>
      <c r="L107" s="14" t="str">
        <f>IFERROR((VLOOKUP($A107,'[1]import success seats course'!$A:Z,HLOOKUP('[1]Course Totals'!L$4,'[1]import success seats course'!$1:$2,2,FALSE),FALSE)/(VLOOKUP($A107,'[1]import graded seats course pivo'!$A:AJ,HLOOKUP('[1]Course Totals'!L$4,'[1]import graded seats course pivo'!$1:$2,2,FALSE),FALSE))),"")</f>
        <v/>
      </c>
      <c r="M107" s="14" t="str">
        <f>IFERROR((VLOOKUP($A107,'[1]import success seats course'!$A:AA,HLOOKUP('[1]Course Totals'!M$4,'[1]import success seats course'!$1:$2,2,FALSE),FALSE)/(VLOOKUP($A107,'[1]import graded seats course pivo'!$A:AK,HLOOKUP('[1]Course Totals'!M$4,'[1]import graded seats course pivo'!$1:$2,2,FALSE),FALSE))),"")</f>
        <v/>
      </c>
      <c r="N107" s="14" t="str">
        <f>IFERROR((VLOOKUP($A107,'[1]import success seats course'!$A:AB,HLOOKUP('[1]Course Totals'!N$4,'[1]import success seats course'!$1:$2,2,FALSE),FALSE)/(VLOOKUP($A107,'[1]import graded seats course pivo'!$A:AL,HLOOKUP('[1]Course Totals'!N$4,'[1]import graded seats course pivo'!$1:$2,2,FALSE),FALSE))),"")</f>
        <v/>
      </c>
      <c r="O107" s="14" t="str">
        <f>IFERROR((VLOOKUP($A107,'[1]import success seats course'!$A:AC,HLOOKUP('[1]Course Totals'!O$4,'[1]import success seats course'!$1:$2,2,FALSE),FALSE)/(VLOOKUP($A107,'[1]import graded seats course pivo'!$A:AM,HLOOKUP('[1]Course Totals'!O$4,'[1]import graded seats course pivo'!$1:$2,2,FALSE),FALSE))),"")</f>
        <v/>
      </c>
      <c r="P107" s="14" t="str">
        <f>IFERROR((VLOOKUP($A107,'[1]import success seats course'!$A:AD,HLOOKUP('[1]Course Totals'!P$4,'[1]import success seats course'!$1:$2,2,FALSE),FALSE)/(VLOOKUP($A107,'[1]import graded seats course pivo'!$A:AN,HLOOKUP('[1]Course Totals'!P$4,'[1]import graded seats course pivo'!$1:$2,2,FALSE),FALSE))),"")</f>
        <v/>
      </c>
      <c r="Q107" s="14" t="str">
        <f>IFERROR((VLOOKUP($A107,'[1]import success seats course'!$A:AE,HLOOKUP('[1]Course Totals'!Q$4,'[1]import success seats course'!$1:$2,2,FALSE),FALSE)/(VLOOKUP($A107,'[1]import graded seats course pivo'!$A:AO,HLOOKUP('[1]Course Totals'!Q$4,'[1]import graded seats course pivo'!$1:$2,2,FALSE),FALSE))),"")</f>
        <v/>
      </c>
      <c r="R107" s="14" t="str">
        <f>IFERROR((VLOOKUP($A107,'[1]import success seats course'!$A:AF,HLOOKUP('[1]Course Totals'!R$4,'[1]import success seats course'!$1:$2,2,FALSE),FALSE)/(VLOOKUP($A107,'[1]import graded seats course pivo'!$A:AP,HLOOKUP('[1]Course Totals'!R$4,'[1]import graded seats course pivo'!$1:$2,2,FALSE),FALSE))),"")</f>
        <v/>
      </c>
      <c r="S107" s="14" t="str">
        <f>IFERROR((VLOOKUP($A107,'[1]import success seats course'!$A:AG,HLOOKUP('[1]Course Totals'!S$4,'[1]import success seats course'!$1:$2,2,FALSE),FALSE)/(VLOOKUP($A107,'[1]import graded seats course pivo'!$A:AQ,HLOOKUP('[1]Course Totals'!S$4,'[1]import graded seats course pivo'!$1:$2,2,FALSE),FALSE))),"")</f>
        <v/>
      </c>
      <c r="Z107" s="7"/>
      <c r="AA107" s="7"/>
      <c r="AB107" s="7"/>
      <c r="AC107" s="7"/>
    </row>
    <row r="108" spans="1:29" ht="15.75" customHeight="1" x14ac:dyDescent="0.25">
      <c r="A108" s="12" t="s">
        <v>67</v>
      </c>
      <c r="B108" s="14">
        <f>IFERROR((VLOOKUP($A108,'[1]import success seats course'!$A:P,HLOOKUP('[1]Course Totals'!B$4,'[1]import success seats course'!$1:$2,2,FALSE),FALSE)/(VLOOKUP($A108,'[1]import graded seats course pivo'!$A:Z,HLOOKUP('[1]Course Totals'!B$4,'[1]import graded seats course pivo'!$1:$2,2,FALSE),FALSE))),"")</f>
        <v>0.875</v>
      </c>
      <c r="C108" s="14">
        <f>IFERROR((VLOOKUP($A108,'[1]import success seats course'!$A:Q,HLOOKUP('[1]Course Totals'!C$4,'[1]import success seats course'!$1:$2,2,FALSE),FALSE)/(VLOOKUP($A108,'[1]import graded seats course pivo'!$A:AA,HLOOKUP('[1]Course Totals'!C$4,'[1]import graded seats course pivo'!$1:$2,2,FALSE),FALSE))),"")</f>
        <v>0.88349514563106801</v>
      </c>
      <c r="D108" s="14">
        <f>IFERROR((VLOOKUP($A108,'[1]import success seats course'!$A:R,HLOOKUP('[1]Course Totals'!D$4,'[1]import success seats course'!$1:$2,2,FALSE),FALSE)/(VLOOKUP($A108,'[1]import graded seats course pivo'!$A:AB,HLOOKUP('[1]Course Totals'!D$4,'[1]import graded seats course pivo'!$1:$2,2,FALSE),FALSE))),"")</f>
        <v>0.90099009900990101</v>
      </c>
      <c r="E108" s="14">
        <f>IFERROR((VLOOKUP($A108,'[1]import success seats course'!$A:S,HLOOKUP('[1]Course Totals'!E$4,'[1]import success seats course'!$1:$2,2,FALSE),FALSE)/(VLOOKUP($A108,'[1]import graded seats course pivo'!$A:AC,HLOOKUP('[1]Course Totals'!E$4,'[1]import graded seats course pivo'!$1:$2,2,FALSE),FALSE))),"")</f>
        <v>0.88235294117647056</v>
      </c>
      <c r="F108" s="14">
        <f>IFERROR((VLOOKUP($A108,'[1]import success seats course'!$A:T,HLOOKUP('[1]Course Totals'!F$4,'[1]import success seats course'!$1:$2,2,FALSE),FALSE)/(VLOOKUP($A108,'[1]import graded seats course pivo'!$A:AD,HLOOKUP('[1]Course Totals'!F$4,'[1]import graded seats course pivo'!$1:$2,2,FALSE),FALSE))),"")</f>
        <v>0.84482758620689657</v>
      </c>
      <c r="G108" s="14">
        <f>IFERROR((VLOOKUP($A108,'[1]import success seats course'!$A:U,HLOOKUP('[1]Course Totals'!G$4,'[1]import success seats course'!$1:$2,2,FALSE),FALSE)/(VLOOKUP($A108,'[1]import graded seats course pivo'!$A:AE,HLOOKUP('[1]Course Totals'!G$4,'[1]import graded seats course pivo'!$1:$2,2,FALSE),FALSE))),"")</f>
        <v>0.88429752066115708</v>
      </c>
      <c r="H108" s="14" t="str">
        <f>IFERROR((VLOOKUP($A108,'[1]import success seats course'!$A:V,HLOOKUP('[1]Course Totals'!H$4,'[1]import success seats course'!$1:$2,2,FALSE),FALSE)/(VLOOKUP($A108,'[1]import graded seats course pivo'!$A:AF,HLOOKUP('[1]Course Totals'!H$4,'[1]import graded seats course pivo'!$1:$2,2,FALSE),FALSE))),"")</f>
        <v/>
      </c>
      <c r="I108" s="14">
        <f>IFERROR((VLOOKUP($A108,'[1]import success seats course'!$A:W,HLOOKUP('[1]Course Totals'!I$4,'[1]import success seats course'!$1:$2,2,FALSE),FALSE)/(VLOOKUP($A108,'[1]import graded seats course pivo'!$A:AG,HLOOKUP('[1]Course Totals'!I$4,'[1]import graded seats course pivo'!$1:$2,2,FALSE),FALSE))),"")</f>
        <v>0.8666666666666667</v>
      </c>
      <c r="J108" s="14">
        <f>IFERROR((VLOOKUP($A108,'[1]import success seats course'!$A:X,HLOOKUP('[1]Course Totals'!J$4,'[1]import success seats course'!$1:$2,2,FALSE),FALSE)/(VLOOKUP($A108,'[1]import graded seats course pivo'!$A:AH,HLOOKUP('[1]Course Totals'!J$4,'[1]import graded seats course pivo'!$1:$2,2,FALSE),FALSE))),"")</f>
        <v>0.8125</v>
      </c>
      <c r="K108" s="14">
        <f>IFERROR((VLOOKUP($A108,'[1]import success seats course'!$A:Y,HLOOKUP('[1]Course Totals'!K$4,'[1]import success seats course'!$1:$2,2,FALSE),FALSE)/(VLOOKUP($A108,'[1]import graded seats course pivo'!$A:AI,HLOOKUP('[1]Course Totals'!K$4,'[1]import graded seats course pivo'!$1:$2,2,FALSE),FALSE))),"")</f>
        <v>0.94444444444444442</v>
      </c>
      <c r="L108" s="14">
        <f>IFERROR((VLOOKUP($A108,'[1]import success seats course'!$A:Z,HLOOKUP('[1]Course Totals'!L$4,'[1]import success seats course'!$1:$2,2,FALSE),FALSE)/(VLOOKUP($A108,'[1]import graded seats course pivo'!$A:AJ,HLOOKUP('[1]Course Totals'!L$4,'[1]import graded seats course pivo'!$1:$2,2,FALSE),FALSE))),"")</f>
        <v>0.9017857142857143</v>
      </c>
      <c r="M108" s="14">
        <f>IFERROR((VLOOKUP($A108,'[1]import success seats course'!$A:AA,HLOOKUP('[1]Course Totals'!M$4,'[1]import success seats course'!$1:$2,2,FALSE),FALSE)/(VLOOKUP($A108,'[1]import graded seats course pivo'!$A:AK,HLOOKUP('[1]Course Totals'!M$4,'[1]import graded seats course pivo'!$1:$2,2,FALSE),FALSE))),"")</f>
        <v>0.84848484848484851</v>
      </c>
      <c r="N108" s="14" t="str">
        <f>IFERROR((VLOOKUP($A108,'[1]import success seats course'!$A:AB,HLOOKUP('[1]Course Totals'!N$4,'[1]import success seats course'!$1:$2,2,FALSE),FALSE)/(VLOOKUP($A108,'[1]import graded seats course pivo'!$A:AL,HLOOKUP('[1]Course Totals'!N$4,'[1]import graded seats course pivo'!$1:$2,2,FALSE),FALSE))),"")</f>
        <v/>
      </c>
      <c r="O108" s="14">
        <f>IFERROR((VLOOKUP($A108,'[1]import success seats course'!$A:AC,HLOOKUP('[1]Course Totals'!O$4,'[1]import success seats course'!$1:$2,2,FALSE),FALSE)/(VLOOKUP($A108,'[1]import graded seats course pivo'!$A:AM,HLOOKUP('[1]Course Totals'!O$4,'[1]import graded seats course pivo'!$1:$2,2,FALSE),FALSE))),"")</f>
        <v>0.87610619469026552</v>
      </c>
      <c r="P108" s="14">
        <f>IFERROR((VLOOKUP($A108,'[1]import success seats course'!$A:AD,HLOOKUP('[1]Course Totals'!P$4,'[1]import success seats course'!$1:$2,2,FALSE),FALSE)/(VLOOKUP($A108,'[1]import graded seats course pivo'!$A:AN,HLOOKUP('[1]Course Totals'!P$4,'[1]import graded seats course pivo'!$1:$2,2,FALSE),FALSE))),"")</f>
        <v>0.8545454545454545</v>
      </c>
      <c r="Q108" s="14" t="str">
        <f>IFERROR((VLOOKUP($A108,'[1]import success seats course'!$A:AE,HLOOKUP('[1]Course Totals'!Q$4,'[1]import success seats course'!$1:$2,2,FALSE),FALSE)/(VLOOKUP($A108,'[1]import graded seats course pivo'!$A:AO,HLOOKUP('[1]Course Totals'!Q$4,'[1]import graded seats course pivo'!$1:$2,2,FALSE),FALSE))),"")</f>
        <v/>
      </c>
      <c r="R108" s="14">
        <f>IFERROR((VLOOKUP($A108,'[1]import success seats course'!$A:AF,HLOOKUP('[1]Course Totals'!R$4,'[1]import success seats course'!$1:$2,2,FALSE),FALSE)/(VLOOKUP($A108,'[1]import graded seats course pivo'!$A:AP,HLOOKUP('[1]Course Totals'!R$4,'[1]import graded seats course pivo'!$1:$2,2,FALSE),FALSE))),"")</f>
        <v>0.83695652173913049</v>
      </c>
      <c r="S108" s="14">
        <f>IFERROR((VLOOKUP($A108,'[1]import success seats course'!$A:AG,HLOOKUP('[1]Course Totals'!S$4,'[1]import success seats course'!$1:$2,2,FALSE),FALSE)/(VLOOKUP($A108,'[1]import graded seats course pivo'!$A:AQ,HLOOKUP('[1]Course Totals'!S$4,'[1]import graded seats course pivo'!$1:$2,2,FALSE),FALSE))),"")</f>
        <v>0.898876404494382</v>
      </c>
      <c r="Z108" s="7"/>
      <c r="AA108" s="7"/>
      <c r="AB108" s="7"/>
      <c r="AC108" s="7"/>
    </row>
    <row r="109" spans="1:29" ht="15.75" customHeight="1" x14ac:dyDescent="0.25">
      <c r="A109" s="12" t="s">
        <v>68</v>
      </c>
      <c r="B109" s="14" t="str">
        <f>IFERROR((VLOOKUP($A109,'[1]import success seats course'!$A:P,HLOOKUP('[1]Course Totals'!B$4,'[1]import success seats course'!$1:$2,2,FALSE),FALSE)/(VLOOKUP($A109,'[1]import graded seats course pivo'!$A:Z,HLOOKUP('[1]Course Totals'!B$4,'[1]import graded seats course pivo'!$1:$2,2,FALSE),FALSE))),"")</f>
        <v/>
      </c>
      <c r="C109" s="14">
        <f>IFERROR((VLOOKUP($A109,'[1]import success seats course'!$A:Q,HLOOKUP('[1]Course Totals'!C$4,'[1]import success seats course'!$1:$2,2,FALSE),FALSE)/(VLOOKUP($A109,'[1]import graded seats course pivo'!$A:AA,HLOOKUP('[1]Course Totals'!C$4,'[1]import graded seats course pivo'!$1:$2,2,FALSE),FALSE))),"")</f>
        <v>1</v>
      </c>
      <c r="D109" s="14">
        <f>IFERROR((VLOOKUP($A109,'[1]import success seats course'!$A:R,HLOOKUP('[1]Course Totals'!D$4,'[1]import success seats course'!$1:$2,2,FALSE),FALSE)/(VLOOKUP($A109,'[1]import graded seats course pivo'!$A:AB,HLOOKUP('[1]Course Totals'!D$4,'[1]import graded seats course pivo'!$1:$2,2,FALSE),FALSE))),"")</f>
        <v>1</v>
      </c>
      <c r="E109" s="14" t="str">
        <f>IFERROR((VLOOKUP($A109,'[1]import success seats course'!$A:S,HLOOKUP('[1]Course Totals'!E$4,'[1]import success seats course'!$1:$2,2,FALSE),FALSE)/(VLOOKUP($A109,'[1]import graded seats course pivo'!$A:AC,HLOOKUP('[1]Course Totals'!E$4,'[1]import graded seats course pivo'!$1:$2,2,FALSE),FALSE))),"")</f>
        <v/>
      </c>
      <c r="F109" s="14">
        <f>IFERROR((VLOOKUP($A109,'[1]import success seats course'!$A:T,HLOOKUP('[1]Course Totals'!F$4,'[1]import success seats course'!$1:$2,2,FALSE),FALSE)/(VLOOKUP($A109,'[1]import graded seats course pivo'!$A:AD,HLOOKUP('[1]Course Totals'!F$4,'[1]import graded seats course pivo'!$1:$2,2,FALSE),FALSE))),"")</f>
        <v>0.9285714285714286</v>
      </c>
      <c r="G109" s="14">
        <f>IFERROR((VLOOKUP($A109,'[1]import success seats course'!$A:U,HLOOKUP('[1]Course Totals'!G$4,'[1]import success seats course'!$1:$2,2,FALSE),FALSE)/(VLOOKUP($A109,'[1]import graded seats course pivo'!$A:AE,HLOOKUP('[1]Course Totals'!G$4,'[1]import graded seats course pivo'!$1:$2,2,FALSE),FALSE))),"")</f>
        <v>0.95652173913043481</v>
      </c>
      <c r="H109" s="14" t="str">
        <f>IFERROR((VLOOKUP($A109,'[1]import success seats course'!$A:V,HLOOKUP('[1]Course Totals'!H$4,'[1]import success seats course'!$1:$2,2,FALSE),FALSE)/(VLOOKUP($A109,'[1]import graded seats course pivo'!$A:AF,HLOOKUP('[1]Course Totals'!H$4,'[1]import graded seats course pivo'!$1:$2,2,FALSE),FALSE))),"")</f>
        <v/>
      </c>
      <c r="I109" s="14">
        <f>IFERROR((VLOOKUP($A109,'[1]import success seats course'!$A:W,HLOOKUP('[1]Course Totals'!I$4,'[1]import success seats course'!$1:$2,2,FALSE),FALSE)/(VLOOKUP($A109,'[1]import graded seats course pivo'!$A:AG,HLOOKUP('[1]Course Totals'!I$4,'[1]import graded seats course pivo'!$1:$2,2,FALSE),FALSE))),"")</f>
        <v>0.91304347826086951</v>
      </c>
      <c r="J109" s="14">
        <f>IFERROR((VLOOKUP($A109,'[1]import success seats course'!$A:X,HLOOKUP('[1]Course Totals'!J$4,'[1]import success seats course'!$1:$2,2,FALSE),FALSE)/(VLOOKUP($A109,'[1]import graded seats course pivo'!$A:AH,HLOOKUP('[1]Course Totals'!J$4,'[1]import graded seats course pivo'!$1:$2,2,FALSE),FALSE))),"")</f>
        <v>1</v>
      </c>
      <c r="K109" s="14" t="str">
        <f>IFERROR((VLOOKUP($A109,'[1]import success seats course'!$A:Y,HLOOKUP('[1]Course Totals'!K$4,'[1]import success seats course'!$1:$2,2,FALSE),FALSE)/(VLOOKUP($A109,'[1]import graded seats course pivo'!$A:AI,HLOOKUP('[1]Course Totals'!K$4,'[1]import graded seats course pivo'!$1:$2,2,FALSE),FALSE))),"")</f>
        <v/>
      </c>
      <c r="L109" s="14">
        <f>IFERROR((VLOOKUP($A109,'[1]import success seats course'!$A:Z,HLOOKUP('[1]Course Totals'!L$4,'[1]import success seats course'!$1:$2,2,FALSE),FALSE)/(VLOOKUP($A109,'[1]import graded seats course pivo'!$A:AJ,HLOOKUP('[1]Course Totals'!L$4,'[1]import graded seats course pivo'!$1:$2,2,FALSE),FALSE))),"")</f>
        <v>0.875</v>
      </c>
      <c r="M109" s="14">
        <f>IFERROR((VLOOKUP($A109,'[1]import success seats course'!$A:AA,HLOOKUP('[1]Course Totals'!M$4,'[1]import success seats course'!$1:$2,2,FALSE),FALSE)/(VLOOKUP($A109,'[1]import graded seats course pivo'!$A:AK,HLOOKUP('[1]Course Totals'!M$4,'[1]import graded seats course pivo'!$1:$2,2,FALSE),FALSE))),"")</f>
        <v>0.76</v>
      </c>
      <c r="N109" s="14" t="str">
        <f>IFERROR((VLOOKUP($A109,'[1]import success seats course'!$A:AB,HLOOKUP('[1]Course Totals'!N$4,'[1]import success seats course'!$1:$2,2,FALSE),FALSE)/(VLOOKUP($A109,'[1]import graded seats course pivo'!$A:AL,HLOOKUP('[1]Course Totals'!N$4,'[1]import graded seats course pivo'!$1:$2,2,FALSE),FALSE))),"")</f>
        <v/>
      </c>
      <c r="O109" s="14">
        <f>IFERROR((VLOOKUP($A109,'[1]import success seats course'!$A:AC,HLOOKUP('[1]Course Totals'!O$4,'[1]import success seats course'!$1:$2,2,FALSE),FALSE)/(VLOOKUP($A109,'[1]import graded seats course pivo'!$A:AM,HLOOKUP('[1]Course Totals'!O$4,'[1]import graded seats course pivo'!$1:$2,2,FALSE),FALSE))),"")</f>
        <v>0.9375</v>
      </c>
      <c r="P109" s="14">
        <f>IFERROR((VLOOKUP($A109,'[1]import success seats course'!$A:AD,HLOOKUP('[1]Course Totals'!P$4,'[1]import success seats course'!$1:$2,2,FALSE),FALSE)/(VLOOKUP($A109,'[1]import graded seats course pivo'!$A:AN,HLOOKUP('[1]Course Totals'!P$4,'[1]import graded seats course pivo'!$1:$2,2,FALSE),FALSE))),"")</f>
        <v>0.95833333333333337</v>
      </c>
      <c r="Q109" s="14" t="str">
        <f>IFERROR((VLOOKUP($A109,'[1]import success seats course'!$A:AE,HLOOKUP('[1]Course Totals'!Q$4,'[1]import success seats course'!$1:$2,2,FALSE),FALSE)/(VLOOKUP($A109,'[1]import graded seats course pivo'!$A:AO,HLOOKUP('[1]Course Totals'!Q$4,'[1]import graded seats course pivo'!$1:$2,2,FALSE),FALSE))),"")</f>
        <v/>
      </c>
      <c r="R109" s="14">
        <f>IFERROR((VLOOKUP($A109,'[1]import success seats course'!$A:AF,HLOOKUP('[1]Course Totals'!R$4,'[1]import success seats course'!$1:$2,2,FALSE),FALSE)/(VLOOKUP($A109,'[1]import graded seats course pivo'!$A:AP,HLOOKUP('[1]Course Totals'!R$4,'[1]import graded seats course pivo'!$1:$2,2,FALSE),FALSE))),"")</f>
        <v>1</v>
      </c>
      <c r="S109" s="14">
        <f>IFERROR((VLOOKUP($A109,'[1]import success seats course'!$A:AG,HLOOKUP('[1]Course Totals'!S$4,'[1]import success seats course'!$1:$2,2,FALSE),FALSE)/(VLOOKUP($A109,'[1]import graded seats course pivo'!$A:AQ,HLOOKUP('[1]Course Totals'!S$4,'[1]import graded seats course pivo'!$1:$2,2,FALSE),FALSE))),"")</f>
        <v>0.95</v>
      </c>
      <c r="Z109" s="7"/>
      <c r="AA109" s="7"/>
      <c r="AB109" s="7"/>
      <c r="AC109" s="7"/>
    </row>
    <row r="110" spans="1:29" ht="15.75" customHeight="1" x14ac:dyDescent="0.25">
      <c r="A110" s="12" t="s">
        <v>69</v>
      </c>
      <c r="B110" s="14" t="str">
        <f>IFERROR((VLOOKUP($A110,'[1]import success seats course'!$A:P,HLOOKUP('[1]Course Totals'!B$4,'[1]import success seats course'!$1:$2,2,FALSE),FALSE)/(VLOOKUP($A110,'[1]import graded seats course pivo'!$A:Z,HLOOKUP('[1]Course Totals'!B$4,'[1]import graded seats course pivo'!$1:$2,2,FALSE),FALSE))),"")</f>
        <v/>
      </c>
      <c r="C110" s="14">
        <f>IFERROR((VLOOKUP($A110,'[1]import success seats course'!$A:Q,HLOOKUP('[1]Course Totals'!C$4,'[1]import success seats course'!$1:$2,2,FALSE),FALSE)/(VLOOKUP($A110,'[1]import graded seats course pivo'!$A:AA,HLOOKUP('[1]Course Totals'!C$4,'[1]import graded seats course pivo'!$1:$2,2,FALSE),FALSE))),"")</f>
        <v>1</v>
      </c>
      <c r="D110" s="14">
        <f>IFERROR((VLOOKUP($A110,'[1]import success seats course'!$A:R,HLOOKUP('[1]Course Totals'!D$4,'[1]import success seats course'!$1:$2,2,FALSE),FALSE)/(VLOOKUP($A110,'[1]import graded seats course pivo'!$A:AB,HLOOKUP('[1]Course Totals'!D$4,'[1]import graded seats course pivo'!$1:$2,2,FALSE),FALSE))),"")</f>
        <v>0.88235294117647056</v>
      </c>
      <c r="E110" s="14" t="str">
        <f>IFERROR((VLOOKUP($A110,'[1]import success seats course'!$A:S,HLOOKUP('[1]Course Totals'!E$4,'[1]import success seats course'!$1:$2,2,FALSE),FALSE)/(VLOOKUP($A110,'[1]import graded seats course pivo'!$A:AC,HLOOKUP('[1]Course Totals'!E$4,'[1]import graded seats course pivo'!$1:$2,2,FALSE),FALSE))),"")</f>
        <v/>
      </c>
      <c r="F110" s="14">
        <f>IFERROR((VLOOKUP($A110,'[1]import success seats course'!$A:T,HLOOKUP('[1]Course Totals'!F$4,'[1]import success seats course'!$1:$2,2,FALSE),FALSE)/(VLOOKUP($A110,'[1]import graded seats course pivo'!$A:AD,HLOOKUP('[1]Course Totals'!F$4,'[1]import graded seats course pivo'!$1:$2,2,FALSE),FALSE))),"")</f>
        <v>1</v>
      </c>
      <c r="G110" s="14">
        <f>IFERROR((VLOOKUP($A110,'[1]import success seats course'!$A:U,HLOOKUP('[1]Course Totals'!G$4,'[1]import success seats course'!$1:$2,2,FALSE),FALSE)/(VLOOKUP($A110,'[1]import graded seats course pivo'!$A:AE,HLOOKUP('[1]Course Totals'!G$4,'[1]import graded seats course pivo'!$1:$2,2,FALSE),FALSE))),"")</f>
        <v>0.90909090909090906</v>
      </c>
      <c r="H110" s="14" t="str">
        <f>IFERROR((VLOOKUP($A110,'[1]import success seats course'!$A:V,HLOOKUP('[1]Course Totals'!H$4,'[1]import success seats course'!$1:$2,2,FALSE),FALSE)/(VLOOKUP($A110,'[1]import graded seats course pivo'!$A:AF,HLOOKUP('[1]Course Totals'!H$4,'[1]import graded seats course pivo'!$1:$2,2,FALSE),FALSE))),"")</f>
        <v/>
      </c>
      <c r="I110" s="14">
        <f>IFERROR((VLOOKUP($A110,'[1]import success seats course'!$A:W,HLOOKUP('[1]Course Totals'!I$4,'[1]import success seats course'!$1:$2,2,FALSE),FALSE)/(VLOOKUP($A110,'[1]import graded seats course pivo'!$A:AG,HLOOKUP('[1]Course Totals'!I$4,'[1]import graded seats course pivo'!$1:$2,2,FALSE),FALSE))),"")</f>
        <v>1</v>
      </c>
      <c r="J110" s="14" t="str">
        <f>IFERROR((VLOOKUP($A110,'[1]import success seats course'!$A:X,HLOOKUP('[1]Course Totals'!J$4,'[1]import success seats course'!$1:$2,2,FALSE),FALSE)/(VLOOKUP($A110,'[1]import graded seats course pivo'!$A:AH,HLOOKUP('[1]Course Totals'!J$4,'[1]import graded seats course pivo'!$1:$2,2,FALSE),FALSE))),"")</f>
        <v/>
      </c>
      <c r="K110" s="14" t="str">
        <f>IFERROR((VLOOKUP($A110,'[1]import success seats course'!$A:Y,HLOOKUP('[1]Course Totals'!K$4,'[1]import success seats course'!$1:$2,2,FALSE),FALSE)/(VLOOKUP($A110,'[1]import graded seats course pivo'!$A:AI,HLOOKUP('[1]Course Totals'!K$4,'[1]import graded seats course pivo'!$1:$2,2,FALSE),FALSE))),"")</f>
        <v/>
      </c>
      <c r="L110" s="14">
        <f>IFERROR((VLOOKUP($A110,'[1]import success seats course'!$A:Z,HLOOKUP('[1]Course Totals'!L$4,'[1]import success seats course'!$1:$2,2,FALSE),FALSE)/(VLOOKUP($A110,'[1]import graded seats course pivo'!$A:AJ,HLOOKUP('[1]Course Totals'!L$4,'[1]import graded seats course pivo'!$1:$2,2,FALSE),FALSE))),"")</f>
        <v>0.8</v>
      </c>
      <c r="M110" s="14">
        <f>IFERROR((VLOOKUP($A110,'[1]import success seats course'!$A:AA,HLOOKUP('[1]Course Totals'!M$4,'[1]import success seats course'!$1:$2,2,FALSE),FALSE)/(VLOOKUP($A110,'[1]import graded seats course pivo'!$A:AK,HLOOKUP('[1]Course Totals'!M$4,'[1]import graded seats course pivo'!$1:$2,2,FALSE),FALSE))),"")</f>
        <v>0.42857142857142855</v>
      </c>
      <c r="N110" s="14" t="str">
        <f>IFERROR((VLOOKUP($A110,'[1]import success seats course'!$A:AB,HLOOKUP('[1]Course Totals'!N$4,'[1]import success seats course'!$1:$2,2,FALSE),FALSE)/(VLOOKUP($A110,'[1]import graded seats course pivo'!$A:AL,HLOOKUP('[1]Course Totals'!N$4,'[1]import graded seats course pivo'!$1:$2,2,FALSE),FALSE))),"")</f>
        <v/>
      </c>
      <c r="O110" s="14">
        <f>IFERROR((VLOOKUP($A110,'[1]import success seats course'!$A:AC,HLOOKUP('[1]Course Totals'!O$4,'[1]import success seats course'!$1:$2,2,FALSE),FALSE)/(VLOOKUP($A110,'[1]import graded seats course pivo'!$A:AM,HLOOKUP('[1]Course Totals'!O$4,'[1]import graded seats course pivo'!$1:$2,2,FALSE),FALSE))),"")</f>
        <v>0.88888888888888884</v>
      </c>
      <c r="P110" s="14">
        <f>IFERROR((VLOOKUP($A110,'[1]import success seats course'!$A:AD,HLOOKUP('[1]Course Totals'!P$4,'[1]import success seats course'!$1:$2,2,FALSE),FALSE)/(VLOOKUP($A110,'[1]import graded seats course pivo'!$A:AN,HLOOKUP('[1]Course Totals'!P$4,'[1]import graded seats course pivo'!$1:$2,2,FALSE),FALSE))),"")</f>
        <v>0.54545454545454541</v>
      </c>
      <c r="Q110" s="14" t="str">
        <f>IFERROR((VLOOKUP($A110,'[1]import success seats course'!$A:AE,HLOOKUP('[1]Course Totals'!Q$4,'[1]import success seats course'!$1:$2,2,FALSE),FALSE)/(VLOOKUP($A110,'[1]import graded seats course pivo'!$A:AO,HLOOKUP('[1]Course Totals'!Q$4,'[1]import graded seats course pivo'!$1:$2,2,FALSE),FALSE))),"")</f>
        <v/>
      </c>
      <c r="R110" s="14">
        <f>IFERROR((VLOOKUP($A110,'[1]import success seats course'!$A:AF,HLOOKUP('[1]Course Totals'!R$4,'[1]import success seats course'!$1:$2,2,FALSE),FALSE)/(VLOOKUP($A110,'[1]import graded seats course pivo'!$A:AP,HLOOKUP('[1]Course Totals'!R$4,'[1]import graded seats course pivo'!$1:$2,2,FALSE),FALSE))),"")</f>
        <v>0.875</v>
      </c>
      <c r="S110" s="14">
        <f>IFERROR((VLOOKUP($A110,'[1]import success seats course'!$A:AG,HLOOKUP('[1]Course Totals'!S$4,'[1]import success seats course'!$1:$2,2,FALSE),FALSE)/(VLOOKUP($A110,'[1]import graded seats course pivo'!$A:AQ,HLOOKUP('[1]Course Totals'!S$4,'[1]import graded seats course pivo'!$1:$2,2,FALSE),FALSE))),"")</f>
        <v>0.88888888888888884</v>
      </c>
      <c r="Z110" s="7"/>
      <c r="AA110" s="7"/>
      <c r="AB110" s="7"/>
      <c r="AC110" s="7"/>
    </row>
    <row r="111" spans="1:29" ht="15.75" customHeight="1" x14ac:dyDescent="0.25">
      <c r="A111" s="12" t="s">
        <v>769</v>
      </c>
      <c r="B111" s="14" t="str">
        <f>IFERROR((VLOOKUP($A111,'[1]import success seats course'!$A:P,HLOOKUP('[1]Course Totals'!B$4,'[1]import success seats course'!$1:$2,2,FALSE),FALSE)/(VLOOKUP($A111,'[1]import graded seats course pivo'!$A:Z,HLOOKUP('[1]Course Totals'!B$4,'[1]import graded seats course pivo'!$1:$2,2,FALSE),FALSE))),"")</f>
        <v/>
      </c>
      <c r="C111" s="14" t="str">
        <f>IFERROR((VLOOKUP($A111,'[1]import success seats course'!$A:Q,HLOOKUP('[1]Course Totals'!C$4,'[1]import success seats course'!$1:$2,2,FALSE),FALSE)/(VLOOKUP($A111,'[1]import graded seats course pivo'!$A:AA,HLOOKUP('[1]Course Totals'!C$4,'[1]import graded seats course pivo'!$1:$2,2,FALSE),FALSE))),"")</f>
        <v/>
      </c>
      <c r="D111" s="14" t="str">
        <f>IFERROR((VLOOKUP($A111,'[1]import success seats course'!$A:R,HLOOKUP('[1]Course Totals'!D$4,'[1]import success seats course'!$1:$2,2,FALSE),FALSE)/(VLOOKUP($A111,'[1]import graded seats course pivo'!$A:AB,HLOOKUP('[1]Course Totals'!D$4,'[1]import graded seats course pivo'!$1:$2,2,FALSE),FALSE))),"")</f>
        <v/>
      </c>
      <c r="E111" s="14" t="str">
        <f>IFERROR((VLOOKUP($A111,'[1]import success seats course'!$A:S,HLOOKUP('[1]Course Totals'!E$4,'[1]import success seats course'!$1:$2,2,FALSE),FALSE)/(VLOOKUP($A111,'[1]import graded seats course pivo'!$A:AC,HLOOKUP('[1]Course Totals'!E$4,'[1]import graded seats course pivo'!$1:$2,2,FALSE),FALSE))),"")</f>
        <v/>
      </c>
      <c r="F111" s="14" t="str">
        <f>IFERROR((VLOOKUP($A111,'[1]import success seats course'!$A:T,HLOOKUP('[1]Course Totals'!F$4,'[1]import success seats course'!$1:$2,2,FALSE),FALSE)/(VLOOKUP($A111,'[1]import graded seats course pivo'!$A:AD,HLOOKUP('[1]Course Totals'!F$4,'[1]import graded seats course pivo'!$1:$2,2,FALSE),FALSE))),"")</f>
        <v/>
      </c>
      <c r="G111" s="14" t="str">
        <f>IFERROR((VLOOKUP($A111,'[1]import success seats course'!$A:U,HLOOKUP('[1]Course Totals'!G$4,'[1]import success seats course'!$1:$2,2,FALSE),FALSE)/(VLOOKUP($A111,'[1]import graded seats course pivo'!$A:AE,HLOOKUP('[1]Course Totals'!G$4,'[1]import graded seats course pivo'!$1:$2,2,FALSE),FALSE))),"")</f>
        <v/>
      </c>
      <c r="H111" s="14" t="str">
        <f>IFERROR((VLOOKUP($A111,'[1]import success seats course'!$A:V,HLOOKUP('[1]Course Totals'!H$4,'[1]import success seats course'!$1:$2,2,FALSE),FALSE)/(VLOOKUP($A111,'[1]import graded seats course pivo'!$A:AF,HLOOKUP('[1]Course Totals'!H$4,'[1]import graded seats course pivo'!$1:$2,2,FALSE),FALSE))),"")</f>
        <v/>
      </c>
      <c r="I111" s="14" t="str">
        <f>IFERROR((VLOOKUP($A111,'[1]import success seats course'!$A:W,HLOOKUP('[1]Course Totals'!I$4,'[1]import success seats course'!$1:$2,2,FALSE),FALSE)/(VLOOKUP($A111,'[1]import graded seats course pivo'!$A:AG,HLOOKUP('[1]Course Totals'!I$4,'[1]import graded seats course pivo'!$1:$2,2,FALSE),FALSE))),"")</f>
        <v/>
      </c>
      <c r="J111" s="14">
        <f>IFERROR((VLOOKUP($A111,'[1]import success seats course'!$A:X,HLOOKUP('[1]Course Totals'!J$4,'[1]import success seats course'!$1:$2,2,FALSE),FALSE)/(VLOOKUP($A111,'[1]import graded seats course pivo'!$A:AH,HLOOKUP('[1]Course Totals'!J$4,'[1]import graded seats course pivo'!$1:$2,2,FALSE),FALSE))),"")</f>
        <v>0.6</v>
      </c>
      <c r="K111" s="14" t="str">
        <f>IFERROR((VLOOKUP($A111,'[1]import success seats course'!$A:Y,HLOOKUP('[1]Course Totals'!K$4,'[1]import success seats course'!$1:$2,2,FALSE),FALSE)/(VLOOKUP($A111,'[1]import graded seats course pivo'!$A:AI,HLOOKUP('[1]Course Totals'!K$4,'[1]import graded seats course pivo'!$1:$2,2,FALSE),FALSE))),"")</f>
        <v/>
      </c>
      <c r="L111" s="14">
        <f>IFERROR((VLOOKUP($A111,'[1]import success seats course'!$A:Z,HLOOKUP('[1]Course Totals'!L$4,'[1]import success seats course'!$1:$2,2,FALSE),FALSE)/(VLOOKUP($A111,'[1]import graded seats course pivo'!$A:AJ,HLOOKUP('[1]Course Totals'!L$4,'[1]import graded seats course pivo'!$1:$2,2,FALSE),FALSE))),"")</f>
        <v>0.7142857142857143</v>
      </c>
      <c r="M111" s="14" t="str">
        <f>IFERROR((VLOOKUP($A111,'[1]import success seats course'!$A:AA,HLOOKUP('[1]Course Totals'!M$4,'[1]import success seats course'!$1:$2,2,FALSE),FALSE)/(VLOOKUP($A111,'[1]import graded seats course pivo'!$A:AK,HLOOKUP('[1]Course Totals'!M$4,'[1]import graded seats course pivo'!$1:$2,2,FALSE),FALSE))),"")</f>
        <v/>
      </c>
      <c r="N111" s="14" t="str">
        <f>IFERROR((VLOOKUP($A111,'[1]import success seats course'!$A:AB,HLOOKUP('[1]Course Totals'!N$4,'[1]import success seats course'!$1:$2,2,FALSE),FALSE)/(VLOOKUP($A111,'[1]import graded seats course pivo'!$A:AL,HLOOKUP('[1]Course Totals'!N$4,'[1]import graded seats course pivo'!$1:$2,2,FALSE),FALSE))),"")</f>
        <v/>
      </c>
      <c r="O111" s="14" t="str">
        <f>IFERROR((VLOOKUP($A111,'[1]import success seats course'!$A:AC,HLOOKUP('[1]Course Totals'!O$4,'[1]import success seats course'!$1:$2,2,FALSE),FALSE)/(VLOOKUP($A111,'[1]import graded seats course pivo'!$A:AM,HLOOKUP('[1]Course Totals'!O$4,'[1]import graded seats course pivo'!$1:$2,2,FALSE),FALSE))),"")</f>
        <v/>
      </c>
      <c r="P111" s="14" t="str">
        <f>IFERROR((VLOOKUP($A111,'[1]import success seats course'!$A:AD,HLOOKUP('[1]Course Totals'!P$4,'[1]import success seats course'!$1:$2,2,FALSE),FALSE)/(VLOOKUP($A111,'[1]import graded seats course pivo'!$A:AN,HLOOKUP('[1]Course Totals'!P$4,'[1]import graded seats course pivo'!$1:$2,2,FALSE),FALSE))),"")</f>
        <v/>
      </c>
      <c r="Q111" s="14" t="str">
        <f>IFERROR((VLOOKUP($A111,'[1]import success seats course'!$A:AE,HLOOKUP('[1]Course Totals'!Q$4,'[1]import success seats course'!$1:$2,2,FALSE),FALSE)/(VLOOKUP($A111,'[1]import graded seats course pivo'!$A:AO,HLOOKUP('[1]Course Totals'!Q$4,'[1]import graded seats course pivo'!$1:$2,2,FALSE),FALSE))),"")</f>
        <v/>
      </c>
      <c r="R111" s="14" t="str">
        <f>IFERROR((VLOOKUP($A111,'[1]import success seats course'!$A:AF,HLOOKUP('[1]Course Totals'!R$4,'[1]import success seats course'!$1:$2,2,FALSE),FALSE)/(VLOOKUP($A111,'[1]import graded seats course pivo'!$A:AP,HLOOKUP('[1]Course Totals'!R$4,'[1]import graded seats course pivo'!$1:$2,2,FALSE),FALSE))),"")</f>
        <v/>
      </c>
      <c r="S111" s="14" t="str">
        <f>IFERROR((VLOOKUP($A111,'[1]import success seats course'!$A:AG,HLOOKUP('[1]Course Totals'!S$4,'[1]import success seats course'!$1:$2,2,FALSE),FALSE)/(VLOOKUP($A111,'[1]import graded seats course pivo'!$A:AQ,HLOOKUP('[1]Course Totals'!S$4,'[1]import graded seats course pivo'!$1:$2,2,FALSE),FALSE))),"")</f>
        <v/>
      </c>
      <c r="Z111" s="7"/>
      <c r="AA111" s="7"/>
      <c r="AB111" s="7"/>
      <c r="AC111" s="7"/>
    </row>
    <row r="112" spans="1:29" ht="15.75" customHeight="1" x14ac:dyDescent="0.25">
      <c r="A112" s="12" t="s">
        <v>70</v>
      </c>
      <c r="B112" s="14" t="str">
        <f>IFERROR((VLOOKUP($A112,'[1]import success seats course'!$A:P,HLOOKUP('[1]Course Totals'!B$4,'[1]import success seats course'!$1:$2,2,FALSE),FALSE)/(VLOOKUP($A112,'[1]import graded seats course pivo'!$A:Z,HLOOKUP('[1]Course Totals'!B$4,'[1]import graded seats course pivo'!$1:$2,2,FALSE),FALSE))),"")</f>
        <v/>
      </c>
      <c r="C112" s="14">
        <f>IFERROR((VLOOKUP($A112,'[1]import success seats course'!$A:Q,HLOOKUP('[1]Course Totals'!C$4,'[1]import success seats course'!$1:$2,2,FALSE),FALSE)/(VLOOKUP($A112,'[1]import graded seats course pivo'!$A:AA,HLOOKUP('[1]Course Totals'!C$4,'[1]import graded seats course pivo'!$1:$2,2,FALSE),FALSE))),"")</f>
        <v>0.92307692307692313</v>
      </c>
      <c r="D112" s="14">
        <f>IFERROR((VLOOKUP($A112,'[1]import success seats course'!$A:R,HLOOKUP('[1]Course Totals'!D$4,'[1]import success seats course'!$1:$2,2,FALSE),FALSE)/(VLOOKUP($A112,'[1]import graded seats course pivo'!$A:AB,HLOOKUP('[1]Course Totals'!D$4,'[1]import graded seats course pivo'!$1:$2,2,FALSE),FALSE))),"")</f>
        <v>0.90909090909090906</v>
      </c>
      <c r="E112" s="14" t="str">
        <f>IFERROR((VLOOKUP($A112,'[1]import success seats course'!$A:S,HLOOKUP('[1]Course Totals'!E$4,'[1]import success seats course'!$1:$2,2,FALSE),FALSE)/(VLOOKUP($A112,'[1]import graded seats course pivo'!$A:AC,HLOOKUP('[1]Course Totals'!E$4,'[1]import graded seats course pivo'!$1:$2,2,FALSE),FALSE))),"")</f>
        <v/>
      </c>
      <c r="F112" s="14">
        <f>IFERROR((VLOOKUP($A112,'[1]import success seats course'!$A:T,HLOOKUP('[1]Course Totals'!F$4,'[1]import success seats course'!$1:$2,2,FALSE),FALSE)/(VLOOKUP($A112,'[1]import graded seats course pivo'!$A:AD,HLOOKUP('[1]Course Totals'!F$4,'[1]import graded seats course pivo'!$1:$2,2,FALSE),FALSE))),"")</f>
        <v>0.88888888888888884</v>
      </c>
      <c r="G112" s="14">
        <f>IFERROR((VLOOKUP($A112,'[1]import success seats course'!$A:U,HLOOKUP('[1]Course Totals'!G$4,'[1]import success seats course'!$1:$2,2,FALSE),FALSE)/(VLOOKUP($A112,'[1]import graded seats course pivo'!$A:AE,HLOOKUP('[1]Course Totals'!G$4,'[1]import graded seats course pivo'!$1:$2,2,FALSE),FALSE))),"")</f>
        <v>0.82352941176470584</v>
      </c>
      <c r="H112" s="14" t="str">
        <f>IFERROR((VLOOKUP($A112,'[1]import success seats course'!$A:V,HLOOKUP('[1]Course Totals'!H$4,'[1]import success seats course'!$1:$2,2,FALSE),FALSE)/(VLOOKUP($A112,'[1]import graded seats course pivo'!$A:AF,HLOOKUP('[1]Course Totals'!H$4,'[1]import graded seats course pivo'!$1:$2,2,FALSE),FALSE))),"")</f>
        <v/>
      </c>
      <c r="I112" s="14">
        <f>IFERROR((VLOOKUP($A112,'[1]import success seats course'!$A:W,HLOOKUP('[1]Course Totals'!I$4,'[1]import success seats course'!$1:$2,2,FALSE),FALSE)/(VLOOKUP($A112,'[1]import graded seats course pivo'!$A:AG,HLOOKUP('[1]Course Totals'!I$4,'[1]import graded seats course pivo'!$1:$2,2,FALSE),FALSE))),"")</f>
        <v>0.75</v>
      </c>
      <c r="J112" s="14">
        <f>IFERROR((VLOOKUP($A112,'[1]import success seats course'!$A:X,HLOOKUP('[1]Course Totals'!J$4,'[1]import success seats course'!$1:$2,2,FALSE),FALSE)/(VLOOKUP($A112,'[1]import graded seats course pivo'!$A:AH,HLOOKUP('[1]Course Totals'!J$4,'[1]import graded seats course pivo'!$1:$2,2,FALSE),FALSE))),"")</f>
        <v>0.82608695652173914</v>
      </c>
      <c r="K112" s="14" t="str">
        <f>IFERROR((VLOOKUP($A112,'[1]import success seats course'!$A:Y,HLOOKUP('[1]Course Totals'!K$4,'[1]import success seats course'!$1:$2,2,FALSE),FALSE)/(VLOOKUP($A112,'[1]import graded seats course pivo'!$A:AI,HLOOKUP('[1]Course Totals'!K$4,'[1]import graded seats course pivo'!$1:$2,2,FALSE),FALSE))),"")</f>
        <v/>
      </c>
      <c r="L112" s="14">
        <f>IFERROR((VLOOKUP($A112,'[1]import success seats course'!$A:Z,HLOOKUP('[1]Course Totals'!L$4,'[1]import success seats course'!$1:$2,2,FALSE),FALSE)/(VLOOKUP($A112,'[1]import graded seats course pivo'!$A:AJ,HLOOKUP('[1]Course Totals'!L$4,'[1]import graded seats course pivo'!$1:$2,2,FALSE),FALSE))),"")</f>
        <v>0.76190476190476186</v>
      </c>
      <c r="M112" s="14">
        <f>IFERROR((VLOOKUP($A112,'[1]import success seats course'!$A:AA,HLOOKUP('[1]Course Totals'!M$4,'[1]import success seats course'!$1:$2,2,FALSE),FALSE)/(VLOOKUP($A112,'[1]import graded seats course pivo'!$A:AK,HLOOKUP('[1]Course Totals'!M$4,'[1]import graded seats course pivo'!$1:$2,2,FALSE),FALSE))),"")</f>
        <v>0.76190476190476186</v>
      </c>
      <c r="N112" s="14" t="str">
        <f>IFERROR((VLOOKUP($A112,'[1]import success seats course'!$A:AB,HLOOKUP('[1]Course Totals'!N$4,'[1]import success seats course'!$1:$2,2,FALSE),FALSE)/(VLOOKUP($A112,'[1]import graded seats course pivo'!$A:AL,HLOOKUP('[1]Course Totals'!N$4,'[1]import graded seats course pivo'!$1:$2,2,FALSE),FALSE))),"")</f>
        <v/>
      </c>
      <c r="O112" s="14">
        <f>IFERROR((VLOOKUP($A112,'[1]import success seats course'!$A:AC,HLOOKUP('[1]Course Totals'!O$4,'[1]import success seats course'!$1:$2,2,FALSE),FALSE)/(VLOOKUP($A112,'[1]import graded seats course pivo'!$A:AM,HLOOKUP('[1]Course Totals'!O$4,'[1]import graded seats course pivo'!$1:$2,2,FALSE),FALSE))),"")</f>
        <v>0.88888888888888884</v>
      </c>
      <c r="P112" s="14">
        <f>IFERROR((VLOOKUP($A112,'[1]import success seats course'!$A:AD,HLOOKUP('[1]Course Totals'!P$4,'[1]import success seats course'!$1:$2,2,FALSE),FALSE)/(VLOOKUP($A112,'[1]import graded seats course pivo'!$A:AN,HLOOKUP('[1]Course Totals'!P$4,'[1]import graded seats course pivo'!$1:$2,2,FALSE),FALSE))),"")</f>
        <v>0.625</v>
      </c>
      <c r="Q112" s="14" t="str">
        <f>IFERROR((VLOOKUP($A112,'[1]import success seats course'!$A:AE,HLOOKUP('[1]Course Totals'!Q$4,'[1]import success seats course'!$1:$2,2,FALSE),FALSE)/(VLOOKUP($A112,'[1]import graded seats course pivo'!$A:AO,HLOOKUP('[1]Course Totals'!Q$4,'[1]import graded seats course pivo'!$1:$2,2,FALSE),FALSE))),"")</f>
        <v/>
      </c>
      <c r="R112" s="14">
        <f>IFERROR((VLOOKUP($A112,'[1]import success seats course'!$A:AF,HLOOKUP('[1]Course Totals'!R$4,'[1]import success seats course'!$1:$2,2,FALSE),FALSE)/(VLOOKUP($A112,'[1]import graded seats course pivo'!$A:AP,HLOOKUP('[1]Course Totals'!R$4,'[1]import graded seats course pivo'!$1:$2,2,FALSE),FALSE))),"")</f>
        <v>0.91304347826086951</v>
      </c>
      <c r="S112" s="14">
        <f>IFERROR((VLOOKUP($A112,'[1]import success seats course'!$A:AG,HLOOKUP('[1]Course Totals'!S$4,'[1]import success seats course'!$1:$2,2,FALSE),FALSE)/(VLOOKUP($A112,'[1]import graded seats course pivo'!$A:AQ,HLOOKUP('[1]Course Totals'!S$4,'[1]import graded seats course pivo'!$1:$2,2,FALSE),FALSE))),"")</f>
        <v>1</v>
      </c>
      <c r="Z112" s="7"/>
      <c r="AA112" s="7"/>
      <c r="AB112" s="7"/>
      <c r="AC112" s="7"/>
    </row>
    <row r="113" spans="1:29" ht="15.75" customHeight="1" x14ac:dyDescent="0.25">
      <c r="A113" s="12" t="s">
        <v>71</v>
      </c>
      <c r="B113" s="14" t="str">
        <f>IFERROR((VLOOKUP($A113,'[1]import success seats course'!$A:P,HLOOKUP('[1]Course Totals'!B$4,'[1]import success seats course'!$1:$2,2,FALSE),FALSE)/(VLOOKUP($A113,'[1]import graded seats course pivo'!$A:Z,HLOOKUP('[1]Course Totals'!B$4,'[1]import graded seats course pivo'!$1:$2,2,FALSE),FALSE))),"")</f>
        <v/>
      </c>
      <c r="C113" s="14">
        <f>IFERROR((VLOOKUP($A113,'[1]import success seats course'!$A:Q,HLOOKUP('[1]Course Totals'!C$4,'[1]import success seats course'!$1:$2,2,FALSE),FALSE)/(VLOOKUP($A113,'[1]import graded seats course pivo'!$A:AA,HLOOKUP('[1]Course Totals'!C$4,'[1]import graded seats course pivo'!$1:$2,2,FALSE),FALSE))),"")</f>
        <v>1</v>
      </c>
      <c r="D113" s="14">
        <f>IFERROR((VLOOKUP($A113,'[1]import success seats course'!$A:R,HLOOKUP('[1]Course Totals'!D$4,'[1]import success seats course'!$1:$2,2,FALSE),FALSE)/(VLOOKUP($A113,'[1]import graded seats course pivo'!$A:AB,HLOOKUP('[1]Course Totals'!D$4,'[1]import graded seats course pivo'!$1:$2,2,FALSE),FALSE))),"")</f>
        <v>0.9375</v>
      </c>
      <c r="E113" s="14" t="str">
        <f>IFERROR((VLOOKUP($A113,'[1]import success seats course'!$A:S,HLOOKUP('[1]Course Totals'!E$4,'[1]import success seats course'!$1:$2,2,FALSE),FALSE)/(VLOOKUP($A113,'[1]import graded seats course pivo'!$A:AC,HLOOKUP('[1]Course Totals'!E$4,'[1]import graded seats course pivo'!$1:$2,2,FALSE),FALSE))),"")</f>
        <v/>
      </c>
      <c r="F113" s="14">
        <f>IFERROR((VLOOKUP($A113,'[1]import success seats course'!$A:T,HLOOKUP('[1]Course Totals'!F$4,'[1]import success seats course'!$1:$2,2,FALSE),FALSE)/(VLOOKUP($A113,'[1]import graded seats course pivo'!$A:AD,HLOOKUP('[1]Course Totals'!F$4,'[1]import graded seats course pivo'!$1:$2,2,FALSE),FALSE))),"")</f>
        <v>1</v>
      </c>
      <c r="G113" s="14">
        <f>IFERROR((VLOOKUP($A113,'[1]import success seats course'!$A:U,HLOOKUP('[1]Course Totals'!G$4,'[1]import success seats course'!$1:$2,2,FALSE),FALSE)/(VLOOKUP($A113,'[1]import graded seats course pivo'!$A:AE,HLOOKUP('[1]Course Totals'!G$4,'[1]import graded seats course pivo'!$1:$2,2,FALSE),FALSE))),"")</f>
        <v>0.82608695652173914</v>
      </c>
      <c r="H113" s="14" t="str">
        <f>IFERROR((VLOOKUP($A113,'[1]import success seats course'!$A:V,HLOOKUP('[1]Course Totals'!H$4,'[1]import success seats course'!$1:$2,2,FALSE),FALSE)/(VLOOKUP($A113,'[1]import graded seats course pivo'!$A:AF,HLOOKUP('[1]Course Totals'!H$4,'[1]import graded seats course pivo'!$1:$2,2,FALSE),FALSE))),"")</f>
        <v/>
      </c>
      <c r="I113" s="14">
        <f>IFERROR((VLOOKUP($A113,'[1]import success seats course'!$A:W,HLOOKUP('[1]Course Totals'!I$4,'[1]import success seats course'!$1:$2,2,FALSE),FALSE)/(VLOOKUP($A113,'[1]import graded seats course pivo'!$A:AG,HLOOKUP('[1]Course Totals'!I$4,'[1]import graded seats course pivo'!$1:$2,2,FALSE),FALSE))),"")</f>
        <v>0.91304347826086951</v>
      </c>
      <c r="J113" s="14">
        <f>IFERROR((VLOOKUP($A113,'[1]import success seats course'!$A:X,HLOOKUP('[1]Course Totals'!J$4,'[1]import success seats course'!$1:$2,2,FALSE),FALSE)/(VLOOKUP($A113,'[1]import graded seats course pivo'!$A:AH,HLOOKUP('[1]Course Totals'!J$4,'[1]import graded seats course pivo'!$1:$2,2,FALSE),FALSE))),"")</f>
        <v>0.86046511627906974</v>
      </c>
      <c r="K113" s="14" t="str">
        <f>IFERROR((VLOOKUP($A113,'[1]import success seats course'!$A:Y,HLOOKUP('[1]Course Totals'!K$4,'[1]import success seats course'!$1:$2,2,FALSE),FALSE)/(VLOOKUP($A113,'[1]import graded seats course pivo'!$A:AI,HLOOKUP('[1]Course Totals'!K$4,'[1]import graded seats course pivo'!$1:$2,2,FALSE),FALSE))),"")</f>
        <v/>
      </c>
      <c r="L113" s="14">
        <f>IFERROR((VLOOKUP($A113,'[1]import success seats course'!$A:Z,HLOOKUP('[1]Course Totals'!L$4,'[1]import success seats course'!$1:$2,2,FALSE),FALSE)/(VLOOKUP($A113,'[1]import graded seats course pivo'!$A:AJ,HLOOKUP('[1]Course Totals'!L$4,'[1]import graded seats course pivo'!$1:$2,2,FALSE),FALSE))),"")</f>
        <v>0.93023255813953487</v>
      </c>
      <c r="M113" s="14">
        <f>IFERROR((VLOOKUP($A113,'[1]import success seats course'!$A:AA,HLOOKUP('[1]Course Totals'!M$4,'[1]import success seats course'!$1:$2,2,FALSE),FALSE)/(VLOOKUP($A113,'[1]import graded seats course pivo'!$A:AK,HLOOKUP('[1]Course Totals'!M$4,'[1]import graded seats course pivo'!$1:$2,2,FALSE),FALSE))),"")</f>
        <v>0.93617021276595747</v>
      </c>
      <c r="N113" s="14" t="str">
        <f>IFERROR((VLOOKUP($A113,'[1]import success seats course'!$A:AB,HLOOKUP('[1]Course Totals'!N$4,'[1]import success seats course'!$1:$2,2,FALSE),FALSE)/(VLOOKUP($A113,'[1]import graded seats course pivo'!$A:AL,HLOOKUP('[1]Course Totals'!N$4,'[1]import graded seats course pivo'!$1:$2,2,FALSE),FALSE))),"")</f>
        <v/>
      </c>
      <c r="O113" s="14">
        <f>IFERROR((VLOOKUP($A113,'[1]import success seats course'!$A:AC,HLOOKUP('[1]Course Totals'!O$4,'[1]import success seats course'!$1:$2,2,FALSE),FALSE)/(VLOOKUP($A113,'[1]import graded seats course pivo'!$A:AM,HLOOKUP('[1]Course Totals'!O$4,'[1]import graded seats course pivo'!$1:$2,2,FALSE),FALSE))),"")</f>
        <v>0.97560975609756095</v>
      </c>
      <c r="P113" s="14">
        <f>IFERROR((VLOOKUP($A113,'[1]import success seats course'!$A:AD,HLOOKUP('[1]Course Totals'!P$4,'[1]import success seats course'!$1:$2,2,FALSE),FALSE)/(VLOOKUP($A113,'[1]import graded seats course pivo'!$A:AN,HLOOKUP('[1]Course Totals'!P$4,'[1]import graded seats course pivo'!$1:$2,2,FALSE),FALSE))),"")</f>
        <v>0.8571428571428571</v>
      </c>
      <c r="Q113" s="14" t="str">
        <f>IFERROR((VLOOKUP($A113,'[1]import success seats course'!$A:AE,HLOOKUP('[1]Course Totals'!Q$4,'[1]import success seats course'!$1:$2,2,FALSE),FALSE)/(VLOOKUP($A113,'[1]import graded seats course pivo'!$A:AO,HLOOKUP('[1]Course Totals'!Q$4,'[1]import graded seats course pivo'!$1:$2,2,FALSE),FALSE))),"")</f>
        <v/>
      </c>
      <c r="R113" s="14">
        <f>IFERROR((VLOOKUP($A113,'[1]import success seats course'!$A:AF,HLOOKUP('[1]Course Totals'!R$4,'[1]import success seats course'!$1:$2,2,FALSE),FALSE)/(VLOOKUP($A113,'[1]import graded seats course pivo'!$A:AP,HLOOKUP('[1]Course Totals'!R$4,'[1]import graded seats course pivo'!$1:$2,2,FALSE),FALSE))),"")</f>
        <v>0.90909090909090906</v>
      </c>
      <c r="S113" s="14">
        <f>IFERROR((VLOOKUP($A113,'[1]import success seats course'!$A:AG,HLOOKUP('[1]Course Totals'!S$4,'[1]import success seats course'!$1:$2,2,FALSE),FALSE)/(VLOOKUP($A113,'[1]import graded seats course pivo'!$A:AQ,HLOOKUP('[1]Course Totals'!S$4,'[1]import graded seats course pivo'!$1:$2,2,FALSE),FALSE))),"")</f>
        <v>0.88095238095238093</v>
      </c>
      <c r="Z113" s="7"/>
      <c r="AA113" s="7"/>
      <c r="AB113" s="7"/>
      <c r="AC113" s="7"/>
    </row>
    <row r="114" spans="1:29" ht="15.75" customHeight="1" x14ac:dyDescent="0.25">
      <c r="A114" s="12" t="s">
        <v>72</v>
      </c>
      <c r="B114" s="14" t="str">
        <f>IFERROR((VLOOKUP($A114,'[1]import success seats course'!$A:P,HLOOKUP('[1]Course Totals'!B$4,'[1]import success seats course'!$1:$2,2,FALSE),FALSE)/(VLOOKUP($A114,'[1]import graded seats course pivo'!$A:Z,HLOOKUP('[1]Course Totals'!B$4,'[1]import graded seats course pivo'!$1:$2,2,FALSE),FALSE))),"")</f>
        <v/>
      </c>
      <c r="C114" s="14">
        <f>IFERROR((VLOOKUP($A114,'[1]import success seats course'!$A:Q,HLOOKUP('[1]Course Totals'!C$4,'[1]import success seats course'!$1:$2,2,FALSE),FALSE)/(VLOOKUP($A114,'[1]import graded seats course pivo'!$A:AA,HLOOKUP('[1]Course Totals'!C$4,'[1]import graded seats course pivo'!$1:$2,2,FALSE),FALSE))),"")</f>
        <v>0.90909090909090906</v>
      </c>
      <c r="D114" s="14">
        <f>IFERROR((VLOOKUP($A114,'[1]import success seats course'!$A:R,HLOOKUP('[1]Course Totals'!D$4,'[1]import success seats course'!$1:$2,2,FALSE),FALSE)/(VLOOKUP($A114,'[1]import graded seats course pivo'!$A:AB,HLOOKUP('[1]Course Totals'!D$4,'[1]import graded seats course pivo'!$1:$2,2,FALSE),FALSE))),"")</f>
        <v>1</v>
      </c>
      <c r="E114" s="14" t="str">
        <f>IFERROR((VLOOKUP($A114,'[1]import success seats course'!$A:S,HLOOKUP('[1]Course Totals'!E$4,'[1]import success seats course'!$1:$2,2,FALSE),FALSE)/(VLOOKUP($A114,'[1]import graded seats course pivo'!$A:AC,HLOOKUP('[1]Course Totals'!E$4,'[1]import graded seats course pivo'!$1:$2,2,FALSE),FALSE))),"")</f>
        <v/>
      </c>
      <c r="F114" s="14">
        <f>IFERROR((VLOOKUP($A114,'[1]import success seats course'!$A:T,HLOOKUP('[1]Course Totals'!F$4,'[1]import success seats course'!$1:$2,2,FALSE),FALSE)/(VLOOKUP($A114,'[1]import graded seats course pivo'!$A:AD,HLOOKUP('[1]Course Totals'!F$4,'[1]import graded seats course pivo'!$1:$2,2,FALSE),FALSE))),"")</f>
        <v>0.95652173913043481</v>
      </c>
      <c r="G114" s="14">
        <f>IFERROR((VLOOKUP($A114,'[1]import success seats course'!$A:U,HLOOKUP('[1]Course Totals'!G$4,'[1]import success seats course'!$1:$2,2,FALSE),FALSE)/(VLOOKUP($A114,'[1]import graded seats course pivo'!$A:AE,HLOOKUP('[1]Course Totals'!G$4,'[1]import graded seats course pivo'!$1:$2,2,FALSE),FALSE))),"")</f>
        <v>1</v>
      </c>
      <c r="H114" s="14" t="str">
        <f>IFERROR((VLOOKUP($A114,'[1]import success seats course'!$A:V,HLOOKUP('[1]Course Totals'!H$4,'[1]import success seats course'!$1:$2,2,FALSE),FALSE)/(VLOOKUP($A114,'[1]import graded seats course pivo'!$A:AF,HLOOKUP('[1]Course Totals'!H$4,'[1]import graded seats course pivo'!$1:$2,2,FALSE),FALSE))),"")</f>
        <v/>
      </c>
      <c r="I114" s="14">
        <f>IFERROR((VLOOKUP($A114,'[1]import success seats course'!$A:W,HLOOKUP('[1]Course Totals'!I$4,'[1]import success seats course'!$1:$2,2,FALSE),FALSE)/(VLOOKUP($A114,'[1]import graded seats course pivo'!$A:AG,HLOOKUP('[1]Course Totals'!I$4,'[1]import graded seats course pivo'!$1:$2,2,FALSE),FALSE))),"")</f>
        <v>0.94736842105263153</v>
      </c>
      <c r="J114" s="14">
        <f>IFERROR((VLOOKUP($A114,'[1]import success seats course'!$A:X,HLOOKUP('[1]Course Totals'!J$4,'[1]import success seats course'!$1:$2,2,FALSE),FALSE)/(VLOOKUP($A114,'[1]import graded seats course pivo'!$A:AH,HLOOKUP('[1]Course Totals'!J$4,'[1]import graded seats course pivo'!$1:$2,2,FALSE),FALSE))),"")</f>
        <v>0.75757575757575757</v>
      </c>
      <c r="K114" s="14" t="str">
        <f>IFERROR((VLOOKUP($A114,'[1]import success seats course'!$A:Y,HLOOKUP('[1]Course Totals'!K$4,'[1]import success seats course'!$1:$2,2,FALSE),FALSE)/(VLOOKUP($A114,'[1]import graded seats course pivo'!$A:AI,HLOOKUP('[1]Course Totals'!K$4,'[1]import graded seats course pivo'!$1:$2,2,FALSE),FALSE))),"")</f>
        <v/>
      </c>
      <c r="L114" s="14">
        <f>IFERROR((VLOOKUP($A114,'[1]import success seats course'!$A:Z,HLOOKUP('[1]Course Totals'!L$4,'[1]import success seats course'!$1:$2,2,FALSE),FALSE)/(VLOOKUP($A114,'[1]import graded seats course pivo'!$A:AJ,HLOOKUP('[1]Course Totals'!L$4,'[1]import graded seats course pivo'!$1:$2,2,FALSE),FALSE))),"")</f>
        <v>0.92</v>
      </c>
      <c r="M114" s="14">
        <f>IFERROR((VLOOKUP($A114,'[1]import success seats course'!$A:AA,HLOOKUP('[1]Course Totals'!M$4,'[1]import success seats course'!$1:$2,2,FALSE),FALSE)/(VLOOKUP($A114,'[1]import graded seats course pivo'!$A:AK,HLOOKUP('[1]Course Totals'!M$4,'[1]import graded seats course pivo'!$1:$2,2,FALSE),FALSE))),"")</f>
        <v>0.84615384615384615</v>
      </c>
      <c r="N114" s="14" t="str">
        <f>IFERROR((VLOOKUP($A114,'[1]import success seats course'!$A:AB,HLOOKUP('[1]Course Totals'!N$4,'[1]import success seats course'!$1:$2,2,FALSE),FALSE)/(VLOOKUP($A114,'[1]import graded seats course pivo'!$A:AL,HLOOKUP('[1]Course Totals'!N$4,'[1]import graded seats course pivo'!$1:$2,2,FALSE),FALSE))),"")</f>
        <v/>
      </c>
      <c r="O114" s="14">
        <f>IFERROR((VLOOKUP($A114,'[1]import success seats course'!$A:AC,HLOOKUP('[1]Course Totals'!O$4,'[1]import success seats course'!$1:$2,2,FALSE),FALSE)/(VLOOKUP($A114,'[1]import graded seats course pivo'!$A:AM,HLOOKUP('[1]Course Totals'!O$4,'[1]import graded seats course pivo'!$1:$2,2,FALSE),FALSE))),"")</f>
        <v>0.87096774193548387</v>
      </c>
      <c r="P114" s="14">
        <f>IFERROR((VLOOKUP($A114,'[1]import success seats course'!$A:AD,HLOOKUP('[1]Course Totals'!P$4,'[1]import success seats course'!$1:$2,2,FALSE),FALSE)/(VLOOKUP($A114,'[1]import graded seats course pivo'!$A:AN,HLOOKUP('[1]Course Totals'!P$4,'[1]import graded seats course pivo'!$1:$2,2,FALSE),FALSE))),"")</f>
        <v>0.9642857142857143</v>
      </c>
      <c r="Q114" s="14" t="str">
        <f>IFERROR((VLOOKUP($A114,'[1]import success seats course'!$A:AE,HLOOKUP('[1]Course Totals'!Q$4,'[1]import success seats course'!$1:$2,2,FALSE),FALSE)/(VLOOKUP($A114,'[1]import graded seats course pivo'!$A:AO,HLOOKUP('[1]Course Totals'!Q$4,'[1]import graded seats course pivo'!$1:$2,2,FALSE),FALSE))),"")</f>
        <v/>
      </c>
      <c r="R114" s="14">
        <f>IFERROR((VLOOKUP($A114,'[1]import success seats course'!$A:AF,HLOOKUP('[1]Course Totals'!R$4,'[1]import success seats course'!$1:$2,2,FALSE),FALSE)/(VLOOKUP($A114,'[1]import graded seats course pivo'!$A:AP,HLOOKUP('[1]Course Totals'!R$4,'[1]import graded seats course pivo'!$1:$2,2,FALSE),FALSE))),"")</f>
        <v>0.95652173913043481</v>
      </c>
      <c r="S114" s="14">
        <f>IFERROR((VLOOKUP($A114,'[1]import success seats course'!$A:AG,HLOOKUP('[1]Course Totals'!S$4,'[1]import success seats course'!$1:$2,2,FALSE),FALSE)/(VLOOKUP($A114,'[1]import graded seats course pivo'!$A:AQ,HLOOKUP('[1]Course Totals'!S$4,'[1]import graded seats course pivo'!$1:$2,2,FALSE),FALSE))),"")</f>
        <v>1</v>
      </c>
      <c r="Z114" s="7"/>
      <c r="AA114" s="7"/>
      <c r="AB114" s="7"/>
      <c r="AC114" s="7"/>
    </row>
    <row r="115" spans="1:29" ht="15.75" customHeight="1" x14ac:dyDescent="0.25">
      <c r="A115" s="12" t="s">
        <v>681</v>
      </c>
      <c r="B115" s="14" t="str">
        <f>IFERROR((VLOOKUP($A115,'[1]import success seats course'!$A:P,HLOOKUP('[1]Course Totals'!B$4,'[1]import success seats course'!$1:$2,2,FALSE),FALSE)/(VLOOKUP($A115,'[1]import graded seats course pivo'!$A:Z,HLOOKUP('[1]Course Totals'!B$4,'[1]import graded seats course pivo'!$1:$2,2,FALSE),FALSE))),"")</f>
        <v/>
      </c>
      <c r="C115" s="14" t="str">
        <f>IFERROR((VLOOKUP($A115,'[1]import success seats course'!$A:Q,HLOOKUP('[1]Course Totals'!C$4,'[1]import success seats course'!$1:$2,2,FALSE),FALSE)/(VLOOKUP($A115,'[1]import graded seats course pivo'!$A:AA,HLOOKUP('[1]Course Totals'!C$4,'[1]import graded seats course pivo'!$1:$2,2,FALSE),FALSE))),"")</f>
        <v/>
      </c>
      <c r="D115" s="14" t="str">
        <f>IFERROR((VLOOKUP($A115,'[1]import success seats course'!$A:R,HLOOKUP('[1]Course Totals'!D$4,'[1]import success seats course'!$1:$2,2,FALSE),FALSE)/(VLOOKUP($A115,'[1]import graded seats course pivo'!$A:AB,HLOOKUP('[1]Course Totals'!D$4,'[1]import graded seats course pivo'!$1:$2,2,FALSE),FALSE))),"")</f>
        <v/>
      </c>
      <c r="E115" s="14" t="str">
        <f>IFERROR((VLOOKUP($A115,'[1]import success seats course'!$A:S,HLOOKUP('[1]Course Totals'!E$4,'[1]import success seats course'!$1:$2,2,FALSE),FALSE)/(VLOOKUP($A115,'[1]import graded seats course pivo'!$A:AC,HLOOKUP('[1]Course Totals'!E$4,'[1]import graded seats course pivo'!$1:$2,2,FALSE),FALSE))),"")</f>
        <v/>
      </c>
      <c r="F115" s="14" t="str">
        <f>IFERROR((VLOOKUP($A115,'[1]import success seats course'!$A:T,HLOOKUP('[1]Course Totals'!F$4,'[1]import success seats course'!$1:$2,2,FALSE),FALSE)/(VLOOKUP($A115,'[1]import graded seats course pivo'!$A:AD,HLOOKUP('[1]Course Totals'!F$4,'[1]import graded seats course pivo'!$1:$2,2,FALSE),FALSE))),"")</f>
        <v/>
      </c>
      <c r="G115" s="14" t="str">
        <f>IFERROR((VLOOKUP($A115,'[1]import success seats course'!$A:U,HLOOKUP('[1]Course Totals'!G$4,'[1]import success seats course'!$1:$2,2,FALSE),FALSE)/(VLOOKUP($A115,'[1]import graded seats course pivo'!$A:AE,HLOOKUP('[1]Course Totals'!G$4,'[1]import graded seats course pivo'!$1:$2,2,FALSE),FALSE))),"")</f>
        <v/>
      </c>
      <c r="H115" s="14" t="str">
        <f>IFERROR((VLOOKUP($A115,'[1]import success seats course'!$A:V,HLOOKUP('[1]Course Totals'!H$4,'[1]import success seats course'!$1:$2,2,FALSE),FALSE)/(VLOOKUP($A115,'[1]import graded seats course pivo'!$A:AF,HLOOKUP('[1]Course Totals'!H$4,'[1]import graded seats course pivo'!$1:$2,2,FALSE),FALSE))),"")</f>
        <v/>
      </c>
      <c r="I115" s="14">
        <f>IFERROR((VLOOKUP($A115,'[1]import success seats course'!$A:W,HLOOKUP('[1]Course Totals'!I$4,'[1]import success seats course'!$1:$2,2,FALSE),FALSE)/(VLOOKUP($A115,'[1]import graded seats course pivo'!$A:AG,HLOOKUP('[1]Course Totals'!I$4,'[1]import graded seats course pivo'!$1:$2,2,FALSE),FALSE))),"")</f>
        <v>0.86956521739130432</v>
      </c>
      <c r="J115" s="14">
        <f>IFERROR((VLOOKUP($A115,'[1]import success seats course'!$A:X,HLOOKUP('[1]Course Totals'!J$4,'[1]import success seats course'!$1:$2,2,FALSE),FALSE)/(VLOOKUP($A115,'[1]import graded seats course pivo'!$A:AH,HLOOKUP('[1]Course Totals'!J$4,'[1]import graded seats course pivo'!$1:$2,2,FALSE),FALSE))),"")</f>
        <v>0.92</v>
      </c>
      <c r="K115" s="14" t="str">
        <f>IFERROR((VLOOKUP($A115,'[1]import success seats course'!$A:Y,HLOOKUP('[1]Course Totals'!K$4,'[1]import success seats course'!$1:$2,2,FALSE),FALSE)/(VLOOKUP($A115,'[1]import graded seats course pivo'!$A:AI,HLOOKUP('[1]Course Totals'!K$4,'[1]import graded seats course pivo'!$1:$2,2,FALSE),FALSE))),"")</f>
        <v/>
      </c>
      <c r="L115" s="14">
        <f>IFERROR((VLOOKUP($A115,'[1]import success seats course'!$A:Z,HLOOKUP('[1]Course Totals'!L$4,'[1]import success seats course'!$1:$2,2,FALSE),FALSE)/(VLOOKUP($A115,'[1]import graded seats course pivo'!$A:AJ,HLOOKUP('[1]Course Totals'!L$4,'[1]import graded seats course pivo'!$1:$2,2,FALSE),FALSE))),"")</f>
        <v>0.94444444444444442</v>
      </c>
      <c r="M115" s="14">
        <f>IFERROR((VLOOKUP($A115,'[1]import success seats course'!$A:AA,HLOOKUP('[1]Course Totals'!M$4,'[1]import success seats course'!$1:$2,2,FALSE),FALSE)/(VLOOKUP($A115,'[1]import graded seats course pivo'!$A:AK,HLOOKUP('[1]Course Totals'!M$4,'[1]import graded seats course pivo'!$1:$2,2,FALSE),FALSE))),"")</f>
        <v>0.73333333333333328</v>
      </c>
      <c r="N115" s="14" t="str">
        <f>IFERROR((VLOOKUP($A115,'[1]import success seats course'!$A:AB,HLOOKUP('[1]Course Totals'!N$4,'[1]import success seats course'!$1:$2,2,FALSE),FALSE)/(VLOOKUP($A115,'[1]import graded seats course pivo'!$A:AL,HLOOKUP('[1]Course Totals'!N$4,'[1]import graded seats course pivo'!$1:$2,2,FALSE),FALSE))),"")</f>
        <v/>
      </c>
      <c r="O115" s="14">
        <f>IFERROR((VLOOKUP($A115,'[1]import success seats course'!$A:AC,HLOOKUP('[1]Course Totals'!O$4,'[1]import success seats course'!$1:$2,2,FALSE),FALSE)/(VLOOKUP($A115,'[1]import graded seats course pivo'!$A:AM,HLOOKUP('[1]Course Totals'!O$4,'[1]import graded seats course pivo'!$1:$2,2,FALSE),FALSE))),"")</f>
        <v>0.8125</v>
      </c>
      <c r="P115" s="14" t="str">
        <f>IFERROR((VLOOKUP($A115,'[1]import success seats course'!$A:AD,HLOOKUP('[1]Course Totals'!P$4,'[1]import success seats course'!$1:$2,2,FALSE),FALSE)/(VLOOKUP($A115,'[1]import graded seats course pivo'!$A:AN,HLOOKUP('[1]Course Totals'!P$4,'[1]import graded seats course pivo'!$1:$2,2,FALSE),FALSE))),"")</f>
        <v/>
      </c>
      <c r="Q115" s="14" t="str">
        <f>IFERROR((VLOOKUP($A115,'[1]import success seats course'!$A:AE,HLOOKUP('[1]Course Totals'!Q$4,'[1]import success seats course'!$1:$2,2,FALSE),FALSE)/(VLOOKUP($A115,'[1]import graded seats course pivo'!$A:AO,HLOOKUP('[1]Course Totals'!Q$4,'[1]import graded seats course pivo'!$1:$2,2,FALSE),FALSE))),"")</f>
        <v/>
      </c>
      <c r="R115" s="14">
        <f>IFERROR((VLOOKUP($A115,'[1]import success seats course'!$A:AF,HLOOKUP('[1]Course Totals'!R$4,'[1]import success seats course'!$1:$2,2,FALSE),FALSE)/(VLOOKUP($A115,'[1]import graded seats course pivo'!$A:AP,HLOOKUP('[1]Course Totals'!R$4,'[1]import graded seats course pivo'!$1:$2,2,FALSE),FALSE))),"")</f>
        <v>0.80952380952380953</v>
      </c>
      <c r="S115" s="14">
        <f>IFERROR((VLOOKUP($A115,'[1]import success seats course'!$A:AG,HLOOKUP('[1]Course Totals'!S$4,'[1]import success seats course'!$1:$2,2,FALSE),FALSE)/(VLOOKUP($A115,'[1]import graded seats course pivo'!$A:AQ,HLOOKUP('[1]Course Totals'!S$4,'[1]import graded seats course pivo'!$1:$2,2,FALSE),FALSE))),"")</f>
        <v>0.875</v>
      </c>
      <c r="Z115" s="7"/>
      <c r="AA115" s="7"/>
      <c r="AB115" s="7"/>
      <c r="AC115" s="7"/>
    </row>
    <row r="116" spans="1:29" ht="15.75" customHeight="1" x14ac:dyDescent="0.25">
      <c r="A116" s="12" t="s">
        <v>73</v>
      </c>
      <c r="B116" s="14">
        <f>IFERROR((VLOOKUP($A116,'[1]import success seats course'!$A:P,HLOOKUP('[1]Course Totals'!B$4,'[1]import success seats course'!$1:$2,2,FALSE),FALSE)/(VLOOKUP($A116,'[1]import graded seats course pivo'!$A:Z,HLOOKUP('[1]Course Totals'!B$4,'[1]import graded seats course pivo'!$1:$2,2,FALSE),FALSE))),"")</f>
        <v>1</v>
      </c>
      <c r="C116" s="14">
        <f>IFERROR((VLOOKUP($A116,'[1]import success seats course'!$A:Q,HLOOKUP('[1]Course Totals'!C$4,'[1]import success seats course'!$1:$2,2,FALSE),FALSE)/(VLOOKUP($A116,'[1]import graded seats course pivo'!$A:AA,HLOOKUP('[1]Course Totals'!C$4,'[1]import graded seats course pivo'!$1:$2,2,FALSE),FALSE))),"")</f>
        <v>0.90566037735849059</v>
      </c>
      <c r="D116" s="14">
        <f>IFERROR((VLOOKUP($A116,'[1]import success seats course'!$A:R,HLOOKUP('[1]Course Totals'!D$4,'[1]import success seats course'!$1:$2,2,FALSE),FALSE)/(VLOOKUP($A116,'[1]import graded seats course pivo'!$A:AB,HLOOKUP('[1]Course Totals'!D$4,'[1]import graded seats course pivo'!$1:$2,2,FALSE),FALSE))),"")</f>
        <v>0.92523364485981308</v>
      </c>
      <c r="E116" s="14">
        <f>IFERROR((VLOOKUP($A116,'[1]import success seats course'!$A:S,HLOOKUP('[1]Course Totals'!E$4,'[1]import success seats course'!$1:$2,2,FALSE),FALSE)/(VLOOKUP($A116,'[1]import graded seats course pivo'!$A:AC,HLOOKUP('[1]Course Totals'!E$4,'[1]import graded seats course pivo'!$1:$2,2,FALSE),FALSE))),"")</f>
        <v>0.98148148148148151</v>
      </c>
      <c r="F116" s="14">
        <f>IFERROR((VLOOKUP($A116,'[1]import success seats course'!$A:T,HLOOKUP('[1]Course Totals'!F$4,'[1]import success seats course'!$1:$2,2,FALSE),FALSE)/(VLOOKUP($A116,'[1]import graded seats course pivo'!$A:AD,HLOOKUP('[1]Course Totals'!F$4,'[1]import graded seats course pivo'!$1:$2,2,FALSE),FALSE))),"")</f>
        <v>0.92741935483870963</v>
      </c>
      <c r="G116" s="14">
        <f>IFERROR((VLOOKUP($A116,'[1]import success seats course'!$A:U,HLOOKUP('[1]Course Totals'!G$4,'[1]import success seats course'!$1:$2,2,FALSE),FALSE)/(VLOOKUP($A116,'[1]import graded seats course pivo'!$A:AE,HLOOKUP('[1]Course Totals'!G$4,'[1]import graded seats course pivo'!$1:$2,2,FALSE),FALSE))),"")</f>
        <v>0.93700787401574803</v>
      </c>
      <c r="H116" s="14" t="str">
        <f>IFERROR((VLOOKUP($A116,'[1]import success seats course'!$A:V,HLOOKUP('[1]Course Totals'!H$4,'[1]import success seats course'!$1:$2,2,FALSE),FALSE)/(VLOOKUP($A116,'[1]import graded seats course pivo'!$A:AF,HLOOKUP('[1]Course Totals'!H$4,'[1]import graded seats course pivo'!$1:$2,2,FALSE),FALSE))),"")</f>
        <v/>
      </c>
      <c r="I116" s="14">
        <f>IFERROR((VLOOKUP($A116,'[1]import success seats course'!$A:W,HLOOKUP('[1]Course Totals'!I$4,'[1]import success seats course'!$1:$2,2,FALSE),FALSE)/(VLOOKUP($A116,'[1]import graded seats course pivo'!$A:AG,HLOOKUP('[1]Course Totals'!I$4,'[1]import graded seats course pivo'!$1:$2,2,FALSE),FALSE))),"")</f>
        <v>0.95238095238095233</v>
      </c>
      <c r="J116" s="14">
        <f>IFERROR((VLOOKUP($A116,'[1]import success seats course'!$A:X,HLOOKUP('[1]Course Totals'!J$4,'[1]import success seats course'!$1:$2,2,FALSE),FALSE)/(VLOOKUP($A116,'[1]import graded seats course pivo'!$A:AH,HLOOKUP('[1]Course Totals'!J$4,'[1]import graded seats course pivo'!$1:$2,2,FALSE),FALSE))),"")</f>
        <v>0.94354838709677424</v>
      </c>
      <c r="K116" s="14" t="str">
        <f>IFERROR((VLOOKUP($A116,'[1]import success seats course'!$A:Y,HLOOKUP('[1]Course Totals'!K$4,'[1]import success seats course'!$1:$2,2,FALSE),FALSE)/(VLOOKUP($A116,'[1]import graded seats course pivo'!$A:AI,HLOOKUP('[1]Course Totals'!K$4,'[1]import graded seats course pivo'!$1:$2,2,FALSE),FALSE))),"")</f>
        <v/>
      </c>
      <c r="L116" s="14">
        <f>IFERROR((VLOOKUP($A116,'[1]import success seats course'!$A:Z,HLOOKUP('[1]Course Totals'!L$4,'[1]import success seats course'!$1:$2,2,FALSE),FALSE)/(VLOOKUP($A116,'[1]import graded seats course pivo'!$A:AJ,HLOOKUP('[1]Course Totals'!L$4,'[1]import graded seats course pivo'!$1:$2,2,FALSE),FALSE))),"")</f>
        <v>0.88800000000000001</v>
      </c>
      <c r="M116" s="14">
        <f>IFERROR((VLOOKUP($A116,'[1]import success seats course'!$A:AA,HLOOKUP('[1]Course Totals'!M$4,'[1]import success seats course'!$1:$2,2,FALSE),FALSE)/(VLOOKUP($A116,'[1]import graded seats course pivo'!$A:AK,HLOOKUP('[1]Course Totals'!M$4,'[1]import graded seats course pivo'!$1:$2,2,FALSE),FALSE))),"")</f>
        <v>0.8833333333333333</v>
      </c>
      <c r="N116" s="14" t="str">
        <f>IFERROR((VLOOKUP($A116,'[1]import success seats course'!$A:AB,HLOOKUP('[1]Course Totals'!N$4,'[1]import success seats course'!$1:$2,2,FALSE),FALSE)/(VLOOKUP($A116,'[1]import graded seats course pivo'!$A:AL,HLOOKUP('[1]Course Totals'!N$4,'[1]import graded seats course pivo'!$1:$2,2,FALSE),FALSE))),"")</f>
        <v/>
      </c>
      <c r="O116" s="14">
        <f>IFERROR((VLOOKUP($A116,'[1]import success seats course'!$A:AC,HLOOKUP('[1]Course Totals'!O$4,'[1]import success seats course'!$1:$2,2,FALSE),FALSE)/(VLOOKUP($A116,'[1]import graded seats course pivo'!$A:AM,HLOOKUP('[1]Course Totals'!O$4,'[1]import graded seats course pivo'!$1:$2,2,FALSE),FALSE))),"")</f>
        <v>0.89051094890510951</v>
      </c>
      <c r="P116" s="14">
        <f>IFERROR((VLOOKUP($A116,'[1]import success seats course'!$A:AD,HLOOKUP('[1]Course Totals'!P$4,'[1]import success seats course'!$1:$2,2,FALSE),FALSE)/(VLOOKUP($A116,'[1]import graded seats course pivo'!$A:AN,HLOOKUP('[1]Course Totals'!P$4,'[1]import graded seats course pivo'!$1:$2,2,FALSE),FALSE))),"")</f>
        <v>0.89380530973451322</v>
      </c>
      <c r="Q116" s="14" t="str">
        <f>IFERROR((VLOOKUP($A116,'[1]import success seats course'!$A:AE,HLOOKUP('[1]Course Totals'!Q$4,'[1]import success seats course'!$1:$2,2,FALSE),FALSE)/(VLOOKUP($A116,'[1]import graded seats course pivo'!$A:AO,HLOOKUP('[1]Course Totals'!Q$4,'[1]import graded seats course pivo'!$1:$2,2,FALSE),FALSE))),"")</f>
        <v/>
      </c>
      <c r="R116" s="14">
        <f>IFERROR((VLOOKUP($A116,'[1]import success seats course'!$A:AF,HLOOKUP('[1]Course Totals'!R$4,'[1]import success seats course'!$1:$2,2,FALSE),FALSE)/(VLOOKUP($A116,'[1]import graded seats course pivo'!$A:AP,HLOOKUP('[1]Course Totals'!R$4,'[1]import graded seats course pivo'!$1:$2,2,FALSE),FALSE))),"")</f>
        <v>0.90909090909090906</v>
      </c>
      <c r="S116" s="14">
        <f>IFERROR((VLOOKUP($A116,'[1]import success seats course'!$A:AG,HLOOKUP('[1]Course Totals'!S$4,'[1]import success seats course'!$1:$2,2,FALSE),FALSE)/(VLOOKUP($A116,'[1]import graded seats course pivo'!$A:AQ,HLOOKUP('[1]Course Totals'!S$4,'[1]import graded seats course pivo'!$1:$2,2,FALSE),FALSE))),"")</f>
        <v>0.94871794871794868</v>
      </c>
      <c r="Z116" s="7"/>
      <c r="AA116" s="7"/>
      <c r="AB116" s="7"/>
      <c r="AC116" s="7"/>
    </row>
    <row r="117" spans="1:29" ht="15.75" customHeight="1" x14ac:dyDescent="0.25">
      <c r="A117" s="12" t="s">
        <v>74</v>
      </c>
      <c r="B117" s="14" t="str">
        <f>IFERROR((VLOOKUP($A117,'[1]import success seats course'!$A:P,HLOOKUP('[1]Course Totals'!B$4,'[1]import success seats course'!$1:$2,2,FALSE),FALSE)/(VLOOKUP($A117,'[1]import graded seats course pivo'!$A:Z,HLOOKUP('[1]Course Totals'!B$4,'[1]import graded seats course pivo'!$1:$2,2,FALSE),FALSE))),"")</f>
        <v/>
      </c>
      <c r="C117" s="14" t="str">
        <f>IFERROR((VLOOKUP($A117,'[1]import success seats course'!$A:Q,HLOOKUP('[1]Course Totals'!C$4,'[1]import success seats course'!$1:$2,2,FALSE),FALSE)/(VLOOKUP($A117,'[1]import graded seats course pivo'!$A:AA,HLOOKUP('[1]Course Totals'!C$4,'[1]import graded seats course pivo'!$1:$2,2,FALSE),FALSE))),"")</f>
        <v/>
      </c>
      <c r="D117" s="14" t="str">
        <f>IFERROR((VLOOKUP($A117,'[1]import success seats course'!$A:R,HLOOKUP('[1]Course Totals'!D$4,'[1]import success seats course'!$1:$2,2,FALSE),FALSE)/(VLOOKUP($A117,'[1]import graded seats course pivo'!$A:AB,HLOOKUP('[1]Course Totals'!D$4,'[1]import graded seats course pivo'!$1:$2,2,FALSE),FALSE))),"")</f>
        <v/>
      </c>
      <c r="E117" s="14" t="str">
        <f>IFERROR((VLOOKUP($A117,'[1]import success seats course'!$A:S,HLOOKUP('[1]Course Totals'!E$4,'[1]import success seats course'!$1:$2,2,FALSE),FALSE)/(VLOOKUP($A117,'[1]import graded seats course pivo'!$A:AC,HLOOKUP('[1]Course Totals'!E$4,'[1]import graded seats course pivo'!$1:$2,2,FALSE),FALSE))),"")</f>
        <v/>
      </c>
      <c r="F117" s="14" t="str">
        <f>IFERROR((VLOOKUP($A117,'[1]import success seats course'!$A:T,HLOOKUP('[1]Course Totals'!F$4,'[1]import success seats course'!$1:$2,2,FALSE),FALSE)/(VLOOKUP($A117,'[1]import graded seats course pivo'!$A:AD,HLOOKUP('[1]Course Totals'!F$4,'[1]import graded seats course pivo'!$1:$2,2,FALSE),FALSE))),"")</f>
        <v/>
      </c>
      <c r="G117" s="14" t="str">
        <f>IFERROR((VLOOKUP($A117,'[1]import success seats course'!$A:U,HLOOKUP('[1]Course Totals'!G$4,'[1]import success seats course'!$1:$2,2,FALSE),FALSE)/(VLOOKUP($A117,'[1]import graded seats course pivo'!$A:AE,HLOOKUP('[1]Course Totals'!G$4,'[1]import graded seats course pivo'!$1:$2,2,FALSE),FALSE))),"")</f>
        <v/>
      </c>
      <c r="H117" s="14" t="str">
        <f>IFERROR((VLOOKUP($A117,'[1]import success seats course'!$A:V,HLOOKUP('[1]Course Totals'!H$4,'[1]import success seats course'!$1:$2,2,FALSE),FALSE)/(VLOOKUP($A117,'[1]import graded seats course pivo'!$A:AF,HLOOKUP('[1]Course Totals'!H$4,'[1]import graded seats course pivo'!$1:$2,2,FALSE),FALSE))),"")</f>
        <v/>
      </c>
      <c r="I117" s="14" t="str">
        <f>IFERROR((VLOOKUP($A117,'[1]import success seats course'!$A:W,HLOOKUP('[1]Course Totals'!I$4,'[1]import success seats course'!$1:$2,2,FALSE),FALSE)/(VLOOKUP($A117,'[1]import graded seats course pivo'!$A:AG,HLOOKUP('[1]Course Totals'!I$4,'[1]import graded seats course pivo'!$1:$2,2,FALSE),FALSE))),"")</f>
        <v/>
      </c>
      <c r="J117" s="14" t="str">
        <f>IFERROR((VLOOKUP($A117,'[1]import success seats course'!$A:X,HLOOKUP('[1]Course Totals'!J$4,'[1]import success seats course'!$1:$2,2,FALSE),FALSE)/(VLOOKUP($A117,'[1]import graded seats course pivo'!$A:AH,HLOOKUP('[1]Course Totals'!J$4,'[1]import graded seats course pivo'!$1:$2,2,FALSE),FALSE))),"")</f>
        <v/>
      </c>
      <c r="K117" s="14" t="str">
        <f>IFERROR((VLOOKUP($A117,'[1]import success seats course'!$A:Y,HLOOKUP('[1]Course Totals'!K$4,'[1]import success seats course'!$1:$2,2,FALSE),FALSE)/(VLOOKUP($A117,'[1]import graded seats course pivo'!$A:AI,HLOOKUP('[1]Course Totals'!K$4,'[1]import graded seats course pivo'!$1:$2,2,FALSE),FALSE))),"")</f>
        <v/>
      </c>
      <c r="L117" s="14">
        <f>IFERROR((VLOOKUP($A117,'[1]import success seats course'!$A:Z,HLOOKUP('[1]Course Totals'!L$4,'[1]import success seats course'!$1:$2,2,FALSE),FALSE)/(VLOOKUP($A117,'[1]import graded seats course pivo'!$A:AJ,HLOOKUP('[1]Course Totals'!L$4,'[1]import graded seats course pivo'!$1:$2,2,FALSE),FALSE))),"")</f>
        <v>0.9375</v>
      </c>
      <c r="M117" s="14">
        <f>IFERROR((VLOOKUP($A117,'[1]import success seats course'!$A:AA,HLOOKUP('[1]Course Totals'!M$4,'[1]import success seats course'!$1:$2,2,FALSE),FALSE)/(VLOOKUP($A117,'[1]import graded seats course pivo'!$A:AK,HLOOKUP('[1]Course Totals'!M$4,'[1]import graded seats course pivo'!$1:$2,2,FALSE),FALSE))),"")</f>
        <v>0.93333333333333335</v>
      </c>
      <c r="N117" s="14" t="str">
        <f>IFERROR((VLOOKUP($A117,'[1]import success seats course'!$A:AB,HLOOKUP('[1]Course Totals'!N$4,'[1]import success seats course'!$1:$2,2,FALSE),FALSE)/(VLOOKUP($A117,'[1]import graded seats course pivo'!$A:AL,HLOOKUP('[1]Course Totals'!N$4,'[1]import graded seats course pivo'!$1:$2,2,FALSE),FALSE))),"")</f>
        <v/>
      </c>
      <c r="O117" s="14">
        <f>IFERROR((VLOOKUP($A117,'[1]import success seats course'!$A:AC,HLOOKUP('[1]Course Totals'!O$4,'[1]import success seats course'!$1:$2,2,FALSE),FALSE)/(VLOOKUP($A117,'[1]import graded seats course pivo'!$A:AM,HLOOKUP('[1]Course Totals'!O$4,'[1]import graded seats course pivo'!$1:$2,2,FALSE),FALSE))),"")</f>
        <v>1</v>
      </c>
      <c r="P117" s="14">
        <f>IFERROR((VLOOKUP($A117,'[1]import success seats course'!$A:AD,HLOOKUP('[1]Course Totals'!P$4,'[1]import success seats course'!$1:$2,2,FALSE),FALSE)/(VLOOKUP($A117,'[1]import graded seats course pivo'!$A:AN,HLOOKUP('[1]Course Totals'!P$4,'[1]import graded seats course pivo'!$1:$2,2,FALSE),FALSE))),"")</f>
        <v>0.92</v>
      </c>
      <c r="Q117" s="14" t="str">
        <f>IFERROR((VLOOKUP($A117,'[1]import success seats course'!$A:AE,HLOOKUP('[1]Course Totals'!Q$4,'[1]import success seats course'!$1:$2,2,FALSE),FALSE)/(VLOOKUP($A117,'[1]import graded seats course pivo'!$A:AO,HLOOKUP('[1]Course Totals'!Q$4,'[1]import graded seats course pivo'!$1:$2,2,FALSE),FALSE))),"")</f>
        <v/>
      </c>
      <c r="R117" s="14">
        <f>IFERROR((VLOOKUP($A117,'[1]import success seats course'!$A:AF,HLOOKUP('[1]Course Totals'!R$4,'[1]import success seats course'!$1:$2,2,FALSE),FALSE)/(VLOOKUP($A117,'[1]import graded seats course pivo'!$A:AP,HLOOKUP('[1]Course Totals'!R$4,'[1]import graded seats course pivo'!$1:$2,2,FALSE),FALSE))),"")</f>
        <v>0.9642857142857143</v>
      </c>
      <c r="S117" s="14">
        <f>IFERROR((VLOOKUP($A117,'[1]import success seats course'!$A:AG,HLOOKUP('[1]Course Totals'!S$4,'[1]import success seats course'!$1:$2,2,FALSE),FALSE)/(VLOOKUP($A117,'[1]import graded seats course pivo'!$A:AQ,HLOOKUP('[1]Course Totals'!S$4,'[1]import graded seats course pivo'!$1:$2,2,FALSE),FALSE))),"")</f>
        <v>0.96</v>
      </c>
      <c r="Z117" s="7"/>
      <c r="AA117" s="7"/>
      <c r="AB117" s="7"/>
      <c r="AC117" s="7"/>
    </row>
    <row r="118" spans="1:29" ht="15.75" hidden="1" customHeight="1" x14ac:dyDescent="0.25">
      <c r="A118" s="12" t="s">
        <v>75</v>
      </c>
      <c r="B118" s="14" t="str">
        <f>IFERROR((VLOOKUP($A118,'[1]import success seats course'!$A:P,HLOOKUP('[1]Course Totals'!B$4,'[1]import success seats course'!$1:$2,2,FALSE),FALSE)/(VLOOKUP($A118,'[1]import graded seats course pivo'!$A:Z,HLOOKUP('[1]Course Totals'!B$4,'[1]import graded seats course pivo'!$1:$2,2,FALSE),FALSE))),"")</f>
        <v/>
      </c>
      <c r="C118" s="14" t="str">
        <f>IFERROR((VLOOKUP($A118,'[1]import success seats course'!$A:Q,HLOOKUP('[1]Course Totals'!C$4,'[1]import success seats course'!$1:$2,2,FALSE),FALSE)/(VLOOKUP($A118,'[1]import graded seats course pivo'!$A:AA,HLOOKUP('[1]Course Totals'!C$4,'[1]import graded seats course pivo'!$1:$2,2,FALSE),FALSE))),"")</f>
        <v/>
      </c>
      <c r="D118" s="14" t="str">
        <f>IFERROR((VLOOKUP($A118,'[1]import success seats course'!$A:R,HLOOKUP('[1]Course Totals'!D$4,'[1]import success seats course'!$1:$2,2,FALSE),FALSE)/(VLOOKUP($A118,'[1]import graded seats course pivo'!$A:AB,HLOOKUP('[1]Course Totals'!D$4,'[1]import graded seats course pivo'!$1:$2,2,FALSE),FALSE))),"")</f>
        <v/>
      </c>
      <c r="E118" s="14" t="str">
        <f>IFERROR((VLOOKUP($A118,'[1]import success seats course'!$A:S,HLOOKUP('[1]Course Totals'!E$4,'[1]import success seats course'!$1:$2,2,FALSE),FALSE)/(VLOOKUP($A118,'[1]import graded seats course pivo'!$A:AC,HLOOKUP('[1]Course Totals'!E$4,'[1]import graded seats course pivo'!$1:$2,2,FALSE),FALSE))),"")</f>
        <v/>
      </c>
      <c r="F118" s="14" t="str">
        <f>IFERROR((VLOOKUP($A118,'[1]import success seats course'!$A:T,HLOOKUP('[1]Course Totals'!F$4,'[1]import success seats course'!$1:$2,2,FALSE),FALSE)/(VLOOKUP($A118,'[1]import graded seats course pivo'!$A:AD,HLOOKUP('[1]Course Totals'!F$4,'[1]import graded seats course pivo'!$1:$2,2,FALSE),FALSE))),"")</f>
        <v/>
      </c>
      <c r="G118" s="14" t="str">
        <f>IFERROR((VLOOKUP($A118,'[1]import success seats course'!$A:U,HLOOKUP('[1]Course Totals'!G$4,'[1]import success seats course'!$1:$2,2,FALSE),FALSE)/(VLOOKUP($A118,'[1]import graded seats course pivo'!$A:AE,HLOOKUP('[1]Course Totals'!G$4,'[1]import graded seats course pivo'!$1:$2,2,FALSE),FALSE))),"")</f>
        <v/>
      </c>
      <c r="H118" s="14" t="str">
        <f>IFERROR((VLOOKUP($A118,'[1]import success seats course'!$A:V,HLOOKUP('[1]Course Totals'!H$4,'[1]import success seats course'!$1:$2,2,FALSE),FALSE)/(VLOOKUP($A118,'[1]import graded seats course pivo'!$A:AF,HLOOKUP('[1]Course Totals'!H$4,'[1]import graded seats course pivo'!$1:$2,2,FALSE),FALSE))),"")</f>
        <v/>
      </c>
      <c r="I118" s="14" t="str">
        <f>IFERROR((VLOOKUP($A118,'[1]import success seats course'!$A:W,HLOOKUP('[1]Course Totals'!I$4,'[1]import success seats course'!$1:$2,2,FALSE),FALSE)/(VLOOKUP($A118,'[1]import graded seats course pivo'!$A:AG,HLOOKUP('[1]Course Totals'!I$4,'[1]import graded seats course pivo'!$1:$2,2,FALSE),FALSE))),"")</f>
        <v/>
      </c>
      <c r="J118" s="14" t="str">
        <f>IFERROR((VLOOKUP($A118,'[1]import success seats course'!$A:X,HLOOKUP('[1]Course Totals'!J$4,'[1]import success seats course'!$1:$2,2,FALSE),FALSE)/(VLOOKUP($A118,'[1]import graded seats course pivo'!$A:AH,HLOOKUP('[1]Course Totals'!J$4,'[1]import graded seats course pivo'!$1:$2,2,FALSE),FALSE))),"")</f>
        <v/>
      </c>
      <c r="K118" s="14" t="str">
        <f>IFERROR((VLOOKUP($A118,'[1]import success seats course'!$A:Y,HLOOKUP('[1]Course Totals'!K$4,'[1]import success seats course'!$1:$2,2,FALSE),FALSE)/(VLOOKUP($A118,'[1]import graded seats course pivo'!$A:AI,HLOOKUP('[1]Course Totals'!K$4,'[1]import graded seats course pivo'!$1:$2,2,FALSE),FALSE))),"")</f>
        <v/>
      </c>
      <c r="L118" s="14" t="str">
        <f>IFERROR((VLOOKUP($A118,'[1]import success seats course'!$A:Z,HLOOKUP('[1]Course Totals'!L$4,'[1]import success seats course'!$1:$2,2,FALSE),FALSE)/(VLOOKUP($A118,'[1]import graded seats course pivo'!$A:AJ,HLOOKUP('[1]Course Totals'!L$4,'[1]import graded seats course pivo'!$1:$2,2,FALSE),FALSE))),"")</f>
        <v/>
      </c>
      <c r="M118" s="14" t="str">
        <f>IFERROR((VLOOKUP($A118,'[1]import success seats course'!$A:AA,HLOOKUP('[1]Course Totals'!M$4,'[1]import success seats course'!$1:$2,2,FALSE),FALSE)/(VLOOKUP($A118,'[1]import graded seats course pivo'!$A:AK,HLOOKUP('[1]Course Totals'!M$4,'[1]import graded seats course pivo'!$1:$2,2,FALSE),FALSE))),"")</f>
        <v/>
      </c>
      <c r="N118" s="14" t="str">
        <f>IFERROR((VLOOKUP($A118,'[1]import success seats course'!$A:AB,HLOOKUP('[1]Course Totals'!N$4,'[1]import success seats course'!$1:$2,2,FALSE),FALSE)/(VLOOKUP($A118,'[1]import graded seats course pivo'!$A:AL,HLOOKUP('[1]Course Totals'!N$4,'[1]import graded seats course pivo'!$1:$2,2,FALSE),FALSE))),"")</f>
        <v/>
      </c>
      <c r="O118" s="14" t="str">
        <f>IFERROR((VLOOKUP($A118,'[1]import success seats course'!$A:AC,HLOOKUP('[1]Course Totals'!O$4,'[1]import success seats course'!$1:$2,2,FALSE),FALSE)/(VLOOKUP($A118,'[1]import graded seats course pivo'!$A:AM,HLOOKUP('[1]Course Totals'!O$4,'[1]import graded seats course pivo'!$1:$2,2,FALSE),FALSE))),"")</f>
        <v/>
      </c>
      <c r="P118" s="14" t="str">
        <f>IFERROR((VLOOKUP($A118,'[1]import success seats course'!$A:AD,HLOOKUP('[1]Course Totals'!P$4,'[1]import success seats course'!$1:$2,2,FALSE),FALSE)/(VLOOKUP($A118,'[1]import graded seats course pivo'!$A:AN,HLOOKUP('[1]Course Totals'!P$4,'[1]import graded seats course pivo'!$1:$2,2,FALSE),FALSE))),"")</f>
        <v/>
      </c>
      <c r="Q118" s="14" t="str">
        <f>IFERROR((VLOOKUP($A118,'[1]import success seats course'!$A:AE,HLOOKUP('[1]Course Totals'!Q$4,'[1]import success seats course'!$1:$2,2,FALSE),FALSE)/(VLOOKUP($A118,'[1]import graded seats course pivo'!$A:AO,HLOOKUP('[1]Course Totals'!Q$4,'[1]import graded seats course pivo'!$1:$2,2,FALSE),FALSE))),"")</f>
        <v/>
      </c>
      <c r="R118" s="14" t="str">
        <f>IFERROR((VLOOKUP($A118,'[1]import success seats course'!$A:AF,HLOOKUP('[1]Course Totals'!R$4,'[1]import success seats course'!$1:$2,2,FALSE),FALSE)/(VLOOKUP($A118,'[1]import graded seats course pivo'!$A:AP,HLOOKUP('[1]Course Totals'!R$4,'[1]import graded seats course pivo'!$1:$2,2,FALSE),FALSE))),"")</f>
        <v/>
      </c>
      <c r="S118" s="14" t="str">
        <f>IFERROR((VLOOKUP($A118,'[1]import success seats course'!$A:AG,HLOOKUP('[1]Course Totals'!S$4,'[1]import success seats course'!$1:$2,2,FALSE),FALSE)/(VLOOKUP($A118,'[1]import graded seats course pivo'!$A:AQ,HLOOKUP('[1]Course Totals'!S$4,'[1]import graded seats course pivo'!$1:$2,2,FALSE),FALSE))),"")</f>
        <v/>
      </c>
      <c r="Z118" s="7"/>
      <c r="AA118" s="7"/>
      <c r="AB118" s="7"/>
      <c r="AC118" s="7"/>
    </row>
    <row r="119" spans="1:29" ht="15.75" hidden="1" customHeight="1" x14ac:dyDescent="0.25">
      <c r="A119" s="12" t="s">
        <v>76</v>
      </c>
      <c r="B119" s="14" t="str">
        <f>IFERROR((VLOOKUP($A119,'[1]import success seats course'!$A:P,HLOOKUP('[1]Course Totals'!B$4,'[1]import success seats course'!$1:$2,2,FALSE),FALSE)/(VLOOKUP($A119,'[1]import graded seats course pivo'!$A:Z,HLOOKUP('[1]Course Totals'!B$4,'[1]import graded seats course pivo'!$1:$2,2,FALSE),FALSE))),"")</f>
        <v/>
      </c>
      <c r="C119" s="14" t="str">
        <f>IFERROR((VLOOKUP($A119,'[1]import success seats course'!$A:Q,HLOOKUP('[1]Course Totals'!C$4,'[1]import success seats course'!$1:$2,2,FALSE),FALSE)/(VLOOKUP($A119,'[1]import graded seats course pivo'!$A:AA,HLOOKUP('[1]Course Totals'!C$4,'[1]import graded seats course pivo'!$1:$2,2,FALSE),FALSE))),"")</f>
        <v/>
      </c>
      <c r="D119" s="14" t="str">
        <f>IFERROR((VLOOKUP($A119,'[1]import success seats course'!$A:R,HLOOKUP('[1]Course Totals'!D$4,'[1]import success seats course'!$1:$2,2,FALSE),FALSE)/(VLOOKUP($A119,'[1]import graded seats course pivo'!$A:AB,HLOOKUP('[1]Course Totals'!D$4,'[1]import graded seats course pivo'!$1:$2,2,FALSE),FALSE))),"")</f>
        <v/>
      </c>
      <c r="E119" s="14" t="str">
        <f>IFERROR((VLOOKUP($A119,'[1]import success seats course'!$A:S,HLOOKUP('[1]Course Totals'!E$4,'[1]import success seats course'!$1:$2,2,FALSE),FALSE)/(VLOOKUP($A119,'[1]import graded seats course pivo'!$A:AC,HLOOKUP('[1]Course Totals'!E$4,'[1]import graded seats course pivo'!$1:$2,2,FALSE),FALSE))),"")</f>
        <v/>
      </c>
      <c r="F119" s="14" t="str">
        <f>IFERROR((VLOOKUP($A119,'[1]import success seats course'!$A:T,HLOOKUP('[1]Course Totals'!F$4,'[1]import success seats course'!$1:$2,2,FALSE),FALSE)/(VLOOKUP($A119,'[1]import graded seats course pivo'!$A:AD,HLOOKUP('[1]Course Totals'!F$4,'[1]import graded seats course pivo'!$1:$2,2,FALSE),FALSE))),"")</f>
        <v/>
      </c>
      <c r="G119" s="14" t="str">
        <f>IFERROR((VLOOKUP($A119,'[1]import success seats course'!$A:U,HLOOKUP('[1]Course Totals'!G$4,'[1]import success seats course'!$1:$2,2,FALSE),FALSE)/(VLOOKUP($A119,'[1]import graded seats course pivo'!$A:AE,HLOOKUP('[1]Course Totals'!G$4,'[1]import graded seats course pivo'!$1:$2,2,FALSE),FALSE))),"")</f>
        <v/>
      </c>
      <c r="H119" s="14" t="str">
        <f>IFERROR((VLOOKUP($A119,'[1]import success seats course'!$A:V,HLOOKUP('[1]Course Totals'!H$4,'[1]import success seats course'!$1:$2,2,FALSE),FALSE)/(VLOOKUP($A119,'[1]import graded seats course pivo'!$A:AF,HLOOKUP('[1]Course Totals'!H$4,'[1]import graded seats course pivo'!$1:$2,2,FALSE),FALSE))),"")</f>
        <v/>
      </c>
      <c r="I119" s="14" t="str">
        <f>IFERROR((VLOOKUP($A119,'[1]import success seats course'!$A:W,HLOOKUP('[1]Course Totals'!I$4,'[1]import success seats course'!$1:$2,2,FALSE),FALSE)/(VLOOKUP($A119,'[1]import graded seats course pivo'!$A:AG,HLOOKUP('[1]Course Totals'!I$4,'[1]import graded seats course pivo'!$1:$2,2,FALSE),FALSE))),"")</f>
        <v/>
      </c>
      <c r="J119" s="14" t="str">
        <f>IFERROR((VLOOKUP($A119,'[1]import success seats course'!$A:X,HLOOKUP('[1]Course Totals'!J$4,'[1]import success seats course'!$1:$2,2,FALSE),FALSE)/(VLOOKUP($A119,'[1]import graded seats course pivo'!$A:AH,HLOOKUP('[1]Course Totals'!J$4,'[1]import graded seats course pivo'!$1:$2,2,FALSE),FALSE))),"")</f>
        <v/>
      </c>
      <c r="K119" s="14" t="str">
        <f>IFERROR((VLOOKUP($A119,'[1]import success seats course'!$A:Y,HLOOKUP('[1]Course Totals'!K$4,'[1]import success seats course'!$1:$2,2,FALSE),FALSE)/(VLOOKUP($A119,'[1]import graded seats course pivo'!$A:AI,HLOOKUP('[1]Course Totals'!K$4,'[1]import graded seats course pivo'!$1:$2,2,FALSE),FALSE))),"")</f>
        <v/>
      </c>
      <c r="L119" s="14" t="str">
        <f>IFERROR((VLOOKUP($A119,'[1]import success seats course'!$A:Z,HLOOKUP('[1]Course Totals'!L$4,'[1]import success seats course'!$1:$2,2,FALSE),FALSE)/(VLOOKUP($A119,'[1]import graded seats course pivo'!$A:AJ,HLOOKUP('[1]Course Totals'!L$4,'[1]import graded seats course pivo'!$1:$2,2,FALSE),FALSE))),"")</f>
        <v/>
      </c>
      <c r="M119" s="14" t="str">
        <f>IFERROR((VLOOKUP($A119,'[1]import success seats course'!$A:AA,HLOOKUP('[1]Course Totals'!M$4,'[1]import success seats course'!$1:$2,2,FALSE),FALSE)/(VLOOKUP($A119,'[1]import graded seats course pivo'!$A:AK,HLOOKUP('[1]Course Totals'!M$4,'[1]import graded seats course pivo'!$1:$2,2,FALSE),FALSE))),"")</f>
        <v/>
      </c>
      <c r="N119" s="14" t="str">
        <f>IFERROR((VLOOKUP($A119,'[1]import success seats course'!$A:AB,HLOOKUP('[1]Course Totals'!N$4,'[1]import success seats course'!$1:$2,2,FALSE),FALSE)/(VLOOKUP($A119,'[1]import graded seats course pivo'!$A:AL,HLOOKUP('[1]Course Totals'!N$4,'[1]import graded seats course pivo'!$1:$2,2,FALSE),FALSE))),"")</f>
        <v/>
      </c>
      <c r="O119" s="14" t="str">
        <f>IFERROR((VLOOKUP($A119,'[1]import success seats course'!$A:AC,HLOOKUP('[1]Course Totals'!O$4,'[1]import success seats course'!$1:$2,2,FALSE),FALSE)/(VLOOKUP($A119,'[1]import graded seats course pivo'!$A:AM,HLOOKUP('[1]Course Totals'!O$4,'[1]import graded seats course pivo'!$1:$2,2,FALSE),FALSE))),"")</f>
        <v/>
      </c>
      <c r="P119" s="14" t="str">
        <f>IFERROR((VLOOKUP($A119,'[1]import success seats course'!$A:AD,HLOOKUP('[1]Course Totals'!P$4,'[1]import success seats course'!$1:$2,2,FALSE),FALSE)/(VLOOKUP($A119,'[1]import graded seats course pivo'!$A:AN,HLOOKUP('[1]Course Totals'!P$4,'[1]import graded seats course pivo'!$1:$2,2,FALSE),FALSE))),"")</f>
        <v/>
      </c>
      <c r="Q119" s="14" t="str">
        <f>IFERROR((VLOOKUP($A119,'[1]import success seats course'!$A:AE,HLOOKUP('[1]Course Totals'!Q$4,'[1]import success seats course'!$1:$2,2,FALSE),FALSE)/(VLOOKUP($A119,'[1]import graded seats course pivo'!$A:AO,HLOOKUP('[1]Course Totals'!Q$4,'[1]import graded seats course pivo'!$1:$2,2,FALSE),FALSE))),"")</f>
        <v/>
      </c>
      <c r="R119" s="14" t="str">
        <f>IFERROR((VLOOKUP($A119,'[1]import success seats course'!$A:AF,HLOOKUP('[1]Course Totals'!R$4,'[1]import success seats course'!$1:$2,2,FALSE),FALSE)/(VLOOKUP($A119,'[1]import graded seats course pivo'!$A:AP,HLOOKUP('[1]Course Totals'!R$4,'[1]import graded seats course pivo'!$1:$2,2,FALSE),FALSE))),"")</f>
        <v/>
      </c>
      <c r="S119" s="14" t="str">
        <f>IFERROR((VLOOKUP($A119,'[1]import success seats course'!$A:AG,HLOOKUP('[1]Course Totals'!S$4,'[1]import success seats course'!$1:$2,2,FALSE),FALSE)/(VLOOKUP($A119,'[1]import graded seats course pivo'!$A:AQ,HLOOKUP('[1]Course Totals'!S$4,'[1]import graded seats course pivo'!$1:$2,2,FALSE),FALSE))),"")</f>
        <v/>
      </c>
      <c r="Z119" s="7"/>
      <c r="AA119" s="7"/>
      <c r="AB119" s="7"/>
      <c r="AC119" s="7"/>
    </row>
    <row r="120" spans="1:29" ht="15.75" customHeight="1" x14ac:dyDescent="0.25">
      <c r="A120" s="12" t="s">
        <v>77</v>
      </c>
      <c r="B120" s="14" t="str">
        <f>IFERROR((VLOOKUP($A120,'[1]import success seats course'!$A:P,HLOOKUP('[1]Course Totals'!B$4,'[1]import success seats course'!$1:$2,2,FALSE),FALSE)/(VLOOKUP($A120,'[1]import graded seats course pivo'!$A:Z,HLOOKUP('[1]Course Totals'!B$4,'[1]import graded seats course pivo'!$1:$2,2,FALSE),FALSE))),"")</f>
        <v/>
      </c>
      <c r="C120" s="14">
        <f>IFERROR((VLOOKUP($A120,'[1]import success seats course'!$A:Q,HLOOKUP('[1]Course Totals'!C$4,'[1]import success seats course'!$1:$2,2,FALSE),FALSE)/(VLOOKUP($A120,'[1]import graded seats course pivo'!$A:AA,HLOOKUP('[1]Course Totals'!C$4,'[1]import graded seats course pivo'!$1:$2,2,FALSE),FALSE))),"")</f>
        <v>1</v>
      </c>
      <c r="D120" s="14">
        <f>IFERROR((VLOOKUP($A120,'[1]import success seats course'!$A:R,HLOOKUP('[1]Course Totals'!D$4,'[1]import success seats course'!$1:$2,2,FALSE),FALSE)/(VLOOKUP($A120,'[1]import graded seats course pivo'!$A:AB,HLOOKUP('[1]Course Totals'!D$4,'[1]import graded seats course pivo'!$1:$2,2,FALSE),FALSE))),"")</f>
        <v>1</v>
      </c>
      <c r="E120" s="14" t="str">
        <f>IFERROR((VLOOKUP($A120,'[1]import success seats course'!$A:S,HLOOKUP('[1]Course Totals'!E$4,'[1]import success seats course'!$1:$2,2,FALSE),FALSE)/(VLOOKUP($A120,'[1]import graded seats course pivo'!$A:AC,HLOOKUP('[1]Course Totals'!E$4,'[1]import graded seats course pivo'!$1:$2,2,FALSE),FALSE))),"")</f>
        <v/>
      </c>
      <c r="F120" s="14">
        <f>IFERROR((VLOOKUP($A120,'[1]import success seats course'!$A:T,HLOOKUP('[1]Course Totals'!F$4,'[1]import success seats course'!$1:$2,2,FALSE),FALSE)/(VLOOKUP($A120,'[1]import graded seats course pivo'!$A:AD,HLOOKUP('[1]Course Totals'!F$4,'[1]import graded seats course pivo'!$1:$2,2,FALSE),FALSE))),"")</f>
        <v>1</v>
      </c>
      <c r="G120" s="14">
        <f>IFERROR((VLOOKUP($A120,'[1]import success seats course'!$A:U,HLOOKUP('[1]Course Totals'!G$4,'[1]import success seats course'!$1:$2,2,FALSE),FALSE)/(VLOOKUP($A120,'[1]import graded seats course pivo'!$A:AE,HLOOKUP('[1]Course Totals'!G$4,'[1]import graded seats course pivo'!$1:$2,2,FALSE),FALSE))),"")</f>
        <v>1</v>
      </c>
      <c r="H120" s="14" t="str">
        <f>IFERROR((VLOOKUP($A120,'[1]import success seats course'!$A:V,HLOOKUP('[1]Course Totals'!H$4,'[1]import success seats course'!$1:$2,2,FALSE),FALSE)/(VLOOKUP($A120,'[1]import graded seats course pivo'!$A:AF,HLOOKUP('[1]Course Totals'!H$4,'[1]import graded seats course pivo'!$1:$2,2,FALSE),FALSE))),"")</f>
        <v/>
      </c>
      <c r="I120" s="14">
        <f>IFERROR((VLOOKUP($A120,'[1]import success seats course'!$A:W,HLOOKUP('[1]Course Totals'!I$4,'[1]import success seats course'!$1:$2,2,FALSE),FALSE)/(VLOOKUP($A120,'[1]import graded seats course pivo'!$A:AG,HLOOKUP('[1]Course Totals'!I$4,'[1]import graded seats course pivo'!$1:$2,2,FALSE),FALSE))),"")</f>
        <v>1</v>
      </c>
      <c r="J120" s="14" t="str">
        <f>IFERROR((VLOOKUP($A120,'[1]import success seats course'!$A:X,HLOOKUP('[1]Course Totals'!J$4,'[1]import success seats course'!$1:$2,2,FALSE),FALSE)/(VLOOKUP($A120,'[1]import graded seats course pivo'!$A:AH,HLOOKUP('[1]Course Totals'!J$4,'[1]import graded seats course pivo'!$1:$2,2,FALSE),FALSE))),"")</f>
        <v/>
      </c>
      <c r="K120" s="14" t="str">
        <f>IFERROR((VLOOKUP($A120,'[1]import success seats course'!$A:Y,HLOOKUP('[1]Course Totals'!K$4,'[1]import success seats course'!$1:$2,2,FALSE),FALSE)/(VLOOKUP($A120,'[1]import graded seats course pivo'!$A:AI,HLOOKUP('[1]Course Totals'!K$4,'[1]import graded seats course pivo'!$1:$2,2,FALSE),FALSE))),"")</f>
        <v/>
      </c>
      <c r="L120" s="14">
        <f>IFERROR((VLOOKUP($A120,'[1]import success seats course'!$A:Z,HLOOKUP('[1]Course Totals'!L$4,'[1]import success seats course'!$1:$2,2,FALSE),FALSE)/(VLOOKUP($A120,'[1]import graded seats course pivo'!$A:AJ,HLOOKUP('[1]Course Totals'!L$4,'[1]import graded seats course pivo'!$1:$2,2,FALSE),FALSE))),"")</f>
        <v>0</v>
      </c>
      <c r="M120" s="14">
        <f>IFERROR((VLOOKUP($A120,'[1]import success seats course'!$A:AA,HLOOKUP('[1]Course Totals'!M$4,'[1]import success seats course'!$1:$2,2,FALSE),FALSE)/(VLOOKUP($A120,'[1]import graded seats course pivo'!$A:AK,HLOOKUP('[1]Course Totals'!M$4,'[1]import graded seats course pivo'!$1:$2,2,FALSE),FALSE))),"")</f>
        <v>0.66666666666666663</v>
      </c>
      <c r="N120" s="14" t="str">
        <f>IFERROR((VLOOKUP($A120,'[1]import success seats course'!$A:AB,HLOOKUP('[1]Course Totals'!N$4,'[1]import success seats course'!$1:$2,2,FALSE),FALSE)/(VLOOKUP($A120,'[1]import graded seats course pivo'!$A:AL,HLOOKUP('[1]Course Totals'!N$4,'[1]import graded seats course pivo'!$1:$2,2,FALSE),FALSE))),"")</f>
        <v/>
      </c>
      <c r="O120" s="14" t="str">
        <f>IFERROR((VLOOKUP($A120,'[1]import success seats course'!$A:AC,HLOOKUP('[1]Course Totals'!O$4,'[1]import success seats course'!$1:$2,2,FALSE),FALSE)/(VLOOKUP($A120,'[1]import graded seats course pivo'!$A:AM,HLOOKUP('[1]Course Totals'!O$4,'[1]import graded seats course pivo'!$1:$2,2,FALSE),FALSE))),"")</f>
        <v/>
      </c>
      <c r="P120" s="14">
        <f>IFERROR((VLOOKUP($A120,'[1]import success seats course'!$A:AD,HLOOKUP('[1]Course Totals'!P$4,'[1]import success seats course'!$1:$2,2,FALSE),FALSE)/(VLOOKUP($A120,'[1]import graded seats course pivo'!$A:AN,HLOOKUP('[1]Course Totals'!P$4,'[1]import graded seats course pivo'!$1:$2,2,FALSE),FALSE))),"")</f>
        <v>1</v>
      </c>
      <c r="Q120" s="14" t="str">
        <f>IFERROR((VLOOKUP($A120,'[1]import success seats course'!$A:AE,HLOOKUP('[1]Course Totals'!Q$4,'[1]import success seats course'!$1:$2,2,FALSE),FALSE)/(VLOOKUP($A120,'[1]import graded seats course pivo'!$A:AO,HLOOKUP('[1]Course Totals'!Q$4,'[1]import graded seats course pivo'!$1:$2,2,FALSE),FALSE))),"")</f>
        <v/>
      </c>
      <c r="R120" s="14">
        <f>IFERROR((VLOOKUP($A120,'[1]import success seats course'!$A:AF,HLOOKUP('[1]Course Totals'!R$4,'[1]import success seats course'!$1:$2,2,FALSE),FALSE)/(VLOOKUP($A120,'[1]import graded seats course pivo'!$A:AP,HLOOKUP('[1]Course Totals'!R$4,'[1]import graded seats course pivo'!$1:$2,2,FALSE),FALSE))),"")</f>
        <v>1</v>
      </c>
      <c r="S120" s="14">
        <f>IFERROR((VLOOKUP($A120,'[1]import success seats course'!$A:AG,HLOOKUP('[1]Course Totals'!S$4,'[1]import success seats course'!$1:$2,2,FALSE),FALSE)/(VLOOKUP($A120,'[1]import graded seats course pivo'!$A:AQ,HLOOKUP('[1]Course Totals'!S$4,'[1]import graded seats course pivo'!$1:$2,2,FALSE),FALSE))),"")</f>
        <v>1</v>
      </c>
      <c r="Z120" s="7"/>
      <c r="AA120" s="7"/>
      <c r="AB120" s="7"/>
      <c r="AC120" s="7"/>
    </row>
    <row r="121" spans="1:29" ht="15.75" customHeight="1" x14ac:dyDescent="0.25">
      <c r="A121" s="12" t="s">
        <v>78</v>
      </c>
      <c r="B121" s="14" t="str">
        <f>IFERROR((VLOOKUP($A121,'[1]import success seats course'!$A:P,HLOOKUP('[1]Course Totals'!B$4,'[1]import success seats course'!$1:$2,2,FALSE),FALSE)/(VLOOKUP($A121,'[1]import graded seats course pivo'!$A:Z,HLOOKUP('[1]Course Totals'!B$4,'[1]import graded seats course pivo'!$1:$2,2,FALSE),FALSE))),"")</f>
        <v/>
      </c>
      <c r="C121" s="14" t="str">
        <f>IFERROR((VLOOKUP($A121,'[1]import success seats course'!$A:Q,HLOOKUP('[1]Course Totals'!C$4,'[1]import success seats course'!$1:$2,2,FALSE),FALSE)/(VLOOKUP($A121,'[1]import graded seats course pivo'!$A:AA,HLOOKUP('[1]Course Totals'!C$4,'[1]import graded seats course pivo'!$1:$2,2,FALSE),FALSE))),"")</f>
        <v/>
      </c>
      <c r="D121" s="14" t="str">
        <f>IFERROR((VLOOKUP($A121,'[1]import success seats course'!$A:R,HLOOKUP('[1]Course Totals'!D$4,'[1]import success seats course'!$1:$2,2,FALSE),FALSE)/(VLOOKUP($A121,'[1]import graded seats course pivo'!$A:AB,HLOOKUP('[1]Course Totals'!D$4,'[1]import graded seats course pivo'!$1:$2,2,FALSE),FALSE))),"")</f>
        <v/>
      </c>
      <c r="E121" s="14">
        <f>IFERROR((VLOOKUP($A121,'[1]import success seats course'!$A:S,HLOOKUP('[1]Course Totals'!E$4,'[1]import success seats course'!$1:$2,2,FALSE),FALSE)/(VLOOKUP($A121,'[1]import graded seats course pivo'!$A:AC,HLOOKUP('[1]Course Totals'!E$4,'[1]import graded seats course pivo'!$1:$2,2,FALSE),FALSE))),"")</f>
        <v>1</v>
      </c>
      <c r="F121" s="14" t="str">
        <f>IFERROR((VLOOKUP($A121,'[1]import success seats course'!$A:T,HLOOKUP('[1]Course Totals'!F$4,'[1]import success seats course'!$1:$2,2,FALSE),FALSE)/(VLOOKUP($A121,'[1]import graded seats course pivo'!$A:AD,HLOOKUP('[1]Course Totals'!F$4,'[1]import graded seats course pivo'!$1:$2,2,FALSE),FALSE))),"")</f>
        <v/>
      </c>
      <c r="G121" s="14" t="str">
        <f>IFERROR((VLOOKUP($A121,'[1]import success seats course'!$A:U,HLOOKUP('[1]Course Totals'!G$4,'[1]import success seats course'!$1:$2,2,FALSE),FALSE)/(VLOOKUP($A121,'[1]import graded seats course pivo'!$A:AE,HLOOKUP('[1]Course Totals'!G$4,'[1]import graded seats course pivo'!$1:$2,2,FALSE),FALSE))),"")</f>
        <v/>
      </c>
      <c r="H121" s="14" t="str">
        <f>IFERROR((VLOOKUP($A121,'[1]import success seats course'!$A:V,HLOOKUP('[1]Course Totals'!H$4,'[1]import success seats course'!$1:$2,2,FALSE),FALSE)/(VLOOKUP($A121,'[1]import graded seats course pivo'!$A:AF,HLOOKUP('[1]Course Totals'!H$4,'[1]import graded seats course pivo'!$1:$2,2,FALSE),FALSE))),"")</f>
        <v/>
      </c>
      <c r="I121" s="14" t="str">
        <f>IFERROR((VLOOKUP($A121,'[1]import success seats course'!$A:W,HLOOKUP('[1]Course Totals'!I$4,'[1]import success seats course'!$1:$2,2,FALSE),FALSE)/(VLOOKUP($A121,'[1]import graded seats course pivo'!$A:AG,HLOOKUP('[1]Course Totals'!I$4,'[1]import graded seats course pivo'!$1:$2,2,FALSE),FALSE))),"")</f>
        <v/>
      </c>
      <c r="J121" s="14" t="str">
        <f>IFERROR((VLOOKUP($A121,'[1]import success seats course'!$A:X,HLOOKUP('[1]Course Totals'!J$4,'[1]import success seats course'!$1:$2,2,FALSE),FALSE)/(VLOOKUP($A121,'[1]import graded seats course pivo'!$A:AH,HLOOKUP('[1]Course Totals'!J$4,'[1]import graded seats course pivo'!$1:$2,2,FALSE),FALSE))),"")</f>
        <v/>
      </c>
      <c r="K121" s="14" t="str">
        <f>IFERROR((VLOOKUP($A121,'[1]import success seats course'!$A:Y,HLOOKUP('[1]Course Totals'!K$4,'[1]import success seats course'!$1:$2,2,FALSE),FALSE)/(VLOOKUP($A121,'[1]import graded seats course pivo'!$A:AI,HLOOKUP('[1]Course Totals'!K$4,'[1]import graded seats course pivo'!$1:$2,2,FALSE),FALSE))),"")</f>
        <v/>
      </c>
      <c r="L121" s="14" t="str">
        <f>IFERROR((VLOOKUP($A121,'[1]import success seats course'!$A:Z,HLOOKUP('[1]Course Totals'!L$4,'[1]import success seats course'!$1:$2,2,FALSE),FALSE)/(VLOOKUP($A121,'[1]import graded seats course pivo'!$A:AJ,HLOOKUP('[1]Course Totals'!L$4,'[1]import graded seats course pivo'!$1:$2,2,FALSE),FALSE))),"")</f>
        <v/>
      </c>
      <c r="M121" s="14" t="str">
        <f>IFERROR((VLOOKUP($A121,'[1]import success seats course'!$A:AA,HLOOKUP('[1]Course Totals'!M$4,'[1]import success seats course'!$1:$2,2,FALSE),FALSE)/(VLOOKUP($A121,'[1]import graded seats course pivo'!$A:AK,HLOOKUP('[1]Course Totals'!M$4,'[1]import graded seats course pivo'!$1:$2,2,FALSE),FALSE))),"")</f>
        <v/>
      </c>
      <c r="N121" s="14" t="str">
        <f>IFERROR((VLOOKUP($A121,'[1]import success seats course'!$A:AB,HLOOKUP('[1]Course Totals'!N$4,'[1]import success seats course'!$1:$2,2,FALSE),FALSE)/(VLOOKUP($A121,'[1]import graded seats course pivo'!$A:AL,HLOOKUP('[1]Course Totals'!N$4,'[1]import graded seats course pivo'!$1:$2,2,FALSE),FALSE))),"")</f>
        <v/>
      </c>
      <c r="O121" s="14" t="str">
        <f>IFERROR((VLOOKUP($A121,'[1]import success seats course'!$A:AC,HLOOKUP('[1]Course Totals'!O$4,'[1]import success seats course'!$1:$2,2,FALSE),FALSE)/(VLOOKUP($A121,'[1]import graded seats course pivo'!$A:AM,HLOOKUP('[1]Course Totals'!O$4,'[1]import graded seats course pivo'!$1:$2,2,FALSE),FALSE))),"")</f>
        <v/>
      </c>
      <c r="P121" s="14" t="str">
        <f>IFERROR((VLOOKUP($A121,'[1]import success seats course'!$A:AD,HLOOKUP('[1]Course Totals'!P$4,'[1]import success seats course'!$1:$2,2,FALSE),FALSE)/(VLOOKUP($A121,'[1]import graded seats course pivo'!$A:AN,HLOOKUP('[1]Course Totals'!P$4,'[1]import graded seats course pivo'!$1:$2,2,FALSE),FALSE))),"")</f>
        <v/>
      </c>
      <c r="Q121" s="14" t="str">
        <f>IFERROR((VLOOKUP($A121,'[1]import success seats course'!$A:AE,HLOOKUP('[1]Course Totals'!Q$4,'[1]import success seats course'!$1:$2,2,FALSE),FALSE)/(VLOOKUP($A121,'[1]import graded seats course pivo'!$A:AO,HLOOKUP('[1]Course Totals'!Q$4,'[1]import graded seats course pivo'!$1:$2,2,FALSE),FALSE))),"")</f>
        <v/>
      </c>
      <c r="R121" s="14" t="str">
        <f>IFERROR((VLOOKUP($A121,'[1]import success seats course'!$A:AF,HLOOKUP('[1]Course Totals'!R$4,'[1]import success seats course'!$1:$2,2,FALSE),FALSE)/(VLOOKUP($A121,'[1]import graded seats course pivo'!$A:AP,HLOOKUP('[1]Course Totals'!R$4,'[1]import graded seats course pivo'!$1:$2,2,FALSE),FALSE))),"")</f>
        <v/>
      </c>
      <c r="S121" s="14" t="str">
        <f>IFERROR((VLOOKUP($A121,'[1]import success seats course'!$A:AG,HLOOKUP('[1]Course Totals'!S$4,'[1]import success seats course'!$1:$2,2,FALSE),FALSE)/(VLOOKUP($A121,'[1]import graded seats course pivo'!$A:AQ,HLOOKUP('[1]Course Totals'!S$4,'[1]import graded seats course pivo'!$1:$2,2,FALSE),FALSE))),"")</f>
        <v/>
      </c>
      <c r="Z121" s="7"/>
      <c r="AA121" s="7"/>
      <c r="AB121" s="7"/>
      <c r="AC121" s="7"/>
    </row>
    <row r="122" spans="1:29" ht="15.75" customHeight="1" x14ac:dyDescent="0.25">
      <c r="A122" s="12" t="s">
        <v>79</v>
      </c>
      <c r="B122" s="14" t="str">
        <f>IFERROR((VLOOKUP($A122,'[1]import success seats course'!$A:P,HLOOKUP('[1]Course Totals'!B$4,'[1]import success seats course'!$1:$2,2,FALSE),FALSE)/(VLOOKUP($A122,'[1]import graded seats course pivo'!$A:Z,HLOOKUP('[1]Course Totals'!B$4,'[1]import graded seats course pivo'!$1:$2,2,FALSE),FALSE))),"")</f>
        <v/>
      </c>
      <c r="C122" s="14">
        <f>IFERROR((VLOOKUP($A122,'[1]import success seats course'!$A:Q,HLOOKUP('[1]Course Totals'!C$4,'[1]import success seats course'!$1:$2,2,FALSE),FALSE)/(VLOOKUP($A122,'[1]import graded seats course pivo'!$A:AA,HLOOKUP('[1]Course Totals'!C$4,'[1]import graded seats course pivo'!$1:$2,2,FALSE),FALSE))),"")</f>
        <v>1</v>
      </c>
      <c r="D122" s="14" t="str">
        <f>IFERROR((VLOOKUP($A122,'[1]import success seats course'!$A:R,HLOOKUP('[1]Course Totals'!D$4,'[1]import success seats course'!$1:$2,2,FALSE),FALSE)/(VLOOKUP($A122,'[1]import graded seats course pivo'!$A:AB,HLOOKUP('[1]Course Totals'!D$4,'[1]import graded seats course pivo'!$1:$2,2,FALSE),FALSE))),"")</f>
        <v/>
      </c>
      <c r="E122" s="14" t="str">
        <f>IFERROR((VLOOKUP($A122,'[1]import success seats course'!$A:S,HLOOKUP('[1]Course Totals'!E$4,'[1]import success seats course'!$1:$2,2,FALSE),FALSE)/(VLOOKUP($A122,'[1]import graded seats course pivo'!$A:AC,HLOOKUP('[1]Course Totals'!E$4,'[1]import graded seats course pivo'!$1:$2,2,FALSE),FALSE))),"")</f>
        <v/>
      </c>
      <c r="F122" s="14" t="str">
        <f>IFERROR((VLOOKUP($A122,'[1]import success seats course'!$A:T,HLOOKUP('[1]Course Totals'!F$4,'[1]import success seats course'!$1:$2,2,FALSE),FALSE)/(VLOOKUP($A122,'[1]import graded seats course pivo'!$A:AD,HLOOKUP('[1]Course Totals'!F$4,'[1]import graded seats course pivo'!$1:$2,2,FALSE),FALSE))),"")</f>
        <v/>
      </c>
      <c r="G122" s="14">
        <f>IFERROR((VLOOKUP($A122,'[1]import success seats course'!$A:U,HLOOKUP('[1]Course Totals'!G$4,'[1]import success seats course'!$1:$2,2,FALSE),FALSE)/(VLOOKUP($A122,'[1]import graded seats course pivo'!$A:AE,HLOOKUP('[1]Course Totals'!G$4,'[1]import graded seats course pivo'!$1:$2,2,FALSE),FALSE))),"")</f>
        <v>1</v>
      </c>
      <c r="H122" s="14" t="str">
        <f>IFERROR((VLOOKUP($A122,'[1]import success seats course'!$A:V,HLOOKUP('[1]Course Totals'!H$4,'[1]import success seats course'!$1:$2,2,FALSE),FALSE)/(VLOOKUP($A122,'[1]import graded seats course pivo'!$A:AF,HLOOKUP('[1]Course Totals'!H$4,'[1]import graded seats course pivo'!$1:$2,2,FALSE),FALSE))),"")</f>
        <v/>
      </c>
      <c r="I122" s="14">
        <f>IFERROR((VLOOKUP($A122,'[1]import success seats course'!$A:W,HLOOKUP('[1]Course Totals'!I$4,'[1]import success seats course'!$1:$2,2,FALSE),FALSE)/(VLOOKUP($A122,'[1]import graded seats course pivo'!$A:AG,HLOOKUP('[1]Course Totals'!I$4,'[1]import graded seats course pivo'!$1:$2,2,FALSE),FALSE))),"")</f>
        <v>1</v>
      </c>
      <c r="J122" s="14" t="str">
        <f>IFERROR((VLOOKUP($A122,'[1]import success seats course'!$A:X,HLOOKUP('[1]Course Totals'!J$4,'[1]import success seats course'!$1:$2,2,FALSE),FALSE)/(VLOOKUP($A122,'[1]import graded seats course pivo'!$A:AH,HLOOKUP('[1]Course Totals'!J$4,'[1]import graded seats course pivo'!$1:$2,2,FALSE),FALSE))),"")</f>
        <v/>
      </c>
      <c r="K122" s="14" t="str">
        <f>IFERROR((VLOOKUP($A122,'[1]import success seats course'!$A:Y,HLOOKUP('[1]Course Totals'!K$4,'[1]import success seats course'!$1:$2,2,FALSE),FALSE)/(VLOOKUP($A122,'[1]import graded seats course pivo'!$A:AI,HLOOKUP('[1]Course Totals'!K$4,'[1]import graded seats course pivo'!$1:$2,2,FALSE),FALSE))),"")</f>
        <v/>
      </c>
      <c r="L122" s="14">
        <f>IFERROR((VLOOKUP($A122,'[1]import success seats course'!$A:Z,HLOOKUP('[1]Course Totals'!L$4,'[1]import success seats course'!$1:$2,2,FALSE),FALSE)/(VLOOKUP($A122,'[1]import graded seats course pivo'!$A:AJ,HLOOKUP('[1]Course Totals'!L$4,'[1]import graded seats course pivo'!$1:$2,2,FALSE),FALSE))),"")</f>
        <v>1</v>
      </c>
      <c r="M122" s="14">
        <f>IFERROR((VLOOKUP($A122,'[1]import success seats course'!$A:AA,HLOOKUP('[1]Course Totals'!M$4,'[1]import success seats course'!$1:$2,2,FALSE),FALSE)/(VLOOKUP($A122,'[1]import graded seats course pivo'!$A:AK,HLOOKUP('[1]Course Totals'!M$4,'[1]import graded seats course pivo'!$1:$2,2,FALSE),FALSE))),"")</f>
        <v>1</v>
      </c>
      <c r="N122" s="14" t="str">
        <f>IFERROR((VLOOKUP($A122,'[1]import success seats course'!$A:AB,HLOOKUP('[1]Course Totals'!N$4,'[1]import success seats course'!$1:$2,2,FALSE),FALSE)/(VLOOKUP($A122,'[1]import graded seats course pivo'!$A:AL,HLOOKUP('[1]Course Totals'!N$4,'[1]import graded seats course pivo'!$1:$2,2,FALSE),FALSE))),"")</f>
        <v/>
      </c>
      <c r="O122" s="14" t="str">
        <f>IFERROR((VLOOKUP($A122,'[1]import success seats course'!$A:AC,HLOOKUP('[1]Course Totals'!O$4,'[1]import success seats course'!$1:$2,2,FALSE),FALSE)/(VLOOKUP($A122,'[1]import graded seats course pivo'!$A:AM,HLOOKUP('[1]Course Totals'!O$4,'[1]import graded seats course pivo'!$1:$2,2,FALSE),FALSE))),"")</f>
        <v/>
      </c>
      <c r="P122" s="14" t="str">
        <f>IFERROR((VLOOKUP($A122,'[1]import success seats course'!$A:AD,HLOOKUP('[1]Course Totals'!P$4,'[1]import success seats course'!$1:$2,2,FALSE),FALSE)/(VLOOKUP($A122,'[1]import graded seats course pivo'!$A:AN,HLOOKUP('[1]Course Totals'!P$4,'[1]import graded seats course pivo'!$1:$2,2,FALSE),FALSE))),"")</f>
        <v/>
      </c>
      <c r="Q122" s="14" t="str">
        <f>IFERROR((VLOOKUP($A122,'[1]import success seats course'!$A:AE,HLOOKUP('[1]Course Totals'!Q$4,'[1]import success seats course'!$1:$2,2,FALSE),FALSE)/(VLOOKUP($A122,'[1]import graded seats course pivo'!$A:AO,HLOOKUP('[1]Course Totals'!Q$4,'[1]import graded seats course pivo'!$1:$2,2,FALSE),FALSE))),"")</f>
        <v/>
      </c>
      <c r="R122" s="14" t="str">
        <f>IFERROR((VLOOKUP($A122,'[1]import success seats course'!$A:AF,HLOOKUP('[1]Course Totals'!R$4,'[1]import success seats course'!$1:$2,2,FALSE),FALSE)/(VLOOKUP($A122,'[1]import graded seats course pivo'!$A:AP,HLOOKUP('[1]Course Totals'!R$4,'[1]import graded seats course pivo'!$1:$2,2,FALSE),FALSE))),"")</f>
        <v/>
      </c>
      <c r="S122" s="14" t="str">
        <f>IFERROR((VLOOKUP($A122,'[1]import success seats course'!$A:AG,HLOOKUP('[1]Course Totals'!S$4,'[1]import success seats course'!$1:$2,2,FALSE),FALSE)/(VLOOKUP($A122,'[1]import graded seats course pivo'!$A:AQ,HLOOKUP('[1]Course Totals'!S$4,'[1]import graded seats course pivo'!$1:$2,2,FALSE),FALSE))),"")</f>
        <v/>
      </c>
      <c r="Z122" s="7"/>
      <c r="AA122" s="7"/>
      <c r="AB122" s="7"/>
      <c r="AC122" s="7"/>
    </row>
    <row r="123" spans="1:29" ht="15.75" customHeight="1" x14ac:dyDescent="0.25">
      <c r="A123" s="12" t="s">
        <v>80</v>
      </c>
      <c r="B123" s="14">
        <f>IFERROR((VLOOKUP($A123,'[1]import success seats course'!$A:P,HLOOKUP('[1]Course Totals'!B$4,'[1]import success seats course'!$1:$2,2,FALSE),FALSE)/(VLOOKUP($A123,'[1]import graded seats course pivo'!$A:Z,HLOOKUP('[1]Course Totals'!B$4,'[1]import graded seats course pivo'!$1:$2,2,FALSE),FALSE))),"")</f>
        <v>1</v>
      </c>
      <c r="C123" s="14">
        <f>IFERROR((VLOOKUP($A123,'[1]import success seats course'!$A:Q,HLOOKUP('[1]Course Totals'!C$4,'[1]import success seats course'!$1:$2,2,FALSE),FALSE)/(VLOOKUP($A123,'[1]import graded seats course pivo'!$A:AA,HLOOKUP('[1]Course Totals'!C$4,'[1]import graded seats course pivo'!$1:$2,2,FALSE),FALSE))),"")</f>
        <v>1</v>
      </c>
      <c r="D123" s="14">
        <f>IFERROR((VLOOKUP($A123,'[1]import success seats course'!$A:R,HLOOKUP('[1]Course Totals'!D$4,'[1]import success seats course'!$1:$2,2,FALSE),FALSE)/(VLOOKUP($A123,'[1]import graded seats course pivo'!$A:AB,HLOOKUP('[1]Course Totals'!D$4,'[1]import graded seats course pivo'!$1:$2,2,FALSE),FALSE))),"")</f>
        <v>1</v>
      </c>
      <c r="E123" s="14">
        <f>IFERROR((VLOOKUP($A123,'[1]import success seats course'!$A:S,HLOOKUP('[1]Course Totals'!E$4,'[1]import success seats course'!$1:$2,2,FALSE),FALSE)/(VLOOKUP($A123,'[1]import graded seats course pivo'!$A:AC,HLOOKUP('[1]Course Totals'!E$4,'[1]import graded seats course pivo'!$1:$2,2,FALSE),FALSE))),"")</f>
        <v>1</v>
      </c>
      <c r="F123" s="14">
        <f>IFERROR((VLOOKUP($A123,'[1]import success seats course'!$A:T,HLOOKUP('[1]Course Totals'!F$4,'[1]import success seats course'!$1:$2,2,FALSE),FALSE)/(VLOOKUP($A123,'[1]import graded seats course pivo'!$A:AD,HLOOKUP('[1]Course Totals'!F$4,'[1]import graded seats course pivo'!$1:$2,2,FALSE),FALSE))),"")</f>
        <v>1</v>
      </c>
      <c r="G123" s="14">
        <f>IFERROR((VLOOKUP($A123,'[1]import success seats course'!$A:U,HLOOKUP('[1]Course Totals'!G$4,'[1]import success seats course'!$1:$2,2,FALSE),FALSE)/(VLOOKUP($A123,'[1]import graded seats course pivo'!$A:AE,HLOOKUP('[1]Course Totals'!G$4,'[1]import graded seats course pivo'!$1:$2,2,FALSE),FALSE))),"")</f>
        <v>1</v>
      </c>
      <c r="H123" s="14" t="str">
        <f>IFERROR((VLOOKUP($A123,'[1]import success seats course'!$A:V,HLOOKUP('[1]Course Totals'!H$4,'[1]import success seats course'!$1:$2,2,FALSE),FALSE)/(VLOOKUP($A123,'[1]import graded seats course pivo'!$A:AF,HLOOKUP('[1]Course Totals'!H$4,'[1]import graded seats course pivo'!$1:$2,2,FALSE),FALSE))),"")</f>
        <v/>
      </c>
      <c r="I123" s="14" t="str">
        <f>IFERROR((VLOOKUP($A123,'[1]import success seats course'!$A:W,HLOOKUP('[1]Course Totals'!I$4,'[1]import success seats course'!$1:$2,2,FALSE),FALSE)/(VLOOKUP($A123,'[1]import graded seats course pivo'!$A:AG,HLOOKUP('[1]Course Totals'!I$4,'[1]import graded seats course pivo'!$1:$2,2,FALSE),FALSE))),"")</f>
        <v/>
      </c>
      <c r="J123" s="14">
        <f>IFERROR((VLOOKUP($A123,'[1]import success seats course'!$A:X,HLOOKUP('[1]Course Totals'!J$4,'[1]import success seats course'!$1:$2,2,FALSE),FALSE)/(VLOOKUP($A123,'[1]import graded seats course pivo'!$A:AH,HLOOKUP('[1]Course Totals'!J$4,'[1]import graded seats course pivo'!$1:$2,2,FALSE),FALSE))),"")</f>
        <v>1</v>
      </c>
      <c r="K123" s="14" t="str">
        <f>IFERROR((VLOOKUP($A123,'[1]import success seats course'!$A:Y,HLOOKUP('[1]Course Totals'!K$4,'[1]import success seats course'!$1:$2,2,FALSE),FALSE)/(VLOOKUP($A123,'[1]import graded seats course pivo'!$A:AI,HLOOKUP('[1]Course Totals'!K$4,'[1]import graded seats course pivo'!$1:$2,2,FALSE),FALSE))),"")</f>
        <v/>
      </c>
      <c r="L123" s="14">
        <f>IFERROR((VLOOKUP($A123,'[1]import success seats course'!$A:Z,HLOOKUP('[1]Course Totals'!L$4,'[1]import success seats course'!$1:$2,2,FALSE),FALSE)/(VLOOKUP($A123,'[1]import graded seats course pivo'!$A:AJ,HLOOKUP('[1]Course Totals'!L$4,'[1]import graded seats course pivo'!$1:$2,2,FALSE),FALSE))),"")</f>
        <v>1</v>
      </c>
      <c r="M123" s="14" t="str">
        <f>IFERROR((VLOOKUP($A123,'[1]import success seats course'!$A:AA,HLOOKUP('[1]Course Totals'!M$4,'[1]import success seats course'!$1:$2,2,FALSE),FALSE)/(VLOOKUP($A123,'[1]import graded seats course pivo'!$A:AK,HLOOKUP('[1]Course Totals'!M$4,'[1]import graded seats course pivo'!$1:$2,2,FALSE),FALSE))),"")</f>
        <v/>
      </c>
      <c r="N123" s="14" t="str">
        <f>IFERROR((VLOOKUP($A123,'[1]import success seats course'!$A:AB,HLOOKUP('[1]Course Totals'!N$4,'[1]import success seats course'!$1:$2,2,FALSE),FALSE)/(VLOOKUP($A123,'[1]import graded seats course pivo'!$A:AL,HLOOKUP('[1]Course Totals'!N$4,'[1]import graded seats course pivo'!$1:$2,2,FALSE),FALSE))),"")</f>
        <v/>
      </c>
      <c r="O123" s="14" t="str">
        <f>IFERROR((VLOOKUP($A123,'[1]import success seats course'!$A:AC,HLOOKUP('[1]Course Totals'!O$4,'[1]import success seats course'!$1:$2,2,FALSE),FALSE)/(VLOOKUP($A123,'[1]import graded seats course pivo'!$A:AM,HLOOKUP('[1]Course Totals'!O$4,'[1]import graded seats course pivo'!$1:$2,2,FALSE),FALSE))),"")</f>
        <v/>
      </c>
      <c r="P123" s="14" t="str">
        <f>IFERROR((VLOOKUP($A123,'[1]import success seats course'!$A:AD,HLOOKUP('[1]Course Totals'!P$4,'[1]import success seats course'!$1:$2,2,FALSE),FALSE)/(VLOOKUP($A123,'[1]import graded seats course pivo'!$A:AN,HLOOKUP('[1]Course Totals'!P$4,'[1]import graded seats course pivo'!$1:$2,2,FALSE),FALSE))),"")</f>
        <v/>
      </c>
      <c r="Q123" s="14" t="str">
        <f>IFERROR((VLOOKUP($A123,'[1]import success seats course'!$A:AE,HLOOKUP('[1]Course Totals'!Q$4,'[1]import success seats course'!$1:$2,2,FALSE),FALSE)/(VLOOKUP($A123,'[1]import graded seats course pivo'!$A:AO,HLOOKUP('[1]Course Totals'!Q$4,'[1]import graded seats course pivo'!$1:$2,2,FALSE),FALSE))),"")</f>
        <v/>
      </c>
      <c r="R123" s="14" t="str">
        <f>IFERROR((VLOOKUP($A123,'[1]import success seats course'!$A:AF,HLOOKUP('[1]Course Totals'!R$4,'[1]import success seats course'!$1:$2,2,FALSE),FALSE)/(VLOOKUP($A123,'[1]import graded seats course pivo'!$A:AP,HLOOKUP('[1]Course Totals'!R$4,'[1]import graded seats course pivo'!$1:$2,2,FALSE),FALSE))),"")</f>
        <v/>
      </c>
      <c r="S123" s="14" t="str">
        <f>IFERROR((VLOOKUP($A123,'[1]import success seats course'!$A:AG,HLOOKUP('[1]Course Totals'!S$4,'[1]import success seats course'!$1:$2,2,FALSE),FALSE)/(VLOOKUP($A123,'[1]import graded seats course pivo'!$A:AQ,HLOOKUP('[1]Course Totals'!S$4,'[1]import graded seats course pivo'!$1:$2,2,FALSE),FALSE))),"")</f>
        <v/>
      </c>
      <c r="Z123" s="7"/>
      <c r="AA123" s="7"/>
      <c r="AB123" s="7"/>
      <c r="AC123" s="7"/>
    </row>
    <row r="124" spans="1:29" ht="15.75" customHeight="1" x14ac:dyDescent="0.25">
      <c r="A124" s="12" t="s">
        <v>81</v>
      </c>
      <c r="B124" s="14" t="str">
        <f>IFERROR((VLOOKUP($A124,'[1]import success seats course'!$A:P,HLOOKUP('[1]Course Totals'!B$4,'[1]import success seats course'!$1:$2,2,FALSE),FALSE)/(VLOOKUP($A124,'[1]import graded seats course pivo'!$A:Z,HLOOKUP('[1]Course Totals'!B$4,'[1]import graded seats course pivo'!$1:$2,2,FALSE),FALSE))),"")</f>
        <v/>
      </c>
      <c r="C124" s="14" t="str">
        <f>IFERROR((VLOOKUP($A124,'[1]import success seats course'!$A:Q,HLOOKUP('[1]Course Totals'!C$4,'[1]import success seats course'!$1:$2,2,FALSE),FALSE)/(VLOOKUP($A124,'[1]import graded seats course pivo'!$A:AA,HLOOKUP('[1]Course Totals'!C$4,'[1]import graded seats course pivo'!$1:$2,2,FALSE),FALSE))),"")</f>
        <v/>
      </c>
      <c r="D124" s="14" t="str">
        <f>IFERROR((VLOOKUP($A124,'[1]import success seats course'!$A:R,HLOOKUP('[1]Course Totals'!D$4,'[1]import success seats course'!$1:$2,2,FALSE),FALSE)/(VLOOKUP($A124,'[1]import graded seats course pivo'!$A:AB,HLOOKUP('[1]Course Totals'!D$4,'[1]import graded seats course pivo'!$1:$2,2,FALSE),FALSE))),"")</f>
        <v/>
      </c>
      <c r="E124" s="14" t="str">
        <f>IFERROR((VLOOKUP($A124,'[1]import success seats course'!$A:S,HLOOKUP('[1]Course Totals'!E$4,'[1]import success seats course'!$1:$2,2,FALSE),FALSE)/(VLOOKUP($A124,'[1]import graded seats course pivo'!$A:AC,HLOOKUP('[1]Course Totals'!E$4,'[1]import graded seats course pivo'!$1:$2,2,FALSE),FALSE))),"")</f>
        <v/>
      </c>
      <c r="F124" s="14">
        <f>IFERROR((VLOOKUP($A124,'[1]import success seats course'!$A:T,HLOOKUP('[1]Course Totals'!F$4,'[1]import success seats course'!$1:$2,2,FALSE),FALSE)/(VLOOKUP($A124,'[1]import graded seats course pivo'!$A:AD,HLOOKUP('[1]Course Totals'!F$4,'[1]import graded seats course pivo'!$1:$2,2,FALSE),FALSE))),"")</f>
        <v>1</v>
      </c>
      <c r="G124" s="14" t="str">
        <f>IFERROR((VLOOKUP($A124,'[1]import success seats course'!$A:U,HLOOKUP('[1]Course Totals'!G$4,'[1]import success seats course'!$1:$2,2,FALSE),FALSE)/(VLOOKUP($A124,'[1]import graded seats course pivo'!$A:AE,HLOOKUP('[1]Course Totals'!G$4,'[1]import graded seats course pivo'!$1:$2,2,FALSE),FALSE))),"")</f>
        <v/>
      </c>
      <c r="H124" s="14" t="str">
        <f>IFERROR((VLOOKUP($A124,'[1]import success seats course'!$A:V,HLOOKUP('[1]Course Totals'!H$4,'[1]import success seats course'!$1:$2,2,FALSE),FALSE)/(VLOOKUP($A124,'[1]import graded seats course pivo'!$A:AF,HLOOKUP('[1]Course Totals'!H$4,'[1]import graded seats course pivo'!$1:$2,2,FALSE),FALSE))),"")</f>
        <v/>
      </c>
      <c r="I124" s="14" t="str">
        <f>IFERROR((VLOOKUP($A124,'[1]import success seats course'!$A:W,HLOOKUP('[1]Course Totals'!I$4,'[1]import success seats course'!$1:$2,2,FALSE),FALSE)/(VLOOKUP($A124,'[1]import graded seats course pivo'!$A:AG,HLOOKUP('[1]Course Totals'!I$4,'[1]import graded seats course pivo'!$1:$2,2,FALSE),FALSE))),"")</f>
        <v/>
      </c>
      <c r="J124" s="14" t="str">
        <f>IFERROR((VLOOKUP($A124,'[1]import success seats course'!$A:X,HLOOKUP('[1]Course Totals'!J$4,'[1]import success seats course'!$1:$2,2,FALSE),FALSE)/(VLOOKUP($A124,'[1]import graded seats course pivo'!$A:AH,HLOOKUP('[1]Course Totals'!J$4,'[1]import graded seats course pivo'!$1:$2,2,FALSE),FALSE))),"")</f>
        <v/>
      </c>
      <c r="K124" s="14" t="str">
        <f>IFERROR((VLOOKUP($A124,'[1]import success seats course'!$A:Y,HLOOKUP('[1]Course Totals'!K$4,'[1]import success seats course'!$1:$2,2,FALSE),FALSE)/(VLOOKUP($A124,'[1]import graded seats course pivo'!$A:AI,HLOOKUP('[1]Course Totals'!K$4,'[1]import graded seats course pivo'!$1:$2,2,FALSE),FALSE))),"")</f>
        <v/>
      </c>
      <c r="L124" s="14" t="str">
        <f>IFERROR((VLOOKUP($A124,'[1]import success seats course'!$A:Z,HLOOKUP('[1]Course Totals'!L$4,'[1]import success seats course'!$1:$2,2,FALSE),FALSE)/(VLOOKUP($A124,'[1]import graded seats course pivo'!$A:AJ,HLOOKUP('[1]Course Totals'!L$4,'[1]import graded seats course pivo'!$1:$2,2,FALSE),FALSE))),"")</f>
        <v/>
      </c>
      <c r="M124" s="14" t="str">
        <f>IFERROR((VLOOKUP($A124,'[1]import success seats course'!$A:AA,HLOOKUP('[1]Course Totals'!M$4,'[1]import success seats course'!$1:$2,2,FALSE),FALSE)/(VLOOKUP($A124,'[1]import graded seats course pivo'!$A:AK,HLOOKUP('[1]Course Totals'!M$4,'[1]import graded seats course pivo'!$1:$2,2,FALSE),FALSE))),"")</f>
        <v/>
      </c>
      <c r="N124" s="14" t="str">
        <f>IFERROR((VLOOKUP($A124,'[1]import success seats course'!$A:AB,HLOOKUP('[1]Course Totals'!N$4,'[1]import success seats course'!$1:$2,2,FALSE),FALSE)/(VLOOKUP($A124,'[1]import graded seats course pivo'!$A:AL,HLOOKUP('[1]Course Totals'!N$4,'[1]import graded seats course pivo'!$1:$2,2,FALSE),FALSE))),"")</f>
        <v/>
      </c>
      <c r="O124" s="14" t="str">
        <f>IFERROR((VLOOKUP($A124,'[1]import success seats course'!$A:AC,HLOOKUP('[1]Course Totals'!O$4,'[1]import success seats course'!$1:$2,2,FALSE),FALSE)/(VLOOKUP($A124,'[1]import graded seats course pivo'!$A:AM,HLOOKUP('[1]Course Totals'!O$4,'[1]import graded seats course pivo'!$1:$2,2,FALSE),FALSE))),"")</f>
        <v/>
      </c>
      <c r="P124" s="14" t="str">
        <f>IFERROR((VLOOKUP($A124,'[1]import success seats course'!$A:AD,HLOOKUP('[1]Course Totals'!P$4,'[1]import success seats course'!$1:$2,2,FALSE),FALSE)/(VLOOKUP($A124,'[1]import graded seats course pivo'!$A:AN,HLOOKUP('[1]Course Totals'!P$4,'[1]import graded seats course pivo'!$1:$2,2,FALSE),FALSE))),"")</f>
        <v/>
      </c>
      <c r="Q124" s="14" t="str">
        <f>IFERROR((VLOOKUP($A124,'[1]import success seats course'!$A:AE,HLOOKUP('[1]Course Totals'!Q$4,'[1]import success seats course'!$1:$2,2,FALSE),FALSE)/(VLOOKUP($A124,'[1]import graded seats course pivo'!$A:AO,HLOOKUP('[1]Course Totals'!Q$4,'[1]import graded seats course pivo'!$1:$2,2,FALSE),FALSE))),"")</f>
        <v/>
      </c>
      <c r="R124" s="14" t="str">
        <f>IFERROR((VLOOKUP($A124,'[1]import success seats course'!$A:AF,HLOOKUP('[1]Course Totals'!R$4,'[1]import success seats course'!$1:$2,2,FALSE),FALSE)/(VLOOKUP($A124,'[1]import graded seats course pivo'!$A:AP,HLOOKUP('[1]Course Totals'!R$4,'[1]import graded seats course pivo'!$1:$2,2,FALSE),FALSE))),"")</f>
        <v/>
      </c>
      <c r="S124" s="14" t="str">
        <f>IFERROR((VLOOKUP($A124,'[1]import success seats course'!$A:AG,HLOOKUP('[1]Course Totals'!S$4,'[1]import success seats course'!$1:$2,2,FALSE),FALSE)/(VLOOKUP($A124,'[1]import graded seats course pivo'!$A:AQ,HLOOKUP('[1]Course Totals'!S$4,'[1]import graded seats course pivo'!$1:$2,2,FALSE),FALSE))),"")</f>
        <v/>
      </c>
      <c r="Z124" s="7"/>
      <c r="AA124" s="7"/>
      <c r="AB124" s="7"/>
      <c r="AC124" s="7"/>
    </row>
    <row r="125" spans="1:29" ht="15.75" hidden="1" customHeight="1" x14ac:dyDescent="0.25">
      <c r="A125" s="12" t="s">
        <v>82</v>
      </c>
      <c r="B125" s="14" t="str">
        <f>IFERROR((VLOOKUP($A125,'[1]import success seats course'!$A:P,HLOOKUP('[1]Course Totals'!B$4,'[1]import success seats course'!$1:$2,2,FALSE),FALSE)/(VLOOKUP($A125,'[1]import graded seats course pivo'!$A:Z,HLOOKUP('[1]Course Totals'!B$4,'[1]import graded seats course pivo'!$1:$2,2,FALSE),FALSE))),"")</f>
        <v/>
      </c>
      <c r="C125" s="14" t="str">
        <f>IFERROR((VLOOKUP($A125,'[1]import success seats course'!$A:Q,HLOOKUP('[1]Course Totals'!C$4,'[1]import success seats course'!$1:$2,2,FALSE),FALSE)/(VLOOKUP($A125,'[1]import graded seats course pivo'!$A:AA,HLOOKUP('[1]Course Totals'!C$4,'[1]import graded seats course pivo'!$1:$2,2,FALSE),FALSE))),"")</f>
        <v/>
      </c>
      <c r="D125" s="14" t="str">
        <f>IFERROR((VLOOKUP($A125,'[1]import success seats course'!$A:R,HLOOKUP('[1]Course Totals'!D$4,'[1]import success seats course'!$1:$2,2,FALSE),FALSE)/(VLOOKUP($A125,'[1]import graded seats course pivo'!$A:AB,HLOOKUP('[1]Course Totals'!D$4,'[1]import graded seats course pivo'!$1:$2,2,FALSE),FALSE))),"")</f>
        <v/>
      </c>
      <c r="E125" s="14" t="str">
        <f>IFERROR((VLOOKUP($A125,'[1]import success seats course'!$A:S,HLOOKUP('[1]Course Totals'!E$4,'[1]import success seats course'!$1:$2,2,FALSE),FALSE)/(VLOOKUP($A125,'[1]import graded seats course pivo'!$A:AC,HLOOKUP('[1]Course Totals'!E$4,'[1]import graded seats course pivo'!$1:$2,2,FALSE),FALSE))),"")</f>
        <v/>
      </c>
      <c r="F125" s="14" t="str">
        <f>IFERROR((VLOOKUP($A125,'[1]import success seats course'!$A:T,HLOOKUP('[1]Course Totals'!F$4,'[1]import success seats course'!$1:$2,2,FALSE),FALSE)/(VLOOKUP($A125,'[1]import graded seats course pivo'!$A:AD,HLOOKUP('[1]Course Totals'!F$4,'[1]import graded seats course pivo'!$1:$2,2,FALSE),FALSE))),"")</f>
        <v/>
      </c>
      <c r="G125" s="14" t="str">
        <f>IFERROR((VLOOKUP($A125,'[1]import success seats course'!$A:U,HLOOKUP('[1]Course Totals'!G$4,'[1]import success seats course'!$1:$2,2,FALSE),FALSE)/(VLOOKUP($A125,'[1]import graded seats course pivo'!$A:AE,HLOOKUP('[1]Course Totals'!G$4,'[1]import graded seats course pivo'!$1:$2,2,FALSE),FALSE))),"")</f>
        <v/>
      </c>
      <c r="H125" s="14" t="str">
        <f>IFERROR((VLOOKUP($A125,'[1]import success seats course'!$A:V,HLOOKUP('[1]Course Totals'!H$4,'[1]import success seats course'!$1:$2,2,FALSE),FALSE)/(VLOOKUP($A125,'[1]import graded seats course pivo'!$A:AF,HLOOKUP('[1]Course Totals'!H$4,'[1]import graded seats course pivo'!$1:$2,2,FALSE),FALSE))),"")</f>
        <v/>
      </c>
      <c r="I125" s="14" t="str">
        <f>IFERROR((VLOOKUP($A125,'[1]import success seats course'!$A:W,HLOOKUP('[1]Course Totals'!I$4,'[1]import success seats course'!$1:$2,2,FALSE),FALSE)/(VLOOKUP($A125,'[1]import graded seats course pivo'!$A:AG,HLOOKUP('[1]Course Totals'!I$4,'[1]import graded seats course pivo'!$1:$2,2,FALSE),FALSE))),"")</f>
        <v/>
      </c>
      <c r="J125" s="14" t="str">
        <f>IFERROR((VLOOKUP($A125,'[1]import success seats course'!$A:X,HLOOKUP('[1]Course Totals'!J$4,'[1]import success seats course'!$1:$2,2,FALSE),FALSE)/(VLOOKUP($A125,'[1]import graded seats course pivo'!$A:AH,HLOOKUP('[1]Course Totals'!J$4,'[1]import graded seats course pivo'!$1:$2,2,FALSE),FALSE))),"")</f>
        <v/>
      </c>
      <c r="K125" s="14" t="str">
        <f>IFERROR((VLOOKUP($A125,'[1]import success seats course'!$A:Y,HLOOKUP('[1]Course Totals'!K$4,'[1]import success seats course'!$1:$2,2,FALSE),FALSE)/(VLOOKUP($A125,'[1]import graded seats course pivo'!$A:AI,HLOOKUP('[1]Course Totals'!K$4,'[1]import graded seats course pivo'!$1:$2,2,FALSE),FALSE))),"")</f>
        <v/>
      </c>
      <c r="L125" s="14" t="str">
        <f>IFERROR((VLOOKUP($A125,'[1]import success seats course'!$A:Z,HLOOKUP('[1]Course Totals'!L$4,'[1]import success seats course'!$1:$2,2,FALSE),FALSE)/(VLOOKUP($A125,'[1]import graded seats course pivo'!$A:AJ,HLOOKUP('[1]Course Totals'!L$4,'[1]import graded seats course pivo'!$1:$2,2,FALSE),FALSE))),"")</f>
        <v/>
      </c>
      <c r="M125" s="14" t="str">
        <f>IFERROR((VLOOKUP($A125,'[1]import success seats course'!$A:AA,HLOOKUP('[1]Course Totals'!M$4,'[1]import success seats course'!$1:$2,2,FALSE),FALSE)/(VLOOKUP($A125,'[1]import graded seats course pivo'!$A:AK,HLOOKUP('[1]Course Totals'!M$4,'[1]import graded seats course pivo'!$1:$2,2,FALSE),FALSE))),"")</f>
        <v/>
      </c>
      <c r="N125" s="14" t="str">
        <f>IFERROR((VLOOKUP($A125,'[1]import success seats course'!$A:AB,HLOOKUP('[1]Course Totals'!N$4,'[1]import success seats course'!$1:$2,2,FALSE),FALSE)/(VLOOKUP($A125,'[1]import graded seats course pivo'!$A:AL,HLOOKUP('[1]Course Totals'!N$4,'[1]import graded seats course pivo'!$1:$2,2,FALSE),FALSE))),"")</f>
        <v/>
      </c>
      <c r="O125" s="14" t="str">
        <f>IFERROR((VLOOKUP($A125,'[1]import success seats course'!$A:AC,HLOOKUP('[1]Course Totals'!O$4,'[1]import success seats course'!$1:$2,2,FALSE),FALSE)/(VLOOKUP($A125,'[1]import graded seats course pivo'!$A:AM,HLOOKUP('[1]Course Totals'!O$4,'[1]import graded seats course pivo'!$1:$2,2,FALSE),FALSE))),"")</f>
        <v/>
      </c>
      <c r="P125" s="14" t="str">
        <f>IFERROR((VLOOKUP($A125,'[1]import success seats course'!$A:AD,HLOOKUP('[1]Course Totals'!P$4,'[1]import success seats course'!$1:$2,2,FALSE),FALSE)/(VLOOKUP($A125,'[1]import graded seats course pivo'!$A:AN,HLOOKUP('[1]Course Totals'!P$4,'[1]import graded seats course pivo'!$1:$2,2,FALSE),FALSE))),"")</f>
        <v/>
      </c>
      <c r="Q125" s="14" t="str">
        <f>IFERROR((VLOOKUP($A125,'[1]import success seats course'!$A:AE,HLOOKUP('[1]Course Totals'!Q$4,'[1]import success seats course'!$1:$2,2,FALSE),FALSE)/(VLOOKUP($A125,'[1]import graded seats course pivo'!$A:AO,HLOOKUP('[1]Course Totals'!Q$4,'[1]import graded seats course pivo'!$1:$2,2,FALSE),FALSE))),"")</f>
        <v/>
      </c>
      <c r="R125" s="14" t="str">
        <f>IFERROR((VLOOKUP($A125,'[1]import success seats course'!$A:AF,HLOOKUP('[1]Course Totals'!R$4,'[1]import success seats course'!$1:$2,2,FALSE),FALSE)/(VLOOKUP($A125,'[1]import graded seats course pivo'!$A:AP,HLOOKUP('[1]Course Totals'!R$4,'[1]import graded seats course pivo'!$1:$2,2,FALSE),FALSE))),"")</f>
        <v/>
      </c>
      <c r="S125" s="14" t="str">
        <f>IFERROR((VLOOKUP($A125,'[1]import success seats course'!$A:AG,HLOOKUP('[1]Course Totals'!S$4,'[1]import success seats course'!$1:$2,2,FALSE),FALSE)/(VLOOKUP($A125,'[1]import graded seats course pivo'!$A:AQ,HLOOKUP('[1]Course Totals'!S$4,'[1]import graded seats course pivo'!$1:$2,2,FALSE),FALSE))),"")</f>
        <v/>
      </c>
      <c r="Z125" s="7"/>
      <c r="AA125" s="7"/>
      <c r="AB125" s="7"/>
      <c r="AC125" s="7"/>
    </row>
    <row r="126" spans="1:29" ht="15.75" hidden="1" customHeight="1" x14ac:dyDescent="0.25">
      <c r="A126" s="12" t="s">
        <v>83</v>
      </c>
      <c r="B126" s="14" t="str">
        <f>IFERROR((VLOOKUP($A126,'[1]import success seats course'!$A:P,HLOOKUP('[1]Course Totals'!B$4,'[1]import success seats course'!$1:$2,2,FALSE),FALSE)/(VLOOKUP($A126,'[1]import graded seats course pivo'!$A:Z,HLOOKUP('[1]Course Totals'!B$4,'[1]import graded seats course pivo'!$1:$2,2,FALSE),FALSE))),"")</f>
        <v/>
      </c>
      <c r="C126" s="14" t="str">
        <f>IFERROR((VLOOKUP($A126,'[1]import success seats course'!$A:Q,HLOOKUP('[1]Course Totals'!C$4,'[1]import success seats course'!$1:$2,2,FALSE),FALSE)/(VLOOKUP($A126,'[1]import graded seats course pivo'!$A:AA,HLOOKUP('[1]Course Totals'!C$4,'[1]import graded seats course pivo'!$1:$2,2,FALSE),FALSE))),"")</f>
        <v/>
      </c>
      <c r="D126" s="14" t="str">
        <f>IFERROR((VLOOKUP($A126,'[1]import success seats course'!$A:R,HLOOKUP('[1]Course Totals'!D$4,'[1]import success seats course'!$1:$2,2,FALSE),FALSE)/(VLOOKUP($A126,'[1]import graded seats course pivo'!$A:AB,HLOOKUP('[1]Course Totals'!D$4,'[1]import graded seats course pivo'!$1:$2,2,FALSE),FALSE))),"")</f>
        <v/>
      </c>
      <c r="E126" s="14" t="str">
        <f>IFERROR((VLOOKUP($A126,'[1]import success seats course'!$A:S,HLOOKUP('[1]Course Totals'!E$4,'[1]import success seats course'!$1:$2,2,FALSE),FALSE)/(VLOOKUP($A126,'[1]import graded seats course pivo'!$A:AC,HLOOKUP('[1]Course Totals'!E$4,'[1]import graded seats course pivo'!$1:$2,2,FALSE),FALSE))),"")</f>
        <v/>
      </c>
      <c r="F126" s="14" t="str">
        <f>IFERROR((VLOOKUP($A126,'[1]import success seats course'!$A:T,HLOOKUP('[1]Course Totals'!F$4,'[1]import success seats course'!$1:$2,2,FALSE),FALSE)/(VLOOKUP($A126,'[1]import graded seats course pivo'!$A:AD,HLOOKUP('[1]Course Totals'!F$4,'[1]import graded seats course pivo'!$1:$2,2,FALSE),FALSE))),"")</f>
        <v/>
      </c>
      <c r="G126" s="14" t="str">
        <f>IFERROR((VLOOKUP($A126,'[1]import success seats course'!$A:U,HLOOKUP('[1]Course Totals'!G$4,'[1]import success seats course'!$1:$2,2,FALSE),FALSE)/(VLOOKUP($A126,'[1]import graded seats course pivo'!$A:AE,HLOOKUP('[1]Course Totals'!G$4,'[1]import graded seats course pivo'!$1:$2,2,FALSE),FALSE))),"")</f>
        <v/>
      </c>
      <c r="H126" s="14" t="str">
        <f>IFERROR((VLOOKUP($A126,'[1]import success seats course'!$A:V,HLOOKUP('[1]Course Totals'!H$4,'[1]import success seats course'!$1:$2,2,FALSE),FALSE)/(VLOOKUP($A126,'[1]import graded seats course pivo'!$A:AF,HLOOKUP('[1]Course Totals'!H$4,'[1]import graded seats course pivo'!$1:$2,2,FALSE),FALSE))),"")</f>
        <v/>
      </c>
      <c r="I126" s="14" t="str">
        <f>IFERROR((VLOOKUP($A126,'[1]import success seats course'!$A:W,HLOOKUP('[1]Course Totals'!I$4,'[1]import success seats course'!$1:$2,2,FALSE),FALSE)/(VLOOKUP($A126,'[1]import graded seats course pivo'!$A:AG,HLOOKUP('[1]Course Totals'!I$4,'[1]import graded seats course pivo'!$1:$2,2,FALSE),FALSE))),"")</f>
        <v/>
      </c>
      <c r="J126" s="14" t="str">
        <f>IFERROR((VLOOKUP($A126,'[1]import success seats course'!$A:X,HLOOKUP('[1]Course Totals'!J$4,'[1]import success seats course'!$1:$2,2,FALSE),FALSE)/(VLOOKUP($A126,'[1]import graded seats course pivo'!$A:AH,HLOOKUP('[1]Course Totals'!J$4,'[1]import graded seats course pivo'!$1:$2,2,FALSE),FALSE))),"")</f>
        <v/>
      </c>
      <c r="K126" s="14" t="str">
        <f>IFERROR((VLOOKUP($A126,'[1]import success seats course'!$A:Y,HLOOKUP('[1]Course Totals'!K$4,'[1]import success seats course'!$1:$2,2,FALSE),FALSE)/(VLOOKUP($A126,'[1]import graded seats course pivo'!$A:AI,HLOOKUP('[1]Course Totals'!K$4,'[1]import graded seats course pivo'!$1:$2,2,FALSE),FALSE))),"")</f>
        <v/>
      </c>
      <c r="L126" s="14" t="str">
        <f>IFERROR((VLOOKUP($A126,'[1]import success seats course'!$A:Z,HLOOKUP('[1]Course Totals'!L$4,'[1]import success seats course'!$1:$2,2,FALSE),FALSE)/(VLOOKUP($A126,'[1]import graded seats course pivo'!$A:AJ,HLOOKUP('[1]Course Totals'!L$4,'[1]import graded seats course pivo'!$1:$2,2,FALSE),FALSE))),"")</f>
        <v/>
      </c>
      <c r="M126" s="14" t="str">
        <f>IFERROR((VLOOKUP($A126,'[1]import success seats course'!$A:AA,HLOOKUP('[1]Course Totals'!M$4,'[1]import success seats course'!$1:$2,2,FALSE),FALSE)/(VLOOKUP($A126,'[1]import graded seats course pivo'!$A:AK,HLOOKUP('[1]Course Totals'!M$4,'[1]import graded seats course pivo'!$1:$2,2,FALSE),FALSE))),"")</f>
        <v/>
      </c>
      <c r="N126" s="14" t="str">
        <f>IFERROR((VLOOKUP($A126,'[1]import success seats course'!$A:AB,HLOOKUP('[1]Course Totals'!N$4,'[1]import success seats course'!$1:$2,2,FALSE),FALSE)/(VLOOKUP($A126,'[1]import graded seats course pivo'!$A:AL,HLOOKUP('[1]Course Totals'!N$4,'[1]import graded seats course pivo'!$1:$2,2,FALSE),FALSE))),"")</f>
        <v/>
      </c>
      <c r="O126" s="14" t="str">
        <f>IFERROR((VLOOKUP($A126,'[1]import success seats course'!$A:AC,HLOOKUP('[1]Course Totals'!O$4,'[1]import success seats course'!$1:$2,2,FALSE),FALSE)/(VLOOKUP($A126,'[1]import graded seats course pivo'!$A:AM,HLOOKUP('[1]Course Totals'!O$4,'[1]import graded seats course pivo'!$1:$2,2,FALSE),FALSE))),"")</f>
        <v/>
      </c>
      <c r="P126" s="14" t="str">
        <f>IFERROR((VLOOKUP($A126,'[1]import success seats course'!$A:AD,HLOOKUP('[1]Course Totals'!P$4,'[1]import success seats course'!$1:$2,2,FALSE),FALSE)/(VLOOKUP($A126,'[1]import graded seats course pivo'!$A:AN,HLOOKUP('[1]Course Totals'!P$4,'[1]import graded seats course pivo'!$1:$2,2,FALSE),FALSE))),"")</f>
        <v/>
      </c>
      <c r="Q126" s="14" t="str">
        <f>IFERROR((VLOOKUP($A126,'[1]import success seats course'!$A:AE,HLOOKUP('[1]Course Totals'!Q$4,'[1]import success seats course'!$1:$2,2,FALSE),FALSE)/(VLOOKUP($A126,'[1]import graded seats course pivo'!$A:AO,HLOOKUP('[1]Course Totals'!Q$4,'[1]import graded seats course pivo'!$1:$2,2,FALSE),FALSE))),"")</f>
        <v/>
      </c>
      <c r="R126" s="14" t="str">
        <f>IFERROR((VLOOKUP($A126,'[1]import success seats course'!$A:AF,HLOOKUP('[1]Course Totals'!R$4,'[1]import success seats course'!$1:$2,2,FALSE),FALSE)/(VLOOKUP($A126,'[1]import graded seats course pivo'!$A:AP,HLOOKUP('[1]Course Totals'!R$4,'[1]import graded seats course pivo'!$1:$2,2,FALSE),FALSE))),"")</f>
        <v/>
      </c>
      <c r="S126" s="14" t="str">
        <f>IFERROR((VLOOKUP($A126,'[1]import success seats course'!$A:AG,HLOOKUP('[1]Course Totals'!S$4,'[1]import success seats course'!$1:$2,2,FALSE),FALSE)/(VLOOKUP($A126,'[1]import graded seats course pivo'!$A:AQ,HLOOKUP('[1]Course Totals'!S$4,'[1]import graded seats course pivo'!$1:$2,2,FALSE),FALSE))),"")</f>
        <v/>
      </c>
      <c r="Z126" s="7"/>
      <c r="AA126" s="7"/>
      <c r="AB126" s="7"/>
      <c r="AC126" s="7"/>
    </row>
    <row r="127" spans="1:29" ht="15.75" customHeight="1" x14ac:dyDescent="0.25">
      <c r="A127" s="12" t="s">
        <v>1053</v>
      </c>
      <c r="B127" s="14" t="str">
        <f>IFERROR((VLOOKUP($A127,'[1]import success seats course'!$A:P,HLOOKUP('[1]Course Totals'!B$4,'[1]import success seats course'!$1:$2,2,FALSE),FALSE)/(VLOOKUP($A127,'[1]import graded seats course pivo'!$A:Z,HLOOKUP('[1]Course Totals'!B$4,'[1]import graded seats course pivo'!$1:$2,2,FALSE),FALSE))),"")</f>
        <v/>
      </c>
      <c r="C127" s="14" t="str">
        <f>IFERROR((VLOOKUP($A127,'[1]import success seats course'!$A:Q,HLOOKUP('[1]Course Totals'!C$4,'[1]import success seats course'!$1:$2,2,FALSE),FALSE)/(VLOOKUP($A127,'[1]import graded seats course pivo'!$A:AA,HLOOKUP('[1]Course Totals'!C$4,'[1]import graded seats course pivo'!$1:$2,2,FALSE),FALSE))),"")</f>
        <v/>
      </c>
      <c r="D127" s="14" t="str">
        <f>IFERROR((VLOOKUP($A127,'[1]import success seats course'!$A:R,HLOOKUP('[1]Course Totals'!D$4,'[1]import success seats course'!$1:$2,2,FALSE),FALSE)/(VLOOKUP($A127,'[1]import graded seats course pivo'!$A:AB,HLOOKUP('[1]Course Totals'!D$4,'[1]import graded seats course pivo'!$1:$2,2,FALSE),FALSE))),"")</f>
        <v/>
      </c>
      <c r="E127" s="14">
        <f>IFERROR((VLOOKUP($A127,'[1]import success seats course'!$A:S,HLOOKUP('[1]Course Totals'!E$4,'[1]import success seats course'!$1:$2,2,FALSE),FALSE)/(VLOOKUP($A127,'[1]import graded seats course pivo'!$A:AC,HLOOKUP('[1]Course Totals'!E$4,'[1]import graded seats course pivo'!$1:$2,2,FALSE),FALSE))),"")</f>
        <v>1</v>
      </c>
      <c r="F127" s="14" t="str">
        <f>IFERROR((VLOOKUP($A127,'[1]import success seats course'!$A:T,HLOOKUP('[1]Course Totals'!F$4,'[1]import success seats course'!$1:$2,2,FALSE),FALSE)/(VLOOKUP($A127,'[1]import graded seats course pivo'!$A:AD,HLOOKUP('[1]Course Totals'!F$4,'[1]import graded seats course pivo'!$1:$2,2,FALSE),FALSE))),"")</f>
        <v/>
      </c>
      <c r="G127" s="14" t="str">
        <f>IFERROR((VLOOKUP($A127,'[1]import success seats course'!$A:U,HLOOKUP('[1]Course Totals'!G$4,'[1]import success seats course'!$1:$2,2,FALSE),FALSE)/(VLOOKUP($A127,'[1]import graded seats course pivo'!$A:AE,HLOOKUP('[1]Course Totals'!G$4,'[1]import graded seats course pivo'!$1:$2,2,FALSE),FALSE))),"")</f>
        <v/>
      </c>
      <c r="H127" s="14" t="str">
        <f>IFERROR((VLOOKUP($A127,'[1]import success seats course'!$A:V,HLOOKUP('[1]Course Totals'!H$4,'[1]import success seats course'!$1:$2,2,FALSE),FALSE)/(VLOOKUP($A127,'[1]import graded seats course pivo'!$A:AF,HLOOKUP('[1]Course Totals'!H$4,'[1]import graded seats course pivo'!$1:$2,2,FALSE),FALSE))),"")</f>
        <v/>
      </c>
      <c r="I127" s="14" t="str">
        <f>IFERROR((VLOOKUP($A127,'[1]import success seats course'!$A:W,HLOOKUP('[1]Course Totals'!I$4,'[1]import success seats course'!$1:$2,2,FALSE),FALSE)/(VLOOKUP($A127,'[1]import graded seats course pivo'!$A:AG,HLOOKUP('[1]Course Totals'!I$4,'[1]import graded seats course pivo'!$1:$2,2,FALSE),FALSE))),"")</f>
        <v/>
      </c>
      <c r="J127" s="14" t="str">
        <f>IFERROR((VLOOKUP($A127,'[1]import success seats course'!$A:X,HLOOKUP('[1]Course Totals'!J$4,'[1]import success seats course'!$1:$2,2,FALSE),FALSE)/(VLOOKUP($A127,'[1]import graded seats course pivo'!$A:AH,HLOOKUP('[1]Course Totals'!J$4,'[1]import graded seats course pivo'!$1:$2,2,FALSE),FALSE))),"")</f>
        <v/>
      </c>
      <c r="K127" s="14" t="str">
        <f>IFERROR((VLOOKUP($A127,'[1]import success seats course'!$A:Y,HLOOKUP('[1]Course Totals'!K$4,'[1]import success seats course'!$1:$2,2,FALSE),FALSE)/(VLOOKUP($A127,'[1]import graded seats course pivo'!$A:AI,HLOOKUP('[1]Course Totals'!K$4,'[1]import graded seats course pivo'!$1:$2,2,FALSE),FALSE))),"")</f>
        <v/>
      </c>
      <c r="L127" s="14" t="str">
        <f>IFERROR((VLOOKUP($A127,'[1]import success seats course'!$A:Z,HLOOKUP('[1]Course Totals'!L$4,'[1]import success seats course'!$1:$2,2,FALSE),FALSE)/(VLOOKUP($A127,'[1]import graded seats course pivo'!$A:AJ,HLOOKUP('[1]Course Totals'!L$4,'[1]import graded seats course pivo'!$1:$2,2,FALSE),FALSE))),"")</f>
        <v/>
      </c>
      <c r="M127" s="14" t="str">
        <f>IFERROR((VLOOKUP($A127,'[1]import success seats course'!$A:AA,HLOOKUP('[1]Course Totals'!M$4,'[1]import success seats course'!$1:$2,2,FALSE),FALSE)/(VLOOKUP($A127,'[1]import graded seats course pivo'!$A:AK,HLOOKUP('[1]Course Totals'!M$4,'[1]import graded seats course pivo'!$1:$2,2,FALSE),FALSE))),"")</f>
        <v/>
      </c>
      <c r="N127" s="14" t="str">
        <f>IFERROR((VLOOKUP($A127,'[1]import success seats course'!$A:AB,HLOOKUP('[1]Course Totals'!N$4,'[1]import success seats course'!$1:$2,2,FALSE),FALSE)/(VLOOKUP($A127,'[1]import graded seats course pivo'!$A:AL,HLOOKUP('[1]Course Totals'!N$4,'[1]import graded seats course pivo'!$1:$2,2,FALSE),FALSE))),"")</f>
        <v/>
      </c>
      <c r="O127" s="14" t="str">
        <f>IFERROR((VLOOKUP($A127,'[1]import success seats course'!$A:AC,HLOOKUP('[1]Course Totals'!O$4,'[1]import success seats course'!$1:$2,2,FALSE),FALSE)/(VLOOKUP($A127,'[1]import graded seats course pivo'!$A:AM,HLOOKUP('[1]Course Totals'!O$4,'[1]import graded seats course pivo'!$1:$2,2,FALSE),FALSE))),"")</f>
        <v/>
      </c>
      <c r="P127" s="14" t="str">
        <f>IFERROR((VLOOKUP($A127,'[1]import success seats course'!$A:AD,HLOOKUP('[1]Course Totals'!P$4,'[1]import success seats course'!$1:$2,2,FALSE),FALSE)/(VLOOKUP($A127,'[1]import graded seats course pivo'!$A:AN,HLOOKUP('[1]Course Totals'!P$4,'[1]import graded seats course pivo'!$1:$2,2,FALSE),FALSE))),"")</f>
        <v/>
      </c>
      <c r="Q127" s="14" t="str">
        <f>IFERROR((VLOOKUP($A127,'[1]import success seats course'!$A:AE,HLOOKUP('[1]Course Totals'!Q$4,'[1]import success seats course'!$1:$2,2,FALSE),FALSE)/(VLOOKUP($A127,'[1]import graded seats course pivo'!$A:AO,HLOOKUP('[1]Course Totals'!Q$4,'[1]import graded seats course pivo'!$1:$2,2,FALSE),FALSE))),"")</f>
        <v/>
      </c>
      <c r="R127" s="14" t="str">
        <f>IFERROR((VLOOKUP($A127,'[1]import success seats course'!$A:AF,HLOOKUP('[1]Course Totals'!R$4,'[1]import success seats course'!$1:$2,2,FALSE),FALSE)/(VLOOKUP($A127,'[1]import graded seats course pivo'!$A:AP,HLOOKUP('[1]Course Totals'!R$4,'[1]import graded seats course pivo'!$1:$2,2,FALSE),FALSE))),"")</f>
        <v/>
      </c>
      <c r="S127" s="14" t="str">
        <f>IFERROR((VLOOKUP($A127,'[1]import success seats course'!$A:AG,HLOOKUP('[1]Course Totals'!S$4,'[1]import success seats course'!$1:$2,2,FALSE),FALSE)/(VLOOKUP($A127,'[1]import graded seats course pivo'!$A:AQ,HLOOKUP('[1]Course Totals'!S$4,'[1]import graded seats course pivo'!$1:$2,2,FALSE),FALSE))),"")</f>
        <v/>
      </c>
      <c r="Z127" s="7"/>
      <c r="AA127" s="7"/>
      <c r="AB127" s="7"/>
      <c r="AC127" s="7"/>
    </row>
    <row r="128" spans="1:29" ht="15.75" customHeight="1" x14ac:dyDescent="0.25">
      <c r="A128" s="12" t="s">
        <v>554</v>
      </c>
      <c r="B128" s="14" t="str">
        <f>IFERROR((VLOOKUP($A128,'[1]import success seats course'!$A:P,HLOOKUP('[1]Course Totals'!B$4,'[1]import success seats course'!$1:$2,2,FALSE),FALSE)/(VLOOKUP($A128,'[1]import graded seats course pivo'!$A:Z,HLOOKUP('[1]Course Totals'!B$4,'[1]import graded seats course pivo'!$1:$2,2,FALSE),FALSE))),"")</f>
        <v/>
      </c>
      <c r="C128" s="14" t="str">
        <f>IFERROR((VLOOKUP($A128,'[1]import success seats course'!$A:Q,HLOOKUP('[1]Course Totals'!C$4,'[1]import success seats course'!$1:$2,2,FALSE),FALSE)/(VLOOKUP($A128,'[1]import graded seats course pivo'!$A:AA,HLOOKUP('[1]Course Totals'!C$4,'[1]import graded seats course pivo'!$1:$2,2,FALSE),FALSE))),"")</f>
        <v/>
      </c>
      <c r="D128" s="14">
        <f>IFERROR((VLOOKUP($A128,'[1]import success seats course'!$A:R,HLOOKUP('[1]Course Totals'!D$4,'[1]import success seats course'!$1:$2,2,FALSE),FALSE)/(VLOOKUP($A128,'[1]import graded seats course pivo'!$A:AB,HLOOKUP('[1]Course Totals'!D$4,'[1]import graded seats course pivo'!$1:$2,2,FALSE),FALSE))),"")</f>
        <v>1</v>
      </c>
      <c r="E128" s="14" t="str">
        <f>IFERROR((VLOOKUP($A128,'[1]import success seats course'!$A:S,HLOOKUP('[1]Course Totals'!E$4,'[1]import success seats course'!$1:$2,2,FALSE),FALSE)/(VLOOKUP($A128,'[1]import graded seats course pivo'!$A:AC,HLOOKUP('[1]Course Totals'!E$4,'[1]import graded seats course pivo'!$1:$2,2,FALSE),FALSE))),"")</f>
        <v/>
      </c>
      <c r="F128" s="14">
        <f>IFERROR((VLOOKUP($A128,'[1]import success seats course'!$A:T,HLOOKUP('[1]Course Totals'!F$4,'[1]import success seats course'!$1:$2,2,FALSE),FALSE)/(VLOOKUP($A128,'[1]import graded seats course pivo'!$A:AD,HLOOKUP('[1]Course Totals'!F$4,'[1]import graded seats course pivo'!$1:$2,2,FALSE),FALSE))),"")</f>
        <v>1</v>
      </c>
      <c r="G128" s="14" t="str">
        <f>IFERROR((VLOOKUP($A128,'[1]import success seats course'!$A:U,HLOOKUP('[1]Course Totals'!G$4,'[1]import success seats course'!$1:$2,2,FALSE),FALSE)/(VLOOKUP($A128,'[1]import graded seats course pivo'!$A:AE,HLOOKUP('[1]Course Totals'!G$4,'[1]import graded seats course pivo'!$1:$2,2,FALSE),FALSE))),"")</f>
        <v/>
      </c>
      <c r="H128" s="14" t="str">
        <f>IFERROR((VLOOKUP($A128,'[1]import success seats course'!$A:V,HLOOKUP('[1]Course Totals'!H$4,'[1]import success seats course'!$1:$2,2,FALSE),FALSE)/(VLOOKUP($A128,'[1]import graded seats course pivo'!$A:AF,HLOOKUP('[1]Course Totals'!H$4,'[1]import graded seats course pivo'!$1:$2,2,FALSE),FALSE))),"")</f>
        <v/>
      </c>
      <c r="I128" s="14" t="str">
        <f>IFERROR((VLOOKUP($A128,'[1]import success seats course'!$A:W,HLOOKUP('[1]Course Totals'!I$4,'[1]import success seats course'!$1:$2,2,FALSE),FALSE)/(VLOOKUP($A128,'[1]import graded seats course pivo'!$A:AG,HLOOKUP('[1]Course Totals'!I$4,'[1]import graded seats course pivo'!$1:$2,2,FALSE),FALSE))),"")</f>
        <v/>
      </c>
      <c r="J128" s="14">
        <f>IFERROR((VLOOKUP($A128,'[1]import success seats course'!$A:X,HLOOKUP('[1]Course Totals'!J$4,'[1]import success seats course'!$1:$2,2,FALSE),FALSE)/(VLOOKUP($A128,'[1]import graded seats course pivo'!$A:AH,HLOOKUP('[1]Course Totals'!J$4,'[1]import graded seats course pivo'!$1:$2,2,FALSE),FALSE))),"")</f>
        <v>1</v>
      </c>
      <c r="K128" s="14" t="str">
        <f>IFERROR((VLOOKUP($A128,'[1]import success seats course'!$A:Y,HLOOKUP('[1]Course Totals'!K$4,'[1]import success seats course'!$1:$2,2,FALSE),FALSE)/(VLOOKUP($A128,'[1]import graded seats course pivo'!$A:AI,HLOOKUP('[1]Course Totals'!K$4,'[1]import graded seats course pivo'!$1:$2,2,FALSE),FALSE))),"")</f>
        <v/>
      </c>
      <c r="L128" s="14" t="str">
        <f>IFERROR((VLOOKUP($A128,'[1]import success seats course'!$A:Z,HLOOKUP('[1]Course Totals'!L$4,'[1]import success seats course'!$1:$2,2,FALSE),FALSE)/(VLOOKUP($A128,'[1]import graded seats course pivo'!$A:AJ,HLOOKUP('[1]Course Totals'!L$4,'[1]import graded seats course pivo'!$1:$2,2,FALSE),FALSE))),"")</f>
        <v/>
      </c>
      <c r="M128" s="14" t="str">
        <f>IFERROR((VLOOKUP($A128,'[1]import success seats course'!$A:AA,HLOOKUP('[1]Course Totals'!M$4,'[1]import success seats course'!$1:$2,2,FALSE),FALSE)/(VLOOKUP($A128,'[1]import graded seats course pivo'!$A:AK,HLOOKUP('[1]Course Totals'!M$4,'[1]import graded seats course pivo'!$1:$2,2,FALSE),FALSE))),"")</f>
        <v/>
      </c>
      <c r="N128" s="14" t="str">
        <f>IFERROR((VLOOKUP($A128,'[1]import success seats course'!$A:AB,HLOOKUP('[1]Course Totals'!N$4,'[1]import success seats course'!$1:$2,2,FALSE),FALSE)/(VLOOKUP($A128,'[1]import graded seats course pivo'!$A:AL,HLOOKUP('[1]Course Totals'!N$4,'[1]import graded seats course pivo'!$1:$2,2,FALSE),FALSE))),"")</f>
        <v/>
      </c>
      <c r="O128" s="14" t="str">
        <f>IFERROR((VLOOKUP($A128,'[1]import success seats course'!$A:AC,HLOOKUP('[1]Course Totals'!O$4,'[1]import success seats course'!$1:$2,2,FALSE),FALSE)/(VLOOKUP($A128,'[1]import graded seats course pivo'!$A:AM,HLOOKUP('[1]Course Totals'!O$4,'[1]import graded seats course pivo'!$1:$2,2,FALSE),FALSE))),"")</f>
        <v/>
      </c>
      <c r="P128" s="14" t="str">
        <f>IFERROR((VLOOKUP($A128,'[1]import success seats course'!$A:AD,HLOOKUP('[1]Course Totals'!P$4,'[1]import success seats course'!$1:$2,2,FALSE),FALSE)/(VLOOKUP($A128,'[1]import graded seats course pivo'!$A:AN,HLOOKUP('[1]Course Totals'!P$4,'[1]import graded seats course pivo'!$1:$2,2,FALSE),FALSE))),"")</f>
        <v/>
      </c>
      <c r="Q128" s="14" t="str">
        <f>IFERROR((VLOOKUP($A128,'[1]import success seats course'!$A:AE,HLOOKUP('[1]Course Totals'!Q$4,'[1]import success seats course'!$1:$2,2,FALSE),FALSE)/(VLOOKUP($A128,'[1]import graded seats course pivo'!$A:AO,HLOOKUP('[1]Course Totals'!Q$4,'[1]import graded seats course pivo'!$1:$2,2,FALSE),FALSE))),"")</f>
        <v/>
      </c>
      <c r="R128" s="14" t="str">
        <f>IFERROR((VLOOKUP($A128,'[1]import success seats course'!$A:AF,HLOOKUP('[1]Course Totals'!R$4,'[1]import success seats course'!$1:$2,2,FALSE),FALSE)/(VLOOKUP($A128,'[1]import graded seats course pivo'!$A:AP,HLOOKUP('[1]Course Totals'!R$4,'[1]import graded seats course pivo'!$1:$2,2,FALSE),FALSE))),"")</f>
        <v/>
      </c>
      <c r="S128" s="14">
        <f>IFERROR((VLOOKUP($A128,'[1]import success seats course'!$A:AG,HLOOKUP('[1]Course Totals'!S$4,'[1]import success seats course'!$1:$2,2,FALSE),FALSE)/(VLOOKUP($A128,'[1]import graded seats course pivo'!$A:AQ,HLOOKUP('[1]Course Totals'!S$4,'[1]import graded seats course pivo'!$1:$2,2,FALSE),FALSE))),"")</f>
        <v>1</v>
      </c>
      <c r="Z128" s="7"/>
      <c r="AA128" s="7"/>
      <c r="AB128" s="7"/>
      <c r="AC128" s="7"/>
    </row>
    <row r="129" spans="1:29" s="7" customFormat="1" ht="15.75" x14ac:dyDescent="0.25">
      <c r="A129" s="9" t="s">
        <v>1139</v>
      </c>
      <c r="B129" s="67" t="str">
        <f>'[1]Subject TOTALS'!$B$1:$P$1</f>
        <v xml:space="preserve">MVC Retention Rates 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</row>
    <row r="130" spans="1:29" s="7" customFormat="1" ht="15.75" customHeight="1" thickBot="1" x14ac:dyDescent="0.3">
      <c r="A130" s="8" t="str">
        <f>'[1]SUBJECTS BASE'!H8</f>
        <v>American Sign Language</v>
      </c>
      <c r="B130" s="38" t="s">
        <v>1046</v>
      </c>
      <c r="C130" s="39" t="s">
        <v>0</v>
      </c>
      <c r="D130" s="40" t="s">
        <v>868</v>
      </c>
      <c r="E130" s="41" t="s">
        <v>1052</v>
      </c>
      <c r="F130" s="42" t="s">
        <v>546</v>
      </c>
      <c r="G130" s="43" t="s">
        <v>959</v>
      </c>
      <c r="H130" s="44" t="s">
        <v>1060</v>
      </c>
      <c r="I130" s="39" t="s">
        <v>675</v>
      </c>
      <c r="J130" s="45" t="s">
        <v>1006</v>
      </c>
      <c r="K130" s="46" t="s">
        <v>1062</v>
      </c>
      <c r="L130" s="42" t="s">
        <v>762</v>
      </c>
      <c r="M130" s="43" t="s">
        <v>1022</v>
      </c>
      <c r="N130" s="44" t="s">
        <v>1063</v>
      </c>
      <c r="O130" s="39" t="s">
        <v>822</v>
      </c>
      <c r="P130" s="40" t="s">
        <v>1042</v>
      </c>
      <c r="Q130" s="46" t="s">
        <v>1153</v>
      </c>
      <c r="R130" s="42" t="s">
        <v>1154</v>
      </c>
      <c r="S130" s="43" t="s">
        <v>1155</v>
      </c>
    </row>
    <row r="131" spans="1:29" ht="15.75" customHeight="1" x14ac:dyDescent="0.25">
      <c r="A131" s="12" t="s">
        <v>84</v>
      </c>
      <c r="B131" s="14">
        <f>IFERROR((VLOOKUP($A131,'[1]import success seats course'!$A:P,HLOOKUP('[1]Course Totals'!B$4,'[1]import success seats course'!$1:$2,2,FALSE),FALSE)/(VLOOKUP($A131,'[1]import graded seats course pivo'!$A:Z,HLOOKUP('[1]Course Totals'!B$4,'[1]import graded seats course pivo'!$1:$2,2,FALSE),FALSE))),"")</f>
        <v>0.9642857142857143</v>
      </c>
      <c r="C131" s="14">
        <f>IFERROR((VLOOKUP($A131,'[1]import success seats course'!$A:Q,HLOOKUP('[1]Course Totals'!C$4,'[1]import success seats course'!$1:$2,2,FALSE),FALSE)/(VLOOKUP($A131,'[1]import graded seats course pivo'!$A:AA,HLOOKUP('[1]Course Totals'!C$4,'[1]import graded seats course pivo'!$1:$2,2,FALSE),FALSE))),"")</f>
        <v>0.88976377952755903</v>
      </c>
      <c r="D131" s="14">
        <f>IFERROR((VLOOKUP($A131,'[1]import success seats course'!$A:R,HLOOKUP('[1]Course Totals'!D$4,'[1]import success seats course'!$1:$2,2,FALSE),FALSE)/(VLOOKUP($A131,'[1]import graded seats course pivo'!$A:AB,HLOOKUP('[1]Course Totals'!D$4,'[1]import graded seats course pivo'!$1:$2,2,FALSE),FALSE))),"")</f>
        <v>0.93023255813953487</v>
      </c>
      <c r="E131" s="14">
        <f>IFERROR((VLOOKUP($A131,'[1]import success seats course'!$A:S,HLOOKUP('[1]Course Totals'!E$4,'[1]import success seats course'!$1:$2,2,FALSE),FALSE)/(VLOOKUP($A131,'[1]import graded seats course pivo'!$A:AC,HLOOKUP('[1]Course Totals'!E$4,'[1]import graded seats course pivo'!$1:$2,2,FALSE),FALSE))),"")</f>
        <v>0.96551724137931039</v>
      </c>
      <c r="F131" s="14">
        <f>IFERROR((VLOOKUP($A131,'[1]import success seats course'!$A:T,HLOOKUP('[1]Course Totals'!F$4,'[1]import success seats course'!$1:$2,2,FALSE),FALSE)/(VLOOKUP($A131,'[1]import graded seats course pivo'!$A:AD,HLOOKUP('[1]Course Totals'!F$4,'[1]import graded seats course pivo'!$1:$2,2,FALSE),FALSE))),"")</f>
        <v>0.88936170212765953</v>
      </c>
      <c r="G131" s="14">
        <f>IFERROR((VLOOKUP($A131,'[1]import success seats course'!$A:U,HLOOKUP('[1]Course Totals'!G$4,'[1]import success seats course'!$1:$2,2,FALSE),FALSE)/(VLOOKUP($A131,'[1]import graded seats course pivo'!$A:AE,HLOOKUP('[1]Course Totals'!G$4,'[1]import graded seats course pivo'!$1:$2,2,FALSE),FALSE))),"")</f>
        <v>0.89603960396039606</v>
      </c>
      <c r="H131" s="14">
        <f>IFERROR((VLOOKUP($A131,'[1]import success seats course'!$A:V,HLOOKUP('[1]Course Totals'!H$4,'[1]import success seats course'!$1:$2,2,FALSE),FALSE)/(VLOOKUP($A131,'[1]import graded seats course pivo'!$A:AF,HLOOKUP('[1]Course Totals'!H$4,'[1]import graded seats course pivo'!$1:$2,2,FALSE),FALSE))),"")</f>
        <v>1</v>
      </c>
      <c r="I131" s="14">
        <f>IFERROR((VLOOKUP($A131,'[1]import success seats course'!$A:W,HLOOKUP('[1]Course Totals'!I$4,'[1]import success seats course'!$1:$2,2,FALSE),FALSE)/(VLOOKUP($A131,'[1]import graded seats course pivo'!$A:AG,HLOOKUP('[1]Course Totals'!I$4,'[1]import graded seats course pivo'!$1:$2,2,FALSE),FALSE))),"")</f>
        <v>0.90990990990990994</v>
      </c>
      <c r="J131" s="14">
        <f>IFERROR((VLOOKUP($A131,'[1]import success seats course'!$A:X,HLOOKUP('[1]Course Totals'!J$4,'[1]import success seats course'!$1:$2,2,FALSE),FALSE)/(VLOOKUP($A131,'[1]import graded seats course pivo'!$A:AH,HLOOKUP('[1]Course Totals'!J$4,'[1]import graded seats course pivo'!$1:$2,2,FALSE),FALSE))),"")</f>
        <v>0.83499999999999996</v>
      </c>
      <c r="K131" s="14" t="str">
        <f>IFERROR((VLOOKUP($A131,'[1]import success seats course'!$A:Y,HLOOKUP('[1]Course Totals'!K$4,'[1]import success seats course'!$1:$2,2,FALSE),FALSE)/(VLOOKUP($A131,'[1]import graded seats course pivo'!$A:AI,HLOOKUP('[1]Course Totals'!K$4,'[1]import graded seats course pivo'!$1:$2,2,FALSE),FALSE))),"")</f>
        <v/>
      </c>
      <c r="L131" s="14">
        <f>IFERROR((VLOOKUP($A131,'[1]import success seats course'!$A:Z,HLOOKUP('[1]Course Totals'!L$4,'[1]import success seats course'!$1:$2,2,FALSE),FALSE)/(VLOOKUP($A131,'[1]import graded seats course pivo'!$A:AJ,HLOOKUP('[1]Course Totals'!L$4,'[1]import graded seats course pivo'!$1:$2,2,FALSE),FALSE))),"")</f>
        <v>0.81122448979591832</v>
      </c>
      <c r="M131" s="14">
        <f>IFERROR((VLOOKUP($A131,'[1]import success seats course'!$A:AA,HLOOKUP('[1]Course Totals'!M$4,'[1]import success seats course'!$1:$2,2,FALSE),FALSE)/(VLOOKUP($A131,'[1]import graded seats course pivo'!$A:AK,HLOOKUP('[1]Course Totals'!M$4,'[1]import graded seats course pivo'!$1:$2,2,FALSE),FALSE))),"")</f>
        <v>0.88541666666666663</v>
      </c>
      <c r="N131" s="14" t="str">
        <f>IFERROR((VLOOKUP($A131,'[1]import success seats course'!$A:AB,HLOOKUP('[1]Course Totals'!N$4,'[1]import success seats course'!$1:$2,2,FALSE),FALSE)/(VLOOKUP($A131,'[1]import graded seats course pivo'!$A:AL,HLOOKUP('[1]Course Totals'!N$4,'[1]import graded seats course pivo'!$1:$2,2,FALSE),FALSE))),"")</f>
        <v/>
      </c>
      <c r="O131" s="14">
        <f>IFERROR((VLOOKUP($A131,'[1]import success seats course'!$A:AC,HLOOKUP('[1]Course Totals'!O$4,'[1]import success seats course'!$1:$2,2,FALSE),FALSE)/(VLOOKUP($A131,'[1]import graded seats course pivo'!$A:AM,HLOOKUP('[1]Course Totals'!O$4,'[1]import graded seats course pivo'!$1:$2,2,FALSE),FALSE))),"")</f>
        <v>0.89583333333333337</v>
      </c>
      <c r="P131" s="14">
        <f>IFERROR((VLOOKUP($A131,'[1]import success seats course'!$A:AD,HLOOKUP('[1]Course Totals'!P$4,'[1]import success seats course'!$1:$2,2,FALSE),FALSE)/(VLOOKUP($A131,'[1]import graded seats course pivo'!$A:AN,HLOOKUP('[1]Course Totals'!P$4,'[1]import graded seats course pivo'!$1:$2,2,FALSE),FALSE))),"")</f>
        <v>0.80193236714975846</v>
      </c>
      <c r="Q131" s="14" t="str">
        <f>IFERROR((VLOOKUP($A131,'[1]import success seats course'!$A:AE,HLOOKUP('[1]Course Totals'!Q$4,'[1]import success seats course'!$1:$2,2,FALSE),FALSE)/(VLOOKUP($A131,'[1]import graded seats course pivo'!$A:AO,HLOOKUP('[1]Course Totals'!Q$4,'[1]import graded seats course pivo'!$1:$2,2,FALSE),FALSE))),"")</f>
        <v/>
      </c>
      <c r="R131" s="14">
        <f>IFERROR((VLOOKUP($A131,'[1]import success seats course'!$A:AF,HLOOKUP('[1]Course Totals'!R$4,'[1]import success seats course'!$1:$2,2,FALSE),FALSE)/(VLOOKUP($A131,'[1]import graded seats course pivo'!$A:AP,HLOOKUP('[1]Course Totals'!R$4,'[1]import graded seats course pivo'!$1:$2,2,FALSE),FALSE))),"")</f>
        <v>0.81909547738693467</v>
      </c>
      <c r="S131" s="14">
        <f>IFERROR((VLOOKUP($A131,'[1]import success seats course'!$A:AG,HLOOKUP('[1]Course Totals'!S$4,'[1]import success seats course'!$1:$2,2,FALSE),FALSE)/(VLOOKUP($A131,'[1]import graded seats course pivo'!$A:AQ,HLOOKUP('[1]Course Totals'!S$4,'[1]import graded seats course pivo'!$1:$2,2,FALSE),FALSE))),"")</f>
        <v>0.85093167701863359</v>
      </c>
      <c r="Z131" s="7"/>
      <c r="AA131" s="7"/>
      <c r="AB131" s="7"/>
      <c r="AC131" s="7"/>
    </row>
    <row r="132" spans="1:29" ht="15.75" customHeight="1" x14ac:dyDescent="0.25">
      <c r="A132" s="12" t="s">
        <v>85</v>
      </c>
      <c r="B132" s="14">
        <f>IFERROR((VLOOKUP($A132,'[1]import success seats course'!$A:P,HLOOKUP('[1]Course Totals'!B$4,'[1]import success seats course'!$1:$2,2,FALSE),FALSE)/(VLOOKUP($A132,'[1]import graded seats course pivo'!$A:Z,HLOOKUP('[1]Course Totals'!B$4,'[1]import graded seats course pivo'!$1:$2,2,FALSE),FALSE))),"")</f>
        <v>1</v>
      </c>
      <c r="C132" s="14">
        <f>IFERROR((VLOOKUP($A132,'[1]import success seats course'!$A:Q,HLOOKUP('[1]Course Totals'!C$4,'[1]import success seats course'!$1:$2,2,FALSE),FALSE)/(VLOOKUP($A132,'[1]import graded seats course pivo'!$A:AA,HLOOKUP('[1]Course Totals'!C$4,'[1]import graded seats course pivo'!$1:$2,2,FALSE),FALSE))),"")</f>
        <v>0.89189189189189189</v>
      </c>
      <c r="D132" s="14">
        <f>IFERROR((VLOOKUP($A132,'[1]import success seats course'!$A:R,HLOOKUP('[1]Course Totals'!D$4,'[1]import success seats course'!$1:$2,2,FALSE),FALSE)/(VLOOKUP($A132,'[1]import graded seats course pivo'!$A:AB,HLOOKUP('[1]Course Totals'!D$4,'[1]import graded seats course pivo'!$1:$2,2,FALSE),FALSE))),"")</f>
        <v>0.95918367346938771</v>
      </c>
      <c r="E132" s="14">
        <f>IFERROR((VLOOKUP($A132,'[1]import success seats course'!$A:S,HLOOKUP('[1]Course Totals'!E$4,'[1]import success seats course'!$1:$2,2,FALSE),FALSE)/(VLOOKUP($A132,'[1]import graded seats course pivo'!$A:AC,HLOOKUP('[1]Course Totals'!E$4,'[1]import graded seats course pivo'!$1:$2,2,FALSE),FALSE))),"")</f>
        <v>0.94444444444444442</v>
      </c>
      <c r="F132" s="14">
        <f>IFERROR((VLOOKUP($A132,'[1]import success seats course'!$A:T,HLOOKUP('[1]Course Totals'!F$4,'[1]import success seats course'!$1:$2,2,FALSE),FALSE)/(VLOOKUP($A132,'[1]import graded seats course pivo'!$A:AD,HLOOKUP('[1]Course Totals'!F$4,'[1]import graded seats course pivo'!$1:$2,2,FALSE),FALSE))),"")</f>
        <v>0.96721311475409832</v>
      </c>
      <c r="G132" s="14">
        <f>IFERROR((VLOOKUP($A132,'[1]import success seats course'!$A:U,HLOOKUP('[1]Course Totals'!G$4,'[1]import success seats course'!$1:$2,2,FALSE),FALSE)/(VLOOKUP($A132,'[1]import graded seats course pivo'!$A:AE,HLOOKUP('[1]Course Totals'!G$4,'[1]import graded seats course pivo'!$1:$2,2,FALSE),FALSE))),"")</f>
        <v>0.88636363636363635</v>
      </c>
      <c r="H132" s="14" t="str">
        <f>IFERROR((VLOOKUP($A132,'[1]import success seats course'!$A:V,HLOOKUP('[1]Course Totals'!H$4,'[1]import success seats course'!$1:$2,2,FALSE),FALSE)/(VLOOKUP($A132,'[1]import graded seats course pivo'!$A:AF,HLOOKUP('[1]Course Totals'!H$4,'[1]import graded seats course pivo'!$1:$2,2,FALSE),FALSE))),"")</f>
        <v/>
      </c>
      <c r="I132" s="14">
        <f>IFERROR((VLOOKUP($A132,'[1]import success seats course'!$A:W,HLOOKUP('[1]Course Totals'!I$4,'[1]import success seats course'!$1:$2,2,FALSE),FALSE)/(VLOOKUP($A132,'[1]import graded seats course pivo'!$A:AG,HLOOKUP('[1]Course Totals'!I$4,'[1]import graded seats course pivo'!$1:$2,2,FALSE),FALSE))),"")</f>
        <v>0.87179487179487181</v>
      </c>
      <c r="J132" s="14">
        <f>IFERROR((VLOOKUP($A132,'[1]import success seats course'!$A:X,HLOOKUP('[1]Course Totals'!J$4,'[1]import success seats course'!$1:$2,2,FALSE),FALSE)/(VLOOKUP($A132,'[1]import graded seats course pivo'!$A:AH,HLOOKUP('[1]Course Totals'!J$4,'[1]import graded seats course pivo'!$1:$2,2,FALSE),FALSE))),"")</f>
        <v>0.89130434782608692</v>
      </c>
      <c r="K132" s="14" t="str">
        <f>IFERROR((VLOOKUP($A132,'[1]import success seats course'!$A:Y,HLOOKUP('[1]Course Totals'!K$4,'[1]import success seats course'!$1:$2,2,FALSE),FALSE)/(VLOOKUP($A132,'[1]import graded seats course pivo'!$A:AI,HLOOKUP('[1]Course Totals'!K$4,'[1]import graded seats course pivo'!$1:$2,2,FALSE),FALSE))),"")</f>
        <v/>
      </c>
      <c r="L132" s="14">
        <f>IFERROR((VLOOKUP($A132,'[1]import success seats course'!$A:Z,HLOOKUP('[1]Course Totals'!L$4,'[1]import success seats course'!$1:$2,2,FALSE),FALSE)/(VLOOKUP($A132,'[1]import graded seats course pivo'!$A:AJ,HLOOKUP('[1]Course Totals'!L$4,'[1]import graded seats course pivo'!$1:$2,2,FALSE),FALSE))),"")</f>
        <v>0.94736842105263153</v>
      </c>
      <c r="M132" s="14">
        <f>IFERROR((VLOOKUP($A132,'[1]import success seats course'!$A:AA,HLOOKUP('[1]Course Totals'!M$4,'[1]import success seats course'!$1:$2,2,FALSE),FALSE)/(VLOOKUP($A132,'[1]import graded seats course pivo'!$A:AK,HLOOKUP('[1]Course Totals'!M$4,'[1]import graded seats course pivo'!$1:$2,2,FALSE),FALSE))),"")</f>
        <v>0.86301369863013699</v>
      </c>
      <c r="N132" s="14" t="str">
        <f>IFERROR((VLOOKUP($A132,'[1]import success seats course'!$A:AB,HLOOKUP('[1]Course Totals'!N$4,'[1]import success seats course'!$1:$2,2,FALSE),FALSE)/(VLOOKUP($A132,'[1]import graded seats course pivo'!$A:AL,HLOOKUP('[1]Course Totals'!N$4,'[1]import graded seats course pivo'!$1:$2,2,FALSE),FALSE))),"")</f>
        <v/>
      </c>
      <c r="O132" s="14">
        <f>IFERROR((VLOOKUP($A132,'[1]import success seats course'!$A:AC,HLOOKUP('[1]Course Totals'!O$4,'[1]import success seats course'!$1:$2,2,FALSE),FALSE)/(VLOOKUP($A132,'[1]import graded seats course pivo'!$A:AM,HLOOKUP('[1]Course Totals'!O$4,'[1]import graded seats course pivo'!$1:$2,2,FALSE),FALSE))),"")</f>
        <v>0.84482758620689657</v>
      </c>
      <c r="P132" s="14">
        <f>IFERROR((VLOOKUP($A132,'[1]import success seats course'!$A:AD,HLOOKUP('[1]Course Totals'!P$4,'[1]import success seats course'!$1:$2,2,FALSE),FALSE)/(VLOOKUP($A132,'[1]import graded seats course pivo'!$A:AN,HLOOKUP('[1]Course Totals'!P$4,'[1]import graded seats course pivo'!$1:$2,2,FALSE),FALSE))),"")</f>
        <v>0.94827586206896552</v>
      </c>
      <c r="Q132" s="14" t="str">
        <f>IFERROR((VLOOKUP($A132,'[1]import success seats course'!$A:AE,HLOOKUP('[1]Course Totals'!Q$4,'[1]import success seats course'!$1:$2,2,FALSE),FALSE)/(VLOOKUP($A132,'[1]import graded seats course pivo'!$A:AO,HLOOKUP('[1]Course Totals'!Q$4,'[1]import graded seats course pivo'!$1:$2,2,FALSE),FALSE))),"")</f>
        <v/>
      </c>
      <c r="R132" s="14">
        <f>IFERROR((VLOOKUP($A132,'[1]import success seats course'!$A:AF,HLOOKUP('[1]Course Totals'!R$4,'[1]import success seats course'!$1:$2,2,FALSE),FALSE)/(VLOOKUP($A132,'[1]import graded seats course pivo'!$A:AP,HLOOKUP('[1]Course Totals'!R$4,'[1]import graded seats course pivo'!$1:$2,2,FALSE),FALSE))),"")</f>
        <v>0.86746987951807231</v>
      </c>
      <c r="S132" s="14">
        <f>IFERROR((VLOOKUP($A132,'[1]import success seats course'!$A:AG,HLOOKUP('[1]Course Totals'!S$4,'[1]import success seats course'!$1:$2,2,FALSE),FALSE)/(VLOOKUP($A132,'[1]import graded seats course pivo'!$A:AQ,HLOOKUP('[1]Course Totals'!S$4,'[1]import graded seats course pivo'!$1:$2,2,FALSE),FALSE))),"")</f>
        <v>0.8571428571428571</v>
      </c>
      <c r="Z132" s="7"/>
      <c r="AA132" s="7"/>
      <c r="AB132" s="7"/>
      <c r="AC132" s="7"/>
    </row>
    <row r="133" spans="1:29" ht="15.75" customHeight="1" x14ac:dyDescent="0.25">
      <c r="A133" s="12" t="s">
        <v>872</v>
      </c>
      <c r="B133" s="14" t="str">
        <f>IFERROR((VLOOKUP($A133,'[1]import success seats course'!$A:P,HLOOKUP('[1]Course Totals'!B$4,'[1]import success seats course'!$1:$2,2,FALSE),FALSE)/(VLOOKUP($A133,'[1]import graded seats course pivo'!$A:Z,HLOOKUP('[1]Course Totals'!B$4,'[1]import graded seats course pivo'!$1:$2,2,FALSE),FALSE))),"")</f>
        <v/>
      </c>
      <c r="C133" s="14" t="str">
        <f>IFERROR((VLOOKUP($A133,'[1]import success seats course'!$A:Q,HLOOKUP('[1]Course Totals'!C$4,'[1]import success seats course'!$1:$2,2,FALSE),FALSE)/(VLOOKUP($A133,'[1]import graded seats course pivo'!$A:AA,HLOOKUP('[1]Course Totals'!C$4,'[1]import graded seats course pivo'!$1:$2,2,FALSE),FALSE))),"")</f>
        <v/>
      </c>
      <c r="D133" s="14">
        <f>IFERROR((VLOOKUP($A133,'[1]import success seats course'!$A:R,HLOOKUP('[1]Course Totals'!D$4,'[1]import success seats course'!$1:$2,2,FALSE),FALSE)/(VLOOKUP($A133,'[1]import graded seats course pivo'!$A:AB,HLOOKUP('[1]Course Totals'!D$4,'[1]import graded seats course pivo'!$1:$2,2,FALSE),FALSE))),"")</f>
        <v>1</v>
      </c>
      <c r="E133" s="14" t="str">
        <f>IFERROR((VLOOKUP($A133,'[1]import success seats course'!$A:S,HLOOKUP('[1]Course Totals'!E$4,'[1]import success seats course'!$1:$2,2,FALSE),FALSE)/(VLOOKUP($A133,'[1]import graded seats course pivo'!$A:AC,HLOOKUP('[1]Course Totals'!E$4,'[1]import graded seats course pivo'!$1:$2,2,FALSE),FALSE))),"")</f>
        <v/>
      </c>
      <c r="F133" s="14" t="str">
        <f>IFERROR((VLOOKUP($A133,'[1]import success seats course'!$A:T,HLOOKUP('[1]Course Totals'!F$4,'[1]import success seats course'!$1:$2,2,FALSE),FALSE)/(VLOOKUP($A133,'[1]import graded seats course pivo'!$A:AD,HLOOKUP('[1]Course Totals'!F$4,'[1]import graded seats course pivo'!$1:$2,2,FALSE),FALSE))),"")</f>
        <v/>
      </c>
      <c r="G133" s="14">
        <f>IFERROR((VLOOKUP($A133,'[1]import success seats course'!$A:U,HLOOKUP('[1]Course Totals'!G$4,'[1]import success seats course'!$1:$2,2,FALSE),FALSE)/(VLOOKUP($A133,'[1]import graded seats course pivo'!$A:AE,HLOOKUP('[1]Course Totals'!G$4,'[1]import graded seats course pivo'!$1:$2,2,FALSE),FALSE))),"")</f>
        <v>0.8571428571428571</v>
      </c>
      <c r="H133" s="14" t="str">
        <f>IFERROR((VLOOKUP($A133,'[1]import success seats course'!$A:V,HLOOKUP('[1]Course Totals'!H$4,'[1]import success seats course'!$1:$2,2,FALSE),FALSE)/(VLOOKUP($A133,'[1]import graded seats course pivo'!$A:AF,HLOOKUP('[1]Course Totals'!H$4,'[1]import graded seats course pivo'!$1:$2,2,FALSE),FALSE))),"")</f>
        <v/>
      </c>
      <c r="I133" s="14" t="str">
        <f>IFERROR((VLOOKUP($A133,'[1]import success seats course'!$A:W,HLOOKUP('[1]Course Totals'!I$4,'[1]import success seats course'!$1:$2,2,FALSE),FALSE)/(VLOOKUP($A133,'[1]import graded seats course pivo'!$A:AG,HLOOKUP('[1]Course Totals'!I$4,'[1]import graded seats course pivo'!$1:$2,2,FALSE),FALSE))),"")</f>
        <v/>
      </c>
      <c r="J133" s="14">
        <f>IFERROR((VLOOKUP($A133,'[1]import success seats course'!$A:X,HLOOKUP('[1]Course Totals'!J$4,'[1]import success seats course'!$1:$2,2,FALSE),FALSE)/(VLOOKUP($A133,'[1]import graded seats course pivo'!$A:AH,HLOOKUP('[1]Course Totals'!J$4,'[1]import graded seats course pivo'!$1:$2,2,FALSE),FALSE))),"")</f>
        <v>0.7931034482758621</v>
      </c>
      <c r="K133" s="14" t="str">
        <f>IFERROR((VLOOKUP($A133,'[1]import success seats course'!$A:Y,HLOOKUP('[1]Course Totals'!K$4,'[1]import success seats course'!$1:$2,2,FALSE),FALSE)/(VLOOKUP($A133,'[1]import graded seats course pivo'!$A:AI,HLOOKUP('[1]Course Totals'!K$4,'[1]import graded seats course pivo'!$1:$2,2,FALSE),FALSE))),"")</f>
        <v/>
      </c>
      <c r="L133" s="14" t="str">
        <f>IFERROR((VLOOKUP($A133,'[1]import success seats course'!$A:Z,HLOOKUP('[1]Course Totals'!L$4,'[1]import success seats course'!$1:$2,2,FALSE),FALSE)/(VLOOKUP($A133,'[1]import graded seats course pivo'!$A:AJ,HLOOKUP('[1]Course Totals'!L$4,'[1]import graded seats course pivo'!$1:$2,2,FALSE),FALSE))),"")</f>
        <v/>
      </c>
      <c r="M133" s="14">
        <f>IFERROR((VLOOKUP($A133,'[1]import success seats course'!$A:AA,HLOOKUP('[1]Course Totals'!M$4,'[1]import success seats course'!$1:$2,2,FALSE),FALSE)/(VLOOKUP($A133,'[1]import graded seats course pivo'!$A:AK,HLOOKUP('[1]Course Totals'!M$4,'[1]import graded seats course pivo'!$1:$2,2,FALSE),FALSE))),"")</f>
        <v>0.75</v>
      </c>
      <c r="N133" s="14" t="str">
        <f>IFERROR((VLOOKUP($A133,'[1]import success seats course'!$A:AB,HLOOKUP('[1]Course Totals'!N$4,'[1]import success seats course'!$1:$2,2,FALSE),FALSE)/(VLOOKUP($A133,'[1]import graded seats course pivo'!$A:AL,HLOOKUP('[1]Course Totals'!N$4,'[1]import graded seats course pivo'!$1:$2,2,FALSE),FALSE))),"")</f>
        <v/>
      </c>
      <c r="O133" s="14" t="str">
        <f>IFERROR((VLOOKUP($A133,'[1]import success seats course'!$A:AC,HLOOKUP('[1]Course Totals'!O$4,'[1]import success seats course'!$1:$2,2,FALSE),FALSE)/(VLOOKUP($A133,'[1]import graded seats course pivo'!$A:AM,HLOOKUP('[1]Course Totals'!O$4,'[1]import graded seats course pivo'!$1:$2,2,FALSE),FALSE))),"")</f>
        <v/>
      </c>
      <c r="P133" s="14">
        <f>IFERROR((VLOOKUP($A133,'[1]import success seats course'!$A:AD,HLOOKUP('[1]Course Totals'!P$4,'[1]import success seats course'!$1:$2,2,FALSE),FALSE)/(VLOOKUP($A133,'[1]import graded seats course pivo'!$A:AN,HLOOKUP('[1]Course Totals'!P$4,'[1]import graded seats course pivo'!$1:$2,2,FALSE),FALSE))),"")</f>
        <v>0.61538461538461542</v>
      </c>
      <c r="Q133" s="14" t="str">
        <f>IFERROR((VLOOKUP($A133,'[1]import success seats course'!$A:AE,HLOOKUP('[1]Course Totals'!Q$4,'[1]import success seats course'!$1:$2,2,FALSE),FALSE)/(VLOOKUP($A133,'[1]import graded seats course pivo'!$A:AO,HLOOKUP('[1]Course Totals'!Q$4,'[1]import graded seats course pivo'!$1:$2,2,FALSE),FALSE))),"")</f>
        <v/>
      </c>
      <c r="R133" s="14" t="str">
        <f>IFERROR((VLOOKUP($A133,'[1]import success seats course'!$A:AF,HLOOKUP('[1]Course Totals'!R$4,'[1]import success seats course'!$1:$2,2,FALSE),FALSE)/(VLOOKUP($A133,'[1]import graded seats course pivo'!$A:AP,HLOOKUP('[1]Course Totals'!R$4,'[1]import graded seats course pivo'!$1:$2,2,FALSE),FALSE))),"")</f>
        <v/>
      </c>
      <c r="S133" s="14">
        <f>IFERROR((VLOOKUP($A133,'[1]import success seats course'!$A:AG,HLOOKUP('[1]Course Totals'!S$4,'[1]import success seats course'!$1:$2,2,FALSE),FALSE)/(VLOOKUP($A133,'[1]import graded seats course pivo'!$A:AQ,HLOOKUP('[1]Course Totals'!S$4,'[1]import graded seats course pivo'!$1:$2,2,FALSE),FALSE))),"")</f>
        <v>1</v>
      </c>
      <c r="Z133" s="7"/>
      <c r="AA133" s="7"/>
      <c r="AB133" s="7"/>
      <c r="AC133" s="7"/>
    </row>
    <row r="134" spans="1:29" ht="15.75" customHeight="1" x14ac:dyDescent="0.25">
      <c r="A134" s="12" t="s">
        <v>86</v>
      </c>
      <c r="B134" s="14" t="str">
        <f>IFERROR((VLOOKUP($A134,'[1]import success seats course'!$A:P,HLOOKUP('[1]Course Totals'!B$4,'[1]import success seats course'!$1:$2,2,FALSE),FALSE)/(VLOOKUP($A134,'[1]import graded seats course pivo'!$A:Z,HLOOKUP('[1]Course Totals'!B$4,'[1]import graded seats course pivo'!$1:$2,2,FALSE),FALSE))),"")</f>
        <v/>
      </c>
      <c r="C134" s="14">
        <f>IFERROR((VLOOKUP($A134,'[1]import success seats course'!$A:Q,HLOOKUP('[1]Course Totals'!C$4,'[1]import success seats course'!$1:$2,2,FALSE),FALSE)/(VLOOKUP($A134,'[1]import graded seats course pivo'!$A:AA,HLOOKUP('[1]Course Totals'!C$4,'[1]import graded seats course pivo'!$1:$2,2,FALSE),FALSE))),"")</f>
        <v>0.68421052631578949</v>
      </c>
      <c r="D134" s="14">
        <f>IFERROR((VLOOKUP($A134,'[1]import success seats course'!$A:R,HLOOKUP('[1]Course Totals'!D$4,'[1]import success seats course'!$1:$2,2,FALSE),FALSE)/(VLOOKUP($A134,'[1]import graded seats course pivo'!$A:AB,HLOOKUP('[1]Course Totals'!D$4,'[1]import graded seats course pivo'!$1:$2,2,FALSE),FALSE))),"")</f>
        <v>0.94871794871794868</v>
      </c>
      <c r="E134" s="14" t="str">
        <f>IFERROR((VLOOKUP($A134,'[1]import success seats course'!$A:S,HLOOKUP('[1]Course Totals'!E$4,'[1]import success seats course'!$1:$2,2,FALSE),FALSE)/(VLOOKUP($A134,'[1]import graded seats course pivo'!$A:AC,HLOOKUP('[1]Course Totals'!E$4,'[1]import graded seats course pivo'!$1:$2,2,FALSE),FALSE))),"")</f>
        <v/>
      </c>
      <c r="F134" s="14">
        <f>IFERROR((VLOOKUP($A134,'[1]import success seats course'!$A:T,HLOOKUP('[1]Course Totals'!F$4,'[1]import success seats course'!$1:$2,2,FALSE),FALSE)/(VLOOKUP($A134,'[1]import graded seats course pivo'!$A:AD,HLOOKUP('[1]Course Totals'!F$4,'[1]import graded seats course pivo'!$1:$2,2,FALSE),FALSE))),"")</f>
        <v>0.87804878048780488</v>
      </c>
      <c r="G134" s="14">
        <f>IFERROR((VLOOKUP($A134,'[1]import success seats course'!$A:U,HLOOKUP('[1]Course Totals'!G$4,'[1]import success seats course'!$1:$2,2,FALSE),FALSE)/(VLOOKUP($A134,'[1]import graded seats course pivo'!$A:AE,HLOOKUP('[1]Course Totals'!G$4,'[1]import graded seats course pivo'!$1:$2,2,FALSE),FALSE))),"")</f>
        <v>0.96296296296296291</v>
      </c>
      <c r="H134" s="14" t="str">
        <f>IFERROR((VLOOKUP($A134,'[1]import success seats course'!$A:V,HLOOKUP('[1]Course Totals'!H$4,'[1]import success seats course'!$1:$2,2,FALSE),FALSE)/(VLOOKUP($A134,'[1]import graded seats course pivo'!$A:AF,HLOOKUP('[1]Course Totals'!H$4,'[1]import graded seats course pivo'!$1:$2,2,FALSE),FALSE))),"")</f>
        <v/>
      </c>
      <c r="I134" s="14">
        <f>IFERROR((VLOOKUP($A134,'[1]import success seats course'!$A:W,HLOOKUP('[1]Course Totals'!I$4,'[1]import success seats course'!$1:$2,2,FALSE),FALSE)/(VLOOKUP($A134,'[1]import graded seats course pivo'!$A:AG,HLOOKUP('[1]Course Totals'!I$4,'[1]import graded seats course pivo'!$1:$2,2,FALSE),FALSE))),"")</f>
        <v>1</v>
      </c>
      <c r="J134" s="14">
        <f>IFERROR((VLOOKUP($A134,'[1]import success seats course'!$A:X,HLOOKUP('[1]Course Totals'!J$4,'[1]import success seats course'!$1:$2,2,FALSE),FALSE)/(VLOOKUP($A134,'[1]import graded seats course pivo'!$A:AH,HLOOKUP('[1]Course Totals'!J$4,'[1]import graded seats course pivo'!$1:$2,2,FALSE),FALSE))),"")</f>
        <v>0.87096774193548387</v>
      </c>
      <c r="K134" s="14" t="str">
        <f>IFERROR((VLOOKUP($A134,'[1]import success seats course'!$A:Y,HLOOKUP('[1]Course Totals'!K$4,'[1]import success seats course'!$1:$2,2,FALSE),FALSE)/(VLOOKUP($A134,'[1]import graded seats course pivo'!$A:AI,HLOOKUP('[1]Course Totals'!K$4,'[1]import graded seats course pivo'!$1:$2,2,FALSE),FALSE))),"")</f>
        <v/>
      </c>
      <c r="L134" s="14">
        <f>IFERROR((VLOOKUP($A134,'[1]import success seats course'!$A:Z,HLOOKUP('[1]Course Totals'!L$4,'[1]import success seats course'!$1:$2,2,FALSE),FALSE)/(VLOOKUP($A134,'[1]import graded seats course pivo'!$A:AJ,HLOOKUP('[1]Course Totals'!L$4,'[1]import graded seats course pivo'!$1:$2,2,FALSE),FALSE))),"")</f>
        <v>1</v>
      </c>
      <c r="M134" s="14">
        <f>IFERROR((VLOOKUP($A134,'[1]import success seats course'!$A:AA,HLOOKUP('[1]Course Totals'!M$4,'[1]import success seats course'!$1:$2,2,FALSE),FALSE)/(VLOOKUP($A134,'[1]import graded seats course pivo'!$A:AK,HLOOKUP('[1]Course Totals'!M$4,'[1]import graded seats course pivo'!$1:$2,2,FALSE),FALSE))),"")</f>
        <v>0.84</v>
      </c>
      <c r="N134" s="14" t="str">
        <f>IFERROR((VLOOKUP($A134,'[1]import success seats course'!$A:AB,HLOOKUP('[1]Course Totals'!N$4,'[1]import success seats course'!$1:$2,2,FALSE),FALSE)/(VLOOKUP($A134,'[1]import graded seats course pivo'!$A:AL,HLOOKUP('[1]Course Totals'!N$4,'[1]import graded seats course pivo'!$1:$2,2,FALSE),FALSE))),"")</f>
        <v/>
      </c>
      <c r="O134" s="14">
        <f>IFERROR((VLOOKUP($A134,'[1]import success seats course'!$A:AC,HLOOKUP('[1]Course Totals'!O$4,'[1]import success seats course'!$1:$2,2,FALSE),FALSE)/(VLOOKUP($A134,'[1]import graded seats course pivo'!$A:AM,HLOOKUP('[1]Course Totals'!O$4,'[1]import graded seats course pivo'!$1:$2,2,FALSE),FALSE))),"")</f>
        <v>1</v>
      </c>
      <c r="P134" s="14">
        <f>IFERROR((VLOOKUP($A134,'[1]import success seats course'!$A:AD,HLOOKUP('[1]Course Totals'!P$4,'[1]import success seats course'!$1:$2,2,FALSE),FALSE)/(VLOOKUP($A134,'[1]import graded seats course pivo'!$A:AN,HLOOKUP('[1]Course Totals'!P$4,'[1]import graded seats course pivo'!$1:$2,2,FALSE),FALSE))),"")</f>
        <v>0.9642857142857143</v>
      </c>
      <c r="Q134" s="14" t="str">
        <f>IFERROR((VLOOKUP($A134,'[1]import success seats course'!$A:AE,HLOOKUP('[1]Course Totals'!Q$4,'[1]import success seats course'!$1:$2,2,FALSE),FALSE)/(VLOOKUP($A134,'[1]import graded seats course pivo'!$A:AO,HLOOKUP('[1]Course Totals'!Q$4,'[1]import graded seats course pivo'!$1:$2,2,FALSE),FALSE))),"")</f>
        <v/>
      </c>
      <c r="R134" s="14">
        <f>IFERROR((VLOOKUP($A134,'[1]import success seats course'!$A:AF,HLOOKUP('[1]Course Totals'!R$4,'[1]import success seats course'!$1:$2,2,FALSE),FALSE)/(VLOOKUP($A134,'[1]import graded seats course pivo'!$A:AP,HLOOKUP('[1]Course Totals'!R$4,'[1]import graded seats course pivo'!$1:$2,2,FALSE),FALSE))),"")</f>
        <v>0.83333333333333337</v>
      </c>
      <c r="S134" s="14">
        <f>IFERROR((VLOOKUP($A134,'[1]import success seats course'!$A:AG,HLOOKUP('[1]Course Totals'!S$4,'[1]import success seats course'!$1:$2,2,FALSE),FALSE)/(VLOOKUP($A134,'[1]import graded seats course pivo'!$A:AQ,HLOOKUP('[1]Course Totals'!S$4,'[1]import graded seats course pivo'!$1:$2,2,FALSE),FALSE))),"")</f>
        <v>0.96551724137931039</v>
      </c>
      <c r="Z134" s="7"/>
      <c r="AA134" s="7"/>
      <c r="AB134" s="7"/>
      <c r="AC134" s="7"/>
    </row>
    <row r="135" spans="1:29" ht="15.75" customHeight="1" x14ac:dyDescent="0.25">
      <c r="A135" s="12" t="s">
        <v>87</v>
      </c>
      <c r="B135" s="14" t="str">
        <f>IFERROR((VLOOKUP($A135,'[1]import success seats course'!$A:P,HLOOKUP('[1]Course Totals'!B$4,'[1]import success seats course'!$1:$2,2,FALSE),FALSE)/(VLOOKUP($A135,'[1]import graded seats course pivo'!$A:Z,HLOOKUP('[1]Course Totals'!B$4,'[1]import graded seats course pivo'!$1:$2,2,FALSE),FALSE))),"")</f>
        <v/>
      </c>
      <c r="C135" s="14">
        <f>IFERROR((VLOOKUP($A135,'[1]import success seats course'!$A:Q,HLOOKUP('[1]Course Totals'!C$4,'[1]import success seats course'!$1:$2,2,FALSE),FALSE)/(VLOOKUP($A135,'[1]import graded seats course pivo'!$A:AA,HLOOKUP('[1]Course Totals'!C$4,'[1]import graded seats course pivo'!$1:$2,2,FALSE),FALSE))),"")</f>
        <v>0.8571428571428571</v>
      </c>
      <c r="D135" s="14">
        <f>IFERROR((VLOOKUP($A135,'[1]import success seats course'!$A:R,HLOOKUP('[1]Course Totals'!D$4,'[1]import success seats course'!$1:$2,2,FALSE),FALSE)/(VLOOKUP($A135,'[1]import graded seats course pivo'!$A:AB,HLOOKUP('[1]Course Totals'!D$4,'[1]import graded seats course pivo'!$1:$2,2,FALSE),FALSE))),"")</f>
        <v>1</v>
      </c>
      <c r="E135" s="14" t="str">
        <f>IFERROR((VLOOKUP($A135,'[1]import success seats course'!$A:S,HLOOKUP('[1]Course Totals'!E$4,'[1]import success seats course'!$1:$2,2,FALSE),FALSE)/(VLOOKUP($A135,'[1]import graded seats course pivo'!$A:AC,HLOOKUP('[1]Course Totals'!E$4,'[1]import graded seats course pivo'!$1:$2,2,FALSE),FALSE))),"")</f>
        <v/>
      </c>
      <c r="F135" s="14">
        <f>IFERROR((VLOOKUP($A135,'[1]import success seats course'!$A:T,HLOOKUP('[1]Course Totals'!F$4,'[1]import success seats course'!$1:$2,2,FALSE),FALSE)/(VLOOKUP($A135,'[1]import graded seats course pivo'!$A:AD,HLOOKUP('[1]Course Totals'!F$4,'[1]import graded seats course pivo'!$1:$2,2,FALSE),FALSE))),"")</f>
        <v>1</v>
      </c>
      <c r="G135" s="14">
        <f>IFERROR((VLOOKUP($A135,'[1]import success seats course'!$A:U,HLOOKUP('[1]Course Totals'!G$4,'[1]import success seats course'!$1:$2,2,FALSE),FALSE)/(VLOOKUP($A135,'[1]import graded seats course pivo'!$A:AE,HLOOKUP('[1]Course Totals'!G$4,'[1]import graded seats course pivo'!$1:$2,2,FALSE),FALSE))),"")</f>
        <v>0.625</v>
      </c>
      <c r="H135" s="14" t="str">
        <f>IFERROR((VLOOKUP($A135,'[1]import success seats course'!$A:V,HLOOKUP('[1]Course Totals'!H$4,'[1]import success seats course'!$1:$2,2,FALSE),FALSE)/(VLOOKUP($A135,'[1]import graded seats course pivo'!$A:AF,HLOOKUP('[1]Course Totals'!H$4,'[1]import graded seats course pivo'!$1:$2,2,FALSE),FALSE))),"")</f>
        <v/>
      </c>
      <c r="I135" s="14">
        <f>IFERROR((VLOOKUP($A135,'[1]import success seats course'!$A:W,HLOOKUP('[1]Course Totals'!I$4,'[1]import success seats course'!$1:$2,2,FALSE),FALSE)/(VLOOKUP($A135,'[1]import graded seats course pivo'!$A:AG,HLOOKUP('[1]Course Totals'!I$4,'[1]import graded seats course pivo'!$1:$2,2,FALSE),FALSE))),"")</f>
        <v>0.7</v>
      </c>
      <c r="J135" s="14">
        <f>IFERROR((VLOOKUP($A135,'[1]import success seats course'!$A:X,HLOOKUP('[1]Course Totals'!J$4,'[1]import success seats course'!$1:$2,2,FALSE),FALSE)/(VLOOKUP($A135,'[1]import graded seats course pivo'!$A:AH,HLOOKUP('[1]Course Totals'!J$4,'[1]import graded seats course pivo'!$1:$2,2,FALSE),FALSE))),"")</f>
        <v>1</v>
      </c>
      <c r="K135" s="14" t="str">
        <f>IFERROR((VLOOKUP($A135,'[1]import success seats course'!$A:Y,HLOOKUP('[1]Course Totals'!K$4,'[1]import success seats course'!$1:$2,2,FALSE),FALSE)/(VLOOKUP($A135,'[1]import graded seats course pivo'!$A:AI,HLOOKUP('[1]Course Totals'!K$4,'[1]import graded seats course pivo'!$1:$2,2,FALSE),FALSE))),"")</f>
        <v/>
      </c>
      <c r="L135" s="14">
        <f>IFERROR((VLOOKUP($A135,'[1]import success seats course'!$A:Z,HLOOKUP('[1]Course Totals'!L$4,'[1]import success seats course'!$1:$2,2,FALSE),FALSE)/(VLOOKUP($A135,'[1]import graded seats course pivo'!$A:AJ,HLOOKUP('[1]Course Totals'!L$4,'[1]import graded seats course pivo'!$1:$2,2,FALSE),FALSE))),"")</f>
        <v>1</v>
      </c>
      <c r="M135" s="14">
        <f>IFERROR((VLOOKUP($A135,'[1]import success seats course'!$A:AA,HLOOKUP('[1]Course Totals'!M$4,'[1]import success seats course'!$1:$2,2,FALSE),FALSE)/(VLOOKUP($A135,'[1]import graded seats course pivo'!$A:AK,HLOOKUP('[1]Course Totals'!M$4,'[1]import graded seats course pivo'!$1:$2,2,FALSE),FALSE))),"")</f>
        <v>0.9285714285714286</v>
      </c>
      <c r="N135" s="14" t="str">
        <f>IFERROR((VLOOKUP($A135,'[1]import success seats course'!$A:AB,HLOOKUP('[1]Course Totals'!N$4,'[1]import success seats course'!$1:$2,2,FALSE),FALSE)/(VLOOKUP($A135,'[1]import graded seats course pivo'!$A:AL,HLOOKUP('[1]Course Totals'!N$4,'[1]import graded seats course pivo'!$1:$2,2,FALSE),FALSE))),"")</f>
        <v/>
      </c>
      <c r="O135" s="14">
        <f>IFERROR((VLOOKUP($A135,'[1]import success seats course'!$A:AC,HLOOKUP('[1]Course Totals'!O$4,'[1]import success seats course'!$1:$2,2,FALSE),FALSE)/(VLOOKUP($A135,'[1]import graded seats course pivo'!$A:AM,HLOOKUP('[1]Course Totals'!O$4,'[1]import graded seats course pivo'!$1:$2,2,FALSE),FALSE))),"")</f>
        <v>0.88235294117647056</v>
      </c>
      <c r="P135" s="14">
        <f>IFERROR((VLOOKUP($A135,'[1]import success seats course'!$A:AD,HLOOKUP('[1]Course Totals'!P$4,'[1]import success seats course'!$1:$2,2,FALSE),FALSE)/(VLOOKUP($A135,'[1]import graded seats course pivo'!$A:AN,HLOOKUP('[1]Course Totals'!P$4,'[1]import graded seats course pivo'!$1:$2,2,FALSE),FALSE))),"")</f>
        <v>0.75</v>
      </c>
      <c r="Q135" s="14" t="str">
        <f>IFERROR((VLOOKUP($A135,'[1]import success seats course'!$A:AE,HLOOKUP('[1]Course Totals'!Q$4,'[1]import success seats course'!$1:$2,2,FALSE),FALSE)/(VLOOKUP($A135,'[1]import graded seats course pivo'!$A:AO,HLOOKUP('[1]Course Totals'!Q$4,'[1]import graded seats course pivo'!$1:$2,2,FALSE),FALSE))),"")</f>
        <v/>
      </c>
      <c r="R135" s="14" t="str">
        <f>IFERROR((VLOOKUP($A135,'[1]import success seats course'!$A:AF,HLOOKUP('[1]Course Totals'!R$4,'[1]import success seats course'!$1:$2,2,FALSE),FALSE)/(VLOOKUP($A135,'[1]import graded seats course pivo'!$A:AP,HLOOKUP('[1]Course Totals'!R$4,'[1]import graded seats course pivo'!$1:$2,2,FALSE),FALSE))),"")</f>
        <v/>
      </c>
      <c r="S135" s="14">
        <f>IFERROR((VLOOKUP($A135,'[1]import success seats course'!$A:AG,HLOOKUP('[1]Course Totals'!S$4,'[1]import success seats course'!$1:$2,2,FALSE),FALSE)/(VLOOKUP($A135,'[1]import graded seats course pivo'!$A:AQ,HLOOKUP('[1]Course Totals'!S$4,'[1]import graded seats course pivo'!$1:$2,2,FALSE),FALSE))),"")</f>
        <v>1</v>
      </c>
      <c r="Z135" s="7"/>
      <c r="AA135" s="7"/>
      <c r="AB135" s="7"/>
      <c r="AC135" s="7"/>
    </row>
    <row r="136" spans="1:29" ht="15.75" customHeight="1" x14ac:dyDescent="0.25">
      <c r="A136" s="12" t="s">
        <v>682</v>
      </c>
      <c r="B136" s="14" t="str">
        <f>IFERROR((VLOOKUP($A136,'[1]import success seats course'!$A:P,HLOOKUP('[1]Course Totals'!B$4,'[1]import success seats course'!$1:$2,2,FALSE),FALSE)/(VLOOKUP($A136,'[1]import graded seats course pivo'!$A:Z,HLOOKUP('[1]Course Totals'!B$4,'[1]import graded seats course pivo'!$1:$2,2,FALSE),FALSE))),"")</f>
        <v/>
      </c>
      <c r="C136" s="14" t="str">
        <f>IFERROR((VLOOKUP($A136,'[1]import success seats course'!$A:Q,HLOOKUP('[1]Course Totals'!C$4,'[1]import success seats course'!$1:$2,2,FALSE),FALSE)/(VLOOKUP($A136,'[1]import graded seats course pivo'!$A:AA,HLOOKUP('[1]Course Totals'!C$4,'[1]import graded seats course pivo'!$1:$2,2,FALSE),FALSE))),"")</f>
        <v/>
      </c>
      <c r="D136" s="14" t="str">
        <f>IFERROR((VLOOKUP($A136,'[1]import success seats course'!$A:R,HLOOKUP('[1]Course Totals'!D$4,'[1]import success seats course'!$1:$2,2,FALSE),FALSE)/(VLOOKUP($A136,'[1]import graded seats course pivo'!$A:AB,HLOOKUP('[1]Course Totals'!D$4,'[1]import graded seats course pivo'!$1:$2,2,FALSE),FALSE))),"")</f>
        <v/>
      </c>
      <c r="E136" s="14" t="str">
        <f>IFERROR((VLOOKUP($A136,'[1]import success seats course'!$A:S,HLOOKUP('[1]Course Totals'!E$4,'[1]import success seats course'!$1:$2,2,FALSE),FALSE)/(VLOOKUP($A136,'[1]import graded seats course pivo'!$A:AC,HLOOKUP('[1]Course Totals'!E$4,'[1]import graded seats course pivo'!$1:$2,2,FALSE),FALSE))),"")</f>
        <v/>
      </c>
      <c r="F136" s="14" t="str">
        <f>IFERROR((VLOOKUP($A136,'[1]import success seats course'!$A:T,HLOOKUP('[1]Course Totals'!F$4,'[1]import success seats course'!$1:$2,2,FALSE),FALSE)/(VLOOKUP($A136,'[1]import graded seats course pivo'!$A:AD,HLOOKUP('[1]Course Totals'!F$4,'[1]import graded seats course pivo'!$1:$2,2,FALSE),FALSE))),"")</f>
        <v/>
      </c>
      <c r="G136" s="14">
        <f>IFERROR((VLOOKUP($A136,'[1]import success seats course'!$A:U,HLOOKUP('[1]Course Totals'!G$4,'[1]import success seats course'!$1:$2,2,FALSE),FALSE)/(VLOOKUP($A136,'[1]import graded seats course pivo'!$A:AE,HLOOKUP('[1]Course Totals'!G$4,'[1]import graded seats course pivo'!$1:$2,2,FALSE),FALSE))),"")</f>
        <v>0.83333333333333337</v>
      </c>
      <c r="H136" s="14" t="str">
        <f>IFERROR((VLOOKUP($A136,'[1]import success seats course'!$A:V,HLOOKUP('[1]Course Totals'!H$4,'[1]import success seats course'!$1:$2,2,FALSE),FALSE)/(VLOOKUP($A136,'[1]import graded seats course pivo'!$A:AF,HLOOKUP('[1]Course Totals'!H$4,'[1]import graded seats course pivo'!$1:$2,2,FALSE),FALSE))),"")</f>
        <v/>
      </c>
      <c r="I136" s="14">
        <f>IFERROR((VLOOKUP($A136,'[1]import success seats course'!$A:W,HLOOKUP('[1]Course Totals'!I$4,'[1]import success seats course'!$1:$2,2,FALSE),FALSE)/(VLOOKUP($A136,'[1]import graded seats course pivo'!$A:AG,HLOOKUP('[1]Course Totals'!I$4,'[1]import graded seats course pivo'!$1:$2,2,FALSE),FALSE))),"")</f>
        <v>1</v>
      </c>
      <c r="J136" s="14" t="str">
        <f>IFERROR((VLOOKUP($A136,'[1]import success seats course'!$A:X,HLOOKUP('[1]Course Totals'!J$4,'[1]import success seats course'!$1:$2,2,FALSE),FALSE)/(VLOOKUP($A136,'[1]import graded seats course pivo'!$A:AH,HLOOKUP('[1]Course Totals'!J$4,'[1]import graded seats course pivo'!$1:$2,2,FALSE),FALSE))),"")</f>
        <v/>
      </c>
      <c r="K136" s="14" t="str">
        <f>IFERROR((VLOOKUP($A136,'[1]import success seats course'!$A:Y,HLOOKUP('[1]Course Totals'!K$4,'[1]import success seats course'!$1:$2,2,FALSE),FALSE)/(VLOOKUP($A136,'[1]import graded seats course pivo'!$A:AI,HLOOKUP('[1]Course Totals'!K$4,'[1]import graded seats course pivo'!$1:$2,2,FALSE),FALSE))),"")</f>
        <v/>
      </c>
      <c r="L136" s="14">
        <f>IFERROR((VLOOKUP($A136,'[1]import success seats course'!$A:Z,HLOOKUP('[1]Course Totals'!L$4,'[1]import success seats course'!$1:$2,2,FALSE),FALSE)/(VLOOKUP($A136,'[1]import graded seats course pivo'!$A:AJ,HLOOKUP('[1]Course Totals'!L$4,'[1]import graded seats course pivo'!$1:$2,2,FALSE),FALSE))),"")</f>
        <v>0.81818181818181823</v>
      </c>
      <c r="M136" s="14">
        <f>IFERROR((VLOOKUP($A136,'[1]import success seats course'!$A:AA,HLOOKUP('[1]Course Totals'!M$4,'[1]import success seats course'!$1:$2,2,FALSE),FALSE)/(VLOOKUP($A136,'[1]import graded seats course pivo'!$A:AK,HLOOKUP('[1]Course Totals'!M$4,'[1]import graded seats course pivo'!$1:$2,2,FALSE),FALSE))),"")</f>
        <v>0.75</v>
      </c>
      <c r="N136" s="14" t="str">
        <f>IFERROR((VLOOKUP($A136,'[1]import success seats course'!$A:AB,HLOOKUP('[1]Course Totals'!N$4,'[1]import success seats course'!$1:$2,2,FALSE),FALSE)/(VLOOKUP($A136,'[1]import graded seats course pivo'!$A:AL,HLOOKUP('[1]Course Totals'!N$4,'[1]import graded seats course pivo'!$1:$2,2,FALSE),FALSE))),"")</f>
        <v/>
      </c>
      <c r="O136" s="14" t="str">
        <f>IFERROR((VLOOKUP($A136,'[1]import success seats course'!$A:AC,HLOOKUP('[1]Course Totals'!O$4,'[1]import success seats course'!$1:$2,2,FALSE),FALSE)/(VLOOKUP($A136,'[1]import graded seats course pivo'!$A:AM,HLOOKUP('[1]Course Totals'!O$4,'[1]import graded seats course pivo'!$1:$2,2,FALSE),FALSE))),"")</f>
        <v/>
      </c>
      <c r="P136" s="14">
        <f>IFERROR((VLOOKUP($A136,'[1]import success seats course'!$A:AD,HLOOKUP('[1]Course Totals'!P$4,'[1]import success seats course'!$1:$2,2,FALSE),FALSE)/(VLOOKUP($A136,'[1]import graded seats course pivo'!$A:AN,HLOOKUP('[1]Course Totals'!P$4,'[1]import graded seats course pivo'!$1:$2,2,FALSE),FALSE))),"")</f>
        <v>1</v>
      </c>
      <c r="Q136" s="14" t="str">
        <f>IFERROR((VLOOKUP($A136,'[1]import success seats course'!$A:AE,HLOOKUP('[1]Course Totals'!Q$4,'[1]import success seats course'!$1:$2,2,FALSE),FALSE)/(VLOOKUP($A136,'[1]import graded seats course pivo'!$A:AO,HLOOKUP('[1]Course Totals'!Q$4,'[1]import graded seats course pivo'!$1:$2,2,FALSE),FALSE))),"")</f>
        <v/>
      </c>
      <c r="R136" s="14" t="str">
        <f>IFERROR((VLOOKUP($A136,'[1]import success seats course'!$A:AF,HLOOKUP('[1]Course Totals'!R$4,'[1]import success seats course'!$1:$2,2,FALSE),FALSE)/(VLOOKUP($A136,'[1]import graded seats course pivo'!$A:AP,HLOOKUP('[1]Course Totals'!R$4,'[1]import graded seats course pivo'!$1:$2,2,FALSE),FALSE))),"")</f>
        <v/>
      </c>
      <c r="S136" s="14" t="str">
        <f>IFERROR((VLOOKUP($A136,'[1]import success seats course'!$A:AG,HLOOKUP('[1]Course Totals'!S$4,'[1]import success seats course'!$1:$2,2,FALSE),FALSE)/(VLOOKUP($A136,'[1]import graded seats course pivo'!$A:AQ,HLOOKUP('[1]Course Totals'!S$4,'[1]import graded seats course pivo'!$1:$2,2,FALSE),FALSE))),"")</f>
        <v/>
      </c>
      <c r="Z136" s="7"/>
      <c r="AA136" s="7"/>
      <c r="AB136" s="7"/>
      <c r="AC136" s="7"/>
    </row>
    <row r="137" spans="1:29" ht="15.75" customHeight="1" x14ac:dyDescent="0.25">
      <c r="A137" s="12" t="s">
        <v>88</v>
      </c>
      <c r="B137" s="14" t="str">
        <f>IFERROR((VLOOKUP($A137,'[1]import success seats course'!$A:P,HLOOKUP('[1]Course Totals'!B$4,'[1]import success seats course'!$1:$2,2,FALSE),FALSE)/(VLOOKUP($A137,'[1]import graded seats course pivo'!$A:Z,HLOOKUP('[1]Course Totals'!B$4,'[1]import graded seats course pivo'!$1:$2,2,FALSE),FALSE))),"")</f>
        <v/>
      </c>
      <c r="C137" s="14">
        <f>IFERROR((VLOOKUP($A137,'[1]import success seats course'!$A:Q,HLOOKUP('[1]Course Totals'!C$4,'[1]import success seats course'!$1:$2,2,FALSE),FALSE)/(VLOOKUP($A137,'[1]import graded seats course pivo'!$A:AA,HLOOKUP('[1]Course Totals'!C$4,'[1]import graded seats course pivo'!$1:$2,2,FALSE),FALSE))),"")</f>
        <v>0.9</v>
      </c>
      <c r="D137" s="14">
        <f>IFERROR((VLOOKUP($A137,'[1]import success seats course'!$A:R,HLOOKUP('[1]Course Totals'!D$4,'[1]import success seats course'!$1:$2,2,FALSE),FALSE)/(VLOOKUP($A137,'[1]import graded seats course pivo'!$A:AB,HLOOKUP('[1]Course Totals'!D$4,'[1]import graded seats course pivo'!$1:$2,2,FALSE),FALSE))),"")</f>
        <v>0.875</v>
      </c>
      <c r="E137" s="14" t="str">
        <f>IFERROR((VLOOKUP($A137,'[1]import success seats course'!$A:S,HLOOKUP('[1]Course Totals'!E$4,'[1]import success seats course'!$1:$2,2,FALSE),FALSE)/(VLOOKUP($A137,'[1]import graded seats course pivo'!$A:AC,HLOOKUP('[1]Course Totals'!E$4,'[1]import graded seats course pivo'!$1:$2,2,FALSE),FALSE))),"")</f>
        <v/>
      </c>
      <c r="F137" s="14">
        <f>IFERROR((VLOOKUP($A137,'[1]import success seats course'!$A:T,HLOOKUP('[1]Course Totals'!F$4,'[1]import success seats course'!$1:$2,2,FALSE),FALSE)/(VLOOKUP($A137,'[1]import graded seats course pivo'!$A:AD,HLOOKUP('[1]Course Totals'!F$4,'[1]import graded seats course pivo'!$1:$2,2,FALSE),FALSE))),"")</f>
        <v>0.84615384615384615</v>
      </c>
      <c r="G137" s="14">
        <f>IFERROR((VLOOKUP($A137,'[1]import success seats course'!$A:U,HLOOKUP('[1]Course Totals'!G$4,'[1]import success seats course'!$1:$2,2,FALSE),FALSE)/(VLOOKUP($A137,'[1]import graded seats course pivo'!$A:AE,HLOOKUP('[1]Course Totals'!G$4,'[1]import graded seats course pivo'!$1:$2,2,FALSE),FALSE))),"")</f>
        <v>0.84615384615384615</v>
      </c>
      <c r="H137" s="14" t="str">
        <f>IFERROR((VLOOKUP($A137,'[1]import success seats course'!$A:V,HLOOKUP('[1]Course Totals'!H$4,'[1]import success seats course'!$1:$2,2,FALSE),FALSE)/(VLOOKUP($A137,'[1]import graded seats course pivo'!$A:AF,HLOOKUP('[1]Course Totals'!H$4,'[1]import graded seats course pivo'!$1:$2,2,FALSE),FALSE))),"")</f>
        <v/>
      </c>
      <c r="I137" s="14">
        <f>IFERROR((VLOOKUP($A137,'[1]import success seats course'!$A:W,HLOOKUP('[1]Course Totals'!I$4,'[1]import success seats course'!$1:$2,2,FALSE),FALSE)/(VLOOKUP($A137,'[1]import graded seats course pivo'!$A:AG,HLOOKUP('[1]Course Totals'!I$4,'[1]import graded seats course pivo'!$1:$2,2,FALSE),FALSE))),"")</f>
        <v>0.92592592592592593</v>
      </c>
      <c r="J137" s="14">
        <f>IFERROR((VLOOKUP($A137,'[1]import success seats course'!$A:X,HLOOKUP('[1]Course Totals'!J$4,'[1]import success seats course'!$1:$2,2,FALSE),FALSE)/(VLOOKUP($A137,'[1]import graded seats course pivo'!$A:AH,HLOOKUP('[1]Course Totals'!J$4,'[1]import graded seats course pivo'!$1:$2,2,FALSE),FALSE))),"")</f>
        <v>1</v>
      </c>
      <c r="K137" s="14" t="str">
        <f>IFERROR((VLOOKUP($A137,'[1]import success seats course'!$A:Y,HLOOKUP('[1]Course Totals'!K$4,'[1]import success seats course'!$1:$2,2,FALSE),FALSE)/(VLOOKUP($A137,'[1]import graded seats course pivo'!$A:AI,HLOOKUP('[1]Course Totals'!K$4,'[1]import graded seats course pivo'!$1:$2,2,FALSE),FALSE))),"")</f>
        <v/>
      </c>
      <c r="L137" s="14">
        <f>IFERROR((VLOOKUP($A137,'[1]import success seats course'!$A:Z,HLOOKUP('[1]Course Totals'!L$4,'[1]import success seats course'!$1:$2,2,FALSE),FALSE)/(VLOOKUP($A137,'[1]import graded seats course pivo'!$A:AJ,HLOOKUP('[1]Course Totals'!L$4,'[1]import graded seats course pivo'!$1:$2,2,FALSE),FALSE))),"")</f>
        <v>0.92307692307692313</v>
      </c>
      <c r="M137" s="14">
        <f>IFERROR((VLOOKUP($A137,'[1]import success seats course'!$A:AA,HLOOKUP('[1]Course Totals'!M$4,'[1]import success seats course'!$1:$2,2,FALSE),FALSE)/(VLOOKUP($A137,'[1]import graded seats course pivo'!$A:AK,HLOOKUP('[1]Course Totals'!M$4,'[1]import graded seats course pivo'!$1:$2,2,FALSE),FALSE))),"")</f>
        <v>0.77777777777777779</v>
      </c>
      <c r="N137" s="14" t="str">
        <f>IFERROR((VLOOKUP($A137,'[1]import success seats course'!$A:AB,HLOOKUP('[1]Course Totals'!N$4,'[1]import success seats course'!$1:$2,2,FALSE),FALSE)/(VLOOKUP($A137,'[1]import graded seats course pivo'!$A:AL,HLOOKUP('[1]Course Totals'!N$4,'[1]import graded seats course pivo'!$1:$2,2,FALSE),FALSE))),"")</f>
        <v/>
      </c>
      <c r="O137" s="14">
        <f>IFERROR((VLOOKUP($A137,'[1]import success seats course'!$A:AC,HLOOKUP('[1]Course Totals'!O$4,'[1]import success seats course'!$1:$2,2,FALSE),FALSE)/(VLOOKUP($A137,'[1]import graded seats course pivo'!$A:AM,HLOOKUP('[1]Course Totals'!O$4,'[1]import graded seats course pivo'!$1:$2,2,FALSE),FALSE))),"")</f>
        <v>0.87096774193548387</v>
      </c>
      <c r="P137" s="14">
        <f>IFERROR((VLOOKUP($A137,'[1]import success seats course'!$A:AD,HLOOKUP('[1]Course Totals'!P$4,'[1]import success seats course'!$1:$2,2,FALSE),FALSE)/(VLOOKUP($A137,'[1]import graded seats course pivo'!$A:AN,HLOOKUP('[1]Course Totals'!P$4,'[1]import graded seats course pivo'!$1:$2,2,FALSE),FALSE))),"")</f>
        <v>0.92592592592592593</v>
      </c>
      <c r="Q137" s="14" t="str">
        <f>IFERROR((VLOOKUP($A137,'[1]import success seats course'!$A:AE,HLOOKUP('[1]Course Totals'!Q$4,'[1]import success seats course'!$1:$2,2,FALSE),FALSE)/(VLOOKUP($A137,'[1]import graded seats course pivo'!$A:AO,HLOOKUP('[1]Course Totals'!Q$4,'[1]import graded seats course pivo'!$1:$2,2,FALSE),FALSE))),"")</f>
        <v/>
      </c>
      <c r="R137" s="14">
        <f>IFERROR((VLOOKUP($A137,'[1]import success seats course'!$A:AF,HLOOKUP('[1]Course Totals'!R$4,'[1]import success seats course'!$1:$2,2,FALSE),FALSE)/(VLOOKUP($A137,'[1]import graded seats course pivo'!$A:AP,HLOOKUP('[1]Course Totals'!R$4,'[1]import graded seats course pivo'!$1:$2,2,FALSE),FALSE))),"")</f>
        <v>0.82758620689655171</v>
      </c>
      <c r="S137" s="14">
        <f>IFERROR((VLOOKUP($A137,'[1]import success seats course'!$A:AG,HLOOKUP('[1]Course Totals'!S$4,'[1]import success seats course'!$1:$2,2,FALSE),FALSE)/(VLOOKUP($A137,'[1]import graded seats course pivo'!$A:AQ,HLOOKUP('[1]Course Totals'!S$4,'[1]import graded seats course pivo'!$1:$2,2,FALSE),FALSE))),"")</f>
        <v>0.81481481481481477</v>
      </c>
      <c r="Z137" s="7"/>
      <c r="AA137" s="7"/>
      <c r="AB137" s="7"/>
      <c r="AC137" s="7"/>
    </row>
    <row r="138" spans="1:29" ht="15.75" customHeight="1" x14ac:dyDescent="0.25">
      <c r="A138" s="12" t="s">
        <v>683</v>
      </c>
      <c r="B138" s="14" t="str">
        <f>IFERROR((VLOOKUP($A138,'[1]import success seats course'!$A:P,HLOOKUP('[1]Course Totals'!B$4,'[1]import success seats course'!$1:$2,2,FALSE),FALSE)/(VLOOKUP($A138,'[1]import graded seats course pivo'!$A:Z,HLOOKUP('[1]Course Totals'!B$4,'[1]import graded seats course pivo'!$1:$2,2,FALSE),FALSE))),"")</f>
        <v/>
      </c>
      <c r="C138" s="14" t="str">
        <f>IFERROR((VLOOKUP($A138,'[1]import success seats course'!$A:Q,HLOOKUP('[1]Course Totals'!C$4,'[1]import success seats course'!$1:$2,2,FALSE),FALSE)/(VLOOKUP($A138,'[1]import graded seats course pivo'!$A:AA,HLOOKUP('[1]Course Totals'!C$4,'[1]import graded seats course pivo'!$1:$2,2,FALSE),FALSE))),"")</f>
        <v/>
      </c>
      <c r="D138" s="14" t="str">
        <f>IFERROR((VLOOKUP($A138,'[1]import success seats course'!$A:R,HLOOKUP('[1]Course Totals'!D$4,'[1]import success seats course'!$1:$2,2,FALSE),FALSE)/(VLOOKUP($A138,'[1]import graded seats course pivo'!$A:AB,HLOOKUP('[1]Course Totals'!D$4,'[1]import graded seats course pivo'!$1:$2,2,FALSE),FALSE))),"")</f>
        <v/>
      </c>
      <c r="E138" s="14" t="str">
        <f>IFERROR((VLOOKUP($A138,'[1]import success seats course'!$A:S,HLOOKUP('[1]Course Totals'!E$4,'[1]import success seats course'!$1:$2,2,FALSE),FALSE)/(VLOOKUP($A138,'[1]import graded seats course pivo'!$A:AC,HLOOKUP('[1]Course Totals'!E$4,'[1]import graded seats course pivo'!$1:$2,2,FALSE),FALSE))),"")</f>
        <v/>
      </c>
      <c r="F138" s="14" t="str">
        <f>IFERROR((VLOOKUP($A138,'[1]import success seats course'!$A:T,HLOOKUP('[1]Course Totals'!F$4,'[1]import success seats course'!$1:$2,2,FALSE),FALSE)/(VLOOKUP($A138,'[1]import graded seats course pivo'!$A:AD,HLOOKUP('[1]Course Totals'!F$4,'[1]import graded seats course pivo'!$1:$2,2,FALSE),FALSE))),"")</f>
        <v/>
      </c>
      <c r="G138" s="14" t="str">
        <f>IFERROR((VLOOKUP($A138,'[1]import success seats course'!$A:U,HLOOKUP('[1]Course Totals'!G$4,'[1]import success seats course'!$1:$2,2,FALSE),FALSE)/(VLOOKUP($A138,'[1]import graded seats course pivo'!$A:AE,HLOOKUP('[1]Course Totals'!G$4,'[1]import graded seats course pivo'!$1:$2,2,FALSE),FALSE))),"")</f>
        <v/>
      </c>
      <c r="H138" s="14" t="str">
        <f>IFERROR((VLOOKUP($A138,'[1]import success seats course'!$A:V,HLOOKUP('[1]Course Totals'!H$4,'[1]import success seats course'!$1:$2,2,FALSE),FALSE)/(VLOOKUP($A138,'[1]import graded seats course pivo'!$A:AF,HLOOKUP('[1]Course Totals'!H$4,'[1]import graded seats course pivo'!$1:$2,2,FALSE),FALSE))),"")</f>
        <v/>
      </c>
      <c r="I138" s="14">
        <f>IFERROR((VLOOKUP($A138,'[1]import success seats course'!$A:W,HLOOKUP('[1]Course Totals'!I$4,'[1]import success seats course'!$1:$2,2,FALSE),FALSE)/(VLOOKUP($A138,'[1]import graded seats course pivo'!$A:AG,HLOOKUP('[1]Course Totals'!I$4,'[1]import graded seats course pivo'!$1:$2,2,FALSE),FALSE))),"")</f>
        <v>1</v>
      </c>
      <c r="J138" s="14" t="str">
        <f>IFERROR((VLOOKUP($A138,'[1]import success seats course'!$A:X,HLOOKUP('[1]Course Totals'!J$4,'[1]import success seats course'!$1:$2,2,FALSE),FALSE)/(VLOOKUP($A138,'[1]import graded seats course pivo'!$A:AH,HLOOKUP('[1]Course Totals'!J$4,'[1]import graded seats course pivo'!$1:$2,2,FALSE),FALSE))),"")</f>
        <v/>
      </c>
      <c r="K138" s="14" t="str">
        <f>IFERROR((VLOOKUP($A138,'[1]import success seats course'!$A:Y,HLOOKUP('[1]Course Totals'!K$4,'[1]import success seats course'!$1:$2,2,FALSE),FALSE)/(VLOOKUP($A138,'[1]import graded seats course pivo'!$A:AI,HLOOKUP('[1]Course Totals'!K$4,'[1]import graded seats course pivo'!$1:$2,2,FALSE),FALSE))),"")</f>
        <v/>
      </c>
      <c r="L138" s="14" t="str">
        <f>IFERROR((VLOOKUP($A138,'[1]import success seats course'!$A:Z,HLOOKUP('[1]Course Totals'!L$4,'[1]import success seats course'!$1:$2,2,FALSE),FALSE)/(VLOOKUP($A138,'[1]import graded seats course pivo'!$A:AJ,HLOOKUP('[1]Course Totals'!L$4,'[1]import graded seats course pivo'!$1:$2,2,FALSE),FALSE))),"")</f>
        <v/>
      </c>
      <c r="M138" s="14" t="str">
        <f>IFERROR((VLOOKUP($A138,'[1]import success seats course'!$A:AA,HLOOKUP('[1]Course Totals'!M$4,'[1]import success seats course'!$1:$2,2,FALSE),FALSE)/(VLOOKUP($A138,'[1]import graded seats course pivo'!$A:AK,HLOOKUP('[1]Course Totals'!M$4,'[1]import graded seats course pivo'!$1:$2,2,FALSE),FALSE))),"")</f>
        <v/>
      </c>
      <c r="N138" s="14" t="str">
        <f>IFERROR((VLOOKUP($A138,'[1]import success seats course'!$A:AB,HLOOKUP('[1]Course Totals'!N$4,'[1]import success seats course'!$1:$2,2,FALSE),FALSE)/(VLOOKUP($A138,'[1]import graded seats course pivo'!$A:AL,HLOOKUP('[1]Course Totals'!N$4,'[1]import graded seats course pivo'!$1:$2,2,FALSE),FALSE))),"")</f>
        <v/>
      </c>
      <c r="O138" s="14" t="str">
        <f>IFERROR((VLOOKUP($A138,'[1]import success seats course'!$A:AC,HLOOKUP('[1]Course Totals'!O$4,'[1]import success seats course'!$1:$2,2,FALSE),FALSE)/(VLOOKUP($A138,'[1]import graded seats course pivo'!$A:AM,HLOOKUP('[1]Course Totals'!O$4,'[1]import graded seats course pivo'!$1:$2,2,FALSE),FALSE))),"")</f>
        <v/>
      </c>
      <c r="P138" s="14">
        <f>IFERROR((VLOOKUP($A138,'[1]import success seats course'!$A:AD,HLOOKUP('[1]Course Totals'!P$4,'[1]import success seats course'!$1:$2,2,FALSE),FALSE)/(VLOOKUP($A138,'[1]import graded seats course pivo'!$A:AN,HLOOKUP('[1]Course Totals'!P$4,'[1]import graded seats course pivo'!$1:$2,2,FALSE),FALSE))),"")</f>
        <v>1</v>
      </c>
      <c r="Q138" s="14" t="str">
        <f>IFERROR((VLOOKUP($A138,'[1]import success seats course'!$A:AE,HLOOKUP('[1]Course Totals'!Q$4,'[1]import success seats course'!$1:$2,2,FALSE),FALSE)/(VLOOKUP($A138,'[1]import graded seats course pivo'!$A:AO,HLOOKUP('[1]Course Totals'!Q$4,'[1]import graded seats course pivo'!$1:$2,2,FALSE),FALSE))),"")</f>
        <v/>
      </c>
      <c r="R138" s="14" t="str">
        <f>IFERROR((VLOOKUP($A138,'[1]import success seats course'!$A:AF,HLOOKUP('[1]Course Totals'!R$4,'[1]import success seats course'!$1:$2,2,FALSE),FALSE)/(VLOOKUP($A138,'[1]import graded seats course pivo'!$A:AP,HLOOKUP('[1]Course Totals'!R$4,'[1]import graded seats course pivo'!$1:$2,2,FALSE),FALSE))),"")</f>
        <v/>
      </c>
      <c r="S138" s="14" t="str">
        <f>IFERROR((VLOOKUP($A138,'[1]import success seats course'!$A:AG,HLOOKUP('[1]Course Totals'!S$4,'[1]import success seats course'!$1:$2,2,FALSE),FALSE)/(VLOOKUP($A138,'[1]import graded seats course pivo'!$A:AQ,HLOOKUP('[1]Course Totals'!S$4,'[1]import graded seats course pivo'!$1:$2,2,FALSE),FALSE))),"")</f>
        <v/>
      </c>
      <c r="Z138" s="7"/>
      <c r="AA138" s="7"/>
      <c r="AB138" s="7"/>
      <c r="AC138" s="7"/>
    </row>
    <row r="139" spans="1:29" ht="15.75" customHeight="1" x14ac:dyDescent="0.25">
      <c r="A139" s="12" t="s">
        <v>770</v>
      </c>
      <c r="B139" s="14" t="str">
        <f>IFERROR((VLOOKUP($A139,'[1]import success seats course'!$A:P,HLOOKUP('[1]Course Totals'!B$4,'[1]import success seats course'!$1:$2,2,FALSE),FALSE)/(VLOOKUP($A139,'[1]import graded seats course pivo'!$A:Z,HLOOKUP('[1]Course Totals'!B$4,'[1]import graded seats course pivo'!$1:$2,2,FALSE),FALSE))),"")</f>
        <v/>
      </c>
      <c r="C139" s="14" t="str">
        <f>IFERROR((VLOOKUP($A139,'[1]import success seats course'!$A:Q,HLOOKUP('[1]Course Totals'!C$4,'[1]import success seats course'!$1:$2,2,FALSE),FALSE)/(VLOOKUP($A139,'[1]import graded seats course pivo'!$A:AA,HLOOKUP('[1]Course Totals'!C$4,'[1]import graded seats course pivo'!$1:$2,2,FALSE),FALSE))),"")</f>
        <v/>
      </c>
      <c r="D139" s="14" t="str">
        <f>IFERROR((VLOOKUP($A139,'[1]import success seats course'!$A:R,HLOOKUP('[1]Course Totals'!D$4,'[1]import success seats course'!$1:$2,2,FALSE),FALSE)/(VLOOKUP($A139,'[1]import graded seats course pivo'!$A:AB,HLOOKUP('[1]Course Totals'!D$4,'[1]import graded seats course pivo'!$1:$2,2,FALSE),FALSE))),"")</f>
        <v/>
      </c>
      <c r="E139" s="14" t="str">
        <f>IFERROR((VLOOKUP($A139,'[1]import success seats course'!$A:S,HLOOKUP('[1]Course Totals'!E$4,'[1]import success seats course'!$1:$2,2,FALSE),FALSE)/(VLOOKUP($A139,'[1]import graded seats course pivo'!$A:AC,HLOOKUP('[1]Course Totals'!E$4,'[1]import graded seats course pivo'!$1:$2,2,FALSE),FALSE))),"")</f>
        <v/>
      </c>
      <c r="F139" s="14" t="str">
        <f>IFERROR((VLOOKUP($A139,'[1]import success seats course'!$A:T,HLOOKUP('[1]Course Totals'!F$4,'[1]import success seats course'!$1:$2,2,FALSE),FALSE)/(VLOOKUP($A139,'[1]import graded seats course pivo'!$A:AD,HLOOKUP('[1]Course Totals'!F$4,'[1]import graded seats course pivo'!$1:$2,2,FALSE),FALSE))),"")</f>
        <v/>
      </c>
      <c r="G139" s="14" t="str">
        <f>IFERROR((VLOOKUP($A139,'[1]import success seats course'!$A:U,HLOOKUP('[1]Course Totals'!G$4,'[1]import success seats course'!$1:$2,2,FALSE),FALSE)/(VLOOKUP($A139,'[1]import graded seats course pivo'!$A:AE,HLOOKUP('[1]Course Totals'!G$4,'[1]import graded seats course pivo'!$1:$2,2,FALSE),FALSE))),"")</f>
        <v/>
      </c>
      <c r="H139" s="14" t="str">
        <f>IFERROR((VLOOKUP($A139,'[1]import success seats course'!$A:V,HLOOKUP('[1]Course Totals'!H$4,'[1]import success seats course'!$1:$2,2,FALSE),FALSE)/(VLOOKUP($A139,'[1]import graded seats course pivo'!$A:AF,HLOOKUP('[1]Course Totals'!H$4,'[1]import graded seats course pivo'!$1:$2,2,FALSE),FALSE))),"")</f>
        <v/>
      </c>
      <c r="I139" s="14" t="str">
        <f>IFERROR((VLOOKUP($A139,'[1]import success seats course'!$A:W,HLOOKUP('[1]Course Totals'!I$4,'[1]import success seats course'!$1:$2,2,FALSE),FALSE)/(VLOOKUP($A139,'[1]import graded seats course pivo'!$A:AG,HLOOKUP('[1]Course Totals'!I$4,'[1]import graded seats course pivo'!$1:$2,2,FALSE),FALSE))),"")</f>
        <v/>
      </c>
      <c r="J139" s="14">
        <f>IFERROR((VLOOKUP($A139,'[1]import success seats course'!$A:X,HLOOKUP('[1]Course Totals'!J$4,'[1]import success seats course'!$1:$2,2,FALSE),FALSE)/(VLOOKUP($A139,'[1]import graded seats course pivo'!$A:AH,HLOOKUP('[1]Course Totals'!J$4,'[1]import graded seats course pivo'!$1:$2,2,FALSE),FALSE))),"")</f>
        <v>1</v>
      </c>
      <c r="K139" s="14" t="str">
        <f>IFERROR((VLOOKUP($A139,'[1]import success seats course'!$A:Y,HLOOKUP('[1]Course Totals'!K$4,'[1]import success seats course'!$1:$2,2,FALSE),FALSE)/(VLOOKUP($A139,'[1]import graded seats course pivo'!$A:AI,HLOOKUP('[1]Course Totals'!K$4,'[1]import graded seats course pivo'!$1:$2,2,FALSE),FALSE))),"")</f>
        <v/>
      </c>
      <c r="L139" s="14">
        <f>IFERROR((VLOOKUP($A139,'[1]import success seats course'!$A:Z,HLOOKUP('[1]Course Totals'!L$4,'[1]import success seats course'!$1:$2,2,FALSE),FALSE)/(VLOOKUP($A139,'[1]import graded seats course pivo'!$A:AJ,HLOOKUP('[1]Course Totals'!L$4,'[1]import graded seats course pivo'!$1:$2,2,FALSE),FALSE))),"")</f>
        <v>1</v>
      </c>
      <c r="M139" s="14" t="str">
        <f>IFERROR((VLOOKUP($A139,'[1]import success seats course'!$A:AA,HLOOKUP('[1]Course Totals'!M$4,'[1]import success seats course'!$1:$2,2,FALSE),FALSE)/(VLOOKUP($A139,'[1]import graded seats course pivo'!$A:AK,HLOOKUP('[1]Course Totals'!M$4,'[1]import graded seats course pivo'!$1:$2,2,FALSE),FALSE))),"")</f>
        <v/>
      </c>
      <c r="N139" s="14" t="str">
        <f>IFERROR((VLOOKUP($A139,'[1]import success seats course'!$A:AB,HLOOKUP('[1]Course Totals'!N$4,'[1]import success seats course'!$1:$2,2,FALSE),FALSE)/(VLOOKUP($A139,'[1]import graded seats course pivo'!$A:AL,HLOOKUP('[1]Course Totals'!N$4,'[1]import graded seats course pivo'!$1:$2,2,FALSE),FALSE))),"")</f>
        <v/>
      </c>
      <c r="O139" s="14">
        <f>IFERROR((VLOOKUP($A139,'[1]import success seats course'!$A:AC,HLOOKUP('[1]Course Totals'!O$4,'[1]import success seats course'!$1:$2,2,FALSE),FALSE)/(VLOOKUP($A139,'[1]import graded seats course pivo'!$A:AM,HLOOKUP('[1]Course Totals'!O$4,'[1]import graded seats course pivo'!$1:$2,2,FALSE),FALSE))),"")</f>
        <v>1</v>
      </c>
      <c r="P139" s="14" t="str">
        <f>IFERROR((VLOOKUP($A139,'[1]import success seats course'!$A:AD,HLOOKUP('[1]Course Totals'!P$4,'[1]import success seats course'!$1:$2,2,FALSE),FALSE)/(VLOOKUP($A139,'[1]import graded seats course pivo'!$A:AN,HLOOKUP('[1]Course Totals'!P$4,'[1]import graded seats course pivo'!$1:$2,2,FALSE),FALSE))),"")</f>
        <v/>
      </c>
      <c r="Q139" s="14" t="str">
        <f>IFERROR((VLOOKUP($A139,'[1]import success seats course'!$A:AE,HLOOKUP('[1]Course Totals'!Q$4,'[1]import success seats course'!$1:$2,2,FALSE),FALSE)/(VLOOKUP($A139,'[1]import graded seats course pivo'!$A:AO,HLOOKUP('[1]Course Totals'!Q$4,'[1]import graded seats course pivo'!$1:$2,2,FALSE),FALSE))),"")</f>
        <v/>
      </c>
      <c r="R139" s="14" t="str">
        <f>IFERROR((VLOOKUP($A139,'[1]import success seats course'!$A:AF,HLOOKUP('[1]Course Totals'!R$4,'[1]import success seats course'!$1:$2,2,FALSE),FALSE)/(VLOOKUP($A139,'[1]import graded seats course pivo'!$A:AP,HLOOKUP('[1]Course Totals'!R$4,'[1]import graded seats course pivo'!$1:$2,2,FALSE),FALSE))),"")</f>
        <v/>
      </c>
      <c r="S139" s="14">
        <f>IFERROR((VLOOKUP($A139,'[1]import success seats course'!$A:AG,HLOOKUP('[1]Course Totals'!S$4,'[1]import success seats course'!$1:$2,2,FALSE),FALSE)/(VLOOKUP($A139,'[1]import graded seats course pivo'!$A:AQ,HLOOKUP('[1]Course Totals'!S$4,'[1]import graded seats course pivo'!$1:$2,2,FALSE),FALSE))),"")</f>
        <v>1</v>
      </c>
      <c r="Z139" s="7"/>
      <c r="AA139" s="7"/>
      <c r="AB139" s="7"/>
      <c r="AC139" s="7"/>
    </row>
    <row r="140" spans="1:29" s="7" customFormat="1" ht="15.75" customHeight="1" thickBot="1" x14ac:dyDescent="0.3">
      <c r="A140" s="8" t="str">
        <f>'[1]SUBJECTS BASE'!H9</f>
        <v>Astronomy</v>
      </c>
      <c r="B140" s="38" t="s">
        <v>1046</v>
      </c>
      <c r="C140" s="39" t="s">
        <v>0</v>
      </c>
      <c r="D140" s="40" t="s">
        <v>868</v>
      </c>
      <c r="E140" s="41" t="s">
        <v>1052</v>
      </c>
      <c r="F140" s="42" t="s">
        <v>546</v>
      </c>
      <c r="G140" s="43" t="s">
        <v>959</v>
      </c>
      <c r="H140" s="44" t="s">
        <v>1060</v>
      </c>
      <c r="I140" s="39" t="s">
        <v>675</v>
      </c>
      <c r="J140" s="45" t="s">
        <v>1006</v>
      </c>
      <c r="K140" s="46" t="s">
        <v>1062</v>
      </c>
      <c r="L140" s="42" t="s">
        <v>762</v>
      </c>
      <c r="M140" s="43" t="s">
        <v>1022</v>
      </c>
      <c r="N140" s="44" t="s">
        <v>1063</v>
      </c>
      <c r="O140" s="39" t="s">
        <v>822</v>
      </c>
      <c r="P140" s="40" t="s">
        <v>1042</v>
      </c>
      <c r="Q140" s="46" t="s">
        <v>1153</v>
      </c>
      <c r="R140" s="42" t="s">
        <v>1154</v>
      </c>
      <c r="S140" s="43" t="s">
        <v>1155</v>
      </c>
    </row>
    <row r="141" spans="1:29" ht="15.75" customHeight="1" x14ac:dyDescent="0.25">
      <c r="A141" s="12" t="s">
        <v>89</v>
      </c>
      <c r="B141" s="14" t="str">
        <f>IFERROR((VLOOKUP($A141,'[1]import success seats course'!$A:P,HLOOKUP('[1]Course Totals'!B$4,'[1]import success seats course'!$1:$2,2,FALSE),FALSE)/(VLOOKUP($A141,'[1]import graded seats course pivo'!$A:Z,HLOOKUP('[1]Course Totals'!B$4,'[1]import graded seats course pivo'!$1:$2,2,FALSE),FALSE))),"")</f>
        <v/>
      </c>
      <c r="C141" s="14">
        <f>IFERROR((VLOOKUP($A141,'[1]import success seats course'!$A:Q,HLOOKUP('[1]Course Totals'!C$4,'[1]import success seats course'!$1:$2,2,FALSE),FALSE)/(VLOOKUP($A141,'[1]import graded seats course pivo'!$A:AA,HLOOKUP('[1]Course Totals'!C$4,'[1]import graded seats course pivo'!$1:$2,2,FALSE),FALSE))),"")</f>
        <v>0.80701754385964908</v>
      </c>
      <c r="D141" s="14">
        <f>IFERROR((VLOOKUP($A141,'[1]import success seats course'!$A:R,HLOOKUP('[1]Course Totals'!D$4,'[1]import success seats course'!$1:$2,2,FALSE),FALSE)/(VLOOKUP($A141,'[1]import graded seats course pivo'!$A:AB,HLOOKUP('[1]Course Totals'!D$4,'[1]import graded seats course pivo'!$1:$2,2,FALSE),FALSE))),"")</f>
        <v>0.9107142857142857</v>
      </c>
      <c r="E141" s="14" t="str">
        <f>IFERROR((VLOOKUP($A141,'[1]import success seats course'!$A:S,HLOOKUP('[1]Course Totals'!E$4,'[1]import success seats course'!$1:$2,2,FALSE),FALSE)/(VLOOKUP($A141,'[1]import graded seats course pivo'!$A:AC,HLOOKUP('[1]Course Totals'!E$4,'[1]import graded seats course pivo'!$1:$2,2,FALSE),FALSE))),"")</f>
        <v/>
      </c>
      <c r="F141" s="14">
        <f>IFERROR((VLOOKUP($A141,'[1]import success seats course'!$A:T,HLOOKUP('[1]Course Totals'!F$4,'[1]import success seats course'!$1:$2,2,FALSE),FALSE)/(VLOOKUP($A141,'[1]import graded seats course pivo'!$A:AD,HLOOKUP('[1]Course Totals'!F$4,'[1]import graded seats course pivo'!$1:$2,2,FALSE),FALSE))),"")</f>
        <v>0.91935483870967738</v>
      </c>
      <c r="G141" s="14">
        <f>IFERROR((VLOOKUP($A141,'[1]import success seats course'!$A:U,HLOOKUP('[1]Course Totals'!G$4,'[1]import success seats course'!$1:$2,2,FALSE),FALSE)/(VLOOKUP($A141,'[1]import graded seats course pivo'!$A:AE,HLOOKUP('[1]Course Totals'!G$4,'[1]import graded seats course pivo'!$1:$2,2,FALSE),FALSE))),"")</f>
        <v>0.84848484848484851</v>
      </c>
      <c r="H141" s="14" t="str">
        <f>IFERROR((VLOOKUP($A141,'[1]import success seats course'!$A:V,HLOOKUP('[1]Course Totals'!H$4,'[1]import success seats course'!$1:$2,2,FALSE),FALSE)/(VLOOKUP($A141,'[1]import graded seats course pivo'!$A:AF,HLOOKUP('[1]Course Totals'!H$4,'[1]import graded seats course pivo'!$1:$2,2,FALSE),FALSE))),"")</f>
        <v/>
      </c>
      <c r="I141" s="14">
        <f>IFERROR((VLOOKUP($A141,'[1]import success seats course'!$A:W,HLOOKUP('[1]Course Totals'!I$4,'[1]import success seats course'!$1:$2,2,FALSE),FALSE)/(VLOOKUP($A141,'[1]import graded seats course pivo'!$A:AG,HLOOKUP('[1]Course Totals'!I$4,'[1]import graded seats course pivo'!$1:$2,2,FALSE),FALSE))),"")</f>
        <v>0.85483870967741937</v>
      </c>
      <c r="J141" s="14">
        <f>IFERROR((VLOOKUP($A141,'[1]import success seats course'!$A:X,HLOOKUP('[1]Course Totals'!J$4,'[1]import success seats course'!$1:$2,2,FALSE),FALSE)/(VLOOKUP($A141,'[1]import graded seats course pivo'!$A:AH,HLOOKUP('[1]Course Totals'!J$4,'[1]import graded seats course pivo'!$1:$2,2,FALSE),FALSE))),"")</f>
        <v>0.8125</v>
      </c>
      <c r="K141" s="14" t="str">
        <f>IFERROR((VLOOKUP($A141,'[1]import success seats course'!$A:Y,HLOOKUP('[1]Course Totals'!K$4,'[1]import success seats course'!$1:$2,2,FALSE),FALSE)/(VLOOKUP($A141,'[1]import graded seats course pivo'!$A:AI,HLOOKUP('[1]Course Totals'!K$4,'[1]import graded seats course pivo'!$1:$2,2,FALSE),FALSE))),"")</f>
        <v/>
      </c>
      <c r="L141" s="14">
        <f>IFERROR((VLOOKUP($A141,'[1]import success seats course'!$A:Z,HLOOKUP('[1]Course Totals'!L$4,'[1]import success seats course'!$1:$2,2,FALSE),FALSE)/(VLOOKUP($A141,'[1]import graded seats course pivo'!$A:AJ,HLOOKUP('[1]Course Totals'!L$4,'[1]import graded seats course pivo'!$1:$2,2,FALSE),FALSE))),"")</f>
        <v>0.91428571428571426</v>
      </c>
      <c r="M141" s="14">
        <f>IFERROR((VLOOKUP($A141,'[1]import success seats course'!$A:AA,HLOOKUP('[1]Course Totals'!M$4,'[1]import success seats course'!$1:$2,2,FALSE),FALSE)/(VLOOKUP($A141,'[1]import graded seats course pivo'!$A:AK,HLOOKUP('[1]Course Totals'!M$4,'[1]import graded seats course pivo'!$1:$2,2,FALSE),FALSE))),"")</f>
        <v>0.8</v>
      </c>
      <c r="N141" s="14" t="str">
        <f>IFERROR((VLOOKUP($A141,'[1]import success seats course'!$A:AB,HLOOKUP('[1]Course Totals'!N$4,'[1]import success seats course'!$1:$2,2,FALSE),FALSE)/(VLOOKUP($A141,'[1]import graded seats course pivo'!$A:AL,HLOOKUP('[1]Course Totals'!N$4,'[1]import graded seats course pivo'!$1:$2,2,FALSE),FALSE))),"")</f>
        <v/>
      </c>
      <c r="O141" s="14">
        <f>IFERROR((VLOOKUP($A141,'[1]import success seats course'!$A:AC,HLOOKUP('[1]Course Totals'!O$4,'[1]import success seats course'!$1:$2,2,FALSE),FALSE)/(VLOOKUP($A141,'[1]import graded seats course pivo'!$A:AM,HLOOKUP('[1]Course Totals'!O$4,'[1]import graded seats course pivo'!$1:$2,2,FALSE),FALSE))),"")</f>
        <v>0.79518072289156627</v>
      </c>
      <c r="P141" s="14">
        <f>IFERROR((VLOOKUP($A141,'[1]import success seats course'!$A:AD,HLOOKUP('[1]Course Totals'!P$4,'[1]import success seats course'!$1:$2,2,FALSE),FALSE)/(VLOOKUP($A141,'[1]import graded seats course pivo'!$A:AN,HLOOKUP('[1]Course Totals'!P$4,'[1]import graded seats course pivo'!$1:$2,2,FALSE),FALSE))),"")</f>
        <v>0.89189189189189189</v>
      </c>
      <c r="Q141" s="14" t="str">
        <f>IFERROR((VLOOKUP($A141,'[1]import success seats course'!$A:AE,HLOOKUP('[1]Course Totals'!Q$4,'[1]import success seats course'!$1:$2,2,FALSE),FALSE)/(VLOOKUP($A141,'[1]import graded seats course pivo'!$A:AO,HLOOKUP('[1]Course Totals'!Q$4,'[1]import graded seats course pivo'!$1:$2,2,FALSE),FALSE))),"")</f>
        <v/>
      </c>
      <c r="R141" s="14">
        <f>IFERROR((VLOOKUP($A141,'[1]import success seats course'!$A:AF,HLOOKUP('[1]Course Totals'!R$4,'[1]import success seats course'!$1:$2,2,FALSE),FALSE)/(VLOOKUP($A141,'[1]import graded seats course pivo'!$A:AP,HLOOKUP('[1]Course Totals'!R$4,'[1]import graded seats course pivo'!$1:$2,2,FALSE),FALSE))),"")</f>
        <v>0.90476190476190477</v>
      </c>
      <c r="S141" s="14">
        <f>IFERROR((VLOOKUP($A141,'[1]import success seats course'!$A:AG,HLOOKUP('[1]Course Totals'!S$4,'[1]import success seats course'!$1:$2,2,FALSE),FALSE)/(VLOOKUP($A141,'[1]import graded seats course pivo'!$A:AQ,HLOOKUP('[1]Course Totals'!S$4,'[1]import graded seats course pivo'!$1:$2,2,FALSE),FALSE))),"")</f>
        <v>0.9464285714285714</v>
      </c>
      <c r="Z141" s="7"/>
      <c r="AA141" s="7"/>
      <c r="AB141" s="7"/>
      <c r="AC141" s="7"/>
    </row>
    <row r="142" spans="1:29" ht="15.75" customHeight="1" x14ac:dyDescent="0.25">
      <c r="A142" s="12" t="s">
        <v>873</v>
      </c>
      <c r="B142" s="14" t="str">
        <f>IFERROR((VLOOKUP($A142,'[1]import success seats course'!$A:P,HLOOKUP('[1]Course Totals'!B$4,'[1]import success seats course'!$1:$2,2,FALSE),FALSE)/(VLOOKUP($A142,'[1]import graded seats course pivo'!$A:Z,HLOOKUP('[1]Course Totals'!B$4,'[1]import graded seats course pivo'!$1:$2,2,FALSE),FALSE))),"")</f>
        <v/>
      </c>
      <c r="C142" s="14" t="str">
        <f>IFERROR((VLOOKUP($A142,'[1]import success seats course'!$A:Q,HLOOKUP('[1]Course Totals'!C$4,'[1]import success seats course'!$1:$2,2,FALSE),FALSE)/(VLOOKUP($A142,'[1]import graded seats course pivo'!$A:AA,HLOOKUP('[1]Course Totals'!C$4,'[1]import graded seats course pivo'!$1:$2,2,FALSE),FALSE))),"")</f>
        <v/>
      </c>
      <c r="D142" s="14">
        <f>IFERROR((VLOOKUP($A142,'[1]import success seats course'!$A:R,HLOOKUP('[1]Course Totals'!D$4,'[1]import success seats course'!$1:$2,2,FALSE),FALSE)/(VLOOKUP($A142,'[1]import graded seats course pivo'!$A:AB,HLOOKUP('[1]Course Totals'!D$4,'[1]import graded seats course pivo'!$1:$2,2,FALSE),FALSE))),"")</f>
        <v>0.86363636363636365</v>
      </c>
      <c r="E142" s="14" t="str">
        <f>IFERROR((VLOOKUP($A142,'[1]import success seats course'!$A:S,HLOOKUP('[1]Course Totals'!E$4,'[1]import success seats course'!$1:$2,2,FALSE),FALSE)/(VLOOKUP($A142,'[1]import graded seats course pivo'!$A:AC,HLOOKUP('[1]Course Totals'!E$4,'[1]import graded seats course pivo'!$1:$2,2,FALSE),FALSE))),"")</f>
        <v/>
      </c>
      <c r="F142" s="14" t="str">
        <f>IFERROR((VLOOKUP($A142,'[1]import success seats course'!$A:T,HLOOKUP('[1]Course Totals'!F$4,'[1]import success seats course'!$1:$2,2,FALSE),FALSE)/(VLOOKUP($A142,'[1]import graded seats course pivo'!$A:AD,HLOOKUP('[1]Course Totals'!F$4,'[1]import graded seats course pivo'!$1:$2,2,FALSE),FALSE))),"")</f>
        <v/>
      </c>
      <c r="G142" s="14">
        <f>IFERROR((VLOOKUP($A142,'[1]import success seats course'!$A:U,HLOOKUP('[1]Course Totals'!G$4,'[1]import success seats course'!$1:$2,2,FALSE),FALSE)/(VLOOKUP($A142,'[1]import graded seats course pivo'!$A:AE,HLOOKUP('[1]Course Totals'!G$4,'[1]import graded seats course pivo'!$1:$2,2,FALSE),FALSE))),"")</f>
        <v>0.86956521739130432</v>
      </c>
      <c r="H142" s="14" t="str">
        <f>IFERROR((VLOOKUP($A142,'[1]import success seats course'!$A:V,HLOOKUP('[1]Course Totals'!H$4,'[1]import success seats course'!$1:$2,2,FALSE),FALSE)/(VLOOKUP($A142,'[1]import graded seats course pivo'!$A:AF,HLOOKUP('[1]Course Totals'!H$4,'[1]import graded seats course pivo'!$1:$2,2,FALSE),FALSE))),"")</f>
        <v/>
      </c>
      <c r="I142" s="14" t="str">
        <f>IFERROR((VLOOKUP($A142,'[1]import success seats course'!$A:W,HLOOKUP('[1]Course Totals'!I$4,'[1]import success seats course'!$1:$2,2,FALSE),FALSE)/(VLOOKUP($A142,'[1]import graded seats course pivo'!$A:AG,HLOOKUP('[1]Course Totals'!I$4,'[1]import graded seats course pivo'!$1:$2,2,FALSE),FALSE))),"")</f>
        <v/>
      </c>
      <c r="J142" s="14">
        <f>IFERROR((VLOOKUP($A142,'[1]import success seats course'!$A:X,HLOOKUP('[1]Course Totals'!J$4,'[1]import success seats course'!$1:$2,2,FALSE),FALSE)/(VLOOKUP($A142,'[1]import graded seats course pivo'!$A:AH,HLOOKUP('[1]Course Totals'!J$4,'[1]import graded seats course pivo'!$1:$2,2,FALSE),FALSE))),"")</f>
        <v>0.77272727272727271</v>
      </c>
      <c r="K142" s="14" t="str">
        <f>IFERROR((VLOOKUP($A142,'[1]import success seats course'!$A:Y,HLOOKUP('[1]Course Totals'!K$4,'[1]import success seats course'!$1:$2,2,FALSE),FALSE)/(VLOOKUP($A142,'[1]import graded seats course pivo'!$A:AI,HLOOKUP('[1]Course Totals'!K$4,'[1]import graded seats course pivo'!$1:$2,2,FALSE),FALSE))),"")</f>
        <v/>
      </c>
      <c r="L142" s="14" t="str">
        <f>IFERROR((VLOOKUP($A142,'[1]import success seats course'!$A:Z,HLOOKUP('[1]Course Totals'!L$4,'[1]import success seats course'!$1:$2,2,FALSE),FALSE)/(VLOOKUP($A142,'[1]import graded seats course pivo'!$A:AJ,HLOOKUP('[1]Course Totals'!L$4,'[1]import graded seats course pivo'!$1:$2,2,FALSE),FALSE))),"")</f>
        <v/>
      </c>
      <c r="M142" s="14">
        <f>IFERROR((VLOOKUP($A142,'[1]import success seats course'!$A:AA,HLOOKUP('[1]Course Totals'!M$4,'[1]import success seats course'!$1:$2,2,FALSE),FALSE)/(VLOOKUP($A142,'[1]import graded seats course pivo'!$A:AK,HLOOKUP('[1]Course Totals'!M$4,'[1]import graded seats course pivo'!$1:$2,2,FALSE),FALSE))),"")</f>
        <v>0.79166666666666663</v>
      </c>
      <c r="N142" s="14" t="str">
        <f>IFERROR((VLOOKUP($A142,'[1]import success seats course'!$A:AB,HLOOKUP('[1]Course Totals'!N$4,'[1]import success seats course'!$1:$2,2,FALSE),FALSE)/(VLOOKUP($A142,'[1]import graded seats course pivo'!$A:AL,HLOOKUP('[1]Course Totals'!N$4,'[1]import graded seats course pivo'!$1:$2,2,FALSE),FALSE))),"")</f>
        <v/>
      </c>
      <c r="O142" s="14" t="str">
        <f>IFERROR((VLOOKUP($A142,'[1]import success seats course'!$A:AC,HLOOKUP('[1]Course Totals'!O$4,'[1]import success seats course'!$1:$2,2,FALSE),FALSE)/(VLOOKUP($A142,'[1]import graded seats course pivo'!$A:AM,HLOOKUP('[1]Course Totals'!O$4,'[1]import graded seats course pivo'!$1:$2,2,FALSE),FALSE))),"")</f>
        <v/>
      </c>
      <c r="P142" s="14">
        <f>IFERROR((VLOOKUP($A142,'[1]import success seats course'!$A:AD,HLOOKUP('[1]Course Totals'!P$4,'[1]import success seats course'!$1:$2,2,FALSE),FALSE)/(VLOOKUP($A142,'[1]import graded seats course pivo'!$A:AN,HLOOKUP('[1]Course Totals'!P$4,'[1]import graded seats course pivo'!$1:$2,2,FALSE),FALSE))),"")</f>
        <v>0.9</v>
      </c>
      <c r="Q142" s="14" t="str">
        <f>IFERROR((VLOOKUP($A142,'[1]import success seats course'!$A:AE,HLOOKUP('[1]Course Totals'!Q$4,'[1]import success seats course'!$1:$2,2,FALSE),FALSE)/(VLOOKUP($A142,'[1]import graded seats course pivo'!$A:AO,HLOOKUP('[1]Course Totals'!Q$4,'[1]import graded seats course pivo'!$1:$2,2,FALSE),FALSE))),"")</f>
        <v/>
      </c>
      <c r="R142" s="14" t="str">
        <f>IFERROR((VLOOKUP($A142,'[1]import success seats course'!$A:AF,HLOOKUP('[1]Course Totals'!R$4,'[1]import success seats course'!$1:$2,2,FALSE),FALSE)/(VLOOKUP($A142,'[1]import graded seats course pivo'!$A:AP,HLOOKUP('[1]Course Totals'!R$4,'[1]import graded seats course pivo'!$1:$2,2,FALSE),FALSE))),"")</f>
        <v/>
      </c>
      <c r="S142" s="14" t="str">
        <f>IFERROR((VLOOKUP($A142,'[1]import success seats course'!$A:AG,HLOOKUP('[1]Course Totals'!S$4,'[1]import success seats course'!$1:$2,2,FALSE),FALSE)/(VLOOKUP($A142,'[1]import graded seats course pivo'!$A:AQ,HLOOKUP('[1]Course Totals'!S$4,'[1]import graded seats course pivo'!$1:$2,2,FALSE),FALSE))),"")</f>
        <v/>
      </c>
      <c r="Z142" s="7"/>
      <c r="AA142" s="7"/>
      <c r="AB142" s="7"/>
      <c r="AC142" s="7"/>
    </row>
    <row r="143" spans="1:29" ht="15.75" customHeight="1" x14ac:dyDescent="0.25">
      <c r="A143" s="12" t="s">
        <v>1024</v>
      </c>
      <c r="B143" s="14" t="str">
        <f>IFERROR((VLOOKUP($A143,'[1]import success seats course'!$A:P,HLOOKUP('[1]Course Totals'!B$4,'[1]import success seats course'!$1:$2,2,FALSE),FALSE)/(VLOOKUP($A143,'[1]import graded seats course pivo'!$A:Z,HLOOKUP('[1]Course Totals'!B$4,'[1]import graded seats course pivo'!$1:$2,2,FALSE),FALSE))),"")</f>
        <v/>
      </c>
      <c r="C143" s="14" t="str">
        <f>IFERROR((VLOOKUP($A143,'[1]import success seats course'!$A:Q,HLOOKUP('[1]Course Totals'!C$4,'[1]import success seats course'!$1:$2,2,FALSE),FALSE)/(VLOOKUP($A143,'[1]import graded seats course pivo'!$A:AA,HLOOKUP('[1]Course Totals'!C$4,'[1]import graded seats course pivo'!$1:$2,2,FALSE),FALSE))),"")</f>
        <v/>
      </c>
      <c r="D143" s="14" t="str">
        <f>IFERROR((VLOOKUP($A143,'[1]import success seats course'!$A:R,HLOOKUP('[1]Course Totals'!D$4,'[1]import success seats course'!$1:$2,2,FALSE),FALSE)/(VLOOKUP($A143,'[1]import graded seats course pivo'!$A:AB,HLOOKUP('[1]Course Totals'!D$4,'[1]import graded seats course pivo'!$1:$2,2,FALSE),FALSE))),"")</f>
        <v/>
      </c>
      <c r="E143" s="14" t="str">
        <f>IFERROR((VLOOKUP($A143,'[1]import success seats course'!$A:S,HLOOKUP('[1]Course Totals'!E$4,'[1]import success seats course'!$1:$2,2,FALSE),FALSE)/(VLOOKUP($A143,'[1]import graded seats course pivo'!$A:AC,HLOOKUP('[1]Course Totals'!E$4,'[1]import graded seats course pivo'!$1:$2,2,FALSE),FALSE))),"")</f>
        <v/>
      </c>
      <c r="F143" s="14" t="str">
        <f>IFERROR((VLOOKUP($A143,'[1]import success seats course'!$A:T,HLOOKUP('[1]Course Totals'!F$4,'[1]import success seats course'!$1:$2,2,FALSE),FALSE)/(VLOOKUP($A143,'[1]import graded seats course pivo'!$A:AD,HLOOKUP('[1]Course Totals'!F$4,'[1]import graded seats course pivo'!$1:$2,2,FALSE),FALSE))),"")</f>
        <v/>
      </c>
      <c r="G143" s="14" t="str">
        <f>IFERROR((VLOOKUP($A143,'[1]import success seats course'!$A:U,HLOOKUP('[1]Course Totals'!G$4,'[1]import success seats course'!$1:$2,2,FALSE),FALSE)/(VLOOKUP($A143,'[1]import graded seats course pivo'!$A:AE,HLOOKUP('[1]Course Totals'!G$4,'[1]import graded seats course pivo'!$1:$2,2,FALSE),FALSE))),"")</f>
        <v/>
      </c>
      <c r="H143" s="14" t="str">
        <f>IFERROR((VLOOKUP($A143,'[1]import success seats course'!$A:V,HLOOKUP('[1]Course Totals'!H$4,'[1]import success seats course'!$1:$2,2,FALSE),FALSE)/(VLOOKUP($A143,'[1]import graded seats course pivo'!$A:AF,HLOOKUP('[1]Course Totals'!H$4,'[1]import graded seats course pivo'!$1:$2,2,FALSE),FALSE))),"")</f>
        <v/>
      </c>
      <c r="I143" s="14" t="str">
        <f>IFERROR((VLOOKUP($A143,'[1]import success seats course'!$A:W,HLOOKUP('[1]Course Totals'!I$4,'[1]import success seats course'!$1:$2,2,FALSE),FALSE)/(VLOOKUP($A143,'[1]import graded seats course pivo'!$A:AG,HLOOKUP('[1]Course Totals'!I$4,'[1]import graded seats course pivo'!$1:$2,2,FALSE),FALSE))),"")</f>
        <v/>
      </c>
      <c r="J143" s="14" t="str">
        <f>IFERROR((VLOOKUP($A143,'[1]import success seats course'!$A:X,HLOOKUP('[1]Course Totals'!J$4,'[1]import success seats course'!$1:$2,2,FALSE),FALSE)/(VLOOKUP($A143,'[1]import graded seats course pivo'!$A:AH,HLOOKUP('[1]Course Totals'!J$4,'[1]import graded seats course pivo'!$1:$2,2,FALSE),FALSE))),"")</f>
        <v/>
      </c>
      <c r="K143" s="14" t="str">
        <f>IFERROR((VLOOKUP($A143,'[1]import success seats course'!$A:Y,HLOOKUP('[1]Course Totals'!K$4,'[1]import success seats course'!$1:$2,2,FALSE),FALSE)/(VLOOKUP($A143,'[1]import graded seats course pivo'!$A:AI,HLOOKUP('[1]Course Totals'!K$4,'[1]import graded seats course pivo'!$1:$2,2,FALSE),FALSE))),"")</f>
        <v/>
      </c>
      <c r="L143" s="14" t="str">
        <f>IFERROR((VLOOKUP($A143,'[1]import success seats course'!$A:Z,HLOOKUP('[1]Course Totals'!L$4,'[1]import success seats course'!$1:$2,2,FALSE),FALSE)/(VLOOKUP($A143,'[1]import graded seats course pivo'!$A:AJ,HLOOKUP('[1]Course Totals'!L$4,'[1]import graded seats course pivo'!$1:$2,2,FALSE),FALSE))),"")</f>
        <v/>
      </c>
      <c r="M143" s="14">
        <f>IFERROR((VLOOKUP($A143,'[1]import success seats course'!$A:AA,HLOOKUP('[1]Course Totals'!M$4,'[1]import success seats course'!$1:$2,2,FALSE),FALSE)/(VLOOKUP($A143,'[1]import graded seats course pivo'!$A:AK,HLOOKUP('[1]Course Totals'!M$4,'[1]import graded seats course pivo'!$1:$2,2,FALSE),FALSE))),"")</f>
        <v>1</v>
      </c>
      <c r="N143" s="14" t="str">
        <f>IFERROR((VLOOKUP($A143,'[1]import success seats course'!$A:AB,HLOOKUP('[1]Course Totals'!N$4,'[1]import success seats course'!$1:$2,2,FALSE),FALSE)/(VLOOKUP($A143,'[1]import graded seats course pivo'!$A:AL,HLOOKUP('[1]Course Totals'!N$4,'[1]import graded seats course pivo'!$1:$2,2,FALSE),FALSE))),"")</f>
        <v/>
      </c>
      <c r="O143" s="14" t="str">
        <f>IFERROR((VLOOKUP($A143,'[1]import success seats course'!$A:AC,HLOOKUP('[1]Course Totals'!O$4,'[1]import success seats course'!$1:$2,2,FALSE),FALSE)/(VLOOKUP($A143,'[1]import graded seats course pivo'!$A:AM,HLOOKUP('[1]Course Totals'!O$4,'[1]import graded seats course pivo'!$1:$2,2,FALSE),FALSE))),"")</f>
        <v/>
      </c>
      <c r="P143" s="14" t="str">
        <f>IFERROR((VLOOKUP($A143,'[1]import success seats course'!$A:AD,HLOOKUP('[1]Course Totals'!P$4,'[1]import success seats course'!$1:$2,2,FALSE),FALSE)/(VLOOKUP($A143,'[1]import graded seats course pivo'!$A:AN,HLOOKUP('[1]Course Totals'!P$4,'[1]import graded seats course pivo'!$1:$2,2,FALSE),FALSE))),"")</f>
        <v/>
      </c>
      <c r="Q143" s="14" t="str">
        <f>IFERROR((VLOOKUP($A143,'[1]import success seats course'!$A:AE,HLOOKUP('[1]Course Totals'!Q$4,'[1]import success seats course'!$1:$2,2,FALSE),FALSE)/(VLOOKUP($A143,'[1]import graded seats course pivo'!$A:AO,HLOOKUP('[1]Course Totals'!Q$4,'[1]import graded seats course pivo'!$1:$2,2,FALSE),FALSE))),"")</f>
        <v/>
      </c>
      <c r="R143" s="14" t="str">
        <f>IFERROR((VLOOKUP($A143,'[1]import success seats course'!$A:AF,HLOOKUP('[1]Course Totals'!R$4,'[1]import success seats course'!$1:$2,2,FALSE),FALSE)/(VLOOKUP($A143,'[1]import graded seats course pivo'!$A:AP,HLOOKUP('[1]Course Totals'!R$4,'[1]import graded seats course pivo'!$1:$2,2,FALSE),FALSE))),"")</f>
        <v/>
      </c>
      <c r="S143" s="14">
        <f>IFERROR((VLOOKUP($A143,'[1]import success seats course'!$A:AG,HLOOKUP('[1]Course Totals'!S$4,'[1]import success seats course'!$1:$2,2,FALSE),FALSE)/(VLOOKUP($A143,'[1]import graded seats course pivo'!$A:AQ,HLOOKUP('[1]Course Totals'!S$4,'[1]import graded seats course pivo'!$1:$2,2,FALSE),FALSE))),"")</f>
        <v>1</v>
      </c>
      <c r="Z143" s="7"/>
      <c r="AA143" s="7"/>
      <c r="AB143" s="7"/>
      <c r="AC143" s="7"/>
    </row>
    <row r="144" spans="1:29" s="7" customFormat="1" ht="15.75" customHeight="1" thickBot="1" x14ac:dyDescent="0.3">
      <c r="A144" s="11" t="str">
        <f>'[1]SUBJECTS BASE'!H10</f>
        <v>Audio Technology</v>
      </c>
      <c r="B144" s="38" t="s">
        <v>1046</v>
      </c>
      <c r="C144" s="39" t="s">
        <v>0</v>
      </c>
      <c r="D144" s="40" t="s">
        <v>868</v>
      </c>
      <c r="E144" s="41" t="s">
        <v>1052</v>
      </c>
      <c r="F144" s="42" t="s">
        <v>546</v>
      </c>
      <c r="G144" s="43" t="s">
        <v>959</v>
      </c>
      <c r="H144" s="44" t="s">
        <v>1060</v>
      </c>
      <c r="I144" s="39" t="s">
        <v>675</v>
      </c>
      <c r="J144" s="45" t="s">
        <v>1006</v>
      </c>
      <c r="K144" s="46" t="s">
        <v>1062</v>
      </c>
      <c r="L144" s="42" t="s">
        <v>762</v>
      </c>
      <c r="M144" s="43" t="s">
        <v>1022</v>
      </c>
      <c r="N144" s="44" t="s">
        <v>1063</v>
      </c>
      <c r="O144" s="39" t="s">
        <v>822</v>
      </c>
      <c r="P144" s="40" t="s">
        <v>1042</v>
      </c>
      <c r="Q144" s="46" t="s">
        <v>1153</v>
      </c>
      <c r="R144" s="42" t="s">
        <v>1154</v>
      </c>
      <c r="S144" s="43" t="s">
        <v>1155</v>
      </c>
    </row>
    <row r="145" spans="1:29" ht="15.75" hidden="1" customHeight="1" x14ac:dyDescent="0.25">
      <c r="A145" s="12" t="s">
        <v>90</v>
      </c>
      <c r="B145" s="14" t="str">
        <f>IFERROR((VLOOKUP($A145,'[1]import success seats course'!$A:P,HLOOKUP('[1]Course Totals'!B$4,'[1]import success seats course'!$1:$2,2,FALSE),FALSE)/(VLOOKUP($A145,'[1]import graded seats course pivo'!$A:Z,HLOOKUP('[1]Course Totals'!B$4,'[1]import graded seats course pivo'!$1:$2,2,FALSE),FALSE))),"")</f>
        <v/>
      </c>
      <c r="C145" s="14" t="str">
        <f>IFERROR((VLOOKUP($A145,'[1]import success seats course'!$A:Q,HLOOKUP('[1]Course Totals'!C$4,'[1]import success seats course'!$1:$2,2,FALSE),FALSE)/(VLOOKUP($A145,'[1]import graded seats course pivo'!$A:AA,HLOOKUP('[1]Course Totals'!C$4,'[1]import graded seats course pivo'!$1:$2,2,FALSE),FALSE))),"")</f>
        <v/>
      </c>
      <c r="D145" s="14" t="str">
        <f>IFERROR((VLOOKUP($A145,'[1]import success seats course'!$A:R,HLOOKUP('[1]Course Totals'!D$4,'[1]import success seats course'!$1:$2,2,FALSE),FALSE)/(VLOOKUP($A145,'[1]import graded seats course pivo'!$A:AB,HLOOKUP('[1]Course Totals'!D$4,'[1]import graded seats course pivo'!$1:$2,2,FALSE),FALSE))),"")</f>
        <v/>
      </c>
      <c r="E145" s="14" t="str">
        <f>IFERROR((VLOOKUP($A145,'[1]import success seats course'!$A:S,HLOOKUP('[1]Course Totals'!E$4,'[1]import success seats course'!$1:$2,2,FALSE),FALSE)/(VLOOKUP($A145,'[1]import graded seats course pivo'!$A:AC,HLOOKUP('[1]Course Totals'!E$4,'[1]import graded seats course pivo'!$1:$2,2,FALSE),FALSE))),"")</f>
        <v/>
      </c>
      <c r="F145" s="14" t="str">
        <f>IFERROR((VLOOKUP($A145,'[1]import success seats course'!$A:T,HLOOKUP('[1]Course Totals'!F$4,'[1]import success seats course'!$1:$2,2,FALSE),FALSE)/(VLOOKUP($A145,'[1]import graded seats course pivo'!$A:AD,HLOOKUP('[1]Course Totals'!F$4,'[1]import graded seats course pivo'!$1:$2,2,FALSE),FALSE))),"")</f>
        <v/>
      </c>
      <c r="G145" s="14" t="str">
        <f>IFERROR((VLOOKUP($A145,'[1]import success seats course'!$A:U,HLOOKUP('[1]Course Totals'!G$4,'[1]import success seats course'!$1:$2,2,FALSE),FALSE)/(VLOOKUP($A145,'[1]import graded seats course pivo'!$A:AE,HLOOKUP('[1]Course Totals'!G$4,'[1]import graded seats course pivo'!$1:$2,2,FALSE),FALSE))),"")</f>
        <v/>
      </c>
      <c r="H145" s="14" t="str">
        <f>IFERROR((VLOOKUP($A145,'[1]import success seats course'!$A:V,HLOOKUP('[1]Course Totals'!H$4,'[1]import success seats course'!$1:$2,2,FALSE),FALSE)/(VLOOKUP($A145,'[1]import graded seats course pivo'!$A:AF,HLOOKUP('[1]Course Totals'!H$4,'[1]import graded seats course pivo'!$1:$2,2,FALSE),FALSE))),"")</f>
        <v/>
      </c>
      <c r="I145" s="14" t="str">
        <f>IFERROR((VLOOKUP($A145,'[1]import success seats course'!$A:W,HLOOKUP('[1]Course Totals'!I$4,'[1]import success seats course'!$1:$2,2,FALSE),FALSE)/(VLOOKUP($A145,'[1]import graded seats course pivo'!$A:AG,HLOOKUP('[1]Course Totals'!I$4,'[1]import graded seats course pivo'!$1:$2,2,FALSE),FALSE))),"")</f>
        <v/>
      </c>
      <c r="J145" s="14" t="str">
        <f>IFERROR((VLOOKUP($A145,'[1]import success seats course'!$A:X,HLOOKUP('[1]Course Totals'!J$4,'[1]import success seats course'!$1:$2,2,FALSE),FALSE)/(VLOOKUP($A145,'[1]import graded seats course pivo'!$A:AH,HLOOKUP('[1]Course Totals'!J$4,'[1]import graded seats course pivo'!$1:$2,2,FALSE),FALSE))),"")</f>
        <v/>
      </c>
      <c r="K145" s="14" t="str">
        <f>IFERROR((VLOOKUP($A145,'[1]import success seats course'!$A:Y,HLOOKUP('[1]Course Totals'!K$4,'[1]import success seats course'!$1:$2,2,FALSE),FALSE)/(VLOOKUP($A145,'[1]import graded seats course pivo'!$A:AI,HLOOKUP('[1]Course Totals'!K$4,'[1]import graded seats course pivo'!$1:$2,2,FALSE),FALSE))),"")</f>
        <v/>
      </c>
      <c r="L145" s="14" t="str">
        <f>IFERROR((VLOOKUP($A145,'[1]import success seats course'!$A:Z,HLOOKUP('[1]Course Totals'!L$4,'[1]import success seats course'!$1:$2,2,FALSE),FALSE)/(VLOOKUP($A145,'[1]import graded seats course pivo'!$A:AJ,HLOOKUP('[1]Course Totals'!L$4,'[1]import graded seats course pivo'!$1:$2,2,FALSE),FALSE))),"")</f>
        <v/>
      </c>
      <c r="M145" s="14" t="str">
        <f>IFERROR((VLOOKUP($A145,'[1]import success seats course'!$A:AA,HLOOKUP('[1]Course Totals'!M$4,'[1]import success seats course'!$1:$2,2,FALSE),FALSE)/(VLOOKUP($A145,'[1]import graded seats course pivo'!$A:AK,HLOOKUP('[1]Course Totals'!M$4,'[1]import graded seats course pivo'!$1:$2,2,FALSE),FALSE))),"")</f>
        <v/>
      </c>
      <c r="N145" s="14" t="str">
        <f>IFERROR((VLOOKUP($A145,'[1]import success seats course'!$A:AB,HLOOKUP('[1]Course Totals'!N$4,'[1]import success seats course'!$1:$2,2,FALSE),FALSE)/(VLOOKUP($A145,'[1]import graded seats course pivo'!$A:AL,HLOOKUP('[1]Course Totals'!N$4,'[1]import graded seats course pivo'!$1:$2,2,FALSE),FALSE))),"")</f>
        <v/>
      </c>
      <c r="O145" s="14" t="str">
        <f>IFERROR((VLOOKUP($A145,'[1]import success seats course'!$A:AC,HLOOKUP('[1]Course Totals'!O$4,'[1]import success seats course'!$1:$2,2,FALSE),FALSE)/(VLOOKUP($A145,'[1]import graded seats course pivo'!$A:AM,HLOOKUP('[1]Course Totals'!O$4,'[1]import graded seats course pivo'!$1:$2,2,FALSE),FALSE))),"")</f>
        <v/>
      </c>
      <c r="P145" s="14" t="str">
        <f>IFERROR((VLOOKUP($A145,'[1]import success seats course'!$A:AD,HLOOKUP('[1]Course Totals'!P$4,'[1]import success seats course'!$1:$2,2,FALSE),FALSE)/(VLOOKUP($A145,'[1]import graded seats course pivo'!$A:AN,HLOOKUP('[1]Course Totals'!P$4,'[1]import graded seats course pivo'!$1:$2,2,FALSE),FALSE))),"")</f>
        <v/>
      </c>
      <c r="Q145" s="14" t="str">
        <f>IFERROR((VLOOKUP($A145,'[1]import success seats course'!$A:AE,HLOOKUP('[1]Course Totals'!Q$4,'[1]import success seats course'!$1:$2,2,FALSE),FALSE)/(VLOOKUP($A145,'[1]import graded seats course pivo'!$A:AO,HLOOKUP('[1]Course Totals'!Q$4,'[1]import graded seats course pivo'!$1:$2,2,FALSE),FALSE))),"")</f>
        <v/>
      </c>
      <c r="R145" s="14" t="str">
        <f>IFERROR((VLOOKUP($A145,'[1]import success seats course'!$A:AF,HLOOKUP('[1]Course Totals'!R$4,'[1]import success seats course'!$1:$2,2,FALSE),FALSE)/(VLOOKUP($A145,'[1]import graded seats course pivo'!$A:AP,HLOOKUP('[1]Course Totals'!R$4,'[1]import graded seats course pivo'!$1:$2,2,FALSE),FALSE))),"")</f>
        <v/>
      </c>
      <c r="S145" s="14" t="str">
        <f>IFERROR((VLOOKUP($A145,'[1]import success seats course'!$A:AG,HLOOKUP('[1]Course Totals'!S$4,'[1]import success seats course'!$1:$2,2,FALSE),FALSE)/(VLOOKUP($A145,'[1]import graded seats course pivo'!$A:AQ,HLOOKUP('[1]Course Totals'!S$4,'[1]import graded seats course pivo'!$1:$2,2,FALSE),FALSE))),"")</f>
        <v/>
      </c>
      <c r="Z145" s="7"/>
      <c r="AA145" s="7"/>
      <c r="AB145" s="7"/>
      <c r="AC145" s="7"/>
    </row>
    <row r="146" spans="1:29" ht="15.75" hidden="1" customHeight="1" x14ac:dyDescent="0.25">
      <c r="A146" s="12" t="s">
        <v>91</v>
      </c>
      <c r="B146" s="14" t="str">
        <f>IFERROR((VLOOKUP($A146,'[1]import success seats course'!$A:P,HLOOKUP('[1]Course Totals'!B$4,'[1]import success seats course'!$1:$2,2,FALSE),FALSE)/(VLOOKUP($A146,'[1]import graded seats course pivo'!$A:Z,HLOOKUP('[1]Course Totals'!B$4,'[1]import graded seats course pivo'!$1:$2,2,FALSE),FALSE))),"")</f>
        <v/>
      </c>
      <c r="C146" s="14" t="str">
        <f>IFERROR((VLOOKUP($A146,'[1]import success seats course'!$A:Q,HLOOKUP('[1]Course Totals'!C$4,'[1]import success seats course'!$1:$2,2,FALSE),FALSE)/(VLOOKUP($A146,'[1]import graded seats course pivo'!$A:AA,HLOOKUP('[1]Course Totals'!C$4,'[1]import graded seats course pivo'!$1:$2,2,FALSE),FALSE))),"")</f>
        <v/>
      </c>
      <c r="D146" s="14" t="str">
        <f>IFERROR((VLOOKUP($A146,'[1]import success seats course'!$A:R,HLOOKUP('[1]Course Totals'!D$4,'[1]import success seats course'!$1:$2,2,FALSE),FALSE)/(VLOOKUP($A146,'[1]import graded seats course pivo'!$A:AB,HLOOKUP('[1]Course Totals'!D$4,'[1]import graded seats course pivo'!$1:$2,2,FALSE),FALSE))),"")</f>
        <v/>
      </c>
      <c r="E146" s="14" t="str">
        <f>IFERROR((VLOOKUP($A146,'[1]import success seats course'!$A:S,HLOOKUP('[1]Course Totals'!E$4,'[1]import success seats course'!$1:$2,2,FALSE),FALSE)/(VLOOKUP($A146,'[1]import graded seats course pivo'!$A:AC,HLOOKUP('[1]Course Totals'!E$4,'[1]import graded seats course pivo'!$1:$2,2,FALSE),FALSE))),"")</f>
        <v/>
      </c>
      <c r="F146" s="14" t="str">
        <f>IFERROR((VLOOKUP($A146,'[1]import success seats course'!$A:T,HLOOKUP('[1]Course Totals'!F$4,'[1]import success seats course'!$1:$2,2,FALSE),FALSE)/(VLOOKUP($A146,'[1]import graded seats course pivo'!$A:AD,HLOOKUP('[1]Course Totals'!F$4,'[1]import graded seats course pivo'!$1:$2,2,FALSE),FALSE))),"")</f>
        <v/>
      </c>
      <c r="G146" s="14" t="str">
        <f>IFERROR((VLOOKUP($A146,'[1]import success seats course'!$A:U,HLOOKUP('[1]Course Totals'!G$4,'[1]import success seats course'!$1:$2,2,FALSE),FALSE)/(VLOOKUP($A146,'[1]import graded seats course pivo'!$A:AE,HLOOKUP('[1]Course Totals'!G$4,'[1]import graded seats course pivo'!$1:$2,2,FALSE),FALSE))),"")</f>
        <v/>
      </c>
      <c r="H146" s="14" t="str">
        <f>IFERROR((VLOOKUP($A146,'[1]import success seats course'!$A:V,HLOOKUP('[1]Course Totals'!H$4,'[1]import success seats course'!$1:$2,2,FALSE),FALSE)/(VLOOKUP($A146,'[1]import graded seats course pivo'!$A:AF,HLOOKUP('[1]Course Totals'!H$4,'[1]import graded seats course pivo'!$1:$2,2,FALSE),FALSE))),"")</f>
        <v/>
      </c>
      <c r="I146" s="14" t="str">
        <f>IFERROR((VLOOKUP($A146,'[1]import success seats course'!$A:W,HLOOKUP('[1]Course Totals'!I$4,'[1]import success seats course'!$1:$2,2,FALSE),FALSE)/(VLOOKUP($A146,'[1]import graded seats course pivo'!$A:AG,HLOOKUP('[1]Course Totals'!I$4,'[1]import graded seats course pivo'!$1:$2,2,FALSE),FALSE))),"")</f>
        <v/>
      </c>
      <c r="J146" s="14" t="str">
        <f>IFERROR((VLOOKUP($A146,'[1]import success seats course'!$A:X,HLOOKUP('[1]Course Totals'!J$4,'[1]import success seats course'!$1:$2,2,FALSE),FALSE)/(VLOOKUP($A146,'[1]import graded seats course pivo'!$A:AH,HLOOKUP('[1]Course Totals'!J$4,'[1]import graded seats course pivo'!$1:$2,2,FALSE),FALSE))),"")</f>
        <v/>
      </c>
      <c r="K146" s="14" t="str">
        <f>IFERROR((VLOOKUP($A146,'[1]import success seats course'!$A:Y,HLOOKUP('[1]Course Totals'!K$4,'[1]import success seats course'!$1:$2,2,FALSE),FALSE)/(VLOOKUP($A146,'[1]import graded seats course pivo'!$A:AI,HLOOKUP('[1]Course Totals'!K$4,'[1]import graded seats course pivo'!$1:$2,2,FALSE),FALSE))),"")</f>
        <v/>
      </c>
      <c r="L146" s="14" t="str">
        <f>IFERROR((VLOOKUP($A146,'[1]import success seats course'!$A:Z,HLOOKUP('[1]Course Totals'!L$4,'[1]import success seats course'!$1:$2,2,FALSE),FALSE)/(VLOOKUP($A146,'[1]import graded seats course pivo'!$A:AJ,HLOOKUP('[1]Course Totals'!L$4,'[1]import graded seats course pivo'!$1:$2,2,FALSE),FALSE))),"")</f>
        <v/>
      </c>
      <c r="M146" s="14" t="str">
        <f>IFERROR((VLOOKUP($A146,'[1]import success seats course'!$A:AA,HLOOKUP('[1]Course Totals'!M$4,'[1]import success seats course'!$1:$2,2,FALSE),FALSE)/(VLOOKUP($A146,'[1]import graded seats course pivo'!$A:AK,HLOOKUP('[1]Course Totals'!M$4,'[1]import graded seats course pivo'!$1:$2,2,FALSE),FALSE))),"")</f>
        <v/>
      </c>
      <c r="N146" s="14" t="str">
        <f>IFERROR((VLOOKUP($A146,'[1]import success seats course'!$A:AB,HLOOKUP('[1]Course Totals'!N$4,'[1]import success seats course'!$1:$2,2,FALSE),FALSE)/(VLOOKUP($A146,'[1]import graded seats course pivo'!$A:AL,HLOOKUP('[1]Course Totals'!N$4,'[1]import graded seats course pivo'!$1:$2,2,FALSE),FALSE))),"")</f>
        <v/>
      </c>
      <c r="O146" s="14" t="str">
        <f>IFERROR((VLOOKUP($A146,'[1]import success seats course'!$A:AC,HLOOKUP('[1]Course Totals'!O$4,'[1]import success seats course'!$1:$2,2,FALSE),FALSE)/(VLOOKUP($A146,'[1]import graded seats course pivo'!$A:AM,HLOOKUP('[1]Course Totals'!O$4,'[1]import graded seats course pivo'!$1:$2,2,FALSE),FALSE))),"")</f>
        <v/>
      </c>
      <c r="P146" s="14" t="str">
        <f>IFERROR((VLOOKUP($A146,'[1]import success seats course'!$A:AD,HLOOKUP('[1]Course Totals'!P$4,'[1]import success seats course'!$1:$2,2,FALSE),FALSE)/(VLOOKUP($A146,'[1]import graded seats course pivo'!$A:AN,HLOOKUP('[1]Course Totals'!P$4,'[1]import graded seats course pivo'!$1:$2,2,FALSE),FALSE))),"")</f>
        <v/>
      </c>
      <c r="Q146" s="14" t="str">
        <f>IFERROR((VLOOKUP($A146,'[1]import success seats course'!$A:AE,HLOOKUP('[1]Course Totals'!Q$4,'[1]import success seats course'!$1:$2,2,FALSE),FALSE)/(VLOOKUP($A146,'[1]import graded seats course pivo'!$A:AO,HLOOKUP('[1]Course Totals'!Q$4,'[1]import graded seats course pivo'!$1:$2,2,FALSE),FALSE))),"")</f>
        <v/>
      </c>
      <c r="R146" s="14" t="str">
        <f>IFERROR((VLOOKUP($A146,'[1]import success seats course'!$A:AF,HLOOKUP('[1]Course Totals'!R$4,'[1]import success seats course'!$1:$2,2,FALSE),FALSE)/(VLOOKUP($A146,'[1]import graded seats course pivo'!$A:AP,HLOOKUP('[1]Course Totals'!R$4,'[1]import graded seats course pivo'!$1:$2,2,FALSE),FALSE))),"")</f>
        <v/>
      </c>
      <c r="S146" s="14" t="str">
        <f>IFERROR((VLOOKUP($A146,'[1]import success seats course'!$A:AG,HLOOKUP('[1]Course Totals'!S$4,'[1]import success seats course'!$1:$2,2,FALSE),FALSE)/(VLOOKUP($A146,'[1]import graded seats course pivo'!$A:AQ,HLOOKUP('[1]Course Totals'!S$4,'[1]import graded seats course pivo'!$1:$2,2,FALSE),FALSE))),"")</f>
        <v/>
      </c>
      <c r="Z146" s="7"/>
      <c r="AA146" s="7"/>
      <c r="AB146" s="7"/>
      <c r="AC146" s="7"/>
    </row>
    <row r="147" spans="1:29" ht="15.75" hidden="1" customHeight="1" x14ac:dyDescent="0.25">
      <c r="A147" s="12" t="s">
        <v>92</v>
      </c>
      <c r="B147" s="14" t="str">
        <f>IFERROR((VLOOKUP($A147,'[1]import success seats course'!$A:P,HLOOKUP('[1]Course Totals'!B$4,'[1]import success seats course'!$1:$2,2,FALSE),FALSE)/(VLOOKUP($A147,'[1]import graded seats course pivo'!$A:Z,HLOOKUP('[1]Course Totals'!B$4,'[1]import graded seats course pivo'!$1:$2,2,FALSE),FALSE))),"")</f>
        <v/>
      </c>
      <c r="C147" s="14" t="str">
        <f>IFERROR((VLOOKUP($A147,'[1]import success seats course'!$A:Q,HLOOKUP('[1]Course Totals'!C$4,'[1]import success seats course'!$1:$2,2,FALSE),FALSE)/(VLOOKUP($A147,'[1]import graded seats course pivo'!$A:AA,HLOOKUP('[1]Course Totals'!C$4,'[1]import graded seats course pivo'!$1:$2,2,FALSE),FALSE))),"")</f>
        <v/>
      </c>
      <c r="D147" s="14" t="str">
        <f>IFERROR((VLOOKUP($A147,'[1]import success seats course'!$A:R,HLOOKUP('[1]Course Totals'!D$4,'[1]import success seats course'!$1:$2,2,FALSE),FALSE)/(VLOOKUP($A147,'[1]import graded seats course pivo'!$A:AB,HLOOKUP('[1]Course Totals'!D$4,'[1]import graded seats course pivo'!$1:$2,2,FALSE),FALSE))),"")</f>
        <v/>
      </c>
      <c r="E147" s="14" t="str">
        <f>IFERROR((VLOOKUP($A147,'[1]import success seats course'!$A:S,HLOOKUP('[1]Course Totals'!E$4,'[1]import success seats course'!$1:$2,2,FALSE),FALSE)/(VLOOKUP($A147,'[1]import graded seats course pivo'!$A:AC,HLOOKUP('[1]Course Totals'!E$4,'[1]import graded seats course pivo'!$1:$2,2,FALSE),FALSE))),"")</f>
        <v/>
      </c>
      <c r="F147" s="14" t="str">
        <f>IFERROR((VLOOKUP($A147,'[1]import success seats course'!$A:T,HLOOKUP('[1]Course Totals'!F$4,'[1]import success seats course'!$1:$2,2,FALSE),FALSE)/(VLOOKUP($A147,'[1]import graded seats course pivo'!$A:AD,HLOOKUP('[1]Course Totals'!F$4,'[1]import graded seats course pivo'!$1:$2,2,FALSE),FALSE))),"")</f>
        <v/>
      </c>
      <c r="G147" s="14" t="str">
        <f>IFERROR((VLOOKUP($A147,'[1]import success seats course'!$A:U,HLOOKUP('[1]Course Totals'!G$4,'[1]import success seats course'!$1:$2,2,FALSE),FALSE)/(VLOOKUP($A147,'[1]import graded seats course pivo'!$A:AE,HLOOKUP('[1]Course Totals'!G$4,'[1]import graded seats course pivo'!$1:$2,2,FALSE),FALSE))),"")</f>
        <v/>
      </c>
      <c r="H147" s="14" t="str">
        <f>IFERROR((VLOOKUP($A147,'[1]import success seats course'!$A:V,HLOOKUP('[1]Course Totals'!H$4,'[1]import success seats course'!$1:$2,2,FALSE),FALSE)/(VLOOKUP($A147,'[1]import graded seats course pivo'!$A:AF,HLOOKUP('[1]Course Totals'!H$4,'[1]import graded seats course pivo'!$1:$2,2,FALSE),FALSE))),"")</f>
        <v/>
      </c>
      <c r="I147" s="14" t="str">
        <f>IFERROR((VLOOKUP($A147,'[1]import success seats course'!$A:W,HLOOKUP('[1]Course Totals'!I$4,'[1]import success seats course'!$1:$2,2,FALSE),FALSE)/(VLOOKUP($A147,'[1]import graded seats course pivo'!$A:AG,HLOOKUP('[1]Course Totals'!I$4,'[1]import graded seats course pivo'!$1:$2,2,FALSE),FALSE))),"")</f>
        <v/>
      </c>
      <c r="J147" s="14" t="str">
        <f>IFERROR((VLOOKUP($A147,'[1]import success seats course'!$A:X,HLOOKUP('[1]Course Totals'!J$4,'[1]import success seats course'!$1:$2,2,FALSE),FALSE)/(VLOOKUP($A147,'[1]import graded seats course pivo'!$A:AH,HLOOKUP('[1]Course Totals'!J$4,'[1]import graded seats course pivo'!$1:$2,2,FALSE),FALSE))),"")</f>
        <v/>
      </c>
      <c r="K147" s="14" t="str">
        <f>IFERROR((VLOOKUP($A147,'[1]import success seats course'!$A:Y,HLOOKUP('[1]Course Totals'!K$4,'[1]import success seats course'!$1:$2,2,FALSE),FALSE)/(VLOOKUP($A147,'[1]import graded seats course pivo'!$A:AI,HLOOKUP('[1]Course Totals'!K$4,'[1]import graded seats course pivo'!$1:$2,2,FALSE),FALSE))),"")</f>
        <v/>
      </c>
      <c r="L147" s="14" t="str">
        <f>IFERROR((VLOOKUP($A147,'[1]import success seats course'!$A:Z,HLOOKUP('[1]Course Totals'!L$4,'[1]import success seats course'!$1:$2,2,FALSE),FALSE)/(VLOOKUP($A147,'[1]import graded seats course pivo'!$A:AJ,HLOOKUP('[1]Course Totals'!L$4,'[1]import graded seats course pivo'!$1:$2,2,FALSE),FALSE))),"")</f>
        <v/>
      </c>
      <c r="M147" s="14" t="str">
        <f>IFERROR((VLOOKUP($A147,'[1]import success seats course'!$A:AA,HLOOKUP('[1]Course Totals'!M$4,'[1]import success seats course'!$1:$2,2,FALSE),FALSE)/(VLOOKUP($A147,'[1]import graded seats course pivo'!$A:AK,HLOOKUP('[1]Course Totals'!M$4,'[1]import graded seats course pivo'!$1:$2,2,FALSE),FALSE))),"")</f>
        <v/>
      </c>
      <c r="N147" s="14" t="str">
        <f>IFERROR((VLOOKUP($A147,'[1]import success seats course'!$A:AB,HLOOKUP('[1]Course Totals'!N$4,'[1]import success seats course'!$1:$2,2,FALSE),FALSE)/(VLOOKUP($A147,'[1]import graded seats course pivo'!$A:AL,HLOOKUP('[1]Course Totals'!N$4,'[1]import graded seats course pivo'!$1:$2,2,FALSE),FALSE))),"")</f>
        <v/>
      </c>
      <c r="O147" s="14" t="str">
        <f>IFERROR((VLOOKUP($A147,'[1]import success seats course'!$A:AC,HLOOKUP('[1]Course Totals'!O$4,'[1]import success seats course'!$1:$2,2,FALSE),FALSE)/(VLOOKUP($A147,'[1]import graded seats course pivo'!$A:AM,HLOOKUP('[1]Course Totals'!O$4,'[1]import graded seats course pivo'!$1:$2,2,FALSE),FALSE))),"")</f>
        <v/>
      </c>
      <c r="P147" s="14" t="str">
        <f>IFERROR((VLOOKUP($A147,'[1]import success seats course'!$A:AD,HLOOKUP('[1]Course Totals'!P$4,'[1]import success seats course'!$1:$2,2,FALSE),FALSE)/(VLOOKUP($A147,'[1]import graded seats course pivo'!$A:AN,HLOOKUP('[1]Course Totals'!P$4,'[1]import graded seats course pivo'!$1:$2,2,FALSE),FALSE))),"")</f>
        <v/>
      </c>
      <c r="Q147" s="14" t="str">
        <f>IFERROR((VLOOKUP($A147,'[1]import success seats course'!$A:AE,HLOOKUP('[1]Course Totals'!Q$4,'[1]import success seats course'!$1:$2,2,FALSE),FALSE)/(VLOOKUP($A147,'[1]import graded seats course pivo'!$A:AO,HLOOKUP('[1]Course Totals'!Q$4,'[1]import graded seats course pivo'!$1:$2,2,FALSE),FALSE))),"")</f>
        <v/>
      </c>
      <c r="R147" s="14" t="str">
        <f>IFERROR((VLOOKUP($A147,'[1]import success seats course'!$A:AF,HLOOKUP('[1]Course Totals'!R$4,'[1]import success seats course'!$1:$2,2,FALSE),FALSE)/(VLOOKUP($A147,'[1]import graded seats course pivo'!$A:AP,HLOOKUP('[1]Course Totals'!R$4,'[1]import graded seats course pivo'!$1:$2,2,FALSE),FALSE))),"")</f>
        <v/>
      </c>
      <c r="S147" s="14" t="str">
        <f>IFERROR((VLOOKUP($A147,'[1]import success seats course'!$A:AG,HLOOKUP('[1]Course Totals'!S$4,'[1]import success seats course'!$1:$2,2,FALSE),FALSE)/(VLOOKUP($A147,'[1]import graded seats course pivo'!$A:AQ,HLOOKUP('[1]Course Totals'!S$4,'[1]import graded seats course pivo'!$1:$2,2,FALSE),FALSE))),"")</f>
        <v/>
      </c>
      <c r="Z147" s="7"/>
      <c r="AA147" s="7"/>
      <c r="AB147" s="7"/>
      <c r="AC147" s="7"/>
    </row>
    <row r="148" spans="1:29" ht="15.75" hidden="1" customHeight="1" x14ac:dyDescent="0.25">
      <c r="A148" s="12" t="s">
        <v>93</v>
      </c>
      <c r="B148" s="14" t="str">
        <f>IFERROR((VLOOKUP($A148,'[1]import success seats course'!$A:P,HLOOKUP('[1]Course Totals'!B$4,'[1]import success seats course'!$1:$2,2,FALSE),FALSE)/(VLOOKUP($A148,'[1]import graded seats course pivo'!$A:Z,HLOOKUP('[1]Course Totals'!B$4,'[1]import graded seats course pivo'!$1:$2,2,FALSE),FALSE))),"")</f>
        <v/>
      </c>
      <c r="C148" s="14" t="str">
        <f>IFERROR((VLOOKUP($A148,'[1]import success seats course'!$A:Q,HLOOKUP('[1]Course Totals'!C$4,'[1]import success seats course'!$1:$2,2,FALSE),FALSE)/(VLOOKUP($A148,'[1]import graded seats course pivo'!$A:AA,HLOOKUP('[1]Course Totals'!C$4,'[1]import graded seats course pivo'!$1:$2,2,FALSE),FALSE))),"")</f>
        <v/>
      </c>
      <c r="D148" s="14" t="str">
        <f>IFERROR((VLOOKUP($A148,'[1]import success seats course'!$A:R,HLOOKUP('[1]Course Totals'!D$4,'[1]import success seats course'!$1:$2,2,FALSE),FALSE)/(VLOOKUP($A148,'[1]import graded seats course pivo'!$A:AB,HLOOKUP('[1]Course Totals'!D$4,'[1]import graded seats course pivo'!$1:$2,2,FALSE),FALSE))),"")</f>
        <v/>
      </c>
      <c r="E148" s="14" t="str">
        <f>IFERROR((VLOOKUP($A148,'[1]import success seats course'!$A:S,HLOOKUP('[1]Course Totals'!E$4,'[1]import success seats course'!$1:$2,2,FALSE),FALSE)/(VLOOKUP($A148,'[1]import graded seats course pivo'!$A:AC,HLOOKUP('[1]Course Totals'!E$4,'[1]import graded seats course pivo'!$1:$2,2,FALSE),FALSE))),"")</f>
        <v/>
      </c>
      <c r="F148" s="14" t="str">
        <f>IFERROR((VLOOKUP($A148,'[1]import success seats course'!$A:T,HLOOKUP('[1]Course Totals'!F$4,'[1]import success seats course'!$1:$2,2,FALSE),FALSE)/(VLOOKUP($A148,'[1]import graded seats course pivo'!$A:AD,HLOOKUP('[1]Course Totals'!F$4,'[1]import graded seats course pivo'!$1:$2,2,FALSE),FALSE))),"")</f>
        <v/>
      </c>
      <c r="G148" s="14" t="str">
        <f>IFERROR((VLOOKUP($A148,'[1]import success seats course'!$A:U,HLOOKUP('[1]Course Totals'!G$4,'[1]import success seats course'!$1:$2,2,FALSE),FALSE)/(VLOOKUP($A148,'[1]import graded seats course pivo'!$A:AE,HLOOKUP('[1]Course Totals'!G$4,'[1]import graded seats course pivo'!$1:$2,2,FALSE),FALSE))),"")</f>
        <v/>
      </c>
      <c r="H148" s="14" t="str">
        <f>IFERROR((VLOOKUP($A148,'[1]import success seats course'!$A:V,HLOOKUP('[1]Course Totals'!H$4,'[1]import success seats course'!$1:$2,2,FALSE),FALSE)/(VLOOKUP($A148,'[1]import graded seats course pivo'!$A:AF,HLOOKUP('[1]Course Totals'!H$4,'[1]import graded seats course pivo'!$1:$2,2,FALSE),FALSE))),"")</f>
        <v/>
      </c>
      <c r="I148" s="14" t="str">
        <f>IFERROR((VLOOKUP($A148,'[1]import success seats course'!$A:W,HLOOKUP('[1]Course Totals'!I$4,'[1]import success seats course'!$1:$2,2,FALSE),FALSE)/(VLOOKUP($A148,'[1]import graded seats course pivo'!$A:AG,HLOOKUP('[1]Course Totals'!I$4,'[1]import graded seats course pivo'!$1:$2,2,FALSE),FALSE))),"")</f>
        <v/>
      </c>
      <c r="J148" s="14" t="str">
        <f>IFERROR((VLOOKUP($A148,'[1]import success seats course'!$A:X,HLOOKUP('[1]Course Totals'!J$4,'[1]import success seats course'!$1:$2,2,FALSE),FALSE)/(VLOOKUP($A148,'[1]import graded seats course pivo'!$A:AH,HLOOKUP('[1]Course Totals'!J$4,'[1]import graded seats course pivo'!$1:$2,2,FALSE),FALSE))),"")</f>
        <v/>
      </c>
      <c r="K148" s="14" t="str">
        <f>IFERROR((VLOOKUP($A148,'[1]import success seats course'!$A:Y,HLOOKUP('[1]Course Totals'!K$4,'[1]import success seats course'!$1:$2,2,FALSE),FALSE)/(VLOOKUP($A148,'[1]import graded seats course pivo'!$A:AI,HLOOKUP('[1]Course Totals'!K$4,'[1]import graded seats course pivo'!$1:$2,2,FALSE),FALSE))),"")</f>
        <v/>
      </c>
      <c r="L148" s="14" t="str">
        <f>IFERROR((VLOOKUP($A148,'[1]import success seats course'!$A:Z,HLOOKUP('[1]Course Totals'!L$4,'[1]import success seats course'!$1:$2,2,FALSE),FALSE)/(VLOOKUP($A148,'[1]import graded seats course pivo'!$A:AJ,HLOOKUP('[1]Course Totals'!L$4,'[1]import graded seats course pivo'!$1:$2,2,FALSE),FALSE))),"")</f>
        <v/>
      </c>
      <c r="M148" s="14" t="str">
        <f>IFERROR((VLOOKUP($A148,'[1]import success seats course'!$A:AA,HLOOKUP('[1]Course Totals'!M$4,'[1]import success seats course'!$1:$2,2,FALSE),FALSE)/(VLOOKUP($A148,'[1]import graded seats course pivo'!$A:AK,HLOOKUP('[1]Course Totals'!M$4,'[1]import graded seats course pivo'!$1:$2,2,FALSE),FALSE))),"")</f>
        <v/>
      </c>
      <c r="N148" s="14" t="str">
        <f>IFERROR((VLOOKUP($A148,'[1]import success seats course'!$A:AB,HLOOKUP('[1]Course Totals'!N$4,'[1]import success seats course'!$1:$2,2,FALSE),FALSE)/(VLOOKUP($A148,'[1]import graded seats course pivo'!$A:AL,HLOOKUP('[1]Course Totals'!N$4,'[1]import graded seats course pivo'!$1:$2,2,FALSE),FALSE))),"")</f>
        <v/>
      </c>
      <c r="O148" s="14" t="str">
        <f>IFERROR((VLOOKUP($A148,'[1]import success seats course'!$A:AC,HLOOKUP('[1]Course Totals'!O$4,'[1]import success seats course'!$1:$2,2,FALSE),FALSE)/(VLOOKUP($A148,'[1]import graded seats course pivo'!$A:AM,HLOOKUP('[1]Course Totals'!O$4,'[1]import graded seats course pivo'!$1:$2,2,FALSE),FALSE))),"")</f>
        <v/>
      </c>
      <c r="P148" s="14" t="str">
        <f>IFERROR((VLOOKUP($A148,'[1]import success seats course'!$A:AD,HLOOKUP('[1]Course Totals'!P$4,'[1]import success seats course'!$1:$2,2,FALSE),FALSE)/(VLOOKUP($A148,'[1]import graded seats course pivo'!$A:AN,HLOOKUP('[1]Course Totals'!P$4,'[1]import graded seats course pivo'!$1:$2,2,FALSE),FALSE))),"")</f>
        <v/>
      </c>
      <c r="Q148" s="14" t="str">
        <f>IFERROR((VLOOKUP($A148,'[1]import success seats course'!$A:AE,HLOOKUP('[1]Course Totals'!Q$4,'[1]import success seats course'!$1:$2,2,FALSE),FALSE)/(VLOOKUP($A148,'[1]import graded seats course pivo'!$A:AO,HLOOKUP('[1]Course Totals'!Q$4,'[1]import graded seats course pivo'!$1:$2,2,FALSE),FALSE))),"")</f>
        <v/>
      </c>
      <c r="R148" s="14" t="str">
        <f>IFERROR((VLOOKUP($A148,'[1]import success seats course'!$A:AF,HLOOKUP('[1]Course Totals'!R$4,'[1]import success seats course'!$1:$2,2,FALSE),FALSE)/(VLOOKUP($A148,'[1]import graded seats course pivo'!$A:AP,HLOOKUP('[1]Course Totals'!R$4,'[1]import graded seats course pivo'!$1:$2,2,FALSE),FALSE))),"")</f>
        <v/>
      </c>
      <c r="S148" s="14" t="str">
        <f>IFERROR((VLOOKUP($A148,'[1]import success seats course'!$A:AG,HLOOKUP('[1]Course Totals'!S$4,'[1]import success seats course'!$1:$2,2,FALSE),FALSE)/(VLOOKUP($A148,'[1]import graded seats course pivo'!$A:AQ,HLOOKUP('[1]Course Totals'!S$4,'[1]import graded seats course pivo'!$1:$2,2,FALSE),FALSE))),"")</f>
        <v/>
      </c>
      <c r="Z148" s="7"/>
      <c r="AA148" s="7"/>
      <c r="AB148" s="7"/>
      <c r="AC148" s="7"/>
    </row>
    <row r="149" spans="1:29" ht="15.75" hidden="1" customHeight="1" x14ac:dyDescent="0.25">
      <c r="A149" s="12" t="s">
        <v>94</v>
      </c>
      <c r="B149" s="14" t="str">
        <f>IFERROR((VLOOKUP($A149,'[1]import success seats course'!$A:P,HLOOKUP('[1]Course Totals'!B$4,'[1]import success seats course'!$1:$2,2,FALSE),FALSE)/(VLOOKUP($A149,'[1]import graded seats course pivo'!$A:Z,HLOOKUP('[1]Course Totals'!B$4,'[1]import graded seats course pivo'!$1:$2,2,FALSE),FALSE))),"")</f>
        <v/>
      </c>
      <c r="C149" s="14" t="str">
        <f>IFERROR((VLOOKUP($A149,'[1]import success seats course'!$A:Q,HLOOKUP('[1]Course Totals'!C$4,'[1]import success seats course'!$1:$2,2,FALSE),FALSE)/(VLOOKUP($A149,'[1]import graded seats course pivo'!$A:AA,HLOOKUP('[1]Course Totals'!C$4,'[1]import graded seats course pivo'!$1:$2,2,FALSE),FALSE))),"")</f>
        <v/>
      </c>
      <c r="D149" s="14" t="str">
        <f>IFERROR((VLOOKUP($A149,'[1]import success seats course'!$A:R,HLOOKUP('[1]Course Totals'!D$4,'[1]import success seats course'!$1:$2,2,FALSE),FALSE)/(VLOOKUP($A149,'[1]import graded seats course pivo'!$A:AB,HLOOKUP('[1]Course Totals'!D$4,'[1]import graded seats course pivo'!$1:$2,2,FALSE),FALSE))),"")</f>
        <v/>
      </c>
      <c r="E149" s="14" t="str">
        <f>IFERROR((VLOOKUP($A149,'[1]import success seats course'!$A:S,HLOOKUP('[1]Course Totals'!E$4,'[1]import success seats course'!$1:$2,2,FALSE),FALSE)/(VLOOKUP($A149,'[1]import graded seats course pivo'!$A:AC,HLOOKUP('[1]Course Totals'!E$4,'[1]import graded seats course pivo'!$1:$2,2,FALSE),FALSE))),"")</f>
        <v/>
      </c>
      <c r="F149" s="14" t="str">
        <f>IFERROR((VLOOKUP($A149,'[1]import success seats course'!$A:T,HLOOKUP('[1]Course Totals'!F$4,'[1]import success seats course'!$1:$2,2,FALSE),FALSE)/(VLOOKUP($A149,'[1]import graded seats course pivo'!$A:AD,HLOOKUP('[1]Course Totals'!F$4,'[1]import graded seats course pivo'!$1:$2,2,FALSE),FALSE))),"")</f>
        <v/>
      </c>
      <c r="G149" s="14" t="str">
        <f>IFERROR((VLOOKUP($A149,'[1]import success seats course'!$A:U,HLOOKUP('[1]Course Totals'!G$4,'[1]import success seats course'!$1:$2,2,FALSE),FALSE)/(VLOOKUP($A149,'[1]import graded seats course pivo'!$A:AE,HLOOKUP('[1]Course Totals'!G$4,'[1]import graded seats course pivo'!$1:$2,2,FALSE),FALSE))),"")</f>
        <v/>
      </c>
      <c r="H149" s="14" t="str">
        <f>IFERROR((VLOOKUP($A149,'[1]import success seats course'!$A:V,HLOOKUP('[1]Course Totals'!H$4,'[1]import success seats course'!$1:$2,2,FALSE),FALSE)/(VLOOKUP($A149,'[1]import graded seats course pivo'!$A:AF,HLOOKUP('[1]Course Totals'!H$4,'[1]import graded seats course pivo'!$1:$2,2,FALSE),FALSE))),"")</f>
        <v/>
      </c>
      <c r="I149" s="14" t="str">
        <f>IFERROR((VLOOKUP($A149,'[1]import success seats course'!$A:W,HLOOKUP('[1]Course Totals'!I$4,'[1]import success seats course'!$1:$2,2,FALSE),FALSE)/(VLOOKUP($A149,'[1]import graded seats course pivo'!$A:AG,HLOOKUP('[1]Course Totals'!I$4,'[1]import graded seats course pivo'!$1:$2,2,FALSE),FALSE))),"")</f>
        <v/>
      </c>
      <c r="J149" s="14" t="str">
        <f>IFERROR((VLOOKUP($A149,'[1]import success seats course'!$A:X,HLOOKUP('[1]Course Totals'!J$4,'[1]import success seats course'!$1:$2,2,FALSE),FALSE)/(VLOOKUP($A149,'[1]import graded seats course pivo'!$A:AH,HLOOKUP('[1]Course Totals'!J$4,'[1]import graded seats course pivo'!$1:$2,2,FALSE),FALSE))),"")</f>
        <v/>
      </c>
      <c r="K149" s="14" t="str">
        <f>IFERROR((VLOOKUP($A149,'[1]import success seats course'!$A:Y,HLOOKUP('[1]Course Totals'!K$4,'[1]import success seats course'!$1:$2,2,FALSE),FALSE)/(VLOOKUP($A149,'[1]import graded seats course pivo'!$A:AI,HLOOKUP('[1]Course Totals'!K$4,'[1]import graded seats course pivo'!$1:$2,2,FALSE),FALSE))),"")</f>
        <v/>
      </c>
      <c r="L149" s="14" t="str">
        <f>IFERROR((VLOOKUP($A149,'[1]import success seats course'!$A:Z,HLOOKUP('[1]Course Totals'!L$4,'[1]import success seats course'!$1:$2,2,FALSE),FALSE)/(VLOOKUP($A149,'[1]import graded seats course pivo'!$A:AJ,HLOOKUP('[1]Course Totals'!L$4,'[1]import graded seats course pivo'!$1:$2,2,FALSE),FALSE))),"")</f>
        <v/>
      </c>
      <c r="M149" s="14" t="str">
        <f>IFERROR((VLOOKUP($A149,'[1]import success seats course'!$A:AA,HLOOKUP('[1]Course Totals'!M$4,'[1]import success seats course'!$1:$2,2,FALSE),FALSE)/(VLOOKUP($A149,'[1]import graded seats course pivo'!$A:AK,HLOOKUP('[1]Course Totals'!M$4,'[1]import graded seats course pivo'!$1:$2,2,FALSE),FALSE))),"")</f>
        <v/>
      </c>
      <c r="N149" s="14" t="str">
        <f>IFERROR((VLOOKUP($A149,'[1]import success seats course'!$A:AB,HLOOKUP('[1]Course Totals'!N$4,'[1]import success seats course'!$1:$2,2,FALSE),FALSE)/(VLOOKUP($A149,'[1]import graded seats course pivo'!$A:AL,HLOOKUP('[1]Course Totals'!N$4,'[1]import graded seats course pivo'!$1:$2,2,FALSE),FALSE))),"")</f>
        <v/>
      </c>
      <c r="O149" s="14" t="str">
        <f>IFERROR((VLOOKUP($A149,'[1]import success seats course'!$A:AC,HLOOKUP('[1]Course Totals'!O$4,'[1]import success seats course'!$1:$2,2,FALSE),FALSE)/(VLOOKUP($A149,'[1]import graded seats course pivo'!$A:AM,HLOOKUP('[1]Course Totals'!O$4,'[1]import graded seats course pivo'!$1:$2,2,FALSE),FALSE))),"")</f>
        <v/>
      </c>
      <c r="P149" s="14" t="str">
        <f>IFERROR((VLOOKUP($A149,'[1]import success seats course'!$A:AD,HLOOKUP('[1]Course Totals'!P$4,'[1]import success seats course'!$1:$2,2,FALSE),FALSE)/(VLOOKUP($A149,'[1]import graded seats course pivo'!$A:AN,HLOOKUP('[1]Course Totals'!P$4,'[1]import graded seats course pivo'!$1:$2,2,FALSE),FALSE))),"")</f>
        <v/>
      </c>
      <c r="Q149" s="14" t="str">
        <f>IFERROR((VLOOKUP($A149,'[1]import success seats course'!$A:AE,HLOOKUP('[1]Course Totals'!Q$4,'[1]import success seats course'!$1:$2,2,FALSE),FALSE)/(VLOOKUP($A149,'[1]import graded seats course pivo'!$A:AO,HLOOKUP('[1]Course Totals'!Q$4,'[1]import graded seats course pivo'!$1:$2,2,FALSE),FALSE))),"")</f>
        <v/>
      </c>
      <c r="R149" s="14" t="str">
        <f>IFERROR((VLOOKUP($A149,'[1]import success seats course'!$A:AF,HLOOKUP('[1]Course Totals'!R$4,'[1]import success seats course'!$1:$2,2,FALSE),FALSE)/(VLOOKUP($A149,'[1]import graded seats course pivo'!$A:AP,HLOOKUP('[1]Course Totals'!R$4,'[1]import graded seats course pivo'!$1:$2,2,FALSE),FALSE))),"")</f>
        <v/>
      </c>
      <c r="S149" s="14" t="str">
        <f>IFERROR((VLOOKUP($A149,'[1]import success seats course'!$A:AG,HLOOKUP('[1]Course Totals'!S$4,'[1]import success seats course'!$1:$2,2,FALSE),FALSE)/(VLOOKUP($A149,'[1]import graded seats course pivo'!$A:AQ,HLOOKUP('[1]Course Totals'!S$4,'[1]import graded seats course pivo'!$1:$2,2,FALSE),FALSE))),"")</f>
        <v/>
      </c>
      <c r="Z149" s="7"/>
      <c r="AA149" s="7"/>
      <c r="AB149" s="7"/>
      <c r="AC149" s="7"/>
    </row>
    <row r="150" spans="1:29" ht="15.75" hidden="1" customHeight="1" x14ac:dyDescent="0.25">
      <c r="A150" s="12" t="s">
        <v>874</v>
      </c>
      <c r="B150" s="14" t="str">
        <f>IFERROR((VLOOKUP($A150,'[1]import success seats course'!$A:P,HLOOKUP('[1]Course Totals'!B$4,'[1]import success seats course'!$1:$2,2,FALSE),FALSE)/(VLOOKUP($A150,'[1]import graded seats course pivo'!$A:Z,HLOOKUP('[1]Course Totals'!B$4,'[1]import graded seats course pivo'!$1:$2,2,FALSE),FALSE))),"")</f>
        <v/>
      </c>
      <c r="C150" s="14" t="str">
        <f>IFERROR((VLOOKUP($A150,'[1]import success seats course'!$A:Q,HLOOKUP('[1]Course Totals'!C$4,'[1]import success seats course'!$1:$2,2,FALSE),FALSE)/(VLOOKUP($A150,'[1]import graded seats course pivo'!$A:AA,HLOOKUP('[1]Course Totals'!C$4,'[1]import graded seats course pivo'!$1:$2,2,FALSE),FALSE))),"")</f>
        <v/>
      </c>
      <c r="D150" s="14" t="str">
        <f>IFERROR((VLOOKUP($A150,'[1]import success seats course'!$A:R,HLOOKUP('[1]Course Totals'!D$4,'[1]import success seats course'!$1:$2,2,FALSE),FALSE)/(VLOOKUP($A150,'[1]import graded seats course pivo'!$A:AB,HLOOKUP('[1]Course Totals'!D$4,'[1]import graded seats course pivo'!$1:$2,2,FALSE),FALSE))),"")</f>
        <v/>
      </c>
      <c r="E150" s="14" t="str">
        <f>IFERROR((VLOOKUP($A150,'[1]import success seats course'!$A:S,HLOOKUP('[1]Course Totals'!E$4,'[1]import success seats course'!$1:$2,2,FALSE),FALSE)/(VLOOKUP($A150,'[1]import graded seats course pivo'!$A:AC,HLOOKUP('[1]Course Totals'!E$4,'[1]import graded seats course pivo'!$1:$2,2,FALSE),FALSE))),"")</f>
        <v/>
      </c>
      <c r="F150" s="14" t="str">
        <f>IFERROR((VLOOKUP($A150,'[1]import success seats course'!$A:T,HLOOKUP('[1]Course Totals'!F$4,'[1]import success seats course'!$1:$2,2,FALSE),FALSE)/(VLOOKUP($A150,'[1]import graded seats course pivo'!$A:AD,HLOOKUP('[1]Course Totals'!F$4,'[1]import graded seats course pivo'!$1:$2,2,FALSE),FALSE))),"")</f>
        <v/>
      </c>
      <c r="G150" s="14" t="str">
        <f>IFERROR((VLOOKUP($A150,'[1]import success seats course'!$A:U,HLOOKUP('[1]Course Totals'!G$4,'[1]import success seats course'!$1:$2,2,FALSE),FALSE)/(VLOOKUP($A150,'[1]import graded seats course pivo'!$A:AE,HLOOKUP('[1]Course Totals'!G$4,'[1]import graded seats course pivo'!$1:$2,2,FALSE),FALSE))),"")</f>
        <v/>
      </c>
      <c r="H150" s="14" t="str">
        <f>IFERROR((VLOOKUP($A150,'[1]import success seats course'!$A:V,HLOOKUP('[1]Course Totals'!H$4,'[1]import success seats course'!$1:$2,2,FALSE),FALSE)/(VLOOKUP($A150,'[1]import graded seats course pivo'!$A:AF,HLOOKUP('[1]Course Totals'!H$4,'[1]import graded seats course pivo'!$1:$2,2,FALSE),FALSE))),"")</f>
        <v/>
      </c>
      <c r="I150" s="14" t="str">
        <f>IFERROR((VLOOKUP($A150,'[1]import success seats course'!$A:W,HLOOKUP('[1]Course Totals'!I$4,'[1]import success seats course'!$1:$2,2,FALSE),FALSE)/(VLOOKUP($A150,'[1]import graded seats course pivo'!$A:AG,HLOOKUP('[1]Course Totals'!I$4,'[1]import graded seats course pivo'!$1:$2,2,FALSE),FALSE))),"")</f>
        <v/>
      </c>
      <c r="J150" s="14" t="str">
        <f>IFERROR((VLOOKUP($A150,'[1]import success seats course'!$A:X,HLOOKUP('[1]Course Totals'!J$4,'[1]import success seats course'!$1:$2,2,FALSE),FALSE)/(VLOOKUP($A150,'[1]import graded seats course pivo'!$A:AH,HLOOKUP('[1]Course Totals'!J$4,'[1]import graded seats course pivo'!$1:$2,2,FALSE),FALSE))),"")</f>
        <v/>
      </c>
      <c r="K150" s="14" t="str">
        <f>IFERROR((VLOOKUP($A150,'[1]import success seats course'!$A:Y,HLOOKUP('[1]Course Totals'!K$4,'[1]import success seats course'!$1:$2,2,FALSE),FALSE)/(VLOOKUP($A150,'[1]import graded seats course pivo'!$A:AI,HLOOKUP('[1]Course Totals'!K$4,'[1]import graded seats course pivo'!$1:$2,2,FALSE),FALSE))),"")</f>
        <v/>
      </c>
      <c r="L150" s="14" t="str">
        <f>IFERROR((VLOOKUP($A150,'[1]import success seats course'!$A:Z,HLOOKUP('[1]Course Totals'!L$4,'[1]import success seats course'!$1:$2,2,FALSE),FALSE)/(VLOOKUP($A150,'[1]import graded seats course pivo'!$A:AJ,HLOOKUP('[1]Course Totals'!L$4,'[1]import graded seats course pivo'!$1:$2,2,FALSE),FALSE))),"")</f>
        <v/>
      </c>
      <c r="M150" s="14" t="str">
        <f>IFERROR((VLOOKUP($A150,'[1]import success seats course'!$A:AA,HLOOKUP('[1]Course Totals'!M$4,'[1]import success seats course'!$1:$2,2,FALSE),FALSE)/(VLOOKUP($A150,'[1]import graded seats course pivo'!$A:AK,HLOOKUP('[1]Course Totals'!M$4,'[1]import graded seats course pivo'!$1:$2,2,FALSE),FALSE))),"")</f>
        <v/>
      </c>
      <c r="N150" s="14" t="str">
        <f>IFERROR((VLOOKUP($A150,'[1]import success seats course'!$A:AB,HLOOKUP('[1]Course Totals'!N$4,'[1]import success seats course'!$1:$2,2,FALSE),FALSE)/(VLOOKUP($A150,'[1]import graded seats course pivo'!$A:AL,HLOOKUP('[1]Course Totals'!N$4,'[1]import graded seats course pivo'!$1:$2,2,FALSE),FALSE))),"")</f>
        <v/>
      </c>
      <c r="O150" s="14" t="str">
        <f>IFERROR((VLOOKUP($A150,'[1]import success seats course'!$A:AC,HLOOKUP('[1]Course Totals'!O$4,'[1]import success seats course'!$1:$2,2,FALSE),FALSE)/(VLOOKUP($A150,'[1]import graded seats course pivo'!$A:AM,HLOOKUP('[1]Course Totals'!O$4,'[1]import graded seats course pivo'!$1:$2,2,FALSE),FALSE))),"")</f>
        <v/>
      </c>
      <c r="P150" s="14" t="str">
        <f>IFERROR((VLOOKUP($A150,'[1]import success seats course'!$A:AD,HLOOKUP('[1]Course Totals'!P$4,'[1]import success seats course'!$1:$2,2,FALSE),FALSE)/(VLOOKUP($A150,'[1]import graded seats course pivo'!$A:AN,HLOOKUP('[1]Course Totals'!P$4,'[1]import graded seats course pivo'!$1:$2,2,FALSE),FALSE))),"")</f>
        <v/>
      </c>
      <c r="Q150" s="14" t="str">
        <f>IFERROR((VLOOKUP($A150,'[1]import success seats course'!$A:AE,HLOOKUP('[1]Course Totals'!Q$4,'[1]import success seats course'!$1:$2,2,FALSE),FALSE)/(VLOOKUP($A150,'[1]import graded seats course pivo'!$A:AO,HLOOKUP('[1]Course Totals'!Q$4,'[1]import graded seats course pivo'!$1:$2,2,FALSE),FALSE))),"")</f>
        <v/>
      </c>
      <c r="R150" s="14" t="str">
        <f>IFERROR((VLOOKUP($A150,'[1]import success seats course'!$A:AF,HLOOKUP('[1]Course Totals'!R$4,'[1]import success seats course'!$1:$2,2,FALSE),FALSE)/(VLOOKUP($A150,'[1]import graded seats course pivo'!$A:AP,HLOOKUP('[1]Course Totals'!R$4,'[1]import graded seats course pivo'!$1:$2,2,FALSE),FALSE))),"")</f>
        <v/>
      </c>
      <c r="S150" s="14" t="str">
        <f>IFERROR((VLOOKUP($A150,'[1]import success seats course'!$A:AG,HLOOKUP('[1]Course Totals'!S$4,'[1]import success seats course'!$1:$2,2,FALSE),FALSE)/(VLOOKUP($A150,'[1]import graded seats course pivo'!$A:AQ,HLOOKUP('[1]Course Totals'!S$4,'[1]import graded seats course pivo'!$1:$2,2,FALSE),FALSE))),"")</f>
        <v/>
      </c>
      <c r="Z150" s="7"/>
      <c r="AA150" s="7"/>
      <c r="AB150" s="7"/>
      <c r="AC150" s="7"/>
    </row>
    <row r="151" spans="1:29" ht="15.75" hidden="1" customHeight="1" x14ac:dyDescent="0.25">
      <c r="A151" s="12" t="s">
        <v>875</v>
      </c>
      <c r="B151" s="14" t="str">
        <f>IFERROR((VLOOKUP($A151,'[1]import success seats course'!$A:P,HLOOKUP('[1]Course Totals'!B$4,'[1]import success seats course'!$1:$2,2,FALSE),FALSE)/(VLOOKUP($A151,'[1]import graded seats course pivo'!$A:Z,HLOOKUP('[1]Course Totals'!B$4,'[1]import graded seats course pivo'!$1:$2,2,FALSE),FALSE))),"")</f>
        <v/>
      </c>
      <c r="C151" s="14" t="str">
        <f>IFERROR((VLOOKUP($A151,'[1]import success seats course'!$A:Q,HLOOKUP('[1]Course Totals'!C$4,'[1]import success seats course'!$1:$2,2,FALSE),FALSE)/(VLOOKUP($A151,'[1]import graded seats course pivo'!$A:AA,HLOOKUP('[1]Course Totals'!C$4,'[1]import graded seats course pivo'!$1:$2,2,FALSE),FALSE))),"")</f>
        <v/>
      </c>
      <c r="D151" s="14" t="str">
        <f>IFERROR((VLOOKUP($A151,'[1]import success seats course'!$A:R,HLOOKUP('[1]Course Totals'!D$4,'[1]import success seats course'!$1:$2,2,FALSE),FALSE)/(VLOOKUP($A151,'[1]import graded seats course pivo'!$A:AB,HLOOKUP('[1]Course Totals'!D$4,'[1]import graded seats course pivo'!$1:$2,2,FALSE),FALSE))),"")</f>
        <v/>
      </c>
      <c r="E151" s="14" t="str">
        <f>IFERROR((VLOOKUP($A151,'[1]import success seats course'!$A:S,HLOOKUP('[1]Course Totals'!E$4,'[1]import success seats course'!$1:$2,2,FALSE),FALSE)/(VLOOKUP($A151,'[1]import graded seats course pivo'!$A:AC,HLOOKUP('[1]Course Totals'!E$4,'[1]import graded seats course pivo'!$1:$2,2,FALSE),FALSE))),"")</f>
        <v/>
      </c>
      <c r="F151" s="14" t="str">
        <f>IFERROR((VLOOKUP($A151,'[1]import success seats course'!$A:T,HLOOKUP('[1]Course Totals'!F$4,'[1]import success seats course'!$1:$2,2,FALSE),FALSE)/(VLOOKUP($A151,'[1]import graded seats course pivo'!$A:AD,HLOOKUP('[1]Course Totals'!F$4,'[1]import graded seats course pivo'!$1:$2,2,FALSE),FALSE))),"")</f>
        <v/>
      </c>
      <c r="G151" s="14" t="str">
        <f>IFERROR((VLOOKUP($A151,'[1]import success seats course'!$A:U,HLOOKUP('[1]Course Totals'!G$4,'[1]import success seats course'!$1:$2,2,FALSE),FALSE)/(VLOOKUP($A151,'[1]import graded seats course pivo'!$A:AE,HLOOKUP('[1]Course Totals'!G$4,'[1]import graded seats course pivo'!$1:$2,2,FALSE),FALSE))),"")</f>
        <v/>
      </c>
      <c r="H151" s="14" t="str">
        <f>IFERROR((VLOOKUP($A151,'[1]import success seats course'!$A:V,HLOOKUP('[1]Course Totals'!H$4,'[1]import success seats course'!$1:$2,2,FALSE),FALSE)/(VLOOKUP($A151,'[1]import graded seats course pivo'!$A:AF,HLOOKUP('[1]Course Totals'!H$4,'[1]import graded seats course pivo'!$1:$2,2,FALSE),FALSE))),"")</f>
        <v/>
      </c>
      <c r="I151" s="14" t="str">
        <f>IFERROR((VLOOKUP($A151,'[1]import success seats course'!$A:W,HLOOKUP('[1]Course Totals'!I$4,'[1]import success seats course'!$1:$2,2,FALSE),FALSE)/(VLOOKUP($A151,'[1]import graded seats course pivo'!$A:AG,HLOOKUP('[1]Course Totals'!I$4,'[1]import graded seats course pivo'!$1:$2,2,FALSE),FALSE))),"")</f>
        <v/>
      </c>
      <c r="J151" s="14" t="str">
        <f>IFERROR((VLOOKUP($A151,'[1]import success seats course'!$A:X,HLOOKUP('[1]Course Totals'!J$4,'[1]import success seats course'!$1:$2,2,FALSE),FALSE)/(VLOOKUP($A151,'[1]import graded seats course pivo'!$A:AH,HLOOKUP('[1]Course Totals'!J$4,'[1]import graded seats course pivo'!$1:$2,2,FALSE),FALSE))),"")</f>
        <v/>
      </c>
      <c r="K151" s="14" t="str">
        <f>IFERROR((VLOOKUP($A151,'[1]import success seats course'!$A:Y,HLOOKUP('[1]Course Totals'!K$4,'[1]import success seats course'!$1:$2,2,FALSE),FALSE)/(VLOOKUP($A151,'[1]import graded seats course pivo'!$A:AI,HLOOKUP('[1]Course Totals'!K$4,'[1]import graded seats course pivo'!$1:$2,2,FALSE),FALSE))),"")</f>
        <v/>
      </c>
      <c r="L151" s="14" t="str">
        <f>IFERROR((VLOOKUP($A151,'[1]import success seats course'!$A:Z,HLOOKUP('[1]Course Totals'!L$4,'[1]import success seats course'!$1:$2,2,FALSE),FALSE)/(VLOOKUP($A151,'[1]import graded seats course pivo'!$A:AJ,HLOOKUP('[1]Course Totals'!L$4,'[1]import graded seats course pivo'!$1:$2,2,FALSE),FALSE))),"")</f>
        <v/>
      </c>
      <c r="M151" s="14" t="str">
        <f>IFERROR((VLOOKUP($A151,'[1]import success seats course'!$A:AA,HLOOKUP('[1]Course Totals'!M$4,'[1]import success seats course'!$1:$2,2,FALSE),FALSE)/(VLOOKUP($A151,'[1]import graded seats course pivo'!$A:AK,HLOOKUP('[1]Course Totals'!M$4,'[1]import graded seats course pivo'!$1:$2,2,FALSE),FALSE))),"")</f>
        <v/>
      </c>
      <c r="N151" s="14" t="str">
        <f>IFERROR((VLOOKUP($A151,'[1]import success seats course'!$A:AB,HLOOKUP('[1]Course Totals'!N$4,'[1]import success seats course'!$1:$2,2,FALSE),FALSE)/(VLOOKUP($A151,'[1]import graded seats course pivo'!$A:AL,HLOOKUP('[1]Course Totals'!N$4,'[1]import graded seats course pivo'!$1:$2,2,FALSE),FALSE))),"")</f>
        <v/>
      </c>
      <c r="O151" s="14" t="str">
        <f>IFERROR((VLOOKUP($A151,'[1]import success seats course'!$A:AC,HLOOKUP('[1]Course Totals'!O$4,'[1]import success seats course'!$1:$2,2,FALSE),FALSE)/(VLOOKUP($A151,'[1]import graded seats course pivo'!$A:AM,HLOOKUP('[1]Course Totals'!O$4,'[1]import graded seats course pivo'!$1:$2,2,FALSE),FALSE))),"")</f>
        <v/>
      </c>
      <c r="P151" s="14" t="str">
        <f>IFERROR((VLOOKUP($A151,'[1]import success seats course'!$A:AD,HLOOKUP('[1]Course Totals'!P$4,'[1]import success seats course'!$1:$2,2,FALSE),FALSE)/(VLOOKUP($A151,'[1]import graded seats course pivo'!$A:AN,HLOOKUP('[1]Course Totals'!P$4,'[1]import graded seats course pivo'!$1:$2,2,FALSE),FALSE))),"")</f>
        <v/>
      </c>
      <c r="Q151" s="14" t="str">
        <f>IFERROR((VLOOKUP($A151,'[1]import success seats course'!$A:AE,HLOOKUP('[1]Course Totals'!Q$4,'[1]import success seats course'!$1:$2,2,FALSE),FALSE)/(VLOOKUP($A151,'[1]import graded seats course pivo'!$A:AO,HLOOKUP('[1]Course Totals'!Q$4,'[1]import graded seats course pivo'!$1:$2,2,FALSE),FALSE))),"")</f>
        <v/>
      </c>
      <c r="R151" s="14" t="str">
        <f>IFERROR((VLOOKUP($A151,'[1]import success seats course'!$A:AF,HLOOKUP('[1]Course Totals'!R$4,'[1]import success seats course'!$1:$2,2,FALSE),FALSE)/(VLOOKUP($A151,'[1]import graded seats course pivo'!$A:AP,HLOOKUP('[1]Course Totals'!R$4,'[1]import graded seats course pivo'!$1:$2,2,FALSE),FALSE))),"")</f>
        <v/>
      </c>
      <c r="S151" s="14" t="str">
        <f>IFERROR((VLOOKUP($A151,'[1]import success seats course'!$A:AG,HLOOKUP('[1]Course Totals'!S$4,'[1]import success seats course'!$1:$2,2,FALSE),FALSE)/(VLOOKUP($A151,'[1]import graded seats course pivo'!$A:AQ,HLOOKUP('[1]Course Totals'!S$4,'[1]import graded seats course pivo'!$1:$2,2,FALSE),FALSE))),"")</f>
        <v/>
      </c>
      <c r="Z151" s="7"/>
      <c r="AA151" s="7"/>
      <c r="AB151" s="7"/>
      <c r="AC151" s="7"/>
    </row>
    <row r="152" spans="1:29" ht="15.75" hidden="1" customHeight="1" x14ac:dyDescent="0.25">
      <c r="A152" s="12" t="s">
        <v>95</v>
      </c>
      <c r="B152" s="14" t="str">
        <f>IFERROR((VLOOKUP($A152,'[1]import success seats course'!$A:P,HLOOKUP('[1]Course Totals'!B$4,'[1]import success seats course'!$1:$2,2,FALSE),FALSE)/(VLOOKUP($A152,'[1]import graded seats course pivo'!$A:Z,HLOOKUP('[1]Course Totals'!B$4,'[1]import graded seats course pivo'!$1:$2,2,FALSE),FALSE))),"")</f>
        <v/>
      </c>
      <c r="C152" s="14" t="str">
        <f>IFERROR((VLOOKUP($A152,'[1]import success seats course'!$A:Q,HLOOKUP('[1]Course Totals'!C$4,'[1]import success seats course'!$1:$2,2,FALSE),FALSE)/(VLOOKUP($A152,'[1]import graded seats course pivo'!$A:AA,HLOOKUP('[1]Course Totals'!C$4,'[1]import graded seats course pivo'!$1:$2,2,FALSE),FALSE))),"")</f>
        <v/>
      </c>
      <c r="D152" s="14" t="str">
        <f>IFERROR((VLOOKUP($A152,'[1]import success seats course'!$A:R,HLOOKUP('[1]Course Totals'!D$4,'[1]import success seats course'!$1:$2,2,FALSE),FALSE)/(VLOOKUP($A152,'[1]import graded seats course pivo'!$A:AB,HLOOKUP('[1]Course Totals'!D$4,'[1]import graded seats course pivo'!$1:$2,2,FALSE),FALSE))),"")</f>
        <v/>
      </c>
      <c r="E152" s="14" t="str">
        <f>IFERROR((VLOOKUP($A152,'[1]import success seats course'!$A:S,HLOOKUP('[1]Course Totals'!E$4,'[1]import success seats course'!$1:$2,2,FALSE),FALSE)/(VLOOKUP($A152,'[1]import graded seats course pivo'!$A:AC,HLOOKUP('[1]Course Totals'!E$4,'[1]import graded seats course pivo'!$1:$2,2,FALSE),FALSE))),"")</f>
        <v/>
      </c>
      <c r="F152" s="14" t="str">
        <f>IFERROR((VLOOKUP($A152,'[1]import success seats course'!$A:T,HLOOKUP('[1]Course Totals'!F$4,'[1]import success seats course'!$1:$2,2,FALSE),FALSE)/(VLOOKUP($A152,'[1]import graded seats course pivo'!$A:AD,HLOOKUP('[1]Course Totals'!F$4,'[1]import graded seats course pivo'!$1:$2,2,FALSE),FALSE))),"")</f>
        <v/>
      </c>
      <c r="G152" s="14" t="str">
        <f>IFERROR((VLOOKUP($A152,'[1]import success seats course'!$A:U,HLOOKUP('[1]Course Totals'!G$4,'[1]import success seats course'!$1:$2,2,FALSE),FALSE)/(VLOOKUP($A152,'[1]import graded seats course pivo'!$A:AE,HLOOKUP('[1]Course Totals'!G$4,'[1]import graded seats course pivo'!$1:$2,2,FALSE),FALSE))),"")</f>
        <v/>
      </c>
      <c r="H152" s="14" t="str">
        <f>IFERROR((VLOOKUP($A152,'[1]import success seats course'!$A:V,HLOOKUP('[1]Course Totals'!H$4,'[1]import success seats course'!$1:$2,2,FALSE),FALSE)/(VLOOKUP($A152,'[1]import graded seats course pivo'!$A:AF,HLOOKUP('[1]Course Totals'!H$4,'[1]import graded seats course pivo'!$1:$2,2,FALSE),FALSE))),"")</f>
        <v/>
      </c>
      <c r="I152" s="14" t="str">
        <f>IFERROR((VLOOKUP($A152,'[1]import success seats course'!$A:W,HLOOKUP('[1]Course Totals'!I$4,'[1]import success seats course'!$1:$2,2,FALSE),FALSE)/(VLOOKUP($A152,'[1]import graded seats course pivo'!$A:AG,HLOOKUP('[1]Course Totals'!I$4,'[1]import graded seats course pivo'!$1:$2,2,FALSE),FALSE))),"")</f>
        <v/>
      </c>
      <c r="J152" s="14" t="str">
        <f>IFERROR((VLOOKUP($A152,'[1]import success seats course'!$A:X,HLOOKUP('[1]Course Totals'!J$4,'[1]import success seats course'!$1:$2,2,FALSE),FALSE)/(VLOOKUP($A152,'[1]import graded seats course pivo'!$A:AH,HLOOKUP('[1]Course Totals'!J$4,'[1]import graded seats course pivo'!$1:$2,2,FALSE),FALSE))),"")</f>
        <v/>
      </c>
      <c r="K152" s="14" t="str">
        <f>IFERROR((VLOOKUP($A152,'[1]import success seats course'!$A:Y,HLOOKUP('[1]Course Totals'!K$4,'[1]import success seats course'!$1:$2,2,FALSE),FALSE)/(VLOOKUP($A152,'[1]import graded seats course pivo'!$A:AI,HLOOKUP('[1]Course Totals'!K$4,'[1]import graded seats course pivo'!$1:$2,2,FALSE),FALSE))),"")</f>
        <v/>
      </c>
      <c r="L152" s="14" t="str">
        <f>IFERROR((VLOOKUP($A152,'[1]import success seats course'!$A:Z,HLOOKUP('[1]Course Totals'!L$4,'[1]import success seats course'!$1:$2,2,FALSE),FALSE)/(VLOOKUP($A152,'[1]import graded seats course pivo'!$A:AJ,HLOOKUP('[1]Course Totals'!L$4,'[1]import graded seats course pivo'!$1:$2,2,FALSE),FALSE))),"")</f>
        <v/>
      </c>
      <c r="M152" s="14" t="str">
        <f>IFERROR((VLOOKUP($A152,'[1]import success seats course'!$A:AA,HLOOKUP('[1]Course Totals'!M$4,'[1]import success seats course'!$1:$2,2,FALSE),FALSE)/(VLOOKUP($A152,'[1]import graded seats course pivo'!$A:AK,HLOOKUP('[1]Course Totals'!M$4,'[1]import graded seats course pivo'!$1:$2,2,FALSE),FALSE))),"")</f>
        <v/>
      </c>
      <c r="N152" s="14" t="str">
        <f>IFERROR((VLOOKUP($A152,'[1]import success seats course'!$A:AB,HLOOKUP('[1]Course Totals'!N$4,'[1]import success seats course'!$1:$2,2,FALSE),FALSE)/(VLOOKUP($A152,'[1]import graded seats course pivo'!$A:AL,HLOOKUP('[1]Course Totals'!N$4,'[1]import graded seats course pivo'!$1:$2,2,FALSE),FALSE))),"")</f>
        <v/>
      </c>
      <c r="O152" s="14" t="str">
        <f>IFERROR((VLOOKUP($A152,'[1]import success seats course'!$A:AC,HLOOKUP('[1]Course Totals'!O$4,'[1]import success seats course'!$1:$2,2,FALSE),FALSE)/(VLOOKUP($A152,'[1]import graded seats course pivo'!$A:AM,HLOOKUP('[1]Course Totals'!O$4,'[1]import graded seats course pivo'!$1:$2,2,FALSE),FALSE))),"")</f>
        <v/>
      </c>
      <c r="P152" s="14" t="str">
        <f>IFERROR((VLOOKUP($A152,'[1]import success seats course'!$A:AD,HLOOKUP('[1]Course Totals'!P$4,'[1]import success seats course'!$1:$2,2,FALSE),FALSE)/(VLOOKUP($A152,'[1]import graded seats course pivo'!$A:AN,HLOOKUP('[1]Course Totals'!P$4,'[1]import graded seats course pivo'!$1:$2,2,FALSE),FALSE))),"")</f>
        <v/>
      </c>
      <c r="Q152" s="14" t="str">
        <f>IFERROR((VLOOKUP($A152,'[1]import success seats course'!$A:AE,HLOOKUP('[1]Course Totals'!Q$4,'[1]import success seats course'!$1:$2,2,FALSE),FALSE)/(VLOOKUP($A152,'[1]import graded seats course pivo'!$A:AO,HLOOKUP('[1]Course Totals'!Q$4,'[1]import graded seats course pivo'!$1:$2,2,FALSE),FALSE))),"")</f>
        <v/>
      </c>
      <c r="R152" s="14" t="str">
        <f>IFERROR((VLOOKUP($A152,'[1]import success seats course'!$A:AF,HLOOKUP('[1]Course Totals'!R$4,'[1]import success seats course'!$1:$2,2,FALSE),FALSE)/(VLOOKUP($A152,'[1]import graded seats course pivo'!$A:AP,HLOOKUP('[1]Course Totals'!R$4,'[1]import graded seats course pivo'!$1:$2,2,FALSE),FALSE))),"")</f>
        <v/>
      </c>
      <c r="S152" s="14" t="str">
        <f>IFERROR((VLOOKUP($A152,'[1]import success seats course'!$A:AG,HLOOKUP('[1]Course Totals'!S$4,'[1]import success seats course'!$1:$2,2,FALSE),FALSE)/(VLOOKUP($A152,'[1]import graded seats course pivo'!$A:AQ,HLOOKUP('[1]Course Totals'!S$4,'[1]import graded seats course pivo'!$1:$2,2,FALSE),FALSE))),"")</f>
        <v/>
      </c>
      <c r="Z152" s="7"/>
      <c r="AA152" s="7"/>
      <c r="AB152" s="7"/>
      <c r="AC152" s="7"/>
    </row>
    <row r="153" spans="1:29" ht="15.75" customHeight="1" x14ac:dyDescent="0.25">
      <c r="A153" s="12" t="s">
        <v>555</v>
      </c>
      <c r="B153" s="14">
        <f>IFERROR((VLOOKUP($A153,'[1]import success seats course'!$A:P,HLOOKUP('[1]Course Totals'!B$4,'[1]import success seats course'!$1:$2,2,FALSE),FALSE)/(VLOOKUP($A153,'[1]import graded seats course pivo'!$A:Z,HLOOKUP('[1]Course Totals'!B$4,'[1]import graded seats course pivo'!$1:$2,2,FALSE),FALSE))),"")</f>
        <v>1</v>
      </c>
      <c r="C153" s="14" t="str">
        <f>IFERROR((VLOOKUP($A153,'[1]import success seats course'!$A:Q,HLOOKUP('[1]Course Totals'!C$4,'[1]import success seats course'!$1:$2,2,FALSE),FALSE)/(VLOOKUP($A153,'[1]import graded seats course pivo'!$A:AA,HLOOKUP('[1]Course Totals'!C$4,'[1]import graded seats course pivo'!$1:$2,2,FALSE),FALSE))),"")</f>
        <v/>
      </c>
      <c r="D153" s="14">
        <f>IFERROR((VLOOKUP($A153,'[1]import success seats course'!$A:R,HLOOKUP('[1]Course Totals'!D$4,'[1]import success seats course'!$1:$2,2,FALSE),FALSE)/(VLOOKUP($A153,'[1]import graded seats course pivo'!$A:AB,HLOOKUP('[1]Course Totals'!D$4,'[1]import graded seats course pivo'!$1:$2,2,FALSE),FALSE))),"")</f>
        <v>0.75</v>
      </c>
      <c r="E153" s="14">
        <f>IFERROR((VLOOKUP($A153,'[1]import success seats course'!$A:S,HLOOKUP('[1]Course Totals'!E$4,'[1]import success seats course'!$1:$2,2,FALSE),FALSE)/(VLOOKUP($A153,'[1]import graded seats course pivo'!$A:AC,HLOOKUP('[1]Course Totals'!E$4,'[1]import graded seats course pivo'!$1:$2,2,FALSE),FALSE))),"")</f>
        <v>0.75</v>
      </c>
      <c r="F153" s="14" t="str">
        <f>IFERROR((VLOOKUP($A153,'[1]import success seats course'!$A:T,HLOOKUP('[1]Course Totals'!F$4,'[1]import success seats course'!$1:$2,2,FALSE),FALSE)/(VLOOKUP($A153,'[1]import graded seats course pivo'!$A:AD,HLOOKUP('[1]Course Totals'!F$4,'[1]import graded seats course pivo'!$1:$2,2,FALSE),FALSE))),"")</f>
        <v/>
      </c>
      <c r="G153" s="14">
        <f>IFERROR((VLOOKUP($A153,'[1]import success seats course'!$A:U,HLOOKUP('[1]Course Totals'!G$4,'[1]import success seats course'!$1:$2,2,FALSE),FALSE)/(VLOOKUP($A153,'[1]import graded seats course pivo'!$A:AE,HLOOKUP('[1]Course Totals'!G$4,'[1]import graded seats course pivo'!$1:$2,2,FALSE),FALSE))),"")</f>
        <v>0.5</v>
      </c>
      <c r="H153" s="14" t="str">
        <f>IFERROR((VLOOKUP($A153,'[1]import success seats course'!$A:V,HLOOKUP('[1]Course Totals'!H$4,'[1]import success seats course'!$1:$2,2,FALSE),FALSE)/(VLOOKUP($A153,'[1]import graded seats course pivo'!$A:AF,HLOOKUP('[1]Course Totals'!H$4,'[1]import graded seats course pivo'!$1:$2,2,FALSE),FALSE))),"")</f>
        <v/>
      </c>
      <c r="I153" s="14">
        <f>IFERROR((VLOOKUP($A153,'[1]import success seats course'!$A:W,HLOOKUP('[1]Course Totals'!I$4,'[1]import success seats course'!$1:$2,2,FALSE),FALSE)/(VLOOKUP($A153,'[1]import graded seats course pivo'!$A:AG,HLOOKUP('[1]Course Totals'!I$4,'[1]import graded seats course pivo'!$1:$2,2,FALSE),FALSE))),"")</f>
        <v>0.6</v>
      </c>
      <c r="J153" s="14">
        <f>IFERROR((VLOOKUP($A153,'[1]import success seats course'!$A:X,HLOOKUP('[1]Course Totals'!J$4,'[1]import success seats course'!$1:$2,2,FALSE),FALSE)/(VLOOKUP($A153,'[1]import graded seats course pivo'!$A:AH,HLOOKUP('[1]Course Totals'!J$4,'[1]import graded seats course pivo'!$1:$2,2,FALSE),FALSE))),"")</f>
        <v>1</v>
      </c>
      <c r="K153" s="14" t="str">
        <f>IFERROR((VLOOKUP($A153,'[1]import success seats course'!$A:Y,HLOOKUP('[1]Course Totals'!K$4,'[1]import success seats course'!$1:$2,2,FALSE),FALSE)/(VLOOKUP($A153,'[1]import graded seats course pivo'!$A:AI,HLOOKUP('[1]Course Totals'!K$4,'[1]import graded seats course pivo'!$1:$2,2,FALSE),FALSE))),"")</f>
        <v/>
      </c>
      <c r="L153" s="14">
        <f>IFERROR((VLOOKUP($A153,'[1]import success seats course'!$A:Z,HLOOKUP('[1]Course Totals'!L$4,'[1]import success seats course'!$1:$2,2,FALSE),FALSE)/(VLOOKUP($A153,'[1]import graded seats course pivo'!$A:AJ,HLOOKUP('[1]Course Totals'!L$4,'[1]import graded seats course pivo'!$1:$2,2,FALSE),FALSE))),"")</f>
        <v>0.76</v>
      </c>
      <c r="M153" s="14">
        <f>IFERROR((VLOOKUP($A153,'[1]import success seats course'!$A:AA,HLOOKUP('[1]Course Totals'!M$4,'[1]import success seats course'!$1:$2,2,FALSE),FALSE)/(VLOOKUP($A153,'[1]import graded seats course pivo'!$A:AK,HLOOKUP('[1]Course Totals'!M$4,'[1]import graded seats course pivo'!$1:$2,2,FALSE),FALSE))),"")</f>
        <v>0.8571428571428571</v>
      </c>
      <c r="N153" s="14" t="str">
        <f>IFERROR((VLOOKUP($A153,'[1]import success seats course'!$A:AB,HLOOKUP('[1]Course Totals'!N$4,'[1]import success seats course'!$1:$2,2,FALSE),FALSE)/(VLOOKUP($A153,'[1]import graded seats course pivo'!$A:AL,HLOOKUP('[1]Course Totals'!N$4,'[1]import graded seats course pivo'!$1:$2,2,FALSE),FALSE))),"")</f>
        <v/>
      </c>
      <c r="O153" s="14">
        <f>IFERROR((VLOOKUP($A153,'[1]import success seats course'!$A:AC,HLOOKUP('[1]Course Totals'!O$4,'[1]import success seats course'!$1:$2,2,FALSE),FALSE)/(VLOOKUP($A153,'[1]import graded seats course pivo'!$A:AM,HLOOKUP('[1]Course Totals'!O$4,'[1]import graded seats course pivo'!$1:$2,2,FALSE),FALSE))),"")</f>
        <v>0.7</v>
      </c>
      <c r="P153" s="14">
        <f>IFERROR((VLOOKUP($A153,'[1]import success seats course'!$A:AD,HLOOKUP('[1]Course Totals'!P$4,'[1]import success seats course'!$1:$2,2,FALSE),FALSE)/(VLOOKUP($A153,'[1]import graded seats course pivo'!$A:AN,HLOOKUP('[1]Course Totals'!P$4,'[1]import graded seats course pivo'!$1:$2,2,FALSE),FALSE))),"")</f>
        <v>0.52631578947368418</v>
      </c>
      <c r="Q153" s="14" t="str">
        <f>IFERROR((VLOOKUP($A153,'[1]import success seats course'!$A:AE,HLOOKUP('[1]Course Totals'!Q$4,'[1]import success seats course'!$1:$2,2,FALSE),FALSE)/(VLOOKUP($A153,'[1]import graded seats course pivo'!$A:AO,HLOOKUP('[1]Course Totals'!Q$4,'[1]import graded seats course pivo'!$1:$2,2,FALSE),FALSE))),"")</f>
        <v/>
      </c>
      <c r="R153" s="14">
        <f>IFERROR((VLOOKUP($A153,'[1]import success seats course'!$A:AF,HLOOKUP('[1]Course Totals'!R$4,'[1]import success seats course'!$1:$2,2,FALSE),FALSE)/(VLOOKUP($A153,'[1]import graded seats course pivo'!$A:AP,HLOOKUP('[1]Course Totals'!R$4,'[1]import graded seats course pivo'!$1:$2,2,FALSE),FALSE))),"")</f>
        <v>0.82608695652173914</v>
      </c>
      <c r="S153" s="14">
        <f>IFERROR((VLOOKUP($A153,'[1]import success seats course'!$A:AG,HLOOKUP('[1]Course Totals'!S$4,'[1]import success seats course'!$1:$2,2,FALSE),FALSE)/(VLOOKUP($A153,'[1]import graded seats course pivo'!$A:AQ,HLOOKUP('[1]Course Totals'!S$4,'[1]import graded seats course pivo'!$1:$2,2,FALSE),FALSE))),"")</f>
        <v>0.5625</v>
      </c>
      <c r="Z153" s="7"/>
      <c r="AA153" s="7"/>
      <c r="AB153" s="7"/>
      <c r="AC153" s="7"/>
    </row>
    <row r="154" spans="1:29" ht="15.75" customHeight="1" x14ac:dyDescent="0.25">
      <c r="A154" s="12" t="s">
        <v>684</v>
      </c>
      <c r="B154" s="14" t="str">
        <f>IFERROR((VLOOKUP($A154,'[1]import success seats course'!$A:P,HLOOKUP('[1]Course Totals'!B$4,'[1]import success seats course'!$1:$2,2,FALSE),FALSE)/(VLOOKUP($A154,'[1]import graded seats course pivo'!$A:Z,HLOOKUP('[1]Course Totals'!B$4,'[1]import graded seats course pivo'!$1:$2,2,FALSE),FALSE))),"")</f>
        <v/>
      </c>
      <c r="C154" s="14" t="str">
        <f>IFERROR((VLOOKUP($A154,'[1]import success seats course'!$A:Q,HLOOKUP('[1]Course Totals'!C$4,'[1]import success seats course'!$1:$2,2,FALSE),FALSE)/(VLOOKUP($A154,'[1]import graded seats course pivo'!$A:AA,HLOOKUP('[1]Course Totals'!C$4,'[1]import graded seats course pivo'!$1:$2,2,FALSE),FALSE))),"")</f>
        <v/>
      </c>
      <c r="D154" s="14" t="str">
        <f>IFERROR((VLOOKUP($A154,'[1]import success seats course'!$A:R,HLOOKUP('[1]Course Totals'!D$4,'[1]import success seats course'!$1:$2,2,FALSE),FALSE)/(VLOOKUP($A154,'[1]import graded seats course pivo'!$A:AB,HLOOKUP('[1]Course Totals'!D$4,'[1]import graded seats course pivo'!$1:$2,2,FALSE),FALSE))),"")</f>
        <v/>
      </c>
      <c r="E154" s="14" t="str">
        <f>IFERROR((VLOOKUP($A154,'[1]import success seats course'!$A:S,HLOOKUP('[1]Course Totals'!E$4,'[1]import success seats course'!$1:$2,2,FALSE),FALSE)/(VLOOKUP($A154,'[1]import graded seats course pivo'!$A:AC,HLOOKUP('[1]Course Totals'!E$4,'[1]import graded seats course pivo'!$1:$2,2,FALSE),FALSE))),"")</f>
        <v/>
      </c>
      <c r="F154" s="14" t="str">
        <f>IFERROR((VLOOKUP($A154,'[1]import success seats course'!$A:T,HLOOKUP('[1]Course Totals'!F$4,'[1]import success seats course'!$1:$2,2,FALSE),FALSE)/(VLOOKUP($A154,'[1]import graded seats course pivo'!$A:AD,HLOOKUP('[1]Course Totals'!F$4,'[1]import graded seats course pivo'!$1:$2,2,FALSE),FALSE))),"")</f>
        <v/>
      </c>
      <c r="G154" s="14" t="str">
        <f>IFERROR((VLOOKUP($A154,'[1]import success seats course'!$A:U,HLOOKUP('[1]Course Totals'!G$4,'[1]import success seats course'!$1:$2,2,FALSE),FALSE)/(VLOOKUP($A154,'[1]import graded seats course pivo'!$A:AE,HLOOKUP('[1]Course Totals'!G$4,'[1]import graded seats course pivo'!$1:$2,2,FALSE),FALSE))),"")</f>
        <v/>
      </c>
      <c r="H154" s="14" t="str">
        <f>IFERROR((VLOOKUP($A154,'[1]import success seats course'!$A:V,HLOOKUP('[1]Course Totals'!H$4,'[1]import success seats course'!$1:$2,2,FALSE),FALSE)/(VLOOKUP($A154,'[1]import graded seats course pivo'!$A:AF,HLOOKUP('[1]Course Totals'!H$4,'[1]import graded seats course pivo'!$1:$2,2,FALSE),FALSE))),"")</f>
        <v/>
      </c>
      <c r="I154" s="14">
        <f>IFERROR((VLOOKUP($A154,'[1]import success seats course'!$A:W,HLOOKUP('[1]Course Totals'!I$4,'[1]import success seats course'!$1:$2,2,FALSE),FALSE)/(VLOOKUP($A154,'[1]import graded seats course pivo'!$A:AG,HLOOKUP('[1]Course Totals'!I$4,'[1]import graded seats course pivo'!$1:$2,2,FALSE),FALSE))),"")</f>
        <v>0</v>
      </c>
      <c r="J154" s="14">
        <f>IFERROR((VLOOKUP($A154,'[1]import success seats course'!$A:X,HLOOKUP('[1]Course Totals'!J$4,'[1]import success seats course'!$1:$2,2,FALSE),FALSE)/(VLOOKUP($A154,'[1]import graded seats course pivo'!$A:AH,HLOOKUP('[1]Course Totals'!J$4,'[1]import graded seats course pivo'!$1:$2,2,FALSE),FALSE))),"")</f>
        <v>0.5</v>
      </c>
      <c r="K154" s="14" t="str">
        <f>IFERROR((VLOOKUP($A154,'[1]import success seats course'!$A:Y,HLOOKUP('[1]Course Totals'!K$4,'[1]import success seats course'!$1:$2,2,FALSE),FALSE)/(VLOOKUP($A154,'[1]import graded seats course pivo'!$A:AI,HLOOKUP('[1]Course Totals'!K$4,'[1]import graded seats course pivo'!$1:$2,2,FALSE),FALSE))),"")</f>
        <v/>
      </c>
      <c r="L154" s="14">
        <f>IFERROR((VLOOKUP($A154,'[1]import success seats course'!$A:Z,HLOOKUP('[1]Course Totals'!L$4,'[1]import success seats course'!$1:$2,2,FALSE),FALSE)/(VLOOKUP($A154,'[1]import graded seats course pivo'!$A:AJ,HLOOKUP('[1]Course Totals'!L$4,'[1]import graded seats course pivo'!$1:$2,2,FALSE),FALSE))),"")</f>
        <v>0.66666666666666663</v>
      </c>
      <c r="M154" s="14">
        <f>IFERROR((VLOOKUP($A154,'[1]import success seats course'!$A:AA,HLOOKUP('[1]Course Totals'!M$4,'[1]import success seats course'!$1:$2,2,FALSE),FALSE)/(VLOOKUP($A154,'[1]import graded seats course pivo'!$A:AK,HLOOKUP('[1]Course Totals'!M$4,'[1]import graded seats course pivo'!$1:$2,2,FALSE),FALSE))),"")</f>
        <v>0.5714285714285714</v>
      </c>
      <c r="N154" s="14" t="str">
        <f>IFERROR((VLOOKUP($A154,'[1]import success seats course'!$A:AB,HLOOKUP('[1]Course Totals'!N$4,'[1]import success seats course'!$1:$2,2,FALSE),FALSE)/(VLOOKUP($A154,'[1]import graded seats course pivo'!$A:AL,HLOOKUP('[1]Course Totals'!N$4,'[1]import graded seats course pivo'!$1:$2,2,FALSE),FALSE))),"")</f>
        <v/>
      </c>
      <c r="O154" s="14">
        <f>IFERROR((VLOOKUP($A154,'[1]import success seats course'!$A:AC,HLOOKUP('[1]Course Totals'!O$4,'[1]import success seats course'!$1:$2,2,FALSE),FALSE)/(VLOOKUP($A154,'[1]import graded seats course pivo'!$A:AM,HLOOKUP('[1]Course Totals'!O$4,'[1]import graded seats course pivo'!$1:$2,2,FALSE),FALSE))),"")</f>
        <v>0.5714285714285714</v>
      </c>
      <c r="P154" s="14">
        <f>IFERROR((VLOOKUP($A154,'[1]import success seats course'!$A:AD,HLOOKUP('[1]Course Totals'!P$4,'[1]import success seats course'!$1:$2,2,FALSE),FALSE)/(VLOOKUP($A154,'[1]import graded seats course pivo'!$A:AN,HLOOKUP('[1]Course Totals'!P$4,'[1]import graded seats course pivo'!$1:$2,2,FALSE),FALSE))),"")</f>
        <v>0.9</v>
      </c>
      <c r="Q154" s="14" t="str">
        <f>IFERROR((VLOOKUP($A154,'[1]import success seats course'!$A:AE,HLOOKUP('[1]Course Totals'!Q$4,'[1]import success seats course'!$1:$2,2,FALSE),FALSE)/(VLOOKUP($A154,'[1]import graded seats course pivo'!$A:AO,HLOOKUP('[1]Course Totals'!Q$4,'[1]import graded seats course pivo'!$1:$2,2,FALSE),FALSE))),"")</f>
        <v/>
      </c>
      <c r="R154" s="14">
        <f>IFERROR((VLOOKUP($A154,'[1]import success seats course'!$A:AF,HLOOKUP('[1]Course Totals'!R$4,'[1]import success seats course'!$1:$2,2,FALSE),FALSE)/(VLOOKUP($A154,'[1]import graded seats course pivo'!$A:AP,HLOOKUP('[1]Course Totals'!R$4,'[1]import graded seats course pivo'!$1:$2,2,FALSE),FALSE))),"")</f>
        <v>1</v>
      </c>
      <c r="S154" s="14">
        <f>IFERROR((VLOOKUP($A154,'[1]import success seats course'!$A:AG,HLOOKUP('[1]Course Totals'!S$4,'[1]import success seats course'!$1:$2,2,FALSE),FALSE)/(VLOOKUP($A154,'[1]import graded seats course pivo'!$A:AQ,HLOOKUP('[1]Course Totals'!S$4,'[1]import graded seats course pivo'!$1:$2,2,FALSE),FALSE))),"")</f>
        <v>1</v>
      </c>
      <c r="Z154" s="7"/>
      <c r="AA154" s="7"/>
      <c r="AB154" s="7"/>
      <c r="AC154" s="7"/>
    </row>
    <row r="155" spans="1:29" ht="15.75" hidden="1" customHeight="1" x14ac:dyDescent="0.25">
      <c r="A155" s="12" t="s">
        <v>685</v>
      </c>
      <c r="B155" s="14" t="str">
        <f>IFERROR((VLOOKUP($A155,'[1]import success seats course'!$A:P,HLOOKUP('[1]Course Totals'!B$4,'[1]import success seats course'!$1:$2,2,FALSE),FALSE)/(VLOOKUP($A155,'[1]import graded seats course pivo'!$A:Z,HLOOKUP('[1]Course Totals'!B$4,'[1]import graded seats course pivo'!$1:$2,2,FALSE),FALSE))),"")</f>
        <v/>
      </c>
      <c r="C155" s="14" t="str">
        <f>IFERROR((VLOOKUP($A155,'[1]import success seats course'!$A:Q,HLOOKUP('[1]Course Totals'!C$4,'[1]import success seats course'!$1:$2,2,FALSE),FALSE)/(VLOOKUP($A155,'[1]import graded seats course pivo'!$A:AA,HLOOKUP('[1]Course Totals'!C$4,'[1]import graded seats course pivo'!$1:$2,2,FALSE),FALSE))),"")</f>
        <v/>
      </c>
      <c r="D155" s="14" t="str">
        <f>IFERROR((VLOOKUP($A155,'[1]import success seats course'!$A:R,HLOOKUP('[1]Course Totals'!D$4,'[1]import success seats course'!$1:$2,2,FALSE),FALSE)/(VLOOKUP($A155,'[1]import graded seats course pivo'!$A:AB,HLOOKUP('[1]Course Totals'!D$4,'[1]import graded seats course pivo'!$1:$2,2,FALSE),FALSE))),"")</f>
        <v/>
      </c>
      <c r="E155" s="14" t="str">
        <f>IFERROR((VLOOKUP($A155,'[1]import success seats course'!$A:S,HLOOKUP('[1]Course Totals'!E$4,'[1]import success seats course'!$1:$2,2,FALSE),FALSE)/(VLOOKUP($A155,'[1]import graded seats course pivo'!$A:AC,HLOOKUP('[1]Course Totals'!E$4,'[1]import graded seats course pivo'!$1:$2,2,FALSE),FALSE))),"")</f>
        <v/>
      </c>
      <c r="F155" s="14" t="str">
        <f>IFERROR((VLOOKUP($A155,'[1]import success seats course'!$A:T,HLOOKUP('[1]Course Totals'!F$4,'[1]import success seats course'!$1:$2,2,FALSE),FALSE)/(VLOOKUP($A155,'[1]import graded seats course pivo'!$A:AD,HLOOKUP('[1]Course Totals'!F$4,'[1]import graded seats course pivo'!$1:$2,2,FALSE),FALSE))),"")</f>
        <v/>
      </c>
      <c r="G155" s="14" t="str">
        <f>IFERROR((VLOOKUP($A155,'[1]import success seats course'!$A:U,HLOOKUP('[1]Course Totals'!G$4,'[1]import success seats course'!$1:$2,2,FALSE),FALSE)/(VLOOKUP($A155,'[1]import graded seats course pivo'!$A:AE,HLOOKUP('[1]Course Totals'!G$4,'[1]import graded seats course pivo'!$1:$2,2,FALSE),FALSE))),"")</f>
        <v/>
      </c>
      <c r="H155" s="14" t="str">
        <f>IFERROR((VLOOKUP($A155,'[1]import success seats course'!$A:V,HLOOKUP('[1]Course Totals'!H$4,'[1]import success seats course'!$1:$2,2,FALSE),FALSE)/(VLOOKUP($A155,'[1]import graded seats course pivo'!$A:AF,HLOOKUP('[1]Course Totals'!H$4,'[1]import graded seats course pivo'!$1:$2,2,FALSE),FALSE))),"")</f>
        <v/>
      </c>
      <c r="I155" s="14" t="str">
        <f>IFERROR((VLOOKUP($A155,'[1]import success seats course'!$A:W,HLOOKUP('[1]Course Totals'!I$4,'[1]import success seats course'!$1:$2,2,FALSE),FALSE)/(VLOOKUP($A155,'[1]import graded seats course pivo'!$A:AG,HLOOKUP('[1]Course Totals'!I$4,'[1]import graded seats course pivo'!$1:$2,2,FALSE),FALSE))),"")</f>
        <v/>
      </c>
      <c r="J155" s="14" t="str">
        <f>IFERROR((VLOOKUP($A155,'[1]import success seats course'!$A:X,HLOOKUP('[1]Course Totals'!J$4,'[1]import success seats course'!$1:$2,2,FALSE),FALSE)/(VLOOKUP($A155,'[1]import graded seats course pivo'!$A:AH,HLOOKUP('[1]Course Totals'!J$4,'[1]import graded seats course pivo'!$1:$2,2,FALSE),FALSE))),"")</f>
        <v/>
      </c>
      <c r="K155" s="14" t="str">
        <f>IFERROR((VLOOKUP($A155,'[1]import success seats course'!$A:Y,HLOOKUP('[1]Course Totals'!K$4,'[1]import success seats course'!$1:$2,2,FALSE),FALSE)/(VLOOKUP($A155,'[1]import graded seats course pivo'!$A:AI,HLOOKUP('[1]Course Totals'!K$4,'[1]import graded seats course pivo'!$1:$2,2,FALSE),FALSE))),"")</f>
        <v/>
      </c>
      <c r="L155" s="14" t="str">
        <f>IFERROR((VLOOKUP($A155,'[1]import success seats course'!$A:Z,HLOOKUP('[1]Course Totals'!L$4,'[1]import success seats course'!$1:$2,2,FALSE),FALSE)/(VLOOKUP($A155,'[1]import graded seats course pivo'!$A:AJ,HLOOKUP('[1]Course Totals'!L$4,'[1]import graded seats course pivo'!$1:$2,2,FALSE),FALSE))),"")</f>
        <v/>
      </c>
      <c r="M155" s="14" t="str">
        <f>IFERROR((VLOOKUP($A155,'[1]import success seats course'!$A:AA,HLOOKUP('[1]Course Totals'!M$4,'[1]import success seats course'!$1:$2,2,FALSE),FALSE)/(VLOOKUP($A155,'[1]import graded seats course pivo'!$A:AK,HLOOKUP('[1]Course Totals'!M$4,'[1]import graded seats course pivo'!$1:$2,2,FALSE),FALSE))),"")</f>
        <v/>
      </c>
      <c r="N155" s="14" t="str">
        <f>IFERROR((VLOOKUP($A155,'[1]import success seats course'!$A:AB,HLOOKUP('[1]Course Totals'!N$4,'[1]import success seats course'!$1:$2,2,FALSE),FALSE)/(VLOOKUP($A155,'[1]import graded seats course pivo'!$A:AL,HLOOKUP('[1]Course Totals'!N$4,'[1]import graded seats course pivo'!$1:$2,2,FALSE),FALSE))),"")</f>
        <v/>
      </c>
      <c r="O155" s="14" t="str">
        <f>IFERROR((VLOOKUP($A155,'[1]import success seats course'!$A:AC,HLOOKUP('[1]Course Totals'!O$4,'[1]import success seats course'!$1:$2,2,FALSE),FALSE)/(VLOOKUP($A155,'[1]import graded seats course pivo'!$A:AM,HLOOKUP('[1]Course Totals'!O$4,'[1]import graded seats course pivo'!$1:$2,2,FALSE),FALSE))),"")</f>
        <v/>
      </c>
      <c r="P155" s="14" t="str">
        <f>IFERROR((VLOOKUP($A155,'[1]import success seats course'!$A:AD,HLOOKUP('[1]Course Totals'!P$4,'[1]import success seats course'!$1:$2,2,FALSE),FALSE)/(VLOOKUP($A155,'[1]import graded seats course pivo'!$A:AN,HLOOKUP('[1]Course Totals'!P$4,'[1]import graded seats course pivo'!$1:$2,2,FALSE),FALSE))),"")</f>
        <v/>
      </c>
      <c r="Q155" s="14" t="str">
        <f>IFERROR((VLOOKUP($A155,'[1]import success seats course'!$A:AE,HLOOKUP('[1]Course Totals'!Q$4,'[1]import success seats course'!$1:$2,2,FALSE),FALSE)/(VLOOKUP($A155,'[1]import graded seats course pivo'!$A:AO,HLOOKUP('[1]Course Totals'!Q$4,'[1]import graded seats course pivo'!$1:$2,2,FALSE),FALSE))),"")</f>
        <v/>
      </c>
      <c r="R155" s="14" t="str">
        <f>IFERROR((VLOOKUP($A155,'[1]import success seats course'!$A:AF,HLOOKUP('[1]Course Totals'!R$4,'[1]import success seats course'!$1:$2,2,FALSE),FALSE)/(VLOOKUP($A155,'[1]import graded seats course pivo'!$A:AP,HLOOKUP('[1]Course Totals'!R$4,'[1]import graded seats course pivo'!$1:$2,2,FALSE),FALSE))),"")</f>
        <v/>
      </c>
      <c r="S155" s="14" t="str">
        <f>IFERROR((VLOOKUP($A155,'[1]import success seats course'!$A:AG,HLOOKUP('[1]Course Totals'!S$4,'[1]import success seats course'!$1:$2,2,FALSE),FALSE)/(VLOOKUP($A155,'[1]import graded seats course pivo'!$A:AQ,HLOOKUP('[1]Course Totals'!S$4,'[1]import graded seats course pivo'!$1:$2,2,FALSE),FALSE))),"")</f>
        <v/>
      </c>
      <c r="Z155" s="7"/>
      <c r="AA155" s="7"/>
      <c r="AB155" s="7"/>
      <c r="AC155" s="7"/>
    </row>
    <row r="156" spans="1:29" s="7" customFormat="1" ht="15.75" x14ac:dyDescent="0.25">
      <c r="A156" s="9" t="s">
        <v>1139</v>
      </c>
      <c r="B156" s="67" t="str">
        <f>'[1]Subject TOTALS'!$B$1:$P$1</f>
        <v xml:space="preserve">MVC Retention Rates 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</row>
    <row r="157" spans="1:29" s="7" customFormat="1" ht="15.75" customHeight="1" thickBot="1" x14ac:dyDescent="0.3">
      <c r="A157" s="8" t="str">
        <f>'[1]SUBJECTS BASE'!H11</f>
        <v>Automotive/Transportation</v>
      </c>
      <c r="B157" s="38" t="s">
        <v>1046</v>
      </c>
      <c r="C157" s="39" t="s">
        <v>0</v>
      </c>
      <c r="D157" s="40" t="s">
        <v>868</v>
      </c>
      <c r="E157" s="41" t="s">
        <v>1052</v>
      </c>
      <c r="F157" s="42" t="s">
        <v>546</v>
      </c>
      <c r="G157" s="43" t="s">
        <v>959</v>
      </c>
      <c r="H157" s="44" t="s">
        <v>1060</v>
      </c>
      <c r="I157" s="39" t="s">
        <v>675</v>
      </c>
      <c r="J157" s="45" t="s">
        <v>1006</v>
      </c>
      <c r="K157" s="46" t="s">
        <v>1062</v>
      </c>
      <c r="L157" s="42" t="s">
        <v>762</v>
      </c>
      <c r="M157" s="43" t="s">
        <v>1022</v>
      </c>
      <c r="N157" s="44" t="s">
        <v>1063</v>
      </c>
      <c r="O157" s="39" t="s">
        <v>822</v>
      </c>
      <c r="P157" s="40" t="s">
        <v>1042</v>
      </c>
      <c r="Q157" s="46" t="s">
        <v>1153</v>
      </c>
      <c r="R157" s="42" t="s">
        <v>1154</v>
      </c>
      <c r="S157" s="43" t="s">
        <v>1155</v>
      </c>
    </row>
    <row r="158" spans="1:29" ht="15.75" hidden="1" customHeight="1" x14ac:dyDescent="0.25">
      <c r="A158" s="12" t="s">
        <v>96</v>
      </c>
      <c r="B158" s="14" t="str">
        <f>IFERROR((VLOOKUP($A158,'[1]import success seats course'!$A:P,HLOOKUP('[1]Course Totals'!B$4,'[1]import success seats course'!$1:$2,2,FALSE),FALSE)/(VLOOKUP($A158,'[1]import graded seats course pivo'!$A:Z,HLOOKUP('[1]Course Totals'!B$4,'[1]import graded seats course pivo'!$1:$2,2,FALSE),FALSE))),"")</f>
        <v/>
      </c>
      <c r="C158" s="14" t="str">
        <f>IFERROR((VLOOKUP($A158,'[1]import success seats course'!$A:Q,HLOOKUP('[1]Course Totals'!C$4,'[1]import success seats course'!$1:$2,2,FALSE),FALSE)/(VLOOKUP($A158,'[1]import graded seats course pivo'!$A:AA,HLOOKUP('[1]Course Totals'!C$4,'[1]import graded seats course pivo'!$1:$2,2,FALSE),FALSE))),"")</f>
        <v/>
      </c>
      <c r="D158" s="14" t="str">
        <f>IFERROR((VLOOKUP($A158,'[1]import success seats course'!$A:R,HLOOKUP('[1]Course Totals'!D$4,'[1]import success seats course'!$1:$2,2,FALSE),FALSE)/(VLOOKUP($A158,'[1]import graded seats course pivo'!$A:AB,HLOOKUP('[1]Course Totals'!D$4,'[1]import graded seats course pivo'!$1:$2,2,FALSE),FALSE))),"")</f>
        <v/>
      </c>
      <c r="E158" s="14" t="str">
        <f>IFERROR((VLOOKUP($A158,'[1]import success seats course'!$A:S,HLOOKUP('[1]Course Totals'!E$4,'[1]import success seats course'!$1:$2,2,FALSE),FALSE)/(VLOOKUP($A158,'[1]import graded seats course pivo'!$A:AC,HLOOKUP('[1]Course Totals'!E$4,'[1]import graded seats course pivo'!$1:$2,2,FALSE),FALSE))),"")</f>
        <v/>
      </c>
      <c r="F158" s="14" t="str">
        <f>IFERROR((VLOOKUP($A158,'[1]import success seats course'!$A:T,HLOOKUP('[1]Course Totals'!F$4,'[1]import success seats course'!$1:$2,2,FALSE),FALSE)/(VLOOKUP($A158,'[1]import graded seats course pivo'!$A:AD,HLOOKUP('[1]Course Totals'!F$4,'[1]import graded seats course pivo'!$1:$2,2,FALSE),FALSE))),"")</f>
        <v/>
      </c>
      <c r="G158" s="14" t="str">
        <f>IFERROR((VLOOKUP($A158,'[1]import success seats course'!$A:U,HLOOKUP('[1]Course Totals'!G$4,'[1]import success seats course'!$1:$2,2,FALSE),FALSE)/(VLOOKUP($A158,'[1]import graded seats course pivo'!$A:AE,HLOOKUP('[1]Course Totals'!G$4,'[1]import graded seats course pivo'!$1:$2,2,FALSE),FALSE))),"")</f>
        <v/>
      </c>
      <c r="H158" s="14" t="str">
        <f>IFERROR((VLOOKUP($A158,'[1]import success seats course'!$A:V,HLOOKUP('[1]Course Totals'!H$4,'[1]import success seats course'!$1:$2,2,FALSE),FALSE)/(VLOOKUP($A158,'[1]import graded seats course pivo'!$A:AF,HLOOKUP('[1]Course Totals'!H$4,'[1]import graded seats course pivo'!$1:$2,2,FALSE),FALSE))),"")</f>
        <v/>
      </c>
      <c r="I158" s="14" t="str">
        <f>IFERROR((VLOOKUP($A158,'[1]import success seats course'!$A:W,HLOOKUP('[1]Course Totals'!I$4,'[1]import success seats course'!$1:$2,2,FALSE),FALSE)/(VLOOKUP($A158,'[1]import graded seats course pivo'!$A:AG,HLOOKUP('[1]Course Totals'!I$4,'[1]import graded seats course pivo'!$1:$2,2,FALSE),FALSE))),"")</f>
        <v/>
      </c>
      <c r="J158" s="14" t="str">
        <f>IFERROR((VLOOKUP($A158,'[1]import success seats course'!$A:X,HLOOKUP('[1]Course Totals'!J$4,'[1]import success seats course'!$1:$2,2,FALSE),FALSE)/(VLOOKUP($A158,'[1]import graded seats course pivo'!$A:AH,HLOOKUP('[1]Course Totals'!J$4,'[1]import graded seats course pivo'!$1:$2,2,FALSE),FALSE))),"")</f>
        <v/>
      </c>
      <c r="K158" s="14" t="str">
        <f>IFERROR((VLOOKUP($A158,'[1]import success seats course'!$A:Y,HLOOKUP('[1]Course Totals'!K$4,'[1]import success seats course'!$1:$2,2,FALSE),FALSE)/(VLOOKUP($A158,'[1]import graded seats course pivo'!$A:AI,HLOOKUP('[1]Course Totals'!K$4,'[1]import graded seats course pivo'!$1:$2,2,FALSE),FALSE))),"")</f>
        <v/>
      </c>
      <c r="L158" s="14" t="str">
        <f>IFERROR((VLOOKUP($A158,'[1]import success seats course'!$A:Z,HLOOKUP('[1]Course Totals'!L$4,'[1]import success seats course'!$1:$2,2,FALSE),FALSE)/(VLOOKUP($A158,'[1]import graded seats course pivo'!$A:AJ,HLOOKUP('[1]Course Totals'!L$4,'[1]import graded seats course pivo'!$1:$2,2,FALSE),FALSE))),"")</f>
        <v/>
      </c>
      <c r="M158" s="14" t="str">
        <f>IFERROR((VLOOKUP($A158,'[1]import success seats course'!$A:AA,HLOOKUP('[1]Course Totals'!M$4,'[1]import success seats course'!$1:$2,2,FALSE),FALSE)/(VLOOKUP($A158,'[1]import graded seats course pivo'!$A:AK,HLOOKUP('[1]Course Totals'!M$4,'[1]import graded seats course pivo'!$1:$2,2,FALSE),FALSE))),"")</f>
        <v/>
      </c>
      <c r="N158" s="14" t="str">
        <f>IFERROR((VLOOKUP($A158,'[1]import success seats course'!$A:AB,HLOOKUP('[1]Course Totals'!N$4,'[1]import success seats course'!$1:$2,2,FALSE),FALSE)/(VLOOKUP($A158,'[1]import graded seats course pivo'!$A:AL,HLOOKUP('[1]Course Totals'!N$4,'[1]import graded seats course pivo'!$1:$2,2,FALSE),FALSE))),"")</f>
        <v/>
      </c>
      <c r="O158" s="14" t="str">
        <f>IFERROR((VLOOKUP($A158,'[1]import success seats course'!$A:AC,HLOOKUP('[1]Course Totals'!O$4,'[1]import success seats course'!$1:$2,2,FALSE),FALSE)/(VLOOKUP($A158,'[1]import graded seats course pivo'!$A:AM,HLOOKUP('[1]Course Totals'!O$4,'[1]import graded seats course pivo'!$1:$2,2,FALSE),FALSE))),"")</f>
        <v/>
      </c>
      <c r="P158" s="14" t="str">
        <f>IFERROR((VLOOKUP($A158,'[1]import success seats course'!$A:AD,HLOOKUP('[1]Course Totals'!P$4,'[1]import success seats course'!$1:$2,2,FALSE),FALSE)/(VLOOKUP($A158,'[1]import graded seats course pivo'!$A:AN,HLOOKUP('[1]Course Totals'!P$4,'[1]import graded seats course pivo'!$1:$2,2,FALSE),FALSE))),"")</f>
        <v/>
      </c>
      <c r="Q158" s="14" t="str">
        <f>IFERROR((VLOOKUP($A158,'[1]import success seats course'!$A:AE,HLOOKUP('[1]Course Totals'!Q$4,'[1]import success seats course'!$1:$2,2,FALSE),FALSE)/(VLOOKUP($A158,'[1]import graded seats course pivo'!$A:AO,HLOOKUP('[1]Course Totals'!Q$4,'[1]import graded seats course pivo'!$1:$2,2,FALSE),FALSE))),"")</f>
        <v/>
      </c>
      <c r="R158" s="14" t="str">
        <f>IFERROR((VLOOKUP($A158,'[1]import success seats course'!$A:AF,HLOOKUP('[1]Course Totals'!R$4,'[1]import success seats course'!$1:$2,2,FALSE),FALSE)/(VLOOKUP($A158,'[1]import graded seats course pivo'!$A:AP,HLOOKUP('[1]Course Totals'!R$4,'[1]import graded seats course pivo'!$1:$2,2,FALSE),FALSE))),"")</f>
        <v/>
      </c>
      <c r="S158" s="14" t="str">
        <f>IFERROR((VLOOKUP($A158,'[1]import success seats course'!$A:AG,HLOOKUP('[1]Course Totals'!S$4,'[1]import success seats course'!$1:$2,2,FALSE),FALSE)/(VLOOKUP($A158,'[1]import graded seats course pivo'!$A:AQ,HLOOKUP('[1]Course Totals'!S$4,'[1]import graded seats course pivo'!$1:$2,2,FALSE),FALSE))),"")</f>
        <v/>
      </c>
      <c r="Z158" s="7"/>
      <c r="AA158" s="7"/>
      <c r="AB158" s="7"/>
      <c r="AC158" s="7"/>
    </row>
    <row r="159" spans="1:29" ht="15.75" hidden="1" customHeight="1" x14ac:dyDescent="0.25">
      <c r="A159" s="12" t="s">
        <v>97</v>
      </c>
      <c r="B159" s="14" t="str">
        <f>IFERROR((VLOOKUP($A159,'[1]import success seats course'!$A:P,HLOOKUP('[1]Course Totals'!B$4,'[1]import success seats course'!$1:$2,2,FALSE),FALSE)/(VLOOKUP($A159,'[1]import graded seats course pivo'!$A:Z,HLOOKUP('[1]Course Totals'!B$4,'[1]import graded seats course pivo'!$1:$2,2,FALSE),FALSE))),"")</f>
        <v/>
      </c>
      <c r="C159" s="14" t="str">
        <f>IFERROR((VLOOKUP($A159,'[1]import success seats course'!$A:Q,HLOOKUP('[1]Course Totals'!C$4,'[1]import success seats course'!$1:$2,2,FALSE),FALSE)/(VLOOKUP($A159,'[1]import graded seats course pivo'!$A:AA,HLOOKUP('[1]Course Totals'!C$4,'[1]import graded seats course pivo'!$1:$2,2,FALSE),FALSE))),"")</f>
        <v/>
      </c>
      <c r="D159" s="14" t="str">
        <f>IFERROR((VLOOKUP($A159,'[1]import success seats course'!$A:R,HLOOKUP('[1]Course Totals'!D$4,'[1]import success seats course'!$1:$2,2,FALSE),FALSE)/(VLOOKUP($A159,'[1]import graded seats course pivo'!$A:AB,HLOOKUP('[1]Course Totals'!D$4,'[1]import graded seats course pivo'!$1:$2,2,FALSE),FALSE))),"")</f>
        <v/>
      </c>
      <c r="E159" s="14" t="str">
        <f>IFERROR((VLOOKUP($A159,'[1]import success seats course'!$A:S,HLOOKUP('[1]Course Totals'!E$4,'[1]import success seats course'!$1:$2,2,FALSE),FALSE)/(VLOOKUP($A159,'[1]import graded seats course pivo'!$A:AC,HLOOKUP('[1]Course Totals'!E$4,'[1]import graded seats course pivo'!$1:$2,2,FALSE),FALSE))),"")</f>
        <v/>
      </c>
      <c r="F159" s="14" t="str">
        <f>IFERROR((VLOOKUP($A159,'[1]import success seats course'!$A:T,HLOOKUP('[1]Course Totals'!F$4,'[1]import success seats course'!$1:$2,2,FALSE),FALSE)/(VLOOKUP($A159,'[1]import graded seats course pivo'!$A:AD,HLOOKUP('[1]Course Totals'!F$4,'[1]import graded seats course pivo'!$1:$2,2,FALSE),FALSE))),"")</f>
        <v/>
      </c>
      <c r="G159" s="14" t="str">
        <f>IFERROR((VLOOKUP($A159,'[1]import success seats course'!$A:U,HLOOKUP('[1]Course Totals'!G$4,'[1]import success seats course'!$1:$2,2,FALSE),FALSE)/(VLOOKUP($A159,'[1]import graded seats course pivo'!$A:AE,HLOOKUP('[1]Course Totals'!G$4,'[1]import graded seats course pivo'!$1:$2,2,FALSE),FALSE))),"")</f>
        <v/>
      </c>
      <c r="H159" s="14" t="str">
        <f>IFERROR((VLOOKUP($A159,'[1]import success seats course'!$A:V,HLOOKUP('[1]Course Totals'!H$4,'[1]import success seats course'!$1:$2,2,FALSE),FALSE)/(VLOOKUP($A159,'[1]import graded seats course pivo'!$A:AF,HLOOKUP('[1]Course Totals'!H$4,'[1]import graded seats course pivo'!$1:$2,2,FALSE),FALSE))),"")</f>
        <v/>
      </c>
      <c r="I159" s="14" t="str">
        <f>IFERROR((VLOOKUP($A159,'[1]import success seats course'!$A:W,HLOOKUP('[1]Course Totals'!I$4,'[1]import success seats course'!$1:$2,2,FALSE),FALSE)/(VLOOKUP($A159,'[1]import graded seats course pivo'!$A:AG,HLOOKUP('[1]Course Totals'!I$4,'[1]import graded seats course pivo'!$1:$2,2,FALSE),FALSE))),"")</f>
        <v/>
      </c>
      <c r="J159" s="14" t="str">
        <f>IFERROR((VLOOKUP($A159,'[1]import success seats course'!$A:X,HLOOKUP('[1]Course Totals'!J$4,'[1]import success seats course'!$1:$2,2,FALSE),FALSE)/(VLOOKUP($A159,'[1]import graded seats course pivo'!$A:AH,HLOOKUP('[1]Course Totals'!J$4,'[1]import graded seats course pivo'!$1:$2,2,FALSE),FALSE))),"")</f>
        <v/>
      </c>
      <c r="K159" s="14" t="str">
        <f>IFERROR((VLOOKUP($A159,'[1]import success seats course'!$A:Y,HLOOKUP('[1]Course Totals'!K$4,'[1]import success seats course'!$1:$2,2,FALSE),FALSE)/(VLOOKUP($A159,'[1]import graded seats course pivo'!$A:AI,HLOOKUP('[1]Course Totals'!K$4,'[1]import graded seats course pivo'!$1:$2,2,FALSE),FALSE))),"")</f>
        <v/>
      </c>
      <c r="L159" s="14" t="str">
        <f>IFERROR((VLOOKUP($A159,'[1]import success seats course'!$A:Z,HLOOKUP('[1]Course Totals'!L$4,'[1]import success seats course'!$1:$2,2,FALSE),FALSE)/(VLOOKUP($A159,'[1]import graded seats course pivo'!$A:AJ,HLOOKUP('[1]Course Totals'!L$4,'[1]import graded seats course pivo'!$1:$2,2,FALSE),FALSE))),"")</f>
        <v/>
      </c>
      <c r="M159" s="14" t="str">
        <f>IFERROR((VLOOKUP($A159,'[1]import success seats course'!$A:AA,HLOOKUP('[1]Course Totals'!M$4,'[1]import success seats course'!$1:$2,2,FALSE),FALSE)/(VLOOKUP($A159,'[1]import graded seats course pivo'!$A:AK,HLOOKUP('[1]Course Totals'!M$4,'[1]import graded seats course pivo'!$1:$2,2,FALSE),FALSE))),"")</f>
        <v/>
      </c>
      <c r="N159" s="14" t="str">
        <f>IFERROR((VLOOKUP($A159,'[1]import success seats course'!$A:AB,HLOOKUP('[1]Course Totals'!N$4,'[1]import success seats course'!$1:$2,2,FALSE),FALSE)/(VLOOKUP($A159,'[1]import graded seats course pivo'!$A:AL,HLOOKUP('[1]Course Totals'!N$4,'[1]import graded seats course pivo'!$1:$2,2,FALSE),FALSE))),"")</f>
        <v/>
      </c>
      <c r="O159" s="14" t="str">
        <f>IFERROR((VLOOKUP($A159,'[1]import success seats course'!$A:AC,HLOOKUP('[1]Course Totals'!O$4,'[1]import success seats course'!$1:$2,2,FALSE),FALSE)/(VLOOKUP($A159,'[1]import graded seats course pivo'!$A:AM,HLOOKUP('[1]Course Totals'!O$4,'[1]import graded seats course pivo'!$1:$2,2,FALSE),FALSE))),"")</f>
        <v/>
      </c>
      <c r="P159" s="14" t="str">
        <f>IFERROR((VLOOKUP($A159,'[1]import success seats course'!$A:AD,HLOOKUP('[1]Course Totals'!P$4,'[1]import success seats course'!$1:$2,2,FALSE),FALSE)/(VLOOKUP($A159,'[1]import graded seats course pivo'!$A:AN,HLOOKUP('[1]Course Totals'!P$4,'[1]import graded seats course pivo'!$1:$2,2,FALSE),FALSE))),"")</f>
        <v/>
      </c>
      <c r="Q159" s="14" t="str">
        <f>IFERROR((VLOOKUP($A159,'[1]import success seats course'!$A:AE,HLOOKUP('[1]Course Totals'!Q$4,'[1]import success seats course'!$1:$2,2,FALSE),FALSE)/(VLOOKUP($A159,'[1]import graded seats course pivo'!$A:AO,HLOOKUP('[1]Course Totals'!Q$4,'[1]import graded seats course pivo'!$1:$2,2,FALSE),FALSE))),"")</f>
        <v/>
      </c>
      <c r="R159" s="14" t="str">
        <f>IFERROR((VLOOKUP($A159,'[1]import success seats course'!$A:AF,HLOOKUP('[1]Course Totals'!R$4,'[1]import success seats course'!$1:$2,2,FALSE),FALSE)/(VLOOKUP($A159,'[1]import graded seats course pivo'!$A:AP,HLOOKUP('[1]Course Totals'!R$4,'[1]import graded seats course pivo'!$1:$2,2,FALSE),FALSE))),"")</f>
        <v/>
      </c>
      <c r="S159" s="14" t="str">
        <f>IFERROR((VLOOKUP($A159,'[1]import success seats course'!$A:AG,HLOOKUP('[1]Course Totals'!S$4,'[1]import success seats course'!$1:$2,2,FALSE),FALSE)/(VLOOKUP($A159,'[1]import graded seats course pivo'!$A:AQ,HLOOKUP('[1]Course Totals'!S$4,'[1]import graded seats course pivo'!$1:$2,2,FALSE),FALSE))),"")</f>
        <v/>
      </c>
      <c r="Z159" s="7"/>
      <c r="AA159" s="7"/>
      <c r="AB159" s="7"/>
      <c r="AC159" s="7"/>
    </row>
    <row r="160" spans="1:29" ht="15.75" customHeight="1" x14ac:dyDescent="0.25">
      <c r="A160" s="12" t="s">
        <v>771</v>
      </c>
      <c r="B160" s="14" t="str">
        <f>IFERROR((VLOOKUP($A160,'[1]import success seats course'!$A:P,HLOOKUP('[1]Course Totals'!B$4,'[1]import success seats course'!$1:$2,2,FALSE),FALSE)/(VLOOKUP($A160,'[1]import graded seats course pivo'!$A:Z,HLOOKUP('[1]Course Totals'!B$4,'[1]import graded seats course pivo'!$1:$2,2,FALSE),FALSE))),"")</f>
        <v/>
      </c>
      <c r="C160" s="14" t="str">
        <f>IFERROR((VLOOKUP($A160,'[1]import success seats course'!$A:Q,HLOOKUP('[1]Course Totals'!C$4,'[1]import success seats course'!$1:$2,2,FALSE),FALSE)/(VLOOKUP($A160,'[1]import graded seats course pivo'!$A:AA,HLOOKUP('[1]Course Totals'!C$4,'[1]import graded seats course pivo'!$1:$2,2,FALSE),FALSE))),"")</f>
        <v/>
      </c>
      <c r="D160" s="14" t="str">
        <f>IFERROR((VLOOKUP($A160,'[1]import success seats course'!$A:R,HLOOKUP('[1]Course Totals'!D$4,'[1]import success seats course'!$1:$2,2,FALSE),FALSE)/(VLOOKUP($A160,'[1]import graded seats course pivo'!$A:AB,HLOOKUP('[1]Course Totals'!D$4,'[1]import graded seats course pivo'!$1:$2,2,FALSE),FALSE))),"")</f>
        <v/>
      </c>
      <c r="E160" s="14" t="str">
        <f>IFERROR((VLOOKUP($A160,'[1]import success seats course'!$A:S,HLOOKUP('[1]Course Totals'!E$4,'[1]import success seats course'!$1:$2,2,FALSE),FALSE)/(VLOOKUP($A160,'[1]import graded seats course pivo'!$A:AC,HLOOKUP('[1]Course Totals'!E$4,'[1]import graded seats course pivo'!$1:$2,2,FALSE),FALSE))),"")</f>
        <v/>
      </c>
      <c r="F160" s="14" t="str">
        <f>IFERROR((VLOOKUP($A160,'[1]import success seats course'!$A:T,HLOOKUP('[1]Course Totals'!F$4,'[1]import success seats course'!$1:$2,2,FALSE),FALSE)/(VLOOKUP($A160,'[1]import graded seats course pivo'!$A:AD,HLOOKUP('[1]Course Totals'!F$4,'[1]import graded seats course pivo'!$1:$2,2,FALSE),FALSE))),"")</f>
        <v/>
      </c>
      <c r="G160" s="14" t="str">
        <f>IFERROR((VLOOKUP($A160,'[1]import success seats course'!$A:U,HLOOKUP('[1]Course Totals'!G$4,'[1]import success seats course'!$1:$2,2,FALSE),FALSE)/(VLOOKUP($A160,'[1]import graded seats course pivo'!$A:AE,HLOOKUP('[1]Course Totals'!G$4,'[1]import graded seats course pivo'!$1:$2,2,FALSE),FALSE))),"")</f>
        <v/>
      </c>
      <c r="H160" s="14" t="str">
        <f>IFERROR((VLOOKUP($A160,'[1]import success seats course'!$A:V,HLOOKUP('[1]Course Totals'!H$4,'[1]import success seats course'!$1:$2,2,FALSE),FALSE)/(VLOOKUP($A160,'[1]import graded seats course pivo'!$A:AF,HLOOKUP('[1]Course Totals'!H$4,'[1]import graded seats course pivo'!$1:$2,2,FALSE),FALSE))),"")</f>
        <v/>
      </c>
      <c r="I160" s="14" t="str">
        <f>IFERROR((VLOOKUP($A160,'[1]import success seats course'!$A:W,HLOOKUP('[1]Course Totals'!I$4,'[1]import success seats course'!$1:$2,2,FALSE),FALSE)/(VLOOKUP($A160,'[1]import graded seats course pivo'!$A:AG,HLOOKUP('[1]Course Totals'!I$4,'[1]import graded seats course pivo'!$1:$2,2,FALSE),FALSE))),"")</f>
        <v/>
      </c>
      <c r="J160" s="14" t="str">
        <f>IFERROR((VLOOKUP($A160,'[1]import success seats course'!$A:X,HLOOKUP('[1]Course Totals'!J$4,'[1]import success seats course'!$1:$2,2,FALSE),FALSE)/(VLOOKUP($A160,'[1]import graded seats course pivo'!$A:AH,HLOOKUP('[1]Course Totals'!J$4,'[1]import graded seats course pivo'!$1:$2,2,FALSE),FALSE))),"")</f>
        <v/>
      </c>
      <c r="K160" s="14" t="str">
        <f>IFERROR((VLOOKUP($A160,'[1]import success seats course'!$A:Y,HLOOKUP('[1]Course Totals'!K$4,'[1]import success seats course'!$1:$2,2,FALSE),FALSE)/(VLOOKUP($A160,'[1]import graded seats course pivo'!$A:AI,HLOOKUP('[1]Course Totals'!K$4,'[1]import graded seats course pivo'!$1:$2,2,FALSE),FALSE))),"")</f>
        <v/>
      </c>
      <c r="L160" s="14">
        <f>IFERROR((VLOOKUP($A160,'[1]import success seats course'!$A:Z,HLOOKUP('[1]Course Totals'!L$4,'[1]import success seats course'!$1:$2,2,FALSE),FALSE)/(VLOOKUP($A160,'[1]import graded seats course pivo'!$A:AJ,HLOOKUP('[1]Course Totals'!L$4,'[1]import graded seats course pivo'!$1:$2,2,FALSE),FALSE))),"")</f>
        <v>1</v>
      </c>
      <c r="M160" s="14">
        <f>IFERROR((VLOOKUP($A160,'[1]import success seats course'!$A:AA,HLOOKUP('[1]Course Totals'!M$4,'[1]import success seats course'!$1:$2,2,FALSE),FALSE)/(VLOOKUP($A160,'[1]import graded seats course pivo'!$A:AK,HLOOKUP('[1]Course Totals'!M$4,'[1]import graded seats course pivo'!$1:$2,2,FALSE),FALSE))),"")</f>
        <v>1</v>
      </c>
      <c r="N160" s="14" t="str">
        <f>IFERROR((VLOOKUP($A160,'[1]import success seats course'!$A:AB,HLOOKUP('[1]Course Totals'!N$4,'[1]import success seats course'!$1:$2,2,FALSE),FALSE)/(VLOOKUP($A160,'[1]import graded seats course pivo'!$A:AL,HLOOKUP('[1]Course Totals'!N$4,'[1]import graded seats course pivo'!$1:$2,2,FALSE),FALSE))),"")</f>
        <v/>
      </c>
      <c r="O160" s="14">
        <f>IFERROR((VLOOKUP($A160,'[1]import success seats course'!$A:AC,HLOOKUP('[1]Course Totals'!O$4,'[1]import success seats course'!$1:$2,2,FALSE),FALSE)/(VLOOKUP($A160,'[1]import graded seats course pivo'!$A:AM,HLOOKUP('[1]Course Totals'!O$4,'[1]import graded seats course pivo'!$1:$2,2,FALSE),FALSE))),"")</f>
        <v>0.94736842105263153</v>
      </c>
      <c r="P160" s="14" t="str">
        <f>IFERROR((VLOOKUP($A160,'[1]import success seats course'!$A:AD,HLOOKUP('[1]Course Totals'!P$4,'[1]import success seats course'!$1:$2,2,FALSE),FALSE)/(VLOOKUP($A160,'[1]import graded seats course pivo'!$A:AN,HLOOKUP('[1]Course Totals'!P$4,'[1]import graded seats course pivo'!$1:$2,2,FALSE),FALSE))),"")</f>
        <v/>
      </c>
      <c r="Q160" s="14" t="str">
        <f>IFERROR((VLOOKUP($A160,'[1]import success seats course'!$A:AE,HLOOKUP('[1]Course Totals'!Q$4,'[1]import success seats course'!$1:$2,2,FALSE),FALSE)/(VLOOKUP($A160,'[1]import graded seats course pivo'!$A:AO,HLOOKUP('[1]Course Totals'!Q$4,'[1]import graded seats course pivo'!$1:$2,2,FALSE),FALSE))),"")</f>
        <v/>
      </c>
      <c r="R160" s="14" t="str">
        <f>IFERROR((VLOOKUP($A160,'[1]import success seats course'!$A:AF,HLOOKUP('[1]Course Totals'!R$4,'[1]import success seats course'!$1:$2,2,FALSE),FALSE)/(VLOOKUP($A160,'[1]import graded seats course pivo'!$A:AP,HLOOKUP('[1]Course Totals'!R$4,'[1]import graded seats course pivo'!$1:$2,2,FALSE),FALSE))),"")</f>
        <v/>
      </c>
      <c r="S160" s="14" t="str">
        <f>IFERROR((VLOOKUP($A160,'[1]import success seats course'!$A:AG,HLOOKUP('[1]Course Totals'!S$4,'[1]import success seats course'!$1:$2,2,FALSE),FALSE)/(VLOOKUP($A160,'[1]import graded seats course pivo'!$A:AQ,HLOOKUP('[1]Course Totals'!S$4,'[1]import graded seats course pivo'!$1:$2,2,FALSE),FALSE))),"")</f>
        <v/>
      </c>
      <c r="Z160" s="7"/>
      <c r="AA160" s="7"/>
      <c r="AB160" s="7"/>
      <c r="AC160" s="7"/>
    </row>
    <row r="161" spans="1:29" ht="15.75" hidden="1" customHeight="1" x14ac:dyDescent="0.25">
      <c r="A161" s="12" t="s">
        <v>772</v>
      </c>
      <c r="B161" s="14" t="str">
        <f>IFERROR((VLOOKUP($A161,'[1]import success seats course'!$A:P,HLOOKUP('[1]Course Totals'!B$4,'[1]import success seats course'!$1:$2,2,FALSE),FALSE)/(VLOOKUP($A161,'[1]import graded seats course pivo'!$A:Z,HLOOKUP('[1]Course Totals'!B$4,'[1]import graded seats course pivo'!$1:$2,2,FALSE),FALSE))),"")</f>
        <v/>
      </c>
      <c r="C161" s="14" t="str">
        <f>IFERROR((VLOOKUP($A161,'[1]import success seats course'!$A:Q,HLOOKUP('[1]Course Totals'!C$4,'[1]import success seats course'!$1:$2,2,FALSE),FALSE)/(VLOOKUP($A161,'[1]import graded seats course pivo'!$A:AA,HLOOKUP('[1]Course Totals'!C$4,'[1]import graded seats course pivo'!$1:$2,2,FALSE),FALSE))),"")</f>
        <v/>
      </c>
      <c r="D161" s="14" t="str">
        <f>IFERROR((VLOOKUP($A161,'[1]import success seats course'!$A:R,HLOOKUP('[1]Course Totals'!D$4,'[1]import success seats course'!$1:$2,2,FALSE),FALSE)/(VLOOKUP($A161,'[1]import graded seats course pivo'!$A:AB,HLOOKUP('[1]Course Totals'!D$4,'[1]import graded seats course pivo'!$1:$2,2,FALSE),FALSE))),"")</f>
        <v/>
      </c>
      <c r="E161" s="14" t="str">
        <f>IFERROR((VLOOKUP($A161,'[1]import success seats course'!$A:S,HLOOKUP('[1]Course Totals'!E$4,'[1]import success seats course'!$1:$2,2,FALSE),FALSE)/(VLOOKUP($A161,'[1]import graded seats course pivo'!$A:AC,HLOOKUP('[1]Course Totals'!E$4,'[1]import graded seats course pivo'!$1:$2,2,FALSE),FALSE))),"")</f>
        <v/>
      </c>
      <c r="F161" s="14" t="str">
        <f>IFERROR((VLOOKUP($A161,'[1]import success seats course'!$A:T,HLOOKUP('[1]Course Totals'!F$4,'[1]import success seats course'!$1:$2,2,FALSE),FALSE)/(VLOOKUP($A161,'[1]import graded seats course pivo'!$A:AD,HLOOKUP('[1]Course Totals'!F$4,'[1]import graded seats course pivo'!$1:$2,2,FALSE),FALSE))),"")</f>
        <v/>
      </c>
      <c r="G161" s="14" t="str">
        <f>IFERROR((VLOOKUP($A161,'[1]import success seats course'!$A:U,HLOOKUP('[1]Course Totals'!G$4,'[1]import success seats course'!$1:$2,2,FALSE),FALSE)/(VLOOKUP($A161,'[1]import graded seats course pivo'!$A:AE,HLOOKUP('[1]Course Totals'!G$4,'[1]import graded seats course pivo'!$1:$2,2,FALSE),FALSE))),"")</f>
        <v/>
      </c>
      <c r="H161" s="14" t="str">
        <f>IFERROR((VLOOKUP($A161,'[1]import success seats course'!$A:V,HLOOKUP('[1]Course Totals'!H$4,'[1]import success seats course'!$1:$2,2,FALSE),FALSE)/(VLOOKUP($A161,'[1]import graded seats course pivo'!$A:AF,HLOOKUP('[1]Course Totals'!H$4,'[1]import graded seats course pivo'!$1:$2,2,FALSE),FALSE))),"")</f>
        <v/>
      </c>
      <c r="I161" s="14" t="str">
        <f>IFERROR((VLOOKUP($A161,'[1]import success seats course'!$A:W,HLOOKUP('[1]Course Totals'!I$4,'[1]import success seats course'!$1:$2,2,FALSE),FALSE)/(VLOOKUP($A161,'[1]import graded seats course pivo'!$A:AG,HLOOKUP('[1]Course Totals'!I$4,'[1]import graded seats course pivo'!$1:$2,2,FALSE),FALSE))),"")</f>
        <v/>
      </c>
      <c r="J161" s="14" t="str">
        <f>IFERROR((VLOOKUP($A161,'[1]import success seats course'!$A:X,HLOOKUP('[1]Course Totals'!J$4,'[1]import success seats course'!$1:$2,2,FALSE),FALSE)/(VLOOKUP($A161,'[1]import graded seats course pivo'!$A:AH,HLOOKUP('[1]Course Totals'!J$4,'[1]import graded seats course pivo'!$1:$2,2,FALSE),FALSE))),"")</f>
        <v/>
      </c>
      <c r="K161" s="14" t="str">
        <f>IFERROR((VLOOKUP($A161,'[1]import success seats course'!$A:Y,HLOOKUP('[1]Course Totals'!K$4,'[1]import success seats course'!$1:$2,2,FALSE),FALSE)/(VLOOKUP($A161,'[1]import graded seats course pivo'!$A:AI,HLOOKUP('[1]Course Totals'!K$4,'[1]import graded seats course pivo'!$1:$2,2,FALSE),FALSE))),"")</f>
        <v/>
      </c>
      <c r="L161" s="14" t="str">
        <f>IFERROR((VLOOKUP($A161,'[1]import success seats course'!$A:Z,HLOOKUP('[1]Course Totals'!L$4,'[1]import success seats course'!$1:$2,2,FALSE),FALSE)/(VLOOKUP($A161,'[1]import graded seats course pivo'!$A:AJ,HLOOKUP('[1]Course Totals'!L$4,'[1]import graded seats course pivo'!$1:$2,2,FALSE),FALSE))),"")</f>
        <v/>
      </c>
      <c r="M161" s="14" t="str">
        <f>IFERROR((VLOOKUP($A161,'[1]import success seats course'!$A:AA,HLOOKUP('[1]Course Totals'!M$4,'[1]import success seats course'!$1:$2,2,FALSE),FALSE)/(VLOOKUP($A161,'[1]import graded seats course pivo'!$A:AK,HLOOKUP('[1]Course Totals'!M$4,'[1]import graded seats course pivo'!$1:$2,2,FALSE),FALSE))),"")</f>
        <v/>
      </c>
      <c r="N161" s="14" t="str">
        <f>IFERROR((VLOOKUP($A161,'[1]import success seats course'!$A:AB,HLOOKUP('[1]Course Totals'!N$4,'[1]import success seats course'!$1:$2,2,FALSE),FALSE)/(VLOOKUP($A161,'[1]import graded seats course pivo'!$A:AL,HLOOKUP('[1]Course Totals'!N$4,'[1]import graded seats course pivo'!$1:$2,2,FALSE),FALSE))),"")</f>
        <v/>
      </c>
      <c r="O161" s="14" t="str">
        <f>IFERROR((VLOOKUP($A161,'[1]import success seats course'!$A:AC,HLOOKUP('[1]Course Totals'!O$4,'[1]import success seats course'!$1:$2,2,FALSE),FALSE)/(VLOOKUP($A161,'[1]import graded seats course pivo'!$A:AM,HLOOKUP('[1]Course Totals'!O$4,'[1]import graded seats course pivo'!$1:$2,2,FALSE),FALSE))),"")</f>
        <v/>
      </c>
      <c r="P161" s="14" t="str">
        <f>IFERROR((VLOOKUP($A161,'[1]import success seats course'!$A:AD,HLOOKUP('[1]Course Totals'!P$4,'[1]import success seats course'!$1:$2,2,FALSE),FALSE)/(VLOOKUP($A161,'[1]import graded seats course pivo'!$A:AN,HLOOKUP('[1]Course Totals'!P$4,'[1]import graded seats course pivo'!$1:$2,2,FALSE),FALSE))),"")</f>
        <v/>
      </c>
      <c r="Q161" s="14" t="str">
        <f>IFERROR((VLOOKUP($A161,'[1]import success seats course'!$A:AE,HLOOKUP('[1]Course Totals'!Q$4,'[1]import success seats course'!$1:$2,2,FALSE),FALSE)/(VLOOKUP($A161,'[1]import graded seats course pivo'!$A:AO,HLOOKUP('[1]Course Totals'!Q$4,'[1]import graded seats course pivo'!$1:$2,2,FALSE),FALSE))),"")</f>
        <v/>
      </c>
      <c r="R161" s="14" t="str">
        <f>IFERROR((VLOOKUP($A161,'[1]import success seats course'!$A:AF,HLOOKUP('[1]Course Totals'!R$4,'[1]import success seats course'!$1:$2,2,FALSE),FALSE)/(VLOOKUP($A161,'[1]import graded seats course pivo'!$A:AP,HLOOKUP('[1]Course Totals'!R$4,'[1]import graded seats course pivo'!$1:$2,2,FALSE),FALSE))),"")</f>
        <v/>
      </c>
      <c r="S161" s="14" t="str">
        <f>IFERROR((VLOOKUP($A161,'[1]import success seats course'!$A:AG,HLOOKUP('[1]Course Totals'!S$4,'[1]import success seats course'!$1:$2,2,FALSE),FALSE)/(VLOOKUP($A161,'[1]import graded seats course pivo'!$A:AQ,HLOOKUP('[1]Course Totals'!S$4,'[1]import graded seats course pivo'!$1:$2,2,FALSE),FALSE))),"")</f>
        <v/>
      </c>
      <c r="Z161" s="7"/>
      <c r="AA161" s="7"/>
      <c r="AB161" s="7"/>
      <c r="AC161" s="7"/>
    </row>
    <row r="162" spans="1:29" ht="15.75" hidden="1" customHeight="1" x14ac:dyDescent="0.25">
      <c r="A162" s="12" t="s">
        <v>876</v>
      </c>
      <c r="B162" s="14" t="str">
        <f>IFERROR((VLOOKUP($A162,'[1]import success seats course'!$A:P,HLOOKUP('[1]Course Totals'!B$4,'[1]import success seats course'!$1:$2,2,FALSE),FALSE)/(VLOOKUP($A162,'[1]import graded seats course pivo'!$A:Z,HLOOKUP('[1]Course Totals'!B$4,'[1]import graded seats course pivo'!$1:$2,2,FALSE),FALSE))),"")</f>
        <v/>
      </c>
      <c r="C162" s="14" t="str">
        <f>IFERROR((VLOOKUP($A162,'[1]import success seats course'!$A:Q,HLOOKUP('[1]Course Totals'!C$4,'[1]import success seats course'!$1:$2,2,FALSE),FALSE)/(VLOOKUP($A162,'[1]import graded seats course pivo'!$A:AA,HLOOKUP('[1]Course Totals'!C$4,'[1]import graded seats course pivo'!$1:$2,2,FALSE),FALSE))),"")</f>
        <v/>
      </c>
      <c r="D162" s="14" t="str">
        <f>IFERROR((VLOOKUP($A162,'[1]import success seats course'!$A:R,HLOOKUP('[1]Course Totals'!D$4,'[1]import success seats course'!$1:$2,2,FALSE),FALSE)/(VLOOKUP($A162,'[1]import graded seats course pivo'!$A:AB,HLOOKUP('[1]Course Totals'!D$4,'[1]import graded seats course pivo'!$1:$2,2,FALSE),FALSE))),"")</f>
        <v/>
      </c>
      <c r="E162" s="14" t="str">
        <f>IFERROR((VLOOKUP($A162,'[1]import success seats course'!$A:S,HLOOKUP('[1]Course Totals'!E$4,'[1]import success seats course'!$1:$2,2,FALSE),FALSE)/(VLOOKUP($A162,'[1]import graded seats course pivo'!$A:AC,HLOOKUP('[1]Course Totals'!E$4,'[1]import graded seats course pivo'!$1:$2,2,FALSE),FALSE))),"")</f>
        <v/>
      </c>
      <c r="F162" s="14" t="str">
        <f>IFERROR((VLOOKUP($A162,'[1]import success seats course'!$A:T,HLOOKUP('[1]Course Totals'!F$4,'[1]import success seats course'!$1:$2,2,FALSE),FALSE)/(VLOOKUP($A162,'[1]import graded seats course pivo'!$A:AD,HLOOKUP('[1]Course Totals'!F$4,'[1]import graded seats course pivo'!$1:$2,2,FALSE),FALSE))),"")</f>
        <v/>
      </c>
      <c r="G162" s="14" t="str">
        <f>IFERROR((VLOOKUP($A162,'[1]import success seats course'!$A:U,HLOOKUP('[1]Course Totals'!G$4,'[1]import success seats course'!$1:$2,2,FALSE),FALSE)/(VLOOKUP($A162,'[1]import graded seats course pivo'!$A:AE,HLOOKUP('[1]Course Totals'!G$4,'[1]import graded seats course pivo'!$1:$2,2,FALSE),FALSE))),"")</f>
        <v/>
      </c>
      <c r="H162" s="14" t="str">
        <f>IFERROR((VLOOKUP($A162,'[1]import success seats course'!$A:V,HLOOKUP('[1]Course Totals'!H$4,'[1]import success seats course'!$1:$2,2,FALSE),FALSE)/(VLOOKUP($A162,'[1]import graded seats course pivo'!$A:AF,HLOOKUP('[1]Course Totals'!H$4,'[1]import graded seats course pivo'!$1:$2,2,FALSE),FALSE))),"")</f>
        <v/>
      </c>
      <c r="I162" s="14" t="str">
        <f>IFERROR((VLOOKUP($A162,'[1]import success seats course'!$A:W,HLOOKUP('[1]Course Totals'!I$4,'[1]import success seats course'!$1:$2,2,FALSE),FALSE)/(VLOOKUP($A162,'[1]import graded seats course pivo'!$A:AG,HLOOKUP('[1]Course Totals'!I$4,'[1]import graded seats course pivo'!$1:$2,2,FALSE),FALSE))),"")</f>
        <v/>
      </c>
      <c r="J162" s="14" t="str">
        <f>IFERROR((VLOOKUP($A162,'[1]import success seats course'!$A:X,HLOOKUP('[1]Course Totals'!J$4,'[1]import success seats course'!$1:$2,2,FALSE),FALSE)/(VLOOKUP($A162,'[1]import graded seats course pivo'!$A:AH,HLOOKUP('[1]Course Totals'!J$4,'[1]import graded seats course pivo'!$1:$2,2,FALSE),FALSE))),"")</f>
        <v/>
      </c>
      <c r="K162" s="14" t="str">
        <f>IFERROR((VLOOKUP($A162,'[1]import success seats course'!$A:Y,HLOOKUP('[1]Course Totals'!K$4,'[1]import success seats course'!$1:$2,2,FALSE),FALSE)/(VLOOKUP($A162,'[1]import graded seats course pivo'!$A:AI,HLOOKUP('[1]Course Totals'!K$4,'[1]import graded seats course pivo'!$1:$2,2,FALSE),FALSE))),"")</f>
        <v/>
      </c>
      <c r="L162" s="14" t="str">
        <f>IFERROR((VLOOKUP($A162,'[1]import success seats course'!$A:Z,HLOOKUP('[1]Course Totals'!L$4,'[1]import success seats course'!$1:$2,2,FALSE),FALSE)/(VLOOKUP($A162,'[1]import graded seats course pivo'!$A:AJ,HLOOKUP('[1]Course Totals'!L$4,'[1]import graded seats course pivo'!$1:$2,2,FALSE),FALSE))),"")</f>
        <v/>
      </c>
      <c r="M162" s="14" t="str">
        <f>IFERROR((VLOOKUP($A162,'[1]import success seats course'!$A:AA,HLOOKUP('[1]Course Totals'!M$4,'[1]import success seats course'!$1:$2,2,FALSE),FALSE)/(VLOOKUP($A162,'[1]import graded seats course pivo'!$A:AK,HLOOKUP('[1]Course Totals'!M$4,'[1]import graded seats course pivo'!$1:$2,2,FALSE),FALSE))),"")</f>
        <v/>
      </c>
      <c r="N162" s="14" t="str">
        <f>IFERROR((VLOOKUP($A162,'[1]import success seats course'!$A:AB,HLOOKUP('[1]Course Totals'!N$4,'[1]import success seats course'!$1:$2,2,FALSE),FALSE)/(VLOOKUP($A162,'[1]import graded seats course pivo'!$A:AL,HLOOKUP('[1]Course Totals'!N$4,'[1]import graded seats course pivo'!$1:$2,2,FALSE),FALSE))),"")</f>
        <v/>
      </c>
      <c r="O162" s="14" t="str">
        <f>IFERROR((VLOOKUP($A162,'[1]import success seats course'!$A:AC,HLOOKUP('[1]Course Totals'!O$4,'[1]import success seats course'!$1:$2,2,FALSE),FALSE)/(VLOOKUP($A162,'[1]import graded seats course pivo'!$A:AM,HLOOKUP('[1]Course Totals'!O$4,'[1]import graded seats course pivo'!$1:$2,2,FALSE),FALSE))),"")</f>
        <v/>
      </c>
      <c r="P162" s="14" t="str">
        <f>IFERROR((VLOOKUP($A162,'[1]import success seats course'!$A:AD,HLOOKUP('[1]Course Totals'!P$4,'[1]import success seats course'!$1:$2,2,FALSE),FALSE)/(VLOOKUP($A162,'[1]import graded seats course pivo'!$A:AN,HLOOKUP('[1]Course Totals'!P$4,'[1]import graded seats course pivo'!$1:$2,2,FALSE),FALSE))),"")</f>
        <v/>
      </c>
      <c r="Q162" s="14" t="str">
        <f>IFERROR((VLOOKUP($A162,'[1]import success seats course'!$A:AE,HLOOKUP('[1]Course Totals'!Q$4,'[1]import success seats course'!$1:$2,2,FALSE),FALSE)/(VLOOKUP($A162,'[1]import graded seats course pivo'!$A:AO,HLOOKUP('[1]Course Totals'!Q$4,'[1]import graded seats course pivo'!$1:$2,2,FALSE),FALSE))),"")</f>
        <v/>
      </c>
      <c r="R162" s="14" t="str">
        <f>IFERROR((VLOOKUP($A162,'[1]import success seats course'!$A:AF,HLOOKUP('[1]Course Totals'!R$4,'[1]import success seats course'!$1:$2,2,FALSE),FALSE)/(VLOOKUP($A162,'[1]import graded seats course pivo'!$A:AP,HLOOKUP('[1]Course Totals'!R$4,'[1]import graded seats course pivo'!$1:$2,2,FALSE),FALSE))),"")</f>
        <v/>
      </c>
      <c r="S162" s="14" t="str">
        <f>IFERROR((VLOOKUP($A162,'[1]import success seats course'!$A:AG,HLOOKUP('[1]Course Totals'!S$4,'[1]import success seats course'!$1:$2,2,FALSE),FALSE)/(VLOOKUP($A162,'[1]import graded seats course pivo'!$A:AQ,HLOOKUP('[1]Course Totals'!S$4,'[1]import graded seats course pivo'!$1:$2,2,FALSE),FALSE))),"")</f>
        <v/>
      </c>
      <c r="Z162" s="7"/>
      <c r="AA162" s="7"/>
      <c r="AB162" s="7"/>
      <c r="AC162" s="7"/>
    </row>
    <row r="163" spans="1:29" ht="15.75" hidden="1" customHeight="1" x14ac:dyDescent="0.25">
      <c r="A163" s="12" t="s">
        <v>556</v>
      </c>
      <c r="B163" s="14" t="str">
        <f>IFERROR((VLOOKUP($A163,'[1]import success seats course'!$A:P,HLOOKUP('[1]Course Totals'!B$4,'[1]import success seats course'!$1:$2,2,FALSE),FALSE)/(VLOOKUP($A163,'[1]import graded seats course pivo'!$A:Z,HLOOKUP('[1]Course Totals'!B$4,'[1]import graded seats course pivo'!$1:$2,2,FALSE),FALSE))),"")</f>
        <v/>
      </c>
      <c r="C163" s="14" t="str">
        <f>IFERROR((VLOOKUP($A163,'[1]import success seats course'!$A:Q,HLOOKUP('[1]Course Totals'!C$4,'[1]import success seats course'!$1:$2,2,FALSE),FALSE)/(VLOOKUP($A163,'[1]import graded seats course pivo'!$A:AA,HLOOKUP('[1]Course Totals'!C$4,'[1]import graded seats course pivo'!$1:$2,2,FALSE),FALSE))),"")</f>
        <v/>
      </c>
      <c r="D163" s="14" t="str">
        <f>IFERROR((VLOOKUP($A163,'[1]import success seats course'!$A:R,HLOOKUP('[1]Course Totals'!D$4,'[1]import success seats course'!$1:$2,2,FALSE),FALSE)/(VLOOKUP($A163,'[1]import graded seats course pivo'!$A:AB,HLOOKUP('[1]Course Totals'!D$4,'[1]import graded seats course pivo'!$1:$2,2,FALSE),FALSE))),"")</f>
        <v/>
      </c>
      <c r="E163" s="14" t="str">
        <f>IFERROR((VLOOKUP($A163,'[1]import success seats course'!$A:S,HLOOKUP('[1]Course Totals'!E$4,'[1]import success seats course'!$1:$2,2,FALSE),FALSE)/(VLOOKUP($A163,'[1]import graded seats course pivo'!$A:AC,HLOOKUP('[1]Course Totals'!E$4,'[1]import graded seats course pivo'!$1:$2,2,FALSE),FALSE))),"")</f>
        <v/>
      </c>
      <c r="F163" s="14" t="str">
        <f>IFERROR((VLOOKUP($A163,'[1]import success seats course'!$A:T,HLOOKUP('[1]Course Totals'!F$4,'[1]import success seats course'!$1:$2,2,FALSE),FALSE)/(VLOOKUP($A163,'[1]import graded seats course pivo'!$A:AD,HLOOKUP('[1]Course Totals'!F$4,'[1]import graded seats course pivo'!$1:$2,2,FALSE),FALSE))),"")</f>
        <v/>
      </c>
      <c r="G163" s="14" t="str">
        <f>IFERROR((VLOOKUP($A163,'[1]import success seats course'!$A:U,HLOOKUP('[1]Course Totals'!G$4,'[1]import success seats course'!$1:$2,2,FALSE),FALSE)/(VLOOKUP($A163,'[1]import graded seats course pivo'!$A:AE,HLOOKUP('[1]Course Totals'!G$4,'[1]import graded seats course pivo'!$1:$2,2,FALSE),FALSE))),"")</f>
        <v/>
      </c>
      <c r="H163" s="14" t="str">
        <f>IFERROR((VLOOKUP($A163,'[1]import success seats course'!$A:V,HLOOKUP('[1]Course Totals'!H$4,'[1]import success seats course'!$1:$2,2,FALSE),FALSE)/(VLOOKUP($A163,'[1]import graded seats course pivo'!$A:AF,HLOOKUP('[1]Course Totals'!H$4,'[1]import graded seats course pivo'!$1:$2,2,FALSE),FALSE))),"")</f>
        <v/>
      </c>
      <c r="I163" s="14" t="str">
        <f>IFERROR((VLOOKUP($A163,'[1]import success seats course'!$A:W,HLOOKUP('[1]Course Totals'!I$4,'[1]import success seats course'!$1:$2,2,FALSE),FALSE)/(VLOOKUP($A163,'[1]import graded seats course pivo'!$A:AG,HLOOKUP('[1]Course Totals'!I$4,'[1]import graded seats course pivo'!$1:$2,2,FALSE),FALSE))),"")</f>
        <v/>
      </c>
      <c r="J163" s="14" t="str">
        <f>IFERROR((VLOOKUP($A163,'[1]import success seats course'!$A:X,HLOOKUP('[1]Course Totals'!J$4,'[1]import success seats course'!$1:$2,2,FALSE),FALSE)/(VLOOKUP($A163,'[1]import graded seats course pivo'!$A:AH,HLOOKUP('[1]Course Totals'!J$4,'[1]import graded seats course pivo'!$1:$2,2,FALSE),FALSE))),"")</f>
        <v/>
      </c>
      <c r="K163" s="14" t="str">
        <f>IFERROR((VLOOKUP($A163,'[1]import success seats course'!$A:Y,HLOOKUP('[1]Course Totals'!K$4,'[1]import success seats course'!$1:$2,2,FALSE),FALSE)/(VLOOKUP($A163,'[1]import graded seats course pivo'!$A:AI,HLOOKUP('[1]Course Totals'!K$4,'[1]import graded seats course pivo'!$1:$2,2,FALSE),FALSE))),"")</f>
        <v/>
      </c>
      <c r="L163" s="14" t="str">
        <f>IFERROR((VLOOKUP($A163,'[1]import success seats course'!$A:Z,HLOOKUP('[1]Course Totals'!L$4,'[1]import success seats course'!$1:$2,2,FALSE),FALSE)/(VLOOKUP($A163,'[1]import graded seats course pivo'!$A:AJ,HLOOKUP('[1]Course Totals'!L$4,'[1]import graded seats course pivo'!$1:$2,2,FALSE),FALSE))),"")</f>
        <v/>
      </c>
      <c r="M163" s="14" t="str">
        <f>IFERROR((VLOOKUP($A163,'[1]import success seats course'!$A:AA,HLOOKUP('[1]Course Totals'!M$4,'[1]import success seats course'!$1:$2,2,FALSE),FALSE)/(VLOOKUP($A163,'[1]import graded seats course pivo'!$A:AK,HLOOKUP('[1]Course Totals'!M$4,'[1]import graded seats course pivo'!$1:$2,2,FALSE),FALSE))),"")</f>
        <v/>
      </c>
      <c r="N163" s="14" t="str">
        <f>IFERROR((VLOOKUP($A163,'[1]import success seats course'!$A:AB,HLOOKUP('[1]Course Totals'!N$4,'[1]import success seats course'!$1:$2,2,FALSE),FALSE)/(VLOOKUP($A163,'[1]import graded seats course pivo'!$A:AL,HLOOKUP('[1]Course Totals'!N$4,'[1]import graded seats course pivo'!$1:$2,2,FALSE),FALSE))),"")</f>
        <v/>
      </c>
      <c r="O163" s="14" t="str">
        <f>IFERROR((VLOOKUP($A163,'[1]import success seats course'!$A:AC,HLOOKUP('[1]Course Totals'!O$4,'[1]import success seats course'!$1:$2,2,FALSE),FALSE)/(VLOOKUP($A163,'[1]import graded seats course pivo'!$A:AM,HLOOKUP('[1]Course Totals'!O$4,'[1]import graded seats course pivo'!$1:$2,2,FALSE),FALSE))),"")</f>
        <v/>
      </c>
      <c r="P163" s="14" t="str">
        <f>IFERROR((VLOOKUP($A163,'[1]import success seats course'!$A:AD,HLOOKUP('[1]Course Totals'!P$4,'[1]import success seats course'!$1:$2,2,FALSE),FALSE)/(VLOOKUP($A163,'[1]import graded seats course pivo'!$A:AN,HLOOKUP('[1]Course Totals'!P$4,'[1]import graded seats course pivo'!$1:$2,2,FALSE),FALSE))),"")</f>
        <v/>
      </c>
      <c r="Q163" s="14" t="str">
        <f>IFERROR((VLOOKUP($A163,'[1]import success seats course'!$A:AE,HLOOKUP('[1]Course Totals'!Q$4,'[1]import success seats course'!$1:$2,2,FALSE),FALSE)/(VLOOKUP($A163,'[1]import graded seats course pivo'!$A:AO,HLOOKUP('[1]Course Totals'!Q$4,'[1]import graded seats course pivo'!$1:$2,2,FALSE),FALSE))),"")</f>
        <v/>
      </c>
      <c r="R163" s="14" t="str">
        <f>IFERROR((VLOOKUP($A163,'[1]import success seats course'!$A:AF,HLOOKUP('[1]Course Totals'!R$4,'[1]import success seats course'!$1:$2,2,FALSE),FALSE)/(VLOOKUP($A163,'[1]import graded seats course pivo'!$A:AP,HLOOKUP('[1]Course Totals'!R$4,'[1]import graded seats course pivo'!$1:$2,2,FALSE),FALSE))),"")</f>
        <v/>
      </c>
      <c r="S163" s="14" t="str">
        <f>IFERROR((VLOOKUP($A163,'[1]import success seats course'!$A:AG,HLOOKUP('[1]Course Totals'!S$4,'[1]import success seats course'!$1:$2,2,FALSE),FALSE)/(VLOOKUP($A163,'[1]import graded seats course pivo'!$A:AQ,HLOOKUP('[1]Course Totals'!S$4,'[1]import graded seats course pivo'!$1:$2,2,FALSE),FALSE))),"")</f>
        <v/>
      </c>
      <c r="Z163" s="7"/>
      <c r="AA163" s="7"/>
      <c r="AB163" s="7"/>
      <c r="AC163" s="7"/>
    </row>
    <row r="164" spans="1:29" ht="15.75" hidden="1" customHeight="1" x14ac:dyDescent="0.25">
      <c r="A164" s="12" t="s">
        <v>686</v>
      </c>
      <c r="B164" s="14" t="str">
        <f>IFERROR((VLOOKUP($A164,'[1]import success seats course'!$A:P,HLOOKUP('[1]Course Totals'!B$4,'[1]import success seats course'!$1:$2,2,FALSE),FALSE)/(VLOOKUP($A164,'[1]import graded seats course pivo'!$A:Z,HLOOKUP('[1]Course Totals'!B$4,'[1]import graded seats course pivo'!$1:$2,2,FALSE),FALSE))),"")</f>
        <v/>
      </c>
      <c r="C164" s="14" t="str">
        <f>IFERROR((VLOOKUP($A164,'[1]import success seats course'!$A:Q,HLOOKUP('[1]Course Totals'!C$4,'[1]import success seats course'!$1:$2,2,FALSE),FALSE)/(VLOOKUP($A164,'[1]import graded seats course pivo'!$A:AA,HLOOKUP('[1]Course Totals'!C$4,'[1]import graded seats course pivo'!$1:$2,2,FALSE),FALSE))),"")</f>
        <v/>
      </c>
      <c r="D164" s="14" t="str">
        <f>IFERROR((VLOOKUP($A164,'[1]import success seats course'!$A:R,HLOOKUP('[1]Course Totals'!D$4,'[1]import success seats course'!$1:$2,2,FALSE),FALSE)/(VLOOKUP($A164,'[1]import graded seats course pivo'!$A:AB,HLOOKUP('[1]Course Totals'!D$4,'[1]import graded seats course pivo'!$1:$2,2,FALSE),FALSE))),"")</f>
        <v/>
      </c>
      <c r="E164" s="14" t="str">
        <f>IFERROR((VLOOKUP($A164,'[1]import success seats course'!$A:S,HLOOKUP('[1]Course Totals'!E$4,'[1]import success seats course'!$1:$2,2,FALSE),FALSE)/(VLOOKUP($A164,'[1]import graded seats course pivo'!$A:AC,HLOOKUP('[1]Course Totals'!E$4,'[1]import graded seats course pivo'!$1:$2,2,FALSE),FALSE))),"")</f>
        <v/>
      </c>
      <c r="F164" s="14" t="str">
        <f>IFERROR((VLOOKUP($A164,'[1]import success seats course'!$A:T,HLOOKUP('[1]Course Totals'!F$4,'[1]import success seats course'!$1:$2,2,FALSE),FALSE)/(VLOOKUP($A164,'[1]import graded seats course pivo'!$A:AD,HLOOKUP('[1]Course Totals'!F$4,'[1]import graded seats course pivo'!$1:$2,2,FALSE),FALSE))),"")</f>
        <v/>
      </c>
      <c r="G164" s="14" t="str">
        <f>IFERROR((VLOOKUP($A164,'[1]import success seats course'!$A:U,HLOOKUP('[1]Course Totals'!G$4,'[1]import success seats course'!$1:$2,2,FALSE),FALSE)/(VLOOKUP($A164,'[1]import graded seats course pivo'!$A:AE,HLOOKUP('[1]Course Totals'!G$4,'[1]import graded seats course pivo'!$1:$2,2,FALSE),FALSE))),"")</f>
        <v/>
      </c>
      <c r="H164" s="14" t="str">
        <f>IFERROR((VLOOKUP($A164,'[1]import success seats course'!$A:V,HLOOKUP('[1]Course Totals'!H$4,'[1]import success seats course'!$1:$2,2,FALSE),FALSE)/(VLOOKUP($A164,'[1]import graded seats course pivo'!$A:AF,HLOOKUP('[1]Course Totals'!H$4,'[1]import graded seats course pivo'!$1:$2,2,FALSE),FALSE))),"")</f>
        <v/>
      </c>
      <c r="I164" s="14" t="str">
        <f>IFERROR((VLOOKUP($A164,'[1]import success seats course'!$A:W,HLOOKUP('[1]Course Totals'!I$4,'[1]import success seats course'!$1:$2,2,FALSE),FALSE)/(VLOOKUP($A164,'[1]import graded seats course pivo'!$A:AG,HLOOKUP('[1]Course Totals'!I$4,'[1]import graded seats course pivo'!$1:$2,2,FALSE),FALSE))),"")</f>
        <v/>
      </c>
      <c r="J164" s="14" t="str">
        <f>IFERROR((VLOOKUP($A164,'[1]import success seats course'!$A:X,HLOOKUP('[1]Course Totals'!J$4,'[1]import success seats course'!$1:$2,2,FALSE),FALSE)/(VLOOKUP($A164,'[1]import graded seats course pivo'!$A:AH,HLOOKUP('[1]Course Totals'!J$4,'[1]import graded seats course pivo'!$1:$2,2,FALSE),FALSE))),"")</f>
        <v/>
      </c>
      <c r="K164" s="14" t="str">
        <f>IFERROR((VLOOKUP($A164,'[1]import success seats course'!$A:Y,HLOOKUP('[1]Course Totals'!K$4,'[1]import success seats course'!$1:$2,2,FALSE),FALSE)/(VLOOKUP($A164,'[1]import graded seats course pivo'!$A:AI,HLOOKUP('[1]Course Totals'!K$4,'[1]import graded seats course pivo'!$1:$2,2,FALSE),FALSE))),"")</f>
        <v/>
      </c>
      <c r="L164" s="14" t="str">
        <f>IFERROR((VLOOKUP($A164,'[1]import success seats course'!$A:Z,HLOOKUP('[1]Course Totals'!L$4,'[1]import success seats course'!$1:$2,2,FALSE),FALSE)/(VLOOKUP($A164,'[1]import graded seats course pivo'!$A:AJ,HLOOKUP('[1]Course Totals'!L$4,'[1]import graded seats course pivo'!$1:$2,2,FALSE),FALSE))),"")</f>
        <v/>
      </c>
      <c r="M164" s="14" t="str">
        <f>IFERROR((VLOOKUP($A164,'[1]import success seats course'!$A:AA,HLOOKUP('[1]Course Totals'!M$4,'[1]import success seats course'!$1:$2,2,FALSE),FALSE)/(VLOOKUP($A164,'[1]import graded seats course pivo'!$A:AK,HLOOKUP('[1]Course Totals'!M$4,'[1]import graded seats course pivo'!$1:$2,2,FALSE),FALSE))),"")</f>
        <v/>
      </c>
      <c r="N164" s="14" t="str">
        <f>IFERROR((VLOOKUP($A164,'[1]import success seats course'!$A:AB,HLOOKUP('[1]Course Totals'!N$4,'[1]import success seats course'!$1:$2,2,FALSE),FALSE)/(VLOOKUP($A164,'[1]import graded seats course pivo'!$A:AL,HLOOKUP('[1]Course Totals'!N$4,'[1]import graded seats course pivo'!$1:$2,2,FALSE),FALSE))),"")</f>
        <v/>
      </c>
      <c r="O164" s="14" t="str">
        <f>IFERROR((VLOOKUP($A164,'[1]import success seats course'!$A:AC,HLOOKUP('[1]Course Totals'!O$4,'[1]import success seats course'!$1:$2,2,FALSE),FALSE)/(VLOOKUP($A164,'[1]import graded seats course pivo'!$A:AM,HLOOKUP('[1]Course Totals'!O$4,'[1]import graded seats course pivo'!$1:$2,2,FALSE),FALSE))),"")</f>
        <v/>
      </c>
      <c r="P164" s="14" t="str">
        <f>IFERROR((VLOOKUP($A164,'[1]import success seats course'!$A:AD,HLOOKUP('[1]Course Totals'!P$4,'[1]import success seats course'!$1:$2,2,FALSE),FALSE)/(VLOOKUP($A164,'[1]import graded seats course pivo'!$A:AN,HLOOKUP('[1]Course Totals'!P$4,'[1]import graded seats course pivo'!$1:$2,2,FALSE),FALSE))),"")</f>
        <v/>
      </c>
      <c r="Q164" s="14" t="str">
        <f>IFERROR((VLOOKUP($A164,'[1]import success seats course'!$A:AE,HLOOKUP('[1]Course Totals'!Q$4,'[1]import success seats course'!$1:$2,2,FALSE),FALSE)/(VLOOKUP($A164,'[1]import graded seats course pivo'!$A:AO,HLOOKUP('[1]Course Totals'!Q$4,'[1]import graded seats course pivo'!$1:$2,2,FALSE),FALSE))),"")</f>
        <v/>
      </c>
      <c r="R164" s="14" t="str">
        <f>IFERROR((VLOOKUP($A164,'[1]import success seats course'!$A:AF,HLOOKUP('[1]Course Totals'!R$4,'[1]import success seats course'!$1:$2,2,FALSE),FALSE)/(VLOOKUP($A164,'[1]import graded seats course pivo'!$A:AP,HLOOKUP('[1]Course Totals'!R$4,'[1]import graded seats course pivo'!$1:$2,2,FALSE),FALSE))),"")</f>
        <v/>
      </c>
      <c r="S164" s="14" t="str">
        <f>IFERROR((VLOOKUP($A164,'[1]import success seats course'!$A:AG,HLOOKUP('[1]Course Totals'!S$4,'[1]import success seats course'!$1:$2,2,FALSE),FALSE)/(VLOOKUP($A164,'[1]import graded seats course pivo'!$A:AQ,HLOOKUP('[1]Course Totals'!S$4,'[1]import graded seats course pivo'!$1:$2,2,FALSE),FALSE))),"")</f>
        <v/>
      </c>
      <c r="Z164" s="7"/>
      <c r="AA164" s="7"/>
      <c r="AB164" s="7"/>
      <c r="AC164" s="7"/>
    </row>
    <row r="165" spans="1:29" ht="15.75" hidden="1" customHeight="1" x14ac:dyDescent="0.25">
      <c r="A165" s="12" t="s">
        <v>1025</v>
      </c>
      <c r="B165" s="14" t="str">
        <f>IFERROR((VLOOKUP($A165,'[1]import success seats course'!$A:P,HLOOKUP('[1]Course Totals'!B$4,'[1]import success seats course'!$1:$2,2,FALSE),FALSE)/(VLOOKUP($A165,'[1]import graded seats course pivo'!$A:Z,HLOOKUP('[1]Course Totals'!B$4,'[1]import graded seats course pivo'!$1:$2,2,FALSE),FALSE))),"")</f>
        <v/>
      </c>
      <c r="C165" s="14" t="str">
        <f>IFERROR((VLOOKUP($A165,'[1]import success seats course'!$A:Q,HLOOKUP('[1]Course Totals'!C$4,'[1]import success seats course'!$1:$2,2,FALSE),FALSE)/(VLOOKUP($A165,'[1]import graded seats course pivo'!$A:AA,HLOOKUP('[1]Course Totals'!C$4,'[1]import graded seats course pivo'!$1:$2,2,FALSE),FALSE))),"")</f>
        <v/>
      </c>
      <c r="D165" s="14" t="str">
        <f>IFERROR((VLOOKUP($A165,'[1]import success seats course'!$A:R,HLOOKUP('[1]Course Totals'!D$4,'[1]import success seats course'!$1:$2,2,FALSE),FALSE)/(VLOOKUP($A165,'[1]import graded seats course pivo'!$A:AB,HLOOKUP('[1]Course Totals'!D$4,'[1]import graded seats course pivo'!$1:$2,2,FALSE),FALSE))),"")</f>
        <v/>
      </c>
      <c r="E165" s="14" t="str">
        <f>IFERROR((VLOOKUP($A165,'[1]import success seats course'!$A:S,HLOOKUP('[1]Course Totals'!E$4,'[1]import success seats course'!$1:$2,2,FALSE),FALSE)/(VLOOKUP($A165,'[1]import graded seats course pivo'!$A:AC,HLOOKUP('[1]Course Totals'!E$4,'[1]import graded seats course pivo'!$1:$2,2,FALSE),FALSE))),"")</f>
        <v/>
      </c>
      <c r="F165" s="14" t="str">
        <f>IFERROR((VLOOKUP($A165,'[1]import success seats course'!$A:T,HLOOKUP('[1]Course Totals'!F$4,'[1]import success seats course'!$1:$2,2,FALSE),FALSE)/(VLOOKUP($A165,'[1]import graded seats course pivo'!$A:AD,HLOOKUP('[1]Course Totals'!F$4,'[1]import graded seats course pivo'!$1:$2,2,FALSE),FALSE))),"")</f>
        <v/>
      </c>
      <c r="G165" s="14" t="str">
        <f>IFERROR((VLOOKUP($A165,'[1]import success seats course'!$A:U,HLOOKUP('[1]Course Totals'!G$4,'[1]import success seats course'!$1:$2,2,FALSE),FALSE)/(VLOOKUP($A165,'[1]import graded seats course pivo'!$A:AE,HLOOKUP('[1]Course Totals'!G$4,'[1]import graded seats course pivo'!$1:$2,2,FALSE),FALSE))),"")</f>
        <v/>
      </c>
      <c r="H165" s="14" t="str">
        <f>IFERROR((VLOOKUP($A165,'[1]import success seats course'!$A:V,HLOOKUP('[1]Course Totals'!H$4,'[1]import success seats course'!$1:$2,2,FALSE),FALSE)/(VLOOKUP($A165,'[1]import graded seats course pivo'!$A:AF,HLOOKUP('[1]Course Totals'!H$4,'[1]import graded seats course pivo'!$1:$2,2,FALSE),FALSE))),"")</f>
        <v/>
      </c>
      <c r="I165" s="14" t="str">
        <f>IFERROR((VLOOKUP($A165,'[1]import success seats course'!$A:W,HLOOKUP('[1]Course Totals'!I$4,'[1]import success seats course'!$1:$2,2,FALSE),FALSE)/(VLOOKUP($A165,'[1]import graded seats course pivo'!$A:AG,HLOOKUP('[1]Course Totals'!I$4,'[1]import graded seats course pivo'!$1:$2,2,FALSE),FALSE))),"")</f>
        <v/>
      </c>
      <c r="J165" s="14" t="str">
        <f>IFERROR((VLOOKUP($A165,'[1]import success seats course'!$A:X,HLOOKUP('[1]Course Totals'!J$4,'[1]import success seats course'!$1:$2,2,FALSE),FALSE)/(VLOOKUP($A165,'[1]import graded seats course pivo'!$A:AH,HLOOKUP('[1]Course Totals'!J$4,'[1]import graded seats course pivo'!$1:$2,2,FALSE),FALSE))),"")</f>
        <v/>
      </c>
      <c r="K165" s="14" t="str">
        <f>IFERROR((VLOOKUP($A165,'[1]import success seats course'!$A:Y,HLOOKUP('[1]Course Totals'!K$4,'[1]import success seats course'!$1:$2,2,FALSE),FALSE)/(VLOOKUP($A165,'[1]import graded seats course pivo'!$A:AI,HLOOKUP('[1]Course Totals'!K$4,'[1]import graded seats course pivo'!$1:$2,2,FALSE),FALSE))),"")</f>
        <v/>
      </c>
      <c r="L165" s="14" t="str">
        <f>IFERROR((VLOOKUP($A165,'[1]import success seats course'!$A:Z,HLOOKUP('[1]Course Totals'!L$4,'[1]import success seats course'!$1:$2,2,FALSE),FALSE)/(VLOOKUP($A165,'[1]import graded seats course pivo'!$A:AJ,HLOOKUP('[1]Course Totals'!L$4,'[1]import graded seats course pivo'!$1:$2,2,FALSE),FALSE))),"")</f>
        <v/>
      </c>
      <c r="M165" s="14" t="str">
        <f>IFERROR((VLOOKUP($A165,'[1]import success seats course'!$A:AA,HLOOKUP('[1]Course Totals'!M$4,'[1]import success seats course'!$1:$2,2,FALSE),FALSE)/(VLOOKUP($A165,'[1]import graded seats course pivo'!$A:AK,HLOOKUP('[1]Course Totals'!M$4,'[1]import graded seats course pivo'!$1:$2,2,FALSE),FALSE))),"")</f>
        <v/>
      </c>
      <c r="N165" s="14" t="str">
        <f>IFERROR((VLOOKUP($A165,'[1]import success seats course'!$A:AB,HLOOKUP('[1]Course Totals'!N$4,'[1]import success seats course'!$1:$2,2,FALSE),FALSE)/(VLOOKUP($A165,'[1]import graded seats course pivo'!$A:AL,HLOOKUP('[1]Course Totals'!N$4,'[1]import graded seats course pivo'!$1:$2,2,FALSE),FALSE))),"")</f>
        <v/>
      </c>
      <c r="O165" s="14" t="str">
        <f>IFERROR((VLOOKUP($A165,'[1]import success seats course'!$A:AC,HLOOKUP('[1]Course Totals'!O$4,'[1]import success seats course'!$1:$2,2,FALSE),FALSE)/(VLOOKUP($A165,'[1]import graded seats course pivo'!$A:AM,HLOOKUP('[1]Course Totals'!O$4,'[1]import graded seats course pivo'!$1:$2,2,FALSE),FALSE))),"")</f>
        <v/>
      </c>
      <c r="P165" s="14" t="str">
        <f>IFERROR((VLOOKUP($A165,'[1]import success seats course'!$A:AD,HLOOKUP('[1]Course Totals'!P$4,'[1]import success seats course'!$1:$2,2,FALSE),FALSE)/(VLOOKUP($A165,'[1]import graded seats course pivo'!$A:AN,HLOOKUP('[1]Course Totals'!P$4,'[1]import graded seats course pivo'!$1:$2,2,FALSE),FALSE))),"")</f>
        <v/>
      </c>
      <c r="Q165" s="14" t="str">
        <f>IFERROR((VLOOKUP($A165,'[1]import success seats course'!$A:AE,HLOOKUP('[1]Course Totals'!Q$4,'[1]import success seats course'!$1:$2,2,FALSE),FALSE)/(VLOOKUP($A165,'[1]import graded seats course pivo'!$A:AO,HLOOKUP('[1]Course Totals'!Q$4,'[1]import graded seats course pivo'!$1:$2,2,FALSE),FALSE))),"")</f>
        <v/>
      </c>
      <c r="R165" s="14" t="str">
        <f>IFERROR((VLOOKUP($A165,'[1]import success seats course'!$A:AF,HLOOKUP('[1]Course Totals'!R$4,'[1]import success seats course'!$1:$2,2,FALSE),FALSE)/(VLOOKUP($A165,'[1]import graded seats course pivo'!$A:AP,HLOOKUP('[1]Course Totals'!R$4,'[1]import graded seats course pivo'!$1:$2,2,FALSE),FALSE))),"")</f>
        <v/>
      </c>
      <c r="S165" s="14" t="str">
        <f>IFERROR((VLOOKUP($A165,'[1]import success seats course'!$A:AG,HLOOKUP('[1]Course Totals'!S$4,'[1]import success seats course'!$1:$2,2,FALSE),FALSE)/(VLOOKUP($A165,'[1]import graded seats course pivo'!$A:AQ,HLOOKUP('[1]Course Totals'!S$4,'[1]import graded seats course pivo'!$1:$2,2,FALSE),FALSE))),"")</f>
        <v/>
      </c>
      <c r="Z165" s="7"/>
      <c r="AA165" s="7"/>
      <c r="AB165" s="7"/>
      <c r="AC165" s="7"/>
    </row>
    <row r="166" spans="1:29" ht="15.75" hidden="1" customHeight="1" x14ac:dyDescent="0.25">
      <c r="A166" s="12" t="s">
        <v>773</v>
      </c>
      <c r="B166" s="14" t="str">
        <f>IFERROR((VLOOKUP($A166,'[1]import success seats course'!$A:P,HLOOKUP('[1]Course Totals'!B$4,'[1]import success seats course'!$1:$2,2,FALSE),FALSE)/(VLOOKUP($A166,'[1]import graded seats course pivo'!$A:Z,HLOOKUP('[1]Course Totals'!B$4,'[1]import graded seats course pivo'!$1:$2,2,FALSE),FALSE))),"")</f>
        <v/>
      </c>
      <c r="C166" s="14" t="str">
        <f>IFERROR((VLOOKUP($A166,'[1]import success seats course'!$A:Q,HLOOKUP('[1]Course Totals'!C$4,'[1]import success seats course'!$1:$2,2,FALSE),FALSE)/(VLOOKUP($A166,'[1]import graded seats course pivo'!$A:AA,HLOOKUP('[1]Course Totals'!C$4,'[1]import graded seats course pivo'!$1:$2,2,FALSE),FALSE))),"")</f>
        <v/>
      </c>
      <c r="D166" s="14" t="str">
        <f>IFERROR((VLOOKUP($A166,'[1]import success seats course'!$A:R,HLOOKUP('[1]Course Totals'!D$4,'[1]import success seats course'!$1:$2,2,FALSE),FALSE)/(VLOOKUP($A166,'[1]import graded seats course pivo'!$A:AB,HLOOKUP('[1]Course Totals'!D$4,'[1]import graded seats course pivo'!$1:$2,2,FALSE),FALSE))),"")</f>
        <v/>
      </c>
      <c r="E166" s="14" t="str">
        <f>IFERROR((VLOOKUP($A166,'[1]import success seats course'!$A:S,HLOOKUP('[1]Course Totals'!E$4,'[1]import success seats course'!$1:$2,2,FALSE),FALSE)/(VLOOKUP($A166,'[1]import graded seats course pivo'!$A:AC,HLOOKUP('[1]Course Totals'!E$4,'[1]import graded seats course pivo'!$1:$2,2,FALSE),FALSE))),"")</f>
        <v/>
      </c>
      <c r="F166" s="14" t="str">
        <f>IFERROR((VLOOKUP($A166,'[1]import success seats course'!$A:T,HLOOKUP('[1]Course Totals'!F$4,'[1]import success seats course'!$1:$2,2,FALSE),FALSE)/(VLOOKUP($A166,'[1]import graded seats course pivo'!$A:AD,HLOOKUP('[1]Course Totals'!F$4,'[1]import graded seats course pivo'!$1:$2,2,FALSE),FALSE))),"")</f>
        <v/>
      </c>
      <c r="G166" s="14" t="str">
        <f>IFERROR((VLOOKUP($A166,'[1]import success seats course'!$A:U,HLOOKUP('[1]Course Totals'!G$4,'[1]import success seats course'!$1:$2,2,FALSE),FALSE)/(VLOOKUP($A166,'[1]import graded seats course pivo'!$A:AE,HLOOKUP('[1]Course Totals'!G$4,'[1]import graded seats course pivo'!$1:$2,2,FALSE),FALSE))),"")</f>
        <v/>
      </c>
      <c r="H166" s="14" t="str">
        <f>IFERROR((VLOOKUP($A166,'[1]import success seats course'!$A:V,HLOOKUP('[1]Course Totals'!H$4,'[1]import success seats course'!$1:$2,2,FALSE),FALSE)/(VLOOKUP($A166,'[1]import graded seats course pivo'!$A:AF,HLOOKUP('[1]Course Totals'!H$4,'[1]import graded seats course pivo'!$1:$2,2,FALSE),FALSE))),"")</f>
        <v/>
      </c>
      <c r="I166" s="14" t="str">
        <f>IFERROR((VLOOKUP($A166,'[1]import success seats course'!$A:W,HLOOKUP('[1]Course Totals'!I$4,'[1]import success seats course'!$1:$2,2,FALSE),FALSE)/(VLOOKUP($A166,'[1]import graded seats course pivo'!$A:AG,HLOOKUP('[1]Course Totals'!I$4,'[1]import graded seats course pivo'!$1:$2,2,FALSE),FALSE))),"")</f>
        <v/>
      </c>
      <c r="J166" s="14" t="str">
        <f>IFERROR((VLOOKUP($A166,'[1]import success seats course'!$A:X,HLOOKUP('[1]Course Totals'!J$4,'[1]import success seats course'!$1:$2,2,FALSE),FALSE)/(VLOOKUP($A166,'[1]import graded seats course pivo'!$A:AH,HLOOKUP('[1]Course Totals'!J$4,'[1]import graded seats course pivo'!$1:$2,2,FALSE),FALSE))),"")</f>
        <v/>
      </c>
      <c r="K166" s="14" t="str">
        <f>IFERROR((VLOOKUP($A166,'[1]import success seats course'!$A:Y,HLOOKUP('[1]Course Totals'!K$4,'[1]import success seats course'!$1:$2,2,FALSE),FALSE)/(VLOOKUP($A166,'[1]import graded seats course pivo'!$A:AI,HLOOKUP('[1]Course Totals'!K$4,'[1]import graded seats course pivo'!$1:$2,2,FALSE),FALSE))),"")</f>
        <v/>
      </c>
      <c r="L166" s="14" t="str">
        <f>IFERROR((VLOOKUP($A166,'[1]import success seats course'!$A:Z,HLOOKUP('[1]Course Totals'!L$4,'[1]import success seats course'!$1:$2,2,FALSE),FALSE)/(VLOOKUP($A166,'[1]import graded seats course pivo'!$A:AJ,HLOOKUP('[1]Course Totals'!L$4,'[1]import graded seats course pivo'!$1:$2,2,FALSE),FALSE))),"")</f>
        <v/>
      </c>
      <c r="M166" s="14" t="str">
        <f>IFERROR((VLOOKUP($A166,'[1]import success seats course'!$A:AA,HLOOKUP('[1]Course Totals'!M$4,'[1]import success seats course'!$1:$2,2,FALSE),FALSE)/(VLOOKUP($A166,'[1]import graded seats course pivo'!$A:AK,HLOOKUP('[1]Course Totals'!M$4,'[1]import graded seats course pivo'!$1:$2,2,FALSE),FALSE))),"")</f>
        <v/>
      </c>
      <c r="N166" s="14" t="str">
        <f>IFERROR((VLOOKUP($A166,'[1]import success seats course'!$A:AB,HLOOKUP('[1]Course Totals'!N$4,'[1]import success seats course'!$1:$2,2,FALSE),FALSE)/(VLOOKUP($A166,'[1]import graded seats course pivo'!$A:AL,HLOOKUP('[1]Course Totals'!N$4,'[1]import graded seats course pivo'!$1:$2,2,FALSE),FALSE))),"")</f>
        <v/>
      </c>
      <c r="O166" s="14" t="str">
        <f>IFERROR((VLOOKUP($A166,'[1]import success seats course'!$A:AC,HLOOKUP('[1]Course Totals'!O$4,'[1]import success seats course'!$1:$2,2,FALSE),FALSE)/(VLOOKUP($A166,'[1]import graded seats course pivo'!$A:AM,HLOOKUP('[1]Course Totals'!O$4,'[1]import graded seats course pivo'!$1:$2,2,FALSE),FALSE))),"")</f>
        <v/>
      </c>
      <c r="P166" s="14" t="str">
        <f>IFERROR((VLOOKUP($A166,'[1]import success seats course'!$A:AD,HLOOKUP('[1]Course Totals'!P$4,'[1]import success seats course'!$1:$2,2,FALSE),FALSE)/(VLOOKUP($A166,'[1]import graded seats course pivo'!$A:AN,HLOOKUP('[1]Course Totals'!P$4,'[1]import graded seats course pivo'!$1:$2,2,FALSE),FALSE))),"")</f>
        <v/>
      </c>
      <c r="Q166" s="14" t="str">
        <f>IFERROR((VLOOKUP($A166,'[1]import success seats course'!$A:AE,HLOOKUP('[1]Course Totals'!Q$4,'[1]import success seats course'!$1:$2,2,FALSE),FALSE)/(VLOOKUP($A166,'[1]import graded seats course pivo'!$A:AO,HLOOKUP('[1]Course Totals'!Q$4,'[1]import graded seats course pivo'!$1:$2,2,FALSE),FALSE))),"")</f>
        <v/>
      </c>
      <c r="R166" s="14" t="str">
        <f>IFERROR((VLOOKUP($A166,'[1]import success seats course'!$A:AF,HLOOKUP('[1]Course Totals'!R$4,'[1]import success seats course'!$1:$2,2,FALSE),FALSE)/(VLOOKUP($A166,'[1]import graded seats course pivo'!$A:AP,HLOOKUP('[1]Course Totals'!R$4,'[1]import graded seats course pivo'!$1:$2,2,FALSE),FALSE))),"")</f>
        <v/>
      </c>
      <c r="S166" s="14" t="str">
        <f>IFERROR((VLOOKUP($A166,'[1]import success seats course'!$A:AG,HLOOKUP('[1]Course Totals'!S$4,'[1]import success seats course'!$1:$2,2,FALSE),FALSE)/(VLOOKUP($A166,'[1]import graded seats course pivo'!$A:AQ,HLOOKUP('[1]Course Totals'!S$4,'[1]import graded seats course pivo'!$1:$2,2,FALSE),FALSE))),"")</f>
        <v/>
      </c>
      <c r="Z166" s="7"/>
      <c r="AA166" s="7"/>
      <c r="AB166" s="7"/>
      <c r="AC166" s="7"/>
    </row>
    <row r="167" spans="1:29" ht="15.75" hidden="1" customHeight="1" x14ac:dyDescent="0.25">
      <c r="A167" s="12" t="s">
        <v>98</v>
      </c>
      <c r="B167" s="14" t="str">
        <f>IFERROR((VLOOKUP($A167,'[1]import success seats course'!$A:P,HLOOKUP('[1]Course Totals'!B$4,'[1]import success seats course'!$1:$2,2,FALSE),FALSE)/(VLOOKUP($A167,'[1]import graded seats course pivo'!$A:Z,HLOOKUP('[1]Course Totals'!B$4,'[1]import graded seats course pivo'!$1:$2,2,FALSE),FALSE))),"")</f>
        <v/>
      </c>
      <c r="C167" s="14" t="str">
        <f>IFERROR((VLOOKUP($A167,'[1]import success seats course'!$A:Q,HLOOKUP('[1]Course Totals'!C$4,'[1]import success seats course'!$1:$2,2,FALSE),FALSE)/(VLOOKUP($A167,'[1]import graded seats course pivo'!$A:AA,HLOOKUP('[1]Course Totals'!C$4,'[1]import graded seats course pivo'!$1:$2,2,FALSE),FALSE))),"")</f>
        <v/>
      </c>
      <c r="D167" s="14" t="str">
        <f>IFERROR((VLOOKUP($A167,'[1]import success seats course'!$A:R,HLOOKUP('[1]Course Totals'!D$4,'[1]import success seats course'!$1:$2,2,FALSE),FALSE)/(VLOOKUP($A167,'[1]import graded seats course pivo'!$A:AB,HLOOKUP('[1]Course Totals'!D$4,'[1]import graded seats course pivo'!$1:$2,2,FALSE),FALSE))),"")</f>
        <v/>
      </c>
      <c r="E167" s="14" t="str">
        <f>IFERROR((VLOOKUP($A167,'[1]import success seats course'!$A:S,HLOOKUP('[1]Course Totals'!E$4,'[1]import success seats course'!$1:$2,2,FALSE),FALSE)/(VLOOKUP($A167,'[1]import graded seats course pivo'!$A:AC,HLOOKUP('[1]Course Totals'!E$4,'[1]import graded seats course pivo'!$1:$2,2,FALSE),FALSE))),"")</f>
        <v/>
      </c>
      <c r="F167" s="14" t="str">
        <f>IFERROR((VLOOKUP($A167,'[1]import success seats course'!$A:T,HLOOKUP('[1]Course Totals'!F$4,'[1]import success seats course'!$1:$2,2,FALSE),FALSE)/(VLOOKUP($A167,'[1]import graded seats course pivo'!$A:AD,HLOOKUP('[1]Course Totals'!F$4,'[1]import graded seats course pivo'!$1:$2,2,FALSE),FALSE))),"")</f>
        <v/>
      </c>
      <c r="G167" s="14" t="str">
        <f>IFERROR((VLOOKUP($A167,'[1]import success seats course'!$A:U,HLOOKUP('[1]Course Totals'!G$4,'[1]import success seats course'!$1:$2,2,FALSE),FALSE)/(VLOOKUP($A167,'[1]import graded seats course pivo'!$A:AE,HLOOKUP('[1]Course Totals'!G$4,'[1]import graded seats course pivo'!$1:$2,2,FALSE),FALSE))),"")</f>
        <v/>
      </c>
      <c r="H167" s="14" t="str">
        <f>IFERROR((VLOOKUP($A167,'[1]import success seats course'!$A:V,HLOOKUP('[1]Course Totals'!H$4,'[1]import success seats course'!$1:$2,2,FALSE),FALSE)/(VLOOKUP($A167,'[1]import graded seats course pivo'!$A:AF,HLOOKUP('[1]Course Totals'!H$4,'[1]import graded seats course pivo'!$1:$2,2,FALSE),FALSE))),"")</f>
        <v/>
      </c>
      <c r="I167" s="14" t="str">
        <f>IFERROR((VLOOKUP($A167,'[1]import success seats course'!$A:W,HLOOKUP('[1]Course Totals'!I$4,'[1]import success seats course'!$1:$2,2,FALSE),FALSE)/(VLOOKUP($A167,'[1]import graded seats course pivo'!$A:AG,HLOOKUP('[1]Course Totals'!I$4,'[1]import graded seats course pivo'!$1:$2,2,FALSE),FALSE))),"")</f>
        <v/>
      </c>
      <c r="J167" s="14" t="str">
        <f>IFERROR((VLOOKUP($A167,'[1]import success seats course'!$A:X,HLOOKUP('[1]Course Totals'!J$4,'[1]import success seats course'!$1:$2,2,FALSE),FALSE)/(VLOOKUP($A167,'[1]import graded seats course pivo'!$A:AH,HLOOKUP('[1]Course Totals'!J$4,'[1]import graded seats course pivo'!$1:$2,2,FALSE),FALSE))),"")</f>
        <v/>
      </c>
      <c r="K167" s="14" t="str">
        <f>IFERROR((VLOOKUP($A167,'[1]import success seats course'!$A:Y,HLOOKUP('[1]Course Totals'!K$4,'[1]import success seats course'!$1:$2,2,FALSE),FALSE)/(VLOOKUP($A167,'[1]import graded seats course pivo'!$A:AI,HLOOKUP('[1]Course Totals'!K$4,'[1]import graded seats course pivo'!$1:$2,2,FALSE),FALSE))),"")</f>
        <v/>
      </c>
      <c r="L167" s="14" t="str">
        <f>IFERROR((VLOOKUP($A167,'[1]import success seats course'!$A:Z,HLOOKUP('[1]Course Totals'!L$4,'[1]import success seats course'!$1:$2,2,FALSE),FALSE)/(VLOOKUP($A167,'[1]import graded seats course pivo'!$A:AJ,HLOOKUP('[1]Course Totals'!L$4,'[1]import graded seats course pivo'!$1:$2,2,FALSE),FALSE))),"")</f>
        <v/>
      </c>
      <c r="M167" s="14" t="str">
        <f>IFERROR((VLOOKUP($A167,'[1]import success seats course'!$A:AA,HLOOKUP('[1]Course Totals'!M$4,'[1]import success seats course'!$1:$2,2,FALSE),FALSE)/(VLOOKUP($A167,'[1]import graded seats course pivo'!$A:AK,HLOOKUP('[1]Course Totals'!M$4,'[1]import graded seats course pivo'!$1:$2,2,FALSE),FALSE))),"")</f>
        <v/>
      </c>
      <c r="N167" s="14" t="str">
        <f>IFERROR((VLOOKUP($A167,'[1]import success seats course'!$A:AB,HLOOKUP('[1]Course Totals'!N$4,'[1]import success seats course'!$1:$2,2,FALSE),FALSE)/(VLOOKUP($A167,'[1]import graded seats course pivo'!$A:AL,HLOOKUP('[1]Course Totals'!N$4,'[1]import graded seats course pivo'!$1:$2,2,FALSE),FALSE))),"")</f>
        <v/>
      </c>
      <c r="O167" s="14" t="str">
        <f>IFERROR((VLOOKUP($A167,'[1]import success seats course'!$A:AC,HLOOKUP('[1]Course Totals'!O$4,'[1]import success seats course'!$1:$2,2,FALSE),FALSE)/(VLOOKUP($A167,'[1]import graded seats course pivo'!$A:AM,HLOOKUP('[1]Course Totals'!O$4,'[1]import graded seats course pivo'!$1:$2,2,FALSE),FALSE))),"")</f>
        <v/>
      </c>
      <c r="P167" s="14" t="str">
        <f>IFERROR((VLOOKUP($A167,'[1]import success seats course'!$A:AD,HLOOKUP('[1]Course Totals'!P$4,'[1]import success seats course'!$1:$2,2,FALSE),FALSE)/(VLOOKUP($A167,'[1]import graded seats course pivo'!$A:AN,HLOOKUP('[1]Course Totals'!P$4,'[1]import graded seats course pivo'!$1:$2,2,FALSE),FALSE))),"")</f>
        <v/>
      </c>
      <c r="Q167" s="14" t="str">
        <f>IFERROR((VLOOKUP($A167,'[1]import success seats course'!$A:AE,HLOOKUP('[1]Course Totals'!Q$4,'[1]import success seats course'!$1:$2,2,FALSE),FALSE)/(VLOOKUP($A167,'[1]import graded seats course pivo'!$A:AO,HLOOKUP('[1]Course Totals'!Q$4,'[1]import graded seats course pivo'!$1:$2,2,FALSE),FALSE))),"")</f>
        <v/>
      </c>
      <c r="R167" s="14" t="str">
        <f>IFERROR((VLOOKUP($A167,'[1]import success seats course'!$A:AF,HLOOKUP('[1]Course Totals'!R$4,'[1]import success seats course'!$1:$2,2,FALSE),FALSE)/(VLOOKUP($A167,'[1]import graded seats course pivo'!$A:AP,HLOOKUP('[1]Course Totals'!R$4,'[1]import graded seats course pivo'!$1:$2,2,FALSE),FALSE))),"")</f>
        <v/>
      </c>
      <c r="S167" s="14" t="str">
        <f>IFERROR((VLOOKUP($A167,'[1]import success seats course'!$A:AG,HLOOKUP('[1]Course Totals'!S$4,'[1]import success seats course'!$1:$2,2,FALSE),FALSE)/(VLOOKUP($A167,'[1]import graded seats course pivo'!$A:AQ,HLOOKUP('[1]Course Totals'!S$4,'[1]import graded seats course pivo'!$1:$2,2,FALSE),FALSE))),"")</f>
        <v/>
      </c>
      <c r="Z167" s="7"/>
      <c r="AA167" s="7"/>
      <c r="AB167" s="7"/>
      <c r="AC167" s="7"/>
    </row>
    <row r="168" spans="1:29" ht="15.75" hidden="1" customHeight="1" x14ac:dyDescent="0.25">
      <c r="A168" s="12" t="s">
        <v>99</v>
      </c>
      <c r="B168" s="14" t="str">
        <f>IFERROR((VLOOKUP($A168,'[1]import success seats course'!$A:P,HLOOKUP('[1]Course Totals'!B$4,'[1]import success seats course'!$1:$2,2,FALSE),FALSE)/(VLOOKUP($A168,'[1]import graded seats course pivo'!$A:Z,HLOOKUP('[1]Course Totals'!B$4,'[1]import graded seats course pivo'!$1:$2,2,FALSE),FALSE))),"")</f>
        <v/>
      </c>
      <c r="C168" s="14" t="str">
        <f>IFERROR((VLOOKUP($A168,'[1]import success seats course'!$A:Q,HLOOKUP('[1]Course Totals'!C$4,'[1]import success seats course'!$1:$2,2,FALSE),FALSE)/(VLOOKUP($A168,'[1]import graded seats course pivo'!$A:AA,HLOOKUP('[1]Course Totals'!C$4,'[1]import graded seats course pivo'!$1:$2,2,FALSE),FALSE))),"")</f>
        <v/>
      </c>
      <c r="D168" s="14" t="str">
        <f>IFERROR((VLOOKUP($A168,'[1]import success seats course'!$A:R,HLOOKUP('[1]Course Totals'!D$4,'[1]import success seats course'!$1:$2,2,FALSE),FALSE)/(VLOOKUP($A168,'[1]import graded seats course pivo'!$A:AB,HLOOKUP('[1]Course Totals'!D$4,'[1]import graded seats course pivo'!$1:$2,2,FALSE),FALSE))),"")</f>
        <v/>
      </c>
      <c r="E168" s="14" t="str">
        <f>IFERROR((VLOOKUP($A168,'[1]import success seats course'!$A:S,HLOOKUP('[1]Course Totals'!E$4,'[1]import success seats course'!$1:$2,2,FALSE),FALSE)/(VLOOKUP($A168,'[1]import graded seats course pivo'!$A:AC,HLOOKUP('[1]Course Totals'!E$4,'[1]import graded seats course pivo'!$1:$2,2,FALSE),FALSE))),"")</f>
        <v/>
      </c>
      <c r="F168" s="14" t="str">
        <f>IFERROR((VLOOKUP($A168,'[1]import success seats course'!$A:T,HLOOKUP('[1]Course Totals'!F$4,'[1]import success seats course'!$1:$2,2,FALSE),FALSE)/(VLOOKUP($A168,'[1]import graded seats course pivo'!$A:AD,HLOOKUP('[1]Course Totals'!F$4,'[1]import graded seats course pivo'!$1:$2,2,FALSE),FALSE))),"")</f>
        <v/>
      </c>
      <c r="G168" s="14" t="str">
        <f>IFERROR((VLOOKUP($A168,'[1]import success seats course'!$A:U,HLOOKUP('[1]Course Totals'!G$4,'[1]import success seats course'!$1:$2,2,FALSE),FALSE)/(VLOOKUP($A168,'[1]import graded seats course pivo'!$A:AE,HLOOKUP('[1]Course Totals'!G$4,'[1]import graded seats course pivo'!$1:$2,2,FALSE),FALSE))),"")</f>
        <v/>
      </c>
      <c r="H168" s="14" t="str">
        <f>IFERROR((VLOOKUP($A168,'[1]import success seats course'!$A:V,HLOOKUP('[1]Course Totals'!H$4,'[1]import success seats course'!$1:$2,2,FALSE),FALSE)/(VLOOKUP($A168,'[1]import graded seats course pivo'!$A:AF,HLOOKUP('[1]Course Totals'!H$4,'[1]import graded seats course pivo'!$1:$2,2,FALSE),FALSE))),"")</f>
        <v/>
      </c>
      <c r="I168" s="14" t="str">
        <f>IFERROR((VLOOKUP($A168,'[1]import success seats course'!$A:W,HLOOKUP('[1]Course Totals'!I$4,'[1]import success seats course'!$1:$2,2,FALSE),FALSE)/(VLOOKUP($A168,'[1]import graded seats course pivo'!$A:AG,HLOOKUP('[1]Course Totals'!I$4,'[1]import graded seats course pivo'!$1:$2,2,FALSE),FALSE))),"")</f>
        <v/>
      </c>
      <c r="J168" s="14" t="str">
        <f>IFERROR((VLOOKUP($A168,'[1]import success seats course'!$A:X,HLOOKUP('[1]Course Totals'!J$4,'[1]import success seats course'!$1:$2,2,FALSE),FALSE)/(VLOOKUP($A168,'[1]import graded seats course pivo'!$A:AH,HLOOKUP('[1]Course Totals'!J$4,'[1]import graded seats course pivo'!$1:$2,2,FALSE),FALSE))),"")</f>
        <v/>
      </c>
      <c r="K168" s="14" t="str">
        <f>IFERROR((VLOOKUP($A168,'[1]import success seats course'!$A:Y,HLOOKUP('[1]Course Totals'!K$4,'[1]import success seats course'!$1:$2,2,FALSE),FALSE)/(VLOOKUP($A168,'[1]import graded seats course pivo'!$A:AI,HLOOKUP('[1]Course Totals'!K$4,'[1]import graded seats course pivo'!$1:$2,2,FALSE),FALSE))),"")</f>
        <v/>
      </c>
      <c r="L168" s="14" t="str">
        <f>IFERROR((VLOOKUP($A168,'[1]import success seats course'!$A:Z,HLOOKUP('[1]Course Totals'!L$4,'[1]import success seats course'!$1:$2,2,FALSE),FALSE)/(VLOOKUP($A168,'[1]import graded seats course pivo'!$A:AJ,HLOOKUP('[1]Course Totals'!L$4,'[1]import graded seats course pivo'!$1:$2,2,FALSE),FALSE))),"")</f>
        <v/>
      </c>
      <c r="M168" s="14" t="str">
        <f>IFERROR((VLOOKUP($A168,'[1]import success seats course'!$A:AA,HLOOKUP('[1]Course Totals'!M$4,'[1]import success seats course'!$1:$2,2,FALSE),FALSE)/(VLOOKUP($A168,'[1]import graded seats course pivo'!$A:AK,HLOOKUP('[1]Course Totals'!M$4,'[1]import graded seats course pivo'!$1:$2,2,FALSE),FALSE))),"")</f>
        <v/>
      </c>
      <c r="N168" s="14" t="str">
        <f>IFERROR((VLOOKUP($A168,'[1]import success seats course'!$A:AB,HLOOKUP('[1]Course Totals'!N$4,'[1]import success seats course'!$1:$2,2,FALSE),FALSE)/(VLOOKUP($A168,'[1]import graded seats course pivo'!$A:AL,HLOOKUP('[1]Course Totals'!N$4,'[1]import graded seats course pivo'!$1:$2,2,FALSE),FALSE))),"")</f>
        <v/>
      </c>
      <c r="O168" s="14" t="str">
        <f>IFERROR((VLOOKUP($A168,'[1]import success seats course'!$A:AC,HLOOKUP('[1]Course Totals'!O$4,'[1]import success seats course'!$1:$2,2,FALSE),FALSE)/(VLOOKUP($A168,'[1]import graded seats course pivo'!$A:AM,HLOOKUP('[1]Course Totals'!O$4,'[1]import graded seats course pivo'!$1:$2,2,FALSE),FALSE))),"")</f>
        <v/>
      </c>
      <c r="P168" s="14" t="str">
        <f>IFERROR((VLOOKUP($A168,'[1]import success seats course'!$A:AD,HLOOKUP('[1]Course Totals'!P$4,'[1]import success seats course'!$1:$2,2,FALSE),FALSE)/(VLOOKUP($A168,'[1]import graded seats course pivo'!$A:AN,HLOOKUP('[1]Course Totals'!P$4,'[1]import graded seats course pivo'!$1:$2,2,FALSE),FALSE))),"")</f>
        <v/>
      </c>
      <c r="Q168" s="14" t="str">
        <f>IFERROR((VLOOKUP($A168,'[1]import success seats course'!$A:AE,HLOOKUP('[1]Course Totals'!Q$4,'[1]import success seats course'!$1:$2,2,FALSE),FALSE)/(VLOOKUP($A168,'[1]import graded seats course pivo'!$A:AO,HLOOKUP('[1]Course Totals'!Q$4,'[1]import graded seats course pivo'!$1:$2,2,FALSE),FALSE))),"")</f>
        <v/>
      </c>
      <c r="R168" s="14" t="str">
        <f>IFERROR((VLOOKUP($A168,'[1]import success seats course'!$A:AF,HLOOKUP('[1]Course Totals'!R$4,'[1]import success seats course'!$1:$2,2,FALSE),FALSE)/(VLOOKUP($A168,'[1]import graded seats course pivo'!$A:AP,HLOOKUP('[1]Course Totals'!R$4,'[1]import graded seats course pivo'!$1:$2,2,FALSE),FALSE))),"")</f>
        <v/>
      </c>
      <c r="S168" s="14" t="str">
        <f>IFERROR((VLOOKUP($A168,'[1]import success seats course'!$A:AG,HLOOKUP('[1]Course Totals'!S$4,'[1]import success seats course'!$1:$2,2,FALSE),FALSE)/(VLOOKUP($A168,'[1]import graded seats course pivo'!$A:AQ,HLOOKUP('[1]Course Totals'!S$4,'[1]import graded seats course pivo'!$1:$2,2,FALSE),FALSE))),"")</f>
        <v/>
      </c>
      <c r="Z168" s="7"/>
      <c r="AA168" s="7"/>
      <c r="AB168" s="7"/>
      <c r="AC168" s="7"/>
    </row>
    <row r="169" spans="1:29" ht="15.75" hidden="1" customHeight="1" x14ac:dyDescent="0.25">
      <c r="A169" s="12" t="s">
        <v>100</v>
      </c>
      <c r="B169" s="14" t="str">
        <f>IFERROR((VLOOKUP($A169,'[1]import success seats course'!$A:P,HLOOKUP('[1]Course Totals'!B$4,'[1]import success seats course'!$1:$2,2,FALSE),FALSE)/(VLOOKUP($A169,'[1]import graded seats course pivo'!$A:Z,HLOOKUP('[1]Course Totals'!B$4,'[1]import graded seats course pivo'!$1:$2,2,FALSE),FALSE))),"")</f>
        <v/>
      </c>
      <c r="C169" s="14" t="str">
        <f>IFERROR((VLOOKUP($A169,'[1]import success seats course'!$A:Q,HLOOKUP('[1]Course Totals'!C$4,'[1]import success seats course'!$1:$2,2,FALSE),FALSE)/(VLOOKUP($A169,'[1]import graded seats course pivo'!$A:AA,HLOOKUP('[1]Course Totals'!C$4,'[1]import graded seats course pivo'!$1:$2,2,FALSE),FALSE))),"")</f>
        <v/>
      </c>
      <c r="D169" s="14" t="str">
        <f>IFERROR((VLOOKUP($A169,'[1]import success seats course'!$A:R,HLOOKUP('[1]Course Totals'!D$4,'[1]import success seats course'!$1:$2,2,FALSE),FALSE)/(VLOOKUP($A169,'[1]import graded seats course pivo'!$A:AB,HLOOKUP('[1]Course Totals'!D$4,'[1]import graded seats course pivo'!$1:$2,2,FALSE),FALSE))),"")</f>
        <v/>
      </c>
      <c r="E169" s="14" t="str">
        <f>IFERROR((VLOOKUP($A169,'[1]import success seats course'!$A:S,HLOOKUP('[1]Course Totals'!E$4,'[1]import success seats course'!$1:$2,2,FALSE),FALSE)/(VLOOKUP($A169,'[1]import graded seats course pivo'!$A:AC,HLOOKUP('[1]Course Totals'!E$4,'[1]import graded seats course pivo'!$1:$2,2,FALSE),FALSE))),"")</f>
        <v/>
      </c>
      <c r="F169" s="14" t="str">
        <f>IFERROR((VLOOKUP($A169,'[1]import success seats course'!$A:T,HLOOKUP('[1]Course Totals'!F$4,'[1]import success seats course'!$1:$2,2,FALSE),FALSE)/(VLOOKUP($A169,'[1]import graded seats course pivo'!$A:AD,HLOOKUP('[1]Course Totals'!F$4,'[1]import graded seats course pivo'!$1:$2,2,FALSE),FALSE))),"")</f>
        <v/>
      </c>
      <c r="G169" s="14" t="str">
        <f>IFERROR((VLOOKUP($A169,'[1]import success seats course'!$A:U,HLOOKUP('[1]Course Totals'!G$4,'[1]import success seats course'!$1:$2,2,FALSE),FALSE)/(VLOOKUP($A169,'[1]import graded seats course pivo'!$A:AE,HLOOKUP('[1]Course Totals'!G$4,'[1]import graded seats course pivo'!$1:$2,2,FALSE),FALSE))),"")</f>
        <v/>
      </c>
      <c r="H169" s="14" t="str">
        <f>IFERROR((VLOOKUP($A169,'[1]import success seats course'!$A:V,HLOOKUP('[1]Course Totals'!H$4,'[1]import success seats course'!$1:$2,2,FALSE),FALSE)/(VLOOKUP($A169,'[1]import graded seats course pivo'!$A:AF,HLOOKUP('[1]Course Totals'!H$4,'[1]import graded seats course pivo'!$1:$2,2,FALSE),FALSE))),"")</f>
        <v/>
      </c>
      <c r="I169" s="14" t="str">
        <f>IFERROR((VLOOKUP($A169,'[1]import success seats course'!$A:W,HLOOKUP('[1]Course Totals'!I$4,'[1]import success seats course'!$1:$2,2,FALSE),FALSE)/(VLOOKUP($A169,'[1]import graded seats course pivo'!$A:AG,HLOOKUP('[1]Course Totals'!I$4,'[1]import graded seats course pivo'!$1:$2,2,FALSE),FALSE))),"")</f>
        <v/>
      </c>
      <c r="J169" s="14" t="str">
        <f>IFERROR((VLOOKUP($A169,'[1]import success seats course'!$A:X,HLOOKUP('[1]Course Totals'!J$4,'[1]import success seats course'!$1:$2,2,FALSE),FALSE)/(VLOOKUP($A169,'[1]import graded seats course pivo'!$A:AH,HLOOKUP('[1]Course Totals'!J$4,'[1]import graded seats course pivo'!$1:$2,2,FALSE),FALSE))),"")</f>
        <v/>
      </c>
      <c r="K169" s="14" t="str">
        <f>IFERROR((VLOOKUP($A169,'[1]import success seats course'!$A:Y,HLOOKUP('[1]Course Totals'!K$4,'[1]import success seats course'!$1:$2,2,FALSE),FALSE)/(VLOOKUP($A169,'[1]import graded seats course pivo'!$A:AI,HLOOKUP('[1]Course Totals'!K$4,'[1]import graded seats course pivo'!$1:$2,2,FALSE),FALSE))),"")</f>
        <v/>
      </c>
      <c r="L169" s="14" t="str">
        <f>IFERROR((VLOOKUP($A169,'[1]import success seats course'!$A:Z,HLOOKUP('[1]Course Totals'!L$4,'[1]import success seats course'!$1:$2,2,FALSE),FALSE)/(VLOOKUP($A169,'[1]import graded seats course pivo'!$A:AJ,HLOOKUP('[1]Course Totals'!L$4,'[1]import graded seats course pivo'!$1:$2,2,FALSE),FALSE))),"")</f>
        <v/>
      </c>
      <c r="M169" s="14" t="str">
        <f>IFERROR((VLOOKUP($A169,'[1]import success seats course'!$A:AA,HLOOKUP('[1]Course Totals'!M$4,'[1]import success seats course'!$1:$2,2,FALSE),FALSE)/(VLOOKUP($A169,'[1]import graded seats course pivo'!$A:AK,HLOOKUP('[1]Course Totals'!M$4,'[1]import graded seats course pivo'!$1:$2,2,FALSE),FALSE))),"")</f>
        <v/>
      </c>
      <c r="N169" s="14" t="str">
        <f>IFERROR((VLOOKUP($A169,'[1]import success seats course'!$A:AB,HLOOKUP('[1]Course Totals'!N$4,'[1]import success seats course'!$1:$2,2,FALSE),FALSE)/(VLOOKUP($A169,'[1]import graded seats course pivo'!$A:AL,HLOOKUP('[1]Course Totals'!N$4,'[1]import graded seats course pivo'!$1:$2,2,FALSE),FALSE))),"")</f>
        <v/>
      </c>
      <c r="O169" s="14" t="str">
        <f>IFERROR((VLOOKUP($A169,'[1]import success seats course'!$A:AC,HLOOKUP('[1]Course Totals'!O$4,'[1]import success seats course'!$1:$2,2,FALSE),FALSE)/(VLOOKUP($A169,'[1]import graded seats course pivo'!$A:AM,HLOOKUP('[1]Course Totals'!O$4,'[1]import graded seats course pivo'!$1:$2,2,FALSE),FALSE))),"")</f>
        <v/>
      </c>
      <c r="P169" s="14" t="str">
        <f>IFERROR((VLOOKUP($A169,'[1]import success seats course'!$A:AD,HLOOKUP('[1]Course Totals'!P$4,'[1]import success seats course'!$1:$2,2,FALSE),FALSE)/(VLOOKUP($A169,'[1]import graded seats course pivo'!$A:AN,HLOOKUP('[1]Course Totals'!P$4,'[1]import graded seats course pivo'!$1:$2,2,FALSE),FALSE))),"")</f>
        <v/>
      </c>
      <c r="Q169" s="14" t="str">
        <f>IFERROR((VLOOKUP($A169,'[1]import success seats course'!$A:AE,HLOOKUP('[1]Course Totals'!Q$4,'[1]import success seats course'!$1:$2,2,FALSE),FALSE)/(VLOOKUP($A169,'[1]import graded seats course pivo'!$A:AO,HLOOKUP('[1]Course Totals'!Q$4,'[1]import graded seats course pivo'!$1:$2,2,FALSE),FALSE))),"")</f>
        <v/>
      </c>
      <c r="R169" s="14" t="str">
        <f>IFERROR((VLOOKUP($A169,'[1]import success seats course'!$A:AF,HLOOKUP('[1]Course Totals'!R$4,'[1]import success seats course'!$1:$2,2,FALSE),FALSE)/(VLOOKUP($A169,'[1]import graded seats course pivo'!$A:AP,HLOOKUP('[1]Course Totals'!R$4,'[1]import graded seats course pivo'!$1:$2,2,FALSE),FALSE))),"")</f>
        <v/>
      </c>
      <c r="S169" s="14" t="str">
        <f>IFERROR((VLOOKUP($A169,'[1]import success seats course'!$A:AG,HLOOKUP('[1]Course Totals'!S$4,'[1]import success seats course'!$1:$2,2,FALSE),FALSE)/(VLOOKUP($A169,'[1]import graded seats course pivo'!$A:AQ,HLOOKUP('[1]Course Totals'!S$4,'[1]import graded seats course pivo'!$1:$2,2,FALSE),FALSE))),"")</f>
        <v/>
      </c>
      <c r="Z169" s="7"/>
      <c r="AA169" s="7"/>
      <c r="AB169" s="7"/>
      <c r="AC169" s="7"/>
    </row>
    <row r="170" spans="1:29" ht="15.75" hidden="1" customHeight="1" x14ac:dyDescent="0.25">
      <c r="A170" s="12" t="s">
        <v>687</v>
      </c>
      <c r="B170" s="14" t="str">
        <f>IFERROR((VLOOKUP($A170,'[1]import success seats course'!$A:P,HLOOKUP('[1]Course Totals'!B$4,'[1]import success seats course'!$1:$2,2,FALSE),FALSE)/(VLOOKUP($A170,'[1]import graded seats course pivo'!$A:Z,HLOOKUP('[1]Course Totals'!B$4,'[1]import graded seats course pivo'!$1:$2,2,FALSE),FALSE))),"")</f>
        <v/>
      </c>
      <c r="C170" s="14" t="str">
        <f>IFERROR((VLOOKUP($A170,'[1]import success seats course'!$A:Q,HLOOKUP('[1]Course Totals'!C$4,'[1]import success seats course'!$1:$2,2,FALSE),FALSE)/(VLOOKUP($A170,'[1]import graded seats course pivo'!$A:AA,HLOOKUP('[1]Course Totals'!C$4,'[1]import graded seats course pivo'!$1:$2,2,FALSE),FALSE))),"")</f>
        <v/>
      </c>
      <c r="D170" s="14" t="str">
        <f>IFERROR((VLOOKUP($A170,'[1]import success seats course'!$A:R,HLOOKUP('[1]Course Totals'!D$4,'[1]import success seats course'!$1:$2,2,FALSE),FALSE)/(VLOOKUP($A170,'[1]import graded seats course pivo'!$A:AB,HLOOKUP('[1]Course Totals'!D$4,'[1]import graded seats course pivo'!$1:$2,2,FALSE),FALSE))),"")</f>
        <v/>
      </c>
      <c r="E170" s="14" t="str">
        <f>IFERROR((VLOOKUP($A170,'[1]import success seats course'!$A:S,HLOOKUP('[1]Course Totals'!E$4,'[1]import success seats course'!$1:$2,2,FALSE),FALSE)/(VLOOKUP($A170,'[1]import graded seats course pivo'!$A:AC,HLOOKUP('[1]Course Totals'!E$4,'[1]import graded seats course pivo'!$1:$2,2,FALSE),FALSE))),"")</f>
        <v/>
      </c>
      <c r="F170" s="14" t="str">
        <f>IFERROR((VLOOKUP($A170,'[1]import success seats course'!$A:T,HLOOKUP('[1]Course Totals'!F$4,'[1]import success seats course'!$1:$2,2,FALSE),FALSE)/(VLOOKUP($A170,'[1]import graded seats course pivo'!$A:AD,HLOOKUP('[1]Course Totals'!F$4,'[1]import graded seats course pivo'!$1:$2,2,FALSE),FALSE))),"")</f>
        <v/>
      </c>
      <c r="G170" s="14" t="str">
        <f>IFERROR((VLOOKUP($A170,'[1]import success seats course'!$A:U,HLOOKUP('[1]Course Totals'!G$4,'[1]import success seats course'!$1:$2,2,FALSE),FALSE)/(VLOOKUP($A170,'[1]import graded seats course pivo'!$A:AE,HLOOKUP('[1]Course Totals'!G$4,'[1]import graded seats course pivo'!$1:$2,2,FALSE),FALSE))),"")</f>
        <v/>
      </c>
      <c r="H170" s="14" t="str">
        <f>IFERROR((VLOOKUP($A170,'[1]import success seats course'!$A:V,HLOOKUP('[1]Course Totals'!H$4,'[1]import success seats course'!$1:$2,2,FALSE),FALSE)/(VLOOKUP($A170,'[1]import graded seats course pivo'!$A:AF,HLOOKUP('[1]Course Totals'!H$4,'[1]import graded seats course pivo'!$1:$2,2,FALSE),FALSE))),"")</f>
        <v/>
      </c>
      <c r="I170" s="14" t="str">
        <f>IFERROR((VLOOKUP($A170,'[1]import success seats course'!$A:W,HLOOKUP('[1]Course Totals'!I$4,'[1]import success seats course'!$1:$2,2,FALSE),FALSE)/(VLOOKUP($A170,'[1]import graded seats course pivo'!$A:AG,HLOOKUP('[1]Course Totals'!I$4,'[1]import graded seats course pivo'!$1:$2,2,FALSE),FALSE))),"")</f>
        <v/>
      </c>
      <c r="J170" s="14" t="str">
        <f>IFERROR((VLOOKUP($A170,'[1]import success seats course'!$A:X,HLOOKUP('[1]Course Totals'!J$4,'[1]import success seats course'!$1:$2,2,FALSE),FALSE)/(VLOOKUP($A170,'[1]import graded seats course pivo'!$A:AH,HLOOKUP('[1]Course Totals'!J$4,'[1]import graded seats course pivo'!$1:$2,2,FALSE),FALSE))),"")</f>
        <v/>
      </c>
      <c r="K170" s="14" t="str">
        <f>IFERROR((VLOOKUP($A170,'[1]import success seats course'!$A:Y,HLOOKUP('[1]Course Totals'!K$4,'[1]import success seats course'!$1:$2,2,FALSE),FALSE)/(VLOOKUP($A170,'[1]import graded seats course pivo'!$A:AI,HLOOKUP('[1]Course Totals'!K$4,'[1]import graded seats course pivo'!$1:$2,2,FALSE),FALSE))),"")</f>
        <v/>
      </c>
      <c r="L170" s="14" t="str">
        <f>IFERROR((VLOOKUP($A170,'[1]import success seats course'!$A:Z,HLOOKUP('[1]Course Totals'!L$4,'[1]import success seats course'!$1:$2,2,FALSE),FALSE)/(VLOOKUP($A170,'[1]import graded seats course pivo'!$A:AJ,HLOOKUP('[1]Course Totals'!L$4,'[1]import graded seats course pivo'!$1:$2,2,FALSE),FALSE))),"")</f>
        <v/>
      </c>
      <c r="M170" s="14" t="str">
        <f>IFERROR((VLOOKUP($A170,'[1]import success seats course'!$A:AA,HLOOKUP('[1]Course Totals'!M$4,'[1]import success seats course'!$1:$2,2,FALSE),FALSE)/(VLOOKUP($A170,'[1]import graded seats course pivo'!$A:AK,HLOOKUP('[1]Course Totals'!M$4,'[1]import graded seats course pivo'!$1:$2,2,FALSE),FALSE))),"")</f>
        <v/>
      </c>
      <c r="N170" s="14" t="str">
        <f>IFERROR((VLOOKUP($A170,'[1]import success seats course'!$A:AB,HLOOKUP('[1]Course Totals'!N$4,'[1]import success seats course'!$1:$2,2,FALSE),FALSE)/(VLOOKUP($A170,'[1]import graded seats course pivo'!$A:AL,HLOOKUP('[1]Course Totals'!N$4,'[1]import graded seats course pivo'!$1:$2,2,FALSE),FALSE))),"")</f>
        <v/>
      </c>
      <c r="O170" s="14" t="str">
        <f>IFERROR((VLOOKUP($A170,'[1]import success seats course'!$A:AC,HLOOKUP('[1]Course Totals'!O$4,'[1]import success seats course'!$1:$2,2,FALSE),FALSE)/(VLOOKUP($A170,'[1]import graded seats course pivo'!$A:AM,HLOOKUP('[1]Course Totals'!O$4,'[1]import graded seats course pivo'!$1:$2,2,FALSE),FALSE))),"")</f>
        <v/>
      </c>
      <c r="P170" s="14" t="str">
        <f>IFERROR((VLOOKUP($A170,'[1]import success seats course'!$A:AD,HLOOKUP('[1]Course Totals'!P$4,'[1]import success seats course'!$1:$2,2,FALSE),FALSE)/(VLOOKUP($A170,'[1]import graded seats course pivo'!$A:AN,HLOOKUP('[1]Course Totals'!P$4,'[1]import graded seats course pivo'!$1:$2,2,FALSE),FALSE))),"")</f>
        <v/>
      </c>
      <c r="Q170" s="14" t="str">
        <f>IFERROR((VLOOKUP($A170,'[1]import success seats course'!$A:AE,HLOOKUP('[1]Course Totals'!Q$4,'[1]import success seats course'!$1:$2,2,FALSE),FALSE)/(VLOOKUP($A170,'[1]import graded seats course pivo'!$A:AO,HLOOKUP('[1]Course Totals'!Q$4,'[1]import graded seats course pivo'!$1:$2,2,FALSE),FALSE))),"")</f>
        <v/>
      </c>
      <c r="R170" s="14" t="str">
        <f>IFERROR((VLOOKUP($A170,'[1]import success seats course'!$A:AF,HLOOKUP('[1]Course Totals'!R$4,'[1]import success seats course'!$1:$2,2,FALSE),FALSE)/(VLOOKUP($A170,'[1]import graded seats course pivo'!$A:AP,HLOOKUP('[1]Course Totals'!R$4,'[1]import graded seats course pivo'!$1:$2,2,FALSE),FALSE))),"")</f>
        <v/>
      </c>
      <c r="S170" s="14" t="str">
        <f>IFERROR((VLOOKUP($A170,'[1]import success seats course'!$A:AG,HLOOKUP('[1]Course Totals'!S$4,'[1]import success seats course'!$1:$2,2,FALSE),FALSE)/(VLOOKUP($A170,'[1]import graded seats course pivo'!$A:AQ,HLOOKUP('[1]Course Totals'!S$4,'[1]import graded seats course pivo'!$1:$2,2,FALSE),FALSE))),"")</f>
        <v/>
      </c>
      <c r="Z170" s="7"/>
      <c r="AA170" s="7"/>
      <c r="AB170" s="7"/>
      <c r="AC170" s="7"/>
    </row>
    <row r="171" spans="1:29" ht="15.75" hidden="1" customHeight="1" x14ac:dyDescent="0.25">
      <c r="A171" s="12" t="s">
        <v>101</v>
      </c>
      <c r="B171" s="14" t="str">
        <f>IFERROR((VLOOKUP($A171,'[1]import success seats course'!$A:P,HLOOKUP('[1]Course Totals'!B$4,'[1]import success seats course'!$1:$2,2,FALSE),FALSE)/(VLOOKUP($A171,'[1]import graded seats course pivo'!$A:Z,HLOOKUP('[1]Course Totals'!B$4,'[1]import graded seats course pivo'!$1:$2,2,FALSE),FALSE))),"")</f>
        <v/>
      </c>
      <c r="C171" s="14" t="str">
        <f>IFERROR((VLOOKUP($A171,'[1]import success seats course'!$A:Q,HLOOKUP('[1]Course Totals'!C$4,'[1]import success seats course'!$1:$2,2,FALSE),FALSE)/(VLOOKUP($A171,'[1]import graded seats course pivo'!$A:AA,HLOOKUP('[1]Course Totals'!C$4,'[1]import graded seats course pivo'!$1:$2,2,FALSE),FALSE))),"")</f>
        <v/>
      </c>
      <c r="D171" s="14" t="str">
        <f>IFERROR((VLOOKUP($A171,'[1]import success seats course'!$A:R,HLOOKUP('[1]Course Totals'!D$4,'[1]import success seats course'!$1:$2,2,FALSE),FALSE)/(VLOOKUP($A171,'[1]import graded seats course pivo'!$A:AB,HLOOKUP('[1]Course Totals'!D$4,'[1]import graded seats course pivo'!$1:$2,2,FALSE),FALSE))),"")</f>
        <v/>
      </c>
      <c r="E171" s="14" t="str">
        <f>IFERROR((VLOOKUP($A171,'[1]import success seats course'!$A:S,HLOOKUP('[1]Course Totals'!E$4,'[1]import success seats course'!$1:$2,2,FALSE),FALSE)/(VLOOKUP($A171,'[1]import graded seats course pivo'!$A:AC,HLOOKUP('[1]Course Totals'!E$4,'[1]import graded seats course pivo'!$1:$2,2,FALSE),FALSE))),"")</f>
        <v/>
      </c>
      <c r="F171" s="14" t="str">
        <f>IFERROR((VLOOKUP($A171,'[1]import success seats course'!$A:T,HLOOKUP('[1]Course Totals'!F$4,'[1]import success seats course'!$1:$2,2,FALSE),FALSE)/(VLOOKUP($A171,'[1]import graded seats course pivo'!$A:AD,HLOOKUP('[1]Course Totals'!F$4,'[1]import graded seats course pivo'!$1:$2,2,FALSE),FALSE))),"")</f>
        <v/>
      </c>
      <c r="G171" s="14" t="str">
        <f>IFERROR((VLOOKUP($A171,'[1]import success seats course'!$A:U,HLOOKUP('[1]Course Totals'!G$4,'[1]import success seats course'!$1:$2,2,FALSE),FALSE)/(VLOOKUP($A171,'[1]import graded seats course pivo'!$A:AE,HLOOKUP('[1]Course Totals'!G$4,'[1]import graded seats course pivo'!$1:$2,2,FALSE),FALSE))),"")</f>
        <v/>
      </c>
      <c r="H171" s="14" t="str">
        <f>IFERROR((VLOOKUP($A171,'[1]import success seats course'!$A:V,HLOOKUP('[1]Course Totals'!H$4,'[1]import success seats course'!$1:$2,2,FALSE),FALSE)/(VLOOKUP($A171,'[1]import graded seats course pivo'!$A:AF,HLOOKUP('[1]Course Totals'!H$4,'[1]import graded seats course pivo'!$1:$2,2,FALSE),FALSE))),"")</f>
        <v/>
      </c>
      <c r="I171" s="14" t="str">
        <f>IFERROR((VLOOKUP($A171,'[1]import success seats course'!$A:W,HLOOKUP('[1]Course Totals'!I$4,'[1]import success seats course'!$1:$2,2,FALSE),FALSE)/(VLOOKUP($A171,'[1]import graded seats course pivo'!$A:AG,HLOOKUP('[1]Course Totals'!I$4,'[1]import graded seats course pivo'!$1:$2,2,FALSE),FALSE))),"")</f>
        <v/>
      </c>
      <c r="J171" s="14" t="str">
        <f>IFERROR((VLOOKUP($A171,'[1]import success seats course'!$A:X,HLOOKUP('[1]Course Totals'!J$4,'[1]import success seats course'!$1:$2,2,FALSE),FALSE)/(VLOOKUP($A171,'[1]import graded seats course pivo'!$A:AH,HLOOKUP('[1]Course Totals'!J$4,'[1]import graded seats course pivo'!$1:$2,2,FALSE),FALSE))),"")</f>
        <v/>
      </c>
      <c r="K171" s="14" t="str">
        <f>IFERROR((VLOOKUP($A171,'[1]import success seats course'!$A:Y,HLOOKUP('[1]Course Totals'!K$4,'[1]import success seats course'!$1:$2,2,FALSE),FALSE)/(VLOOKUP($A171,'[1]import graded seats course pivo'!$A:AI,HLOOKUP('[1]Course Totals'!K$4,'[1]import graded seats course pivo'!$1:$2,2,FALSE),FALSE))),"")</f>
        <v/>
      </c>
      <c r="L171" s="14" t="str">
        <f>IFERROR((VLOOKUP($A171,'[1]import success seats course'!$A:Z,HLOOKUP('[1]Course Totals'!L$4,'[1]import success seats course'!$1:$2,2,FALSE),FALSE)/(VLOOKUP($A171,'[1]import graded seats course pivo'!$A:AJ,HLOOKUP('[1]Course Totals'!L$4,'[1]import graded seats course pivo'!$1:$2,2,FALSE),FALSE))),"")</f>
        <v/>
      </c>
      <c r="M171" s="14" t="str">
        <f>IFERROR((VLOOKUP($A171,'[1]import success seats course'!$A:AA,HLOOKUP('[1]Course Totals'!M$4,'[1]import success seats course'!$1:$2,2,FALSE),FALSE)/(VLOOKUP($A171,'[1]import graded seats course pivo'!$A:AK,HLOOKUP('[1]Course Totals'!M$4,'[1]import graded seats course pivo'!$1:$2,2,FALSE),FALSE))),"")</f>
        <v/>
      </c>
      <c r="N171" s="14" t="str">
        <f>IFERROR((VLOOKUP($A171,'[1]import success seats course'!$A:AB,HLOOKUP('[1]Course Totals'!N$4,'[1]import success seats course'!$1:$2,2,FALSE),FALSE)/(VLOOKUP($A171,'[1]import graded seats course pivo'!$A:AL,HLOOKUP('[1]Course Totals'!N$4,'[1]import graded seats course pivo'!$1:$2,2,FALSE),FALSE))),"")</f>
        <v/>
      </c>
      <c r="O171" s="14" t="str">
        <f>IFERROR((VLOOKUP($A171,'[1]import success seats course'!$A:AC,HLOOKUP('[1]Course Totals'!O$4,'[1]import success seats course'!$1:$2,2,FALSE),FALSE)/(VLOOKUP($A171,'[1]import graded seats course pivo'!$A:AM,HLOOKUP('[1]Course Totals'!O$4,'[1]import graded seats course pivo'!$1:$2,2,FALSE),FALSE))),"")</f>
        <v/>
      </c>
      <c r="P171" s="14" t="str">
        <f>IFERROR((VLOOKUP($A171,'[1]import success seats course'!$A:AD,HLOOKUP('[1]Course Totals'!P$4,'[1]import success seats course'!$1:$2,2,FALSE),FALSE)/(VLOOKUP($A171,'[1]import graded seats course pivo'!$A:AN,HLOOKUP('[1]Course Totals'!P$4,'[1]import graded seats course pivo'!$1:$2,2,FALSE),FALSE))),"")</f>
        <v/>
      </c>
      <c r="Q171" s="14" t="str">
        <f>IFERROR((VLOOKUP($A171,'[1]import success seats course'!$A:AE,HLOOKUP('[1]Course Totals'!Q$4,'[1]import success seats course'!$1:$2,2,FALSE),FALSE)/(VLOOKUP($A171,'[1]import graded seats course pivo'!$A:AO,HLOOKUP('[1]Course Totals'!Q$4,'[1]import graded seats course pivo'!$1:$2,2,FALSE),FALSE))),"")</f>
        <v/>
      </c>
      <c r="R171" s="14" t="str">
        <f>IFERROR((VLOOKUP($A171,'[1]import success seats course'!$A:AF,HLOOKUP('[1]Course Totals'!R$4,'[1]import success seats course'!$1:$2,2,FALSE),FALSE)/(VLOOKUP($A171,'[1]import graded seats course pivo'!$A:AP,HLOOKUP('[1]Course Totals'!R$4,'[1]import graded seats course pivo'!$1:$2,2,FALSE),FALSE))),"")</f>
        <v/>
      </c>
      <c r="S171" s="14" t="str">
        <f>IFERROR((VLOOKUP($A171,'[1]import success seats course'!$A:AG,HLOOKUP('[1]Course Totals'!S$4,'[1]import success seats course'!$1:$2,2,FALSE),FALSE)/(VLOOKUP($A171,'[1]import graded seats course pivo'!$A:AQ,HLOOKUP('[1]Course Totals'!S$4,'[1]import graded seats course pivo'!$1:$2,2,FALSE),FALSE))),"")</f>
        <v/>
      </c>
      <c r="Z171" s="7"/>
      <c r="AA171" s="7"/>
      <c r="AB171" s="7"/>
      <c r="AC171" s="7"/>
    </row>
    <row r="172" spans="1:29" ht="15.75" hidden="1" customHeight="1" x14ac:dyDescent="0.25">
      <c r="A172" s="12" t="s">
        <v>102</v>
      </c>
      <c r="B172" s="14" t="str">
        <f>IFERROR((VLOOKUP($A172,'[1]import success seats course'!$A:P,HLOOKUP('[1]Course Totals'!B$4,'[1]import success seats course'!$1:$2,2,FALSE),FALSE)/(VLOOKUP($A172,'[1]import graded seats course pivo'!$A:Z,HLOOKUP('[1]Course Totals'!B$4,'[1]import graded seats course pivo'!$1:$2,2,FALSE),FALSE))),"")</f>
        <v/>
      </c>
      <c r="C172" s="14" t="str">
        <f>IFERROR((VLOOKUP($A172,'[1]import success seats course'!$A:Q,HLOOKUP('[1]Course Totals'!C$4,'[1]import success seats course'!$1:$2,2,FALSE),FALSE)/(VLOOKUP($A172,'[1]import graded seats course pivo'!$A:AA,HLOOKUP('[1]Course Totals'!C$4,'[1]import graded seats course pivo'!$1:$2,2,FALSE),FALSE))),"")</f>
        <v/>
      </c>
      <c r="D172" s="14" t="str">
        <f>IFERROR((VLOOKUP($A172,'[1]import success seats course'!$A:R,HLOOKUP('[1]Course Totals'!D$4,'[1]import success seats course'!$1:$2,2,FALSE),FALSE)/(VLOOKUP($A172,'[1]import graded seats course pivo'!$A:AB,HLOOKUP('[1]Course Totals'!D$4,'[1]import graded seats course pivo'!$1:$2,2,FALSE),FALSE))),"")</f>
        <v/>
      </c>
      <c r="E172" s="14" t="str">
        <f>IFERROR((VLOOKUP($A172,'[1]import success seats course'!$A:S,HLOOKUP('[1]Course Totals'!E$4,'[1]import success seats course'!$1:$2,2,FALSE),FALSE)/(VLOOKUP($A172,'[1]import graded seats course pivo'!$A:AC,HLOOKUP('[1]Course Totals'!E$4,'[1]import graded seats course pivo'!$1:$2,2,FALSE),FALSE))),"")</f>
        <v/>
      </c>
      <c r="F172" s="14" t="str">
        <f>IFERROR((VLOOKUP($A172,'[1]import success seats course'!$A:T,HLOOKUP('[1]Course Totals'!F$4,'[1]import success seats course'!$1:$2,2,FALSE),FALSE)/(VLOOKUP($A172,'[1]import graded seats course pivo'!$A:AD,HLOOKUP('[1]Course Totals'!F$4,'[1]import graded seats course pivo'!$1:$2,2,FALSE),FALSE))),"")</f>
        <v/>
      </c>
      <c r="G172" s="14" t="str">
        <f>IFERROR((VLOOKUP($A172,'[1]import success seats course'!$A:U,HLOOKUP('[1]Course Totals'!G$4,'[1]import success seats course'!$1:$2,2,FALSE),FALSE)/(VLOOKUP($A172,'[1]import graded seats course pivo'!$A:AE,HLOOKUP('[1]Course Totals'!G$4,'[1]import graded seats course pivo'!$1:$2,2,FALSE),FALSE))),"")</f>
        <v/>
      </c>
      <c r="H172" s="14" t="str">
        <f>IFERROR((VLOOKUP($A172,'[1]import success seats course'!$A:V,HLOOKUP('[1]Course Totals'!H$4,'[1]import success seats course'!$1:$2,2,FALSE),FALSE)/(VLOOKUP($A172,'[1]import graded seats course pivo'!$A:AF,HLOOKUP('[1]Course Totals'!H$4,'[1]import graded seats course pivo'!$1:$2,2,FALSE),FALSE))),"")</f>
        <v/>
      </c>
      <c r="I172" s="14" t="str">
        <f>IFERROR((VLOOKUP($A172,'[1]import success seats course'!$A:W,HLOOKUP('[1]Course Totals'!I$4,'[1]import success seats course'!$1:$2,2,FALSE),FALSE)/(VLOOKUP($A172,'[1]import graded seats course pivo'!$A:AG,HLOOKUP('[1]Course Totals'!I$4,'[1]import graded seats course pivo'!$1:$2,2,FALSE),FALSE))),"")</f>
        <v/>
      </c>
      <c r="J172" s="14" t="str">
        <f>IFERROR((VLOOKUP($A172,'[1]import success seats course'!$A:X,HLOOKUP('[1]Course Totals'!J$4,'[1]import success seats course'!$1:$2,2,FALSE),FALSE)/(VLOOKUP($A172,'[1]import graded seats course pivo'!$A:AH,HLOOKUP('[1]Course Totals'!J$4,'[1]import graded seats course pivo'!$1:$2,2,FALSE),FALSE))),"")</f>
        <v/>
      </c>
      <c r="K172" s="14" t="str">
        <f>IFERROR((VLOOKUP($A172,'[1]import success seats course'!$A:Y,HLOOKUP('[1]Course Totals'!K$4,'[1]import success seats course'!$1:$2,2,FALSE),FALSE)/(VLOOKUP($A172,'[1]import graded seats course pivo'!$A:AI,HLOOKUP('[1]Course Totals'!K$4,'[1]import graded seats course pivo'!$1:$2,2,FALSE),FALSE))),"")</f>
        <v/>
      </c>
      <c r="L172" s="14" t="str">
        <f>IFERROR((VLOOKUP($A172,'[1]import success seats course'!$A:Z,HLOOKUP('[1]Course Totals'!L$4,'[1]import success seats course'!$1:$2,2,FALSE),FALSE)/(VLOOKUP($A172,'[1]import graded seats course pivo'!$A:AJ,HLOOKUP('[1]Course Totals'!L$4,'[1]import graded seats course pivo'!$1:$2,2,FALSE),FALSE))),"")</f>
        <v/>
      </c>
      <c r="M172" s="14" t="str">
        <f>IFERROR((VLOOKUP($A172,'[1]import success seats course'!$A:AA,HLOOKUP('[1]Course Totals'!M$4,'[1]import success seats course'!$1:$2,2,FALSE),FALSE)/(VLOOKUP($A172,'[1]import graded seats course pivo'!$A:AK,HLOOKUP('[1]Course Totals'!M$4,'[1]import graded seats course pivo'!$1:$2,2,FALSE),FALSE))),"")</f>
        <v/>
      </c>
      <c r="N172" s="14" t="str">
        <f>IFERROR((VLOOKUP($A172,'[1]import success seats course'!$A:AB,HLOOKUP('[1]Course Totals'!N$4,'[1]import success seats course'!$1:$2,2,FALSE),FALSE)/(VLOOKUP($A172,'[1]import graded seats course pivo'!$A:AL,HLOOKUP('[1]Course Totals'!N$4,'[1]import graded seats course pivo'!$1:$2,2,FALSE),FALSE))),"")</f>
        <v/>
      </c>
      <c r="O172" s="14" t="str">
        <f>IFERROR((VLOOKUP($A172,'[1]import success seats course'!$A:AC,HLOOKUP('[1]Course Totals'!O$4,'[1]import success seats course'!$1:$2,2,FALSE),FALSE)/(VLOOKUP($A172,'[1]import graded seats course pivo'!$A:AM,HLOOKUP('[1]Course Totals'!O$4,'[1]import graded seats course pivo'!$1:$2,2,FALSE),FALSE))),"")</f>
        <v/>
      </c>
      <c r="P172" s="14" t="str">
        <f>IFERROR((VLOOKUP($A172,'[1]import success seats course'!$A:AD,HLOOKUP('[1]Course Totals'!P$4,'[1]import success seats course'!$1:$2,2,FALSE),FALSE)/(VLOOKUP($A172,'[1]import graded seats course pivo'!$A:AN,HLOOKUP('[1]Course Totals'!P$4,'[1]import graded seats course pivo'!$1:$2,2,FALSE),FALSE))),"")</f>
        <v/>
      </c>
      <c r="Q172" s="14" t="str">
        <f>IFERROR((VLOOKUP($A172,'[1]import success seats course'!$A:AE,HLOOKUP('[1]Course Totals'!Q$4,'[1]import success seats course'!$1:$2,2,FALSE),FALSE)/(VLOOKUP($A172,'[1]import graded seats course pivo'!$A:AO,HLOOKUP('[1]Course Totals'!Q$4,'[1]import graded seats course pivo'!$1:$2,2,FALSE),FALSE))),"")</f>
        <v/>
      </c>
      <c r="R172" s="14" t="str">
        <f>IFERROR((VLOOKUP($A172,'[1]import success seats course'!$A:AF,HLOOKUP('[1]Course Totals'!R$4,'[1]import success seats course'!$1:$2,2,FALSE),FALSE)/(VLOOKUP($A172,'[1]import graded seats course pivo'!$A:AP,HLOOKUP('[1]Course Totals'!R$4,'[1]import graded seats course pivo'!$1:$2,2,FALSE),FALSE))),"")</f>
        <v/>
      </c>
      <c r="S172" s="14" t="str">
        <f>IFERROR((VLOOKUP($A172,'[1]import success seats course'!$A:AG,HLOOKUP('[1]Course Totals'!S$4,'[1]import success seats course'!$1:$2,2,FALSE),FALSE)/(VLOOKUP($A172,'[1]import graded seats course pivo'!$A:AQ,HLOOKUP('[1]Course Totals'!S$4,'[1]import graded seats course pivo'!$1:$2,2,FALSE),FALSE))),"")</f>
        <v/>
      </c>
      <c r="Z172" s="7"/>
      <c r="AA172" s="7"/>
      <c r="AB172" s="7"/>
      <c r="AC172" s="7"/>
    </row>
    <row r="173" spans="1:29" ht="15.75" hidden="1" customHeight="1" x14ac:dyDescent="0.25">
      <c r="A173" s="12" t="s">
        <v>961</v>
      </c>
      <c r="B173" s="14" t="str">
        <f>IFERROR((VLOOKUP($A173,'[1]import success seats course'!$A:P,HLOOKUP('[1]Course Totals'!B$4,'[1]import success seats course'!$1:$2,2,FALSE),FALSE)/(VLOOKUP($A173,'[1]import graded seats course pivo'!$A:Z,HLOOKUP('[1]Course Totals'!B$4,'[1]import graded seats course pivo'!$1:$2,2,FALSE),FALSE))),"")</f>
        <v/>
      </c>
      <c r="C173" s="14" t="str">
        <f>IFERROR((VLOOKUP($A173,'[1]import success seats course'!$A:Q,HLOOKUP('[1]Course Totals'!C$4,'[1]import success seats course'!$1:$2,2,FALSE),FALSE)/(VLOOKUP($A173,'[1]import graded seats course pivo'!$A:AA,HLOOKUP('[1]Course Totals'!C$4,'[1]import graded seats course pivo'!$1:$2,2,FALSE),FALSE))),"")</f>
        <v/>
      </c>
      <c r="D173" s="14" t="str">
        <f>IFERROR((VLOOKUP($A173,'[1]import success seats course'!$A:R,HLOOKUP('[1]Course Totals'!D$4,'[1]import success seats course'!$1:$2,2,FALSE),FALSE)/(VLOOKUP($A173,'[1]import graded seats course pivo'!$A:AB,HLOOKUP('[1]Course Totals'!D$4,'[1]import graded seats course pivo'!$1:$2,2,FALSE),FALSE))),"")</f>
        <v/>
      </c>
      <c r="E173" s="14" t="str">
        <f>IFERROR((VLOOKUP($A173,'[1]import success seats course'!$A:S,HLOOKUP('[1]Course Totals'!E$4,'[1]import success seats course'!$1:$2,2,FALSE),FALSE)/(VLOOKUP($A173,'[1]import graded seats course pivo'!$A:AC,HLOOKUP('[1]Course Totals'!E$4,'[1]import graded seats course pivo'!$1:$2,2,FALSE),FALSE))),"")</f>
        <v/>
      </c>
      <c r="F173" s="14" t="str">
        <f>IFERROR((VLOOKUP($A173,'[1]import success seats course'!$A:T,HLOOKUP('[1]Course Totals'!F$4,'[1]import success seats course'!$1:$2,2,FALSE),FALSE)/(VLOOKUP($A173,'[1]import graded seats course pivo'!$A:AD,HLOOKUP('[1]Course Totals'!F$4,'[1]import graded seats course pivo'!$1:$2,2,FALSE),FALSE))),"")</f>
        <v/>
      </c>
      <c r="G173" s="14" t="str">
        <f>IFERROR((VLOOKUP($A173,'[1]import success seats course'!$A:U,HLOOKUP('[1]Course Totals'!G$4,'[1]import success seats course'!$1:$2,2,FALSE),FALSE)/(VLOOKUP($A173,'[1]import graded seats course pivo'!$A:AE,HLOOKUP('[1]Course Totals'!G$4,'[1]import graded seats course pivo'!$1:$2,2,FALSE),FALSE))),"")</f>
        <v/>
      </c>
      <c r="H173" s="14" t="str">
        <f>IFERROR((VLOOKUP($A173,'[1]import success seats course'!$A:V,HLOOKUP('[1]Course Totals'!H$4,'[1]import success seats course'!$1:$2,2,FALSE),FALSE)/(VLOOKUP($A173,'[1]import graded seats course pivo'!$A:AF,HLOOKUP('[1]Course Totals'!H$4,'[1]import graded seats course pivo'!$1:$2,2,FALSE),FALSE))),"")</f>
        <v/>
      </c>
      <c r="I173" s="14" t="str">
        <f>IFERROR((VLOOKUP($A173,'[1]import success seats course'!$A:W,HLOOKUP('[1]Course Totals'!I$4,'[1]import success seats course'!$1:$2,2,FALSE),FALSE)/(VLOOKUP($A173,'[1]import graded seats course pivo'!$A:AG,HLOOKUP('[1]Course Totals'!I$4,'[1]import graded seats course pivo'!$1:$2,2,FALSE),FALSE))),"")</f>
        <v/>
      </c>
      <c r="J173" s="14" t="str">
        <f>IFERROR((VLOOKUP($A173,'[1]import success seats course'!$A:X,HLOOKUP('[1]Course Totals'!J$4,'[1]import success seats course'!$1:$2,2,FALSE),FALSE)/(VLOOKUP($A173,'[1]import graded seats course pivo'!$A:AH,HLOOKUP('[1]Course Totals'!J$4,'[1]import graded seats course pivo'!$1:$2,2,FALSE),FALSE))),"")</f>
        <v/>
      </c>
      <c r="K173" s="14" t="str">
        <f>IFERROR((VLOOKUP($A173,'[1]import success seats course'!$A:Y,HLOOKUP('[1]Course Totals'!K$4,'[1]import success seats course'!$1:$2,2,FALSE),FALSE)/(VLOOKUP($A173,'[1]import graded seats course pivo'!$A:AI,HLOOKUP('[1]Course Totals'!K$4,'[1]import graded seats course pivo'!$1:$2,2,FALSE),FALSE))),"")</f>
        <v/>
      </c>
      <c r="L173" s="14" t="str">
        <f>IFERROR((VLOOKUP($A173,'[1]import success seats course'!$A:Z,HLOOKUP('[1]Course Totals'!L$4,'[1]import success seats course'!$1:$2,2,FALSE),FALSE)/(VLOOKUP($A173,'[1]import graded seats course pivo'!$A:AJ,HLOOKUP('[1]Course Totals'!L$4,'[1]import graded seats course pivo'!$1:$2,2,FALSE),FALSE))),"")</f>
        <v/>
      </c>
      <c r="M173" s="14" t="str">
        <f>IFERROR((VLOOKUP($A173,'[1]import success seats course'!$A:AA,HLOOKUP('[1]Course Totals'!M$4,'[1]import success seats course'!$1:$2,2,FALSE),FALSE)/(VLOOKUP($A173,'[1]import graded seats course pivo'!$A:AK,HLOOKUP('[1]Course Totals'!M$4,'[1]import graded seats course pivo'!$1:$2,2,FALSE),FALSE))),"")</f>
        <v/>
      </c>
      <c r="N173" s="14" t="str">
        <f>IFERROR((VLOOKUP($A173,'[1]import success seats course'!$A:AB,HLOOKUP('[1]Course Totals'!N$4,'[1]import success seats course'!$1:$2,2,FALSE),FALSE)/(VLOOKUP($A173,'[1]import graded seats course pivo'!$A:AL,HLOOKUP('[1]Course Totals'!N$4,'[1]import graded seats course pivo'!$1:$2,2,FALSE),FALSE))),"")</f>
        <v/>
      </c>
      <c r="O173" s="14" t="str">
        <f>IFERROR((VLOOKUP($A173,'[1]import success seats course'!$A:AC,HLOOKUP('[1]Course Totals'!O$4,'[1]import success seats course'!$1:$2,2,FALSE),FALSE)/(VLOOKUP($A173,'[1]import graded seats course pivo'!$A:AM,HLOOKUP('[1]Course Totals'!O$4,'[1]import graded seats course pivo'!$1:$2,2,FALSE),FALSE))),"")</f>
        <v/>
      </c>
      <c r="P173" s="14" t="str">
        <f>IFERROR((VLOOKUP($A173,'[1]import success seats course'!$A:AD,HLOOKUP('[1]Course Totals'!P$4,'[1]import success seats course'!$1:$2,2,FALSE),FALSE)/(VLOOKUP($A173,'[1]import graded seats course pivo'!$A:AN,HLOOKUP('[1]Course Totals'!P$4,'[1]import graded seats course pivo'!$1:$2,2,FALSE),FALSE))),"")</f>
        <v/>
      </c>
      <c r="Q173" s="14" t="str">
        <f>IFERROR((VLOOKUP($A173,'[1]import success seats course'!$A:AE,HLOOKUP('[1]Course Totals'!Q$4,'[1]import success seats course'!$1:$2,2,FALSE),FALSE)/(VLOOKUP($A173,'[1]import graded seats course pivo'!$A:AO,HLOOKUP('[1]Course Totals'!Q$4,'[1]import graded seats course pivo'!$1:$2,2,FALSE),FALSE))),"")</f>
        <v/>
      </c>
      <c r="R173" s="14" t="str">
        <f>IFERROR((VLOOKUP($A173,'[1]import success seats course'!$A:AF,HLOOKUP('[1]Course Totals'!R$4,'[1]import success seats course'!$1:$2,2,FALSE),FALSE)/(VLOOKUP($A173,'[1]import graded seats course pivo'!$A:AP,HLOOKUP('[1]Course Totals'!R$4,'[1]import graded seats course pivo'!$1:$2,2,FALSE),FALSE))),"")</f>
        <v/>
      </c>
      <c r="S173" s="14" t="str">
        <f>IFERROR((VLOOKUP($A173,'[1]import success seats course'!$A:AG,HLOOKUP('[1]Course Totals'!S$4,'[1]import success seats course'!$1:$2,2,FALSE),FALSE)/(VLOOKUP($A173,'[1]import graded seats course pivo'!$A:AQ,HLOOKUP('[1]Course Totals'!S$4,'[1]import graded seats course pivo'!$1:$2,2,FALSE),FALSE))),"")</f>
        <v/>
      </c>
      <c r="Z173" s="7"/>
      <c r="AA173" s="7"/>
      <c r="AB173" s="7"/>
      <c r="AC173" s="7"/>
    </row>
    <row r="174" spans="1:29" ht="15.75" hidden="1" customHeight="1" x14ac:dyDescent="0.25">
      <c r="A174" s="12" t="s">
        <v>962</v>
      </c>
      <c r="B174" s="14" t="str">
        <f>IFERROR((VLOOKUP($A174,'[1]import success seats course'!$A:P,HLOOKUP('[1]Course Totals'!B$4,'[1]import success seats course'!$1:$2,2,FALSE),FALSE)/(VLOOKUP($A174,'[1]import graded seats course pivo'!$A:Z,HLOOKUP('[1]Course Totals'!B$4,'[1]import graded seats course pivo'!$1:$2,2,FALSE),FALSE))),"")</f>
        <v/>
      </c>
      <c r="C174" s="14" t="str">
        <f>IFERROR((VLOOKUP($A174,'[1]import success seats course'!$A:Q,HLOOKUP('[1]Course Totals'!C$4,'[1]import success seats course'!$1:$2,2,FALSE),FALSE)/(VLOOKUP($A174,'[1]import graded seats course pivo'!$A:AA,HLOOKUP('[1]Course Totals'!C$4,'[1]import graded seats course pivo'!$1:$2,2,FALSE),FALSE))),"")</f>
        <v/>
      </c>
      <c r="D174" s="14" t="str">
        <f>IFERROR((VLOOKUP($A174,'[1]import success seats course'!$A:R,HLOOKUP('[1]Course Totals'!D$4,'[1]import success seats course'!$1:$2,2,FALSE),FALSE)/(VLOOKUP($A174,'[1]import graded seats course pivo'!$A:AB,HLOOKUP('[1]Course Totals'!D$4,'[1]import graded seats course pivo'!$1:$2,2,FALSE),FALSE))),"")</f>
        <v/>
      </c>
      <c r="E174" s="14" t="str">
        <f>IFERROR((VLOOKUP($A174,'[1]import success seats course'!$A:S,HLOOKUP('[1]Course Totals'!E$4,'[1]import success seats course'!$1:$2,2,FALSE),FALSE)/(VLOOKUP($A174,'[1]import graded seats course pivo'!$A:AC,HLOOKUP('[1]Course Totals'!E$4,'[1]import graded seats course pivo'!$1:$2,2,FALSE),FALSE))),"")</f>
        <v/>
      </c>
      <c r="F174" s="14" t="str">
        <f>IFERROR((VLOOKUP($A174,'[1]import success seats course'!$A:T,HLOOKUP('[1]Course Totals'!F$4,'[1]import success seats course'!$1:$2,2,FALSE),FALSE)/(VLOOKUP($A174,'[1]import graded seats course pivo'!$A:AD,HLOOKUP('[1]Course Totals'!F$4,'[1]import graded seats course pivo'!$1:$2,2,FALSE),FALSE))),"")</f>
        <v/>
      </c>
      <c r="G174" s="14" t="str">
        <f>IFERROR((VLOOKUP($A174,'[1]import success seats course'!$A:U,HLOOKUP('[1]Course Totals'!G$4,'[1]import success seats course'!$1:$2,2,FALSE),FALSE)/(VLOOKUP($A174,'[1]import graded seats course pivo'!$A:AE,HLOOKUP('[1]Course Totals'!G$4,'[1]import graded seats course pivo'!$1:$2,2,FALSE),FALSE))),"")</f>
        <v/>
      </c>
      <c r="H174" s="14" t="str">
        <f>IFERROR((VLOOKUP($A174,'[1]import success seats course'!$A:V,HLOOKUP('[1]Course Totals'!H$4,'[1]import success seats course'!$1:$2,2,FALSE),FALSE)/(VLOOKUP($A174,'[1]import graded seats course pivo'!$A:AF,HLOOKUP('[1]Course Totals'!H$4,'[1]import graded seats course pivo'!$1:$2,2,FALSE),FALSE))),"")</f>
        <v/>
      </c>
      <c r="I174" s="14" t="str">
        <f>IFERROR((VLOOKUP($A174,'[1]import success seats course'!$A:W,HLOOKUP('[1]Course Totals'!I$4,'[1]import success seats course'!$1:$2,2,FALSE),FALSE)/(VLOOKUP($A174,'[1]import graded seats course pivo'!$A:AG,HLOOKUP('[1]Course Totals'!I$4,'[1]import graded seats course pivo'!$1:$2,2,FALSE),FALSE))),"")</f>
        <v/>
      </c>
      <c r="J174" s="14" t="str">
        <f>IFERROR((VLOOKUP($A174,'[1]import success seats course'!$A:X,HLOOKUP('[1]Course Totals'!J$4,'[1]import success seats course'!$1:$2,2,FALSE),FALSE)/(VLOOKUP($A174,'[1]import graded seats course pivo'!$A:AH,HLOOKUP('[1]Course Totals'!J$4,'[1]import graded seats course pivo'!$1:$2,2,FALSE),FALSE))),"")</f>
        <v/>
      </c>
      <c r="K174" s="14" t="str">
        <f>IFERROR((VLOOKUP($A174,'[1]import success seats course'!$A:Y,HLOOKUP('[1]Course Totals'!K$4,'[1]import success seats course'!$1:$2,2,FALSE),FALSE)/(VLOOKUP($A174,'[1]import graded seats course pivo'!$A:AI,HLOOKUP('[1]Course Totals'!K$4,'[1]import graded seats course pivo'!$1:$2,2,FALSE),FALSE))),"")</f>
        <v/>
      </c>
      <c r="L174" s="14" t="str">
        <f>IFERROR((VLOOKUP($A174,'[1]import success seats course'!$A:Z,HLOOKUP('[1]Course Totals'!L$4,'[1]import success seats course'!$1:$2,2,FALSE),FALSE)/(VLOOKUP($A174,'[1]import graded seats course pivo'!$A:AJ,HLOOKUP('[1]Course Totals'!L$4,'[1]import graded seats course pivo'!$1:$2,2,FALSE),FALSE))),"")</f>
        <v/>
      </c>
      <c r="M174" s="14" t="str">
        <f>IFERROR((VLOOKUP($A174,'[1]import success seats course'!$A:AA,HLOOKUP('[1]Course Totals'!M$4,'[1]import success seats course'!$1:$2,2,FALSE),FALSE)/(VLOOKUP($A174,'[1]import graded seats course pivo'!$A:AK,HLOOKUP('[1]Course Totals'!M$4,'[1]import graded seats course pivo'!$1:$2,2,FALSE),FALSE))),"")</f>
        <v/>
      </c>
      <c r="N174" s="14" t="str">
        <f>IFERROR((VLOOKUP($A174,'[1]import success seats course'!$A:AB,HLOOKUP('[1]Course Totals'!N$4,'[1]import success seats course'!$1:$2,2,FALSE),FALSE)/(VLOOKUP($A174,'[1]import graded seats course pivo'!$A:AL,HLOOKUP('[1]Course Totals'!N$4,'[1]import graded seats course pivo'!$1:$2,2,FALSE),FALSE))),"")</f>
        <v/>
      </c>
      <c r="O174" s="14" t="str">
        <f>IFERROR((VLOOKUP($A174,'[1]import success seats course'!$A:AC,HLOOKUP('[1]Course Totals'!O$4,'[1]import success seats course'!$1:$2,2,FALSE),FALSE)/(VLOOKUP($A174,'[1]import graded seats course pivo'!$A:AM,HLOOKUP('[1]Course Totals'!O$4,'[1]import graded seats course pivo'!$1:$2,2,FALSE),FALSE))),"")</f>
        <v/>
      </c>
      <c r="P174" s="14" t="str">
        <f>IFERROR((VLOOKUP($A174,'[1]import success seats course'!$A:AD,HLOOKUP('[1]Course Totals'!P$4,'[1]import success seats course'!$1:$2,2,FALSE),FALSE)/(VLOOKUP($A174,'[1]import graded seats course pivo'!$A:AN,HLOOKUP('[1]Course Totals'!P$4,'[1]import graded seats course pivo'!$1:$2,2,FALSE),FALSE))),"")</f>
        <v/>
      </c>
      <c r="Q174" s="14" t="str">
        <f>IFERROR((VLOOKUP($A174,'[1]import success seats course'!$A:AE,HLOOKUP('[1]Course Totals'!Q$4,'[1]import success seats course'!$1:$2,2,FALSE),FALSE)/(VLOOKUP($A174,'[1]import graded seats course pivo'!$A:AO,HLOOKUP('[1]Course Totals'!Q$4,'[1]import graded seats course pivo'!$1:$2,2,FALSE),FALSE))),"")</f>
        <v/>
      </c>
      <c r="R174" s="14" t="str">
        <f>IFERROR((VLOOKUP($A174,'[1]import success seats course'!$A:AF,HLOOKUP('[1]Course Totals'!R$4,'[1]import success seats course'!$1:$2,2,FALSE),FALSE)/(VLOOKUP($A174,'[1]import graded seats course pivo'!$A:AP,HLOOKUP('[1]Course Totals'!R$4,'[1]import graded seats course pivo'!$1:$2,2,FALSE),FALSE))),"")</f>
        <v/>
      </c>
      <c r="S174" s="14" t="str">
        <f>IFERROR((VLOOKUP($A174,'[1]import success seats course'!$A:AG,HLOOKUP('[1]Course Totals'!S$4,'[1]import success seats course'!$1:$2,2,FALSE),FALSE)/(VLOOKUP($A174,'[1]import graded seats course pivo'!$A:AQ,HLOOKUP('[1]Course Totals'!S$4,'[1]import graded seats course pivo'!$1:$2,2,FALSE),FALSE))),"")</f>
        <v/>
      </c>
      <c r="Z174" s="7"/>
      <c r="AA174" s="7"/>
      <c r="AB174" s="7"/>
      <c r="AC174" s="7"/>
    </row>
    <row r="175" spans="1:29" ht="15.75" hidden="1" customHeight="1" x14ac:dyDescent="0.25">
      <c r="A175" s="12" t="s">
        <v>557</v>
      </c>
      <c r="B175" s="14" t="str">
        <f>IFERROR((VLOOKUP($A175,'[1]import success seats course'!$A:P,HLOOKUP('[1]Course Totals'!B$4,'[1]import success seats course'!$1:$2,2,FALSE),FALSE)/(VLOOKUP($A175,'[1]import graded seats course pivo'!$A:Z,HLOOKUP('[1]Course Totals'!B$4,'[1]import graded seats course pivo'!$1:$2,2,FALSE),FALSE))),"")</f>
        <v/>
      </c>
      <c r="C175" s="14" t="str">
        <f>IFERROR((VLOOKUP($A175,'[1]import success seats course'!$A:Q,HLOOKUP('[1]Course Totals'!C$4,'[1]import success seats course'!$1:$2,2,FALSE),FALSE)/(VLOOKUP($A175,'[1]import graded seats course pivo'!$A:AA,HLOOKUP('[1]Course Totals'!C$4,'[1]import graded seats course pivo'!$1:$2,2,FALSE),FALSE))),"")</f>
        <v/>
      </c>
      <c r="D175" s="14" t="str">
        <f>IFERROR((VLOOKUP($A175,'[1]import success seats course'!$A:R,HLOOKUP('[1]Course Totals'!D$4,'[1]import success seats course'!$1:$2,2,FALSE),FALSE)/(VLOOKUP($A175,'[1]import graded seats course pivo'!$A:AB,HLOOKUP('[1]Course Totals'!D$4,'[1]import graded seats course pivo'!$1:$2,2,FALSE),FALSE))),"")</f>
        <v/>
      </c>
      <c r="E175" s="14" t="str">
        <f>IFERROR((VLOOKUP($A175,'[1]import success seats course'!$A:S,HLOOKUP('[1]Course Totals'!E$4,'[1]import success seats course'!$1:$2,2,FALSE),FALSE)/(VLOOKUP($A175,'[1]import graded seats course pivo'!$A:AC,HLOOKUP('[1]Course Totals'!E$4,'[1]import graded seats course pivo'!$1:$2,2,FALSE),FALSE))),"")</f>
        <v/>
      </c>
      <c r="F175" s="14" t="str">
        <f>IFERROR((VLOOKUP($A175,'[1]import success seats course'!$A:T,HLOOKUP('[1]Course Totals'!F$4,'[1]import success seats course'!$1:$2,2,FALSE),FALSE)/(VLOOKUP($A175,'[1]import graded seats course pivo'!$A:AD,HLOOKUP('[1]Course Totals'!F$4,'[1]import graded seats course pivo'!$1:$2,2,FALSE),FALSE))),"")</f>
        <v/>
      </c>
      <c r="G175" s="14" t="str">
        <f>IFERROR((VLOOKUP($A175,'[1]import success seats course'!$A:U,HLOOKUP('[1]Course Totals'!G$4,'[1]import success seats course'!$1:$2,2,FALSE),FALSE)/(VLOOKUP($A175,'[1]import graded seats course pivo'!$A:AE,HLOOKUP('[1]Course Totals'!G$4,'[1]import graded seats course pivo'!$1:$2,2,FALSE),FALSE))),"")</f>
        <v/>
      </c>
      <c r="H175" s="14" t="str">
        <f>IFERROR((VLOOKUP($A175,'[1]import success seats course'!$A:V,HLOOKUP('[1]Course Totals'!H$4,'[1]import success seats course'!$1:$2,2,FALSE),FALSE)/(VLOOKUP($A175,'[1]import graded seats course pivo'!$A:AF,HLOOKUP('[1]Course Totals'!H$4,'[1]import graded seats course pivo'!$1:$2,2,FALSE),FALSE))),"")</f>
        <v/>
      </c>
      <c r="I175" s="14" t="str">
        <f>IFERROR((VLOOKUP($A175,'[1]import success seats course'!$A:W,HLOOKUP('[1]Course Totals'!I$4,'[1]import success seats course'!$1:$2,2,FALSE),FALSE)/(VLOOKUP($A175,'[1]import graded seats course pivo'!$A:AG,HLOOKUP('[1]Course Totals'!I$4,'[1]import graded seats course pivo'!$1:$2,2,FALSE),FALSE))),"")</f>
        <v/>
      </c>
      <c r="J175" s="14" t="str">
        <f>IFERROR((VLOOKUP($A175,'[1]import success seats course'!$A:X,HLOOKUP('[1]Course Totals'!J$4,'[1]import success seats course'!$1:$2,2,FALSE),FALSE)/(VLOOKUP($A175,'[1]import graded seats course pivo'!$A:AH,HLOOKUP('[1]Course Totals'!J$4,'[1]import graded seats course pivo'!$1:$2,2,FALSE),FALSE))),"")</f>
        <v/>
      </c>
      <c r="K175" s="14" t="str">
        <f>IFERROR((VLOOKUP($A175,'[1]import success seats course'!$A:Y,HLOOKUP('[1]Course Totals'!K$4,'[1]import success seats course'!$1:$2,2,FALSE),FALSE)/(VLOOKUP($A175,'[1]import graded seats course pivo'!$A:AI,HLOOKUP('[1]Course Totals'!K$4,'[1]import graded seats course pivo'!$1:$2,2,FALSE),FALSE))),"")</f>
        <v/>
      </c>
      <c r="L175" s="14" t="str">
        <f>IFERROR((VLOOKUP($A175,'[1]import success seats course'!$A:Z,HLOOKUP('[1]Course Totals'!L$4,'[1]import success seats course'!$1:$2,2,FALSE),FALSE)/(VLOOKUP($A175,'[1]import graded seats course pivo'!$A:AJ,HLOOKUP('[1]Course Totals'!L$4,'[1]import graded seats course pivo'!$1:$2,2,FALSE),FALSE))),"")</f>
        <v/>
      </c>
      <c r="M175" s="14" t="str">
        <f>IFERROR((VLOOKUP($A175,'[1]import success seats course'!$A:AA,HLOOKUP('[1]Course Totals'!M$4,'[1]import success seats course'!$1:$2,2,FALSE),FALSE)/(VLOOKUP($A175,'[1]import graded seats course pivo'!$A:AK,HLOOKUP('[1]Course Totals'!M$4,'[1]import graded seats course pivo'!$1:$2,2,FALSE),FALSE))),"")</f>
        <v/>
      </c>
      <c r="N175" s="14" t="str">
        <f>IFERROR((VLOOKUP($A175,'[1]import success seats course'!$A:AB,HLOOKUP('[1]Course Totals'!N$4,'[1]import success seats course'!$1:$2,2,FALSE),FALSE)/(VLOOKUP($A175,'[1]import graded seats course pivo'!$A:AL,HLOOKUP('[1]Course Totals'!N$4,'[1]import graded seats course pivo'!$1:$2,2,FALSE),FALSE))),"")</f>
        <v/>
      </c>
      <c r="O175" s="14" t="str">
        <f>IFERROR((VLOOKUP($A175,'[1]import success seats course'!$A:AC,HLOOKUP('[1]Course Totals'!O$4,'[1]import success seats course'!$1:$2,2,FALSE),FALSE)/(VLOOKUP($A175,'[1]import graded seats course pivo'!$A:AM,HLOOKUP('[1]Course Totals'!O$4,'[1]import graded seats course pivo'!$1:$2,2,FALSE),FALSE))),"")</f>
        <v/>
      </c>
      <c r="P175" s="14" t="str">
        <f>IFERROR((VLOOKUP($A175,'[1]import success seats course'!$A:AD,HLOOKUP('[1]Course Totals'!P$4,'[1]import success seats course'!$1:$2,2,FALSE),FALSE)/(VLOOKUP($A175,'[1]import graded seats course pivo'!$A:AN,HLOOKUP('[1]Course Totals'!P$4,'[1]import graded seats course pivo'!$1:$2,2,FALSE),FALSE))),"")</f>
        <v/>
      </c>
      <c r="Q175" s="14" t="str">
        <f>IFERROR((VLOOKUP($A175,'[1]import success seats course'!$A:AE,HLOOKUP('[1]Course Totals'!Q$4,'[1]import success seats course'!$1:$2,2,FALSE),FALSE)/(VLOOKUP($A175,'[1]import graded seats course pivo'!$A:AO,HLOOKUP('[1]Course Totals'!Q$4,'[1]import graded seats course pivo'!$1:$2,2,FALSE),FALSE))),"")</f>
        <v/>
      </c>
      <c r="R175" s="14" t="str">
        <f>IFERROR((VLOOKUP($A175,'[1]import success seats course'!$A:AF,HLOOKUP('[1]Course Totals'!R$4,'[1]import success seats course'!$1:$2,2,FALSE),FALSE)/(VLOOKUP($A175,'[1]import graded seats course pivo'!$A:AP,HLOOKUP('[1]Course Totals'!R$4,'[1]import graded seats course pivo'!$1:$2,2,FALSE),FALSE))),"")</f>
        <v/>
      </c>
      <c r="S175" s="14" t="str">
        <f>IFERROR((VLOOKUP($A175,'[1]import success seats course'!$A:AG,HLOOKUP('[1]Course Totals'!S$4,'[1]import success seats course'!$1:$2,2,FALSE),FALSE)/(VLOOKUP($A175,'[1]import graded seats course pivo'!$A:AQ,HLOOKUP('[1]Course Totals'!S$4,'[1]import graded seats course pivo'!$1:$2,2,FALSE),FALSE))),"")</f>
        <v/>
      </c>
      <c r="Z175" s="7"/>
      <c r="AA175" s="7"/>
      <c r="AB175" s="7"/>
      <c r="AC175" s="7"/>
    </row>
    <row r="176" spans="1:29" ht="15.75" hidden="1" customHeight="1" x14ac:dyDescent="0.25">
      <c r="A176" s="12" t="s">
        <v>103</v>
      </c>
      <c r="B176" s="14" t="str">
        <f>IFERROR((VLOOKUP($A176,'[1]import success seats course'!$A:P,HLOOKUP('[1]Course Totals'!B$4,'[1]import success seats course'!$1:$2,2,FALSE),FALSE)/(VLOOKUP($A176,'[1]import graded seats course pivo'!$A:Z,HLOOKUP('[1]Course Totals'!B$4,'[1]import graded seats course pivo'!$1:$2,2,FALSE),FALSE))),"")</f>
        <v/>
      </c>
      <c r="C176" s="14" t="str">
        <f>IFERROR((VLOOKUP($A176,'[1]import success seats course'!$A:Q,HLOOKUP('[1]Course Totals'!C$4,'[1]import success seats course'!$1:$2,2,FALSE),FALSE)/(VLOOKUP($A176,'[1]import graded seats course pivo'!$A:AA,HLOOKUP('[1]Course Totals'!C$4,'[1]import graded seats course pivo'!$1:$2,2,FALSE),FALSE))),"")</f>
        <v/>
      </c>
      <c r="D176" s="14" t="str">
        <f>IFERROR((VLOOKUP($A176,'[1]import success seats course'!$A:R,HLOOKUP('[1]Course Totals'!D$4,'[1]import success seats course'!$1:$2,2,FALSE),FALSE)/(VLOOKUP($A176,'[1]import graded seats course pivo'!$A:AB,HLOOKUP('[1]Course Totals'!D$4,'[1]import graded seats course pivo'!$1:$2,2,FALSE),FALSE))),"")</f>
        <v/>
      </c>
      <c r="E176" s="14" t="str">
        <f>IFERROR((VLOOKUP($A176,'[1]import success seats course'!$A:S,HLOOKUP('[1]Course Totals'!E$4,'[1]import success seats course'!$1:$2,2,FALSE),FALSE)/(VLOOKUP($A176,'[1]import graded seats course pivo'!$A:AC,HLOOKUP('[1]Course Totals'!E$4,'[1]import graded seats course pivo'!$1:$2,2,FALSE),FALSE))),"")</f>
        <v/>
      </c>
      <c r="F176" s="14" t="str">
        <f>IFERROR((VLOOKUP($A176,'[1]import success seats course'!$A:T,HLOOKUP('[1]Course Totals'!F$4,'[1]import success seats course'!$1:$2,2,FALSE),FALSE)/(VLOOKUP($A176,'[1]import graded seats course pivo'!$A:AD,HLOOKUP('[1]Course Totals'!F$4,'[1]import graded seats course pivo'!$1:$2,2,FALSE),FALSE))),"")</f>
        <v/>
      </c>
      <c r="G176" s="14" t="str">
        <f>IFERROR((VLOOKUP($A176,'[1]import success seats course'!$A:U,HLOOKUP('[1]Course Totals'!G$4,'[1]import success seats course'!$1:$2,2,FALSE),FALSE)/(VLOOKUP($A176,'[1]import graded seats course pivo'!$A:AE,HLOOKUP('[1]Course Totals'!G$4,'[1]import graded seats course pivo'!$1:$2,2,FALSE),FALSE))),"")</f>
        <v/>
      </c>
      <c r="H176" s="14" t="str">
        <f>IFERROR((VLOOKUP($A176,'[1]import success seats course'!$A:V,HLOOKUP('[1]Course Totals'!H$4,'[1]import success seats course'!$1:$2,2,FALSE),FALSE)/(VLOOKUP($A176,'[1]import graded seats course pivo'!$A:AF,HLOOKUP('[1]Course Totals'!H$4,'[1]import graded seats course pivo'!$1:$2,2,FALSE),FALSE))),"")</f>
        <v/>
      </c>
      <c r="I176" s="14" t="str">
        <f>IFERROR((VLOOKUP($A176,'[1]import success seats course'!$A:W,HLOOKUP('[1]Course Totals'!I$4,'[1]import success seats course'!$1:$2,2,FALSE),FALSE)/(VLOOKUP($A176,'[1]import graded seats course pivo'!$A:AG,HLOOKUP('[1]Course Totals'!I$4,'[1]import graded seats course pivo'!$1:$2,2,FALSE),FALSE))),"")</f>
        <v/>
      </c>
      <c r="J176" s="14" t="str">
        <f>IFERROR((VLOOKUP($A176,'[1]import success seats course'!$A:X,HLOOKUP('[1]Course Totals'!J$4,'[1]import success seats course'!$1:$2,2,FALSE),FALSE)/(VLOOKUP($A176,'[1]import graded seats course pivo'!$A:AH,HLOOKUP('[1]Course Totals'!J$4,'[1]import graded seats course pivo'!$1:$2,2,FALSE),FALSE))),"")</f>
        <v/>
      </c>
      <c r="K176" s="14" t="str">
        <f>IFERROR((VLOOKUP($A176,'[1]import success seats course'!$A:Y,HLOOKUP('[1]Course Totals'!K$4,'[1]import success seats course'!$1:$2,2,FALSE),FALSE)/(VLOOKUP($A176,'[1]import graded seats course pivo'!$A:AI,HLOOKUP('[1]Course Totals'!K$4,'[1]import graded seats course pivo'!$1:$2,2,FALSE),FALSE))),"")</f>
        <v/>
      </c>
      <c r="L176" s="14" t="str">
        <f>IFERROR((VLOOKUP($A176,'[1]import success seats course'!$A:Z,HLOOKUP('[1]Course Totals'!L$4,'[1]import success seats course'!$1:$2,2,FALSE),FALSE)/(VLOOKUP($A176,'[1]import graded seats course pivo'!$A:AJ,HLOOKUP('[1]Course Totals'!L$4,'[1]import graded seats course pivo'!$1:$2,2,FALSE),FALSE))),"")</f>
        <v/>
      </c>
      <c r="M176" s="14" t="str">
        <f>IFERROR((VLOOKUP($A176,'[1]import success seats course'!$A:AA,HLOOKUP('[1]Course Totals'!M$4,'[1]import success seats course'!$1:$2,2,FALSE),FALSE)/(VLOOKUP($A176,'[1]import graded seats course pivo'!$A:AK,HLOOKUP('[1]Course Totals'!M$4,'[1]import graded seats course pivo'!$1:$2,2,FALSE),FALSE))),"")</f>
        <v/>
      </c>
      <c r="N176" s="14" t="str">
        <f>IFERROR((VLOOKUP($A176,'[1]import success seats course'!$A:AB,HLOOKUP('[1]Course Totals'!N$4,'[1]import success seats course'!$1:$2,2,FALSE),FALSE)/(VLOOKUP($A176,'[1]import graded seats course pivo'!$A:AL,HLOOKUP('[1]Course Totals'!N$4,'[1]import graded seats course pivo'!$1:$2,2,FALSE),FALSE))),"")</f>
        <v/>
      </c>
      <c r="O176" s="14" t="str">
        <f>IFERROR((VLOOKUP($A176,'[1]import success seats course'!$A:AC,HLOOKUP('[1]Course Totals'!O$4,'[1]import success seats course'!$1:$2,2,FALSE),FALSE)/(VLOOKUP($A176,'[1]import graded seats course pivo'!$A:AM,HLOOKUP('[1]Course Totals'!O$4,'[1]import graded seats course pivo'!$1:$2,2,FALSE),FALSE))),"")</f>
        <v/>
      </c>
      <c r="P176" s="14" t="str">
        <f>IFERROR((VLOOKUP($A176,'[1]import success seats course'!$A:AD,HLOOKUP('[1]Course Totals'!P$4,'[1]import success seats course'!$1:$2,2,FALSE),FALSE)/(VLOOKUP($A176,'[1]import graded seats course pivo'!$A:AN,HLOOKUP('[1]Course Totals'!P$4,'[1]import graded seats course pivo'!$1:$2,2,FALSE),FALSE))),"")</f>
        <v/>
      </c>
      <c r="Q176" s="14" t="str">
        <f>IFERROR((VLOOKUP($A176,'[1]import success seats course'!$A:AE,HLOOKUP('[1]Course Totals'!Q$4,'[1]import success seats course'!$1:$2,2,FALSE),FALSE)/(VLOOKUP($A176,'[1]import graded seats course pivo'!$A:AO,HLOOKUP('[1]Course Totals'!Q$4,'[1]import graded seats course pivo'!$1:$2,2,FALSE),FALSE))),"")</f>
        <v/>
      </c>
      <c r="R176" s="14" t="str">
        <f>IFERROR((VLOOKUP($A176,'[1]import success seats course'!$A:AF,HLOOKUP('[1]Course Totals'!R$4,'[1]import success seats course'!$1:$2,2,FALSE),FALSE)/(VLOOKUP($A176,'[1]import graded seats course pivo'!$A:AP,HLOOKUP('[1]Course Totals'!R$4,'[1]import graded seats course pivo'!$1:$2,2,FALSE),FALSE))),"")</f>
        <v/>
      </c>
      <c r="S176" s="14" t="str">
        <f>IFERROR((VLOOKUP($A176,'[1]import success seats course'!$A:AG,HLOOKUP('[1]Course Totals'!S$4,'[1]import success seats course'!$1:$2,2,FALSE),FALSE)/(VLOOKUP($A176,'[1]import graded seats course pivo'!$A:AQ,HLOOKUP('[1]Course Totals'!S$4,'[1]import graded seats course pivo'!$1:$2,2,FALSE),FALSE))),"")</f>
        <v/>
      </c>
      <c r="Z176" s="7"/>
      <c r="AA176" s="7"/>
      <c r="AB176" s="7"/>
      <c r="AC176" s="7"/>
    </row>
    <row r="177" spans="1:29" ht="15.75" hidden="1" customHeight="1" x14ac:dyDescent="0.25">
      <c r="A177" s="12" t="s">
        <v>558</v>
      </c>
      <c r="B177" s="14" t="str">
        <f>IFERROR((VLOOKUP($A177,'[1]import success seats course'!$A:P,HLOOKUP('[1]Course Totals'!B$4,'[1]import success seats course'!$1:$2,2,FALSE),FALSE)/(VLOOKUP($A177,'[1]import graded seats course pivo'!$A:Z,HLOOKUP('[1]Course Totals'!B$4,'[1]import graded seats course pivo'!$1:$2,2,FALSE),FALSE))),"")</f>
        <v/>
      </c>
      <c r="C177" s="14" t="str">
        <f>IFERROR((VLOOKUP($A177,'[1]import success seats course'!$A:Q,HLOOKUP('[1]Course Totals'!C$4,'[1]import success seats course'!$1:$2,2,FALSE),FALSE)/(VLOOKUP($A177,'[1]import graded seats course pivo'!$A:AA,HLOOKUP('[1]Course Totals'!C$4,'[1]import graded seats course pivo'!$1:$2,2,FALSE),FALSE))),"")</f>
        <v/>
      </c>
      <c r="D177" s="14" t="str">
        <f>IFERROR((VLOOKUP($A177,'[1]import success seats course'!$A:R,HLOOKUP('[1]Course Totals'!D$4,'[1]import success seats course'!$1:$2,2,FALSE),FALSE)/(VLOOKUP($A177,'[1]import graded seats course pivo'!$A:AB,HLOOKUP('[1]Course Totals'!D$4,'[1]import graded seats course pivo'!$1:$2,2,FALSE),FALSE))),"")</f>
        <v/>
      </c>
      <c r="E177" s="14" t="str">
        <f>IFERROR((VLOOKUP($A177,'[1]import success seats course'!$A:S,HLOOKUP('[1]Course Totals'!E$4,'[1]import success seats course'!$1:$2,2,FALSE),FALSE)/(VLOOKUP($A177,'[1]import graded seats course pivo'!$A:AC,HLOOKUP('[1]Course Totals'!E$4,'[1]import graded seats course pivo'!$1:$2,2,FALSE),FALSE))),"")</f>
        <v/>
      </c>
      <c r="F177" s="14" t="str">
        <f>IFERROR((VLOOKUP($A177,'[1]import success seats course'!$A:T,HLOOKUP('[1]Course Totals'!F$4,'[1]import success seats course'!$1:$2,2,FALSE),FALSE)/(VLOOKUP($A177,'[1]import graded seats course pivo'!$A:AD,HLOOKUP('[1]Course Totals'!F$4,'[1]import graded seats course pivo'!$1:$2,2,FALSE),FALSE))),"")</f>
        <v/>
      </c>
      <c r="G177" s="14" t="str">
        <f>IFERROR((VLOOKUP($A177,'[1]import success seats course'!$A:U,HLOOKUP('[1]Course Totals'!G$4,'[1]import success seats course'!$1:$2,2,FALSE),FALSE)/(VLOOKUP($A177,'[1]import graded seats course pivo'!$A:AE,HLOOKUP('[1]Course Totals'!G$4,'[1]import graded seats course pivo'!$1:$2,2,FALSE),FALSE))),"")</f>
        <v/>
      </c>
      <c r="H177" s="14" t="str">
        <f>IFERROR((VLOOKUP($A177,'[1]import success seats course'!$A:V,HLOOKUP('[1]Course Totals'!H$4,'[1]import success seats course'!$1:$2,2,FALSE),FALSE)/(VLOOKUP($A177,'[1]import graded seats course pivo'!$A:AF,HLOOKUP('[1]Course Totals'!H$4,'[1]import graded seats course pivo'!$1:$2,2,FALSE),FALSE))),"")</f>
        <v/>
      </c>
      <c r="I177" s="14" t="str">
        <f>IFERROR((VLOOKUP($A177,'[1]import success seats course'!$A:W,HLOOKUP('[1]Course Totals'!I$4,'[1]import success seats course'!$1:$2,2,FALSE),FALSE)/(VLOOKUP($A177,'[1]import graded seats course pivo'!$A:AG,HLOOKUP('[1]Course Totals'!I$4,'[1]import graded seats course pivo'!$1:$2,2,FALSE),FALSE))),"")</f>
        <v/>
      </c>
      <c r="J177" s="14" t="str">
        <f>IFERROR((VLOOKUP($A177,'[1]import success seats course'!$A:X,HLOOKUP('[1]Course Totals'!J$4,'[1]import success seats course'!$1:$2,2,FALSE),FALSE)/(VLOOKUP($A177,'[1]import graded seats course pivo'!$A:AH,HLOOKUP('[1]Course Totals'!J$4,'[1]import graded seats course pivo'!$1:$2,2,FALSE),FALSE))),"")</f>
        <v/>
      </c>
      <c r="K177" s="14" t="str">
        <f>IFERROR((VLOOKUP($A177,'[1]import success seats course'!$A:Y,HLOOKUP('[1]Course Totals'!K$4,'[1]import success seats course'!$1:$2,2,FALSE),FALSE)/(VLOOKUP($A177,'[1]import graded seats course pivo'!$A:AI,HLOOKUP('[1]Course Totals'!K$4,'[1]import graded seats course pivo'!$1:$2,2,FALSE),FALSE))),"")</f>
        <v/>
      </c>
      <c r="L177" s="14" t="str">
        <f>IFERROR((VLOOKUP($A177,'[1]import success seats course'!$A:Z,HLOOKUP('[1]Course Totals'!L$4,'[1]import success seats course'!$1:$2,2,FALSE),FALSE)/(VLOOKUP($A177,'[1]import graded seats course pivo'!$A:AJ,HLOOKUP('[1]Course Totals'!L$4,'[1]import graded seats course pivo'!$1:$2,2,FALSE),FALSE))),"")</f>
        <v/>
      </c>
      <c r="M177" s="14" t="str">
        <f>IFERROR((VLOOKUP($A177,'[1]import success seats course'!$A:AA,HLOOKUP('[1]Course Totals'!M$4,'[1]import success seats course'!$1:$2,2,FALSE),FALSE)/(VLOOKUP($A177,'[1]import graded seats course pivo'!$A:AK,HLOOKUP('[1]Course Totals'!M$4,'[1]import graded seats course pivo'!$1:$2,2,FALSE),FALSE))),"")</f>
        <v/>
      </c>
      <c r="N177" s="14" t="str">
        <f>IFERROR((VLOOKUP($A177,'[1]import success seats course'!$A:AB,HLOOKUP('[1]Course Totals'!N$4,'[1]import success seats course'!$1:$2,2,FALSE),FALSE)/(VLOOKUP($A177,'[1]import graded seats course pivo'!$A:AL,HLOOKUP('[1]Course Totals'!N$4,'[1]import graded seats course pivo'!$1:$2,2,FALSE),FALSE))),"")</f>
        <v/>
      </c>
      <c r="O177" s="14" t="str">
        <f>IFERROR((VLOOKUP($A177,'[1]import success seats course'!$A:AC,HLOOKUP('[1]Course Totals'!O$4,'[1]import success seats course'!$1:$2,2,FALSE),FALSE)/(VLOOKUP($A177,'[1]import graded seats course pivo'!$A:AM,HLOOKUP('[1]Course Totals'!O$4,'[1]import graded seats course pivo'!$1:$2,2,FALSE),FALSE))),"")</f>
        <v/>
      </c>
      <c r="P177" s="14" t="str">
        <f>IFERROR((VLOOKUP($A177,'[1]import success seats course'!$A:AD,HLOOKUP('[1]Course Totals'!P$4,'[1]import success seats course'!$1:$2,2,FALSE),FALSE)/(VLOOKUP($A177,'[1]import graded seats course pivo'!$A:AN,HLOOKUP('[1]Course Totals'!P$4,'[1]import graded seats course pivo'!$1:$2,2,FALSE),FALSE))),"")</f>
        <v/>
      </c>
      <c r="Q177" s="14" t="str">
        <f>IFERROR((VLOOKUP($A177,'[1]import success seats course'!$A:AE,HLOOKUP('[1]Course Totals'!Q$4,'[1]import success seats course'!$1:$2,2,FALSE),FALSE)/(VLOOKUP($A177,'[1]import graded seats course pivo'!$A:AO,HLOOKUP('[1]Course Totals'!Q$4,'[1]import graded seats course pivo'!$1:$2,2,FALSE),FALSE))),"")</f>
        <v/>
      </c>
      <c r="R177" s="14" t="str">
        <f>IFERROR((VLOOKUP($A177,'[1]import success seats course'!$A:AF,HLOOKUP('[1]Course Totals'!R$4,'[1]import success seats course'!$1:$2,2,FALSE),FALSE)/(VLOOKUP($A177,'[1]import graded seats course pivo'!$A:AP,HLOOKUP('[1]Course Totals'!R$4,'[1]import graded seats course pivo'!$1:$2,2,FALSE),FALSE))),"")</f>
        <v/>
      </c>
      <c r="S177" s="14" t="str">
        <f>IFERROR((VLOOKUP($A177,'[1]import success seats course'!$A:AG,HLOOKUP('[1]Course Totals'!S$4,'[1]import success seats course'!$1:$2,2,FALSE),FALSE)/(VLOOKUP($A177,'[1]import graded seats course pivo'!$A:AQ,HLOOKUP('[1]Course Totals'!S$4,'[1]import graded seats course pivo'!$1:$2,2,FALSE),FALSE))),"")</f>
        <v/>
      </c>
      <c r="Z177" s="7"/>
      <c r="AA177" s="7"/>
      <c r="AB177" s="7"/>
      <c r="AC177" s="7"/>
    </row>
    <row r="178" spans="1:29" s="7" customFormat="1" ht="15.75" customHeight="1" thickBot="1" x14ac:dyDescent="0.3">
      <c r="A178" s="11" t="str">
        <f>'[1]SUBJECTS BASE'!H12</f>
        <v>Business Administration</v>
      </c>
      <c r="B178" s="38" t="s">
        <v>1046</v>
      </c>
      <c r="C178" s="39" t="s">
        <v>0</v>
      </c>
      <c r="D178" s="40" t="s">
        <v>868</v>
      </c>
      <c r="E178" s="41" t="s">
        <v>1052</v>
      </c>
      <c r="F178" s="42" t="s">
        <v>546</v>
      </c>
      <c r="G178" s="43" t="s">
        <v>959</v>
      </c>
      <c r="H178" s="44" t="s">
        <v>1060</v>
      </c>
      <c r="I178" s="39" t="s">
        <v>675</v>
      </c>
      <c r="J178" s="45" t="s">
        <v>1006</v>
      </c>
      <c r="K178" s="46" t="s">
        <v>1062</v>
      </c>
      <c r="L178" s="42" t="s">
        <v>762</v>
      </c>
      <c r="M178" s="43" t="s">
        <v>1022</v>
      </c>
      <c r="N178" s="44" t="s">
        <v>1063</v>
      </c>
      <c r="O178" s="39" t="s">
        <v>822</v>
      </c>
      <c r="P178" s="40" t="s">
        <v>1042</v>
      </c>
      <c r="Q178" s="46" t="s">
        <v>1153</v>
      </c>
      <c r="R178" s="42" t="s">
        <v>1154</v>
      </c>
      <c r="S178" s="43" t="s">
        <v>1155</v>
      </c>
    </row>
    <row r="179" spans="1:29" ht="15.75" hidden="1" customHeight="1" x14ac:dyDescent="0.25">
      <c r="A179" s="12" t="s">
        <v>559</v>
      </c>
      <c r="B179" s="14" t="str">
        <f>IFERROR((VLOOKUP($A179,'[1]import success seats course'!$A:P,HLOOKUP('[1]Course Totals'!B$4,'[1]import success seats course'!$1:$2,2,FALSE),FALSE)/(VLOOKUP($A179,'[1]import graded seats course pivo'!$A:Z,HLOOKUP('[1]Course Totals'!B$4,'[1]import graded seats course pivo'!$1:$2,2,FALSE),FALSE))),"")</f>
        <v/>
      </c>
      <c r="C179" s="14" t="str">
        <f>IFERROR((VLOOKUP($A179,'[1]import success seats course'!$A:Q,HLOOKUP('[1]Course Totals'!C$4,'[1]import success seats course'!$1:$2,2,FALSE),FALSE)/(VLOOKUP($A179,'[1]import graded seats course pivo'!$A:AA,HLOOKUP('[1]Course Totals'!C$4,'[1]import graded seats course pivo'!$1:$2,2,FALSE),FALSE))),"")</f>
        <v/>
      </c>
      <c r="D179" s="14" t="str">
        <f>IFERROR((VLOOKUP($A179,'[1]import success seats course'!$A:R,HLOOKUP('[1]Course Totals'!D$4,'[1]import success seats course'!$1:$2,2,FALSE),FALSE)/(VLOOKUP($A179,'[1]import graded seats course pivo'!$A:AB,HLOOKUP('[1]Course Totals'!D$4,'[1]import graded seats course pivo'!$1:$2,2,FALSE),FALSE))),"")</f>
        <v/>
      </c>
      <c r="E179" s="14" t="str">
        <f>IFERROR((VLOOKUP($A179,'[1]import success seats course'!$A:S,HLOOKUP('[1]Course Totals'!E$4,'[1]import success seats course'!$1:$2,2,FALSE),FALSE)/(VLOOKUP($A179,'[1]import graded seats course pivo'!$A:AC,HLOOKUP('[1]Course Totals'!E$4,'[1]import graded seats course pivo'!$1:$2,2,FALSE),FALSE))),"")</f>
        <v/>
      </c>
      <c r="F179" s="14" t="str">
        <f>IFERROR((VLOOKUP($A179,'[1]import success seats course'!$A:T,HLOOKUP('[1]Course Totals'!F$4,'[1]import success seats course'!$1:$2,2,FALSE),FALSE)/(VLOOKUP($A179,'[1]import graded seats course pivo'!$A:AD,HLOOKUP('[1]Course Totals'!F$4,'[1]import graded seats course pivo'!$1:$2,2,FALSE),FALSE))),"")</f>
        <v/>
      </c>
      <c r="G179" s="14" t="str">
        <f>IFERROR((VLOOKUP($A179,'[1]import success seats course'!$A:U,HLOOKUP('[1]Course Totals'!G$4,'[1]import success seats course'!$1:$2,2,FALSE),FALSE)/(VLOOKUP($A179,'[1]import graded seats course pivo'!$A:AE,HLOOKUP('[1]Course Totals'!G$4,'[1]import graded seats course pivo'!$1:$2,2,FALSE),FALSE))),"")</f>
        <v/>
      </c>
      <c r="H179" s="14" t="str">
        <f>IFERROR((VLOOKUP($A179,'[1]import success seats course'!$A:V,HLOOKUP('[1]Course Totals'!H$4,'[1]import success seats course'!$1:$2,2,FALSE),FALSE)/(VLOOKUP($A179,'[1]import graded seats course pivo'!$A:AF,HLOOKUP('[1]Course Totals'!H$4,'[1]import graded seats course pivo'!$1:$2,2,FALSE),FALSE))),"")</f>
        <v/>
      </c>
      <c r="I179" s="14" t="str">
        <f>IFERROR((VLOOKUP($A179,'[1]import success seats course'!$A:W,HLOOKUP('[1]Course Totals'!I$4,'[1]import success seats course'!$1:$2,2,FALSE),FALSE)/(VLOOKUP($A179,'[1]import graded seats course pivo'!$A:AG,HLOOKUP('[1]Course Totals'!I$4,'[1]import graded seats course pivo'!$1:$2,2,FALSE),FALSE))),"")</f>
        <v/>
      </c>
      <c r="J179" s="14" t="str">
        <f>IFERROR((VLOOKUP($A179,'[1]import success seats course'!$A:X,HLOOKUP('[1]Course Totals'!J$4,'[1]import success seats course'!$1:$2,2,FALSE),FALSE)/(VLOOKUP($A179,'[1]import graded seats course pivo'!$A:AH,HLOOKUP('[1]Course Totals'!J$4,'[1]import graded seats course pivo'!$1:$2,2,FALSE),FALSE))),"")</f>
        <v/>
      </c>
      <c r="K179" s="14" t="str">
        <f>IFERROR((VLOOKUP($A179,'[1]import success seats course'!$A:Y,HLOOKUP('[1]Course Totals'!K$4,'[1]import success seats course'!$1:$2,2,FALSE),FALSE)/(VLOOKUP($A179,'[1]import graded seats course pivo'!$A:AI,HLOOKUP('[1]Course Totals'!K$4,'[1]import graded seats course pivo'!$1:$2,2,FALSE),FALSE))),"")</f>
        <v/>
      </c>
      <c r="L179" s="14" t="str">
        <f>IFERROR((VLOOKUP($A179,'[1]import success seats course'!$A:Z,HLOOKUP('[1]Course Totals'!L$4,'[1]import success seats course'!$1:$2,2,FALSE),FALSE)/(VLOOKUP($A179,'[1]import graded seats course pivo'!$A:AJ,HLOOKUP('[1]Course Totals'!L$4,'[1]import graded seats course pivo'!$1:$2,2,FALSE),FALSE))),"")</f>
        <v/>
      </c>
      <c r="M179" s="14" t="str">
        <f>IFERROR((VLOOKUP($A179,'[1]import success seats course'!$A:AA,HLOOKUP('[1]Course Totals'!M$4,'[1]import success seats course'!$1:$2,2,FALSE),FALSE)/(VLOOKUP($A179,'[1]import graded seats course pivo'!$A:AK,HLOOKUP('[1]Course Totals'!M$4,'[1]import graded seats course pivo'!$1:$2,2,FALSE),FALSE))),"")</f>
        <v/>
      </c>
      <c r="N179" s="14" t="str">
        <f>IFERROR((VLOOKUP($A179,'[1]import success seats course'!$A:AB,HLOOKUP('[1]Course Totals'!N$4,'[1]import success seats course'!$1:$2,2,FALSE),FALSE)/(VLOOKUP($A179,'[1]import graded seats course pivo'!$A:AL,HLOOKUP('[1]Course Totals'!N$4,'[1]import graded seats course pivo'!$1:$2,2,FALSE),FALSE))),"")</f>
        <v/>
      </c>
      <c r="O179" s="14" t="str">
        <f>IFERROR((VLOOKUP($A179,'[1]import success seats course'!$A:AC,HLOOKUP('[1]Course Totals'!O$4,'[1]import success seats course'!$1:$2,2,FALSE),FALSE)/(VLOOKUP($A179,'[1]import graded seats course pivo'!$A:AM,HLOOKUP('[1]Course Totals'!O$4,'[1]import graded seats course pivo'!$1:$2,2,FALSE),FALSE))),"")</f>
        <v/>
      </c>
      <c r="P179" s="14" t="str">
        <f>IFERROR((VLOOKUP($A179,'[1]import success seats course'!$A:AD,HLOOKUP('[1]Course Totals'!P$4,'[1]import success seats course'!$1:$2,2,FALSE),FALSE)/(VLOOKUP($A179,'[1]import graded seats course pivo'!$A:AN,HLOOKUP('[1]Course Totals'!P$4,'[1]import graded seats course pivo'!$1:$2,2,FALSE),FALSE))),"")</f>
        <v/>
      </c>
      <c r="Q179" s="14" t="str">
        <f>IFERROR((VLOOKUP($A179,'[1]import success seats course'!$A:AE,HLOOKUP('[1]Course Totals'!Q$4,'[1]import success seats course'!$1:$2,2,FALSE),FALSE)/(VLOOKUP($A179,'[1]import graded seats course pivo'!$A:AO,HLOOKUP('[1]Course Totals'!Q$4,'[1]import graded seats course pivo'!$1:$2,2,FALSE),FALSE))),"")</f>
        <v/>
      </c>
      <c r="R179" s="14" t="str">
        <f>IFERROR((VLOOKUP($A179,'[1]import success seats course'!$A:AF,HLOOKUP('[1]Course Totals'!R$4,'[1]import success seats course'!$1:$2,2,FALSE),FALSE)/(VLOOKUP($A179,'[1]import graded seats course pivo'!$A:AP,HLOOKUP('[1]Course Totals'!R$4,'[1]import graded seats course pivo'!$1:$2,2,FALSE),FALSE))),"")</f>
        <v/>
      </c>
      <c r="S179" s="14" t="str">
        <f>IFERROR((VLOOKUP($A179,'[1]import success seats course'!$A:AG,HLOOKUP('[1]Course Totals'!S$4,'[1]import success seats course'!$1:$2,2,FALSE),FALSE)/(VLOOKUP($A179,'[1]import graded seats course pivo'!$A:AQ,HLOOKUP('[1]Course Totals'!S$4,'[1]import graded seats course pivo'!$1:$2,2,FALSE),FALSE))),"")</f>
        <v/>
      </c>
      <c r="Z179" s="7"/>
      <c r="AA179" s="7"/>
      <c r="AB179" s="7"/>
      <c r="AC179" s="7"/>
    </row>
    <row r="180" spans="1:29" ht="15.75" hidden="1" customHeight="1" x14ac:dyDescent="0.25">
      <c r="A180" s="12" t="s">
        <v>560</v>
      </c>
      <c r="B180" s="14" t="str">
        <f>IFERROR((VLOOKUP($A180,'[1]import success seats course'!$A:P,HLOOKUP('[1]Course Totals'!B$4,'[1]import success seats course'!$1:$2,2,FALSE),FALSE)/(VLOOKUP($A180,'[1]import graded seats course pivo'!$A:Z,HLOOKUP('[1]Course Totals'!B$4,'[1]import graded seats course pivo'!$1:$2,2,FALSE),FALSE))),"")</f>
        <v/>
      </c>
      <c r="C180" s="14" t="str">
        <f>IFERROR((VLOOKUP($A180,'[1]import success seats course'!$A:Q,HLOOKUP('[1]Course Totals'!C$4,'[1]import success seats course'!$1:$2,2,FALSE),FALSE)/(VLOOKUP($A180,'[1]import graded seats course pivo'!$A:AA,HLOOKUP('[1]Course Totals'!C$4,'[1]import graded seats course pivo'!$1:$2,2,FALSE),FALSE))),"")</f>
        <v/>
      </c>
      <c r="D180" s="14" t="str">
        <f>IFERROR((VLOOKUP($A180,'[1]import success seats course'!$A:R,HLOOKUP('[1]Course Totals'!D$4,'[1]import success seats course'!$1:$2,2,FALSE),FALSE)/(VLOOKUP($A180,'[1]import graded seats course pivo'!$A:AB,HLOOKUP('[1]Course Totals'!D$4,'[1]import graded seats course pivo'!$1:$2,2,FALSE),FALSE))),"")</f>
        <v/>
      </c>
      <c r="E180" s="14" t="str">
        <f>IFERROR((VLOOKUP($A180,'[1]import success seats course'!$A:S,HLOOKUP('[1]Course Totals'!E$4,'[1]import success seats course'!$1:$2,2,FALSE),FALSE)/(VLOOKUP($A180,'[1]import graded seats course pivo'!$A:AC,HLOOKUP('[1]Course Totals'!E$4,'[1]import graded seats course pivo'!$1:$2,2,FALSE),FALSE))),"")</f>
        <v/>
      </c>
      <c r="F180" s="14" t="str">
        <f>IFERROR((VLOOKUP($A180,'[1]import success seats course'!$A:T,HLOOKUP('[1]Course Totals'!F$4,'[1]import success seats course'!$1:$2,2,FALSE),FALSE)/(VLOOKUP($A180,'[1]import graded seats course pivo'!$A:AD,HLOOKUP('[1]Course Totals'!F$4,'[1]import graded seats course pivo'!$1:$2,2,FALSE),FALSE))),"")</f>
        <v/>
      </c>
      <c r="G180" s="14" t="str">
        <f>IFERROR((VLOOKUP($A180,'[1]import success seats course'!$A:U,HLOOKUP('[1]Course Totals'!G$4,'[1]import success seats course'!$1:$2,2,FALSE),FALSE)/(VLOOKUP($A180,'[1]import graded seats course pivo'!$A:AE,HLOOKUP('[1]Course Totals'!G$4,'[1]import graded seats course pivo'!$1:$2,2,FALSE),FALSE))),"")</f>
        <v/>
      </c>
      <c r="H180" s="14" t="str">
        <f>IFERROR((VLOOKUP($A180,'[1]import success seats course'!$A:V,HLOOKUP('[1]Course Totals'!H$4,'[1]import success seats course'!$1:$2,2,FALSE),FALSE)/(VLOOKUP($A180,'[1]import graded seats course pivo'!$A:AF,HLOOKUP('[1]Course Totals'!H$4,'[1]import graded seats course pivo'!$1:$2,2,FALSE),FALSE))),"")</f>
        <v/>
      </c>
      <c r="I180" s="14" t="str">
        <f>IFERROR((VLOOKUP($A180,'[1]import success seats course'!$A:W,HLOOKUP('[1]Course Totals'!I$4,'[1]import success seats course'!$1:$2,2,FALSE),FALSE)/(VLOOKUP($A180,'[1]import graded seats course pivo'!$A:AG,HLOOKUP('[1]Course Totals'!I$4,'[1]import graded seats course pivo'!$1:$2,2,FALSE),FALSE))),"")</f>
        <v/>
      </c>
      <c r="J180" s="14" t="str">
        <f>IFERROR((VLOOKUP($A180,'[1]import success seats course'!$A:X,HLOOKUP('[1]Course Totals'!J$4,'[1]import success seats course'!$1:$2,2,FALSE),FALSE)/(VLOOKUP($A180,'[1]import graded seats course pivo'!$A:AH,HLOOKUP('[1]Course Totals'!J$4,'[1]import graded seats course pivo'!$1:$2,2,FALSE),FALSE))),"")</f>
        <v/>
      </c>
      <c r="K180" s="14" t="str">
        <f>IFERROR((VLOOKUP($A180,'[1]import success seats course'!$A:Y,HLOOKUP('[1]Course Totals'!K$4,'[1]import success seats course'!$1:$2,2,FALSE),FALSE)/(VLOOKUP($A180,'[1]import graded seats course pivo'!$A:AI,HLOOKUP('[1]Course Totals'!K$4,'[1]import graded seats course pivo'!$1:$2,2,FALSE),FALSE))),"")</f>
        <v/>
      </c>
      <c r="L180" s="14" t="str">
        <f>IFERROR((VLOOKUP($A180,'[1]import success seats course'!$A:Z,HLOOKUP('[1]Course Totals'!L$4,'[1]import success seats course'!$1:$2,2,FALSE),FALSE)/(VLOOKUP($A180,'[1]import graded seats course pivo'!$A:AJ,HLOOKUP('[1]Course Totals'!L$4,'[1]import graded seats course pivo'!$1:$2,2,FALSE),FALSE))),"")</f>
        <v/>
      </c>
      <c r="M180" s="14" t="str">
        <f>IFERROR((VLOOKUP($A180,'[1]import success seats course'!$A:AA,HLOOKUP('[1]Course Totals'!M$4,'[1]import success seats course'!$1:$2,2,FALSE),FALSE)/(VLOOKUP($A180,'[1]import graded seats course pivo'!$A:AK,HLOOKUP('[1]Course Totals'!M$4,'[1]import graded seats course pivo'!$1:$2,2,FALSE),FALSE))),"")</f>
        <v/>
      </c>
      <c r="N180" s="14" t="str">
        <f>IFERROR((VLOOKUP($A180,'[1]import success seats course'!$A:AB,HLOOKUP('[1]Course Totals'!N$4,'[1]import success seats course'!$1:$2,2,FALSE),FALSE)/(VLOOKUP($A180,'[1]import graded seats course pivo'!$A:AL,HLOOKUP('[1]Course Totals'!N$4,'[1]import graded seats course pivo'!$1:$2,2,FALSE),FALSE))),"")</f>
        <v/>
      </c>
      <c r="O180" s="14" t="str">
        <f>IFERROR((VLOOKUP($A180,'[1]import success seats course'!$A:AC,HLOOKUP('[1]Course Totals'!O$4,'[1]import success seats course'!$1:$2,2,FALSE),FALSE)/(VLOOKUP($A180,'[1]import graded seats course pivo'!$A:AM,HLOOKUP('[1]Course Totals'!O$4,'[1]import graded seats course pivo'!$1:$2,2,FALSE),FALSE))),"")</f>
        <v/>
      </c>
      <c r="P180" s="14" t="str">
        <f>IFERROR((VLOOKUP($A180,'[1]import success seats course'!$A:AD,HLOOKUP('[1]Course Totals'!P$4,'[1]import success seats course'!$1:$2,2,FALSE),FALSE)/(VLOOKUP($A180,'[1]import graded seats course pivo'!$A:AN,HLOOKUP('[1]Course Totals'!P$4,'[1]import graded seats course pivo'!$1:$2,2,FALSE),FALSE))),"")</f>
        <v/>
      </c>
      <c r="Q180" s="14" t="str">
        <f>IFERROR((VLOOKUP($A180,'[1]import success seats course'!$A:AE,HLOOKUP('[1]Course Totals'!Q$4,'[1]import success seats course'!$1:$2,2,FALSE),FALSE)/(VLOOKUP($A180,'[1]import graded seats course pivo'!$A:AO,HLOOKUP('[1]Course Totals'!Q$4,'[1]import graded seats course pivo'!$1:$2,2,FALSE),FALSE))),"")</f>
        <v/>
      </c>
      <c r="R180" s="14" t="str">
        <f>IFERROR((VLOOKUP($A180,'[1]import success seats course'!$A:AF,HLOOKUP('[1]Course Totals'!R$4,'[1]import success seats course'!$1:$2,2,FALSE),FALSE)/(VLOOKUP($A180,'[1]import graded seats course pivo'!$A:AP,HLOOKUP('[1]Course Totals'!R$4,'[1]import graded seats course pivo'!$1:$2,2,FALSE),FALSE))),"")</f>
        <v/>
      </c>
      <c r="S180" s="14" t="str">
        <f>IFERROR((VLOOKUP($A180,'[1]import success seats course'!$A:AG,HLOOKUP('[1]Course Totals'!S$4,'[1]import success seats course'!$1:$2,2,FALSE),FALSE)/(VLOOKUP($A180,'[1]import graded seats course pivo'!$A:AQ,HLOOKUP('[1]Course Totals'!S$4,'[1]import graded seats course pivo'!$1:$2,2,FALSE),FALSE))),"")</f>
        <v/>
      </c>
      <c r="Z180" s="7"/>
      <c r="AA180" s="7"/>
      <c r="AB180" s="7"/>
      <c r="AC180" s="7"/>
    </row>
    <row r="181" spans="1:29" ht="15.75" hidden="1" customHeight="1" x14ac:dyDescent="0.25">
      <c r="A181" s="12" t="s">
        <v>561</v>
      </c>
      <c r="B181" s="14" t="str">
        <f>IFERROR((VLOOKUP($A181,'[1]import success seats course'!$A:P,HLOOKUP('[1]Course Totals'!B$4,'[1]import success seats course'!$1:$2,2,FALSE),FALSE)/(VLOOKUP($A181,'[1]import graded seats course pivo'!$A:Z,HLOOKUP('[1]Course Totals'!B$4,'[1]import graded seats course pivo'!$1:$2,2,FALSE),FALSE))),"")</f>
        <v/>
      </c>
      <c r="C181" s="14" t="str">
        <f>IFERROR((VLOOKUP($A181,'[1]import success seats course'!$A:Q,HLOOKUP('[1]Course Totals'!C$4,'[1]import success seats course'!$1:$2,2,FALSE),FALSE)/(VLOOKUP($A181,'[1]import graded seats course pivo'!$A:AA,HLOOKUP('[1]Course Totals'!C$4,'[1]import graded seats course pivo'!$1:$2,2,FALSE),FALSE))),"")</f>
        <v/>
      </c>
      <c r="D181" s="14" t="str">
        <f>IFERROR((VLOOKUP($A181,'[1]import success seats course'!$A:R,HLOOKUP('[1]Course Totals'!D$4,'[1]import success seats course'!$1:$2,2,FALSE),FALSE)/(VLOOKUP($A181,'[1]import graded seats course pivo'!$A:AB,HLOOKUP('[1]Course Totals'!D$4,'[1]import graded seats course pivo'!$1:$2,2,FALSE),FALSE))),"")</f>
        <v/>
      </c>
      <c r="E181" s="14" t="str">
        <f>IFERROR((VLOOKUP($A181,'[1]import success seats course'!$A:S,HLOOKUP('[1]Course Totals'!E$4,'[1]import success seats course'!$1:$2,2,FALSE),FALSE)/(VLOOKUP($A181,'[1]import graded seats course pivo'!$A:AC,HLOOKUP('[1]Course Totals'!E$4,'[1]import graded seats course pivo'!$1:$2,2,FALSE),FALSE))),"")</f>
        <v/>
      </c>
      <c r="F181" s="14" t="str">
        <f>IFERROR((VLOOKUP($A181,'[1]import success seats course'!$A:T,HLOOKUP('[1]Course Totals'!F$4,'[1]import success seats course'!$1:$2,2,FALSE),FALSE)/(VLOOKUP($A181,'[1]import graded seats course pivo'!$A:AD,HLOOKUP('[1]Course Totals'!F$4,'[1]import graded seats course pivo'!$1:$2,2,FALSE),FALSE))),"")</f>
        <v/>
      </c>
      <c r="G181" s="14" t="str">
        <f>IFERROR((VLOOKUP($A181,'[1]import success seats course'!$A:U,HLOOKUP('[1]Course Totals'!G$4,'[1]import success seats course'!$1:$2,2,FALSE),FALSE)/(VLOOKUP($A181,'[1]import graded seats course pivo'!$A:AE,HLOOKUP('[1]Course Totals'!G$4,'[1]import graded seats course pivo'!$1:$2,2,FALSE),FALSE))),"")</f>
        <v/>
      </c>
      <c r="H181" s="14" t="str">
        <f>IFERROR((VLOOKUP($A181,'[1]import success seats course'!$A:V,HLOOKUP('[1]Course Totals'!H$4,'[1]import success seats course'!$1:$2,2,FALSE),FALSE)/(VLOOKUP($A181,'[1]import graded seats course pivo'!$A:AF,HLOOKUP('[1]Course Totals'!H$4,'[1]import graded seats course pivo'!$1:$2,2,FALSE),FALSE))),"")</f>
        <v/>
      </c>
      <c r="I181" s="14" t="str">
        <f>IFERROR((VLOOKUP($A181,'[1]import success seats course'!$A:W,HLOOKUP('[1]Course Totals'!I$4,'[1]import success seats course'!$1:$2,2,FALSE),FALSE)/(VLOOKUP($A181,'[1]import graded seats course pivo'!$A:AG,HLOOKUP('[1]Course Totals'!I$4,'[1]import graded seats course pivo'!$1:$2,2,FALSE),FALSE))),"")</f>
        <v/>
      </c>
      <c r="J181" s="14" t="str">
        <f>IFERROR((VLOOKUP($A181,'[1]import success seats course'!$A:X,HLOOKUP('[1]Course Totals'!J$4,'[1]import success seats course'!$1:$2,2,FALSE),FALSE)/(VLOOKUP($A181,'[1]import graded seats course pivo'!$A:AH,HLOOKUP('[1]Course Totals'!J$4,'[1]import graded seats course pivo'!$1:$2,2,FALSE),FALSE))),"")</f>
        <v/>
      </c>
      <c r="K181" s="14" t="str">
        <f>IFERROR((VLOOKUP($A181,'[1]import success seats course'!$A:Y,HLOOKUP('[1]Course Totals'!K$4,'[1]import success seats course'!$1:$2,2,FALSE),FALSE)/(VLOOKUP($A181,'[1]import graded seats course pivo'!$A:AI,HLOOKUP('[1]Course Totals'!K$4,'[1]import graded seats course pivo'!$1:$2,2,FALSE),FALSE))),"")</f>
        <v/>
      </c>
      <c r="L181" s="14" t="str">
        <f>IFERROR((VLOOKUP($A181,'[1]import success seats course'!$A:Z,HLOOKUP('[1]Course Totals'!L$4,'[1]import success seats course'!$1:$2,2,FALSE),FALSE)/(VLOOKUP($A181,'[1]import graded seats course pivo'!$A:AJ,HLOOKUP('[1]Course Totals'!L$4,'[1]import graded seats course pivo'!$1:$2,2,FALSE),FALSE))),"")</f>
        <v/>
      </c>
      <c r="M181" s="14" t="str">
        <f>IFERROR((VLOOKUP($A181,'[1]import success seats course'!$A:AA,HLOOKUP('[1]Course Totals'!M$4,'[1]import success seats course'!$1:$2,2,FALSE),FALSE)/(VLOOKUP($A181,'[1]import graded seats course pivo'!$A:AK,HLOOKUP('[1]Course Totals'!M$4,'[1]import graded seats course pivo'!$1:$2,2,FALSE),FALSE))),"")</f>
        <v/>
      </c>
      <c r="N181" s="14" t="str">
        <f>IFERROR((VLOOKUP($A181,'[1]import success seats course'!$A:AB,HLOOKUP('[1]Course Totals'!N$4,'[1]import success seats course'!$1:$2,2,FALSE),FALSE)/(VLOOKUP($A181,'[1]import graded seats course pivo'!$A:AL,HLOOKUP('[1]Course Totals'!N$4,'[1]import graded seats course pivo'!$1:$2,2,FALSE),FALSE))),"")</f>
        <v/>
      </c>
      <c r="O181" s="14" t="str">
        <f>IFERROR((VLOOKUP($A181,'[1]import success seats course'!$A:AC,HLOOKUP('[1]Course Totals'!O$4,'[1]import success seats course'!$1:$2,2,FALSE),FALSE)/(VLOOKUP($A181,'[1]import graded seats course pivo'!$A:AM,HLOOKUP('[1]Course Totals'!O$4,'[1]import graded seats course pivo'!$1:$2,2,FALSE),FALSE))),"")</f>
        <v/>
      </c>
      <c r="P181" s="14" t="str">
        <f>IFERROR((VLOOKUP($A181,'[1]import success seats course'!$A:AD,HLOOKUP('[1]Course Totals'!P$4,'[1]import success seats course'!$1:$2,2,FALSE),FALSE)/(VLOOKUP($A181,'[1]import graded seats course pivo'!$A:AN,HLOOKUP('[1]Course Totals'!P$4,'[1]import graded seats course pivo'!$1:$2,2,FALSE),FALSE))),"")</f>
        <v/>
      </c>
      <c r="Q181" s="14" t="str">
        <f>IFERROR((VLOOKUP($A181,'[1]import success seats course'!$A:AE,HLOOKUP('[1]Course Totals'!Q$4,'[1]import success seats course'!$1:$2,2,FALSE),FALSE)/(VLOOKUP($A181,'[1]import graded seats course pivo'!$A:AO,HLOOKUP('[1]Course Totals'!Q$4,'[1]import graded seats course pivo'!$1:$2,2,FALSE),FALSE))),"")</f>
        <v/>
      </c>
      <c r="R181" s="14" t="str">
        <f>IFERROR((VLOOKUP($A181,'[1]import success seats course'!$A:AF,HLOOKUP('[1]Course Totals'!R$4,'[1]import success seats course'!$1:$2,2,FALSE),FALSE)/(VLOOKUP($A181,'[1]import graded seats course pivo'!$A:AP,HLOOKUP('[1]Course Totals'!R$4,'[1]import graded seats course pivo'!$1:$2,2,FALSE),FALSE))),"")</f>
        <v/>
      </c>
      <c r="S181" s="14" t="str">
        <f>IFERROR((VLOOKUP($A181,'[1]import success seats course'!$A:AG,HLOOKUP('[1]Course Totals'!S$4,'[1]import success seats course'!$1:$2,2,FALSE),FALSE)/(VLOOKUP($A181,'[1]import graded seats course pivo'!$A:AQ,HLOOKUP('[1]Course Totals'!S$4,'[1]import graded seats course pivo'!$1:$2,2,FALSE),FALSE))),"")</f>
        <v/>
      </c>
      <c r="Z181" s="7"/>
      <c r="AA181" s="7"/>
      <c r="AB181" s="7"/>
      <c r="AC181" s="7"/>
    </row>
    <row r="182" spans="1:29" ht="15.75" hidden="1" customHeight="1" x14ac:dyDescent="0.25">
      <c r="A182" s="12" t="s">
        <v>562</v>
      </c>
      <c r="B182" s="14" t="str">
        <f>IFERROR((VLOOKUP($A182,'[1]import success seats course'!$A:P,HLOOKUP('[1]Course Totals'!B$4,'[1]import success seats course'!$1:$2,2,FALSE),FALSE)/(VLOOKUP($A182,'[1]import graded seats course pivo'!$A:Z,HLOOKUP('[1]Course Totals'!B$4,'[1]import graded seats course pivo'!$1:$2,2,FALSE),FALSE))),"")</f>
        <v/>
      </c>
      <c r="C182" s="14" t="str">
        <f>IFERROR((VLOOKUP($A182,'[1]import success seats course'!$A:Q,HLOOKUP('[1]Course Totals'!C$4,'[1]import success seats course'!$1:$2,2,FALSE),FALSE)/(VLOOKUP($A182,'[1]import graded seats course pivo'!$A:AA,HLOOKUP('[1]Course Totals'!C$4,'[1]import graded seats course pivo'!$1:$2,2,FALSE),FALSE))),"")</f>
        <v/>
      </c>
      <c r="D182" s="14" t="str">
        <f>IFERROR((VLOOKUP($A182,'[1]import success seats course'!$A:R,HLOOKUP('[1]Course Totals'!D$4,'[1]import success seats course'!$1:$2,2,FALSE),FALSE)/(VLOOKUP($A182,'[1]import graded seats course pivo'!$A:AB,HLOOKUP('[1]Course Totals'!D$4,'[1]import graded seats course pivo'!$1:$2,2,FALSE),FALSE))),"")</f>
        <v/>
      </c>
      <c r="E182" s="14" t="str">
        <f>IFERROR((VLOOKUP($A182,'[1]import success seats course'!$A:S,HLOOKUP('[1]Course Totals'!E$4,'[1]import success seats course'!$1:$2,2,FALSE),FALSE)/(VLOOKUP($A182,'[1]import graded seats course pivo'!$A:AC,HLOOKUP('[1]Course Totals'!E$4,'[1]import graded seats course pivo'!$1:$2,2,FALSE),FALSE))),"")</f>
        <v/>
      </c>
      <c r="F182" s="14" t="str">
        <f>IFERROR((VLOOKUP($A182,'[1]import success seats course'!$A:T,HLOOKUP('[1]Course Totals'!F$4,'[1]import success seats course'!$1:$2,2,FALSE),FALSE)/(VLOOKUP($A182,'[1]import graded seats course pivo'!$A:AD,HLOOKUP('[1]Course Totals'!F$4,'[1]import graded seats course pivo'!$1:$2,2,FALSE),FALSE))),"")</f>
        <v/>
      </c>
      <c r="G182" s="14" t="str">
        <f>IFERROR((VLOOKUP($A182,'[1]import success seats course'!$A:U,HLOOKUP('[1]Course Totals'!G$4,'[1]import success seats course'!$1:$2,2,FALSE),FALSE)/(VLOOKUP($A182,'[1]import graded seats course pivo'!$A:AE,HLOOKUP('[1]Course Totals'!G$4,'[1]import graded seats course pivo'!$1:$2,2,FALSE),FALSE))),"")</f>
        <v/>
      </c>
      <c r="H182" s="14" t="str">
        <f>IFERROR((VLOOKUP($A182,'[1]import success seats course'!$A:V,HLOOKUP('[1]Course Totals'!H$4,'[1]import success seats course'!$1:$2,2,FALSE),FALSE)/(VLOOKUP($A182,'[1]import graded seats course pivo'!$A:AF,HLOOKUP('[1]Course Totals'!H$4,'[1]import graded seats course pivo'!$1:$2,2,FALSE),FALSE))),"")</f>
        <v/>
      </c>
      <c r="I182" s="14" t="str">
        <f>IFERROR((VLOOKUP($A182,'[1]import success seats course'!$A:W,HLOOKUP('[1]Course Totals'!I$4,'[1]import success seats course'!$1:$2,2,FALSE),FALSE)/(VLOOKUP($A182,'[1]import graded seats course pivo'!$A:AG,HLOOKUP('[1]Course Totals'!I$4,'[1]import graded seats course pivo'!$1:$2,2,FALSE),FALSE))),"")</f>
        <v/>
      </c>
      <c r="J182" s="14" t="str">
        <f>IFERROR((VLOOKUP($A182,'[1]import success seats course'!$A:X,HLOOKUP('[1]Course Totals'!J$4,'[1]import success seats course'!$1:$2,2,FALSE),FALSE)/(VLOOKUP($A182,'[1]import graded seats course pivo'!$A:AH,HLOOKUP('[1]Course Totals'!J$4,'[1]import graded seats course pivo'!$1:$2,2,FALSE),FALSE))),"")</f>
        <v/>
      </c>
      <c r="K182" s="14" t="str">
        <f>IFERROR((VLOOKUP($A182,'[1]import success seats course'!$A:Y,HLOOKUP('[1]Course Totals'!K$4,'[1]import success seats course'!$1:$2,2,FALSE),FALSE)/(VLOOKUP($A182,'[1]import graded seats course pivo'!$A:AI,HLOOKUP('[1]Course Totals'!K$4,'[1]import graded seats course pivo'!$1:$2,2,FALSE),FALSE))),"")</f>
        <v/>
      </c>
      <c r="L182" s="14" t="str">
        <f>IFERROR((VLOOKUP($A182,'[1]import success seats course'!$A:Z,HLOOKUP('[1]Course Totals'!L$4,'[1]import success seats course'!$1:$2,2,FALSE),FALSE)/(VLOOKUP($A182,'[1]import graded seats course pivo'!$A:AJ,HLOOKUP('[1]Course Totals'!L$4,'[1]import graded seats course pivo'!$1:$2,2,FALSE),FALSE))),"")</f>
        <v/>
      </c>
      <c r="M182" s="14" t="str">
        <f>IFERROR((VLOOKUP($A182,'[1]import success seats course'!$A:AA,HLOOKUP('[1]Course Totals'!M$4,'[1]import success seats course'!$1:$2,2,FALSE),FALSE)/(VLOOKUP($A182,'[1]import graded seats course pivo'!$A:AK,HLOOKUP('[1]Course Totals'!M$4,'[1]import graded seats course pivo'!$1:$2,2,FALSE),FALSE))),"")</f>
        <v/>
      </c>
      <c r="N182" s="14" t="str">
        <f>IFERROR((VLOOKUP($A182,'[1]import success seats course'!$A:AB,HLOOKUP('[1]Course Totals'!N$4,'[1]import success seats course'!$1:$2,2,FALSE),FALSE)/(VLOOKUP($A182,'[1]import graded seats course pivo'!$A:AL,HLOOKUP('[1]Course Totals'!N$4,'[1]import graded seats course pivo'!$1:$2,2,FALSE),FALSE))),"")</f>
        <v/>
      </c>
      <c r="O182" s="14" t="str">
        <f>IFERROR((VLOOKUP($A182,'[1]import success seats course'!$A:AC,HLOOKUP('[1]Course Totals'!O$4,'[1]import success seats course'!$1:$2,2,FALSE),FALSE)/(VLOOKUP($A182,'[1]import graded seats course pivo'!$A:AM,HLOOKUP('[1]Course Totals'!O$4,'[1]import graded seats course pivo'!$1:$2,2,FALSE),FALSE))),"")</f>
        <v/>
      </c>
      <c r="P182" s="14" t="str">
        <f>IFERROR((VLOOKUP($A182,'[1]import success seats course'!$A:AD,HLOOKUP('[1]Course Totals'!P$4,'[1]import success seats course'!$1:$2,2,FALSE),FALSE)/(VLOOKUP($A182,'[1]import graded seats course pivo'!$A:AN,HLOOKUP('[1]Course Totals'!P$4,'[1]import graded seats course pivo'!$1:$2,2,FALSE),FALSE))),"")</f>
        <v/>
      </c>
      <c r="Q182" s="14" t="str">
        <f>IFERROR((VLOOKUP($A182,'[1]import success seats course'!$A:AE,HLOOKUP('[1]Course Totals'!Q$4,'[1]import success seats course'!$1:$2,2,FALSE),FALSE)/(VLOOKUP($A182,'[1]import graded seats course pivo'!$A:AO,HLOOKUP('[1]Course Totals'!Q$4,'[1]import graded seats course pivo'!$1:$2,2,FALSE),FALSE))),"")</f>
        <v/>
      </c>
      <c r="R182" s="14" t="str">
        <f>IFERROR((VLOOKUP($A182,'[1]import success seats course'!$A:AF,HLOOKUP('[1]Course Totals'!R$4,'[1]import success seats course'!$1:$2,2,FALSE),FALSE)/(VLOOKUP($A182,'[1]import graded seats course pivo'!$A:AP,HLOOKUP('[1]Course Totals'!R$4,'[1]import graded seats course pivo'!$1:$2,2,FALSE),FALSE))),"")</f>
        <v/>
      </c>
      <c r="S182" s="14" t="str">
        <f>IFERROR((VLOOKUP($A182,'[1]import success seats course'!$A:AG,HLOOKUP('[1]Course Totals'!S$4,'[1]import success seats course'!$1:$2,2,FALSE),FALSE)/(VLOOKUP($A182,'[1]import graded seats course pivo'!$A:AQ,HLOOKUP('[1]Course Totals'!S$4,'[1]import graded seats course pivo'!$1:$2,2,FALSE),FALSE))),"")</f>
        <v/>
      </c>
      <c r="Z182" s="7"/>
      <c r="AA182" s="7"/>
      <c r="AB182" s="7"/>
      <c r="AC182" s="7"/>
    </row>
    <row r="183" spans="1:29" ht="15.75" customHeight="1" x14ac:dyDescent="0.25">
      <c r="A183" s="12" t="s">
        <v>563</v>
      </c>
      <c r="B183" s="14" t="str">
        <f>IFERROR((VLOOKUP($A183,'[1]import success seats course'!$A:P,HLOOKUP('[1]Course Totals'!B$4,'[1]import success seats course'!$1:$2,2,FALSE),FALSE)/(VLOOKUP($A183,'[1]import graded seats course pivo'!$A:Z,HLOOKUP('[1]Course Totals'!B$4,'[1]import graded seats course pivo'!$1:$2,2,FALSE),FALSE))),"")</f>
        <v/>
      </c>
      <c r="C183" s="14" t="str">
        <f>IFERROR((VLOOKUP($A183,'[1]import success seats course'!$A:Q,HLOOKUP('[1]Course Totals'!C$4,'[1]import success seats course'!$1:$2,2,FALSE),FALSE)/(VLOOKUP($A183,'[1]import graded seats course pivo'!$A:AA,HLOOKUP('[1]Course Totals'!C$4,'[1]import graded seats course pivo'!$1:$2,2,FALSE),FALSE))),"")</f>
        <v/>
      </c>
      <c r="D183" s="14">
        <f>IFERROR((VLOOKUP($A183,'[1]import success seats course'!$A:R,HLOOKUP('[1]Course Totals'!D$4,'[1]import success seats course'!$1:$2,2,FALSE),FALSE)/(VLOOKUP($A183,'[1]import graded seats course pivo'!$A:AB,HLOOKUP('[1]Course Totals'!D$4,'[1]import graded seats course pivo'!$1:$2,2,FALSE),FALSE))),"")</f>
        <v>1</v>
      </c>
      <c r="E183" s="14" t="str">
        <f>IFERROR((VLOOKUP($A183,'[1]import success seats course'!$A:S,HLOOKUP('[1]Course Totals'!E$4,'[1]import success seats course'!$1:$2,2,FALSE),FALSE)/(VLOOKUP($A183,'[1]import graded seats course pivo'!$A:AC,HLOOKUP('[1]Course Totals'!E$4,'[1]import graded seats course pivo'!$1:$2,2,FALSE),FALSE))),"")</f>
        <v/>
      </c>
      <c r="F183" s="14" t="str">
        <f>IFERROR((VLOOKUP($A183,'[1]import success seats course'!$A:T,HLOOKUP('[1]Course Totals'!F$4,'[1]import success seats course'!$1:$2,2,FALSE),FALSE)/(VLOOKUP($A183,'[1]import graded seats course pivo'!$A:AD,HLOOKUP('[1]Course Totals'!F$4,'[1]import graded seats course pivo'!$1:$2,2,FALSE),FALSE))),"")</f>
        <v/>
      </c>
      <c r="G183" s="14" t="str">
        <f>IFERROR((VLOOKUP($A183,'[1]import success seats course'!$A:U,HLOOKUP('[1]Course Totals'!G$4,'[1]import success seats course'!$1:$2,2,FALSE),FALSE)/(VLOOKUP($A183,'[1]import graded seats course pivo'!$A:AE,HLOOKUP('[1]Course Totals'!G$4,'[1]import graded seats course pivo'!$1:$2,2,FALSE),FALSE))),"")</f>
        <v/>
      </c>
      <c r="H183" s="14" t="str">
        <f>IFERROR((VLOOKUP($A183,'[1]import success seats course'!$A:V,HLOOKUP('[1]Course Totals'!H$4,'[1]import success seats course'!$1:$2,2,FALSE),FALSE)/(VLOOKUP($A183,'[1]import graded seats course pivo'!$A:AF,HLOOKUP('[1]Course Totals'!H$4,'[1]import graded seats course pivo'!$1:$2,2,FALSE),FALSE))),"")</f>
        <v/>
      </c>
      <c r="I183" s="14" t="str">
        <f>IFERROR((VLOOKUP($A183,'[1]import success seats course'!$A:W,HLOOKUP('[1]Course Totals'!I$4,'[1]import success seats course'!$1:$2,2,FALSE),FALSE)/(VLOOKUP($A183,'[1]import graded seats course pivo'!$A:AG,HLOOKUP('[1]Course Totals'!I$4,'[1]import graded seats course pivo'!$1:$2,2,FALSE),FALSE))),"")</f>
        <v/>
      </c>
      <c r="J183" s="14" t="str">
        <f>IFERROR((VLOOKUP($A183,'[1]import success seats course'!$A:X,HLOOKUP('[1]Course Totals'!J$4,'[1]import success seats course'!$1:$2,2,FALSE),FALSE)/(VLOOKUP($A183,'[1]import graded seats course pivo'!$A:AH,HLOOKUP('[1]Course Totals'!J$4,'[1]import graded seats course pivo'!$1:$2,2,FALSE),FALSE))),"")</f>
        <v/>
      </c>
      <c r="K183" s="14" t="str">
        <f>IFERROR((VLOOKUP($A183,'[1]import success seats course'!$A:Y,HLOOKUP('[1]Course Totals'!K$4,'[1]import success seats course'!$1:$2,2,FALSE),FALSE)/(VLOOKUP($A183,'[1]import graded seats course pivo'!$A:AI,HLOOKUP('[1]Course Totals'!K$4,'[1]import graded seats course pivo'!$1:$2,2,FALSE),FALSE))),"")</f>
        <v/>
      </c>
      <c r="L183" s="14" t="str">
        <f>IFERROR((VLOOKUP($A183,'[1]import success seats course'!$A:Z,HLOOKUP('[1]Course Totals'!L$4,'[1]import success seats course'!$1:$2,2,FALSE),FALSE)/(VLOOKUP($A183,'[1]import graded seats course pivo'!$A:AJ,HLOOKUP('[1]Course Totals'!L$4,'[1]import graded seats course pivo'!$1:$2,2,FALSE),FALSE))),"")</f>
        <v/>
      </c>
      <c r="M183" s="14" t="str">
        <f>IFERROR((VLOOKUP($A183,'[1]import success seats course'!$A:AA,HLOOKUP('[1]Course Totals'!M$4,'[1]import success seats course'!$1:$2,2,FALSE),FALSE)/(VLOOKUP($A183,'[1]import graded seats course pivo'!$A:AK,HLOOKUP('[1]Course Totals'!M$4,'[1]import graded seats course pivo'!$1:$2,2,FALSE),FALSE))),"")</f>
        <v/>
      </c>
      <c r="N183" s="14" t="str">
        <f>IFERROR((VLOOKUP($A183,'[1]import success seats course'!$A:AB,HLOOKUP('[1]Course Totals'!N$4,'[1]import success seats course'!$1:$2,2,FALSE),FALSE)/(VLOOKUP($A183,'[1]import graded seats course pivo'!$A:AL,HLOOKUP('[1]Course Totals'!N$4,'[1]import graded seats course pivo'!$1:$2,2,FALSE),FALSE))),"")</f>
        <v/>
      </c>
      <c r="O183" s="14" t="str">
        <f>IFERROR((VLOOKUP($A183,'[1]import success seats course'!$A:AC,HLOOKUP('[1]Course Totals'!O$4,'[1]import success seats course'!$1:$2,2,FALSE),FALSE)/(VLOOKUP($A183,'[1]import graded seats course pivo'!$A:AM,HLOOKUP('[1]Course Totals'!O$4,'[1]import graded seats course pivo'!$1:$2,2,FALSE),FALSE))),"")</f>
        <v/>
      </c>
      <c r="P183" s="14" t="str">
        <f>IFERROR((VLOOKUP($A183,'[1]import success seats course'!$A:AD,HLOOKUP('[1]Course Totals'!P$4,'[1]import success seats course'!$1:$2,2,FALSE),FALSE)/(VLOOKUP($A183,'[1]import graded seats course pivo'!$A:AN,HLOOKUP('[1]Course Totals'!P$4,'[1]import graded seats course pivo'!$1:$2,2,FALSE),FALSE))),"")</f>
        <v/>
      </c>
      <c r="Q183" s="14" t="str">
        <f>IFERROR((VLOOKUP($A183,'[1]import success seats course'!$A:AE,HLOOKUP('[1]Course Totals'!Q$4,'[1]import success seats course'!$1:$2,2,FALSE),FALSE)/(VLOOKUP($A183,'[1]import graded seats course pivo'!$A:AO,HLOOKUP('[1]Course Totals'!Q$4,'[1]import graded seats course pivo'!$1:$2,2,FALSE),FALSE))),"")</f>
        <v/>
      </c>
      <c r="R183" s="14" t="str">
        <f>IFERROR((VLOOKUP($A183,'[1]import success seats course'!$A:AF,HLOOKUP('[1]Course Totals'!R$4,'[1]import success seats course'!$1:$2,2,FALSE),FALSE)/(VLOOKUP($A183,'[1]import graded seats course pivo'!$A:AP,HLOOKUP('[1]Course Totals'!R$4,'[1]import graded seats course pivo'!$1:$2,2,FALSE),FALSE))),"")</f>
        <v/>
      </c>
      <c r="S183" s="14" t="str">
        <f>IFERROR((VLOOKUP($A183,'[1]import success seats course'!$A:AG,HLOOKUP('[1]Course Totals'!S$4,'[1]import success seats course'!$1:$2,2,FALSE),FALSE)/(VLOOKUP($A183,'[1]import graded seats course pivo'!$A:AQ,HLOOKUP('[1]Course Totals'!S$4,'[1]import graded seats course pivo'!$1:$2,2,FALSE),FALSE))),"")</f>
        <v/>
      </c>
      <c r="Z183" s="7"/>
      <c r="AA183" s="7"/>
      <c r="AB183" s="7"/>
      <c r="AC183" s="7"/>
    </row>
    <row r="184" spans="1:29" ht="15.75" customHeight="1" x14ac:dyDescent="0.25">
      <c r="A184" s="12" t="s">
        <v>564</v>
      </c>
      <c r="B184" s="14" t="str">
        <f>IFERROR((VLOOKUP($A184,'[1]import success seats course'!$A:P,HLOOKUP('[1]Course Totals'!B$4,'[1]import success seats course'!$1:$2,2,FALSE),FALSE)/(VLOOKUP($A184,'[1]import graded seats course pivo'!$A:Z,HLOOKUP('[1]Course Totals'!B$4,'[1]import graded seats course pivo'!$1:$2,2,FALSE),FALSE))),"")</f>
        <v/>
      </c>
      <c r="C184" s="14" t="str">
        <f>IFERROR((VLOOKUP($A184,'[1]import success seats course'!$A:Q,HLOOKUP('[1]Course Totals'!C$4,'[1]import success seats course'!$1:$2,2,FALSE),FALSE)/(VLOOKUP($A184,'[1]import graded seats course pivo'!$A:AA,HLOOKUP('[1]Course Totals'!C$4,'[1]import graded seats course pivo'!$1:$2,2,FALSE),FALSE))),"")</f>
        <v/>
      </c>
      <c r="D184" s="14">
        <f>IFERROR((VLOOKUP($A184,'[1]import success seats course'!$A:R,HLOOKUP('[1]Course Totals'!D$4,'[1]import success seats course'!$1:$2,2,FALSE),FALSE)/(VLOOKUP($A184,'[1]import graded seats course pivo'!$A:AB,HLOOKUP('[1]Course Totals'!D$4,'[1]import graded seats course pivo'!$1:$2,2,FALSE),FALSE))),"")</f>
        <v>1</v>
      </c>
      <c r="E184" s="14" t="str">
        <f>IFERROR((VLOOKUP($A184,'[1]import success seats course'!$A:S,HLOOKUP('[1]Course Totals'!E$4,'[1]import success seats course'!$1:$2,2,FALSE),FALSE)/(VLOOKUP($A184,'[1]import graded seats course pivo'!$A:AC,HLOOKUP('[1]Course Totals'!E$4,'[1]import graded seats course pivo'!$1:$2,2,FALSE),FALSE))),"")</f>
        <v/>
      </c>
      <c r="F184" s="14" t="str">
        <f>IFERROR((VLOOKUP($A184,'[1]import success seats course'!$A:T,HLOOKUP('[1]Course Totals'!F$4,'[1]import success seats course'!$1:$2,2,FALSE),FALSE)/(VLOOKUP($A184,'[1]import graded seats course pivo'!$A:AD,HLOOKUP('[1]Course Totals'!F$4,'[1]import graded seats course pivo'!$1:$2,2,FALSE),FALSE))),"")</f>
        <v/>
      </c>
      <c r="G184" s="14" t="str">
        <f>IFERROR((VLOOKUP($A184,'[1]import success seats course'!$A:U,HLOOKUP('[1]Course Totals'!G$4,'[1]import success seats course'!$1:$2,2,FALSE),FALSE)/(VLOOKUP($A184,'[1]import graded seats course pivo'!$A:AE,HLOOKUP('[1]Course Totals'!G$4,'[1]import graded seats course pivo'!$1:$2,2,FALSE),FALSE))),"")</f>
        <v/>
      </c>
      <c r="H184" s="14" t="str">
        <f>IFERROR((VLOOKUP($A184,'[1]import success seats course'!$A:V,HLOOKUP('[1]Course Totals'!H$4,'[1]import success seats course'!$1:$2,2,FALSE),FALSE)/(VLOOKUP($A184,'[1]import graded seats course pivo'!$A:AF,HLOOKUP('[1]Course Totals'!H$4,'[1]import graded seats course pivo'!$1:$2,2,FALSE),FALSE))),"")</f>
        <v/>
      </c>
      <c r="I184" s="14" t="str">
        <f>IFERROR((VLOOKUP($A184,'[1]import success seats course'!$A:W,HLOOKUP('[1]Course Totals'!I$4,'[1]import success seats course'!$1:$2,2,FALSE),FALSE)/(VLOOKUP($A184,'[1]import graded seats course pivo'!$A:AG,HLOOKUP('[1]Course Totals'!I$4,'[1]import graded seats course pivo'!$1:$2,2,FALSE),FALSE))),"")</f>
        <v/>
      </c>
      <c r="J184" s="14" t="str">
        <f>IFERROR((VLOOKUP($A184,'[1]import success seats course'!$A:X,HLOOKUP('[1]Course Totals'!J$4,'[1]import success seats course'!$1:$2,2,FALSE),FALSE)/(VLOOKUP($A184,'[1]import graded seats course pivo'!$A:AH,HLOOKUP('[1]Course Totals'!J$4,'[1]import graded seats course pivo'!$1:$2,2,FALSE),FALSE))),"")</f>
        <v/>
      </c>
      <c r="K184" s="14" t="str">
        <f>IFERROR((VLOOKUP($A184,'[1]import success seats course'!$A:Y,HLOOKUP('[1]Course Totals'!K$4,'[1]import success seats course'!$1:$2,2,FALSE),FALSE)/(VLOOKUP($A184,'[1]import graded seats course pivo'!$A:AI,HLOOKUP('[1]Course Totals'!K$4,'[1]import graded seats course pivo'!$1:$2,2,FALSE),FALSE))),"")</f>
        <v/>
      </c>
      <c r="L184" s="14" t="str">
        <f>IFERROR((VLOOKUP($A184,'[1]import success seats course'!$A:Z,HLOOKUP('[1]Course Totals'!L$4,'[1]import success seats course'!$1:$2,2,FALSE),FALSE)/(VLOOKUP($A184,'[1]import graded seats course pivo'!$A:AJ,HLOOKUP('[1]Course Totals'!L$4,'[1]import graded seats course pivo'!$1:$2,2,FALSE),FALSE))),"")</f>
        <v/>
      </c>
      <c r="M184" s="14" t="str">
        <f>IFERROR((VLOOKUP($A184,'[1]import success seats course'!$A:AA,HLOOKUP('[1]Course Totals'!M$4,'[1]import success seats course'!$1:$2,2,FALSE),FALSE)/(VLOOKUP($A184,'[1]import graded seats course pivo'!$A:AK,HLOOKUP('[1]Course Totals'!M$4,'[1]import graded seats course pivo'!$1:$2,2,FALSE),FALSE))),"")</f>
        <v/>
      </c>
      <c r="N184" s="14" t="str">
        <f>IFERROR((VLOOKUP($A184,'[1]import success seats course'!$A:AB,HLOOKUP('[1]Course Totals'!N$4,'[1]import success seats course'!$1:$2,2,FALSE),FALSE)/(VLOOKUP($A184,'[1]import graded seats course pivo'!$A:AL,HLOOKUP('[1]Course Totals'!N$4,'[1]import graded seats course pivo'!$1:$2,2,FALSE),FALSE))),"")</f>
        <v/>
      </c>
      <c r="O184" s="14" t="str">
        <f>IFERROR((VLOOKUP($A184,'[1]import success seats course'!$A:AC,HLOOKUP('[1]Course Totals'!O$4,'[1]import success seats course'!$1:$2,2,FALSE),FALSE)/(VLOOKUP($A184,'[1]import graded seats course pivo'!$A:AM,HLOOKUP('[1]Course Totals'!O$4,'[1]import graded seats course pivo'!$1:$2,2,FALSE),FALSE))),"")</f>
        <v/>
      </c>
      <c r="P184" s="14" t="str">
        <f>IFERROR((VLOOKUP($A184,'[1]import success seats course'!$A:AD,HLOOKUP('[1]Course Totals'!P$4,'[1]import success seats course'!$1:$2,2,FALSE),FALSE)/(VLOOKUP($A184,'[1]import graded seats course pivo'!$A:AN,HLOOKUP('[1]Course Totals'!P$4,'[1]import graded seats course pivo'!$1:$2,2,FALSE),FALSE))),"")</f>
        <v/>
      </c>
      <c r="Q184" s="14" t="str">
        <f>IFERROR((VLOOKUP($A184,'[1]import success seats course'!$A:AE,HLOOKUP('[1]Course Totals'!Q$4,'[1]import success seats course'!$1:$2,2,FALSE),FALSE)/(VLOOKUP($A184,'[1]import graded seats course pivo'!$A:AO,HLOOKUP('[1]Course Totals'!Q$4,'[1]import graded seats course pivo'!$1:$2,2,FALSE),FALSE))),"")</f>
        <v/>
      </c>
      <c r="R184" s="14" t="str">
        <f>IFERROR((VLOOKUP($A184,'[1]import success seats course'!$A:AF,HLOOKUP('[1]Course Totals'!R$4,'[1]import success seats course'!$1:$2,2,FALSE),FALSE)/(VLOOKUP($A184,'[1]import graded seats course pivo'!$A:AP,HLOOKUP('[1]Course Totals'!R$4,'[1]import graded seats course pivo'!$1:$2,2,FALSE),FALSE))),"")</f>
        <v/>
      </c>
      <c r="S184" s="14" t="str">
        <f>IFERROR((VLOOKUP($A184,'[1]import success seats course'!$A:AG,HLOOKUP('[1]Course Totals'!S$4,'[1]import success seats course'!$1:$2,2,FALSE),FALSE)/(VLOOKUP($A184,'[1]import graded seats course pivo'!$A:AQ,HLOOKUP('[1]Course Totals'!S$4,'[1]import graded seats course pivo'!$1:$2,2,FALSE),FALSE))),"")</f>
        <v/>
      </c>
      <c r="Z184" s="7"/>
      <c r="AA184" s="7"/>
      <c r="AB184" s="7"/>
      <c r="AC184" s="7"/>
    </row>
    <row r="185" spans="1:29" ht="15.75" hidden="1" customHeight="1" x14ac:dyDescent="0.25">
      <c r="A185" s="12" t="s">
        <v>565</v>
      </c>
      <c r="B185" s="14" t="str">
        <f>IFERROR((VLOOKUP($A185,'[1]import success seats course'!$A:P,HLOOKUP('[1]Course Totals'!B$4,'[1]import success seats course'!$1:$2,2,FALSE),FALSE)/(VLOOKUP($A185,'[1]import graded seats course pivo'!$A:Z,HLOOKUP('[1]Course Totals'!B$4,'[1]import graded seats course pivo'!$1:$2,2,FALSE),FALSE))),"")</f>
        <v/>
      </c>
      <c r="C185" s="14" t="str">
        <f>IFERROR((VLOOKUP($A185,'[1]import success seats course'!$A:Q,HLOOKUP('[1]Course Totals'!C$4,'[1]import success seats course'!$1:$2,2,FALSE),FALSE)/(VLOOKUP($A185,'[1]import graded seats course pivo'!$A:AA,HLOOKUP('[1]Course Totals'!C$4,'[1]import graded seats course pivo'!$1:$2,2,FALSE),FALSE))),"")</f>
        <v/>
      </c>
      <c r="D185" s="14" t="str">
        <f>IFERROR((VLOOKUP($A185,'[1]import success seats course'!$A:R,HLOOKUP('[1]Course Totals'!D$4,'[1]import success seats course'!$1:$2,2,FALSE),FALSE)/(VLOOKUP($A185,'[1]import graded seats course pivo'!$A:AB,HLOOKUP('[1]Course Totals'!D$4,'[1]import graded seats course pivo'!$1:$2,2,FALSE),FALSE))),"")</f>
        <v/>
      </c>
      <c r="E185" s="14" t="str">
        <f>IFERROR((VLOOKUP($A185,'[1]import success seats course'!$A:S,HLOOKUP('[1]Course Totals'!E$4,'[1]import success seats course'!$1:$2,2,FALSE),FALSE)/(VLOOKUP($A185,'[1]import graded seats course pivo'!$A:AC,HLOOKUP('[1]Course Totals'!E$4,'[1]import graded seats course pivo'!$1:$2,2,FALSE),FALSE))),"")</f>
        <v/>
      </c>
      <c r="F185" s="14" t="str">
        <f>IFERROR((VLOOKUP($A185,'[1]import success seats course'!$A:T,HLOOKUP('[1]Course Totals'!F$4,'[1]import success seats course'!$1:$2,2,FALSE),FALSE)/(VLOOKUP($A185,'[1]import graded seats course pivo'!$A:AD,HLOOKUP('[1]Course Totals'!F$4,'[1]import graded seats course pivo'!$1:$2,2,FALSE),FALSE))),"")</f>
        <v/>
      </c>
      <c r="G185" s="14" t="str">
        <f>IFERROR((VLOOKUP($A185,'[1]import success seats course'!$A:U,HLOOKUP('[1]Course Totals'!G$4,'[1]import success seats course'!$1:$2,2,FALSE),FALSE)/(VLOOKUP($A185,'[1]import graded seats course pivo'!$A:AE,HLOOKUP('[1]Course Totals'!G$4,'[1]import graded seats course pivo'!$1:$2,2,FALSE),FALSE))),"")</f>
        <v/>
      </c>
      <c r="H185" s="14" t="str">
        <f>IFERROR((VLOOKUP($A185,'[1]import success seats course'!$A:V,HLOOKUP('[1]Course Totals'!H$4,'[1]import success seats course'!$1:$2,2,FALSE),FALSE)/(VLOOKUP($A185,'[1]import graded seats course pivo'!$A:AF,HLOOKUP('[1]Course Totals'!H$4,'[1]import graded seats course pivo'!$1:$2,2,FALSE),FALSE))),"")</f>
        <v/>
      </c>
      <c r="I185" s="14" t="str">
        <f>IFERROR((VLOOKUP($A185,'[1]import success seats course'!$A:W,HLOOKUP('[1]Course Totals'!I$4,'[1]import success seats course'!$1:$2,2,FALSE),FALSE)/(VLOOKUP($A185,'[1]import graded seats course pivo'!$A:AG,HLOOKUP('[1]Course Totals'!I$4,'[1]import graded seats course pivo'!$1:$2,2,FALSE),FALSE))),"")</f>
        <v/>
      </c>
      <c r="J185" s="14" t="str">
        <f>IFERROR((VLOOKUP($A185,'[1]import success seats course'!$A:X,HLOOKUP('[1]Course Totals'!J$4,'[1]import success seats course'!$1:$2,2,FALSE),FALSE)/(VLOOKUP($A185,'[1]import graded seats course pivo'!$A:AH,HLOOKUP('[1]Course Totals'!J$4,'[1]import graded seats course pivo'!$1:$2,2,FALSE),FALSE))),"")</f>
        <v/>
      </c>
      <c r="K185" s="14" t="str">
        <f>IFERROR((VLOOKUP($A185,'[1]import success seats course'!$A:Y,HLOOKUP('[1]Course Totals'!K$4,'[1]import success seats course'!$1:$2,2,FALSE),FALSE)/(VLOOKUP($A185,'[1]import graded seats course pivo'!$A:AI,HLOOKUP('[1]Course Totals'!K$4,'[1]import graded seats course pivo'!$1:$2,2,FALSE),FALSE))),"")</f>
        <v/>
      </c>
      <c r="L185" s="14" t="str">
        <f>IFERROR((VLOOKUP($A185,'[1]import success seats course'!$A:Z,HLOOKUP('[1]Course Totals'!L$4,'[1]import success seats course'!$1:$2,2,FALSE),FALSE)/(VLOOKUP($A185,'[1]import graded seats course pivo'!$A:AJ,HLOOKUP('[1]Course Totals'!L$4,'[1]import graded seats course pivo'!$1:$2,2,FALSE),FALSE))),"")</f>
        <v/>
      </c>
      <c r="M185" s="14" t="str">
        <f>IFERROR((VLOOKUP($A185,'[1]import success seats course'!$A:AA,HLOOKUP('[1]Course Totals'!M$4,'[1]import success seats course'!$1:$2,2,FALSE),FALSE)/(VLOOKUP($A185,'[1]import graded seats course pivo'!$A:AK,HLOOKUP('[1]Course Totals'!M$4,'[1]import graded seats course pivo'!$1:$2,2,FALSE),FALSE))),"")</f>
        <v/>
      </c>
      <c r="N185" s="14" t="str">
        <f>IFERROR((VLOOKUP($A185,'[1]import success seats course'!$A:AB,HLOOKUP('[1]Course Totals'!N$4,'[1]import success seats course'!$1:$2,2,FALSE),FALSE)/(VLOOKUP($A185,'[1]import graded seats course pivo'!$A:AL,HLOOKUP('[1]Course Totals'!N$4,'[1]import graded seats course pivo'!$1:$2,2,FALSE),FALSE))),"")</f>
        <v/>
      </c>
      <c r="O185" s="14" t="str">
        <f>IFERROR((VLOOKUP($A185,'[1]import success seats course'!$A:AC,HLOOKUP('[1]Course Totals'!O$4,'[1]import success seats course'!$1:$2,2,FALSE),FALSE)/(VLOOKUP($A185,'[1]import graded seats course pivo'!$A:AM,HLOOKUP('[1]Course Totals'!O$4,'[1]import graded seats course pivo'!$1:$2,2,FALSE),FALSE))),"")</f>
        <v/>
      </c>
      <c r="P185" s="14" t="str">
        <f>IFERROR((VLOOKUP($A185,'[1]import success seats course'!$A:AD,HLOOKUP('[1]Course Totals'!P$4,'[1]import success seats course'!$1:$2,2,FALSE),FALSE)/(VLOOKUP($A185,'[1]import graded seats course pivo'!$A:AN,HLOOKUP('[1]Course Totals'!P$4,'[1]import graded seats course pivo'!$1:$2,2,FALSE),FALSE))),"")</f>
        <v/>
      </c>
      <c r="Q185" s="14" t="str">
        <f>IFERROR((VLOOKUP($A185,'[1]import success seats course'!$A:AE,HLOOKUP('[1]Course Totals'!Q$4,'[1]import success seats course'!$1:$2,2,FALSE),FALSE)/(VLOOKUP($A185,'[1]import graded seats course pivo'!$A:AO,HLOOKUP('[1]Course Totals'!Q$4,'[1]import graded seats course pivo'!$1:$2,2,FALSE),FALSE))),"")</f>
        <v/>
      </c>
      <c r="R185" s="14" t="str">
        <f>IFERROR((VLOOKUP($A185,'[1]import success seats course'!$A:AF,HLOOKUP('[1]Course Totals'!R$4,'[1]import success seats course'!$1:$2,2,FALSE),FALSE)/(VLOOKUP($A185,'[1]import graded seats course pivo'!$A:AP,HLOOKUP('[1]Course Totals'!R$4,'[1]import graded seats course pivo'!$1:$2,2,FALSE),FALSE))),"")</f>
        <v/>
      </c>
      <c r="S185" s="14" t="str">
        <f>IFERROR((VLOOKUP($A185,'[1]import success seats course'!$A:AG,HLOOKUP('[1]Course Totals'!S$4,'[1]import success seats course'!$1:$2,2,FALSE),FALSE)/(VLOOKUP($A185,'[1]import graded seats course pivo'!$A:AQ,HLOOKUP('[1]Course Totals'!S$4,'[1]import graded seats course pivo'!$1:$2,2,FALSE),FALSE))),"")</f>
        <v/>
      </c>
      <c r="Z185" s="7"/>
      <c r="AA185" s="7"/>
      <c r="AB185" s="7"/>
      <c r="AC185" s="7"/>
    </row>
    <row r="186" spans="1:29" ht="15.75" customHeight="1" x14ac:dyDescent="0.25">
      <c r="A186" s="12" t="s">
        <v>104</v>
      </c>
      <c r="B186" s="14" t="str">
        <f>IFERROR((VLOOKUP($A186,'[1]import success seats course'!$A:P,HLOOKUP('[1]Course Totals'!B$4,'[1]import success seats course'!$1:$2,2,FALSE),FALSE)/(VLOOKUP($A186,'[1]import graded seats course pivo'!$A:Z,HLOOKUP('[1]Course Totals'!B$4,'[1]import graded seats course pivo'!$1:$2,2,FALSE),FALSE))),"")</f>
        <v/>
      </c>
      <c r="C186" s="14">
        <f>IFERROR((VLOOKUP($A186,'[1]import success seats course'!$A:Q,HLOOKUP('[1]Course Totals'!C$4,'[1]import success seats course'!$1:$2,2,FALSE),FALSE)/(VLOOKUP($A186,'[1]import graded seats course pivo'!$A:AA,HLOOKUP('[1]Course Totals'!C$4,'[1]import graded seats course pivo'!$1:$2,2,FALSE),FALSE))),"")</f>
        <v>0.86046511627906974</v>
      </c>
      <c r="D186" s="14">
        <f>IFERROR((VLOOKUP($A186,'[1]import success seats course'!$A:R,HLOOKUP('[1]Course Totals'!D$4,'[1]import success seats course'!$1:$2,2,FALSE),FALSE)/(VLOOKUP($A186,'[1]import graded seats course pivo'!$A:AB,HLOOKUP('[1]Course Totals'!D$4,'[1]import graded seats course pivo'!$1:$2,2,FALSE),FALSE))),"")</f>
        <v>0.7441860465116279</v>
      </c>
      <c r="E186" s="14" t="str">
        <f>IFERROR((VLOOKUP($A186,'[1]import success seats course'!$A:S,HLOOKUP('[1]Course Totals'!E$4,'[1]import success seats course'!$1:$2,2,FALSE),FALSE)/(VLOOKUP($A186,'[1]import graded seats course pivo'!$A:AC,HLOOKUP('[1]Course Totals'!E$4,'[1]import graded seats course pivo'!$1:$2,2,FALSE),FALSE))),"")</f>
        <v/>
      </c>
      <c r="F186" s="14">
        <f>IFERROR((VLOOKUP($A186,'[1]import success seats course'!$A:T,HLOOKUP('[1]Course Totals'!F$4,'[1]import success seats course'!$1:$2,2,FALSE),FALSE)/(VLOOKUP($A186,'[1]import graded seats course pivo'!$A:AD,HLOOKUP('[1]Course Totals'!F$4,'[1]import graded seats course pivo'!$1:$2,2,FALSE),FALSE))),"")</f>
        <v>0.80246913580246915</v>
      </c>
      <c r="G186" s="14">
        <f>IFERROR((VLOOKUP($A186,'[1]import success seats course'!$A:U,HLOOKUP('[1]Course Totals'!G$4,'[1]import success seats course'!$1:$2,2,FALSE),FALSE)/(VLOOKUP($A186,'[1]import graded seats course pivo'!$A:AE,HLOOKUP('[1]Course Totals'!G$4,'[1]import graded seats course pivo'!$1:$2,2,FALSE),FALSE))),"")</f>
        <v>0.76842105263157889</v>
      </c>
      <c r="H186" s="14" t="str">
        <f>IFERROR((VLOOKUP($A186,'[1]import success seats course'!$A:V,HLOOKUP('[1]Course Totals'!H$4,'[1]import success seats course'!$1:$2,2,FALSE),FALSE)/(VLOOKUP($A186,'[1]import graded seats course pivo'!$A:AF,HLOOKUP('[1]Course Totals'!H$4,'[1]import graded seats course pivo'!$1:$2,2,FALSE),FALSE))),"")</f>
        <v/>
      </c>
      <c r="I186" s="14">
        <f>IFERROR((VLOOKUP($A186,'[1]import success seats course'!$A:W,HLOOKUP('[1]Course Totals'!I$4,'[1]import success seats course'!$1:$2,2,FALSE),FALSE)/(VLOOKUP($A186,'[1]import graded seats course pivo'!$A:AG,HLOOKUP('[1]Course Totals'!I$4,'[1]import graded seats course pivo'!$1:$2,2,FALSE),FALSE))),"")</f>
        <v>0.71052631578947367</v>
      </c>
      <c r="J186" s="14">
        <f>IFERROR((VLOOKUP($A186,'[1]import success seats course'!$A:X,HLOOKUP('[1]Course Totals'!J$4,'[1]import success seats course'!$1:$2,2,FALSE),FALSE)/(VLOOKUP($A186,'[1]import graded seats course pivo'!$A:AH,HLOOKUP('[1]Course Totals'!J$4,'[1]import graded seats course pivo'!$1:$2,2,FALSE),FALSE))),"")</f>
        <v>0.86250000000000004</v>
      </c>
      <c r="K186" s="14" t="str">
        <f>IFERROR((VLOOKUP($A186,'[1]import success seats course'!$A:Y,HLOOKUP('[1]Course Totals'!K$4,'[1]import success seats course'!$1:$2,2,FALSE),FALSE)/(VLOOKUP($A186,'[1]import graded seats course pivo'!$A:AI,HLOOKUP('[1]Course Totals'!K$4,'[1]import graded seats course pivo'!$1:$2,2,FALSE),FALSE))),"")</f>
        <v/>
      </c>
      <c r="L186" s="14">
        <f>IFERROR((VLOOKUP($A186,'[1]import success seats course'!$A:Z,HLOOKUP('[1]Course Totals'!L$4,'[1]import success seats course'!$1:$2,2,FALSE),FALSE)/(VLOOKUP($A186,'[1]import graded seats course pivo'!$A:AJ,HLOOKUP('[1]Course Totals'!L$4,'[1]import graded seats course pivo'!$1:$2,2,FALSE),FALSE))),"")</f>
        <v>0.76106194690265483</v>
      </c>
      <c r="M186" s="14">
        <f>IFERROR((VLOOKUP($A186,'[1]import success seats course'!$A:AA,HLOOKUP('[1]Course Totals'!M$4,'[1]import success seats course'!$1:$2,2,FALSE),FALSE)/(VLOOKUP($A186,'[1]import graded seats course pivo'!$A:AK,HLOOKUP('[1]Course Totals'!M$4,'[1]import graded seats course pivo'!$1:$2,2,FALSE),FALSE))),"")</f>
        <v>0.5957446808510638</v>
      </c>
      <c r="N186" s="14" t="str">
        <f>IFERROR((VLOOKUP($A186,'[1]import success seats course'!$A:AB,HLOOKUP('[1]Course Totals'!N$4,'[1]import success seats course'!$1:$2,2,FALSE),FALSE)/(VLOOKUP($A186,'[1]import graded seats course pivo'!$A:AL,HLOOKUP('[1]Course Totals'!N$4,'[1]import graded seats course pivo'!$1:$2,2,FALSE),FALSE))),"")</f>
        <v/>
      </c>
      <c r="O186" s="14">
        <f>IFERROR((VLOOKUP($A186,'[1]import success seats course'!$A:AC,HLOOKUP('[1]Course Totals'!O$4,'[1]import success seats course'!$1:$2,2,FALSE),FALSE)/(VLOOKUP($A186,'[1]import graded seats course pivo'!$A:AM,HLOOKUP('[1]Course Totals'!O$4,'[1]import graded seats course pivo'!$1:$2,2,FALSE),FALSE))),"")</f>
        <v>0.68595041322314054</v>
      </c>
      <c r="P186" s="14">
        <f>IFERROR((VLOOKUP($A186,'[1]import success seats course'!$A:AD,HLOOKUP('[1]Course Totals'!P$4,'[1]import success seats course'!$1:$2,2,FALSE),FALSE)/(VLOOKUP($A186,'[1]import graded seats course pivo'!$A:AN,HLOOKUP('[1]Course Totals'!P$4,'[1]import graded seats course pivo'!$1:$2,2,FALSE),FALSE))),"")</f>
        <v>0.84313725490196079</v>
      </c>
      <c r="Q186" s="14" t="str">
        <f>IFERROR((VLOOKUP($A186,'[1]import success seats course'!$A:AE,HLOOKUP('[1]Course Totals'!Q$4,'[1]import success seats course'!$1:$2,2,FALSE),FALSE)/(VLOOKUP($A186,'[1]import graded seats course pivo'!$A:AO,HLOOKUP('[1]Course Totals'!Q$4,'[1]import graded seats course pivo'!$1:$2,2,FALSE),FALSE))),"")</f>
        <v/>
      </c>
      <c r="R186" s="14">
        <f>IFERROR((VLOOKUP($A186,'[1]import success seats course'!$A:AF,HLOOKUP('[1]Course Totals'!R$4,'[1]import success seats course'!$1:$2,2,FALSE),FALSE)/(VLOOKUP($A186,'[1]import graded seats course pivo'!$A:AP,HLOOKUP('[1]Course Totals'!R$4,'[1]import graded seats course pivo'!$1:$2,2,FALSE),FALSE))),"")</f>
        <v>0.8660714285714286</v>
      </c>
      <c r="S186" s="14">
        <f>IFERROR((VLOOKUP($A186,'[1]import success seats course'!$A:AG,HLOOKUP('[1]Course Totals'!S$4,'[1]import success seats course'!$1:$2,2,FALSE),FALSE)/(VLOOKUP($A186,'[1]import graded seats course pivo'!$A:AQ,HLOOKUP('[1]Course Totals'!S$4,'[1]import graded seats course pivo'!$1:$2,2,FALSE),FALSE))),"")</f>
        <v>0.83838383838383834</v>
      </c>
      <c r="Z186" s="7"/>
      <c r="AA186" s="7"/>
      <c r="AB186" s="7"/>
      <c r="AC186" s="7"/>
    </row>
    <row r="187" spans="1:29" ht="15.75" customHeight="1" x14ac:dyDescent="0.25">
      <c r="A187" s="12" t="s">
        <v>688</v>
      </c>
      <c r="B187" s="14" t="str">
        <f>IFERROR((VLOOKUP($A187,'[1]import success seats course'!$A:P,HLOOKUP('[1]Course Totals'!B$4,'[1]import success seats course'!$1:$2,2,FALSE),FALSE)/(VLOOKUP($A187,'[1]import graded seats course pivo'!$A:Z,HLOOKUP('[1]Course Totals'!B$4,'[1]import graded seats course pivo'!$1:$2,2,FALSE),FALSE))),"")</f>
        <v/>
      </c>
      <c r="C187" s="14" t="str">
        <f>IFERROR((VLOOKUP($A187,'[1]import success seats course'!$A:Q,HLOOKUP('[1]Course Totals'!C$4,'[1]import success seats course'!$1:$2,2,FALSE),FALSE)/(VLOOKUP($A187,'[1]import graded seats course pivo'!$A:AA,HLOOKUP('[1]Course Totals'!C$4,'[1]import graded seats course pivo'!$1:$2,2,FALSE),FALSE))),"")</f>
        <v/>
      </c>
      <c r="D187" s="14" t="str">
        <f>IFERROR((VLOOKUP($A187,'[1]import success seats course'!$A:R,HLOOKUP('[1]Course Totals'!D$4,'[1]import success seats course'!$1:$2,2,FALSE),FALSE)/(VLOOKUP($A187,'[1]import graded seats course pivo'!$A:AB,HLOOKUP('[1]Course Totals'!D$4,'[1]import graded seats course pivo'!$1:$2,2,FALSE),FALSE))),"")</f>
        <v/>
      </c>
      <c r="E187" s="14" t="str">
        <f>IFERROR((VLOOKUP($A187,'[1]import success seats course'!$A:S,HLOOKUP('[1]Course Totals'!E$4,'[1]import success seats course'!$1:$2,2,FALSE),FALSE)/(VLOOKUP($A187,'[1]import graded seats course pivo'!$A:AC,HLOOKUP('[1]Course Totals'!E$4,'[1]import graded seats course pivo'!$1:$2,2,FALSE),FALSE))),"")</f>
        <v/>
      </c>
      <c r="F187" s="14" t="str">
        <f>IFERROR((VLOOKUP($A187,'[1]import success seats course'!$A:T,HLOOKUP('[1]Course Totals'!F$4,'[1]import success seats course'!$1:$2,2,FALSE),FALSE)/(VLOOKUP($A187,'[1]import graded seats course pivo'!$A:AD,HLOOKUP('[1]Course Totals'!F$4,'[1]import graded seats course pivo'!$1:$2,2,FALSE),FALSE))),"")</f>
        <v/>
      </c>
      <c r="G187" s="14" t="str">
        <f>IFERROR((VLOOKUP($A187,'[1]import success seats course'!$A:U,HLOOKUP('[1]Course Totals'!G$4,'[1]import success seats course'!$1:$2,2,FALSE),FALSE)/(VLOOKUP($A187,'[1]import graded seats course pivo'!$A:AE,HLOOKUP('[1]Course Totals'!G$4,'[1]import graded seats course pivo'!$1:$2,2,FALSE),FALSE))),"")</f>
        <v/>
      </c>
      <c r="H187" s="14" t="str">
        <f>IFERROR((VLOOKUP($A187,'[1]import success seats course'!$A:V,HLOOKUP('[1]Course Totals'!H$4,'[1]import success seats course'!$1:$2,2,FALSE),FALSE)/(VLOOKUP($A187,'[1]import graded seats course pivo'!$A:AF,HLOOKUP('[1]Course Totals'!H$4,'[1]import graded seats course pivo'!$1:$2,2,FALSE),FALSE))),"")</f>
        <v/>
      </c>
      <c r="I187" s="14">
        <f>IFERROR((VLOOKUP($A187,'[1]import success seats course'!$A:W,HLOOKUP('[1]Course Totals'!I$4,'[1]import success seats course'!$1:$2,2,FALSE),FALSE)/(VLOOKUP($A187,'[1]import graded seats course pivo'!$A:AG,HLOOKUP('[1]Course Totals'!I$4,'[1]import graded seats course pivo'!$1:$2,2,FALSE),FALSE))),"")</f>
        <v>1</v>
      </c>
      <c r="J187" s="14">
        <f>IFERROR((VLOOKUP($A187,'[1]import success seats course'!$A:X,HLOOKUP('[1]Course Totals'!J$4,'[1]import success seats course'!$1:$2,2,FALSE),FALSE)/(VLOOKUP($A187,'[1]import graded seats course pivo'!$A:AH,HLOOKUP('[1]Course Totals'!J$4,'[1]import graded seats course pivo'!$1:$2,2,FALSE),FALSE))),"")</f>
        <v>1</v>
      </c>
      <c r="K187" s="14" t="str">
        <f>IFERROR((VLOOKUP($A187,'[1]import success seats course'!$A:Y,HLOOKUP('[1]Course Totals'!K$4,'[1]import success seats course'!$1:$2,2,FALSE),FALSE)/(VLOOKUP($A187,'[1]import graded seats course pivo'!$A:AI,HLOOKUP('[1]Course Totals'!K$4,'[1]import graded seats course pivo'!$1:$2,2,FALSE),FALSE))),"")</f>
        <v/>
      </c>
      <c r="L187" s="14" t="str">
        <f>IFERROR((VLOOKUP($A187,'[1]import success seats course'!$A:Z,HLOOKUP('[1]Course Totals'!L$4,'[1]import success seats course'!$1:$2,2,FALSE),FALSE)/(VLOOKUP($A187,'[1]import graded seats course pivo'!$A:AJ,HLOOKUP('[1]Course Totals'!L$4,'[1]import graded seats course pivo'!$1:$2,2,FALSE),FALSE))),"")</f>
        <v/>
      </c>
      <c r="M187" s="14">
        <f>IFERROR((VLOOKUP($A187,'[1]import success seats course'!$A:AA,HLOOKUP('[1]Course Totals'!M$4,'[1]import success seats course'!$1:$2,2,FALSE),FALSE)/(VLOOKUP($A187,'[1]import graded seats course pivo'!$A:AK,HLOOKUP('[1]Course Totals'!M$4,'[1]import graded seats course pivo'!$1:$2,2,FALSE),FALSE))),"")</f>
        <v>1</v>
      </c>
      <c r="N187" s="14" t="str">
        <f>IFERROR((VLOOKUP($A187,'[1]import success seats course'!$A:AB,HLOOKUP('[1]Course Totals'!N$4,'[1]import success seats course'!$1:$2,2,FALSE),FALSE)/(VLOOKUP($A187,'[1]import graded seats course pivo'!$A:AL,HLOOKUP('[1]Course Totals'!N$4,'[1]import graded seats course pivo'!$1:$2,2,FALSE),FALSE))),"")</f>
        <v/>
      </c>
      <c r="O187" s="14" t="str">
        <f>IFERROR((VLOOKUP($A187,'[1]import success seats course'!$A:AC,HLOOKUP('[1]Course Totals'!O$4,'[1]import success seats course'!$1:$2,2,FALSE),FALSE)/(VLOOKUP($A187,'[1]import graded seats course pivo'!$A:AM,HLOOKUP('[1]Course Totals'!O$4,'[1]import graded seats course pivo'!$1:$2,2,FALSE),FALSE))),"")</f>
        <v/>
      </c>
      <c r="P187" s="14">
        <f>IFERROR((VLOOKUP($A187,'[1]import success seats course'!$A:AD,HLOOKUP('[1]Course Totals'!P$4,'[1]import success seats course'!$1:$2,2,FALSE),FALSE)/(VLOOKUP($A187,'[1]import graded seats course pivo'!$A:AN,HLOOKUP('[1]Course Totals'!P$4,'[1]import graded seats course pivo'!$1:$2,2,FALSE),FALSE))),"")</f>
        <v>1</v>
      </c>
      <c r="Q187" s="14" t="str">
        <f>IFERROR((VLOOKUP($A187,'[1]import success seats course'!$A:AE,HLOOKUP('[1]Course Totals'!Q$4,'[1]import success seats course'!$1:$2,2,FALSE),FALSE)/(VLOOKUP($A187,'[1]import graded seats course pivo'!$A:AO,HLOOKUP('[1]Course Totals'!Q$4,'[1]import graded seats course pivo'!$1:$2,2,FALSE),FALSE))),"")</f>
        <v/>
      </c>
      <c r="R187" s="14" t="str">
        <f>IFERROR((VLOOKUP($A187,'[1]import success seats course'!$A:AF,HLOOKUP('[1]Course Totals'!R$4,'[1]import success seats course'!$1:$2,2,FALSE),FALSE)/(VLOOKUP($A187,'[1]import graded seats course pivo'!$A:AP,HLOOKUP('[1]Course Totals'!R$4,'[1]import graded seats course pivo'!$1:$2,2,FALSE),FALSE))),"")</f>
        <v/>
      </c>
      <c r="S187" s="14" t="str">
        <f>IFERROR((VLOOKUP($A187,'[1]import success seats course'!$A:AG,HLOOKUP('[1]Course Totals'!S$4,'[1]import success seats course'!$1:$2,2,FALSE),FALSE)/(VLOOKUP($A187,'[1]import graded seats course pivo'!$A:AQ,HLOOKUP('[1]Course Totals'!S$4,'[1]import graded seats course pivo'!$1:$2,2,FALSE),FALSE))),"")</f>
        <v/>
      </c>
      <c r="Z187" s="7"/>
      <c r="AA187" s="7"/>
      <c r="AB187" s="7"/>
      <c r="AC187" s="7"/>
    </row>
    <row r="188" spans="1:29" ht="15.75" customHeight="1" x14ac:dyDescent="0.25">
      <c r="A188" s="12" t="s">
        <v>105</v>
      </c>
      <c r="B188" s="14" t="str">
        <f>IFERROR((VLOOKUP($A188,'[1]import success seats course'!$A:P,HLOOKUP('[1]Course Totals'!B$4,'[1]import success seats course'!$1:$2,2,FALSE),FALSE)/(VLOOKUP($A188,'[1]import graded seats course pivo'!$A:Z,HLOOKUP('[1]Course Totals'!B$4,'[1]import graded seats course pivo'!$1:$2,2,FALSE),FALSE))),"")</f>
        <v/>
      </c>
      <c r="C188" s="14">
        <f>IFERROR((VLOOKUP($A188,'[1]import success seats course'!$A:Q,HLOOKUP('[1]Course Totals'!C$4,'[1]import success seats course'!$1:$2,2,FALSE),FALSE)/(VLOOKUP($A188,'[1]import graded seats course pivo'!$A:AA,HLOOKUP('[1]Course Totals'!C$4,'[1]import graded seats course pivo'!$1:$2,2,FALSE),FALSE))),"")</f>
        <v>0.7142857142857143</v>
      </c>
      <c r="D188" s="14">
        <f>IFERROR((VLOOKUP($A188,'[1]import success seats course'!$A:R,HLOOKUP('[1]Course Totals'!D$4,'[1]import success seats course'!$1:$2,2,FALSE),FALSE)/(VLOOKUP($A188,'[1]import graded seats course pivo'!$A:AB,HLOOKUP('[1]Course Totals'!D$4,'[1]import graded seats course pivo'!$1:$2,2,FALSE),FALSE))),"")</f>
        <v>0.8928571428571429</v>
      </c>
      <c r="E188" s="14" t="str">
        <f>IFERROR((VLOOKUP($A188,'[1]import success seats course'!$A:S,HLOOKUP('[1]Course Totals'!E$4,'[1]import success seats course'!$1:$2,2,FALSE),FALSE)/(VLOOKUP($A188,'[1]import graded seats course pivo'!$A:AC,HLOOKUP('[1]Course Totals'!E$4,'[1]import graded seats course pivo'!$1:$2,2,FALSE),FALSE))),"")</f>
        <v/>
      </c>
      <c r="F188" s="14">
        <f>IFERROR((VLOOKUP($A188,'[1]import success seats course'!$A:T,HLOOKUP('[1]Course Totals'!F$4,'[1]import success seats course'!$1:$2,2,FALSE),FALSE)/(VLOOKUP($A188,'[1]import graded seats course pivo'!$A:AD,HLOOKUP('[1]Course Totals'!F$4,'[1]import graded seats course pivo'!$1:$2,2,FALSE),FALSE))),"")</f>
        <v>0.91304347826086951</v>
      </c>
      <c r="G188" s="14">
        <f>IFERROR((VLOOKUP($A188,'[1]import success seats course'!$A:U,HLOOKUP('[1]Course Totals'!G$4,'[1]import success seats course'!$1:$2,2,FALSE),FALSE)/(VLOOKUP($A188,'[1]import graded seats course pivo'!$A:AE,HLOOKUP('[1]Course Totals'!G$4,'[1]import graded seats course pivo'!$1:$2,2,FALSE),FALSE))),"")</f>
        <v>0.82352941176470584</v>
      </c>
      <c r="H188" s="14" t="str">
        <f>IFERROR((VLOOKUP($A188,'[1]import success seats course'!$A:V,HLOOKUP('[1]Course Totals'!H$4,'[1]import success seats course'!$1:$2,2,FALSE),FALSE)/(VLOOKUP($A188,'[1]import graded seats course pivo'!$A:AF,HLOOKUP('[1]Course Totals'!H$4,'[1]import graded seats course pivo'!$1:$2,2,FALSE),FALSE))),"")</f>
        <v/>
      </c>
      <c r="I188" s="14">
        <f>IFERROR((VLOOKUP($A188,'[1]import success seats course'!$A:W,HLOOKUP('[1]Course Totals'!I$4,'[1]import success seats course'!$1:$2,2,FALSE),FALSE)/(VLOOKUP($A188,'[1]import graded seats course pivo'!$A:AG,HLOOKUP('[1]Course Totals'!I$4,'[1]import graded seats course pivo'!$1:$2,2,FALSE),FALSE))),"")</f>
        <v>0.84782608695652173</v>
      </c>
      <c r="J188" s="14">
        <f>IFERROR((VLOOKUP($A188,'[1]import success seats course'!$A:X,HLOOKUP('[1]Course Totals'!J$4,'[1]import success seats course'!$1:$2,2,FALSE),FALSE)/(VLOOKUP($A188,'[1]import graded seats course pivo'!$A:AH,HLOOKUP('[1]Course Totals'!J$4,'[1]import graded seats course pivo'!$1:$2,2,FALSE),FALSE))),"")</f>
        <v>0.69230769230769229</v>
      </c>
      <c r="K188" s="14" t="str">
        <f>IFERROR((VLOOKUP($A188,'[1]import success seats course'!$A:Y,HLOOKUP('[1]Course Totals'!K$4,'[1]import success seats course'!$1:$2,2,FALSE),FALSE)/(VLOOKUP($A188,'[1]import graded seats course pivo'!$A:AI,HLOOKUP('[1]Course Totals'!K$4,'[1]import graded seats course pivo'!$1:$2,2,FALSE),FALSE))),"")</f>
        <v/>
      </c>
      <c r="L188" s="14">
        <f>IFERROR((VLOOKUP($A188,'[1]import success seats course'!$A:Z,HLOOKUP('[1]Course Totals'!L$4,'[1]import success seats course'!$1:$2,2,FALSE),FALSE)/(VLOOKUP($A188,'[1]import graded seats course pivo'!$A:AJ,HLOOKUP('[1]Course Totals'!L$4,'[1]import graded seats course pivo'!$1:$2,2,FALSE),FALSE))),"")</f>
        <v>0.88888888888888884</v>
      </c>
      <c r="M188" s="14">
        <f>IFERROR((VLOOKUP($A188,'[1]import success seats course'!$A:AA,HLOOKUP('[1]Course Totals'!M$4,'[1]import success seats course'!$1:$2,2,FALSE),FALSE)/(VLOOKUP($A188,'[1]import graded seats course pivo'!$A:AK,HLOOKUP('[1]Course Totals'!M$4,'[1]import graded seats course pivo'!$1:$2,2,FALSE),FALSE))),"")</f>
        <v>0.91666666666666663</v>
      </c>
      <c r="N188" s="14" t="str">
        <f>IFERROR((VLOOKUP($A188,'[1]import success seats course'!$A:AB,HLOOKUP('[1]Course Totals'!N$4,'[1]import success seats course'!$1:$2,2,FALSE),FALSE)/(VLOOKUP($A188,'[1]import graded seats course pivo'!$A:AL,HLOOKUP('[1]Course Totals'!N$4,'[1]import graded seats course pivo'!$1:$2,2,FALSE),FALSE))),"")</f>
        <v/>
      </c>
      <c r="O188" s="14">
        <f>IFERROR((VLOOKUP($A188,'[1]import success seats course'!$A:AC,HLOOKUP('[1]Course Totals'!O$4,'[1]import success seats course'!$1:$2,2,FALSE),FALSE)/(VLOOKUP($A188,'[1]import graded seats course pivo'!$A:AM,HLOOKUP('[1]Course Totals'!O$4,'[1]import graded seats course pivo'!$1:$2,2,FALSE),FALSE))),"")</f>
        <v>0.86363636363636365</v>
      </c>
      <c r="P188" s="14">
        <f>IFERROR((VLOOKUP($A188,'[1]import success seats course'!$A:AD,HLOOKUP('[1]Course Totals'!P$4,'[1]import success seats course'!$1:$2,2,FALSE),FALSE)/(VLOOKUP($A188,'[1]import graded seats course pivo'!$A:AN,HLOOKUP('[1]Course Totals'!P$4,'[1]import graded seats course pivo'!$1:$2,2,FALSE),FALSE))),"")</f>
        <v>0.86</v>
      </c>
      <c r="Q188" s="14" t="str">
        <f>IFERROR((VLOOKUP($A188,'[1]import success seats course'!$A:AE,HLOOKUP('[1]Course Totals'!Q$4,'[1]import success seats course'!$1:$2,2,FALSE),FALSE)/(VLOOKUP($A188,'[1]import graded seats course pivo'!$A:AO,HLOOKUP('[1]Course Totals'!Q$4,'[1]import graded seats course pivo'!$1:$2,2,FALSE),FALSE))),"")</f>
        <v/>
      </c>
      <c r="R188" s="14">
        <f>IFERROR((VLOOKUP($A188,'[1]import success seats course'!$A:AF,HLOOKUP('[1]Course Totals'!R$4,'[1]import success seats course'!$1:$2,2,FALSE),FALSE)/(VLOOKUP($A188,'[1]import graded seats course pivo'!$A:AP,HLOOKUP('[1]Course Totals'!R$4,'[1]import graded seats course pivo'!$1:$2,2,FALSE),FALSE))),"")</f>
        <v>0.90243902439024393</v>
      </c>
      <c r="S188" s="14">
        <f>IFERROR((VLOOKUP($A188,'[1]import success seats course'!$A:AG,HLOOKUP('[1]Course Totals'!S$4,'[1]import success seats course'!$1:$2,2,FALSE),FALSE)/(VLOOKUP($A188,'[1]import graded seats course pivo'!$A:AQ,HLOOKUP('[1]Course Totals'!S$4,'[1]import graded seats course pivo'!$1:$2,2,FALSE),FALSE))),"")</f>
        <v>0.64444444444444449</v>
      </c>
      <c r="Z188" s="7"/>
      <c r="AA188" s="7"/>
      <c r="AB188" s="7"/>
      <c r="AC188" s="7"/>
    </row>
    <row r="189" spans="1:29" ht="15.75" customHeight="1" x14ac:dyDescent="0.25">
      <c r="A189" s="12" t="s">
        <v>106</v>
      </c>
      <c r="B189" s="14" t="str">
        <f>IFERROR((VLOOKUP($A189,'[1]import success seats course'!$A:P,HLOOKUP('[1]Course Totals'!B$4,'[1]import success seats course'!$1:$2,2,FALSE),FALSE)/(VLOOKUP($A189,'[1]import graded seats course pivo'!$A:Z,HLOOKUP('[1]Course Totals'!B$4,'[1]import graded seats course pivo'!$1:$2,2,FALSE),FALSE))),"")</f>
        <v/>
      </c>
      <c r="C189" s="14">
        <f>IFERROR((VLOOKUP($A189,'[1]import success seats course'!$A:Q,HLOOKUP('[1]Course Totals'!C$4,'[1]import success seats course'!$1:$2,2,FALSE),FALSE)/(VLOOKUP($A189,'[1]import graded seats course pivo'!$A:AA,HLOOKUP('[1]Course Totals'!C$4,'[1]import graded seats course pivo'!$1:$2,2,FALSE),FALSE))),"")</f>
        <v>1</v>
      </c>
      <c r="D189" s="14" t="str">
        <f>IFERROR((VLOOKUP($A189,'[1]import success seats course'!$A:R,HLOOKUP('[1]Course Totals'!D$4,'[1]import success seats course'!$1:$2,2,FALSE),FALSE)/(VLOOKUP($A189,'[1]import graded seats course pivo'!$A:AB,HLOOKUP('[1]Course Totals'!D$4,'[1]import graded seats course pivo'!$1:$2,2,FALSE),FALSE))),"")</f>
        <v/>
      </c>
      <c r="E189" s="14" t="str">
        <f>IFERROR((VLOOKUP($A189,'[1]import success seats course'!$A:S,HLOOKUP('[1]Course Totals'!E$4,'[1]import success seats course'!$1:$2,2,FALSE),FALSE)/(VLOOKUP($A189,'[1]import graded seats course pivo'!$A:AC,HLOOKUP('[1]Course Totals'!E$4,'[1]import graded seats course pivo'!$1:$2,2,FALSE),FALSE))),"")</f>
        <v/>
      </c>
      <c r="F189" s="14">
        <f>IFERROR((VLOOKUP($A189,'[1]import success seats course'!$A:T,HLOOKUP('[1]Course Totals'!F$4,'[1]import success seats course'!$1:$2,2,FALSE),FALSE)/(VLOOKUP($A189,'[1]import graded seats course pivo'!$A:AD,HLOOKUP('[1]Course Totals'!F$4,'[1]import graded seats course pivo'!$1:$2,2,FALSE),FALSE))),"")</f>
        <v>1</v>
      </c>
      <c r="G189" s="14" t="str">
        <f>IFERROR((VLOOKUP($A189,'[1]import success seats course'!$A:U,HLOOKUP('[1]Course Totals'!G$4,'[1]import success seats course'!$1:$2,2,FALSE),FALSE)/(VLOOKUP($A189,'[1]import graded seats course pivo'!$A:AE,HLOOKUP('[1]Course Totals'!G$4,'[1]import graded seats course pivo'!$1:$2,2,FALSE),FALSE))),"")</f>
        <v/>
      </c>
      <c r="H189" s="14" t="str">
        <f>IFERROR((VLOOKUP($A189,'[1]import success seats course'!$A:V,HLOOKUP('[1]Course Totals'!H$4,'[1]import success seats course'!$1:$2,2,FALSE),FALSE)/(VLOOKUP($A189,'[1]import graded seats course pivo'!$A:AF,HLOOKUP('[1]Course Totals'!H$4,'[1]import graded seats course pivo'!$1:$2,2,FALSE),FALSE))),"")</f>
        <v/>
      </c>
      <c r="I189" s="14" t="str">
        <f>IFERROR((VLOOKUP($A189,'[1]import success seats course'!$A:W,HLOOKUP('[1]Course Totals'!I$4,'[1]import success seats course'!$1:$2,2,FALSE),FALSE)/(VLOOKUP($A189,'[1]import graded seats course pivo'!$A:AG,HLOOKUP('[1]Course Totals'!I$4,'[1]import graded seats course pivo'!$1:$2,2,FALSE),FALSE))),"")</f>
        <v/>
      </c>
      <c r="J189" s="14" t="str">
        <f>IFERROR((VLOOKUP($A189,'[1]import success seats course'!$A:X,HLOOKUP('[1]Course Totals'!J$4,'[1]import success seats course'!$1:$2,2,FALSE),FALSE)/(VLOOKUP($A189,'[1]import graded seats course pivo'!$A:AH,HLOOKUP('[1]Course Totals'!J$4,'[1]import graded seats course pivo'!$1:$2,2,FALSE),FALSE))),"")</f>
        <v/>
      </c>
      <c r="K189" s="14" t="str">
        <f>IFERROR((VLOOKUP($A189,'[1]import success seats course'!$A:Y,HLOOKUP('[1]Course Totals'!K$4,'[1]import success seats course'!$1:$2,2,FALSE),FALSE)/(VLOOKUP($A189,'[1]import graded seats course pivo'!$A:AI,HLOOKUP('[1]Course Totals'!K$4,'[1]import graded seats course pivo'!$1:$2,2,FALSE),FALSE))),"")</f>
        <v/>
      </c>
      <c r="L189" s="14" t="str">
        <f>IFERROR((VLOOKUP($A189,'[1]import success seats course'!$A:Z,HLOOKUP('[1]Course Totals'!L$4,'[1]import success seats course'!$1:$2,2,FALSE),FALSE)/(VLOOKUP($A189,'[1]import graded seats course pivo'!$A:AJ,HLOOKUP('[1]Course Totals'!L$4,'[1]import graded seats course pivo'!$1:$2,2,FALSE),FALSE))),"")</f>
        <v/>
      </c>
      <c r="M189" s="14" t="str">
        <f>IFERROR((VLOOKUP($A189,'[1]import success seats course'!$A:AA,HLOOKUP('[1]Course Totals'!M$4,'[1]import success seats course'!$1:$2,2,FALSE),FALSE)/(VLOOKUP($A189,'[1]import graded seats course pivo'!$A:AK,HLOOKUP('[1]Course Totals'!M$4,'[1]import graded seats course pivo'!$1:$2,2,FALSE),FALSE))),"")</f>
        <v/>
      </c>
      <c r="N189" s="14" t="str">
        <f>IFERROR((VLOOKUP($A189,'[1]import success seats course'!$A:AB,HLOOKUP('[1]Course Totals'!N$4,'[1]import success seats course'!$1:$2,2,FALSE),FALSE)/(VLOOKUP($A189,'[1]import graded seats course pivo'!$A:AL,HLOOKUP('[1]Course Totals'!N$4,'[1]import graded seats course pivo'!$1:$2,2,FALSE),FALSE))),"")</f>
        <v/>
      </c>
      <c r="O189" s="14">
        <f>IFERROR((VLOOKUP($A189,'[1]import success seats course'!$A:AC,HLOOKUP('[1]Course Totals'!O$4,'[1]import success seats course'!$1:$2,2,FALSE),FALSE)/(VLOOKUP($A189,'[1]import graded seats course pivo'!$A:AM,HLOOKUP('[1]Course Totals'!O$4,'[1]import graded seats course pivo'!$1:$2,2,FALSE),FALSE))),"")</f>
        <v>1</v>
      </c>
      <c r="P189" s="14" t="str">
        <f>IFERROR((VLOOKUP($A189,'[1]import success seats course'!$A:AD,HLOOKUP('[1]Course Totals'!P$4,'[1]import success seats course'!$1:$2,2,FALSE),FALSE)/(VLOOKUP($A189,'[1]import graded seats course pivo'!$A:AN,HLOOKUP('[1]Course Totals'!P$4,'[1]import graded seats course pivo'!$1:$2,2,FALSE),FALSE))),"")</f>
        <v/>
      </c>
      <c r="Q189" s="14" t="str">
        <f>IFERROR((VLOOKUP($A189,'[1]import success seats course'!$A:AE,HLOOKUP('[1]Course Totals'!Q$4,'[1]import success seats course'!$1:$2,2,FALSE),FALSE)/(VLOOKUP($A189,'[1]import graded seats course pivo'!$A:AO,HLOOKUP('[1]Course Totals'!Q$4,'[1]import graded seats course pivo'!$1:$2,2,FALSE),FALSE))),"")</f>
        <v/>
      </c>
      <c r="R189" s="14">
        <f>IFERROR((VLOOKUP($A189,'[1]import success seats course'!$A:AF,HLOOKUP('[1]Course Totals'!R$4,'[1]import success seats course'!$1:$2,2,FALSE),FALSE)/(VLOOKUP($A189,'[1]import graded seats course pivo'!$A:AP,HLOOKUP('[1]Course Totals'!R$4,'[1]import graded seats course pivo'!$1:$2,2,FALSE),FALSE))),"")</f>
        <v>1</v>
      </c>
      <c r="S189" s="14">
        <f>IFERROR((VLOOKUP($A189,'[1]import success seats course'!$A:AG,HLOOKUP('[1]Course Totals'!S$4,'[1]import success seats course'!$1:$2,2,FALSE),FALSE)/(VLOOKUP($A189,'[1]import graded seats course pivo'!$A:AQ,HLOOKUP('[1]Course Totals'!S$4,'[1]import graded seats course pivo'!$1:$2,2,FALSE),FALSE))),"")</f>
        <v>1</v>
      </c>
      <c r="Z189" s="7"/>
      <c r="AA189" s="7"/>
      <c r="AB189" s="7"/>
      <c r="AC189" s="7"/>
    </row>
    <row r="190" spans="1:29" ht="15.75" hidden="1" customHeight="1" x14ac:dyDescent="0.25">
      <c r="A190" s="12" t="s">
        <v>566</v>
      </c>
      <c r="B190" s="14" t="str">
        <f>IFERROR((VLOOKUP($A190,'[1]import success seats course'!$A:P,HLOOKUP('[1]Course Totals'!B$4,'[1]import success seats course'!$1:$2,2,FALSE),FALSE)/(VLOOKUP($A190,'[1]import graded seats course pivo'!$A:Z,HLOOKUP('[1]Course Totals'!B$4,'[1]import graded seats course pivo'!$1:$2,2,FALSE),FALSE))),"")</f>
        <v/>
      </c>
      <c r="C190" s="14" t="str">
        <f>IFERROR((VLOOKUP($A190,'[1]import success seats course'!$A:Q,HLOOKUP('[1]Course Totals'!C$4,'[1]import success seats course'!$1:$2,2,FALSE),FALSE)/(VLOOKUP($A190,'[1]import graded seats course pivo'!$A:AA,HLOOKUP('[1]Course Totals'!C$4,'[1]import graded seats course pivo'!$1:$2,2,FALSE),FALSE))),"")</f>
        <v/>
      </c>
      <c r="D190" s="14" t="str">
        <f>IFERROR((VLOOKUP($A190,'[1]import success seats course'!$A:R,HLOOKUP('[1]Course Totals'!D$4,'[1]import success seats course'!$1:$2,2,FALSE),FALSE)/(VLOOKUP($A190,'[1]import graded seats course pivo'!$A:AB,HLOOKUP('[1]Course Totals'!D$4,'[1]import graded seats course pivo'!$1:$2,2,FALSE),FALSE))),"")</f>
        <v/>
      </c>
      <c r="E190" s="14" t="str">
        <f>IFERROR((VLOOKUP($A190,'[1]import success seats course'!$A:S,HLOOKUP('[1]Course Totals'!E$4,'[1]import success seats course'!$1:$2,2,FALSE),FALSE)/(VLOOKUP($A190,'[1]import graded seats course pivo'!$A:AC,HLOOKUP('[1]Course Totals'!E$4,'[1]import graded seats course pivo'!$1:$2,2,FALSE),FALSE))),"")</f>
        <v/>
      </c>
      <c r="F190" s="14" t="str">
        <f>IFERROR((VLOOKUP($A190,'[1]import success seats course'!$A:T,HLOOKUP('[1]Course Totals'!F$4,'[1]import success seats course'!$1:$2,2,FALSE),FALSE)/(VLOOKUP($A190,'[1]import graded seats course pivo'!$A:AD,HLOOKUP('[1]Course Totals'!F$4,'[1]import graded seats course pivo'!$1:$2,2,FALSE),FALSE))),"")</f>
        <v/>
      </c>
      <c r="G190" s="14" t="str">
        <f>IFERROR((VLOOKUP($A190,'[1]import success seats course'!$A:U,HLOOKUP('[1]Course Totals'!G$4,'[1]import success seats course'!$1:$2,2,FALSE),FALSE)/(VLOOKUP($A190,'[1]import graded seats course pivo'!$A:AE,HLOOKUP('[1]Course Totals'!G$4,'[1]import graded seats course pivo'!$1:$2,2,FALSE),FALSE))),"")</f>
        <v/>
      </c>
      <c r="H190" s="14" t="str">
        <f>IFERROR((VLOOKUP($A190,'[1]import success seats course'!$A:V,HLOOKUP('[1]Course Totals'!H$4,'[1]import success seats course'!$1:$2,2,FALSE),FALSE)/(VLOOKUP($A190,'[1]import graded seats course pivo'!$A:AF,HLOOKUP('[1]Course Totals'!H$4,'[1]import graded seats course pivo'!$1:$2,2,FALSE),FALSE))),"")</f>
        <v/>
      </c>
      <c r="I190" s="14" t="str">
        <f>IFERROR((VLOOKUP($A190,'[1]import success seats course'!$A:W,HLOOKUP('[1]Course Totals'!I$4,'[1]import success seats course'!$1:$2,2,FALSE),FALSE)/(VLOOKUP($A190,'[1]import graded seats course pivo'!$A:AG,HLOOKUP('[1]Course Totals'!I$4,'[1]import graded seats course pivo'!$1:$2,2,FALSE),FALSE))),"")</f>
        <v/>
      </c>
      <c r="J190" s="14" t="str">
        <f>IFERROR((VLOOKUP($A190,'[1]import success seats course'!$A:X,HLOOKUP('[1]Course Totals'!J$4,'[1]import success seats course'!$1:$2,2,FALSE),FALSE)/(VLOOKUP($A190,'[1]import graded seats course pivo'!$A:AH,HLOOKUP('[1]Course Totals'!J$4,'[1]import graded seats course pivo'!$1:$2,2,FALSE),FALSE))),"")</f>
        <v/>
      </c>
      <c r="K190" s="14" t="str">
        <f>IFERROR((VLOOKUP($A190,'[1]import success seats course'!$A:Y,HLOOKUP('[1]Course Totals'!K$4,'[1]import success seats course'!$1:$2,2,FALSE),FALSE)/(VLOOKUP($A190,'[1]import graded seats course pivo'!$A:AI,HLOOKUP('[1]Course Totals'!K$4,'[1]import graded seats course pivo'!$1:$2,2,FALSE),FALSE))),"")</f>
        <v/>
      </c>
      <c r="L190" s="14" t="str">
        <f>IFERROR((VLOOKUP($A190,'[1]import success seats course'!$A:Z,HLOOKUP('[1]Course Totals'!L$4,'[1]import success seats course'!$1:$2,2,FALSE),FALSE)/(VLOOKUP($A190,'[1]import graded seats course pivo'!$A:AJ,HLOOKUP('[1]Course Totals'!L$4,'[1]import graded seats course pivo'!$1:$2,2,FALSE),FALSE))),"")</f>
        <v/>
      </c>
      <c r="M190" s="14" t="str">
        <f>IFERROR((VLOOKUP($A190,'[1]import success seats course'!$A:AA,HLOOKUP('[1]Course Totals'!M$4,'[1]import success seats course'!$1:$2,2,FALSE),FALSE)/(VLOOKUP($A190,'[1]import graded seats course pivo'!$A:AK,HLOOKUP('[1]Course Totals'!M$4,'[1]import graded seats course pivo'!$1:$2,2,FALSE),FALSE))),"")</f>
        <v/>
      </c>
      <c r="N190" s="14" t="str">
        <f>IFERROR((VLOOKUP($A190,'[1]import success seats course'!$A:AB,HLOOKUP('[1]Course Totals'!N$4,'[1]import success seats course'!$1:$2,2,FALSE),FALSE)/(VLOOKUP($A190,'[1]import graded seats course pivo'!$A:AL,HLOOKUP('[1]Course Totals'!N$4,'[1]import graded seats course pivo'!$1:$2,2,FALSE),FALSE))),"")</f>
        <v/>
      </c>
      <c r="O190" s="14" t="str">
        <f>IFERROR((VLOOKUP($A190,'[1]import success seats course'!$A:AC,HLOOKUP('[1]Course Totals'!O$4,'[1]import success seats course'!$1:$2,2,FALSE),FALSE)/(VLOOKUP($A190,'[1]import graded seats course pivo'!$A:AM,HLOOKUP('[1]Course Totals'!O$4,'[1]import graded seats course pivo'!$1:$2,2,FALSE),FALSE))),"")</f>
        <v/>
      </c>
      <c r="P190" s="14" t="str">
        <f>IFERROR((VLOOKUP($A190,'[1]import success seats course'!$A:AD,HLOOKUP('[1]Course Totals'!P$4,'[1]import success seats course'!$1:$2,2,FALSE),FALSE)/(VLOOKUP($A190,'[1]import graded seats course pivo'!$A:AN,HLOOKUP('[1]Course Totals'!P$4,'[1]import graded seats course pivo'!$1:$2,2,FALSE),FALSE))),"")</f>
        <v/>
      </c>
      <c r="Q190" s="14" t="str">
        <f>IFERROR((VLOOKUP($A190,'[1]import success seats course'!$A:AE,HLOOKUP('[1]Course Totals'!Q$4,'[1]import success seats course'!$1:$2,2,FALSE),FALSE)/(VLOOKUP($A190,'[1]import graded seats course pivo'!$A:AO,HLOOKUP('[1]Course Totals'!Q$4,'[1]import graded seats course pivo'!$1:$2,2,FALSE),FALSE))),"")</f>
        <v/>
      </c>
      <c r="R190" s="14" t="str">
        <f>IFERROR((VLOOKUP($A190,'[1]import success seats course'!$A:AF,HLOOKUP('[1]Course Totals'!R$4,'[1]import success seats course'!$1:$2,2,FALSE),FALSE)/(VLOOKUP($A190,'[1]import graded seats course pivo'!$A:AP,HLOOKUP('[1]Course Totals'!R$4,'[1]import graded seats course pivo'!$1:$2,2,FALSE),FALSE))),"")</f>
        <v/>
      </c>
      <c r="S190" s="14" t="str">
        <f>IFERROR((VLOOKUP($A190,'[1]import success seats course'!$A:AG,HLOOKUP('[1]Course Totals'!S$4,'[1]import success seats course'!$1:$2,2,FALSE),FALSE)/(VLOOKUP($A190,'[1]import graded seats course pivo'!$A:AQ,HLOOKUP('[1]Course Totals'!S$4,'[1]import graded seats course pivo'!$1:$2,2,FALSE),FALSE))),"")</f>
        <v/>
      </c>
      <c r="Z190" s="7"/>
      <c r="AA190" s="7"/>
      <c r="AB190" s="7"/>
      <c r="AC190" s="7"/>
    </row>
    <row r="191" spans="1:29" ht="15.75" hidden="1" customHeight="1" x14ac:dyDescent="0.25">
      <c r="A191" s="12" t="s">
        <v>567</v>
      </c>
      <c r="B191" s="14" t="str">
        <f>IFERROR((VLOOKUP($A191,'[1]import success seats course'!$A:P,HLOOKUP('[1]Course Totals'!B$4,'[1]import success seats course'!$1:$2,2,FALSE),FALSE)/(VLOOKUP($A191,'[1]import graded seats course pivo'!$A:Z,HLOOKUP('[1]Course Totals'!B$4,'[1]import graded seats course pivo'!$1:$2,2,FALSE),FALSE))),"")</f>
        <v/>
      </c>
      <c r="C191" s="14" t="str">
        <f>IFERROR((VLOOKUP($A191,'[1]import success seats course'!$A:Q,HLOOKUP('[1]Course Totals'!C$4,'[1]import success seats course'!$1:$2,2,FALSE),FALSE)/(VLOOKUP($A191,'[1]import graded seats course pivo'!$A:AA,HLOOKUP('[1]Course Totals'!C$4,'[1]import graded seats course pivo'!$1:$2,2,FALSE),FALSE))),"")</f>
        <v/>
      </c>
      <c r="D191" s="14" t="str">
        <f>IFERROR((VLOOKUP($A191,'[1]import success seats course'!$A:R,HLOOKUP('[1]Course Totals'!D$4,'[1]import success seats course'!$1:$2,2,FALSE),FALSE)/(VLOOKUP($A191,'[1]import graded seats course pivo'!$A:AB,HLOOKUP('[1]Course Totals'!D$4,'[1]import graded seats course pivo'!$1:$2,2,FALSE),FALSE))),"")</f>
        <v/>
      </c>
      <c r="E191" s="14" t="str">
        <f>IFERROR((VLOOKUP($A191,'[1]import success seats course'!$A:S,HLOOKUP('[1]Course Totals'!E$4,'[1]import success seats course'!$1:$2,2,FALSE),FALSE)/(VLOOKUP($A191,'[1]import graded seats course pivo'!$A:AC,HLOOKUP('[1]Course Totals'!E$4,'[1]import graded seats course pivo'!$1:$2,2,FALSE),FALSE))),"")</f>
        <v/>
      </c>
      <c r="F191" s="14" t="str">
        <f>IFERROR((VLOOKUP($A191,'[1]import success seats course'!$A:T,HLOOKUP('[1]Course Totals'!F$4,'[1]import success seats course'!$1:$2,2,FALSE),FALSE)/(VLOOKUP($A191,'[1]import graded seats course pivo'!$A:AD,HLOOKUP('[1]Course Totals'!F$4,'[1]import graded seats course pivo'!$1:$2,2,FALSE),FALSE))),"")</f>
        <v/>
      </c>
      <c r="G191" s="14" t="str">
        <f>IFERROR((VLOOKUP($A191,'[1]import success seats course'!$A:U,HLOOKUP('[1]Course Totals'!G$4,'[1]import success seats course'!$1:$2,2,FALSE),FALSE)/(VLOOKUP($A191,'[1]import graded seats course pivo'!$A:AE,HLOOKUP('[1]Course Totals'!G$4,'[1]import graded seats course pivo'!$1:$2,2,FALSE),FALSE))),"")</f>
        <v/>
      </c>
      <c r="H191" s="14" t="str">
        <f>IFERROR((VLOOKUP($A191,'[1]import success seats course'!$A:V,HLOOKUP('[1]Course Totals'!H$4,'[1]import success seats course'!$1:$2,2,FALSE),FALSE)/(VLOOKUP($A191,'[1]import graded seats course pivo'!$A:AF,HLOOKUP('[1]Course Totals'!H$4,'[1]import graded seats course pivo'!$1:$2,2,FALSE),FALSE))),"")</f>
        <v/>
      </c>
      <c r="I191" s="14" t="str">
        <f>IFERROR((VLOOKUP($A191,'[1]import success seats course'!$A:W,HLOOKUP('[1]Course Totals'!I$4,'[1]import success seats course'!$1:$2,2,FALSE),FALSE)/(VLOOKUP($A191,'[1]import graded seats course pivo'!$A:AG,HLOOKUP('[1]Course Totals'!I$4,'[1]import graded seats course pivo'!$1:$2,2,FALSE),FALSE))),"")</f>
        <v/>
      </c>
      <c r="J191" s="14" t="str">
        <f>IFERROR((VLOOKUP($A191,'[1]import success seats course'!$A:X,HLOOKUP('[1]Course Totals'!J$4,'[1]import success seats course'!$1:$2,2,FALSE),FALSE)/(VLOOKUP($A191,'[1]import graded seats course pivo'!$A:AH,HLOOKUP('[1]Course Totals'!J$4,'[1]import graded seats course pivo'!$1:$2,2,FALSE),FALSE))),"")</f>
        <v/>
      </c>
      <c r="K191" s="14" t="str">
        <f>IFERROR((VLOOKUP($A191,'[1]import success seats course'!$A:Y,HLOOKUP('[1]Course Totals'!K$4,'[1]import success seats course'!$1:$2,2,FALSE),FALSE)/(VLOOKUP($A191,'[1]import graded seats course pivo'!$A:AI,HLOOKUP('[1]Course Totals'!K$4,'[1]import graded seats course pivo'!$1:$2,2,FALSE),FALSE))),"")</f>
        <v/>
      </c>
      <c r="L191" s="14" t="str">
        <f>IFERROR((VLOOKUP($A191,'[1]import success seats course'!$A:Z,HLOOKUP('[1]Course Totals'!L$4,'[1]import success seats course'!$1:$2,2,FALSE),FALSE)/(VLOOKUP($A191,'[1]import graded seats course pivo'!$A:AJ,HLOOKUP('[1]Course Totals'!L$4,'[1]import graded seats course pivo'!$1:$2,2,FALSE),FALSE))),"")</f>
        <v/>
      </c>
      <c r="M191" s="14" t="str">
        <f>IFERROR((VLOOKUP($A191,'[1]import success seats course'!$A:AA,HLOOKUP('[1]Course Totals'!M$4,'[1]import success seats course'!$1:$2,2,FALSE),FALSE)/(VLOOKUP($A191,'[1]import graded seats course pivo'!$A:AK,HLOOKUP('[1]Course Totals'!M$4,'[1]import graded seats course pivo'!$1:$2,2,FALSE),FALSE))),"")</f>
        <v/>
      </c>
      <c r="N191" s="14" t="str">
        <f>IFERROR((VLOOKUP($A191,'[1]import success seats course'!$A:AB,HLOOKUP('[1]Course Totals'!N$4,'[1]import success seats course'!$1:$2,2,FALSE),FALSE)/(VLOOKUP($A191,'[1]import graded seats course pivo'!$A:AL,HLOOKUP('[1]Course Totals'!N$4,'[1]import graded seats course pivo'!$1:$2,2,FALSE),FALSE))),"")</f>
        <v/>
      </c>
      <c r="O191" s="14" t="str">
        <f>IFERROR((VLOOKUP($A191,'[1]import success seats course'!$A:AC,HLOOKUP('[1]Course Totals'!O$4,'[1]import success seats course'!$1:$2,2,FALSE),FALSE)/(VLOOKUP($A191,'[1]import graded seats course pivo'!$A:AM,HLOOKUP('[1]Course Totals'!O$4,'[1]import graded seats course pivo'!$1:$2,2,FALSE),FALSE))),"")</f>
        <v/>
      </c>
      <c r="P191" s="14" t="str">
        <f>IFERROR((VLOOKUP($A191,'[1]import success seats course'!$A:AD,HLOOKUP('[1]Course Totals'!P$4,'[1]import success seats course'!$1:$2,2,FALSE),FALSE)/(VLOOKUP($A191,'[1]import graded seats course pivo'!$A:AN,HLOOKUP('[1]Course Totals'!P$4,'[1]import graded seats course pivo'!$1:$2,2,FALSE),FALSE))),"")</f>
        <v/>
      </c>
      <c r="Q191" s="14" t="str">
        <f>IFERROR((VLOOKUP($A191,'[1]import success seats course'!$A:AE,HLOOKUP('[1]Course Totals'!Q$4,'[1]import success seats course'!$1:$2,2,FALSE),FALSE)/(VLOOKUP($A191,'[1]import graded seats course pivo'!$A:AO,HLOOKUP('[1]Course Totals'!Q$4,'[1]import graded seats course pivo'!$1:$2,2,FALSE),FALSE))),"")</f>
        <v/>
      </c>
      <c r="R191" s="14" t="str">
        <f>IFERROR((VLOOKUP($A191,'[1]import success seats course'!$A:AF,HLOOKUP('[1]Course Totals'!R$4,'[1]import success seats course'!$1:$2,2,FALSE),FALSE)/(VLOOKUP($A191,'[1]import graded seats course pivo'!$A:AP,HLOOKUP('[1]Course Totals'!R$4,'[1]import graded seats course pivo'!$1:$2,2,FALSE),FALSE))),"")</f>
        <v/>
      </c>
      <c r="S191" s="14" t="str">
        <f>IFERROR((VLOOKUP($A191,'[1]import success seats course'!$A:AG,HLOOKUP('[1]Course Totals'!S$4,'[1]import success seats course'!$1:$2,2,FALSE),FALSE)/(VLOOKUP($A191,'[1]import graded seats course pivo'!$A:AQ,HLOOKUP('[1]Course Totals'!S$4,'[1]import graded seats course pivo'!$1:$2,2,FALSE),FALSE))),"")</f>
        <v/>
      </c>
      <c r="Z191" s="7"/>
      <c r="AA191" s="7"/>
      <c r="AB191" s="7"/>
      <c r="AC191" s="7"/>
    </row>
    <row r="192" spans="1:29" ht="15.75" hidden="1" customHeight="1" x14ac:dyDescent="0.25">
      <c r="A192" s="12" t="s">
        <v>829</v>
      </c>
      <c r="B192" s="14" t="str">
        <f>IFERROR((VLOOKUP($A192,'[1]import success seats course'!$A:P,HLOOKUP('[1]Course Totals'!B$4,'[1]import success seats course'!$1:$2,2,FALSE),FALSE)/(VLOOKUP($A192,'[1]import graded seats course pivo'!$A:Z,HLOOKUP('[1]Course Totals'!B$4,'[1]import graded seats course pivo'!$1:$2,2,FALSE),FALSE))),"")</f>
        <v/>
      </c>
      <c r="C192" s="14" t="str">
        <f>IFERROR((VLOOKUP($A192,'[1]import success seats course'!$A:Q,HLOOKUP('[1]Course Totals'!C$4,'[1]import success seats course'!$1:$2,2,FALSE),FALSE)/(VLOOKUP($A192,'[1]import graded seats course pivo'!$A:AA,HLOOKUP('[1]Course Totals'!C$4,'[1]import graded seats course pivo'!$1:$2,2,FALSE),FALSE))),"")</f>
        <v/>
      </c>
      <c r="D192" s="14" t="str">
        <f>IFERROR((VLOOKUP($A192,'[1]import success seats course'!$A:R,HLOOKUP('[1]Course Totals'!D$4,'[1]import success seats course'!$1:$2,2,FALSE),FALSE)/(VLOOKUP($A192,'[1]import graded seats course pivo'!$A:AB,HLOOKUP('[1]Course Totals'!D$4,'[1]import graded seats course pivo'!$1:$2,2,FALSE),FALSE))),"")</f>
        <v/>
      </c>
      <c r="E192" s="14" t="str">
        <f>IFERROR((VLOOKUP($A192,'[1]import success seats course'!$A:S,HLOOKUP('[1]Course Totals'!E$4,'[1]import success seats course'!$1:$2,2,FALSE),FALSE)/(VLOOKUP($A192,'[1]import graded seats course pivo'!$A:AC,HLOOKUP('[1]Course Totals'!E$4,'[1]import graded seats course pivo'!$1:$2,2,FALSE),FALSE))),"")</f>
        <v/>
      </c>
      <c r="F192" s="14" t="str">
        <f>IFERROR((VLOOKUP($A192,'[1]import success seats course'!$A:T,HLOOKUP('[1]Course Totals'!F$4,'[1]import success seats course'!$1:$2,2,FALSE),FALSE)/(VLOOKUP($A192,'[1]import graded seats course pivo'!$A:AD,HLOOKUP('[1]Course Totals'!F$4,'[1]import graded seats course pivo'!$1:$2,2,FALSE),FALSE))),"")</f>
        <v/>
      </c>
      <c r="G192" s="14" t="str">
        <f>IFERROR((VLOOKUP($A192,'[1]import success seats course'!$A:U,HLOOKUP('[1]Course Totals'!G$4,'[1]import success seats course'!$1:$2,2,FALSE),FALSE)/(VLOOKUP($A192,'[1]import graded seats course pivo'!$A:AE,HLOOKUP('[1]Course Totals'!G$4,'[1]import graded seats course pivo'!$1:$2,2,FALSE),FALSE))),"")</f>
        <v/>
      </c>
      <c r="H192" s="14" t="str">
        <f>IFERROR((VLOOKUP($A192,'[1]import success seats course'!$A:V,HLOOKUP('[1]Course Totals'!H$4,'[1]import success seats course'!$1:$2,2,FALSE),FALSE)/(VLOOKUP($A192,'[1]import graded seats course pivo'!$A:AF,HLOOKUP('[1]Course Totals'!H$4,'[1]import graded seats course pivo'!$1:$2,2,FALSE),FALSE))),"")</f>
        <v/>
      </c>
      <c r="I192" s="14" t="str">
        <f>IFERROR((VLOOKUP($A192,'[1]import success seats course'!$A:W,HLOOKUP('[1]Course Totals'!I$4,'[1]import success seats course'!$1:$2,2,FALSE),FALSE)/(VLOOKUP($A192,'[1]import graded seats course pivo'!$A:AG,HLOOKUP('[1]Course Totals'!I$4,'[1]import graded seats course pivo'!$1:$2,2,FALSE),FALSE))),"")</f>
        <v/>
      </c>
      <c r="J192" s="14" t="str">
        <f>IFERROR((VLOOKUP($A192,'[1]import success seats course'!$A:X,HLOOKUP('[1]Course Totals'!J$4,'[1]import success seats course'!$1:$2,2,FALSE),FALSE)/(VLOOKUP($A192,'[1]import graded seats course pivo'!$A:AH,HLOOKUP('[1]Course Totals'!J$4,'[1]import graded seats course pivo'!$1:$2,2,FALSE),FALSE))),"")</f>
        <v/>
      </c>
      <c r="K192" s="14" t="str">
        <f>IFERROR((VLOOKUP($A192,'[1]import success seats course'!$A:Y,HLOOKUP('[1]Course Totals'!K$4,'[1]import success seats course'!$1:$2,2,FALSE),FALSE)/(VLOOKUP($A192,'[1]import graded seats course pivo'!$A:AI,HLOOKUP('[1]Course Totals'!K$4,'[1]import graded seats course pivo'!$1:$2,2,FALSE),FALSE))),"")</f>
        <v/>
      </c>
      <c r="L192" s="14" t="str">
        <f>IFERROR((VLOOKUP($A192,'[1]import success seats course'!$A:Z,HLOOKUP('[1]Course Totals'!L$4,'[1]import success seats course'!$1:$2,2,FALSE),FALSE)/(VLOOKUP($A192,'[1]import graded seats course pivo'!$A:AJ,HLOOKUP('[1]Course Totals'!L$4,'[1]import graded seats course pivo'!$1:$2,2,FALSE),FALSE))),"")</f>
        <v/>
      </c>
      <c r="M192" s="14" t="str">
        <f>IFERROR((VLOOKUP($A192,'[1]import success seats course'!$A:AA,HLOOKUP('[1]Course Totals'!M$4,'[1]import success seats course'!$1:$2,2,FALSE),FALSE)/(VLOOKUP($A192,'[1]import graded seats course pivo'!$A:AK,HLOOKUP('[1]Course Totals'!M$4,'[1]import graded seats course pivo'!$1:$2,2,FALSE),FALSE))),"")</f>
        <v/>
      </c>
      <c r="N192" s="14" t="str">
        <f>IFERROR((VLOOKUP($A192,'[1]import success seats course'!$A:AB,HLOOKUP('[1]Course Totals'!N$4,'[1]import success seats course'!$1:$2,2,FALSE),FALSE)/(VLOOKUP($A192,'[1]import graded seats course pivo'!$A:AL,HLOOKUP('[1]Course Totals'!N$4,'[1]import graded seats course pivo'!$1:$2,2,FALSE),FALSE))),"")</f>
        <v/>
      </c>
      <c r="O192" s="14" t="str">
        <f>IFERROR((VLOOKUP($A192,'[1]import success seats course'!$A:AC,HLOOKUP('[1]Course Totals'!O$4,'[1]import success seats course'!$1:$2,2,FALSE),FALSE)/(VLOOKUP($A192,'[1]import graded seats course pivo'!$A:AM,HLOOKUP('[1]Course Totals'!O$4,'[1]import graded seats course pivo'!$1:$2,2,FALSE),FALSE))),"")</f>
        <v/>
      </c>
      <c r="P192" s="14" t="str">
        <f>IFERROR((VLOOKUP($A192,'[1]import success seats course'!$A:AD,HLOOKUP('[1]Course Totals'!P$4,'[1]import success seats course'!$1:$2,2,FALSE),FALSE)/(VLOOKUP($A192,'[1]import graded seats course pivo'!$A:AN,HLOOKUP('[1]Course Totals'!P$4,'[1]import graded seats course pivo'!$1:$2,2,FALSE),FALSE))),"")</f>
        <v/>
      </c>
      <c r="Q192" s="14" t="str">
        <f>IFERROR((VLOOKUP($A192,'[1]import success seats course'!$A:AE,HLOOKUP('[1]Course Totals'!Q$4,'[1]import success seats course'!$1:$2,2,FALSE),FALSE)/(VLOOKUP($A192,'[1]import graded seats course pivo'!$A:AO,HLOOKUP('[1]Course Totals'!Q$4,'[1]import graded seats course pivo'!$1:$2,2,FALSE),FALSE))),"")</f>
        <v/>
      </c>
      <c r="R192" s="14" t="str">
        <f>IFERROR((VLOOKUP($A192,'[1]import success seats course'!$A:AF,HLOOKUP('[1]Course Totals'!R$4,'[1]import success seats course'!$1:$2,2,FALSE),FALSE)/(VLOOKUP($A192,'[1]import graded seats course pivo'!$A:AP,HLOOKUP('[1]Course Totals'!R$4,'[1]import graded seats course pivo'!$1:$2,2,FALSE),FALSE))),"")</f>
        <v/>
      </c>
      <c r="S192" s="14" t="str">
        <f>IFERROR((VLOOKUP($A192,'[1]import success seats course'!$A:AG,HLOOKUP('[1]Course Totals'!S$4,'[1]import success seats course'!$1:$2,2,FALSE),FALSE)/(VLOOKUP($A192,'[1]import graded seats course pivo'!$A:AQ,HLOOKUP('[1]Course Totals'!S$4,'[1]import graded seats course pivo'!$1:$2,2,FALSE),FALSE))),"")</f>
        <v/>
      </c>
      <c r="Z192" s="7"/>
      <c r="AA192" s="7"/>
      <c r="AB192" s="7"/>
      <c r="AC192" s="7"/>
    </row>
    <row r="193" spans="1:29" ht="15.75" hidden="1" customHeight="1" x14ac:dyDescent="0.25">
      <c r="A193" s="12" t="s">
        <v>830</v>
      </c>
      <c r="B193" s="14" t="str">
        <f>IFERROR((VLOOKUP($A193,'[1]import success seats course'!$A:P,HLOOKUP('[1]Course Totals'!B$4,'[1]import success seats course'!$1:$2,2,FALSE),FALSE)/(VLOOKUP($A193,'[1]import graded seats course pivo'!$A:Z,HLOOKUP('[1]Course Totals'!B$4,'[1]import graded seats course pivo'!$1:$2,2,FALSE),FALSE))),"")</f>
        <v/>
      </c>
      <c r="C193" s="14" t="str">
        <f>IFERROR((VLOOKUP($A193,'[1]import success seats course'!$A:Q,HLOOKUP('[1]Course Totals'!C$4,'[1]import success seats course'!$1:$2,2,FALSE),FALSE)/(VLOOKUP($A193,'[1]import graded seats course pivo'!$A:AA,HLOOKUP('[1]Course Totals'!C$4,'[1]import graded seats course pivo'!$1:$2,2,FALSE),FALSE))),"")</f>
        <v/>
      </c>
      <c r="D193" s="14" t="str">
        <f>IFERROR((VLOOKUP($A193,'[1]import success seats course'!$A:R,HLOOKUP('[1]Course Totals'!D$4,'[1]import success seats course'!$1:$2,2,FALSE),FALSE)/(VLOOKUP($A193,'[1]import graded seats course pivo'!$A:AB,HLOOKUP('[1]Course Totals'!D$4,'[1]import graded seats course pivo'!$1:$2,2,FALSE),FALSE))),"")</f>
        <v/>
      </c>
      <c r="E193" s="14" t="str">
        <f>IFERROR((VLOOKUP($A193,'[1]import success seats course'!$A:S,HLOOKUP('[1]Course Totals'!E$4,'[1]import success seats course'!$1:$2,2,FALSE),FALSE)/(VLOOKUP($A193,'[1]import graded seats course pivo'!$A:AC,HLOOKUP('[1]Course Totals'!E$4,'[1]import graded seats course pivo'!$1:$2,2,FALSE),FALSE))),"")</f>
        <v/>
      </c>
      <c r="F193" s="14" t="str">
        <f>IFERROR((VLOOKUP($A193,'[1]import success seats course'!$A:T,HLOOKUP('[1]Course Totals'!F$4,'[1]import success seats course'!$1:$2,2,FALSE),FALSE)/(VLOOKUP($A193,'[1]import graded seats course pivo'!$A:AD,HLOOKUP('[1]Course Totals'!F$4,'[1]import graded seats course pivo'!$1:$2,2,FALSE),FALSE))),"")</f>
        <v/>
      </c>
      <c r="G193" s="14" t="str">
        <f>IFERROR((VLOOKUP($A193,'[1]import success seats course'!$A:U,HLOOKUP('[1]Course Totals'!G$4,'[1]import success seats course'!$1:$2,2,FALSE),FALSE)/(VLOOKUP($A193,'[1]import graded seats course pivo'!$A:AE,HLOOKUP('[1]Course Totals'!G$4,'[1]import graded seats course pivo'!$1:$2,2,FALSE),FALSE))),"")</f>
        <v/>
      </c>
      <c r="H193" s="14" t="str">
        <f>IFERROR((VLOOKUP($A193,'[1]import success seats course'!$A:V,HLOOKUP('[1]Course Totals'!H$4,'[1]import success seats course'!$1:$2,2,FALSE),FALSE)/(VLOOKUP($A193,'[1]import graded seats course pivo'!$A:AF,HLOOKUP('[1]Course Totals'!H$4,'[1]import graded seats course pivo'!$1:$2,2,FALSE),FALSE))),"")</f>
        <v/>
      </c>
      <c r="I193" s="14" t="str">
        <f>IFERROR((VLOOKUP($A193,'[1]import success seats course'!$A:W,HLOOKUP('[1]Course Totals'!I$4,'[1]import success seats course'!$1:$2,2,FALSE),FALSE)/(VLOOKUP($A193,'[1]import graded seats course pivo'!$A:AG,HLOOKUP('[1]Course Totals'!I$4,'[1]import graded seats course pivo'!$1:$2,2,FALSE),FALSE))),"")</f>
        <v/>
      </c>
      <c r="J193" s="14" t="str">
        <f>IFERROR((VLOOKUP($A193,'[1]import success seats course'!$A:X,HLOOKUP('[1]Course Totals'!J$4,'[1]import success seats course'!$1:$2,2,FALSE),FALSE)/(VLOOKUP($A193,'[1]import graded seats course pivo'!$A:AH,HLOOKUP('[1]Course Totals'!J$4,'[1]import graded seats course pivo'!$1:$2,2,FALSE),FALSE))),"")</f>
        <v/>
      </c>
      <c r="K193" s="14" t="str">
        <f>IFERROR((VLOOKUP($A193,'[1]import success seats course'!$A:Y,HLOOKUP('[1]Course Totals'!K$4,'[1]import success seats course'!$1:$2,2,FALSE),FALSE)/(VLOOKUP($A193,'[1]import graded seats course pivo'!$A:AI,HLOOKUP('[1]Course Totals'!K$4,'[1]import graded seats course pivo'!$1:$2,2,FALSE),FALSE))),"")</f>
        <v/>
      </c>
      <c r="L193" s="14" t="str">
        <f>IFERROR((VLOOKUP($A193,'[1]import success seats course'!$A:Z,HLOOKUP('[1]Course Totals'!L$4,'[1]import success seats course'!$1:$2,2,FALSE),FALSE)/(VLOOKUP($A193,'[1]import graded seats course pivo'!$A:AJ,HLOOKUP('[1]Course Totals'!L$4,'[1]import graded seats course pivo'!$1:$2,2,FALSE),FALSE))),"")</f>
        <v/>
      </c>
      <c r="M193" s="14" t="str">
        <f>IFERROR((VLOOKUP($A193,'[1]import success seats course'!$A:AA,HLOOKUP('[1]Course Totals'!M$4,'[1]import success seats course'!$1:$2,2,FALSE),FALSE)/(VLOOKUP($A193,'[1]import graded seats course pivo'!$A:AK,HLOOKUP('[1]Course Totals'!M$4,'[1]import graded seats course pivo'!$1:$2,2,FALSE),FALSE))),"")</f>
        <v/>
      </c>
      <c r="N193" s="14" t="str">
        <f>IFERROR((VLOOKUP($A193,'[1]import success seats course'!$A:AB,HLOOKUP('[1]Course Totals'!N$4,'[1]import success seats course'!$1:$2,2,FALSE),FALSE)/(VLOOKUP($A193,'[1]import graded seats course pivo'!$A:AL,HLOOKUP('[1]Course Totals'!N$4,'[1]import graded seats course pivo'!$1:$2,2,FALSE),FALSE))),"")</f>
        <v/>
      </c>
      <c r="O193" s="14" t="str">
        <f>IFERROR((VLOOKUP($A193,'[1]import success seats course'!$A:AC,HLOOKUP('[1]Course Totals'!O$4,'[1]import success seats course'!$1:$2,2,FALSE),FALSE)/(VLOOKUP($A193,'[1]import graded seats course pivo'!$A:AM,HLOOKUP('[1]Course Totals'!O$4,'[1]import graded seats course pivo'!$1:$2,2,FALSE),FALSE))),"")</f>
        <v/>
      </c>
      <c r="P193" s="14" t="str">
        <f>IFERROR((VLOOKUP($A193,'[1]import success seats course'!$A:AD,HLOOKUP('[1]Course Totals'!P$4,'[1]import success seats course'!$1:$2,2,FALSE),FALSE)/(VLOOKUP($A193,'[1]import graded seats course pivo'!$A:AN,HLOOKUP('[1]Course Totals'!P$4,'[1]import graded seats course pivo'!$1:$2,2,FALSE),FALSE))),"")</f>
        <v/>
      </c>
      <c r="Q193" s="14" t="str">
        <f>IFERROR((VLOOKUP($A193,'[1]import success seats course'!$A:AE,HLOOKUP('[1]Course Totals'!Q$4,'[1]import success seats course'!$1:$2,2,FALSE),FALSE)/(VLOOKUP($A193,'[1]import graded seats course pivo'!$A:AO,HLOOKUP('[1]Course Totals'!Q$4,'[1]import graded seats course pivo'!$1:$2,2,FALSE),FALSE))),"")</f>
        <v/>
      </c>
      <c r="R193" s="14" t="str">
        <f>IFERROR((VLOOKUP($A193,'[1]import success seats course'!$A:AF,HLOOKUP('[1]Course Totals'!R$4,'[1]import success seats course'!$1:$2,2,FALSE),FALSE)/(VLOOKUP($A193,'[1]import graded seats course pivo'!$A:AP,HLOOKUP('[1]Course Totals'!R$4,'[1]import graded seats course pivo'!$1:$2,2,FALSE),FALSE))),"")</f>
        <v/>
      </c>
      <c r="S193" s="14" t="str">
        <f>IFERROR((VLOOKUP($A193,'[1]import success seats course'!$A:AG,HLOOKUP('[1]Course Totals'!S$4,'[1]import success seats course'!$1:$2,2,FALSE),FALSE)/(VLOOKUP($A193,'[1]import graded seats course pivo'!$A:AQ,HLOOKUP('[1]Course Totals'!S$4,'[1]import graded seats course pivo'!$1:$2,2,FALSE),FALSE))),"")</f>
        <v/>
      </c>
      <c r="Z193" s="7"/>
      <c r="AA193" s="7"/>
      <c r="AB193" s="7"/>
      <c r="AC193" s="7"/>
    </row>
    <row r="194" spans="1:29" ht="15.75" hidden="1" customHeight="1" x14ac:dyDescent="0.25">
      <c r="A194" s="12" t="s">
        <v>877</v>
      </c>
      <c r="B194" s="14" t="str">
        <f>IFERROR((VLOOKUP($A194,'[1]import success seats course'!$A:P,HLOOKUP('[1]Course Totals'!B$4,'[1]import success seats course'!$1:$2,2,FALSE),FALSE)/(VLOOKUP($A194,'[1]import graded seats course pivo'!$A:Z,HLOOKUP('[1]Course Totals'!B$4,'[1]import graded seats course pivo'!$1:$2,2,FALSE),FALSE))),"")</f>
        <v/>
      </c>
      <c r="C194" s="14" t="str">
        <f>IFERROR((VLOOKUP($A194,'[1]import success seats course'!$A:Q,HLOOKUP('[1]Course Totals'!C$4,'[1]import success seats course'!$1:$2,2,FALSE),FALSE)/(VLOOKUP($A194,'[1]import graded seats course pivo'!$A:AA,HLOOKUP('[1]Course Totals'!C$4,'[1]import graded seats course pivo'!$1:$2,2,FALSE),FALSE))),"")</f>
        <v/>
      </c>
      <c r="D194" s="14" t="str">
        <f>IFERROR((VLOOKUP($A194,'[1]import success seats course'!$A:R,HLOOKUP('[1]Course Totals'!D$4,'[1]import success seats course'!$1:$2,2,FALSE),FALSE)/(VLOOKUP($A194,'[1]import graded seats course pivo'!$A:AB,HLOOKUP('[1]Course Totals'!D$4,'[1]import graded seats course pivo'!$1:$2,2,FALSE),FALSE))),"")</f>
        <v/>
      </c>
      <c r="E194" s="14" t="str">
        <f>IFERROR((VLOOKUP($A194,'[1]import success seats course'!$A:S,HLOOKUP('[1]Course Totals'!E$4,'[1]import success seats course'!$1:$2,2,FALSE),FALSE)/(VLOOKUP($A194,'[1]import graded seats course pivo'!$A:AC,HLOOKUP('[1]Course Totals'!E$4,'[1]import graded seats course pivo'!$1:$2,2,FALSE),FALSE))),"")</f>
        <v/>
      </c>
      <c r="F194" s="14" t="str">
        <f>IFERROR((VLOOKUP($A194,'[1]import success seats course'!$A:T,HLOOKUP('[1]Course Totals'!F$4,'[1]import success seats course'!$1:$2,2,FALSE),FALSE)/(VLOOKUP($A194,'[1]import graded seats course pivo'!$A:AD,HLOOKUP('[1]Course Totals'!F$4,'[1]import graded seats course pivo'!$1:$2,2,FALSE),FALSE))),"")</f>
        <v/>
      </c>
      <c r="G194" s="14" t="str">
        <f>IFERROR((VLOOKUP($A194,'[1]import success seats course'!$A:U,HLOOKUP('[1]Course Totals'!G$4,'[1]import success seats course'!$1:$2,2,FALSE),FALSE)/(VLOOKUP($A194,'[1]import graded seats course pivo'!$A:AE,HLOOKUP('[1]Course Totals'!G$4,'[1]import graded seats course pivo'!$1:$2,2,FALSE),FALSE))),"")</f>
        <v/>
      </c>
      <c r="H194" s="14" t="str">
        <f>IFERROR((VLOOKUP($A194,'[1]import success seats course'!$A:V,HLOOKUP('[1]Course Totals'!H$4,'[1]import success seats course'!$1:$2,2,FALSE),FALSE)/(VLOOKUP($A194,'[1]import graded seats course pivo'!$A:AF,HLOOKUP('[1]Course Totals'!H$4,'[1]import graded seats course pivo'!$1:$2,2,FALSE),FALSE))),"")</f>
        <v/>
      </c>
      <c r="I194" s="14" t="str">
        <f>IFERROR((VLOOKUP($A194,'[1]import success seats course'!$A:W,HLOOKUP('[1]Course Totals'!I$4,'[1]import success seats course'!$1:$2,2,FALSE),FALSE)/(VLOOKUP($A194,'[1]import graded seats course pivo'!$A:AG,HLOOKUP('[1]Course Totals'!I$4,'[1]import graded seats course pivo'!$1:$2,2,FALSE),FALSE))),"")</f>
        <v/>
      </c>
      <c r="J194" s="14" t="str">
        <f>IFERROR((VLOOKUP($A194,'[1]import success seats course'!$A:X,HLOOKUP('[1]Course Totals'!J$4,'[1]import success seats course'!$1:$2,2,FALSE),FALSE)/(VLOOKUP($A194,'[1]import graded seats course pivo'!$A:AH,HLOOKUP('[1]Course Totals'!J$4,'[1]import graded seats course pivo'!$1:$2,2,FALSE),FALSE))),"")</f>
        <v/>
      </c>
      <c r="K194" s="14" t="str">
        <f>IFERROR((VLOOKUP($A194,'[1]import success seats course'!$A:Y,HLOOKUP('[1]Course Totals'!K$4,'[1]import success seats course'!$1:$2,2,FALSE),FALSE)/(VLOOKUP($A194,'[1]import graded seats course pivo'!$A:AI,HLOOKUP('[1]Course Totals'!K$4,'[1]import graded seats course pivo'!$1:$2,2,FALSE),FALSE))),"")</f>
        <v/>
      </c>
      <c r="L194" s="14" t="str">
        <f>IFERROR((VLOOKUP($A194,'[1]import success seats course'!$A:Z,HLOOKUP('[1]Course Totals'!L$4,'[1]import success seats course'!$1:$2,2,FALSE),FALSE)/(VLOOKUP($A194,'[1]import graded seats course pivo'!$A:AJ,HLOOKUP('[1]Course Totals'!L$4,'[1]import graded seats course pivo'!$1:$2,2,FALSE),FALSE))),"")</f>
        <v/>
      </c>
      <c r="M194" s="14" t="str">
        <f>IFERROR((VLOOKUP($A194,'[1]import success seats course'!$A:AA,HLOOKUP('[1]Course Totals'!M$4,'[1]import success seats course'!$1:$2,2,FALSE),FALSE)/(VLOOKUP($A194,'[1]import graded seats course pivo'!$A:AK,HLOOKUP('[1]Course Totals'!M$4,'[1]import graded seats course pivo'!$1:$2,2,FALSE),FALSE))),"")</f>
        <v/>
      </c>
      <c r="N194" s="14" t="str">
        <f>IFERROR((VLOOKUP($A194,'[1]import success seats course'!$A:AB,HLOOKUP('[1]Course Totals'!N$4,'[1]import success seats course'!$1:$2,2,FALSE),FALSE)/(VLOOKUP($A194,'[1]import graded seats course pivo'!$A:AL,HLOOKUP('[1]Course Totals'!N$4,'[1]import graded seats course pivo'!$1:$2,2,FALSE),FALSE))),"")</f>
        <v/>
      </c>
      <c r="O194" s="14" t="str">
        <f>IFERROR((VLOOKUP($A194,'[1]import success seats course'!$A:AC,HLOOKUP('[1]Course Totals'!O$4,'[1]import success seats course'!$1:$2,2,FALSE),FALSE)/(VLOOKUP($A194,'[1]import graded seats course pivo'!$A:AM,HLOOKUP('[1]Course Totals'!O$4,'[1]import graded seats course pivo'!$1:$2,2,FALSE),FALSE))),"")</f>
        <v/>
      </c>
      <c r="P194" s="14" t="str">
        <f>IFERROR((VLOOKUP($A194,'[1]import success seats course'!$A:AD,HLOOKUP('[1]Course Totals'!P$4,'[1]import success seats course'!$1:$2,2,FALSE),FALSE)/(VLOOKUP($A194,'[1]import graded seats course pivo'!$A:AN,HLOOKUP('[1]Course Totals'!P$4,'[1]import graded seats course pivo'!$1:$2,2,FALSE),FALSE))),"")</f>
        <v/>
      </c>
      <c r="Q194" s="14" t="str">
        <f>IFERROR((VLOOKUP($A194,'[1]import success seats course'!$A:AE,HLOOKUP('[1]Course Totals'!Q$4,'[1]import success seats course'!$1:$2,2,FALSE),FALSE)/(VLOOKUP($A194,'[1]import graded seats course pivo'!$A:AO,HLOOKUP('[1]Course Totals'!Q$4,'[1]import graded seats course pivo'!$1:$2,2,FALSE),FALSE))),"")</f>
        <v/>
      </c>
      <c r="R194" s="14" t="str">
        <f>IFERROR((VLOOKUP($A194,'[1]import success seats course'!$A:AF,HLOOKUP('[1]Course Totals'!R$4,'[1]import success seats course'!$1:$2,2,FALSE),FALSE)/(VLOOKUP($A194,'[1]import graded seats course pivo'!$A:AP,HLOOKUP('[1]Course Totals'!R$4,'[1]import graded seats course pivo'!$1:$2,2,FALSE),FALSE))),"")</f>
        <v/>
      </c>
      <c r="S194" s="14" t="str">
        <f>IFERROR((VLOOKUP($A194,'[1]import success seats course'!$A:AG,HLOOKUP('[1]Course Totals'!S$4,'[1]import success seats course'!$1:$2,2,FALSE),FALSE)/(VLOOKUP($A194,'[1]import graded seats course pivo'!$A:AQ,HLOOKUP('[1]Course Totals'!S$4,'[1]import graded seats course pivo'!$1:$2,2,FALSE),FALSE))),"")</f>
        <v/>
      </c>
      <c r="Z194" s="7"/>
      <c r="AA194" s="7"/>
      <c r="AB194" s="7"/>
      <c r="AC194" s="7"/>
    </row>
    <row r="195" spans="1:29" ht="15.75" customHeight="1" x14ac:dyDescent="0.25">
      <c r="A195" s="12" t="s">
        <v>107</v>
      </c>
      <c r="B195" s="14" t="str">
        <f>IFERROR((VLOOKUP($A195,'[1]import success seats course'!$A:P,HLOOKUP('[1]Course Totals'!B$4,'[1]import success seats course'!$1:$2,2,FALSE),FALSE)/(VLOOKUP($A195,'[1]import graded seats course pivo'!$A:Z,HLOOKUP('[1]Course Totals'!B$4,'[1]import graded seats course pivo'!$1:$2,2,FALSE),FALSE))),"")</f>
        <v/>
      </c>
      <c r="C195" s="14">
        <f>IFERROR((VLOOKUP($A195,'[1]import success seats course'!$A:Q,HLOOKUP('[1]Course Totals'!C$4,'[1]import success seats course'!$1:$2,2,FALSE),FALSE)/(VLOOKUP($A195,'[1]import graded seats course pivo'!$A:AA,HLOOKUP('[1]Course Totals'!C$4,'[1]import graded seats course pivo'!$1:$2,2,FALSE),FALSE))),"")</f>
        <v>1</v>
      </c>
      <c r="D195" s="14">
        <f>IFERROR((VLOOKUP($A195,'[1]import success seats course'!$A:R,HLOOKUP('[1]Course Totals'!D$4,'[1]import success seats course'!$1:$2,2,FALSE),FALSE)/(VLOOKUP($A195,'[1]import graded seats course pivo'!$A:AB,HLOOKUP('[1]Course Totals'!D$4,'[1]import graded seats course pivo'!$1:$2,2,FALSE),FALSE))),"")</f>
        <v>1</v>
      </c>
      <c r="E195" s="14" t="str">
        <f>IFERROR((VLOOKUP($A195,'[1]import success seats course'!$A:S,HLOOKUP('[1]Course Totals'!E$4,'[1]import success seats course'!$1:$2,2,FALSE),FALSE)/(VLOOKUP($A195,'[1]import graded seats course pivo'!$A:AC,HLOOKUP('[1]Course Totals'!E$4,'[1]import graded seats course pivo'!$1:$2,2,FALSE),FALSE))),"")</f>
        <v/>
      </c>
      <c r="F195" s="14">
        <f>IFERROR((VLOOKUP($A195,'[1]import success seats course'!$A:T,HLOOKUP('[1]Course Totals'!F$4,'[1]import success seats course'!$1:$2,2,FALSE),FALSE)/(VLOOKUP($A195,'[1]import graded seats course pivo'!$A:AD,HLOOKUP('[1]Course Totals'!F$4,'[1]import graded seats course pivo'!$1:$2,2,FALSE),FALSE))),"")</f>
        <v>1</v>
      </c>
      <c r="G195" s="14">
        <f>IFERROR((VLOOKUP($A195,'[1]import success seats course'!$A:U,HLOOKUP('[1]Course Totals'!G$4,'[1]import success seats course'!$1:$2,2,FALSE),FALSE)/(VLOOKUP($A195,'[1]import graded seats course pivo'!$A:AE,HLOOKUP('[1]Course Totals'!G$4,'[1]import graded seats course pivo'!$1:$2,2,FALSE),FALSE))),"")</f>
        <v>1</v>
      </c>
      <c r="H195" s="14" t="str">
        <f>IFERROR((VLOOKUP($A195,'[1]import success seats course'!$A:V,HLOOKUP('[1]Course Totals'!H$4,'[1]import success seats course'!$1:$2,2,FALSE),FALSE)/(VLOOKUP($A195,'[1]import graded seats course pivo'!$A:AF,HLOOKUP('[1]Course Totals'!H$4,'[1]import graded seats course pivo'!$1:$2,2,FALSE),FALSE))),"")</f>
        <v/>
      </c>
      <c r="I195" s="14" t="str">
        <f>IFERROR((VLOOKUP($A195,'[1]import success seats course'!$A:W,HLOOKUP('[1]Course Totals'!I$4,'[1]import success seats course'!$1:$2,2,FALSE),FALSE)/(VLOOKUP($A195,'[1]import graded seats course pivo'!$A:AG,HLOOKUP('[1]Course Totals'!I$4,'[1]import graded seats course pivo'!$1:$2,2,FALSE),FALSE))),"")</f>
        <v/>
      </c>
      <c r="J195" s="14">
        <f>IFERROR((VLOOKUP($A195,'[1]import success seats course'!$A:X,HLOOKUP('[1]Course Totals'!J$4,'[1]import success seats course'!$1:$2,2,FALSE),FALSE)/(VLOOKUP($A195,'[1]import graded seats course pivo'!$A:AH,HLOOKUP('[1]Course Totals'!J$4,'[1]import graded seats course pivo'!$1:$2,2,FALSE),FALSE))),"")</f>
        <v>1</v>
      </c>
      <c r="K195" s="14" t="str">
        <f>IFERROR((VLOOKUP($A195,'[1]import success seats course'!$A:Y,HLOOKUP('[1]Course Totals'!K$4,'[1]import success seats course'!$1:$2,2,FALSE),FALSE)/(VLOOKUP($A195,'[1]import graded seats course pivo'!$A:AI,HLOOKUP('[1]Course Totals'!K$4,'[1]import graded seats course pivo'!$1:$2,2,FALSE),FALSE))),"")</f>
        <v/>
      </c>
      <c r="L195" s="14" t="str">
        <f>IFERROR((VLOOKUP($A195,'[1]import success seats course'!$A:Z,HLOOKUP('[1]Course Totals'!L$4,'[1]import success seats course'!$1:$2,2,FALSE),FALSE)/(VLOOKUP($A195,'[1]import graded seats course pivo'!$A:AJ,HLOOKUP('[1]Course Totals'!L$4,'[1]import graded seats course pivo'!$1:$2,2,FALSE),FALSE))),"")</f>
        <v/>
      </c>
      <c r="M195" s="14" t="str">
        <f>IFERROR((VLOOKUP($A195,'[1]import success seats course'!$A:AA,HLOOKUP('[1]Course Totals'!M$4,'[1]import success seats course'!$1:$2,2,FALSE),FALSE)/(VLOOKUP($A195,'[1]import graded seats course pivo'!$A:AK,HLOOKUP('[1]Course Totals'!M$4,'[1]import graded seats course pivo'!$1:$2,2,FALSE),FALSE))),"")</f>
        <v/>
      </c>
      <c r="N195" s="14" t="str">
        <f>IFERROR((VLOOKUP($A195,'[1]import success seats course'!$A:AB,HLOOKUP('[1]Course Totals'!N$4,'[1]import success seats course'!$1:$2,2,FALSE),FALSE)/(VLOOKUP($A195,'[1]import graded seats course pivo'!$A:AL,HLOOKUP('[1]Course Totals'!N$4,'[1]import graded seats course pivo'!$1:$2,2,FALSE),FALSE))),"")</f>
        <v/>
      </c>
      <c r="O195" s="14" t="str">
        <f>IFERROR((VLOOKUP($A195,'[1]import success seats course'!$A:AC,HLOOKUP('[1]Course Totals'!O$4,'[1]import success seats course'!$1:$2,2,FALSE),FALSE)/(VLOOKUP($A195,'[1]import graded seats course pivo'!$A:AM,HLOOKUP('[1]Course Totals'!O$4,'[1]import graded seats course pivo'!$1:$2,2,FALSE),FALSE))),"")</f>
        <v/>
      </c>
      <c r="P195" s="14">
        <f>IFERROR((VLOOKUP($A195,'[1]import success seats course'!$A:AD,HLOOKUP('[1]Course Totals'!P$4,'[1]import success seats course'!$1:$2,2,FALSE),FALSE)/(VLOOKUP($A195,'[1]import graded seats course pivo'!$A:AN,HLOOKUP('[1]Course Totals'!P$4,'[1]import graded seats course pivo'!$1:$2,2,FALSE),FALSE))),"")</f>
        <v>1</v>
      </c>
      <c r="Q195" s="14" t="str">
        <f>IFERROR((VLOOKUP($A195,'[1]import success seats course'!$A:AE,HLOOKUP('[1]Course Totals'!Q$4,'[1]import success seats course'!$1:$2,2,FALSE),FALSE)/(VLOOKUP($A195,'[1]import graded seats course pivo'!$A:AO,HLOOKUP('[1]Course Totals'!Q$4,'[1]import graded seats course pivo'!$1:$2,2,FALSE),FALSE))),"")</f>
        <v/>
      </c>
      <c r="R195" s="14" t="str">
        <f>IFERROR((VLOOKUP($A195,'[1]import success seats course'!$A:AF,HLOOKUP('[1]Course Totals'!R$4,'[1]import success seats course'!$1:$2,2,FALSE),FALSE)/(VLOOKUP($A195,'[1]import graded seats course pivo'!$A:AP,HLOOKUP('[1]Course Totals'!R$4,'[1]import graded seats course pivo'!$1:$2,2,FALSE),FALSE))),"")</f>
        <v/>
      </c>
      <c r="S195" s="14">
        <f>IFERROR((VLOOKUP($A195,'[1]import success seats course'!$A:AG,HLOOKUP('[1]Course Totals'!S$4,'[1]import success seats course'!$1:$2,2,FALSE),FALSE)/(VLOOKUP($A195,'[1]import graded seats course pivo'!$A:AQ,HLOOKUP('[1]Course Totals'!S$4,'[1]import graded seats course pivo'!$1:$2,2,FALSE),FALSE))),"")</f>
        <v>1</v>
      </c>
      <c r="Z195" s="7"/>
      <c r="AA195" s="7"/>
      <c r="AB195" s="7"/>
      <c r="AC195" s="7"/>
    </row>
    <row r="196" spans="1:29" ht="15.75" customHeight="1" x14ac:dyDescent="0.25">
      <c r="A196" s="12" t="s">
        <v>108</v>
      </c>
      <c r="B196" s="14" t="str">
        <f>IFERROR((VLOOKUP($A196,'[1]import success seats course'!$A:P,HLOOKUP('[1]Course Totals'!B$4,'[1]import success seats course'!$1:$2,2,FALSE),FALSE)/(VLOOKUP($A196,'[1]import graded seats course pivo'!$A:Z,HLOOKUP('[1]Course Totals'!B$4,'[1]import graded seats course pivo'!$1:$2,2,FALSE),FALSE))),"")</f>
        <v/>
      </c>
      <c r="C196" s="14" t="str">
        <f>IFERROR((VLOOKUP($A196,'[1]import success seats course'!$A:Q,HLOOKUP('[1]Course Totals'!C$4,'[1]import success seats course'!$1:$2,2,FALSE),FALSE)/(VLOOKUP($A196,'[1]import graded seats course pivo'!$A:AA,HLOOKUP('[1]Course Totals'!C$4,'[1]import graded seats course pivo'!$1:$2,2,FALSE),FALSE))),"")</f>
        <v/>
      </c>
      <c r="D196" s="14">
        <f>IFERROR((VLOOKUP($A196,'[1]import success seats course'!$A:R,HLOOKUP('[1]Course Totals'!D$4,'[1]import success seats course'!$1:$2,2,FALSE),FALSE)/(VLOOKUP($A196,'[1]import graded seats course pivo'!$A:AB,HLOOKUP('[1]Course Totals'!D$4,'[1]import graded seats course pivo'!$1:$2,2,FALSE),FALSE))),"")</f>
        <v>0.34285714285714286</v>
      </c>
      <c r="E196" s="14" t="str">
        <f>IFERROR((VLOOKUP($A196,'[1]import success seats course'!$A:S,HLOOKUP('[1]Course Totals'!E$4,'[1]import success seats course'!$1:$2,2,FALSE),FALSE)/(VLOOKUP($A196,'[1]import graded seats course pivo'!$A:AC,HLOOKUP('[1]Course Totals'!E$4,'[1]import graded seats course pivo'!$1:$2,2,FALSE),FALSE))),"")</f>
        <v/>
      </c>
      <c r="F196" s="14">
        <f>IFERROR((VLOOKUP($A196,'[1]import success seats course'!$A:T,HLOOKUP('[1]Course Totals'!F$4,'[1]import success seats course'!$1:$2,2,FALSE),FALSE)/(VLOOKUP($A196,'[1]import graded seats course pivo'!$A:AD,HLOOKUP('[1]Course Totals'!F$4,'[1]import graded seats course pivo'!$1:$2,2,FALSE),FALSE))),"")</f>
        <v>0.8</v>
      </c>
      <c r="G196" s="14" t="str">
        <f>IFERROR((VLOOKUP($A196,'[1]import success seats course'!$A:U,HLOOKUP('[1]Course Totals'!G$4,'[1]import success seats course'!$1:$2,2,FALSE),FALSE)/(VLOOKUP($A196,'[1]import graded seats course pivo'!$A:AE,HLOOKUP('[1]Course Totals'!G$4,'[1]import graded seats course pivo'!$1:$2,2,FALSE),FALSE))),"")</f>
        <v/>
      </c>
      <c r="H196" s="14" t="str">
        <f>IFERROR((VLOOKUP($A196,'[1]import success seats course'!$A:V,HLOOKUP('[1]Course Totals'!H$4,'[1]import success seats course'!$1:$2,2,FALSE),FALSE)/(VLOOKUP($A196,'[1]import graded seats course pivo'!$A:AF,HLOOKUP('[1]Course Totals'!H$4,'[1]import graded seats course pivo'!$1:$2,2,FALSE),FALSE))),"")</f>
        <v/>
      </c>
      <c r="I196" s="14" t="str">
        <f>IFERROR((VLOOKUP($A196,'[1]import success seats course'!$A:W,HLOOKUP('[1]Course Totals'!I$4,'[1]import success seats course'!$1:$2,2,FALSE),FALSE)/(VLOOKUP($A196,'[1]import graded seats course pivo'!$A:AG,HLOOKUP('[1]Course Totals'!I$4,'[1]import graded seats course pivo'!$1:$2,2,FALSE),FALSE))),"")</f>
        <v/>
      </c>
      <c r="J196" s="14">
        <f>IFERROR((VLOOKUP($A196,'[1]import success seats course'!$A:X,HLOOKUP('[1]Course Totals'!J$4,'[1]import success seats course'!$1:$2,2,FALSE),FALSE)/(VLOOKUP($A196,'[1]import graded seats course pivo'!$A:AH,HLOOKUP('[1]Course Totals'!J$4,'[1]import graded seats course pivo'!$1:$2,2,FALSE),FALSE))),"")</f>
        <v>0.52941176470588236</v>
      </c>
      <c r="K196" s="14" t="str">
        <f>IFERROR((VLOOKUP($A196,'[1]import success seats course'!$A:Y,HLOOKUP('[1]Course Totals'!K$4,'[1]import success seats course'!$1:$2,2,FALSE),FALSE)/(VLOOKUP($A196,'[1]import graded seats course pivo'!$A:AI,HLOOKUP('[1]Course Totals'!K$4,'[1]import graded seats course pivo'!$1:$2,2,FALSE),FALSE))),"")</f>
        <v/>
      </c>
      <c r="L196" s="14" t="str">
        <f>IFERROR((VLOOKUP($A196,'[1]import success seats course'!$A:Z,HLOOKUP('[1]Course Totals'!L$4,'[1]import success seats course'!$1:$2,2,FALSE),FALSE)/(VLOOKUP($A196,'[1]import graded seats course pivo'!$A:AJ,HLOOKUP('[1]Course Totals'!L$4,'[1]import graded seats course pivo'!$1:$2,2,FALSE),FALSE))),"")</f>
        <v/>
      </c>
      <c r="M196" s="14">
        <f>IFERROR((VLOOKUP($A196,'[1]import success seats course'!$A:AA,HLOOKUP('[1]Course Totals'!M$4,'[1]import success seats course'!$1:$2,2,FALSE),FALSE)/(VLOOKUP($A196,'[1]import graded seats course pivo'!$A:AK,HLOOKUP('[1]Course Totals'!M$4,'[1]import graded seats course pivo'!$1:$2,2,FALSE),FALSE))),"")</f>
        <v>0.8571428571428571</v>
      </c>
      <c r="N196" s="14" t="str">
        <f>IFERROR((VLOOKUP($A196,'[1]import success seats course'!$A:AB,HLOOKUP('[1]Course Totals'!N$4,'[1]import success seats course'!$1:$2,2,FALSE),FALSE)/(VLOOKUP($A196,'[1]import graded seats course pivo'!$A:AL,HLOOKUP('[1]Course Totals'!N$4,'[1]import graded seats course pivo'!$1:$2,2,FALSE),FALSE))),"")</f>
        <v/>
      </c>
      <c r="O196" s="14" t="str">
        <f>IFERROR((VLOOKUP($A196,'[1]import success seats course'!$A:AC,HLOOKUP('[1]Course Totals'!O$4,'[1]import success seats course'!$1:$2,2,FALSE),FALSE)/(VLOOKUP($A196,'[1]import graded seats course pivo'!$A:AM,HLOOKUP('[1]Course Totals'!O$4,'[1]import graded seats course pivo'!$1:$2,2,FALSE),FALSE))),"")</f>
        <v/>
      </c>
      <c r="P196" s="14" t="str">
        <f>IFERROR((VLOOKUP($A196,'[1]import success seats course'!$A:AD,HLOOKUP('[1]Course Totals'!P$4,'[1]import success seats course'!$1:$2,2,FALSE),FALSE)/(VLOOKUP($A196,'[1]import graded seats course pivo'!$A:AN,HLOOKUP('[1]Course Totals'!P$4,'[1]import graded seats course pivo'!$1:$2,2,FALSE),FALSE))),"")</f>
        <v/>
      </c>
      <c r="Q196" s="14" t="str">
        <f>IFERROR((VLOOKUP($A196,'[1]import success seats course'!$A:AE,HLOOKUP('[1]Course Totals'!Q$4,'[1]import success seats course'!$1:$2,2,FALSE),FALSE)/(VLOOKUP($A196,'[1]import graded seats course pivo'!$A:AO,HLOOKUP('[1]Course Totals'!Q$4,'[1]import graded seats course pivo'!$1:$2,2,FALSE),FALSE))),"")</f>
        <v/>
      </c>
      <c r="R196" s="14" t="str">
        <f>IFERROR((VLOOKUP($A196,'[1]import success seats course'!$A:AF,HLOOKUP('[1]Course Totals'!R$4,'[1]import success seats course'!$1:$2,2,FALSE),FALSE)/(VLOOKUP($A196,'[1]import graded seats course pivo'!$A:AP,HLOOKUP('[1]Course Totals'!R$4,'[1]import graded seats course pivo'!$1:$2,2,FALSE),FALSE))),"")</f>
        <v/>
      </c>
      <c r="S196" s="14" t="str">
        <f>IFERROR((VLOOKUP($A196,'[1]import success seats course'!$A:AG,HLOOKUP('[1]Course Totals'!S$4,'[1]import success seats course'!$1:$2,2,FALSE),FALSE)/(VLOOKUP($A196,'[1]import graded seats course pivo'!$A:AQ,HLOOKUP('[1]Course Totals'!S$4,'[1]import graded seats course pivo'!$1:$2,2,FALSE),FALSE))),"")</f>
        <v/>
      </c>
      <c r="Z196" s="7"/>
      <c r="AA196" s="7"/>
      <c r="AB196" s="7"/>
      <c r="AC196" s="7"/>
    </row>
    <row r="197" spans="1:29" ht="15.75" customHeight="1" x14ac:dyDescent="0.25">
      <c r="A197" s="12" t="s">
        <v>963</v>
      </c>
      <c r="B197" s="14" t="str">
        <f>IFERROR((VLOOKUP($A197,'[1]import success seats course'!$A:P,HLOOKUP('[1]Course Totals'!B$4,'[1]import success seats course'!$1:$2,2,FALSE),FALSE)/(VLOOKUP($A197,'[1]import graded seats course pivo'!$A:Z,HLOOKUP('[1]Course Totals'!B$4,'[1]import graded seats course pivo'!$1:$2,2,FALSE),FALSE))),"")</f>
        <v/>
      </c>
      <c r="C197" s="14" t="str">
        <f>IFERROR((VLOOKUP($A197,'[1]import success seats course'!$A:Q,HLOOKUP('[1]Course Totals'!C$4,'[1]import success seats course'!$1:$2,2,FALSE),FALSE)/(VLOOKUP($A197,'[1]import graded seats course pivo'!$A:AA,HLOOKUP('[1]Course Totals'!C$4,'[1]import graded seats course pivo'!$1:$2,2,FALSE),FALSE))),"")</f>
        <v/>
      </c>
      <c r="D197" s="14" t="str">
        <f>IFERROR((VLOOKUP($A197,'[1]import success seats course'!$A:R,HLOOKUP('[1]Course Totals'!D$4,'[1]import success seats course'!$1:$2,2,FALSE),FALSE)/(VLOOKUP($A197,'[1]import graded seats course pivo'!$A:AB,HLOOKUP('[1]Course Totals'!D$4,'[1]import graded seats course pivo'!$1:$2,2,FALSE),FALSE))),"")</f>
        <v/>
      </c>
      <c r="E197" s="14" t="str">
        <f>IFERROR((VLOOKUP($A197,'[1]import success seats course'!$A:S,HLOOKUP('[1]Course Totals'!E$4,'[1]import success seats course'!$1:$2,2,FALSE),FALSE)/(VLOOKUP($A197,'[1]import graded seats course pivo'!$A:AC,HLOOKUP('[1]Course Totals'!E$4,'[1]import graded seats course pivo'!$1:$2,2,FALSE),FALSE))),"")</f>
        <v/>
      </c>
      <c r="F197" s="14" t="str">
        <f>IFERROR((VLOOKUP($A197,'[1]import success seats course'!$A:T,HLOOKUP('[1]Course Totals'!F$4,'[1]import success seats course'!$1:$2,2,FALSE),FALSE)/(VLOOKUP($A197,'[1]import graded seats course pivo'!$A:AD,HLOOKUP('[1]Course Totals'!F$4,'[1]import graded seats course pivo'!$1:$2,2,FALSE),FALSE))),"")</f>
        <v/>
      </c>
      <c r="G197" s="14">
        <f>IFERROR((VLOOKUP($A197,'[1]import success seats course'!$A:U,HLOOKUP('[1]Course Totals'!G$4,'[1]import success seats course'!$1:$2,2,FALSE),FALSE)/(VLOOKUP($A197,'[1]import graded seats course pivo'!$A:AE,HLOOKUP('[1]Course Totals'!G$4,'[1]import graded seats course pivo'!$1:$2,2,FALSE),FALSE))),"")</f>
        <v>0.92307692307692313</v>
      </c>
      <c r="H197" s="14" t="str">
        <f>IFERROR((VLOOKUP($A197,'[1]import success seats course'!$A:V,HLOOKUP('[1]Course Totals'!H$4,'[1]import success seats course'!$1:$2,2,FALSE),FALSE)/(VLOOKUP($A197,'[1]import graded seats course pivo'!$A:AF,HLOOKUP('[1]Course Totals'!H$4,'[1]import graded seats course pivo'!$1:$2,2,FALSE),FALSE))),"")</f>
        <v/>
      </c>
      <c r="I197" s="14" t="str">
        <f>IFERROR((VLOOKUP($A197,'[1]import success seats course'!$A:W,HLOOKUP('[1]Course Totals'!I$4,'[1]import success seats course'!$1:$2,2,FALSE),FALSE)/(VLOOKUP($A197,'[1]import graded seats course pivo'!$A:AG,HLOOKUP('[1]Course Totals'!I$4,'[1]import graded seats course pivo'!$1:$2,2,FALSE),FALSE))),"")</f>
        <v/>
      </c>
      <c r="J197" s="14">
        <f>IFERROR((VLOOKUP($A197,'[1]import success seats course'!$A:X,HLOOKUP('[1]Course Totals'!J$4,'[1]import success seats course'!$1:$2,2,FALSE),FALSE)/(VLOOKUP($A197,'[1]import graded seats course pivo'!$A:AH,HLOOKUP('[1]Course Totals'!J$4,'[1]import graded seats course pivo'!$1:$2,2,FALSE),FALSE))),"")</f>
        <v>0.8571428571428571</v>
      </c>
      <c r="K197" s="14" t="str">
        <f>IFERROR((VLOOKUP($A197,'[1]import success seats course'!$A:Y,HLOOKUP('[1]Course Totals'!K$4,'[1]import success seats course'!$1:$2,2,FALSE),FALSE)/(VLOOKUP($A197,'[1]import graded seats course pivo'!$A:AI,HLOOKUP('[1]Course Totals'!K$4,'[1]import graded seats course pivo'!$1:$2,2,FALSE),FALSE))),"")</f>
        <v/>
      </c>
      <c r="L197" s="14" t="str">
        <f>IFERROR((VLOOKUP($A197,'[1]import success seats course'!$A:Z,HLOOKUP('[1]Course Totals'!L$4,'[1]import success seats course'!$1:$2,2,FALSE),FALSE)/(VLOOKUP($A197,'[1]import graded seats course pivo'!$A:AJ,HLOOKUP('[1]Course Totals'!L$4,'[1]import graded seats course pivo'!$1:$2,2,FALSE),FALSE))),"")</f>
        <v/>
      </c>
      <c r="M197" s="14">
        <f>IFERROR((VLOOKUP($A197,'[1]import success seats course'!$A:AA,HLOOKUP('[1]Course Totals'!M$4,'[1]import success seats course'!$1:$2,2,FALSE),FALSE)/(VLOOKUP($A197,'[1]import graded seats course pivo'!$A:AK,HLOOKUP('[1]Course Totals'!M$4,'[1]import graded seats course pivo'!$1:$2,2,FALSE),FALSE))),"")</f>
        <v>0.8</v>
      </c>
      <c r="N197" s="14" t="str">
        <f>IFERROR((VLOOKUP($A197,'[1]import success seats course'!$A:AB,HLOOKUP('[1]Course Totals'!N$4,'[1]import success seats course'!$1:$2,2,FALSE),FALSE)/(VLOOKUP($A197,'[1]import graded seats course pivo'!$A:AL,HLOOKUP('[1]Course Totals'!N$4,'[1]import graded seats course pivo'!$1:$2,2,FALSE),FALSE))),"")</f>
        <v/>
      </c>
      <c r="O197" s="14" t="str">
        <f>IFERROR((VLOOKUP($A197,'[1]import success seats course'!$A:AC,HLOOKUP('[1]Course Totals'!O$4,'[1]import success seats course'!$1:$2,2,FALSE),FALSE)/(VLOOKUP($A197,'[1]import graded seats course pivo'!$A:AM,HLOOKUP('[1]Course Totals'!O$4,'[1]import graded seats course pivo'!$1:$2,2,FALSE),FALSE))),"")</f>
        <v/>
      </c>
      <c r="P197" s="14">
        <f>IFERROR((VLOOKUP($A197,'[1]import success seats course'!$A:AD,HLOOKUP('[1]Course Totals'!P$4,'[1]import success seats course'!$1:$2,2,FALSE),FALSE)/(VLOOKUP($A197,'[1]import graded seats course pivo'!$A:AN,HLOOKUP('[1]Course Totals'!P$4,'[1]import graded seats course pivo'!$1:$2,2,FALSE),FALSE))),"")</f>
        <v>0.6</v>
      </c>
      <c r="Q197" s="14" t="str">
        <f>IFERROR((VLOOKUP($A197,'[1]import success seats course'!$A:AE,HLOOKUP('[1]Course Totals'!Q$4,'[1]import success seats course'!$1:$2,2,FALSE),FALSE)/(VLOOKUP($A197,'[1]import graded seats course pivo'!$A:AO,HLOOKUP('[1]Course Totals'!Q$4,'[1]import graded seats course pivo'!$1:$2,2,FALSE),FALSE))),"")</f>
        <v/>
      </c>
      <c r="R197" s="14" t="str">
        <f>IFERROR((VLOOKUP($A197,'[1]import success seats course'!$A:AF,HLOOKUP('[1]Course Totals'!R$4,'[1]import success seats course'!$1:$2,2,FALSE),FALSE)/(VLOOKUP($A197,'[1]import graded seats course pivo'!$A:AP,HLOOKUP('[1]Course Totals'!R$4,'[1]import graded seats course pivo'!$1:$2,2,FALSE),FALSE))),"")</f>
        <v/>
      </c>
      <c r="S197" s="14">
        <f>IFERROR((VLOOKUP($A197,'[1]import success seats course'!$A:AG,HLOOKUP('[1]Course Totals'!S$4,'[1]import success seats course'!$1:$2,2,FALSE),FALSE)/(VLOOKUP($A197,'[1]import graded seats course pivo'!$A:AQ,HLOOKUP('[1]Course Totals'!S$4,'[1]import graded seats course pivo'!$1:$2,2,FALSE),FALSE))),"")</f>
        <v>0.94117647058823528</v>
      </c>
      <c r="Z197" s="7"/>
      <c r="AA197" s="7"/>
      <c r="AB197" s="7"/>
      <c r="AC197" s="7"/>
    </row>
    <row r="198" spans="1:29" ht="15.75" customHeight="1" x14ac:dyDescent="0.25">
      <c r="A198" s="12" t="s">
        <v>689</v>
      </c>
      <c r="B198" s="14" t="str">
        <f>IFERROR((VLOOKUP($A198,'[1]import success seats course'!$A:P,HLOOKUP('[1]Course Totals'!B$4,'[1]import success seats course'!$1:$2,2,FALSE),FALSE)/(VLOOKUP($A198,'[1]import graded seats course pivo'!$A:Z,HLOOKUP('[1]Course Totals'!B$4,'[1]import graded seats course pivo'!$1:$2,2,FALSE),FALSE))),"")</f>
        <v/>
      </c>
      <c r="C198" s="14" t="str">
        <f>IFERROR((VLOOKUP($A198,'[1]import success seats course'!$A:Q,HLOOKUP('[1]Course Totals'!C$4,'[1]import success seats course'!$1:$2,2,FALSE),FALSE)/(VLOOKUP($A198,'[1]import graded seats course pivo'!$A:AA,HLOOKUP('[1]Course Totals'!C$4,'[1]import graded seats course pivo'!$1:$2,2,FALSE),FALSE))),"")</f>
        <v/>
      </c>
      <c r="D198" s="14" t="str">
        <f>IFERROR((VLOOKUP($A198,'[1]import success seats course'!$A:R,HLOOKUP('[1]Course Totals'!D$4,'[1]import success seats course'!$1:$2,2,FALSE),FALSE)/(VLOOKUP($A198,'[1]import graded seats course pivo'!$A:AB,HLOOKUP('[1]Course Totals'!D$4,'[1]import graded seats course pivo'!$1:$2,2,FALSE),FALSE))),"")</f>
        <v/>
      </c>
      <c r="E198" s="14" t="str">
        <f>IFERROR((VLOOKUP($A198,'[1]import success seats course'!$A:S,HLOOKUP('[1]Course Totals'!E$4,'[1]import success seats course'!$1:$2,2,FALSE),FALSE)/(VLOOKUP($A198,'[1]import graded seats course pivo'!$A:AC,HLOOKUP('[1]Course Totals'!E$4,'[1]import graded seats course pivo'!$1:$2,2,FALSE),FALSE))),"")</f>
        <v/>
      </c>
      <c r="F198" s="14" t="str">
        <f>IFERROR((VLOOKUP($A198,'[1]import success seats course'!$A:T,HLOOKUP('[1]Course Totals'!F$4,'[1]import success seats course'!$1:$2,2,FALSE),FALSE)/(VLOOKUP($A198,'[1]import graded seats course pivo'!$A:AD,HLOOKUP('[1]Course Totals'!F$4,'[1]import graded seats course pivo'!$1:$2,2,FALSE),FALSE))),"")</f>
        <v/>
      </c>
      <c r="G198" s="14" t="str">
        <f>IFERROR((VLOOKUP($A198,'[1]import success seats course'!$A:U,HLOOKUP('[1]Course Totals'!G$4,'[1]import success seats course'!$1:$2,2,FALSE),FALSE)/(VLOOKUP($A198,'[1]import graded seats course pivo'!$A:AE,HLOOKUP('[1]Course Totals'!G$4,'[1]import graded seats course pivo'!$1:$2,2,FALSE),FALSE))),"")</f>
        <v/>
      </c>
      <c r="H198" s="14" t="str">
        <f>IFERROR((VLOOKUP($A198,'[1]import success seats course'!$A:V,HLOOKUP('[1]Course Totals'!H$4,'[1]import success seats course'!$1:$2,2,FALSE),FALSE)/(VLOOKUP($A198,'[1]import graded seats course pivo'!$A:AF,HLOOKUP('[1]Course Totals'!H$4,'[1]import graded seats course pivo'!$1:$2,2,FALSE),FALSE))),"")</f>
        <v/>
      </c>
      <c r="I198" s="14">
        <f>IFERROR((VLOOKUP($A198,'[1]import success seats course'!$A:W,HLOOKUP('[1]Course Totals'!I$4,'[1]import success seats course'!$1:$2,2,FALSE),FALSE)/(VLOOKUP($A198,'[1]import graded seats course pivo'!$A:AG,HLOOKUP('[1]Course Totals'!I$4,'[1]import graded seats course pivo'!$1:$2,2,FALSE),FALSE))),"")</f>
        <v>0.84615384615384615</v>
      </c>
      <c r="J198" s="14" t="str">
        <f>IFERROR((VLOOKUP($A198,'[1]import success seats course'!$A:X,HLOOKUP('[1]Course Totals'!J$4,'[1]import success seats course'!$1:$2,2,FALSE),FALSE)/(VLOOKUP($A198,'[1]import graded seats course pivo'!$A:AH,HLOOKUP('[1]Course Totals'!J$4,'[1]import graded seats course pivo'!$1:$2,2,FALSE),FALSE))),"")</f>
        <v/>
      </c>
      <c r="K198" s="14" t="str">
        <f>IFERROR((VLOOKUP($A198,'[1]import success seats course'!$A:Y,HLOOKUP('[1]Course Totals'!K$4,'[1]import success seats course'!$1:$2,2,FALSE),FALSE)/(VLOOKUP($A198,'[1]import graded seats course pivo'!$A:AI,HLOOKUP('[1]Course Totals'!K$4,'[1]import graded seats course pivo'!$1:$2,2,FALSE),FALSE))),"")</f>
        <v/>
      </c>
      <c r="L198" s="14" t="str">
        <f>IFERROR((VLOOKUP($A198,'[1]import success seats course'!$A:Z,HLOOKUP('[1]Course Totals'!L$4,'[1]import success seats course'!$1:$2,2,FALSE),FALSE)/(VLOOKUP($A198,'[1]import graded seats course pivo'!$A:AJ,HLOOKUP('[1]Course Totals'!L$4,'[1]import graded seats course pivo'!$1:$2,2,FALSE),FALSE))),"")</f>
        <v/>
      </c>
      <c r="M198" s="14" t="str">
        <f>IFERROR((VLOOKUP($A198,'[1]import success seats course'!$A:AA,HLOOKUP('[1]Course Totals'!M$4,'[1]import success seats course'!$1:$2,2,FALSE),FALSE)/(VLOOKUP($A198,'[1]import graded seats course pivo'!$A:AK,HLOOKUP('[1]Course Totals'!M$4,'[1]import graded seats course pivo'!$1:$2,2,FALSE),FALSE))),"")</f>
        <v/>
      </c>
      <c r="N198" s="14" t="str">
        <f>IFERROR((VLOOKUP($A198,'[1]import success seats course'!$A:AB,HLOOKUP('[1]Course Totals'!N$4,'[1]import success seats course'!$1:$2,2,FALSE),FALSE)/(VLOOKUP($A198,'[1]import graded seats course pivo'!$A:AL,HLOOKUP('[1]Course Totals'!N$4,'[1]import graded seats course pivo'!$1:$2,2,FALSE),FALSE))),"")</f>
        <v/>
      </c>
      <c r="O198" s="14" t="str">
        <f>IFERROR((VLOOKUP($A198,'[1]import success seats course'!$A:AC,HLOOKUP('[1]Course Totals'!O$4,'[1]import success seats course'!$1:$2,2,FALSE),FALSE)/(VLOOKUP($A198,'[1]import graded seats course pivo'!$A:AM,HLOOKUP('[1]Course Totals'!O$4,'[1]import graded seats course pivo'!$1:$2,2,FALSE),FALSE))),"")</f>
        <v/>
      </c>
      <c r="P198" s="14" t="str">
        <f>IFERROR((VLOOKUP($A198,'[1]import success seats course'!$A:AD,HLOOKUP('[1]Course Totals'!P$4,'[1]import success seats course'!$1:$2,2,FALSE),FALSE)/(VLOOKUP($A198,'[1]import graded seats course pivo'!$A:AN,HLOOKUP('[1]Course Totals'!P$4,'[1]import graded seats course pivo'!$1:$2,2,FALSE),FALSE))),"")</f>
        <v/>
      </c>
      <c r="Q198" s="14" t="str">
        <f>IFERROR((VLOOKUP($A198,'[1]import success seats course'!$A:AE,HLOOKUP('[1]Course Totals'!Q$4,'[1]import success seats course'!$1:$2,2,FALSE),FALSE)/(VLOOKUP($A198,'[1]import graded seats course pivo'!$A:AO,HLOOKUP('[1]Course Totals'!Q$4,'[1]import graded seats course pivo'!$1:$2,2,FALSE),FALSE))),"")</f>
        <v/>
      </c>
      <c r="R198" s="14" t="str">
        <f>IFERROR((VLOOKUP($A198,'[1]import success seats course'!$A:AF,HLOOKUP('[1]Course Totals'!R$4,'[1]import success seats course'!$1:$2,2,FALSE),FALSE)/(VLOOKUP($A198,'[1]import graded seats course pivo'!$A:AP,HLOOKUP('[1]Course Totals'!R$4,'[1]import graded seats course pivo'!$1:$2,2,FALSE),FALSE))),"")</f>
        <v/>
      </c>
      <c r="S198" s="14" t="str">
        <f>IFERROR((VLOOKUP($A198,'[1]import success seats course'!$A:AG,HLOOKUP('[1]Course Totals'!S$4,'[1]import success seats course'!$1:$2,2,FALSE),FALSE)/(VLOOKUP($A198,'[1]import graded seats course pivo'!$A:AQ,HLOOKUP('[1]Course Totals'!S$4,'[1]import graded seats course pivo'!$1:$2,2,FALSE),FALSE))),"")</f>
        <v/>
      </c>
      <c r="Z198" s="7"/>
      <c r="AA198" s="7"/>
      <c r="AB198" s="7"/>
      <c r="AC198" s="7"/>
    </row>
    <row r="199" spans="1:29" ht="15.75" customHeight="1" x14ac:dyDescent="0.25">
      <c r="A199" s="12" t="s">
        <v>109</v>
      </c>
      <c r="B199" s="14" t="str">
        <f>IFERROR((VLOOKUP($A199,'[1]import success seats course'!$A:P,HLOOKUP('[1]Course Totals'!B$4,'[1]import success seats course'!$1:$2,2,FALSE),FALSE)/(VLOOKUP($A199,'[1]import graded seats course pivo'!$A:Z,HLOOKUP('[1]Course Totals'!B$4,'[1]import graded seats course pivo'!$1:$2,2,FALSE),FALSE))),"")</f>
        <v/>
      </c>
      <c r="C199" s="14">
        <f>IFERROR((VLOOKUP($A199,'[1]import success seats course'!$A:Q,HLOOKUP('[1]Course Totals'!C$4,'[1]import success seats course'!$1:$2,2,FALSE),FALSE)/(VLOOKUP($A199,'[1]import graded seats course pivo'!$A:AA,HLOOKUP('[1]Course Totals'!C$4,'[1]import graded seats course pivo'!$1:$2,2,FALSE),FALSE))),"")</f>
        <v>0.91666666666666663</v>
      </c>
      <c r="D199" s="14">
        <f>IFERROR((VLOOKUP($A199,'[1]import success seats course'!$A:R,HLOOKUP('[1]Course Totals'!D$4,'[1]import success seats course'!$1:$2,2,FALSE),FALSE)/(VLOOKUP($A199,'[1]import graded seats course pivo'!$A:AB,HLOOKUP('[1]Course Totals'!D$4,'[1]import graded seats course pivo'!$1:$2,2,FALSE),FALSE))),"")</f>
        <v>0.95238095238095233</v>
      </c>
      <c r="E199" s="14" t="str">
        <f>IFERROR((VLOOKUP($A199,'[1]import success seats course'!$A:S,HLOOKUP('[1]Course Totals'!E$4,'[1]import success seats course'!$1:$2,2,FALSE),FALSE)/(VLOOKUP($A199,'[1]import graded seats course pivo'!$A:AC,HLOOKUP('[1]Course Totals'!E$4,'[1]import graded seats course pivo'!$1:$2,2,FALSE),FALSE))),"")</f>
        <v/>
      </c>
      <c r="F199" s="14">
        <f>IFERROR((VLOOKUP($A199,'[1]import success seats course'!$A:T,HLOOKUP('[1]Course Totals'!F$4,'[1]import success seats course'!$1:$2,2,FALSE),FALSE)/(VLOOKUP($A199,'[1]import graded seats course pivo'!$A:AD,HLOOKUP('[1]Course Totals'!F$4,'[1]import graded seats course pivo'!$1:$2,2,FALSE),FALSE))),"")</f>
        <v>0.92500000000000004</v>
      </c>
      <c r="G199" s="14" t="str">
        <f>IFERROR((VLOOKUP($A199,'[1]import success seats course'!$A:U,HLOOKUP('[1]Course Totals'!G$4,'[1]import success seats course'!$1:$2,2,FALSE),FALSE)/(VLOOKUP($A199,'[1]import graded seats course pivo'!$A:AE,HLOOKUP('[1]Course Totals'!G$4,'[1]import graded seats course pivo'!$1:$2,2,FALSE),FALSE))),"")</f>
        <v/>
      </c>
      <c r="H199" s="14" t="str">
        <f>IFERROR((VLOOKUP($A199,'[1]import success seats course'!$A:V,HLOOKUP('[1]Course Totals'!H$4,'[1]import success seats course'!$1:$2,2,FALSE),FALSE)/(VLOOKUP($A199,'[1]import graded seats course pivo'!$A:AF,HLOOKUP('[1]Course Totals'!H$4,'[1]import graded seats course pivo'!$1:$2,2,FALSE),FALSE))),"")</f>
        <v/>
      </c>
      <c r="I199" s="14">
        <f>IFERROR((VLOOKUP($A199,'[1]import success seats course'!$A:W,HLOOKUP('[1]Course Totals'!I$4,'[1]import success seats course'!$1:$2,2,FALSE),FALSE)/(VLOOKUP($A199,'[1]import graded seats course pivo'!$A:AG,HLOOKUP('[1]Course Totals'!I$4,'[1]import graded seats course pivo'!$1:$2,2,FALSE),FALSE))),"")</f>
        <v>0.94444444444444442</v>
      </c>
      <c r="J199" s="14">
        <f>IFERROR((VLOOKUP($A199,'[1]import success seats course'!$A:X,HLOOKUP('[1]Course Totals'!J$4,'[1]import success seats course'!$1:$2,2,FALSE),FALSE)/(VLOOKUP($A199,'[1]import graded seats course pivo'!$A:AH,HLOOKUP('[1]Course Totals'!J$4,'[1]import graded seats course pivo'!$1:$2,2,FALSE),FALSE))),"")</f>
        <v>0.85</v>
      </c>
      <c r="K199" s="14" t="str">
        <f>IFERROR((VLOOKUP($A199,'[1]import success seats course'!$A:Y,HLOOKUP('[1]Course Totals'!K$4,'[1]import success seats course'!$1:$2,2,FALSE),FALSE)/(VLOOKUP($A199,'[1]import graded seats course pivo'!$A:AI,HLOOKUP('[1]Course Totals'!K$4,'[1]import graded seats course pivo'!$1:$2,2,FALSE),FALSE))),"")</f>
        <v/>
      </c>
      <c r="L199" s="14" t="str">
        <f>IFERROR((VLOOKUP($A199,'[1]import success seats course'!$A:Z,HLOOKUP('[1]Course Totals'!L$4,'[1]import success seats course'!$1:$2,2,FALSE),FALSE)/(VLOOKUP($A199,'[1]import graded seats course pivo'!$A:AJ,HLOOKUP('[1]Course Totals'!L$4,'[1]import graded seats course pivo'!$1:$2,2,FALSE),FALSE))),"")</f>
        <v/>
      </c>
      <c r="M199" s="14">
        <f>IFERROR((VLOOKUP($A199,'[1]import success seats course'!$A:AA,HLOOKUP('[1]Course Totals'!M$4,'[1]import success seats course'!$1:$2,2,FALSE),FALSE)/(VLOOKUP($A199,'[1]import graded seats course pivo'!$A:AK,HLOOKUP('[1]Course Totals'!M$4,'[1]import graded seats course pivo'!$1:$2,2,FALSE),FALSE))),"")</f>
        <v>0.93333333333333335</v>
      </c>
      <c r="N199" s="14" t="str">
        <f>IFERROR((VLOOKUP($A199,'[1]import success seats course'!$A:AB,HLOOKUP('[1]Course Totals'!N$4,'[1]import success seats course'!$1:$2,2,FALSE),FALSE)/(VLOOKUP($A199,'[1]import graded seats course pivo'!$A:AL,HLOOKUP('[1]Course Totals'!N$4,'[1]import graded seats course pivo'!$1:$2,2,FALSE),FALSE))),"")</f>
        <v/>
      </c>
      <c r="O199" s="14">
        <f>IFERROR((VLOOKUP($A199,'[1]import success seats course'!$A:AC,HLOOKUP('[1]Course Totals'!O$4,'[1]import success seats course'!$1:$2,2,FALSE),FALSE)/(VLOOKUP($A199,'[1]import graded seats course pivo'!$A:AM,HLOOKUP('[1]Course Totals'!O$4,'[1]import graded seats course pivo'!$1:$2,2,FALSE),FALSE))),"")</f>
        <v>0.77777777777777779</v>
      </c>
      <c r="P199" s="14">
        <f>IFERROR((VLOOKUP($A199,'[1]import success seats course'!$A:AD,HLOOKUP('[1]Course Totals'!P$4,'[1]import success seats course'!$1:$2,2,FALSE),FALSE)/(VLOOKUP($A199,'[1]import graded seats course pivo'!$A:AN,HLOOKUP('[1]Course Totals'!P$4,'[1]import graded seats course pivo'!$1:$2,2,FALSE),FALSE))),"")</f>
        <v>0.81818181818181823</v>
      </c>
      <c r="Q199" s="14" t="str">
        <f>IFERROR((VLOOKUP($A199,'[1]import success seats course'!$A:AE,HLOOKUP('[1]Course Totals'!Q$4,'[1]import success seats course'!$1:$2,2,FALSE),FALSE)/(VLOOKUP($A199,'[1]import graded seats course pivo'!$A:AO,HLOOKUP('[1]Course Totals'!Q$4,'[1]import graded seats course pivo'!$1:$2,2,FALSE),FALSE))),"")</f>
        <v/>
      </c>
      <c r="R199" s="14">
        <f>IFERROR((VLOOKUP($A199,'[1]import success seats course'!$A:AF,HLOOKUP('[1]Course Totals'!R$4,'[1]import success seats course'!$1:$2,2,FALSE),FALSE)/(VLOOKUP($A199,'[1]import graded seats course pivo'!$A:AP,HLOOKUP('[1]Course Totals'!R$4,'[1]import graded seats course pivo'!$1:$2,2,FALSE),FALSE))),"")</f>
        <v>0.85</v>
      </c>
      <c r="S199" s="14">
        <f>IFERROR((VLOOKUP($A199,'[1]import success seats course'!$A:AG,HLOOKUP('[1]Course Totals'!S$4,'[1]import success seats course'!$1:$2,2,FALSE),FALSE)/(VLOOKUP($A199,'[1]import graded seats course pivo'!$A:AQ,HLOOKUP('[1]Course Totals'!S$4,'[1]import graded seats course pivo'!$1:$2,2,FALSE),FALSE))),"")</f>
        <v>0.8</v>
      </c>
      <c r="Z199" s="7"/>
      <c r="AA199" s="7"/>
      <c r="AB199" s="7"/>
      <c r="AC199" s="7"/>
    </row>
    <row r="200" spans="1:29" s="7" customFormat="1" ht="15.75" x14ac:dyDescent="0.25">
      <c r="A200" s="9" t="s">
        <v>1139</v>
      </c>
      <c r="B200" s="67" t="str">
        <f>'[1]Subject TOTALS'!$B$1:$P$1</f>
        <v xml:space="preserve">MVC Retention Rates </v>
      </c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</row>
    <row r="201" spans="1:29" s="7" customFormat="1" ht="15.75" customHeight="1" thickBot="1" x14ac:dyDescent="0.3">
      <c r="A201" s="8" t="str">
        <f>'[1]SUBJECTS BASE'!H13</f>
        <v>Biology</v>
      </c>
      <c r="B201" s="38" t="s">
        <v>1046</v>
      </c>
      <c r="C201" s="39" t="s">
        <v>0</v>
      </c>
      <c r="D201" s="40" t="s">
        <v>868</v>
      </c>
      <c r="E201" s="41" t="s">
        <v>1052</v>
      </c>
      <c r="F201" s="42" t="s">
        <v>546</v>
      </c>
      <c r="G201" s="43" t="s">
        <v>959</v>
      </c>
      <c r="H201" s="44" t="s">
        <v>1060</v>
      </c>
      <c r="I201" s="39" t="s">
        <v>675</v>
      </c>
      <c r="J201" s="45" t="s">
        <v>1006</v>
      </c>
      <c r="K201" s="46" t="s">
        <v>1062</v>
      </c>
      <c r="L201" s="42" t="s">
        <v>762</v>
      </c>
      <c r="M201" s="43" t="s">
        <v>1022</v>
      </c>
      <c r="N201" s="44" t="s">
        <v>1063</v>
      </c>
      <c r="O201" s="39" t="s">
        <v>822</v>
      </c>
      <c r="P201" s="40" t="s">
        <v>1042</v>
      </c>
      <c r="Q201" s="46" t="s">
        <v>1153</v>
      </c>
      <c r="R201" s="42" t="s">
        <v>1154</v>
      </c>
      <c r="S201" s="43" t="s">
        <v>1155</v>
      </c>
    </row>
    <row r="202" spans="1:29" ht="15.75" customHeight="1" x14ac:dyDescent="0.25">
      <c r="A202" s="12" t="s">
        <v>110</v>
      </c>
      <c r="B202" s="14" t="str">
        <f>IFERROR((VLOOKUP($A202,'[1]import success seats course'!$A:P,HLOOKUP('[1]Course Totals'!B$4,'[1]import success seats course'!$1:$2,2,FALSE),FALSE)/(VLOOKUP($A202,'[1]import graded seats course pivo'!$A:Z,HLOOKUP('[1]Course Totals'!B$4,'[1]import graded seats course pivo'!$1:$2,2,FALSE),FALSE))),"")</f>
        <v/>
      </c>
      <c r="C202" s="14">
        <f>IFERROR((VLOOKUP($A202,'[1]import success seats course'!$A:Q,HLOOKUP('[1]Course Totals'!C$4,'[1]import success seats course'!$1:$2,2,FALSE),FALSE)/(VLOOKUP($A202,'[1]import graded seats course pivo'!$A:AA,HLOOKUP('[1]Course Totals'!C$4,'[1]import graded seats course pivo'!$1:$2,2,FALSE),FALSE))),"")</f>
        <v>0.77272727272727271</v>
      </c>
      <c r="D202" s="14">
        <f>IFERROR((VLOOKUP($A202,'[1]import success seats course'!$A:R,HLOOKUP('[1]Course Totals'!D$4,'[1]import success seats course'!$1:$2,2,FALSE),FALSE)/(VLOOKUP($A202,'[1]import graded seats course pivo'!$A:AB,HLOOKUP('[1]Course Totals'!D$4,'[1]import graded seats course pivo'!$1:$2,2,FALSE),FALSE))),"")</f>
        <v>0.77777777777777779</v>
      </c>
      <c r="E202" s="14" t="str">
        <f>IFERROR((VLOOKUP($A202,'[1]import success seats course'!$A:S,HLOOKUP('[1]Course Totals'!E$4,'[1]import success seats course'!$1:$2,2,FALSE),FALSE)/(VLOOKUP($A202,'[1]import graded seats course pivo'!$A:AC,HLOOKUP('[1]Course Totals'!E$4,'[1]import graded seats course pivo'!$1:$2,2,FALSE),FALSE))),"")</f>
        <v/>
      </c>
      <c r="F202" s="14">
        <f>IFERROR((VLOOKUP($A202,'[1]import success seats course'!$A:T,HLOOKUP('[1]Course Totals'!F$4,'[1]import success seats course'!$1:$2,2,FALSE),FALSE)/(VLOOKUP($A202,'[1]import graded seats course pivo'!$A:AD,HLOOKUP('[1]Course Totals'!F$4,'[1]import graded seats course pivo'!$1:$2,2,FALSE),FALSE))),"")</f>
        <v>0.96969696969696972</v>
      </c>
      <c r="G202" s="14">
        <f>IFERROR((VLOOKUP($A202,'[1]import success seats course'!$A:U,HLOOKUP('[1]Course Totals'!G$4,'[1]import success seats course'!$1:$2,2,FALSE),FALSE)/(VLOOKUP($A202,'[1]import graded seats course pivo'!$A:AE,HLOOKUP('[1]Course Totals'!G$4,'[1]import graded seats course pivo'!$1:$2,2,FALSE),FALSE))),"")</f>
        <v>0.87096774193548387</v>
      </c>
      <c r="H202" s="14" t="str">
        <f>IFERROR((VLOOKUP($A202,'[1]import success seats course'!$A:V,HLOOKUP('[1]Course Totals'!H$4,'[1]import success seats course'!$1:$2,2,FALSE),FALSE)/(VLOOKUP($A202,'[1]import graded seats course pivo'!$A:AF,HLOOKUP('[1]Course Totals'!H$4,'[1]import graded seats course pivo'!$1:$2,2,FALSE),FALSE))),"")</f>
        <v/>
      </c>
      <c r="I202" s="14">
        <f>IFERROR((VLOOKUP($A202,'[1]import success seats course'!$A:W,HLOOKUP('[1]Course Totals'!I$4,'[1]import success seats course'!$1:$2,2,FALSE),FALSE)/(VLOOKUP($A202,'[1]import graded seats course pivo'!$A:AG,HLOOKUP('[1]Course Totals'!I$4,'[1]import graded seats course pivo'!$1:$2,2,FALSE),FALSE))),"")</f>
        <v>0.875</v>
      </c>
      <c r="J202" s="14">
        <f>IFERROR((VLOOKUP($A202,'[1]import success seats course'!$A:X,HLOOKUP('[1]Course Totals'!J$4,'[1]import success seats course'!$1:$2,2,FALSE),FALSE)/(VLOOKUP($A202,'[1]import graded seats course pivo'!$A:AH,HLOOKUP('[1]Course Totals'!J$4,'[1]import graded seats course pivo'!$1:$2,2,FALSE),FALSE))),"")</f>
        <v>0.94871794871794868</v>
      </c>
      <c r="K202" s="14" t="str">
        <f>IFERROR((VLOOKUP($A202,'[1]import success seats course'!$A:Y,HLOOKUP('[1]Course Totals'!K$4,'[1]import success seats course'!$1:$2,2,FALSE),FALSE)/(VLOOKUP($A202,'[1]import graded seats course pivo'!$A:AI,HLOOKUP('[1]Course Totals'!K$4,'[1]import graded seats course pivo'!$1:$2,2,FALSE),FALSE))),"")</f>
        <v/>
      </c>
      <c r="L202" s="14">
        <f>IFERROR((VLOOKUP($A202,'[1]import success seats course'!$A:Z,HLOOKUP('[1]Course Totals'!L$4,'[1]import success seats course'!$1:$2,2,FALSE),FALSE)/(VLOOKUP($A202,'[1]import graded seats course pivo'!$A:AJ,HLOOKUP('[1]Course Totals'!L$4,'[1]import graded seats course pivo'!$1:$2,2,FALSE),FALSE))),"")</f>
        <v>0.77419354838709675</v>
      </c>
      <c r="M202" s="14">
        <f>IFERROR((VLOOKUP($A202,'[1]import success seats course'!$A:AA,HLOOKUP('[1]Course Totals'!M$4,'[1]import success seats course'!$1:$2,2,FALSE),FALSE)/(VLOOKUP($A202,'[1]import graded seats course pivo'!$A:AK,HLOOKUP('[1]Course Totals'!M$4,'[1]import graded seats course pivo'!$1:$2,2,FALSE),FALSE))),"")</f>
        <v>0.87878787878787878</v>
      </c>
      <c r="N202" s="14" t="str">
        <f>IFERROR((VLOOKUP($A202,'[1]import success seats course'!$A:AB,HLOOKUP('[1]Course Totals'!N$4,'[1]import success seats course'!$1:$2,2,FALSE),FALSE)/(VLOOKUP($A202,'[1]import graded seats course pivo'!$A:AL,HLOOKUP('[1]Course Totals'!N$4,'[1]import graded seats course pivo'!$1:$2,2,FALSE),FALSE))),"")</f>
        <v/>
      </c>
      <c r="O202" s="14">
        <f>IFERROR((VLOOKUP($A202,'[1]import success seats course'!$A:AC,HLOOKUP('[1]Course Totals'!O$4,'[1]import success seats course'!$1:$2,2,FALSE),FALSE)/(VLOOKUP($A202,'[1]import graded seats course pivo'!$A:AM,HLOOKUP('[1]Course Totals'!O$4,'[1]import graded seats course pivo'!$1:$2,2,FALSE),FALSE))),"")</f>
        <v>1</v>
      </c>
      <c r="P202" s="14">
        <f>IFERROR((VLOOKUP($A202,'[1]import success seats course'!$A:AD,HLOOKUP('[1]Course Totals'!P$4,'[1]import success seats course'!$1:$2,2,FALSE),FALSE)/(VLOOKUP($A202,'[1]import graded seats course pivo'!$A:AN,HLOOKUP('[1]Course Totals'!P$4,'[1]import graded seats course pivo'!$1:$2,2,FALSE),FALSE))),"")</f>
        <v>0.91176470588235292</v>
      </c>
      <c r="Q202" s="14" t="str">
        <f>IFERROR((VLOOKUP($A202,'[1]import success seats course'!$A:AE,HLOOKUP('[1]Course Totals'!Q$4,'[1]import success seats course'!$1:$2,2,FALSE),FALSE)/(VLOOKUP($A202,'[1]import graded seats course pivo'!$A:AO,HLOOKUP('[1]Course Totals'!Q$4,'[1]import graded seats course pivo'!$1:$2,2,FALSE),FALSE))),"")</f>
        <v/>
      </c>
      <c r="R202" s="14">
        <f>IFERROR((VLOOKUP($A202,'[1]import success seats course'!$A:AF,HLOOKUP('[1]Course Totals'!R$4,'[1]import success seats course'!$1:$2,2,FALSE),FALSE)/(VLOOKUP($A202,'[1]import graded seats course pivo'!$A:AP,HLOOKUP('[1]Course Totals'!R$4,'[1]import graded seats course pivo'!$1:$2,2,FALSE),FALSE))),"")</f>
        <v>0.94117647058823528</v>
      </c>
      <c r="S202" s="14" t="str">
        <f>IFERROR((VLOOKUP($A202,'[1]import success seats course'!$A:AG,HLOOKUP('[1]Course Totals'!S$4,'[1]import success seats course'!$1:$2,2,FALSE),FALSE)/(VLOOKUP($A202,'[1]import graded seats course pivo'!$A:AQ,HLOOKUP('[1]Course Totals'!S$4,'[1]import graded seats course pivo'!$1:$2,2,FALSE),FALSE))),"")</f>
        <v/>
      </c>
      <c r="Z202" s="7"/>
      <c r="AA202" s="7"/>
      <c r="AB202" s="7"/>
      <c r="AC202" s="7"/>
    </row>
    <row r="203" spans="1:29" ht="15.75" customHeight="1" x14ac:dyDescent="0.25">
      <c r="A203" s="12" t="s">
        <v>111</v>
      </c>
      <c r="B203" s="14">
        <f>IFERROR((VLOOKUP($A203,'[1]import success seats course'!$A:P,HLOOKUP('[1]Course Totals'!B$4,'[1]import success seats course'!$1:$2,2,FALSE),FALSE)/(VLOOKUP($A203,'[1]import graded seats course pivo'!$A:Z,HLOOKUP('[1]Course Totals'!B$4,'[1]import graded seats course pivo'!$1:$2,2,FALSE),FALSE))),"")</f>
        <v>0.95121951219512191</v>
      </c>
      <c r="C203" s="14">
        <f>IFERROR((VLOOKUP($A203,'[1]import success seats course'!$A:Q,HLOOKUP('[1]Course Totals'!C$4,'[1]import success seats course'!$1:$2,2,FALSE),FALSE)/(VLOOKUP($A203,'[1]import graded seats course pivo'!$A:AA,HLOOKUP('[1]Course Totals'!C$4,'[1]import graded seats course pivo'!$1:$2,2,FALSE),FALSE))),"")</f>
        <v>0.96835443037974689</v>
      </c>
      <c r="D203" s="14">
        <f>IFERROR((VLOOKUP($A203,'[1]import success seats course'!$A:R,HLOOKUP('[1]Course Totals'!D$4,'[1]import success seats course'!$1:$2,2,FALSE),FALSE)/(VLOOKUP($A203,'[1]import graded seats course pivo'!$A:AB,HLOOKUP('[1]Course Totals'!D$4,'[1]import graded seats course pivo'!$1:$2,2,FALSE),FALSE))),"")</f>
        <v>0.953125</v>
      </c>
      <c r="E203" s="14">
        <f>IFERROR((VLOOKUP($A203,'[1]import success seats course'!$A:S,HLOOKUP('[1]Course Totals'!E$4,'[1]import success seats course'!$1:$2,2,FALSE),FALSE)/(VLOOKUP($A203,'[1]import graded seats course pivo'!$A:AC,HLOOKUP('[1]Course Totals'!E$4,'[1]import graded seats course pivo'!$1:$2,2,FALSE),FALSE))),"")</f>
        <v>0.98</v>
      </c>
      <c r="F203" s="14">
        <f>IFERROR((VLOOKUP($A203,'[1]import success seats course'!$A:T,HLOOKUP('[1]Course Totals'!F$4,'[1]import success seats course'!$1:$2,2,FALSE),FALSE)/(VLOOKUP($A203,'[1]import graded seats course pivo'!$A:AD,HLOOKUP('[1]Course Totals'!F$4,'[1]import graded seats course pivo'!$1:$2,2,FALSE),FALSE))),"")</f>
        <v>0.9346733668341709</v>
      </c>
      <c r="G203" s="14">
        <f>IFERROR((VLOOKUP($A203,'[1]import success seats course'!$A:U,HLOOKUP('[1]Course Totals'!G$4,'[1]import success seats course'!$1:$2,2,FALSE),FALSE)/(VLOOKUP($A203,'[1]import graded seats course pivo'!$A:AE,HLOOKUP('[1]Course Totals'!G$4,'[1]import graded seats course pivo'!$1:$2,2,FALSE),FALSE))),"")</f>
        <v>0.93650793650793651</v>
      </c>
      <c r="H203" s="14">
        <f>IFERROR((VLOOKUP($A203,'[1]import success seats course'!$A:V,HLOOKUP('[1]Course Totals'!H$4,'[1]import success seats course'!$1:$2,2,FALSE),FALSE)/(VLOOKUP($A203,'[1]import graded seats course pivo'!$A:AF,HLOOKUP('[1]Course Totals'!H$4,'[1]import graded seats course pivo'!$1:$2,2,FALSE),FALSE))),"")</f>
        <v>1</v>
      </c>
      <c r="I203" s="14">
        <f>IFERROR((VLOOKUP($A203,'[1]import success seats course'!$A:W,HLOOKUP('[1]Course Totals'!I$4,'[1]import success seats course'!$1:$2,2,FALSE),FALSE)/(VLOOKUP($A203,'[1]import graded seats course pivo'!$A:AG,HLOOKUP('[1]Course Totals'!I$4,'[1]import graded seats course pivo'!$1:$2,2,FALSE),FALSE))),"")</f>
        <v>0.91623036649214662</v>
      </c>
      <c r="J203" s="14">
        <f>IFERROR((VLOOKUP($A203,'[1]import success seats course'!$A:X,HLOOKUP('[1]Course Totals'!J$4,'[1]import success seats course'!$1:$2,2,FALSE),FALSE)/(VLOOKUP($A203,'[1]import graded seats course pivo'!$A:AH,HLOOKUP('[1]Course Totals'!J$4,'[1]import graded seats course pivo'!$1:$2,2,FALSE),FALSE))),"")</f>
        <v>0.92610837438423643</v>
      </c>
      <c r="K203" s="14" t="str">
        <f>IFERROR((VLOOKUP($A203,'[1]import success seats course'!$A:Y,HLOOKUP('[1]Course Totals'!K$4,'[1]import success seats course'!$1:$2,2,FALSE),FALSE)/(VLOOKUP($A203,'[1]import graded seats course pivo'!$A:AI,HLOOKUP('[1]Course Totals'!K$4,'[1]import graded seats course pivo'!$1:$2,2,FALSE),FALSE))),"")</f>
        <v/>
      </c>
      <c r="L203" s="14">
        <f>IFERROR((VLOOKUP($A203,'[1]import success seats course'!$A:Z,HLOOKUP('[1]Course Totals'!L$4,'[1]import success seats course'!$1:$2,2,FALSE),FALSE)/(VLOOKUP($A203,'[1]import graded seats course pivo'!$A:AJ,HLOOKUP('[1]Course Totals'!L$4,'[1]import graded seats course pivo'!$1:$2,2,FALSE),FALSE))),"")</f>
        <v>0.94776119402985071</v>
      </c>
      <c r="M203" s="14">
        <f>IFERROR((VLOOKUP($A203,'[1]import success seats course'!$A:AA,HLOOKUP('[1]Course Totals'!M$4,'[1]import success seats course'!$1:$2,2,FALSE),FALSE)/(VLOOKUP($A203,'[1]import graded seats course pivo'!$A:AK,HLOOKUP('[1]Course Totals'!M$4,'[1]import graded seats course pivo'!$1:$2,2,FALSE),FALSE))),"")</f>
        <v>0.95620437956204385</v>
      </c>
      <c r="N203" s="14" t="str">
        <f>IFERROR((VLOOKUP($A203,'[1]import success seats course'!$A:AB,HLOOKUP('[1]Course Totals'!N$4,'[1]import success seats course'!$1:$2,2,FALSE),FALSE)/(VLOOKUP($A203,'[1]import graded seats course pivo'!$A:AL,HLOOKUP('[1]Course Totals'!N$4,'[1]import graded seats course pivo'!$1:$2,2,FALSE),FALSE))),"")</f>
        <v/>
      </c>
      <c r="O203" s="14">
        <f>IFERROR((VLOOKUP($A203,'[1]import success seats course'!$A:AC,HLOOKUP('[1]Course Totals'!O$4,'[1]import success seats course'!$1:$2,2,FALSE),FALSE)/(VLOOKUP($A203,'[1]import graded seats course pivo'!$A:AM,HLOOKUP('[1]Course Totals'!O$4,'[1]import graded seats course pivo'!$1:$2,2,FALSE),FALSE))),"")</f>
        <v>0.95522388059701491</v>
      </c>
      <c r="P203" s="14">
        <f>IFERROR((VLOOKUP($A203,'[1]import success seats course'!$A:AD,HLOOKUP('[1]Course Totals'!P$4,'[1]import success seats course'!$1:$2,2,FALSE),FALSE)/(VLOOKUP($A203,'[1]import graded seats course pivo'!$A:AN,HLOOKUP('[1]Course Totals'!P$4,'[1]import graded seats course pivo'!$1:$2,2,FALSE),FALSE))),"")</f>
        <v>0.93548387096774188</v>
      </c>
      <c r="Q203" s="14" t="str">
        <f>IFERROR((VLOOKUP($A203,'[1]import success seats course'!$A:AE,HLOOKUP('[1]Course Totals'!Q$4,'[1]import success seats course'!$1:$2,2,FALSE),FALSE)/(VLOOKUP($A203,'[1]import graded seats course pivo'!$A:AO,HLOOKUP('[1]Course Totals'!Q$4,'[1]import graded seats course pivo'!$1:$2,2,FALSE),FALSE))),"")</f>
        <v/>
      </c>
      <c r="R203" s="14">
        <f>IFERROR((VLOOKUP($A203,'[1]import success seats course'!$A:AF,HLOOKUP('[1]Course Totals'!R$4,'[1]import success seats course'!$1:$2,2,FALSE),FALSE)/(VLOOKUP($A203,'[1]import graded seats course pivo'!$A:AP,HLOOKUP('[1]Course Totals'!R$4,'[1]import graded seats course pivo'!$1:$2,2,FALSE),FALSE))),"")</f>
        <v>0.95161290322580649</v>
      </c>
      <c r="S203" s="14">
        <f>IFERROR((VLOOKUP($A203,'[1]import success seats course'!$A:AG,HLOOKUP('[1]Course Totals'!S$4,'[1]import success seats course'!$1:$2,2,FALSE),FALSE)/(VLOOKUP($A203,'[1]import graded seats course pivo'!$A:AQ,HLOOKUP('[1]Course Totals'!S$4,'[1]import graded seats course pivo'!$1:$2,2,FALSE),FALSE))),"")</f>
        <v>0.95049504950495045</v>
      </c>
      <c r="Z203" s="7"/>
      <c r="AA203" s="7"/>
      <c r="AB203" s="7"/>
      <c r="AC203" s="7"/>
    </row>
    <row r="204" spans="1:29" ht="15.75" customHeight="1" x14ac:dyDescent="0.25">
      <c r="A204" s="12" t="s">
        <v>112</v>
      </c>
      <c r="B204" s="14" t="str">
        <f>IFERROR((VLOOKUP($A204,'[1]import success seats course'!$A:P,HLOOKUP('[1]Course Totals'!B$4,'[1]import success seats course'!$1:$2,2,FALSE),FALSE)/(VLOOKUP($A204,'[1]import graded seats course pivo'!$A:Z,HLOOKUP('[1]Course Totals'!B$4,'[1]import graded seats course pivo'!$1:$2,2,FALSE),FALSE))),"")</f>
        <v/>
      </c>
      <c r="C204" s="14">
        <f>IFERROR((VLOOKUP($A204,'[1]import success seats course'!$A:Q,HLOOKUP('[1]Course Totals'!C$4,'[1]import success seats course'!$1:$2,2,FALSE),FALSE)/(VLOOKUP($A204,'[1]import graded seats course pivo'!$A:AA,HLOOKUP('[1]Course Totals'!C$4,'[1]import graded seats course pivo'!$1:$2,2,FALSE),FALSE))),"")</f>
        <v>1</v>
      </c>
      <c r="D204" s="14">
        <f>IFERROR((VLOOKUP($A204,'[1]import success seats course'!$A:R,HLOOKUP('[1]Course Totals'!D$4,'[1]import success seats course'!$1:$2,2,FALSE),FALSE)/(VLOOKUP($A204,'[1]import graded seats course pivo'!$A:AB,HLOOKUP('[1]Course Totals'!D$4,'[1]import graded seats course pivo'!$1:$2,2,FALSE),FALSE))),"")</f>
        <v>1</v>
      </c>
      <c r="E204" s="14" t="str">
        <f>IFERROR((VLOOKUP($A204,'[1]import success seats course'!$A:S,HLOOKUP('[1]Course Totals'!E$4,'[1]import success seats course'!$1:$2,2,FALSE),FALSE)/(VLOOKUP($A204,'[1]import graded seats course pivo'!$A:AC,HLOOKUP('[1]Course Totals'!E$4,'[1]import graded seats course pivo'!$1:$2,2,FALSE),FALSE))),"")</f>
        <v/>
      </c>
      <c r="F204" s="14">
        <f>IFERROR((VLOOKUP($A204,'[1]import success seats course'!$A:T,HLOOKUP('[1]Course Totals'!F$4,'[1]import success seats course'!$1:$2,2,FALSE),FALSE)/(VLOOKUP($A204,'[1]import graded seats course pivo'!$A:AD,HLOOKUP('[1]Course Totals'!F$4,'[1]import graded seats course pivo'!$1:$2,2,FALSE),FALSE))),"")</f>
        <v>1</v>
      </c>
      <c r="G204" s="14">
        <f>IFERROR((VLOOKUP($A204,'[1]import success seats course'!$A:U,HLOOKUP('[1]Course Totals'!G$4,'[1]import success seats course'!$1:$2,2,FALSE),FALSE)/(VLOOKUP($A204,'[1]import graded seats course pivo'!$A:AE,HLOOKUP('[1]Course Totals'!G$4,'[1]import graded seats course pivo'!$1:$2,2,FALSE),FALSE))),"")</f>
        <v>0.75</v>
      </c>
      <c r="H204" s="14" t="str">
        <f>IFERROR((VLOOKUP($A204,'[1]import success seats course'!$A:V,HLOOKUP('[1]Course Totals'!H$4,'[1]import success seats course'!$1:$2,2,FALSE),FALSE)/(VLOOKUP($A204,'[1]import graded seats course pivo'!$A:AF,HLOOKUP('[1]Course Totals'!H$4,'[1]import graded seats course pivo'!$1:$2,2,FALSE),FALSE))),"")</f>
        <v/>
      </c>
      <c r="I204" s="14">
        <f>IFERROR((VLOOKUP($A204,'[1]import success seats course'!$A:W,HLOOKUP('[1]Course Totals'!I$4,'[1]import success seats course'!$1:$2,2,FALSE),FALSE)/(VLOOKUP($A204,'[1]import graded seats course pivo'!$A:AG,HLOOKUP('[1]Course Totals'!I$4,'[1]import graded seats course pivo'!$1:$2,2,FALSE),FALSE))),"")</f>
        <v>1</v>
      </c>
      <c r="J204" s="14">
        <f>IFERROR((VLOOKUP($A204,'[1]import success seats course'!$A:X,HLOOKUP('[1]Course Totals'!J$4,'[1]import success seats course'!$1:$2,2,FALSE),FALSE)/(VLOOKUP($A204,'[1]import graded seats course pivo'!$A:AH,HLOOKUP('[1]Course Totals'!J$4,'[1]import graded seats course pivo'!$1:$2,2,FALSE),FALSE))),"")</f>
        <v>1</v>
      </c>
      <c r="K204" s="14" t="str">
        <f>IFERROR((VLOOKUP($A204,'[1]import success seats course'!$A:Y,HLOOKUP('[1]Course Totals'!K$4,'[1]import success seats course'!$1:$2,2,FALSE),FALSE)/(VLOOKUP($A204,'[1]import graded seats course pivo'!$A:AI,HLOOKUP('[1]Course Totals'!K$4,'[1]import graded seats course pivo'!$1:$2,2,FALSE),FALSE))),"")</f>
        <v/>
      </c>
      <c r="L204" s="14">
        <f>IFERROR((VLOOKUP($A204,'[1]import success seats course'!$A:Z,HLOOKUP('[1]Course Totals'!L$4,'[1]import success seats course'!$1:$2,2,FALSE),FALSE)/(VLOOKUP($A204,'[1]import graded seats course pivo'!$A:AJ,HLOOKUP('[1]Course Totals'!L$4,'[1]import graded seats course pivo'!$1:$2,2,FALSE),FALSE))),"")</f>
        <v>1</v>
      </c>
      <c r="M204" s="14" t="str">
        <f>IFERROR((VLOOKUP($A204,'[1]import success seats course'!$A:AA,HLOOKUP('[1]Course Totals'!M$4,'[1]import success seats course'!$1:$2,2,FALSE),FALSE)/(VLOOKUP($A204,'[1]import graded seats course pivo'!$A:AK,HLOOKUP('[1]Course Totals'!M$4,'[1]import graded seats course pivo'!$1:$2,2,FALSE),FALSE))),"")</f>
        <v/>
      </c>
      <c r="N204" s="14" t="str">
        <f>IFERROR((VLOOKUP($A204,'[1]import success seats course'!$A:AB,HLOOKUP('[1]Course Totals'!N$4,'[1]import success seats course'!$1:$2,2,FALSE),FALSE)/(VLOOKUP($A204,'[1]import graded seats course pivo'!$A:AL,HLOOKUP('[1]Course Totals'!N$4,'[1]import graded seats course pivo'!$1:$2,2,FALSE),FALSE))),"")</f>
        <v/>
      </c>
      <c r="O204" s="14">
        <f>IFERROR((VLOOKUP($A204,'[1]import success seats course'!$A:AC,HLOOKUP('[1]Course Totals'!O$4,'[1]import success seats course'!$1:$2,2,FALSE),FALSE)/(VLOOKUP($A204,'[1]import graded seats course pivo'!$A:AM,HLOOKUP('[1]Course Totals'!O$4,'[1]import graded seats course pivo'!$1:$2,2,FALSE),FALSE))),"")</f>
        <v>1</v>
      </c>
      <c r="P204" s="14">
        <f>IFERROR((VLOOKUP($A204,'[1]import success seats course'!$A:AD,HLOOKUP('[1]Course Totals'!P$4,'[1]import success seats course'!$1:$2,2,FALSE),FALSE)/(VLOOKUP($A204,'[1]import graded seats course pivo'!$A:AN,HLOOKUP('[1]Course Totals'!P$4,'[1]import graded seats course pivo'!$1:$2,2,FALSE),FALSE))),"")</f>
        <v>1</v>
      </c>
      <c r="Q204" s="14" t="str">
        <f>IFERROR((VLOOKUP($A204,'[1]import success seats course'!$A:AE,HLOOKUP('[1]Course Totals'!Q$4,'[1]import success seats course'!$1:$2,2,FALSE),FALSE)/(VLOOKUP($A204,'[1]import graded seats course pivo'!$A:AO,HLOOKUP('[1]Course Totals'!Q$4,'[1]import graded seats course pivo'!$1:$2,2,FALSE),FALSE))),"")</f>
        <v/>
      </c>
      <c r="R204" s="14" t="str">
        <f>IFERROR((VLOOKUP($A204,'[1]import success seats course'!$A:AF,HLOOKUP('[1]Course Totals'!R$4,'[1]import success seats course'!$1:$2,2,FALSE),FALSE)/(VLOOKUP($A204,'[1]import graded seats course pivo'!$A:AP,HLOOKUP('[1]Course Totals'!R$4,'[1]import graded seats course pivo'!$1:$2,2,FALSE),FALSE))),"")</f>
        <v/>
      </c>
      <c r="S204" s="14" t="str">
        <f>IFERROR((VLOOKUP($A204,'[1]import success seats course'!$A:AG,HLOOKUP('[1]Course Totals'!S$4,'[1]import success seats course'!$1:$2,2,FALSE),FALSE)/(VLOOKUP($A204,'[1]import graded seats course pivo'!$A:AQ,HLOOKUP('[1]Course Totals'!S$4,'[1]import graded seats course pivo'!$1:$2,2,FALSE),FALSE))),"")</f>
        <v/>
      </c>
      <c r="Z204" s="7"/>
      <c r="AA204" s="7"/>
      <c r="AB204" s="7"/>
      <c r="AC204" s="7"/>
    </row>
    <row r="205" spans="1:29" ht="15.75" customHeight="1" x14ac:dyDescent="0.25">
      <c r="A205" s="12" t="s">
        <v>568</v>
      </c>
      <c r="B205" s="14" t="str">
        <f>IFERROR((VLOOKUP($A205,'[1]import success seats course'!$A:P,HLOOKUP('[1]Course Totals'!B$4,'[1]import success seats course'!$1:$2,2,FALSE),FALSE)/(VLOOKUP($A205,'[1]import graded seats course pivo'!$A:Z,HLOOKUP('[1]Course Totals'!B$4,'[1]import graded seats course pivo'!$1:$2,2,FALSE),FALSE))),"")</f>
        <v/>
      </c>
      <c r="C205" s="14" t="str">
        <f>IFERROR((VLOOKUP($A205,'[1]import success seats course'!$A:Q,HLOOKUP('[1]Course Totals'!C$4,'[1]import success seats course'!$1:$2,2,FALSE),FALSE)/(VLOOKUP($A205,'[1]import graded seats course pivo'!$A:AA,HLOOKUP('[1]Course Totals'!C$4,'[1]import graded seats course pivo'!$1:$2,2,FALSE),FALSE))),"")</f>
        <v/>
      </c>
      <c r="D205" s="14" t="str">
        <f>IFERROR((VLOOKUP($A205,'[1]import success seats course'!$A:R,HLOOKUP('[1]Course Totals'!D$4,'[1]import success seats course'!$1:$2,2,FALSE),FALSE)/(VLOOKUP($A205,'[1]import graded seats course pivo'!$A:AB,HLOOKUP('[1]Course Totals'!D$4,'[1]import graded seats course pivo'!$1:$2,2,FALSE),FALSE))),"")</f>
        <v/>
      </c>
      <c r="E205" s="14" t="str">
        <f>IFERROR((VLOOKUP($A205,'[1]import success seats course'!$A:S,HLOOKUP('[1]Course Totals'!E$4,'[1]import success seats course'!$1:$2,2,FALSE),FALSE)/(VLOOKUP($A205,'[1]import graded seats course pivo'!$A:AC,HLOOKUP('[1]Course Totals'!E$4,'[1]import graded seats course pivo'!$1:$2,2,FALSE),FALSE))),"")</f>
        <v/>
      </c>
      <c r="F205" s="14">
        <f>IFERROR((VLOOKUP($A205,'[1]import success seats course'!$A:T,HLOOKUP('[1]Course Totals'!F$4,'[1]import success seats course'!$1:$2,2,FALSE),FALSE)/(VLOOKUP($A205,'[1]import graded seats course pivo'!$A:AD,HLOOKUP('[1]Course Totals'!F$4,'[1]import graded seats course pivo'!$1:$2,2,FALSE),FALSE))),"")</f>
        <v>0.83333333333333337</v>
      </c>
      <c r="G205" s="14" t="str">
        <f>IFERROR((VLOOKUP($A205,'[1]import success seats course'!$A:U,HLOOKUP('[1]Course Totals'!G$4,'[1]import success seats course'!$1:$2,2,FALSE),FALSE)/(VLOOKUP($A205,'[1]import graded seats course pivo'!$A:AE,HLOOKUP('[1]Course Totals'!G$4,'[1]import graded seats course pivo'!$1:$2,2,FALSE),FALSE))),"")</f>
        <v/>
      </c>
      <c r="H205" s="14" t="str">
        <f>IFERROR((VLOOKUP($A205,'[1]import success seats course'!$A:V,HLOOKUP('[1]Course Totals'!H$4,'[1]import success seats course'!$1:$2,2,FALSE),FALSE)/(VLOOKUP($A205,'[1]import graded seats course pivo'!$A:AF,HLOOKUP('[1]Course Totals'!H$4,'[1]import graded seats course pivo'!$1:$2,2,FALSE),FALSE))),"")</f>
        <v/>
      </c>
      <c r="I205" s="14">
        <f>IFERROR((VLOOKUP($A205,'[1]import success seats course'!$A:W,HLOOKUP('[1]Course Totals'!I$4,'[1]import success seats course'!$1:$2,2,FALSE),FALSE)/(VLOOKUP($A205,'[1]import graded seats course pivo'!$A:AG,HLOOKUP('[1]Course Totals'!I$4,'[1]import graded seats course pivo'!$1:$2,2,FALSE),FALSE))),"")</f>
        <v>0.90625</v>
      </c>
      <c r="J205" s="14" t="str">
        <f>IFERROR((VLOOKUP($A205,'[1]import success seats course'!$A:X,HLOOKUP('[1]Course Totals'!J$4,'[1]import success seats course'!$1:$2,2,FALSE),FALSE)/(VLOOKUP($A205,'[1]import graded seats course pivo'!$A:AH,HLOOKUP('[1]Course Totals'!J$4,'[1]import graded seats course pivo'!$1:$2,2,FALSE),FALSE))),"")</f>
        <v/>
      </c>
      <c r="K205" s="14" t="str">
        <f>IFERROR((VLOOKUP($A205,'[1]import success seats course'!$A:Y,HLOOKUP('[1]Course Totals'!K$4,'[1]import success seats course'!$1:$2,2,FALSE),FALSE)/(VLOOKUP($A205,'[1]import graded seats course pivo'!$A:AI,HLOOKUP('[1]Course Totals'!K$4,'[1]import graded seats course pivo'!$1:$2,2,FALSE),FALSE))),"")</f>
        <v/>
      </c>
      <c r="L205" s="14">
        <f>IFERROR((VLOOKUP($A205,'[1]import success seats course'!$A:Z,HLOOKUP('[1]Course Totals'!L$4,'[1]import success seats course'!$1:$2,2,FALSE),FALSE)/(VLOOKUP($A205,'[1]import graded seats course pivo'!$A:AJ,HLOOKUP('[1]Course Totals'!L$4,'[1]import graded seats course pivo'!$1:$2,2,FALSE),FALSE))),"")</f>
        <v>0.94444444444444442</v>
      </c>
      <c r="M205" s="14" t="str">
        <f>IFERROR((VLOOKUP($A205,'[1]import success seats course'!$A:AA,HLOOKUP('[1]Course Totals'!M$4,'[1]import success seats course'!$1:$2,2,FALSE),FALSE)/(VLOOKUP($A205,'[1]import graded seats course pivo'!$A:AK,HLOOKUP('[1]Course Totals'!M$4,'[1]import graded seats course pivo'!$1:$2,2,FALSE),FALSE))),"")</f>
        <v/>
      </c>
      <c r="N205" s="14" t="str">
        <f>IFERROR((VLOOKUP($A205,'[1]import success seats course'!$A:AB,HLOOKUP('[1]Course Totals'!N$4,'[1]import success seats course'!$1:$2,2,FALSE),FALSE)/(VLOOKUP($A205,'[1]import graded seats course pivo'!$A:AL,HLOOKUP('[1]Course Totals'!N$4,'[1]import graded seats course pivo'!$1:$2,2,FALSE),FALSE))),"")</f>
        <v/>
      </c>
      <c r="O205" s="14">
        <f>IFERROR((VLOOKUP($A205,'[1]import success seats course'!$A:AC,HLOOKUP('[1]Course Totals'!O$4,'[1]import success seats course'!$1:$2,2,FALSE),FALSE)/(VLOOKUP($A205,'[1]import graded seats course pivo'!$A:AM,HLOOKUP('[1]Course Totals'!O$4,'[1]import graded seats course pivo'!$1:$2,2,FALSE),FALSE))),"")</f>
        <v>0.86842105263157898</v>
      </c>
      <c r="P205" s="14" t="str">
        <f>IFERROR((VLOOKUP($A205,'[1]import success seats course'!$A:AD,HLOOKUP('[1]Course Totals'!P$4,'[1]import success seats course'!$1:$2,2,FALSE),FALSE)/(VLOOKUP($A205,'[1]import graded seats course pivo'!$A:AN,HLOOKUP('[1]Course Totals'!P$4,'[1]import graded seats course pivo'!$1:$2,2,FALSE),FALSE))),"")</f>
        <v/>
      </c>
      <c r="Q205" s="14" t="str">
        <f>IFERROR((VLOOKUP($A205,'[1]import success seats course'!$A:AE,HLOOKUP('[1]Course Totals'!Q$4,'[1]import success seats course'!$1:$2,2,FALSE),FALSE)/(VLOOKUP($A205,'[1]import graded seats course pivo'!$A:AO,HLOOKUP('[1]Course Totals'!Q$4,'[1]import graded seats course pivo'!$1:$2,2,FALSE),FALSE))),"")</f>
        <v/>
      </c>
      <c r="R205" s="14">
        <f>IFERROR((VLOOKUP($A205,'[1]import success seats course'!$A:AF,HLOOKUP('[1]Course Totals'!R$4,'[1]import success seats course'!$1:$2,2,FALSE),FALSE)/(VLOOKUP($A205,'[1]import graded seats course pivo'!$A:AP,HLOOKUP('[1]Course Totals'!R$4,'[1]import graded seats course pivo'!$1:$2,2,FALSE),FALSE))),"")</f>
        <v>0.91666666666666663</v>
      </c>
      <c r="S205" s="14">
        <f>IFERROR((VLOOKUP($A205,'[1]import success seats course'!$A:AG,HLOOKUP('[1]Course Totals'!S$4,'[1]import success seats course'!$1:$2,2,FALSE),FALSE)/(VLOOKUP($A205,'[1]import graded seats course pivo'!$A:AQ,HLOOKUP('[1]Course Totals'!S$4,'[1]import graded seats course pivo'!$1:$2,2,FALSE),FALSE))),"")</f>
        <v>0.88235294117647056</v>
      </c>
      <c r="Z205" s="7"/>
      <c r="AA205" s="7"/>
      <c r="AB205" s="7"/>
      <c r="AC205" s="7"/>
    </row>
    <row r="206" spans="1:29" ht="15.75" customHeight="1" x14ac:dyDescent="0.25">
      <c r="A206" s="12" t="s">
        <v>113</v>
      </c>
      <c r="B206" s="14">
        <f>IFERROR((VLOOKUP($A206,'[1]import success seats course'!$A:P,HLOOKUP('[1]Course Totals'!B$4,'[1]import success seats course'!$1:$2,2,FALSE),FALSE)/(VLOOKUP($A206,'[1]import graded seats course pivo'!$A:Z,HLOOKUP('[1]Course Totals'!B$4,'[1]import graded seats course pivo'!$1:$2,2,FALSE),FALSE))),"")</f>
        <v>0.97058823529411764</v>
      </c>
      <c r="C206" s="14">
        <f>IFERROR((VLOOKUP($A206,'[1]import success seats course'!$A:Q,HLOOKUP('[1]Course Totals'!C$4,'[1]import success seats course'!$1:$2,2,FALSE),FALSE)/(VLOOKUP($A206,'[1]import graded seats course pivo'!$A:AA,HLOOKUP('[1]Course Totals'!C$4,'[1]import graded seats course pivo'!$1:$2,2,FALSE),FALSE))),"")</f>
        <v>0.84615384615384615</v>
      </c>
      <c r="D206" s="14">
        <f>IFERROR((VLOOKUP($A206,'[1]import success seats course'!$A:R,HLOOKUP('[1]Course Totals'!D$4,'[1]import success seats course'!$1:$2,2,FALSE),FALSE)/(VLOOKUP($A206,'[1]import graded seats course pivo'!$A:AB,HLOOKUP('[1]Course Totals'!D$4,'[1]import graded seats course pivo'!$1:$2,2,FALSE),FALSE))),"")</f>
        <v>0.85576923076923073</v>
      </c>
      <c r="E206" s="14">
        <f>IFERROR((VLOOKUP($A206,'[1]import success seats course'!$A:S,HLOOKUP('[1]Course Totals'!E$4,'[1]import success seats course'!$1:$2,2,FALSE),FALSE)/(VLOOKUP($A206,'[1]import graded seats course pivo'!$A:AC,HLOOKUP('[1]Course Totals'!E$4,'[1]import graded seats course pivo'!$1:$2,2,FALSE),FALSE))),"")</f>
        <v>1</v>
      </c>
      <c r="F206" s="14">
        <f>IFERROR((VLOOKUP($A206,'[1]import success seats course'!$A:T,HLOOKUP('[1]Course Totals'!F$4,'[1]import success seats course'!$1:$2,2,FALSE),FALSE)/(VLOOKUP($A206,'[1]import graded seats course pivo'!$A:AD,HLOOKUP('[1]Course Totals'!F$4,'[1]import graded seats course pivo'!$1:$2,2,FALSE),FALSE))),"")</f>
        <v>0.74257425742574257</v>
      </c>
      <c r="G206" s="14">
        <f>IFERROR((VLOOKUP($A206,'[1]import success seats course'!$A:U,HLOOKUP('[1]Course Totals'!G$4,'[1]import success seats course'!$1:$2,2,FALSE),FALSE)/(VLOOKUP($A206,'[1]import graded seats course pivo'!$A:AE,HLOOKUP('[1]Course Totals'!G$4,'[1]import graded seats course pivo'!$1:$2,2,FALSE),FALSE))),"")</f>
        <v>0.84782608695652173</v>
      </c>
      <c r="H206" s="14">
        <f>IFERROR((VLOOKUP($A206,'[1]import success seats course'!$A:V,HLOOKUP('[1]Course Totals'!H$4,'[1]import success seats course'!$1:$2,2,FALSE),FALSE)/(VLOOKUP($A206,'[1]import graded seats course pivo'!$A:AF,HLOOKUP('[1]Course Totals'!H$4,'[1]import graded seats course pivo'!$1:$2,2,FALSE),FALSE))),"")</f>
        <v>0.93939393939393945</v>
      </c>
      <c r="I206" s="14">
        <f>IFERROR((VLOOKUP($A206,'[1]import success seats course'!$A:W,HLOOKUP('[1]Course Totals'!I$4,'[1]import success seats course'!$1:$2,2,FALSE),FALSE)/(VLOOKUP($A206,'[1]import graded seats course pivo'!$A:AG,HLOOKUP('[1]Course Totals'!I$4,'[1]import graded seats course pivo'!$1:$2,2,FALSE),FALSE))),"")</f>
        <v>0.79166666666666663</v>
      </c>
      <c r="J206" s="14">
        <f>IFERROR((VLOOKUP($A206,'[1]import success seats course'!$A:X,HLOOKUP('[1]Course Totals'!J$4,'[1]import success seats course'!$1:$2,2,FALSE),FALSE)/(VLOOKUP($A206,'[1]import graded seats course pivo'!$A:AH,HLOOKUP('[1]Course Totals'!J$4,'[1]import graded seats course pivo'!$1:$2,2,FALSE),FALSE))),"")</f>
        <v>0.90769230769230769</v>
      </c>
      <c r="K206" s="14" t="str">
        <f>IFERROR((VLOOKUP($A206,'[1]import success seats course'!$A:Y,HLOOKUP('[1]Course Totals'!K$4,'[1]import success seats course'!$1:$2,2,FALSE),FALSE)/(VLOOKUP($A206,'[1]import graded seats course pivo'!$A:AI,HLOOKUP('[1]Course Totals'!K$4,'[1]import graded seats course pivo'!$1:$2,2,FALSE),FALSE))),"")</f>
        <v/>
      </c>
      <c r="L206" s="14">
        <f>IFERROR((VLOOKUP($A206,'[1]import success seats course'!$A:Z,HLOOKUP('[1]Course Totals'!L$4,'[1]import success seats course'!$1:$2,2,FALSE),FALSE)/(VLOOKUP($A206,'[1]import graded seats course pivo'!$A:AJ,HLOOKUP('[1]Course Totals'!L$4,'[1]import graded seats course pivo'!$1:$2,2,FALSE),FALSE))),"")</f>
        <v>0.8</v>
      </c>
      <c r="M206" s="14">
        <f>IFERROR((VLOOKUP($A206,'[1]import success seats course'!$A:AA,HLOOKUP('[1]Course Totals'!M$4,'[1]import success seats course'!$1:$2,2,FALSE),FALSE)/(VLOOKUP($A206,'[1]import graded seats course pivo'!$A:AK,HLOOKUP('[1]Course Totals'!M$4,'[1]import graded seats course pivo'!$1:$2,2,FALSE),FALSE))),"")</f>
        <v>0.82558139534883723</v>
      </c>
      <c r="N206" s="14" t="str">
        <f>IFERROR((VLOOKUP($A206,'[1]import success seats course'!$A:AB,HLOOKUP('[1]Course Totals'!N$4,'[1]import success seats course'!$1:$2,2,FALSE),FALSE)/(VLOOKUP($A206,'[1]import graded seats course pivo'!$A:AL,HLOOKUP('[1]Course Totals'!N$4,'[1]import graded seats course pivo'!$1:$2,2,FALSE),FALSE))),"")</f>
        <v/>
      </c>
      <c r="O206" s="14">
        <f>IFERROR((VLOOKUP($A206,'[1]import success seats course'!$A:AC,HLOOKUP('[1]Course Totals'!O$4,'[1]import success seats course'!$1:$2,2,FALSE),FALSE)/(VLOOKUP($A206,'[1]import graded seats course pivo'!$A:AM,HLOOKUP('[1]Course Totals'!O$4,'[1]import graded seats course pivo'!$1:$2,2,FALSE),FALSE))),"")</f>
        <v>0.85542168674698793</v>
      </c>
      <c r="P206" s="14">
        <f>IFERROR((VLOOKUP($A206,'[1]import success seats course'!$A:AD,HLOOKUP('[1]Course Totals'!P$4,'[1]import success seats course'!$1:$2,2,FALSE),FALSE)/(VLOOKUP($A206,'[1]import graded seats course pivo'!$A:AN,HLOOKUP('[1]Course Totals'!P$4,'[1]import graded seats course pivo'!$1:$2,2,FALSE),FALSE))),"")</f>
        <v>0.88297872340425532</v>
      </c>
      <c r="Q206" s="14">
        <f>IFERROR((VLOOKUP($A206,'[1]import success seats course'!$A:AE,HLOOKUP('[1]Course Totals'!Q$4,'[1]import success seats course'!$1:$2,2,FALSE),FALSE)/(VLOOKUP($A206,'[1]import graded seats course pivo'!$A:AO,HLOOKUP('[1]Course Totals'!Q$4,'[1]import graded seats course pivo'!$1:$2,2,FALSE),FALSE))),"")</f>
        <v>0.88888888888888884</v>
      </c>
      <c r="R206" s="14">
        <f>IFERROR((VLOOKUP($A206,'[1]import success seats course'!$A:AF,HLOOKUP('[1]Course Totals'!R$4,'[1]import success seats course'!$1:$2,2,FALSE),FALSE)/(VLOOKUP($A206,'[1]import graded seats course pivo'!$A:AP,HLOOKUP('[1]Course Totals'!R$4,'[1]import graded seats course pivo'!$1:$2,2,FALSE),FALSE))),"")</f>
        <v>0.80681818181818177</v>
      </c>
      <c r="S206" s="14">
        <f>IFERROR((VLOOKUP($A206,'[1]import success seats course'!$A:AG,HLOOKUP('[1]Course Totals'!S$4,'[1]import success seats course'!$1:$2,2,FALSE),FALSE)/(VLOOKUP($A206,'[1]import graded seats course pivo'!$A:AQ,HLOOKUP('[1]Course Totals'!S$4,'[1]import graded seats course pivo'!$1:$2,2,FALSE),FALSE))),"")</f>
        <v>0.81927710843373491</v>
      </c>
      <c r="Z206" s="7"/>
      <c r="AA206" s="7"/>
      <c r="AB206" s="7"/>
      <c r="AC206" s="7"/>
    </row>
    <row r="207" spans="1:29" ht="15.75" customHeight="1" x14ac:dyDescent="0.25">
      <c r="A207" s="12" t="s">
        <v>690</v>
      </c>
      <c r="B207" s="14" t="str">
        <f>IFERROR((VLOOKUP($A207,'[1]import success seats course'!$A:P,HLOOKUP('[1]Course Totals'!B$4,'[1]import success seats course'!$1:$2,2,FALSE),FALSE)/(VLOOKUP($A207,'[1]import graded seats course pivo'!$A:Z,HLOOKUP('[1]Course Totals'!B$4,'[1]import graded seats course pivo'!$1:$2,2,FALSE),FALSE))),"")</f>
        <v/>
      </c>
      <c r="C207" s="14" t="str">
        <f>IFERROR((VLOOKUP($A207,'[1]import success seats course'!$A:Q,HLOOKUP('[1]Course Totals'!C$4,'[1]import success seats course'!$1:$2,2,FALSE),FALSE)/(VLOOKUP($A207,'[1]import graded seats course pivo'!$A:AA,HLOOKUP('[1]Course Totals'!C$4,'[1]import graded seats course pivo'!$1:$2,2,FALSE),FALSE))),"")</f>
        <v/>
      </c>
      <c r="D207" s="14">
        <f>IFERROR((VLOOKUP($A207,'[1]import success seats course'!$A:R,HLOOKUP('[1]Course Totals'!D$4,'[1]import success seats course'!$1:$2,2,FALSE),FALSE)/(VLOOKUP($A207,'[1]import graded seats course pivo'!$A:AB,HLOOKUP('[1]Course Totals'!D$4,'[1]import graded seats course pivo'!$1:$2,2,FALSE),FALSE))),"")</f>
        <v>1</v>
      </c>
      <c r="E207" s="14" t="str">
        <f>IFERROR((VLOOKUP($A207,'[1]import success seats course'!$A:S,HLOOKUP('[1]Course Totals'!E$4,'[1]import success seats course'!$1:$2,2,FALSE),FALSE)/(VLOOKUP($A207,'[1]import graded seats course pivo'!$A:AC,HLOOKUP('[1]Course Totals'!E$4,'[1]import graded seats course pivo'!$1:$2,2,FALSE),FALSE))),"")</f>
        <v/>
      </c>
      <c r="F207" s="14" t="str">
        <f>IFERROR((VLOOKUP($A207,'[1]import success seats course'!$A:T,HLOOKUP('[1]Course Totals'!F$4,'[1]import success seats course'!$1:$2,2,FALSE),FALSE)/(VLOOKUP($A207,'[1]import graded seats course pivo'!$A:AD,HLOOKUP('[1]Course Totals'!F$4,'[1]import graded seats course pivo'!$1:$2,2,FALSE),FALSE))),"")</f>
        <v/>
      </c>
      <c r="G207" s="14">
        <f>IFERROR((VLOOKUP($A207,'[1]import success seats course'!$A:U,HLOOKUP('[1]Course Totals'!G$4,'[1]import success seats course'!$1:$2,2,FALSE),FALSE)/(VLOOKUP($A207,'[1]import graded seats course pivo'!$A:AE,HLOOKUP('[1]Course Totals'!G$4,'[1]import graded seats course pivo'!$1:$2,2,FALSE),FALSE))),"")</f>
        <v>1</v>
      </c>
      <c r="H207" s="14" t="str">
        <f>IFERROR((VLOOKUP($A207,'[1]import success seats course'!$A:V,HLOOKUP('[1]Course Totals'!H$4,'[1]import success seats course'!$1:$2,2,FALSE),FALSE)/(VLOOKUP($A207,'[1]import graded seats course pivo'!$A:AF,HLOOKUP('[1]Course Totals'!H$4,'[1]import graded seats course pivo'!$1:$2,2,FALSE),FALSE))),"")</f>
        <v/>
      </c>
      <c r="I207" s="14">
        <f>IFERROR((VLOOKUP($A207,'[1]import success seats course'!$A:W,HLOOKUP('[1]Course Totals'!I$4,'[1]import success seats course'!$1:$2,2,FALSE),FALSE)/(VLOOKUP($A207,'[1]import graded seats course pivo'!$A:AG,HLOOKUP('[1]Course Totals'!I$4,'[1]import graded seats course pivo'!$1:$2,2,FALSE),FALSE))),"")</f>
        <v>1</v>
      </c>
      <c r="J207" s="14">
        <f>IFERROR((VLOOKUP($A207,'[1]import success seats course'!$A:X,HLOOKUP('[1]Course Totals'!J$4,'[1]import success seats course'!$1:$2,2,FALSE),FALSE)/(VLOOKUP($A207,'[1]import graded seats course pivo'!$A:AH,HLOOKUP('[1]Course Totals'!J$4,'[1]import graded seats course pivo'!$1:$2,2,FALSE),FALSE))),"")</f>
        <v>0.66666666666666663</v>
      </c>
      <c r="K207" s="14" t="str">
        <f>IFERROR((VLOOKUP($A207,'[1]import success seats course'!$A:Y,HLOOKUP('[1]Course Totals'!K$4,'[1]import success seats course'!$1:$2,2,FALSE),FALSE)/(VLOOKUP($A207,'[1]import graded seats course pivo'!$A:AI,HLOOKUP('[1]Course Totals'!K$4,'[1]import graded seats course pivo'!$1:$2,2,FALSE),FALSE))),"")</f>
        <v/>
      </c>
      <c r="L207" s="14" t="str">
        <f>IFERROR((VLOOKUP($A207,'[1]import success seats course'!$A:Z,HLOOKUP('[1]Course Totals'!L$4,'[1]import success seats course'!$1:$2,2,FALSE),FALSE)/(VLOOKUP($A207,'[1]import graded seats course pivo'!$A:AJ,HLOOKUP('[1]Course Totals'!L$4,'[1]import graded seats course pivo'!$1:$2,2,FALSE),FALSE))),"")</f>
        <v/>
      </c>
      <c r="M207" s="14">
        <f>IFERROR((VLOOKUP($A207,'[1]import success seats course'!$A:AA,HLOOKUP('[1]Course Totals'!M$4,'[1]import success seats course'!$1:$2,2,FALSE),FALSE)/(VLOOKUP($A207,'[1]import graded seats course pivo'!$A:AK,HLOOKUP('[1]Course Totals'!M$4,'[1]import graded seats course pivo'!$1:$2,2,FALSE),FALSE))),"")</f>
        <v>1</v>
      </c>
      <c r="N207" s="14" t="str">
        <f>IFERROR((VLOOKUP($A207,'[1]import success seats course'!$A:AB,HLOOKUP('[1]Course Totals'!N$4,'[1]import success seats course'!$1:$2,2,FALSE),FALSE)/(VLOOKUP($A207,'[1]import graded seats course pivo'!$A:AL,HLOOKUP('[1]Course Totals'!N$4,'[1]import graded seats course pivo'!$1:$2,2,FALSE),FALSE))),"")</f>
        <v/>
      </c>
      <c r="O207" s="14" t="str">
        <f>IFERROR((VLOOKUP($A207,'[1]import success seats course'!$A:AC,HLOOKUP('[1]Course Totals'!O$4,'[1]import success seats course'!$1:$2,2,FALSE),FALSE)/(VLOOKUP($A207,'[1]import graded seats course pivo'!$A:AM,HLOOKUP('[1]Course Totals'!O$4,'[1]import graded seats course pivo'!$1:$2,2,FALSE),FALSE))),"")</f>
        <v/>
      </c>
      <c r="P207" s="14">
        <f>IFERROR((VLOOKUP($A207,'[1]import success seats course'!$A:AD,HLOOKUP('[1]Course Totals'!P$4,'[1]import success seats course'!$1:$2,2,FALSE),FALSE)/(VLOOKUP($A207,'[1]import graded seats course pivo'!$A:AN,HLOOKUP('[1]Course Totals'!P$4,'[1]import graded seats course pivo'!$1:$2,2,FALSE),FALSE))),"")</f>
        <v>1</v>
      </c>
      <c r="Q207" s="14" t="str">
        <f>IFERROR((VLOOKUP($A207,'[1]import success seats course'!$A:AE,HLOOKUP('[1]Course Totals'!Q$4,'[1]import success seats course'!$1:$2,2,FALSE),FALSE)/(VLOOKUP($A207,'[1]import graded seats course pivo'!$A:AO,HLOOKUP('[1]Course Totals'!Q$4,'[1]import graded seats course pivo'!$1:$2,2,FALSE),FALSE))),"")</f>
        <v/>
      </c>
      <c r="R207" s="14">
        <f>IFERROR((VLOOKUP($A207,'[1]import success seats course'!$A:AF,HLOOKUP('[1]Course Totals'!R$4,'[1]import success seats course'!$1:$2,2,FALSE),FALSE)/(VLOOKUP($A207,'[1]import graded seats course pivo'!$A:AP,HLOOKUP('[1]Course Totals'!R$4,'[1]import graded seats course pivo'!$1:$2,2,FALSE),FALSE))),"")</f>
        <v>1</v>
      </c>
      <c r="S207" s="14" t="str">
        <f>IFERROR((VLOOKUP($A207,'[1]import success seats course'!$A:AG,HLOOKUP('[1]Course Totals'!S$4,'[1]import success seats course'!$1:$2,2,FALSE),FALSE)/(VLOOKUP($A207,'[1]import graded seats course pivo'!$A:AQ,HLOOKUP('[1]Course Totals'!S$4,'[1]import graded seats course pivo'!$1:$2,2,FALSE),FALSE))),"")</f>
        <v/>
      </c>
      <c r="Z207" s="7"/>
      <c r="AA207" s="7"/>
      <c r="AB207" s="7"/>
      <c r="AC207" s="7"/>
    </row>
    <row r="208" spans="1:29" ht="15.75" customHeight="1" x14ac:dyDescent="0.25">
      <c r="A208" s="12" t="s">
        <v>114</v>
      </c>
      <c r="B208" s="14" t="str">
        <f>IFERROR((VLOOKUP($A208,'[1]import success seats course'!$A:P,HLOOKUP('[1]Course Totals'!B$4,'[1]import success seats course'!$1:$2,2,FALSE),FALSE)/(VLOOKUP($A208,'[1]import graded seats course pivo'!$A:Z,HLOOKUP('[1]Course Totals'!B$4,'[1]import graded seats course pivo'!$1:$2,2,FALSE),FALSE))),"")</f>
        <v/>
      </c>
      <c r="C208" s="14">
        <f>IFERROR((VLOOKUP($A208,'[1]import success seats course'!$A:Q,HLOOKUP('[1]Course Totals'!C$4,'[1]import success seats course'!$1:$2,2,FALSE),FALSE)/(VLOOKUP($A208,'[1]import graded seats course pivo'!$A:AA,HLOOKUP('[1]Course Totals'!C$4,'[1]import graded seats course pivo'!$1:$2,2,FALSE),FALSE))),"")</f>
        <v>0.83333333333333337</v>
      </c>
      <c r="D208" s="14">
        <f>IFERROR((VLOOKUP($A208,'[1]import success seats course'!$A:R,HLOOKUP('[1]Course Totals'!D$4,'[1]import success seats course'!$1:$2,2,FALSE),FALSE)/(VLOOKUP($A208,'[1]import graded seats course pivo'!$A:AB,HLOOKUP('[1]Course Totals'!D$4,'[1]import graded seats course pivo'!$1:$2,2,FALSE),FALSE))),"")</f>
        <v>0.7931034482758621</v>
      </c>
      <c r="E208" s="14" t="str">
        <f>IFERROR((VLOOKUP($A208,'[1]import success seats course'!$A:S,HLOOKUP('[1]Course Totals'!E$4,'[1]import success seats course'!$1:$2,2,FALSE),FALSE)/(VLOOKUP($A208,'[1]import graded seats course pivo'!$A:AC,HLOOKUP('[1]Course Totals'!E$4,'[1]import graded seats course pivo'!$1:$2,2,FALSE),FALSE))),"")</f>
        <v/>
      </c>
      <c r="F208" s="14">
        <f>IFERROR((VLOOKUP($A208,'[1]import success seats course'!$A:T,HLOOKUP('[1]Course Totals'!F$4,'[1]import success seats course'!$1:$2,2,FALSE),FALSE)/(VLOOKUP($A208,'[1]import graded seats course pivo'!$A:AD,HLOOKUP('[1]Course Totals'!F$4,'[1]import graded seats course pivo'!$1:$2,2,FALSE),FALSE))),"")</f>
        <v>0.77777777777777779</v>
      </c>
      <c r="G208" s="14">
        <f>IFERROR((VLOOKUP($A208,'[1]import success seats course'!$A:U,HLOOKUP('[1]Course Totals'!G$4,'[1]import success seats course'!$1:$2,2,FALSE),FALSE)/(VLOOKUP($A208,'[1]import graded seats course pivo'!$A:AE,HLOOKUP('[1]Course Totals'!G$4,'[1]import graded seats course pivo'!$1:$2,2,FALSE),FALSE))),"")</f>
        <v>0.56000000000000005</v>
      </c>
      <c r="H208" s="14" t="str">
        <f>IFERROR((VLOOKUP($A208,'[1]import success seats course'!$A:V,HLOOKUP('[1]Course Totals'!H$4,'[1]import success seats course'!$1:$2,2,FALSE),FALSE)/(VLOOKUP($A208,'[1]import graded seats course pivo'!$A:AF,HLOOKUP('[1]Course Totals'!H$4,'[1]import graded seats course pivo'!$1:$2,2,FALSE),FALSE))),"")</f>
        <v/>
      </c>
      <c r="I208" s="14">
        <f>IFERROR((VLOOKUP($A208,'[1]import success seats course'!$A:W,HLOOKUP('[1]Course Totals'!I$4,'[1]import success seats course'!$1:$2,2,FALSE),FALSE)/(VLOOKUP($A208,'[1]import graded seats course pivo'!$A:AG,HLOOKUP('[1]Course Totals'!I$4,'[1]import graded seats course pivo'!$1:$2,2,FALSE),FALSE))),"")</f>
        <v>0.8214285714285714</v>
      </c>
      <c r="J208" s="14">
        <f>IFERROR((VLOOKUP($A208,'[1]import success seats course'!$A:X,HLOOKUP('[1]Course Totals'!J$4,'[1]import success seats course'!$1:$2,2,FALSE),FALSE)/(VLOOKUP($A208,'[1]import graded seats course pivo'!$A:AH,HLOOKUP('[1]Course Totals'!J$4,'[1]import graded seats course pivo'!$1:$2,2,FALSE),FALSE))),"")</f>
        <v>0.82758620689655171</v>
      </c>
      <c r="K208" s="14" t="str">
        <f>IFERROR((VLOOKUP($A208,'[1]import success seats course'!$A:Y,HLOOKUP('[1]Course Totals'!K$4,'[1]import success seats course'!$1:$2,2,FALSE),FALSE)/(VLOOKUP($A208,'[1]import graded seats course pivo'!$A:AI,HLOOKUP('[1]Course Totals'!K$4,'[1]import graded seats course pivo'!$1:$2,2,FALSE),FALSE))),"")</f>
        <v/>
      </c>
      <c r="L208" s="14">
        <f>IFERROR((VLOOKUP($A208,'[1]import success seats course'!$A:Z,HLOOKUP('[1]Course Totals'!L$4,'[1]import success seats course'!$1:$2,2,FALSE),FALSE)/(VLOOKUP($A208,'[1]import graded seats course pivo'!$A:AJ,HLOOKUP('[1]Course Totals'!L$4,'[1]import graded seats course pivo'!$1:$2,2,FALSE),FALSE))),"")</f>
        <v>0.70833333333333337</v>
      </c>
      <c r="M208" s="14">
        <f>IFERROR((VLOOKUP($A208,'[1]import success seats course'!$A:AA,HLOOKUP('[1]Course Totals'!M$4,'[1]import success seats course'!$1:$2,2,FALSE),FALSE)/(VLOOKUP($A208,'[1]import graded seats course pivo'!$A:AK,HLOOKUP('[1]Course Totals'!M$4,'[1]import graded seats course pivo'!$1:$2,2,FALSE),FALSE))),"")</f>
        <v>0.8214285714285714</v>
      </c>
      <c r="N208" s="14" t="str">
        <f>IFERROR((VLOOKUP($A208,'[1]import success seats course'!$A:AB,HLOOKUP('[1]Course Totals'!N$4,'[1]import success seats course'!$1:$2,2,FALSE),FALSE)/(VLOOKUP($A208,'[1]import graded seats course pivo'!$A:AL,HLOOKUP('[1]Course Totals'!N$4,'[1]import graded seats course pivo'!$1:$2,2,FALSE),FALSE))),"")</f>
        <v/>
      </c>
      <c r="O208" s="14" t="str">
        <f>IFERROR((VLOOKUP($A208,'[1]import success seats course'!$A:AC,HLOOKUP('[1]Course Totals'!O$4,'[1]import success seats course'!$1:$2,2,FALSE),FALSE)/(VLOOKUP($A208,'[1]import graded seats course pivo'!$A:AM,HLOOKUP('[1]Course Totals'!O$4,'[1]import graded seats course pivo'!$1:$2,2,FALSE),FALSE))),"")</f>
        <v/>
      </c>
      <c r="P208" s="14" t="str">
        <f>IFERROR((VLOOKUP($A208,'[1]import success seats course'!$A:AD,HLOOKUP('[1]Course Totals'!P$4,'[1]import success seats course'!$1:$2,2,FALSE),FALSE)/(VLOOKUP($A208,'[1]import graded seats course pivo'!$A:AN,HLOOKUP('[1]Course Totals'!P$4,'[1]import graded seats course pivo'!$1:$2,2,FALSE),FALSE))),"")</f>
        <v/>
      </c>
      <c r="Q208" s="14" t="str">
        <f>IFERROR((VLOOKUP($A208,'[1]import success seats course'!$A:AE,HLOOKUP('[1]Course Totals'!Q$4,'[1]import success seats course'!$1:$2,2,FALSE),FALSE)/(VLOOKUP($A208,'[1]import graded seats course pivo'!$A:AO,HLOOKUP('[1]Course Totals'!Q$4,'[1]import graded seats course pivo'!$1:$2,2,FALSE),FALSE))),"")</f>
        <v/>
      </c>
      <c r="R208" s="14" t="str">
        <f>IFERROR((VLOOKUP($A208,'[1]import success seats course'!$A:AF,HLOOKUP('[1]Course Totals'!R$4,'[1]import success seats course'!$1:$2,2,FALSE),FALSE)/(VLOOKUP($A208,'[1]import graded seats course pivo'!$A:AP,HLOOKUP('[1]Course Totals'!R$4,'[1]import graded seats course pivo'!$1:$2,2,FALSE),FALSE))),"")</f>
        <v/>
      </c>
      <c r="S208" s="14" t="str">
        <f>IFERROR((VLOOKUP($A208,'[1]import success seats course'!$A:AG,HLOOKUP('[1]Course Totals'!S$4,'[1]import success seats course'!$1:$2,2,FALSE),FALSE)/(VLOOKUP($A208,'[1]import graded seats course pivo'!$A:AQ,HLOOKUP('[1]Course Totals'!S$4,'[1]import graded seats course pivo'!$1:$2,2,FALSE),FALSE))),"")</f>
        <v/>
      </c>
      <c r="Z208" s="7"/>
      <c r="AA208" s="7"/>
      <c r="AB208" s="7"/>
      <c r="AC208" s="7"/>
    </row>
    <row r="209" spans="1:29" ht="15.75" customHeight="1" x14ac:dyDescent="0.25">
      <c r="A209" s="12" t="s">
        <v>774</v>
      </c>
      <c r="B209" s="14" t="str">
        <f>IFERROR((VLOOKUP($A209,'[1]import success seats course'!$A:P,HLOOKUP('[1]Course Totals'!B$4,'[1]import success seats course'!$1:$2,2,FALSE),FALSE)/(VLOOKUP($A209,'[1]import graded seats course pivo'!$A:Z,HLOOKUP('[1]Course Totals'!B$4,'[1]import graded seats course pivo'!$1:$2,2,FALSE),FALSE))),"")</f>
        <v/>
      </c>
      <c r="C209" s="14" t="str">
        <f>IFERROR((VLOOKUP($A209,'[1]import success seats course'!$A:Q,HLOOKUP('[1]Course Totals'!C$4,'[1]import success seats course'!$1:$2,2,FALSE),FALSE)/(VLOOKUP($A209,'[1]import graded seats course pivo'!$A:AA,HLOOKUP('[1]Course Totals'!C$4,'[1]import graded seats course pivo'!$1:$2,2,FALSE),FALSE))),"")</f>
        <v/>
      </c>
      <c r="D209" s="14" t="str">
        <f>IFERROR((VLOOKUP($A209,'[1]import success seats course'!$A:R,HLOOKUP('[1]Course Totals'!D$4,'[1]import success seats course'!$1:$2,2,FALSE),FALSE)/(VLOOKUP($A209,'[1]import graded seats course pivo'!$A:AB,HLOOKUP('[1]Course Totals'!D$4,'[1]import graded seats course pivo'!$1:$2,2,FALSE),FALSE))),"")</f>
        <v/>
      </c>
      <c r="E209" s="14" t="str">
        <f>IFERROR((VLOOKUP($A209,'[1]import success seats course'!$A:S,HLOOKUP('[1]Course Totals'!E$4,'[1]import success seats course'!$1:$2,2,FALSE),FALSE)/(VLOOKUP($A209,'[1]import graded seats course pivo'!$A:AC,HLOOKUP('[1]Course Totals'!E$4,'[1]import graded seats course pivo'!$1:$2,2,FALSE),FALSE))),"")</f>
        <v/>
      </c>
      <c r="F209" s="14" t="str">
        <f>IFERROR((VLOOKUP($A209,'[1]import success seats course'!$A:T,HLOOKUP('[1]Course Totals'!F$4,'[1]import success seats course'!$1:$2,2,FALSE),FALSE)/(VLOOKUP($A209,'[1]import graded seats course pivo'!$A:AD,HLOOKUP('[1]Course Totals'!F$4,'[1]import graded seats course pivo'!$1:$2,2,FALSE),FALSE))),"")</f>
        <v/>
      </c>
      <c r="G209" s="14" t="str">
        <f>IFERROR((VLOOKUP($A209,'[1]import success seats course'!$A:U,HLOOKUP('[1]Course Totals'!G$4,'[1]import success seats course'!$1:$2,2,FALSE),FALSE)/(VLOOKUP($A209,'[1]import graded seats course pivo'!$A:AE,HLOOKUP('[1]Course Totals'!G$4,'[1]import graded seats course pivo'!$1:$2,2,FALSE),FALSE))),"")</f>
        <v/>
      </c>
      <c r="H209" s="14" t="str">
        <f>IFERROR((VLOOKUP($A209,'[1]import success seats course'!$A:V,HLOOKUP('[1]Course Totals'!H$4,'[1]import success seats course'!$1:$2,2,FALSE),FALSE)/(VLOOKUP($A209,'[1]import graded seats course pivo'!$A:AF,HLOOKUP('[1]Course Totals'!H$4,'[1]import graded seats course pivo'!$1:$2,2,FALSE),FALSE))),"")</f>
        <v/>
      </c>
      <c r="I209" s="14" t="str">
        <f>IFERROR((VLOOKUP($A209,'[1]import success seats course'!$A:W,HLOOKUP('[1]Course Totals'!I$4,'[1]import success seats course'!$1:$2,2,FALSE),FALSE)/(VLOOKUP($A209,'[1]import graded seats course pivo'!$A:AG,HLOOKUP('[1]Course Totals'!I$4,'[1]import graded seats course pivo'!$1:$2,2,FALSE),FALSE))),"")</f>
        <v/>
      </c>
      <c r="J209" s="14" t="str">
        <f>IFERROR((VLOOKUP($A209,'[1]import success seats course'!$A:X,HLOOKUP('[1]Course Totals'!J$4,'[1]import success seats course'!$1:$2,2,FALSE),FALSE)/(VLOOKUP($A209,'[1]import graded seats course pivo'!$A:AH,HLOOKUP('[1]Course Totals'!J$4,'[1]import graded seats course pivo'!$1:$2,2,FALSE),FALSE))),"")</f>
        <v/>
      </c>
      <c r="K209" s="14" t="str">
        <f>IFERROR((VLOOKUP($A209,'[1]import success seats course'!$A:Y,HLOOKUP('[1]Course Totals'!K$4,'[1]import success seats course'!$1:$2,2,FALSE),FALSE)/(VLOOKUP($A209,'[1]import graded seats course pivo'!$A:AI,HLOOKUP('[1]Course Totals'!K$4,'[1]import graded seats course pivo'!$1:$2,2,FALSE),FALSE))),"")</f>
        <v/>
      </c>
      <c r="L209" s="14">
        <f>IFERROR((VLOOKUP($A209,'[1]import success seats course'!$A:Z,HLOOKUP('[1]Course Totals'!L$4,'[1]import success seats course'!$1:$2,2,FALSE),FALSE)/(VLOOKUP($A209,'[1]import graded seats course pivo'!$A:AJ,HLOOKUP('[1]Course Totals'!L$4,'[1]import graded seats course pivo'!$1:$2,2,FALSE),FALSE))),"")</f>
        <v>0.93548387096774188</v>
      </c>
      <c r="M209" s="14" t="str">
        <f>IFERROR((VLOOKUP($A209,'[1]import success seats course'!$A:AA,HLOOKUP('[1]Course Totals'!M$4,'[1]import success seats course'!$1:$2,2,FALSE),FALSE)/(VLOOKUP($A209,'[1]import graded seats course pivo'!$A:AK,HLOOKUP('[1]Course Totals'!M$4,'[1]import graded seats course pivo'!$1:$2,2,FALSE),FALSE))),"")</f>
        <v/>
      </c>
      <c r="N209" s="14" t="str">
        <f>IFERROR((VLOOKUP($A209,'[1]import success seats course'!$A:AB,HLOOKUP('[1]Course Totals'!N$4,'[1]import success seats course'!$1:$2,2,FALSE),FALSE)/(VLOOKUP($A209,'[1]import graded seats course pivo'!$A:AL,HLOOKUP('[1]Course Totals'!N$4,'[1]import graded seats course pivo'!$1:$2,2,FALSE),FALSE))),"")</f>
        <v/>
      </c>
      <c r="O209" s="14">
        <f>IFERROR((VLOOKUP($A209,'[1]import success seats course'!$A:AC,HLOOKUP('[1]Course Totals'!O$4,'[1]import success seats course'!$1:$2,2,FALSE),FALSE)/(VLOOKUP($A209,'[1]import graded seats course pivo'!$A:AM,HLOOKUP('[1]Course Totals'!O$4,'[1]import graded seats course pivo'!$1:$2,2,FALSE),FALSE))),"")</f>
        <v>0.90322580645161288</v>
      </c>
      <c r="P209" s="14" t="str">
        <f>IFERROR((VLOOKUP($A209,'[1]import success seats course'!$A:AD,HLOOKUP('[1]Course Totals'!P$4,'[1]import success seats course'!$1:$2,2,FALSE),FALSE)/(VLOOKUP($A209,'[1]import graded seats course pivo'!$A:AN,HLOOKUP('[1]Course Totals'!P$4,'[1]import graded seats course pivo'!$1:$2,2,FALSE),FALSE))),"")</f>
        <v/>
      </c>
      <c r="Q209" s="14" t="str">
        <f>IFERROR((VLOOKUP($A209,'[1]import success seats course'!$A:AE,HLOOKUP('[1]Course Totals'!Q$4,'[1]import success seats course'!$1:$2,2,FALSE),FALSE)/(VLOOKUP($A209,'[1]import graded seats course pivo'!$A:AO,HLOOKUP('[1]Course Totals'!Q$4,'[1]import graded seats course pivo'!$1:$2,2,FALSE),FALSE))),"")</f>
        <v/>
      </c>
      <c r="R209" s="14">
        <f>IFERROR((VLOOKUP($A209,'[1]import success seats course'!$A:AF,HLOOKUP('[1]Course Totals'!R$4,'[1]import success seats course'!$1:$2,2,FALSE),FALSE)/(VLOOKUP($A209,'[1]import graded seats course pivo'!$A:AP,HLOOKUP('[1]Course Totals'!R$4,'[1]import graded seats course pivo'!$1:$2,2,FALSE),FALSE))),"")</f>
        <v>0.93333333333333335</v>
      </c>
      <c r="S209" s="14" t="str">
        <f>IFERROR((VLOOKUP($A209,'[1]import success seats course'!$A:AG,HLOOKUP('[1]Course Totals'!S$4,'[1]import success seats course'!$1:$2,2,FALSE),FALSE)/(VLOOKUP($A209,'[1]import graded seats course pivo'!$A:AQ,HLOOKUP('[1]Course Totals'!S$4,'[1]import graded seats course pivo'!$1:$2,2,FALSE),FALSE))),"")</f>
        <v/>
      </c>
      <c r="Z209" s="7"/>
      <c r="AA209" s="7"/>
      <c r="AB209" s="7"/>
      <c r="AC209" s="7"/>
    </row>
    <row r="210" spans="1:29" ht="15.75" customHeight="1" x14ac:dyDescent="0.25">
      <c r="A210" s="12" t="s">
        <v>1026</v>
      </c>
      <c r="B210" s="14" t="str">
        <f>IFERROR((VLOOKUP($A210,'[1]import success seats course'!$A:P,HLOOKUP('[1]Course Totals'!B$4,'[1]import success seats course'!$1:$2,2,FALSE),FALSE)/(VLOOKUP($A210,'[1]import graded seats course pivo'!$A:Z,HLOOKUP('[1]Course Totals'!B$4,'[1]import graded seats course pivo'!$1:$2,2,FALSE),FALSE))),"")</f>
        <v/>
      </c>
      <c r="C210" s="14" t="str">
        <f>IFERROR((VLOOKUP($A210,'[1]import success seats course'!$A:Q,HLOOKUP('[1]Course Totals'!C$4,'[1]import success seats course'!$1:$2,2,FALSE),FALSE)/(VLOOKUP($A210,'[1]import graded seats course pivo'!$A:AA,HLOOKUP('[1]Course Totals'!C$4,'[1]import graded seats course pivo'!$1:$2,2,FALSE),FALSE))),"")</f>
        <v/>
      </c>
      <c r="D210" s="14" t="str">
        <f>IFERROR((VLOOKUP($A210,'[1]import success seats course'!$A:R,HLOOKUP('[1]Course Totals'!D$4,'[1]import success seats course'!$1:$2,2,FALSE),FALSE)/(VLOOKUP($A210,'[1]import graded seats course pivo'!$A:AB,HLOOKUP('[1]Course Totals'!D$4,'[1]import graded seats course pivo'!$1:$2,2,FALSE),FALSE))),"")</f>
        <v/>
      </c>
      <c r="E210" s="14" t="str">
        <f>IFERROR((VLOOKUP($A210,'[1]import success seats course'!$A:S,HLOOKUP('[1]Course Totals'!E$4,'[1]import success seats course'!$1:$2,2,FALSE),FALSE)/(VLOOKUP($A210,'[1]import graded seats course pivo'!$A:AC,HLOOKUP('[1]Course Totals'!E$4,'[1]import graded seats course pivo'!$1:$2,2,FALSE),FALSE))),"")</f>
        <v/>
      </c>
      <c r="F210" s="14" t="str">
        <f>IFERROR((VLOOKUP($A210,'[1]import success seats course'!$A:T,HLOOKUP('[1]Course Totals'!F$4,'[1]import success seats course'!$1:$2,2,FALSE),FALSE)/(VLOOKUP($A210,'[1]import graded seats course pivo'!$A:AD,HLOOKUP('[1]Course Totals'!F$4,'[1]import graded seats course pivo'!$1:$2,2,FALSE),FALSE))),"")</f>
        <v/>
      </c>
      <c r="G210" s="14" t="str">
        <f>IFERROR((VLOOKUP($A210,'[1]import success seats course'!$A:U,HLOOKUP('[1]Course Totals'!G$4,'[1]import success seats course'!$1:$2,2,FALSE),FALSE)/(VLOOKUP($A210,'[1]import graded seats course pivo'!$A:AE,HLOOKUP('[1]Course Totals'!G$4,'[1]import graded seats course pivo'!$1:$2,2,FALSE),FALSE))),"")</f>
        <v/>
      </c>
      <c r="H210" s="14" t="str">
        <f>IFERROR((VLOOKUP($A210,'[1]import success seats course'!$A:V,HLOOKUP('[1]Course Totals'!H$4,'[1]import success seats course'!$1:$2,2,FALSE),FALSE)/(VLOOKUP($A210,'[1]import graded seats course pivo'!$A:AF,HLOOKUP('[1]Course Totals'!H$4,'[1]import graded seats course pivo'!$1:$2,2,FALSE),FALSE))),"")</f>
        <v/>
      </c>
      <c r="I210" s="14" t="str">
        <f>IFERROR((VLOOKUP($A210,'[1]import success seats course'!$A:W,HLOOKUP('[1]Course Totals'!I$4,'[1]import success seats course'!$1:$2,2,FALSE),FALSE)/(VLOOKUP($A210,'[1]import graded seats course pivo'!$A:AG,HLOOKUP('[1]Course Totals'!I$4,'[1]import graded seats course pivo'!$1:$2,2,FALSE),FALSE))),"")</f>
        <v/>
      </c>
      <c r="J210" s="14" t="str">
        <f>IFERROR((VLOOKUP($A210,'[1]import success seats course'!$A:X,HLOOKUP('[1]Course Totals'!J$4,'[1]import success seats course'!$1:$2,2,FALSE),FALSE)/(VLOOKUP($A210,'[1]import graded seats course pivo'!$A:AH,HLOOKUP('[1]Course Totals'!J$4,'[1]import graded seats course pivo'!$1:$2,2,FALSE),FALSE))),"")</f>
        <v/>
      </c>
      <c r="K210" s="14" t="str">
        <f>IFERROR((VLOOKUP($A210,'[1]import success seats course'!$A:Y,HLOOKUP('[1]Course Totals'!K$4,'[1]import success seats course'!$1:$2,2,FALSE),FALSE)/(VLOOKUP($A210,'[1]import graded seats course pivo'!$A:AI,HLOOKUP('[1]Course Totals'!K$4,'[1]import graded seats course pivo'!$1:$2,2,FALSE),FALSE))),"")</f>
        <v/>
      </c>
      <c r="L210" s="14" t="str">
        <f>IFERROR((VLOOKUP($A210,'[1]import success seats course'!$A:Z,HLOOKUP('[1]Course Totals'!L$4,'[1]import success seats course'!$1:$2,2,FALSE),FALSE)/(VLOOKUP($A210,'[1]import graded seats course pivo'!$A:AJ,HLOOKUP('[1]Course Totals'!L$4,'[1]import graded seats course pivo'!$1:$2,2,FALSE),FALSE))),"")</f>
        <v/>
      </c>
      <c r="M210" s="14">
        <f>IFERROR((VLOOKUP($A210,'[1]import success seats course'!$A:AA,HLOOKUP('[1]Course Totals'!M$4,'[1]import success seats course'!$1:$2,2,FALSE),FALSE)/(VLOOKUP($A210,'[1]import graded seats course pivo'!$A:AK,HLOOKUP('[1]Course Totals'!M$4,'[1]import graded seats course pivo'!$1:$2,2,FALSE),FALSE))),"")</f>
        <v>0.8571428571428571</v>
      </c>
      <c r="N210" s="14" t="str">
        <f>IFERROR((VLOOKUP($A210,'[1]import success seats course'!$A:AB,HLOOKUP('[1]Course Totals'!N$4,'[1]import success seats course'!$1:$2,2,FALSE),FALSE)/(VLOOKUP($A210,'[1]import graded seats course pivo'!$A:AL,HLOOKUP('[1]Course Totals'!N$4,'[1]import graded seats course pivo'!$1:$2,2,FALSE),FALSE))),"")</f>
        <v/>
      </c>
      <c r="O210" s="14" t="str">
        <f>IFERROR((VLOOKUP($A210,'[1]import success seats course'!$A:AC,HLOOKUP('[1]Course Totals'!O$4,'[1]import success seats course'!$1:$2,2,FALSE),FALSE)/(VLOOKUP($A210,'[1]import graded seats course pivo'!$A:AM,HLOOKUP('[1]Course Totals'!O$4,'[1]import graded seats course pivo'!$1:$2,2,FALSE),FALSE))),"")</f>
        <v/>
      </c>
      <c r="P210" s="14">
        <f>IFERROR((VLOOKUP($A210,'[1]import success seats course'!$A:AD,HLOOKUP('[1]Course Totals'!P$4,'[1]import success seats course'!$1:$2,2,FALSE),FALSE)/(VLOOKUP($A210,'[1]import graded seats course pivo'!$A:AN,HLOOKUP('[1]Course Totals'!P$4,'[1]import graded seats course pivo'!$1:$2,2,FALSE),FALSE))),"")</f>
        <v>0.8571428571428571</v>
      </c>
      <c r="Q210" s="14" t="str">
        <f>IFERROR((VLOOKUP($A210,'[1]import success seats course'!$A:AE,HLOOKUP('[1]Course Totals'!Q$4,'[1]import success seats course'!$1:$2,2,FALSE),FALSE)/(VLOOKUP($A210,'[1]import graded seats course pivo'!$A:AO,HLOOKUP('[1]Course Totals'!Q$4,'[1]import graded seats course pivo'!$1:$2,2,FALSE),FALSE))),"")</f>
        <v/>
      </c>
      <c r="R210" s="14" t="str">
        <f>IFERROR((VLOOKUP($A210,'[1]import success seats course'!$A:AF,HLOOKUP('[1]Course Totals'!R$4,'[1]import success seats course'!$1:$2,2,FALSE),FALSE)/(VLOOKUP($A210,'[1]import graded seats course pivo'!$A:AP,HLOOKUP('[1]Course Totals'!R$4,'[1]import graded seats course pivo'!$1:$2,2,FALSE),FALSE))),"")</f>
        <v/>
      </c>
      <c r="S210" s="14" t="str">
        <f>IFERROR((VLOOKUP($A210,'[1]import success seats course'!$A:AG,HLOOKUP('[1]Course Totals'!S$4,'[1]import success seats course'!$1:$2,2,FALSE),FALSE)/(VLOOKUP($A210,'[1]import graded seats course pivo'!$A:AQ,HLOOKUP('[1]Course Totals'!S$4,'[1]import graded seats course pivo'!$1:$2,2,FALSE),FALSE))),"")</f>
        <v/>
      </c>
      <c r="Z210" s="7"/>
      <c r="AA210" s="7"/>
      <c r="AB210" s="7"/>
      <c r="AC210" s="7"/>
    </row>
    <row r="211" spans="1:29" ht="15.75" customHeight="1" x14ac:dyDescent="0.25">
      <c r="A211" s="12" t="s">
        <v>115</v>
      </c>
      <c r="B211" s="14" t="str">
        <f>IFERROR((VLOOKUP($A211,'[1]import success seats course'!$A:P,HLOOKUP('[1]Course Totals'!B$4,'[1]import success seats course'!$1:$2,2,FALSE),FALSE)/(VLOOKUP($A211,'[1]import graded seats course pivo'!$A:Z,HLOOKUP('[1]Course Totals'!B$4,'[1]import graded seats course pivo'!$1:$2,2,FALSE),FALSE))),"")</f>
        <v/>
      </c>
      <c r="C211" s="14" t="str">
        <f>IFERROR((VLOOKUP($A211,'[1]import success seats course'!$A:Q,HLOOKUP('[1]Course Totals'!C$4,'[1]import success seats course'!$1:$2,2,FALSE),FALSE)/(VLOOKUP($A211,'[1]import graded seats course pivo'!$A:AA,HLOOKUP('[1]Course Totals'!C$4,'[1]import graded seats course pivo'!$1:$2,2,FALSE),FALSE))),"")</f>
        <v/>
      </c>
      <c r="D211" s="14" t="str">
        <f>IFERROR((VLOOKUP($A211,'[1]import success seats course'!$A:R,HLOOKUP('[1]Course Totals'!D$4,'[1]import success seats course'!$1:$2,2,FALSE),FALSE)/(VLOOKUP($A211,'[1]import graded seats course pivo'!$A:AB,HLOOKUP('[1]Course Totals'!D$4,'[1]import graded seats course pivo'!$1:$2,2,FALSE),FALSE))),"")</f>
        <v/>
      </c>
      <c r="E211" s="14" t="str">
        <f>IFERROR((VLOOKUP($A211,'[1]import success seats course'!$A:S,HLOOKUP('[1]Course Totals'!E$4,'[1]import success seats course'!$1:$2,2,FALSE),FALSE)/(VLOOKUP($A211,'[1]import graded seats course pivo'!$A:AC,HLOOKUP('[1]Course Totals'!E$4,'[1]import graded seats course pivo'!$1:$2,2,FALSE),FALSE))),"")</f>
        <v/>
      </c>
      <c r="F211" s="14" t="str">
        <f>IFERROR((VLOOKUP($A211,'[1]import success seats course'!$A:T,HLOOKUP('[1]Course Totals'!F$4,'[1]import success seats course'!$1:$2,2,FALSE),FALSE)/(VLOOKUP($A211,'[1]import graded seats course pivo'!$A:AD,HLOOKUP('[1]Course Totals'!F$4,'[1]import graded seats course pivo'!$1:$2,2,FALSE),FALSE))),"")</f>
        <v/>
      </c>
      <c r="G211" s="14" t="str">
        <f>IFERROR((VLOOKUP($A211,'[1]import success seats course'!$A:U,HLOOKUP('[1]Course Totals'!G$4,'[1]import success seats course'!$1:$2,2,FALSE),FALSE)/(VLOOKUP($A211,'[1]import graded seats course pivo'!$A:AE,HLOOKUP('[1]Course Totals'!G$4,'[1]import graded seats course pivo'!$1:$2,2,FALSE),FALSE))),"")</f>
        <v/>
      </c>
      <c r="H211" s="14" t="str">
        <f>IFERROR((VLOOKUP($A211,'[1]import success seats course'!$A:V,HLOOKUP('[1]Course Totals'!H$4,'[1]import success seats course'!$1:$2,2,FALSE),FALSE)/(VLOOKUP($A211,'[1]import graded seats course pivo'!$A:AF,HLOOKUP('[1]Course Totals'!H$4,'[1]import graded seats course pivo'!$1:$2,2,FALSE),FALSE))),"")</f>
        <v/>
      </c>
      <c r="I211" s="14" t="str">
        <f>IFERROR((VLOOKUP($A211,'[1]import success seats course'!$A:W,HLOOKUP('[1]Course Totals'!I$4,'[1]import success seats course'!$1:$2,2,FALSE),FALSE)/(VLOOKUP($A211,'[1]import graded seats course pivo'!$A:AG,HLOOKUP('[1]Course Totals'!I$4,'[1]import graded seats course pivo'!$1:$2,2,FALSE),FALSE))),"")</f>
        <v/>
      </c>
      <c r="J211" s="14">
        <f>IFERROR((VLOOKUP($A211,'[1]import success seats course'!$A:X,HLOOKUP('[1]Course Totals'!J$4,'[1]import success seats course'!$1:$2,2,FALSE),FALSE)/(VLOOKUP($A211,'[1]import graded seats course pivo'!$A:AH,HLOOKUP('[1]Course Totals'!J$4,'[1]import graded seats course pivo'!$1:$2,2,FALSE),FALSE))),"")</f>
        <v>0.64516129032258063</v>
      </c>
      <c r="K211" s="14" t="str">
        <f>IFERROR((VLOOKUP($A211,'[1]import success seats course'!$A:Y,HLOOKUP('[1]Course Totals'!K$4,'[1]import success seats course'!$1:$2,2,FALSE),FALSE)/(VLOOKUP($A211,'[1]import graded seats course pivo'!$A:AI,HLOOKUP('[1]Course Totals'!K$4,'[1]import graded seats course pivo'!$1:$2,2,FALSE),FALSE))),"")</f>
        <v/>
      </c>
      <c r="L211" s="14" t="str">
        <f>IFERROR((VLOOKUP($A211,'[1]import success seats course'!$A:Z,HLOOKUP('[1]Course Totals'!L$4,'[1]import success seats course'!$1:$2,2,FALSE),FALSE)/(VLOOKUP($A211,'[1]import graded seats course pivo'!$A:AJ,HLOOKUP('[1]Course Totals'!L$4,'[1]import graded seats course pivo'!$1:$2,2,FALSE),FALSE))),"")</f>
        <v/>
      </c>
      <c r="M211" s="14">
        <f>IFERROR((VLOOKUP($A211,'[1]import success seats course'!$A:AA,HLOOKUP('[1]Course Totals'!M$4,'[1]import success seats course'!$1:$2,2,FALSE),FALSE)/(VLOOKUP($A211,'[1]import graded seats course pivo'!$A:AK,HLOOKUP('[1]Course Totals'!M$4,'[1]import graded seats course pivo'!$1:$2,2,FALSE),FALSE))),"")</f>
        <v>0.6</v>
      </c>
      <c r="N211" s="14" t="str">
        <f>IFERROR((VLOOKUP($A211,'[1]import success seats course'!$A:AB,HLOOKUP('[1]Course Totals'!N$4,'[1]import success seats course'!$1:$2,2,FALSE),FALSE)/(VLOOKUP($A211,'[1]import graded seats course pivo'!$A:AL,HLOOKUP('[1]Course Totals'!N$4,'[1]import graded seats course pivo'!$1:$2,2,FALSE),FALSE))),"")</f>
        <v/>
      </c>
      <c r="O211" s="14" t="str">
        <f>IFERROR((VLOOKUP($A211,'[1]import success seats course'!$A:AC,HLOOKUP('[1]Course Totals'!O$4,'[1]import success seats course'!$1:$2,2,FALSE),FALSE)/(VLOOKUP($A211,'[1]import graded seats course pivo'!$A:AM,HLOOKUP('[1]Course Totals'!O$4,'[1]import graded seats course pivo'!$1:$2,2,FALSE),FALSE))),"")</f>
        <v/>
      </c>
      <c r="P211" s="14">
        <f>IFERROR((VLOOKUP($A211,'[1]import success seats course'!$A:AD,HLOOKUP('[1]Course Totals'!P$4,'[1]import success seats course'!$1:$2,2,FALSE),FALSE)/(VLOOKUP($A211,'[1]import graded seats course pivo'!$A:AN,HLOOKUP('[1]Course Totals'!P$4,'[1]import graded seats course pivo'!$1:$2,2,FALSE),FALSE))),"")</f>
        <v>0.97142857142857142</v>
      </c>
      <c r="Q211" s="14" t="str">
        <f>IFERROR((VLOOKUP($A211,'[1]import success seats course'!$A:AE,HLOOKUP('[1]Course Totals'!Q$4,'[1]import success seats course'!$1:$2,2,FALSE),FALSE)/(VLOOKUP($A211,'[1]import graded seats course pivo'!$A:AO,HLOOKUP('[1]Course Totals'!Q$4,'[1]import graded seats course pivo'!$1:$2,2,FALSE),FALSE))),"")</f>
        <v/>
      </c>
      <c r="R211" s="14" t="str">
        <f>IFERROR((VLOOKUP($A211,'[1]import success seats course'!$A:AF,HLOOKUP('[1]Course Totals'!R$4,'[1]import success seats course'!$1:$2,2,FALSE),FALSE)/(VLOOKUP($A211,'[1]import graded seats course pivo'!$A:AP,HLOOKUP('[1]Course Totals'!R$4,'[1]import graded seats course pivo'!$1:$2,2,FALSE),FALSE))),"")</f>
        <v/>
      </c>
      <c r="S211" s="14" t="str">
        <f>IFERROR((VLOOKUP($A211,'[1]import success seats course'!$A:AG,HLOOKUP('[1]Course Totals'!S$4,'[1]import success seats course'!$1:$2,2,FALSE),FALSE)/(VLOOKUP($A211,'[1]import graded seats course pivo'!$A:AQ,HLOOKUP('[1]Course Totals'!S$4,'[1]import graded seats course pivo'!$1:$2,2,FALSE),FALSE))),"")</f>
        <v/>
      </c>
      <c r="Z211" s="7"/>
      <c r="AA211" s="7"/>
      <c r="AB211" s="7"/>
      <c r="AC211" s="7"/>
    </row>
    <row r="212" spans="1:29" ht="15.75" customHeight="1" x14ac:dyDescent="0.25">
      <c r="A212" s="12" t="s">
        <v>116</v>
      </c>
      <c r="B212" s="14" t="str">
        <f>IFERROR((VLOOKUP($A212,'[1]import success seats course'!$A:P,HLOOKUP('[1]Course Totals'!B$4,'[1]import success seats course'!$1:$2,2,FALSE),FALSE)/(VLOOKUP($A212,'[1]import graded seats course pivo'!$A:Z,HLOOKUP('[1]Course Totals'!B$4,'[1]import graded seats course pivo'!$1:$2,2,FALSE),FALSE))),"")</f>
        <v/>
      </c>
      <c r="C212" s="14">
        <f>IFERROR((VLOOKUP($A212,'[1]import success seats course'!$A:Q,HLOOKUP('[1]Course Totals'!C$4,'[1]import success seats course'!$1:$2,2,FALSE),FALSE)/(VLOOKUP($A212,'[1]import graded seats course pivo'!$A:AA,HLOOKUP('[1]Course Totals'!C$4,'[1]import graded seats course pivo'!$1:$2,2,FALSE),FALSE))),"")</f>
        <v>0.65789473684210531</v>
      </c>
      <c r="D212" s="14">
        <f>IFERROR((VLOOKUP($A212,'[1]import success seats course'!$A:R,HLOOKUP('[1]Course Totals'!D$4,'[1]import success seats course'!$1:$2,2,FALSE),FALSE)/(VLOOKUP($A212,'[1]import graded seats course pivo'!$A:AB,HLOOKUP('[1]Course Totals'!D$4,'[1]import graded seats course pivo'!$1:$2,2,FALSE),FALSE))),"")</f>
        <v>0.8571428571428571</v>
      </c>
      <c r="E212" s="14" t="str">
        <f>IFERROR((VLOOKUP($A212,'[1]import success seats course'!$A:S,HLOOKUP('[1]Course Totals'!E$4,'[1]import success seats course'!$1:$2,2,FALSE),FALSE)/(VLOOKUP($A212,'[1]import graded seats course pivo'!$A:AC,HLOOKUP('[1]Course Totals'!E$4,'[1]import graded seats course pivo'!$1:$2,2,FALSE),FALSE))),"")</f>
        <v/>
      </c>
      <c r="F212" s="14">
        <f>IFERROR((VLOOKUP($A212,'[1]import success seats course'!$A:T,HLOOKUP('[1]Course Totals'!F$4,'[1]import success seats course'!$1:$2,2,FALSE),FALSE)/(VLOOKUP($A212,'[1]import graded seats course pivo'!$A:AD,HLOOKUP('[1]Course Totals'!F$4,'[1]import graded seats course pivo'!$1:$2,2,FALSE),FALSE))),"")</f>
        <v>0.75</v>
      </c>
      <c r="G212" s="14" t="str">
        <f>IFERROR((VLOOKUP($A212,'[1]import success seats course'!$A:U,HLOOKUP('[1]Course Totals'!G$4,'[1]import success seats course'!$1:$2,2,FALSE),FALSE)/(VLOOKUP($A212,'[1]import graded seats course pivo'!$A:AE,HLOOKUP('[1]Course Totals'!G$4,'[1]import graded seats course pivo'!$1:$2,2,FALSE),FALSE))),"")</f>
        <v/>
      </c>
      <c r="H212" s="14" t="str">
        <f>IFERROR((VLOOKUP($A212,'[1]import success seats course'!$A:V,HLOOKUP('[1]Course Totals'!H$4,'[1]import success seats course'!$1:$2,2,FALSE),FALSE)/(VLOOKUP($A212,'[1]import graded seats course pivo'!$A:AF,HLOOKUP('[1]Course Totals'!H$4,'[1]import graded seats course pivo'!$1:$2,2,FALSE),FALSE))),"")</f>
        <v/>
      </c>
      <c r="I212" s="14">
        <f>IFERROR((VLOOKUP($A212,'[1]import success seats course'!$A:W,HLOOKUP('[1]Course Totals'!I$4,'[1]import success seats course'!$1:$2,2,FALSE),FALSE)/(VLOOKUP($A212,'[1]import graded seats course pivo'!$A:AG,HLOOKUP('[1]Course Totals'!I$4,'[1]import graded seats course pivo'!$1:$2,2,FALSE),FALSE))),"")</f>
        <v>0.84615384615384615</v>
      </c>
      <c r="J212" s="14">
        <f>IFERROR((VLOOKUP($A212,'[1]import success seats course'!$A:X,HLOOKUP('[1]Course Totals'!J$4,'[1]import success seats course'!$1:$2,2,FALSE),FALSE)/(VLOOKUP($A212,'[1]import graded seats course pivo'!$A:AH,HLOOKUP('[1]Course Totals'!J$4,'[1]import graded seats course pivo'!$1:$2,2,FALSE),FALSE))),"")</f>
        <v>0.80645161290322576</v>
      </c>
      <c r="K212" s="14" t="str">
        <f>IFERROR((VLOOKUP($A212,'[1]import success seats course'!$A:Y,HLOOKUP('[1]Course Totals'!K$4,'[1]import success seats course'!$1:$2,2,FALSE),FALSE)/(VLOOKUP($A212,'[1]import graded seats course pivo'!$A:AI,HLOOKUP('[1]Course Totals'!K$4,'[1]import graded seats course pivo'!$1:$2,2,FALSE),FALSE))),"")</f>
        <v/>
      </c>
      <c r="L212" s="14">
        <f>IFERROR((VLOOKUP($A212,'[1]import success seats course'!$A:Z,HLOOKUP('[1]Course Totals'!L$4,'[1]import success seats course'!$1:$2,2,FALSE),FALSE)/(VLOOKUP($A212,'[1]import graded seats course pivo'!$A:AJ,HLOOKUP('[1]Course Totals'!L$4,'[1]import graded seats course pivo'!$1:$2,2,FALSE),FALSE))),"")</f>
        <v>0.875</v>
      </c>
      <c r="M212" s="14">
        <f>IFERROR((VLOOKUP($A212,'[1]import success seats course'!$A:AA,HLOOKUP('[1]Course Totals'!M$4,'[1]import success seats course'!$1:$2,2,FALSE),FALSE)/(VLOOKUP($A212,'[1]import graded seats course pivo'!$A:AK,HLOOKUP('[1]Course Totals'!M$4,'[1]import graded seats course pivo'!$1:$2,2,FALSE),FALSE))),"")</f>
        <v>0.76666666666666672</v>
      </c>
      <c r="N212" s="14" t="str">
        <f>IFERROR((VLOOKUP($A212,'[1]import success seats course'!$A:AB,HLOOKUP('[1]Course Totals'!N$4,'[1]import success seats course'!$1:$2,2,FALSE),FALSE)/(VLOOKUP($A212,'[1]import graded seats course pivo'!$A:AL,HLOOKUP('[1]Course Totals'!N$4,'[1]import graded seats course pivo'!$1:$2,2,FALSE),FALSE))),"")</f>
        <v/>
      </c>
      <c r="O212" s="14" t="str">
        <f>IFERROR((VLOOKUP($A212,'[1]import success seats course'!$A:AC,HLOOKUP('[1]Course Totals'!O$4,'[1]import success seats course'!$1:$2,2,FALSE),FALSE)/(VLOOKUP($A212,'[1]import graded seats course pivo'!$A:AM,HLOOKUP('[1]Course Totals'!O$4,'[1]import graded seats course pivo'!$1:$2,2,FALSE),FALSE))),"")</f>
        <v/>
      </c>
      <c r="P212" s="14" t="str">
        <f>IFERROR((VLOOKUP($A212,'[1]import success seats course'!$A:AD,HLOOKUP('[1]Course Totals'!P$4,'[1]import success seats course'!$1:$2,2,FALSE),FALSE)/(VLOOKUP($A212,'[1]import graded seats course pivo'!$A:AN,HLOOKUP('[1]Course Totals'!P$4,'[1]import graded seats course pivo'!$1:$2,2,FALSE),FALSE))),"")</f>
        <v/>
      </c>
      <c r="Q212" s="14" t="str">
        <f>IFERROR((VLOOKUP($A212,'[1]import success seats course'!$A:AE,HLOOKUP('[1]Course Totals'!Q$4,'[1]import success seats course'!$1:$2,2,FALSE),FALSE)/(VLOOKUP($A212,'[1]import graded seats course pivo'!$A:AO,HLOOKUP('[1]Course Totals'!Q$4,'[1]import graded seats course pivo'!$1:$2,2,FALSE),FALSE))),"")</f>
        <v/>
      </c>
      <c r="R212" s="14" t="str">
        <f>IFERROR((VLOOKUP($A212,'[1]import success seats course'!$A:AF,HLOOKUP('[1]Course Totals'!R$4,'[1]import success seats course'!$1:$2,2,FALSE),FALSE)/(VLOOKUP($A212,'[1]import graded seats course pivo'!$A:AP,HLOOKUP('[1]Course Totals'!R$4,'[1]import graded seats course pivo'!$1:$2,2,FALSE),FALSE))),"")</f>
        <v/>
      </c>
      <c r="S212" s="14" t="str">
        <f>IFERROR((VLOOKUP($A212,'[1]import success seats course'!$A:AG,HLOOKUP('[1]Course Totals'!S$4,'[1]import success seats course'!$1:$2,2,FALSE),FALSE)/(VLOOKUP($A212,'[1]import graded seats course pivo'!$A:AQ,HLOOKUP('[1]Course Totals'!S$4,'[1]import graded seats course pivo'!$1:$2,2,FALSE),FALSE))),"")</f>
        <v/>
      </c>
      <c r="Z212" s="7"/>
      <c r="AA212" s="7"/>
      <c r="AB212" s="7"/>
      <c r="AC212" s="7"/>
    </row>
    <row r="213" spans="1:29" ht="15.75" customHeight="1" x14ac:dyDescent="0.25">
      <c r="A213" s="12" t="s">
        <v>117</v>
      </c>
      <c r="B213" s="14" t="str">
        <f>IFERROR((VLOOKUP($A213,'[1]import success seats course'!$A:P,HLOOKUP('[1]Course Totals'!B$4,'[1]import success seats course'!$1:$2,2,FALSE),FALSE)/(VLOOKUP($A213,'[1]import graded seats course pivo'!$A:Z,HLOOKUP('[1]Course Totals'!B$4,'[1]import graded seats course pivo'!$1:$2,2,FALSE),FALSE))),"")</f>
        <v/>
      </c>
      <c r="C213" s="14">
        <f>IFERROR((VLOOKUP($A213,'[1]import success seats course'!$A:Q,HLOOKUP('[1]Course Totals'!C$4,'[1]import success seats course'!$1:$2,2,FALSE),FALSE)/(VLOOKUP($A213,'[1]import graded seats course pivo'!$A:AA,HLOOKUP('[1]Course Totals'!C$4,'[1]import graded seats course pivo'!$1:$2,2,FALSE),FALSE))),"")</f>
        <v>1</v>
      </c>
      <c r="D213" s="14">
        <f>IFERROR((VLOOKUP($A213,'[1]import success seats course'!$A:R,HLOOKUP('[1]Course Totals'!D$4,'[1]import success seats course'!$1:$2,2,FALSE),FALSE)/(VLOOKUP($A213,'[1]import graded seats course pivo'!$A:AB,HLOOKUP('[1]Course Totals'!D$4,'[1]import graded seats course pivo'!$1:$2,2,FALSE),FALSE))),"")</f>
        <v>0.66666666666666663</v>
      </c>
      <c r="E213" s="14" t="str">
        <f>IFERROR((VLOOKUP($A213,'[1]import success seats course'!$A:S,HLOOKUP('[1]Course Totals'!E$4,'[1]import success seats course'!$1:$2,2,FALSE),FALSE)/(VLOOKUP($A213,'[1]import graded seats course pivo'!$A:AC,HLOOKUP('[1]Course Totals'!E$4,'[1]import graded seats course pivo'!$1:$2,2,FALSE),FALSE))),"")</f>
        <v/>
      </c>
      <c r="F213" s="14">
        <f>IFERROR((VLOOKUP($A213,'[1]import success seats course'!$A:T,HLOOKUP('[1]Course Totals'!F$4,'[1]import success seats course'!$1:$2,2,FALSE),FALSE)/(VLOOKUP($A213,'[1]import graded seats course pivo'!$A:AD,HLOOKUP('[1]Course Totals'!F$4,'[1]import graded seats course pivo'!$1:$2,2,FALSE),FALSE))),"")</f>
        <v>0</v>
      </c>
      <c r="G213" s="14" t="str">
        <f>IFERROR((VLOOKUP($A213,'[1]import success seats course'!$A:U,HLOOKUP('[1]Course Totals'!G$4,'[1]import success seats course'!$1:$2,2,FALSE),FALSE)/(VLOOKUP($A213,'[1]import graded seats course pivo'!$A:AE,HLOOKUP('[1]Course Totals'!G$4,'[1]import graded seats course pivo'!$1:$2,2,FALSE),FALSE))),"")</f>
        <v/>
      </c>
      <c r="H213" s="14" t="str">
        <f>IFERROR((VLOOKUP($A213,'[1]import success seats course'!$A:V,HLOOKUP('[1]Course Totals'!H$4,'[1]import success seats course'!$1:$2,2,FALSE),FALSE)/(VLOOKUP($A213,'[1]import graded seats course pivo'!$A:AF,HLOOKUP('[1]Course Totals'!H$4,'[1]import graded seats course pivo'!$1:$2,2,FALSE),FALSE))),"")</f>
        <v/>
      </c>
      <c r="I213" s="14" t="str">
        <f>IFERROR((VLOOKUP($A213,'[1]import success seats course'!$A:W,HLOOKUP('[1]Course Totals'!I$4,'[1]import success seats course'!$1:$2,2,FALSE),FALSE)/(VLOOKUP($A213,'[1]import graded seats course pivo'!$A:AG,HLOOKUP('[1]Course Totals'!I$4,'[1]import graded seats course pivo'!$1:$2,2,FALSE),FALSE))),"")</f>
        <v/>
      </c>
      <c r="J213" s="14" t="str">
        <f>IFERROR((VLOOKUP($A213,'[1]import success seats course'!$A:X,HLOOKUP('[1]Course Totals'!J$4,'[1]import success seats course'!$1:$2,2,FALSE),FALSE)/(VLOOKUP($A213,'[1]import graded seats course pivo'!$A:AH,HLOOKUP('[1]Course Totals'!J$4,'[1]import graded seats course pivo'!$1:$2,2,FALSE),FALSE))),"")</f>
        <v/>
      </c>
      <c r="K213" s="14" t="str">
        <f>IFERROR((VLOOKUP($A213,'[1]import success seats course'!$A:Y,HLOOKUP('[1]Course Totals'!K$4,'[1]import success seats course'!$1:$2,2,FALSE),FALSE)/(VLOOKUP($A213,'[1]import graded seats course pivo'!$A:AI,HLOOKUP('[1]Course Totals'!K$4,'[1]import graded seats course pivo'!$1:$2,2,FALSE),FALSE))),"")</f>
        <v/>
      </c>
      <c r="L213" s="14" t="str">
        <f>IFERROR((VLOOKUP($A213,'[1]import success seats course'!$A:Z,HLOOKUP('[1]Course Totals'!L$4,'[1]import success seats course'!$1:$2,2,FALSE),FALSE)/(VLOOKUP($A213,'[1]import graded seats course pivo'!$A:AJ,HLOOKUP('[1]Course Totals'!L$4,'[1]import graded seats course pivo'!$1:$2,2,FALSE),FALSE))),"")</f>
        <v/>
      </c>
      <c r="M213" s="14" t="str">
        <f>IFERROR((VLOOKUP($A213,'[1]import success seats course'!$A:AA,HLOOKUP('[1]Course Totals'!M$4,'[1]import success seats course'!$1:$2,2,FALSE),FALSE)/(VLOOKUP($A213,'[1]import graded seats course pivo'!$A:AK,HLOOKUP('[1]Course Totals'!M$4,'[1]import graded seats course pivo'!$1:$2,2,FALSE),FALSE))),"")</f>
        <v/>
      </c>
      <c r="N213" s="14" t="str">
        <f>IFERROR((VLOOKUP($A213,'[1]import success seats course'!$A:AB,HLOOKUP('[1]Course Totals'!N$4,'[1]import success seats course'!$1:$2,2,FALSE),FALSE)/(VLOOKUP($A213,'[1]import graded seats course pivo'!$A:AL,HLOOKUP('[1]Course Totals'!N$4,'[1]import graded seats course pivo'!$1:$2,2,FALSE),FALSE))),"")</f>
        <v/>
      </c>
      <c r="O213" s="14" t="str">
        <f>IFERROR((VLOOKUP($A213,'[1]import success seats course'!$A:AC,HLOOKUP('[1]Course Totals'!O$4,'[1]import success seats course'!$1:$2,2,FALSE),FALSE)/(VLOOKUP($A213,'[1]import graded seats course pivo'!$A:AM,HLOOKUP('[1]Course Totals'!O$4,'[1]import graded seats course pivo'!$1:$2,2,FALSE),FALSE))),"")</f>
        <v/>
      </c>
      <c r="P213" s="14" t="str">
        <f>IFERROR((VLOOKUP($A213,'[1]import success seats course'!$A:AD,HLOOKUP('[1]Course Totals'!P$4,'[1]import success seats course'!$1:$2,2,FALSE),FALSE)/(VLOOKUP($A213,'[1]import graded seats course pivo'!$A:AN,HLOOKUP('[1]Course Totals'!P$4,'[1]import graded seats course pivo'!$1:$2,2,FALSE),FALSE))),"")</f>
        <v/>
      </c>
      <c r="Q213" s="14" t="str">
        <f>IFERROR((VLOOKUP($A213,'[1]import success seats course'!$A:AE,HLOOKUP('[1]Course Totals'!Q$4,'[1]import success seats course'!$1:$2,2,FALSE),FALSE)/(VLOOKUP($A213,'[1]import graded seats course pivo'!$A:AO,HLOOKUP('[1]Course Totals'!Q$4,'[1]import graded seats course pivo'!$1:$2,2,FALSE),FALSE))),"")</f>
        <v/>
      </c>
      <c r="R213" s="14" t="str">
        <f>IFERROR((VLOOKUP($A213,'[1]import success seats course'!$A:AF,HLOOKUP('[1]Course Totals'!R$4,'[1]import success seats course'!$1:$2,2,FALSE),FALSE)/(VLOOKUP($A213,'[1]import graded seats course pivo'!$A:AP,HLOOKUP('[1]Course Totals'!R$4,'[1]import graded seats course pivo'!$1:$2,2,FALSE),FALSE))),"")</f>
        <v/>
      </c>
      <c r="S213" s="14" t="str">
        <f>IFERROR((VLOOKUP($A213,'[1]import success seats course'!$A:AG,HLOOKUP('[1]Course Totals'!S$4,'[1]import success seats course'!$1:$2,2,FALSE),FALSE)/(VLOOKUP($A213,'[1]import graded seats course pivo'!$A:AQ,HLOOKUP('[1]Course Totals'!S$4,'[1]import graded seats course pivo'!$1:$2,2,FALSE),FALSE))),"")</f>
        <v/>
      </c>
      <c r="Z213" s="7"/>
      <c r="AA213" s="7"/>
      <c r="AB213" s="7"/>
      <c r="AC213" s="7"/>
    </row>
    <row r="214" spans="1:29" ht="15.75" customHeight="1" x14ac:dyDescent="0.25">
      <c r="A214" s="12" t="s">
        <v>118</v>
      </c>
      <c r="B214" s="14" t="str">
        <f>IFERROR((VLOOKUP($A214,'[1]import success seats course'!$A:P,HLOOKUP('[1]Course Totals'!B$4,'[1]import success seats course'!$1:$2,2,FALSE),FALSE)/(VLOOKUP($A214,'[1]import graded seats course pivo'!$A:Z,HLOOKUP('[1]Course Totals'!B$4,'[1]import graded seats course pivo'!$1:$2,2,FALSE),FALSE))),"")</f>
        <v/>
      </c>
      <c r="C214" s="14">
        <f>IFERROR((VLOOKUP($A214,'[1]import success seats course'!$A:Q,HLOOKUP('[1]Course Totals'!C$4,'[1]import success seats course'!$1:$2,2,FALSE),FALSE)/(VLOOKUP($A214,'[1]import graded seats course pivo'!$A:AA,HLOOKUP('[1]Course Totals'!C$4,'[1]import graded seats course pivo'!$1:$2,2,FALSE),FALSE))),"")</f>
        <v>0.88888888888888884</v>
      </c>
      <c r="D214" s="14" t="str">
        <f>IFERROR((VLOOKUP($A214,'[1]import success seats course'!$A:R,HLOOKUP('[1]Course Totals'!D$4,'[1]import success seats course'!$1:$2,2,FALSE),FALSE)/(VLOOKUP($A214,'[1]import graded seats course pivo'!$A:AB,HLOOKUP('[1]Course Totals'!D$4,'[1]import graded seats course pivo'!$1:$2,2,FALSE),FALSE))),"")</f>
        <v/>
      </c>
      <c r="E214" s="14" t="str">
        <f>IFERROR((VLOOKUP($A214,'[1]import success seats course'!$A:S,HLOOKUP('[1]Course Totals'!E$4,'[1]import success seats course'!$1:$2,2,FALSE),FALSE)/(VLOOKUP($A214,'[1]import graded seats course pivo'!$A:AC,HLOOKUP('[1]Course Totals'!E$4,'[1]import graded seats course pivo'!$1:$2,2,FALSE),FALSE))),"")</f>
        <v/>
      </c>
      <c r="F214" s="14">
        <f>IFERROR((VLOOKUP($A214,'[1]import success seats course'!$A:T,HLOOKUP('[1]Course Totals'!F$4,'[1]import success seats course'!$1:$2,2,FALSE),FALSE)/(VLOOKUP($A214,'[1]import graded seats course pivo'!$A:AD,HLOOKUP('[1]Course Totals'!F$4,'[1]import graded seats course pivo'!$1:$2,2,FALSE),FALSE))),"")</f>
        <v>0.90625</v>
      </c>
      <c r="G214" s="14" t="str">
        <f>IFERROR((VLOOKUP($A214,'[1]import success seats course'!$A:U,HLOOKUP('[1]Course Totals'!G$4,'[1]import success seats course'!$1:$2,2,FALSE),FALSE)/(VLOOKUP($A214,'[1]import graded seats course pivo'!$A:AE,HLOOKUP('[1]Course Totals'!G$4,'[1]import graded seats course pivo'!$1:$2,2,FALSE),FALSE))),"")</f>
        <v/>
      </c>
      <c r="H214" s="14" t="str">
        <f>IFERROR((VLOOKUP($A214,'[1]import success seats course'!$A:V,HLOOKUP('[1]Course Totals'!H$4,'[1]import success seats course'!$1:$2,2,FALSE),FALSE)/(VLOOKUP($A214,'[1]import graded seats course pivo'!$A:AF,HLOOKUP('[1]Course Totals'!H$4,'[1]import graded seats course pivo'!$1:$2,2,FALSE),FALSE))),"")</f>
        <v/>
      </c>
      <c r="I214" s="14">
        <f>IFERROR((VLOOKUP($A214,'[1]import success seats course'!$A:W,HLOOKUP('[1]Course Totals'!I$4,'[1]import success seats course'!$1:$2,2,FALSE),FALSE)/(VLOOKUP($A214,'[1]import graded seats course pivo'!$A:AG,HLOOKUP('[1]Course Totals'!I$4,'[1]import graded seats course pivo'!$1:$2,2,FALSE),FALSE))),"")</f>
        <v>0.88461538461538458</v>
      </c>
      <c r="J214" s="14" t="str">
        <f>IFERROR((VLOOKUP($A214,'[1]import success seats course'!$A:X,HLOOKUP('[1]Course Totals'!J$4,'[1]import success seats course'!$1:$2,2,FALSE),FALSE)/(VLOOKUP($A214,'[1]import graded seats course pivo'!$A:AH,HLOOKUP('[1]Course Totals'!J$4,'[1]import graded seats course pivo'!$1:$2,2,FALSE),FALSE))),"")</f>
        <v/>
      </c>
      <c r="K214" s="14" t="str">
        <f>IFERROR((VLOOKUP($A214,'[1]import success seats course'!$A:Y,HLOOKUP('[1]Course Totals'!K$4,'[1]import success seats course'!$1:$2,2,FALSE),FALSE)/(VLOOKUP($A214,'[1]import graded seats course pivo'!$A:AI,HLOOKUP('[1]Course Totals'!K$4,'[1]import graded seats course pivo'!$1:$2,2,FALSE),FALSE))),"")</f>
        <v/>
      </c>
      <c r="L214" s="14">
        <f>IFERROR((VLOOKUP($A214,'[1]import success seats course'!$A:Z,HLOOKUP('[1]Course Totals'!L$4,'[1]import success seats course'!$1:$2,2,FALSE),FALSE)/(VLOOKUP($A214,'[1]import graded seats course pivo'!$A:AJ,HLOOKUP('[1]Course Totals'!L$4,'[1]import graded seats course pivo'!$1:$2,2,FALSE),FALSE))),"")</f>
        <v>0.90322580645161288</v>
      </c>
      <c r="M214" s="14" t="str">
        <f>IFERROR((VLOOKUP($A214,'[1]import success seats course'!$A:AA,HLOOKUP('[1]Course Totals'!M$4,'[1]import success seats course'!$1:$2,2,FALSE),FALSE)/(VLOOKUP($A214,'[1]import graded seats course pivo'!$A:AK,HLOOKUP('[1]Course Totals'!M$4,'[1]import graded seats course pivo'!$1:$2,2,FALSE),FALSE))),"")</f>
        <v/>
      </c>
      <c r="N214" s="14" t="str">
        <f>IFERROR((VLOOKUP($A214,'[1]import success seats course'!$A:AB,HLOOKUP('[1]Course Totals'!N$4,'[1]import success seats course'!$1:$2,2,FALSE),FALSE)/(VLOOKUP($A214,'[1]import graded seats course pivo'!$A:AL,HLOOKUP('[1]Course Totals'!N$4,'[1]import graded seats course pivo'!$1:$2,2,FALSE),FALSE))),"")</f>
        <v/>
      </c>
      <c r="O214" s="14">
        <f>IFERROR((VLOOKUP($A214,'[1]import success seats course'!$A:AC,HLOOKUP('[1]Course Totals'!O$4,'[1]import success seats course'!$1:$2,2,FALSE),FALSE)/(VLOOKUP($A214,'[1]import graded seats course pivo'!$A:AM,HLOOKUP('[1]Course Totals'!O$4,'[1]import graded seats course pivo'!$1:$2,2,FALSE),FALSE))),"")</f>
        <v>0.90909090909090906</v>
      </c>
      <c r="P214" s="14" t="str">
        <f>IFERROR((VLOOKUP($A214,'[1]import success seats course'!$A:AD,HLOOKUP('[1]Course Totals'!P$4,'[1]import success seats course'!$1:$2,2,FALSE),FALSE)/(VLOOKUP($A214,'[1]import graded seats course pivo'!$A:AN,HLOOKUP('[1]Course Totals'!P$4,'[1]import graded seats course pivo'!$1:$2,2,FALSE),FALSE))),"")</f>
        <v/>
      </c>
      <c r="Q214" s="14" t="str">
        <f>IFERROR((VLOOKUP($A214,'[1]import success seats course'!$A:AE,HLOOKUP('[1]Course Totals'!Q$4,'[1]import success seats course'!$1:$2,2,FALSE),FALSE)/(VLOOKUP($A214,'[1]import graded seats course pivo'!$A:AO,HLOOKUP('[1]Course Totals'!Q$4,'[1]import graded seats course pivo'!$1:$2,2,FALSE),FALSE))),"")</f>
        <v/>
      </c>
      <c r="R214" s="14" t="str">
        <f>IFERROR((VLOOKUP($A214,'[1]import success seats course'!$A:AF,HLOOKUP('[1]Course Totals'!R$4,'[1]import success seats course'!$1:$2,2,FALSE),FALSE)/(VLOOKUP($A214,'[1]import graded seats course pivo'!$A:AP,HLOOKUP('[1]Course Totals'!R$4,'[1]import graded seats course pivo'!$1:$2,2,FALSE),FALSE))),"")</f>
        <v/>
      </c>
      <c r="S214" s="14" t="str">
        <f>IFERROR((VLOOKUP($A214,'[1]import success seats course'!$A:AG,HLOOKUP('[1]Course Totals'!S$4,'[1]import success seats course'!$1:$2,2,FALSE),FALSE)/(VLOOKUP($A214,'[1]import graded seats course pivo'!$A:AQ,HLOOKUP('[1]Course Totals'!S$4,'[1]import graded seats course pivo'!$1:$2,2,FALSE),FALSE))),"")</f>
        <v/>
      </c>
      <c r="Z214" s="7"/>
      <c r="AA214" s="7"/>
      <c r="AB214" s="7"/>
      <c r="AC214" s="7"/>
    </row>
    <row r="215" spans="1:29" ht="15.75" customHeight="1" x14ac:dyDescent="0.25">
      <c r="A215" s="12" t="s">
        <v>119</v>
      </c>
      <c r="B215" s="14" t="str">
        <f>IFERROR((VLOOKUP($A215,'[1]import success seats course'!$A:P,HLOOKUP('[1]Course Totals'!B$4,'[1]import success seats course'!$1:$2,2,FALSE),FALSE)/(VLOOKUP($A215,'[1]import graded seats course pivo'!$A:Z,HLOOKUP('[1]Course Totals'!B$4,'[1]import graded seats course pivo'!$1:$2,2,FALSE),FALSE))),"")</f>
        <v/>
      </c>
      <c r="C215" s="14">
        <f>IFERROR((VLOOKUP($A215,'[1]import success seats course'!$A:Q,HLOOKUP('[1]Course Totals'!C$4,'[1]import success seats course'!$1:$2,2,FALSE),FALSE)/(VLOOKUP($A215,'[1]import graded seats course pivo'!$A:AA,HLOOKUP('[1]Course Totals'!C$4,'[1]import graded seats course pivo'!$1:$2,2,FALSE),FALSE))),"")</f>
        <v>0.90322580645161288</v>
      </c>
      <c r="D215" s="14" t="str">
        <f>IFERROR((VLOOKUP($A215,'[1]import success seats course'!$A:R,HLOOKUP('[1]Course Totals'!D$4,'[1]import success seats course'!$1:$2,2,FALSE),FALSE)/(VLOOKUP($A215,'[1]import graded seats course pivo'!$A:AB,HLOOKUP('[1]Course Totals'!D$4,'[1]import graded seats course pivo'!$1:$2,2,FALSE),FALSE))),"")</f>
        <v/>
      </c>
      <c r="E215" s="14" t="str">
        <f>IFERROR((VLOOKUP($A215,'[1]import success seats course'!$A:S,HLOOKUP('[1]Course Totals'!E$4,'[1]import success seats course'!$1:$2,2,FALSE),FALSE)/(VLOOKUP($A215,'[1]import graded seats course pivo'!$A:AC,HLOOKUP('[1]Course Totals'!E$4,'[1]import graded seats course pivo'!$1:$2,2,FALSE),FALSE))),"")</f>
        <v/>
      </c>
      <c r="F215" s="14">
        <f>IFERROR((VLOOKUP($A215,'[1]import success seats course'!$A:T,HLOOKUP('[1]Course Totals'!F$4,'[1]import success seats course'!$1:$2,2,FALSE),FALSE)/(VLOOKUP($A215,'[1]import graded seats course pivo'!$A:AD,HLOOKUP('[1]Course Totals'!F$4,'[1]import graded seats course pivo'!$1:$2,2,FALSE),FALSE))),"")</f>
        <v>0.8</v>
      </c>
      <c r="G215" s="14" t="str">
        <f>IFERROR((VLOOKUP($A215,'[1]import success seats course'!$A:U,HLOOKUP('[1]Course Totals'!G$4,'[1]import success seats course'!$1:$2,2,FALSE),FALSE)/(VLOOKUP($A215,'[1]import graded seats course pivo'!$A:AE,HLOOKUP('[1]Course Totals'!G$4,'[1]import graded seats course pivo'!$1:$2,2,FALSE),FALSE))),"")</f>
        <v/>
      </c>
      <c r="H215" s="14" t="str">
        <f>IFERROR((VLOOKUP($A215,'[1]import success seats course'!$A:V,HLOOKUP('[1]Course Totals'!H$4,'[1]import success seats course'!$1:$2,2,FALSE),FALSE)/(VLOOKUP($A215,'[1]import graded seats course pivo'!$A:AF,HLOOKUP('[1]Course Totals'!H$4,'[1]import graded seats course pivo'!$1:$2,2,FALSE),FALSE))),"")</f>
        <v/>
      </c>
      <c r="I215" s="14">
        <f>IFERROR((VLOOKUP($A215,'[1]import success seats course'!$A:W,HLOOKUP('[1]Course Totals'!I$4,'[1]import success seats course'!$1:$2,2,FALSE),FALSE)/(VLOOKUP($A215,'[1]import graded seats course pivo'!$A:AG,HLOOKUP('[1]Course Totals'!I$4,'[1]import graded seats course pivo'!$1:$2,2,FALSE),FALSE))),"")</f>
        <v>0.81818181818181823</v>
      </c>
      <c r="J215" s="14" t="str">
        <f>IFERROR((VLOOKUP($A215,'[1]import success seats course'!$A:X,HLOOKUP('[1]Course Totals'!J$4,'[1]import success seats course'!$1:$2,2,FALSE),FALSE)/(VLOOKUP($A215,'[1]import graded seats course pivo'!$A:AH,HLOOKUP('[1]Course Totals'!J$4,'[1]import graded seats course pivo'!$1:$2,2,FALSE),FALSE))),"")</f>
        <v/>
      </c>
      <c r="K215" s="14" t="str">
        <f>IFERROR((VLOOKUP($A215,'[1]import success seats course'!$A:Y,HLOOKUP('[1]Course Totals'!K$4,'[1]import success seats course'!$1:$2,2,FALSE),FALSE)/(VLOOKUP($A215,'[1]import graded seats course pivo'!$A:AI,HLOOKUP('[1]Course Totals'!K$4,'[1]import graded seats course pivo'!$1:$2,2,FALSE),FALSE))),"")</f>
        <v/>
      </c>
      <c r="L215" s="14" t="str">
        <f>IFERROR((VLOOKUP($A215,'[1]import success seats course'!$A:Z,HLOOKUP('[1]Course Totals'!L$4,'[1]import success seats course'!$1:$2,2,FALSE),FALSE)/(VLOOKUP($A215,'[1]import graded seats course pivo'!$A:AJ,HLOOKUP('[1]Course Totals'!L$4,'[1]import graded seats course pivo'!$1:$2,2,FALSE),FALSE))),"")</f>
        <v/>
      </c>
      <c r="M215" s="14" t="str">
        <f>IFERROR((VLOOKUP($A215,'[1]import success seats course'!$A:AA,HLOOKUP('[1]Course Totals'!M$4,'[1]import success seats course'!$1:$2,2,FALSE),FALSE)/(VLOOKUP($A215,'[1]import graded seats course pivo'!$A:AK,HLOOKUP('[1]Course Totals'!M$4,'[1]import graded seats course pivo'!$1:$2,2,FALSE),FALSE))),"")</f>
        <v/>
      </c>
      <c r="N215" s="14" t="str">
        <f>IFERROR((VLOOKUP($A215,'[1]import success seats course'!$A:AB,HLOOKUP('[1]Course Totals'!N$4,'[1]import success seats course'!$1:$2,2,FALSE),FALSE)/(VLOOKUP($A215,'[1]import graded seats course pivo'!$A:AL,HLOOKUP('[1]Course Totals'!N$4,'[1]import graded seats course pivo'!$1:$2,2,FALSE),FALSE))),"")</f>
        <v/>
      </c>
      <c r="O215" s="14" t="str">
        <f>IFERROR((VLOOKUP($A215,'[1]import success seats course'!$A:AC,HLOOKUP('[1]Course Totals'!O$4,'[1]import success seats course'!$1:$2,2,FALSE),FALSE)/(VLOOKUP($A215,'[1]import graded seats course pivo'!$A:AM,HLOOKUP('[1]Course Totals'!O$4,'[1]import graded seats course pivo'!$1:$2,2,FALSE),FALSE))),"")</f>
        <v/>
      </c>
      <c r="P215" s="14" t="str">
        <f>IFERROR((VLOOKUP($A215,'[1]import success seats course'!$A:AD,HLOOKUP('[1]Course Totals'!P$4,'[1]import success seats course'!$1:$2,2,FALSE),FALSE)/(VLOOKUP($A215,'[1]import graded seats course pivo'!$A:AN,HLOOKUP('[1]Course Totals'!P$4,'[1]import graded seats course pivo'!$1:$2,2,FALSE),FALSE))),"")</f>
        <v/>
      </c>
      <c r="Q215" s="14" t="str">
        <f>IFERROR((VLOOKUP($A215,'[1]import success seats course'!$A:AE,HLOOKUP('[1]Course Totals'!Q$4,'[1]import success seats course'!$1:$2,2,FALSE),FALSE)/(VLOOKUP($A215,'[1]import graded seats course pivo'!$A:AO,HLOOKUP('[1]Course Totals'!Q$4,'[1]import graded seats course pivo'!$1:$2,2,FALSE),FALSE))),"")</f>
        <v/>
      </c>
      <c r="R215" s="14" t="str">
        <f>IFERROR((VLOOKUP($A215,'[1]import success seats course'!$A:AF,HLOOKUP('[1]Course Totals'!R$4,'[1]import success seats course'!$1:$2,2,FALSE),FALSE)/(VLOOKUP($A215,'[1]import graded seats course pivo'!$A:AP,HLOOKUP('[1]Course Totals'!R$4,'[1]import graded seats course pivo'!$1:$2,2,FALSE),FALSE))),"")</f>
        <v/>
      </c>
      <c r="S215" s="14" t="str">
        <f>IFERROR((VLOOKUP($A215,'[1]import success seats course'!$A:AG,HLOOKUP('[1]Course Totals'!S$4,'[1]import success seats course'!$1:$2,2,FALSE),FALSE)/(VLOOKUP($A215,'[1]import graded seats course pivo'!$A:AQ,HLOOKUP('[1]Course Totals'!S$4,'[1]import graded seats course pivo'!$1:$2,2,FALSE),FALSE))),"")</f>
        <v/>
      </c>
      <c r="Z215" s="7"/>
      <c r="AA215" s="7"/>
      <c r="AB215" s="7"/>
      <c r="AC215" s="7"/>
    </row>
    <row r="216" spans="1:29" ht="15.75" customHeight="1" x14ac:dyDescent="0.25">
      <c r="A216" s="12" t="s">
        <v>878</v>
      </c>
      <c r="B216" s="14" t="str">
        <f>IFERROR((VLOOKUP($A216,'[1]import success seats course'!$A:P,HLOOKUP('[1]Course Totals'!B$4,'[1]import success seats course'!$1:$2,2,FALSE),FALSE)/(VLOOKUP($A216,'[1]import graded seats course pivo'!$A:Z,HLOOKUP('[1]Course Totals'!B$4,'[1]import graded seats course pivo'!$1:$2,2,FALSE),FALSE))),"")</f>
        <v/>
      </c>
      <c r="C216" s="14" t="str">
        <f>IFERROR((VLOOKUP($A216,'[1]import success seats course'!$A:Q,HLOOKUP('[1]Course Totals'!C$4,'[1]import success seats course'!$1:$2,2,FALSE),FALSE)/(VLOOKUP($A216,'[1]import graded seats course pivo'!$A:AA,HLOOKUP('[1]Course Totals'!C$4,'[1]import graded seats course pivo'!$1:$2,2,FALSE),FALSE))),"")</f>
        <v/>
      </c>
      <c r="D216" s="14">
        <f>IFERROR((VLOOKUP($A216,'[1]import success seats course'!$A:R,HLOOKUP('[1]Course Totals'!D$4,'[1]import success seats course'!$1:$2,2,FALSE),FALSE)/(VLOOKUP($A216,'[1]import graded seats course pivo'!$A:AB,HLOOKUP('[1]Course Totals'!D$4,'[1]import graded seats course pivo'!$1:$2,2,FALSE),FALSE))),"")</f>
        <v>0.89655172413793105</v>
      </c>
      <c r="E216" s="14" t="str">
        <f>IFERROR((VLOOKUP($A216,'[1]import success seats course'!$A:S,HLOOKUP('[1]Course Totals'!E$4,'[1]import success seats course'!$1:$2,2,FALSE),FALSE)/(VLOOKUP($A216,'[1]import graded seats course pivo'!$A:AC,HLOOKUP('[1]Course Totals'!E$4,'[1]import graded seats course pivo'!$1:$2,2,FALSE),FALSE))),"")</f>
        <v/>
      </c>
      <c r="F216" s="14" t="str">
        <f>IFERROR((VLOOKUP($A216,'[1]import success seats course'!$A:T,HLOOKUP('[1]Course Totals'!F$4,'[1]import success seats course'!$1:$2,2,FALSE),FALSE)/(VLOOKUP($A216,'[1]import graded seats course pivo'!$A:AD,HLOOKUP('[1]Course Totals'!F$4,'[1]import graded seats course pivo'!$1:$2,2,FALSE),FALSE))),"")</f>
        <v/>
      </c>
      <c r="G216" s="14">
        <f>IFERROR((VLOOKUP($A216,'[1]import success seats course'!$A:U,HLOOKUP('[1]Course Totals'!G$4,'[1]import success seats course'!$1:$2,2,FALSE),FALSE)/(VLOOKUP($A216,'[1]import graded seats course pivo'!$A:AE,HLOOKUP('[1]Course Totals'!G$4,'[1]import graded seats course pivo'!$1:$2,2,FALSE),FALSE))),"")</f>
        <v>0.87878787878787878</v>
      </c>
      <c r="H216" s="14" t="str">
        <f>IFERROR((VLOOKUP($A216,'[1]import success seats course'!$A:V,HLOOKUP('[1]Course Totals'!H$4,'[1]import success seats course'!$1:$2,2,FALSE),FALSE)/(VLOOKUP($A216,'[1]import graded seats course pivo'!$A:AF,HLOOKUP('[1]Course Totals'!H$4,'[1]import graded seats course pivo'!$1:$2,2,FALSE),FALSE))),"")</f>
        <v/>
      </c>
      <c r="I216" s="14" t="str">
        <f>IFERROR((VLOOKUP($A216,'[1]import success seats course'!$A:W,HLOOKUP('[1]Course Totals'!I$4,'[1]import success seats course'!$1:$2,2,FALSE),FALSE)/(VLOOKUP($A216,'[1]import graded seats course pivo'!$A:AG,HLOOKUP('[1]Course Totals'!I$4,'[1]import graded seats course pivo'!$1:$2,2,FALSE),FALSE))),"")</f>
        <v/>
      </c>
      <c r="J216" s="14">
        <f>IFERROR((VLOOKUP($A216,'[1]import success seats course'!$A:X,HLOOKUP('[1]Course Totals'!J$4,'[1]import success seats course'!$1:$2,2,FALSE),FALSE)/(VLOOKUP($A216,'[1]import graded seats course pivo'!$A:AH,HLOOKUP('[1]Course Totals'!J$4,'[1]import graded seats course pivo'!$1:$2,2,FALSE),FALSE))),"")</f>
        <v>0.94736842105263153</v>
      </c>
      <c r="K216" s="14" t="str">
        <f>IFERROR((VLOOKUP($A216,'[1]import success seats course'!$A:Y,HLOOKUP('[1]Course Totals'!K$4,'[1]import success seats course'!$1:$2,2,FALSE),FALSE)/(VLOOKUP($A216,'[1]import graded seats course pivo'!$A:AI,HLOOKUP('[1]Course Totals'!K$4,'[1]import graded seats course pivo'!$1:$2,2,FALSE),FALSE))),"")</f>
        <v/>
      </c>
      <c r="L216" s="14" t="str">
        <f>IFERROR((VLOOKUP($A216,'[1]import success seats course'!$A:Z,HLOOKUP('[1]Course Totals'!L$4,'[1]import success seats course'!$1:$2,2,FALSE),FALSE)/(VLOOKUP($A216,'[1]import graded seats course pivo'!$A:AJ,HLOOKUP('[1]Course Totals'!L$4,'[1]import graded seats course pivo'!$1:$2,2,FALSE),FALSE))),"")</f>
        <v/>
      </c>
      <c r="M216" s="14">
        <f>IFERROR((VLOOKUP($A216,'[1]import success seats course'!$A:AA,HLOOKUP('[1]Course Totals'!M$4,'[1]import success seats course'!$1:$2,2,FALSE),FALSE)/(VLOOKUP($A216,'[1]import graded seats course pivo'!$A:AK,HLOOKUP('[1]Course Totals'!M$4,'[1]import graded seats course pivo'!$1:$2,2,FALSE),FALSE))),"")</f>
        <v>0.87096774193548387</v>
      </c>
      <c r="N216" s="14" t="str">
        <f>IFERROR((VLOOKUP($A216,'[1]import success seats course'!$A:AB,HLOOKUP('[1]Course Totals'!N$4,'[1]import success seats course'!$1:$2,2,FALSE),FALSE)/(VLOOKUP($A216,'[1]import graded seats course pivo'!$A:AL,HLOOKUP('[1]Course Totals'!N$4,'[1]import graded seats course pivo'!$1:$2,2,FALSE),FALSE))),"")</f>
        <v/>
      </c>
      <c r="O216" s="14" t="str">
        <f>IFERROR((VLOOKUP($A216,'[1]import success seats course'!$A:AC,HLOOKUP('[1]Course Totals'!O$4,'[1]import success seats course'!$1:$2,2,FALSE),FALSE)/(VLOOKUP($A216,'[1]import graded seats course pivo'!$A:AM,HLOOKUP('[1]Course Totals'!O$4,'[1]import graded seats course pivo'!$1:$2,2,FALSE),FALSE))),"")</f>
        <v/>
      </c>
      <c r="P216" s="14">
        <f>IFERROR((VLOOKUP($A216,'[1]import success seats course'!$A:AD,HLOOKUP('[1]Course Totals'!P$4,'[1]import success seats course'!$1:$2,2,FALSE),FALSE)/(VLOOKUP($A216,'[1]import graded seats course pivo'!$A:AN,HLOOKUP('[1]Course Totals'!P$4,'[1]import graded seats course pivo'!$1:$2,2,FALSE),FALSE))),"")</f>
        <v>0.93333333333333335</v>
      </c>
      <c r="Q216" s="14" t="str">
        <f>IFERROR((VLOOKUP($A216,'[1]import success seats course'!$A:AE,HLOOKUP('[1]Course Totals'!Q$4,'[1]import success seats course'!$1:$2,2,FALSE),FALSE)/(VLOOKUP($A216,'[1]import graded seats course pivo'!$A:AO,HLOOKUP('[1]Course Totals'!Q$4,'[1]import graded seats course pivo'!$1:$2,2,FALSE),FALSE))),"")</f>
        <v/>
      </c>
      <c r="R216" s="14">
        <f>IFERROR((VLOOKUP($A216,'[1]import success seats course'!$A:AF,HLOOKUP('[1]Course Totals'!R$4,'[1]import success seats course'!$1:$2,2,FALSE),FALSE)/(VLOOKUP($A216,'[1]import graded seats course pivo'!$A:AP,HLOOKUP('[1]Course Totals'!R$4,'[1]import graded seats course pivo'!$1:$2,2,FALSE),FALSE))),"")</f>
        <v>0.8</v>
      </c>
      <c r="S216" s="14">
        <f>IFERROR((VLOOKUP($A216,'[1]import success seats course'!$A:AG,HLOOKUP('[1]Course Totals'!S$4,'[1]import success seats course'!$1:$2,2,FALSE),FALSE)/(VLOOKUP($A216,'[1]import graded seats course pivo'!$A:AQ,HLOOKUP('[1]Course Totals'!S$4,'[1]import graded seats course pivo'!$1:$2,2,FALSE),FALSE))),"")</f>
        <v>0.97058823529411764</v>
      </c>
      <c r="Z216" s="7"/>
      <c r="AA216" s="7"/>
      <c r="AB216" s="7"/>
      <c r="AC216" s="7"/>
    </row>
    <row r="217" spans="1:29" ht="15.75" customHeight="1" x14ac:dyDescent="0.25">
      <c r="A217" s="12" t="s">
        <v>1007</v>
      </c>
      <c r="B217" s="14" t="str">
        <f>IFERROR((VLOOKUP($A217,'[1]import success seats course'!$A:P,HLOOKUP('[1]Course Totals'!B$4,'[1]import success seats course'!$1:$2,2,FALSE),FALSE)/(VLOOKUP($A217,'[1]import graded seats course pivo'!$A:Z,HLOOKUP('[1]Course Totals'!B$4,'[1]import graded seats course pivo'!$1:$2,2,FALSE),FALSE))),"")</f>
        <v/>
      </c>
      <c r="C217" s="14" t="str">
        <f>IFERROR((VLOOKUP($A217,'[1]import success seats course'!$A:Q,HLOOKUP('[1]Course Totals'!C$4,'[1]import success seats course'!$1:$2,2,FALSE),FALSE)/(VLOOKUP($A217,'[1]import graded seats course pivo'!$A:AA,HLOOKUP('[1]Course Totals'!C$4,'[1]import graded seats course pivo'!$1:$2,2,FALSE),FALSE))),"")</f>
        <v/>
      </c>
      <c r="D217" s="14" t="str">
        <f>IFERROR((VLOOKUP($A217,'[1]import success seats course'!$A:R,HLOOKUP('[1]Course Totals'!D$4,'[1]import success seats course'!$1:$2,2,FALSE),FALSE)/(VLOOKUP($A217,'[1]import graded seats course pivo'!$A:AB,HLOOKUP('[1]Course Totals'!D$4,'[1]import graded seats course pivo'!$1:$2,2,FALSE),FALSE))),"")</f>
        <v/>
      </c>
      <c r="E217" s="14" t="str">
        <f>IFERROR((VLOOKUP($A217,'[1]import success seats course'!$A:S,HLOOKUP('[1]Course Totals'!E$4,'[1]import success seats course'!$1:$2,2,FALSE),FALSE)/(VLOOKUP($A217,'[1]import graded seats course pivo'!$A:AC,HLOOKUP('[1]Course Totals'!E$4,'[1]import graded seats course pivo'!$1:$2,2,FALSE),FALSE))),"")</f>
        <v/>
      </c>
      <c r="F217" s="14" t="str">
        <f>IFERROR((VLOOKUP($A217,'[1]import success seats course'!$A:T,HLOOKUP('[1]Course Totals'!F$4,'[1]import success seats course'!$1:$2,2,FALSE),FALSE)/(VLOOKUP($A217,'[1]import graded seats course pivo'!$A:AD,HLOOKUP('[1]Course Totals'!F$4,'[1]import graded seats course pivo'!$1:$2,2,FALSE),FALSE))),"")</f>
        <v/>
      </c>
      <c r="G217" s="14" t="str">
        <f>IFERROR((VLOOKUP($A217,'[1]import success seats course'!$A:U,HLOOKUP('[1]Course Totals'!G$4,'[1]import success seats course'!$1:$2,2,FALSE),FALSE)/(VLOOKUP($A217,'[1]import graded seats course pivo'!$A:AE,HLOOKUP('[1]Course Totals'!G$4,'[1]import graded seats course pivo'!$1:$2,2,FALSE),FALSE))),"")</f>
        <v/>
      </c>
      <c r="H217" s="14" t="str">
        <f>IFERROR((VLOOKUP($A217,'[1]import success seats course'!$A:V,HLOOKUP('[1]Course Totals'!H$4,'[1]import success seats course'!$1:$2,2,FALSE),FALSE)/(VLOOKUP($A217,'[1]import graded seats course pivo'!$A:AF,HLOOKUP('[1]Course Totals'!H$4,'[1]import graded seats course pivo'!$1:$2,2,FALSE),FALSE))),"")</f>
        <v/>
      </c>
      <c r="I217" s="14" t="str">
        <f>IFERROR((VLOOKUP($A217,'[1]import success seats course'!$A:W,HLOOKUP('[1]Course Totals'!I$4,'[1]import success seats course'!$1:$2,2,FALSE),FALSE)/(VLOOKUP($A217,'[1]import graded seats course pivo'!$A:AG,HLOOKUP('[1]Course Totals'!I$4,'[1]import graded seats course pivo'!$1:$2,2,FALSE),FALSE))),"")</f>
        <v/>
      </c>
      <c r="J217" s="14">
        <f>IFERROR((VLOOKUP($A217,'[1]import success seats course'!$A:X,HLOOKUP('[1]Course Totals'!J$4,'[1]import success seats course'!$1:$2,2,FALSE),FALSE)/(VLOOKUP($A217,'[1]import graded seats course pivo'!$A:AH,HLOOKUP('[1]Course Totals'!J$4,'[1]import graded seats course pivo'!$1:$2,2,FALSE),FALSE))),"")</f>
        <v>0.91176470588235292</v>
      </c>
      <c r="K217" s="14" t="str">
        <f>IFERROR((VLOOKUP($A217,'[1]import success seats course'!$A:Y,HLOOKUP('[1]Course Totals'!K$4,'[1]import success seats course'!$1:$2,2,FALSE),FALSE)/(VLOOKUP($A217,'[1]import graded seats course pivo'!$A:AI,HLOOKUP('[1]Course Totals'!K$4,'[1]import graded seats course pivo'!$1:$2,2,FALSE),FALSE))),"")</f>
        <v/>
      </c>
      <c r="L217" s="14" t="str">
        <f>IFERROR((VLOOKUP($A217,'[1]import success seats course'!$A:Z,HLOOKUP('[1]Course Totals'!L$4,'[1]import success seats course'!$1:$2,2,FALSE),FALSE)/(VLOOKUP($A217,'[1]import graded seats course pivo'!$A:AJ,HLOOKUP('[1]Course Totals'!L$4,'[1]import graded seats course pivo'!$1:$2,2,FALSE),FALSE))),"")</f>
        <v/>
      </c>
      <c r="M217" s="14">
        <f>IFERROR((VLOOKUP($A217,'[1]import success seats course'!$A:AA,HLOOKUP('[1]Course Totals'!M$4,'[1]import success seats course'!$1:$2,2,FALSE),FALSE)/(VLOOKUP($A217,'[1]import graded seats course pivo'!$A:AK,HLOOKUP('[1]Course Totals'!M$4,'[1]import graded seats course pivo'!$1:$2,2,FALSE),FALSE))),"")</f>
        <v>0.8928571428571429</v>
      </c>
      <c r="N217" s="14" t="str">
        <f>IFERROR((VLOOKUP($A217,'[1]import success seats course'!$A:AB,HLOOKUP('[1]Course Totals'!N$4,'[1]import success seats course'!$1:$2,2,FALSE),FALSE)/(VLOOKUP($A217,'[1]import graded seats course pivo'!$A:AL,HLOOKUP('[1]Course Totals'!N$4,'[1]import graded seats course pivo'!$1:$2,2,FALSE),FALSE))),"")</f>
        <v/>
      </c>
      <c r="O217" s="14" t="str">
        <f>IFERROR((VLOOKUP($A217,'[1]import success seats course'!$A:AC,HLOOKUP('[1]Course Totals'!O$4,'[1]import success seats course'!$1:$2,2,FALSE),FALSE)/(VLOOKUP($A217,'[1]import graded seats course pivo'!$A:AM,HLOOKUP('[1]Course Totals'!O$4,'[1]import graded seats course pivo'!$1:$2,2,FALSE),FALSE))),"")</f>
        <v/>
      </c>
      <c r="P217" s="14">
        <f>IFERROR((VLOOKUP($A217,'[1]import success seats course'!$A:AD,HLOOKUP('[1]Course Totals'!P$4,'[1]import success seats course'!$1:$2,2,FALSE),FALSE)/(VLOOKUP($A217,'[1]import graded seats course pivo'!$A:AN,HLOOKUP('[1]Course Totals'!P$4,'[1]import graded seats course pivo'!$1:$2,2,FALSE),FALSE))),"")</f>
        <v>0.77142857142857146</v>
      </c>
      <c r="Q217" s="14" t="str">
        <f>IFERROR((VLOOKUP($A217,'[1]import success seats course'!$A:AE,HLOOKUP('[1]Course Totals'!Q$4,'[1]import success seats course'!$1:$2,2,FALSE),FALSE)/(VLOOKUP($A217,'[1]import graded seats course pivo'!$A:AO,HLOOKUP('[1]Course Totals'!Q$4,'[1]import graded seats course pivo'!$1:$2,2,FALSE),FALSE))),"")</f>
        <v/>
      </c>
      <c r="R217" s="14" t="str">
        <f>IFERROR((VLOOKUP($A217,'[1]import success seats course'!$A:AF,HLOOKUP('[1]Course Totals'!R$4,'[1]import success seats course'!$1:$2,2,FALSE),FALSE)/(VLOOKUP($A217,'[1]import graded seats course pivo'!$A:AP,HLOOKUP('[1]Course Totals'!R$4,'[1]import graded seats course pivo'!$1:$2,2,FALSE),FALSE))),"")</f>
        <v/>
      </c>
      <c r="S217" s="14" t="str">
        <f>IFERROR((VLOOKUP($A217,'[1]import success seats course'!$A:AG,HLOOKUP('[1]Course Totals'!S$4,'[1]import success seats course'!$1:$2,2,FALSE),FALSE)/(VLOOKUP($A217,'[1]import graded seats course pivo'!$A:AQ,HLOOKUP('[1]Course Totals'!S$4,'[1]import graded seats course pivo'!$1:$2,2,FALSE),FALSE))),"")</f>
        <v/>
      </c>
      <c r="Z217" s="7"/>
      <c r="AA217" s="7"/>
      <c r="AB217" s="7"/>
      <c r="AC217" s="7"/>
    </row>
    <row r="218" spans="1:29" ht="15.75" customHeight="1" x14ac:dyDescent="0.25">
      <c r="A218" s="12" t="s">
        <v>120</v>
      </c>
      <c r="B218" s="14" t="str">
        <f>IFERROR((VLOOKUP($A218,'[1]import success seats course'!$A:P,HLOOKUP('[1]Course Totals'!B$4,'[1]import success seats course'!$1:$2,2,FALSE),FALSE)/(VLOOKUP($A218,'[1]import graded seats course pivo'!$A:Z,HLOOKUP('[1]Course Totals'!B$4,'[1]import graded seats course pivo'!$1:$2,2,FALSE),FALSE))),"")</f>
        <v/>
      </c>
      <c r="C218" s="14">
        <f>IFERROR((VLOOKUP($A218,'[1]import success seats course'!$A:Q,HLOOKUP('[1]Course Totals'!C$4,'[1]import success seats course'!$1:$2,2,FALSE),FALSE)/(VLOOKUP($A218,'[1]import graded seats course pivo'!$A:AA,HLOOKUP('[1]Course Totals'!C$4,'[1]import graded seats course pivo'!$1:$2,2,FALSE),FALSE))),"")</f>
        <v>0.9285714285714286</v>
      </c>
      <c r="D218" s="14" t="str">
        <f>IFERROR((VLOOKUP($A218,'[1]import success seats course'!$A:R,HLOOKUP('[1]Course Totals'!D$4,'[1]import success seats course'!$1:$2,2,FALSE),FALSE)/(VLOOKUP($A218,'[1]import graded seats course pivo'!$A:AB,HLOOKUP('[1]Course Totals'!D$4,'[1]import graded seats course pivo'!$1:$2,2,FALSE),FALSE))),"")</f>
        <v/>
      </c>
      <c r="E218" s="14" t="str">
        <f>IFERROR((VLOOKUP($A218,'[1]import success seats course'!$A:S,HLOOKUP('[1]Course Totals'!E$4,'[1]import success seats course'!$1:$2,2,FALSE),FALSE)/(VLOOKUP($A218,'[1]import graded seats course pivo'!$A:AC,HLOOKUP('[1]Course Totals'!E$4,'[1]import graded seats course pivo'!$1:$2,2,FALSE),FALSE))),"")</f>
        <v/>
      </c>
      <c r="F218" s="14">
        <f>IFERROR((VLOOKUP($A218,'[1]import success seats course'!$A:T,HLOOKUP('[1]Course Totals'!F$4,'[1]import success seats course'!$1:$2,2,FALSE),FALSE)/(VLOOKUP($A218,'[1]import graded seats course pivo'!$A:AD,HLOOKUP('[1]Course Totals'!F$4,'[1]import graded seats course pivo'!$1:$2,2,FALSE),FALSE))),"")</f>
        <v>0.96296296296296291</v>
      </c>
      <c r="G218" s="14" t="str">
        <f>IFERROR((VLOOKUP($A218,'[1]import success seats course'!$A:U,HLOOKUP('[1]Course Totals'!G$4,'[1]import success seats course'!$1:$2,2,FALSE),FALSE)/(VLOOKUP($A218,'[1]import graded seats course pivo'!$A:AE,HLOOKUP('[1]Course Totals'!G$4,'[1]import graded seats course pivo'!$1:$2,2,FALSE),FALSE))),"")</f>
        <v/>
      </c>
      <c r="H218" s="14" t="str">
        <f>IFERROR((VLOOKUP($A218,'[1]import success seats course'!$A:V,HLOOKUP('[1]Course Totals'!H$4,'[1]import success seats course'!$1:$2,2,FALSE),FALSE)/(VLOOKUP($A218,'[1]import graded seats course pivo'!$A:AF,HLOOKUP('[1]Course Totals'!H$4,'[1]import graded seats course pivo'!$1:$2,2,FALSE),FALSE))),"")</f>
        <v/>
      </c>
      <c r="I218" s="14">
        <f>IFERROR((VLOOKUP($A218,'[1]import success seats course'!$A:W,HLOOKUP('[1]Course Totals'!I$4,'[1]import success seats course'!$1:$2,2,FALSE),FALSE)/(VLOOKUP($A218,'[1]import graded seats course pivo'!$A:AG,HLOOKUP('[1]Course Totals'!I$4,'[1]import graded seats course pivo'!$1:$2,2,FALSE),FALSE))),"")</f>
        <v>0.9375</v>
      </c>
      <c r="J218" s="14" t="str">
        <f>IFERROR((VLOOKUP($A218,'[1]import success seats course'!$A:X,HLOOKUP('[1]Course Totals'!J$4,'[1]import success seats course'!$1:$2,2,FALSE),FALSE)/(VLOOKUP($A218,'[1]import graded seats course pivo'!$A:AH,HLOOKUP('[1]Course Totals'!J$4,'[1]import graded seats course pivo'!$1:$2,2,FALSE),FALSE))),"")</f>
        <v/>
      </c>
      <c r="K218" s="14" t="str">
        <f>IFERROR((VLOOKUP($A218,'[1]import success seats course'!$A:Y,HLOOKUP('[1]Course Totals'!K$4,'[1]import success seats course'!$1:$2,2,FALSE),FALSE)/(VLOOKUP($A218,'[1]import graded seats course pivo'!$A:AI,HLOOKUP('[1]Course Totals'!K$4,'[1]import graded seats course pivo'!$1:$2,2,FALSE),FALSE))),"")</f>
        <v/>
      </c>
      <c r="L218" s="14">
        <f>IFERROR((VLOOKUP($A218,'[1]import success seats course'!$A:Z,HLOOKUP('[1]Course Totals'!L$4,'[1]import success seats course'!$1:$2,2,FALSE),FALSE)/(VLOOKUP($A218,'[1]import graded seats course pivo'!$A:AJ,HLOOKUP('[1]Course Totals'!L$4,'[1]import graded seats course pivo'!$1:$2,2,FALSE),FALSE))),"")</f>
        <v>0.84375</v>
      </c>
      <c r="M218" s="14" t="str">
        <f>IFERROR((VLOOKUP($A218,'[1]import success seats course'!$A:AA,HLOOKUP('[1]Course Totals'!M$4,'[1]import success seats course'!$1:$2,2,FALSE),FALSE)/(VLOOKUP($A218,'[1]import graded seats course pivo'!$A:AK,HLOOKUP('[1]Course Totals'!M$4,'[1]import graded seats course pivo'!$1:$2,2,FALSE),FALSE))),"")</f>
        <v/>
      </c>
      <c r="N218" s="14" t="str">
        <f>IFERROR((VLOOKUP($A218,'[1]import success seats course'!$A:AB,HLOOKUP('[1]Course Totals'!N$4,'[1]import success seats course'!$1:$2,2,FALSE),FALSE)/(VLOOKUP($A218,'[1]import graded seats course pivo'!$A:AL,HLOOKUP('[1]Course Totals'!N$4,'[1]import graded seats course pivo'!$1:$2,2,FALSE),FALSE))),"")</f>
        <v/>
      </c>
      <c r="O218" s="14">
        <f>IFERROR((VLOOKUP($A218,'[1]import success seats course'!$A:AC,HLOOKUP('[1]Course Totals'!O$4,'[1]import success seats course'!$1:$2,2,FALSE),FALSE)/(VLOOKUP($A218,'[1]import graded seats course pivo'!$A:AM,HLOOKUP('[1]Course Totals'!O$4,'[1]import graded seats course pivo'!$1:$2,2,FALSE),FALSE))),"")</f>
        <v>0.87096774193548387</v>
      </c>
      <c r="P218" s="14" t="str">
        <f>IFERROR((VLOOKUP($A218,'[1]import success seats course'!$A:AD,HLOOKUP('[1]Course Totals'!P$4,'[1]import success seats course'!$1:$2,2,FALSE),FALSE)/(VLOOKUP($A218,'[1]import graded seats course pivo'!$A:AN,HLOOKUP('[1]Course Totals'!P$4,'[1]import graded seats course pivo'!$1:$2,2,FALSE),FALSE))),"")</f>
        <v/>
      </c>
      <c r="Q218" s="14" t="str">
        <f>IFERROR((VLOOKUP($A218,'[1]import success seats course'!$A:AE,HLOOKUP('[1]Course Totals'!Q$4,'[1]import success seats course'!$1:$2,2,FALSE),FALSE)/(VLOOKUP($A218,'[1]import graded seats course pivo'!$A:AO,HLOOKUP('[1]Course Totals'!Q$4,'[1]import graded seats course pivo'!$1:$2,2,FALSE),FALSE))),"")</f>
        <v/>
      </c>
      <c r="R218" s="14">
        <f>IFERROR((VLOOKUP($A218,'[1]import success seats course'!$A:AF,HLOOKUP('[1]Course Totals'!R$4,'[1]import success seats course'!$1:$2,2,FALSE),FALSE)/(VLOOKUP($A218,'[1]import graded seats course pivo'!$A:AP,HLOOKUP('[1]Course Totals'!R$4,'[1]import graded seats course pivo'!$1:$2,2,FALSE),FALSE))),"")</f>
        <v>0.96153846153846156</v>
      </c>
      <c r="S218" s="14">
        <f>IFERROR((VLOOKUP($A218,'[1]import success seats course'!$A:AG,HLOOKUP('[1]Course Totals'!S$4,'[1]import success seats course'!$1:$2,2,FALSE),FALSE)/(VLOOKUP($A218,'[1]import graded seats course pivo'!$A:AQ,HLOOKUP('[1]Course Totals'!S$4,'[1]import graded seats course pivo'!$1:$2,2,FALSE),FALSE))),"")</f>
        <v>0.96875</v>
      </c>
      <c r="Z218" s="7"/>
      <c r="AA218" s="7"/>
      <c r="AB218" s="7"/>
      <c r="AC218" s="7"/>
    </row>
    <row r="219" spans="1:29" ht="15.75" customHeight="1" x14ac:dyDescent="0.25">
      <c r="A219" s="12" t="s">
        <v>121</v>
      </c>
      <c r="B219" s="14" t="str">
        <f>IFERROR((VLOOKUP($A219,'[1]import success seats course'!$A:P,HLOOKUP('[1]Course Totals'!B$4,'[1]import success seats course'!$1:$2,2,FALSE),FALSE)/(VLOOKUP($A219,'[1]import graded seats course pivo'!$A:Z,HLOOKUP('[1]Course Totals'!B$4,'[1]import graded seats course pivo'!$1:$2,2,FALSE),FALSE))),"")</f>
        <v/>
      </c>
      <c r="C219" s="14">
        <f>IFERROR((VLOOKUP($A219,'[1]import success seats course'!$A:Q,HLOOKUP('[1]Course Totals'!C$4,'[1]import success seats course'!$1:$2,2,FALSE),FALSE)/(VLOOKUP($A219,'[1]import graded seats course pivo'!$A:AA,HLOOKUP('[1]Course Totals'!C$4,'[1]import graded seats course pivo'!$1:$2,2,FALSE),FALSE))),"")</f>
        <v>1</v>
      </c>
      <c r="D219" s="14" t="str">
        <f>IFERROR((VLOOKUP($A219,'[1]import success seats course'!$A:R,HLOOKUP('[1]Course Totals'!D$4,'[1]import success seats course'!$1:$2,2,FALSE),FALSE)/(VLOOKUP($A219,'[1]import graded seats course pivo'!$A:AB,HLOOKUP('[1]Course Totals'!D$4,'[1]import graded seats course pivo'!$1:$2,2,FALSE),FALSE))),"")</f>
        <v/>
      </c>
      <c r="E219" s="14" t="str">
        <f>IFERROR((VLOOKUP($A219,'[1]import success seats course'!$A:S,HLOOKUP('[1]Course Totals'!E$4,'[1]import success seats course'!$1:$2,2,FALSE),FALSE)/(VLOOKUP($A219,'[1]import graded seats course pivo'!$A:AC,HLOOKUP('[1]Course Totals'!E$4,'[1]import graded seats course pivo'!$1:$2,2,FALSE),FALSE))),"")</f>
        <v/>
      </c>
      <c r="F219" s="14">
        <f>IFERROR((VLOOKUP($A219,'[1]import success seats course'!$A:T,HLOOKUP('[1]Course Totals'!F$4,'[1]import success seats course'!$1:$2,2,FALSE),FALSE)/(VLOOKUP($A219,'[1]import graded seats course pivo'!$A:AD,HLOOKUP('[1]Course Totals'!F$4,'[1]import graded seats course pivo'!$1:$2,2,FALSE),FALSE))),"")</f>
        <v>1</v>
      </c>
      <c r="G219" s="14" t="str">
        <f>IFERROR((VLOOKUP($A219,'[1]import success seats course'!$A:U,HLOOKUP('[1]Course Totals'!G$4,'[1]import success seats course'!$1:$2,2,FALSE),FALSE)/(VLOOKUP($A219,'[1]import graded seats course pivo'!$A:AE,HLOOKUP('[1]Course Totals'!G$4,'[1]import graded seats course pivo'!$1:$2,2,FALSE),FALSE))),"")</f>
        <v/>
      </c>
      <c r="H219" s="14" t="str">
        <f>IFERROR((VLOOKUP($A219,'[1]import success seats course'!$A:V,HLOOKUP('[1]Course Totals'!H$4,'[1]import success seats course'!$1:$2,2,FALSE),FALSE)/(VLOOKUP($A219,'[1]import graded seats course pivo'!$A:AF,HLOOKUP('[1]Course Totals'!H$4,'[1]import graded seats course pivo'!$1:$2,2,FALSE),FALSE))),"")</f>
        <v/>
      </c>
      <c r="I219" s="14">
        <f>IFERROR((VLOOKUP($A219,'[1]import success seats course'!$A:W,HLOOKUP('[1]Course Totals'!I$4,'[1]import success seats course'!$1:$2,2,FALSE),FALSE)/(VLOOKUP($A219,'[1]import graded seats course pivo'!$A:AG,HLOOKUP('[1]Course Totals'!I$4,'[1]import graded seats course pivo'!$1:$2,2,FALSE),FALSE))),"")</f>
        <v>0</v>
      </c>
      <c r="J219" s="14" t="str">
        <f>IFERROR((VLOOKUP($A219,'[1]import success seats course'!$A:X,HLOOKUP('[1]Course Totals'!J$4,'[1]import success seats course'!$1:$2,2,FALSE),FALSE)/(VLOOKUP($A219,'[1]import graded seats course pivo'!$A:AH,HLOOKUP('[1]Course Totals'!J$4,'[1]import graded seats course pivo'!$1:$2,2,FALSE),FALSE))),"")</f>
        <v/>
      </c>
      <c r="K219" s="14" t="str">
        <f>IFERROR((VLOOKUP($A219,'[1]import success seats course'!$A:Y,HLOOKUP('[1]Course Totals'!K$4,'[1]import success seats course'!$1:$2,2,FALSE),FALSE)/(VLOOKUP($A219,'[1]import graded seats course pivo'!$A:AI,HLOOKUP('[1]Course Totals'!K$4,'[1]import graded seats course pivo'!$1:$2,2,FALSE),FALSE))),"")</f>
        <v/>
      </c>
      <c r="L219" s="14">
        <f>IFERROR((VLOOKUP($A219,'[1]import success seats course'!$A:Z,HLOOKUP('[1]Course Totals'!L$4,'[1]import success seats course'!$1:$2,2,FALSE),FALSE)/(VLOOKUP($A219,'[1]import graded seats course pivo'!$A:AJ,HLOOKUP('[1]Course Totals'!L$4,'[1]import graded seats course pivo'!$1:$2,2,FALSE),FALSE))),"")</f>
        <v>0.5</v>
      </c>
      <c r="M219" s="14" t="str">
        <f>IFERROR((VLOOKUP($A219,'[1]import success seats course'!$A:AA,HLOOKUP('[1]Course Totals'!M$4,'[1]import success seats course'!$1:$2,2,FALSE),FALSE)/(VLOOKUP($A219,'[1]import graded seats course pivo'!$A:AK,HLOOKUP('[1]Course Totals'!M$4,'[1]import graded seats course pivo'!$1:$2,2,FALSE),FALSE))),"")</f>
        <v/>
      </c>
      <c r="N219" s="14" t="str">
        <f>IFERROR((VLOOKUP($A219,'[1]import success seats course'!$A:AB,HLOOKUP('[1]Course Totals'!N$4,'[1]import success seats course'!$1:$2,2,FALSE),FALSE)/(VLOOKUP($A219,'[1]import graded seats course pivo'!$A:AL,HLOOKUP('[1]Course Totals'!N$4,'[1]import graded seats course pivo'!$1:$2,2,FALSE),FALSE))),"")</f>
        <v/>
      </c>
      <c r="O219" s="14">
        <f>IFERROR((VLOOKUP($A219,'[1]import success seats course'!$A:AC,HLOOKUP('[1]Course Totals'!O$4,'[1]import success seats course'!$1:$2,2,FALSE),FALSE)/(VLOOKUP($A219,'[1]import graded seats course pivo'!$A:AM,HLOOKUP('[1]Course Totals'!O$4,'[1]import graded seats course pivo'!$1:$2,2,FALSE),FALSE))),"")</f>
        <v>0.66666666666666663</v>
      </c>
      <c r="P219" s="14" t="str">
        <f>IFERROR((VLOOKUP($A219,'[1]import success seats course'!$A:AD,HLOOKUP('[1]Course Totals'!P$4,'[1]import success seats course'!$1:$2,2,FALSE),FALSE)/(VLOOKUP($A219,'[1]import graded seats course pivo'!$A:AN,HLOOKUP('[1]Course Totals'!P$4,'[1]import graded seats course pivo'!$1:$2,2,FALSE),FALSE))),"")</f>
        <v/>
      </c>
      <c r="Q219" s="14" t="str">
        <f>IFERROR((VLOOKUP($A219,'[1]import success seats course'!$A:AE,HLOOKUP('[1]Course Totals'!Q$4,'[1]import success seats course'!$1:$2,2,FALSE),FALSE)/(VLOOKUP($A219,'[1]import graded seats course pivo'!$A:AO,HLOOKUP('[1]Course Totals'!Q$4,'[1]import graded seats course pivo'!$1:$2,2,FALSE),FALSE))),"")</f>
        <v/>
      </c>
      <c r="R219" s="14">
        <f>IFERROR((VLOOKUP($A219,'[1]import success seats course'!$A:AF,HLOOKUP('[1]Course Totals'!R$4,'[1]import success seats course'!$1:$2,2,FALSE),FALSE)/(VLOOKUP($A219,'[1]import graded seats course pivo'!$A:AP,HLOOKUP('[1]Course Totals'!R$4,'[1]import graded seats course pivo'!$1:$2,2,FALSE),FALSE))),"")</f>
        <v>0.8</v>
      </c>
      <c r="S219" s="14">
        <f>IFERROR((VLOOKUP($A219,'[1]import success seats course'!$A:AG,HLOOKUP('[1]Course Totals'!S$4,'[1]import success seats course'!$1:$2,2,FALSE),FALSE)/(VLOOKUP($A219,'[1]import graded seats course pivo'!$A:AQ,HLOOKUP('[1]Course Totals'!S$4,'[1]import graded seats course pivo'!$1:$2,2,FALSE),FALSE))),"")</f>
        <v>1</v>
      </c>
      <c r="Z219" s="7"/>
      <c r="AA219" s="7"/>
      <c r="AB219" s="7"/>
      <c r="AC219" s="7"/>
    </row>
    <row r="220" spans="1:29" ht="15.75" customHeight="1" x14ac:dyDescent="0.25">
      <c r="A220" s="12" t="s">
        <v>879</v>
      </c>
      <c r="B220" s="14" t="str">
        <f>IFERROR((VLOOKUP($A220,'[1]import success seats course'!$A:P,HLOOKUP('[1]Course Totals'!B$4,'[1]import success seats course'!$1:$2,2,FALSE),FALSE)/(VLOOKUP($A220,'[1]import graded seats course pivo'!$A:Z,HLOOKUP('[1]Course Totals'!B$4,'[1]import graded seats course pivo'!$1:$2,2,FALSE),FALSE))),"")</f>
        <v/>
      </c>
      <c r="C220" s="14" t="str">
        <f>IFERROR((VLOOKUP($A220,'[1]import success seats course'!$A:Q,HLOOKUP('[1]Course Totals'!C$4,'[1]import success seats course'!$1:$2,2,FALSE),FALSE)/(VLOOKUP($A220,'[1]import graded seats course pivo'!$A:AA,HLOOKUP('[1]Course Totals'!C$4,'[1]import graded seats course pivo'!$1:$2,2,FALSE),FALSE))),"")</f>
        <v/>
      </c>
      <c r="D220" s="14">
        <f>IFERROR((VLOOKUP($A220,'[1]import success seats course'!$A:R,HLOOKUP('[1]Course Totals'!D$4,'[1]import success seats course'!$1:$2,2,FALSE),FALSE)/(VLOOKUP($A220,'[1]import graded seats course pivo'!$A:AB,HLOOKUP('[1]Course Totals'!D$4,'[1]import graded seats course pivo'!$1:$2,2,FALSE),FALSE))),"")</f>
        <v>0.9</v>
      </c>
      <c r="E220" s="14" t="str">
        <f>IFERROR((VLOOKUP($A220,'[1]import success seats course'!$A:S,HLOOKUP('[1]Course Totals'!E$4,'[1]import success seats course'!$1:$2,2,FALSE),FALSE)/(VLOOKUP($A220,'[1]import graded seats course pivo'!$A:AC,HLOOKUP('[1]Course Totals'!E$4,'[1]import graded seats course pivo'!$1:$2,2,FALSE),FALSE))),"")</f>
        <v/>
      </c>
      <c r="F220" s="14" t="str">
        <f>IFERROR((VLOOKUP($A220,'[1]import success seats course'!$A:T,HLOOKUP('[1]Course Totals'!F$4,'[1]import success seats course'!$1:$2,2,FALSE),FALSE)/(VLOOKUP($A220,'[1]import graded seats course pivo'!$A:AD,HLOOKUP('[1]Course Totals'!F$4,'[1]import graded seats course pivo'!$1:$2,2,FALSE),FALSE))),"")</f>
        <v/>
      </c>
      <c r="G220" s="14">
        <f>IFERROR((VLOOKUP($A220,'[1]import success seats course'!$A:U,HLOOKUP('[1]Course Totals'!G$4,'[1]import success seats course'!$1:$2,2,FALSE),FALSE)/(VLOOKUP($A220,'[1]import graded seats course pivo'!$A:AE,HLOOKUP('[1]Course Totals'!G$4,'[1]import graded seats course pivo'!$1:$2,2,FALSE),FALSE))),"")</f>
        <v>1</v>
      </c>
      <c r="H220" s="14" t="str">
        <f>IFERROR((VLOOKUP($A220,'[1]import success seats course'!$A:V,HLOOKUP('[1]Course Totals'!H$4,'[1]import success seats course'!$1:$2,2,FALSE),FALSE)/(VLOOKUP($A220,'[1]import graded seats course pivo'!$A:AF,HLOOKUP('[1]Course Totals'!H$4,'[1]import graded seats course pivo'!$1:$2,2,FALSE),FALSE))),"")</f>
        <v/>
      </c>
      <c r="I220" s="14" t="str">
        <f>IFERROR((VLOOKUP($A220,'[1]import success seats course'!$A:W,HLOOKUP('[1]Course Totals'!I$4,'[1]import success seats course'!$1:$2,2,FALSE),FALSE)/(VLOOKUP($A220,'[1]import graded seats course pivo'!$A:AG,HLOOKUP('[1]Course Totals'!I$4,'[1]import graded seats course pivo'!$1:$2,2,FALSE),FALSE))),"")</f>
        <v/>
      </c>
      <c r="J220" s="14">
        <f>IFERROR((VLOOKUP($A220,'[1]import success seats course'!$A:X,HLOOKUP('[1]Course Totals'!J$4,'[1]import success seats course'!$1:$2,2,FALSE),FALSE)/(VLOOKUP($A220,'[1]import graded seats course pivo'!$A:AH,HLOOKUP('[1]Course Totals'!J$4,'[1]import graded seats course pivo'!$1:$2,2,FALSE),FALSE))),"")</f>
        <v>0.92307692307692313</v>
      </c>
      <c r="K220" s="14" t="str">
        <f>IFERROR((VLOOKUP($A220,'[1]import success seats course'!$A:Y,HLOOKUP('[1]Course Totals'!K$4,'[1]import success seats course'!$1:$2,2,FALSE),FALSE)/(VLOOKUP($A220,'[1]import graded seats course pivo'!$A:AI,HLOOKUP('[1]Course Totals'!K$4,'[1]import graded seats course pivo'!$1:$2,2,FALSE),FALSE))),"")</f>
        <v/>
      </c>
      <c r="L220" s="14" t="str">
        <f>IFERROR((VLOOKUP($A220,'[1]import success seats course'!$A:Z,HLOOKUP('[1]Course Totals'!L$4,'[1]import success seats course'!$1:$2,2,FALSE),FALSE)/(VLOOKUP($A220,'[1]import graded seats course pivo'!$A:AJ,HLOOKUP('[1]Course Totals'!L$4,'[1]import graded seats course pivo'!$1:$2,2,FALSE),FALSE))),"")</f>
        <v/>
      </c>
      <c r="M220" s="14">
        <f>IFERROR((VLOOKUP($A220,'[1]import success seats course'!$A:AA,HLOOKUP('[1]Course Totals'!M$4,'[1]import success seats course'!$1:$2,2,FALSE),FALSE)/(VLOOKUP($A220,'[1]import graded seats course pivo'!$A:AK,HLOOKUP('[1]Course Totals'!M$4,'[1]import graded seats course pivo'!$1:$2,2,FALSE),FALSE))),"")</f>
        <v>1</v>
      </c>
      <c r="N220" s="14" t="str">
        <f>IFERROR((VLOOKUP($A220,'[1]import success seats course'!$A:AB,HLOOKUP('[1]Course Totals'!N$4,'[1]import success seats course'!$1:$2,2,FALSE),FALSE)/(VLOOKUP($A220,'[1]import graded seats course pivo'!$A:AL,HLOOKUP('[1]Course Totals'!N$4,'[1]import graded seats course pivo'!$1:$2,2,FALSE),FALSE))),"")</f>
        <v/>
      </c>
      <c r="O220" s="14" t="str">
        <f>IFERROR((VLOOKUP($A220,'[1]import success seats course'!$A:AC,HLOOKUP('[1]Course Totals'!O$4,'[1]import success seats course'!$1:$2,2,FALSE),FALSE)/(VLOOKUP($A220,'[1]import graded seats course pivo'!$A:AM,HLOOKUP('[1]Course Totals'!O$4,'[1]import graded seats course pivo'!$1:$2,2,FALSE),FALSE))),"")</f>
        <v/>
      </c>
      <c r="P220" s="14">
        <f>IFERROR((VLOOKUP($A220,'[1]import success seats course'!$A:AD,HLOOKUP('[1]Course Totals'!P$4,'[1]import success seats course'!$1:$2,2,FALSE),FALSE)/(VLOOKUP($A220,'[1]import graded seats course pivo'!$A:AN,HLOOKUP('[1]Course Totals'!P$4,'[1]import graded seats course pivo'!$1:$2,2,FALSE),FALSE))),"")</f>
        <v>1</v>
      </c>
      <c r="Q220" s="14" t="str">
        <f>IFERROR((VLOOKUP($A220,'[1]import success seats course'!$A:AE,HLOOKUP('[1]Course Totals'!Q$4,'[1]import success seats course'!$1:$2,2,FALSE),FALSE)/(VLOOKUP($A220,'[1]import graded seats course pivo'!$A:AO,HLOOKUP('[1]Course Totals'!Q$4,'[1]import graded seats course pivo'!$1:$2,2,FALSE),FALSE))),"")</f>
        <v/>
      </c>
      <c r="R220" s="14" t="str">
        <f>IFERROR((VLOOKUP($A220,'[1]import success seats course'!$A:AF,HLOOKUP('[1]Course Totals'!R$4,'[1]import success seats course'!$1:$2,2,FALSE),FALSE)/(VLOOKUP($A220,'[1]import graded seats course pivo'!$A:AP,HLOOKUP('[1]Course Totals'!R$4,'[1]import graded seats course pivo'!$1:$2,2,FALSE),FALSE))),"")</f>
        <v/>
      </c>
      <c r="S220" s="14">
        <f>IFERROR((VLOOKUP($A220,'[1]import success seats course'!$A:AG,HLOOKUP('[1]Course Totals'!S$4,'[1]import success seats course'!$1:$2,2,FALSE),FALSE)/(VLOOKUP($A220,'[1]import graded seats course pivo'!$A:AQ,HLOOKUP('[1]Course Totals'!S$4,'[1]import graded seats course pivo'!$1:$2,2,FALSE),FALSE))),"")</f>
        <v>1</v>
      </c>
      <c r="Z220" s="7"/>
      <c r="AA220" s="7"/>
      <c r="AB220" s="7"/>
      <c r="AC220" s="7"/>
    </row>
    <row r="221" spans="1:29" ht="15.75" customHeight="1" x14ac:dyDescent="0.25">
      <c r="A221" s="12" t="s">
        <v>880</v>
      </c>
      <c r="B221" s="14" t="str">
        <f>IFERROR((VLOOKUP($A221,'[1]import success seats course'!$A:P,HLOOKUP('[1]Course Totals'!B$4,'[1]import success seats course'!$1:$2,2,FALSE),FALSE)/(VLOOKUP($A221,'[1]import graded seats course pivo'!$A:Z,HLOOKUP('[1]Course Totals'!B$4,'[1]import graded seats course pivo'!$1:$2,2,FALSE),FALSE))),"")</f>
        <v/>
      </c>
      <c r="C221" s="14" t="str">
        <f>IFERROR((VLOOKUP($A221,'[1]import success seats course'!$A:Q,HLOOKUP('[1]Course Totals'!C$4,'[1]import success seats course'!$1:$2,2,FALSE),FALSE)/(VLOOKUP($A221,'[1]import graded seats course pivo'!$A:AA,HLOOKUP('[1]Course Totals'!C$4,'[1]import graded seats course pivo'!$1:$2,2,FALSE),FALSE))),"")</f>
        <v/>
      </c>
      <c r="D221" s="14">
        <f>IFERROR((VLOOKUP($A221,'[1]import success seats course'!$A:R,HLOOKUP('[1]Course Totals'!D$4,'[1]import success seats course'!$1:$2,2,FALSE),FALSE)/(VLOOKUP($A221,'[1]import graded seats course pivo'!$A:AB,HLOOKUP('[1]Course Totals'!D$4,'[1]import graded seats course pivo'!$1:$2,2,FALSE),FALSE))),"")</f>
        <v>1</v>
      </c>
      <c r="E221" s="14" t="str">
        <f>IFERROR((VLOOKUP($A221,'[1]import success seats course'!$A:S,HLOOKUP('[1]Course Totals'!E$4,'[1]import success seats course'!$1:$2,2,FALSE),FALSE)/(VLOOKUP($A221,'[1]import graded seats course pivo'!$A:AC,HLOOKUP('[1]Course Totals'!E$4,'[1]import graded seats course pivo'!$1:$2,2,FALSE),FALSE))),"")</f>
        <v/>
      </c>
      <c r="F221" s="14" t="str">
        <f>IFERROR((VLOOKUP($A221,'[1]import success seats course'!$A:T,HLOOKUP('[1]Course Totals'!F$4,'[1]import success seats course'!$1:$2,2,FALSE),FALSE)/(VLOOKUP($A221,'[1]import graded seats course pivo'!$A:AD,HLOOKUP('[1]Course Totals'!F$4,'[1]import graded seats course pivo'!$1:$2,2,FALSE),FALSE))),"")</f>
        <v/>
      </c>
      <c r="G221" s="14">
        <f>IFERROR((VLOOKUP($A221,'[1]import success seats course'!$A:U,HLOOKUP('[1]Course Totals'!G$4,'[1]import success seats course'!$1:$2,2,FALSE),FALSE)/(VLOOKUP($A221,'[1]import graded seats course pivo'!$A:AE,HLOOKUP('[1]Course Totals'!G$4,'[1]import graded seats course pivo'!$1:$2,2,FALSE),FALSE))),"")</f>
        <v>1</v>
      </c>
      <c r="H221" s="14" t="str">
        <f>IFERROR((VLOOKUP($A221,'[1]import success seats course'!$A:V,HLOOKUP('[1]Course Totals'!H$4,'[1]import success seats course'!$1:$2,2,FALSE),FALSE)/(VLOOKUP($A221,'[1]import graded seats course pivo'!$A:AF,HLOOKUP('[1]Course Totals'!H$4,'[1]import graded seats course pivo'!$1:$2,2,FALSE),FALSE))),"")</f>
        <v/>
      </c>
      <c r="I221" s="14" t="str">
        <f>IFERROR((VLOOKUP($A221,'[1]import success seats course'!$A:W,HLOOKUP('[1]Course Totals'!I$4,'[1]import success seats course'!$1:$2,2,FALSE),FALSE)/(VLOOKUP($A221,'[1]import graded seats course pivo'!$A:AG,HLOOKUP('[1]Course Totals'!I$4,'[1]import graded seats course pivo'!$1:$2,2,FALSE),FALSE))),"")</f>
        <v/>
      </c>
      <c r="J221" s="14">
        <f>IFERROR((VLOOKUP($A221,'[1]import success seats course'!$A:X,HLOOKUP('[1]Course Totals'!J$4,'[1]import success seats course'!$1:$2,2,FALSE),FALSE)/(VLOOKUP($A221,'[1]import graded seats course pivo'!$A:AH,HLOOKUP('[1]Course Totals'!J$4,'[1]import graded seats course pivo'!$1:$2,2,FALSE),FALSE))),"")</f>
        <v>1</v>
      </c>
      <c r="K221" s="14" t="str">
        <f>IFERROR((VLOOKUP($A221,'[1]import success seats course'!$A:Y,HLOOKUP('[1]Course Totals'!K$4,'[1]import success seats course'!$1:$2,2,FALSE),FALSE)/(VLOOKUP($A221,'[1]import graded seats course pivo'!$A:AI,HLOOKUP('[1]Course Totals'!K$4,'[1]import graded seats course pivo'!$1:$2,2,FALSE),FALSE))),"")</f>
        <v/>
      </c>
      <c r="L221" s="14" t="str">
        <f>IFERROR((VLOOKUP($A221,'[1]import success seats course'!$A:Z,HLOOKUP('[1]Course Totals'!L$4,'[1]import success seats course'!$1:$2,2,FALSE),FALSE)/(VLOOKUP($A221,'[1]import graded seats course pivo'!$A:AJ,HLOOKUP('[1]Course Totals'!L$4,'[1]import graded seats course pivo'!$1:$2,2,FALSE),FALSE))),"")</f>
        <v/>
      </c>
      <c r="M221" s="14">
        <f>IFERROR((VLOOKUP($A221,'[1]import success seats course'!$A:AA,HLOOKUP('[1]Course Totals'!M$4,'[1]import success seats course'!$1:$2,2,FALSE),FALSE)/(VLOOKUP($A221,'[1]import graded seats course pivo'!$A:AK,HLOOKUP('[1]Course Totals'!M$4,'[1]import graded seats course pivo'!$1:$2,2,FALSE),FALSE))),"")</f>
        <v>1</v>
      </c>
      <c r="N221" s="14" t="str">
        <f>IFERROR((VLOOKUP($A221,'[1]import success seats course'!$A:AB,HLOOKUP('[1]Course Totals'!N$4,'[1]import success seats course'!$1:$2,2,FALSE),FALSE)/(VLOOKUP($A221,'[1]import graded seats course pivo'!$A:AL,HLOOKUP('[1]Course Totals'!N$4,'[1]import graded seats course pivo'!$1:$2,2,FALSE),FALSE))),"")</f>
        <v/>
      </c>
      <c r="O221" s="14" t="str">
        <f>IFERROR((VLOOKUP($A221,'[1]import success seats course'!$A:AC,HLOOKUP('[1]Course Totals'!O$4,'[1]import success seats course'!$1:$2,2,FALSE),FALSE)/(VLOOKUP($A221,'[1]import graded seats course pivo'!$A:AM,HLOOKUP('[1]Course Totals'!O$4,'[1]import graded seats course pivo'!$1:$2,2,FALSE),FALSE))),"")</f>
        <v/>
      </c>
      <c r="P221" s="14">
        <f>IFERROR((VLOOKUP($A221,'[1]import success seats course'!$A:AD,HLOOKUP('[1]Course Totals'!P$4,'[1]import success seats course'!$1:$2,2,FALSE),FALSE)/(VLOOKUP($A221,'[1]import graded seats course pivo'!$A:AN,HLOOKUP('[1]Course Totals'!P$4,'[1]import graded seats course pivo'!$1:$2,2,FALSE),FALSE))),"")</f>
        <v>1</v>
      </c>
      <c r="Q221" s="14" t="str">
        <f>IFERROR((VLOOKUP($A221,'[1]import success seats course'!$A:AE,HLOOKUP('[1]Course Totals'!Q$4,'[1]import success seats course'!$1:$2,2,FALSE),FALSE)/(VLOOKUP($A221,'[1]import graded seats course pivo'!$A:AO,HLOOKUP('[1]Course Totals'!Q$4,'[1]import graded seats course pivo'!$1:$2,2,FALSE),FALSE))),"")</f>
        <v/>
      </c>
      <c r="R221" s="14" t="str">
        <f>IFERROR((VLOOKUP($A221,'[1]import success seats course'!$A:AF,HLOOKUP('[1]Course Totals'!R$4,'[1]import success seats course'!$1:$2,2,FALSE),FALSE)/(VLOOKUP($A221,'[1]import graded seats course pivo'!$A:AP,HLOOKUP('[1]Course Totals'!R$4,'[1]import graded seats course pivo'!$1:$2,2,FALSE),FALSE))),"")</f>
        <v/>
      </c>
      <c r="S221" s="14">
        <f>IFERROR((VLOOKUP($A221,'[1]import success seats course'!$A:AG,HLOOKUP('[1]Course Totals'!S$4,'[1]import success seats course'!$1:$2,2,FALSE),FALSE)/(VLOOKUP($A221,'[1]import graded seats course pivo'!$A:AQ,HLOOKUP('[1]Course Totals'!S$4,'[1]import graded seats course pivo'!$1:$2,2,FALSE),FALSE))),"")</f>
        <v>1</v>
      </c>
      <c r="Z221" s="7"/>
      <c r="AA221" s="7"/>
      <c r="AB221" s="7"/>
      <c r="AC221" s="7"/>
    </row>
    <row r="222" spans="1:29" ht="15.75" customHeight="1" x14ac:dyDescent="0.25">
      <c r="A222" s="12" t="s">
        <v>964</v>
      </c>
      <c r="B222" s="14" t="str">
        <f>IFERROR((VLOOKUP($A222,'[1]import success seats course'!$A:P,HLOOKUP('[1]Course Totals'!B$4,'[1]import success seats course'!$1:$2,2,FALSE),FALSE)/(VLOOKUP($A222,'[1]import graded seats course pivo'!$A:Z,HLOOKUP('[1]Course Totals'!B$4,'[1]import graded seats course pivo'!$1:$2,2,FALSE),FALSE))),"")</f>
        <v/>
      </c>
      <c r="C222" s="14" t="str">
        <f>IFERROR((VLOOKUP($A222,'[1]import success seats course'!$A:Q,HLOOKUP('[1]Course Totals'!C$4,'[1]import success seats course'!$1:$2,2,FALSE),FALSE)/(VLOOKUP($A222,'[1]import graded seats course pivo'!$A:AA,HLOOKUP('[1]Course Totals'!C$4,'[1]import graded seats course pivo'!$1:$2,2,FALSE),FALSE))),"")</f>
        <v/>
      </c>
      <c r="D222" s="14" t="str">
        <f>IFERROR((VLOOKUP($A222,'[1]import success seats course'!$A:R,HLOOKUP('[1]Course Totals'!D$4,'[1]import success seats course'!$1:$2,2,FALSE),FALSE)/(VLOOKUP($A222,'[1]import graded seats course pivo'!$A:AB,HLOOKUP('[1]Course Totals'!D$4,'[1]import graded seats course pivo'!$1:$2,2,FALSE),FALSE))),"")</f>
        <v/>
      </c>
      <c r="E222" s="14" t="str">
        <f>IFERROR((VLOOKUP($A222,'[1]import success seats course'!$A:S,HLOOKUP('[1]Course Totals'!E$4,'[1]import success seats course'!$1:$2,2,FALSE),FALSE)/(VLOOKUP($A222,'[1]import graded seats course pivo'!$A:AC,HLOOKUP('[1]Course Totals'!E$4,'[1]import graded seats course pivo'!$1:$2,2,FALSE),FALSE))),"")</f>
        <v/>
      </c>
      <c r="F222" s="14" t="str">
        <f>IFERROR((VLOOKUP($A222,'[1]import success seats course'!$A:T,HLOOKUP('[1]Course Totals'!F$4,'[1]import success seats course'!$1:$2,2,FALSE),FALSE)/(VLOOKUP($A222,'[1]import graded seats course pivo'!$A:AD,HLOOKUP('[1]Course Totals'!F$4,'[1]import graded seats course pivo'!$1:$2,2,FALSE),FALSE))),"")</f>
        <v/>
      </c>
      <c r="G222" s="14">
        <f>IFERROR((VLOOKUP($A222,'[1]import success seats course'!$A:U,HLOOKUP('[1]Course Totals'!G$4,'[1]import success seats course'!$1:$2,2,FALSE),FALSE)/(VLOOKUP($A222,'[1]import graded seats course pivo'!$A:AE,HLOOKUP('[1]Course Totals'!G$4,'[1]import graded seats course pivo'!$1:$2,2,FALSE),FALSE))),"")</f>
        <v>0.90909090909090906</v>
      </c>
      <c r="H222" s="14" t="str">
        <f>IFERROR((VLOOKUP($A222,'[1]import success seats course'!$A:V,HLOOKUP('[1]Course Totals'!H$4,'[1]import success seats course'!$1:$2,2,FALSE),FALSE)/(VLOOKUP($A222,'[1]import graded seats course pivo'!$A:AF,HLOOKUP('[1]Course Totals'!H$4,'[1]import graded seats course pivo'!$1:$2,2,FALSE),FALSE))),"")</f>
        <v/>
      </c>
      <c r="I222" s="14" t="str">
        <f>IFERROR((VLOOKUP($A222,'[1]import success seats course'!$A:W,HLOOKUP('[1]Course Totals'!I$4,'[1]import success seats course'!$1:$2,2,FALSE),FALSE)/(VLOOKUP($A222,'[1]import graded seats course pivo'!$A:AG,HLOOKUP('[1]Course Totals'!I$4,'[1]import graded seats course pivo'!$1:$2,2,FALSE),FALSE))),"")</f>
        <v/>
      </c>
      <c r="J222" s="14" t="str">
        <f>IFERROR((VLOOKUP($A222,'[1]import success seats course'!$A:X,HLOOKUP('[1]Course Totals'!J$4,'[1]import success seats course'!$1:$2,2,FALSE),FALSE)/(VLOOKUP($A222,'[1]import graded seats course pivo'!$A:AH,HLOOKUP('[1]Course Totals'!J$4,'[1]import graded seats course pivo'!$1:$2,2,FALSE),FALSE))),"")</f>
        <v/>
      </c>
      <c r="K222" s="14" t="str">
        <f>IFERROR((VLOOKUP($A222,'[1]import success seats course'!$A:Y,HLOOKUP('[1]Course Totals'!K$4,'[1]import success seats course'!$1:$2,2,FALSE),FALSE)/(VLOOKUP($A222,'[1]import graded seats course pivo'!$A:AI,HLOOKUP('[1]Course Totals'!K$4,'[1]import graded seats course pivo'!$1:$2,2,FALSE),FALSE))),"")</f>
        <v/>
      </c>
      <c r="L222" s="14" t="str">
        <f>IFERROR((VLOOKUP($A222,'[1]import success seats course'!$A:Z,HLOOKUP('[1]Course Totals'!L$4,'[1]import success seats course'!$1:$2,2,FALSE),FALSE)/(VLOOKUP($A222,'[1]import graded seats course pivo'!$A:AJ,HLOOKUP('[1]Course Totals'!L$4,'[1]import graded seats course pivo'!$1:$2,2,FALSE),FALSE))),"")</f>
        <v/>
      </c>
      <c r="M222" s="14" t="str">
        <f>IFERROR((VLOOKUP($A222,'[1]import success seats course'!$A:AA,HLOOKUP('[1]Course Totals'!M$4,'[1]import success seats course'!$1:$2,2,FALSE),FALSE)/(VLOOKUP($A222,'[1]import graded seats course pivo'!$A:AK,HLOOKUP('[1]Course Totals'!M$4,'[1]import graded seats course pivo'!$1:$2,2,FALSE),FALSE))),"")</f>
        <v/>
      </c>
      <c r="N222" s="14" t="str">
        <f>IFERROR((VLOOKUP($A222,'[1]import success seats course'!$A:AB,HLOOKUP('[1]Course Totals'!N$4,'[1]import success seats course'!$1:$2,2,FALSE),FALSE)/(VLOOKUP($A222,'[1]import graded seats course pivo'!$A:AL,HLOOKUP('[1]Course Totals'!N$4,'[1]import graded seats course pivo'!$1:$2,2,FALSE),FALSE))),"")</f>
        <v/>
      </c>
      <c r="O222" s="14" t="str">
        <f>IFERROR((VLOOKUP($A222,'[1]import success seats course'!$A:AC,HLOOKUP('[1]Course Totals'!O$4,'[1]import success seats course'!$1:$2,2,FALSE),FALSE)/(VLOOKUP($A222,'[1]import graded seats course pivo'!$A:AM,HLOOKUP('[1]Course Totals'!O$4,'[1]import graded seats course pivo'!$1:$2,2,FALSE),FALSE))),"")</f>
        <v/>
      </c>
      <c r="P222" s="14" t="str">
        <f>IFERROR((VLOOKUP($A222,'[1]import success seats course'!$A:AD,HLOOKUP('[1]Course Totals'!P$4,'[1]import success seats course'!$1:$2,2,FALSE),FALSE)/(VLOOKUP($A222,'[1]import graded seats course pivo'!$A:AN,HLOOKUP('[1]Course Totals'!P$4,'[1]import graded seats course pivo'!$1:$2,2,FALSE),FALSE))),"")</f>
        <v/>
      </c>
      <c r="Q222" s="14" t="str">
        <f>IFERROR((VLOOKUP($A222,'[1]import success seats course'!$A:AE,HLOOKUP('[1]Course Totals'!Q$4,'[1]import success seats course'!$1:$2,2,FALSE),FALSE)/(VLOOKUP($A222,'[1]import graded seats course pivo'!$A:AO,HLOOKUP('[1]Course Totals'!Q$4,'[1]import graded seats course pivo'!$1:$2,2,FALSE),FALSE))),"")</f>
        <v/>
      </c>
      <c r="R222" s="14" t="str">
        <f>IFERROR((VLOOKUP($A222,'[1]import success seats course'!$A:AF,HLOOKUP('[1]Course Totals'!R$4,'[1]import success seats course'!$1:$2,2,FALSE),FALSE)/(VLOOKUP($A222,'[1]import graded seats course pivo'!$A:AP,HLOOKUP('[1]Course Totals'!R$4,'[1]import graded seats course pivo'!$1:$2,2,FALSE),FALSE))),"")</f>
        <v/>
      </c>
      <c r="S222" s="14" t="str">
        <f>IFERROR((VLOOKUP($A222,'[1]import success seats course'!$A:AG,HLOOKUP('[1]Course Totals'!S$4,'[1]import success seats course'!$1:$2,2,FALSE),FALSE)/(VLOOKUP($A222,'[1]import graded seats course pivo'!$A:AQ,HLOOKUP('[1]Course Totals'!S$4,'[1]import graded seats course pivo'!$1:$2,2,FALSE),FALSE))),"")</f>
        <v/>
      </c>
      <c r="Z222" s="7"/>
      <c r="AA222" s="7"/>
      <c r="AB222" s="7"/>
      <c r="AC222" s="7"/>
    </row>
    <row r="223" spans="1:29" ht="15.75" customHeight="1" x14ac:dyDescent="0.25">
      <c r="A223" s="12" t="s">
        <v>122</v>
      </c>
      <c r="B223" s="14" t="str">
        <f>IFERROR((VLOOKUP($A223,'[1]import success seats course'!$A:P,HLOOKUP('[1]Course Totals'!B$4,'[1]import success seats course'!$1:$2,2,FALSE),FALSE)/(VLOOKUP($A223,'[1]import graded seats course pivo'!$A:Z,HLOOKUP('[1]Course Totals'!B$4,'[1]import graded seats course pivo'!$1:$2,2,FALSE),FALSE))),"")</f>
        <v/>
      </c>
      <c r="C223" s="14">
        <f>IFERROR((VLOOKUP($A223,'[1]import success seats course'!$A:Q,HLOOKUP('[1]Course Totals'!C$4,'[1]import success seats course'!$1:$2,2,FALSE),FALSE)/(VLOOKUP($A223,'[1]import graded seats course pivo'!$A:AA,HLOOKUP('[1]Course Totals'!C$4,'[1]import graded seats course pivo'!$1:$2,2,FALSE),FALSE))),"")</f>
        <v>1</v>
      </c>
      <c r="D223" s="14">
        <f>IFERROR((VLOOKUP($A223,'[1]import success seats course'!$A:R,HLOOKUP('[1]Course Totals'!D$4,'[1]import success seats course'!$1:$2,2,FALSE),FALSE)/(VLOOKUP($A223,'[1]import graded seats course pivo'!$A:AB,HLOOKUP('[1]Course Totals'!D$4,'[1]import graded seats course pivo'!$1:$2,2,FALSE),FALSE))),"")</f>
        <v>1</v>
      </c>
      <c r="E223" s="14" t="str">
        <f>IFERROR((VLOOKUP($A223,'[1]import success seats course'!$A:S,HLOOKUP('[1]Course Totals'!E$4,'[1]import success seats course'!$1:$2,2,FALSE),FALSE)/(VLOOKUP($A223,'[1]import graded seats course pivo'!$A:AC,HLOOKUP('[1]Course Totals'!E$4,'[1]import graded seats course pivo'!$1:$2,2,FALSE),FALSE))),"")</f>
        <v/>
      </c>
      <c r="F223" s="14">
        <f>IFERROR((VLOOKUP($A223,'[1]import success seats course'!$A:T,HLOOKUP('[1]Course Totals'!F$4,'[1]import success seats course'!$1:$2,2,FALSE),FALSE)/(VLOOKUP($A223,'[1]import graded seats course pivo'!$A:AD,HLOOKUP('[1]Course Totals'!F$4,'[1]import graded seats course pivo'!$1:$2,2,FALSE),FALSE))),"")</f>
        <v>1</v>
      </c>
      <c r="G223" s="14">
        <f>IFERROR((VLOOKUP($A223,'[1]import success seats course'!$A:U,HLOOKUP('[1]Course Totals'!G$4,'[1]import success seats course'!$1:$2,2,FALSE),FALSE)/(VLOOKUP($A223,'[1]import graded seats course pivo'!$A:AE,HLOOKUP('[1]Course Totals'!G$4,'[1]import graded seats course pivo'!$1:$2,2,FALSE),FALSE))),"")</f>
        <v>1</v>
      </c>
      <c r="H223" s="14">
        <f>IFERROR((VLOOKUP($A223,'[1]import success seats course'!$A:V,HLOOKUP('[1]Course Totals'!H$4,'[1]import success seats course'!$1:$2,2,FALSE),FALSE)/(VLOOKUP($A223,'[1]import graded seats course pivo'!$A:AF,HLOOKUP('[1]Course Totals'!H$4,'[1]import graded seats course pivo'!$1:$2,2,FALSE),FALSE))),"")</f>
        <v>1</v>
      </c>
      <c r="I223" s="14">
        <f>IFERROR((VLOOKUP($A223,'[1]import success seats course'!$A:W,HLOOKUP('[1]Course Totals'!I$4,'[1]import success seats course'!$1:$2,2,FALSE),FALSE)/(VLOOKUP($A223,'[1]import graded seats course pivo'!$A:AG,HLOOKUP('[1]Course Totals'!I$4,'[1]import graded seats course pivo'!$1:$2,2,FALSE),FALSE))),"")</f>
        <v>1</v>
      </c>
      <c r="J223" s="14">
        <f>IFERROR((VLOOKUP($A223,'[1]import success seats course'!$A:X,HLOOKUP('[1]Course Totals'!J$4,'[1]import success seats course'!$1:$2,2,FALSE),FALSE)/(VLOOKUP($A223,'[1]import graded seats course pivo'!$A:AH,HLOOKUP('[1]Course Totals'!J$4,'[1]import graded seats course pivo'!$1:$2,2,FALSE),FALSE))),"")</f>
        <v>0.8571428571428571</v>
      </c>
      <c r="K223" s="14" t="str">
        <f>IFERROR((VLOOKUP($A223,'[1]import success seats course'!$A:Y,HLOOKUP('[1]Course Totals'!K$4,'[1]import success seats course'!$1:$2,2,FALSE),FALSE)/(VLOOKUP($A223,'[1]import graded seats course pivo'!$A:AI,HLOOKUP('[1]Course Totals'!K$4,'[1]import graded seats course pivo'!$1:$2,2,FALSE),FALSE))),"")</f>
        <v/>
      </c>
      <c r="L223" s="14">
        <f>IFERROR((VLOOKUP($A223,'[1]import success seats course'!$A:Z,HLOOKUP('[1]Course Totals'!L$4,'[1]import success seats course'!$1:$2,2,FALSE),FALSE)/(VLOOKUP($A223,'[1]import graded seats course pivo'!$A:AJ,HLOOKUP('[1]Course Totals'!L$4,'[1]import graded seats course pivo'!$1:$2,2,FALSE),FALSE))),"")</f>
        <v>1</v>
      </c>
      <c r="M223" s="14">
        <f>IFERROR((VLOOKUP($A223,'[1]import success seats course'!$A:AA,HLOOKUP('[1]Course Totals'!M$4,'[1]import success seats course'!$1:$2,2,FALSE),FALSE)/(VLOOKUP($A223,'[1]import graded seats course pivo'!$A:AK,HLOOKUP('[1]Course Totals'!M$4,'[1]import graded seats course pivo'!$1:$2,2,FALSE),FALSE))),"")</f>
        <v>0.9</v>
      </c>
      <c r="N223" s="14" t="str">
        <f>IFERROR((VLOOKUP($A223,'[1]import success seats course'!$A:AB,HLOOKUP('[1]Course Totals'!N$4,'[1]import success seats course'!$1:$2,2,FALSE),FALSE)/(VLOOKUP($A223,'[1]import graded seats course pivo'!$A:AL,HLOOKUP('[1]Course Totals'!N$4,'[1]import graded seats course pivo'!$1:$2,2,FALSE),FALSE))),"")</f>
        <v/>
      </c>
      <c r="O223" s="14">
        <f>IFERROR((VLOOKUP($A223,'[1]import success seats course'!$A:AC,HLOOKUP('[1]Course Totals'!O$4,'[1]import success seats course'!$1:$2,2,FALSE),FALSE)/(VLOOKUP($A223,'[1]import graded seats course pivo'!$A:AM,HLOOKUP('[1]Course Totals'!O$4,'[1]import graded seats course pivo'!$1:$2,2,FALSE),FALSE))),"")</f>
        <v>1</v>
      </c>
      <c r="P223" s="14">
        <f>IFERROR((VLOOKUP($A223,'[1]import success seats course'!$A:AD,HLOOKUP('[1]Course Totals'!P$4,'[1]import success seats course'!$1:$2,2,FALSE),FALSE)/(VLOOKUP($A223,'[1]import graded seats course pivo'!$A:AN,HLOOKUP('[1]Course Totals'!P$4,'[1]import graded seats course pivo'!$1:$2,2,FALSE),FALSE))),"")</f>
        <v>1</v>
      </c>
      <c r="Q223" s="14" t="str">
        <f>IFERROR((VLOOKUP($A223,'[1]import success seats course'!$A:AE,HLOOKUP('[1]Course Totals'!Q$4,'[1]import success seats course'!$1:$2,2,FALSE),FALSE)/(VLOOKUP($A223,'[1]import graded seats course pivo'!$A:AO,HLOOKUP('[1]Course Totals'!Q$4,'[1]import graded seats course pivo'!$1:$2,2,FALSE),FALSE))),"")</f>
        <v/>
      </c>
      <c r="R223" s="14">
        <f>IFERROR((VLOOKUP($A223,'[1]import success seats course'!$A:AF,HLOOKUP('[1]Course Totals'!R$4,'[1]import success seats course'!$1:$2,2,FALSE),FALSE)/(VLOOKUP($A223,'[1]import graded seats course pivo'!$A:AP,HLOOKUP('[1]Course Totals'!R$4,'[1]import graded seats course pivo'!$1:$2,2,FALSE),FALSE))),"")</f>
        <v>1</v>
      </c>
      <c r="S223" s="14">
        <f>IFERROR((VLOOKUP($A223,'[1]import success seats course'!$A:AG,HLOOKUP('[1]Course Totals'!S$4,'[1]import success seats course'!$1:$2,2,FALSE),FALSE)/(VLOOKUP($A223,'[1]import graded seats course pivo'!$A:AQ,HLOOKUP('[1]Course Totals'!S$4,'[1]import graded seats course pivo'!$1:$2,2,FALSE),FALSE))),"")</f>
        <v>1</v>
      </c>
      <c r="Z223" s="7"/>
      <c r="AA223" s="7"/>
      <c r="AB223" s="7"/>
      <c r="AC223" s="7"/>
    </row>
    <row r="224" spans="1:29" ht="15.75" customHeight="1" thickBot="1" x14ac:dyDescent="0.3">
      <c r="A224" s="8" t="str">
        <f>'[1]SUBJECTS BASE'!H14</f>
        <v>Computer Applications</v>
      </c>
      <c r="B224" s="38" t="s">
        <v>1046</v>
      </c>
      <c r="C224" s="39" t="s">
        <v>0</v>
      </c>
      <c r="D224" s="40" t="s">
        <v>868</v>
      </c>
      <c r="E224" s="41" t="s">
        <v>1052</v>
      </c>
      <c r="F224" s="42" t="s">
        <v>546</v>
      </c>
      <c r="G224" s="43" t="s">
        <v>959</v>
      </c>
      <c r="H224" s="44" t="s">
        <v>1060</v>
      </c>
      <c r="I224" s="39" t="s">
        <v>675</v>
      </c>
      <c r="J224" s="45" t="s">
        <v>1006</v>
      </c>
      <c r="K224" s="46" t="s">
        <v>1062</v>
      </c>
      <c r="L224" s="42" t="s">
        <v>762</v>
      </c>
      <c r="M224" s="43" t="s">
        <v>1022</v>
      </c>
      <c r="N224" s="44" t="s">
        <v>1063</v>
      </c>
      <c r="O224" s="39" t="s">
        <v>822</v>
      </c>
      <c r="P224" s="40" t="s">
        <v>1042</v>
      </c>
      <c r="Q224" s="46" t="s">
        <v>1153</v>
      </c>
      <c r="R224" s="42" t="s">
        <v>1154</v>
      </c>
      <c r="S224" s="43" t="s">
        <v>1155</v>
      </c>
      <c r="Z224" s="7"/>
      <c r="AA224" s="7"/>
      <c r="AB224" s="7"/>
      <c r="AC224" s="7"/>
    </row>
    <row r="225" spans="1:29" ht="15.75" hidden="1" customHeight="1" x14ac:dyDescent="0.25">
      <c r="A225" s="12" t="s">
        <v>965</v>
      </c>
      <c r="B225" s="14" t="str">
        <f>IFERROR((VLOOKUP($A225,'[1]import success seats course'!$A:P,HLOOKUP('[1]Course Totals'!B$4,'[1]import success seats course'!$1:$2,2,FALSE),FALSE)/(VLOOKUP($A225,'[1]import graded seats course pivo'!$A:Z,HLOOKUP('[1]Course Totals'!B$4,'[1]import graded seats course pivo'!$1:$2,2,FALSE),FALSE))),"")</f>
        <v/>
      </c>
      <c r="C225" s="14" t="str">
        <f>IFERROR((VLOOKUP($A225,'[1]import success seats course'!$A:Q,HLOOKUP('[1]Course Totals'!C$4,'[1]import success seats course'!$1:$2,2,FALSE),FALSE)/(VLOOKUP($A225,'[1]import graded seats course pivo'!$A:AA,HLOOKUP('[1]Course Totals'!C$4,'[1]import graded seats course pivo'!$1:$2,2,FALSE),FALSE))),"")</f>
        <v/>
      </c>
      <c r="D225" s="14" t="str">
        <f>IFERROR((VLOOKUP($A225,'[1]import success seats course'!$A:R,HLOOKUP('[1]Course Totals'!D$4,'[1]import success seats course'!$1:$2,2,FALSE),FALSE)/(VLOOKUP($A225,'[1]import graded seats course pivo'!$A:AB,HLOOKUP('[1]Course Totals'!D$4,'[1]import graded seats course pivo'!$1:$2,2,FALSE),FALSE))),"")</f>
        <v/>
      </c>
      <c r="E225" s="14" t="str">
        <f>IFERROR((VLOOKUP($A225,'[1]import success seats course'!$A:S,HLOOKUP('[1]Course Totals'!E$4,'[1]import success seats course'!$1:$2,2,FALSE),FALSE)/(VLOOKUP($A225,'[1]import graded seats course pivo'!$A:AC,HLOOKUP('[1]Course Totals'!E$4,'[1]import graded seats course pivo'!$1:$2,2,FALSE),FALSE))),"")</f>
        <v/>
      </c>
      <c r="F225" s="14" t="str">
        <f>IFERROR((VLOOKUP($A225,'[1]import success seats course'!$A:T,HLOOKUP('[1]Course Totals'!F$4,'[1]import success seats course'!$1:$2,2,FALSE),FALSE)/(VLOOKUP($A225,'[1]import graded seats course pivo'!$A:AD,HLOOKUP('[1]Course Totals'!F$4,'[1]import graded seats course pivo'!$1:$2,2,FALSE),FALSE))),"")</f>
        <v/>
      </c>
      <c r="G225" s="14" t="str">
        <f>IFERROR((VLOOKUP($A225,'[1]import success seats course'!$A:U,HLOOKUP('[1]Course Totals'!G$4,'[1]import success seats course'!$1:$2,2,FALSE),FALSE)/(VLOOKUP($A225,'[1]import graded seats course pivo'!$A:AE,HLOOKUP('[1]Course Totals'!G$4,'[1]import graded seats course pivo'!$1:$2,2,FALSE),FALSE))),"")</f>
        <v/>
      </c>
      <c r="H225" s="14" t="str">
        <f>IFERROR((VLOOKUP($A225,'[1]import success seats course'!$A:V,HLOOKUP('[1]Course Totals'!H$4,'[1]import success seats course'!$1:$2,2,FALSE),FALSE)/(VLOOKUP($A225,'[1]import graded seats course pivo'!$A:AF,HLOOKUP('[1]Course Totals'!H$4,'[1]import graded seats course pivo'!$1:$2,2,FALSE),FALSE))),"")</f>
        <v/>
      </c>
      <c r="I225" s="14" t="str">
        <f>IFERROR((VLOOKUP($A225,'[1]import success seats course'!$A:W,HLOOKUP('[1]Course Totals'!I$4,'[1]import success seats course'!$1:$2,2,FALSE),FALSE)/(VLOOKUP($A225,'[1]import graded seats course pivo'!$A:AG,HLOOKUP('[1]Course Totals'!I$4,'[1]import graded seats course pivo'!$1:$2,2,FALSE),FALSE))),"")</f>
        <v/>
      </c>
      <c r="J225" s="14" t="str">
        <f>IFERROR((VLOOKUP($A225,'[1]import success seats course'!$A:X,HLOOKUP('[1]Course Totals'!J$4,'[1]import success seats course'!$1:$2,2,FALSE),FALSE)/(VLOOKUP($A225,'[1]import graded seats course pivo'!$A:AH,HLOOKUP('[1]Course Totals'!J$4,'[1]import graded seats course pivo'!$1:$2,2,FALSE),FALSE))),"")</f>
        <v/>
      </c>
      <c r="K225" s="14" t="str">
        <f>IFERROR((VLOOKUP($A225,'[1]import success seats course'!$A:Y,HLOOKUP('[1]Course Totals'!K$4,'[1]import success seats course'!$1:$2,2,FALSE),FALSE)/(VLOOKUP($A225,'[1]import graded seats course pivo'!$A:AI,HLOOKUP('[1]Course Totals'!K$4,'[1]import graded seats course pivo'!$1:$2,2,FALSE),FALSE))),"")</f>
        <v/>
      </c>
      <c r="L225" s="14" t="str">
        <f>IFERROR((VLOOKUP($A225,'[1]import success seats course'!$A:Z,HLOOKUP('[1]Course Totals'!L$4,'[1]import success seats course'!$1:$2,2,FALSE),FALSE)/(VLOOKUP($A225,'[1]import graded seats course pivo'!$A:AJ,HLOOKUP('[1]Course Totals'!L$4,'[1]import graded seats course pivo'!$1:$2,2,FALSE),FALSE))),"")</f>
        <v/>
      </c>
      <c r="M225" s="14" t="str">
        <f>IFERROR((VLOOKUP($A225,'[1]import success seats course'!$A:AA,HLOOKUP('[1]Course Totals'!M$4,'[1]import success seats course'!$1:$2,2,FALSE),FALSE)/(VLOOKUP($A225,'[1]import graded seats course pivo'!$A:AK,HLOOKUP('[1]Course Totals'!M$4,'[1]import graded seats course pivo'!$1:$2,2,FALSE),FALSE))),"")</f>
        <v/>
      </c>
      <c r="N225" s="14" t="str">
        <f>IFERROR((VLOOKUP($A225,'[1]import success seats course'!$A:AB,HLOOKUP('[1]Course Totals'!N$4,'[1]import success seats course'!$1:$2,2,FALSE),FALSE)/(VLOOKUP($A225,'[1]import graded seats course pivo'!$A:AL,HLOOKUP('[1]Course Totals'!N$4,'[1]import graded seats course pivo'!$1:$2,2,FALSE),FALSE))),"")</f>
        <v/>
      </c>
      <c r="O225" s="14" t="str">
        <f>IFERROR((VLOOKUP($A225,'[1]import success seats course'!$A:AC,HLOOKUP('[1]Course Totals'!O$4,'[1]import success seats course'!$1:$2,2,FALSE),FALSE)/(VLOOKUP($A225,'[1]import graded seats course pivo'!$A:AM,HLOOKUP('[1]Course Totals'!O$4,'[1]import graded seats course pivo'!$1:$2,2,FALSE),FALSE))),"")</f>
        <v/>
      </c>
      <c r="P225" s="14" t="str">
        <f>IFERROR((VLOOKUP($A225,'[1]import success seats course'!$A:AD,HLOOKUP('[1]Course Totals'!P$4,'[1]import success seats course'!$1:$2,2,FALSE),FALSE)/(VLOOKUP($A225,'[1]import graded seats course pivo'!$A:AN,HLOOKUP('[1]Course Totals'!P$4,'[1]import graded seats course pivo'!$1:$2,2,FALSE),FALSE))),"")</f>
        <v/>
      </c>
      <c r="Q225" s="14" t="str">
        <f>IFERROR((VLOOKUP($A225,'[1]import success seats course'!$A:AE,HLOOKUP('[1]Course Totals'!Q$4,'[1]import success seats course'!$1:$2,2,FALSE),FALSE)/(VLOOKUP($A225,'[1]import graded seats course pivo'!$A:AO,HLOOKUP('[1]Course Totals'!Q$4,'[1]import graded seats course pivo'!$1:$2,2,FALSE),FALSE))),"")</f>
        <v/>
      </c>
      <c r="R225" s="14" t="str">
        <f>IFERROR((VLOOKUP($A225,'[1]import success seats course'!$A:AF,HLOOKUP('[1]Course Totals'!R$4,'[1]import success seats course'!$1:$2,2,FALSE),FALSE)/(VLOOKUP($A225,'[1]import graded seats course pivo'!$A:AP,HLOOKUP('[1]Course Totals'!R$4,'[1]import graded seats course pivo'!$1:$2,2,FALSE),FALSE))),"")</f>
        <v/>
      </c>
      <c r="S225" s="14" t="str">
        <f>IFERROR((VLOOKUP($A225,'[1]import success seats course'!$A:AG,HLOOKUP('[1]Course Totals'!S$4,'[1]import success seats course'!$1:$2,2,FALSE),FALSE)/(VLOOKUP($A225,'[1]import graded seats course pivo'!$A:AQ,HLOOKUP('[1]Course Totals'!S$4,'[1]import graded seats course pivo'!$1:$2,2,FALSE),FALSE))),"")</f>
        <v/>
      </c>
      <c r="Z225" s="7"/>
      <c r="AA225" s="7"/>
      <c r="AB225" s="7"/>
      <c r="AC225" s="7"/>
    </row>
    <row r="226" spans="1:29" ht="15.75" hidden="1" customHeight="1" x14ac:dyDescent="0.25">
      <c r="A226" s="12" t="s">
        <v>691</v>
      </c>
      <c r="B226" s="14" t="str">
        <f>IFERROR((VLOOKUP($A226,'[1]import success seats course'!$A:P,HLOOKUP('[1]Course Totals'!B$4,'[1]import success seats course'!$1:$2,2,FALSE),FALSE)/(VLOOKUP($A226,'[1]import graded seats course pivo'!$A:Z,HLOOKUP('[1]Course Totals'!B$4,'[1]import graded seats course pivo'!$1:$2,2,FALSE),FALSE))),"")</f>
        <v/>
      </c>
      <c r="C226" s="14" t="str">
        <f>IFERROR((VLOOKUP($A226,'[1]import success seats course'!$A:Q,HLOOKUP('[1]Course Totals'!C$4,'[1]import success seats course'!$1:$2,2,FALSE),FALSE)/(VLOOKUP($A226,'[1]import graded seats course pivo'!$A:AA,HLOOKUP('[1]Course Totals'!C$4,'[1]import graded seats course pivo'!$1:$2,2,FALSE),FALSE))),"")</f>
        <v/>
      </c>
      <c r="D226" s="14" t="str">
        <f>IFERROR((VLOOKUP($A226,'[1]import success seats course'!$A:R,HLOOKUP('[1]Course Totals'!D$4,'[1]import success seats course'!$1:$2,2,FALSE),FALSE)/(VLOOKUP($A226,'[1]import graded seats course pivo'!$A:AB,HLOOKUP('[1]Course Totals'!D$4,'[1]import graded seats course pivo'!$1:$2,2,FALSE),FALSE))),"")</f>
        <v/>
      </c>
      <c r="E226" s="14" t="str">
        <f>IFERROR((VLOOKUP($A226,'[1]import success seats course'!$A:S,HLOOKUP('[1]Course Totals'!E$4,'[1]import success seats course'!$1:$2,2,FALSE),FALSE)/(VLOOKUP($A226,'[1]import graded seats course pivo'!$A:AC,HLOOKUP('[1]Course Totals'!E$4,'[1]import graded seats course pivo'!$1:$2,2,FALSE),FALSE))),"")</f>
        <v/>
      </c>
      <c r="F226" s="14" t="str">
        <f>IFERROR((VLOOKUP($A226,'[1]import success seats course'!$A:T,HLOOKUP('[1]Course Totals'!F$4,'[1]import success seats course'!$1:$2,2,FALSE),FALSE)/(VLOOKUP($A226,'[1]import graded seats course pivo'!$A:AD,HLOOKUP('[1]Course Totals'!F$4,'[1]import graded seats course pivo'!$1:$2,2,FALSE),FALSE))),"")</f>
        <v/>
      </c>
      <c r="G226" s="14" t="str">
        <f>IFERROR((VLOOKUP($A226,'[1]import success seats course'!$A:U,HLOOKUP('[1]Course Totals'!G$4,'[1]import success seats course'!$1:$2,2,FALSE),FALSE)/(VLOOKUP($A226,'[1]import graded seats course pivo'!$A:AE,HLOOKUP('[1]Course Totals'!G$4,'[1]import graded seats course pivo'!$1:$2,2,FALSE),FALSE))),"")</f>
        <v/>
      </c>
      <c r="H226" s="14" t="str">
        <f>IFERROR((VLOOKUP($A226,'[1]import success seats course'!$A:V,HLOOKUP('[1]Course Totals'!H$4,'[1]import success seats course'!$1:$2,2,FALSE),FALSE)/(VLOOKUP($A226,'[1]import graded seats course pivo'!$A:AF,HLOOKUP('[1]Course Totals'!H$4,'[1]import graded seats course pivo'!$1:$2,2,FALSE),FALSE))),"")</f>
        <v/>
      </c>
      <c r="I226" s="14" t="str">
        <f>IFERROR((VLOOKUP($A226,'[1]import success seats course'!$A:W,HLOOKUP('[1]Course Totals'!I$4,'[1]import success seats course'!$1:$2,2,FALSE),FALSE)/(VLOOKUP($A226,'[1]import graded seats course pivo'!$A:AG,HLOOKUP('[1]Course Totals'!I$4,'[1]import graded seats course pivo'!$1:$2,2,FALSE),FALSE))),"")</f>
        <v/>
      </c>
      <c r="J226" s="14" t="str">
        <f>IFERROR((VLOOKUP($A226,'[1]import success seats course'!$A:X,HLOOKUP('[1]Course Totals'!J$4,'[1]import success seats course'!$1:$2,2,FALSE),FALSE)/(VLOOKUP($A226,'[1]import graded seats course pivo'!$A:AH,HLOOKUP('[1]Course Totals'!J$4,'[1]import graded seats course pivo'!$1:$2,2,FALSE),FALSE))),"")</f>
        <v/>
      </c>
      <c r="K226" s="14" t="str">
        <f>IFERROR((VLOOKUP($A226,'[1]import success seats course'!$A:Y,HLOOKUP('[1]Course Totals'!K$4,'[1]import success seats course'!$1:$2,2,FALSE),FALSE)/(VLOOKUP($A226,'[1]import graded seats course pivo'!$A:AI,HLOOKUP('[1]Course Totals'!K$4,'[1]import graded seats course pivo'!$1:$2,2,FALSE),FALSE))),"")</f>
        <v/>
      </c>
      <c r="L226" s="14" t="str">
        <f>IFERROR((VLOOKUP($A226,'[1]import success seats course'!$A:Z,HLOOKUP('[1]Course Totals'!L$4,'[1]import success seats course'!$1:$2,2,FALSE),FALSE)/(VLOOKUP($A226,'[1]import graded seats course pivo'!$A:AJ,HLOOKUP('[1]Course Totals'!L$4,'[1]import graded seats course pivo'!$1:$2,2,FALSE),FALSE))),"")</f>
        <v/>
      </c>
      <c r="M226" s="14" t="str">
        <f>IFERROR((VLOOKUP($A226,'[1]import success seats course'!$A:AA,HLOOKUP('[1]Course Totals'!M$4,'[1]import success seats course'!$1:$2,2,FALSE),FALSE)/(VLOOKUP($A226,'[1]import graded seats course pivo'!$A:AK,HLOOKUP('[1]Course Totals'!M$4,'[1]import graded seats course pivo'!$1:$2,2,FALSE),FALSE))),"")</f>
        <v/>
      </c>
      <c r="N226" s="14" t="str">
        <f>IFERROR((VLOOKUP($A226,'[1]import success seats course'!$A:AB,HLOOKUP('[1]Course Totals'!N$4,'[1]import success seats course'!$1:$2,2,FALSE),FALSE)/(VLOOKUP($A226,'[1]import graded seats course pivo'!$A:AL,HLOOKUP('[1]Course Totals'!N$4,'[1]import graded seats course pivo'!$1:$2,2,FALSE),FALSE))),"")</f>
        <v/>
      </c>
      <c r="O226" s="14" t="str">
        <f>IFERROR((VLOOKUP($A226,'[1]import success seats course'!$A:AC,HLOOKUP('[1]Course Totals'!O$4,'[1]import success seats course'!$1:$2,2,FALSE),FALSE)/(VLOOKUP($A226,'[1]import graded seats course pivo'!$A:AM,HLOOKUP('[1]Course Totals'!O$4,'[1]import graded seats course pivo'!$1:$2,2,FALSE),FALSE))),"")</f>
        <v/>
      </c>
      <c r="P226" s="14" t="str">
        <f>IFERROR((VLOOKUP($A226,'[1]import success seats course'!$A:AD,HLOOKUP('[1]Course Totals'!P$4,'[1]import success seats course'!$1:$2,2,FALSE),FALSE)/(VLOOKUP($A226,'[1]import graded seats course pivo'!$A:AN,HLOOKUP('[1]Course Totals'!P$4,'[1]import graded seats course pivo'!$1:$2,2,FALSE),FALSE))),"")</f>
        <v/>
      </c>
      <c r="Q226" s="14" t="str">
        <f>IFERROR((VLOOKUP($A226,'[1]import success seats course'!$A:AE,HLOOKUP('[1]Course Totals'!Q$4,'[1]import success seats course'!$1:$2,2,FALSE),FALSE)/(VLOOKUP($A226,'[1]import graded seats course pivo'!$A:AO,HLOOKUP('[1]Course Totals'!Q$4,'[1]import graded seats course pivo'!$1:$2,2,FALSE),FALSE))),"")</f>
        <v/>
      </c>
      <c r="R226" s="14" t="str">
        <f>IFERROR((VLOOKUP($A226,'[1]import success seats course'!$A:AF,HLOOKUP('[1]Course Totals'!R$4,'[1]import success seats course'!$1:$2,2,FALSE),FALSE)/(VLOOKUP($A226,'[1]import graded seats course pivo'!$A:AP,HLOOKUP('[1]Course Totals'!R$4,'[1]import graded seats course pivo'!$1:$2,2,FALSE),FALSE))),"")</f>
        <v/>
      </c>
      <c r="S226" s="14" t="str">
        <f>IFERROR((VLOOKUP($A226,'[1]import success seats course'!$A:AG,HLOOKUP('[1]Course Totals'!S$4,'[1]import success seats course'!$1:$2,2,FALSE),FALSE)/(VLOOKUP($A226,'[1]import graded seats course pivo'!$A:AQ,HLOOKUP('[1]Course Totals'!S$4,'[1]import graded seats course pivo'!$1:$2,2,FALSE),FALSE))),"")</f>
        <v/>
      </c>
      <c r="Z226" s="7"/>
      <c r="AA226" s="7"/>
      <c r="AB226" s="7"/>
      <c r="AC226" s="7"/>
    </row>
    <row r="227" spans="1:29" ht="15.75" customHeight="1" x14ac:dyDescent="0.25">
      <c r="A227" s="12" t="s">
        <v>569</v>
      </c>
      <c r="B227" s="14" t="str">
        <f>IFERROR((VLOOKUP($A227,'[1]import success seats course'!$A:P,HLOOKUP('[1]Course Totals'!B$4,'[1]import success seats course'!$1:$2,2,FALSE),FALSE)/(VLOOKUP($A227,'[1]import graded seats course pivo'!$A:Z,HLOOKUP('[1]Course Totals'!B$4,'[1]import graded seats course pivo'!$1:$2,2,FALSE),FALSE))),"")</f>
        <v/>
      </c>
      <c r="C227" s="14" t="str">
        <f>IFERROR((VLOOKUP($A227,'[1]import success seats course'!$A:Q,HLOOKUP('[1]Course Totals'!C$4,'[1]import success seats course'!$1:$2,2,FALSE),FALSE)/(VLOOKUP($A227,'[1]import graded seats course pivo'!$A:AA,HLOOKUP('[1]Course Totals'!C$4,'[1]import graded seats course pivo'!$1:$2,2,FALSE),FALSE))),"")</f>
        <v/>
      </c>
      <c r="D227" s="14" t="str">
        <f>IFERROR((VLOOKUP($A227,'[1]import success seats course'!$A:R,HLOOKUP('[1]Course Totals'!D$4,'[1]import success seats course'!$1:$2,2,FALSE),FALSE)/(VLOOKUP($A227,'[1]import graded seats course pivo'!$A:AB,HLOOKUP('[1]Course Totals'!D$4,'[1]import graded seats course pivo'!$1:$2,2,FALSE),FALSE))),"")</f>
        <v/>
      </c>
      <c r="E227" s="14" t="str">
        <f>IFERROR((VLOOKUP($A227,'[1]import success seats course'!$A:S,HLOOKUP('[1]Course Totals'!E$4,'[1]import success seats course'!$1:$2,2,FALSE),FALSE)/(VLOOKUP($A227,'[1]import graded seats course pivo'!$A:AC,HLOOKUP('[1]Course Totals'!E$4,'[1]import graded seats course pivo'!$1:$2,2,FALSE),FALSE))),"")</f>
        <v/>
      </c>
      <c r="F227" s="14" t="str">
        <f>IFERROR((VLOOKUP($A227,'[1]import success seats course'!$A:T,HLOOKUP('[1]Course Totals'!F$4,'[1]import success seats course'!$1:$2,2,FALSE),FALSE)/(VLOOKUP($A227,'[1]import graded seats course pivo'!$A:AD,HLOOKUP('[1]Course Totals'!F$4,'[1]import graded seats course pivo'!$1:$2,2,FALSE),FALSE))),"")</f>
        <v/>
      </c>
      <c r="G227" s="14">
        <f>IFERROR((VLOOKUP($A227,'[1]import success seats course'!$A:U,HLOOKUP('[1]Course Totals'!G$4,'[1]import success seats course'!$1:$2,2,FALSE),FALSE)/(VLOOKUP($A227,'[1]import graded seats course pivo'!$A:AE,HLOOKUP('[1]Course Totals'!G$4,'[1]import graded seats course pivo'!$1:$2,2,FALSE),FALSE))),"")</f>
        <v>1</v>
      </c>
      <c r="H227" s="14" t="str">
        <f>IFERROR((VLOOKUP($A227,'[1]import success seats course'!$A:V,HLOOKUP('[1]Course Totals'!H$4,'[1]import success seats course'!$1:$2,2,FALSE),FALSE)/(VLOOKUP($A227,'[1]import graded seats course pivo'!$A:AF,HLOOKUP('[1]Course Totals'!H$4,'[1]import graded seats course pivo'!$1:$2,2,FALSE),FALSE))),"")</f>
        <v/>
      </c>
      <c r="I227" s="14">
        <f>IFERROR((VLOOKUP($A227,'[1]import success seats course'!$A:W,HLOOKUP('[1]Course Totals'!I$4,'[1]import success seats course'!$1:$2,2,FALSE),FALSE)/(VLOOKUP($A227,'[1]import graded seats course pivo'!$A:AG,HLOOKUP('[1]Course Totals'!I$4,'[1]import graded seats course pivo'!$1:$2,2,FALSE),FALSE))),"")</f>
        <v>0.875</v>
      </c>
      <c r="J227" s="14" t="str">
        <f>IFERROR((VLOOKUP($A227,'[1]import success seats course'!$A:X,HLOOKUP('[1]Course Totals'!J$4,'[1]import success seats course'!$1:$2,2,FALSE),FALSE)/(VLOOKUP($A227,'[1]import graded seats course pivo'!$A:AH,HLOOKUP('[1]Course Totals'!J$4,'[1]import graded seats course pivo'!$1:$2,2,FALSE),FALSE))),"")</f>
        <v/>
      </c>
      <c r="K227" s="14" t="str">
        <f>IFERROR((VLOOKUP($A227,'[1]import success seats course'!$A:Y,HLOOKUP('[1]Course Totals'!K$4,'[1]import success seats course'!$1:$2,2,FALSE),FALSE)/(VLOOKUP($A227,'[1]import graded seats course pivo'!$A:AI,HLOOKUP('[1]Course Totals'!K$4,'[1]import graded seats course pivo'!$1:$2,2,FALSE),FALSE))),"")</f>
        <v/>
      </c>
      <c r="L227" s="14" t="str">
        <f>IFERROR((VLOOKUP($A227,'[1]import success seats course'!$A:Z,HLOOKUP('[1]Course Totals'!L$4,'[1]import success seats course'!$1:$2,2,FALSE),FALSE)/(VLOOKUP($A227,'[1]import graded seats course pivo'!$A:AJ,HLOOKUP('[1]Course Totals'!L$4,'[1]import graded seats course pivo'!$1:$2,2,FALSE),FALSE))),"")</f>
        <v/>
      </c>
      <c r="M227" s="14" t="str">
        <f>IFERROR((VLOOKUP($A227,'[1]import success seats course'!$A:AA,HLOOKUP('[1]Course Totals'!M$4,'[1]import success seats course'!$1:$2,2,FALSE),FALSE)/(VLOOKUP($A227,'[1]import graded seats course pivo'!$A:AK,HLOOKUP('[1]Course Totals'!M$4,'[1]import graded seats course pivo'!$1:$2,2,FALSE),FALSE))),"")</f>
        <v/>
      </c>
      <c r="N227" s="14" t="str">
        <f>IFERROR((VLOOKUP($A227,'[1]import success seats course'!$A:AB,HLOOKUP('[1]Course Totals'!N$4,'[1]import success seats course'!$1:$2,2,FALSE),FALSE)/(VLOOKUP($A227,'[1]import graded seats course pivo'!$A:AL,HLOOKUP('[1]Course Totals'!N$4,'[1]import graded seats course pivo'!$1:$2,2,FALSE),FALSE))),"")</f>
        <v/>
      </c>
      <c r="O227" s="14" t="str">
        <f>IFERROR((VLOOKUP($A227,'[1]import success seats course'!$A:AC,HLOOKUP('[1]Course Totals'!O$4,'[1]import success seats course'!$1:$2,2,FALSE),FALSE)/(VLOOKUP($A227,'[1]import graded seats course pivo'!$A:AM,HLOOKUP('[1]Course Totals'!O$4,'[1]import graded seats course pivo'!$1:$2,2,FALSE),FALSE))),"")</f>
        <v/>
      </c>
      <c r="P227" s="14" t="str">
        <f>IFERROR((VLOOKUP($A227,'[1]import success seats course'!$A:AD,HLOOKUP('[1]Course Totals'!P$4,'[1]import success seats course'!$1:$2,2,FALSE),FALSE)/(VLOOKUP($A227,'[1]import graded seats course pivo'!$A:AN,HLOOKUP('[1]Course Totals'!P$4,'[1]import graded seats course pivo'!$1:$2,2,FALSE),FALSE))),"")</f>
        <v/>
      </c>
      <c r="Q227" s="14" t="str">
        <f>IFERROR((VLOOKUP($A227,'[1]import success seats course'!$A:AE,HLOOKUP('[1]Course Totals'!Q$4,'[1]import success seats course'!$1:$2,2,FALSE),FALSE)/(VLOOKUP($A227,'[1]import graded seats course pivo'!$A:AO,HLOOKUP('[1]Course Totals'!Q$4,'[1]import graded seats course pivo'!$1:$2,2,FALSE),FALSE))),"")</f>
        <v/>
      </c>
      <c r="R227" s="14" t="str">
        <f>IFERROR((VLOOKUP($A227,'[1]import success seats course'!$A:AF,HLOOKUP('[1]Course Totals'!R$4,'[1]import success seats course'!$1:$2,2,FALSE),FALSE)/(VLOOKUP($A227,'[1]import graded seats course pivo'!$A:AP,HLOOKUP('[1]Course Totals'!R$4,'[1]import graded seats course pivo'!$1:$2,2,FALSE),FALSE))),"")</f>
        <v/>
      </c>
      <c r="S227" s="14" t="str">
        <f>IFERROR((VLOOKUP($A227,'[1]import success seats course'!$A:AG,HLOOKUP('[1]Course Totals'!S$4,'[1]import success seats course'!$1:$2,2,FALSE),FALSE)/(VLOOKUP($A227,'[1]import graded seats course pivo'!$A:AQ,HLOOKUP('[1]Course Totals'!S$4,'[1]import graded seats course pivo'!$1:$2,2,FALSE),FALSE))),"")</f>
        <v/>
      </c>
      <c r="Z227" s="7"/>
      <c r="AA227" s="7"/>
      <c r="AB227" s="7"/>
      <c r="AC227" s="7"/>
    </row>
    <row r="228" spans="1:29" ht="15.75" customHeight="1" x14ac:dyDescent="0.25">
      <c r="A228" s="12" t="s">
        <v>123</v>
      </c>
      <c r="B228" s="14">
        <f>IFERROR((VLOOKUP($A228,'[1]import success seats course'!$A:P,HLOOKUP('[1]Course Totals'!B$4,'[1]import success seats course'!$1:$2,2,FALSE),FALSE)/(VLOOKUP($A228,'[1]import graded seats course pivo'!$A:Z,HLOOKUP('[1]Course Totals'!B$4,'[1]import graded seats course pivo'!$1:$2,2,FALSE),FALSE))),"")</f>
        <v>0.96078431372549022</v>
      </c>
      <c r="C228" s="14">
        <f>IFERROR((VLOOKUP($A228,'[1]import success seats course'!$A:Q,HLOOKUP('[1]Course Totals'!C$4,'[1]import success seats course'!$1:$2,2,FALSE),FALSE)/(VLOOKUP($A228,'[1]import graded seats course pivo'!$A:AA,HLOOKUP('[1]Course Totals'!C$4,'[1]import graded seats course pivo'!$1:$2,2,FALSE),FALSE))),"")</f>
        <v>0.8125</v>
      </c>
      <c r="D228" s="14">
        <f>IFERROR((VLOOKUP($A228,'[1]import success seats course'!$A:R,HLOOKUP('[1]Course Totals'!D$4,'[1]import success seats course'!$1:$2,2,FALSE),FALSE)/(VLOOKUP($A228,'[1]import graded seats course pivo'!$A:AB,HLOOKUP('[1]Course Totals'!D$4,'[1]import graded seats course pivo'!$1:$2,2,FALSE),FALSE))),"")</f>
        <v>0.9642857142857143</v>
      </c>
      <c r="E228" s="14">
        <f>IFERROR((VLOOKUP($A228,'[1]import success seats course'!$A:S,HLOOKUP('[1]Course Totals'!E$4,'[1]import success seats course'!$1:$2,2,FALSE),FALSE)/(VLOOKUP($A228,'[1]import graded seats course pivo'!$A:AC,HLOOKUP('[1]Course Totals'!E$4,'[1]import graded seats course pivo'!$1:$2,2,FALSE),FALSE))),"")</f>
        <v>0.75</v>
      </c>
      <c r="F228" s="14">
        <f>IFERROR((VLOOKUP($A228,'[1]import success seats course'!$A:T,HLOOKUP('[1]Course Totals'!F$4,'[1]import success seats course'!$1:$2,2,FALSE),FALSE)/(VLOOKUP($A228,'[1]import graded seats course pivo'!$A:AD,HLOOKUP('[1]Course Totals'!F$4,'[1]import graded seats course pivo'!$1:$2,2,FALSE),FALSE))),"")</f>
        <v>1</v>
      </c>
      <c r="G228" s="14">
        <f>IFERROR((VLOOKUP($A228,'[1]import success seats course'!$A:U,HLOOKUP('[1]Course Totals'!G$4,'[1]import success seats course'!$1:$2,2,FALSE),FALSE)/(VLOOKUP($A228,'[1]import graded seats course pivo'!$A:AE,HLOOKUP('[1]Course Totals'!G$4,'[1]import graded seats course pivo'!$1:$2,2,FALSE),FALSE))),"")</f>
        <v>0.95</v>
      </c>
      <c r="H228" s="14">
        <f>IFERROR((VLOOKUP($A228,'[1]import success seats course'!$A:V,HLOOKUP('[1]Course Totals'!H$4,'[1]import success seats course'!$1:$2,2,FALSE),FALSE)/(VLOOKUP($A228,'[1]import graded seats course pivo'!$A:AF,HLOOKUP('[1]Course Totals'!H$4,'[1]import graded seats course pivo'!$1:$2,2,FALSE),FALSE))),"")</f>
        <v>1</v>
      </c>
      <c r="I228" s="14">
        <f>IFERROR((VLOOKUP($A228,'[1]import success seats course'!$A:W,HLOOKUP('[1]Course Totals'!I$4,'[1]import success seats course'!$1:$2,2,FALSE),FALSE)/(VLOOKUP($A228,'[1]import graded seats course pivo'!$A:AG,HLOOKUP('[1]Course Totals'!I$4,'[1]import graded seats course pivo'!$1:$2,2,FALSE),FALSE))),"")</f>
        <v>0.97142857142857142</v>
      </c>
      <c r="J228" s="14">
        <f>IFERROR((VLOOKUP($A228,'[1]import success seats course'!$A:X,HLOOKUP('[1]Course Totals'!J$4,'[1]import success seats course'!$1:$2,2,FALSE),FALSE)/(VLOOKUP($A228,'[1]import graded seats course pivo'!$A:AH,HLOOKUP('[1]Course Totals'!J$4,'[1]import graded seats course pivo'!$1:$2,2,FALSE),FALSE))),"")</f>
        <v>0.68421052631578949</v>
      </c>
      <c r="K228" s="14" t="str">
        <f>IFERROR((VLOOKUP($A228,'[1]import success seats course'!$A:Y,HLOOKUP('[1]Course Totals'!K$4,'[1]import success seats course'!$1:$2,2,FALSE),FALSE)/(VLOOKUP($A228,'[1]import graded seats course pivo'!$A:AI,HLOOKUP('[1]Course Totals'!K$4,'[1]import graded seats course pivo'!$1:$2,2,FALSE),FALSE))),"")</f>
        <v/>
      </c>
      <c r="L228" s="14">
        <f>IFERROR((VLOOKUP($A228,'[1]import success seats course'!$A:Z,HLOOKUP('[1]Course Totals'!L$4,'[1]import success seats course'!$1:$2,2,FALSE),FALSE)/(VLOOKUP($A228,'[1]import graded seats course pivo'!$A:AJ,HLOOKUP('[1]Course Totals'!L$4,'[1]import graded seats course pivo'!$1:$2,2,FALSE),FALSE))),"")</f>
        <v>1</v>
      </c>
      <c r="M228" s="14">
        <f>IFERROR((VLOOKUP($A228,'[1]import success seats course'!$A:AA,HLOOKUP('[1]Course Totals'!M$4,'[1]import success seats course'!$1:$2,2,FALSE),FALSE)/(VLOOKUP($A228,'[1]import graded seats course pivo'!$A:AK,HLOOKUP('[1]Course Totals'!M$4,'[1]import graded seats course pivo'!$1:$2,2,FALSE),FALSE))),"")</f>
        <v>0.83333333333333337</v>
      </c>
      <c r="N228" s="14" t="str">
        <f>IFERROR((VLOOKUP($A228,'[1]import success seats course'!$A:AB,HLOOKUP('[1]Course Totals'!N$4,'[1]import success seats course'!$1:$2,2,FALSE),FALSE)/(VLOOKUP($A228,'[1]import graded seats course pivo'!$A:AL,HLOOKUP('[1]Course Totals'!N$4,'[1]import graded seats course pivo'!$1:$2,2,FALSE),FALSE))),"")</f>
        <v/>
      </c>
      <c r="O228" s="14" t="str">
        <f>IFERROR((VLOOKUP($A228,'[1]import success seats course'!$A:AC,HLOOKUP('[1]Course Totals'!O$4,'[1]import success seats course'!$1:$2,2,FALSE),FALSE)/(VLOOKUP($A228,'[1]import graded seats course pivo'!$A:AM,HLOOKUP('[1]Course Totals'!O$4,'[1]import graded seats course pivo'!$1:$2,2,FALSE),FALSE))),"")</f>
        <v/>
      </c>
      <c r="P228" s="14" t="str">
        <f>IFERROR((VLOOKUP($A228,'[1]import success seats course'!$A:AD,HLOOKUP('[1]Course Totals'!P$4,'[1]import success seats course'!$1:$2,2,FALSE),FALSE)/(VLOOKUP($A228,'[1]import graded seats course pivo'!$A:AN,HLOOKUP('[1]Course Totals'!P$4,'[1]import graded seats course pivo'!$1:$2,2,FALSE),FALSE))),"")</f>
        <v/>
      </c>
      <c r="Q228" s="14" t="str">
        <f>IFERROR((VLOOKUP($A228,'[1]import success seats course'!$A:AE,HLOOKUP('[1]Course Totals'!Q$4,'[1]import success seats course'!$1:$2,2,FALSE),FALSE)/(VLOOKUP($A228,'[1]import graded seats course pivo'!$A:AO,HLOOKUP('[1]Course Totals'!Q$4,'[1]import graded seats course pivo'!$1:$2,2,FALSE),FALSE))),"")</f>
        <v/>
      </c>
      <c r="R228" s="14" t="str">
        <f>IFERROR((VLOOKUP($A228,'[1]import success seats course'!$A:AF,HLOOKUP('[1]Course Totals'!R$4,'[1]import success seats course'!$1:$2,2,FALSE),FALSE)/(VLOOKUP($A228,'[1]import graded seats course pivo'!$A:AP,HLOOKUP('[1]Course Totals'!R$4,'[1]import graded seats course pivo'!$1:$2,2,FALSE),FALSE))),"")</f>
        <v/>
      </c>
      <c r="S228" s="14" t="str">
        <f>IFERROR((VLOOKUP($A228,'[1]import success seats course'!$A:AG,HLOOKUP('[1]Course Totals'!S$4,'[1]import success seats course'!$1:$2,2,FALSE),FALSE)/(VLOOKUP($A228,'[1]import graded seats course pivo'!$A:AQ,HLOOKUP('[1]Course Totals'!S$4,'[1]import graded seats course pivo'!$1:$2,2,FALSE),FALSE))),"")</f>
        <v/>
      </c>
      <c r="Z228" s="7"/>
      <c r="AA228" s="7"/>
      <c r="AB228" s="7"/>
      <c r="AC228" s="7"/>
    </row>
    <row r="229" spans="1:29" ht="15.75" customHeight="1" x14ac:dyDescent="0.25">
      <c r="A229" s="12" t="s">
        <v>692</v>
      </c>
      <c r="B229" s="14" t="str">
        <f>IFERROR((VLOOKUP($A229,'[1]import success seats course'!$A:P,HLOOKUP('[1]Course Totals'!B$4,'[1]import success seats course'!$1:$2,2,FALSE),FALSE)/(VLOOKUP($A229,'[1]import graded seats course pivo'!$A:Z,HLOOKUP('[1]Course Totals'!B$4,'[1]import graded seats course pivo'!$1:$2,2,FALSE),FALSE))),"")</f>
        <v/>
      </c>
      <c r="C229" s="14" t="str">
        <f>IFERROR((VLOOKUP($A229,'[1]import success seats course'!$A:Q,HLOOKUP('[1]Course Totals'!C$4,'[1]import success seats course'!$1:$2,2,FALSE),FALSE)/(VLOOKUP($A229,'[1]import graded seats course pivo'!$A:AA,HLOOKUP('[1]Course Totals'!C$4,'[1]import graded seats course pivo'!$1:$2,2,FALSE),FALSE))),"")</f>
        <v/>
      </c>
      <c r="D229" s="14" t="str">
        <f>IFERROR((VLOOKUP($A229,'[1]import success seats course'!$A:R,HLOOKUP('[1]Course Totals'!D$4,'[1]import success seats course'!$1:$2,2,FALSE),FALSE)/(VLOOKUP($A229,'[1]import graded seats course pivo'!$A:AB,HLOOKUP('[1]Course Totals'!D$4,'[1]import graded seats course pivo'!$1:$2,2,FALSE),FALSE))),"")</f>
        <v/>
      </c>
      <c r="E229" s="14" t="str">
        <f>IFERROR((VLOOKUP($A229,'[1]import success seats course'!$A:S,HLOOKUP('[1]Course Totals'!E$4,'[1]import success seats course'!$1:$2,2,FALSE),FALSE)/(VLOOKUP($A229,'[1]import graded seats course pivo'!$A:AC,HLOOKUP('[1]Course Totals'!E$4,'[1]import graded seats course pivo'!$1:$2,2,FALSE),FALSE))),"")</f>
        <v/>
      </c>
      <c r="F229" s="14" t="str">
        <f>IFERROR((VLOOKUP($A229,'[1]import success seats course'!$A:T,HLOOKUP('[1]Course Totals'!F$4,'[1]import success seats course'!$1:$2,2,FALSE),FALSE)/(VLOOKUP($A229,'[1]import graded seats course pivo'!$A:AD,HLOOKUP('[1]Course Totals'!F$4,'[1]import graded seats course pivo'!$1:$2,2,FALSE),FALSE))),"")</f>
        <v/>
      </c>
      <c r="G229" s="14" t="str">
        <f>IFERROR((VLOOKUP($A229,'[1]import success seats course'!$A:U,HLOOKUP('[1]Course Totals'!G$4,'[1]import success seats course'!$1:$2,2,FALSE),FALSE)/(VLOOKUP($A229,'[1]import graded seats course pivo'!$A:AE,HLOOKUP('[1]Course Totals'!G$4,'[1]import graded seats course pivo'!$1:$2,2,FALSE),FALSE))),"")</f>
        <v/>
      </c>
      <c r="H229" s="14" t="str">
        <f>IFERROR((VLOOKUP($A229,'[1]import success seats course'!$A:V,HLOOKUP('[1]Course Totals'!H$4,'[1]import success seats course'!$1:$2,2,FALSE),FALSE)/(VLOOKUP($A229,'[1]import graded seats course pivo'!$A:AF,HLOOKUP('[1]Course Totals'!H$4,'[1]import graded seats course pivo'!$1:$2,2,FALSE),FALSE))),"")</f>
        <v/>
      </c>
      <c r="I229" s="14">
        <f>IFERROR((VLOOKUP($A229,'[1]import success seats course'!$A:W,HLOOKUP('[1]Course Totals'!I$4,'[1]import success seats course'!$1:$2,2,FALSE),FALSE)/(VLOOKUP($A229,'[1]import graded seats course pivo'!$A:AG,HLOOKUP('[1]Course Totals'!I$4,'[1]import graded seats course pivo'!$1:$2,2,FALSE),FALSE))),"")</f>
        <v>0.8571428571428571</v>
      </c>
      <c r="J229" s="14">
        <f>IFERROR((VLOOKUP($A229,'[1]import success seats course'!$A:X,HLOOKUP('[1]Course Totals'!J$4,'[1]import success seats course'!$1:$2,2,FALSE),FALSE)/(VLOOKUP($A229,'[1]import graded seats course pivo'!$A:AH,HLOOKUP('[1]Course Totals'!J$4,'[1]import graded seats course pivo'!$1:$2,2,FALSE),FALSE))),"")</f>
        <v>0.91304347826086951</v>
      </c>
      <c r="K229" s="14" t="str">
        <f>IFERROR((VLOOKUP($A229,'[1]import success seats course'!$A:Y,HLOOKUP('[1]Course Totals'!K$4,'[1]import success seats course'!$1:$2,2,FALSE),FALSE)/(VLOOKUP($A229,'[1]import graded seats course pivo'!$A:AI,HLOOKUP('[1]Course Totals'!K$4,'[1]import graded seats course pivo'!$1:$2,2,FALSE),FALSE))),"")</f>
        <v/>
      </c>
      <c r="L229" s="14">
        <f>IFERROR((VLOOKUP($A229,'[1]import success seats course'!$A:Z,HLOOKUP('[1]Course Totals'!L$4,'[1]import success seats course'!$1:$2,2,FALSE),FALSE)/(VLOOKUP($A229,'[1]import graded seats course pivo'!$A:AJ,HLOOKUP('[1]Course Totals'!L$4,'[1]import graded seats course pivo'!$1:$2,2,FALSE),FALSE))),"")</f>
        <v>0.70833333333333337</v>
      </c>
      <c r="M229" s="14" t="str">
        <f>IFERROR((VLOOKUP($A229,'[1]import success seats course'!$A:AA,HLOOKUP('[1]Course Totals'!M$4,'[1]import success seats course'!$1:$2,2,FALSE),FALSE)/(VLOOKUP($A229,'[1]import graded seats course pivo'!$A:AK,HLOOKUP('[1]Course Totals'!M$4,'[1]import graded seats course pivo'!$1:$2,2,FALSE),FALSE))),"")</f>
        <v/>
      </c>
      <c r="N229" s="14" t="str">
        <f>IFERROR((VLOOKUP($A229,'[1]import success seats course'!$A:AB,HLOOKUP('[1]Course Totals'!N$4,'[1]import success seats course'!$1:$2,2,FALSE),FALSE)/(VLOOKUP($A229,'[1]import graded seats course pivo'!$A:AL,HLOOKUP('[1]Course Totals'!N$4,'[1]import graded seats course pivo'!$1:$2,2,FALSE),FALSE))),"")</f>
        <v/>
      </c>
      <c r="O229" s="14" t="str">
        <f>IFERROR((VLOOKUP($A229,'[1]import success seats course'!$A:AC,HLOOKUP('[1]Course Totals'!O$4,'[1]import success seats course'!$1:$2,2,FALSE),FALSE)/(VLOOKUP($A229,'[1]import graded seats course pivo'!$A:AM,HLOOKUP('[1]Course Totals'!O$4,'[1]import graded seats course pivo'!$1:$2,2,FALSE),FALSE))),"")</f>
        <v/>
      </c>
      <c r="P229" s="14" t="str">
        <f>IFERROR((VLOOKUP($A229,'[1]import success seats course'!$A:AD,HLOOKUP('[1]Course Totals'!P$4,'[1]import success seats course'!$1:$2,2,FALSE),FALSE)/(VLOOKUP($A229,'[1]import graded seats course pivo'!$A:AN,HLOOKUP('[1]Course Totals'!P$4,'[1]import graded seats course pivo'!$1:$2,2,FALSE),FALSE))),"")</f>
        <v/>
      </c>
      <c r="Q229" s="14" t="str">
        <f>IFERROR((VLOOKUP($A229,'[1]import success seats course'!$A:AE,HLOOKUP('[1]Course Totals'!Q$4,'[1]import success seats course'!$1:$2,2,FALSE),FALSE)/(VLOOKUP($A229,'[1]import graded seats course pivo'!$A:AO,HLOOKUP('[1]Course Totals'!Q$4,'[1]import graded seats course pivo'!$1:$2,2,FALSE),FALSE))),"")</f>
        <v/>
      </c>
      <c r="R229" s="14" t="str">
        <f>IFERROR((VLOOKUP($A229,'[1]import success seats course'!$A:AF,HLOOKUP('[1]Course Totals'!R$4,'[1]import success seats course'!$1:$2,2,FALSE),FALSE)/(VLOOKUP($A229,'[1]import graded seats course pivo'!$A:AP,HLOOKUP('[1]Course Totals'!R$4,'[1]import graded seats course pivo'!$1:$2,2,FALSE),FALSE))),"")</f>
        <v/>
      </c>
      <c r="S229" s="14" t="str">
        <f>IFERROR((VLOOKUP($A229,'[1]import success seats course'!$A:AG,HLOOKUP('[1]Course Totals'!S$4,'[1]import success seats course'!$1:$2,2,FALSE),FALSE)/(VLOOKUP($A229,'[1]import graded seats course pivo'!$A:AQ,HLOOKUP('[1]Course Totals'!S$4,'[1]import graded seats course pivo'!$1:$2,2,FALSE),FALSE))),"")</f>
        <v/>
      </c>
      <c r="Z229" s="7"/>
      <c r="AA229" s="7"/>
      <c r="AB229" s="7"/>
      <c r="AC229" s="7"/>
    </row>
    <row r="230" spans="1:29" ht="15.75" customHeight="1" x14ac:dyDescent="0.25">
      <c r="A230" s="12" t="s">
        <v>693</v>
      </c>
      <c r="B230" s="14" t="str">
        <f>IFERROR((VLOOKUP($A230,'[1]import success seats course'!$A:P,HLOOKUP('[1]Course Totals'!B$4,'[1]import success seats course'!$1:$2,2,FALSE),FALSE)/(VLOOKUP($A230,'[1]import graded seats course pivo'!$A:Z,HLOOKUP('[1]Course Totals'!B$4,'[1]import graded seats course pivo'!$1:$2,2,FALSE),FALSE))),"")</f>
        <v/>
      </c>
      <c r="C230" s="14" t="str">
        <f>IFERROR((VLOOKUP($A230,'[1]import success seats course'!$A:Q,HLOOKUP('[1]Course Totals'!C$4,'[1]import success seats course'!$1:$2,2,FALSE),FALSE)/(VLOOKUP($A230,'[1]import graded seats course pivo'!$A:AA,HLOOKUP('[1]Course Totals'!C$4,'[1]import graded seats course pivo'!$1:$2,2,FALSE),FALSE))),"")</f>
        <v/>
      </c>
      <c r="D230" s="14" t="str">
        <f>IFERROR((VLOOKUP($A230,'[1]import success seats course'!$A:R,HLOOKUP('[1]Course Totals'!D$4,'[1]import success seats course'!$1:$2,2,FALSE),FALSE)/(VLOOKUP($A230,'[1]import graded seats course pivo'!$A:AB,HLOOKUP('[1]Course Totals'!D$4,'[1]import graded seats course pivo'!$1:$2,2,FALSE),FALSE))),"")</f>
        <v/>
      </c>
      <c r="E230" s="14" t="str">
        <f>IFERROR((VLOOKUP($A230,'[1]import success seats course'!$A:S,HLOOKUP('[1]Course Totals'!E$4,'[1]import success seats course'!$1:$2,2,FALSE),FALSE)/(VLOOKUP($A230,'[1]import graded seats course pivo'!$A:AC,HLOOKUP('[1]Course Totals'!E$4,'[1]import graded seats course pivo'!$1:$2,2,FALSE),FALSE))),"")</f>
        <v/>
      </c>
      <c r="F230" s="14" t="str">
        <f>IFERROR((VLOOKUP($A230,'[1]import success seats course'!$A:T,HLOOKUP('[1]Course Totals'!F$4,'[1]import success seats course'!$1:$2,2,FALSE),FALSE)/(VLOOKUP($A230,'[1]import graded seats course pivo'!$A:AD,HLOOKUP('[1]Course Totals'!F$4,'[1]import graded seats course pivo'!$1:$2,2,FALSE),FALSE))),"")</f>
        <v/>
      </c>
      <c r="G230" s="14" t="str">
        <f>IFERROR((VLOOKUP($A230,'[1]import success seats course'!$A:U,HLOOKUP('[1]Course Totals'!G$4,'[1]import success seats course'!$1:$2,2,FALSE),FALSE)/(VLOOKUP($A230,'[1]import graded seats course pivo'!$A:AE,HLOOKUP('[1]Course Totals'!G$4,'[1]import graded seats course pivo'!$1:$2,2,FALSE),FALSE))),"")</f>
        <v/>
      </c>
      <c r="H230" s="14" t="str">
        <f>IFERROR((VLOOKUP($A230,'[1]import success seats course'!$A:V,HLOOKUP('[1]Course Totals'!H$4,'[1]import success seats course'!$1:$2,2,FALSE),FALSE)/(VLOOKUP($A230,'[1]import graded seats course pivo'!$A:AF,HLOOKUP('[1]Course Totals'!H$4,'[1]import graded seats course pivo'!$1:$2,2,FALSE),FALSE))),"")</f>
        <v/>
      </c>
      <c r="I230" s="14">
        <f>IFERROR((VLOOKUP($A230,'[1]import success seats course'!$A:W,HLOOKUP('[1]Course Totals'!I$4,'[1]import success seats course'!$1:$2,2,FALSE),FALSE)/(VLOOKUP($A230,'[1]import graded seats course pivo'!$A:AG,HLOOKUP('[1]Course Totals'!I$4,'[1]import graded seats course pivo'!$1:$2,2,FALSE),FALSE))),"")</f>
        <v>0.88</v>
      </c>
      <c r="J230" s="14">
        <f>IFERROR((VLOOKUP($A230,'[1]import success seats course'!$A:X,HLOOKUP('[1]Course Totals'!J$4,'[1]import success seats course'!$1:$2,2,FALSE),FALSE)/(VLOOKUP($A230,'[1]import graded seats course pivo'!$A:AH,HLOOKUP('[1]Course Totals'!J$4,'[1]import graded seats course pivo'!$1:$2,2,FALSE),FALSE))),"")</f>
        <v>1</v>
      </c>
      <c r="K230" s="14" t="str">
        <f>IFERROR((VLOOKUP($A230,'[1]import success seats course'!$A:Y,HLOOKUP('[1]Course Totals'!K$4,'[1]import success seats course'!$1:$2,2,FALSE),FALSE)/(VLOOKUP($A230,'[1]import graded seats course pivo'!$A:AI,HLOOKUP('[1]Course Totals'!K$4,'[1]import graded seats course pivo'!$1:$2,2,FALSE),FALSE))),"")</f>
        <v/>
      </c>
      <c r="L230" s="14">
        <f>IFERROR((VLOOKUP($A230,'[1]import success seats course'!$A:Z,HLOOKUP('[1]Course Totals'!L$4,'[1]import success seats course'!$1:$2,2,FALSE),FALSE)/(VLOOKUP($A230,'[1]import graded seats course pivo'!$A:AJ,HLOOKUP('[1]Course Totals'!L$4,'[1]import graded seats course pivo'!$1:$2,2,FALSE),FALSE))),"")</f>
        <v>0.95238095238095233</v>
      </c>
      <c r="M230" s="14">
        <f>IFERROR((VLOOKUP($A230,'[1]import success seats course'!$A:AA,HLOOKUP('[1]Course Totals'!M$4,'[1]import success seats course'!$1:$2,2,FALSE),FALSE)/(VLOOKUP($A230,'[1]import graded seats course pivo'!$A:AK,HLOOKUP('[1]Course Totals'!M$4,'[1]import graded seats course pivo'!$1:$2,2,FALSE),FALSE))),"")</f>
        <v>0.94444444444444442</v>
      </c>
      <c r="N230" s="14" t="str">
        <f>IFERROR((VLOOKUP($A230,'[1]import success seats course'!$A:AB,HLOOKUP('[1]Course Totals'!N$4,'[1]import success seats course'!$1:$2,2,FALSE),FALSE)/(VLOOKUP($A230,'[1]import graded seats course pivo'!$A:AL,HLOOKUP('[1]Course Totals'!N$4,'[1]import graded seats course pivo'!$1:$2,2,FALSE),FALSE))),"")</f>
        <v/>
      </c>
      <c r="O230" s="14" t="str">
        <f>IFERROR((VLOOKUP($A230,'[1]import success seats course'!$A:AC,HLOOKUP('[1]Course Totals'!O$4,'[1]import success seats course'!$1:$2,2,FALSE),FALSE)/(VLOOKUP($A230,'[1]import graded seats course pivo'!$A:AM,HLOOKUP('[1]Course Totals'!O$4,'[1]import graded seats course pivo'!$1:$2,2,FALSE),FALSE))),"")</f>
        <v/>
      </c>
      <c r="P230" s="14" t="str">
        <f>IFERROR((VLOOKUP($A230,'[1]import success seats course'!$A:AD,HLOOKUP('[1]Course Totals'!P$4,'[1]import success seats course'!$1:$2,2,FALSE),FALSE)/(VLOOKUP($A230,'[1]import graded seats course pivo'!$A:AN,HLOOKUP('[1]Course Totals'!P$4,'[1]import graded seats course pivo'!$1:$2,2,FALSE),FALSE))),"")</f>
        <v/>
      </c>
      <c r="Q230" s="14" t="str">
        <f>IFERROR((VLOOKUP($A230,'[1]import success seats course'!$A:AE,HLOOKUP('[1]Course Totals'!Q$4,'[1]import success seats course'!$1:$2,2,FALSE),FALSE)/(VLOOKUP($A230,'[1]import graded seats course pivo'!$A:AO,HLOOKUP('[1]Course Totals'!Q$4,'[1]import graded seats course pivo'!$1:$2,2,FALSE),FALSE))),"")</f>
        <v/>
      </c>
      <c r="R230" s="14" t="str">
        <f>IFERROR((VLOOKUP($A230,'[1]import success seats course'!$A:AF,HLOOKUP('[1]Course Totals'!R$4,'[1]import success seats course'!$1:$2,2,FALSE),FALSE)/(VLOOKUP($A230,'[1]import graded seats course pivo'!$A:AP,HLOOKUP('[1]Course Totals'!R$4,'[1]import graded seats course pivo'!$1:$2,2,FALSE),FALSE))),"")</f>
        <v/>
      </c>
      <c r="S230" s="14" t="str">
        <f>IFERROR((VLOOKUP($A230,'[1]import success seats course'!$A:AG,HLOOKUP('[1]Course Totals'!S$4,'[1]import success seats course'!$1:$2,2,FALSE),FALSE)/(VLOOKUP($A230,'[1]import graded seats course pivo'!$A:AQ,HLOOKUP('[1]Course Totals'!S$4,'[1]import graded seats course pivo'!$1:$2,2,FALSE),FALSE))),"")</f>
        <v/>
      </c>
      <c r="Z230" s="7"/>
      <c r="AA230" s="7"/>
      <c r="AB230" s="7"/>
      <c r="AC230" s="7"/>
    </row>
    <row r="231" spans="1:29" ht="15.75" customHeight="1" x14ac:dyDescent="0.25">
      <c r="A231" s="12" t="s">
        <v>694</v>
      </c>
      <c r="B231" s="14" t="str">
        <f>IFERROR((VLOOKUP($A231,'[1]import success seats course'!$A:P,HLOOKUP('[1]Course Totals'!B$4,'[1]import success seats course'!$1:$2,2,FALSE),FALSE)/(VLOOKUP($A231,'[1]import graded seats course pivo'!$A:Z,HLOOKUP('[1]Course Totals'!B$4,'[1]import graded seats course pivo'!$1:$2,2,FALSE),FALSE))),"")</f>
        <v/>
      </c>
      <c r="C231" s="14" t="str">
        <f>IFERROR((VLOOKUP($A231,'[1]import success seats course'!$A:Q,HLOOKUP('[1]Course Totals'!C$4,'[1]import success seats course'!$1:$2,2,FALSE),FALSE)/(VLOOKUP($A231,'[1]import graded seats course pivo'!$A:AA,HLOOKUP('[1]Course Totals'!C$4,'[1]import graded seats course pivo'!$1:$2,2,FALSE),FALSE))),"")</f>
        <v/>
      </c>
      <c r="D231" s="14" t="str">
        <f>IFERROR((VLOOKUP($A231,'[1]import success seats course'!$A:R,HLOOKUP('[1]Course Totals'!D$4,'[1]import success seats course'!$1:$2,2,FALSE),FALSE)/(VLOOKUP($A231,'[1]import graded seats course pivo'!$A:AB,HLOOKUP('[1]Course Totals'!D$4,'[1]import graded seats course pivo'!$1:$2,2,FALSE),FALSE))),"")</f>
        <v/>
      </c>
      <c r="E231" s="14" t="str">
        <f>IFERROR((VLOOKUP($A231,'[1]import success seats course'!$A:S,HLOOKUP('[1]Course Totals'!E$4,'[1]import success seats course'!$1:$2,2,FALSE),FALSE)/(VLOOKUP($A231,'[1]import graded seats course pivo'!$A:AC,HLOOKUP('[1]Course Totals'!E$4,'[1]import graded seats course pivo'!$1:$2,2,FALSE),FALSE))),"")</f>
        <v/>
      </c>
      <c r="F231" s="14" t="str">
        <f>IFERROR((VLOOKUP($A231,'[1]import success seats course'!$A:T,HLOOKUP('[1]Course Totals'!F$4,'[1]import success seats course'!$1:$2,2,FALSE),FALSE)/(VLOOKUP($A231,'[1]import graded seats course pivo'!$A:AD,HLOOKUP('[1]Course Totals'!F$4,'[1]import graded seats course pivo'!$1:$2,2,FALSE),FALSE))),"")</f>
        <v/>
      </c>
      <c r="G231" s="14" t="str">
        <f>IFERROR((VLOOKUP($A231,'[1]import success seats course'!$A:U,HLOOKUP('[1]Course Totals'!G$4,'[1]import success seats course'!$1:$2,2,FALSE),FALSE)/(VLOOKUP($A231,'[1]import graded seats course pivo'!$A:AE,HLOOKUP('[1]Course Totals'!G$4,'[1]import graded seats course pivo'!$1:$2,2,FALSE),FALSE))),"")</f>
        <v/>
      </c>
      <c r="H231" s="14" t="str">
        <f>IFERROR((VLOOKUP($A231,'[1]import success seats course'!$A:V,HLOOKUP('[1]Course Totals'!H$4,'[1]import success seats course'!$1:$2,2,FALSE),FALSE)/(VLOOKUP($A231,'[1]import graded seats course pivo'!$A:AF,HLOOKUP('[1]Course Totals'!H$4,'[1]import graded seats course pivo'!$1:$2,2,FALSE),FALSE))),"")</f>
        <v/>
      </c>
      <c r="I231" s="14">
        <f>IFERROR((VLOOKUP($A231,'[1]import success seats course'!$A:W,HLOOKUP('[1]Course Totals'!I$4,'[1]import success seats course'!$1:$2,2,FALSE),FALSE)/(VLOOKUP($A231,'[1]import graded seats course pivo'!$A:AG,HLOOKUP('[1]Course Totals'!I$4,'[1]import graded seats course pivo'!$1:$2,2,FALSE),FALSE))),"")</f>
        <v>0.7321428571428571</v>
      </c>
      <c r="J231" s="14">
        <f>IFERROR((VLOOKUP($A231,'[1]import success seats course'!$A:X,HLOOKUP('[1]Course Totals'!J$4,'[1]import success seats course'!$1:$2,2,FALSE),FALSE)/(VLOOKUP($A231,'[1]import graded seats course pivo'!$A:AH,HLOOKUP('[1]Course Totals'!J$4,'[1]import graded seats course pivo'!$1:$2,2,FALSE),FALSE))),"")</f>
        <v>0.70909090909090911</v>
      </c>
      <c r="K231" s="14" t="str">
        <f>IFERROR((VLOOKUP($A231,'[1]import success seats course'!$A:Y,HLOOKUP('[1]Course Totals'!K$4,'[1]import success seats course'!$1:$2,2,FALSE),FALSE)/(VLOOKUP($A231,'[1]import graded seats course pivo'!$A:AI,HLOOKUP('[1]Course Totals'!K$4,'[1]import graded seats course pivo'!$1:$2,2,FALSE),FALSE))),"")</f>
        <v/>
      </c>
      <c r="L231" s="14">
        <f>IFERROR((VLOOKUP($A231,'[1]import success seats course'!$A:Z,HLOOKUP('[1]Course Totals'!L$4,'[1]import success seats course'!$1:$2,2,FALSE),FALSE)/(VLOOKUP($A231,'[1]import graded seats course pivo'!$A:AJ,HLOOKUP('[1]Course Totals'!L$4,'[1]import graded seats course pivo'!$1:$2,2,FALSE),FALSE))),"")</f>
        <v>0.74545454545454548</v>
      </c>
      <c r="M231" s="14">
        <f>IFERROR((VLOOKUP($A231,'[1]import success seats course'!$A:AA,HLOOKUP('[1]Course Totals'!M$4,'[1]import success seats course'!$1:$2,2,FALSE),FALSE)/(VLOOKUP($A231,'[1]import graded seats course pivo'!$A:AK,HLOOKUP('[1]Course Totals'!M$4,'[1]import graded seats course pivo'!$1:$2,2,FALSE),FALSE))),"")</f>
        <v>0.89655172413793105</v>
      </c>
      <c r="N231" s="14" t="str">
        <f>IFERROR((VLOOKUP($A231,'[1]import success seats course'!$A:AB,HLOOKUP('[1]Course Totals'!N$4,'[1]import success seats course'!$1:$2,2,FALSE),FALSE)/(VLOOKUP($A231,'[1]import graded seats course pivo'!$A:AL,HLOOKUP('[1]Course Totals'!N$4,'[1]import graded seats course pivo'!$1:$2,2,FALSE),FALSE))),"")</f>
        <v/>
      </c>
      <c r="O231" s="14">
        <f>IFERROR((VLOOKUP($A231,'[1]import success seats course'!$A:AC,HLOOKUP('[1]Course Totals'!O$4,'[1]import success seats course'!$1:$2,2,FALSE),FALSE)/(VLOOKUP($A231,'[1]import graded seats course pivo'!$A:AM,HLOOKUP('[1]Course Totals'!O$4,'[1]import graded seats course pivo'!$1:$2,2,FALSE),FALSE))),"")</f>
        <v>0.84210526315789469</v>
      </c>
      <c r="P231" s="14">
        <f>IFERROR((VLOOKUP($A231,'[1]import success seats course'!$A:AD,HLOOKUP('[1]Course Totals'!P$4,'[1]import success seats course'!$1:$2,2,FALSE),FALSE)/(VLOOKUP($A231,'[1]import graded seats course pivo'!$A:AN,HLOOKUP('[1]Course Totals'!P$4,'[1]import graded seats course pivo'!$1:$2,2,FALSE),FALSE))),"")</f>
        <v>0.82456140350877194</v>
      </c>
      <c r="Q231" s="14" t="str">
        <f>IFERROR((VLOOKUP($A231,'[1]import success seats course'!$A:AE,HLOOKUP('[1]Course Totals'!Q$4,'[1]import success seats course'!$1:$2,2,FALSE),FALSE)/(VLOOKUP($A231,'[1]import graded seats course pivo'!$A:AO,HLOOKUP('[1]Course Totals'!Q$4,'[1]import graded seats course pivo'!$1:$2,2,FALSE),FALSE))),"")</f>
        <v/>
      </c>
      <c r="R231" s="14">
        <f>IFERROR((VLOOKUP($A231,'[1]import success seats course'!$A:AF,HLOOKUP('[1]Course Totals'!R$4,'[1]import success seats course'!$1:$2,2,FALSE),FALSE)/(VLOOKUP($A231,'[1]import graded seats course pivo'!$A:AP,HLOOKUP('[1]Course Totals'!R$4,'[1]import graded seats course pivo'!$1:$2,2,FALSE),FALSE))),"")</f>
        <v>0.90740740740740744</v>
      </c>
      <c r="S231" s="14" t="str">
        <f>IFERROR((VLOOKUP($A231,'[1]import success seats course'!$A:AG,HLOOKUP('[1]Course Totals'!S$4,'[1]import success seats course'!$1:$2,2,FALSE),FALSE)/(VLOOKUP($A231,'[1]import graded seats course pivo'!$A:AQ,HLOOKUP('[1]Course Totals'!S$4,'[1]import graded seats course pivo'!$1:$2,2,FALSE),FALSE))),"")</f>
        <v/>
      </c>
      <c r="Z231" s="7"/>
      <c r="AA231" s="7"/>
      <c r="AB231" s="7"/>
      <c r="AC231" s="7"/>
    </row>
    <row r="232" spans="1:29" ht="15.75" customHeight="1" x14ac:dyDescent="0.25">
      <c r="A232" s="12" t="s">
        <v>124</v>
      </c>
      <c r="B232" s="14">
        <f>IFERROR((VLOOKUP($A232,'[1]import success seats course'!$A:P,HLOOKUP('[1]Course Totals'!B$4,'[1]import success seats course'!$1:$2,2,FALSE),FALSE)/(VLOOKUP($A232,'[1]import graded seats course pivo'!$A:Z,HLOOKUP('[1]Course Totals'!B$4,'[1]import graded seats course pivo'!$1:$2,2,FALSE),FALSE))),"")</f>
        <v>1</v>
      </c>
      <c r="C232" s="14">
        <f>IFERROR((VLOOKUP($A232,'[1]import success seats course'!$A:Q,HLOOKUP('[1]Course Totals'!C$4,'[1]import success seats course'!$1:$2,2,FALSE),FALSE)/(VLOOKUP($A232,'[1]import graded seats course pivo'!$A:AA,HLOOKUP('[1]Course Totals'!C$4,'[1]import graded seats course pivo'!$1:$2,2,FALSE),FALSE))),"")</f>
        <v>0.92500000000000004</v>
      </c>
      <c r="D232" s="14" t="str">
        <f>IFERROR((VLOOKUP($A232,'[1]import success seats course'!$A:R,HLOOKUP('[1]Course Totals'!D$4,'[1]import success seats course'!$1:$2,2,FALSE),FALSE)/(VLOOKUP($A232,'[1]import graded seats course pivo'!$A:AB,HLOOKUP('[1]Course Totals'!D$4,'[1]import graded seats course pivo'!$1:$2,2,FALSE),FALSE))),"")</f>
        <v/>
      </c>
      <c r="E232" s="14" t="str">
        <f>IFERROR((VLOOKUP($A232,'[1]import success seats course'!$A:S,HLOOKUP('[1]Course Totals'!E$4,'[1]import success seats course'!$1:$2,2,FALSE),FALSE)/(VLOOKUP($A232,'[1]import graded seats course pivo'!$A:AC,HLOOKUP('[1]Course Totals'!E$4,'[1]import graded seats course pivo'!$1:$2,2,FALSE),FALSE))),"")</f>
        <v/>
      </c>
      <c r="F232" s="14" t="str">
        <f>IFERROR((VLOOKUP($A232,'[1]import success seats course'!$A:T,HLOOKUP('[1]Course Totals'!F$4,'[1]import success seats course'!$1:$2,2,FALSE),FALSE)/(VLOOKUP($A232,'[1]import graded seats course pivo'!$A:AD,HLOOKUP('[1]Course Totals'!F$4,'[1]import graded seats course pivo'!$1:$2,2,FALSE),FALSE))),"")</f>
        <v/>
      </c>
      <c r="G232" s="14" t="str">
        <f>IFERROR((VLOOKUP($A232,'[1]import success seats course'!$A:U,HLOOKUP('[1]Course Totals'!G$4,'[1]import success seats course'!$1:$2,2,FALSE),FALSE)/(VLOOKUP($A232,'[1]import graded seats course pivo'!$A:AE,HLOOKUP('[1]Course Totals'!G$4,'[1]import graded seats course pivo'!$1:$2,2,FALSE),FALSE))),"")</f>
        <v/>
      </c>
      <c r="H232" s="14" t="str">
        <f>IFERROR((VLOOKUP($A232,'[1]import success seats course'!$A:V,HLOOKUP('[1]Course Totals'!H$4,'[1]import success seats course'!$1:$2,2,FALSE),FALSE)/(VLOOKUP($A232,'[1]import graded seats course pivo'!$A:AF,HLOOKUP('[1]Course Totals'!H$4,'[1]import graded seats course pivo'!$1:$2,2,FALSE),FALSE))),"")</f>
        <v/>
      </c>
      <c r="I232" s="14" t="str">
        <f>IFERROR((VLOOKUP($A232,'[1]import success seats course'!$A:W,HLOOKUP('[1]Course Totals'!I$4,'[1]import success seats course'!$1:$2,2,FALSE),FALSE)/(VLOOKUP($A232,'[1]import graded seats course pivo'!$A:AG,HLOOKUP('[1]Course Totals'!I$4,'[1]import graded seats course pivo'!$1:$2,2,FALSE),FALSE))),"")</f>
        <v/>
      </c>
      <c r="J232" s="14" t="str">
        <f>IFERROR((VLOOKUP($A232,'[1]import success seats course'!$A:X,HLOOKUP('[1]Course Totals'!J$4,'[1]import success seats course'!$1:$2,2,FALSE),FALSE)/(VLOOKUP($A232,'[1]import graded seats course pivo'!$A:AH,HLOOKUP('[1]Course Totals'!J$4,'[1]import graded seats course pivo'!$1:$2,2,FALSE),FALSE))),"")</f>
        <v/>
      </c>
      <c r="K232" s="14" t="str">
        <f>IFERROR((VLOOKUP($A232,'[1]import success seats course'!$A:Y,HLOOKUP('[1]Course Totals'!K$4,'[1]import success seats course'!$1:$2,2,FALSE),FALSE)/(VLOOKUP($A232,'[1]import graded seats course pivo'!$A:AI,HLOOKUP('[1]Course Totals'!K$4,'[1]import graded seats course pivo'!$1:$2,2,FALSE),FALSE))),"")</f>
        <v/>
      </c>
      <c r="L232" s="14" t="str">
        <f>IFERROR((VLOOKUP($A232,'[1]import success seats course'!$A:Z,HLOOKUP('[1]Course Totals'!L$4,'[1]import success seats course'!$1:$2,2,FALSE),FALSE)/(VLOOKUP($A232,'[1]import graded seats course pivo'!$A:AJ,HLOOKUP('[1]Course Totals'!L$4,'[1]import graded seats course pivo'!$1:$2,2,FALSE),FALSE))),"")</f>
        <v/>
      </c>
      <c r="M232" s="14" t="str">
        <f>IFERROR((VLOOKUP($A232,'[1]import success seats course'!$A:AA,HLOOKUP('[1]Course Totals'!M$4,'[1]import success seats course'!$1:$2,2,FALSE),FALSE)/(VLOOKUP($A232,'[1]import graded seats course pivo'!$A:AK,HLOOKUP('[1]Course Totals'!M$4,'[1]import graded seats course pivo'!$1:$2,2,FALSE),FALSE))),"")</f>
        <v/>
      </c>
      <c r="N232" s="14" t="str">
        <f>IFERROR((VLOOKUP($A232,'[1]import success seats course'!$A:AB,HLOOKUP('[1]Course Totals'!N$4,'[1]import success seats course'!$1:$2,2,FALSE),FALSE)/(VLOOKUP($A232,'[1]import graded seats course pivo'!$A:AL,HLOOKUP('[1]Course Totals'!N$4,'[1]import graded seats course pivo'!$1:$2,2,FALSE),FALSE))),"")</f>
        <v/>
      </c>
      <c r="O232" s="14" t="str">
        <f>IFERROR((VLOOKUP($A232,'[1]import success seats course'!$A:AC,HLOOKUP('[1]Course Totals'!O$4,'[1]import success seats course'!$1:$2,2,FALSE),FALSE)/(VLOOKUP($A232,'[1]import graded seats course pivo'!$A:AM,HLOOKUP('[1]Course Totals'!O$4,'[1]import graded seats course pivo'!$1:$2,2,FALSE),FALSE))),"")</f>
        <v/>
      </c>
      <c r="P232" s="14" t="str">
        <f>IFERROR((VLOOKUP($A232,'[1]import success seats course'!$A:AD,HLOOKUP('[1]Course Totals'!P$4,'[1]import success seats course'!$1:$2,2,FALSE),FALSE)/(VLOOKUP($A232,'[1]import graded seats course pivo'!$A:AN,HLOOKUP('[1]Course Totals'!P$4,'[1]import graded seats course pivo'!$1:$2,2,FALSE),FALSE))),"")</f>
        <v/>
      </c>
      <c r="Q232" s="14" t="str">
        <f>IFERROR((VLOOKUP($A232,'[1]import success seats course'!$A:AE,HLOOKUP('[1]Course Totals'!Q$4,'[1]import success seats course'!$1:$2,2,FALSE),FALSE)/(VLOOKUP($A232,'[1]import graded seats course pivo'!$A:AO,HLOOKUP('[1]Course Totals'!Q$4,'[1]import graded seats course pivo'!$1:$2,2,FALSE),FALSE))),"")</f>
        <v/>
      </c>
      <c r="R232" s="14" t="str">
        <f>IFERROR((VLOOKUP($A232,'[1]import success seats course'!$A:AF,HLOOKUP('[1]Course Totals'!R$4,'[1]import success seats course'!$1:$2,2,FALSE),FALSE)/(VLOOKUP($A232,'[1]import graded seats course pivo'!$A:AP,HLOOKUP('[1]Course Totals'!R$4,'[1]import graded seats course pivo'!$1:$2,2,FALSE),FALSE))),"")</f>
        <v/>
      </c>
      <c r="S232" s="14" t="str">
        <f>IFERROR((VLOOKUP($A232,'[1]import success seats course'!$A:AG,HLOOKUP('[1]Course Totals'!S$4,'[1]import success seats course'!$1:$2,2,FALSE),FALSE)/(VLOOKUP($A232,'[1]import graded seats course pivo'!$A:AQ,HLOOKUP('[1]Course Totals'!S$4,'[1]import graded seats course pivo'!$1:$2,2,FALSE),FALSE))),"")</f>
        <v/>
      </c>
      <c r="Z232" s="7"/>
      <c r="AA232" s="7"/>
      <c r="AB232" s="7"/>
      <c r="AC232" s="7"/>
    </row>
    <row r="233" spans="1:29" ht="15.75" customHeight="1" x14ac:dyDescent="0.25">
      <c r="A233" s="12" t="s">
        <v>570</v>
      </c>
      <c r="B233" s="14" t="str">
        <f>IFERROR((VLOOKUP($A233,'[1]import success seats course'!$A:P,HLOOKUP('[1]Course Totals'!B$4,'[1]import success seats course'!$1:$2,2,FALSE),FALSE)/(VLOOKUP($A233,'[1]import graded seats course pivo'!$A:Z,HLOOKUP('[1]Course Totals'!B$4,'[1]import graded seats course pivo'!$1:$2,2,FALSE),FALSE))),"")</f>
        <v/>
      </c>
      <c r="C233" s="14" t="str">
        <f>IFERROR((VLOOKUP($A233,'[1]import success seats course'!$A:Q,HLOOKUP('[1]Course Totals'!C$4,'[1]import success seats course'!$1:$2,2,FALSE),FALSE)/(VLOOKUP($A233,'[1]import graded seats course pivo'!$A:AA,HLOOKUP('[1]Course Totals'!C$4,'[1]import graded seats course pivo'!$1:$2,2,FALSE),FALSE))),"")</f>
        <v/>
      </c>
      <c r="D233" s="14">
        <f>IFERROR((VLOOKUP($A233,'[1]import success seats course'!$A:R,HLOOKUP('[1]Course Totals'!D$4,'[1]import success seats course'!$1:$2,2,FALSE),FALSE)/(VLOOKUP($A233,'[1]import graded seats course pivo'!$A:AB,HLOOKUP('[1]Course Totals'!D$4,'[1]import graded seats course pivo'!$1:$2,2,FALSE),FALSE))),"")</f>
        <v>0.81818181818181823</v>
      </c>
      <c r="E233" s="14" t="str">
        <f>IFERROR((VLOOKUP($A233,'[1]import success seats course'!$A:S,HLOOKUP('[1]Course Totals'!E$4,'[1]import success seats course'!$1:$2,2,FALSE),FALSE)/(VLOOKUP($A233,'[1]import graded seats course pivo'!$A:AC,HLOOKUP('[1]Course Totals'!E$4,'[1]import graded seats course pivo'!$1:$2,2,FALSE),FALSE))),"")</f>
        <v/>
      </c>
      <c r="F233" s="14">
        <f>IFERROR((VLOOKUP($A233,'[1]import success seats course'!$A:T,HLOOKUP('[1]Course Totals'!F$4,'[1]import success seats course'!$1:$2,2,FALSE),FALSE)/(VLOOKUP($A233,'[1]import graded seats course pivo'!$A:AD,HLOOKUP('[1]Course Totals'!F$4,'[1]import graded seats course pivo'!$1:$2,2,FALSE),FALSE))),"")</f>
        <v>0.77358490566037741</v>
      </c>
      <c r="G233" s="14">
        <f>IFERROR((VLOOKUP($A233,'[1]import success seats course'!$A:U,HLOOKUP('[1]Course Totals'!G$4,'[1]import success seats course'!$1:$2,2,FALSE),FALSE)/(VLOOKUP($A233,'[1]import graded seats course pivo'!$A:AE,HLOOKUP('[1]Course Totals'!G$4,'[1]import graded seats course pivo'!$1:$2,2,FALSE),FALSE))),"")</f>
        <v>0.660377358490566</v>
      </c>
      <c r="H233" s="14" t="str">
        <f>IFERROR((VLOOKUP($A233,'[1]import success seats course'!$A:V,HLOOKUP('[1]Course Totals'!H$4,'[1]import success seats course'!$1:$2,2,FALSE),FALSE)/(VLOOKUP($A233,'[1]import graded seats course pivo'!$A:AF,HLOOKUP('[1]Course Totals'!H$4,'[1]import graded seats course pivo'!$1:$2,2,FALSE),FALSE))),"")</f>
        <v/>
      </c>
      <c r="I233" s="14" t="str">
        <f>IFERROR((VLOOKUP($A233,'[1]import success seats course'!$A:W,HLOOKUP('[1]Course Totals'!I$4,'[1]import success seats course'!$1:$2,2,FALSE),FALSE)/(VLOOKUP($A233,'[1]import graded seats course pivo'!$A:AG,HLOOKUP('[1]Course Totals'!I$4,'[1]import graded seats course pivo'!$1:$2,2,FALSE),FALSE))),"")</f>
        <v/>
      </c>
      <c r="J233" s="14" t="str">
        <f>IFERROR((VLOOKUP($A233,'[1]import success seats course'!$A:X,HLOOKUP('[1]Course Totals'!J$4,'[1]import success seats course'!$1:$2,2,FALSE),FALSE)/(VLOOKUP($A233,'[1]import graded seats course pivo'!$A:AH,HLOOKUP('[1]Course Totals'!J$4,'[1]import graded seats course pivo'!$1:$2,2,FALSE),FALSE))),"")</f>
        <v/>
      </c>
      <c r="K233" s="14" t="str">
        <f>IFERROR((VLOOKUP($A233,'[1]import success seats course'!$A:Y,HLOOKUP('[1]Course Totals'!K$4,'[1]import success seats course'!$1:$2,2,FALSE),FALSE)/(VLOOKUP($A233,'[1]import graded seats course pivo'!$A:AI,HLOOKUP('[1]Course Totals'!K$4,'[1]import graded seats course pivo'!$1:$2,2,FALSE),FALSE))),"")</f>
        <v/>
      </c>
      <c r="L233" s="14" t="str">
        <f>IFERROR((VLOOKUP($A233,'[1]import success seats course'!$A:Z,HLOOKUP('[1]Course Totals'!L$4,'[1]import success seats course'!$1:$2,2,FALSE),FALSE)/(VLOOKUP($A233,'[1]import graded seats course pivo'!$A:AJ,HLOOKUP('[1]Course Totals'!L$4,'[1]import graded seats course pivo'!$1:$2,2,FALSE),FALSE))),"")</f>
        <v/>
      </c>
      <c r="M233" s="14" t="str">
        <f>IFERROR((VLOOKUP($A233,'[1]import success seats course'!$A:AA,HLOOKUP('[1]Course Totals'!M$4,'[1]import success seats course'!$1:$2,2,FALSE),FALSE)/(VLOOKUP($A233,'[1]import graded seats course pivo'!$A:AK,HLOOKUP('[1]Course Totals'!M$4,'[1]import graded seats course pivo'!$1:$2,2,FALSE),FALSE))),"")</f>
        <v/>
      </c>
      <c r="N233" s="14" t="str">
        <f>IFERROR((VLOOKUP($A233,'[1]import success seats course'!$A:AB,HLOOKUP('[1]Course Totals'!N$4,'[1]import success seats course'!$1:$2,2,FALSE),FALSE)/(VLOOKUP($A233,'[1]import graded seats course pivo'!$A:AL,HLOOKUP('[1]Course Totals'!N$4,'[1]import graded seats course pivo'!$1:$2,2,FALSE),FALSE))),"")</f>
        <v/>
      </c>
      <c r="O233" s="14" t="str">
        <f>IFERROR((VLOOKUP($A233,'[1]import success seats course'!$A:AC,HLOOKUP('[1]Course Totals'!O$4,'[1]import success seats course'!$1:$2,2,FALSE),FALSE)/(VLOOKUP($A233,'[1]import graded seats course pivo'!$A:AM,HLOOKUP('[1]Course Totals'!O$4,'[1]import graded seats course pivo'!$1:$2,2,FALSE),FALSE))),"")</f>
        <v/>
      </c>
      <c r="P233" s="14" t="str">
        <f>IFERROR((VLOOKUP($A233,'[1]import success seats course'!$A:AD,HLOOKUP('[1]Course Totals'!P$4,'[1]import success seats course'!$1:$2,2,FALSE),FALSE)/(VLOOKUP($A233,'[1]import graded seats course pivo'!$A:AN,HLOOKUP('[1]Course Totals'!P$4,'[1]import graded seats course pivo'!$1:$2,2,FALSE),FALSE))),"")</f>
        <v/>
      </c>
      <c r="Q233" s="14" t="str">
        <f>IFERROR((VLOOKUP($A233,'[1]import success seats course'!$A:AE,HLOOKUP('[1]Course Totals'!Q$4,'[1]import success seats course'!$1:$2,2,FALSE),FALSE)/(VLOOKUP($A233,'[1]import graded seats course pivo'!$A:AO,HLOOKUP('[1]Course Totals'!Q$4,'[1]import graded seats course pivo'!$1:$2,2,FALSE),FALSE))),"")</f>
        <v/>
      </c>
      <c r="R233" s="14" t="str">
        <f>IFERROR((VLOOKUP($A233,'[1]import success seats course'!$A:AF,HLOOKUP('[1]Course Totals'!R$4,'[1]import success seats course'!$1:$2,2,FALSE),FALSE)/(VLOOKUP($A233,'[1]import graded seats course pivo'!$A:AP,HLOOKUP('[1]Course Totals'!R$4,'[1]import graded seats course pivo'!$1:$2,2,FALSE),FALSE))),"")</f>
        <v/>
      </c>
      <c r="S233" s="14" t="str">
        <f>IFERROR((VLOOKUP($A233,'[1]import success seats course'!$A:AG,HLOOKUP('[1]Course Totals'!S$4,'[1]import success seats course'!$1:$2,2,FALSE),FALSE)/(VLOOKUP($A233,'[1]import graded seats course pivo'!$A:AQ,HLOOKUP('[1]Course Totals'!S$4,'[1]import graded seats course pivo'!$1:$2,2,FALSE),FALSE))),"")</f>
        <v/>
      </c>
      <c r="Z233" s="7"/>
      <c r="AA233" s="7"/>
      <c r="AB233" s="7"/>
      <c r="AC233" s="7"/>
    </row>
    <row r="234" spans="1:29" ht="15.75" hidden="1" customHeight="1" x14ac:dyDescent="0.25">
      <c r="A234" s="12" t="s">
        <v>775</v>
      </c>
      <c r="B234" s="14" t="str">
        <f>IFERROR((VLOOKUP($A234,'[1]import success seats course'!$A:P,HLOOKUP('[1]Course Totals'!B$4,'[1]import success seats course'!$1:$2,2,FALSE),FALSE)/(VLOOKUP($A234,'[1]import graded seats course pivo'!$A:Z,HLOOKUP('[1]Course Totals'!B$4,'[1]import graded seats course pivo'!$1:$2,2,FALSE),FALSE))),"")</f>
        <v/>
      </c>
      <c r="C234" s="14" t="str">
        <f>IFERROR((VLOOKUP($A234,'[1]import success seats course'!$A:Q,HLOOKUP('[1]Course Totals'!C$4,'[1]import success seats course'!$1:$2,2,FALSE),FALSE)/(VLOOKUP($A234,'[1]import graded seats course pivo'!$A:AA,HLOOKUP('[1]Course Totals'!C$4,'[1]import graded seats course pivo'!$1:$2,2,FALSE),FALSE))),"")</f>
        <v/>
      </c>
      <c r="D234" s="14" t="str">
        <f>IFERROR((VLOOKUP($A234,'[1]import success seats course'!$A:R,HLOOKUP('[1]Course Totals'!D$4,'[1]import success seats course'!$1:$2,2,FALSE),FALSE)/(VLOOKUP($A234,'[1]import graded seats course pivo'!$A:AB,HLOOKUP('[1]Course Totals'!D$4,'[1]import graded seats course pivo'!$1:$2,2,FALSE),FALSE))),"")</f>
        <v/>
      </c>
      <c r="E234" s="14" t="str">
        <f>IFERROR((VLOOKUP($A234,'[1]import success seats course'!$A:S,HLOOKUP('[1]Course Totals'!E$4,'[1]import success seats course'!$1:$2,2,FALSE),FALSE)/(VLOOKUP($A234,'[1]import graded seats course pivo'!$A:AC,HLOOKUP('[1]Course Totals'!E$4,'[1]import graded seats course pivo'!$1:$2,2,FALSE),FALSE))),"")</f>
        <v/>
      </c>
      <c r="F234" s="14" t="str">
        <f>IFERROR((VLOOKUP($A234,'[1]import success seats course'!$A:T,HLOOKUP('[1]Course Totals'!F$4,'[1]import success seats course'!$1:$2,2,FALSE),FALSE)/(VLOOKUP($A234,'[1]import graded seats course pivo'!$A:AD,HLOOKUP('[1]Course Totals'!F$4,'[1]import graded seats course pivo'!$1:$2,2,FALSE),FALSE))),"")</f>
        <v/>
      </c>
      <c r="G234" s="14" t="str">
        <f>IFERROR((VLOOKUP($A234,'[1]import success seats course'!$A:U,HLOOKUP('[1]Course Totals'!G$4,'[1]import success seats course'!$1:$2,2,FALSE),FALSE)/(VLOOKUP($A234,'[1]import graded seats course pivo'!$A:AE,HLOOKUP('[1]Course Totals'!G$4,'[1]import graded seats course pivo'!$1:$2,2,FALSE),FALSE))),"")</f>
        <v/>
      </c>
      <c r="H234" s="14" t="str">
        <f>IFERROR((VLOOKUP($A234,'[1]import success seats course'!$A:V,HLOOKUP('[1]Course Totals'!H$4,'[1]import success seats course'!$1:$2,2,FALSE),FALSE)/(VLOOKUP($A234,'[1]import graded seats course pivo'!$A:AF,HLOOKUP('[1]Course Totals'!H$4,'[1]import graded seats course pivo'!$1:$2,2,FALSE),FALSE))),"")</f>
        <v/>
      </c>
      <c r="I234" s="14" t="str">
        <f>IFERROR((VLOOKUP($A234,'[1]import success seats course'!$A:W,HLOOKUP('[1]Course Totals'!I$4,'[1]import success seats course'!$1:$2,2,FALSE),FALSE)/(VLOOKUP($A234,'[1]import graded seats course pivo'!$A:AG,HLOOKUP('[1]Course Totals'!I$4,'[1]import graded seats course pivo'!$1:$2,2,FALSE),FALSE))),"")</f>
        <v/>
      </c>
      <c r="J234" s="14" t="str">
        <f>IFERROR((VLOOKUP($A234,'[1]import success seats course'!$A:X,HLOOKUP('[1]Course Totals'!J$4,'[1]import success seats course'!$1:$2,2,FALSE),FALSE)/(VLOOKUP($A234,'[1]import graded seats course pivo'!$A:AH,HLOOKUP('[1]Course Totals'!J$4,'[1]import graded seats course pivo'!$1:$2,2,FALSE),FALSE))),"")</f>
        <v/>
      </c>
      <c r="K234" s="14" t="str">
        <f>IFERROR((VLOOKUP($A234,'[1]import success seats course'!$A:Y,HLOOKUP('[1]Course Totals'!K$4,'[1]import success seats course'!$1:$2,2,FALSE),FALSE)/(VLOOKUP($A234,'[1]import graded seats course pivo'!$A:AI,HLOOKUP('[1]Course Totals'!K$4,'[1]import graded seats course pivo'!$1:$2,2,FALSE),FALSE))),"")</f>
        <v/>
      </c>
      <c r="L234" s="14" t="str">
        <f>IFERROR((VLOOKUP($A234,'[1]import success seats course'!$A:Z,HLOOKUP('[1]Course Totals'!L$4,'[1]import success seats course'!$1:$2,2,FALSE),FALSE)/(VLOOKUP($A234,'[1]import graded seats course pivo'!$A:AJ,HLOOKUP('[1]Course Totals'!L$4,'[1]import graded seats course pivo'!$1:$2,2,FALSE),FALSE))),"")</f>
        <v/>
      </c>
      <c r="M234" s="14" t="str">
        <f>IFERROR((VLOOKUP($A234,'[1]import success seats course'!$A:AA,HLOOKUP('[1]Course Totals'!M$4,'[1]import success seats course'!$1:$2,2,FALSE),FALSE)/(VLOOKUP($A234,'[1]import graded seats course pivo'!$A:AK,HLOOKUP('[1]Course Totals'!M$4,'[1]import graded seats course pivo'!$1:$2,2,FALSE),FALSE))),"")</f>
        <v/>
      </c>
      <c r="N234" s="14" t="str">
        <f>IFERROR((VLOOKUP($A234,'[1]import success seats course'!$A:AB,HLOOKUP('[1]Course Totals'!N$4,'[1]import success seats course'!$1:$2,2,FALSE),FALSE)/(VLOOKUP($A234,'[1]import graded seats course pivo'!$A:AL,HLOOKUP('[1]Course Totals'!N$4,'[1]import graded seats course pivo'!$1:$2,2,FALSE),FALSE))),"")</f>
        <v/>
      </c>
      <c r="O234" s="14" t="str">
        <f>IFERROR((VLOOKUP($A234,'[1]import success seats course'!$A:AC,HLOOKUP('[1]Course Totals'!O$4,'[1]import success seats course'!$1:$2,2,FALSE),FALSE)/(VLOOKUP($A234,'[1]import graded seats course pivo'!$A:AM,HLOOKUP('[1]Course Totals'!O$4,'[1]import graded seats course pivo'!$1:$2,2,FALSE),FALSE))),"")</f>
        <v/>
      </c>
      <c r="P234" s="14" t="str">
        <f>IFERROR((VLOOKUP($A234,'[1]import success seats course'!$A:AD,HLOOKUP('[1]Course Totals'!P$4,'[1]import success seats course'!$1:$2,2,FALSE),FALSE)/(VLOOKUP($A234,'[1]import graded seats course pivo'!$A:AN,HLOOKUP('[1]Course Totals'!P$4,'[1]import graded seats course pivo'!$1:$2,2,FALSE),FALSE))),"")</f>
        <v/>
      </c>
      <c r="Q234" s="14" t="str">
        <f>IFERROR((VLOOKUP($A234,'[1]import success seats course'!$A:AE,HLOOKUP('[1]Course Totals'!Q$4,'[1]import success seats course'!$1:$2,2,FALSE),FALSE)/(VLOOKUP($A234,'[1]import graded seats course pivo'!$A:AO,HLOOKUP('[1]Course Totals'!Q$4,'[1]import graded seats course pivo'!$1:$2,2,FALSE),FALSE))),"")</f>
        <v/>
      </c>
      <c r="R234" s="14" t="str">
        <f>IFERROR((VLOOKUP($A234,'[1]import success seats course'!$A:AF,HLOOKUP('[1]Course Totals'!R$4,'[1]import success seats course'!$1:$2,2,FALSE),FALSE)/(VLOOKUP($A234,'[1]import graded seats course pivo'!$A:AP,HLOOKUP('[1]Course Totals'!R$4,'[1]import graded seats course pivo'!$1:$2,2,FALSE),FALSE))),"")</f>
        <v/>
      </c>
      <c r="S234" s="14" t="str">
        <f>IFERROR((VLOOKUP($A234,'[1]import success seats course'!$A:AG,HLOOKUP('[1]Course Totals'!S$4,'[1]import success seats course'!$1:$2,2,FALSE),FALSE)/(VLOOKUP($A234,'[1]import graded seats course pivo'!$A:AQ,HLOOKUP('[1]Course Totals'!S$4,'[1]import graded seats course pivo'!$1:$2,2,FALSE),FALSE))),"")</f>
        <v/>
      </c>
      <c r="Z234" s="7"/>
      <c r="AA234" s="7"/>
      <c r="AB234" s="7"/>
      <c r="AC234" s="7"/>
    </row>
    <row r="235" spans="1:29" ht="15.75" customHeight="1" x14ac:dyDescent="0.25">
      <c r="A235" s="12" t="s">
        <v>695</v>
      </c>
      <c r="B235" s="14" t="str">
        <f>IFERROR((VLOOKUP($A235,'[1]import success seats course'!$A:P,HLOOKUP('[1]Course Totals'!B$4,'[1]import success seats course'!$1:$2,2,FALSE),FALSE)/(VLOOKUP($A235,'[1]import graded seats course pivo'!$A:Z,HLOOKUP('[1]Course Totals'!B$4,'[1]import graded seats course pivo'!$1:$2,2,FALSE),FALSE))),"")</f>
        <v/>
      </c>
      <c r="C235" s="14" t="str">
        <f>IFERROR((VLOOKUP($A235,'[1]import success seats course'!$A:Q,HLOOKUP('[1]Course Totals'!C$4,'[1]import success seats course'!$1:$2,2,FALSE),FALSE)/(VLOOKUP($A235,'[1]import graded seats course pivo'!$A:AA,HLOOKUP('[1]Course Totals'!C$4,'[1]import graded seats course pivo'!$1:$2,2,FALSE),FALSE))),"")</f>
        <v/>
      </c>
      <c r="D235" s="14" t="str">
        <f>IFERROR((VLOOKUP($A235,'[1]import success seats course'!$A:R,HLOOKUP('[1]Course Totals'!D$4,'[1]import success seats course'!$1:$2,2,FALSE),FALSE)/(VLOOKUP($A235,'[1]import graded seats course pivo'!$A:AB,HLOOKUP('[1]Course Totals'!D$4,'[1]import graded seats course pivo'!$1:$2,2,FALSE),FALSE))),"")</f>
        <v/>
      </c>
      <c r="E235" s="14" t="str">
        <f>IFERROR((VLOOKUP($A235,'[1]import success seats course'!$A:S,HLOOKUP('[1]Course Totals'!E$4,'[1]import success seats course'!$1:$2,2,FALSE),FALSE)/(VLOOKUP($A235,'[1]import graded seats course pivo'!$A:AC,HLOOKUP('[1]Course Totals'!E$4,'[1]import graded seats course pivo'!$1:$2,2,FALSE),FALSE))),"")</f>
        <v/>
      </c>
      <c r="F235" s="14" t="str">
        <f>IFERROR((VLOOKUP($A235,'[1]import success seats course'!$A:T,HLOOKUP('[1]Course Totals'!F$4,'[1]import success seats course'!$1:$2,2,FALSE),FALSE)/(VLOOKUP($A235,'[1]import graded seats course pivo'!$A:AD,HLOOKUP('[1]Course Totals'!F$4,'[1]import graded seats course pivo'!$1:$2,2,FALSE),FALSE))),"")</f>
        <v/>
      </c>
      <c r="G235" s="14" t="str">
        <f>IFERROR((VLOOKUP($A235,'[1]import success seats course'!$A:U,HLOOKUP('[1]Course Totals'!G$4,'[1]import success seats course'!$1:$2,2,FALSE),FALSE)/(VLOOKUP($A235,'[1]import graded seats course pivo'!$A:AE,HLOOKUP('[1]Course Totals'!G$4,'[1]import graded seats course pivo'!$1:$2,2,FALSE),FALSE))),"")</f>
        <v/>
      </c>
      <c r="H235" s="14" t="str">
        <f>IFERROR((VLOOKUP($A235,'[1]import success seats course'!$A:V,HLOOKUP('[1]Course Totals'!H$4,'[1]import success seats course'!$1:$2,2,FALSE),FALSE)/(VLOOKUP($A235,'[1]import graded seats course pivo'!$A:AF,HLOOKUP('[1]Course Totals'!H$4,'[1]import graded seats course pivo'!$1:$2,2,FALSE),FALSE))),"")</f>
        <v/>
      </c>
      <c r="I235" s="14" t="str">
        <f>IFERROR((VLOOKUP($A235,'[1]import success seats course'!$A:W,HLOOKUP('[1]Course Totals'!I$4,'[1]import success seats course'!$1:$2,2,FALSE),FALSE)/(VLOOKUP($A235,'[1]import graded seats course pivo'!$A:AG,HLOOKUP('[1]Course Totals'!I$4,'[1]import graded seats course pivo'!$1:$2,2,FALSE),FALSE))),"")</f>
        <v/>
      </c>
      <c r="J235" s="14" t="str">
        <f>IFERROR((VLOOKUP($A235,'[1]import success seats course'!$A:X,HLOOKUP('[1]Course Totals'!J$4,'[1]import success seats course'!$1:$2,2,FALSE),FALSE)/(VLOOKUP($A235,'[1]import graded seats course pivo'!$A:AH,HLOOKUP('[1]Course Totals'!J$4,'[1]import graded seats course pivo'!$1:$2,2,FALSE),FALSE))),"")</f>
        <v/>
      </c>
      <c r="K235" s="14" t="str">
        <f>IFERROR((VLOOKUP($A235,'[1]import success seats course'!$A:Y,HLOOKUP('[1]Course Totals'!K$4,'[1]import success seats course'!$1:$2,2,FALSE),FALSE)/(VLOOKUP($A235,'[1]import graded seats course pivo'!$A:AI,HLOOKUP('[1]Course Totals'!K$4,'[1]import graded seats course pivo'!$1:$2,2,FALSE),FALSE))),"")</f>
        <v/>
      </c>
      <c r="L235" s="14">
        <f>IFERROR((VLOOKUP($A235,'[1]import success seats course'!$A:Z,HLOOKUP('[1]Course Totals'!L$4,'[1]import success seats course'!$1:$2,2,FALSE),FALSE)/(VLOOKUP($A235,'[1]import graded seats course pivo'!$A:AJ,HLOOKUP('[1]Course Totals'!L$4,'[1]import graded seats course pivo'!$1:$2,2,FALSE),FALSE))),"")</f>
        <v>0.96296296296296291</v>
      </c>
      <c r="M235" s="14" t="str">
        <f>IFERROR((VLOOKUP($A235,'[1]import success seats course'!$A:AA,HLOOKUP('[1]Course Totals'!M$4,'[1]import success seats course'!$1:$2,2,FALSE),FALSE)/(VLOOKUP($A235,'[1]import graded seats course pivo'!$A:AK,HLOOKUP('[1]Course Totals'!M$4,'[1]import graded seats course pivo'!$1:$2,2,FALSE),FALSE))),"")</f>
        <v/>
      </c>
      <c r="N235" s="14" t="str">
        <f>IFERROR((VLOOKUP($A235,'[1]import success seats course'!$A:AB,HLOOKUP('[1]Course Totals'!N$4,'[1]import success seats course'!$1:$2,2,FALSE),FALSE)/(VLOOKUP($A235,'[1]import graded seats course pivo'!$A:AL,HLOOKUP('[1]Course Totals'!N$4,'[1]import graded seats course pivo'!$1:$2,2,FALSE),FALSE))),"")</f>
        <v/>
      </c>
      <c r="O235" s="14" t="str">
        <f>IFERROR((VLOOKUP($A235,'[1]import success seats course'!$A:AC,HLOOKUP('[1]Course Totals'!O$4,'[1]import success seats course'!$1:$2,2,FALSE),FALSE)/(VLOOKUP($A235,'[1]import graded seats course pivo'!$A:AM,HLOOKUP('[1]Course Totals'!O$4,'[1]import graded seats course pivo'!$1:$2,2,FALSE),FALSE))),"")</f>
        <v/>
      </c>
      <c r="P235" s="14" t="str">
        <f>IFERROR((VLOOKUP($A235,'[1]import success seats course'!$A:AD,HLOOKUP('[1]Course Totals'!P$4,'[1]import success seats course'!$1:$2,2,FALSE),FALSE)/(VLOOKUP($A235,'[1]import graded seats course pivo'!$A:AN,HLOOKUP('[1]Course Totals'!P$4,'[1]import graded seats course pivo'!$1:$2,2,FALSE),FALSE))),"")</f>
        <v/>
      </c>
      <c r="Q235" s="14" t="str">
        <f>IFERROR((VLOOKUP($A235,'[1]import success seats course'!$A:AE,HLOOKUP('[1]Course Totals'!Q$4,'[1]import success seats course'!$1:$2,2,FALSE),FALSE)/(VLOOKUP($A235,'[1]import graded seats course pivo'!$A:AO,HLOOKUP('[1]Course Totals'!Q$4,'[1]import graded seats course pivo'!$1:$2,2,FALSE),FALSE))),"")</f>
        <v/>
      </c>
      <c r="R235" s="14" t="str">
        <f>IFERROR((VLOOKUP($A235,'[1]import success seats course'!$A:AF,HLOOKUP('[1]Course Totals'!R$4,'[1]import success seats course'!$1:$2,2,FALSE),FALSE)/(VLOOKUP($A235,'[1]import graded seats course pivo'!$A:AP,HLOOKUP('[1]Course Totals'!R$4,'[1]import graded seats course pivo'!$1:$2,2,FALSE),FALSE))),"")</f>
        <v/>
      </c>
      <c r="S235" s="14" t="str">
        <f>IFERROR((VLOOKUP($A235,'[1]import success seats course'!$A:AG,HLOOKUP('[1]Course Totals'!S$4,'[1]import success seats course'!$1:$2,2,FALSE),FALSE)/(VLOOKUP($A235,'[1]import graded seats course pivo'!$A:AQ,HLOOKUP('[1]Course Totals'!S$4,'[1]import graded seats course pivo'!$1:$2,2,FALSE),FALSE))),"")</f>
        <v/>
      </c>
      <c r="Z235" s="7"/>
      <c r="AA235" s="7"/>
      <c r="AB235" s="7"/>
      <c r="AC235" s="7"/>
    </row>
    <row r="236" spans="1:29" ht="15.75" customHeight="1" x14ac:dyDescent="0.25">
      <c r="A236" s="12" t="s">
        <v>125</v>
      </c>
      <c r="B236" s="14" t="str">
        <f>IFERROR((VLOOKUP($A236,'[1]import success seats course'!$A:P,HLOOKUP('[1]Course Totals'!B$4,'[1]import success seats course'!$1:$2,2,FALSE),FALSE)/(VLOOKUP($A236,'[1]import graded seats course pivo'!$A:Z,HLOOKUP('[1]Course Totals'!B$4,'[1]import graded seats course pivo'!$1:$2,2,FALSE),FALSE))),"")</f>
        <v/>
      </c>
      <c r="C236" s="14">
        <f>IFERROR((VLOOKUP($A236,'[1]import success seats course'!$A:Q,HLOOKUP('[1]Course Totals'!C$4,'[1]import success seats course'!$1:$2,2,FALSE),FALSE)/(VLOOKUP($A236,'[1]import graded seats course pivo'!$A:AA,HLOOKUP('[1]Course Totals'!C$4,'[1]import graded seats course pivo'!$1:$2,2,FALSE),FALSE))),"")</f>
        <v>0.94444444444444442</v>
      </c>
      <c r="D236" s="14" t="str">
        <f>IFERROR((VLOOKUP($A236,'[1]import success seats course'!$A:R,HLOOKUP('[1]Course Totals'!D$4,'[1]import success seats course'!$1:$2,2,FALSE),FALSE)/(VLOOKUP($A236,'[1]import graded seats course pivo'!$A:AB,HLOOKUP('[1]Course Totals'!D$4,'[1]import graded seats course pivo'!$1:$2,2,FALSE),FALSE))),"")</f>
        <v/>
      </c>
      <c r="E236" s="14" t="str">
        <f>IFERROR((VLOOKUP($A236,'[1]import success seats course'!$A:S,HLOOKUP('[1]Course Totals'!E$4,'[1]import success seats course'!$1:$2,2,FALSE),FALSE)/(VLOOKUP($A236,'[1]import graded seats course pivo'!$A:AC,HLOOKUP('[1]Course Totals'!E$4,'[1]import graded seats course pivo'!$1:$2,2,FALSE),FALSE))),"")</f>
        <v/>
      </c>
      <c r="F236" s="14" t="str">
        <f>IFERROR((VLOOKUP($A236,'[1]import success seats course'!$A:T,HLOOKUP('[1]Course Totals'!F$4,'[1]import success seats course'!$1:$2,2,FALSE),FALSE)/(VLOOKUP($A236,'[1]import graded seats course pivo'!$A:AD,HLOOKUP('[1]Course Totals'!F$4,'[1]import graded seats course pivo'!$1:$2,2,FALSE),FALSE))),"")</f>
        <v/>
      </c>
      <c r="G236" s="14" t="str">
        <f>IFERROR((VLOOKUP($A236,'[1]import success seats course'!$A:U,HLOOKUP('[1]Course Totals'!G$4,'[1]import success seats course'!$1:$2,2,FALSE),FALSE)/(VLOOKUP($A236,'[1]import graded seats course pivo'!$A:AE,HLOOKUP('[1]Course Totals'!G$4,'[1]import graded seats course pivo'!$1:$2,2,FALSE),FALSE))),"")</f>
        <v/>
      </c>
      <c r="H236" s="14" t="str">
        <f>IFERROR((VLOOKUP($A236,'[1]import success seats course'!$A:V,HLOOKUP('[1]Course Totals'!H$4,'[1]import success seats course'!$1:$2,2,FALSE),FALSE)/(VLOOKUP($A236,'[1]import graded seats course pivo'!$A:AF,HLOOKUP('[1]Course Totals'!H$4,'[1]import graded seats course pivo'!$1:$2,2,FALSE),FALSE))),"")</f>
        <v/>
      </c>
      <c r="I236" s="14" t="str">
        <f>IFERROR((VLOOKUP($A236,'[1]import success seats course'!$A:W,HLOOKUP('[1]Course Totals'!I$4,'[1]import success seats course'!$1:$2,2,FALSE),FALSE)/(VLOOKUP($A236,'[1]import graded seats course pivo'!$A:AG,HLOOKUP('[1]Course Totals'!I$4,'[1]import graded seats course pivo'!$1:$2,2,FALSE),FALSE))),"")</f>
        <v/>
      </c>
      <c r="J236" s="14" t="str">
        <f>IFERROR((VLOOKUP($A236,'[1]import success seats course'!$A:X,HLOOKUP('[1]Course Totals'!J$4,'[1]import success seats course'!$1:$2,2,FALSE),FALSE)/(VLOOKUP($A236,'[1]import graded seats course pivo'!$A:AH,HLOOKUP('[1]Course Totals'!J$4,'[1]import graded seats course pivo'!$1:$2,2,FALSE),FALSE))),"")</f>
        <v/>
      </c>
      <c r="K236" s="14" t="str">
        <f>IFERROR((VLOOKUP($A236,'[1]import success seats course'!$A:Y,HLOOKUP('[1]Course Totals'!K$4,'[1]import success seats course'!$1:$2,2,FALSE),FALSE)/(VLOOKUP($A236,'[1]import graded seats course pivo'!$A:AI,HLOOKUP('[1]Course Totals'!K$4,'[1]import graded seats course pivo'!$1:$2,2,FALSE),FALSE))),"")</f>
        <v/>
      </c>
      <c r="L236" s="14" t="str">
        <f>IFERROR((VLOOKUP($A236,'[1]import success seats course'!$A:Z,HLOOKUP('[1]Course Totals'!L$4,'[1]import success seats course'!$1:$2,2,FALSE),FALSE)/(VLOOKUP($A236,'[1]import graded seats course pivo'!$A:AJ,HLOOKUP('[1]Course Totals'!L$4,'[1]import graded seats course pivo'!$1:$2,2,FALSE),FALSE))),"")</f>
        <v/>
      </c>
      <c r="M236" s="14" t="str">
        <f>IFERROR((VLOOKUP($A236,'[1]import success seats course'!$A:AA,HLOOKUP('[1]Course Totals'!M$4,'[1]import success seats course'!$1:$2,2,FALSE),FALSE)/(VLOOKUP($A236,'[1]import graded seats course pivo'!$A:AK,HLOOKUP('[1]Course Totals'!M$4,'[1]import graded seats course pivo'!$1:$2,2,FALSE),FALSE))),"")</f>
        <v/>
      </c>
      <c r="N236" s="14" t="str">
        <f>IFERROR((VLOOKUP($A236,'[1]import success seats course'!$A:AB,HLOOKUP('[1]Course Totals'!N$4,'[1]import success seats course'!$1:$2,2,FALSE),FALSE)/(VLOOKUP($A236,'[1]import graded seats course pivo'!$A:AL,HLOOKUP('[1]Course Totals'!N$4,'[1]import graded seats course pivo'!$1:$2,2,FALSE),FALSE))),"")</f>
        <v/>
      </c>
      <c r="O236" s="14" t="str">
        <f>IFERROR((VLOOKUP($A236,'[1]import success seats course'!$A:AC,HLOOKUP('[1]Course Totals'!O$4,'[1]import success seats course'!$1:$2,2,FALSE),FALSE)/(VLOOKUP($A236,'[1]import graded seats course pivo'!$A:AM,HLOOKUP('[1]Course Totals'!O$4,'[1]import graded seats course pivo'!$1:$2,2,FALSE),FALSE))),"")</f>
        <v/>
      </c>
      <c r="P236" s="14" t="str">
        <f>IFERROR((VLOOKUP($A236,'[1]import success seats course'!$A:AD,HLOOKUP('[1]Course Totals'!P$4,'[1]import success seats course'!$1:$2,2,FALSE),FALSE)/(VLOOKUP($A236,'[1]import graded seats course pivo'!$A:AN,HLOOKUP('[1]Course Totals'!P$4,'[1]import graded seats course pivo'!$1:$2,2,FALSE),FALSE))),"")</f>
        <v/>
      </c>
      <c r="Q236" s="14" t="str">
        <f>IFERROR((VLOOKUP($A236,'[1]import success seats course'!$A:AE,HLOOKUP('[1]Course Totals'!Q$4,'[1]import success seats course'!$1:$2,2,FALSE),FALSE)/(VLOOKUP($A236,'[1]import graded seats course pivo'!$A:AO,HLOOKUP('[1]Course Totals'!Q$4,'[1]import graded seats course pivo'!$1:$2,2,FALSE),FALSE))),"")</f>
        <v/>
      </c>
      <c r="R236" s="14" t="str">
        <f>IFERROR((VLOOKUP($A236,'[1]import success seats course'!$A:AF,HLOOKUP('[1]Course Totals'!R$4,'[1]import success seats course'!$1:$2,2,FALSE),FALSE)/(VLOOKUP($A236,'[1]import graded seats course pivo'!$A:AP,HLOOKUP('[1]Course Totals'!R$4,'[1]import graded seats course pivo'!$1:$2,2,FALSE),FALSE))),"")</f>
        <v/>
      </c>
      <c r="S236" s="14" t="str">
        <f>IFERROR((VLOOKUP($A236,'[1]import success seats course'!$A:AG,HLOOKUP('[1]Course Totals'!S$4,'[1]import success seats course'!$1:$2,2,FALSE),FALSE)/(VLOOKUP($A236,'[1]import graded seats course pivo'!$A:AQ,HLOOKUP('[1]Course Totals'!S$4,'[1]import graded seats course pivo'!$1:$2,2,FALSE),FALSE))),"")</f>
        <v/>
      </c>
      <c r="Z236" s="7"/>
      <c r="AA236" s="7"/>
      <c r="AB236" s="7"/>
      <c r="AC236" s="7"/>
    </row>
    <row r="237" spans="1:29" ht="15.75" customHeight="1" x14ac:dyDescent="0.25">
      <c r="A237" s="12" t="s">
        <v>571</v>
      </c>
      <c r="B237" s="14" t="str">
        <f>IFERROR((VLOOKUP($A237,'[1]import success seats course'!$A:P,HLOOKUP('[1]Course Totals'!B$4,'[1]import success seats course'!$1:$2,2,FALSE),FALSE)/(VLOOKUP($A237,'[1]import graded seats course pivo'!$A:Z,HLOOKUP('[1]Course Totals'!B$4,'[1]import graded seats course pivo'!$1:$2,2,FALSE),FALSE))),"")</f>
        <v/>
      </c>
      <c r="C237" s="14" t="str">
        <f>IFERROR((VLOOKUP($A237,'[1]import success seats course'!$A:Q,HLOOKUP('[1]Course Totals'!C$4,'[1]import success seats course'!$1:$2,2,FALSE),FALSE)/(VLOOKUP($A237,'[1]import graded seats course pivo'!$A:AA,HLOOKUP('[1]Course Totals'!C$4,'[1]import graded seats course pivo'!$1:$2,2,FALSE),FALSE))),"")</f>
        <v/>
      </c>
      <c r="D237" s="14">
        <f>IFERROR((VLOOKUP($A237,'[1]import success seats course'!$A:R,HLOOKUP('[1]Course Totals'!D$4,'[1]import success seats course'!$1:$2,2,FALSE),FALSE)/(VLOOKUP($A237,'[1]import graded seats course pivo'!$A:AB,HLOOKUP('[1]Course Totals'!D$4,'[1]import graded seats course pivo'!$1:$2,2,FALSE),FALSE))),"")</f>
        <v>0.7142857142857143</v>
      </c>
      <c r="E237" s="14" t="str">
        <f>IFERROR((VLOOKUP($A237,'[1]import success seats course'!$A:S,HLOOKUP('[1]Course Totals'!E$4,'[1]import success seats course'!$1:$2,2,FALSE),FALSE)/(VLOOKUP($A237,'[1]import graded seats course pivo'!$A:AC,HLOOKUP('[1]Course Totals'!E$4,'[1]import graded seats course pivo'!$1:$2,2,FALSE),FALSE))),"")</f>
        <v/>
      </c>
      <c r="F237" s="14">
        <f>IFERROR((VLOOKUP($A237,'[1]import success seats course'!$A:T,HLOOKUP('[1]Course Totals'!F$4,'[1]import success seats course'!$1:$2,2,FALSE),FALSE)/(VLOOKUP($A237,'[1]import graded seats course pivo'!$A:AD,HLOOKUP('[1]Course Totals'!F$4,'[1]import graded seats course pivo'!$1:$2,2,FALSE),FALSE))),"")</f>
        <v>0.81481481481481477</v>
      </c>
      <c r="G237" s="14" t="str">
        <f>IFERROR((VLOOKUP($A237,'[1]import success seats course'!$A:U,HLOOKUP('[1]Course Totals'!G$4,'[1]import success seats course'!$1:$2,2,FALSE),FALSE)/(VLOOKUP($A237,'[1]import graded seats course pivo'!$A:AE,HLOOKUP('[1]Course Totals'!G$4,'[1]import graded seats course pivo'!$1:$2,2,FALSE),FALSE))),"")</f>
        <v/>
      </c>
      <c r="H237" s="14" t="str">
        <f>IFERROR((VLOOKUP($A237,'[1]import success seats course'!$A:V,HLOOKUP('[1]Course Totals'!H$4,'[1]import success seats course'!$1:$2,2,FALSE),FALSE)/(VLOOKUP($A237,'[1]import graded seats course pivo'!$A:AF,HLOOKUP('[1]Course Totals'!H$4,'[1]import graded seats course pivo'!$1:$2,2,FALSE),FALSE))),"")</f>
        <v/>
      </c>
      <c r="I237" s="14" t="str">
        <f>IFERROR((VLOOKUP($A237,'[1]import success seats course'!$A:W,HLOOKUP('[1]Course Totals'!I$4,'[1]import success seats course'!$1:$2,2,FALSE),FALSE)/(VLOOKUP($A237,'[1]import graded seats course pivo'!$A:AG,HLOOKUP('[1]Course Totals'!I$4,'[1]import graded seats course pivo'!$1:$2,2,FALSE),FALSE))),"")</f>
        <v/>
      </c>
      <c r="J237" s="14" t="str">
        <f>IFERROR((VLOOKUP($A237,'[1]import success seats course'!$A:X,HLOOKUP('[1]Course Totals'!J$4,'[1]import success seats course'!$1:$2,2,FALSE),FALSE)/(VLOOKUP($A237,'[1]import graded seats course pivo'!$A:AH,HLOOKUP('[1]Course Totals'!J$4,'[1]import graded seats course pivo'!$1:$2,2,FALSE),FALSE))),"")</f>
        <v/>
      </c>
      <c r="K237" s="14" t="str">
        <f>IFERROR((VLOOKUP($A237,'[1]import success seats course'!$A:Y,HLOOKUP('[1]Course Totals'!K$4,'[1]import success seats course'!$1:$2,2,FALSE),FALSE)/(VLOOKUP($A237,'[1]import graded seats course pivo'!$A:AI,HLOOKUP('[1]Course Totals'!K$4,'[1]import graded seats course pivo'!$1:$2,2,FALSE),FALSE))),"")</f>
        <v/>
      </c>
      <c r="L237" s="14" t="str">
        <f>IFERROR((VLOOKUP($A237,'[1]import success seats course'!$A:Z,HLOOKUP('[1]Course Totals'!L$4,'[1]import success seats course'!$1:$2,2,FALSE),FALSE)/(VLOOKUP($A237,'[1]import graded seats course pivo'!$A:AJ,HLOOKUP('[1]Course Totals'!L$4,'[1]import graded seats course pivo'!$1:$2,2,FALSE),FALSE))),"")</f>
        <v/>
      </c>
      <c r="M237" s="14" t="str">
        <f>IFERROR((VLOOKUP($A237,'[1]import success seats course'!$A:AA,HLOOKUP('[1]Course Totals'!M$4,'[1]import success seats course'!$1:$2,2,FALSE),FALSE)/(VLOOKUP($A237,'[1]import graded seats course pivo'!$A:AK,HLOOKUP('[1]Course Totals'!M$4,'[1]import graded seats course pivo'!$1:$2,2,FALSE),FALSE))),"")</f>
        <v/>
      </c>
      <c r="N237" s="14" t="str">
        <f>IFERROR((VLOOKUP($A237,'[1]import success seats course'!$A:AB,HLOOKUP('[1]Course Totals'!N$4,'[1]import success seats course'!$1:$2,2,FALSE),FALSE)/(VLOOKUP($A237,'[1]import graded seats course pivo'!$A:AL,HLOOKUP('[1]Course Totals'!N$4,'[1]import graded seats course pivo'!$1:$2,2,FALSE),FALSE))),"")</f>
        <v/>
      </c>
      <c r="O237" s="14" t="str">
        <f>IFERROR((VLOOKUP($A237,'[1]import success seats course'!$A:AC,HLOOKUP('[1]Course Totals'!O$4,'[1]import success seats course'!$1:$2,2,FALSE),FALSE)/(VLOOKUP($A237,'[1]import graded seats course pivo'!$A:AM,HLOOKUP('[1]Course Totals'!O$4,'[1]import graded seats course pivo'!$1:$2,2,FALSE),FALSE))),"")</f>
        <v/>
      </c>
      <c r="P237" s="14" t="str">
        <f>IFERROR((VLOOKUP($A237,'[1]import success seats course'!$A:AD,HLOOKUP('[1]Course Totals'!P$4,'[1]import success seats course'!$1:$2,2,FALSE),FALSE)/(VLOOKUP($A237,'[1]import graded seats course pivo'!$A:AN,HLOOKUP('[1]Course Totals'!P$4,'[1]import graded seats course pivo'!$1:$2,2,FALSE),FALSE))),"")</f>
        <v/>
      </c>
      <c r="Q237" s="14" t="str">
        <f>IFERROR((VLOOKUP($A237,'[1]import success seats course'!$A:AE,HLOOKUP('[1]Course Totals'!Q$4,'[1]import success seats course'!$1:$2,2,FALSE),FALSE)/(VLOOKUP($A237,'[1]import graded seats course pivo'!$A:AO,HLOOKUP('[1]Course Totals'!Q$4,'[1]import graded seats course pivo'!$1:$2,2,FALSE),FALSE))),"")</f>
        <v/>
      </c>
      <c r="R237" s="14" t="str">
        <f>IFERROR((VLOOKUP($A237,'[1]import success seats course'!$A:AF,HLOOKUP('[1]Course Totals'!R$4,'[1]import success seats course'!$1:$2,2,FALSE),FALSE)/(VLOOKUP($A237,'[1]import graded seats course pivo'!$A:AP,HLOOKUP('[1]Course Totals'!R$4,'[1]import graded seats course pivo'!$1:$2,2,FALSE),FALSE))),"")</f>
        <v/>
      </c>
      <c r="S237" s="14" t="str">
        <f>IFERROR((VLOOKUP($A237,'[1]import success seats course'!$A:AG,HLOOKUP('[1]Course Totals'!S$4,'[1]import success seats course'!$1:$2,2,FALSE),FALSE)/(VLOOKUP($A237,'[1]import graded seats course pivo'!$A:AQ,HLOOKUP('[1]Course Totals'!S$4,'[1]import graded seats course pivo'!$1:$2,2,FALSE),FALSE))),"")</f>
        <v/>
      </c>
      <c r="Z237" s="7"/>
      <c r="AA237" s="7"/>
      <c r="AB237" s="7"/>
      <c r="AC237" s="7"/>
    </row>
    <row r="238" spans="1:29" ht="15.75" customHeight="1" x14ac:dyDescent="0.25">
      <c r="A238" s="12" t="s">
        <v>696</v>
      </c>
      <c r="B238" s="14" t="str">
        <f>IFERROR((VLOOKUP($A238,'[1]import success seats course'!$A:P,HLOOKUP('[1]Course Totals'!B$4,'[1]import success seats course'!$1:$2,2,FALSE),FALSE)/(VLOOKUP($A238,'[1]import graded seats course pivo'!$A:Z,HLOOKUP('[1]Course Totals'!B$4,'[1]import graded seats course pivo'!$1:$2,2,FALSE),FALSE))),"")</f>
        <v/>
      </c>
      <c r="C238" s="14" t="str">
        <f>IFERROR((VLOOKUP($A238,'[1]import success seats course'!$A:Q,HLOOKUP('[1]Course Totals'!C$4,'[1]import success seats course'!$1:$2,2,FALSE),FALSE)/(VLOOKUP($A238,'[1]import graded seats course pivo'!$A:AA,HLOOKUP('[1]Course Totals'!C$4,'[1]import graded seats course pivo'!$1:$2,2,FALSE),FALSE))),"")</f>
        <v/>
      </c>
      <c r="D238" s="14" t="str">
        <f>IFERROR((VLOOKUP($A238,'[1]import success seats course'!$A:R,HLOOKUP('[1]Course Totals'!D$4,'[1]import success seats course'!$1:$2,2,FALSE),FALSE)/(VLOOKUP($A238,'[1]import graded seats course pivo'!$A:AB,HLOOKUP('[1]Course Totals'!D$4,'[1]import graded seats course pivo'!$1:$2,2,FALSE),FALSE))),"")</f>
        <v/>
      </c>
      <c r="E238" s="14" t="str">
        <f>IFERROR((VLOOKUP($A238,'[1]import success seats course'!$A:S,HLOOKUP('[1]Course Totals'!E$4,'[1]import success seats course'!$1:$2,2,FALSE),FALSE)/(VLOOKUP($A238,'[1]import graded seats course pivo'!$A:AC,HLOOKUP('[1]Course Totals'!E$4,'[1]import graded seats course pivo'!$1:$2,2,FALSE),FALSE))),"")</f>
        <v/>
      </c>
      <c r="F238" s="14" t="str">
        <f>IFERROR((VLOOKUP($A238,'[1]import success seats course'!$A:T,HLOOKUP('[1]Course Totals'!F$4,'[1]import success seats course'!$1:$2,2,FALSE),FALSE)/(VLOOKUP($A238,'[1]import graded seats course pivo'!$A:AD,HLOOKUP('[1]Course Totals'!F$4,'[1]import graded seats course pivo'!$1:$2,2,FALSE),FALSE))),"")</f>
        <v/>
      </c>
      <c r="G238" s="14" t="str">
        <f>IFERROR((VLOOKUP($A238,'[1]import success seats course'!$A:U,HLOOKUP('[1]Course Totals'!G$4,'[1]import success seats course'!$1:$2,2,FALSE),FALSE)/(VLOOKUP($A238,'[1]import graded seats course pivo'!$A:AE,HLOOKUP('[1]Course Totals'!G$4,'[1]import graded seats course pivo'!$1:$2,2,FALSE),FALSE))),"")</f>
        <v/>
      </c>
      <c r="H238" s="14" t="str">
        <f>IFERROR((VLOOKUP($A238,'[1]import success seats course'!$A:V,HLOOKUP('[1]Course Totals'!H$4,'[1]import success seats course'!$1:$2,2,FALSE),FALSE)/(VLOOKUP($A238,'[1]import graded seats course pivo'!$A:AF,HLOOKUP('[1]Course Totals'!H$4,'[1]import graded seats course pivo'!$1:$2,2,FALSE),FALSE))),"")</f>
        <v/>
      </c>
      <c r="I238" s="14">
        <f>IFERROR((VLOOKUP($A238,'[1]import success seats course'!$A:W,HLOOKUP('[1]Course Totals'!I$4,'[1]import success seats course'!$1:$2,2,FALSE),FALSE)/(VLOOKUP($A238,'[1]import graded seats course pivo'!$A:AG,HLOOKUP('[1]Course Totals'!I$4,'[1]import graded seats course pivo'!$1:$2,2,FALSE),FALSE))),"")</f>
        <v>0.61403508771929827</v>
      </c>
      <c r="J238" s="14">
        <f>IFERROR((VLOOKUP($A238,'[1]import success seats course'!$A:X,HLOOKUP('[1]Course Totals'!J$4,'[1]import success seats course'!$1:$2,2,FALSE),FALSE)/(VLOOKUP($A238,'[1]import graded seats course pivo'!$A:AH,HLOOKUP('[1]Course Totals'!J$4,'[1]import graded seats course pivo'!$1:$2,2,FALSE),FALSE))),"")</f>
        <v>0.83870967741935487</v>
      </c>
      <c r="K238" s="14" t="str">
        <f>IFERROR((VLOOKUP($A238,'[1]import success seats course'!$A:Y,HLOOKUP('[1]Course Totals'!K$4,'[1]import success seats course'!$1:$2,2,FALSE),FALSE)/(VLOOKUP($A238,'[1]import graded seats course pivo'!$A:AI,HLOOKUP('[1]Course Totals'!K$4,'[1]import graded seats course pivo'!$1:$2,2,FALSE),FALSE))),"")</f>
        <v/>
      </c>
      <c r="L238" s="14">
        <f>IFERROR((VLOOKUP($A238,'[1]import success seats course'!$A:Z,HLOOKUP('[1]Course Totals'!L$4,'[1]import success seats course'!$1:$2,2,FALSE),FALSE)/(VLOOKUP($A238,'[1]import graded seats course pivo'!$A:AJ,HLOOKUP('[1]Course Totals'!L$4,'[1]import graded seats course pivo'!$1:$2,2,FALSE),FALSE))),"")</f>
        <v>0.80701754385964908</v>
      </c>
      <c r="M238" s="14">
        <f>IFERROR((VLOOKUP($A238,'[1]import success seats course'!$A:AA,HLOOKUP('[1]Course Totals'!M$4,'[1]import success seats course'!$1:$2,2,FALSE),FALSE)/(VLOOKUP($A238,'[1]import graded seats course pivo'!$A:AK,HLOOKUP('[1]Course Totals'!M$4,'[1]import graded seats course pivo'!$1:$2,2,FALSE),FALSE))),"")</f>
        <v>0.71666666666666667</v>
      </c>
      <c r="N238" s="14" t="str">
        <f>IFERROR((VLOOKUP($A238,'[1]import success seats course'!$A:AB,HLOOKUP('[1]Course Totals'!N$4,'[1]import success seats course'!$1:$2,2,FALSE),FALSE)/(VLOOKUP($A238,'[1]import graded seats course pivo'!$A:AL,HLOOKUP('[1]Course Totals'!N$4,'[1]import graded seats course pivo'!$1:$2,2,FALSE),FALSE))),"")</f>
        <v/>
      </c>
      <c r="O238" s="14">
        <f>IFERROR((VLOOKUP($A238,'[1]import success seats course'!$A:AC,HLOOKUP('[1]Course Totals'!O$4,'[1]import success seats course'!$1:$2,2,FALSE),FALSE)/(VLOOKUP($A238,'[1]import graded seats course pivo'!$A:AM,HLOOKUP('[1]Course Totals'!O$4,'[1]import graded seats course pivo'!$1:$2,2,FALSE),FALSE))),"")</f>
        <v>0.82456140350877194</v>
      </c>
      <c r="P238" s="14">
        <f>IFERROR((VLOOKUP($A238,'[1]import success seats course'!$A:AD,HLOOKUP('[1]Course Totals'!P$4,'[1]import success seats course'!$1:$2,2,FALSE),FALSE)/(VLOOKUP($A238,'[1]import graded seats course pivo'!$A:AN,HLOOKUP('[1]Course Totals'!P$4,'[1]import graded seats course pivo'!$1:$2,2,FALSE),FALSE))),"")</f>
        <v>0.74137931034482762</v>
      </c>
      <c r="Q238" s="14" t="str">
        <f>IFERROR((VLOOKUP($A238,'[1]import success seats course'!$A:AE,HLOOKUP('[1]Course Totals'!Q$4,'[1]import success seats course'!$1:$2,2,FALSE),FALSE)/(VLOOKUP($A238,'[1]import graded seats course pivo'!$A:AO,HLOOKUP('[1]Course Totals'!Q$4,'[1]import graded seats course pivo'!$1:$2,2,FALSE),FALSE))),"")</f>
        <v/>
      </c>
      <c r="R238" s="14">
        <f>IFERROR((VLOOKUP($A238,'[1]import success seats course'!$A:AF,HLOOKUP('[1]Course Totals'!R$4,'[1]import success seats course'!$1:$2,2,FALSE),FALSE)/(VLOOKUP($A238,'[1]import graded seats course pivo'!$A:AP,HLOOKUP('[1]Course Totals'!R$4,'[1]import graded seats course pivo'!$1:$2,2,FALSE),FALSE))),"")</f>
        <v>0.65789473684210531</v>
      </c>
      <c r="S238" s="14">
        <f>IFERROR((VLOOKUP($A238,'[1]import success seats course'!$A:AG,HLOOKUP('[1]Course Totals'!S$4,'[1]import success seats course'!$1:$2,2,FALSE),FALSE)/(VLOOKUP($A238,'[1]import graded seats course pivo'!$A:AQ,HLOOKUP('[1]Course Totals'!S$4,'[1]import graded seats course pivo'!$1:$2,2,FALSE),FALSE))),"")</f>
        <v>0.87272727272727268</v>
      </c>
      <c r="Z238" s="7"/>
      <c r="AA238" s="7"/>
      <c r="AB238" s="7"/>
      <c r="AC238" s="7"/>
    </row>
    <row r="239" spans="1:29" ht="15.75" customHeight="1" x14ac:dyDescent="0.25">
      <c r="A239" s="12" t="s">
        <v>126</v>
      </c>
      <c r="B239" s="14" t="str">
        <f>IFERROR((VLOOKUP($A239,'[1]import success seats course'!$A:P,HLOOKUP('[1]Course Totals'!B$4,'[1]import success seats course'!$1:$2,2,FALSE),FALSE)/(VLOOKUP($A239,'[1]import graded seats course pivo'!$A:Z,HLOOKUP('[1]Course Totals'!B$4,'[1]import graded seats course pivo'!$1:$2,2,FALSE),FALSE))),"")</f>
        <v/>
      </c>
      <c r="C239" s="14">
        <f>IFERROR((VLOOKUP($A239,'[1]import success seats course'!$A:Q,HLOOKUP('[1]Course Totals'!C$4,'[1]import success seats course'!$1:$2,2,FALSE),FALSE)/(VLOOKUP($A239,'[1]import graded seats course pivo'!$A:AA,HLOOKUP('[1]Course Totals'!C$4,'[1]import graded seats course pivo'!$1:$2,2,FALSE),FALSE))),"")</f>
        <v>0.82051282051282048</v>
      </c>
      <c r="D239" s="14" t="str">
        <f>IFERROR((VLOOKUP($A239,'[1]import success seats course'!$A:R,HLOOKUP('[1]Course Totals'!D$4,'[1]import success seats course'!$1:$2,2,FALSE),FALSE)/(VLOOKUP($A239,'[1]import graded seats course pivo'!$A:AB,HLOOKUP('[1]Course Totals'!D$4,'[1]import graded seats course pivo'!$1:$2,2,FALSE),FALSE))),"")</f>
        <v/>
      </c>
      <c r="E239" s="14" t="str">
        <f>IFERROR((VLOOKUP($A239,'[1]import success seats course'!$A:S,HLOOKUP('[1]Course Totals'!E$4,'[1]import success seats course'!$1:$2,2,FALSE),FALSE)/(VLOOKUP($A239,'[1]import graded seats course pivo'!$A:AC,HLOOKUP('[1]Course Totals'!E$4,'[1]import graded seats course pivo'!$1:$2,2,FALSE),FALSE))),"")</f>
        <v/>
      </c>
      <c r="F239" s="14" t="str">
        <f>IFERROR((VLOOKUP($A239,'[1]import success seats course'!$A:T,HLOOKUP('[1]Course Totals'!F$4,'[1]import success seats course'!$1:$2,2,FALSE),FALSE)/(VLOOKUP($A239,'[1]import graded seats course pivo'!$A:AD,HLOOKUP('[1]Course Totals'!F$4,'[1]import graded seats course pivo'!$1:$2,2,FALSE),FALSE))),"")</f>
        <v/>
      </c>
      <c r="G239" s="14" t="str">
        <f>IFERROR((VLOOKUP($A239,'[1]import success seats course'!$A:U,HLOOKUP('[1]Course Totals'!G$4,'[1]import success seats course'!$1:$2,2,FALSE),FALSE)/(VLOOKUP($A239,'[1]import graded seats course pivo'!$A:AE,HLOOKUP('[1]Course Totals'!G$4,'[1]import graded seats course pivo'!$1:$2,2,FALSE),FALSE))),"")</f>
        <v/>
      </c>
      <c r="H239" s="14" t="str">
        <f>IFERROR((VLOOKUP($A239,'[1]import success seats course'!$A:V,HLOOKUP('[1]Course Totals'!H$4,'[1]import success seats course'!$1:$2,2,FALSE),FALSE)/(VLOOKUP($A239,'[1]import graded seats course pivo'!$A:AF,HLOOKUP('[1]Course Totals'!H$4,'[1]import graded seats course pivo'!$1:$2,2,FALSE),FALSE))),"")</f>
        <v/>
      </c>
      <c r="I239" s="14" t="str">
        <f>IFERROR((VLOOKUP($A239,'[1]import success seats course'!$A:W,HLOOKUP('[1]Course Totals'!I$4,'[1]import success seats course'!$1:$2,2,FALSE),FALSE)/(VLOOKUP($A239,'[1]import graded seats course pivo'!$A:AG,HLOOKUP('[1]Course Totals'!I$4,'[1]import graded seats course pivo'!$1:$2,2,FALSE),FALSE))),"")</f>
        <v/>
      </c>
      <c r="J239" s="14" t="str">
        <f>IFERROR((VLOOKUP($A239,'[1]import success seats course'!$A:X,HLOOKUP('[1]Course Totals'!J$4,'[1]import success seats course'!$1:$2,2,FALSE),FALSE)/(VLOOKUP($A239,'[1]import graded seats course pivo'!$A:AH,HLOOKUP('[1]Course Totals'!J$4,'[1]import graded seats course pivo'!$1:$2,2,FALSE),FALSE))),"")</f>
        <v/>
      </c>
      <c r="K239" s="14" t="str">
        <f>IFERROR((VLOOKUP($A239,'[1]import success seats course'!$A:Y,HLOOKUP('[1]Course Totals'!K$4,'[1]import success seats course'!$1:$2,2,FALSE),FALSE)/(VLOOKUP($A239,'[1]import graded seats course pivo'!$A:AI,HLOOKUP('[1]Course Totals'!K$4,'[1]import graded seats course pivo'!$1:$2,2,FALSE),FALSE))),"")</f>
        <v/>
      </c>
      <c r="L239" s="14" t="str">
        <f>IFERROR((VLOOKUP($A239,'[1]import success seats course'!$A:Z,HLOOKUP('[1]Course Totals'!L$4,'[1]import success seats course'!$1:$2,2,FALSE),FALSE)/(VLOOKUP($A239,'[1]import graded seats course pivo'!$A:AJ,HLOOKUP('[1]Course Totals'!L$4,'[1]import graded seats course pivo'!$1:$2,2,FALSE),FALSE))),"")</f>
        <v/>
      </c>
      <c r="M239" s="14" t="str">
        <f>IFERROR((VLOOKUP($A239,'[1]import success seats course'!$A:AA,HLOOKUP('[1]Course Totals'!M$4,'[1]import success seats course'!$1:$2,2,FALSE),FALSE)/(VLOOKUP($A239,'[1]import graded seats course pivo'!$A:AK,HLOOKUP('[1]Course Totals'!M$4,'[1]import graded seats course pivo'!$1:$2,2,FALSE),FALSE))),"")</f>
        <v/>
      </c>
      <c r="N239" s="14" t="str">
        <f>IFERROR((VLOOKUP($A239,'[1]import success seats course'!$A:AB,HLOOKUP('[1]Course Totals'!N$4,'[1]import success seats course'!$1:$2,2,FALSE),FALSE)/(VLOOKUP($A239,'[1]import graded seats course pivo'!$A:AL,HLOOKUP('[1]Course Totals'!N$4,'[1]import graded seats course pivo'!$1:$2,2,FALSE),FALSE))),"")</f>
        <v/>
      </c>
      <c r="O239" s="14" t="str">
        <f>IFERROR((VLOOKUP($A239,'[1]import success seats course'!$A:AC,HLOOKUP('[1]Course Totals'!O$4,'[1]import success seats course'!$1:$2,2,FALSE),FALSE)/(VLOOKUP($A239,'[1]import graded seats course pivo'!$A:AM,HLOOKUP('[1]Course Totals'!O$4,'[1]import graded seats course pivo'!$1:$2,2,FALSE),FALSE))),"")</f>
        <v/>
      </c>
      <c r="P239" s="14" t="str">
        <f>IFERROR((VLOOKUP($A239,'[1]import success seats course'!$A:AD,HLOOKUP('[1]Course Totals'!P$4,'[1]import success seats course'!$1:$2,2,FALSE),FALSE)/(VLOOKUP($A239,'[1]import graded seats course pivo'!$A:AN,HLOOKUP('[1]Course Totals'!P$4,'[1]import graded seats course pivo'!$1:$2,2,FALSE),FALSE))),"")</f>
        <v/>
      </c>
      <c r="Q239" s="14" t="str">
        <f>IFERROR((VLOOKUP($A239,'[1]import success seats course'!$A:AE,HLOOKUP('[1]Course Totals'!Q$4,'[1]import success seats course'!$1:$2,2,FALSE),FALSE)/(VLOOKUP($A239,'[1]import graded seats course pivo'!$A:AO,HLOOKUP('[1]Course Totals'!Q$4,'[1]import graded seats course pivo'!$1:$2,2,FALSE),FALSE))),"")</f>
        <v/>
      </c>
      <c r="R239" s="14" t="str">
        <f>IFERROR((VLOOKUP($A239,'[1]import success seats course'!$A:AF,HLOOKUP('[1]Course Totals'!R$4,'[1]import success seats course'!$1:$2,2,FALSE),FALSE)/(VLOOKUP($A239,'[1]import graded seats course pivo'!$A:AP,HLOOKUP('[1]Course Totals'!R$4,'[1]import graded seats course pivo'!$1:$2,2,FALSE),FALSE))),"")</f>
        <v/>
      </c>
      <c r="S239" s="14" t="str">
        <f>IFERROR((VLOOKUP($A239,'[1]import success seats course'!$A:AG,HLOOKUP('[1]Course Totals'!S$4,'[1]import success seats course'!$1:$2,2,FALSE),FALSE)/(VLOOKUP($A239,'[1]import graded seats course pivo'!$A:AQ,HLOOKUP('[1]Course Totals'!S$4,'[1]import graded seats course pivo'!$1:$2,2,FALSE),FALSE))),"")</f>
        <v/>
      </c>
      <c r="Z239" s="7"/>
      <c r="AA239" s="7"/>
      <c r="AB239" s="7"/>
      <c r="AC239" s="7"/>
    </row>
    <row r="240" spans="1:29" ht="15.75" customHeight="1" x14ac:dyDescent="0.25">
      <c r="A240" s="12" t="s">
        <v>572</v>
      </c>
      <c r="B240" s="14" t="str">
        <f>IFERROR((VLOOKUP($A240,'[1]import success seats course'!$A:P,HLOOKUP('[1]Course Totals'!B$4,'[1]import success seats course'!$1:$2,2,FALSE),FALSE)/(VLOOKUP($A240,'[1]import graded seats course pivo'!$A:Z,HLOOKUP('[1]Course Totals'!B$4,'[1]import graded seats course pivo'!$1:$2,2,FALSE),FALSE))),"")</f>
        <v/>
      </c>
      <c r="C240" s="14" t="str">
        <f>IFERROR((VLOOKUP($A240,'[1]import success seats course'!$A:Q,HLOOKUP('[1]Course Totals'!C$4,'[1]import success seats course'!$1:$2,2,FALSE),FALSE)/(VLOOKUP($A240,'[1]import graded seats course pivo'!$A:AA,HLOOKUP('[1]Course Totals'!C$4,'[1]import graded seats course pivo'!$1:$2,2,FALSE),FALSE))),"")</f>
        <v/>
      </c>
      <c r="D240" s="14">
        <f>IFERROR((VLOOKUP($A240,'[1]import success seats course'!$A:R,HLOOKUP('[1]Course Totals'!D$4,'[1]import success seats course'!$1:$2,2,FALSE),FALSE)/(VLOOKUP($A240,'[1]import graded seats course pivo'!$A:AB,HLOOKUP('[1]Course Totals'!D$4,'[1]import graded seats course pivo'!$1:$2,2,FALSE),FALSE))),"")</f>
        <v>0.76470588235294112</v>
      </c>
      <c r="E240" s="14" t="str">
        <f>IFERROR((VLOOKUP($A240,'[1]import success seats course'!$A:S,HLOOKUP('[1]Course Totals'!E$4,'[1]import success seats course'!$1:$2,2,FALSE),FALSE)/(VLOOKUP($A240,'[1]import graded seats course pivo'!$A:AC,HLOOKUP('[1]Course Totals'!E$4,'[1]import graded seats course pivo'!$1:$2,2,FALSE),FALSE))),"")</f>
        <v/>
      </c>
      <c r="F240" s="14">
        <f>IFERROR((VLOOKUP($A240,'[1]import success seats course'!$A:T,HLOOKUP('[1]Course Totals'!F$4,'[1]import success seats course'!$1:$2,2,FALSE),FALSE)/(VLOOKUP($A240,'[1]import graded seats course pivo'!$A:AD,HLOOKUP('[1]Course Totals'!F$4,'[1]import graded seats course pivo'!$1:$2,2,FALSE),FALSE))),"")</f>
        <v>0.76595744680851063</v>
      </c>
      <c r="G240" s="14">
        <f>IFERROR((VLOOKUP($A240,'[1]import success seats course'!$A:U,HLOOKUP('[1]Course Totals'!G$4,'[1]import success seats course'!$1:$2,2,FALSE),FALSE)/(VLOOKUP($A240,'[1]import graded seats course pivo'!$A:AE,HLOOKUP('[1]Course Totals'!G$4,'[1]import graded seats course pivo'!$1:$2,2,FALSE),FALSE))),"")</f>
        <v>0.71153846153846156</v>
      </c>
      <c r="H240" s="14" t="str">
        <f>IFERROR((VLOOKUP($A240,'[1]import success seats course'!$A:V,HLOOKUP('[1]Course Totals'!H$4,'[1]import success seats course'!$1:$2,2,FALSE),FALSE)/(VLOOKUP($A240,'[1]import graded seats course pivo'!$A:AF,HLOOKUP('[1]Course Totals'!H$4,'[1]import graded seats course pivo'!$1:$2,2,FALSE),FALSE))),"")</f>
        <v/>
      </c>
      <c r="I240" s="14" t="str">
        <f>IFERROR((VLOOKUP($A240,'[1]import success seats course'!$A:W,HLOOKUP('[1]Course Totals'!I$4,'[1]import success seats course'!$1:$2,2,FALSE),FALSE)/(VLOOKUP($A240,'[1]import graded seats course pivo'!$A:AG,HLOOKUP('[1]Course Totals'!I$4,'[1]import graded seats course pivo'!$1:$2,2,FALSE),FALSE))),"")</f>
        <v/>
      </c>
      <c r="J240" s="14" t="str">
        <f>IFERROR((VLOOKUP($A240,'[1]import success seats course'!$A:X,HLOOKUP('[1]Course Totals'!J$4,'[1]import success seats course'!$1:$2,2,FALSE),FALSE)/(VLOOKUP($A240,'[1]import graded seats course pivo'!$A:AH,HLOOKUP('[1]Course Totals'!J$4,'[1]import graded seats course pivo'!$1:$2,2,FALSE),FALSE))),"")</f>
        <v/>
      </c>
      <c r="K240" s="14" t="str">
        <f>IFERROR((VLOOKUP($A240,'[1]import success seats course'!$A:Y,HLOOKUP('[1]Course Totals'!K$4,'[1]import success seats course'!$1:$2,2,FALSE),FALSE)/(VLOOKUP($A240,'[1]import graded seats course pivo'!$A:AI,HLOOKUP('[1]Course Totals'!K$4,'[1]import graded seats course pivo'!$1:$2,2,FALSE),FALSE))),"")</f>
        <v/>
      </c>
      <c r="L240" s="14" t="str">
        <f>IFERROR((VLOOKUP($A240,'[1]import success seats course'!$A:Z,HLOOKUP('[1]Course Totals'!L$4,'[1]import success seats course'!$1:$2,2,FALSE),FALSE)/(VLOOKUP($A240,'[1]import graded seats course pivo'!$A:AJ,HLOOKUP('[1]Course Totals'!L$4,'[1]import graded seats course pivo'!$1:$2,2,FALSE),FALSE))),"")</f>
        <v/>
      </c>
      <c r="M240" s="14" t="str">
        <f>IFERROR((VLOOKUP($A240,'[1]import success seats course'!$A:AA,HLOOKUP('[1]Course Totals'!M$4,'[1]import success seats course'!$1:$2,2,FALSE),FALSE)/(VLOOKUP($A240,'[1]import graded seats course pivo'!$A:AK,HLOOKUP('[1]Course Totals'!M$4,'[1]import graded seats course pivo'!$1:$2,2,FALSE),FALSE))),"")</f>
        <v/>
      </c>
      <c r="N240" s="14" t="str">
        <f>IFERROR((VLOOKUP($A240,'[1]import success seats course'!$A:AB,HLOOKUP('[1]Course Totals'!N$4,'[1]import success seats course'!$1:$2,2,FALSE),FALSE)/(VLOOKUP($A240,'[1]import graded seats course pivo'!$A:AL,HLOOKUP('[1]Course Totals'!N$4,'[1]import graded seats course pivo'!$1:$2,2,FALSE),FALSE))),"")</f>
        <v/>
      </c>
      <c r="O240" s="14" t="str">
        <f>IFERROR((VLOOKUP($A240,'[1]import success seats course'!$A:AC,HLOOKUP('[1]Course Totals'!O$4,'[1]import success seats course'!$1:$2,2,FALSE),FALSE)/(VLOOKUP($A240,'[1]import graded seats course pivo'!$A:AM,HLOOKUP('[1]Course Totals'!O$4,'[1]import graded seats course pivo'!$1:$2,2,FALSE),FALSE))),"")</f>
        <v/>
      </c>
      <c r="P240" s="14" t="str">
        <f>IFERROR((VLOOKUP($A240,'[1]import success seats course'!$A:AD,HLOOKUP('[1]Course Totals'!P$4,'[1]import success seats course'!$1:$2,2,FALSE),FALSE)/(VLOOKUP($A240,'[1]import graded seats course pivo'!$A:AN,HLOOKUP('[1]Course Totals'!P$4,'[1]import graded seats course pivo'!$1:$2,2,FALSE),FALSE))),"")</f>
        <v/>
      </c>
      <c r="Q240" s="14" t="str">
        <f>IFERROR((VLOOKUP($A240,'[1]import success seats course'!$A:AE,HLOOKUP('[1]Course Totals'!Q$4,'[1]import success seats course'!$1:$2,2,FALSE),FALSE)/(VLOOKUP($A240,'[1]import graded seats course pivo'!$A:AO,HLOOKUP('[1]Course Totals'!Q$4,'[1]import graded seats course pivo'!$1:$2,2,FALSE),FALSE))),"")</f>
        <v/>
      </c>
      <c r="R240" s="14" t="str">
        <f>IFERROR((VLOOKUP($A240,'[1]import success seats course'!$A:AF,HLOOKUP('[1]Course Totals'!R$4,'[1]import success seats course'!$1:$2,2,FALSE),FALSE)/(VLOOKUP($A240,'[1]import graded seats course pivo'!$A:AP,HLOOKUP('[1]Course Totals'!R$4,'[1]import graded seats course pivo'!$1:$2,2,FALSE),FALSE))),"")</f>
        <v/>
      </c>
      <c r="S240" s="14" t="str">
        <f>IFERROR((VLOOKUP($A240,'[1]import success seats course'!$A:AG,HLOOKUP('[1]Course Totals'!S$4,'[1]import success seats course'!$1:$2,2,FALSE),FALSE)/(VLOOKUP($A240,'[1]import graded seats course pivo'!$A:AQ,HLOOKUP('[1]Course Totals'!S$4,'[1]import graded seats course pivo'!$1:$2,2,FALSE),FALSE))),"")</f>
        <v/>
      </c>
      <c r="Z240" s="7"/>
      <c r="AA240" s="7"/>
      <c r="AB240" s="7"/>
      <c r="AC240" s="7"/>
    </row>
    <row r="241" spans="1:29" ht="15.75" customHeight="1" x14ac:dyDescent="0.25">
      <c r="A241" s="12" t="s">
        <v>697</v>
      </c>
      <c r="B241" s="14" t="str">
        <f>IFERROR((VLOOKUP($A241,'[1]import success seats course'!$A:P,HLOOKUP('[1]Course Totals'!B$4,'[1]import success seats course'!$1:$2,2,FALSE),FALSE)/(VLOOKUP($A241,'[1]import graded seats course pivo'!$A:Z,HLOOKUP('[1]Course Totals'!B$4,'[1]import graded seats course pivo'!$1:$2,2,FALSE),FALSE))),"")</f>
        <v/>
      </c>
      <c r="C241" s="14" t="str">
        <f>IFERROR((VLOOKUP($A241,'[1]import success seats course'!$A:Q,HLOOKUP('[1]Course Totals'!C$4,'[1]import success seats course'!$1:$2,2,FALSE),FALSE)/(VLOOKUP($A241,'[1]import graded seats course pivo'!$A:AA,HLOOKUP('[1]Course Totals'!C$4,'[1]import graded seats course pivo'!$1:$2,2,FALSE),FALSE))),"")</f>
        <v/>
      </c>
      <c r="D241" s="14" t="str">
        <f>IFERROR((VLOOKUP($A241,'[1]import success seats course'!$A:R,HLOOKUP('[1]Course Totals'!D$4,'[1]import success seats course'!$1:$2,2,FALSE),FALSE)/(VLOOKUP($A241,'[1]import graded seats course pivo'!$A:AB,HLOOKUP('[1]Course Totals'!D$4,'[1]import graded seats course pivo'!$1:$2,2,FALSE),FALSE))),"")</f>
        <v/>
      </c>
      <c r="E241" s="14" t="str">
        <f>IFERROR((VLOOKUP($A241,'[1]import success seats course'!$A:S,HLOOKUP('[1]Course Totals'!E$4,'[1]import success seats course'!$1:$2,2,FALSE),FALSE)/(VLOOKUP($A241,'[1]import graded seats course pivo'!$A:AC,HLOOKUP('[1]Course Totals'!E$4,'[1]import graded seats course pivo'!$1:$2,2,FALSE),FALSE))),"")</f>
        <v/>
      </c>
      <c r="F241" s="14" t="str">
        <f>IFERROR((VLOOKUP($A241,'[1]import success seats course'!$A:T,HLOOKUP('[1]Course Totals'!F$4,'[1]import success seats course'!$1:$2,2,FALSE),FALSE)/(VLOOKUP($A241,'[1]import graded seats course pivo'!$A:AD,HLOOKUP('[1]Course Totals'!F$4,'[1]import graded seats course pivo'!$1:$2,2,FALSE),FALSE))),"")</f>
        <v/>
      </c>
      <c r="G241" s="14" t="str">
        <f>IFERROR((VLOOKUP($A241,'[1]import success seats course'!$A:U,HLOOKUP('[1]Course Totals'!G$4,'[1]import success seats course'!$1:$2,2,FALSE),FALSE)/(VLOOKUP($A241,'[1]import graded seats course pivo'!$A:AE,HLOOKUP('[1]Course Totals'!G$4,'[1]import graded seats course pivo'!$1:$2,2,FALSE),FALSE))),"")</f>
        <v/>
      </c>
      <c r="H241" s="14" t="str">
        <f>IFERROR((VLOOKUP($A241,'[1]import success seats course'!$A:V,HLOOKUP('[1]Course Totals'!H$4,'[1]import success seats course'!$1:$2,2,FALSE),FALSE)/(VLOOKUP($A241,'[1]import graded seats course pivo'!$A:AF,HLOOKUP('[1]Course Totals'!H$4,'[1]import graded seats course pivo'!$1:$2,2,FALSE),FALSE))),"")</f>
        <v/>
      </c>
      <c r="I241" s="14" t="str">
        <f>IFERROR((VLOOKUP($A241,'[1]import success seats course'!$A:W,HLOOKUP('[1]Course Totals'!I$4,'[1]import success seats course'!$1:$2,2,FALSE),FALSE)/(VLOOKUP($A241,'[1]import graded seats course pivo'!$A:AG,HLOOKUP('[1]Course Totals'!I$4,'[1]import graded seats course pivo'!$1:$2,2,FALSE),FALSE))),"")</f>
        <v/>
      </c>
      <c r="J241" s="14">
        <f>IFERROR((VLOOKUP($A241,'[1]import success seats course'!$A:X,HLOOKUP('[1]Course Totals'!J$4,'[1]import success seats course'!$1:$2,2,FALSE),FALSE)/(VLOOKUP($A241,'[1]import graded seats course pivo'!$A:AH,HLOOKUP('[1]Course Totals'!J$4,'[1]import graded seats course pivo'!$1:$2,2,FALSE),FALSE))),"")</f>
        <v>0.76666666666666672</v>
      </c>
      <c r="K241" s="14" t="str">
        <f>IFERROR((VLOOKUP($A241,'[1]import success seats course'!$A:Y,HLOOKUP('[1]Course Totals'!K$4,'[1]import success seats course'!$1:$2,2,FALSE),FALSE)/(VLOOKUP($A241,'[1]import graded seats course pivo'!$A:AI,HLOOKUP('[1]Course Totals'!K$4,'[1]import graded seats course pivo'!$1:$2,2,FALSE),FALSE))),"")</f>
        <v/>
      </c>
      <c r="L241" s="14" t="str">
        <f>IFERROR((VLOOKUP($A241,'[1]import success seats course'!$A:Z,HLOOKUP('[1]Course Totals'!L$4,'[1]import success seats course'!$1:$2,2,FALSE),FALSE)/(VLOOKUP($A241,'[1]import graded seats course pivo'!$A:AJ,HLOOKUP('[1]Course Totals'!L$4,'[1]import graded seats course pivo'!$1:$2,2,FALSE),FALSE))),"")</f>
        <v/>
      </c>
      <c r="M241" s="14">
        <f>IFERROR((VLOOKUP($A241,'[1]import success seats course'!$A:AA,HLOOKUP('[1]Course Totals'!M$4,'[1]import success seats course'!$1:$2,2,FALSE),FALSE)/(VLOOKUP($A241,'[1]import graded seats course pivo'!$A:AK,HLOOKUP('[1]Course Totals'!M$4,'[1]import graded seats course pivo'!$1:$2,2,FALSE),FALSE))),"")</f>
        <v>0.7142857142857143</v>
      </c>
      <c r="N241" s="14" t="str">
        <f>IFERROR((VLOOKUP($A241,'[1]import success seats course'!$A:AB,HLOOKUP('[1]Course Totals'!N$4,'[1]import success seats course'!$1:$2,2,FALSE),FALSE)/(VLOOKUP($A241,'[1]import graded seats course pivo'!$A:AL,HLOOKUP('[1]Course Totals'!N$4,'[1]import graded seats course pivo'!$1:$2,2,FALSE),FALSE))),"")</f>
        <v/>
      </c>
      <c r="O241" s="14" t="str">
        <f>IFERROR((VLOOKUP($A241,'[1]import success seats course'!$A:AC,HLOOKUP('[1]Course Totals'!O$4,'[1]import success seats course'!$1:$2,2,FALSE),FALSE)/(VLOOKUP($A241,'[1]import graded seats course pivo'!$A:AM,HLOOKUP('[1]Course Totals'!O$4,'[1]import graded seats course pivo'!$1:$2,2,FALSE),FALSE))),"")</f>
        <v/>
      </c>
      <c r="P241" s="14">
        <f>IFERROR((VLOOKUP($A241,'[1]import success seats course'!$A:AD,HLOOKUP('[1]Course Totals'!P$4,'[1]import success seats course'!$1:$2,2,FALSE),FALSE)/(VLOOKUP($A241,'[1]import graded seats course pivo'!$A:AN,HLOOKUP('[1]Course Totals'!P$4,'[1]import graded seats course pivo'!$1:$2,2,FALSE),FALSE))),"")</f>
        <v>0.73076923076923073</v>
      </c>
      <c r="Q241" s="14" t="str">
        <f>IFERROR((VLOOKUP($A241,'[1]import success seats course'!$A:AE,HLOOKUP('[1]Course Totals'!Q$4,'[1]import success seats course'!$1:$2,2,FALSE),FALSE)/(VLOOKUP($A241,'[1]import graded seats course pivo'!$A:AO,HLOOKUP('[1]Course Totals'!Q$4,'[1]import graded seats course pivo'!$1:$2,2,FALSE),FALSE))),"")</f>
        <v/>
      </c>
      <c r="R241" s="14" t="str">
        <f>IFERROR((VLOOKUP($A241,'[1]import success seats course'!$A:AF,HLOOKUP('[1]Course Totals'!R$4,'[1]import success seats course'!$1:$2,2,FALSE),FALSE)/(VLOOKUP($A241,'[1]import graded seats course pivo'!$A:AP,HLOOKUP('[1]Course Totals'!R$4,'[1]import graded seats course pivo'!$1:$2,2,FALSE),FALSE))),"")</f>
        <v/>
      </c>
      <c r="S241" s="14">
        <f>IFERROR((VLOOKUP($A241,'[1]import success seats course'!$A:AG,HLOOKUP('[1]Course Totals'!S$4,'[1]import success seats course'!$1:$2,2,FALSE),FALSE)/(VLOOKUP($A241,'[1]import graded seats course pivo'!$A:AQ,HLOOKUP('[1]Course Totals'!S$4,'[1]import graded seats course pivo'!$1:$2,2,FALSE),FALSE))),"")</f>
        <v>0.73333333333333328</v>
      </c>
      <c r="Z241" s="7"/>
      <c r="AA241" s="7"/>
      <c r="AB241" s="7"/>
      <c r="AC241" s="7"/>
    </row>
    <row r="242" spans="1:29" ht="15.75" customHeight="1" x14ac:dyDescent="0.25">
      <c r="A242" s="12" t="s">
        <v>127</v>
      </c>
      <c r="B242" s="14" t="str">
        <f>IFERROR((VLOOKUP($A242,'[1]import success seats course'!$A:P,HLOOKUP('[1]Course Totals'!B$4,'[1]import success seats course'!$1:$2,2,FALSE),FALSE)/(VLOOKUP($A242,'[1]import graded seats course pivo'!$A:Z,HLOOKUP('[1]Course Totals'!B$4,'[1]import graded seats course pivo'!$1:$2,2,FALSE),FALSE))),"")</f>
        <v/>
      </c>
      <c r="C242" s="14">
        <f>IFERROR((VLOOKUP($A242,'[1]import success seats course'!$A:Q,HLOOKUP('[1]Course Totals'!C$4,'[1]import success seats course'!$1:$2,2,FALSE),FALSE)/(VLOOKUP($A242,'[1]import graded seats course pivo'!$A:AA,HLOOKUP('[1]Course Totals'!C$4,'[1]import graded seats course pivo'!$1:$2,2,FALSE),FALSE))),"")</f>
        <v>0.8</v>
      </c>
      <c r="D242" s="14" t="str">
        <f>IFERROR((VLOOKUP($A242,'[1]import success seats course'!$A:R,HLOOKUP('[1]Course Totals'!D$4,'[1]import success seats course'!$1:$2,2,FALSE),FALSE)/(VLOOKUP($A242,'[1]import graded seats course pivo'!$A:AB,HLOOKUP('[1]Course Totals'!D$4,'[1]import graded seats course pivo'!$1:$2,2,FALSE),FALSE))),"")</f>
        <v/>
      </c>
      <c r="E242" s="14" t="str">
        <f>IFERROR((VLOOKUP($A242,'[1]import success seats course'!$A:S,HLOOKUP('[1]Course Totals'!E$4,'[1]import success seats course'!$1:$2,2,FALSE),FALSE)/(VLOOKUP($A242,'[1]import graded seats course pivo'!$A:AC,HLOOKUP('[1]Course Totals'!E$4,'[1]import graded seats course pivo'!$1:$2,2,FALSE),FALSE))),"")</f>
        <v/>
      </c>
      <c r="F242" s="14" t="str">
        <f>IFERROR((VLOOKUP($A242,'[1]import success seats course'!$A:T,HLOOKUP('[1]Course Totals'!F$4,'[1]import success seats course'!$1:$2,2,FALSE),FALSE)/(VLOOKUP($A242,'[1]import graded seats course pivo'!$A:AD,HLOOKUP('[1]Course Totals'!F$4,'[1]import graded seats course pivo'!$1:$2,2,FALSE),FALSE))),"")</f>
        <v/>
      </c>
      <c r="G242" s="14" t="str">
        <f>IFERROR((VLOOKUP($A242,'[1]import success seats course'!$A:U,HLOOKUP('[1]Course Totals'!G$4,'[1]import success seats course'!$1:$2,2,FALSE),FALSE)/(VLOOKUP($A242,'[1]import graded seats course pivo'!$A:AE,HLOOKUP('[1]Course Totals'!G$4,'[1]import graded seats course pivo'!$1:$2,2,FALSE),FALSE))),"")</f>
        <v/>
      </c>
      <c r="H242" s="14" t="str">
        <f>IFERROR((VLOOKUP($A242,'[1]import success seats course'!$A:V,HLOOKUP('[1]Course Totals'!H$4,'[1]import success seats course'!$1:$2,2,FALSE),FALSE)/(VLOOKUP($A242,'[1]import graded seats course pivo'!$A:AF,HLOOKUP('[1]Course Totals'!H$4,'[1]import graded seats course pivo'!$1:$2,2,FALSE),FALSE))),"")</f>
        <v/>
      </c>
      <c r="I242" s="14" t="str">
        <f>IFERROR((VLOOKUP($A242,'[1]import success seats course'!$A:W,HLOOKUP('[1]Course Totals'!I$4,'[1]import success seats course'!$1:$2,2,FALSE),FALSE)/(VLOOKUP($A242,'[1]import graded seats course pivo'!$A:AG,HLOOKUP('[1]Course Totals'!I$4,'[1]import graded seats course pivo'!$1:$2,2,FALSE),FALSE))),"")</f>
        <v/>
      </c>
      <c r="J242" s="14" t="str">
        <f>IFERROR((VLOOKUP($A242,'[1]import success seats course'!$A:X,HLOOKUP('[1]Course Totals'!J$4,'[1]import success seats course'!$1:$2,2,FALSE),FALSE)/(VLOOKUP($A242,'[1]import graded seats course pivo'!$A:AH,HLOOKUP('[1]Course Totals'!J$4,'[1]import graded seats course pivo'!$1:$2,2,FALSE),FALSE))),"")</f>
        <v/>
      </c>
      <c r="K242" s="14" t="str">
        <f>IFERROR((VLOOKUP($A242,'[1]import success seats course'!$A:Y,HLOOKUP('[1]Course Totals'!K$4,'[1]import success seats course'!$1:$2,2,FALSE),FALSE)/(VLOOKUP($A242,'[1]import graded seats course pivo'!$A:AI,HLOOKUP('[1]Course Totals'!K$4,'[1]import graded seats course pivo'!$1:$2,2,FALSE),FALSE))),"")</f>
        <v/>
      </c>
      <c r="L242" s="14" t="str">
        <f>IFERROR((VLOOKUP($A242,'[1]import success seats course'!$A:Z,HLOOKUP('[1]Course Totals'!L$4,'[1]import success seats course'!$1:$2,2,FALSE),FALSE)/(VLOOKUP($A242,'[1]import graded seats course pivo'!$A:AJ,HLOOKUP('[1]Course Totals'!L$4,'[1]import graded seats course pivo'!$1:$2,2,FALSE),FALSE))),"")</f>
        <v/>
      </c>
      <c r="M242" s="14" t="str">
        <f>IFERROR((VLOOKUP($A242,'[1]import success seats course'!$A:AA,HLOOKUP('[1]Course Totals'!M$4,'[1]import success seats course'!$1:$2,2,FALSE),FALSE)/(VLOOKUP($A242,'[1]import graded seats course pivo'!$A:AK,HLOOKUP('[1]Course Totals'!M$4,'[1]import graded seats course pivo'!$1:$2,2,FALSE),FALSE))),"")</f>
        <v/>
      </c>
      <c r="N242" s="14" t="str">
        <f>IFERROR((VLOOKUP($A242,'[1]import success seats course'!$A:AB,HLOOKUP('[1]Course Totals'!N$4,'[1]import success seats course'!$1:$2,2,FALSE),FALSE)/(VLOOKUP($A242,'[1]import graded seats course pivo'!$A:AL,HLOOKUP('[1]Course Totals'!N$4,'[1]import graded seats course pivo'!$1:$2,2,FALSE),FALSE))),"")</f>
        <v/>
      </c>
      <c r="O242" s="14" t="str">
        <f>IFERROR((VLOOKUP($A242,'[1]import success seats course'!$A:AC,HLOOKUP('[1]Course Totals'!O$4,'[1]import success seats course'!$1:$2,2,FALSE),FALSE)/(VLOOKUP($A242,'[1]import graded seats course pivo'!$A:AM,HLOOKUP('[1]Course Totals'!O$4,'[1]import graded seats course pivo'!$1:$2,2,FALSE),FALSE))),"")</f>
        <v/>
      </c>
      <c r="P242" s="14" t="str">
        <f>IFERROR((VLOOKUP($A242,'[1]import success seats course'!$A:AD,HLOOKUP('[1]Course Totals'!P$4,'[1]import success seats course'!$1:$2,2,FALSE),FALSE)/(VLOOKUP($A242,'[1]import graded seats course pivo'!$A:AN,HLOOKUP('[1]Course Totals'!P$4,'[1]import graded seats course pivo'!$1:$2,2,FALSE),FALSE))),"")</f>
        <v/>
      </c>
      <c r="Q242" s="14" t="str">
        <f>IFERROR((VLOOKUP($A242,'[1]import success seats course'!$A:AE,HLOOKUP('[1]Course Totals'!Q$4,'[1]import success seats course'!$1:$2,2,FALSE),FALSE)/(VLOOKUP($A242,'[1]import graded seats course pivo'!$A:AO,HLOOKUP('[1]Course Totals'!Q$4,'[1]import graded seats course pivo'!$1:$2,2,FALSE),FALSE))),"")</f>
        <v/>
      </c>
      <c r="R242" s="14" t="str">
        <f>IFERROR((VLOOKUP($A242,'[1]import success seats course'!$A:AF,HLOOKUP('[1]Course Totals'!R$4,'[1]import success seats course'!$1:$2,2,FALSE),FALSE)/(VLOOKUP($A242,'[1]import graded seats course pivo'!$A:AP,HLOOKUP('[1]Course Totals'!R$4,'[1]import graded seats course pivo'!$1:$2,2,FALSE),FALSE))),"")</f>
        <v/>
      </c>
      <c r="S242" s="14" t="str">
        <f>IFERROR((VLOOKUP($A242,'[1]import success seats course'!$A:AG,HLOOKUP('[1]Course Totals'!S$4,'[1]import success seats course'!$1:$2,2,FALSE),FALSE)/(VLOOKUP($A242,'[1]import graded seats course pivo'!$A:AQ,HLOOKUP('[1]Course Totals'!S$4,'[1]import graded seats course pivo'!$1:$2,2,FALSE),FALSE))),"")</f>
        <v/>
      </c>
      <c r="Z242" s="7"/>
      <c r="AA242" s="7"/>
      <c r="AB242" s="7"/>
      <c r="AC242" s="7"/>
    </row>
    <row r="243" spans="1:29" ht="15.75" hidden="1" customHeight="1" x14ac:dyDescent="0.25">
      <c r="A243" s="12" t="s">
        <v>573</v>
      </c>
      <c r="B243" s="14" t="str">
        <f>IFERROR((VLOOKUP($A243,'[1]import success seats course'!$A:P,HLOOKUP('[1]Course Totals'!B$4,'[1]import success seats course'!$1:$2,2,FALSE),FALSE)/(VLOOKUP($A243,'[1]import graded seats course pivo'!$A:Z,HLOOKUP('[1]Course Totals'!B$4,'[1]import graded seats course pivo'!$1:$2,2,FALSE),FALSE))),"")</f>
        <v/>
      </c>
      <c r="C243" s="14" t="str">
        <f>IFERROR((VLOOKUP($A243,'[1]import success seats course'!$A:Q,HLOOKUP('[1]Course Totals'!C$4,'[1]import success seats course'!$1:$2,2,FALSE),FALSE)/(VLOOKUP($A243,'[1]import graded seats course pivo'!$A:AA,HLOOKUP('[1]Course Totals'!C$4,'[1]import graded seats course pivo'!$1:$2,2,FALSE),FALSE))),"")</f>
        <v/>
      </c>
      <c r="D243" s="14" t="str">
        <f>IFERROR((VLOOKUP($A243,'[1]import success seats course'!$A:R,HLOOKUP('[1]Course Totals'!D$4,'[1]import success seats course'!$1:$2,2,FALSE),FALSE)/(VLOOKUP($A243,'[1]import graded seats course pivo'!$A:AB,HLOOKUP('[1]Course Totals'!D$4,'[1]import graded seats course pivo'!$1:$2,2,FALSE),FALSE))),"")</f>
        <v/>
      </c>
      <c r="E243" s="14" t="str">
        <f>IFERROR((VLOOKUP($A243,'[1]import success seats course'!$A:S,HLOOKUP('[1]Course Totals'!E$4,'[1]import success seats course'!$1:$2,2,FALSE),FALSE)/(VLOOKUP($A243,'[1]import graded seats course pivo'!$A:AC,HLOOKUP('[1]Course Totals'!E$4,'[1]import graded seats course pivo'!$1:$2,2,FALSE),FALSE))),"")</f>
        <v/>
      </c>
      <c r="F243" s="14" t="str">
        <f>IFERROR((VLOOKUP($A243,'[1]import success seats course'!$A:T,HLOOKUP('[1]Course Totals'!F$4,'[1]import success seats course'!$1:$2,2,FALSE),FALSE)/(VLOOKUP($A243,'[1]import graded seats course pivo'!$A:AD,HLOOKUP('[1]Course Totals'!F$4,'[1]import graded seats course pivo'!$1:$2,2,FALSE),FALSE))),"")</f>
        <v/>
      </c>
      <c r="G243" s="14" t="str">
        <f>IFERROR((VLOOKUP($A243,'[1]import success seats course'!$A:U,HLOOKUP('[1]Course Totals'!G$4,'[1]import success seats course'!$1:$2,2,FALSE),FALSE)/(VLOOKUP($A243,'[1]import graded seats course pivo'!$A:AE,HLOOKUP('[1]Course Totals'!G$4,'[1]import graded seats course pivo'!$1:$2,2,FALSE),FALSE))),"")</f>
        <v/>
      </c>
      <c r="H243" s="14" t="str">
        <f>IFERROR((VLOOKUP($A243,'[1]import success seats course'!$A:V,HLOOKUP('[1]Course Totals'!H$4,'[1]import success seats course'!$1:$2,2,FALSE),FALSE)/(VLOOKUP($A243,'[1]import graded seats course pivo'!$A:AF,HLOOKUP('[1]Course Totals'!H$4,'[1]import graded seats course pivo'!$1:$2,2,FALSE),FALSE))),"")</f>
        <v/>
      </c>
      <c r="I243" s="14" t="str">
        <f>IFERROR((VLOOKUP($A243,'[1]import success seats course'!$A:W,HLOOKUP('[1]Course Totals'!I$4,'[1]import success seats course'!$1:$2,2,FALSE),FALSE)/(VLOOKUP($A243,'[1]import graded seats course pivo'!$A:AG,HLOOKUP('[1]Course Totals'!I$4,'[1]import graded seats course pivo'!$1:$2,2,FALSE),FALSE))),"")</f>
        <v/>
      </c>
      <c r="J243" s="14" t="str">
        <f>IFERROR((VLOOKUP($A243,'[1]import success seats course'!$A:X,HLOOKUP('[1]Course Totals'!J$4,'[1]import success seats course'!$1:$2,2,FALSE),FALSE)/(VLOOKUP($A243,'[1]import graded seats course pivo'!$A:AH,HLOOKUP('[1]Course Totals'!J$4,'[1]import graded seats course pivo'!$1:$2,2,FALSE),FALSE))),"")</f>
        <v/>
      </c>
      <c r="K243" s="14" t="str">
        <f>IFERROR((VLOOKUP($A243,'[1]import success seats course'!$A:Y,HLOOKUP('[1]Course Totals'!K$4,'[1]import success seats course'!$1:$2,2,FALSE),FALSE)/(VLOOKUP($A243,'[1]import graded seats course pivo'!$A:AI,HLOOKUP('[1]Course Totals'!K$4,'[1]import graded seats course pivo'!$1:$2,2,FALSE),FALSE))),"")</f>
        <v/>
      </c>
      <c r="L243" s="14" t="str">
        <f>IFERROR((VLOOKUP($A243,'[1]import success seats course'!$A:Z,HLOOKUP('[1]Course Totals'!L$4,'[1]import success seats course'!$1:$2,2,FALSE),FALSE)/(VLOOKUP($A243,'[1]import graded seats course pivo'!$A:AJ,HLOOKUP('[1]Course Totals'!L$4,'[1]import graded seats course pivo'!$1:$2,2,FALSE),FALSE))),"")</f>
        <v/>
      </c>
      <c r="M243" s="14" t="str">
        <f>IFERROR((VLOOKUP($A243,'[1]import success seats course'!$A:AA,HLOOKUP('[1]Course Totals'!M$4,'[1]import success seats course'!$1:$2,2,FALSE),FALSE)/(VLOOKUP($A243,'[1]import graded seats course pivo'!$A:AK,HLOOKUP('[1]Course Totals'!M$4,'[1]import graded seats course pivo'!$1:$2,2,FALSE),FALSE))),"")</f>
        <v/>
      </c>
      <c r="N243" s="14" t="str">
        <f>IFERROR((VLOOKUP($A243,'[1]import success seats course'!$A:AB,HLOOKUP('[1]Course Totals'!N$4,'[1]import success seats course'!$1:$2,2,FALSE),FALSE)/(VLOOKUP($A243,'[1]import graded seats course pivo'!$A:AL,HLOOKUP('[1]Course Totals'!N$4,'[1]import graded seats course pivo'!$1:$2,2,FALSE),FALSE))),"")</f>
        <v/>
      </c>
      <c r="O243" s="14" t="str">
        <f>IFERROR((VLOOKUP($A243,'[1]import success seats course'!$A:AC,HLOOKUP('[1]Course Totals'!O$4,'[1]import success seats course'!$1:$2,2,FALSE),FALSE)/(VLOOKUP($A243,'[1]import graded seats course pivo'!$A:AM,HLOOKUP('[1]Course Totals'!O$4,'[1]import graded seats course pivo'!$1:$2,2,FALSE),FALSE))),"")</f>
        <v/>
      </c>
      <c r="P243" s="14" t="str">
        <f>IFERROR((VLOOKUP($A243,'[1]import success seats course'!$A:AD,HLOOKUP('[1]Course Totals'!P$4,'[1]import success seats course'!$1:$2,2,FALSE),FALSE)/(VLOOKUP($A243,'[1]import graded seats course pivo'!$A:AN,HLOOKUP('[1]Course Totals'!P$4,'[1]import graded seats course pivo'!$1:$2,2,FALSE),FALSE))),"")</f>
        <v/>
      </c>
      <c r="Q243" s="14" t="str">
        <f>IFERROR((VLOOKUP($A243,'[1]import success seats course'!$A:AE,HLOOKUP('[1]Course Totals'!Q$4,'[1]import success seats course'!$1:$2,2,FALSE),FALSE)/(VLOOKUP($A243,'[1]import graded seats course pivo'!$A:AO,HLOOKUP('[1]Course Totals'!Q$4,'[1]import graded seats course pivo'!$1:$2,2,FALSE),FALSE))),"")</f>
        <v/>
      </c>
      <c r="R243" s="14" t="str">
        <f>IFERROR((VLOOKUP($A243,'[1]import success seats course'!$A:AF,HLOOKUP('[1]Course Totals'!R$4,'[1]import success seats course'!$1:$2,2,FALSE),FALSE)/(VLOOKUP($A243,'[1]import graded seats course pivo'!$A:AP,HLOOKUP('[1]Course Totals'!R$4,'[1]import graded seats course pivo'!$1:$2,2,FALSE),FALSE))),"")</f>
        <v/>
      </c>
      <c r="S243" s="14" t="str">
        <f>IFERROR((VLOOKUP($A243,'[1]import success seats course'!$A:AG,HLOOKUP('[1]Course Totals'!S$4,'[1]import success seats course'!$1:$2,2,FALSE),FALSE)/(VLOOKUP($A243,'[1]import graded seats course pivo'!$A:AQ,HLOOKUP('[1]Course Totals'!S$4,'[1]import graded seats course pivo'!$1:$2,2,FALSE),FALSE))),"")</f>
        <v/>
      </c>
      <c r="Z243" s="7"/>
      <c r="AA243" s="7"/>
      <c r="AB243" s="7"/>
      <c r="AC243" s="7"/>
    </row>
    <row r="244" spans="1:29" ht="15.75" customHeight="1" x14ac:dyDescent="0.25">
      <c r="A244" s="12" t="s">
        <v>698</v>
      </c>
      <c r="B244" s="14" t="str">
        <f>IFERROR((VLOOKUP($A244,'[1]import success seats course'!$A:P,HLOOKUP('[1]Course Totals'!B$4,'[1]import success seats course'!$1:$2,2,FALSE),FALSE)/(VLOOKUP($A244,'[1]import graded seats course pivo'!$A:Z,HLOOKUP('[1]Course Totals'!B$4,'[1]import graded seats course pivo'!$1:$2,2,FALSE),FALSE))),"")</f>
        <v/>
      </c>
      <c r="C244" s="14" t="str">
        <f>IFERROR((VLOOKUP($A244,'[1]import success seats course'!$A:Q,HLOOKUP('[1]Course Totals'!C$4,'[1]import success seats course'!$1:$2,2,FALSE),FALSE)/(VLOOKUP($A244,'[1]import graded seats course pivo'!$A:AA,HLOOKUP('[1]Course Totals'!C$4,'[1]import graded seats course pivo'!$1:$2,2,FALSE),FALSE))),"")</f>
        <v/>
      </c>
      <c r="D244" s="14" t="str">
        <f>IFERROR((VLOOKUP($A244,'[1]import success seats course'!$A:R,HLOOKUP('[1]Course Totals'!D$4,'[1]import success seats course'!$1:$2,2,FALSE),FALSE)/(VLOOKUP($A244,'[1]import graded seats course pivo'!$A:AB,HLOOKUP('[1]Course Totals'!D$4,'[1]import graded seats course pivo'!$1:$2,2,FALSE),FALSE))),"")</f>
        <v/>
      </c>
      <c r="E244" s="14" t="str">
        <f>IFERROR((VLOOKUP($A244,'[1]import success seats course'!$A:S,HLOOKUP('[1]Course Totals'!E$4,'[1]import success seats course'!$1:$2,2,FALSE),FALSE)/(VLOOKUP($A244,'[1]import graded seats course pivo'!$A:AC,HLOOKUP('[1]Course Totals'!E$4,'[1]import graded seats course pivo'!$1:$2,2,FALSE),FALSE))),"")</f>
        <v/>
      </c>
      <c r="F244" s="14" t="str">
        <f>IFERROR((VLOOKUP($A244,'[1]import success seats course'!$A:T,HLOOKUP('[1]Course Totals'!F$4,'[1]import success seats course'!$1:$2,2,FALSE),FALSE)/(VLOOKUP($A244,'[1]import graded seats course pivo'!$A:AD,HLOOKUP('[1]Course Totals'!F$4,'[1]import graded seats course pivo'!$1:$2,2,FALSE),FALSE))),"")</f>
        <v/>
      </c>
      <c r="G244" s="14" t="str">
        <f>IFERROR((VLOOKUP($A244,'[1]import success seats course'!$A:U,HLOOKUP('[1]Course Totals'!G$4,'[1]import success seats course'!$1:$2,2,FALSE),FALSE)/(VLOOKUP($A244,'[1]import graded seats course pivo'!$A:AE,HLOOKUP('[1]Course Totals'!G$4,'[1]import graded seats course pivo'!$1:$2,2,FALSE),FALSE))),"")</f>
        <v/>
      </c>
      <c r="H244" s="14" t="str">
        <f>IFERROR((VLOOKUP($A244,'[1]import success seats course'!$A:V,HLOOKUP('[1]Course Totals'!H$4,'[1]import success seats course'!$1:$2,2,FALSE),FALSE)/(VLOOKUP($A244,'[1]import graded seats course pivo'!$A:AF,HLOOKUP('[1]Course Totals'!H$4,'[1]import graded seats course pivo'!$1:$2,2,FALSE),FALSE))),"")</f>
        <v/>
      </c>
      <c r="I244" s="14" t="str">
        <f>IFERROR((VLOOKUP($A244,'[1]import success seats course'!$A:W,HLOOKUP('[1]Course Totals'!I$4,'[1]import success seats course'!$1:$2,2,FALSE),FALSE)/(VLOOKUP($A244,'[1]import graded seats course pivo'!$A:AG,HLOOKUP('[1]Course Totals'!I$4,'[1]import graded seats course pivo'!$1:$2,2,FALSE),FALSE))),"")</f>
        <v/>
      </c>
      <c r="J244" s="14">
        <f>IFERROR((VLOOKUP($A244,'[1]import success seats course'!$A:X,HLOOKUP('[1]Course Totals'!J$4,'[1]import success seats course'!$1:$2,2,FALSE),FALSE)/(VLOOKUP($A244,'[1]import graded seats course pivo'!$A:AH,HLOOKUP('[1]Course Totals'!J$4,'[1]import graded seats course pivo'!$1:$2,2,FALSE),FALSE))),"")</f>
        <v>0.96153846153846156</v>
      </c>
      <c r="K244" s="14" t="str">
        <f>IFERROR((VLOOKUP($A244,'[1]import success seats course'!$A:Y,HLOOKUP('[1]Course Totals'!K$4,'[1]import success seats course'!$1:$2,2,FALSE),FALSE)/(VLOOKUP($A244,'[1]import graded seats course pivo'!$A:AI,HLOOKUP('[1]Course Totals'!K$4,'[1]import graded seats course pivo'!$1:$2,2,FALSE),FALSE))),"")</f>
        <v/>
      </c>
      <c r="L244" s="14" t="str">
        <f>IFERROR((VLOOKUP($A244,'[1]import success seats course'!$A:Z,HLOOKUP('[1]Course Totals'!L$4,'[1]import success seats course'!$1:$2,2,FALSE),FALSE)/(VLOOKUP($A244,'[1]import graded seats course pivo'!$A:AJ,HLOOKUP('[1]Course Totals'!L$4,'[1]import graded seats course pivo'!$1:$2,2,FALSE),FALSE))),"")</f>
        <v/>
      </c>
      <c r="M244" s="14" t="str">
        <f>IFERROR((VLOOKUP($A244,'[1]import success seats course'!$A:AA,HLOOKUP('[1]Course Totals'!M$4,'[1]import success seats course'!$1:$2,2,FALSE),FALSE)/(VLOOKUP($A244,'[1]import graded seats course pivo'!$A:AK,HLOOKUP('[1]Course Totals'!M$4,'[1]import graded seats course pivo'!$1:$2,2,FALSE),FALSE))),"")</f>
        <v/>
      </c>
      <c r="N244" s="14" t="str">
        <f>IFERROR((VLOOKUP($A244,'[1]import success seats course'!$A:AB,HLOOKUP('[1]Course Totals'!N$4,'[1]import success seats course'!$1:$2,2,FALSE),FALSE)/(VLOOKUP($A244,'[1]import graded seats course pivo'!$A:AL,HLOOKUP('[1]Course Totals'!N$4,'[1]import graded seats course pivo'!$1:$2,2,FALSE),FALSE))),"")</f>
        <v/>
      </c>
      <c r="O244" s="14" t="str">
        <f>IFERROR((VLOOKUP($A244,'[1]import success seats course'!$A:AC,HLOOKUP('[1]Course Totals'!O$4,'[1]import success seats course'!$1:$2,2,FALSE),FALSE)/(VLOOKUP($A244,'[1]import graded seats course pivo'!$A:AM,HLOOKUP('[1]Course Totals'!O$4,'[1]import graded seats course pivo'!$1:$2,2,FALSE),FALSE))),"")</f>
        <v/>
      </c>
      <c r="P244" s="14">
        <f>IFERROR((VLOOKUP($A244,'[1]import success seats course'!$A:AD,HLOOKUP('[1]Course Totals'!P$4,'[1]import success seats course'!$1:$2,2,FALSE),FALSE)/(VLOOKUP($A244,'[1]import graded seats course pivo'!$A:AN,HLOOKUP('[1]Course Totals'!P$4,'[1]import graded seats course pivo'!$1:$2,2,FALSE),FALSE))),"")</f>
        <v>0.8666666666666667</v>
      </c>
      <c r="Q244" s="14" t="str">
        <f>IFERROR((VLOOKUP($A244,'[1]import success seats course'!$A:AE,HLOOKUP('[1]Course Totals'!Q$4,'[1]import success seats course'!$1:$2,2,FALSE),FALSE)/(VLOOKUP($A244,'[1]import graded seats course pivo'!$A:AO,HLOOKUP('[1]Course Totals'!Q$4,'[1]import graded seats course pivo'!$1:$2,2,FALSE),FALSE))),"")</f>
        <v/>
      </c>
      <c r="R244" s="14" t="str">
        <f>IFERROR((VLOOKUP($A244,'[1]import success seats course'!$A:AF,HLOOKUP('[1]Course Totals'!R$4,'[1]import success seats course'!$1:$2,2,FALSE),FALSE)/(VLOOKUP($A244,'[1]import graded seats course pivo'!$A:AP,HLOOKUP('[1]Course Totals'!R$4,'[1]import graded seats course pivo'!$1:$2,2,FALSE),FALSE))),"")</f>
        <v/>
      </c>
      <c r="S244" s="14" t="str">
        <f>IFERROR((VLOOKUP($A244,'[1]import success seats course'!$A:AG,HLOOKUP('[1]Course Totals'!S$4,'[1]import success seats course'!$1:$2,2,FALSE),FALSE)/(VLOOKUP($A244,'[1]import graded seats course pivo'!$A:AQ,HLOOKUP('[1]Course Totals'!S$4,'[1]import graded seats course pivo'!$1:$2,2,FALSE),FALSE))),"")</f>
        <v/>
      </c>
      <c r="Z244" s="7"/>
      <c r="AA244" s="7"/>
      <c r="AB244" s="7"/>
      <c r="AC244" s="7"/>
    </row>
    <row r="245" spans="1:29" ht="15.75" hidden="1" customHeight="1" x14ac:dyDescent="0.25">
      <c r="A245" s="12" t="s">
        <v>128</v>
      </c>
      <c r="B245" s="14" t="str">
        <f>IFERROR((VLOOKUP($A245,'[1]import success seats course'!$A:P,HLOOKUP('[1]Course Totals'!B$4,'[1]import success seats course'!$1:$2,2,FALSE),FALSE)/(VLOOKUP($A245,'[1]import graded seats course pivo'!$A:Z,HLOOKUP('[1]Course Totals'!B$4,'[1]import graded seats course pivo'!$1:$2,2,FALSE),FALSE))),"")</f>
        <v/>
      </c>
      <c r="C245" s="14" t="str">
        <f>IFERROR((VLOOKUP($A245,'[1]import success seats course'!$A:Q,HLOOKUP('[1]Course Totals'!C$4,'[1]import success seats course'!$1:$2,2,FALSE),FALSE)/(VLOOKUP($A245,'[1]import graded seats course pivo'!$A:AA,HLOOKUP('[1]Course Totals'!C$4,'[1]import graded seats course pivo'!$1:$2,2,FALSE),FALSE))),"")</f>
        <v/>
      </c>
      <c r="D245" s="14" t="str">
        <f>IFERROR((VLOOKUP($A245,'[1]import success seats course'!$A:R,HLOOKUP('[1]Course Totals'!D$4,'[1]import success seats course'!$1:$2,2,FALSE),FALSE)/(VLOOKUP($A245,'[1]import graded seats course pivo'!$A:AB,HLOOKUP('[1]Course Totals'!D$4,'[1]import graded seats course pivo'!$1:$2,2,FALSE),FALSE))),"")</f>
        <v/>
      </c>
      <c r="E245" s="14" t="str">
        <f>IFERROR((VLOOKUP($A245,'[1]import success seats course'!$A:S,HLOOKUP('[1]Course Totals'!E$4,'[1]import success seats course'!$1:$2,2,FALSE),FALSE)/(VLOOKUP($A245,'[1]import graded seats course pivo'!$A:AC,HLOOKUP('[1]Course Totals'!E$4,'[1]import graded seats course pivo'!$1:$2,2,FALSE),FALSE))),"")</f>
        <v/>
      </c>
      <c r="F245" s="14" t="str">
        <f>IFERROR((VLOOKUP($A245,'[1]import success seats course'!$A:T,HLOOKUP('[1]Course Totals'!F$4,'[1]import success seats course'!$1:$2,2,FALSE),FALSE)/(VLOOKUP($A245,'[1]import graded seats course pivo'!$A:AD,HLOOKUP('[1]Course Totals'!F$4,'[1]import graded seats course pivo'!$1:$2,2,FALSE),FALSE))),"")</f>
        <v/>
      </c>
      <c r="G245" s="14" t="str">
        <f>IFERROR((VLOOKUP($A245,'[1]import success seats course'!$A:U,HLOOKUP('[1]Course Totals'!G$4,'[1]import success seats course'!$1:$2,2,FALSE),FALSE)/(VLOOKUP($A245,'[1]import graded seats course pivo'!$A:AE,HLOOKUP('[1]Course Totals'!G$4,'[1]import graded seats course pivo'!$1:$2,2,FALSE),FALSE))),"")</f>
        <v/>
      </c>
      <c r="H245" s="14" t="str">
        <f>IFERROR((VLOOKUP($A245,'[1]import success seats course'!$A:V,HLOOKUP('[1]Course Totals'!H$4,'[1]import success seats course'!$1:$2,2,FALSE),FALSE)/(VLOOKUP($A245,'[1]import graded seats course pivo'!$A:AF,HLOOKUP('[1]Course Totals'!H$4,'[1]import graded seats course pivo'!$1:$2,2,FALSE),FALSE))),"")</f>
        <v/>
      </c>
      <c r="I245" s="14" t="str">
        <f>IFERROR((VLOOKUP($A245,'[1]import success seats course'!$A:W,HLOOKUP('[1]Course Totals'!I$4,'[1]import success seats course'!$1:$2,2,FALSE),FALSE)/(VLOOKUP($A245,'[1]import graded seats course pivo'!$A:AG,HLOOKUP('[1]Course Totals'!I$4,'[1]import graded seats course pivo'!$1:$2,2,FALSE),FALSE))),"")</f>
        <v/>
      </c>
      <c r="J245" s="14" t="str">
        <f>IFERROR((VLOOKUP($A245,'[1]import success seats course'!$A:X,HLOOKUP('[1]Course Totals'!J$4,'[1]import success seats course'!$1:$2,2,FALSE),FALSE)/(VLOOKUP($A245,'[1]import graded seats course pivo'!$A:AH,HLOOKUP('[1]Course Totals'!J$4,'[1]import graded seats course pivo'!$1:$2,2,FALSE),FALSE))),"")</f>
        <v/>
      </c>
      <c r="K245" s="14" t="str">
        <f>IFERROR((VLOOKUP($A245,'[1]import success seats course'!$A:Y,HLOOKUP('[1]Course Totals'!K$4,'[1]import success seats course'!$1:$2,2,FALSE),FALSE)/(VLOOKUP($A245,'[1]import graded seats course pivo'!$A:AI,HLOOKUP('[1]Course Totals'!K$4,'[1]import graded seats course pivo'!$1:$2,2,FALSE),FALSE))),"")</f>
        <v/>
      </c>
      <c r="L245" s="14" t="str">
        <f>IFERROR((VLOOKUP($A245,'[1]import success seats course'!$A:Z,HLOOKUP('[1]Course Totals'!L$4,'[1]import success seats course'!$1:$2,2,FALSE),FALSE)/(VLOOKUP($A245,'[1]import graded seats course pivo'!$A:AJ,HLOOKUP('[1]Course Totals'!L$4,'[1]import graded seats course pivo'!$1:$2,2,FALSE),FALSE))),"")</f>
        <v/>
      </c>
      <c r="M245" s="14" t="str">
        <f>IFERROR((VLOOKUP($A245,'[1]import success seats course'!$A:AA,HLOOKUP('[1]Course Totals'!M$4,'[1]import success seats course'!$1:$2,2,FALSE),FALSE)/(VLOOKUP($A245,'[1]import graded seats course pivo'!$A:AK,HLOOKUP('[1]Course Totals'!M$4,'[1]import graded seats course pivo'!$1:$2,2,FALSE),FALSE))),"")</f>
        <v/>
      </c>
      <c r="N245" s="14" t="str">
        <f>IFERROR((VLOOKUP($A245,'[1]import success seats course'!$A:AB,HLOOKUP('[1]Course Totals'!N$4,'[1]import success seats course'!$1:$2,2,FALSE),FALSE)/(VLOOKUP($A245,'[1]import graded seats course pivo'!$A:AL,HLOOKUP('[1]Course Totals'!N$4,'[1]import graded seats course pivo'!$1:$2,2,FALSE),FALSE))),"")</f>
        <v/>
      </c>
      <c r="O245" s="14" t="str">
        <f>IFERROR((VLOOKUP($A245,'[1]import success seats course'!$A:AC,HLOOKUP('[1]Course Totals'!O$4,'[1]import success seats course'!$1:$2,2,FALSE),FALSE)/(VLOOKUP($A245,'[1]import graded seats course pivo'!$A:AM,HLOOKUP('[1]Course Totals'!O$4,'[1]import graded seats course pivo'!$1:$2,2,FALSE),FALSE))),"")</f>
        <v/>
      </c>
      <c r="P245" s="14" t="str">
        <f>IFERROR((VLOOKUP($A245,'[1]import success seats course'!$A:AD,HLOOKUP('[1]Course Totals'!P$4,'[1]import success seats course'!$1:$2,2,FALSE),FALSE)/(VLOOKUP($A245,'[1]import graded seats course pivo'!$A:AN,HLOOKUP('[1]Course Totals'!P$4,'[1]import graded seats course pivo'!$1:$2,2,FALSE),FALSE))),"")</f>
        <v/>
      </c>
      <c r="Q245" s="14" t="str">
        <f>IFERROR((VLOOKUP($A245,'[1]import success seats course'!$A:AE,HLOOKUP('[1]Course Totals'!Q$4,'[1]import success seats course'!$1:$2,2,FALSE),FALSE)/(VLOOKUP($A245,'[1]import graded seats course pivo'!$A:AO,HLOOKUP('[1]Course Totals'!Q$4,'[1]import graded seats course pivo'!$1:$2,2,FALSE),FALSE))),"")</f>
        <v/>
      </c>
      <c r="R245" s="14" t="str">
        <f>IFERROR((VLOOKUP($A245,'[1]import success seats course'!$A:AF,HLOOKUP('[1]Course Totals'!R$4,'[1]import success seats course'!$1:$2,2,FALSE),FALSE)/(VLOOKUP($A245,'[1]import graded seats course pivo'!$A:AP,HLOOKUP('[1]Course Totals'!R$4,'[1]import graded seats course pivo'!$1:$2,2,FALSE),FALSE))),"")</f>
        <v/>
      </c>
      <c r="S245" s="14" t="str">
        <f>IFERROR((VLOOKUP($A245,'[1]import success seats course'!$A:AG,HLOOKUP('[1]Course Totals'!S$4,'[1]import success seats course'!$1:$2,2,FALSE),FALSE)/(VLOOKUP($A245,'[1]import graded seats course pivo'!$A:AQ,HLOOKUP('[1]Course Totals'!S$4,'[1]import graded seats course pivo'!$1:$2,2,FALSE),FALSE))),"")</f>
        <v/>
      </c>
      <c r="Z245" s="7"/>
      <c r="AA245" s="7"/>
      <c r="AB245" s="7"/>
      <c r="AC245" s="7"/>
    </row>
    <row r="246" spans="1:29" ht="15.75" customHeight="1" x14ac:dyDescent="0.25">
      <c r="A246" s="12" t="s">
        <v>574</v>
      </c>
      <c r="B246" s="14" t="str">
        <f>IFERROR((VLOOKUP($A246,'[1]import success seats course'!$A:P,HLOOKUP('[1]Course Totals'!B$4,'[1]import success seats course'!$1:$2,2,FALSE),FALSE)/(VLOOKUP($A246,'[1]import graded seats course pivo'!$A:Z,HLOOKUP('[1]Course Totals'!B$4,'[1]import graded seats course pivo'!$1:$2,2,FALSE),FALSE))),"")</f>
        <v/>
      </c>
      <c r="C246" s="14" t="str">
        <f>IFERROR((VLOOKUP($A246,'[1]import success seats course'!$A:Q,HLOOKUP('[1]Course Totals'!C$4,'[1]import success seats course'!$1:$2,2,FALSE),FALSE)/(VLOOKUP($A246,'[1]import graded seats course pivo'!$A:AA,HLOOKUP('[1]Course Totals'!C$4,'[1]import graded seats course pivo'!$1:$2,2,FALSE),FALSE))),"")</f>
        <v/>
      </c>
      <c r="D246" s="14" t="str">
        <f>IFERROR((VLOOKUP($A246,'[1]import success seats course'!$A:R,HLOOKUP('[1]Course Totals'!D$4,'[1]import success seats course'!$1:$2,2,FALSE),FALSE)/(VLOOKUP($A246,'[1]import graded seats course pivo'!$A:AB,HLOOKUP('[1]Course Totals'!D$4,'[1]import graded seats course pivo'!$1:$2,2,FALSE),FALSE))),"")</f>
        <v/>
      </c>
      <c r="E246" s="14" t="str">
        <f>IFERROR((VLOOKUP($A246,'[1]import success seats course'!$A:S,HLOOKUP('[1]Course Totals'!E$4,'[1]import success seats course'!$1:$2,2,FALSE),FALSE)/(VLOOKUP($A246,'[1]import graded seats course pivo'!$A:AC,HLOOKUP('[1]Course Totals'!E$4,'[1]import graded seats course pivo'!$1:$2,2,FALSE),FALSE))),"")</f>
        <v/>
      </c>
      <c r="F246" s="14" t="str">
        <f>IFERROR((VLOOKUP($A246,'[1]import success seats course'!$A:T,HLOOKUP('[1]Course Totals'!F$4,'[1]import success seats course'!$1:$2,2,FALSE),FALSE)/(VLOOKUP($A246,'[1]import graded seats course pivo'!$A:AD,HLOOKUP('[1]Course Totals'!F$4,'[1]import graded seats course pivo'!$1:$2,2,FALSE),FALSE))),"")</f>
        <v/>
      </c>
      <c r="G246" s="14">
        <f>IFERROR((VLOOKUP($A246,'[1]import success seats course'!$A:U,HLOOKUP('[1]Course Totals'!G$4,'[1]import success seats course'!$1:$2,2,FALSE),FALSE)/(VLOOKUP($A246,'[1]import graded seats course pivo'!$A:AE,HLOOKUP('[1]Course Totals'!G$4,'[1]import graded seats course pivo'!$1:$2,2,FALSE),FALSE))),"")</f>
        <v>0.88888888888888884</v>
      </c>
      <c r="H246" s="14" t="str">
        <f>IFERROR((VLOOKUP($A246,'[1]import success seats course'!$A:V,HLOOKUP('[1]Course Totals'!H$4,'[1]import success seats course'!$1:$2,2,FALSE),FALSE)/(VLOOKUP($A246,'[1]import graded seats course pivo'!$A:AF,HLOOKUP('[1]Course Totals'!H$4,'[1]import graded seats course pivo'!$1:$2,2,FALSE),FALSE))),"")</f>
        <v/>
      </c>
      <c r="I246" s="14" t="str">
        <f>IFERROR((VLOOKUP($A246,'[1]import success seats course'!$A:W,HLOOKUP('[1]Course Totals'!I$4,'[1]import success seats course'!$1:$2,2,FALSE),FALSE)/(VLOOKUP($A246,'[1]import graded seats course pivo'!$A:AG,HLOOKUP('[1]Course Totals'!I$4,'[1]import graded seats course pivo'!$1:$2,2,FALSE),FALSE))),"")</f>
        <v/>
      </c>
      <c r="J246" s="14" t="str">
        <f>IFERROR((VLOOKUP($A246,'[1]import success seats course'!$A:X,HLOOKUP('[1]Course Totals'!J$4,'[1]import success seats course'!$1:$2,2,FALSE),FALSE)/(VLOOKUP($A246,'[1]import graded seats course pivo'!$A:AH,HLOOKUP('[1]Course Totals'!J$4,'[1]import graded seats course pivo'!$1:$2,2,FALSE),FALSE))),"")</f>
        <v/>
      </c>
      <c r="K246" s="14" t="str">
        <f>IFERROR((VLOOKUP($A246,'[1]import success seats course'!$A:Y,HLOOKUP('[1]Course Totals'!K$4,'[1]import success seats course'!$1:$2,2,FALSE),FALSE)/(VLOOKUP($A246,'[1]import graded seats course pivo'!$A:AI,HLOOKUP('[1]Course Totals'!K$4,'[1]import graded seats course pivo'!$1:$2,2,FALSE),FALSE))),"")</f>
        <v/>
      </c>
      <c r="L246" s="14" t="str">
        <f>IFERROR((VLOOKUP($A246,'[1]import success seats course'!$A:Z,HLOOKUP('[1]Course Totals'!L$4,'[1]import success seats course'!$1:$2,2,FALSE),FALSE)/(VLOOKUP($A246,'[1]import graded seats course pivo'!$A:AJ,HLOOKUP('[1]Course Totals'!L$4,'[1]import graded seats course pivo'!$1:$2,2,FALSE),FALSE))),"")</f>
        <v/>
      </c>
      <c r="M246" s="14" t="str">
        <f>IFERROR((VLOOKUP($A246,'[1]import success seats course'!$A:AA,HLOOKUP('[1]Course Totals'!M$4,'[1]import success seats course'!$1:$2,2,FALSE),FALSE)/(VLOOKUP($A246,'[1]import graded seats course pivo'!$A:AK,HLOOKUP('[1]Course Totals'!M$4,'[1]import graded seats course pivo'!$1:$2,2,FALSE),FALSE))),"")</f>
        <v/>
      </c>
      <c r="N246" s="14" t="str">
        <f>IFERROR((VLOOKUP($A246,'[1]import success seats course'!$A:AB,HLOOKUP('[1]Course Totals'!N$4,'[1]import success seats course'!$1:$2,2,FALSE),FALSE)/(VLOOKUP($A246,'[1]import graded seats course pivo'!$A:AL,HLOOKUP('[1]Course Totals'!N$4,'[1]import graded seats course pivo'!$1:$2,2,FALSE),FALSE))),"")</f>
        <v/>
      </c>
      <c r="O246" s="14" t="str">
        <f>IFERROR((VLOOKUP($A246,'[1]import success seats course'!$A:AC,HLOOKUP('[1]Course Totals'!O$4,'[1]import success seats course'!$1:$2,2,FALSE),FALSE)/(VLOOKUP($A246,'[1]import graded seats course pivo'!$A:AM,HLOOKUP('[1]Course Totals'!O$4,'[1]import graded seats course pivo'!$1:$2,2,FALSE),FALSE))),"")</f>
        <v/>
      </c>
      <c r="P246" s="14" t="str">
        <f>IFERROR((VLOOKUP($A246,'[1]import success seats course'!$A:AD,HLOOKUP('[1]Course Totals'!P$4,'[1]import success seats course'!$1:$2,2,FALSE),FALSE)/(VLOOKUP($A246,'[1]import graded seats course pivo'!$A:AN,HLOOKUP('[1]Course Totals'!P$4,'[1]import graded seats course pivo'!$1:$2,2,FALSE),FALSE))),"")</f>
        <v/>
      </c>
      <c r="Q246" s="14" t="str">
        <f>IFERROR((VLOOKUP($A246,'[1]import success seats course'!$A:AE,HLOOKUP('[1]Course Totals'!Q$4,'[1]import success seats course'!$1:$2,2,FALSE),FALSE)/(VLOOKUP($A246,'[1]import graded seats course pivo'!$A:AO,HLOOKUP('[1]Course Totals'!Q$4,'[1]import graded seats course pivo'!$1:$2,2,FALSE),FALSE))),"")</f>
        <v/>
      </c>
      <c r="R246" s="14" t="str">
        <f>IFERROR((VLOOKUP($A246,'[1]import success seats course'!$A:AF,HLOOKUP('[1]Course Totals'!R$4,'[1]import success seats course'!$1:$2,2,FALSE),FALSE)/(VLOOKUP($A246,'[1]import graded seats course pivo'!$A:AP,HLOOKUP('[1]Course Totals'!R$4,'[1]import graded seats course pivo'!$1:$2,2,FALSE),FALSE))),"")</f>
        <v/>
      </c>
      <c r="S246" s="14" t="str">
        <f>IFERROR((VLOOKUP($A246,'[1]import success seats course'!$A:AG,HLOOKUP('[1]Course Totals'!S$4,'[1]import success seats course'!$1:$2,2,FALSE),FALSE)/(VLOOKUP($A246,'[1]import graded seats course pivo'!$A:AQ,HLOOKUP('[1]Course Totals'!S$4,'[1]import graded seats course pivo'!$1:$2,2,FALSE),FALSE))),"")</f>
        <v/>
      </c>
      <c r="Z246" s="7"/>
      <c r="AA246" s="7"/>
      <c r="AB246" s="7"/>
      <c r="AC246" s="7"/>
    </row>
    <row r="247" spans="1:29" ht="15.75" hidden="1" customHeight="1" x14ac:dyDescent="0.25">
      <c r="A247" s="12" t="s">
        <v>129</v>
      </c>
      <c r="B247" s="14" t="str">
        <f>IFERROR((VLOOKUP($A247,'[1]import success seats course'!$A:P,HLOOKUP('[1]Course Totals'!B$4,'[1]import success seats course'!$1:$2,2,FALSE),FALSE)/(VLOOKUP($A247,'[1]import graded seats course pivo'!$A:Z,HLOOKUP('[1]Course Totals'!B$4,'[1]import graded seats course pivo'!$1:$2,2,FALSE),FALSE))),"")</f>
        <v/>
      </c>
      <c r="C247" s="14" t="str">
        <f>IFERROR((VLOOKUP($A247,'[1]import success seats course'!$A:Q,HLOOKUP('[1]Course Totals'!C$4,'[1]import success seats course'!$1:$2,2,FALSE),FALSE)/(VLOOKUP($A247,'[1]import graded seats course pivo'!$A:AA,HLOOKUP('[1]Course Totals'!C$4,'[1]import graded seats course pivo'!$1:$2,2,FALSE),FALSE))),"")</f>
        <v/>
      </c>
      <c r="D247" s="14" t="str">
        <f>IFERROR((VLOOKUP($A247,'[1]import success seats course'!$A:R,HLOOKUP('[1]Course Totals'!D$4,'[1]import success seats course'!$1:$2,2,FALSE),FALSE)/(VLOOKUP($A247,'[1]import graded seats course pivo'!$A:AB,HLOOKUP('[1]Course Totals'!D$4,'[1]import graded seats course pivo'!$1:$2,2,FALSE),FALSE))),"")</f>
        <v/>
      </c>
      <c r="E247" s="14" t="str">
        <f>IFERROR((VLOOKUP($A247,'[1]import success seats course'!$A:S,HLOOKUP('[1]Course Totals'!E$4,'[1]import success seats course'!$1:$2,2,FALSE),FALSE)/(VLOOKUP($A247,'[1]import graded seats course pivo'!$A:AC,HLOOKUP('[1]Course Totals'!E$4,'[1]import graded seats course pivo'!$1:$2,2,FALSE),FALSE))),"")</f>
        <v/>
      </c>
      <c r="F247" s="14" t="str">
        <f>IFERROR((VLOOKUP($A247,'[1]import success seats course'!$A:T,HLOOKUP('[1]Course Totals'!F$4,'[1]import success seats course'!$1:$2,2,FALSE),FALSE)/(VLOOKUP($A247,'[1]import graded seats course pivo'!$A:AD,HLOOKUP('[1]Course Totals'!F$4,'[1]import graded seats course pivo'!$1:$2,2,FALSE),FALSE))),"")</f>
        <v/>
      </c>
      <c r="G247" s="14" t="str">
        <f>IFERROR((VLOOKUP($A247,'[1]import success seats course'!$A:U,HLOOKUP('[1]Course Totals'!G$4,'[1]import success seats course'!$1:$2,2,FALSE),FALSE)/(VLOOKUP($A247,'[1]import graded seats course pivo'!$A:AE,HLOOKUP('[1]Course Totals'!G$4,'[1]import graded seats course pivo'!$1:$2,2,FALSE),FALSE))),"")</f>
        <v/>
      </c>
      <c r="H247" s="14" t="str">
        <f>IFERROR((VLOOKUP($A247,'[1]import success seats course'!$A:V,HLOOKUP('[1]Course Totals'!H$4,'[1]import success seats course'!$1:$2,2,FALSE),FALSE)/(VLOOKUP($A247,'[1]import graded seats course pivo'!$A:AF,HLOOKUP('[1]Course Totals'!H$4,'[1]import graded seats course pivo'!$1:$2,2,FALSE),FALSE))),"")</f>
        <v/>
      </c>
      <c r="I247" s="14" t="str">
        <f>IFERROR((VLOOKUP($A247,'[1]import success seats course'!$A:W,HLOOKUP('[1]Course Totals'!I$4,'[1]import success seats course'!$1:$2,2,FALSE),FALSE)/(VLOOKUP($A247,'[1]import graded seats course pivo'!$A:AG,HLOOKUP('[1]Course Totals'!I$4,'[1]import graded seats course pivo'!$1:$2,2,FALSE),FALSE))),"")</f>
        <v/>
      </c>
      <c r="J247" s="14" t="str">
        <f>IFERROR((VLOOKUP($A247,'[1]import success seats course'!$A:X,HLOOKUP('[1]Course Totals'!J$4,'[1]import success seats course'!$1:$2,2,FALSE),FALSE)/(VLOOKUP($A247,'[1]import graded seats course pivo'!$A:AH,HLOOKUP('[1]Course Totals'!J$4,'[1]import graded seats course pivo'!$1:$2,2,FALSE),FALSE))),"")</f>
        <v/>
      </c>
      <c r="K247" s="14" t="str">
        <f>IFERROR((VLOOKUP($A247,'[1]import success seats course'!$A:Y,HLOOKUP('[1]Course Totals'!K$4,'[1]import success seats course'!$1:$2,2,FALSE),FALSE)/(VLOOKUP($A247,'[1]import graded seats course pivo'!$A:AI,HLOOKUP('[1]Course Totals'!K$4,'[1]import graded seats course pivo'!$1:$2,2,FALSE),FALSE))),"")</f>
        <v/>
      </c>
      <c r="L247" s="14" t="str">
        <f>IFERROR((VLOOKUP($A247,'[1]import success seats course'!$A:Z,HLOOKUP('[1]Course Totals'!L$4,'[1]import success seats course'!$1:$2,2,FALSE),FALSE)/(VLOOKUP($A247,'[1]import graded seats course pivo'!$A:AJ,HLOOKUP('[1]Course Totals'!L$4,'[1]import graded seats course pivo'!$1:$2,2,FALSE),FALSE))),"")</f>
        <v/>
      </c>
      <c r="M247" s="14" t="str">
        <f>IFERROR((VLOOKUP($A247,'[1]import success seats course'!$A:AA,HLOOKUP('[1]Course Totals'!M$4,'[1]import success seats course'!$1:$2,2,FALSE),FALSE)/(VLOOKUP($A247,'[1]import graded seats course pivo'!$A:AK,HLOOKUP('[1]Course Totals'!M$4,'[1]import graded seats course pivo'!$1:$2,2,FALSE),FALSE))),"")</f>
        <v/>
      </c>
      <c r="N247" s="14" t="str">
        <f>IFERROR((VLOOKUP($A247,'[1]import success seats course'!$A:AB,HLOOKUP('[1]Course Totals'!N$4,'[1]import success seats course'!$1:$2,2,FALSE),FALSE)/(VLOOKUP($A247,'[1]import graded seats course pivo'!$A:AL,HLOOKUP('[1]Course Totals'!N$4,'[1]import graded seats course pivo'!$1:$2,2,FALSE),FALSE))),"")</f>
        <v/>
      </c>
      <c r="O247" s="14" t="str">
        <f>IFERROR((VLOOKUP($A247,'[1]import success seats course'!$A:AC,HLOOKUP('[1]Course Totals'!O$4,'[1]import success seats course'!$1:$2,2,FALSE),FALSE)/(VLOOKUP($A247,'[1]import graded seats course pivo'!$A:AM,HLOOKUP('[1]Course Totals'!O$4,'[1]import graded seats course pivo'!$1:$2,2,FALSE),FALSE))),"")</f>
        <v/>
      </c>
      <c r="P247" s="14" t="str">
        <f>IFERROR((VLOOKUP($A247,'[1]import success seats course'!$A:AD,HLOOKUP('[1]Course Totals'!P$4,'[1]import success seats course'!$1:$2,2,FALSE),FALSE)/(VLOOKUP($A247,'[1]import graded seats course pivo'!$A:AN,HLOOKUP('[1]Course Totals'!P$4,'[1]import graded seats course pivo'!$1:$2,2,FALSE),FALSE))),"")</f>
        <v/>
      </c>
      <c r="Q247" s="14" t="str">
        <f>IFERROR((VLOOKUP($A247,'[1]import success seats course'!$A:AE,HLOOKUP('[1]Course Totals'!Q$4,'[1]import success seats course'!$1:$2,2,FALSE),FALSE)/(VLOOKUP($A247,'[1]import graded seats course pivo'!$A:AO,HLOOKUP('[1]Course Totals'!Q$4,'[1]import graded seats course pivo'!$1:$2,2,FALSE),FALSE))),"")</f>
        <v/>
      </c>
      <c r="R247" s="14" t="str">
        <f>IFERROR((VLOOKUP($A247,'[1]import success seats course'!$A:AF,HLOOKUP('[1]Course Totals'!R$4,'[1]import success seats course'!$1:$2,2,FALSE),FALSE)/(VLOOKUP($A247,'[1]import graded seats course pivo'!$A:AP,HLOOKUP('[1]Course Totals'!R$4,'[1]import graded seats course pivo'!$1:$2,2,FALSE),FALSE))),"")</f>
        <v/>
      </c>
      <c r="S247" s="14" t="str">
        <f>IFERROR((VLOOKUP($A247,'[1]import success seats course'!$A:AG,HLOOKUP('[1]Course Totals'!S$4,'[1]import success seats course'!$1:$2,2,FALSE),FALSE)/(VLOOKUP($A247,'[1]import graded seats course pivo'!$A:AQ,HLOOKUP('[1]Course Totals'!S$4,'[1]import graded seats course pivo'!$1:$2,2,FALSE),FALSE))),"")</f>
        <v/>
      </c>
      <c r="Z247" s="7"/>
      <c r="AA247" s="7"/>
      <c r="AB247" s="7"/>
      <c r="AC247" s="7"/>
    </row>
    <row r="248" spans="1:29" ht="15.75" hidden="1" customHeight="1" x14ac:dyDescent="0.25">
      <c r="A248" s="12" t="s">
        <v>130</v>
      </c>
      <c r="B248" s="14" t="str">
        <f>IFERROR((VLOOKUP($A248,'[1]import success seats course'!$A:P,HLOOKUP('[1]Course Totals'!B$4,'[1]import success seats course'!$1:$2,2,FALSE),FALSE)/(VLOOKUP($A248,'[1]import graded seats course pivo'!$A:Z,HLOOKUP('[1]Course Totals'!B$4,'[1]import graded seats course pivo'!$1:$2,2,FALSE),FALSE))),"")</f>
        <v/>
      </c>
      <c r="C248" s="14" t="str">
        <f>IFERROR((VLOOKUP($A248,'[1]import success seats course'!$A:Q,HLOOKUP('[1]Course Totals'!C$4,'[1]import success seats course'!$1:$2,2,FALSE),FALSE)/(VLOOKUP($A248,'[1]import graded seats course pivo'!$A:AA,HLOOKUP('[1]Course Totals'!C$4,'[1]import graded seats course pivo'!$1:$2,2,FALSE),FALSE))),"")</f>
        <v/>
      </c>
      <c r="D248" s="14" t="str">
        <f>IFERROR((VLOOKUP($A248,'[1]import success seats course'!$A:R,HLOOKUP('[1]Course Totals'!D$4,'[1]import success seats course'!$1:$2,2,FALSE),FALSE)/(VLOOKUP($A248,'[1]import graded seats course pivo'!$A:AB,HLOOKUP('[1]Course Totals'!D$4,'[1]import graded seats course pivo'!$1:$2,2,FALSE),FALSE))),"")</f>
        <v/>
      </c>
      <c r="E248" s="14" t="str">
        <f>IFERROR((VLOOKUP($A248,'[1]import success seats course'!$A:S,HLOOKUP('[1]Course Totals'!E$4,'[1]import success seats course'!$1:$2,2,FALSE),FALSE)/(VLOOKUP($A248,'[1]import graded seats course pivo'!$A:AC,HLOOKUP('[1]Course Totals'!E$4,'[1]import graded seats course pivo'!$1:$2,2,FALSE),FALSE))),"")</f>
        <v/>
      </c>
      <c r="F248" s="14" t="str">
        <f>IFERROR((VLOOKUP($A248,'[1]import success seats course'!$A:T,HLOOKUP('[1]Course Totals'!F$4,'[1]import success seats course'!$1:$2,2,FALSE),FALSE)/(VLOOKUP($A248,'[1]import graded seats course pivo'!$A:AD,HLOOKUP('[1]Course Totals'!F$4,'[1]import graded seats course pivo'!$1:$2,2,FALSE),FALSE))),"")</f>
        <v/>
      </c>
      <c r="G248" s="14" t="str">
        <f>IFERROR((VLOOKUP($A248,'[1]import success seats course'!$A:U,HLOOKUP('[1]Course Totals'!G$4,'[1]import success seats course'!$1:$2,2,FALSE),FALSE)/(VLOOKUP($A248,'[1]import graded seats course pivo'!$A:AE,HLOOKUP('[1]Course Totals'!G$4,'[1]import graded seats course pivo'!$1:$2,2,FALSE),FALSE))),"")</f>
        <v/>
      </c>
      <c r="H248" s="14" t="str">
        <f>IFERROR((VLOOKUP($A248,'[1]import success seats course'!$A:V,HLOOKUP('[1]Course Totals'!H$4,'[1]import success seats course'!$1:$2,2,FALSE),FALSE)/(VLOOKUP($A248,'[1]import graded seats course pivo'!$A:AF,HLOOKUP('[1]Course Totals'!H$4,'[1]import graded seats course pivo'!$1:$2,2,FALSE),FALSE))),"")</f>
        <v/>
      </c>
      <c r="I248" s="14" t="str">
        <f>IFERROR((VLOOKUP($A248,'[1]import success seats course'!$A:W,HLOOKUP('[1]Course Totals'!I$4,'[1]import success seats course'!$1:$2,2,FALSE),FALSE)/(VLOOKUP($A248,'[1]import graded seats course pivo'!$A:AG,HLOOKUP('[1]Course Totals'!I$4,'[1]import graded seats course pivo'!$1:$2,2,FALSE),FALSE))),"")</f>
        <v/>
      </c>
      <c r="J248" s="14" t="str">
        <f>IFERROR((VLOOKUP($A248,'[1]import success seats course'!$A:X,HLOOKUP('[1]Course Totals'!J$4,'[1]import success seats course'!$1:$2,2,FALSE),FALSE)/(VLOOKUP($A248,'[1]import graded seats course pivo'!$A:AH,HLOOKUP('[1]Course Totals'!J$4,'[1]import graded seats course pivo'!$1:$2,2,FALSE),FALSE))),"")</f>
        <v/>
      </c>
      <c r="K248" s="14" t="str">
        <f>IFERROR((VLOOKUP($A248,'[1]import success seats course'!$A:Y,HLOOKUP('[1]Course Totals'!K$4,'[1]import success seats course'!$1:$2,2,FALSE),FALSE)/(VLOOKUP($A248,'[1]import graded seats course pivo'!$A:AI,HLOOKUP('[1]Course Totals'!K$4,'[1]import graded seats course pivo'!$1:$2,2,FALSE),FALSE))),"")</f>
        <v/>
      </c>
      <c r="L248" s="14" t="str">
        <f>IFERROR((VLOOKUP($A248,'[1]import success seats course'!$A:Z,HLOOKUP('[1]Course Totals'!L$4,'[1]import success seats course'!$1:$2,2,FALSE),FALSE)/(VLOOKUP($A248,'[1]import graded seats course pivo'!$A:AJ,HLOOKUP('[1]Course Totals'!L$4,'[1]import graded seats course pivo'!$1:$2,2,FALSE),FALSE))),"")</f>
        <v/>
      </c>
      <c r="M248" s="14" t="str">
        <f>IFERROR((VLOOKUP($A248,'[1]import success seats course'!$A:AA,HLOOKUP('[1]Course Totals'!M$4,'[1]import success seats course'!$1:$2,2,FALSE),FALSE)/(VLOOKUP($A248,'[1]import graded seats course pivo'!$A:AK,HLOOKUP('[1]Course Totals'!M$4,'[1]import graded seats course pivo'!$1:$2,2,FALSE),FALSE))),"")</f>
        <v/>
      </c>
      <c r="N248" s="14" t="str">
        <f>IFERROR((VLOOKUP($A248,'[1]import success seats course'!$A:AB,HLOOKUP('[1]Course Totals'!N$4,'[1]import success seats course'!$1:$2,2,FALSE),FALSE)/(VLOOKUP($A248,'[1]import graded seats course pivo'!$A:AL,HLOOKUP('[1]Course Totals'!N$4,'[1]import graded seats course pivo'!$1:$2,2,FALSE),FALSE))),"")</f>
        <v/>
      </c>
      <c r="O248" s="14" t="str">
        <f>IFERROR((VLOOKUP($A248,'[1]import success seats course'!$A:AC,HLOOKUP('[1]Course Totals'!O$4,'[1]import success seats course'!$1:$2,2,FALSE),FALSE)/(VLOOKUP($A248,'[1]import graded seats course pivo'!$A:AM,HLOOKUP('[1]Course Totals'!O$4,'[1]import graded seats course pivo'!$1:$2,2,FALSE),FALSE))),"")</f>
        <v/>
      </c>
      <c r="P248" s="14" t="str">
        <f>IFERROR((VLOOKUP($A248,'[1]import success seats course'!$A:AD,HLOOKUP('[1]Course Totals'!P$4,'[1]import success seats course'!$1:$2,2,FALSE),FALSE)/(VLOOKUP($A248,'[1]import graded seats course pivo'!$A:AN,HLOOKUP('[1]Course Totals'!P$4,'[1]import graded seats course pivo'!$1:$2,2,FALSE),FALSE))),"")</f>
        <v/>
      </c>
      <c r="Q248" s="14" t="str">
        <f>IFERROR((VLOOKUP($A248,'[1]import success seats course'!$A:AE,HLOOKUP('[1]Course Totals'!Q$4,'[1]import success seats course'!$1:$2,2,FALSE),FALSE)/(VLOOKUP($A248,'[1]import graded seats course pivo'!$A:AO,HLOOKUP('[1]Course Totals'!Q$4,'[1]import graded seats course pivo'!$1:$2,2,FALSE),FALSE))),"")</f>
        <v/>
      </c>
      <c r="R248" s="14" t="str">
        <f>IFERROR((VLOOKUP($A248,'[1]import success seats course'!$A:AF,HLOOKUP('[1]Course Totals'!R$4,'[1]import success seats course'!$1:$2,2,FALSE),FALSE)/(VLOOKUP($A248,'[1]import graded seats course pivo'!$A:AP,HLOOKUP('[1]Course Totals'!R$4,'[1]import graded seats course pivo'!$1:$2,2,FALSE),FALSE))),"")</f>
        <v/>
      </c>
      <c r="S248" s="14" t="str">
        <f>IFERROR((VLOOKUP($A248,'[1]import success seats course'!$A:AG,HLOOKUP('[1]Course Totals'!S$4,'[1]import success seats course'!$1:$2,2,FALSE),FALSE)/(VLOOKUP($A248,'[1]import graded seats course pivo'!$A:AQ,HLOOKUP('[1]Course Totals'!S$4,'[1]import graded seats course pivo'!$1:$2,2,FALSE),FALSE))),"")</f>
        <v/>
      </c>
      <c r="Z248" s="7"/>
      <c r="AA248" s="7"/>
      <c r="AB248" s="7"/>
      <c r="AC248" s="7"/>
    </row>
    <row r="249" spans="1:29" ht="15.75" hidden="1" customHeight="1" x14ac:dyDescent="0.25">
      <c r="A249" s="12" t="s">
        <v>131</v>
      </c>
      <c r="B249" s="14" t="str">
        <f>IFERROR((VLOOKUP($A249,'[1]import success seats course'!$A:P,HLOOKUP('[1]Course Totals'!B$4,'[1]import success seats course'!$1:$2,2,FALSE),FALSE)/(VLOOKUP($A249,'[1]import graded seats course pivo'!$A:Z,HLOOKUP('[1]Course Totals'!B$4,'[1]import graded seats course pivo'!$1:$2,2,FALSE),FALSE))),"")</f>
        <v/>
      </c>
      <c r="C249" s="14" t="str">
        <f>IFERROR((VLOOKUP($A249,'[1]import success seats course'!$A:Q,HLOOKUP('[1]Course Totals'!C$4,'[1]import success seats course'!$1:$2,2,FALSE),FALSE)/(VLOOKUP($A249,'[1]import graded seats course pivo'!$A:AA,HLOOKUP('[1]Course Totals'!C$4,'[1]import graded seats course pivo'!$1:$2,2,FALSE),FALSE))),"")</f>
        <v/>
      </c>
      <c r="D249" s="14" t="str">
        <f>IFERROR((VLOOKUP($A249,'[1]import success seats course'!$A:R,HLOOKUP('[1]Course Totals'!D$4,'[1]import success seats course'!$1:$2,2,FALSE),FALSE)/(VLOOKUP($A249,'[1]import graded seats course pivo'!$A:AB,HLOOKUP('[1]Course Totals'!D$4,'[1]import graded seats course pivo'!$1:$2,2,FALSE),FALSE))),"")</f>
        <v/>
      </c>
      <c r="E249" s="14" t="str">
        <f>IFERROR((VLOOKUP($A249,'[1]import success seats course'!$A:S,HLOOKUP('[1]Course Totals'!E$4,'[1]import success seats course'!$1:$2,2,FALSE),FALSE)/(VLOOKUP($A249,'[1]import graded seats course pivo'!$A:AC,HLOOKUP('[1]Course Totals'!E$4,'[1]import graded seats course pivo'!$1:$2,2,FALSE),FALSE))),"")</f>
        <v/>
      </c>
      <c r="F249" s="14" t="str">
        <f>IFERROR((VLOOKUP($A249,'[1]import success seats course'!$A:T,HLOOKUP('[1]Course Totals'!F$4,'[1]import success seats course'!$1:$2,2,FALSE),FALSE)/(VLOOKUP($A249,'[1]import graded seats course pivo'!$A:AD,HLOOKUP('[1]Course Totals'!F$4,'[1]import graded seats course pivo'!$1:$2,2,FALSE),FALSE))),"")</f>
        <v/>
      </c>
      <c r="G249" s="14" t="str">
        <f>IFERROR((VLOOKUP($A249,'[1]import success seats course'!$A:U,HLOOKUP('[1]Course Totals'!G$4,'[1]import success seats course'!$1:$2,2,FALSE),FALSE)/(VLOOKUP($A249,'[1]import graded seats course pivo'!$A:AE,HLOOKUP('[1]Course Totals'!G$4,'[1]import graded seats course pivo'!$1:$2,2,FALSE),FALSE))),"")</f>
        <v/>
      </c>
      <c r="H249" s="14" t="str">
        <f>IFERROR((VLOOKUP($A249,'[1]import success seats course'!$A:V,HLOOKUP('[1]Course Totals'!H$4,'[1]import success seats course'!$1:$2,2,FALSE),FALSE)/(VLOOKUP($A249,'[1]import graded seats course pivo'!$A:AF,HLOOKUP('[1]Course Totals'!H$4,'[1]import graded seats course pivo'!$1:$2,2,FALSE),FALSE))),"")</f>
        <v/>
      </c>
      <c r="I249" s="14" t="str">
        <f>IFERROR((VLOOKUP($A249,'[1]import success seats course'!$A:W,HLOOKUP('[1]Course Totals'!I$4,'[1]import success seats course'!$1:$2,2,FALSE),FALSE)/(VLOOKUP($A249,'[1]import graded seats course pivo'!$A:AG,HLOOKUP('[1]Course Totals'!I$4,'[1]import graded seats course pivo'!$1:$2,2,FALSE),FALSE))),"")</f>
        <v/>
      </c>
      <c r="J249" s="14" t="str">
        <f>IFERROR((VLOOKUP($A249,'[1]import success seats course'!$A:X,HLOOKUP('[1]Course Totals'!J$4,'[1]import success seats course'!$1:$2,2,FALSE),FALSE)/(VLOOKUP($A249,'[1]import graded seats course pivo'!$A:AH,HLOOKUP('[1]Course Totals'!J$4,'[1]import graded seats course pivo'!$1:$2,2,FALSE),FALSE))),"")</f>
        <v/>
      </c>
      <c r="K249" s="14" t="str">
        <f>IFERROR((VLOOKUP($A249,'[1]import success seats course'!$A:Y,HLOOKUP('[1]Course Totals'!K$4,'[1]import success seats course'!$1:$2,2,FALSE),FALSE)/(VLOOKUP($A249,'[1]import graded seats course pivo'!$A:AI,HLOOKUP('[1]Course Totals'!K$4,'[1]import graded seats course pivo'!$1:$2,2,FALSE),FALSE))),"")</f>
        <v/>
      </c>
      <c r="L249" s="14" t="str">
        <f>IFERROR((VLOOKUP($A249,'[1]import success seats course'!$A:Z,HLOOKUP('[1]Course Totals'!L$4,'[1]import success seats course'!$1:$2,2,FALSE),FALSE)/(VLOOKUP($A249,'[1]import graded seats course pivo'!$A:AJ,HLOOKUP('[1]Course Totals'!L$4,'[1]import graded seats course pivo'!$1:$2,2,FALSE),FALSE))),"")</f>
        <v/>
      </c>
      <c r="M249" s="14" t="str">
        <f>IFERROR((VLOOKUP($A249,'[1]import success seats course'!$A:AA,HLOOKUP('[1]Course Totals'!M$4,'[1]import success seats course'!$1:$2,2,FALSE),FALSE)/(VLOOKUP($A249,'[1]import graded seats course pivo'!$A:AK,HLOOKUP('[1]Course Totals'!M$4,'[1]import graded seats course pivo'!$1:$2,2,FALSE),FALSE))),"")</f>
        <v/>
      </c>
      <c r="N249" s="14" t="str">
        <f>IFERROR((VLOOKUP($A249,'[1]import success seats course'!$A:AB,HLOOKUP('[1]Course Totals'!N$4,'[1]import success seats course'!$1:$2,2,FALSE),FALSE)/(VLOOKUP($A249,'[1]import graded seats course pivo'!$A:AL,HLOOKUP('[1]Course Totals'!N$4,'[1]import graded seats course pivo'!$1:$2,2,FALSE),FALSE))),"")</f>
        <v/>
      </c>
      <c r="O249" s="14" t="str">
        <f>IFERROR((VLOOKUP($A249,'[1]import success seats course'!$A:AC,HLOOKUP('[1]Course Totals'!O$4,'[1]import success seats course'!$1:$2,2,FALSE),FALSE)/(VLOOKUP($A249,'[1]import graded seats course pivo'!$A:AM,HLOOKUP('[1]Course Totals'!O$4,'[1]import graded seats course pivo'!$1:$2,2,FALSE),FALSE))),"")</f>
        <v/>
      </c>
      <c r="P249" s="14" t="str">
        <f>IFERROR((VLOOKUP($A249,'[1]import success seats course'!$A:AD,HLOOKUP('[1]Course Totals'!P$4,'[1]import success seats course'!$1:$2,2,FALSE),FALSE)/(VLOOKUP($A249,'[1]import graded seats course pivo'!$A:AN,HLOOKUP('[1]Course Totals'!P$4,'[1]import graded seats course pivo'!$1:$2,2,FALSE),FALSE))),"")</f>
        <v/>
      </c>
      <c r="Q249" s="14" t="str">
        <f>IFERROR((VLOOKUP($A249,'[1]import success seats course'!$A:AE,HLOOKUP('[1]Course Totals'!Q$4,'[1]import success seats course'!$1:$2,2,FALSE),FALSE)/(VLOOKUP($A249,'[1]import graded seats course pivo'!$A:AO,HLOOKUP('[1]Course Totals'!Q$4,'[1]import graded seats course pivo'!$1:$2,2,FALSE),FALSE))),"")</f>
        <v/>
      </c>
      <c r="R249" s="14" t="str">
        <f>IFERROR((VLOOKUP($A249,'[1]import success seats course'!$A:AF,HLOOKUP('[1]Course Totals'!R$4,'[1]import success seats course'!$1:$2,2,FALSE),FALSE)/(VLOOKUP($A249,'[1]import graded seats course pivo'!$A:AP,HLOOKUP('[1]Course Totals'!R$4,'[1]import graded seats course pivo'!$1:$2,2,FALSE),FALSE))),"")</f>
        <v/>
      </c>
      <c r="S249" s="14" t="str">
        <f>IFERROR((VLOOKUP($A249,'[1]import success seats course'!$A:AG,HLOOKUP('[1]Course Totals'!S$4,'[1]import success seats course'!$1:$2,2,FALSE),FALSE)/(VLOOKUP($A249,'[1]import graded seats course pivo'!$A:AQ,HLOOKUP('[1]Course Totals'!S$4,'[1]import graded seats course pivo'!$1:$2,2,FALSE),FALSE))),"")</f>
        <v/>
      </c>
      <c r="Z249" s="7"/>
      <c r="AA249" s="7"/>
      <c r="AB249" s="7"/>
      <c r="AC249" s="7"/>
    </row>
    <row r="250" spans="1:29" ht="15.75" hidden="1" customHeight="1" x14ac:dyDescent="0.25">
      <c r="A250" s="12" t="s">
        <v>132</v>
      </c>
      <c r="B250" s="14" t="str">
        <f>IFERROR((VLOOKUP($A250,'[1]import success seats course'!$A:P,HLOOKUP('[1]Course Totals'!B$4,'[1]import success seats course'!$1:$2,2,FALSE),FALSE)/(VLOOKUP($A250,'[1]import graded seats course pivo'!$A:Z,HLOOKUP('[1]Course Totals'!B$4,'[1]import graded seats course pivo'!$1:$2,2,FALSE),FALSE))),"")</f>
        <v/>
      </c>
      <c r="C250" s="14" t="str">
        <f>IFERROR((VLOOKUP($A250,'[1]import success seats course'!$A:Q,HLOOKUP('[1]Course Totals'!C$4,'[1]import success seats course'!$1:$2,2,FALSE),FALSE)/(VLOOKUP($A250,'[1]import graded seats course pivo'!$A:AA,HLOOKUP('[1]Course Totals'!C$4,'[1]import graded seats course pivo'!$1:$2,2,FALSE),FALSE))),"")</f>
        <v/>
      </c>
      <c r="D250" s="14" t="str">
        <f>IFERROR((VLOOKUP($A250,'[1]import success seats course'!$A:R,HLOOKUP('[1]Course Totals'!D$4,'[1]import success seats course'!$1:$2,2,FALSE),FALSE)/(VLOOKUP($A250,'[1]import graded seats course pivo'!$A:AB,HLOOKUP('[1]Course Totals'!D$4,'[1]import graded seats course pivo'!$1:$2,2,FALSE),FALSE))),"")</f>
        <v/>
      </c>
      <c r="E250" s="14" t="str">
        <f>IFERROR((VLOOKUP($A250,'[1]import success seats course'!$A:S,HLOOKUP('[1]Course Totals'!E$4,'[1]import success seats course'!$1:$2,2,FALSE),FALSE)/(VLOOKUP($A250,'[1]import graded seats course pivo'!$A:AC,HLOOKUP('[1]Course Totals'!E$4,'[1]import graded seats course pivo'!$1:$2,2,FALSE),FALSE))),"")</f>
        <v/>
      </c>
      <c r="F250" s="14" t="str">
        <f>IFERROR((VLOOKUP($A250,'[1]import success seats course'!$A:T,HLOOKUP('[1]Course Totals'!F$4,'[1]import success seats course'!$1:$2,2,FALSE),FALSE)/(VLOOKUP($A250,'[1]import graded seats course pivo'!$A:AD,HLOOKUP('[1]Course Totals'!F$4,'[1]import graded seats course pivo'!$1:$2,2,FALSE),FALSE))),"")</f>
        <v/>
      </c>
      <c r="G250" s="14" t="str">
        <f>IFERROR((VLOOKUP($A250,'[1]import success seats course'!$A:U,HLOOKUP('[1]Course Totals'!G$4,'[1]import success seats course'!$1:$2,2,FALSE),FALSE)/(VLOOKUP($A250,'[1]import graded seats course pivo'!$A:AE,HLOOKUP('[1]Course Totals'!G$4,'[1]import graded seats course pivo'!$1:$2,2,FALSE),FALSE))),"")</f>
        <v/>
      </c>
      <c r="H250" s="14" t="str">
        <f>IFERROR((VLOOKUP($A250,'[1]import success seats course'!$A:V,HLOOKUP('[1]Course Totals'!H$4,'[1]import success seats course'!$1:$2,2,FALSE),FALSE)/(VLOOKUP($A250,'[1]import graded seats course pivo'!$A:AF,HLOOKUP('[1]Course Totals'!H$4,'[1]import graded seats course pivo'!$1:$2,2,FALSE),FALSE))),"")</f>
        <v/>
      </c>
      <c r="I250" s="14" t="str">
        <f>IFERROR((VLOOKUP($A250,'[1]import success seats course'!$A:W,HLOOKUP('[1]Course Totals'!I$4,'[1]import success seats course'!$1:$2,2,FALSE),FALSE)/(VLOOKUP($A250,'[1]import graded seats course pivo'!$A:AG,HLOOKUP('[1]Course Totals'!I$4,'[1]import graded seats course pivo'!$1:$2,2,FALSE),FALSE))),"")</f>
        <v/>
      </c>
      <c r="J250" s="14" t="str">
        <f>IFERROR((VLOOKUP($A250,'[1]import success seats course'!$A:X,HLOOKUP('[1]Course Totals'!J$4,'[1]import success seats course'!$1:$2,2,FALSE),FALSE)/(VLOOKUP($A250,'[1]import graded seats course pivo'!$A:AH,HLOOKUP('[1]Course Totals'!J$4,'[1]import graded seats course pivo'!$1:$2,2,FALSE),FALSE))),"")</f>
        <v/>
      </c>
      <c r="K250" s="14" t="str">
        <f>IFERROR((VLOOKUP($A250,'[1]import success seats course'!$A:Y,HLOOKUP('[1]Course Totals'!K$4,'[1]import success seats course'!$1:$2,2,FALSE),FALSE)/(VLOOKUP($A250,'[1]import graded seats course pivo'!$A:AI,HLOOKUP('[1]Course Totals'!K$4,'[1]import graded seats course pivo'!$1:$2,2,FALSE),FALSE))),"")</f>
        <v/>
      </c>
      <c r="L250" s="14" t="str">
        <f>IFERROR((VLOOKUP($A250,'[1]import success seats course'!$A:Z,HLOOKUP('[1]Course Totals'!L$4,'[1]import success seats course'!$1:$2,2,FALSE),FALSE)/(VLOOKUP($A250,'[1]import graded seats course pivo'!$A:AJ,HLOOKUP('[1]Course Totals'!L$4,'[1]import graded seats course pivo'!$1:$2,2,FALSE),FALSE))),"")</f>
        <v/>
      </c>
      <c r="M250" s="14" t="str">
        <f>IFERROR((VLOOKUP($A250,'[1]import success seats course'!$A:AA,HLOOKUP('[1]Course Totals'!M$4,'[1]import success seats course'!$1:$2,2,FALSE),FALSE)/(VLOOKUP($A250,'[1]import graded seats course pivo'!$A:AK,HLOOKUP('[1]Course Totals'!M$4,'[1]import graded seats course pivo'!$1:$2,2,FALSE),FALSE))),"")</f>
        <v/>
      </c>
      <c r="N250" s="14" t="str">
        <f>IFERROR((VLOOKUP($A250,'[1]import success seats course'!$A:AB,HLOOKUP('[1]Course Totals'!N$4,'[1]import success seats course'!$1:$2,2,FALSE),FALSE)/(VLOOKUP($A250,'[1]import graded seats course pivo'!$A:AL,HLOOKUP('[1]Course Totals'!N$4,'[1]import graded seats course pivo'!$1:$2,2,FALSE),FALSE))),"")</f>
        <v/>
      </c>
      <c r="O250" s="14" t="str">
        <f>IFERROR((VLOOKUP($A250,'[1]import success seats course'!$A:AC,HLOOKUP('[1]Course Totals'!O$4,'[1]import success seats course'!$1:$2,2,FALSE),FALSE)/(VLOOKUP($A250,'[1]import graded seats course pivo'!$A:AM,HLOOKUP('[1]Course Totals'!O$4,'[1]import graded seats course pivo'!$1:$2,2,FALSE),FALSE))),"")</f>
        <v/>
      </c>
      <c r="P250" s="14" t="str">
        <f>IFERROR((VLOOKUP($A250,'[1]import success seats course'!$A:AD,HLOOKUP('[1]Course Totals'!P$4,'[1]import success seats course'!$1:$2,2,FALSE),FALSE)/(VLOOKUP($A250,'[1]import graded seats course pivo'!$A:AN,HLOOKUP('[1]Course Totals'!P$4,'[1]import graded seats course pivo'!$1:$2,2,FALSE),FALSE))),"")</f>
        <v/>
      </c>
      <c r="Q250" s="14" t="str">
        <f>IFERROR((VLOOKUP($A250,'[1]import success seats course'!$A:AE,HLOOKUP('[1]Course Totals'!Q$4,'[1]import success seats course'!$1:$2,2,FALSE),FALSE)/(VLOOKUP($A250,'[1]import graded seats course pivo'!$A:AO,HLOOKUP('[1]Course Totals'!Q$4,'[1]import graded seats course pivo'!$1:$2,2,FALSE),FALSE))),"")</f>
        <v/>
      </c>
      <c r="R250" s="14" t="str">
        <f>IFERROR((VLOOKUP($A250,'[1]import success seats course'!$A:AF,HLOOKUP('[1]Course Totals'!R$4,'[1]import success seats course'!$1:$2,2,FALSE),FALSE)/(VLOOKUP($A250,'[1]import graded seats course pivo'!$A:AP,HLOOKUP('[1]Course Totals'!R$4,'[1]import graded seats course pivo'!$1:$2,2,FALSE),FALSE))),"")</f>
        <v/>
      </c>
      <c r="S250" s="14" t="str">
        <f>IFERROR((VLOOKUP($A250,'[1]import success seats course'!$A:AG,HLOOKUP('[1]Course Totals'!S$4,'[1]import success seats course'!$1:$2,2,FALSE),FALSE)/(VLOOKUP($A250,'[1]import graded seats course pivo'!$A:AQ,HLOOKUP('[1]Course Totals'!S$4,'[1]import graded seats course pivo'!$1:$2,2,FALSE),FALSE))),"")</f>
        <v/>
      </c>
      <c r="Z250" s="7"/>
      <c r="AA250" s="7"/>
      <c r="AB250" s="7"/>
      <c r="AC250" s="7"/>
    </row>
    <row r="251" spans="1:29" ht="15.75" hidden="1" customHeight="1" x14ac:dyDescent="0.25">
      <c r="A251" s="12" t="s">
        <v>966</v>
      </c>
      <c r="B251" s="14" t="str">
        <f>IFERROR((VLOOKUP($A251,'[1]import success seats course'!$A:P,HLOOKUP('[1]Course Totals'!B$4,'[1]import success seats course'!$1:$2,2,FALSE),FALSE)/(VLOOKUP($A251,'[1]import graded seats course pivo'!$A:Z,HLOOKUP('[1]Course Totals'!B$4,'[1]import graded seats course pivo'!$1:$2,2,FALSE),FALSE))),"")</f>
        <v/>
      </c>
      <c r="C251" s="14" t="str">
        <f>IFERROR((VLOOKUP($A251,'[1]import success seats course'!$A:Q,HLOOKUP('[1]Course Totals'!C$4,'[1]import success seats course'!$1:$2,2,FALSE),FALSE)/(VLOOKUP($A251,'[1]import graded seats course pivo'!$A:AA,HLOOKUP('[1]Course Totals'!C$4,'[1]import graded seats course pivo'!$1:$2,2,FALSE),FALSE))),"")</f>
        <v/>
      </c>
      <c r="D251" s="14" t="str">
        <f>IFERROR((VLOOKUP($A251,'[1]import success seats course'!$A:R,HLOOKUP('[1]Course Totals'!D$4,'[1]import success seats course'!$1:$2,2,FALSE),FALSE)/(VLOOKUP($A251,'[1]import graded seats course pivo'!$A:AB,HLOOKUP('[1]Course Totals'!D$4,'[1]import graded seats course pivo'!$1:$2,2,FALSE),FALSE))),"")</f>
        <v/>
      </c>
      <c r="E251" s="14" t="str">
        <f>IFERROR((VLOOKUP($A251,'[1]import success seats course'!$A:S,HLOOKUP('[1]Course Totals'!E$4,'[1]import success seats course'!$1:$2,2,FALSE),FALSE)/(VLOOKUP($A251,'[1]import graded seats course pivo'!$A:AC,HLOOKUP('[1]Course Totals'!E$4,'[1]import graded seats course pivo'!$1:$2,2,FALSE),FALSE))),"")</f>
        <v/>
      </c>
      <c r="F251" s="14" t="str">
        <f>IFERROR((VLOOKUP($A251,'[1]import success seats course'!$A:T,HLOOKUP('[1]Course Totals'!F$4,'[1]import success seats course'!$1:$2,2,FALSE),FALSE)/(VLOOKUP($A251,'[1]import graded seats course pivo'!$A:AD,HLOOKUP('[1]Course Totals'!F$4,'[1]import graded seats course pivo'!$1:$2,2,FALSE),FALSE))),"")</f>
        <v/>
      </c>
      <c r="G251" s="14" t="str">
        <f>IFERROR((VLOOKUP($A251,'[1]import success seats course'!$A:U,HLOOKUP('[1]Course Totals'!G$4,'[1]import success seats course'!$1:$2,2,FALSE),FALSE)/(VLOOKUP($A251,'[1]import graded seats course pivo'!$A:AE,HLOOKUP('[1]Course Totals'!G$4,'[1]import graded seats course pivo'!$1:$2,2,FALSE),FALSE))),"")</f>
        <v/>
      </c>
      <c r="H251" s="14" t="str">
        <f>IFERROR((VLOOKUP($A251,'[1]import success seats course'!$A:V,HLOOKUP('[1]Course Totals'!H$4,'[1]import success seats course'!$1:$2,2,FALSE),FALSE)/(VLOOKUP($A251,'[1]import graded seats course pivo'!$A:AF,HLOOKUP('[1]Course Totals'!H$4,'[1]import graded seats course pivo'!$1:$2,2,FALSE),FALSE))),"")</f>
        <v/>
      </c>
      <c r="I251" s="14" t="str">
        <f>IFERROR((VLOOKUP($A251,'[1]import success seats course'!$A:W,HLOOKUP('[1]Course Totals'!I$4,'[1]import success seats course'!$1:$2,2,FALSE),FALSE)/(VLOOKUP($A251,'[1]import graded seats course pivo'!$A:AG,HLOOKUP('[1]Course Totals'!I$4,'[1]import graded seats course pivo'!$1:$2,2,FALSE),FALSE))),"")</f>
        <v/>
      </c>
      <c r="J251" s="14" t="str">
        <f>IFERROR((VLOOKUP($A251,'[1]import success seats course'!$A:X,HLOOKUP('[1]Course Totals'!J$4,'[1]import success seats course'!$1:$2,2,FALSE),FALSE)/(VLOOKUP($A251,'[1]import graded seats course pivo'!$A:AH,HLOOKUP('[1]Course Totals'!J$4,'[1]import graded seats course pivo'!$1:$2,2,FALSE),FALSE))),"")</f>
        <v/>
      </c>
      <c r="K251" s="14" t="str">
        <f>IFERROR((VLOOKUP($A251,'[1]import success seats course'!$A:Y,HLOOKUP('[1]Course Totals'!K$4,'[1]import success seats course'!$1:$2,2,FALSE),FALSE)/(VLOOKUP($A251,'[1]import graded seats course pivo'!$A:AI,HLOOKUP('[1]Course Totals'!K$4,'[1]import graded seats course pivo'!$1:$2,2,FALSE),FALSE))),"")</f>
        <v/>
      </c>
      <c r="L251" s="14" t="str">
        <f>IFERROR((VLOOKUP($A251,'[1]import success seats course'!$A:Z,HLOOKUP('[1]Course Totals'!L$4,'[1]import success seats course'!$1:$2,2,FALSE),FALSE)/(VLOOKUP($A251,'[1]import graded seats course pivo'!$A:AJ,HLOOKUP('[1]Course Totals'!L$4,'[1]import graded seats course pivo'!$1:$2,2,FALSE),FALSE))),"")</f>
        <v/>
      </c>
      <c r="M251" s="14" t="str">
        <f>IFERROR((VLOOKUP($A251,'[1]import success seats course'!$A:AA,HLOOKUP('[1]Course Totals'!M$4,'[1]import success seats course'!$1:$2,2,FALSE),FALSE)/(VLOOKUP($A251,'[1]import graded seats course pivo'!$A:AK,HLOOKUP('[1]Course Totals'!M$4,'[1]import graded seats course pivo'!$1:$2,2,FALSE),FALSE))),"")</f>
        <v/>
      </c>
      <c r="N251" s="14" t="str">
        <f>IFERROR((VLOOKUP($A251,'[1]import success seats course'!$A:AB,HLOOKUP('[1]Course Totals'!N$4,'[1]import success seats course'!$1:$2,2,FALSE),FALSE)/(VLOOKUP($A251,'[1]import graded seats course pivo'!$A:AL,HLOOKUP('[1]Course Totals'!N$4,'[1]import graded seats course pivo'!$1:$2,2,FALSE),FALSE))),"")</f>
        <v/>
      </c>
      <c r="O251" s="14" t="str">
        <f>IFERROR((VLOOKUP($A251,'[1]import success seats course'!$A:AC,HLOOKUP('[1]Course Totals'!O$4,'[1]import success seats course'!$1:$2,2,FALSE),FALSE)/(VLOOKUP($A251,'[1]import graded seats course pivo'!$A:AM,HLOOKUP('[1]Course Totals'!O$4,'[1]import graded seats course pivo'!$1:$2,2,FALSE),FALSE))),"")</f>
        <v/>
      </c>
      <c r="P251" s="14" t="str">
        <f>IFERROR((VLOOKUP($A251,'[1]import success seats course'!$A:AD,HLOOKUP('[1]Course Totals'!P$4,'[1]import success seats course'!$1:$2,2,FALSE),FALSE)/(VLOOKUP($A251,'[1]import graded seats course pivo'!$A:AN,HLOOKUP('[1]Course Totals'!P$4,'[1]import graded seats course pivo'!$1:$2,2,FALSE),FALSE))),"")</f>
        <v/>
      </c>
      <c r="Q251" s="14" t="str">
        <f>IFERROR((VLOOKUP($A251,'[1]import success seats course'!$A:AE,HLOOKUP('[1]Course Totals'!Q$4,'[1]import success seats course'!$1:$2,2,FALSE),FALSE)/(VLOOKUP($A251,'[1]import graded seats course pivo'!$A:AO,HLOOKUP('[1]Course Totals'!Q$4,'[1]import graded seats course pivo'!$1:$2,2,FALSE),FALSE))),"")</f>
        <v/>
      </c>
      <c r="R251" s="14" t="str">
        <f>IFERROR((VLOOKUP($A251,'[1]import success seats course'!$A:AF,HLOOKUP('[1]Course Totals'!R$4,'[1]import success seats course'!$1:$2,2,FALSE),FALSE)/(VLOOKUP($A251,'[1]import graded seats course pivo'!$A:AP,HLOOKUP('[1]Course Totals'!R$4,'[1]import graded seats course pivo'!$1:$2,2,FALSE),FALSE))),"")</f>
        <v/>
      </c>
      <c r="S251" s="14" t="str">
        <f>IFERROR((VLOOKUP($A251,'[1]import success seats course'!$A:AG,HLOOKUP('[1]Course Totals'!S$4,'[1]import success seats course'!$1:$2,2,FALSE),FALSE)/(VLOOKUP($A251,'[1]import graded seats course pivo'!$A:AQ,HLOOKUP('[1]Course Totals'!S$4,'[1]import graded seats course pivo'!$1:$2,2,FALSE),FALSE))),"")</f>
        <v/>
      </c>
      <c r="Z251" s="7"/>
      <c r="AA251" s="7"/>
      <c r="AB251" s="7"/>
      <c r="AC251" s="7"/>
    </row>
    <row r="252" spans="1:29" ht="15.75" hidden="1" customHeight="1" x14ac:dyDescent="0.25">
      <c r="A252" s="12" t="s">
        <v>575</v>
      </c>
      <c r="B252" s="14" t="str">
        <f>IFERROR((VLOOKUP($A252,'[1]import success seats course'!$A:P,HLOOKUP('[1]Course Totals'!B$4,'[1]import success seats course'!$1:$2,2,FALSE),FALSE)/(VLOOKUP($A252,'[1]import graded seats course pivo'!$A:Z,HLOOKUP('[1]Course Totals'!B$4,'[1]import graded seats course pivo'!$1:$2,2,FALSE),FALSE))),"")</f>
        <v/>
      </c>
      <c r="C252" s="14" t="str">
        <f>IFERROR((VLOOKUP($A252,'[1]import success seats course'!$A:Q,HLOOKUP('[1]Course Totals'!C$4,'[1]import success seats course'!$1:$2,2,FALSE),FALSE)/(VLOOKUP($A252,'[1]import graded seats course pivo'!$A:AA,HLOOKUP('[1]Course Totals'!C$4,'[1]import graded seats course pivo'!$1:$2,2,FALSE),FALSE))),"")</f>
        <v/>
      </c>
      <c r="D252" s="14" t="str">
        <f>IFERROR((VLOOKUP($A252,'[1]import success seats course'!$A:R,HLOOKUP('[1]Course Totals'!D$4,'[1]import success seats course'!$1:$2,2,FALSE),FALSE)/(VLOOKUP($A252,'[1]import graded seats course pivo'!$A:AB,HLOOKUP('[1]Course Totals'!D$4,'[1]import graded seats course pivo'!$1:$2,2,FALSE),FALSE))),"")</f>
        <v/>
      </c>
      <c r="E252" s="14" t="str">
        <f>IFERROR((VLOOKUP($A252,'[1]import success seats course'!$A:S,HLOOKUP('[1]Course Totals'!E$4,'[1]import success seats course'!$1:$2,2,FALSE),FALSE)/(VLOOKUP($A252,'[1]import graded seats course pivo'!$A:AC,HLOOKUP('[1]Course Totals'!E$4,'[1]import graded seats course pivo'!$1:$2,2,FALSE),FALSE))),"")</f>
        <v/>
      </c>
      <c r="F252" s="14" t="str">
        <f>IFERROR((VLOOKUP($A252,'[1]import success seats course'!$A:T,HLOOKUP('[1]Course Totals'!F$4,'[1]import success seats course'!$1:$2,2,FALSE),FALSE)/(VLOOKUP($A252,'[1]import graded seats course pivo'!$A:AD,HLOOKUP('[1]Course Totals'!F$4,'[1]import graded seats course pivo'!$1:$2,2,FALSE),FALSE))),"")</f>
        <v/>
      </c>
      <c r="G252" s="14" t="str">
        <f>IFERROR((VLOOKUP($A252,'[1]import success seats course'!$A:U,HLOOKUP('[1]Course Totals'!G$4,'[1]import success seats course'!$1:$2,2,FALSE),FALSE)/(VLOOKUP($A252,'[1]import graded seats course pivo'!$A:AE,HLOOKUP('[1]Course Totals'!G$4,'[1]import graded seats course pivo'!$1:$2,2,FALSE),FALSE))),"")</f>
        <v/>
      </c>
      <c r="H252" s="14" t="str">
        <f>IFERROR((VLOOKUP($A252,'[1]import success seats course'!$A:V,HLOOKUP('[1]Course Totals'!H$4,'[1]import success seats course'!$1:$2,2,FALSE),FALSE)/(VLOOKUP($A252,'[1]import graded seats course pivo'!$A:AF,HLOOKUP('[1]Course Totals'!H$4,'[1]import graded seats course pivo'!$1:$2,2,FALSE),FALSE))),"")</f>
        <v/>
      </c>
      <c r="I252" s="14" t="str">
        <f>IFERROR((VLOOKUP($A252,'[1]import success seats course'!$A:W,HLOOKUP('[1]Course Totals'!I$4,'[1]import success seats course'!$1:$2,2,FALSE),FALSE)/(VLOOKUP($A252,'[1]import graded seats course pivo'!$A:AG,HLOOKUP('[1]Course Totals'!I$4,'[1]import graded seats course pivo'!$1:$2,2,FALSE),FALSE))),"")</f>
        <v/>
      </c>
      <c r="J252" s="14" t="str">
        <f>IFERROR((VLOOKUP($A252,'[1]import success seats course'!$A:X,HLOOKUP('[1]Course Totals'!J$4,'[1]import success seats course'!$1:$2,2,FALSE),FALSE)/(VLOOKUP($A252,'[1]import graded seats course pivo'!$A:AH,HLOOKUP('[1]Course Totals'!J$4,'[1]import graded seats course pivo'!$1:$2,2,FALSE),FALSE))),"")</f>
        <v/>
      </c>
      <c r="K252" s="14" t="str">
        <f>IFERROR((VLOOKUP($A252,'[1]import success seats course'!$A:Y,HLOOKUP('[1]Course Totals'!K$4,'[1]import success seats course'!$1:$2,2,FALSE),FALSE)/(VLOOKUP($A252,'[1]import graded seats course pivo'!$A:AI,HLOOKUP('[1]Course Totals'!K$4,'[1]import graded seats course pivo'!$1:$2,2,FALSE),FALSE))),"")</f>
        <v/>
      </c>
      <c r="L252" s="14" t="str">
        <f>IFERROR((VLOOKUP($A252,'[1]import success seats course'!$A:Z,HLOOKUP('[1]Course Totals'!L$4,'[1]import success seats course'!$1:$2,2,FALSE),FALSE)/(VLOOKUP($A252,'[1]import graded seats course pivo'!$A:AJ,HLOOKUP('[1]Course Totals'!L$4,'[1]import graded seats course pivo'!$1:$2,2,FALSE),FALSE))),"")</f>
        <v/>
      </c>
      <c r="M252" s="14" t="str">
        <f>IFERROR((VLOOKUP($A252,'[1]import success seats course'!$A:AA,HLOOKUP('[1]Course Totals'!M$4,'[1]import success seats course'!$1:$2,2,FALSE),FALSE)/(VLOOKUP($A252,'[1]import graded seats course pivo'!$A:AK,HLOOKUP('[1]Course Totals'!M$4,'[1]import graded seats course pivo'!$1:$2,2,FALSE),FALSE))),"")</f>
        <v/>
      </c>
      <c r="N252" s="14" t="str">
        <f>IFERROR((VLOOKUP($A252,'[1]import success seats course'!$A:AB,HLOOKUP('[1]Course Totals'!N$4,'[1]import success seats course'!$1:$2,2,FALSE),FALSE)/(VLOOKUP($A252,'[1]import graded seats course pivo'!$A:AL,HLOOKUP('[1]Course Totals'!N$4,'[1]import graded seats course pivo'!$1:$2,2,FALSE),FALSE))),"")</f>
        <v/>
      </c>
      <c r="O252" s="14" t="str">
        <f>IFERROR((VLOOKUP($A252,'[1]import success seats course'!$A:AC,HLOOKUP('[1]Course Totals'!O$4,'[1]import success seats course'!$1:$2,2,FALSE),FALSE)/(VLOOKUP($A252,'[1]import graded seats course pivo'!$A:AM,HLOOKUP('[1]Course Totals'!O$4,'[1]import graded seats course pivo'!$1:$2,2,FALSE),FALSE))),"")</f>
        <v/>
      </c>
      <c r="P252" s="14" t="str">
        <f>IFERROR((VLOOKUP($A252,'[1]import success seats course'!$A:AD,HLOOKUP('[1]Course Totals'!P$4,'[1]import success seats course'!$1:$2,2,FALSE),FALSE)/(VLOOKUP($A252,'[1]import graded seats course pivo'!$A:AN,HLOOKUP('[1]Course Totals'!P$4,'[1]import graded seats course pivo'!$1:$2,2,FALSE),FALSE))),"")</f>
        <v/>
      </c>
      <c r="Q252" s="14" t="str">
        <f>IFERROR((VLOOKUP($A252,'[1]import success seats course'!$A:AE,HLOOKUP('[1]Course Totals'!Q$4,'[1]import success seats course'!$1:$2,2,FALSE),FALSE)/(VLOOKUP($A252,'[1]import graded seats course pivo'!$A:AO,HLOOKUP('[1]Course Totals'!Q$4,'[1]import graded seats course pivo'!$1:$2,2,FALSE),FALSE))),"")</f>
        <v/>
      </c>
      <c r="R252" s="14" t="str">
        <f>IFERROR((VLOOKUP($A252,'[1]import success seats course'!$A:AF,HLOOKUP('[1]Course Totals'!R$4,'[1]import success seats course'!$1:$2,2,FALSE),FALSE)/(VLOOKUP($A252,'[1]import graded seats course pivo'!$A:AP,HLOOKUP('[1]Course Totals'!R$4,'[1]import graded seats course pivo'!$1:$2,2,FALSE),FALSE))),"")</f>
        <v/>
      </c>
      <c r="S252" s="14" t="str">
        <f>IFERROR((VLOOKUP($A252,'[1]import success seats course'!$A:AG,HLOOKUP('[1]Course Totals'!S$4,'[1]import success seats course'!$1:$2,2,FALSE),FALSE)/(VLOOKUP($A252,'[1]import graded seats course pivo'!$A:AQ,HLOOKUP('[1]Course Totals'!S$4,'[1]import graded seats course pivo'!$1:$2,2,FALSE),FALSE))),"")</f>
        <v/>
      </c>
      <c r="Z252" s="7"/>
      <c r="AA252" s="7"/>
      <c r="AB252" s="7"/>
      <c r="AC252" s="7"/>
    </row>
    <row r="253" spans="1:29" ht="15.75" customHeight="1" x14ac:dyDescent="0.25">
      <c r="A253" s="12" t="s">
        <v>831</v>
      </c>
      <c r="B253" s="14" t="str">
        <f>IFERROR((VLOOKUP($A253,'[1]import success seats course'!$A:P,HLOOKUP('[1]Course Totals'!B$4,'[1]import success seats course'!$1:$2,2,FALSE),FALSE)/(VLOOKUP($A253,'[1]import graded seats course pivo'!$A:Z,HLOOKUP('[1]Course Totals'!B$4,'[1]import graded seats course pivo'!$1:$2,2,FALSE),FALSE))),"")</f>
        <v/>
      </c>
      <c r="C253" s="14" t="str">
        <f>IFERROR((VLOOKUP($A253,'[1]import success seats course'!$A:Q,HLOOKUP('[1]Course Totals'!C$4,'[1]import success seats course'!$1:$2,2,FALSE),FALSE)/(VLOOKUP($A253,'[1]import graded seats course pivo'!$A:AA,HLOOKUP('[1]Course Totals'!C$4,'[1]import graded seats course pivo'!$1:$2,2,FALSE),FALSE))),"")</f>
        <v/>
      </c>
      <c r="D253" s="14" t="str">
        <f>IFERROR((VLOOKUP($A253,'[1]import success seats course'!$A:R,HLOOKUP('[1]Course Totals'!D$4,'[1]import success seats course'!$1:$2,2,FALSE),FALSE)/(VLOOKUP($A253,'[1]import graded seats course pivo'!$A:AB,HLOOKUP('[1]Course Totals'!D$4,'[1]import graded seats course pivo'!$1:$2,2,FALSE),FALSE))),"")</f>
        <v/>
      </c>
      <c r="E253" s="14" t="str">
        <f>IFERROR((VLOOKUP($A253,'[1]import success seats course'!$A:S,HLOOKUP('[1]Course Totals'!E$4,'[1]import success seats course'!$1:$2,2,FALSE),FALSE)/(VLOOKUP($A253,'[1]import graded seats course pivo'!$A:AC,HLOOKUP('[1]Course Totals'!E$4,'[1]import graded seats course pivo'!$1:$2,2,FALSE),FALSE))),"")</f>
        <v/>
      </c>
      <c r="F253" s="14" t="str">
        <f>IFERROR((VLOOKUP($A253,'[1]import success seats course'!$A:T,HLOOKUP('[1]Course Totals'!F$4,'[1]import success seats course'!$1:$2,2,FALSE),FALSE)/(VLOOKUP($A253,'[1]import graded seats course pivo'!$A:AD,HLOOKUP('[1]Course Totals'!F$4,'[1]import graded seats course pivo'!$1:$2,2,FALSE),FALSE))),"")</f>
        <v/>
      </c>
      <c r="G253" s="14" t="str">
        <f>IFERROR((VLOOKUP($A253,'[1]import success seats course'!$A:U,HLOOKUP('[1]Course Totals'!G$4,'[1]import success seats course'!$1:$2,2,FALSE),FALSE)/(VLOOKUP($A253,'[1]import graded seats course pivo'!$A:AE,HLOOKUP('[1]Course Totals'!G$4,'[1]import graded seats course pivo'!$1:$2,2,FALSE),FALSE))),"")</f>
        <v/>
      </c>
      <c r="H253" s="14" t="str">
        <f>IFERROR((VLOOKUP($A253,'[1]import success seats course'!$A:V,HLOOKUP('[1]Course Totals'!H$4,'[1]import success seats course'!$1:$2,2,FALSE),FALSE)/(VLOOKUP($A253,'[1]import graded seats course pivo'!$A:AF,HLOOKUP('[1]Course Totals'!H$4,'[1]import graded seats course pivo'!$1:$2,2,FALSE),FALSE))),"")</f>
        <v/>
      </c>
      <c r="I253" s="14" t="str">
        <f>IFERROR((VLOOKUP($A253,'[1]import success seats course'!$A:W,HLOOKUP('[1]Course Totals'!I$4,'[1]import success seats course'!$1:$2,2,FALSE),FALSE)/(VLOOKUP($A253,'[1]import graded seats course pivo'!$A:AG,HLOOKUP('[1]Course Totals'!I$4,'[1]import graded seats course pivo'!$1:$2,2,FALSE),FALSE))),"")</f>
        <v/>
      </c>
      <c r="J253" s="14" t="str">
        <f>IFERROR((VLOOKUP($A253,'[1]import success seats course'!$A:X,HLOOKUP('[1]Course Totals'!J$4,'[1]import success seats course'!$1:$2,2,FALSE),FALSE)/(VLOOKUP($A253,'[1]import graded seats course pivo'!$A:AH,HLOOKUP('[1]Course Totals'!J$4,'[1]import graded seats course pivo'!$1:$2,2,FALSE),FALSE))),"")</f>
        <v/>
      </c>
      <c r="K253" s="14" t="str">
        <f>IFERROR((VLOOKUP($A253,'[1]import success seats course'!$A:Y,HLOOKUP('[1]Course Totals'!K$4,'[1]import success seats course'!$1:$2,2,FALSE),FALSE)/(VLOOKUP($A253,'[1]import graded seats course pivo'!$A:AI,HLOOKUP('[1]Course Totals'!K$4,'[1]import graded seats course pivo'!$1:$2,2,FALSE),FALSE))),"")</f>
        <v/>
      </c>
      <c r="L253" s="14" t="str">
        <f>IFERROR((VLOOKUP($A253,'[1]import success seats course'!$A:Z,HLOOKUP('[1]Course Totals'!L$4,'[1]import success seats course'!$1:$2,2,FALSE),FALSE)/(VLOOKUP($A253,'[1]import graded seats course pivo'!$A:AJ,HLOOKUP('[1]Course Totals'!L$4,'[1]import graded seats course pivo'!$1:$2,2,FALSE),FALSE))),"")</f>
        <v/>
      </c>
      <c r="M253" s="14" t="str">
        <f>IFERROR((VLOOKUP($A253,'[1]import success seats course'!$A:AA,HLOOKUP('[1]Course Totals'!M$4,'[1]import success seats course'!$1:$2,2,FALSE),FALSE)/(VLOOKUP($A253,'[1]import graded seats course pivo'!$A:AK,HLOOKUP('[1]Course Totals'!M$4,'[1]import graded seats course pivo'!$1:$2,2,FALSE),FALSE))),"")</f>
        <v/>
      </c>
      <c r="N253" s="14" t="str">
        <f>IFERROR((VLOOKUP($A253,'[1]import success seats course'!$A:AB,HLOOKUP('[1]Course Totals'!N$4,'[1]import success seats course'!$1:$2,2,FALSE),FALSE)/(VLOOKUP($A253,'[1]import graded seats course pivo'!$A:AL,HLOOKUP('[1]Course Totals'!N$4,'[1]import graded seats course pivo'!$1:$2,2,FALSE),FALSE))),"")</f>
        <v/>
      </c>
      <c r="O253" s="14">
        <f>IFERROR((VLOOKUP($A253,'[1]import success seats course'!$A:AC,HLOOKUP('[1]Course Totals'!O$4,'[1]import success seats course'!$1:$2,2,FALSE),FALSE)/(VLOOKUP($A253,'[1]import graded seats course pivo'!$A:AM,HLOOKUP('[1]Course Totals'!O$4,'[1]import graded seats course pivo'!$1:$2,2,FALSE),FALSE))),"")</f>
        <v>0.92592592592592593</v>
      </c>
      <c r="P253" s="14">
        <f>IFERROR((VLOOKUP($A253,'[1]import success seats course'!$A:AD,HLOOKUP('[1]Course Totals'!P$4,'[1]import success seats course'!$1:$2,2,FALSE),FALSE)/(VLOOKUP($A253,'[1]import graded seats course pivo'!$A:AN,HLOOKUP('[1]Course Totals'!P$4,'[1]import graded seats course pivo'!$1:$2,2,FALSE),FALSE))),"")</f>
        <v>0.80769230769230771</v>
      </c>
      <c r="Q253" s="14" t="str">
        <f>IFERROR((VLOOKUP($A253,'[1]import success seats course'!$A:AE,HLOOKUP('[1]Course Totals'!Q$4,'[1]import success seats course'!$1:$2,2,FALSE),FALSE)/(VLOOKUP($A253,'[1]import graded seats course pivo'!$A:AO,HLOOKUP('[1]Course Totals'!Q$4,'[1]import graded seats course pivo'!$1:$2,2,FALSE),FALSE))),"")</f>
        <v/>
      </c>
      <c r="R253" s="14">
        <f>IFERROR((VLOOKUP($A253,'[1]import success seats course'!$A:AF,HLOOKUP('[1]Course Totals'!R$4,'[1]import success seats course'!$1:$2,2,FALSE),FALSE)/(VLOOKUP($A253,'[1]import graded seats course pivo'!$A:AP,HLOOKUP('[1]Course Totals'!R$4,'[1]import graded seats course pivo'!$1:$2,2,FALSE),FALSE))),"")</f>
        <v>0.6428571428571429</v>
      </c>
      <c r="S253" s="14">
        <f>IFERROR((VLOOKUP($A253,'[1]import success seats course'!$A:AG,HLOOKUP('[1]Course Totals'!S$4,'[1]import success seats course'!$1:$2,2,FALSE),FALSE)/(VLOOKUP($A253,'[1]import graded seats course pivo'!$A:AQ,HLOOKUP('[1]Course Totals'!S$4,'[1]import graded seats course pivo'!$1:$2,2,FALSE),FALSE))),"")</f>
        <v>0.9</v>
      </c>
      <c r="Z253" s="7"/>
      <c r="AA253" s="7"/>
      <c r="AB253" s="7"/>
      <c r="AC253" s="7"/>
    </row>
    <row r="254" spans="1:29" ht="15.75" customHeight="1" x14ac:dyDescent="0.25">
      <c r="A254" s="12" t="s">
        <v>699</v>
      </c>
      <c r="B254" s="14" t="str">
        <f>IFERROR((VLOOKUP($A254,'[1]import success seats course'!$A:P,HLOOKUP('[1]Course Totals'!B$4,'[1]import success seats course'!$1:$2,2,FALSE),FALSE)/(VLOOKUP($A254,'[1]import graded seats course pivo'!$A:Z,HLOOKUP('[1]Course Totals'!B$4,'[1]import graded seats course pivo'!$1:$2,2,FALSE),FALSE))),"")</f>
        <v/>
      </c>
      <c r="C254" s="14" t="str">
        <f>IFERROR((VLOOKUP($A254,'[1]import success seats course'!$A:Q,HLOOKUP('[1]Course Totals'!C$4,'[1]import success seats course'!$1:$2,2,FALSE),FALSE)/(VLOOKUP($A254,'[1]import graded seats course pivo'!$A:AA,HLOOKUP('[1]Course Totals'!C$4,'[1]import graded seats course pivo'!$1:$2,2,FALSE),FALSE))),"")</f>
        <v/>
      </c>
      <c r="D254" s="14" t="str">
        <f>IFERROR((VLOOKUP($A254,'[1]import success seats course'!$A:R,HLOOKUP('[1]Course Totals'!D$4,'[1]import success seats course'!$1:$2,2,FALSE),FALSE)/(VLOOKUP($A254,'[1]import graded seats course pivo'!$A:AB,HLOOKUP('[1]Course Totals'!D$4,'[1]import graded seats course pivo'!$1:$2,2,FALSE),FALSE))),"")</f>
        <v/>
      </c>
      <c r="E254" s="14" t="str">
        <f>IFERROR((VLOOKUP($A254,'[1]import success seats course'!$A:S,HLOOKUP('[1]Course Totals'!E$4,'[1]import success seats course'!$1:$2,2,FALSE),FALSE)/(VLOOKUP($A254,'[1]import graded seats course pivo'!$A:AC,HLOOKUP('[1]Course Totals'!E$4,'[1]import graded seats course pivo'!$1:$2,2,FALSE),FALSE))),"")</f>
        <v/>
      </c>
      <c r="F254" s="14" t="str">
        <f>IFERROR((VLOOKUP($A254,'[1]import success seats course'!$A:T,HLOOKUP('[1]Course Totals'!F$4,'[1]import success seats course'!$1:$2,2,FALSE),FALSE)/(VLOOKUP($A254,'[1]import graded seats course pivo'!$A:AD,HLOOKUP('[1]Course Totals'!F$4,'[1]import graded seats course pivo'!$1:$2,2,FALSE),FALSE))),"")</f>
        <v/>
      </c>
      <c r="G254" s="14" t="str">
        <f>IFERROR((VLOOKUP($A254,'[1]import success seats course'!$A:U,HLOOKUP('[1]Course Totals'!G$4,'[1]import success seats course'!$1:$2,2,FALSE),FALSE)/(VLOOKUP($A254,'[1]import graded seats course pivo'!$A:AE,HLOOKUP('[1]Course Totals'!G$4,'[1]import graded seats course pivo'!$1:$2,2,FALSE),FALSE))),"")</f>
        <v/>
      </c>
      <c r="H254" s="14" t="str">
        <f>IFERROR((VLOOKUP($A254,'[1]import success seats course'!$A:V,HLOOKUP('[1]Course Totals'!H$4,'[1]import success seats course'!$1:$2,2,FALSE),FALSE)/(VLOOKUP($A254,'[1]import graded seats course pivo'!$A:AF,HLOOKUP('[1]Course Totals'!H$4,'[1]import graded seats course pivo'!$1:$2,2,FALSE),FALSE))),"")</f>
        <v/>
      </c>
      <c r="I254" s="14" t="str">
        <f>IFERROR((VLOOKUP($A254,'[1]import success seats course'!$A:W,HLOOKUP('[1]Course Totals'!I$4,'[1]import success seats course'!$1:$2,2,FALSE),FALSE)/(VLOOKUP($A254,'[1]import graded seats course pivo'!$A:AG,HLOOKUP('[1]Course Totals'!I$4,'[1]import graded seats course pivo'!$1:$2,2,FALSE),FALSE))),"")</f>
        <v/>
      </c>
      <c r="J254" s="14">
        <f>IFERROR((VLOOKUP($A254,'[1]import success seats course'!$A:X,HLOOKUP('[1]Course Totals'!J$4,'[1]import success seats course'!$1:$2,2,FALSE),FALSE)/(VLOOKUP($A254,'[1]import graded seats course pivo'!$A:AH,HLOOKUP('[1]Course Totals'!J$4,'[1]import graded seats course pivo'!$1:$2,2,FALSE),FALSE))),"")</f>
        <v>1</v>
      </c>
      <c r="K254" s="14" t="str">
        <f>IFERROR((VLOOKUP($A254,'[1]import success seats course'!$A:Y,HLOOKUP('[1]Course Totals'!K$4,'[1]import success seats course'!$1:$2,2,FALSE),FALSE)/(VLOOKUP($A254,'[1]import graded seats course pivo'!$A:AI,HLOOKUP('[1]Course Totals'!K$4,'[1]import graded seats course pivo'!$1:$2,2,FALSE),FALSE))),"")</f>
        <v/>
      </c>
      <c r="L254" s="14">
        <f>IFERROR((VLOOKUP($A254,'[1]import success seats course'!$A:Z,HLOOKUP('[1]Course Totals'!L$4,'[1]import success seats course'!$1:$2,2,FALSE),FALSE)/(VLOOKUP($A254,'[1]import graded seats course pivo'!$A:AJ,HLOOKUP('[1]Course Totals'!L$4,'[1]import graded seats course pivo'!$1:$2,2,FALSE),FALSE))),"")</f>
        <v>0.6785714285714286</v>
      </c>
      <c r="M254" s="14" t="str">
        <f>IFERROR((VLOOKUP($A254,'[1]import success seats course'!$A:AA,HLOOKUP('[1]Course Totals'!M$4,'[1]import success seats course'!$1:$2,2,FALSE),FALSE)/(VLOOKUP($A254,'[1]import graded seats course pivo'!$A:AK,HLOOKUP('[1]Course Totals'!M$4,'[1]import graded seats course pivo'!$1:$2,2,FALSE),FALSE))),"")</f>
        <v/>
      </c>
      <c r="N254" s="14" t="str">
        <f>IFERROR((VLOOKUP($A254,'[1]import success seats course'!$A:AB,HLOOKUP('[1]Course Totals'!N$4,'[1]import success seats course'!$1:$2,2,FALSE),FALSE)/(VLOOKUP($A254,'[1]import graded seats course pivo'!$A:AL,HLOOKUP('[1]Course Totals'!N$4,'[1]import graded seats course pivo'!$1:$2,2,FALSE),FALSE))),"")</f>
        <v/>
      </c>
      <c r="O254" s="14" t="str">
        <f>IFERROR((VLOOKUP($A254,'[1]import success seats course'!$A:AC,HLOOKUP('[1]Course Totals'!O$4,'[1]import success seats course'!$1:$2,2,FALSE),FALSE)/(VLOOKUP($A254,'[1]import graded seats course pivo'!$A:AM,HLOOKUP('[1]Course Totals'!O$4,'[1]import graded seats course pivo'!$1:$2,2,FALSE),FALSE))),"")</f>
        <v/>
      </c>
      <c r="P254" s="14" t="str">
        <f>IFERROR((VLOOKUP($A254,'[1]import success seats course'!$A:AD,HLOOKUP('[1]Course Totals'!P$4,'[1]import success seats course'!$1:$2,2,FALSE),FALSE)/(VLOOKUP($A254,'[1]import graded seats course pivo'!$A:AN,HLOOKUP('[1]Course Totals'!P$4,'[1]import graded seats course pivo'!$1:$2,2,FALSE),FALSE))),"")</f>
        <v/>
      </c>
      <c r="Q254" s="14" t="str">
        <f>IFERROR((VLOOKUP($A254,'[1]import success seats course'!$A:AE,HLOOKUP('[1]Course Totals'!Q$4,'[1]import success seats course'!$1:$2,2,FALSE),FALSE)/(VLOOKUP($A254,'[1]import graded seats course pivo'!$A:AO,HLOOKUP('[1]Course Totals'!Q$4,'[1]import graded seats course pivo'!$1:$2,2,FALSE),FALSE))),"")</f>
        <v/>
      </c>
      <c r="R254" s="14" t="str">
        <f>IFERROR((VLOOKUP($A254,'[1]import success seats course'!$A:AF,HLOOKUP('[1]Course Totals'!R$4,'[1]import success seats course'!$1:$2,2,FALSE),FALSE)/(VLOOKUP($A254,'[1]import graded seats course pivo'!$A:AP,HLOOKUP('[1]Course Totals'!R$4,'[1]import graded seats course pivo'!$1:$2,2,FALSE),FALSE))),"")</f>
        <v/>
      </c>
      <c r="S254" s="14" t="str">
        <f>IFERROR((VLOOKUP($A254,'[1]import success seats course'!$A:AG,HLOOKUP('[1]Course Totals'!S$4,'[1]import success seats course'!$1:$2,2,FALSE),FALSE)/(VLOOKUP($A254,'[1]import graded seats course pivo'!$A:AQ,HLOOKUP('[1]Course Totals'!S$4,'[1]import graded seats course pivo'!$1:$2,2,FALSE),FALSE))),"")</f>
        <v/>
      </c>
      <c r="Z254" s="7"/>
      <c r="AA254" s="7"/>
      <c r="AB254" s="7"/>
      <c r="AC254" s="7"/>
    </row>
    <row r="255" spans="1:29" ht="15.75" customHeight="1" x14ac:dyDescent="0.25">
      <c r="A255" s="12" t="s">
        <v>576</v>
      </c>
      <c r="B255" s="14" t="str">
        <f>IFERROR((VLOOKUP($A255,'[1]import success seats course'!$A:P,HLOOKUP('[1]Course Totals'!B$4,'[1]import success seats course'!$1:$2,2,FALSE),FALSE)/(VLOOKUP($A255,'[1]import graded seats course pivo'!$A:Z,HLOOKUP('[1]Course Totals'!B$4,'[1]import graded seats course pivo'!$1:$2,2,FALSE),FALSE))),"")</f>
        <v/>
      </c>
      <c r="C255" s="14" t="str">
        <f>IFERROR((VLOOKUP($A255,'[1]import success seats course'!$A:Q,HLOOKUP('[1]Course Totals'!C$4,'[1]import success seats course'!$1:$2,2,FALSE),FALSE)/(VLOOKUP($A255,'[1]import graded seats course pivo'!$A:AA,HLOOKUP('[1]Course Totals'!C$4,'[1]import graded seats course pivo'!$1:$2,2,FALSE),FALSE))),"")</f>
        <v/>
      </c>
      <c r="D255" s="14">
        <f>IFERROR((VLOOKUP($A255,'[1]import success seats course'!$A:R,HLOOKUP('[1]Course Totals'!D$4,'[1]import success seats course'!$1:$2,2,FALSE),FALSE)/(VLOOKUP($A255,'[1]import graded seats course pivo'!$A:AB,HLOOKUP('[1]Course Totals'!D$4,'[1]import graded seats course pivo'!$1:$2,2,FALSE),FALSE))),"")</f>
        <v>1</v>
      </c>
      <c r="E255" s="14" t="str">
        <f>IFERROR((VLOOKUP($A255,'[1]import success seats course'!$A:S,HLOOKUP('[1]Course Totals'!E$4,'[1]import success seats course'!$1:$2,2,FALSE),FALSE)/(VLOOKUP($A255,'[1]import graded seats course pivo'!$A:AC,HLOOKUP('[1]Course Totals'!E$4,'[1]import graded seats course pivo'!$1:$2,2,FALSE),FALSE))),"")</f>
        <v/>
      </c>
      <c r="F255" s="14">
        <f>IFERROR((VLOOKUP($A255,'[1]import success seats course'!$A:T,HLOOKUP('[1]Course Totals'!F$4,'[1]import success seats course'!$1:$2,2,FALSE),FALSE)/(VLOOKUP($A255,'[1]import graded seats course pivo'!$A:AD,HLOOKUP('[1]Course Totals'!F$4,'[1]import graded seats course pivo'!$1:$2,2,FALSE),FALSE))),"")</f>
        <v>0.94117647058823528</v>
      </c>
      <c r="G255" s="14">
        <f>IFERROR((VLOOKUP($A255,'[1]import success seats course'!$A:U,HLOOKUP('[1]Course Totals'!G$4,'[1]import success seats course'!$1:$2,2,FALSE),FALSE)/(VLOOKUP($A255,'[1]import graded seats course pivo'!$A:AE,HLOOKUP('[1]Course Totals'!G$4,'[1]import graded seats course pivo'!$1:$2,2,FALSE),FALSE))),"")</f>
        <v>0.8529411764705882</v>
      </c>
      <c r="H255" s="14" t="str">
        <f>IFERROR((VLOOKUP($A255,'[1]import success seats course'!$A:V,HLOOKUP('[1]Course Totals'!H$4,'[1]import success seats course'!$1:$2,2,FALSE),FALSE)/(VLOOKUP($A255,'[1]import graded seats course pivo'!$A:AF,HLOOKUP('[1]Course Totals'!H$4,'[1]import graded seats course pivo'!$1:$2,2,FALSE),FALSE))),"")</f>
        <v/>
      </c>
      <c r="I255" s="14" t="str">
        <f>IFERROR((VLOOKUP($A255,'[1]import success seats course'!$A:W,HLOOKUP('[1]Course Totals'!I$4,'[1]import success seats course'!$1:$2,2,FALSE),FALSE)/(VLOOKUP($A255,'[1]import graded seats course pivo'!$A:AG,HLOOKUP('[1]Course Totals'!I$4,'[1]import graded seats course pivo'!$1:$2,2,FALSE),FALSE))),"")</f>
        <v/>
      </c>
      <c r="J255" s="14" t="str">
        <f>IFERROR((VLOOKUP($A255,'[1]import success seats course'!$A:X,HLOOKUP('[1]Course Totals'!J$4,'[1]import success seats course'!$1:$2,2,FALSE),FALSE)/(VLOOKUP($A255,'[1]import graded seats course pivo'!$A:AH,HLOOKUP('[1]Course Totals'!J$4,'[1]import graded seats course pivo'!$1:$2,2,FALSE),FALSE))),"")</f>
        <v/>
      </c>
      <c r="K255" s="14" t="str">
        <f>IFERROR((VLOOKUP($A255,'[1]import success seats course'!$A:Y,HLOOKUP('[1]Course Totals'!K$4,'[1]import success seats course'!$1:$2,2,FALSE),FALSE)/(VLOOKUP($A255,'[1]import graded seats course pivo'!$A:AI,HLOOKUP('[1]Course Totals'!K$4,'[1]import graded seats course pivo'!$1:$2,2,FALSE),FALSE))),"")</f>
        <v/>
      </c>
      <c r="L255" s="14" t="str">
        <f>IFERROR((VLOOKUP($A255,'[1]import success seats course'!$A:Z,HLOOKUP('[1]Course Totals'!L$4,'[1]import success seats course'!$1:$2,2,FALSE),FALSE)/(VLOOKUP($A255,'[1]import graded seats course pivo'!$A:AJ,HLOOKUP('[1]Course Totals'!L$4,'[1]import graded seats course pivo'!$1:$2,2,FALSE),FALSE))),"")</f>
        <v/>
      </c>
      <c r="M255" s="14" t="str">
        <f>IFERROR((VLOOKUP($A255,'[1]import success seats course'!$A:AA,HLOOKUP('[1]Course Totals'!M$4,'[1]import success seats course'!$1:$2,2,FALSE),FALSE)/(VLOOKUP($A255,'[1]import graded seats course pivo'!$A:AK,HLOOKUP('[1]Course Totals'!M$4,'[1]import graded seats course pivo'!$1:$2,2,FALSE),FALSE))),"")</f>
        <v/>
      </c>
      <c r="N255" s="14" t="str">
        <f>IFERROR((VLOOKUP($A255,'[1]import success seats course'!$A:AB,HLOOKUP('[1]Course Totals'!N$4,'[1]import success seats course'!$1:$2,2,FALSE),FALSE)/(VLOOKUP($A255,'[1]import graded seats course pivo'!$A:AL,HLOOKUP('[1]Course Totals'!N$4,'[1]import graded seats course pivo'!$1:$2,2,FALSE),FALSE))),"")</f>
        <v/>
      </c>
      <c r="O255" s="14" t="str">
        <f>IFERROR((VLOOKUP($A255,'[1]import success seats course'!$A:AC,HLOOKUP('[1]Course Totals'!O$4,'[1]import success seats course'!$1:$2,2,FALSE),FALSE)/(VLOOKUP($A255,'[1]import graded seats course pivo'!$A:AM,HLOOKUP('[1]Course Totals'!O$4,'[1]import graded seats course pivo'!$1:$2,2,FALSE),FALSE))),"")</f>
        <v/>
      </c>
      <c r="P255" s="14" t="str">
        <f>IFERROR((VLOOKUP($A255,'[1]import success seats course'!$A:AD,HLOOKUP('[1]Course Totals'!P$4,'[1]import success seats course'!$1:$2,2,FALSE),FALSE)/(VLOOKUP($A255,'[1]import graded seats course pivo'!$A:AN,HLOOKUP('[1]Course Totals'!P$4,'[1]import graded seats course pivo'!$1:$2,2,FALSE),FALSE))),"")</f>
        <v/>
      </c>
      <c r="Q255" s="14" t="str">
        <f>IFERROR((VLOOKUP($A255,'[1]import success seats course'!$A:AE,HLOOKUP('[1]Course Totals'!Q$4,'[1]import success seats course'!$1:$2,2,FALSE),FALSE)/(VLOOKUP($A255,'[1]import graded seats course pivo'!$A:AO,HLOOKUP('[1]Course Totals'!Q$4,'[1]import graded seats course pivo'!$1:$2,2,FALSE),FALSE))),"")</f>
        <v/>
      </c>
      <c r="R255" s="14" t="str">
        <f>IFERROR((VLOOKUP($A255,'[1]import success seats course'!$A:AF,HLOOKUP('[1]Course Totals'!R$4,'[1]import success seats course'!$1:$2,2,FALSE),FALSE)/(VLOOKUP($A255,'[1]import graded seats course pivo'!$A:AP,HLOOKUP('[1]Course Totals'!R$4,'[1]import graded seats course pivo'!$1:$2,2,FALSE),FALSE))),"")</f>
        <v/>
      </c>
      <c r="S255" s="14" t="str">
        <f>IFERROR((VLOOKUP($A255,'[1]import success seats course'!$A:AG,HLOOKUP('[1]Course Totals'!S$4,'[1]import success seats course'!$1:$2,2,FALSE),FALSE)/(VLOOKUP($A255,'[1]import graded seats course pivo'!$A:AQ,HLOOKUP('[1]Course Totals'!S$4,'[1]import graded seats course pivo'!$1:$2,2,FALSE),FALSE))),"")</f>
        <v/>
      </c>
      <c r="Z255" s="7"/>
      <c r="AA255" s="7"/>
      <c r="AB255" s="7"/>
      <c r="AC255" s="7"/>
    </row>
    <row r="256" spans="1:29" ht="15.75" customHeight="1" x14ac:dyDescent="0.25">
      <c r="A256" s="12" t="s">
        <v>1008</v>
      </c>
      <c r="B256" s="14" t="str">
        <f>IFERROR((VLOOKUP($A256,'[1]import success seats course'!$A:P,HLOOKUP('[1]Course Totals'!B$4,'[1]import success seats course'!$1:$2,2,FALSE),FALSE)/(VLOOKUP($A256,'[1]import graded seats course pivo'!$A:Z,HLOOKUP('[1]Course Totals'!B$4,'[1]import graded seats course pivo'!$1:$2,2,FALSE),FALSE))),"")</f>
        <v/>
      </c>
      <c r="C256" s="14" t="str">
        <f>IFERROR((VLOOKUP($A256,'[1]import success seats course'!$A:Q,HLOOKUP('[1]Course Totals'!C$4,'[1]import success seats course'!$1:$2,2,FALSE),FALSE)/(VLOOKUP($A256,'[1]import graded seats course pivo'!$A:AA,HLOOKUP('[1]Course Totals'!C$4,'[1]import graded seats course pivo'!$1:$2,2,FALSE),FALSE))),"")</f>
        <v/>
      </c>
      <c r="D256" s="14" t="str">
        <f>IFERROR((VLOOKUP($A256,'[1]import success seats course'!$A:R,HLOOKUP('[1]Course Totals'!D$4,'[1]import success seats course'!$1:$2,2,FALSE),FALSE)/(VLOOKUP($A256,'[1]import graded seats course pivo'!$A:AB,HLOOKUP('[1]Course Totals'!D$4,'[1]import graded seats course pivo'!$1:$2,2,FALSE),FALSE))),"")</f>
        <v/>
      </c>
      <c r="E256" s="14" t="str">
        <f>IFERROR((VLOOKUP($A256,'[1]import success seats course'!$A:S,HLOOKUP('[1]Course Totals'!E$4,'[1]import success seats course'!$1:$2,2,FALSE),FALSE)/(VLOOKUP($A256,'[1]import graded seats course pivo'!$A:AC,HLOOKUP('[1]Course Totals'!E$4,'[1]import graded seats course pivo'!$1:$2,2,FALSE),FALSE))),"")</f>
        <v/>
      </c>
      <c r="F256" s="14" t="str">
        <f>IFERROR((VLOOKUP($A256,'[1]import success seats course'!$A:T,HLOOKUP('[1]Course Totals'!F$4,'[1]import success seats course'!$1:$2,2,FALSE),FALSE)/(VLOOKUP($A256,'[1]import graded seats course pivo'!$A:AD,HLOOKUP('[1]Course Totals'!F$4,'[1]import graded seats course pivo'!$1:$2,2,FALSE),FALSE))),"")</f>
        <v/>
      </c>
      <c r="G256" s="14" t="str">
        <f>IFERROR((VLOOKUP($A256,'[1]import success seats course'!$A:U,HLOOKUP('[1]Course Totals'!G$4,'[1]import success seats course'!$1:$2,2,FALSE),FALSE)/(VLOOKUP($A256,'[1]import graded seats course pivo'!$A:AE,HLOOKUP('[1]Course Totals'!G$4,'[1]import graded seats course pivo'!$1:$2,2,FALSE),FALSE))),"")</f>
        <v/>
      </c>
      <c r="H256" s="14" t="str">
        <f>IFERROR((VLOOKUP($A256,'[1]import success seats course'!$A:V,HLOOKUP('[1]Course Totals'!H$4,'[1]import success seats course'!$1:$2,2,FALSE),FALSE)/(VLOOKUP($A256,'[1]import graded seats course pivo'!$A:AF,HLOOKUP('[1]Course Totals'!H$4,'[1]import graded seats course pivo'!$1:$2,2,FALSE),FALSE))),"")</f>
        <v/>
      </c>
      <c r="I256" s="14" t="str">
        <f>IFERROR((VLOOKUP($A256,'[1]import success seats course'!$A:W,HLOOKUP('[1]Course Totals'!I$4,'[1]import success seats course'!$1:$2,2,FALSE),FALSE)/(VLOOKUP($A256,'[1]import graded seats course pivo'!$A:AG,HLOOKUP('[1]Course Totals'!I$4,'[1]import graded seats course pivo'!$1:$2,2,FALSE),FALSE))),"")</f>
        <v/>
      </c>
      <c r="J256" s="14" t="str">
        <f>IFERROR((VLOOKUP($A256,'[1]import success seats course'!$A:X,HLOOKUP('[1]Course Totals'!J$4,'[1]import success seats course'!$1:$2,2,FALSE),FALSE)/(VLOOKUP($A256,'[1]import graded seats course pivo'!$A:AH,HLOOKUP('[1]Course Totals'!J$4,'[1]import graded seats course pivo'!$1:$2,2,FALSE),FALSE))),"")</f>
        <v/>
      </c>
      <c r="K256" s="14" t="str">
        <f>IFERROR((VLOOKUP($A256,'[1]import success seats course'!$A:Y,HLOOKUP('[1]Course Totals'!K$4,'[1]import success seats course'!$1:$2,2,FALSE),FALSE)/(VLOOKUP($A256,'[1]import graded seats course pivo'!$A:AI,HLOOKUP('[1]Course Totals'!K$4,'[1]import graded seats course pivo'!$1:$2,2,FALSE),FALSE))),"")</f>
        <v/>
      </c>
      <c r="L256" s="14" t="str">
        <f>IFERROR((VLOOKUP($A256,'[1]import success seats course'!$A:Z,HLOOKUP('[1]Course Totals'!L$4,'[1]import success seats course'!$1:$2,2,FALSE),FALSE)/(VLOOKUP($A256,'[1]import graded seats course pivo'!$A:AJ,HLOOKUP('[1]Course Totals'!L$4,'[1]import graded seats course pivo'!$1:$2,2,FALSE),FALSE))),"")</f>
        <v/>
      </c>
      <c r="M256" s="14" t="str">
        <f>IFERROR((VLOOKUP($A256,'[1]import success seats course'!$A:AA,HLOOKUP('[1]Course Totals'!M$4,'[1]import success seats course'!$1:$2,2,FALSE),FALSE)/(VLOOKUP($A256,'[1]import graded seats course pivo'!$A:AK,HLOOKUP('[1]Course Totals'!M$4,'[1]import graded seats course pivo'!$1:$2,2,FALSE),FALSE))),"")</f>
        <v/>
      </c>
      <c r="N256" s="14" t="str">
        <f>IFERROR((VLOOKUP($A256,'[1]import success seats course'!$A:AB,HLOOKUP('[1]Course Totals'!N$4,'[1]import success seats course'!$1:$2,2,FALSE),FALSE)/(VLOOKUP($A256,'[1]import graded seats course pivo'!$A:AL,HLOOKUP('[1]Course Totals'!N$4,'[1]import graded seats course pivo'!$1:$2,2,FALSE),FALSE))),"")</f>
        <v/>
      </c>
      <c r="O256" s="14" t="str">
        <f>IFERROR((VLOOKUP($A256,'[1]import success seats course'!$A:AC,HLOOKUP('[1]Course Totals'!O$4,'[1]import success seats course'!$1:$2,2,FALSE),FALSE)/(VLOOKUP($A256,'[1]import graded seats course pivo'!$A:AM,HLOOKUP('[1]Course Totals'!O$4,'[1]import graded seats course pivo'!$1:$2,2,FALSE),FALSE))),"")</f>
        <v/>
      </c>
      <c r="P256" s="14">
        <f>IFERROR((VLOOKUP($A256,'[1]import success seats course'!$A:AD,HLOOKUP('[1]Course Totals'!P$4,'[1]import success seats course'!$1:$2,2,FALSE),FALSE)/(VLOOKUP($A256,'[1]import graded seats course pivo'!$A:AN,HLOOKUP('[1]Course Totals'!P$4,'[1]import graded seats course pivo'!$1:$2,2,FALSE),FALSE))),"")</f>
        <v>0.9375</v>
      </c>
      <c r="Q256" s="14" t="str">
        <f>IFERROR((VLOOKUP($A256,'[1]import success seats course'!$A:AE,HLOOKUP('[1]Course Totals'!Q$4,'[1]import success seats course'!$1:$2,2,FALSE),FALSE)/(VLOOKUP($A256,'[1]import graded seats course pivo'!$A:AO,HLOOKUP('[1]Course Totals'!Q$4,'[1]import graded seats course pivo'!$1:$2,2,FALSE),FALSE))),"")</f>
        <v/>
      </c>
      <c r="R256" s="14" t="str">
        <f>IFERROR((VLOOKUP($A256,'[1]import success seats course'!$A:AF,HLOOKUP('[1]Course Totals'!R$4,'[1]import success seats course'!$1:$2,2,FALSE),FALSE)/(VLOOKUP($A256,'[1]import graded seats course pivo'!$A:AP,HLOOKUP('[1]Course Totals'!R$4,'[1]import graded seats course pivo'!$1:$2,2,FALSE),FALSE))),"")</f>
        <v/>
      </c>
      <c r="S256" s="14">
        <f>IFERROR((VLOOKUP($A256,'[1]import success seats course'!$A:AG,HLOOKUP('[1]Course Totals'!S$4,'[1]import success seats course'!$1:$2,2,FALSE),FALSE)/(VLOOKUP($A256,'[1]import graded seats course pivo'!$A:AQ,HLOOKUP('[1]Course Totals'!S$4,'[1]import graded seats course pivo'!$1:$2,2,FALSE),FALSE))),"")</f>
        <v>0.64</v>
      </c>
      <c r="Z256" s="7"/>
      <c r="AA256" s="7"/>
      <c r="AB256" s="7"/>
      <c r="AC256" s="7"/>
    </row>
    <row r="257" spans="1:29" ht="15.75" hidden="1" customHeight="1" x14ac:dyDescent="0.25">
      <c r="A257" s="12" t="s">
        <v>967</v>
      </c>
      <c r="B257" s="14" t="str">
        <f>IFERROR((VLOOKUP($A257,'[1]import success seats course'!$A:P,HLOOKUP('[1]Course Totals'!B$4,'[1]import success seats course'!$1:$2,2,FALSE),FALSE)/(VLOOKUP($A257,'[1]import graded seats course pivo'!$A:Z,HLOOKUP('[1]Course Totals'!B$4,'[1]import graded seats course pivo'!$1:$2,2,FALSE),FALSE))),"")</f>
        <v/>
      </c>
      <c r="C257" s="14" t="str">
        <f>IFERROR((VLOOKUP($A257,'[1]import success seats course'!$A:Q,HLOOKUP('[1]Course Totals'!C$4,'[1]import success seats course'!$1:$2,2,FALSE),FALSE)/(VLOOKUP($A257,'[1]import graded seats course pivo'!$A:AA,HLOOKUP('[1]Course Totals'!C$4,'[1]import graded seats course pivo'!$1:$2,2,FALSE),FALSE))),"")</f>
        <v/>
      </c>
      <c r="D257" s="14" t="str">
        <f>IFERROR((VLOOKUP($A257,'[1]import success seats course'!$A:R,HLOOKUP('[1]Course Totals'!D$4,'[1]import success seats course'!$1:$2,2,FALSE),FALSE)/(VLOOKUP($A257,'[1]import graded seats course pivo'!$A:AB,HLOOKUP('[1]Course Totals'!D$4,'[1]import graded seats course pivo'!$1:$2,2,FALSE),FALSE))),"")</f>
        <v/>
      </c>
      <c r="E257" s="14" t="str">
        <f>IFERROR((VLOOKUP($A257,'[1]import success seats course'!$A:S,HLOOKUP('[1]Course Totals'!E$4,'[1]import success seats course'!$1:$2,2,FALSE),FALSE)/(VLOOKUP($A257,'[1]import graded seats course pivo'!$A:AC,HLOOKUP('[1]Course Totals'!E$4,'[1]import graded seats course pivo'!$1:$2,2,FALSE),FALSE))),"")</f>
        <v/>
      </c>
      <c r="F257" s="14" t="str">
        <f>IFERROR((VLOOKUP($A257,'[1]import success seats course'!$A:T,HLOOKUP('[1]Course Totals'!F$4,'[1]import success seats course'!$1:$2,2,FALSE),FALSE)/(VLOOKUP($A257,'[1]import graded seats course pivo'!$A:AD,HLOOKUP('[1]Course Totals'!F$4,'[1]import graded seats course pivo'!$1:$2,2,FALSE),FALSE))),"")</f>
        <v/>
      </c>
      <c r="G257" s="14" t="str">
        <f>IFERROR((VLOOKUP($A257,'[1]import success seats course'!$A:U,HLOOKUP('[1]Course Totals'!G$4,'[1]import success seats course'!$1:$2,2,FALSE),FALSE)/(VLOOKUP($A257,'[1]import graded seats course pivo'!$A:AE,HLOOKUP('[1]Course Totals'!G$4,'[1]import graded seats course pivo'!$1:$2,2,FALSE),FALSE))),"")</f>
        <v/>
      </c>
      <c r="H257" s="14" t="str">
        <f>IFERROR((VLOOKUP($A257,'[1]import success seats course'!$A:V,HLOOKUP('[1]Course Totals'!H$4,'[1]import success seats course'!$1:$2,2,FALSE),FALSE)/(VLOOKUP($A257,'[1]import graded seats course pivo'!$A:AF,HLOOKUP('[1]Course Totals'!H$4,'[1]import graded seats course pivo'!$1:$2,2,FALSE),FALSE))),"")</f>
        <v/>
      </c>
      <c r="I257" s="14" t="str">
        <f>IFERROR((VLOOKUP($A257,'[1]import success seats course'!$A:W,HLOOKUP('[1]Course Totals'!I$4,'[1]import success seats course'!$1:$2,2,FALSE),FALSE)/(VLOOKUP($A257,'[1]import graded seats course pivo'!$A:AG,HLOOKUP('[1]Course Totals'!I$4,'[1]import graded seats course pivo'!$1:$2,2,FALSE),FALSE))),"")</f>
        <v/>
      </c>
      <c r="J257" s="14" t="str">
        <f>IFERROR((VLOOKUP($A257,'[1]import success seats course'!$A:X,HLOOKUP('[1]Course Totals'!J$4,'[1]import success seats course'!$1:$2,2,FALSE),FALSE)/(VLOOKUP($A257,'[1]import graded seats course pivo'!$A:AH,HLOOKUP('[1]Course Totals'!J$4,'[1]import graded seats course pivo'!$1:$2,2,FALSE),FALSE))),"")</f>
        <v/>
      </c>
      <c r="K257" s="14" t="str">
        <f>IFERROR((VLOOKUP($A257,'[1]import success seats course'!$A:Y,HLOOKUP('[1]Course Totals'!K$4,'[1]import success seats course'!$1:$2,2,FALSE),FALSE)/(VLOOKUP($A257,'[1]import graded seats course pivo'!$A:AI,HLOOKUP('[1]Course Totals'!K$4,'[1]import graded seats course pivo'!$1:$2,2,FALSE),FALSE))),"")</f>
        <v/>
      </c>
      <c r="L257" s="14" t="str">
        <f>IFERROR((VLOOKUP($A257,'[1]import success seats course'!$A:Z,HLOOKUP('[1]Course Totals'!L$4,'[1]import success seats course'!$1:$2,2,FALSE),FALSE)/(VLOOKUP($A257,'[1]import graded seats course pivo'!$A:AJ,HLOOKUP('[1]Course Totals'!L$4,'[1]import graded seats course pivo'!$1:$2,2,FALSE),FALSE))),"")</f>
        <v/>
      </c>
      <c r="M257" s="14" t="str">
        <f>IFERROR((VLOOKUP($A257,'[1]import success seats course'!$A:AA,HLOOKUP('[1]Course Totals'!M$4,'[1]import success seats course'!$1:$2,2,FALSE),FALSE)/(VLOOKUP($A257,'[1]import graded seats course pivo'!$A:AK,HLOOKUP('[1]Course Totals'!M$4,'[1]import graded seats course pivo'!$1:$2,2,FALSE),FALSE))),"")</f>
        <v/>
      </c>
      <c r="N257" s="14" t="str">
        <f>IFERROR((VLOOKUP($A257,'[1]import success seats course'!$A:AB,HLOOKUP('[1]Course Totals'!N$4,'[1]import success seats course'!$1:$2,2,FALSE),FALSE)/(VLOOKUP($A257,'[1]import graded seats course pivo'!$A:AL,HLOOKUP('[1]Course Totals'!N$4,'[1]import graded seats course pivo'!$1:$2,2,FALSE),FALSE))),"")</f>
        <v/>
      </c>
      <c r="O257" s="14" t="str">
        <f>IFERROR((VLOOKUP($A257,'[1]import success seats course'!$A:AC,HLOOKUP('[1]Course Totals'!O$4,'[1]import success seats course'!$1:$2,2,FALSE),FALSE)/(VLOOKUP($A257,'[1]import graded seats course pivo'!$A:AM,HLOOKUP('[1]Course Totals'!O$4,'[1]import graded seats course pivo'!$1:$2,2,FALSE),FALSE))),"")</f>
        <v/>
      </c>
      <c r="P257" s="14" t="str">
        <f>IFERROR((VLOOKUP($A257,'[1]import success seats course'!$A:AD,HLOOKUP('[1]Course Totals'!P$4,'[1]import success seats course'!$1:$2,2,FALSE),FALSE)/(VLOOKUP($A257,'[1]import graded seats course pivo'!$A:AN,HLOOKUP('[1]Course Totals'!P$4,'[1]import graded seats course pivo'!$1:$2,2,FALSE),FALSE))),"")</f>
        <v/>
      </c>
      <c r="Q257" s="14" t="str">
        <f>IFERROR((VLOOKUP($A257,'[1]import success seats course'!$A:AE,HLOOKUP('[1]Course Totals'!Q$4,'[1]import success seats course'!$1:$2,2,FALSE),FALSE)/(VLOOKUP($A257,'[1]import graded seats course pivo'!$A:AO,HLOOKUP('[1]Course Totals'!Q$4,'[1]import graded seats course pivo'!$1:$2,2,FALSE),FALSE))),"")</f>
        <v/>
      </c>
      <c r="R257" s="14" t="str">
        <f>IFERROR((VLOOKUP($A257,'[1]import success seats course'!$A:AF,HLOOKUP('[1]Course Totals'!R$4,'[1]import success seats course'!$1:$2,2,FALSE),FALSE)/(VLOOKUP($A257,'[1]import graded seats course pivo'!$A:AP,HLOOKUP('[1]Course Totals'!R$4,'[1]import graded seats course pivo'!$1:$2,2,FALSE),FALSE))),"")</f>
        <v/>
      </c>
      <c r="S257" s="14" t="str">
        <f>IFERROR((VLOOKUP($A257,'[1]import success seats course'!$A:AG,HLOOKUP('[1]Course Totals'!S$4,'[1]import success seats course'!$1:$2,2,FALSE),FALSE)/(VLOOKUP($A257,'[1]import graded seats course pivo'!$A:AQ,HLOOKUP('[1]Course Totals'!S$4,'[1]import graded seats course pivo'!$1:$2,2,FALSE),FALSE))),"")</f>
        <v/>
      </c>
      <c r="Z257" s="7"/>
      <c r="AA257" s="7"/>
      <c r="AB257" s="7"/>
      <c r="AC257" s="7"/>
    </row>
    <row r="258" spans="1:29" ht="15.75" hidden="1" customHeight="1" x14ac:dyDescent="0.25">
      <c r="A258" s="12" t="s">
        <v>700</v>
      </c>
      <c r="B258" s="14" t="str">
        <f>IFERROR((VLOOKUP($A258,'[1]import success seats course'!$A:P,HLOOKUP('[1]Course Totals'!B$4,'[1]import success seats course'!$1:$2,2,FALSE),FALSE)/(VLOOKUP($A258,'[1]import graded seats course pivo'!$A:Z,HLOOKUP('[1]Course Totals'!B$4,'[1]import graded seats course pivo'!$1:$2,2,FALSE),FALSE))),"")</f>
        <v/>
      </c>
      <c r="C258" s="14" t="str">
        <f>IFERROR((VLOOKUP($A258,'[1]import success seats course'!$A:Q,HLOOKUP('[1]Course Totals'!C$4,'[1]import success seats course'!$1:$2,2,FALSE),FALSE)/(VLOOKUP($A258,'[1]import graded seats course pivo'!$A:AA,HLOOKUP('[1]Course Totals'!C$4,'[1]import graded seats course pivo'!$1:$2,2,FALSE),FALSE))),"")</f>
        <v/>
      </c>
      <c r="D258" s="14" t="str">
        <f>IFERROR((VLOOKUP($A258,'[1]import success seats course'!$A:R,HLOOKUP('[1]Course Totals'!D$4,'[1]import success seats course'!$1:$2,2,FALSE),FALSE)/(VLOOKUP($A258,'[1]import graded seats course pivo'!$A:AB,HLOOKUP('[1]Course Totals'!D$4,'[1]import graded seats course pivo'!$1:$2,2,FALSE),FALSE))),"")</f>
        <v/>
      </c>
      <c r="E258" s="14" t="str">
        <f>IFERROR((VLOOKUP($A258,'[1]import success seats course'!$A:S,HLOOKUP('[1]Course Totals'!E$4,'[1]import success seats course'!$1:$2,2,FALSE),FALSE)/(VLOOKUP($A258,'[1]import graded seats course pivo'!$A:AC,HLOOKUP('[1]Course Totals'!E$4,'[1]import graded seats course pivo'!$1:$2,2,FALSE),FALSE))),"")</f>
        <v/>
      </c>
      <c r="F258" s="14" t="str">
        <f>IFERROR((VLOOKUP($A258,'[1]import success seats course'!$A:T,HLOOKUP('[1]Course Totals'!F$4,'[1]import success seats course'!$1:$2,2,FALSE),FALSE)/(VLOOKUP($A258,'[1]import graded seats course pivo'!$A:AD,HLOOKUP('[1]Course Totals'!F$4,'[1]import graded seats course pivo'!$1:$2,2,FALSE),FALSE))),"")</f>
        <v/>
      </c>
      <c r="G258" s="14" t="str">
        <f>IFERROR((VLOOKUP($A258,'[1]import success seats course'!$A:U,HLOOKUP('[1]Course Totals'!G$4,'[1]import success seats course'!$1:$2,2,FALSE),FALSE)/(VLOOKUP($A258,'[1]import graded seats course pivo'!$A:AE,HLOOKUP('[1]Course Totals'!G$4,'[1]import graded seats course pivo'!$1:$2,2,FALSE),FALSE))),"")</f>
        <v/>
      </c>
      <c r="H258" s="14" t="str">
        <f>IFERROR((VLOOKUP($A258,'[1]import success seats course'!$A:V,HLOOKUP('[1]Course Totals'!H$4,'[1]import success seats course'!$1:$2,2,FALSE),FALSE)/(VLOOKUP($A258,'[1]import graded seats course pivo'!$A:AF,HLOOKUP('[1]Course Totals'!H$4,'[1]import graded seats course pivo'!$1:$2,2,FALSE),FALSE))),"")</f>
        <v/>
      </c>
      <c r="I258" s="14" t="str">
        <f>IFERROR((VLOOKUP($A258,'[1]import success seats course'!$A:W,HLOOKUP('[1]Course Totals'!I$4,'[1]import success seats course'!$1:$2,2,FALSE),FALSE)/(VLOOKUP($A258,'[1]import graded seats course pivo'!$A:AG,HLOOKUP('[1]Course Totals'!I$4,'[1]import graded seats course pivo'!$1:$2,2,FALSE),FALSE))),"")</f>
        <v/>
      </c>
      <c r="J258" s="14" t="str">
        <f>IFERROR((VLOOKUP($A258,'[1]import success seats course'!$A:X,HLOOKUP('[1]Course Totals'!J$4,'[1]import success seats course'!$1:$2,2,FALSE),FALSE)/(VLOOKUP($A258,'[1]import graded seats course pivo'!$A:AH,HLOOKUP('[1]Course Totals'!J$4,'[1]import graded seats course pivo'!$1:$2,2,FALSE),FALSE))),"")</f>
        <v/>
      </c>
      <c r="K258" s="14" t="str">
        <f>IFERROR((VLOOKUP($A258,'[1]import success seats course'!$A:Y,HLOOKUP('[1]Course Totals'!K$4,'[1]import success seats course'!$1:$2,2,FALSE),FALSE)/(VLOOKUP($A258,'[1]import graded seats course pivo'!$A:AI,HLOOKUP('[1]Course Totals'!K$4,'[1]import graded seats course pivo'!$1:$2,2,FALSE),FALSE))),"")</f>
        <v/>
      </c>
      <c r="L258" s="14" t="str">
        <f>IFERROR((VLOOKUP($A258,'[1]import success seats course'!$A:Z,HLOOKUP('[1]Course Totals'!L$4,'[1]import success seats course'!$1:$2,2,FALSE),FALSE)/(VLOOKUP($A258,'[1]import graded seats course pivo'!$A:AJ,HLOOKUP('[1]Course Totals'!L$4,'[1]import graded seats course pivo'!$1:$2,2,FALSE),FALSE))),"")</f>
        <v/>
      </c>
      <c r="M258" s="14" t="str">
        <f>IFERROR((VLOOKUP($A258,'[1]import success seats course'!$A:AA,HLOOKUP('[1]Course Totals'!M$4,'[1]import success seats course'!$1:$2,2,FALSE),FALSE)/(VLOOKUP($A258,'[1]import graded seats course pivo'!$A:AK,HLOOKUP('[1]Course Totals'!M$4,'[1]import graded seats course pivo'!$1:$2,2,FALSE),FALSE))),"")</f>
        <v/>
      </c>
      <c r="N258" s="14" t="str">
        <f>IFERROR((VLOOKUP($A258,'[1]import success seats course'!$A:AB,HLOOKUP('[1]Course Totals'!N$4,'[1]import success seats course'!$1:$2,2,FALSE),FALSE)/(VLOOKUP($A258,'[1]import graded seats course pivo'!$A:AL,HLOOKUP('[1]Course Totals'!N$4,'[1]import graded seats course pivo'!$1:$2,2,FALSE),FALSE))),"")</f>
        <v/>
      </c>
      <c r="O258" s="14" t="str">
        <f>IFERROR((VLOOKUP($A258,'[1]import success seats course'!$A:AC,HLOOKUP('[1]Course Totals'!O$4,'[1]import success seats course'!$1:$2,2,FALSE),FALSE)/(VLOOKUP($A258,'[1]import graded seats course pivo'!$A:AM,HLOOKUP('[1]Course Totals'!O$4,'[1]import graded seats course pivo'!$1:$2,2,FALSE),FALSE))),"")</f>
        <v/>
      </c>
      <c r="P258" s="14" t="str">
        <f>IFERROR((VLOOKUP($A258,'[1]import success seats course'!$A:AD,HLOOKUP('[1]Course Totals'!P$4,'[1]import success seats course'!$1:$2,2,FALSE),FALSE)/(VLOOKUP($A258,'[1]import graded seats course pivo'!$A:AN,HLOOKUP('[1]Course Totals'!P$4,'[1]import graded seats course pivo'!$1:$2,2,FALSE),FALSE))),"")</f>
        <v/>
      </c>
      <c r="Q258" s="14" t="str">
        <f>IFERROR((VLOOKUP($A258,'[1]import success seats course'!$A:AE,HLOOKUP('[1]Course Totals'!Q$4,'[1]import success seats course'!$1:$2,2,FALSE),FALSE)/(VLOOKUP($A258,'[1]import graded seats course pivo'!$A:AO,HLOOKUP('[1]Course Totals'!Q$4,'[1]import graded seats course pivo'!$1:$2,2,FALSE),FALSE))),"")</f>
        <v/>
      </c>
      <c r="R258" s="14" t="str">
        <f>IFERROR((VLOOKUP($A258,'[1]import success seats course'!$A:AF,HLOOKUP('[1]Course Totals'!R$4,'[1]import success seats course'!$1:$2,2,FALSE),FALSE)/(VLOOKUP($A258,'[1]import graded seats course pivo'!$A:AP,HLOOKUP('[1]Course Totals'!R$4,'[1]import graded seats course pivo'!$1:$2,2,FALSE),FALSE))),"")</f>
        <v/>
      </c>
      <c r="S258" s="14" t="str">
        <f>IFERROR((VLOOKUP($A258,'[1]import success seats course'!$A:AG,HLOOKUP('[1]Course Totals'!S$4,'[1]import success seats course'!$1:$2,2,FALSE),FALSE)/(VLOOKUP($A258,'[1]import graded seats course pivo'!$A:AQ,HLOOKUP('[1]Course Totals'!S$4,'[1]import graded seats course pivo'!$1:$2,2,FALSE),FALSE))),"")</f>
        <v/>
      </c>
      <c r="Z258" s="7"/>
      <c r="AA258" s="7"/>
      <c r="AB258" s="7"/>
      <c r="AC258" s="7"/>
    </row>
    <row r="259" spans="1:29" ht="15.75" hidden="1" customHeight="1" x14ac:dyDescent="0.25">
      <c r="A259" s="12" t="s">
        <v>133</v>
      </c>
      <c r="B259" s="14" t="str">
        <f>IFERROR((VLOOKUP($A259,'[1]import success seats course'!$A:P,HLOOKUP('[1]Course Totals'!B$4,'[1]import success seats course'!$1:$2,2,FALSE),FALSE)/(VLOOKUP($A259,'[1]import graded seats course pivo'!$A:Z,HLOOKUP('[1]Course Totals'!B$4,'[1]import graded seats course pivo'!$1:$2,2,FALSE),FALSE))),"")</f>
        <v/>
      </c>
      <c r="C259" s="14" t="str">
        <f>IFERROR((VLOOKUP($A259,'[1]import success seats course'!$A:Q,HLOOKUP('[1]Course Totals'!C$4,'[1]import success seats course'!$1:$2,2,FALSE),FALSE)/(VLOOKUP($A259,'[1]import graded seats course pivo'!$A:AA,HLOOKUP('[1]Course Totals'!C$4,'[1]import graded seats course pivo'!$1:$2,2,FALSE),FALSE))),"")</f>
        <v/>
      </c>
      <c r="D259" s="14" t="str">
        <f>IFERROR((VLOOKUP($A259,'[1]import success seats course'!$A:R,HLOOKUP('[1]Course Totals'!D$4,'[1]import success seats course'!$1:$2,2,FALSE),FALSE)/(VLOOKUP($A259,'[1]import graded seats course pivo'!$A:AB,HLOOKUP('[1]Course Totals'!D$4,'[1]import graded seats course pivo'!$1:$2,2,FALSE),FALSE))),"")</f>
        <v/>
      </c>
      <c r="E259" s="14" t="str">
        <f>IFERROR((VLOOKUP($A259,'[1]import success seats course'!$A:S,HLOOKUP('[1]Course Totals'!E$4,'[1]import success seats course'!$1:$2,2,FALSE),FALSE)/(VLOOKUP($A259,'[1]import graded seats course pivo'!$A:AC,HLOOKUP('[1]Course Totals'!E$4,'[1]import graded seats course pivo'!$1:$2,2,FALSE),FALSE))),"")</f>
        <v/>
      </c>
      <c r="F259" s="14" t="str">
        <f>IFERROR((VLOOKUP($A259,'[1]import success seats course'!$A:T,HLOOKUP('[1]Course Totals'!F$4,'[1]import success seats course'!$1:$2,2,FALSE),FALSE)/(VLOOKUP($A259,'[1]import graded seats course pivo'!$A:AD,HLOOKUP('[1]Course Totals'!F$4,'[1]import graded seats course pivo'!$1:$2,2,FALSE),FALSE))),"")</f>
        <v/>
      </c>
      <c r="G259" s="14" t="str">
        <f>IFERROR((VLOOKUP($A259,'[1]import success seats course'!$A:U,HLOOKUP('[1]Course Totals'!G$4,'[1]import success seats course'!$1:$2,2,FALSE),FALSE)/(VLOOKUP($A259,'[1]import graded seats course pivo'!$A:AE,HLOOKUP('[1]Course Totals'!G$4,'[1]import graded seats course pivo'!$1:$2,2,FALSE),FALSE))),"")</f>
        <v/>
      </c>
      <c r="H259" s="14" t="str">
        <f>IFERROR((VLOOKUP($A259,'[1]import success seats course'!$A:V,HLOOKUP('[1]Course Totals'!H$4,'[1]import success seats course'!$1:$2,2,FALSE),FALSE)/(VLOOKUP($A259,'[1]import graded seats course pivo'!$A:AF,HLOOKUP('[1]Course Totals'!H$4,'[1]import graded seats course pivo'!$1:$2,2,FALSE),FALSE))),"")</f>
        <v/>
      </c>
      <c r="I259" s="14" t="str">
        <f>IFERROR((VLOOKUP($A259,'[1]import success seats course'!$A:W,HLOOKUP('[1]Course Totals'!I$4,'[1]import success seats course'!$1:$2,2,FALSE),FALSE)/(VLOOKUP($A259,'[1]import graded seats course pivo'!$A:AG,HLOOKUP('[1]Course Totals'!I$4,'[1]import graded seats course pivo'!$1:$2,2,FALSE),FALSE))),"")</f>
        <v/>
      </c>
      <c r="J259" s="14" t="str">
        <f>IFERROR((VLOOKUP($A259,'[1]import success seats course'!$A:X,HLOOKUP('[1]Course Totals'!J$4,'[1]import success seats course'!$1:$2,2,FALSE),FALSE)/(VLOOKUP($A259,'[1]import graded seats course pivo'!$A:AH,HLOOKUP('[1]Course Totals'!J$4,'[1]import graded seats course pivo'!$1:$2,2,FALSE),FALSE))),"")</f>
        <v/>
      </c>
      <c r="K259" s="14" t="str">
        <f>IFERROR((VLOOKUP($A259,'[1]import success seats course'!$A:Y,HLOOKUP('[1]Course Totals'!K$4,'[1]import success seats course'!$1:$2,2,FALSE),FALSE)/(VLOOKUP($A259,'[1]import graded seats course pivo'!$A:AI,HLOOKUP('[1]Course Totals'!K$4,'[1]import graded seats course pivo'!$1:$2,2,FALSE),FALSE))),"")</f>
        <v/>
      </c>
      <c r="L259" s="14" t="str">
        <f>IFERROR((VLOOKUP($A259,'[1]import success seats course'!$A:Z,HLOOKUP('[1]Course Totals'!L$4,'[1]import success seats course'!$1:$2,2,FALSE),FALSE)/(VLOOKUP($A259,'[1]import graded seats course pivo'!$A:AJ,HLOOKUP('[1]Course Totals'!L$4,'[1]import graded seats course pivo'!$1:$2,2,FALSE),FALSE))),"")</f>
        <v/>
      </c>
      <c r="M259" s="14" t="str">
        <f>IFERROR((VLOOKUP($A259,'[1]import success seats course'!$A:AA,HLOOKUP('[1]Course Totals'!M$4,'[1]import success seats course'!$1:$2,2,FALSE),FALSE)/(VLOOKUP($A259,'[1]import graded seats course pivo'!$A:AK,HLOOKUP('[1]Course Totals'!M$4,'[1]import graded seats course pivo'!$1:$2,2,FALSE),FALSE))),"")</f>
        <v/>
      </c>
      <c r="N259" s="14" t="str">
        <f>IFERROR((VLOOKUP($A259,'[1]import success seats course'!$A:AB,HLOOKUP('[1]Course Totals'!N$4,'[1]import success seats course'!$1:$2,2,FALSE),FALSE)/(VLOOKUP($A259,'[1]import graded seats course pivo'!$A:AL,HLOOKUP('[1]Course Totals'!N$4,'[1]import graded seats course pivo'!$1:$2,2,FALSE),FALSE))),"")</f>
        <v/>
      </c>
      <c r="O259" s="14" t="str">
        <f>IFERROR((VLOOKUP($A259,'[1]import success seats course'!$A:AC,HLOOKUP('[1]Course Totals'!O$4,'[1]import success seats course'!$1:$2,2,FALSE),FALSE)/(VLOOKUP($A259,'[1]import graded seats course pivo'!$A:AM,HLOOKUP('[1]Course Totals'!O$4,'[1]import graded seats course pivo'!$1:$2,2,FALSE),FALSE))),"")</f>
        <v/>
      </c>
      <c r="P259" s="14" t="str">
        <f>IFERROR((VLOOKUP($A259,'[1]import success seats course'!$A:AD,HLOOKUP('[1]Course Totals'!P$4,'[1]import success seats course'!$1:$2,2,FALSE),FALSE)/(VLOOKUP($A259,'[1]import graded seats course pivo'!$A:AN,HLOOKUP('[1]Course Totals'!P$4,'[1]import graded seats course pivo'!$1:$2,2,FALSE),FALSE))),"")</f>
        <v/>
      </c>
      <c r="Q259" s="14" t="str">
        <f>IFERROR((VLOOKUP($A259,'[1]import success seats course'!$A:AE,HLOOKUP('[1]Course Totals'!Q$4,'[1]import success seats course'!$1:$2,2,FALSE),FALSE)/(VLOOKUP($A259,'[1]import graded seats course pivo'!$A:AO,HLOOKUP('[1]Course Totals'!Q$4,'[1]import graded seats course pivo'!$1:$2,2,FALSE),FALSE))),"")</f>
        <v/>
      </c>
      <c r="R259" s="14" t="str">
        <f>IFERROR((VLOOKUP($A259,'[1]import success seats course'!$A:AF,HLOOKUP('[1]Course Totals'!R$4,'[1]import success seats course'!$1:$2,2,FALSE),FALSE)/(VLOOKUP($A259,'[1]import graded seats course pivo'!$A:AP,HLOOKUP('[1]Course Totals'!R$4,'[1]import graded seats course pivo'!$1:$2,2,FALSE),FALSE))),"")</f>
        <v/>
      </c>
      <c r="S259" s="14" t="str">
        <f>IFERROR((VLOOKUP($A259,'[1]import success seats course'!$A:AG,HLOOKUP('[1]Course Totals'!S$4,'[1]import success seats course'!$1:$2,2,FALSE),FALSE)/(VLOOKUP($A259,'[1]import graded seats course pivo'!$A:AQ,HLOOKUP('[1]Course Totals'!S$4,'[1]import graded seats course pivo'!$1:$2,2,FALSE),FALSE))),"")</f>
        <v/>
      </c>
      <c r="Z259" s="7"/>
      <c r="AA259" s="7"/>
      <c r="AB259" s="7"/>
      <c r="AC259" s="7"/>
    </row>
    <row r="260" spans="1:29" ht="15.75" hidden="1" customHeight="1" x14ac:dyDescent="0.25">
      <c r="A260" s="12" t="s">
        <v>577</v>
      </c>
      <c r="B260" s="14" t="str">
        <f>IFERROR((VLOOKUP($A260,'[1]import success seats course'!$A:P,HLOOKUP('[1]Course Totals'!B$4,'[1]import success seats course'!$1:$2,2,FALSE),FALSE)/(VLOOKUP($A260,'[1]import graded seats course pivo'!$A:Z,HLOOKUP('[1]Course Totals'!B$4,'[1]import graded seats course pivo'!$1:$2,2,FALSE),FALSE))),"")</f>
        <v/>
      </c>
      <c r="C260" s="14" t="str">
        <f>IFERROR((VLOOKUP($A260,'[1]import success seats course'!$A:Q,HLOOKUP('[1]Course Totals'!C$4,'[1]import success seats course'!$1:$2,2,FALSE),FALSE)/(VLOOKUP($A260,'[1]import graded seats course pivo'!$A:AA,HLOOKUP('[1]Course Totals'!C$4,'[1]import graded seats course pivo'!$1:$2,2,FALSE),FALSE))),"")</f>
        <v/>
      </c>
      <c r="D260" s="14" t="str">
        <f>IFERROR((VLOOKUP($A260,'[1]import success seats course'!$A:R,HLOOKUP('[1]Course Totals'!D$4,'[1]import success seats course'!$1:$2,2,FALSE),FALSE)/(VLOOKUP($A260,'[1]import graded seats course pivo'!$A:AB,HLOOKUP('[1]Course Totals'!D$4,'[1]import graded seats course pivo'!$1:$2,2,FALSE),FALSE))),"")</f>
        <v/>
      </c>
      <c r="E260" s="14" t="str">
        <f>IFERROR((VLOOKUP($A260,'[1]import success seats course'!$A:S,HLOOKUP('[1]Course Totals'!E$4,'[1]import success seats course'!$1:$2,2,FALSE),FALSE)/(VLOOKUP($A260,'[1]import graded seats course pivo'!$A:AC,HLOOKUP('[1]Course Totals'!E$4,'[1]import graded seats course pivo'!$1:$2,2,FALSE),FALSE))),"")</f>
        <v/>
      </c>
      <c r="F260" s="14" t="str">
        <f>IFERROR((VLOOKUP($A260,'[1]import success seats course'!$A:T,HLOOKUP('[1]Course Totals'!F$4,'[1]import success seats course'!$1:$2,2,FALSE),FALSE)/(VLOOKUP($A260,'[1]import graded seats course pivo'!$A:AD,HLOOKUP('[1]Course Totals'!F$4,'[1]import graded seats course pivo'!$1:$2,2,FALSE),FALSE))),"")</f>
        <v/>
      </c>
      <c r="G260" s="14" t="str">
        <f>IFERROR((VLOOKUP($A260,'[1]import success seats course'!$A:U,HLOOKUP('[1]Course Totals'!G$4,'[1]import success seats course'!$1:$2,2,FALSE),FALSE)/(VLOOKUP($A260,'[1]import graded seats course pivo'!$A:AE,HLOOKUP('[1]Course Totals'!G$4,'[1]import graded seats course pivo'!$1:$2,2,FALSE),FALSE))),"")</f>
        <v/>
      </c>
      <c r="H260" s="14" t="str">
        <f>IFERROR((VLOOKUP($A260,'[1]import success seats course'!$A:V,HLOOKUP('[1]Course Totals'!H$4,'[1]import success seats course'!$1:$2,2,FALSE),FALSE)/(VLOOKUP($A260,'[1]import graded seats course pivo'!$A:AF,HLOOKUP('[1]Course Totals'!H$4,'[1]import graded seats course pivo'!$1:$2,2,FALSE),FALSE))),"")</f>
        <v/>
      </c>
      <c r="I260" s="14" t="str">
        <f>IFERROR((VLOOKUP($A260,'[1]import success seats course'!$A:W,HLOOKUP('[1]Course Totals'!I$4,'[1]import success seats course'!$1:$2,2,FALSE),FALSE)/(VLOOKUP($A260,'[1]import graded seats course pivo'!$A:AG,HLOOKUP('[1]Course Totals'!I$4,'[1]import graded seats course pivo'!$1:$2,2,FALSE),FALSE))),"")</f>
        <v/>
      </c>
      <c r="J260" s="14" t="str">
        <f>IFERROR((VLOOKUP($A260,'[1]import success seats course'!$A:X,HLOOKUP('[1]Course Totals'!J$4,'[1]import success seats course'!$1:$2,2,FALSE),FALSE)/(VLOOKUP($A260,'[1]import graded seats course pivo'!$A:AH,HLOOKUP('[1]Course Totals'!J$4,'[1]import graded seats course pivo'!$1:$2,2,FALSE),FALSE))),"")</f>
        <v/>
      </c>
      <c r="K260" s="14" t="str">
        <f>IFERROR((VLOOKUP($A260,'[1]import success seats course'!$A:Y,HLOOKUP('[1]Course Totals'!K$4,'[1]import success seats course'!$1:$2,2,FALSE),FALSE)/(VLOOKUP($A260,'[1]import graded seats course pivo'!$A:AI,HLOOKUP('[1]Course Totals'!K$4,'[1]import graded seats course pivo'!$1:$2,2,FALSE),FALSE))),"")</f>
        <v/>
      </c>
      <c r="L260" s="14" t="str">
        <f>IFERROR((VLOOKUP($A260,'[1]import success seats course'!$A:Z,HLOOKUP('[1]Course Totals'!L$4,'[1]import success seats course'!$1:$2,2,FALSE),FALSE)/(VLOOKUP($A260,'[1]import graded seats course pivo'!$A:AJ,HLOOKUP('[1]Course Totals'!L$4,'[1]import graded seats course pivo'!$1:$2,2,FALSE),FALSE))),"")</f>
        <v/>
      </c>
      <c r="M260" s="14" t="str">
        <f>IFERROR((VLOOKUP($A260,'[1]import success seats course'!$A:AA,HLOOKUP('[1]Course Totals'!M$4,'[1]import success seats course'!$1:$2,2,FALSE),FALSE)/(VLOOKUP($A260,'[1]import graded seats course pivo'!$A:AK,HLOOKUP('[1]Course Totals'!M$4,'[1]import graded seats course pivo'!$1:$2,2,FALSE),FALSE))),"")</f>
        <v/>
      </c>
      <c r="N260" s="14" t="str">
        <f>IFERROR((VLOOKUP($A260,'[1]import success seats course'!$A:AB,HLOOKUP('[1]Course Totals'!N$4,'[1]import success seats course'!$1:$2,2,FALSE),FALSE)/(VLOOKUP($A260,'[1]import graded seats course pivo'!$A:AL,HLOOKUP('[1]Course Totals'!N$4,'[1]import graded seats course pivo'!$1:$2,2,FALSE),FALSE))),"")</f>
        <v/>
      </c>
      <c r="O260" s="14" t="str">
        <f>IFERROR((VLOOKUP($A260,'[1]import success seats course'!$A:AC,HLOOKUP('[1]Course Totals'!O$4,'[1]import success seats course'!$1:$2,2,FALSE),FALSE)/(VLOOKUP($A260,'[1]import graded seats course pivo'!$A:AM,HLOOKUP('[1]Course Totals'!O$4,'[1]import graded seats course pivo'!$1:$2,2,FALSE),FALSE))),"")</f>
        <v/>
      </c>
      <c r="P260" s="14" t="str">
        <f>IFERROR((VLOOKUP($A260,'[1]import success seats course'!$A:AD,HLOOKUP('[1]Course Totals'!P$4,'[1]import success seats course'!$1:$2,2,FALSE),FALSE)/(VLOOKUP($A260,'[1]import graded seats course pivo'!$A:AN,HLOOKUP('[1]Course Totals'!P$4,'[1]import graded seats course pivo'!$1:$2,2,FALSE),FALSE))),"")</f>
        <v/>
      </c>
      <c r="Q260" s="14" t="str">
        <f>IFERROR((VLOOKUP($A260,'[1]import success seats course'!$A:AE,HLOOKUP('[1]Course Totals'!Q$4,'[1]import success seats course'!$1:$2,2,FALSE),FALSE)/(VLOOKUP($A260,'[1]import graded seats course pivo'!$A:AO,HLOOKUP('[1]Course Totals'!Q$4,'[1]import graded seats course pivo'!$1:$2,2,FALSE),FALSE))),"")</f>
        <v/>
      </c>
      <c r="R260" s="14" t="str">
        <f>IFERROR((VLOOKUP($A260,'[1]import success seats course'!$A:AF,HLOOKUP('[1]Course Totals'!R$4,'[1]import success seats course'!$1:$2,2,FALSE),FALSE)/(VLOOKUP($A260,'[1]import graded seats course pivo'!$A:AP,HLOOKUP('[1]Course Totals'!R$4,'[1]import graded seats course pivo'!$1:$2,2,FALSE),FALSE))),"")</f>
        <v/>
      </c>
      <c r="S260" s="14" t="str">
        <f>IFERROR((VLOOKUP($A260,'[1]import success seats course'!$A:AG,HLOOKUP('[1]Course Totals'!S$4,'[1]import success seats course'!$1:$2,2,FALSE),FALSE)/(VLOOKUP($A260,'[1]import graded seats course pivo'!$A:AQ,HLOOKUP('[1]Course Totals'!S$4,'[1]import graded seats course pivo'!$1:$2,2,FALSE),FALSE))),"")</f>
        <v/>
      </c>
      <c r="Z260" s="7"/>
      <c r="AA260" s="7"/>
      <c r="AB260" s="7"/>
      <c r="AC260" s="7"/>
    </row>
    <row r="261" spans="1:29" ht="15.75" hidden="1" customHeight="1" x14ac:dyDescent="0.25">
      <c r="A261" s="12" t="s">
        <v>701</v>
      </c>
      <c r="B261" s="14" t="str">
        <f>IFERROR((VLOOKUP($A261,'[1]import success seats course'!$A:P,HLOOKUP('[1]Course Totals'!B$4,'[1]import success seats course'!$1:$2,2,FALSE),FALSE)/(VLOOKUP($A261,'[1]import graded seats course pivo'!$A:Z,HLOOKUP('[1]Course Totals'!B$4,'[1]import graded seats course pivo'!$1:$2,2,FALSE),FALSE))),"")</f>
        <v/>
      </c>
      <c r="C261" s="14" t="str">
        <f>IFERROR((VLOOKUP($A261,'[1]import success seats course'!$A:Q,HLOOKUP('[1]Course Totals'!C$4,'[1]import success seats course'!$1:$2,2,FALSE),FALSE)/(VLOOKUP($A261,'[1]import graded seats course pivo'!$A:AA,HLOOKUP('[1]Course Totals'!C$4,'[1]import graded seats course pivo'!$1:$2,2,FALSE),FALSE))),"")</f>
        <v/>
      </c>
      <c r="D261" s="14" t="str">
        <f>IFERROR((VLOOKUP($A261,'[1]import success seats course'!$A:R,HLOOKUP('[1]Course Totals'!D$4,'[1]import success seats course'!$1:$2,2,FALSE),FALSE)/(VLOOKUP($A261,'[1]import graded seats course pivo'!$A:AB,HLOOKUP('[1]Course Totals'!D$4,'[1]import graded seats course pivo'!$1:$2,2,FALSE),FALSE))),"")</f>
        <v/>
      </c>
      <c r="E261" s="14" t="str">
        <f>IFERROR((VLOOKUP($A261,'[1]import success seats course'!$A:S,HLOOKUP('[1]Course Totals'!E$4,'[1]import success seats course'!$1:$2,2,FALSE),FALSE)/(VLOOKUP($A261,'[1]import graded seats course pivo'!$A:AC,HLOOKUP('[1]Course Totals'!E$4,'[1]import graded seats course pivo'!$1:$2,2,FALSE),FALSE))),"")</f>
        <v/>
      </c>
      <c r="F261" s="14" t="str">
        <f>IFERROR((VLOOKUP($A261,'[1]import success seats course'!$A:T,HLOOKUP('[1]Course Totals'!F$4,'[1]import success seats course'!$1:$2,2,FALSE),FALSE)/(VLOOKUP($A261,'[1]import graded seats course pivo'!$A:AD,HLOOKUP('[1]Course Totals'!F$4,'[1]import graded seats course pivo'!$1:$2,2,FALSE),FALSE))),"")</f>
        <v/>
      </c>
      <c r="G261" s="14" t="str">
        <f>IFERROR((VLOOKUP($A261,'[1]import success seats course'!$A:U,HLOOKUP('[1]Course Totals'!G$4,'[1]import success seats course'!$1:$2,2,FALSE),FALSE)/(VLOOKUP($A261,'[1]import graded seats course pivo'!$A:AE,HLOOKUP('[1]Course Totals'!G$4,'[1]import graded seats course pivo'!$1:$2,2,FALSE),FALSE))),"")</f>
        <v/>
      </c>
      <c r="H261" s="14" t="str">
        <f>IFERROR((VLOOKUP($A261,'[1]import success seats course'!$A:V,HLOOKUP('[1]Course Totals'!H$4,'[1]import success seats course'!$1:$2,2,FALSE),FALSE)/(VLOOKUP($A261,'[1]import graded seats course pivo'!$A:AF,HLOOKUP('[1]Course Totals'!H$4,'[1]import graded seats course pivo'!$1:$2,2,FALSE),FALSE))),"")</f>
        <v/>
      </c>
      <c r="I261" s="14" t="str">
        <f>IFERROR((VLOOKUP($A261,'[1]import success seats course'!$A:W,HLOOKUP('[1]Course Totals'!I$4,'[1]import success seats course'!$1:$2,2,FALSE),FALSE)/(VLOOKUP($A261,'[1]import graded seats course pivo'!$A:AG,HLOOKUP('[1]Course Totals'!I$4,'[1]import graded seats course pivo'!$1:$2,2,FALSE),FALSE))),"")</f>
        <v/>
      </c>
      <c r="J261" s="14" t="str">
        <f>IFERROR((VLOOKUP($A261,'[1]import success seats course'!$A:X,HLOOKUP('[1]Course Totals'!J$4,'[1]import success seats course'!$1:$2,2,FALSE),FALSE)/(VLOOKUP($A261,'[1]import graded seats course pivo'!$A:AH,HLOOKUP('[1]Course Totals'!J$4,'[1]import graded seats course pivo'!$1:$2,2,FALSE),FALSE))),"")</f>
        <v/>
      </c>
      <c r="K261" s="14" t="str">
        <f>IFERROR((VLOOKUP($A261,'[1]import success seats course'!$A:Y,HLOOKUP('[1]Course Totals'!K$4,'[1]import success seats course'!$1:$2,2,FALSE),FALSE)/(VLOOKUP($A261,'[1]import graded seats course pivo'!$A:AI,HLOOKUP('[1]Course Totals'!K$4,'[1]import graded seats course pivo'!$1:$2,2,FALSE),FALSE))),"")</f>
        <v/>
      </c>
      <c r="L261" s="14" t="str">
        <f>IFERROR((VLOOKUP($A261,'[1]import success seats course'!$A:Z,HLOOKUP('[1]Course Totals'!L$4,'[1]import success seats course'!$1:$2,2,FALSE),FALSE)/(VLOOKUP($A261,'[1]import graded seats course pivo'!$A:AJ,HLOOKUP('[1]Course Totals'!L$4,'[1]import graded seats course pivo'!$1:$2,2,FALSE),FALSE))),"")</f>
        <v/>
      </c>
      <c r="M261" s="14" t="str">
        <f>IFERROR((VLOOKUP($A261,'[1]import success seats course'!$A:AA,HLOOKUP('[1]Course Totals'!M$4,'[1]import success seats course'!$1:$2,2,FALSE),FALSE)/(VLOOKUP($A261,'[1]import graded seats course pivo'!$A:AK,HLOOKUP('[1]Course Totals'!M$4,'[1]import graded seats course pivo'!$1:$2,2,FALSE),FALSE))),"")</f>
        <v/>
      </c>
      <c r="N261" s="14" t="str">
        <f>IFERROR((VLOOKUP($A261,'[1]import success seats course'!$A:AB,HLOOKUP('[1]Course Totals'!N$4,'[1]import success seats course'!$1:$2,2,FALSE),FALSE)/(VLOOKUP($A261,'[1]import graded seats course pivo'!$A:AL,HLOOKUP('[1]Course Totals'!N$4,'[1]import graded seats course pivo'!$1:$2,2,FALSE),FALSE))),"")</f>
        <v/>
      </c>
      <c r="O261" s="14" t="str">
        <f>IFERROR((VLOOKUP($A261,'[1]import success seats course'!$A:AC,HLOOKUP('[1]Course Totals'!O$4,'[1]import success seats course'!$1:$2,2,FALSE),FALSE)/(VLOOKUP($A261,'[1]import graded seats course pivo'!$A:AM,HLOOKUP('[1]Course Totals'!O$4,'[1]import graded seats course pivo'!$1:$2,2,FALSE),FALSE))),"")</f>
        <v/>
      </c>
      <c r="P261" s="14" t="str">
        <f>IFERROR((VLOOKUP($A261,'[1]import success seats course'!$A:AD,HLOOKUP('[1]Course Totals'!P$4,'[1]import success seats course'!$1:$2,2,FALSE),FALSE)/(VLOOKUP($A261,'[1]import graded seats course pivo'!$A:AN,HLOOKUP('[1]Course Totals'!P$4,'[1]import graded seats course pivo'!$1:$2,2,FALSE),FALSE))),"")</f>
        <v/>
      </c>
      <c r="Q261" s="14" t="str">
        <f>IFERROR((VLOOKUP($A261,'[1]import success seats course'!$A:AE,HLOOKUP('[1]Course Totals'!Q$4,'[1]import success seats course'!$1:$2,2,FALSE),FALSE)/(VLOOKUP($A261,'[1]import graded seats course pivo'!$A:AO,HLOOKUP('[1]Course Totals'!Q$4,'[1]import graded seats course pivo'!$1:$2,2,FALSE),FALSE))),"")</f>
        <v/>
      </c>
      <c r="R261" s="14" t="str">
        <f>IFERROR((VLOOKUP($A261,'[1]import success seats course'!$A:AF,HLOOKUP('[1]Course Totals'!R$4,'[1]import success seats course'!$1:$2,2,FALSE),FALSE)/(VLOOKUP($A261,'[1]import graded seats course pivo'!$A:AP,HLOOKUP('[1]Course Totals'!R$4,'[1]import graded seats course pivo'!$1:$2,2,FALSE),FALSE))),"")</f>
        <v/>
      </c>
      <c r="S261" s="14" t="str">
        <f>IFERROR((VLOOKUP($A261,'[1]import success seats course'!$A:AG,HLOOKUP('[1]Course Totals'!S$4,'[1]import success seats course'!$1:$2,2,FALSE),FALSE)/(VLOOKUP($A261,'[1]import graded seats course pivo'!$A:AQ,HLOOKUP('[1]Course Totals'!S$4,'[1]import graded seats course pivo'!$1:$2,2,FALSE),FALSE))),"")</f>
        <v/>
      </c>
      <c r="Z261" s="7"/>
      <c r="AA261" s="7"/>
      <c r="AB261" s="7"/>
      <c r="AC261" s="7"/>
    </row>
    <row r="262" spans="1:29" ht="15.75" hidden="1" customHeight="1" x14ac:dyDescent="0.25">
      <c r="A262" s="12" t="s">
        <v>134</v>
      </c>
      <c r="B262" s="14" t="str">
        <f>IFERROR((VLOOKUP($A262,'[1]import success seats course'!$A:P,HLOOKUP('[1]Course Totals'!B$4,'[1]import success seats course'!$1:$2,2,FALSE),FALSE)/(VLOOKUP($A262,'[1]import graded seats course pivo'!$A:Z,HLOOKUP('[1]Course Totals'!B$4,'[1]import graded seats course pivo'!$1:$2,2,FALSE),FALSE))),"")</f>
        <v/>
      </c>
      <c r="C262" s="14" t="str">
        <f>IFERROR((VLOOKUP($A262,'[1]import success seats course'!$A:Q,HLOOKUP('[1]Course Totals'!C$4,'[1]import success seats course'!$1:$2,2,FALSE),FALSE)/(VLOOKUP($A262,'[1]import graded seats course pivo'!$A:AA,HLOOKUP('[1]Course Totals'!C$4,'[1]import graded seats course pivo'!$1:$2,2,FALSE),FALSE))),"")</f>
        <v/>
      </c>
      <c r="D262" s="14" t="str">
        <f>IFERROR((VLOOKUP($A262,'[1]import success seats course'!$A:R,HLOOKUP('[1]Course Totals'!D$4,'[1]import success seats course'!$1:$2,2,FALSE),FALSE)/(VLOOKUP($A262,'[1]import graded seats course pivo'!$A:AB,HLOOKUP('[1]Course Totals'!D$4,'[1]import graded seats course pivo'!$1:$2,2,FALSE),FALSE))),"")</f>
        <v/>
      </c>
      <c r="E262" s="14" t="str">
        <f>IFERROR((VLOOKUP($A262,'[1]import success seats course'!$A:S,HLOOKUP('[1]Course Totals'!E$4,'[1]import success seats course'!$1:$2,2,FALSE),FALSE)/(VLOOKUP($A262,'[1]import graded seats course pivo'!$A:AC,HLOOKUP('[1]Course Totals'!E$4,'[1]import graded seats course pivo'!$1:$2,2,FALSE),FALSE))),"")</f>
        <v/>
      </c>
      <c r="F262" s="14" t="str">
        <f>IFERROR((VLOOKUP($A262,'[1]import success seats course'!$A:T,HLOOKUP('[1]Course Totals'!F$4,'[1]import success seats course'!$1:$2,2,FALSE),FALSE)/(VLOOKUP($A262,'[1]import graded seats course pivo'!$A:AD,HLOOKUP('[1]Course Totals'!F$4,'[1]import graded seats course pivo'!$1:$2,2,FALSE),FALSE))),"")</f>
        <v/>
      </c>
      <c r="G262" s="14" t="str">
        <f>IFERROR((VLOOKUP($A262,'[1]import success seats course'!$A:U,HLOOKUP('[1]Course Totals'!G$4,'[1]import success seats course'!$1:$2,2,FALSE),FALSE)/(VLOOKUP($A262,'[1]import graded seats course pivo'!$A:AE,HLOOKUP('[1]Course Totals'!G$4,'[1]import graded seats course pivo'!$1:$2,2,FALSE),FALSE))),"")</f>
        <v/>
      </c>
      <c r="H262" s="14" t="str">
        <f>IFERROR((VLOOKUP($A262,'[1]import success seats course'!$A:V,HLOOKUP('[1]Course Totals'!H$4,'[1]import success seats course'!$1:$2,2,FALSE),FALSE)/(VLOOKUP($A262,'[1]import graded seats course pivo'!$A:AF,HLOOKUP('[1]Course Totals'!H$4,'[1]import graded seats course pivo'!$1:$2,2,FALSE),FALSE))),"")</f>
        <v/>
      </c>
      <c r="I262" s="14" t="str">
        <f>IFERROR((VLOOKUP($A262,'[1]import success seats course'!$A:W,HLOOKUP('[1]Course Totals'!I$4,'[1]import success seats course'!$1:$2,2,FALSE),FALSE)/(VLOOKUP($A262,'[1]import graded seats course pivo'!$A:AG,HLOOKUP('[1]Course Totals'!I$4,'[1]import graded seats course pivo'!$1:$2,2,FALSE),FALSE))),"")</f>
        <v/>
      </c>
      <c r="J262" s="14" t="str">
        <f>IFERROR((VLOOKUP($A262,'[1]import success seats course'!$A:X,HLOOKUP('[1]Course Totals'!J$4,'[1]import success seats course'!$1:$2,2,FALSE),FALSE)/(VLOOKUP($A262,'[1]import graded seats course pivo'!$A:AH,HLOOKUP('[1]Course Totals'!J$4,'[1]import graded seats course pivo'!$1:$2,2,FALSE),FALSE))),"")</f>
        <v/>
      </c>
      <c r="K262" s="14" t="str">
        <f>IFERROR((VLOOKUP($A262,'[1]import success seats course'!$A:Y,HLOOKUP('[1]Course Totals'!K$4,'[1]import success seats course'!$1:$2,2,FALSE),FALSE)/(VLOOKUP($A262,'[1]import graded seats course pivo'!$A:AI,HLOOKUP('[1]Course Totals'!K$4,'[1]import graded seats course pivo'!$1:$2,2,FALSE),FALSE))),"")</f>
        <v/>
      </c>
      <c r="L262" s="14" t="str">
        <f>IFERROR((VLOOKUP($A262,'[1]import success seats course'!$A:Z,HLOOKUP('[1]Course Totals'!L$4,'[1]import success seats course'!$1:$2,2,FALSE),FALSE)/(VLOOKUP($A262,'[1]import graded seats course pivo'!$A:AJ,HLOOKUP('[1]Course Totals'!L$4,'[1]import graded seats course pivo'!$1:$2,2,FALSE),FALSE))),"")</f>
        <v/>
      </c>
      <c r="M262" s="14" t="str">
        <f>IFERROR((VLOOKUP($A262,'[1]import success seats course'!$A:AA,HLOOKUP('[1]Course Totals'!M$4,'[1]import success seats course'!$1:$2,2,FALSE),FALSE)/(VLOOKUP($A262,'[1]import graded seats course pivo'!$A:AK,HLOOKUP('[1]Course Totals'!M$4,'[1]import graded seats course pivo'!$1:$2,2,FALSE),FALSE))),"")</f>
        <v/>
      </c>
      <c r="N262" s="14" t="str">
        <f>IFERROR((VLOOKUP($A262,'[1]import success seats course'!$A:AB,HLOOKUP('[1]Course Totals'!N$4,'[1]import success seats course'!$1:$2,2,FALSE),FALSE)/(VLOOKUP($A262,'[1]import graded seats course pivo'!$A:AL,HLOOKUP('[1]Course Totals'!N$4,'[1]import graded seats course pivo'!$1:$2,2,FALSE),FALSE))),"")</f>
        <v/>
      </c>
      <c r="O262" s="14" t="str">
        <f>IFERROR((VLOOKUP($A262,'[1]import success seats course'!$A:AC,HLOOKUP('[1]Course Totals'!O$4,'[1]import success seats course'!$1:$2,2,FALSE),FALSE)/(VLOOKUP($A262,'[1]import graded seats course pivo'!$A:AM,HLOOKUP('[1]Course Totals'!O$4,'[1]import graded seats course pivo'!$1:$2,2,FALSE),FALSE))),"")</f>
        <v/>
      </c>
      <c r="P262" s="14" t="str">
        <f>IFERROR((VLOOKUP($A262,'[1]import success seats course'!$A:AD,HLOOKUP('[1]Course Totals'!P$4,'[1]import success seats course'!$1:$2,2,FALSE),FALSE)/(VLOOKUP($A262,'[1]import graded seats course pivo'!$A:AN,HLOOKUP('[1]Course Totals'!P$4,'[1]import graded seats course pivo'!$1:$2,2,FALSE),FALSE))),"")</f>
        <v/>
      </c>
      <c r="Q262" s="14" t="str">
        <f>IFERROR((VLOOKUP($A262,'[1]import success seats course'!$A:AE,HLOOKUP('[1]Course Totals'!Q$4,'[1]import success seats course'!$1:$2,2,FALSE),FALSE)/(VLOOKUP($A262,'[1]import graded seats course pivo'!$A:AO,HLOOKUP('[1]Course Totals'!Q$4,'[1]import graded seats course pivo'!$1:$2,2,FALSE),FALSE))),"")</f>
        <v/>
      </c>
      <c r="R262" s="14" t="str">
        <f>IFERROR((VLOOKUP($A262,'[1]import success seats course'!$A:AF,HLOOKUP('[1]Course Totals'!R$4,'[1]import success seats course'!$1:$2,2,FALSE),FALSE)/(VLOOKUP($A262,'[1]import graded seats course pivo'!$A:AP,HLOOKUP('[1]Course Totals'!R$4,'[1]import graded seats course pivo'!$1:$2,2,FALSE),FALSE))),"")</f>
        <v/>
      </c>
      <c r="S262" s="14" t="str">
        <f>IFERROR((VLOOKUP($A262,'[1]import success seats course'!$A:AG,HLOOKUP('[1]Course Totals'!S$4,'[1]import success seats course'!$1:$2,2,FALSE),FALSE)/(VLOOKUP($A262,'[1]import graded seats course pivo'!$A:AQ,HLOOKUP('[1]Course Totals'!S$4,'[1]import graded seats course pivo'!$1:$2,2,FALSE),FALSE))),"")</f>
        <v/>
      </c>
      <c r="Z262" s="7"/>
      <c r="AA262" s="7"/>
      <c r="AB262" s="7"/>
      <c r="AC262" s="7"/>
    </row>
    <row r="263" spans="1:29" ht="15.75" hidden="1" customHeight="1" x14ac:dyDescent="0.25">
      <c r="A263" s="12" t="s">
        <v>578</v>
      </c>
      <c r="B263" s="14" t="str">
        <f>IFERROR((VLOOKUP($A263,'[1]import success seats course'!$A:P,HLOOKUP('[1]Course Totals'!B$4,'[1]import success seats course'!$1:$2,2,FALSE),FALSE)/(VLOOKUP($A263,'[1]import graded seats course pivo'!$A:Z,HLOOKUP('[1]Course Totals'!B$4,'[1]import graded seats course pivo'!$1:$2,2,FALSE),FALSE))),"")</f>
        <v/>
      </c>
      <c r="C263" s="14" t="str">
        <f>IFERROR((VLOOKUP($A263,'[1]import success seats course'!$A:Q,HLOOKUP('[1]Course Totals'!C$4,'[1]import success seats course'!$1:$2,2,FALSE),FALSE)/(VLOOKUP($A263,'[1]import graded seats course pivo'!$A:AA,HLOOKUP('[1]Course Totals'!C$4,'[1]import graded seats course pivo'!$1:$2,2,FALSE),FALSE))),"")</f>
        <v/>
      </c>
      <c r="D263" s="14" t="str">
        <f>IFERROR((VLOOKUP($A263,'[1]import success seats course'!$A:R,HLOOKUP('[1]Course Totals'!D$4,'[1]import success seats course'!$1:$2,2,FALSE),FALSE)/(VLOOKUP($A263,'[1]import graded seats course pivo'!$A:AB,HLOOKUP('[1]Course Totals'!D$4,'[1]import graded seats course pivo'!$1:$2,2,FALSE),FALSE))),"")</f>
        <v/>
      </c>
      <c r="E263" s="14" t="str">
        <f>IFERROR((VLOOKUP($A263,'[1]import success seats course'!$A:S,HLOOKUP('[1]Course Totals'!E$4,'[1]import success seats course'!$1:$2,2,FALSE),FALSE)/(VLOOKUP($A263,'[1]import graded seats course pivo'!$A:AC,HLOOKUP('[1]Course Totals'!E$4,'[1]import graded seats course pivo'!$1:$2,2,FALSE),FALSE))),"")</f>
        <v/>
      </c>
      <c r="F263" s="14" t="str">
        <f>IFERROR((VLOOKUP($A263,'[1]import success seats course'!$A:T,HLOOKUP('[1]Course Totals'!F$4,'[1]import success seats course'!$1:$2,2,FALSE),FALSE)/(VLOOKUP($A263,'[1]import graded seats course pivo'!$A:AD,HLOOKUP('[1]Course Totals'!F$4,'[1]import graded seats course pivo'!$1:$2,2,FALSE),FALSE))),"")</f>
        <v/>
      </c>
      <c r="G263" s="14" t="str">
        <f>IFERROR((VLOOKUP($A263,'[1]import success seats course'!$A:U,HLOOKUP('[1]Course Totals'!G$4,'[1]import success seats course'!$1:$2,2,FALSE),FALSE)/(VLOOKUP($A263,'[1]import graded seats course pivo'!$A:AE,HLOOKUP('[1]Course Totals'!G$4,'[1]import graded seats course pivo'!$1:$2,2,FALSE),FALSE))),"")</f>
        <v/>
      </c>
      <c r="H263" s="14" t="str">
        <f>IFERROR((VLOOKUP($A263,'[1]import success seats course'!$A:V,HLOOKUP('[1]Course Totals'!H$4,'[1]import success seats course'!$1:$2,2,FALSE),FALSE)/(VLOOKUP($A263,'[1]import graded seats course pivo'!$A:AF,HLOOKUP('[1]Course Totals'!H$4,'[1]import graded seats course pivo'!$1:$2,2,FALSE),FALSE))),"")</f>
        <v/>
      </c>
      <c r="I263" s="14" t="str">
        <f>IFERROR((VLOOKUP($A263,'[1]import success seats course'!$A:W,HLOOKUP('[1]Course Totals'!I$4,'[1]import success seats course'!$1:$2,2,FALSE),FALSE)/(VLOOKUP($A263,'[1]import graded seats course pivo'!$A:AG,HLOOKUP('[1]Course Totals'!I$4,'[1]import graded seats course pivo'!$1:$2,2,FALSE),FALSE))),"")</f>
        <v/>
      </c>
      <c r="J263" s="14" t="str">
        <f>IFERROR((VLOOKUP($A263,'[1]import success seats course'!$A:X,HLOOKUP('[1]Course Totals'!J$4,'[1]import success seats course'!$1:$2,2,FALSE),FALSE)/(VLOOKUP($A263,'[1]import graded seats course pivo'!$A:AH,HLOOKUP('[1]Course Totals'!J$4,'[1]import graded seats course pivo'!$1:$2,2,FALSE),FALSE))),"")</f>
        <v/>
      </c>
      <c r="K263" s="14" t="str">
        <f>IFERROR((VLOOKUP($A263,'[1]import success seats course'!$A:Y,HLOOKUP('[1]Course Totals'!K$4,'[1]import success seats course'!$1:$2,2,FALSE),FALSE)/(VLOOKUP($A263,'[1]import graded seats course pivo'!$A:AI,HLOOKUP('[1]Course Totals'!K$4,'[1]import graded seats course pivo'!$1:$2,2,FALSE),FALSE))),"")</f>
        <v/>
      </c>
      <c r="L263" s="14" t="str">
        <f>IFERROR((VLOOKUP($A263,'[1]import success seats course'!$A:Z,HLOOKUP('[1]Course Totals'!L$4,'[1]import success seats course'!$1:$2,2,FALSE),FALSE)/(VLOOKUP($A263,'[1]import graded seats course pivo'!$A:AJ,HLOOKUP('[1]Course Totals'!L$4,'[1]import graded seats course pivo'!$1:$2,2,FALSE),FALSE))),"")</f>
        <v/>
      </c>
      <c r="M263" s="14" t="str">
        <f>IFERROR((VLOOKUP($A263,'[1]import success seats course'!$A:AA,HLOOKUP('[1]Course Totals'!M$4,'[1]import success seats course'!$1:$2,2,FALSE),FALSE)/(VLOOKUP($A263,'[1]import graded seats course pivo'!$A:AK,HLOOKUP('[1]Course Totals'!M$4,'[1]import graded seats course pivo'!$1:$2,2,FALSE),FALSE))),"")</f>
        <v/>
      </c>
      <c r="N263" s="14" t="str">
        <f>IFERROR((VLOOKUP($A263,'[1]import success seats course'!$A:AB,HLOOKUP('[1]Course Totals'!N$4,'[1]import success seats course'!$1:$2,2,FALSE),FALSE)/(VLOOKUP($A263,'[1]import graded seats course pivo'!$A:AL,HLOOKUP('[1]Course Totals'!N$4,'[1]import graded seats course pivo'!$1:$2,2,FALSE),FALSE))),"")</f>
        <v/>
      </c>
      <c r="O263" s="14" t="str">
        <f>IFERROR((VLOOKUP($A263,'[1]import success seats course'!$A:AC,HLOOKUP('[1]Course Totals'!O$4,'[1]import success seats course'!$1:$2,2,FALSE),FALSE)/(VLOOKUP($A263,'[1]import graded seats course pivo'!$A:AM,HLOOKUP('[1]Course Totals'!O$4,'[1]import graded seats course pivo'!$1:$2,2,FALSE),FALSE))),"")</f>
        <v/>
      </c>
      <c r="P263" s="14" t="str">
        <f>IFERROR((VLOOKUP($A263,'[1]import success seats course'!$A:AD,HLOOKUP('[1]Course Totals'!P$4,'[1]import success seats course'!$1:$2,2,FALSE),FALSE)/(VLOOKUP($A263,'[1]import graded seats course pivo'!$A:AN,HLOOKUP('[1]Course Totals'!P$4,'[1]import graded seats course pivo'!$1:$2,2,FALSE),FALSE))),"")</f>
        <v/>
      </c>
      <c r="Q263" s="14" t="str">
        <f>IFERROR((VLOOKUP($A263,'[1]import success seats course'!$A:AE,HLOOKUP('[1]Course Totals'!Q$4,'[1]import success seats course'!$1:$2,2,FALSE),FALSE)/(VLOOKUP($A263,'[1]import graded seats course pivo'!$A:AO,HLOOKUP('[1]Course Totals'!Q$4,'[1]import graded seats course pivo'!$1:$2,2,FALSE),FALSE))),"")</f>
        <v/>
      </c>
      <c r="R263" s="14" t="str">
        <f>IFERROR((VLOOKUP($A263,'[1]import success seats course'!$A:AF,HLOOKUP('[1]Course Totals'!R$4,'[1]import success seats course'!$1:$2,2,FALSE),FALSE)/(VLOOKUP($A263,'[1]import graded seats course pivo'!$A:AP,HLOOKUP('[1]Course Totals'!R$4,'[1]import graded seats course pivo'!$1:$2,2,FALSE),FALSE))),"")</f>
        <v/>
      </c>
      <c r="S263" s="14" t="str">
        <f>IFERROR((VLOOKUP($A263,'[1]import success seats course'!$A:AG,HLOOKUP('[1]Course Totals'!S$4,'[1]import success seats course'!$1:$2,2,FALSE),FALSE)/(VLOOKUP($A263,'[1]import graded seats course pivo'!$A:AQ,HLOOKUP('[1]Course Totals'!S$4,'[1]import graded seats course pivo'!$1:$2,2,FALSE),FALSE))),"")</f>
        <v/>
      </c>
      <c r="Z263" s="7"/>
      <c r="AA263" s="7"/>
      <c r="AB263" s="7"/>
      <c r="AC263" s="7"/>
    </row>
    <row r="264" spans="1:29" ht="15.75" hidden="1" customHeight="1" x14ac:dyDescent="0.25">
      <c r="A264" s="12" t="s">
        <v>832</v>
      </c>
      <c r="B264" s="14" t="str">
        <f>IFERROR((VLOOKUP($A264,'[1]import success seats course'!$A:P,HLOOKUP('[1]Course Totals'!B$4,'[1]import success seats course'!$1:$2,2,FALSE),FALSE)/(VLOOKUP($A264,'[1]import graded seats course pivo'!$A:Z,HLOOKUP('[1]Course Totals'!B$4,'[1]import graded seats course pivo'!$1:$2,2,FALSE),FALSE))),"")</f>
        <v/>
      </c>
      <c r="C264" s="14" t="str">
        <f>IFERROR((VLOOKUP($A264,'[1]import success seats course'!$A:Q,HLOOKUP('[1]Course Totals'!C$4,'[1]import success seats course'!$1:$2,2,FALSE),FALSE)/(VLOOKUP($A264,'[1]import graded seats course pivo'!$A:AA,HLOOKUP('[1]Course Totals'!C$4,'[1]import graded seats course pivo'!$1:$2,2,FALSE),FALSE))),"")</f>
        <v/>
      </c>
      <c r="D264" s="14" t="str">
        <f>IFERROR((VLOOKUP($A264,'[1]import success seats course'!$A:R,HLOOKUP('[1]Course Totals'!D$4,'[1]import success seats course'!$1:$2,2,FALSE),FALSE)/(VLOOKUP($A264,'[1]import graded seats course pivo'!$A:AB,HLOOKUP('[1]Course Totals'!D$4,'[1]import graded seats course pivo'!$1:$2,2,FALSE),FALSE))),"")</f>
        <v/>
      </c>
      <c r="E264" s="14" t="str">
        <f>IFERROR((VLOOKUP($A264,'[1]import success seats course'!$A:S,HLOOKUP('[1]Course Totals'!E$4,'[1]import success seats course'!$1:$2,2,FALSE),FALSE)/(VLOOKUP($A264,'[1]import graded seats course pivo'!$A:AC,HLOOKUP('[1]Course Totals'!E$4,'[1]import graded seats course pivo'!$1:$2,2,FALSE),FALSE))),"")</f>
        <v/>
      </c>
      <c r="F264" s="14" t="str">
        <f>IFERROR((VLOOKUP($A264,'[1]import success seats course'!$A:T,HLOOKUP('[1]Course Totals'!F$4,'[1]import success seats course'!$1:$2,2,FALSE),FALSE)/(VLOOKUP($A264,'[1]import graded seats course pivo'!$A:AD,HLOOKUP('[1]Course Totals'!F$4,'[1]import graded seats course pivo'!$1:$2,2,FALSE),FALSE))),"")</f>
        <v/>
      </c>
      <c r="G264" s="14" t="str">
        <f>IFERROR((VLOOKUP($A264,'[1]import success seats course'!$A:U,HLOOKUP('[1]Course Totals'!G$4,'[1]import success seats course'!$1:$2,2,FALSE),FALSE)/(VLOOKUP($A264,'[1]import graded seats course pivo'!$A:AE,HLOOKUP('[1]Course Totals'!G$4,'[1]import graded seats course pivo'!$1:$2,2,FALSE),FALSE))),"")</f>
        <v/>
      </c>
      <c r="H264" s="14" t="str">
        <f>IFERROR((VLOOKUP($A264,'[1]import success seats course'!$A:V,HLOOKUP('[1]Course Totals'!H$4,'[1]import success seats course'!$1:$2,2,FALSE),FALSE)/(VLOOKUP($A264,'[1]import graded seats course pivo'!$A:AF,HLOOKUP('[1]Course Totals'!H$4,'[1]import graded seats course pivo'!$1:$2,2,FALSE),FALSE))),"")</f>
        <v/>
      </c>
      <c r="I264" s="14" t="str">
        <f>IFERROR((VLOOKUP($A264,'[1]import success seats course'!$A:W,HLOOKUP('[1]Course Totals'!I$4,'[1]import success seats course'!$1:$2,2,FALSE),FALSE)/(VLOOKUP($A264,'[1]import graded seats course pivo'!$A:AG,HLOOKUP('[1]Course Totals'!I$4,'[1]import graded seats course pivo'!$1:$2,2,FALSE),FALSE))),"")</f>
        <v/>
      </c>
      <c r="J264" s="14" t="str">
        <f>IFERROR((VLOOKUP($A264,'[1]import success seats course'!$A:X,HLOOKUP('[1]Course Totals'!J$4,'[1]import success seats course'!$1:$2,2,FALSE),FALSE)/(VLOOKUP($A264,'[1]import graded seats course pivo'!$A:AH,HLOOKUP('[1]Course Totals'!J$4,'[1]import graded seats course pivo'!$1:$2,2,FALSE),FALSE))),"")</f>
        <v/>
      </c>
      <c r="K264" s="14" t="str">
        <f>IFERROR((VLOOKUP($A264,'[1]import success seats course'!$A:Y,HLOOKUP('[1]Course Totals'!K$4,'[1]import success seats course'!$1:$2,2,FALSE),FALSE)/(VLOOKUP($A264,'[1]import graded seats course pivo'!$A:AI,HLOOKUP('[1]Course Totals'!K$4,'[1]import graded seats course pivo'!$1:$2,2,FALSE),FALSE))),"")</f>
        <v/>
      </c>
      <c r="L264" s="14" t="str">
        <f>IFERROR((VLOOKUP($A264,'[1]import success seats course'!$A:Z,HLOOKUP('[1]Course Totals'!L$4,'[1]import success seats course'!$1:$2,2,FALSE),FALSE)/(VLOOKUP($A264,'[1]import graded seats course pivo'!$A:AJ,HLOOKUP('[1]Course Totals'!L$4,'[1]import graded seats course pivo'!$1:$2,2,FALSE),FALSE))),"")</f>
        <v/>
      </c>
      <c r="M264" s="14" t="str">
        <f>IFERROR((VLOOKUP($A264,'[1]import success seats course'!$A:AA,HLOOKUP('[1]Course Totals'!M$4,'[1]import success seats course'!$1:$2,2,FALSE),FALSE)/(VLOOKUP($A264,'[1]import graded seats course pivo'!$A:AK,HLOOKUP('[1]Course Totals'!M$4,'[1]import graded seats course pivo'!$1:$2,2,FALSE),FALSE))),"")</f>
        <v/>
      </c>
      <c r="N264" s="14" t="str">
        <f>IFERROR((VLOOKUP($A264,'[1]import success seats course'!$A:AB,HLOOKUP('[1]Course Totals'!N$4,'[1]import success seats course'!$1:$2,2,FALSE),FALSE)/(VLOOKUP($A264,'[1]import graded seats course pivo'!$A:AL,HLOOKUP('[1]Course Totals'!N$4,'[1]import graded seats course pivo'!$1:$2,2,FALSE),FALSE))),"")</f>
        <v/>
      </c>
      <c r="O264" s="14" t="str">
        <f>IFERROR((VLOOKUP($A264,'[1]import success seats course'!$A:AC,HLOOKUP('[1]Course Totals'!O$4,'[1]import success seats course'!$1:$2,2,FALSE),FALSE)/(VLOOKUP($A264,'[1]import graded seats course pivo'!$A:AM,HLOOKUP('[1]Course Totals'!O$4,'[1]import graded seats course pivo'!$1:$2,2,FALSE),FALSE))),"")</f>
        <v/>
      </c>
      <c r="P264" s="14" t="str">
        <f>IFERROR((VLOOKUP($A264,'[1]import success seats course'!$A:AD,HLOOKUP('[1]Course Totals'!P$4,'[1]import success seats course'!$1:$2,2,FALSE),FALSE)/(VLOOKUP($A264,'[1]import graded seats course pivo'!$A:AN,HLOOKUP('[1]Course Totals'!P$4,'[1]import graded seats course pivo'!$1:$2,2,FALSE),FALSE))),"")</f>
        <v/>
      </c>
      <c r="Q264" s="14" t="str">
        <f>IFERROR((VLOOKUP($A264,'[1]import success seats course'!$A:AE,HLOOKUP('[1]Course Totals'!Q$4,'[1]import success seats course'!$1:$2,2,FALSE),FALSE)/(VLOOKUP($A264,'[1]import graded seats course pivo'!$A:AO,HLOOKUP('[1]Course Totals'!Q$4,'[1]import graded seats course pivo'!$1:$2,2,FALSE),FALSE))),"")</f>
        <v/>
      </c>
      <c r="R264" s="14" t="str">
        <f>IFERROR((VLOOKUP($A264,'[1]import success seats course'!$A:AF,HLOOKUP('[1]Course Totals'!R$4,'[1]import success seats course'!$1:$2,2,FALSE),FALSE)/(VLOOKUP($A264,'[1]import graded seats course pivo'!$A:AP,HLOOKUP('[1]Course Totals'!R$4,'[1]import graded seats course pivo'!$1:$2,2,FALSE),FALSE))),"")</f>
        <v/>
      </c>
      <c r="S264" s="14" t="str">
        <f>IFERROR((VLOOKUP($A264,'[1]import success seats course'!$A:AG,HLOOKUP('[1]Course Totals'!S$4,'[1]import success seats course'!$1:$2,2,FALSE),FALSE)/(VLOOKUP($A264,'[1]import graded seats course pivo'!$A:AQ,HLOOKUP('[1]Course Totals'!S$4,'[1]import graded seats course pivo'!$1:$2,2,FALSE),FALSE))),"")</f>
        <v/>
      </c>
      <c r="Z264" s="7"/>
      <c r="AA264" s="7"/>
      <c r="AB264" s="7"/>
      <c r="AC264" s="7"/>
    </row>
    <row r="265" spans="1:29" ht="15.75" hidden="1" customHeight="1" x14ac:dyDescent="0.25">
      <c r="A265" s="12" t="s">
        <v>135</v>
      </c>
      <c r="B265" s="14" t="str">
        <f>IFERROR((VLOOKUP($A265,'[1]import success seats course'!$A:P,HLOOKUP('[1]Course Totals'!B$4,'[1]import success seats course'!$1:$2,2,FALSE),FALSE)/(VLOOKUP($A265,'[1]import graded seats course pivo'!$A:Z,HLOOKUP('[1]Course Totals'!B$4,'[1]import graded seats course pivo'!$1:$2,2,FALSE),FALSE))),"")</f>
        <v/>
      </c>
      <c r="C265" s="14" t="str">
        <f>IFERROR((VLOOKUP($A265,'[1]import success seats course'!$A:Q,HLOOKUP('[1]Course Totals'!C$4,'[1]import success seats course'!$1:$2,2,FALSE),FALSE)/(VLOOKUP($A265,'[1]import graded seats course pivo'!$A:AA,HLOOKUP('[1]Course Totals'!C$4,'[1]import graded seats course pivo'!$1:$2,2,FALSE),FALSE))),"")</f>
        <v/>
      </c>
      <c r="D265" s="14" t="str">
        <f>IFERROR((VLOOKUP($A265,'[1]import success seats course'!$A:R,HLOOKUP('[1]Course Totals'!D$4,'[1]import success seats course'!$1:$2,2,FALSE),FALSE)/(VLOOKUP($A265,'[1]import graded seats course pivo'!$A:AB,HLOOKUP('[1]Course Totals'!D$4,'[1]import graded seats course pivo'!$1:$2,2,FALSE),FALSE))),"")</f>
        <v/>
      </c>
      <c r="E265" s="14" t="str">
        <f>IFERROR((VLOOKUP($A265,'[1]import success seats course'!$A:S,HLOOKUP('[1]Course Totals'!E$4,'[1]import success seats course'!$1:$2,2,FALSE),FALSE)/(VLOOKUP($A265,'[1]import graded seats course pivo'!$A:AC,HLOOKUP('[1]Course Totals'!E$4,'[1]import graded seats course pivo'!$1:$2,2,FALSE),FALSE))),"")</f>
        <v/>
      </c>
      <c r="F265" s="14" t="str">
        <f>IFERROR((VLOOKUP($A265,'[1]import success seats course'!$A:T,HLOOKUP('[1]Course Totals'!F$4,'[1]import success seats course'!$1:$2,2,FALSE),FALSE)/(VLOOKUP($A265,'[1]import graded seats course pivo'!$A:AD,HLOOKUP('[1]Course Totals'!F$4,'[1]import graded seats course pivo'!$1:$2,2,FALSE),FALSE))),"")</f>
        <v/>
      </c>
      <c r="G265" s="14" t="str">
        <f>IFERROR((VLOOKUP($A265,'[1]import success seats course'!$A:U,HLOOKUP('[1]Course Totals'!G$4,'[1]import success seats course'!$1:$2,2,FALSE),FALSE)/(VLOOKUP($A265,'[1]import graded seats course pivo'!$A:AE,HLOOKUP('[1]Course Totals'!G$4,'[1]import graded seats course pivo'!$1:$2,2,FALSE),FALSE))),"")</f>
        <v/>
      </c>
      <c r="H265" s="14" t="str">
        <f>IFERROR((VLOOKUP($A265,'[1]import success seats course'!$A:V,HLOOKUP('[1]Course Totals'!H$4,'[1]import success seats course'!$1:$2,2,FALSE),FALSE)/(VLOOKUP($A265,'[1]import graded seats course pivo'!$A:AF,HLOOKUP('[1]Course Totals'!H$4,'[1]import graded seats course pivo'!$1:$2,2,FALSE),FALSE))),"")</f>
        <v/>
      </c>
      <c r="I265" s="14" t="str">
        <f>IFERROR((VLOOKUP($A265,'[1]import success seats course'!$A:W,HLOOKUP('[1]Course Totals'!I$4,'[1]import success seats course'!$1:$2,2,FALSE),FALSE)/(VLOOKUP($A265,'[1]import graded seats course pivo'!$A:AG,HLOOKUP('[1]Course Totals'!I$4,'[1]import graded seats course pivo'!$1:$2,2,FALSE),FALSE))),"")</f>
        <v/>
      </c>
      <c r="J265" s="14" t="str">
        <f>IFERROR((VLOOKUP($A265,'[1]import success seats course'!$A:X,HLOOKUP('[1]Course Totals'!J$4,'[1]import success seats course'!$1:$2,2,FALSE),FALSE)/(VLOOKUP($A265,'[1]import graded seats course pivo'!$A:AH,HLOOKUP('[1]Course Totals'!J$4,'[1]import graded seats course pivo'!$1:$2,2,FALSE),FALSE))),"")</f>
        <v/>
      </c>
      <c r="K265" s="14" t="str">
        <f>IFERROR((VLOOKUP($A265,'[1]import success seats course'!$A:Y,HLOOKUP('[1]Course Totals'!K$4,'[1]import success seats course'!$1:$2,2,FALSE),FALSE)/(VLOOKUP($A265,'[1]import graded seats course pivo'!$A:AI,HLOOKUP('[1]Course Totals'!K$4,'[1]import graded seats course pivo'!$1:$2,2,FALSE),FALSE))),"")</f>
        <v/>
      </c>
      <c r="L265" s="14" t="str">
        <f>IFERROR((VLOOKUP($A265,'[1]import success seats course'!$A:Z,HLOOKUP('[1]Course Totals'!L$4,'[1]import success seats course'!$1:$2,2,FALSE),FALSE)/(VLOOKUP($A265,'[1]import graded seats course pivo'!$A:AJ,HLOOKUP('[1]Course Totals'!L$4,'[1]import graded seats course pivo'!$1:$2,2,FALSE),FALSE))),"")</f>
        <v/>
      </c>
      <c r="M265" s="14" t="str">
        <f>IFERROR((VLOOKUP($A265,'[1]import success seats course'!$A:AA,HLOOKUP('[1]Course Totals'!M$4,'[1]import success seats course'!$1:$2,2,FALSE),FALSE)/(VLOOKUP($A265,'[1]import graded seats course pivo'!$A:AK,HLOOKUP('[1]Course Totals'!M$4,'[1]import graded seats course pivo'!$1:$2,2,FALSE),FALSE))),"")</f>
        <v/>
      </c>
      <c r="N265" s="14" t="str">
        <f>IFERROR((VLOOKUP($A265,'[1]import success seats course'!$A:AB,HLOOKUP('[1]Course Totals'!N$4,'[1]import success seats course'!$1:$2,2,FALSE),FALSE)/(VLOOKUP($A265,'[1]import graded seats course pivo'!$A:AL,HLOOKUP('[1]Course Totals'!N$4,'[1]import graded seats course pivo'!$1:$2,2,FALSE),FALSE))),"")</f>
        <v/>
      </c>
      <c r="O265" s="14" t="str">
        <f>IFERROR((VLOOKUP($A265,'[1]import success seats course'!$A:AC,HLOOKUP('[1]Course Totals'!O$4,'[1]import success seats course'!$1:$2,2,FALSE),FALSE)/(VLOOKUP($A265,'[1]import graded seats course pivo'!$A:AM,HLOOKUP('[1]Course Totals'!O$4,'[1]import graded seats course pivo'!$1:$2,2,FALSE),FALSE))),"")</f>
        <v/>
      </c>
      <c r="P265" s="14" t="str">
        <f>IFERROR((VLOOKUP($A265,'[1]import success seats course'!$A:AD,HLOOKUP('[1]Course Totals'!P$4,'[1]import success seats course'!$1:$2,2,FALSE),FALSE)/(VLOOKUP($A265,'[1]import graded seats course pivo'!$A:AN,HLOOKUP('[1]Course Totals'!P$4,'[1]import graded seats course pivo'!$1:$2,2,FALSE),FALSE))),"")</f>
        <v/>
      </c>
      <c r="Q265" s="14" t="str">
        <f>IFERROR((VLOOKUP($A265,'[1]import success seats course'!$A:AE,HLOOKUP('[1]Course Totals'!Q$4,'[1]import success seats course'!$1:$2,2,FALSE),FALSE)/(VLOOKUP($A265,'[1]import graded seats course pivo'!$A:AO,HLOOKUP('[1]Course Totals'!Q$4,'[1]import graded seats course pivo'!$1:$2,2,FALSE),FALSE))),"")</f>
        <v/>
      </c>
      <c r="R265" s="14" t="str">
        <f>IFERROR((VLOOKUP($A265,'[1]import success seats course'!$A:AF,HLOOKUP('[1]Course Totals'!R$4,'[1]import success seats course'!$1:$2,2,FALSE),FALSE)/(VLOOKUP($A265,'[1]import graded seats course pivo'!$A:AP,HLOOKUP('[1]Course Totals'!R$4,'[1]import graded seats course pivo'!$1:$2,2,FALSE),FALSE))),"")</f>
        <v/>
      </c>
      <c r="S265" s="14" t="str">
        <f>IFERROR((VLOOKUP($A265,'[1]import success seats course'!$A:AG,HLOOKUP('[1]Course Totals'!S$4,'[1]import success seats course'!$1:$2,2,FALSE),FALSE)/(VLOOKUP($A265,'[1]import graded seats course pivo'!$A:AQ,HLOOKUP('[1]Course Totals'!S$4,'[1]import graded seats course pivo'!$1:$2,2,FALSE),FALSE))),"")</f>
        <v/>
      </c>
      <c r="Z265" s="7"/>
      <c r="AA265" s="7"/>
      <c r="AB265" s="7"/>
      <c r="AC265" s="7"/>
    </row>
    <row r="266" spans="1:29" ht="15.75" hidden="1" customHeight="1" x14ac:dyDescent="0.25">
      <c r="A266" s="12" t="s">
        <v>136</v>
      </c>
      <c r="B266" s="14" t="str">
        <f>IFERROR((VLOOKUP($A266,'[1]import success seats course'!$A:P,HLOOKUP('[1]Course Totals'!B$4,'[1]import success seats course'!$1:$2,2,FALSE),FALSE)/(VLOOKUP($A266,'[1]import graded seats course pivo'!$A:Z,HLOOKUP('[1]Course Totals'!B$4,'[1]import graded seats course pivo'!$1:$2,2,FALSE),FALSE))),"")</f>
        <v/>
      </c>
      <c r="C266" s="14" t="str">
        <f>IFERROR((VLOOKUP($A266,'[1]import success seats course'!$A:Q,HLOOKUP('[1]Course Totals'!C$4,'[1]import success seats course'!$1:$2,2,FALSE),FALSE)/(VLOOKUP($A266,'[1]import graded seats course pivo'!$A:AA,HLOOKUP('[1]Course Totals'!C$4,'[1]import graded seats course pivo'!$1:$2,2,FALSE),FALSE))),"")</f>
        <v/>
      </c>
      <c r="D266" s="14" t="str">
        <f>IFERROR((VLOOKUP($A266,'[1]import success seats course'!$A:R,HLOOKUP('[1]Course Totals'!D$4,'[1]import success seats course'!$1:$2,2,FALSE),FALSE)/(VLOOKUP($A266,'[1]import graded seats course pivo'!$A:AB,HLOOKUP('[1]Course Totals'!D$4,'[1]import graded seats course pivo'!$1:$2,2,FALSE),FALSE))),"")</f>
        <v/>
      </c>
      <c r="E266" s="14" t="str">
        <f>IFERROR((VLOOKUP($A266,'[1]import success seats course'!$A:S,HLOOKUP('[1]Course Totals'!E$4,'[1]import success seats course'!$1:$2,2,FALSE),FALSE)/(VLOOKUP($A266,'[1]import graded seats course pivo'!$A:AC,HLOOKUP('[1]Course Totals'!E$4,'[1]import graded seats course pivo'!$1:$2,2,FALSE),FALSE))),"")</f>
        <v/>
      </c>
      <c r="F266" s="14" t="str">
        <f>IFERROR((VLOOKUP($A266,'[1]import success seats course'!$A:T,HLOOKUP('[1]Course Totals'!F$4,'[1]import success seats course'!$1:$2,2,FALSE),FALSE)/(VLOOKUP($A266,'[1]import graded seats course pivo'!$A:AD,HLOOKUP('[1]Course Totals'!F$4,'[1]import graded seats course pivo'!$1:$2,2,FALSE),FALSE))),"")</f>
        <v/>
      </c>
      <c r="G266" s="14" t="str">
        <f>IFERROR((VLOOKUP($A266,'[1]import success seats course'!$A:U,HLOOKUP('[1]Course Totals'!G$4,'[1]import success seats course'!$1:$2,2,FALSE),FALSE)/(VLOOKUP($A266,'[1]import graded seats course pivo'!$A:AE,HLOOKUP('[1]Course Totals'!G$4,'[1]import graded seats course pivo'!$1:$2,2,FALSE),FALSE))),"")</f>
        <v/>
      </c>
      <c r="H266" s="14" t="str">
        <f>IFERROR((VLOOKUP($A266,'[1]import success seats course'!$A:V,HLOOKUP('[1]Course Totals'!H$4,'[1]import success seats course'!$1:$2,2,FALSE),FALSE)/(VLOOKUP($A266,'[1]import graded seats course pivo'!$A:AF,HLOOKUP('[1]Course Totals'!H$4,'[1]import graded seats course pivo'!$1:$2,2,FALSE),FALSE))),"")</f>
        <v/>
      </c>
      <c r="I266" s="14" t="str">
        <f>IFERROR((VLOOKUP($A266,'[1]import success seats course'!$A:W,HLOOKUP('[1]Course Totals'!I$4,'[1]import success seats course'!$1:$2,2,FALSE),FALSE)/(VLOOKUP($A266,'[1]import graded seats course pivo'!$A:AG,HLOOKUP('[1]Course Totals'!I$4,'[1]import graded seats course pivo'!$1:$2,2,FALSE),FALSE))),"")</f>
        <v/>
      </c>
      <c r="J266" s="14" t="str">
        <f>IFERROR((VLOOKUP($A266,'[1]import success seats course'!$A:X,HLOOKUP('[1]Course Totals'!J$4,'[1]import success seats course'!$1:$2,2,FALSE),FALSE)/(VLOOKUP($A266,'[1]import graded seats course pivo'!$A:AH,HLOOKUP('[1]Course Totals'!J$4,'[1]import graded seats course pivo'!$1:$2,2,FALSE),FALSE))),"")</f>
        <v/>
      </c>
      <c r="K266" s="14" t="str">
        <f>IFERROR((VLOOKUP($A266,'[1]import success seats course'!$A:Y,HLOOKUP('[1]Course Totals'!K$4,'[1]import success seats course'!$1:$2,2,FALSE),FALSE)/(VLOOKUP($A266,'[1]import graded seats course pivo'!$A:AI,HLOOKUP('[1]Course Totals'!K$4,'[1]import graded seats course pivo'!$1:$2,2,FALSE),FALSE))),"")</f>
        <v/>
      </c>
      <c r="L266" s="14" t="str">
        <f>IFERROR((VLOOKUP($A266,'[1]import success seats course'!$A:Z,HLOOKUP('[1]Course Totals'!L$4,'[1]import success seats course'!$1:$2,2,FALSE),FALSE)/(VLOOKUP($A266,'[1]import graded seats course pivo'!$A:AJ,HLOOKUP('[1]Course Totals'!L$4,'[1]import graded seats course pivo'!$1:$2,2,FALSE),FALSE))),"")</f>
        <v/>
      </c>
      <c r="M266" s="14" t="str">
        <f>IFERROR((VLOOKUP($A266,'[1]import success seats course'!$A:AA,HLOOKUP('[1]Course Totals'!M$4,'[1]import success seats course'!$1:$2,2,FALSE),FALSE)/(VLOOKUP($A266,'[1]import graded seats course pivo'!$A:AK,HLOOKUP('[1]Course Totals'!M$4,'[1]import graded seats course pivo'!$1:$2,2,FALSE),FALSE))),"")</f>
        <v/>
      </c>
      <c r="N266" s="14" t="str">
        <f>IFERROR((VLOOKUP($A266,'[1]import success seats course'!$A:AB,HLOOKUP('[1]Course Totals'!N$4,'[1]import success seats course'!$1:$2,2,FALSE),FALSE)/(VLOOKUP($A266,'[1]import graded seats course pivo'!$A:AL,HLOOKUP('[1]Course Totals'!N$4,'[1]import graded seats course pivo'!$1:$2,2,FALSE),FALSE))),"")</f>
        <v/>
      </c>
      <c r="O266" s="14" t="str">
        <f>IFERROR((VLOOKUP($A266,'[1]import success seats course'!$A:AC,HLOOKUP('[1]Course Totals'!O$4,'[1]import success seats course'!$1:$2,2,FALSE),FALSE)/(VLOOKUP($A266,'[1]import graded seats course pivo'!$A:AM,HLOOKUP('[1]Course Totals'!O$4,'[1]import graded seats course pivo'!$1:$2,2,FALSE),FALSE))),"")</f>
        <v/>
      </c>
      <c r="P266" s="14" t="str">
        <f>IFERROR((VLOOKUP($A266,'[1]import success seats course'!$A:AD,HLOOKUP('[1]Course Totals'!P$4,'[1]import success seats course'!$1:$2,2,FALSE),FALSE)/(VLOOKUP($A266,'[1]import graded seats course pivo'!$A:AN,HLOOKUP('[1]Course Totals'!P$4,'[1]import graded seats course pivo'!$1:$2,2,FALSE),FALSE))),"")</f>
        <v/>
      </c>
      <c r="Q266" s="14" t="str">
        <f>IFERROR((VLOOKUP($A266,'[1]import success seats course'!$A:AE,HLOOKUP('[1]Course Totals'!Q$4,'[1]import success seats course'!$1:$2,2,FALSE),FALSE)/(VLOOKUP($A266,'[1]import graded seats course pivo'!$A:AO,HLOOKUP('[1]Course Totals'!Q$4,'[1]import graded seats course pivo'!$1:$2,2,FALSE),FALSE))),"")</f>
        <v/>
      </c>
      <c r="R266" s="14" t="str">
        <f>IFERROR((VLOOKUP($A266,'[1]import success seats course'!$A:AF,HLOOKUP('[1]Course Totals'!R$4,'[1]import success seats course'!$1:$2,2,FALSE),FALSE)/(VLOOKUP($A266,'[1]import graded seats course pivo'!$A:AP,HLOOKUP('[1]Course Totals'!R$4,'[1]import graded seats course pivo'!$1:$2,2,FALSE),FALSE))),"")</f>
        <v/>
      </c>
      <c r="S266" s="14" t="str">
        <f>IFERROR((VLOOKUP($A266,'[1]import success seats course'!$A:AG,HLOOKUP('[1]Course Totals'!S$4,'[1]import success seats course'!$1:$2,2,FALSE),FALSE)/(VLOOKUP($A266,'[1]import graded seats course pivo'!$A:AQ,HLOOKUP('[1]Course Totals'!S$4,'[1]import graded seats course pivo'!$1:$2,2,FALSE),FALSE))),"")</f>
        <v/>
      </c>
      <c r="Z266" s="7"/>
      <c r="AA266" s="7"/>
      <c r="AB266" s="7"/>
      <c r="AC266" s="7"/>
    </row>
    <row r="267" spans="1:29" ht="15.75" hidden="1" customHeight="1" x14ac:dyDescent="0.25">
      <c r="A267" s="12" t="s">
        <v>968</v>
      </c>
      <c r="B267" s="14" t="str">
        <f>IFERROR((VLOOKUP($A267,'[1]import success seats course'!$A:P,HLOOKUP('[1]Course Totals'!B$4,'[1]import success seats course'!$1:$2,2,FALSE),FALSE)/(VLOOKUP($A267,'[1]import graded seats course pivo'!$A:Z,HLOOKUP('[1]Course Totals'!B$4,'[1]import graded seats course pivo'!$1:$2,2,FALSE),FALSE))),"")</f>
        <v/>
      </c>
      <c r="C267" s="14" t="str">
        <f>IFERROR((VLOOKUP($A267,'[1]import success seats course'!$A:Q,HLOOKUP('[1]Course Totals'!C$4,'[1]import success seats course'!$1:$2,2,FALSE),FALSE)/(VLOOKUP($A267,'[1]import graded seats course pivo'!$A:AA,HLOOKUP('[1]Course Totals'!C$4,'[1]import graded seats course pivo'!$1:$2,2,FALSE),FALSE))),"")</f>
        <v/>
      </c>
      <c r="D267" s="14" t="str">
        <f>IFERROR((VLOOKUP($A267,'[1]import success seats course'!$A:R,HLOOKUP('[1]Course Totals'!D$4,'[1]import success seats course'!$1:$2,2,FALSE),FALSE)/(VLOOKUP($A267,'[1]import graded seats course pivo'!$A:AB,HLOOKUP('[1]Course Totals'!D$4,'[1]import graded seats course pivo'!$1:$2,2,FALSE),FALSE))),"")</f>
        <v/>
      </c>
      <c r="E267" s="14" t="str">
        <f>IFERROR((VLOOKUP($A267,'[1]import success seats course'!$A:S,HLOOKUP('[1]Course Totals'!E$4,'[1]import success seats course'!$1:$2,2,FALSE),FALSE)/(VLOOKUP($A267,'[1]import graded seats course pivo'!$A:AC,HLOOKUP('[1]Course Totals'!E$4,'[1]import graded seats course pivo'!$1:$2,2,FALSE),FALSE))),"")</f>
        <v/>
      </c>
      <c r="F267" s="14" t="str">
        <f>IFERROR((VLOOKUP($A267,'[1]import success seats course'!$A:T,HLOOKUP('[1]Course Totals'!F$4,'[1]import success seats course'!$1:$2,2,FALSE),FALSE)/(VLOOKUP($A267,'[1]import graded seats course pivo'!$A:AD,HLOOKUP('[1]Course Totals'!F$4,'[1]import graded seats course pivo'!$1:$2,2,FALSE),FALSE))),"")</f>
        <v/>
      </c>
      <c r="G267" s="14" t="str">
        <f>IFERROR((VLOOKUP($A267,'[1]import success seats course'!$A:U,HLOOKUP('[1]Course Totals'!G$4,'[1]import success seats course'!$1:$2,2,FALSE),FALSE)/(VLOOKUP($A267,'[1]import graded seats course pivo'!$A:AE,HLOOKUP('[1]Course Totals'!G$4,'[1]import graded seats course pivo'!$1:$2,2,FALSE),FALSE))),"")</f>
        <v/>
      </c>
      <c r="H267" s="14" t="str">
        <f>IFERROR((VLOOKUP($A267,'[1]import success seats course'!$A:V,HLOOKUP('[1]Course Totals'!H$4,'[1]import success seats course'!$1:$2,2,FALSE),FALSE)/(VLOOKUP($A267,'[1]import graded seats course pivo'!$A:AF,HLOOKUP('[1]Course Totals'!H$4,'[1]import graded seats course pivo'!$1:$2,2,FALSE),FALSE))),"")</f>
        <v/>
      </c>
      <c r="I267" s="14" t="str">
        <f>IFERROR((VLOOKUP($A267,'[1]import success seats course'!$A:W,HLOOKUP('[1]Course Totals'!I$4,'[1]import success seats course'!$1:$2,2,FALSE),FALSE)/(VLOOKUP($A267,'[1]import graded seats course pivo'!$A:AG,HLOOKUP('[1]Course Totals'!I$4,'[1]import graded seats course pivo'!$1:$2,2,FALSE),FALSE))),"")</f>
        <v/>
      </c>
      <c r="J267" s="14" t="str">
        <f>IFERROR((VLOOKUP($A267,'[1]import success seats course'!$A:X,HLOOKUP('[1]Course Totals'!J$4,'[1]import success seats course'!$1:$2,2,FALSE),FALSE)/(VLOOKUP($A267,'[1]import graded seats course pivo'!$A:AH,HLOOKUP('[1]Course Totals'!J$4,'[1]import graded seats course pivo'!$1:$2,2,FALSE),FALSE))),"")</f>
        <v/>
      </c>
      <c r="K267" s="14" t="str">
        <f>IFERROR((VLOOKUP($A267,'[1]import success seats course'!$A:Y,HLOOKUP('[1]Course Totals'!K$4,'[1]import success seats course'!$1:$2,2,FALSE),FALSE)/(VLOOKUP($A267,'[1]import graded seats course pivo'!$A:AI,HLOOKUP('[1]Course Totals'!K$4,'[1]import graded seats course pivo'!$1:$2,2,FALSE),FALSE))),"")</f>
        <v/>
      </c>
      <c r="L267" s="14" t="str">
        <f>IFERROR((VLOOKUP($A267,'[1]import success seats course'!$A:Z,HLOOKUP('[1]Course Totals'!L$4,'[1]import success seats course'!$1:$2,2,FALSE),FALSE)/(VLOOKUP($A267,'[1]import graded seats course pivo'!$A:AJ,HLOOKUP('[1]Course Totals'!L$4,'[1]import graded seats course pivo'!$1:$2,2,FALSE),FALSE))),"")</f>
        <v/>
      </c>
      <c r="M267" s="14" t="str">
        <f>IFERROR((VLOOKUP($A267,'[1]import success seats course'!$A:AA,HLOOKUP('[1]Course Totals'!M$4,'[1]import success seats course'!$1:$2,2,FALSE),FALSE)/(VLOOKUP($A267,'[1]import graded seats course pivo'!$A:AK,HLOOKUP('[1]Course Totals'!M$4,'[1]import graded seats course pivo'!$1:$2,2,FALSE),FALSE))),"")</f>
        <v/>
      </c>
      <c r="N267" s="14" t="str">
        <f>IFERROR((VLOOKUP($A267,'[1]import success seats course'!$A:AB,HLOOKUP('[1]Course Totals'!N$4,'[1]import success seats course'!$1:$2,2,FALSE),FALSE)/(VLOOKUP($A267,'[1]import graded seats course pivo'!$A:AL,HLOOKUP('[1]Course Totals'!N$4,'[1]import graded seats course pivo'!$1:$2,2,FALSE),FALSE))),"")</f>
        <v/>
      </c>
      <c r="O267" s="14" t="str">
        <f>IFERROR((VLOOKUP($A267,'[1]import success seats course'!$A:AC,HLOOKUP('[1]Course Totals'!O$4,'[1]import success seats course'!$1:$2,2,FALSE),FALSE)/(VLOOKUP($A267,'[1]import graded seats course pivo'!$A:AM,HLOOKUP('[1]Course Totals'!O$4,'[1]import graded seats course pivo'!$1:$2,2,FALSE),FALSE))),"")</f>
        <v/>
      </c>
      <c r="P267" s="14" t="str">
        <f>IFERROR((VLOOKUP($A267,'[1]import success seats course'!$A:AD,HLOOKUP('[1]Course Totals'!P$4,'[1]import success seats course'!$1:$2,2,FALSE),FALSE)/(VLOOKUP($A267,'[1]import graded seats course pivo'!$A:AN,HLOOKUP('[1]Course Totals'!P$4,'[1]import graded seats course pivo'!$1:$2,2,FALSE),FALSE))),"")</f>
        <v/>
      </c>
      <c r="Q267" s="14" t="str">
        <f>IFERROR((VLOOKUP($A267,'[1]import success seats course'!$A:AE,HLOOKUP('[1]Course Totals'!Q$4,'[1]import success seats course'!$1:$2,2,FALSE),FALSE)/(VLOOKUP($A267,'[1]import graded seats course pivo'!$A:AO,HLOOKUP('[1]Course Totals'!Q$4,'[1]import graded seats course pivo'!$1:$2,2,FALSE),FALSE))),"")</f>
        <v/>
      </c>
      <c r="R267" s="14" t="str">
        <f>IFERROR((VLOOKUP($A267,'[1]import success seats course'!$A:AF,HLOOKUP('[1]Course Totals'!R$4,'[1]import success seats course'!$1:$2,2,FALSE),FALSE)/(VLOOKUP($A267,'[1]import graded seats course pivo'!$A:AP,HLOOKUP('[1]Course Totals'!R$4,'[1]import graded seats course pivo'!$1:$2,2,FALSE),FALSE))),"")</f>
        <v/>
      </c>
      <c r="S267" s="14" t="str">
        <f>IFERROR((VLOOKUP($A267,'[1]import success seats course'!$A:AG,HLOOKUP('[1]Course Totals'!S$4,'[1]import success seats course'!$1:$2,2,FALSE),FALSE)/(VLOOKUP($A267,'[1]import graded seats course pivo'!$A:AQ,HLOOKUP('[1]Course Totals'!S$4,'[1]import graded seats course pivo'!$1:$2,2,FALSE),FALSE))),"")</f>
        <v/>
      </c>
      <c r="Z267" s="7"/>
      <c r="AA267" s="7"/>
      <c r="AB267" s="7"/>
      <c r="AC267" s="7"/>
    </row>
    <row r="268" spans="1:29" s="7" customFormat="1" ht="15.75" x14ac:dyDescent="0.25">
      <c r="A268" s="9" t="s">
        <v>1139</v>
      </c>
      <c r="B268" s="67" t="str">
        <f>'[1]Subject TOTALS'!$B$1:$P$1</f>
        <v xml:space="preserve">MVC Retention Rates </v>
      </c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</row>
    <row r="269" spans="1:29" ht="15.75" customHeight="1" thickBot="1" x14ac:dyDescent="0.3">
      <c r="A269" s="8" t="str">
        <f>'[1]SUBJECTS BASE'!H15</f>
        <v>Childhood Development &amp; Education</v>
      </c>
      <c r="B269" s="38" t="s">
        <v>1046</v>
      </c>
      <c r="C269" s="39" t="s">
        <v>0</v>
      </c>
      <c r="D269" s="40" t="s">
        <v>868</v>
      </c>
      <c r="E269" s="41" t="s">
        <v>1052</v>
      </c>
      <c r="F269" s="42" t="s">
        <v>546</v>
      </c>
      <c r="G269" s="43" t="s">
        <v>959</v>
      </c>
      <c r="H269" s="44" t="s">
        <v>1060</v>
      </c>
      <c r="I269" s="39" t="s">
        <v>675</v>
      </c>
      <c r="J269" s="45" t="s">
        <v>1006</v>
      </c>
      <c r="K269" s="46" t="s">
        <v>1062</v>
      </c>
      <c r="L269" s="42" t="s">
        <v>762</v>
      </c>
      <c r="M269" s="43" t="s">
        <v>1022</v>
      </c>
      <c r="N269" s="44" t="s">
        <v>1063</v>
      </c>
      <c r="O269" s="39" t="s">
        <v>822</v>
      </c>
      <c r="P269" s="40" t="s">
        <v>1042</v>
      </c>
      <c r="Q269" s="46" t="s">
        <v>1153</v>
      </c>
      <c r="R269" s="42" t="s">
        <v>1154</v>
      </c>
      <c r="S269" s="43" t="s">
        <v>1155</v>
      </c>
      <c r="Z269" s="7"/>
      <c r="AA269" s="7"/>
      <c r="AB269" s="7"/>
      <c r="AC269" s="7"/>
    </row>
    <row r="270" spans="1:29" ht="15.75" customHeight="1" x14ac:dyDescent="0.25">
      <c r="A270" s="12" t="s">
        <v>702</v>
      </c>
      <c r="B270" s="14" t="str">
        <f>IFERROR((VLOOKUP($A270,'[1]import success seats course'!$A:P,HLOOKUP('[1]Course Totals'!B$4,'[1]import success seats course'!$1:$2,2,FALSE),FALSE)/(VLOOKUP($A270,'[1]import graded seats course pivo'!$A:Z,HLOOKUP('[1]Course Totals'!B$4,'[1]import graded seats course pivo'!$1:$2,2,FALSE),FALSE))),"")</f>
        <v/>
      </c>
      <c r="C270" s="14" t="str">
        <f>IFERROR((VLOOKUP($A270,'[1]import success seats course'!$A:Q,HLOOKUP('[1]Course Totals'!C$4,'[1]import success seats course'!$1:$2,2,FALSE),FALSE)/(VLOOKUP($A270,'[1]import graded seats course pivo'!$A:AA,HLOOKUP('[1]Course Totals'!C$4,'[1]import graded seats course pivo'!$1:$2,2,FALSE),FALSE))),"")</f>
        <v/>
      </c>
      <c r="D270" s="14" t="str">
        <f>IFERROR((VLOOKUP($A270,'[1]import success seats course'!$A:R,HLOOKUP('[1]Course Totals'!D$4,'[1]import success seats course'!$1:$2,2,FALSE),FALSE)/(VLOOKUP($A270,'[1]import graded seats course pivo'!$A:AB,HLOOKUP('[1]Course Totals'!D$4,'[1]import graded seats course pivo'!$1:$2,2,FALSE),FALSE))),"")</f>
        <v/>
      </c>
      <c r="E270" s="14" t="str">
        <f>IFERROR((VLOOKUP($A270,'[1]import success seats course'!$A:S,HLOOKUP('[1]Course Totals'!E$4,'[1]import success seats course'!$1:$2,2,FALSE),FALSE)/(VLOOKUP($A270,'[1]import graded seats course pivo'!$A:AC,HLOOKUP('[1]Course Totals'!E$4,'[1]import graded seats course pivo'!$1:$2,2,FALSE),FALSE))),"")</f>
        <v/>
      </c>
      <c r="F270" s="14" t="str">
        <f>IFERROR((VLOOKUP($A270,'[1]import success seats course'!$A:T,HLOOKUP('[1]Course Totals'!F$4,'[1]import success seats course'!$1:$2,2,FALSE),FALSE)/(VLOOKUP($A270,'[1]import graded seats course pivo'!$A:AD,HLOOKUP('[1]Course Totals'!F$4,'[1]import graded seats course pivo'!$1:$2,2,FALSE),FALSE))),"")</f>
        <v/>
      </c>
      <c r="G270" s="14" t="str">
        <f>IFERROR((VLOOKUP($A270,'[1]import success seats course'!$A:U,HLOOKUP('[1]Course Totals'!G$4,'[1]import success seats course'!$1:$2,2,FALSE),FALSE)/(VLOOKUP($A270,'[1]import graded seats course pivo'!$A:AE,HLOOKUP('[1]Course Totals'!G$4,'[1]import graded seats course pivo'!$1:$2,2,FALSE),FALSE))),"")</f>
        <v/>
      </c>
      <c r="H270" s="14" t="str">
        <f>IFERROR((VLOOKUP($A270,'[1]import success seats course'!$A:V,HLOOKUP('[1]Course Totals'!H$4,'[1]import success seats course'!$1:$2,2,FALSE),FALSE)/(VLOOKUP($A270,'[1]import graded seats course pivo'!$A:AF,HLOOKUP('[1]Course Totals'!H$4,'[1]import graded seats course pivo'!$1:$2,2,FALSE),FALSE))),"")</f>
        <v/>
      </c>
      <c r="I270" s="14">
        <f>IFERROR((VLOOKUP($A270,'[1]import success seats course'!$A:W,HLOOKUP('[1]Course Totals'!I$4,'[1]import success seats course'!$1:$2,2,FALSE),FALSE)/(VLOOKUP($A270,'[1]import graded seats course pivo'!$A:AG,HLOOKUP('[1]Course Totals'!I$4,'[1]import graded seats course pivo'!$1:$2,2,FALSE),FALSE))),"")</f>
        <v>1</v>
      </c>
      <c r="J270" s="14" t="str">
        <f>IFERROR((VLOOKUP($A270,'[1]import success seats course'!$A:X,HLOOKUP('[1]Course Totals'!J$4,'[1]import success seats course'!$1:$2,2,FALSE),FALSE)/(VLOOKUP($A270,'[1]import graded seats course pivo'!$A:AH,HLOOKUP('[1]Course Totals'!J$4,'[1]import graded seats course pivo'!$1:$2,2,FALSE),FALSE))),"")</f>
        <v/>
      </c>
      <c r="K270" s="14" t="str">
        <f>IFERROR((VLOOKUP($A270,'[1]import success seats course'!$A:Y,HLOOKUP('[1]Course Totals'!K$4,'[1]import success seats course'!$1:$2,2,FALSE),FALSE)/(VLOOKUP($A270,'[1]import graded seats course pivo'!$A:AI,HLOOKUP('[1]Course Totals'!K$4,'[1]import graded seats course pivo'!$1:$2,2,FALSE),FALSE))),"")</f>
        <v/>
      </c>
      <c r="L270" s="14" t="str">
        <f>IFERROR((VLOOKUP($A270,'[1]import success seats course'!$A:Z,HLOOKUP('[1]Course Totals'!L$4,'[1]import success seats course'!$1:$2,2,FALSE),FALSE)/(VLOOKUP($A270,'[1]import graded seats course pivo'!$A:AJ,HLOOKUP('[1]Course Totals'!L$4,'[1]import graded seats course pivo'!$1:$2,2,FALSE),FALSE))),"")</f>
        <v/>
      </c>
      <c r="M270" s="14" t="str">
        <f>IFERROR((VLOOKUP($A270,'[1]import success seats course'!$A:AA,HLOOKUP('[1]Course Totals'!M$4,'[1]import success seats course'!$1:$2,2,FALSE),FALSE)/(VLOOKUP($A270,'[1]import graded seats course pivo'!$A:AK,HLOOKUP('[1]Course Totals'!M$4,'[1]import graded seats course pivo'!$1:$2,2,FALSE),FALSE))),"")</f>
        <v/>
      </c>
      <c r="N270" s="14" t="str">
        <f>IFERROR((VLOOKUP($A270,'[1]import success seats course'!$A:AB,HLOOKUP('[1]Course Totals'!N$4,'[1]import success seats course'!$1:$2,2,FALSE),FALSE)/(VLOOKUP($A270,'[1]import graded seats course pivo'!$A:AL,HLOOKUP('[1]Course Totals'!N$4,'[1]import graded seats course pivo'!$1:$2,2,FALSE),FALSE))),"")</f>
        <v/>
      </c>
      <c r="O270" s="14" t="str">
        <f>IFERROR((VLOOKUP($A270,'[1]import success seats course'!$A:AC,HLOOKUP('[1]Course Totals'!O$4,'[1]import success seats course'!$1:$2,2,FALSE),FALSE)/(VLOOKUP($A270,'[1]import graded seats course pivo'!$A:AM,HLOOKUP('[1]Course Totals'!O$4,'[1]import graded seats course pivo'!$1:$2,2,FALSE),FALSE))),"")</f>
        <v/>
      </c>
      <c r="P270" s="14" t="str">
        <f>IFERROR((VLOOKUP($A270,'[1]import success seats course'!$A:AD,HLOOKUP('[1]Course Totals'!P$4,'[1]import success seats course'!$1:$2,2,FALSE),FALSE)/(VLOOKUP($A270,'[1]import graded seats course pivo'!$A:AN,HLOOKUP('[1]Course Totals'!P$4,'[1]import graded seats course pivo'!$1:$2,2,FALSE),FALSE))),"")</f>
        <v/>
      </c>
      <c r="Q270" s="14" t="str">
        <f>IFERROR((VLOOKUP($A270,'[1]import success seats course'!$A:AE,HLOOKUP('[1]Course Totals'!Q$4,'[1]import success seats course'!$1:$2,2,FALSE),FALSE)/(VLOOKUP($A270,'[1]import graded seats course pivo'!$A:AO,HLOOKUP('[1]Course Totals'!Q$4,'[1]import graded seats course pivo'!$1:$2,2,FALSE),FALSE))),"")</f>
        <v/>
      </c>
      <c r="R270" s="14" t="str">
        <f>IFERROR((VLOOKUP($A270,'[1]import success seats course'!$A:AF,HLOOKUP('[1]Course Totals'!R$4,'[1]import success seats course'!$1:$2,2,FALSE),FALSE)/(VLOOKUP($A270,'[1]import graded seats course pivo'!$A:AP,HLOOKUP('[1]Course Totals'!R$4,'[1]import graded seats course pivo'!$1:$2,2,FALSE),FALSE))),"")</f>
        <v/>
      </c>
      <c r="S270" s="14" t="str">
        <f>IFERROR((VLOOKUP($A270,'[1]import success seats course'!$A:AG,HLOOKUP('[1]Course Totals'!S$4,'[1]import success seats course'!$1:$2,2,FALSE),FALSE)/(VLOOKUP($A270,'[1]import graded seats course pivo'!$A:AQ,HLOOKUP('[1]Course Totals'!S$4,'[1]import graded seats course pivo'!$1:$2,2,FALSE),FALSE))),"")</f>
        <v/>
      </c>
      <c r="Z270" s="7"/>
      <c r="AA270" s="7"/>
      <c r="AB270" s="7"/>
      <c r="AC270" s="7"/>
    </row>
    <row r="271" spans="1:29" ht="15.75" customHeight="1" x14ac:dyDescent="0.25">
      <c r="A271" s="12" t="s">
        <v>703</v>
      </c>
      <c r="B271" s="14" t="str">
        <f>IFERROR((VLOOKUP($A271,'[1]import success seats course'!$A:P,HLOOKUP('[1]Course Totals'!B$4,'[1]import success seats course'!$1:$2,2,FALSE),FALSE)/(VLOOKUP($A271,'[1]import graded seats course pivo'!$A:Z,HLOOKUP('[1]Course Totals'!B$4,'[1]import graded seats course pivo'!$1:$2,2,FALSE),FALSE))),"")</f>
        <v/>
      </c>
      <c r="C271" s="14" t="str">
        <f>IFERROR((VLOOKUP($A271,'[1]import success seats course'!$A:Q,HLOOKUP('[1]Course Totals'!C$4,'[1]import success seats course'!$1:$2,2,FALSE),FALSE)/(VLOOKUP($A271,'[1]import graded seats course pivo'!$A:AA,HLOOKUP('[1]Course Totals'!C$4,'[1]import graded seats course pivo'!$1:$2,2,FALSE),FALSE))),"")</f>
        <v/>
      </c>
      <c r="D271" s="14" t="str">
        <f>IFERROR((VLOOKUP($A271,'[1]import success seats course'!$A:R,HLOOKUP('[1]Course Totals'!D$4,'[1]import success seats course'!$1:$2,2,FALSE),FALSE)/(VLOOKUP($A271,'[1]import graded seats course pivo'!$A:AB,HLOOKUP('[1]Course Totals'!D$4,'[1]import graded seats course pivo'!$1:$2,2,FALSE),FALSE))),"")</f>
        <v/>
      </c>
      <c r="E271" s="14" t="str">
        <f>IFERROR((VLOOKUP($A271,'[1]import success seats course'!$A:S,HLOOKUP('[1]Course Totals'!E$4,'[1]import success seats course'!$1:$2,2,FALSE),FALSE)/(VLOOKUP($A271,'[1]import graded seats course pivo'!$A:AC,HLOOKUP('[1]Course Totals'!E$4,'[1]import graded seats course pivo'!$1:$2,2,FALSE),FALSE))),"")</f>
        <v/>
      </c>
      <c r="F271" s="14" t="str">
        <f>IFERROR((VLOOKUP($A271,'[1]import success seats course'!$A:T,HLOOKUP('[1]Course Totals'!F$4,'[1]import success seats course'!$1:$2,2,FALSE),FALSE)/(VLOOKUP($A271,'[1]import graded seats course pivo'!$A:AD,HLOOKUP('[1]Course Totals'!F$4,'[1]import graded seats course pivo'!$1:$2,2,FALSE),FALSE))),"")</f>
        <v/>
      </c>
      <c r="G271" s="14" t="str">
        <f>IFERROR((VLOOKUP($A271,'[1]import success seats course'!$A:U,HLOOKUP('[1]Course Totals'!G$4,'[1]import success seats course'!$1:$2,2,FALSE),FALSE)/(VLOOKUP($A271,'[1]import graded seats course pivo'!$A:AE,HLOOKUP('[1]Course Totals'!G$4,'[1]import graded seats course pivo'!$1:$2,2,FALSE),FALSE))),"")</f>
        <v/>
      </c>
      <c r="H271" s="14" t="str">
        <f>IFERROR((VLOOKUP($A271,'[1]import success seats course'!$A:V,HLOOKUP('[1]Course Totals'!H$4,'[1]import success seats course'!$1:$2,2,FALSE),FALSE)/(VLOOKUP($A271,'[1]import graded seats course pivo'!$A:AF,HLOOKUP('[1]Course Totals'!H$4,'[1]import graded seats course pivo'!$1:$2,2,FALSE),FALSE))),"")</f>
        <v/>
      </c>
      <c r="I271" s="14">
        <f>IFERROR((VLOOKUP($A271,'[1]import success seats course'!$A:W,HLOOKUP('[1]Course Totals'!I$4,'[1]import success seats course'!$1:$2,2,FALSE),FALSE)/(VLOOKUP($A271,'[1]import graded seats course pivo'!$A:AG,HLOOKUP('[1]Course Totals'!I$4,'[1]import graded seats course pivo'!$1:$2,2,FALSE),FALSE))),"")</f>
        <v>1</v>
      </c>
      <c r="J271" s="14" t="str">
        <f>IFERROR((VLOOKUP($A271,'[1]import success seats course'!$A:X,HLOOKUP('[1]Course Totals'!J$4,'[1]import success seats course'!$1:$2,2,FALSE),FALSE)/(VLOOKUP($A271,'[1]import graded seats course pivo'!$A:AH,HLOOKUP('[1]Course Totals'!J$4,'[1]import graded seats course pivo'!$1:$2,2,FALSE),FALSE))),"")</f>
        <v/>
      </c>
      <c r="K271" s="14" t="str">
        <f>IFERROR((VLOOKUP($A271,'[1]import success seats course'!$A:Y,HLOOKUP('[1]Course Totals'!K$4,'[1]import success seats course'!$1:$2,2,FALSE),FALSE)/(VLOOKUP($A271,'[1]import graded seats course pivo'!$A:AI,HLOOKUP('[1]Course Totals'!K$4,'[1]import graded seats course pivo'!$1:$2,2,FALSE),FALSE))),"")</f>
        <v/>
      </c>
      <c r="L271" s="14" t="str">
        <f>IFERROR((VLOOKUP($A271,'[1]import success seats course'!$A:Z,HLOOKUP('[1]Course Totals'!L$4,'[1]import success seats course'!$1:$2,2,FALSE),FALSE)/(VLOOKUP($A271,'[1]import graded seats course pivo'!$A:AJ,HLOOKUP('[1]Course Totals'!L$4,'[1]import graded seats course pivo'!$1:$2,2,FALSE),FALSE))),"")</f>
        <v/>
      </c>
      <c r="M271" s="14" t="str">
        <f>IFERROR((VLOOKUP($A271,'[1]import success seats course'!$A:AA,HLOOKUP('[1]Course Totals'!M$4,'[1]import success seats course'!$1:$2,2,FALSE),FALSE)/(VLOOKUP($A271,'[1]import graded seats course pivo'!$A:AK,HLOOKUP('[1]Course Totals'!M$4,'[1]import graded seats course pivo'!$1:$2,2,FALSE),FALSE))),"")</f>
        <v/>
      </c>
      <c r="N271" s="14" t="str">
        <f>IFERROR((VLOOKUP($A271,'[1]import success seats course'!$A:AB,HLOOKUP('[1]Course Totals'!N$4,'[1]import success seats course'!$1:$2,2,FALSE),FALSE)/(VLOOKUP($A271,'[1]import graded seats course pivo'!$A:AL,HLOOKUP('[1]Course Totals'!N$4,'[1]import graded seats course pivo'!$1:$2,2,FALSE),FALSE))),"")</f>
        <v/>
      </c>
      <c r="O271" s="14" t="str">
        <f>IFERROR((VLOOKUP($A271,'[1]import success seats course'!$A:AC,HLOOKUP('[1]Course Totals'!O$4,'[1]import success seats course'!$1:$2,2,FALSE),FALSE)/(VLOOKUP($A271,'[1]import graded seats course pivo'!$A:AM,HLOOKUP('[1]Course Totals'!O$4,'[1]import graded seats course pivo'!$1:$2,2,FALSE),FALSE))),"")</f>
        <v/>
      </c>
      <c r="P271" s="14" t="str">
        <f>IFERROR((VLOOKUP($A271,'[1]import success seats course'!$A:AD,HLOOKUP('[1]Course Totals'!P$4,'[1]import success seats course'!$1:$2,2,FALSE),FALSE)/(VLOOKUP($A271,'[1]import graded seats course pivo'!$A:AN,HLOOKUP('[1]Course Totals'!P$4,'[1]import graded seats course pivo'!$1:$2,2,FALSE),FALSE))),"")</f>
        <v/>
      </c>
      <c r="Q271" s="14" t="str">
        <f>IFERROR((VLOOKUP($A271,'[1]import success seats course'!$A:AE,HLOOKUP('[1]Course Totals'!Q$4,'[1]import success seats course'!$1:$2,2,FALSE),FALSE)/(VLOOKUP($A271,'[1]import graded seats course pivo'!$A:AO,HLOOKUP('[1]Course Totals'!Q$4,'[1]import graded seats course pivo'!$1:$2,2,FALSE),FALSE))),"")</f>
        <v/>
      </c>
      <c r="R271" s="14" t="str">
        <f>IFERROR((VLOOKUP($A271,'[1]import success seats course'!$A:AF,HLOOKUP('[1]Course Totals'!R$4,'[1]import success seats course'!$1:$2,2,FALSE),FALSE)/(VLOOKUP($A271,'[1]import graded seats course pivo'!$A:AP,HLOOKUP('[1]Course Totals'!R$4,'[1]import graded seats course pivo'!$1:$2,2,FALSE),FALSE))),"")</f>
        <v/>
      </c>
      <c r="S271" s="14" t="str">
        <f>IFERROR((VLOOKUP($A271,'[1]import success seats course'!$A:AG,HLOOKUP('[1]Course Totals'!S$4,'[1]import success seats course'!$1:$2,2,FALSE),FALSE)/(VLOOKUP($A271,'[1]import graded seats course pivo'!$A:AQ,HLOOKUP('[1]Course Totals'!S$4,'[1]import graded seats course pivo'!$1:$2,2,FALSE),FALSE))),"")</f>
        <v/>
      </c>
      <c r="Z271" s="7"/>
      <c r="AA271" s="7"/>
      <c r="AB271" s="7"/>
      <c r="AC271" s="7"/>
    </row>
    <row r="272" spans="1:29" ht="15.75" hidden="1" customHeight="1" x14ac:dyDescent="0.25">
      <c r="A272" s="12" t="s">
        <v>1009</v>
      </c>
      <c r="B272" s="14" t="str">
        <f>IFERROR((VLOOKUP($A272,'[1]import success seats course'!$A:P,HLOOKUP('[1]Course Totals'!B$4,'[1]import success seats course'!$1:$2,2,FALSE),FALSE)/(VLOOKUP($A272,'[1]import graded seats course pivo'!$A:Z,HLOOKUP('[1]Course Totals'!B$4,'[1]import graded seats course pivo'!$1:$2,2,FALSE),FALSE))),"")</f>
        <v/>
      </c>
      <c r="C272" s="14" t="str">
        <f>IFERROR((VLOOKUP($A272,'[1]import success seats course'!$A:Q,HLOOKUP('[1]Course Totals'!C$4,'[1]import success seats course'!$1:$2,2,FALSE),FALSE)/(VLOOKUP($A272,'[1]import graded seats course pivo'!$A:AA,HLOOKUP('[1]Course Totals'!C$4,'[1]import graded seats course pivo'!$1:$2,2,FALSE),FALSE))),"")</f>
        <v/>
      </c>
      <c r="D272" s="14" t="str">
        <f>IFERROR((VLOOKUP($A272,'[1]import success seats course'!$A:R,HLOOKUP('[1]Course Totals'!D$4,'[1]import success seats course'!$1:$2,2,FALSE),FALSE)/(VLOOKUP($A272,'[1]import graded seats course pivo'!$A:AB,HLOOKUP('[1]Course Totals'!D$4,'[1]import graded seats course pivo'!$1:$2,2,FALSE),FALSE))),"")</f>
        <v/>
      </c>
      <c r="E272" s="14" t="str">
        <f>IFERROR((VLOOKUP($A272,'[1]import success seats course'!$A:S,HLOOKUP('[1]Course Totals'!E$4,'[1]import success seats course'!$1:$2,2,FALSE),FALSE)/(VLOOKUP($A272,'[1]import graded seats course pivo'!$A:AC,HLOOKUP('[1]Course Totals'!E$4,'[1]import graded seats course pivo'!$1:$2,2,FALSE),FALSE))),"")</f>
        <v/>
      </c>
      <c r="F272" s="14" t="str">
        <f>IFERROR((VLOOKUP($A272,'[1]import success seats course'!$A:T,HLOOKUP('[1]Course Totals'!F$4,'[1]import success seats course'!$1:$2,2,FALSE),FALSE)/(VLOOKUP($A272,'[1]import graded seats course pivo'!$A:AD,HLOOKUP('[1]Course Totals'!F$4,'[1]import graded seats course pivo'!$1:$2,2,FALSE),FALSE))),"")</f>
        <v/>
      </c>
      <c r="G272" s="14" t="str">
        <f>IFERROR((VLOOKUP($A272,'[1]import success seats course'!$A:U,HLOOKUP('[1]Course Totals'!G$4,'[1]import success seats course'!$1:$2,2,FALSE),FALSE)/(VLOOKUP($A272,'[1]import graded seats course pivo'!$A:AE,HLOOKUP('[1]Course Totals'!G$4,'[1]import graded seats course pivo'!$1:$2,2,FALSE),FALSE))),"")</f>
        <v/>
      </c>
      <c r="H272" s="14" t="str">
        <f>IFERROR((VLOOKUP($A272,'[1]import success seats course'!$A:V,HLOOKUP('[1]Course Totals'!H$4,'[1]import success seats course'!$1:$2,2,FALSE),FALSE)/(VLOOKUP($A272,'[1]import graded seats course pivo'!$A:AF,HLOOKUP('[1]Course Totals'!H$4,'[1]import graded seats course pivo'!$1:$2,2,FALSE),FALSE))),"")</f>
        <v/>
      </c>
      <c r="I272" s="14" t="str">
        <f>IFERROR((VLOOKUP($A272,'[1]import success seats course'!$A:W,HLOOKUP('[1]Course Totals'!I$4,'[1]import success seats course'!$1:$2,2,FALSE),FALSE)/(VLOOKUP($A272,'[1]import graded seats course pivo'!$A:AG,HLOOKUP('[1]Course Totals'!I$4,'[1]import graded seats course pivo'!$1:$2,2,FALSE),FALSE))),"")</f>
        <v/>
      </c>
      <c r="J272" s="14" t="str">
        <f>IFERROR((VLOOKUP($A272,'[1]import success seats course'!$A:X,HLOOKUP('[1]Course Totals'!J$4,'[1]import success seats course'!$1:$2,2,FALSE),FALSE)/(VLOOKUP($A272,'[1]import graded seats course pivo'!$A:AH,HLOOKUP('[1]Course Totals'!J$4,'[1]import graded seats course pivo'!$1:$2,2,FALSE),FALSE))),"")</f>
        <v/>
      </c>
      <c r="K272" s="14" t="str">
        <f>IFERROR((VLOOKUP($A272,'[1]import success seats course'!$A:Y,HLOOKUP('[1]Course Totals'!K$4,'[1]import success seats course'!$1:$2,2,FALSE),FALSE)/(VLOOKUP($A272,'[1]import graded seats course pivo'!$A:AI,HLOOKUP('[1]Course Totals'!K$4,'[1]import graded seats course pivo'!$1:$2,2,FALSE),FALSE))),"")</f>
        <v/>
      </c>
      <c r="L272" s="14" t="str">
        <f>IFERROR((VLOOKUP($A272,'[1]import success seats course'!$A:Z,HLOOKUP('[1]Course Totals'!L$4,'[1]import success seats course'!$1:$2,2,FALSE),FALSE)/(VLOOKUP($A272,'[1]import graded seats course pivo'!$A:AJ,HLOOKUP('[1]Course Totals'!L$4,'[1]import graded seats course pivo'!$1:$2,2,FALSE),FALSE))),"")</f>
        <v/>
      </c>
      <c r="M272" s="14" t="str">
        <f>IFERROR((VLOOKUP($A272,'[1]import success seats course'!$A:AA,HLOOKUP('[1]Course Totals'!M$4,'[1]import success seats course'!$1:$2,2,FALSE),FALSE)/(VLOOKUP($A272,'[1]import graded seats course pivo'!$A:AK,HLOOKUP('[1]Course Totals'!M$4,'[1]import graded seats course pivo'!$1:$2,2,FALSE),FALSE))),"")</f>
        <v/>
      </c>
      <c r="N272" s="14" t="str">
        <f>IFERROR((VLOOKUP($A272,'[1]import success seats course'!$A:AB,HLOOKUP('[1]Course Totals'!N$4,'[1]import success seats course'!$1:$2,2,FALSE),FALSE)/(VLOOKUP($A272,'[1]import graded seats course pivo'!$A:AL,HLOOKUP('[1]Course Totals'!N$4,'[1]import graded seats course pivo'!$1:$2,2,FALSE),FALSE))),"")</f>
        <v/>
      </c>
      <c r="O272" s="14" t="str">
        <f>IFERROR((VLOOKUP($A272,'[1]import success seats course'!$A:AC,HLOOKUP('[1]Course Totals'!O$4,'[1]import success seats course'!$1:$2,2,FALSE),FALSE)/(VLOOKUP($A272,'[1]import graded seats course pivo'!$A:AM,HLOOKUP('[1]Course Totals'!O$4,'[1]import graded seats course pivo'!$1:$2,2,FALSE),FALSE))),"")</f>
        <v/>
      </c>
      <c r="P272" s="14" t="str">
        <f>IFERROR((VLOOKUP($A272,'[1]import success seats course'!$A:AD,HLOOKUP('[1]Course Totals'!P$4,'[1]import success seats course'!$1:$2,2,FALSE),FALSE)/(VLOOKUP($A272,'[1]import graded seats course pivo'!$A:AN,HLOOKUP('[1]Course Totals'!P$4,'[1]import graded seats course pivo'!$1:$2,2,FALSE),FALSE))),"")</f>
        <v/>
      </c>
      <c r="Q272" s="14" t="str">
        <f>IFERROR((VLOOKUP($A272,'[1]import success seats course'!$A:AE,HLOOKUP('[1]Course Totals'!Q$4,'[1]import success seats course'!$1:$2,2,FALSE),FALSE)/(VLOOKUP($A272,'[1]import graded seats course pivo'!$A:AO,HLOOKUP('[1]Course Totals'!Q$4,'[1]import graded seats course pivo'!$1:$2,2,FALSE),FALSE))),"")</f>
        <v/>
      </c>
      <c r="R272" s="14" t="str">
        <f>IFERROR((VLOOKUP($A272,'[1]import success seats course'!$A:AF,HLOOKUP('[1]Course Totals'!R$4,'[1]import success seats course'!$1:$2,2,FALSE),FALSE)/(VLOOKUP($A272,'[1]import graded seats course pivo'!$A:AP,HLOOKUP('[1]Course Totals'!R$4,'[1]import graded seats course pivo'!$1:$2,2,FALSE),FALSE))),"")</f>
        <v/>
      </c>
      <c r="S272" s="14" t="str">
        <f>IFERROR((VLOOKUP($A272,'[1]import success seats course'!$A:AG,HLOOKUP('[1]Course Totals'!S$4,'[1]import success seats course'!$1:$2,2,FALSE),FALSE)/(VLOOKUP($A272,'[1]import graded seats course pivo'!$A:AQ,HLOOKUP('[1]Course Totals'!S$4,'[1]import graded seats course pivo'!$1:$2,2,FALSE),FALSE))),"")</f>
        <v/>
      </c>
      <c r="Z272" s="7"/>
      <c r="AA272" s="7"/>
      <c r="AB272" s="7"/>
      <c r="AC272" s="7"/>
    </row>
    <row r="273" spans="1:29" ht="15.75" hidden="1" customHeight="1" x14ac:dyDescent="0.25">
      <c r="A273" s="12" t="s">
        <v>704</v>
      </c>
      <c r="B273" s="14" t="str">
        <f>IFERROR((VLOOKUP($A273,'[1]import success seats course'!$A:P,HLOOKUP('[1]Course Totals'!B$4,'[1]import success seats course'!$1:$2,2,FALSE),FALSE)/(VLOOKUP($A273,'[1]import graded seats course pivo'!$A:Z,HLOOKUP('[1]Course Totals'!B$4,'[1]import graded seats course pivo'!$1:$2,2,FALSE),FALSE))),"")</f>
        <v/>
      </c>
      <c r="C273" s="14" t="str">
        <f>IFERROR((VLOOKUP($A273,'[1]import success seats course'!$A:Q,HLOOKUP('[1]Course Totals'!C$4,'[1]import success seats course'!$1:$2,2,FALSE),FALSE)/(VLOOKUP($A273,'[1]import graded seats course pivo'!$A:AA,HLOOKUP('[1]Course Totals'!C$4,'[1]import graded seats course pivo'!$1:$2,2,FALSE),FALSE))),"")</f>
        <v/>
      </c>
      <c r="D273" s="14" t="str">
        <f>IFERROR((VLOOKUP($A273,'[1]import success seats course'!$A:R,HLOOKUP('[1]Course Totals'!D$4,'[1]import success seats course'!$1:$2,2,FALSE),FALSE)/(VLOOKUP($A273,'[1]import graded seats course pivo'!$A:AB,HLOOKUP('[1]Course Totals'!D$4,'[1]import graded seats course pivo'!$1:$2,2,FALSE),FALSE))),"")</f>
        <v/>
      </c>
      <c r="E273" s="14" t="str">
        <f>IFERROR((VLOOKUP($A273,'[1]import success seats course'!$A:S,HLOOKUP('[1]Course Totals'!E$4,'[1]import success seats course'!$1:$2,2,FALSE),FALSE)/(VLOOKUP($A273,'[1]import graded seats course pivo'!$A:AC,HLOOKUP('[1]Course Totals'!E$4,'[1]import graded seats course pivo'!$1:$2,2,FALSE),FALSE))),"")</f>
        <v/>
      </c>
      <c r="F273" s="14" t="str">
        <f>IFERROR((VLOOKUP($A273,'[1]import success seats course'!$A:T,HLOOKUP('[1]Course Totals'!F$4,'[1]import success seats course'!$1:$2,2,FALSE),FALSE)/(VLOOKUP($A273,'[1]import graded seats course pivo'!$A:AD,HLOOKUP('[1]Course Totals'!F$4,'[1]import graded seats course pivo'!$1:$2,2,FALSE),FALSE))),"")</f>
        <v/>
      </c>
      <c r="G273" s="14" t="str">
        <f>IFERROR((VLOOKUP($A273,'[1]import success seats course'!$A:U,HLOOKUP('[1]Course Totals'!G$4,'[1]import success seats course'!$1:$2,2,FALSE),FALSE)/(VLOOKUP($A273,'[1]import graded seats course pivo'!$A:AE,HLOOKUP('[1]Course Totals'!G$4,'[1]import graded seats course pivo'!$1:$2,2,FALSE),FALSE))),"")</f>
        <v/>
      </c>
      <c r="H273" s="14" t="str">
        <f>IFERROR((VLOOKUP($A273,'[1]import success seats course'!$A:V,HLOOKUP('[1]Course Totals'!H$4,'[1]import success seats course'!$1:$2,2,FALSE),FALSE)/(VLOOKUP($A273,'[1]import graded seats course pivo'!$A:AF,HLOOKUP('[1]Course Totals'!H$4,'[1]import graded seats course pivo'!$1:$2,2,FALSE),FALSE))),"")</f>
        <v/>
      </c>
      <c r="I273" s="14" t="str">
        <f>IFERROR((VLOOKUP($A273,'[1]import success seats course'!$A:W,HLOOKUP('[1]Course Totals'!I$4,'[1]import success seats course'!$1:$2,2,FALSE),FALSE)/(VLOOKUP($A273,'[1]import graded seats course pivo'!$A:AG,HLOOKUP('[1]Course Totals'!I$4,'[1]import graded seats course pivo'!$1:$2,2,FALSE),FALSE))),"")</f>
        <v/>
      </c>
      <c r="J273" s="14" t="str">
        <f>IFERROR((VLOOKUP($A273,'[1]import success seats course'!$A:X,HLOOKUP('[1]Course Totals'!J$4,'[1]import success seats course'!$1:$2,2,FALSE),FALSE)/(VLOOKUP($A273,'[1]import graded seats course pivo'!$A:AH,HLOOKUP('[1]Course Totals'!J$4,'[1]import graded seats course pivo'!$1:$2,2,FALSE),FALSE))),"")</f>
        <v/>
      </c>
      <c r="K273" s="14" t="str">
        <f>IFERROR((VLOOKUP($A273,'[1]import success seats course'!$A:Y,HLOOKUP('[1]Course Totals'!K$4,'[1]import success seats course'!$1:$2,2,FALSE),FALSE)/(VLOOKUP($A273,'[1]import graded seats course pivo'!$A:AI,HLOOKUP('[1]Course Totals'!K$4,'[1]import graded seats course pivo'!$1:$2,2,FALSE),FALSE))),"")</f>
        <v/>
      </c>
      <c r="L273" s="14" t="str">
        <f>IFERROR((VLOOKUP($A273,'[1]import success seats course'!$A:Z,HLOOKUP('[1]Course Totals'!L$4,'[1]import success seats course'!$1:$2,2,FALSE),FALSE)/(VLOOKUP($A273,'[1]import graded seats course pivo'!$A:AJ,HLOOKUP('[1]Course Totals'!L$4,'[1]import graded seats course pivo'!$1:$2,2,FALSE),FALSE))),"")</f>
        <v/>
      </c>
      <c r="M273" s="14" t="str">
        <f>IFERROR((VLOOKUP($A273,'[1]import success seats course'!$A:AA,HLOOKUP('[1]Course Totals'!M$4,'[1]import success seats course'!$1:$2,2,FALSE),FALSE)/(VLOOKUP($A273,'[1]import graded seats course pivo'!$A:AK,HLOOKUP('[1]Course Totals'!M$4,'[1]import graded seats course pivo'!$1:$2,2,FALSE),FALSE))),"")</f>
        <v/>
      </c>
      <c r="N273" s="14" t="str">
        <f>IFERROR((VLOOKUP($A273,'[1]import success seats course'!$A:AB,HLOOKUP('[1]Course Totals'!N$4,'[1]import success seats course'!$1:$2,2,FALSE),FALSE)/(VLOOKUP($A273,'[1]import graded seats course pivo'!$A:AL,HLOOKUP('[1]Course Totals'!N$4,'[1]import graded seats course pivo'!$1:$2,2,FALSE),FALSE))),"")</f>
        <v/>
      </c>
      <c r="O273" s="14" t="str">
        <f>IFERROR((VLOOKUP($A273,'[1]import success seats course'!$A:AC,HLOOKUP('[1]Course Totals'!O$4,'[1]import success seats course'!$1:$2,2,FALSE),FALSE)/(VLOOKUP($A273,'[1]import graded seats course pivo'!$A:AM,HLOOKUP('[1]Course Totals'!O$4,'[1]import graded seats course pivo'!$1:$2,2,FALSE),FALSE))),"")</f>
        <v/>
      </c>
      <c r="P273" s="14" t="str">
        <f>IFERROR((VLOOKUP($A273,'[1]import success seats course'!$A:AD,HLOOKUP('[1]Course Totals'!P$4,'[1]import success seats course'!$1:$2,2,FALSE),FALSE)/(VLOOKUP($A273,'[1]import graded seats course pivo'!$A:AN,HLOOKUP('[1]Course Totals'!P$4,'[1]import graded seats course pivo'!$1:$2,2,FALSE),FALSE))),"")</f>
        <v/>
      </c>
      <c r="Q273" s="14" t="str">
        <f>IFERROR((VLOOKUP($A273,'[1]import success seats course'!$A:AE,HLOOKUP('[1]Course Totals'!Q$4,'[1]import success seats course'!$1:$2,2,FALSE),FALSE)/(VLOOKUP($A273,'[1]import graded seats course pivo'!$A:AO,HLOOKUP('[1]Course Totals'!Q$4,'[1]import graded seats course pivo'!$1:$2,2,FALSE),FALSE))),"")</f>
        <v/>
      </c>
      <c r="R273" s="14" t="str">
        <f>IFERROR((VLOOKUP($A273,'[1]import success seats course'!$A:AF,HLOOKUP('[1]Course Totals'!R$4,'[1]import success seats course'!$1:$2,2,FALSE),FALSE)/(VLOOKUP($A273,'[1]import graded seats course pivo'!$A:AP,HLOOKUP('[1]Course Totals'!R$4,'[1]import graded seats course pivo'!$1:$2,2,FALSE),FALSE))),"")</f>
        <v/>
      </c>
      <c r="S273" s="14" t="str">
        <f>IFERROR((VLOOKUP($A273,'[1]import success seats course'!$A:AG,HLOOKUP('[1]Course Totals'!S$4,'[1]import success seats course'!$1:$2,2,FALSE),FALSE)/(VLOOKUP($A273,'[1]import graded seats course pivo'!$A:AQ,HLOOKUP('[1]Course Totals'!S$4,'[1]import graded seats course pivo'!$1:$2,2,FALSE),FALSE))),"")</f>
        <v/>
      </c>
      <c r="Z273" s="7"/>
      <c r="AA273" s="7"/>
      <c r="AB273" s="7"/>
      <c r="AC273" s="7"/>
    </row>
    <row r="274" spans="1:29" ht="15.75" hidden="1" customHeight="1" x14ac:dyDescent="0.25">
      <c r="A274" s="12" t="s">
        <v>705</v>
      </c>
      <c r="B274" s="14" t="str">
        <f>IFERROR((VLOOKUP($A274,'[1]import success seats course'!$A:P,HLOOKUP('[1]Course Totals'!B$4,'[1]import success seats course'!$1:$2,2,FALSE),FALSE)/(VLOOKUP($A274,'[1]import graded seats course pivo'!$A:Z,HLOOKUP('[1]Course Totals'!B$4,'[1]import graded seats course pivo'!$1:$2,2,FALSE),FALSE))),"")</f>
        <v/>
      </c>
      <c r="C274" s="14" t="str">
        <f>IFERROR((VLOOKUP($A274,'[1]import success seats course'!$A:Q,HLOOKUP('[1]Course Totals'!C$4,'[1]import success seats course'!$1:$2,2,FALSE),FALSE)/(VLOOKUP($A274,'[1]import graded seats course pivo'!$A:AA,HLOOKUP('[1]Course Totals'!C$4,'[1]import graded seats course pivo'!$1:$2,2,FALSE),FALSE))),"")</f>
        <v/>
      </c>
      <c r="D274" s="14" t="str">
        <f>IFERROR((VLOOKUP($A274,'[1]import success seats course'!$A:R,HLOOKUP('[1]Course Totals'!D$4,'[1]import success seats course'!$1:$2,2,FALSE),FALSE)/(VLOOKUP($A274,'[1]import graded seats course pivo'!$A:AB,HLOOKUP('[1]Course Totals'!D$4,'[1]import graded seats course pivo'!$1:$2,2,FALSE),FALSE))),"")</f>
        <v/>
      </c>
      <c r="E274" s="14" t="str">
        <f>IFERROR((VLOOKUP($A274,'[1]import success seats course'!$A:S,HLOOKUP('[1]Course Totals'!E$4,'[1]import success seats course'!$1:$2,2,FALSE),FALSE)/(VLOOKUP($A274,'[1]import graded seats course pivo'!$A:AC,HLOOKUP('[1]Course Totals'!E$4,'[1]import graded seats course pivo'!$1:$2,2,FALSE),FALSE))),"")</f>
        <v/>
      </c>
      <c r="F274" s="14" t="str">
        <f>IFERROR((VLOOKUP($A274,'[1]import success seats course'!$A:T,HLOOKUP('[1]Course Totals'!F$4,'[1]import success seats course'!$1:$2,2,FALSE),FALSE)/(VLOOKUP($A274,'[1]import graded seats course pivo'!$A:AD,HLOOKUP('[1]Course Totals'!F$4,'[1]import graded seats course pivo'!$1:$2,2,FALSE),FALSE))),"")</f>
        <v/>
      </c>
      <c r="G274" s="14" t="str">
        <f>IFERROR((VLOOKUP($A274,'[1]import success seats course'!$A:U,HLOOKUP('[1]Course Totals'!G$4,'[1]import success seats course'!$1:$2,2,FALSE),FALSE)/(VLOOKUP($A274,'[1]import graded seats course pivo'!$A:AE,HLOOKUP('[1]Course Totals'!G$4,'[1]import graded seats course pivo'!$1:$2,2,FALSE),FALSE))),"")</f>
        <v/>
      </c>
      <c r="H274" s="14" t="str">
        <f>IFERROR((VLOOKUP($A274,'[1]import success seats course'!$A:V,HLOOKUP('[1]Course Totals'!H$4,'[1]import success seats course'!$1:$2,2,FALSE),FALSE)/(VLOOKUP($A274,'[1]import graded seats course pivo'!$A:AF,HLOOKUP('[1]Course Totals'!H$4,'[1]import graded seats course pivo'!$1:$2,2,FALSE),FALSE))),"")</f>
        <v/>
      </c>
      <c r="I274" s="14" t="str">
        <f>IFERROR((VLOOKUP($A274,'[1]import success seats course'!$A:W,HLOOKUP('[1]Course Totals'!I$4,'[1]import success seats course'!$1:$2,2,FALSE),FALSE)/(VLOOKUP($A274,'[1]import graded seats course pivo'!$A:AG,HLOOKUP('[1]Course Totals'!I$4,'[1]import graded seats course pivo'!$1:$2,2,FALSE),FALSE))),"")</f>
        <v/>
      </c>
      <c r="J274" s="14" t="str">
        <f>IFERROR((VLOOKUP($A274,'[1]import success seats course'!$A:X,HLOOKUP('[1]Course Totals'!J$4,'[1]import success seats course'!$1:$2,2,FALSE),FALSE)/(VLOOKUP($A274,'[1]import graded seats course pivo'!$A:AH,HLOOKUP('[1]Course Totals'!J$4,'[1]import graded seats course pivo'!$1:$2,2,FALSE),FALSE))),"")</f>
        <v/>
      </c>
      <c r="K274" s="14" t="str">
        <f>IFERROR((VLOOKUP($A274,'[1]import success seats course'!$A:Y,HLOOKUP('[1]Course Totals'!K$4,'[1]import success seats course'!$1:$2,2,FALSE),FALSE)/(VLOOKUP($A274,'[1]import graded seats course pivo'!$A:AI,HLOOKUP('[1]Course Totals'!K$4,'[1]import graded seats course pivo'!$1:$2,2,FALSE),FALSE))),"")</f>
        <v/>
      </c>
      <c r="L274" s="14" t="str">
        <f>IFERROR((VLOOKUP($A274,'[1]import success seats course'!$A:Z,HLOOKUP('[1]Course Totals'!L$4,'[1]import success seats course'!$1:$2,2,FALSE),FALSE)/(VLOOKUP($A274,'[1]import graded seats course pivo'!$A:AJ,HLOOKUP('[1]Course Totals'!L$4,'[1]import graded seats course pivo'!$1:$2,2,FALSE),FALSE))),"")</f>
        <v/>
      </c>
      <c r="M274" s="14" t="str">
        <f>IFERROR((VLOOKUP($A274,'[1]import success seats course'!$A:AA,HLOOKUP('[1]Course Totals'!M$4,'[1]import success seats course'!$1:$2,2,FALSE),FALSE)/(VLOOKUP($A274,'[1]import graded seats course pivo'!$A:AK,HLOOKUP('[1]Course Totals'!M$4,'[1]import graded seats course pivo'!$1:$2,2,FALSE),FALSE))),"")</f>
        <v/>
      </c>
      <c r="N274" s="14" t="str">
        <f>IFERROR((VLOOKUP($A274,'[1]import success seats course'!$A:AB,HLOOKUP('[1]Course Totals'!N$4,'[1]import success seats course'!$1:$2,2,FALSE),FALSE)/(VLOOKUP($A274,'[1]import graded seats course pivo'!$A:AL,HLOOKUP('[1]Course Totals'!N$4,'[1]import graded seats course pivo'!$1:$2,2,FALSE),FALSE))),"")</f>
        <v/>
      </c>
      <c r="O274" s="14" t="str">
        <f>IFERROR((VLOOKUP($A274,'[1]import success seats course'!$A:AC,HLOOKUP('[1]Course Totals'!O$4,'[1]import success seats course'!$1:$2,2,FALSE),FALSE)/(VLOOKUP($A274,'[1]import graded seats course pivo'!$A:AM,HLOOKUP('[1]Course Totals'!O$4,'[1]import graded seats course pivo'!$1:$2,2,FALSE),FALSE))),"")</f>
        <v/>
      </c>
      <c r="P274" s="14" t="str">
        <f>IFERROR((VLOOKUP($A274,'[1]import success seats course'!$A:AD,HLOOKUP('[1]Course Totals'!P$4,'[1]import success seats course'!$1:$2,2,FALSE),FALSE)/(VLOOKUP($A274,'[1]import graded seats course pivo'!$A:AN,HLOOKUP('[1]Course Totals'!P$4,'[1]import graded seats course pivo'!$1:$2,2,FALSE),FALSE))),"")</f>
        <v/>
      </c>
      <c r="Q274" s="14" t="str">
        <f>IFERROR((VLOOKUP($A274,'[1]import success seats course'!$A:AE,HLOOKUP('[1]Course Totals'!Q$4,'[1]import success seats course'!$1:$2,2,FALSE),FALSE)/(VLOOKUP($A274,'[1]import graded seats course pivo'!$A:AO,HLOOKUP('[1]Course Totals'!Q$4,'[1]import graded seats course pivo'!$1:$2,2,FALSE),FALSE))),"")</f>
        <v/>
      </c>
      <c r="R274" s="14" t="str">
        <f>IFERROR((VLOOKUP($A274,'[1]import success seats course'!$A:AF,HLOOKUP('[1]Course Totals'!R$4,'[1]import success seats course'!$1:$2,2,FALSE),FALSE)/(VLOOKUP($A274,'[1]import graded seats course pivo'!$A:AP,HLOOKUP('[1]Course Totals'!R$4,'[1]import graded seats course pivo'!$1:$2,2,FALSE),FALSE))),"")</f>
        <v/>
      </c>
      <c r="S274" s="14" t="str">
        <f>IFERROR((VLOOKUP($A274,'[1]import success seats course'!$A:AG,HLOOKUP('[1]Course Totals'!S$4,'[1]import success seats course'!$1:$2,2,FALSE),FALSE)/(VLOOKUP($A274,'[1]import graded seats course pivo'!$A:AQ,HLOOKUP('[1]Course Totals'!S$4,'[1]import graded seats course pivo'!$1:$2,2,FALSE),FALSE))),"")</f>
        <v/>
      </c>
      <c r="Z274" s="7"/>
      <c r="AA274" s="7"/>
      <c r="AB274" s="7"/>
      <c r="AC274" s="7"/>
    </row>
    <row r="275" spans="1:29" ht="15.75" hidden="1" customHeight="1" x14ac:dyDescent="0.25">
      <c r="A275" s="12" t="s">
        <v>706</v>
      </c>
      <c r="B275" s="14" t="str">
        <f>IFERROR((VLOOKUP($A275,'[1]import success seats course'!$A:P,HLOOKUP('[1]Course Totals'!B$4,'[1]import success seats course'!$1:$2,2,FALSE),FALSE)/(VLOOKUP($A275,'[1]import graded seats course pivo'!$A:Z,HLOOKUP('[1]Course Totals'!B$4,'[1]import graded seats course pivo'!$1:$2,2,FALSE),FALSE))),"")</f>
        <v/>
      </c>
      <c r="C275" s="14" t="str">
        <f>IFERROR((VLOOKUP($A275,'[1]import success seats course'!$A:Q,HLOOKUP('[1]Course Totals'!C$4,'[1]import success seats course'!$1:$2,2,FALSE),FALSE)/(VLOOKUP($A275,'[1]import graded seats course pivo'!$A:AA,HLOOKUP('[1]Course Totals'!C$4,'[1]import graded seats course pivo'!$1:$2,2,FALSE),FALSE))),"")</f>
        <v/>
      </c>
      <c r="D275" s="14" t="str">
        <f>IFERROR((VLOOKUP($A275,'[1]import success seats course'!$A:R,HLOOKUP('[1]Course Totals'!D$4,'[1]import success seats course'!$1:$2,2,FALSE),FALSE)/(VLOOKUP($A275,'[1]import graded seats course pivo'!$A:AB,HLOOKUP('[1]Course Totals'!D$4,'[1]import graded seats course pivo'!$1:$2,2,FALSE),FALSE))),"")</f>
        <v/>
      </c>
      <c r="E275" s="14" t="str">
        <f>IFERROR((VLOOKUP($A275,'[1]import success seats course'!$A:S,HLOOKUP('[1]Course Totals'!E$4,'[1]import success seats course'!$1:$2,2,FALSE),FALSE)/(VLOOKUP($A275,'[1]import graded seats course pivo'!$A:AC,HLOOKUP('[1]Course Totals'!E$4,'[1]import graded seats course pivo'!$1:$2,2,FALSE),FALSE))),"")</f>
        <v/>
      </c>
      <c r="F275" s="14" t="str">
        <f>IFERROR((VLOOKUP($A275,'[1]import success seats course'!$A:T,HLOOKUP('[1]Course Totals'!F$4,'[1]import success seats course'!$1:$2,2,FALSE),FALSE)/(VLOOKUP($A275,'[1]import graded seats course pivo'!$A:AD,HLOOKUP('[1]Course Totals'!F$4,'[1]import graded seats course pivo'!$1:$2,2,FALSE),FALSE))),"")</f>
        <v/>
      </c>
      <c r="G275" s="14" t="str">
        <f>IFERROR((VLOOKUP($A275,'[1]import success seats course'!$A:U,HLOOKUP('[1]Course Totals'!G$4,'[1]import success seats course'!$1:$2,2,FALSE),FALSE)/(VLOOKUP($A275,'[1]import graded seats course pivo'!$A:AE,HLOOKUP('[1]Course Totals'!G$4,'[1]import graded seats course pivo'!$1:$2,2,FALSE),FALSE))),"")</f>
        <v/>
      </c>
      <c r="H275" s="14" t="str">
        <f>IFERROR((VLOOKUP($A275,'[1]import success seats course'!$A:V,HLOOKUP('[1]Course Totals'!H$4,'[1]import success seats course'!$1:$2,2,FALSE),FALSE)/(VLOOKUP($A275,'[1]import graded seats course pivo'!$A:AF,HLOOKUP('[1]Course Totals'!H$4,'[1]import graded seats course pivo'!$1:$2,2,FALSE),FALSE))),"")</f>
        <v/>
      </c>
      <c r="I275" s="14" t="str">
        <f>IFERROR((VLOOKUP($A275,'[1]import success seats course'!$A:W,HLOOKUP('[1]Course Totals'!I$4,'[1]import success seats course'!$1:$2,2,FALSE),FALSE)/(VLOOKUP($A275,'[1]import graded seats course pivo'!$A:AG,HLOOKUP('[1]Course Totals'!I$4,'[1]import graded seats course pivo'!$1:$2,2,FALSE),FALSE))),"")</f>
        <v/>
      </c>
      <c r="J275" s="14" t="str">
        <f>IFERROR((VLOOKUP($A275,'[1]import success seats course'!$A:X,HLOOKUP('[1]Course Totals'!J$4,'[1]import success seats course'!$1:$2,2,FALSE),FALSE)/(VLOOKUP($A275,'[1]import graded seats course pivo'!$A:AH,HLOOKUP('[1]Course Totals'!J$4,'[1]import graded seats course pivo'!$1:$2,2,FALSE),FALSE))),"")</f>
        <v/>
      </c>
      <c r="K275" s="14" t="str">
        <f>IFERROR((VLOOKUP($A275,'[1]import success seats course'!$A:Y,HLOOKUP('[1]Course Totals'!K$4,'[1]import success seats course'!$1:$2,2,FALSE),FALSE)/(VLOOKUP($A275,'[1]import graded seats course pivo'!$A:AI,HLOOKUP('[1]Course Totals'!K$4,'[1]import graded seats course pivo'!$1:$2,2,FALSE),FALSE))),"")</f>
        <v/>
      </c>
      <c r="L275" s="14" t="str">
        <f>IFERROR((VLOOKUP($A275,'[1]import success seats course'!$A:Z,HLOOKUP('[1]Course Totals'!L$4,'[1]import success seats course'!$1:$2,2,FALSE),FALSE)/(VLOOKUP($A275,'[1]import graded seats course pivo'!$A:AJ,HLOOKUP('[1]Course Totals'!L$4,'[1]import graded seats course pivo'!$1:$2,2,FALSE),FALSE))),"")</f>
        <v/>
      </c>
      <c r="M275" s="14" t="str">
        <f>IFERROR((VLOOKUP($A275,'[1]import success seats course'!$A:AA,HLOOKUP('[1]Course Totals'!M$4,'[1]import success seats course'!$1:$2,2,FALSE),FALSE)/(VLOOKUP($A275,'[1]import graded seats course pivo'!$A:AK,HLOOKUP('[1]Course Totals'!M$4,'[1]import graded seats course pivo'!$1:$2,2,FALSE),FALSE))),"")</f>
        <v/>
      </c>
      <c r="N275" s="14" t="str">
        <f>IFERROR((VLOOKUP($A275,'[1]import success seats course'!$A:AB,HLOOKUP('[1]Course Totals'!N$4,'[1]import success seats course'!$1:$2,2,FALSE),FALSE)/(VLOOKUP($A275,'[1]import graded seats course pivo'!$A:AL,HLOOKUP('[1]Course Totals'!N$4,'[1]import graded seats course pivo'!$1:$2,2,FALSE),FALSE))),"")</f>
        <v/>
      </c>
      <c r="O275" s="14" t="str">
        <f>IFERROR((VLOOKUP($A275,'[1]import success seats course'!$A:AC,HLOOKUP('[1]Course Totals'!O$4,'[1]import success seats course'!$1:$2,2,FALSE),FALSE)/(VLOOKUP($A275,'[1]import graded seats course pivo'!$A:AM,HLOOKUP('[1]Course Totals'!O$4,'[1]import graded seats course pivo'!$1:$2,2,FALSE),FALSE))),"")</f>
        <v/>
      </c>
      <c r="P275" s="14" t="str">
        <f>IFERROR((VLOOKUP($A275,'[1]import success seats course'!$A:AD,HLOOKUP('[1]Course Totals'!P$4,'[1]import success seats course'!$1:$2,2,FALSE),FALSE)/(VLOOKUP($A275,'[1]import graded seats course pivo'!$A:AN,HLOOKUP('[1]Course Totals'!P$4,'[1]import graded seats course pivo'!$1:$2,2,FALSE),FALSE))),"")</f>
        <v/>
      </c>
      <c r="Q275" s="14" t="str">
        <f>IFERROR((VLOOKUP($A275,'[1]import success seats course'!$A:AE,HLOOKUP('[1]Course Totals'!Q$4,'[1]import success seats course'!$1:$2,2,FALSE),FALSE)/(VLOOKUP($A275,'[1]import graded seats course pivo'!$A:AO,HLOOKUP('[1]Course Totals'!Q$4,'[1]import graded seats course pivo'!$1:$2,2,FALSE),FALSE))),"")</f>
        <v/>
      </c>
      <c r="R275" s="14" t="str">
        <f>IFERROR((VLOOKUP($A275,'[1]import success seats course'!$A:AF,HLOOKUP('[1]Course Totals'!R$4,'[1]import success seats course'!$1:$2,2,FALSE),FALSE)/(VLOOKUP($A275,'[1]import graded seats course pivo'!$A:AP,HLOOKUP('[1]Course Totals'!R$4,'[1]import graded seats course pivo'!$1:$2,2,FALSE),FALSE))),"")</f>
        <v/>
      </c>
      <c r="S275" s="14" t="str">
        <f>IFERROR((VLOOKUP($A275,'[1]import success seats course'!$A:AG,HLOOKUP('[1]Course Totals'!S$4,'[1]import success seats course'!$1:$2,2,FALSE),FALSE)/(VLOOKUP($A275,'[1]import graded seats course pivo'!$A:AQ,HLOOKUP('[1]Course Totals'!S$4,'[1]import graded seats course pivo'!$1:$2,2,FALSE),FALSE))),"")</f>
        <v/>
      </c>
      <c r="Z275" s="7"/>
      <c r="AA275" s="7"/>
      <c r="AB275" s="7"/>
      <c r="AC275" s="7"/>
    </row>
    <row r="276" spans="1:29" ht="15.75" hidden="1" customHeight="1" x14ac:dyDescent="0.25">
      <c r="A276" s="12" t="s">
        <v>707</v>
      </c>
      <c r="B276" s="14" t="str">
        <f>IFERROR((VLOOKUP($A276,'[1]import success seats course'!$A:P,HLOOKUP('[1]Course Totals'!B$4,'[1]import success seats course'!$1:$2,2,FALSE),FALSE)/(VLOOKUP($A276,'[1]import graded seats course pivo'!$A:Z,HLOOKUP('[1]Course Totals'!B$4,'[1]import graded seats course pivo'!$1:$2,2,FALSE),FALSE))),"")</f>
        <v/>
      </c>
      <c r="C276" s="14" t="str">
        <f>IFERROR((VLOOKUP($A276,'[1]import success seats course'!$A:Q,HLOOKUP('[1]Course Totals'!C$4,'[1]import success seats course'!$1:$2,2,FALSE),FALSE)/(VLOOKUP($A276,'[1]import graded seats course pivo'!$A:AA,HLOOKUP('[1]Course Totals'!C$4,'[1]import graded seats course pivo'!$1:$2,2,FALSE),FALSE))),"")</f>
        <v/>
      </c>
      <c r="D276" s="14" t="str">
        <f>IFERROR((VLOOKUP($A276,'[1]import success seats course'!$A:R,HLOOKUP('[1]Course Totals'!D$4,'[1]import success seats course'!$1:$2,2,FALSE),FALSE)/(VLOOKUP($A276,'[1]import graded seats course pivo'!$A:AB,HLOOKUP('[1]Course Totals'!D$4,'[1]import graded seats course pivo'!$1:$2,2,FALSE),FALSE))),"")</f>
        <v/>
      </c>
      <c r="E276" s="14" t="str">
        <f>IFERROR((VLOOKUP($A276,'[1]import success seats course'!$A:S,HLOOKUP('[1]Course Totals'!E$4,'[1]import success seats course'!$1:$2,2,FALSE),FALSE)/(VLOOKUP($A276,'[1]import graded seats course pivo'!$A:AC,HLOOKUP('[1]Course Totals'!E$4,'[1]import graded seats course pivo'!$1:$2,2,FALSE),FALSE))),"")</f>
        <v/>
      </c>
      <c r="F276" s="14" t="str">
        <f>IFERROR((VLOOKUP($A276,'[1]import success seats course'!$A:T,HLOOKUP('[1]Course Totals'!F$4,'[1]import success seats course'!$1:$2,2,FALSE),FALSE)/(VLOOKUP($A276,'[1]import graded seats course pivo'!$A:AD,HLOOKUP('[1]Course Totals'!F$4,'[1]import graded seats course pivo'!$1:$2,2,FALSE),FALSE))),"")</f>
        <v/>
      </c>
      <c r="G276" s="14" t="str">
        <f>IFERROR((VLOOKUP($A276,'[1]import success seats course'!$A:U,HLOOKUP('[1]Course Totals'!G$4,'[1]import success seats course'!$1:$2,2,FALSE),FALSE)/(VLOOKUP($A276,'[1]import graded seats course pivo'!$A:AE,HLOOKUP('[1]Course Totals'!G$4,'[1]import graded seats course pivo'!$1:$2,2,FALSE),FALSE))),"")</f>
        <v/>
      </c>
      <c r="H276" s="14" t="str">
        <f>IFERROR((VLOOKUP($A276,'[1]import success seats course'!$A:V,HLOOKUP('[1]Course Totals'!H$4,'[1]import success seats course'!$1:$2,2,FALSE),FALSE)/(VLOOKUP($A276,'[1]import graded seats course pivo'!$A:AF,HLOOKUP('[1]Course Totals'!H$4,'[1]import graded seats course pivo'!$1:$2,2,FALSE),FALSE))),"")</f>
        <v/>
      </c>
      <c r="I276" s="14" t="str">
        <f>IFERROR((VLOOKUP($A276,'[1]import success seats course'!$A:W,HLOOKUP('[1]Course Totals'!I$4,'[1]import success seats course'!$1:$2,2,FALSE),FALSE)/(VLOOKUP($A276,'[1]import graded seats course pivo'!$A:AG,HLOOKUP('[1]Course Totals'!I$4,'[1]import graded seats course pivo'!$1:$2,2,FALSE),FALSE))),"")</f>
        <v/>
      </c>
      <c r="J276" s="14" t="str">
        <f>IFERROR((VLOOKUP($A276,'[1]import success seats course'!$A:X,HLOOKUP('[1]Course Totals'!J$4,'[1]import success seats course'!$1:$2,2,FALSE),FALSE)/(VLOOKUP($A276,'[1]import graded seats course pivo'!$A:AH,HLOOKUP('[1]Course Totals'!J$4,'[1]import graded seats course pivo'!$1:$2,2,FALSE),FALSE))),"")</f>
        <v/>
      </c>
      <c r="K276" s="14" t="str">
        <f>IFERROR((VLOOKUP($A276,'[1]import success seats course'!$A:Y,HLOOKUP('[1]Course Totals'!K$4,'[1]import success seats course'!$1:$2,2,FALSE),FALSE)/(VLOOKUP($A276,'[1]import graded seats course pivo'!$A:AI,HLOOKUP('[1]Course Totals'!K$4,'[1]import graded seats course pivo'!$1:$2,2,FALSE),FALSE))),"")</f>
        <v/>
      </c>
      <c r="L276" s="14" t="str">
        <f>IFERROR((VLOOKUP($A276,'[1]import success seats course'!$A:Z,HLOOKUP('[1]Course Totals'!L$4,'[1]import success seats course'!$1:$2,2,FALSE),FALSE)/(VLOOKUP($A276,'[1]import graded seats course pivo'!$A:AJ,HLOOKUP('[1]Course Totals'!L$4,'[1]import graded seats course pivo'!$1:$2,2,FALSE),FALSE))),"")</f>
        <v/>
      </c>
      <c r="M276" s="14" t="str">
        <f>IFERROR((VLOOKUP($A276,'[1]import success seats course'!$A:AA,HLOOKUP('[1]Course Totals'!M$4,'[1]import success seats course'!$1:$2,2,FALSE),FALSE)/(VLOOKUP($A276,'[1]import graded seats course pivo'!$A:AK,HLOOKUP('[1]Course Totals'!M$4,'[1]import graded seats course pivo'!$1:$2,2,FALSE),FALSE))),"")</f>
        <v/>
      </c>
      <c r="N276" s="14" t="str">
        <f>IFERROR((VLOOKUP($A276,'[1]import success seats course'!$A:AB,HLOOKUP('[1]Course Totals'!N$4,'[1]import success seats course'!$1:$2,2,FALSE),FALSE)/(VLOOKUP($A276,'[1]import graded seats course pivo'!$A:AL,HLOOKUP('[1]Course Totals'!N$4,'[1]import graded seats course pivo'!$1:$2,2,FALSE),FALSE))),"")</f>
        <v/>
      </c>
      <c r="O276" s="14" t="str">
        <f>IFERROR((VLOOKUP($A276,'[1]import success seats course'!$A:AC,HLOOKUP('[1]Course Totals'!O$4,'[1]import success seats course'!$1:$2,2,FALSE),FALSE)/(VLOOKUP($A276,'[1]import graded seats course pivo'!$A:AM,HLOOKUP('[1]Course Totals'!O$4,'[1]import graded seats course pivo'!$1:$2,2,FALSE),FALSE))),"")</f>
        <v/>
      </c>
      <c r="P276" s="14" t="str">
        <f>IFERROR((VLOOKUP($A276,'[1]import success seats course'!$A:AD,HLOOKUP('[1]Course Totals'!P$4,'[1]import success seats course'!$1:$2,2,FALSE),FALSE)/(VLOOKUP($A276,'[1]import graded seats course pivo'!$A:AN,HLOOKUP('[1]Course Totals'!P$4,'[1]import graded seats course pivo'!$1:$2,2,FALSE),FALSE))),"")</f>
        <v/>
      </c>
      <c r="Q276" s="14" t="str">
        <f>IFERROR((VLOOKUP($A276,'[1]import success seats course'!$A:AE,HLOOKUP('[1]Course Totals'!Q$4,'[1]import success seats course'!$1:$2,2,FALSE),FALSE)/(VLOOKUP($A276,'[1]import graded seats course pivo'!$A:AO,HLOOKUP('[1]Course Totals'!Q$4,'[1]import graded seats course pivo'!$1:$2,2,FALSE),FALSE))),"")</f>
        <v/>
      </c>
      <c r="R276" s="14" t="str">
        <f>IFERROR((VLOOKUP($A276,'[1]import success seats course'!$A:AF,HLOOKUP('[1]Course Totals'!R$4,'[1]import success seats course'!$1:$2,2,FALSE),FALSE)/(VLOOKUP($A276,'[1]import graded seats course pivo'!$A:AP,HLOOKUP('[1]Course Totals'!R$4,'[1]import graded seats course pivo'!$1:$2,2,FALSE),FALSE))),"")</f>
        <v/>
      </c>
      <c r="S276" s="14" t="str">
        <f>IFERROR((VLOOKUP($A276,'[1]import success seats course'!$A:AG,HLOOKUP('[1]Course Totals'!S$4,'[1]import success seats course'!$1:$2,2,FALSE),FALSE)/(VLOOKUP($A276,'[1]import graded seats course pivo'!$A:AQ,HLOOKUP('[1]Course Totals'!S$4,'[1]import graded seats course pivo'!$1:$2,2,FALSE),FALSE))),"")</f>
        <v/>
      </c>
      <c r="Z276" s="7"/>
      <c r="AA276" s="7"/>
      <c r="AB276" s="7"/>
      <c r="AC276" s="7"/>
    </row>
    <row r="277" spans="1:29" ht="15.75" hidden="1" customHeight="1" x14ac:dyDescent="0.25">
      <c r="A277" s="12" t="s">
        <v>1010</v>
      </c>
      <c r="B277" s="14" t="str">
        <f>IFERROR((VLOOKUP($A277,'[1]import success seats course'!$A:P,HLOOKUP('[1]Course Totals'!B$4,'[1]import success seats course'!$1:$2,2,FALSE),FALSE)/(VLOOKUP($A277,'[1]import graded seats course pivo'!$A:Z,HLOOKUP('[1]Course Totals'!B$4,'[1]import graded seats course pivo'!$1:$2,2,FALSE),FALSE))),"")</f>
        <v/>
      </c>
      <c r="C277" s="14" t="str">
        <f>IFERROR((VLOOKUP($A277,'[1]import success seats course'!$A:Q,HLOOKUP('[1]Course Totals'!C$4,'[1]import success seats course'!$1:$2,2,FALSE),FALSE)/(VLOOKUP($A277,'[1]import graded seats course pivo'!$A:AA,HLOOKUP('[1]Course Totals'!C$4,'[1]import graded seats course pivo'!$1:$2,2,FALSE),FALSE))),"")</f>
        <v/>
      </c>
      <c r="D277" s="14" t="str">
        <f>IFERROR((VLOOKUP($A277,'[1]import success seats course'!$A:R,HLOOKUP('[1]Course Totals'!D$4,'[1]import success seats course'!$1:$2,2,FALSE),FALSE)/(VLOOKUP($A277,'[1]import graded seats course pivo'!$A:AB,HLOOKUP('[1]Course Totals'!D$4,'[1]import graded seats course pivo'!$1:$2,2,FALSE),FALSE))),"")</f>
        <v/>
      </c>
      <c r="E277" s="14" t="str">
        <f>IFERROR((VLOOKUP($A277,'[1]import success seats course'!$A:S,HLOOKUP('[1]Course Totals'!E$4,'[1]import success seats course'!$1:$2,2,FALSE),FALSE)/(VLOOKUP($A277,'[1]import graded seats course pivo'!$A:AC,HLOOKUP('[1]Course Totals'!E$4,'[1]import graded seats course pivo'!$1:$2,2,FALSE),FALSE))),"")</f>
        <v/>
      </c>
      <c r="F277" s="14" t="str">
        <f>IFERROR((VLOOKUP($A277,'[1]import success seats course'!$A:T,HLOOKUP('[1]Course Totals'!F$4,'[1]import success seats course'!$1:$2,2,FALSE),FALSE)/(VLOOKUP($A277,'[1]import graded seats course pivo'!$A:AD,HLOOKUP('[1]Course Totals'!F$4,'[1]import graded seats course pivo'!$1:$2,2,FALSE),FALSE))),"")</f>
        <v/>
      </c>
      <c r="G277" s="14" t="str">
        <f>IFERROR((VLOOKUP($A277,'[1]import success seats course'!$A:U,HLOOKUP('[1]Course Totals'!G$4,'[1]import success seats course'!$1:$2,2,FALSE),FALSE)/(VLOOKUP($A277,'[1]import graded seats course pivo'!$A:AE,HLOOKUP('[1]Course Totals'!G$4,'[1]import graded seats course pivo'!$1:$2,2,FALSE),FALSE))),"")</f>
        <v/>
      </c>
      <c r="H277" s="14" t="str">
        <f>IFERROR((VLOOKUP($A277,'[1]import success seats course'!$A:V,HLOOKUP('[1]Course Totals'!H$4,'[1]import success seats course'!$1:$2,2,FALSE),FALSE)/(VLOOKUP($A277,'[1]import graded seats course pivo'!$A:AF,HLOOKUP('[1]Course Totals'!H$4,'[1]import graded seats course pivo'!$1:$2,2,FALSE),FALSE))),"")</f>
        <v/>
      </c>
      <c r="I277" s="14" t="str">
        <f>IFERROR((VLOOKUP($A277,'[1]import success seats course'!$A:W,HLOOKUP('[1]Course Totals'!I$4,'[1]import success seats course'!$1:$2,2,FALSE),FALSE)/(VLOOKUP($A277,'[1]import graded seats course pivo'!$A:AG,HLOOKUP('[1]Course Totals'!I$4,'[1]import graded seats course pivo'!$1:$2,2,FALSE),FALSE))),"")</f>
        <v/>
      </c>
      <c r="J277" s="14" t="str">
        <f>IFERROR((VLOOKUP($A277,'[1]import success seats course'!$A:X,HLOOKUP('[1]Course Totals'!J$4,'[1]import success seats course'!$1:$2,2,FALSE),FALSE)/(VLOOKUP($A277,'[1]import graded seats course pivo'!$A:AH,HLOOKUP('[1]Course Totals'!J$4,'[1]import graded seats course pivo'!$1:$2,2,FALSE),FALSE))),"")</f>
        <v/>
      </c>
      <c r="K277" s="14" t="str">
        <f>IFERROR((VLOOKUP($A277,'[1]import success seats course'!$A:Y,HLOOKUP('[1]Course Totals'!K$4,'[1]import success seats course'!$1:$2,2,FALSE),FALSE)/(VLOOKUP($A277,'[1]import graded seats course pivo'!$A:AI,HLOOKUP('[1]Course Totals'!K$4,'[1]import graded seats course pivo'!$1:$2,2,FALSE),FALSE))),"")</f>
        <v/>
      </c>
      <c r="L277" s="14" t="str">
        <f>IFERROR((VLOOKUP($A277,'[1]import success seats course'!$A:Z,HLOOKUP('[1]Course Totals'!L$4,'[1]import success seats course'!$1:$2,2,FALSE),FALSE)/(VLOOKUP($A277,'[1]import graded seats course pivo'!$A:AJ,HLOOKUP('[1]Course Totals'!L$4,'[1]import graded seats course pivo'!$1:$2,2,FALSE),FALSE))),"")</f>
        <v/>
      </c>
      <c r="M277" s="14" t="str">
        <f>IFERROR((VLOOKUP($A277,'[1]import success seats course'!$A:AA,HLOOKUP('[1]Course Totals'!M$4,'[1]import success seats course'!$1:$2,2,FALSE),FALSE)/(VLOOKUP($A277,'[1]import graded seats course pivo'!$A:AK,HLOOKUP('[1]Course Totals'!M$4,'[1]import graded seats course pivo'!$1:$2,2,FALSE),FALSE))),"")</f>
        <v/>
      </c>
      <c r="N277" s="14" t="str">
        <f>IFERROR((VLOOKUP($A277,'[1]import success seats course'!$A:AB,HLOOKUP('[1]Course Totals'!N$4,'[1]import success seats course'!$1:$2,2,FALSE),FALSE)/(VLOOKUP($A277,'[1]import graded seats course pivo'!$A:AL,HLOOKUP('[1]Course Totals'!N$4,'[1]import graded seats course pivo'!$1:$2,2,FALSE),FALSE))),"")</f>
        <v/>
      </c>
      <c r="O277" s="14" t="str">
        <f>IFERROR((VLOOKUP($A277,'[1]import success seats course'!$A:AC,HLOOKUP('[1]Course Totals'!O$4,'[1]import success seats course'!$1:$2,2,FALSE),FALSE)/(VLOOKUP($A277,'[1]import graded seats course pivo'!$A:AM,HLOOKUP('[1]Course Totals'!O$4,'[1]import graded seats course pivo'!$1:$2,2,FALSE),FALSE))),"")</f>
        <v/>
      </c>
      <c r="P277" s="14" t="str">
        <f>IFERROR((VLOOKUP($A277,'[1]import success seats course'!$A:AD,HLOOKUP('[1]Course Totals'!P$4,'[1]import success seats course'!$1:$2,2,FALSE),FALSE)/(VLOOKUP($A277,'[1]import graded seats course pivo'!$A:AN,HLOOKUP('[1]Course Totals'!P$4,'[1]import graded seats course pivo'!$1:$2,2,FALSE),FALSE))),"")</f>
        <v/>
      </c>
      <c r="Q277" s="14" t="str">
        <f>IFERROR((VLOOKUP($A277,'[1]import success seats course'!$A:AE,HLOOKUP('[1]Course Totals'!Q$4,'[1]import success seats course'!$1:$2,2,FALSE),FALSE)/(VLOOKUP($A277,'[1]import graded seats course pivo'!$A:AO,HLOOKUP('[1]Course Totals'!Q$4,'[1]import graded seats course pivo'!$1:$2,2,FALSE),FALSE))),"")</f>
        <v/>
      </c>
      <c r="R277" s="14" t="str">
        <f>IFERROR((VLOOKUP($A277,'[1]import success seats course'!$A:AF,HLOOKUP('[1]Course Totals'!R$4,'[1]import success seats course'!$1:$2,2,FALSE),FALSE)/(VLOOKUP($A277,'[1]import graded seats course pivo'!$A:AP,HLOOKUP('[1]Course Totals'!R$4,'[1]import graded seats course pivo'!$1:$2,2,FALSE),FALSE))),"")</f>
        <v/>
      </c>
      <c r="S277" s="14" t="str">
        <f>IFERROR((VLOOKUP($A277,'[1]import success seats course'!$A:AG,HLOOKUP('[1]Course Totals'!S$4,'[1]import success seats course'!$1:$2,2,FALSE),FALSE)/(VLOOKUP($A277,'[1]import graded seats course pivo'!$A:AQ,HLOOKUP('[1]Course Totals'!S$4,'[1]import graded seats course pivo'!$1:$2,2,FALSE),FALSE))),"")</f>
        <v/>
      </c>
      <c r="Z277" s="7"/>
      <c r="AA277" s="7"/>
      <c r="AB277" s="7"/>
      <c r="AC277" s="7"/>
    </row>
    <row r="278" spans="1:29" ht="15.75" hidden="1" customHeight="1" x14ac:dyDescent="0.25">
      <c r="A278" s="12" t="s">
        <v>776</v>
      </c>
      <c r="B278" s="14" t="str">
        <f>IFERROR((VLOOKUP($A278,'[1]import success seats course'!$A:P,HLOOKUP('[1]Course Totals'!B$4,'[1]import success seats course'!$1:$2,2,FALSE),FALSE)/(VLOOKUP($A278,'[1]import graded seats course pivo'!$A:Z,HLOOKUP('[1]Course Totals'!B$4,'[1]import graded seats course pivo'!$1:$2,2,FALSE),FALSE))),"")</f>
        <v/>
      </c>
      <c r="C278" s="14" t="str">
        <f>IFERROR((VLOOKUP($A278,'[1]import success seats course'!$A:Q,HLOOKUP('[1]Course Totals'!C$4,'[1]import success seats course'!$1:$2,2,FALSE),FALSE)/(VLOOKUP($A278,'[1]import graded seats course pivo'!$A:AA,HLOOKUP('[1]Course Totals'!C$4,'[1]import graded seats course pivo'!$1:$2,2,FALSE),FALSE))),"")</f>
        <v/>
      </c>
      <c r="D278" s="14" t="str">
        <f>IFERROR((VLOOKUP($A278,'[1]import success seats course'!$A:R,HLOOKUP('[1]Course Totals'!D$4,'[1]import success seats course'!$1:$2,2,FALSE),FALSE)/(VLOOKUP($A278,'[1]import graded seats course pivo'!$A:AB,HLOOKUP('[1]Course Totals'!D$4,'[1]import graded seats course pivo'!$1:$2,2,FALSE),FALSE))),"")</f>
        <v/>
      </c>
      <c r="E278" s="14" t="str">
        <f>IFERROR((VLOOKUP($A278,'[1]import success seats course'!$A:S,HLOOKUP('[1]Course Totals'!E$4,'[1]import success seats course'!$1:$2,2,FALSE),FALSE)/(VLOOKUP($A278,'[1]import graded seats course pivo'!$A:AC,HLOOKUP('[1]Course Totals'!E$4,'[1]import graded seats course pivo'!$1:$2,2,FALSE),FALSE))),"")</f>
        <v/>
      </c>
      <c r="F278" s="14" t="str">
        <f>IFERROR((VLOOKUP($A278,'[1]import success seats course'!$A:T,HLOOKUP('[1]Course Totals'!F$4,'[1]import success seats course'!$1:$2,2,FALSE),FALSE)/(VLOOKUP($A278,'[1]import graded seats course pivo'!$A:AD,HLOOKUP('[1]Course Totals'!F$4,'[1]import graded seats course pivo'!$1:$2,2,FALSE),FALSE))),"")</f>
        <v/>
      </c>
      <c r="G278" s="14" t="str">
        <f>IFERROR((VLOOKUP($A278,'[1]import success seats course'!$A:U,HLOOKUP('[1]Course Totals'!G$4,'[1]import success seats course'!$1:$2,2,FALSE),FALSE)/(VLOOKUP($A278,'[1]import graded seats course pivo'!$A:AE,HLOOKUP('[1]Course Totals'!G$4,'[1]import graded seats course pivo'!$1:$2,2,FALSE),FALSE))),"")</f>
        <v/>
      </c>
      <c r="H278" s="14" t="str">
        <f>IFERROR((VLOOKUP($A278,'[1]import success seats course'!$A:V,HLOOKUP('[1]Course Totals'!H$4,'[1]import success seats course'!$1:$2,2,FALSE),FALSE)/(VLOOKUP($A278,'[1]import graded seats course pivo'!$A:AF,HLOOKUP('[1]Course Totals'!H$4,'[1]import graded seats course pivo'!$1:$2,2,FALSE),FALSE))),"")</f>
        <v/>
      </c>
      <c r="I278" s="14" t="str">
        <f>IFERROR((VLOOKUP($A278,'[1]import success seats course'!$A:W,HLOOKUP('[1]Course Totals'!I$4,'[1]import success seats course'!$1:$2,2,FALSE),FALSE)/(VLOOKUP($A278,'[1]import graded seats course pivo'!$A:AG,HLOOKUP('[1]Course Totals'!I$4,'[1]import graded seats course pivo'!$1:$2,2,FALSE),FALSE))),"")</f>
        <v/>
      </c>
      <c r="J278" s="14" t="str">
        <f>IFERROR((VLOOKUP($A278,'[1]import success seats course'!$A:X,HLOOKUP('[1]Course Totals'!J$4,'[1]import success seats course'!$1:$2,2,FALSE),FALSE)/(VLOOKUP($A278,'[1]import graded seats course pivo'!$A:AH,HLOOKUP('[1]Course Totals'!J$4,'[1]import graded seats course pivo'!$1:$2,2,FALSE),FALSE))),"")</f>
        <v/>
      </c>
      <c r="K278" s="14" t="str">
        <f>IFERROR((VLOOKUP($A278,'[1]import success seats course'!$A:Y,HLOOKUP('[1]Course Totals'!K$4,'[1]import success seats course'!$1:$2,2,FALSE),FALSE)/(VLOOKUP($A278,'[1]import graded seats course pivo'!$A:AI,HLOOKUP('[1]Course Totals'!K$4,'[1]import graded seats course pivo'!$1:$2,2,FALSE),FALSE))),"")</f>
        <v/>
      </c>
      <c r="L278" s="14" t="str">
        <f>IFERROR((VLOOKUP($A278,'[1]import success seats course'!$A:Z,HLOOKUP('[1]Course Totals'!L$4,'[1]import success seats course'!$1:$2,2,FALSE),FALSE)/(VLOOKUP($A278,'[1]import graded seats course pivo'!$A:AJ,HLOOKUP('[1]Course Totals'!L$4,'[1]import graded seats course pivo'!$1:$2,2,FALSE),FALSE))),"")</f>
        <v/>
      </c>
      <c r="M278" s="14" t="str">
        <f>IFERROR((VLOOKUP($A278,'[1]import success seats course'!$A:AA,HLOOKUP('[1]Course Totals'!M$4,'[1]import success seats course'!$1:$2,2,FALSE),FALSE)/(VLOOKUP($A278,'[1]import graded seats course pivo'!$A:AK,HLOOKUP('[1]Course Totals'!M$4,'[1]import graded seats course pivo'!$1:$2,2,FALSE),FALSE))),"")</f>
        <v/>
      </c>
      <c r="N278" s="14" t="str">
        <f>IFERROR((VLOOKUP($A278,'[1]import success seats course'!$A:AB,HLOOKUP('[1]Course Totals'!N$4,'[1]import success seats course'!$1:$2,2,FALSE),FALSE)/(VLOOKUP($A278,'[1]import graded seats course pivo'!$A:AL,HLOOKUP('[1]Course Totals'!N$4,'[1]import graded seats course pivo'!$1:$2,2,FALSE),FALSE))),"")</f>
        <v/>
      </c>
      <c r="O278" s="14" t="str">
        <f>IFERROR((VLOOKUP($A278,'[1]import success seats course'!$A:AC,HLOOKUP('[1]Course Totals'!O$4,'[1]import success seats course'!$1:$2,2,FALSE),FALSE)/(VLOOKUP($A278,'[1]import graded seats course pivo'!$A:AM,HLOOKUP('[1]Course Totals'!O$4,'[1]import graded seats course pivo'!$1:$2,2,FALSE),FALSE))),"")</f>
        <v/>
      </c>
      <c r="P278" s="14" t="str">
        <f>IFERROR((VLOOKUP($A278,'[1]import success seats course'!$A:AD,HLOOKUP('[1]Course Totals'!P$4,'[1]import success seats course'!$1:$2,2,FALSE),FALSE)/(VLOOKUP($A278,'[1]import graded seats course pivo'!$A:AN,HLOOKUP('[1]Course Totals'!P$4,'[1]import graded seats course pivo'!$1:$2,2,FALSE),FALSE))),"")</f>
        <v/>
      </c>
      <c r="Q278" s="14" t="str">
        <f>IFERROR((VLOOKUP($A278,'[1]import success seats course'!$A:AE,HLOOKUP('[1]Course Totals'!Q$4,'[1]import success seats course'!$1:$2,2,FALSE),FALSE)/(VLOOKUP($A278,'[1]import graded seats course pivo'!$A:AO,HLOOKUP('[1]Course Totals'!Q$4,'[1]import graded seats course pivo'!$1:$2,2,FALSE),FALSE))),"")</f>
        <v/>
      </c>
      <c r="R278" s="14" t="str">
        <f>IFERROR((VLOOKUP($A278,'[1]import success seats course'!$A:AF,HLOOKUP('[1]Course Totals'!R$4,'[1]import success seats course'!$1:$2,2,FALSE),FALSE)/(VLOOKUP($A278,'[1]import graded seats course pivo'!$A:AP,HLOOKUP('[1]Course Totals'!R$4,'[1]import graded seats course pivo'!$1:$2,2,FALSE),FALSE))),"")</f>
        <v/>
      </c>
      <c r="S278" s="14" t="str">
        <f>IFERROR((VLOOKUP($A278,'[1]import success seats course'!$A:AG,HLOOKUP('[1]Course Totals'!S$4,'[1]import success seats course'!$1:$2,2,FALSE),FALSE)/(VLOOKUP($A278,'[1]import graded seats course pivo'!$A:AQ,HLOOKUP('[1]Course Totals'!S$4,'[1]import graded seats course pivo'!$1:$2,2,FALSE),FALSE))),"")</f>
        <v/>
      </c>
      <c r="Z278" s="7"/>
      <c r="AA278" s="7"/>
      <c r="AB278" s="7"/>
      <c r="AC278" s="7"/>
    </row>
    <row r="279" spans="1:29" ht="15.75" customHeight="1" x14ac:dyDescent="0.25">
      <c r="A279" s="12" t="s">
        <v>137</v>
      </c>
      <c r="B279" s="14">
        <f>IFERROR((VLOOKUP($A279,'[1]import success seats course'!$A:P,HLOOKUP('[1]Course Totals'!B$4,'[1]import success seats course'!$1:$2,2,FALSE),FALSE)/(VLOOKUP($A279,'[1]import graded seats course pivo'!$A:Z,HLOOKUP('[1]Course Totals'!B$4,'[1]import graded seats course pivo'!$1:$2,2,FALSE),FALSE))),"")</f>
        <v>1</v>
      </c>
      <c r="C279" s="14">
        <f>IFERROR((VLOOKUP($A279,'[1]import success seats course'!$A:Q,HLOOKUP('[1]Course Totals'!C$4,'[1]import success seats course'!$1:$2,2,FALSE),FALSE)/(VLOOKUP($A279,'[1]import graded seats course pivo'!$A:AA,HLOOKUP('[1]Course Totals'!C$4,'[1]import graded seats course pivo'!$1:$2,2,FALSE),FALSE))),"")</f>
        <v>0.8</v>
      </c>
      <c r="D279" s="14">
        <f>IFERROR((VLOOKUP($A279,'[1]import success seats course'!$A:R,HLOOKUP('[1]Course Totals'!D$4,'[1]import success seats course'!$1:$2,2,FALSE),FALSE)/(VLOOKUP($A279,'[1]import graded seats course pivo'!$A:AB,HLOOKUP('[1]Course Totals'!D$4,'[1]import graded seats course pivo'!$1:$2,2,FALSE),FALSE))),"")</f>
        <v>0.85</v>
      </c>
      <c r="E279" s="14" t="str">
        <f>IFERROR((VLOOKUP($A279,'[1]import success seats course'!$A:S,HLOOKUP('[1]Course Totals'!E$4,'[1]import success seats course'!$1:$2,2,FALSE),FALSE)/(VLOOKUP($A279,'[1]import graded seats course pivo'!$A:AC,HLOOKUP('[1]Course Totals'!E$4,'[1]import graded seats course pivo'!$1:$2,2,FALSE),FALSE))),"")</f>
        <v/>
      </c>
      <c r="F279" s="14">
        <f>IFERROR((VLOOKUP($A279,'[1]import success seats course'!$A:T,HLOOKUP('[1]Course Totals'!F$4,'[1]import success seats course'!$1:$2,2,FALSE),FALSE)/(VLOOKUP($A279,'[1]import graded seats course pivo'!$A:AD,HLOOKUP('[1]Course Totals'!F$4,'[1]import graded seats course pivo'!$1:$2,2,FALSE),FALSE))),"")</f>
        <v>0.70666666666666667</v>
      </c>
      <c r="G279" s="14">
        <f>IFERROR((VLOOKUP($A279,'[1]import success seats course'!$A:U,HLOOKUP('[1]Course Totals'!G$4,'[1]import success seats course'!$1:$2,2,FALSE),FALSE)/(VLOOKUP($A279,'[1]import graded seats course pivo'!$A:AE,HLOOKUP('[1]Course Totals'!G$4,'[1]import graded seats course pivo'!$1:$2,2,FALSE),FALSE))),"")</f>
        <v>0.84210526315789469</v>
      </c>
      <c r="H279" s="14">
        <f>IFERROR((VLOOKUP($A279,'[1]import success seats course'!$A:V,HLOOKUP('[1]Course Totals'!H$4,'[1]import success seats course'!$1:$2,2,FALSE),FALSE)/(VLOOKUP($A279,'[1]import graded seats course pivo'!$A:AF,HLOOKUP('[1]Course Totals'!H$4,'[1]import graded seats course pivo'!$1:$2,2,FALSE),FALSE))),"")</f>
        <v>0.92105263157894735</v>
      </c>
      <c r="I279" s="14">
        <f>IFERROR((VLOOKUP($A279,'[1]import success seats course'!$A:W,HLOOKUP('[1]Course Totals'!I$4,'[1]import success seats course'!$1:$2,2,FALSE),FALSE)/(VLOOKUP($A279,'[1]import graded seats course pivo'!$A:AG,HLOOKUP('[1]Course Totals'!I$4,'[1]import graded seats course pivo'!$1:$2,2,FALSE),FALSE))),"")</f>
        <v>0.79245283018867929</v>
      </c>
      <c r="J279" s="14">
        <f>IFERROR((VLOOKUP($A279,'[1]import success seats course'!$A:X,HLOOKUP('[1]Course Totals'!J$4,'[1]import success seats course'!$1:$2,2,FALSE),FALSE)/(VLOOKUP($A279,'[1]import graded seats course pivo'!$A:AH,HLOOKUP('[1]Course Totals'!J$4,'[1]import graded seats course pivo'!$1:$2,2,FALSE),FALSE))),"")</f>
        <v>0.87951807228915657</v>
      </c>
      <c r="K279" s="14" t="str">
        <f>IFERROR((VLOOKUP($A279,'[1]import success seats course'!$A:Y,HLOOKUP('[1]Course Totals'!K$4,'[1]import success seats course'!$1:$2,2,FALSE),FALSE)/(VLOOKUP($A279,'[1]import graded seats course pivo'!$A:AI,HLOOKUP('[1]Course Totals'!K$4,'[1]import graded seats course pivo'!$1:$2,2,FALSE),FALSE))),"")</f>
        <v/>
      </c>
      <c r="L279" s="14">
        <f>IFERROR((VLOOKUP($A279,'[1]import success seats course'!$A:Z,HLOOKUP('[1]Course Totals'!L$4,'[1]import success seats course'!$1:$2,2,FALSE),FALSE)/(VLOOKUP($A279,'[1]import graded seats course pivo'!$A:AJ,HLOOKUP('[1]Course Totals'!L$4,'[1]import graded seats course pivo'!$1:$2,2,FALSE),FALSE))),"")</f>
        <v>0.7857142857142857</v>
      </c>
      <c r="M279" s="14">
        <f>IFERROR((VLOOKUP($A279,'[1]import success seats course'!$A:AA,HLOOKUP('[1]Course Totals'!M$4,'[1]import success seats course'!$1:$2,2,FALSE),FALSE)/(VLOOKUP($A279,'[1]import graded seats course pivo'!$A:AK,HLOOKUP('[1]Course Totals'!M$4,'[1]import graded seats course pivo'!$1:$2,2,FALSE),FALSE))),"")</f>
        <v>0.76623376623376627</v>
      </c>
      <c r="N279" s="14" t="str">
        <f>IFERROR((VLOOKUP($A279,'[1]import success seats course'!$A:AB,HLOOKUP('[1]Course Totals'!N$4,'[1]import success seats course'!$1:$2,2,FALSE),FALSE)/(VLOOKUP($A279,'[1]import graded seats course pivo'!$A:AL,HLOOKUP('[1]Course Totals'!N$4,'[1]import graded seats course pivo'!$1:$2,2,FALSE),FALSE))),"")</f>
        <v/>
      </c>
      <c r="O279" s="14">
        <f>IFERROR((VLOOKUP($A279,'[1]import success seats course'!$A:AC,HLOOKUP('[1]Course Totals'!O$4,'[1]import success seats course'!$1:$2,2,FALSE),FALSE)/(VLOOKUP($A279,'[1]import graded seats course pivo'!$A:AM,HLOOKUP('[1]Course Totals'!O$4,'[1]import graded seats course pivo'!$1:$2,2,FALSE),FALSE))),"")</f>
        <v>0.78666666666666663</v>
      </c>
      <c r="P279" s="14">
        <f>IFERROR((VLOOKUP($A279,'[1]import success seats course'!$A:AD,HLOOKUP('[1]Course Totals'!P$4,'[1]import success seats course'!$1:$2,2,FALSE),FALSE)/(VLOOKUP($A279,'[1]import graded seats course pivo'!$A:AN,HLOOKUP('[1]Course Totals'!P$4,'[1]import graded seats course pivo'!$1:$2,2,FALSE),FALSE))),"")</f>
        <v>0.83750000000000002</v>
      </c>
      <c r="Q279" s="14" t="str">
        <f>IFERROR((VLOOKUP($A279,'[1]import success seats course'!$A:AE,HLOOKUP('[1]Course Totals'!Q$4,'[1]import success seats course'!$1:$2,2,FALSE),FALSE)/(VLOOKUP($A279,'[1]import graded seats course pivo'!$A:AO,HLOOKUP('[1]Course Totals'!Q$4,'[1]import graded seats course pivo'!$1:$2,2,FALSE),FALSE))),"")</f>
        <v/>
      </c>
      <c r="R279" s="14">
        <f>IFERROR((VLOOKUP($A279,'[1]import success seats course'!$A:AF,HLOOKUP('[1]Course Totals'!R$4,'[1]import success seats course'!$1:$2,2,FALSE),FALSE)/(VLOOKUP($A279,'[1]import graded seats course pivo'!$A:AP,HLOOKUP('[1]Course Totals'!R$4,'[1]import graded seats course pivo'!$1:$2,2,FALSE),FALSE))),"")</f>
        <v>0.74193548387096775</v>
      </c>
      <c r="S279" s="14">
        <f>IFERROR((VLOOKUP($A279,'[1]import success seats course'!$A:AG,HLOOKUP('[1]Course Totals'!S$4,'[1]import success seats course'!$1:$2,2,FALSE),FALSE)/(VLOOKUP($A279,'[1]import graded seats course pivo'!$A:AQ,HLOOKUP('[1]Course Totals'!S$4,'[1]import graded seats course pivo'!$1:$2,2,FALSE),FALSE))),"")</f>
        <v>0.77659574468085102</v>
      </c>
      <c r="Z279" s="7"/>
      <c r="AA279" s="7"/>
      <c r="AB279" s="7"/>
      <c r="AC279" s="7"/>
    </row>
    <row r="280" spans="1:29" ht="15.75" customHeight="1" x14ac:dyDescent="0.25">
      <c r="A280" s="12" t="s">
        <v>138</v>
      </c>
      <c r="B280" s="14" t="str">
        <f>IFERROR((VLOOKUP($A280,'[1]import success seats course'!$A:P,HLOOKUP('[1]Course Totals'!B$4,'[1]import success seats course'!$1:$2,2,FALSE),FALSE)/(VLOOKUP($A280,'[1]import graded seats course pivo'!$A:Z,HLOOKUP('[1]Course Totals'!B$4,'[1]import graded seats course pivo'!$1:$2,2,FALSE),FALSE))),"")</f>
        <v/>
      </c>
      <c r="C280" s="14">
        <f>IFERROR((VLOOKUP($A280,'[1]import success seats course'!$A:Q,HLOOKUP('[1]Course Totals'!C$4,'[1]import success seats course'!$1:$2,2,FALSE),FALSE)/(VLOOKUP($A280,'[1]import graded seats course pivo'!$A:AA,HLOOKUP('[1]Course Totals'!C$4,'[1]import graded seats course pivo'!$1:$2,2,FALSE),FALSE))),"")</f>
        <v>0.96666666666666667</v>
      </c>
      <c r="D280" s="14">
        <f>IFERROR((VLOOKUP($A280,'[1]import success seats course'!$A:R,HLOOKUP('[1]Course Totals'!D$4,'[1]import success seats course'!$1:$2,2,FALSE),FALSE)/(VLOOKUP($A280,'[1]import graded seats course pivo'!$A:AB,HLOOKUP('[1]Course Totals'!D$4,'[1]import graded seats course pivo'!$1:$2,2,FALSE),FALSE))),"")</f>
        <v>0.91891891891891897</v>
      </c>
      <c r="E280" s="14" t="str">
        <f>IFERROR((VLOOKUP($A280,'[1]import success seats course'!$A:S,HLOOKUP('[1]Course Totals'!E$4,'[1]import success seats course'!$1:$2,2,FALSE),FALSE)/(VLOOKUP($A280,'[1]import graded seats course pivo'!$A:AC,HLOOKUP('[1]Course Totals'!E$4,'[1]import graded seats course pivo'!$1:$2,2,FALSE),FALSE))),"")</f>
        <v/>
      </c>
      <c r="F280" s="14">
        <f>IFERROR((VLOOKUP($A280,'[1]import success seats course'!$A:T,HLOOKUP('[1]Course Totals'!F$4,'[1]import success seats course'!$1:$2,2,FALSE),FALSE)/(VLOOKUP($A280,'[1]import graded seats course pivo'!$A:AD,HLOOKUP('[1]Course Totals'!F$4,'[1]import graded seats course pivo'!$1:$2,2,FALSE),FALSE))),"")</f>
        <v>0.94444444444444442</v>
      </c>
      <c r="G280" s="14">
        <f>IFERROR((VLOOKUP($A280,'[1]import success seats course'!$A:U,HLOOKUP('[1]Course Totals'!G$4,'[1]import success seats course'!$1:$2,2,FALSE),FALSE)/(VLOOKUP($A280,'[1]import graded seats course pivo'!$A:AE,HLOOKUP('[1]Course Totals'!G$4,'[1]import graded seats course pivo'!$1:$2,2,FALSE),FALSE))),"")</f>
        <v>0.94594594594594594</v>
      </c>
      <c r="H280" s="14" t="str">
        <f>IFERROR((VLOOKUP($A280,'[1]import success seats course'!$A:V,HLOOKUP('[1]Course Totals'!H$4,'[1]import success seats course'!$1:$2,2,FALSE),FALSE)/(VLOOKUP($A280,'[1]import graded seats course pivo'!$A:AF,HLOOKUP('[1]Course Totals'!H$4,'[1]import graded seats course pivo'!$1:$2,2,FALSE),FALSE))),"")</f>
        <v/>
      </c>
      <c r="I280" s="14" t="str">
        <f>IFERROR((VLOOKUP($A280,'[1]import success seats course'!$A:W,HLOOKUP('[1]Course Totals'!I$4,'[1]import success seats course'!$1:$2,2,FALSE),FALSE)/(VLOOKUP($A280,'[1]import graded seats course pivo'!$A:AG,HLOOKUP('[1]Course Totals'!I$4,'[1]import graded seats course pivo'!$1:$2,2,FALSE),FALSE))),"")</f>
        <v/>
      </c>
      <c r="J280" s="14">
        <f>IFERROR((VLOOKUP($A280,'[1]import success seats course'!$A:X,HLOOKUP('[1]Course Totals'!J$4,'[1]import success seats course'!$1:$2,2,FALSE),FALSE)/(VLOOKUP($A280,'[1]import graded seats course pivo'!$A:AH,HLOOKUP('[1]Course Totals'!J$4,'[1]import graded seats course pivo'!$1:$2,2,FALSE),FALSE))),"")</f>
        <v>0.74285714285714288</v>
      </c>
      <c r="K280" s="14" t="str">
        <f>IFERROR((VLOOKUP($A280,'[1]import success seats course'!$A:Y,HLOOKUP('[1]Course Totals'!K$4,'[1]import success seats course'!$1:$2,2,FALSE),FALSE)/(VLOOKUP($A280,'[1]import graded seats course pivo'!$A:AI,HLOOKUP('[1]Course Totals'!K$4,'[1]import graded seats course pivo'!$1:$2,2,FALSE),FALSE))),"")</f>
        <v/>
      </c>
      <c r="L280" s="14" t="str">
        <f>IFERROR((VLOOKUP($A280,'[1]import success seats course'!$A:Z,HLOOKUP('[1]Course Totals'!L$4,'[1]import success seats course'!$1:$2,2,FALSE),FALSE)/(VLOOKUP($A280,'[1]import graded seats course pivo'!$A:AJ,HLOOKUP('[1]Course Totals'!L$4,'[1]import graded seats course pivo'!$1:$2,2,FALSE),FALSE))),"")</f>
        <v/>
      </c>
      <c r="M280" s="14">
        <f>IFERROR((VLOOKUP($A280,'[1]import success seats course'!$A:AA,HLOOKUP('[1]Course Totals'!M$4,'[1]import success seats course'!$1:$2,2,FALSE),FALSE)/(VLOOKUP($A280,'[1]import graded seats course pivo'!$A:AK,HLOOKUP('[1]Course Totals'!M$4,'[1]import graded seats course pivo'!$1:$2,2,FALSE),FALSE))),"")</f>
        <v>0.77419354838709675</v>
      </c>
      <c r="N280" s="14" t="str">
        <f>IFERROR((VLOOKUP($A280,'[1]import success seats course'!$A:AB,HLOOKUP('[1]Course Totals'!N$4,'[1]import success seats course'!$1:$2,2,FALSE),FALSE)/(VLOOKUP($A280,'[1]import graded seats course pivo'!$A:AL,HLOOKUP('[1]Course Totals'!N$4,'[1]import graded seats course pivo'!$1:$2,2,FALSE),FALSE))),"")</f>
        <v/>
      </c>
      <c r="O280" s="14">
        <f>IFERROR((VLOOKUP($A280,'[1]import success seats course'!$A:AC,HLOOKUP('[1]Course Totals'!O$4,'[1]import success seats course'!$1:$2,2,FALSE),FALSE)/(VLOOKUP($A280,'[1]import graded seats course pivo'!$A:AM,HLOOKUP('[1]Course Totals'!O$4,'[1]import graded seats course pivo'!$1:$2,2,FALSE),FALSE))),"")</f>
        <v>0.9375</v>
      </c>
      <c r="P280" s="14">
        <f>IFERROR((VLOOKUP($A280,'[1]import success seats course'!$A:AD,HLOOKUP('[1]Course Totals'!P$4,'[1]import success seats course'!$1:$2,2,FALSE),FALSE)/(VLOOKUP($A280,'[1]import graded seats course pivo'!$A:AN,HLOOKUP('[1]Course Totals'!P$4,'[1]import graded seats course pivo'!$1:$2,2,FALSE),FALSE))),"")</f>
        <v>0.87096774193548387</v>
      </c>
      <c r="Q280" s="14" t="str">
        <f>IFERROR((VLOOKUP($A280,'[1]import success seats course'!$A:AE,HLOOKUP('[1]Course Totals'!Q$4,'[1]import success seats course'!$1:$2,2,FALSE),FALSE)/(VLOOKUP($A280,'[1]import graded seats course pivo'!$A:AO,HLOOKUP('[1]Course Totals'!Q$4,'[1]import graded seats course pivo'!$1:$2,2,FALSE),FALSE))),"")</f>
        <v/>
      </c>
      <c r="R280" s="14">
        <f>IFERROR((VLOOKUP($A280,'[1]import success seats course'!$A:AF,HLOOKUP('[1]Course Totals'!R$4,'[1]import success seats course'!$1:$2,2,FALSE),FALSE)/(VLOOKUP($A280,'[1]import graded seats course pivo'!$A:AP,HLOOKUP('[1]Course Totals'!R$4,'[1]import graded seats course pivo'!$1:$2,2,FALSE),FALSE))),"")</f>
        <v>0.91666666666666663</v>
      </c>
      <c r="S280" s="14">
        <f>IFERROR((VLOOKUP($A280,'[1]import success seats course'!$A:AG,HLOOKUP('[1]Course Totals'!S$4,'[1]import success seats course'!$1:$2,2,FALSE),FALSE)/(VLOOKUP($A280,'[1]import graded seats course pivo'!$A:AQ,HLOOKUP('[1]Course Totals'!S$4,'[1]import graded seats course pivo'!$1:$2,2,FALSE),FALSE))),"")</f>
        <v>0.967741935483871</v>
      </c>
      <c r="Z280" s="7"/>
      <c r="AA280" s="7"/>
      <c r="AB280" s="7"/>
      <c r="AC280" s="7"/>
    </row>
    <row r="281" spans="1:29" ht="15.75" customHeight="1" x14ac:dyDescent="0.25">
      <c r="A281" s="12" t="s">
        <v>139</v>
      </c>
      <c r="B281" s="14" t="str">
        <f>IFERROR((VLOOKUP($A281,'[1]import success seats course'!$A:P,HLOOKUP('[1]Course Totals'!B$4,'[1]import success seats course'!$1:$2,2,FALSE),FALSE)/(VLOOKUP($A281,'[1]import graded seats course pivo'!$A:Z,HLOOKUP('[1]Course Totals'!B$4,'[1]import graded seats course pivo'!$1:$2,2,FALSE),FALSE))),"")</f>
        <v/>
      </c>
      <c r="C281" s="14">
        <f>IFERROR((VLOOKUP($A281,'[1]import success seats course'!$A:Q,HLOOKUP('[1]Course Totals'!C$4,'[1]import success seats course'!$1:$2,2,FALSE),FALSE)/(VLOOKUP($A281,'[1]import graded seats course pivo'!$A:AA,HLOOKUP('[1]Course Totals'!C$4,'[1]import graded seats course pivo'!$1:$2,2,FALSE),FALSE))),"")</f>
        <v>0.7931034482758621</v>
      </c>
      <c r="D281" s="14">
        <f>IFERROR((VLOOKUP($A281,'[1]import success seats course'!$A:R,HLOOKUP('[1]Course Totals'!D$4,'[1]import success seats course'!$1:$2,2,FALSE),FALSE)/(VLOOKUP($A281,'[1]import graded seats course pivo'!$A:AB,HLOOKUP('[1]Course Totals'!D$4,'[1]import graded seats course pivo'!$1:$2,2,FALSE),FALSE))),"")</f>
        <v>0.875</v>
      </c>
      <c r="E281" s="14" t="str">
        <f>IFERROR((VLOOKUP($A281,'[1]import success seats course'!$A:S,HLOOKUP('[1]Course Totals'!E$4,'[1]import success seats course'!$1:$2,2,FALSE),FALSE)/(VLOOKUP($A281,'[1]import graded seats course pivo'!$A:AC,HLOOKUP('[1]Course Totals'!E$4,'[1]import graded seats course pivo'!$1:$2,2,FALSE),FALSE))),"")</f>
        <v/>
      </c>
      <c r="F281" s="14">
        <f>IFERROR((VLOOKUP($A281,'[1]import success seats course'!$A:T,HLOOKUP('[1]Course Totals'!F$4,'[1]import success seats course'!$1:$2,2,FALSE),FALSE)/(VLOOKUP($A281,'[1]import graded seats course pivo'!$A:AD,HLOOKUP('[1]Course Totals'!F$4,'[1]import graded seats course pivo'!$1:$2,2,FALSE),FALSE))),"")</f>
        <v>0.88571428571428568</v>
      </c>
      <c r="G281" s="14">
        <f>IFERROR((VLOOKUP($A281,'[1]import success seats course'!$A:U,HLOOKUP('[1]Course Totals'!G$4,'[1]import success seats course'!$1:$2,2,FALSE),FALSE)/(VLOOKUP($A281,'[1]import graded seats course pivo'!$A:AE,HLOOKUP('[1]Course Totals'!G$4,'[1]import graded seats course pivo'!$1:$2,2,FALSE),FALSE))),"")</f>
        <v>0.90909090909090906</v>
      </c>
      <c r="H281" s="14" t="str">
        <f>IFERROR((VLOOKUP($A281,'[1]import success seats course'!$A:V,HLOOKUP('[1]Course Totals'!H$4,'[1]import success seats course'!$1:$2,2,FALSE),FALSE)/(VLOOKUP($A281,'[1]import graded seats course pivo'!$A:AF,HLOOKUP('[1]Course Totals'!H$4,'[1]import graded seats course pivo'!$1:$2,2,FALSE),FALSE))),"")</f>
        <v/>
      </c>
      <c r="I281" s="14">
        <f>IFERROR((VLOOKUP($A281,'[1]import success seats course'!$A:W,HLOOKUP('[1]Course Totals'!I$4,'[1]import success seats course'!$1:$2,2,FALSE),FALSE)/(VLOOKUP($A281,'[1]import graded seats course pivo'!$A:AG,HLOOKUP('[1]Course Totals'!I$4,'[1]import graded seats course pivo'!$1:$2,2,FALSE),FALSE))),"")</f>
        <v>0.9</v>
      </c>
      <c r="J281" s="14">
        <f>IFERROR((VLOOKUP($A281,'[1]import success seats course'!$A:X,HLOOKUP('[1]Course Totals'!J$4,'[1]import success seats course'!$1:$2,2,FALSE),FALSE)/(VLOOKUP($A281,'[1]import graded seats course pivo'!$A:AH,HLOOKUP('[1]Course Totals'!J$4,'[1]import graded seats course pivo'!$1:$2,2,FALSE),FALSE))),"")</f>
        <v>0.92647058823529416</v>
      </c>
      <c r="K281" s="14" t="str">
        <f>IFERROR((VLOOKUP($A281,'[1]import success seats course'!$A:Y,HLOOKUP('[1]Course Totals'!K$4,'[1]import success seats course'!$1:$2,2,FALSE),FALSE)/(VLOOKUP($A281,'[1]import graded seats course pivo'!$A:AI,HLOOKUP('[1]Course Totals'!K$4,'[1]import graded seats course pivo'!$1:$2,2,FALSE),FALSE))),"")</f>
        <v/>
      </c>
      <c r="L281" s="14">
        <f>IFERROR((VLOOKUP($A281,'[1]import success seats course'!$A:Z,HLOOKUP('[1]Course Totals'!L$4,'[1]import success seats course'!$1:$2,2,FALSE),FALSE)/(VLOOKUP($A281,'[1]import graded seats course pivo'!$A:AJ,HLOOKUP('[1]Course Totals'!L$4,'[1]import graded seats course pivo'!$1:$2,2,FALSE),FALSE))),"")</f>
        <v>0.88</v>
      </c>
      <c r="M281" s="14">
        <f>IFERROR((VLOOKUP($A281,'[1]import success seats course'!$A:AA,HLOOKUP('[1]Course Totals'!M$4,'[1]import success seats course'!$1:$2,2,FALSE),FALSE)/(VLOOKUP($A281,'[1]import graded seats course pivo'!$A:AK,HLOOKUP('[1]Course Totals'!M$4,'[1]import graded seats course pivo'!$1:$2,2,FALSE),FALSE))),"")</f>
        <v>0.88888888888888884</v>
      </c>
      <c r="N281" s="14" t="str">
        <f>IFERROR((VLOOKUP($A281,'[1]import success seats course'!$A:AB,HLOOKUP('[1]Course Totals'!N$4,'[1]import success seats course'!$1:$2,2,FALSE),FALSE)/(VLOOKUP($A281,'[1]import graded seats course pivo'!$A:AL,HLOOKUP('[1]Course Totals'!N$4,'[1]import graded seats course pivo'!$1:$2,2,FALSE),FALSE))),"")</f>
        <v/>
      </c>
      <c r="O281" s="14">
        <f>IFERROR((VLOOKUP($A281,'[1]import success seats course'!$A:AC,HLOOKUP('[1]Course Totals'!O$4,'[1]import success seats course'!$1:$2,2,FALSE),FALSE)/(VLOOKUP($A281,'[1]import graded seats course pivo'!$A:AM,HLOOKUP('[1]Course Totals'!O$4,'[1]import graded seats course pivo'!$1:$2,2,FALSE),FALSE))),"")</f>
        <v>0.91428571428571426</v>
      </c>
      <c r="P281" s="14">
        <f>IFERROR((VLOOKUP($A281,'[1]import success seats course'!$A:AD,HLOOKUP('[1]Course Totals'!P$4,'[1]import success seats course'!$1:$2,2,FALSE),FALSE)/(VLOOKUP($A281,'[1]import graded seats course pivo'!$A:AN,HLOOKUP('[1]Course Totals'!P$4,'[1]import graded seats course pivo'!$1:$2,2,FALSE),FALSE))),"")</f>
        <v>0.95121951219512191</v>
      </c>
      <c r="Q281" s="14" t="str">
        <f>IFERROR((VLOOKUP($A281,'[1]import success seats course'!$A:AE,HLOOKUP('[1]Course Totals'!Q$4,'[1]import success seats course'!$1:$2,2,FALSE),FALSE)/(VLOOKUP($A281,'[1]import graded seats course pivo'!$A:AO,HLOOKUP('[1]Course Totals'!Q$4,'[1]import graded seats course pivo'!$1:$2,2,FALSE),FALSE))),"")</f>
        <v/>
      </c>
      <c r="R281" s="14">
        <f>IFERROR((VLOOKUP($A281,'[1]import success seats course'!$A:AF,HLOOKUP('[1]Course Totals'!R$4,'[1]import success seats course'!$1:$2,2,FALSE),FALSE)/(VLOOKUP($A281,'[1]import graded seats course pivo'!$A:AP,HLOOKUP('[1]Course Totals'!R$4,'[1]import graded seats course pivo'!$1:$2,2,FALSE),FALSE))),"")</f>
        <v>0.96969696969696972</v>
      </c>
      <c r="S281" s="14">
        <f>IFERROR((VLOOKUP($A281,'[1]import success seats course'!$A:AG,HLOOKUP('[1]Course Totals'!S$4,'[1]import success seats course'!$1:$2,2,FALSE),FALSE)/(VLOOKUP($A281,'[1]import graded seats course pivo'!$A:AQ,HLOOKUP('[1]Course Totals'!S$4,'[1]import graded seats course pivo'!$1:$2,2,FALSE),FALSE))),"")</f>
        <v>0.9838709677419355</v>
      </c>
      <c r="Z281" s="7"/>
      <c r="AA281" s="7"/>
      <c r="AB281" s="7"/>
      <c r="AC281" s="7"/>
    </row>
    <row r="282" spans="1:29" ht="15.75" customHeight="1" x14ac:dyDescent="0.25">
      <c r="A282" s="12" t="s">
        <v>881</v>
      </c>
      <c r="B282" s="14" t="str">
        <f>IFERROR((VLOOKUP($A282,'[1]import success seats course'!$A:P,HLOOKUP('[1]Course Totals'!B$4,'[1]import success seats course'!$1:$2,2,FALSE),FALSE)/(VLOOKUP($A282,'[1]import graded seats course pivo'!$A:Z,HLOOKUP('[1]Course Totals'!B$4,'[1]import graded seats course pivo'!$1:$2,2,FALSE),FALSE))),"")</f>
        <v/>
      </c>
      <c r="C282" s="14" t="str">
        <f>IFERROR((VLOOKUP($A282,'[1]import success seats course'!$A:Q,HLOOKUP('[1]Course Totals'!C$4,'[1]import success seats course'!$1:$2,2,FALSE),FALSE)/(VLOOKUP($A282,'[1]import graded seats course pivo'!$A:AA,HLOOKUP('[1]Course Totals'!C$4,'[1]import graded seats course pivo'!$1:$2,2,FALSE),FALSE))),"")</f>
        <v/>
      </c>
      <c r="D282" s="14" t="str">
        <f>IFERROR((VLOOKUP($A282,'[1]import success seats course'!$A:R,HLOOKUP('[1]Course Totals'!D$4,'[1]import success seats course'!$1:$2,2,FALSE),FALSE)/(VLOOKUP($A282,'[1]import graded seats course pivo'!$A:AB,HLOOKUP('[1]Course Totals'!D$4,'[1]import graded seats course pivo'!$1:$2,2,FALSE),FALSE))),"")</f>
        <v/>
      </c>
      <c r="E282" s="14" t="str">
        <f>IFERROR((VLOOKUP($A282,'[1]import success seats course'!$A:S,HLOOKUP('[1]Course Totals'!E$4,'[1]import success seats course'!$1:$2,2,FALSE),FALSE)/(VLOOKUP($A282,'[1]import graded seats course pivo'!$A:AC,HLOOKUP('[1]Course Totals'!E$4,'[1]import graded seats course pivo'!$1:$2,2,FALSE),FALSE))),"")</f>
        <v/>
      </c>
      <c r="F282" s="14" t="str">
        <f>IFERROR((VLOOKUP($A282,'[1]import success seats course'!$A:T,HLOOKUP('[1]Course Totals'!F$4,'[1]import success seats course'!$1:$2,2,FALSE),FALSE)/(VLOOKUP($A282,'[1]import graded seats course pivo'!$A:AD,HLOOKUP('[1]Course Totals'!F$4,'[1]import graded seats course pivo'!$1:$2,2,FALSE),FALSE))),"")</f>
        <v/>
      </c>
      <c r="G282" s="14">
        <f>IFERROR((VLOOKUP($A282,'[1]import success seats course'!$A:U,HLOOKUP('[1]Course Totals'!G$4,'[1]import success seats course'!$1:$2,2,FALSE),FALSE)/(VLOOKUP($A282,'[1]import graded seats course pivo'!$A:AE,HLOOKUP('[1]Course Totals'!G$4,'[1]import graded seats course pivo'!$1:$2,2,FALSE),FALSE))),"")</f>
        <v>0.78947368421052633</v>
      </c>
      <c r="H282" s="14" t="str">
        <f>IFERROR((VLOOKUP($A282,'[1]import success seats course'!$A:V,HLOOKUP('[1]Course Totals'!H$4,'[1]import success seats course'!$1:$2,2,FALSE),FALSE)/(VLOOKUP($A282,'[1]import graded seats course pivo'!$A:AF,HLOOKUP('[1]Course Totals'!H$4,'[1]import graded seats course pivo'!$1:$2,2,FALSE),FALSE))),"")</f>
        <v/>
      </c>
      <c r="I282" s="14" t="str">
        <f>IFERROR((VLOOKUP($A282,'[1]import success seats course'!$A:W,HLOOKUP('[1]Course Totals'!I$4,'[1]import success seats course'!$1:$2,2,FALSE),FALSE)/(VLOOKUP($A282,'[1]import graded seats course pivo'!$A:AG,HLOOKUP('[1]Course Totals'!I$4,'[1]import graded seats course pivo'!$1:$2,2,FALSE),FALSE))),"")</f>
        <v/>
      </c>
      <c r="J282" s="14" t="str">
        <f>IFERROR((VLOOKUP($A282,'[1]import success seats course'!$A:X,HLOOKUP('[1]Course Totals'!J$4,'[1]import success seats course'!$1:$2,2,FALSE),FALSE)/(VLOOKUP($A282,'[1]import graded seats course pivo'!$A:AH,HLOOKUP('[1]Course Totals'!J$4,'[1]import graded seats course pivo'!$1:$2,2,FALSE),FALSE))),"")</f>
        <v/>
      </c>
      <c r="K282" s="14" t="str">
        <f>IFERROR((VLOOKUP($A282,'[1]import success seats course'!$A:Y,HLOOKUP('[1]Course Totals'!K$4,'[1]import success seats course'!$1:$2,2,FALSE),FALSE)/(VLOOKUP($A282,'[1]import graded seats course pivo'!$A:AI,HLOOKUP('[1]Course Totals'!K$4,'[1]import graded seats course pivo'!$1:$2,2,FALSE),FALSE))),"")</f>
        <v/>
      </c>
      <c r="L282" s="14" t="str">
        <f>IFERROR((VLOOKUP($A282,'[1]import success seats course'!$A:Z,HLOOKUP('[1]Course Totals'!L$4,'[1]import success seats course'!$1:$2,2,FALSE),FALSE)/(VLOOKUP($A282,'[1]import graded seats course pivo'!$A:AJ,HLOOKUP('[1]Course Totals'!L$4,'[1]import graded seats course pivo'!$1:$2,2,FALSE),FALSE))),"")</f>
        <v/>
      </c>
      <c r="M282" s="14" t="str">
        <f>IFERROR((VLOOKUP($A282,'[1]import success seats course'!$A:AA,HLOOKUP('[1]Course Totals'!M$4,'[1]import success seats course'!$1:$2,2,FALSE),FALSE)/(VLOOKUP($A282,'[1]import graded seats course pivo'!$A:AK,HLOOKUP('[1]Course Totals'!M$4,'[1]import graded seats course pivo'!$1:$2,2,FALSE),FALSE))),"")</f>
        <v/>
      </c>
      <c r="N282" s="14" t="str">
        <f>IFERROR((VLOOKUP($A282,'[1]import success seats course'!$A:AB,HLOOKUP('[1]Course Totals'!N$4,'[1]import success seats course'!$1:$2,2,FALSE),FALSE)/(VLOOKUP($A282,'[1]import graded seats course pivo'!$A:AL,HLOOKUP('[1]Course Totals'!N$4,'[1]import graded seats course pivo'!$1:$2,2,FALSE),FALSE))),"")</f>
        <v/>
      </c>
      <c r="O282" s="14" t="str">
        <f>IFERROR((VLOOKUP($A282,'[1]import success seats course'!$A:AC,HLOOKUP('[1]Course Totals'!O$4,'[1]import success seats course'!$1:$2,2,FALSE),FALSE)/(VLOOKUP($A282,'[1]import graded seats course pivo'!$A:AM,HLOOKUP('[1]Course Totals'!O$4,'[1]import graded seats course pivo'!$1:$2,2,FALSE),FALSE))),"")</f>
        <v/>
      </c>
      <c r="P282" s="14" t="str">
        <f>IFERROR((VLOOKUP($A282,'[1]import success seats course'!$A:AD,HLOOKUP('[1]Course Totals'!P$4,'[1]import success seats course'!$1:$2,2,FALSE),FALSE)/(VLOOKUP($A282,'[1]import graded seats course pivo'!$A:AN,HLOOKUP('[1]Course Totals'!P$4,'[1]import graded seats course pivo'!$1:$2,2,FALSE),FALSE))),"")</f>
        <v/>
      </c>
      <c r="Q282" s="14" t="str">
        <f>IFERROR((VLOOKUP($A282,'[1]import success seats course'!$A:AE,HLOOKUP('[1]Course Totals'!Q$4,'[1]import success seats course'!$1:$2,2,FALSE),FALSE)/(VLOOKUP($A282,'[1]import graded seats course pivo'!$A:AO,HLOOKUP('[1]Course Totals'!Q$4,'[1]import graded seats course pivo'!$1:$2,2,FALSE),FALSE))),"")</f>
        <v/>
      </c>
      <c r="R282" s="14" t="str">
        <f>IFERROR((VLOOKUP($A282,'[1]import success seats course'!$A:AF,HLOOKUP('[1]Course Totals'!R$4,'[1]import success seats course'!$1:$2,2,FALSE),FALSE)/(VLOOKUP($A282,'[1]import graded seats course pivo'!$A:AP,HLOOKUP('[1]Course Totals'!R$4,'[1]import graded seats course pivo'!$1:$2,2,FALSE),FALSE))),"")</f>
        <v/>
      </c>
      <c r="S282" s="14" t="str">
        <f>IFERROR((VLOOKUP($A282,'[1]import success seats course'!$A:AG,HLOOKUP('[1]Course Totals'!S$4,'[1]import success seats course'!$1:$2,2,FALSE),FALSE)/(VLOOKUP($A282,'[1]import graded seats course pivo'!$A:AQ,HLOOKUP('[1]Course Totals'!S$4,'[1]import graded seats course pivo'!$1:$2,2,FALSE),FALSE))),"")</f>
        <v/>
      </c>
      <c r="Z282" s="7"/>
      <c r="AA282" s="7"/>
      <c r="AB282" s="7"/>
      <c r="AC282" s="7"/>
    </row>
    <row r="283" spans="1:29" ht="15.75" hidden="1" customHeight="1" x14ac:dyDescent="0.25">
      <c r="A283" s="12" t="s">
        <v>140</v>
      </c>
      <c r="B283" s="14" t="str">
        <f>IFERROR((VLOOKUP($A283,'[1]import success seats course'!$A:P,HLOOKUP('[1]Course Totals'!B$4,'[1]import success seats course'!$1:$2,2,FALSE),FALSE)/(VLOOKUP($A283,'[1]import graded seats course pivo'!$A:Z,HLOOKUP('[1]Course Totals'!B$4,'[1]import graded seats course pivo'!$1:$2,2,FALSE),FALSE))),"")</f>
        <v/>
      </c>
      <c r="C283" s="14" t="str">
        <f>IFERROR((VLOOKUP($A283,'[1]import success seats course'!$A:Q,HLOOKUP('[1]Course Totals'!C$4,'[1]import success seats course'!$1:$2,2,FALSE),FALSE)/(VLOOKUP($A283,'[1]import graded seats course pivo'!$A:AA,HLOOKUP('[1]Course Totals'!C$4,'[1]import graded seats course pivo'!$1:$2,2,FALSE),FALSE))),"")</f>
        <v/>
      </c>
      <c r="D283" s="14" t="str">
        <f>IFERROR((VLOOKUP($A283,'[1]import success seats course'!$A:R,HLOOKUP('[1]Course Totals'!D$4,'[1]import success seats course'!$1:$2,2,FALSE),FALSE)/(VLOOKUP($A283,'[1]import graded seats course pivo'!$A:AB,HLOOKUP('[1]Course Totals'!D$4,'[1]import graded seats course pivo'!$1:$2,2,FALSE),FALSE))),"")</f>
        <v/>
      </c>
      <c r="E283" s="14" t="str">
        <f>IFERROR((VLOOKUP($A283,'[1]import success seats course'!$A:S,HLOOKUP('[1]Course Totals'!E$4,'[1]import success seats course'!$1:$2,2,FALSE),FALSE)/(VLOOKUP($A283,'[1]import graded seats course pivo'!$A:AC,HLOOKUP('[1]Course Totals'!E$4,'[1]import graded seats course pivo'!$1:$2,2,FALSE),FALSE))),"")</f>
        <v/>
      </c>
      <c r="F283" s="14" t="str">
        <f>IFERROR((VLOOKUP($A283,'[1]import success seats course'!$A:T,HLOOKUP('[1]Course Totals'!F$4,'[1]import success seats course'!$1:$2,2,FALSE),FALSE)/(VLOOKUP($A283,'[1]import graded seats course pivo'!$A:AD,HLOOKUP('[1]Course Totals'!F$4,'[1]import graded seats course pivo'!$1:$2,2,FALSE),FALSE))),"")</f>
        <v/>
      </c>
      <c r="G283" s="14" t="str">
        <f>IFERROR((VLOOKUP($A283,'[1]import success seats course'!$A:U,HLOOKUP('[1]Course Totals'!G$4,'[1]import success seats course'!$1:$2,2,FALSE),FALSE)/(VLOOKUP($A283,'[1]import graded seats course pivo'!$A:AE,HLOOKUP('[1]Course Totals'!G$4,'[1]import graded seats course pivo'!$1:$2,2,FALSE),FALSE))),"")</f>
        <v/>
      </c>
      <c r="H283" s="14" t="str">
        <f>IFERROR((VLOOKUP($A283,'[1]import success seats course'!$A:V,HLOOKUP('[1]Course Totals'!H$4,'[1]import success seats course'!$1:$2,2,FALSE),FALSE)/(VLOOKUP($A283,'[1]import graded seats course pivo'!$A:AF,HLOOKUP('[1]Course Totals'!H$4,'[1]import graded seats course pivo'!$1:$2,2,FALSE),FALSE))),"")</f>
        <v/>
      </c>
      <c r="I283" s="14" t="str">
        <f>IFERROR((VLOOKUP($A283,'[1]import success seats course'!$A:W,HLOOKUP('[1]Course Totals'!I$4,'[1]import success seats course'!$1:$2,2,FALSE),FALSE)/(VLOOKUP($A283,'[1]import graded seats course pivo'!$A:AG,HLOOKUP('[1]Course Totals'!I$4,'[1]import graded seats course pivo'!$1:$2,2,FALSE),FALSE))),"")</f>
        <v/>
      </c>
      <c r="J283" s="14" t="str">
        <f>IFERROR((VLOOKUP($A283,'[1]import success seats course'!$A:X,HLOOKUP('[1]Course Totals'!J$4,'[1]import success seats course'!$1:$2,2,FALSE),FALSE)/(VLOOKUP($A283,'[1]import graded seats course pivo'!$A:AH,HLOOKUP('[1]Course Totals'!J$4,'[1]import graded seats course pivo'!$1:$2,2,FALSE),FALSE))),"")</f>
        <v/>
      </c>
      <c r="K283" s="14" t="str">
        <f>IFERROR((VLOOKUP($A283,'[1]import success seats course'!$A:Y,HLOOKUP('[1]Course Totals'!K$4,'[1]import success seats course'!$1:$2,2,FALSE),FALSE)/(VLOOKUP($A283,'[1]import graded seats course pivo'!$A:AI,HLOOKUP('[1]Course Totals'!K$4,'[1]import graded seats course pivo'!$1:$2,2,FALSE),FALSE))),"")</f>
        <v/>
      </c>
      <c r="L283" s="14" t="str">
        <f>IFERROR((VLOOKUP($A283,'[1]import success seats course'!$A:Z,HLOOKUP('[1]Course Totals'!L$4,'[1]import success seats course'!$1:$2,2,FALSE),FALSE)/(VLOOKUP($A283,'[1]import graded seats course pivo'!$A:AJ,HLOOKUP('[1]Course Totals'!L$4,'[1]import graded seats course pivo'!$1:$2,2,FALSE),FALSE))),"")</f>
        <v/>
      </c>
      <c r="M283" s="14" t="str">
        <f>IFERROR((VLOOKUP($A283,'[1]import success seats course'!$A:AA,HLOOKUP('[1]Course Totals'!M$4,'[1]import success seats course'!$1:$2,2,FALSE),FALSE)/(VLOOKUP($A283,'[1]import graded seats course pivo'!$A:AK,HLOOKUP('[1]Course Totals'!M$4,'[1]import graded seats course pivo'!$1:$2,2,FALSE),FALSE))),"")</f>
        <v/>
      </c>
      <c r="N283" s="14" t="str">
        <f>IFERROR((VLOOKUP($A283,'[1]import success seats course'!$A:AB,HLOOKUP('[1]Course Totals'!N$4,'[1]import success seats course'!$1:$2,2,FALSE),FALSE)/(VLOOKUP($A283,'[1]import graded seats course pivo'!$A:AL,HLOOKUP('[1]Course Totals'!N$4,'[1]import graded seats course pivo'!$1:$2,2,FALSE),FALSE))),"")</f>
        <v/>
      </c>
      <c r="O283" s="14" t="str">
        <f>IFERROR((VLOOKUP($A283,'[1]import success seats course'!$A:AC,HLOOKUP('[1]Course Totals'!O$4,'[1]import success seats course'!$1:$2,2,FALSE),FALSE)/(VLOOKUP($A283,'[1]import graded seats course pivo'!$A:AM,HLOOKUP('[1]Course Totals'!O$4,'[1]import graded seats course pivo'!$1:$2,2,FALSE),FALSE))),"")</f>
        <v/>
      </c>
      <c r="P283" s="14" t="str">
        <f>IFERROR((VLOOKUP($A283,'[1]import success seats course'!$A:AD,HLOOKUP('[1]Course Totals'!P$4,'[1]import success seats course'!$1:$2,2,FALSE),FALSE)/(VLOOKUP($A283,'[1]import graded seats course pivo'!$A:AN,HLOOKUP('[1]Course Totals'!P$4,'[1]import graded seats course pivo'!$1:$2,2,FALSE),FALSE))),"")</f>
        <v/>
      </c>
      <c r="Q283" s="14" t="str">
        <f>IFERROR((VLOOKUP($A283,'[1]import success seats course'!$A:AE,HLOOKUP('[1]Course Totals'!Q$4,'[1]import success seats course'!$1:$2,2,FALSE),FALSE)/(VLOOKUP($A283,'[1]import graded seats course pivo'!$A:AO,HLOOKUP('[1]Course Totals'!Q$4,'[1]import graded seats course pivo'!$1:$2,2,FALSE),FALSE))),"")</f>
        <v/>
      </c>
      <c r="R283" s="14" t="str">
        <f>IFERROR((VLOOKUP($A283,'[1]import success seats course'!$A:AF,HLOOKUP('[1]Course Totals'!R$4,'[1]import success seats course'!$1:$2,2,FALSE),FALSE)/(VLOOKUP($A283,'[1]import graded seats course pivo'!$A:AP,HLOOKUP('[1]Course Totals'!R$4,'[1]import graded seats course pivo'!$1:$2,2,FALSE),FALSE))),"")</f>
        <v/>
      </c>
      <c r="S283" s="14" t="str">
        <f>IFERROR((VLOOKUP($A283,'[1]import success seats course'!$A:AG,HLOOKUP('[1]Course Totals'!S$4,'[1]import success seats course'!$1:$2,2,FALSE),FALSE)/(VLOOKUP($A283,'[1]import graded seats course pivo'!$A:AQ,HLOOKUP('[1]Course Totals'!S$4,'[1]import graded seats course pivo'!$1:$2,2,FALSE),FALSE))),"")</f>
        <v/>
      </c>
      <c r="Z283" s="7"/>
      <c r="AA283" s="7"/>
      <c r="AB283" s="7"/>
      <c r="AC283" s="7"/>
    </row>
    <row r="284" spans="1:29" ht="15.75" customHeight="1" x14ac:dyDescent="0.25">
      <c r="A284" s="12" t="s">
        <v>141</v>
      </c>
      <c r="B284" s="14" t="str">
        <f>IFERROR((VLOOKUP($A284,'[1]import success seats course'!$A:P,HLOOKUP('[1]Course Totals'!B$4,'[1]import success seats course'!$1:$2,2,FALSE),FALSE)/(VLOOKUP($A284,'[1]import graded seats course pivo'!$A:Z,HLOOKUP('[1]Course Totals'!B$4,'[1]import graded seats course pivo'!$1:$2,2,FALSE),FALSE))),"")</f>
        <v/>
      </c>
      <c r="C284" s="14">
        <f>IFERROR((VLOOKUP($A284,'[1]import success seats course'!$A:Q,HLOOKUP('[1]Course Totals'!C$4,'[1]import success seats course'!$1:$2,2,FALSE),FALSE)/(VLOOKUP($A284,'[1]import graded seats course pivo'!$A:AA,HLOOKUP('[1]Course Totals'!C$4,'[1]import graded seats course pivo'!$1:$2,2,FALSE),FALSE))),"")</f>
        <v>0.88888888888888884</v>
      </c>
      <c r="D284" s="14">
        <f>IFERROR((VLOOKUP($A284,'[1]import success seats course'!$A:R,HLOOKUP('[1]Course Totals'!D$4,'[1]import success seats course'!$1:$2,2,FALSE),FALSE)/(VLOOKUP($A284,'[1]import graded seats course pivo'!$A:AB,HLOOKUP('[1]Course Totals'!D$4,'[1]import graded seats course pivo'!$1:$2,2,FALSE),FALSE))),"")</f>
        <v>0.92405063291139244</v>
      </c>
      <c r="E284" s="14" t="str">
        <f>IFERROR((VLOOKUP($A284,'[1]import success seats course'!$A:S,HLOOKUP('[1]Course Totals'!E$4,'[1]import success seats course'!$1:$2,2,FALSE),FALSE)/(VLOOKUP($A284,'[1]import graded seats course pivo'!$A:AC,HLOOKUP('[1]Course Totals'!E$4,'[1]import graded seats course pivo'!$1:$2,2,FALSE),FALSE))),"")</f>
        <v/>
      </c>
      <c r="F284" s="14">
        <f>IFERROR((VLOOKUP($A284,'[1]import success seats course'!$A:T,HLOOKUP('[1]Course Totals'!F$4,'[1]import success seats course'!$1:$2,2,FALSE),FALSE)/(VLOOKUP($A284,'[1]import graded seats course pivo'!$A:AD,HLOOKUP('[1]Course Totals'!F$4,'[1]import graded seats course pivo'!$1:$2,2,FALSE),FALSE))),"")</f>
        <v>0.85365853658536583</v>
      </c>
      <c r="G284" s="14">
        <f>IFERROR((VLOOKUP($A284,'[1]import success seats course'!$A:U,HLOOKUP('[1]Course Totals'!G$4,'[1]import success seats course'!$1:$2,2,FALSE),FALSE)/(VLOOKUP($A284,'[1]import graded seats course pivo'!$A:AE,HLOOKUP('[1]Course Totals'!G$4,'[1]import graded seats course pivo'!$1:$2,2,FALSE),FALSE))),"")</f>
        <v>0.81333333333333335</v>
      </c>
      <c r="H284" s="14" t="str">
        <f>IFERROR((VLOOKUP($A284,'[1]import success seats course'!$A:V,HLOOKUP('[1]Course Totals'!H$4,'[1]import success seats course'!$1:$2,2,FALSE),FALSE)/(VLOOKUP($A284,'[1]import graded seats course pivo'!$A:AF,HLOOKUP('[1]Course Totals'!H$4,'[1]import graded seats course pivo'!$1:$2,2,FALSE),FALSE))),"")</f>
        <v/>
      </c>
      <c r="I284" s="14">
        <f>IFERROR((VLOOKUP($A284,'[1]import success seats course'!$A:W,HLOOKUP('[1]Course Totals'!I$4,'[1]import success seats course'!$1:$2,2,FALSE),FALSE)/(VLOOKUP($A284,'[1]import graded seats course pivo'!$A:AG,HLOOKUP('[1]Course Totals'!I$4,'[1]import graded seats course pivo'!$1:$2,2,FALSE),FALSE))),"")</f>
        <v>0.87234042553191493</v>
      </c>
      <c r="J284" s="14">
        <f>IFERROR((VLOOKUP($A284,'[1]import success seats course'!$A:X,HLOOKUP('[1]Course Totals'!J$4,'[1]import success seats course'!$1:$2,2,FALSE),FALSE)/(VLOOKUP($A284,'[1]import graded seats course pivo'!$A:AH,HLOOKUP('[1]Course Totals'!J$4,'[1]import graded seats course pivo'!$1:$2,2,FALSE),FALSE))),"")</f>
        <v>0.91139240506329111</v>
      </c>
      <c r="K284" s="14" t="str">
        <f>IFERROR((VLOOKUP($A284,'[1]import success seats course'!$A:Y,HLOOKUP('[1]Course Totals'!K$4,'[1]import success seats course'!$1:$2,2,FALSE),FALSE)/(VLOOKUP($A284,'[1]import graded seats course pivo'!$A:AI,HLOOKUP('[1]Course Totals'!K$4,'[1]import graded seats course pivo'!$1:$2,2,FALSE),FALSE))),"")</f>
        <v/>
      </c>
      <c r="L284" s="14">
        <f>IFERROR((VLOOKUP($A284,'[1]import success seats course'!$A:Z,HLOOKUP('[1]Course Totals'!L$4,'[1]import success seats course'!$1:$2,2,FALSE),FALSE)/(VLOOKUP($A284,'[1]import graded seats course pivo'!$A:AJ,HLOOKUP('[1]Course Totals'!L$4,'[1]import graded seats course pivo'!$1:$2,2,FALSE),FALSE))),"")</f>
        <v>0.94594594594594594</v>
      </c>
      <c r="M284" s="14">
        <f>IFERROR((VLOOKUP($A284,'[1]import success seats course'!$A:AA,HLOOKUP('[1]Course Totals'!M$4,'[1]import success seats course'!$1:$2,2,FALSE),FALSE)/(VLOOKUP($A284,'[1]import graded seats course pivo'!$A:AK,HLOOKUP('[1]Course Totals'!M$4,'[1]import graded seats course pivo'!$1:$2,2,FALSE),FALSE))),"")</f>
        <v>0.78873239436619713</v>
      </c>
      <c r="N284" s="14" t="str">
        <f>IFERROR((VLOOKUP($A284,'[1]import success seats course'!$A:AB,HLOOKUP('[1]Course Totals'!N$4,'[1]import success seats course'!$1:$2,2,FALSE),FALSE)/(VLOOKUP($A284,'[1]import graded seats course pivo'!$A:AL,HLOOKUP('[1]Course Totals'!N$4,'[1]import graded seats course pivo'!$1:$2,2,FALSE),FALSE))),"")</f>
        <v/>
      </c>
      <c r="O284" s="14">
        <f>IFERROR((VLOOKUP($A284,'[1]import success seats course'!$A:AC,HLOOKUP('[1]Course Totals'!O$4,'[1]import success seats course'!$1:$2,2,FALSE),FALSE)/(VLOOKUP($A284,'[1]import graded seats course pivo'!$A:AM,HLOOKUP('[1]Course Totals'!O$4,'[1]import graded seats course pivo'!$1:$2,2,FALSE),FALSE))),"")</f>
        <v>0.92</v>
      </c>
      <c r="P284" s="14">
        <f>IFERROR((VLOOKUP($A284,'[1]import success seats course'!$A:AD,HLOOKUP('[1]Course Totals'!P$4,'[1]import success seats course'!$1:$2,2,FALSE),FALSE)/(VLOOKUP($A284,'[1]import graded seats course pivo'!$A:AN,HLOOKUP('[1]Course Totals'!P$4,'[1]import graded seats course pivo'!$1:$2,2,FALSE),FALSE))),"")</f>
        <v>0.84615384615384615</v>
      </c>
      <c r="Q284" s="14" t="str">
        <f>IFERROR((VLOOKUP($A284,'[1]import success seats course'!$A:AE,HLOOKUP('[1]Course Totals'!Q$4,'[1]import success seats course'!$1:$2,2,FALSE),FALSE)/(VLOOKUP($A284,'[1]import graded seats course pivo'!$A:AO,HLOOKUP('[1]Course Totals'!Q$4,'[1]import graded seats course pivo'!$1:$2,2,FALSE),FALSE))),"")</f>
        <v/>
      </c>
      <c r="R284" s="14">
        <f>IFERROR((VLOOKUP($A284,'[1]import success seats course'!$A:AF,HLOOKUP('[1]Course Totals'!R$4,'[1]import success seats course'!$1:$2,2,FALSE),FALSE)/(VLOOKUP($A284,'[1]import graded seats course pivo'!$A:AP,HLOOKUP('[1]Course Totals'!R$4,'[1]import graded seats course pivo'!$1:$2,2,FALSE),FALSE))),"")</f>
        <v>0.82352941176470584</v>
      </c>
      <c r="S284" s="14">
        <f>IFERROR((VLOOKUP($A284,'[1]import success seats course'!$A:AG,HLOOKUP('[1]Course Totals'!S$4,'[1]import success seats course'!$1:$2,2,FALSE),FALSE)/(VLOOKUP($A284,'[1]import graded seats course pivo'!$A:AQ,HLOOKUP('[1]Course Totals'!S$4,'[1]import graded seats course pivo'!$1:$2,2,FALSE),FALSE))),"")</f>
        <v>0.88235294117647056</v>
      </c>
      <c r="Z284" s="7"/>
      <c r="AA284" s="7"/>
      <c r="AB284" s="7"/>
      <c r="AC284" s="7"/>
    </row>
    <row r="285" spans="1:29" ht="15.75" customHeight="1" x14ac:dyDescent="0.25">
      <c r="A285" s="12" t="s">
        <v>142</v>
      </c>
      <c r="B285" s="14" t="str">
        <f>IFERROR((VLOOKUP($A285,'[1]import success seats course'!$A:P,HLOOKUP('[1]Course Totals'!B$4,'[1]import success seats course'!$1:$2,2,FALSE),FALSE)/(VLOOKUP($A285,'[1]import graded seats course pivo'!$A:Z,HLOOKUP('[1]Course Totals'!B$4,'[1]import graded seats course pivo'!$1:$2,2,FALSE),FALSE))),"")</f>
        <v/>
      </c>
      <c r="C285" s="14">
        <f>IFERROR((VLOOKUP($A285,'[1]import success seats course'!$A:Q,HLOOKUP('[1]Course Totals'!C$4,'[1]import success seats course'!$1:$2,2,FALSE),FALSE)/(VLOOKUP($A285,'[1]import graded seats course pivo'!$A:AA,HLOOKUP('[1]Course Totals'!C$4,'[1]import graded seats course pivo'!$1:$2,2,FALSE),FALSE))),"")</f>
        <v>1</v>
      </c>
      <c r="D285" s="14" t="str">
        <f>IFERROR((VLOOKUP($A285,'[1]import success seats course'!$A:R,HLOOKUP('[1]Course Totals'!D$4,'[1]import success seats course'!$1:$2,2,FALSE),FALSE)/(VLOOKUP($A285,'[1]import graded seats course pivo'!$A:AB,HLOOKUP('[1]Course Totals'!D$4,'[1]import graded seats course pivo'!$1:$2,2,FALSE),FALSE))),"")</f>
        <v/>
      </c>
      <c r="E285" s="14" t="str">
        <f>IFERROR((VLOOKUP($A285,'[1]import success seats course'!$A:S,HLOOKUP('[1]Course Totals'!E$4,'[1]import success seats course'!$1:$2,2,FALSE),FALSE)/(VLOOKUP($A285,'[1]import graded seats course pivo'!$A:AC,HLOOKUP('[1]Course Totals'!E$4,'[1]import graded seats course pivo'!$1:$2,2,FALSE),FALSE))),"")</f>
        <v/>
      </c>
      <c r="F285" s="14" t="str">
        <f>IFERROR((VLOOKUP($A285,'[1]import success seats course'!$A:T,HLOOKUP('[1]Course Totals'!F$4,'[1]import success seats course'!$1:$2,2,FALSE),FALSE)/(VLOOKUP($A285,'[1]import graded seats course pivo'!$A:AD,HLOOKUP('[1]Course Totals'!F$4,'[1]import graded seats course pivo'!$1:$2,2,FALSE),FALSE))),"")</f>
        <v/>
      </c>
      <c r="G285" s="14">
        <f>IFERROR((VLOOKUP($A285,'[1]import success seats course'!$A:U,HLOOKUP('[1]Course Totals'!G$4,'[1]import success seats course'!$1:$2,2,FALSE),FALSE)/(VLOOKUP($A285,'[1]import graded seats course pivo'!$A:AE,HLOOKUP('[1]Course Totals'!G$4,'[1]import graded seats course pivo'!$1:$2,2,FALSE),FALSE))),"")</f>
        <v>1</v>
      </c>
      <c r="H285" s="14" t="str">
        <f>IFERROR((VLOOKUP($A285,'[1]import success seats course'!$A:V,HLOOKUP('[1]Course Totals'!H$4,'[1]import success seats course'!$1:$2,2,FALSE),FALSE)/(VLOOKUP($A285,'[1]import graded seats course pivo'!$A:AF,HLOOKUP('[1]Course Totals'!H$4,'[1]import graded seats course pivo'!$1:$2,2,FALSE),FALSE))),"")</f>
        <v/>
      </c>
      <c r="I285" s="14" t="str">
        <f>IFERROR((VLOOKUP($A285,'[1]import success seats course'!$A:W,HLOOKUP('[1]Course Totals'!I$4,'[1]import success seats course'!$1:$2,2,FALSE),FALSE)/(VLOOKUP($A285,'[1]import graded seats course pivo'!$A:AG,HLOOKUP('[1]Course Totals'!I$4,'[1]import graded seats course pivo'!$1:$2,2,FALSE),FALSE))),"")</f>
        <v/>
      </c>
      <c r="J285" s="14">
        <f>IFERROR((VLOOKUP($A285,'[1]import success seats course'!$A:X,HLOOKUP('[1]Course Totals'!J$4,'[1]import success seats course'!$1:$2,2,FALSE),FALSE)/(VLOOKUP($A285,'[1]import graded seats course pivo'!$A:AH,HLOOKUP('[1]Course Totals'!J$4,'[1]import graded seats course pivo'!$1:$2,2,FALSE),FALSE))),"")</f>
        <v>0.5</v>
      </c>
      <c r="K285" s="14" t="str">
        <f>IFERROR((VLOOKUP($A285,'[1]import success seats course'!$A:Y,HLOOKUP('[1]Course Totals'!K$4,'[1]import success seats course'!$1:$2,2,FALSE),FALSE)/(VLOOKUP($A285,'[1]import graded seats course pivo'!$A:AI,HLOOKUP('[1]Course Totals'!K$4,'[1]import graded seats course pivo'!$1:$2,2,FALSE),FALSE))),"")</f>
        <v/>
      </c>
      <c r="L285" s="14" t="str">
        <f>IFERROR((VLOOKUP($A285,'[1]import success seats course'!$A:Z,HLOOKUP('[1]Course Totals'!L$4,'[1]import success seats course'!$1:$2,2,FALSE),FALSE)/(VLOOKUP($A285,'[1]import graded seats course pivo'!$A:AJ,HLOOKUP('[1]Course Totals'!L$4,'[1]import graded seats course pivo'!$1:$2,2,FALSE),FALSE))),"")</f>
        <v/>
      </c>
      <c r="M285" s="14" t="str">
        <f>IFERROR((VLOOKUP($A285,'[1]import success seats course'!$A:AA,HLOOKUP('[1]Course Totals'!M$4,'[1]import success seats course'!$1:$2,2,FALSE),FALSE)/(VLOOKUP($A285,'[1]import graded seats course pivo'!$A:AK,HLOOKUP('[1]Course Totals'!M$4,'[1]import graded seats course pivo'!$1:$2,2,FALSE),FALSE))),"")</f>
        <v/>
      </c>
      <c r="N285" s="14" t="str">
        <f>IFERROR((VLOOKUP($A285,'[1]import success seats course'!$A:AB,HLOOKUP('[1]Course Totals'!N$4,'[1]import success seats course'!$1:$2,2,FALSE),FALSE)/(VLOOKUP($A285,'[1]import graded seats course pivo'!$A:AL,HLOOKUP('[1]Course Totals'!N$4,'[1]import graded seats course pivo'!$1:$2,2,FALSE),FALSE))),"")</f>
        <v/>
      </c>
      <c r="O285" s="14">
        <f>IFERROR((VLOOKUP($A285,'[1]import success seats course'!$A:AC,HLOOKUP('[1]Course Totals'!O$4,'[1]import success seats course'!$1:$2,2,FALSE),FALSE)/(VLOOKUP($A285,'[1]import graded seats course pivo'!$A:AM,HLOOKUP('[1]Course Totals'!O$4,'[1]import graded seats course pivo'!$1:$2,2,FALSE),FALSE))),"")</f>
        <v>1</v>
      </c>
      <c r="P285" s="14">
        <f>IFERROR((VLOOKUP($A285,'[1]import success seats course'!$A:AD,HLOOKUP('[1]Course Totals'!P$4,'[1]import success seats course'!$1:$2,2,FALSE),FALSE)/(VLOOKUP($A285,'[1]import graded seats course pivo'!$A:AN,HLOOKUP('[1]Course Totals'!P$4,'[1]import graded seats course pivo'!$1:$2,2,FALSE),FALSE))),"")</f>
        <v>1</v>
      </c>
      <c r="Q285" s="14" t="str">
        <f>IFERROR((VLOOKUP($A285,'[1]import success seats course'!$A:AE,HLOOKUP('[1]Course Totals'!Q$4,'[1]import success seats course'!$1:$2,2,FALSE),FALSE)/(VLOOKUP($A285,'[1]import graded seats course pivo'!$A:AO,HLOOKUP('[1]Course Totals'!Q$4,'[1]import graded seats course pivo'!$1:$2,2,FALSE),FALSE))),"")</f>
        <v/>
      </c>
      <c r="R285" s="14">
        <f>IFERROR((VLOOKUP($A285,'[1]import success seats course'!$A:AF,HLOOKUP('[1]Course Totals'!R$4,'[1]import success seats course'!$1:$2,2,FALSE),FALSE)/(VLOOKUP($A285,'[1]import graded seats course pivo'!$A:AP,HLOOKUP('[1]Course Totals'!R$4,'[1]import graded seats course pivo'!$1:$2,2,FALSE),FALSE))),"")</f>
        <v>1</v>
      </c>
      <c r="S285" s="14" t="str">
        <f>IFERROR((VLOOKUP($A285,'[1]import success seats course'!$A:AG,HLOOKUP('[1]Course Totals'!S$4,'[1]import success seats course'!$1:$2,2,FALSE),FALSE)/(VLOOKUP($A285,'[1]import graded seats course pivo'!$A:AQ,HLOOKUP('[1]Course Totals'!S$4,'[1]import graded seats course pivo'!$1:$2,2,FALSE),FALSE))),"")</f>
        <v/>
      </c>
      <c r="Z285" s="7"/>
      <c r="AA285" s="7"/>
      <c r="AB285" s="7"/>
      <c r="AC285" s="7"/>
    </row>
    <row r="286" spans="1:29" ht="15.75" customHeight="1" x14ac:dyDescent="0.25">
      <c r="A286" s="12" t="s">
        <v>143</v>
      </c>
      <c r="B286" s="14" t="str">
        <f>IFERROR((VLOOKUP($A286,'[1]import success seats course'!$A:P,HLOOKUP('[1]Course Totals'!B$4,'[1]import success seats course'!$1:$2,2,FALSE),FALSE)/(VLOOKUP($A286,'[1]import graded seats course pivo'!$A:Z,HLOOKUP('[1]Course Totals'!B$4,'[1]import graded seats course pivo'!$1:$2,2,FALSE),FALSE))),"")</f>
        <v/>
      </c>
      <c r="C286" s="14">
        <f>IFERROR((VLOOKUP($A286,'[1]import success seats course'!$A:Q,HLOOKUP('[1]Course Totals'!C$4,'[1]import success seats course'!$1:$2,2,FALSE),FALSE)/(VLOOKUP($A286,'[1]import graded seats course pivo'!$A:AA,HLOOKUP('[1]Course Totals'!C$4,'[1]import graded seats course pivo'!$1:$2,2,FALSE),FALSE))),"")</f>
        <v>0.7857142857142857</v>
      </c>
      <c r="D286" s="14">
        <f>IFERROR((VLOOKUP($A286,'[1]import success seats course'!$A:R,HLOOKUP('[1]Course Totals'!D$4,'[1]import success seats course'!$1:$2,2,FALSE),FALSE)/(VLOOKUP($A286,'[1]import graded seats course pivo'!$A:AB,HLOOKUP('[1]Course Totals'!D$4,'[1]import graded seats course pivo'!$1:$2,2,FALSE),FALSE))),"")</f>
        <v>0.89655172413793105</v>
      </c>
      <c r="E286" s="14" t="str">
        <f>IFERROR((VLOOKUP($A286,'[1]import success seats course'!$A:S,HLOOKUP('[1]Course Totals'!E$4,'[1]import success seats course'!$1:$2,2,FALSE),FALSE)/(VLOOKUP($A286,'[1]import graded seats course pivo'!$A:AC,HLOOKUP('[1]Course Totals'!E$4,'[1]import graded seats course pivo'!$1:$2,2,FALSE),FALSE))),"")</f>
        <v/>
      </c>
      <c r="F286" s="14">
        <f>IFERROR((VLOOKUP($A286,'[1]import success seats course'!$A:T,HLOOKUP('[1]Course Totals'!F$4,'[1]import success seats course'!$1:$2,2,FALSE),FALSE)/(VLOOKUP($A286,'[1]import graded seats course pivo'!$A:AD,HLOOKUP('[1]Course Totals'!F$4,'[1]import graded seats course pivo'!$1:$2,2,FALSE),FALSE))),"")</f>
        <v>0.90909090909090906</v>
      </c>
      <c r="G286" s="14" t="str">
        <f>IFERROR((VLOOKUP($A286,'[1]import success seats course'!$A:U,HLOOKUP('[1]Course Totals'!G$4,'[1]import success seats course'!$1:$2,2,FALSE),FALSE)/(VLOOKUP($A286,'[1]import graded seats course pivo'!$A:AE,HLOOKUP('[1]Course Totals'!G$4,'[1]import graded seats course pivo'!$1:$2,2,FALSE),FALSE))),"")</f>
        <v/>
      </c>
      <c r="H286" s="14" t="str">
        <f>IFERROR((VLOOKUP($A286,'[1]import success seats course'!$A:V,HLOOKUP('[1]Course Totals'!H$4,'[1]import success seats course'!$1:$2,2,FALSE),FALSE)/(VLOOKUP($A286,'[1]import graded seats course pivo'!$A:AF,HLOOKUP('[1]Course Totals'!H$4,'[1]import graded seats course pivo'!$1:$2,2,FALSE),FALSE))),"")</f>
        <v/>
      </c>
      <c r="I286" s="14">
        <f>IFERROR((VLOOKUP($A286,'[1]import success seats course'!$A:W,HLOOKUP('[1]Course Totals'!I$4,'[1]import success seats course'!$1:$2,2,FALSE),FALSE)/(VLOOKUP($A286,'[1]import graded seats course pivo'!$A:AG,HLOOKUP('[1]Course Totals'!I$4,'[1]import graded seats course pivo'!$1:$2,2,FALSE),FALSE))),"")</f>
        <v>0.93939393939393945</v>
      </c>
      <c r="J286" s="14">
        <f>IFERROR((VLOOKUP($A286,'[1]import success seats course'!$A:X,HLOOKUP('[1]Course Totals'!J$4,'[1]import success seats course'!$1:$2,2,FALSE),FALSE)/(VLOOKUP($A286,'[1]import graded seats course pivo'!$A:AH,HLOOKUP('[1]Course Totals'!J$4,'[1]import graded seats course pivo'!$1:$2,2,FALSE),FALSE))),"")</f>
        <v>0.91428571428571426</v>
      </c>
      <c r="K286" s="14" t="str">
        <f>IFERROR((VLOOKUP($A286,'[1]import success seats course'!$A:Y,HLOOKUP('[1]Course Totals'!K$4,'[1]import success seats course'!$1:$2,2,FALSE),FALSE)/(VLOOKUP($A286,'[1]import graded seats course pivo'!$A:AI,HLOOKUP('[1]Course Totals'!K$4,'[1]import graded seats course pivo'!$1:$2,2,FALSE),FALSE))),"")</f>
        <v/>
      </c>
      <c r="L286" s="14" t="str">
        <f>IFERROR((VLOOKUP($A286,'[1]import success seats course'!$A:Z,HLOOKUP('[1]Course Totals'!L$4,'[1]import success seats course'!$1:$2,2,FALSE),FALSE)/(VLOOKUP($A286,'[1]import graded seats course pivo'!$A:AJ,HLOOKUP('[1]Course Totals'!L$4,'[1]import graded seats course pivo'!$1:$2,2,FALSE),FALSE))),"")</f>
        <v/>
      </c>
      <c r="M286" s="14">
        <f>IFERROR((VLOOKUP($A286,'[1]import success seats course'!$A:AA,HLOOKUP('[1]Course Totals'!M$4,'[1]import success seats course'!$1:$2,2,FALSE),FALSE)/(VLOOKUP($A286,'[1]import graded seats course pivo'!$A:AK,HLOOKUP('[1]Course Totals'!M$4,'[1]import graded seats course pivo'!$1:$2,2,FALSE),FALSE))),"")</f>
        <v>0.93939393939393945</v>
      </c>
      <c r="N286" s="14" t="str">
        <f>IFERROR((VLOOKUP($A286,'[1]import success seats course'!$A:AB,HLOOKUP('[1]Course Totals'!N$4,'[1]import success seats course'!$1:$2,2,FALSE),FALSE)/(VLOOKUP($A286,'[1]import graded seats course pivo'!$A:AL,HLOOKUP('[1]Course Totals'!N$4,'[1]import graded seats course pivo'!$1:$2,2,FALSE),FALSE))),"")</f>
        <v/>
      </c>
      <c r="O286" s="14" t="str">
        <f>IFERROR((VLOOKUP($A286,'[1]import success seats course'!$A:AC,HLOOKUP('[1]Course Totals'!O$4,'[1]import success seats course'!$1:$2,2,FALSE),FALSE)/(VLOOKUP($A286,'[1]import graded seats course pivo'!$A:AM,HLOOKUP('[1]Course Totals'!O$4,'[1]import graded seats course pivo'!$1:$2,2,FALSE),FALSE))),"")</f>
        <v/>
      </c>
      <c r="P286" s="14">
        <f>IFERROR((VLOOKUP($A286,'[1]import success seats course'!$A:AD,HLOOKUP('[1]Course Totals'!P$4,'[1]import success seats course'!$1:$2,2,FALSE),FALSE)/(VLOOKUP($A286,'[1]import graded seats course pivo'!$A:AN,HLOOKUP('[1]Course Totals'!P$4,'[1]import graded seats course pivo'!$1:$2,2,FALSE),FALSE))),"")</f>
        <v>0.93103448275862066</v>
      </c>
      <c r="Q286" s="14" t="str">
        <f>IFERROR((VLOOKUP($A286,'[1]import success seats course'!$A:AE,HLOOKUP('[1]Course Totals'!Q$4,'[1]import success seats course'!$1:$2,2,FALSE),FALSE)/(VLOOKUP($A286,'[1]import graded seats course pivo'!$A:AO,HLOOKUP('[1]Course Totals'!Q$4,'[1]import graded seats course pivo'!$1:$2,2,FALSE),FALSE))),"")</f>
        <v/>
      </c>
      <c r="R286" s="14">
        <f>IFERROR((VLOOKUP($A286,'[1]import success seats course'!$A:AF,HLOOKUP('[1]Course Totals'!R$4,'[1]import success seats course'!$1:$2,2,FALSE),FALSE)/(VLOOKUP($A286,'[1]import graded seats course pivo'!$A:AP,HLOOKUP('[1]Course Totals'!R$4,'[1]import graded seats course pivo'!$1:$2,2,FALSE),FALSE))),"")</f>
        <v>0.93103448275862066</v>
      </c>
      <c r="S286" s="14" t="str">
        <f>IFERROR((VLOOKUP($A286,'[1]import success seats course'!$A:AG,HLOOKUP('[1]Course Totals'!S$4,'[1]import success seats course'!$1:$2,2,FALSE),FALSE)/(VLOOKUP($A286,'[1]import graded seats course pivo'!$A:AQ,HLOOKUP('[1]Course Totals'!S$4,'[1]import graded seats course pivo'!$1:$2,2,FALSE),FALSE))),"")</f>
        <v/>
      </c>
      <c r="Z286" s="7"/>
      <c r="AA286" s="7"/>
      <c r="AB286" s="7"/>
      <c r="AC286" s="7"/>
    </row>
    <row r="287" spans="1:29" ht="15.75" hidden="1" customHeight="1" x14ac:dyDescent="0.25">
      <c r="A287" s="12" t="s">
        <v>144</v>
      </c>
      <c r="B287" s="14" t="str">
        <f>IFERROR((VLOOKUP($A287,'[1]import success seats course'!$A:P,HLOOKUP('[1]Course Totals'!B$4,'[1]import success seats course'!$1:$2,2,FALSE),FALSE)/(VLOOKUP($A287,'[1]import graded seats course pivo'!$A:Z,HLOOKUP('[1]Course Totals'!B$4,'[1]import graded seats course pivo'!$1:$2,2,FALSE),FALSE))),"")</f>
        <v/>
      </c>
      <c r="C287" s="14" t="str">
        <f>IFERROR((VLOOKUP($A287,'[1]import success seats course'!$A:Q,HLOOKUP('[1]Course Totals'!C$4,'[1]import success seats course'!$1:$2,2,FALSE),FALSE)/(VLOOKUP($A287,'[1]import graded seats course pivo'!$A:AA,HLOOKUP('[1]Course Totals'!C$4,'[1]import graded seats course pivo'!$1:$2,2,FALSE),FALSE))),"")</f>
        <v/>
      </c>
      <c r="D287" s="14" t="str">
        <f>IFERROR((VLOOKUP($A287,'[1]import success seats course'!$A:R,HLOOKUP('[1]Course Totals'!D$4,'[1]import success seats course'!$1:$2,2,FALSE),FALSE)/(VLOOKUP($A287,'[1]import graded seats course pivo'!$A:AB,HLOOKUP('[1]Course Totals'!D$4,'[1]import graded seats course pivo'!$1:$2,2,FALSE),FALSE))),"")</f>
        <v/>
      </c>
      <c r="E287" s="14" t="str">
        <f>IFERROR((VLOOKUP($A287,'[1]import success seats course'!$A:S,HLOOKUP('[1]Course Totals'!E$4,'[1]import success seats course'!$1:$2,2,FALSE),FALSE)/(VLOOKUP($A287,'[1]import graded seats course pivo'!$A:AC,HLOOKUP('[1]Course Totals'!E$4,'[1]import graded seats course pivo'!$1:$2,2,FALSE),FALSE))),"")</f>
        <v/>
      </c>
      <c r="F287" s="14" t="str">
        <f>IFERROR((VLOOKUP($A287,'[1]import success seats course'!$A:T,HLOOKUP('[1]Course Totals'!F$4,'[1]import success seats course'!$1:$2,2,FALSE),FALSE)/(VLOOKUP($A287,'[1]import graded seats course pivo'!$A:AD,HLOOKUP('[1]Course Totals'!F$4,'[1]import graded seats course pivo'!$1:$2,2,FALSE),FALSE))),"")</f>
        <v/>
      </c>
      <c r="G287" s="14" t="str">
        <f>IFERROR((VLOOKUP($A287,'[1]import success seats course'!$A:U,HLOOKUP('[1]Course Totals'!G$4,'[1]import success seats course'!$1:$2,2,FALSE),FALSE)/(VLOOKUP($A287,'[1]import graded seats course pivo'!$A:AE,HLOOKUP('[1]Course Totals'!G$4,'[1]import graded seats course pivo'!$1:$2,2,FALSE),FALSE))),"")</f>
        <v/>
      </c>
      <c r="H287" s="14" t="str">
        <f>IFERROR((VLOOKUP($A287,'[1]import success seats course'!$A:V,HLOOKUP('[1]Course Totals'!H$4,'[1]import success seats course'!$1:$2,2,FALSE),FALSE)/(VLOOKUP($A287,'[1]import graded seats course pivo'!$A:AF,HLOOKUP('[1]Course Totals'!H$4,'[1]import graded seats course pivo'!$1:$2,2,FALSE),FALSE))),"")</f>
        <v/>
      </c>
      <c r="I287" s="14" t="str">
        <f>IFERROR((VLOOKUP($A287,'[1]import success seats course'!$A:W,HLOOKUP('[1]Course Totals'!I$4,'[1]import success seats course'!$1:$2,2,FALSE),FALSE)/(VLOOKUP($A287,'[1]import graded seats course pivo'!$A:AG,HLOOKUP('[1]Course Totals'!I$4,'[1]import graded seats course pivo'!$1:$2,2,FALSE),FALSE))),"")</f>
        <v/>
      </c>
      <c r="J287" s="14" t="str">
        <f>IFERROR((VLOOKUP($A287,'[1]import success seats course'!$A:X,HLOOKUP('[1]Course Totals'!J$4,'[1]import success seats course'!$1:$2,2,FALSE),FALSE)/(VLOOKUP($A287,'[1]import graded seats course pivo'!$A:AH,HLOOKUP('[1]Course Totals'!J$4,'[1]import graded seats course pivo'!$1:$2,2,FALSE),FALSE))),"")</f>
        <v/>
      </c>
      <c r="K287" s="14" t="str">
        <f>IFERROR((VLOOKUP($A287,'[1]import success seats course'!$A:Y,HLOOKUP('[1]Course Totals'!K$4,'[1]import success seats course'!$1:$2,2,FALSE),FALSE)/(VLOOKUP($A287,'[1]import graded seats course pivo'!$A:AI,HLOOKUP('[1]Course Totals'!K$4,'[1]import graded seats course pivo'!$1:$2,2,FALSE),FALSE))),"")</f>
        <v/>
      </c>
      <c r="L287" s="14" t="str">
        <f>IFERROR((VLOOKUP($A287,'[1]import success seats course'!$A:Z,HLOOKUP('[1]Course Totals'!L$4,'[1]import success seats course'!$1:$2,2,FALSE),FALSE)/(VLOOKUP($A287,'[1]import graded seats course pivo'!$A:AJ,HLOOKUP('[1]Course Totals'!L$4,'[1]import graded seats course pivo'!$1:$2,2,FALSE),FALSE))),"")</f>
        <v/>
      </c>
      <c r="M287" s="14" t="str">
        <f>IFERROR((VLOOKUP($A287,'[1]import success seats course'!$A:AA,HLOOKUP('[1]Course Totals'!M$4,'[1]import success seats course'!$1:$2,2,FALSE),FALSE)/(VLOOKUP($A287,'[1]import graded seats course pivo'!$A:AK,HLOOKUP('[1]Course Totals'!M$4,'[1]import graded seats course pivo'!$1:$2,2,FALSE),FALSE))),"")</f>
        <v/>
      </c>
      <c r="N287" s="14" t="str">
        <f>IFERROR((VLOOKUP($A287,'[1]import success seats course'!$A:AB,HLOOKUP('[1]Course Totals'!N$4,'[1]import success seats course'!$1:$2,2,FALSE),FALSE)/(VLOOKUP($A287,'[1]import graded seats course pivo'!$A:AL,HLOOKUP('[1]Course Totals'!N$4,'[1]import graded seats course pivo'!$1:$2,2,FALSE),FALSE))),"")</f>
        <v/>
      </c>
      <c r="O287" s="14" t="str">
        <f>IFERROR((VLOOKUP($A287,'[1]import success seats course'!$A:AC,HLOOKUP('[1]Course Totals'!O$4,'[1]import success seats course'!$1:$2,2,FALSE),FALSE)/(VLOOKUP($A287,'[1]import graded seats course pivo'!$A:AM,HLOOKUP('[1]Course Totals'!O$4,'[1]import graded seats course pivo'!$1:$2,2,FALSE),FALSE))),"")</f>
        <v/>
      </c>
      <c r="P287" s="14" t="str">
        <f>IFERROR((VLOOKUP($A287,'[1]import success seats course'!$A:AD,HLOOKUP('[1]Course Totals'!P$4,'[1]import success seats course'!$1:$2,2,FALSE),FALSE)/(VLOOKUP($A287,'[1]import graded seats course pivo'!$A:AN,HLOOKUP('[1]Course Totals'!P$4,'[1]import graded seats course pivo'!$1:$2,2,FALSE),FALSE))),"")</f>
        <v/>
      </c>
      <c r="Q287" s="14" t="str">
        <f>IFERROR((VLOOKUP($A287,'[1]import success seats course'!$A:AE,HLOOKUP('[1]Course Totals'!Q$4,'[1]import success seats course'!$1:$2,2,FALSE),FALSE)/(VLOOKUP($A287,'[1]import graded seats course pivo'!$A:AO,HLOOKUP('[1]Course Totals'!Q$4,'[1]import graded seats course pivo'!$1:$2,2,FALSE),FALSE))),"")</f>
        <v/>
      </c>
      <c r="R287" s="14" t="str">
        <f>IFERROR((VLOOKUP($A287,'[1]import success seats course'!$A:AF,HLOOKUP('[1]Course Totals'!R$4,'[1]import success seats course'!$1:$2,2,FALSE),FALSE)/(VLOOKUP($A287,'[1]import graded seats course pivo'!$A:AP,HLOOKUP('[1]Course Totals'!R$4,'[1]import graded seats course pivo'!$1:$2,2,FALSE),FALSE))),"")</f>
        <v/>
      </c>
      <c r="S287" s="14" t="str">
        <f>IFERROR((VLOOKUP($A287,'[1]import success seats course'!$A:AG,HLOOKUP('[1]Course Totals'!S$4,'[1]import success seats course'!$1:$2,2,FALSE),FALSE)/(VLOOKUP($A287,'[1]import graded seats course pivo'!$A:AQ,HLOOKUP('[1]Course Totals'!S$4,'[1]import graded seats course pivo'!$1:$2,2,FALSE),FALSE))),"")</f>
        <v/>
      </c>
      <c r="Z287" s="7"/>
      <c r="AA287" s="7"/>
      <c r="AB287" s="7"/>
      <c r="AC287" s="7"/>
    </row>
    <row r="288" spans="1:29" ht="15.75" hidden="1" customHeight="1" x14ac:dyDescent="0.25">
      <c r="A288" s="12" t="s">
        <v>145</v>
      </c>
      <c r="B288" s="14" t="str">
        <f>IFERROR((VLOOKUP($A288,'[1]import success seats course'!$A:P,HLOOKUP('[1]Course Totals'!B$4,'[1]import success seats course'!$1:$2,2,FALSE),FALSE)/(VLOOKUP($A288,'[1]import graded seats course pivo'!$A:Z,HLOOKUP('[1]Course Totals'!B$4,'[1]import graded seats course pivo'!$1:$2,2,FALSE),FALSE))),"")</f>
        <v/>
      </c>
      <c r="C288" s="14" t="str">
        <f>IFERROR((VLOOKUP($A288,'[1]import success seats course'!$A:Q,HLOOKUP('[1]Course Totals'!C$4,'[1]import success seats course'!$1:$2,2,FALSE),FALSE)/(VLOOKUP($A288,'[1]import graded seats course pivo'!$A:AA,HLOOKUP('[1]Course Totals'!C$4,'[1]import graded seats course pivo'!$1:$2,2,FALSE),FALSE))),"")</f>
        <v/>
      </c>
      <c r="D288" s="14" t="str">
        <f>IFERROR((VLOOKUP($A288,'[1]import success seats course'!$A:R,HLOOKUP('[1]Course Totals'!D$4,'[1]import success seats course'!$1:$2,2,FALSE),FALSE)/(VLOOKUP($A288,'[1]import graded seats course pivo'!$A:AB,HLOOKUP('[1]Course Totals'!D$4,'[1]import graded seats course pivo'!$1:$2,2,FALSE),FALSE))),"")</f>
        <v/>
      </c>
      <c r="E288" s="14" t="str">
        <f>IFERROR((VLOOKUP($A288,'[1]import success seats course'!$A:S,HLOOKUP('[1]Course Totals'!E$4,'[1]import success seats course'!$1:$2,2,FALSE),FALSE)/(VLOOKUP($A288,'[1]import graded seats course pivo'!$A:AC,HLOOKUP('[1]Course Totals'!E$4,'[1]import graded seats course pivo'!$1:$2,2,FALSE),FALSE))),"")</f>
        <v/>
      </c>
      <c r="F288" s="14" t="str">
        <f>IFERROR((VLOOKUP($A288,'[1]import success seats course'!$A:T,HLOOKUP('[1]Course Totals'!F$4,'[1]import success seats course'!$1:$2,2,FALSE),FALSE)/(VLOOKUP($A288,'[1]import graded seats course pivo'!$A:AD,HLOOKUP('[1]Course Totals'!F$4,'[1]import graded seats course pivo'!$1:$2,2,FALSE),FALSE))),"")</f>
        <v/>
      </c>
      <c r="G288" s="14" t="str">
        <f>IFERROR((VLOOKUP($A288,'[1]import success seats course'!$A:U,HLOOKUP('[1]Course Totals'!G$4,'[1]import success seats course'!$1:$2,2,FALSE),FALSE)/(VLOOKUP($A288,'[1]import graded seats course pivo'!$A:AE,HLOOKUP('[1]Course Totals'!G$4,'[1]import graded seats course pivo'!$1:$2,2,FALSE),FALSE))),"")</f>
        <v/>
      </c>
      <c r="H288" s="14" t="str">
        <f>IFERROR((VLOOKUP($A288,'[1]import success seats course'!$A:V,HLOOKUP('[1]Course Totals'!H$4,'[1]import success seats course'!$1:$2,2,FALSE),FALSE)/(VLOOKUP($A288,'[1]import graded seats course pivo'!$A:AF,HLOOKUP('[1]Course Totals'!H$4,'[1]import graded seats course pivo'!$1:$2,2,FALSE),FALSE))),"")</f>
        <v/>
      </c>
      <c r="I288" s="14" t="str">
        <f>IFERROR((VLOOKUP($A288,'[1]import success seats course'!$A:W,HLOOKUP('[1]Course Totals'!I$4,'[1]import success seats course'!$1:$2,2,FALSE),FALSE)/(VLOOKUP($A288,'[1]import graded seats course pivo'!$A:AG,HLOOKUP('[1]Course Totals'!I$4,'[1]import graded seats course pivo'!$1:$2,2,FALSE),FALSE))),"")</f>
        <v/>
      </c>
      <c r="J288" s="14" t="str">
        <f>IFERROR((VLOOKUP($A288,'[1]import success seats course'!$A:X,HLOOKUP('[1]Course Totals'!J$4,'[1]import success seats course'!$1:$2,2,FALSE),FALSE)/(VLOOKUP($A288,'[1]import graded seats course pivo'!$A:AH,HLOOKUP('[1]Course Totals'!J$4,'[1]import graded seats course pivo'!$1:$2,2,FALSE),FALSE))),"")</f>
        <v/>
      </c>
      <c r="K288" s="14" t="str">
        <f>IFERROR((VLOOKUP($A288,'[1]import success seats course'!$A:Y,HLOOKUP('[1]Course Totals'!K$4,'[1]import success seats course'!$1:$2,2,FALSE),FALSE)/(VLOOKUP($A288,'[1]import graded seats course pivo'!$A:AI,HLOOKUP('[1]Course Totals'!K$4,'[1]import graded seats course pivo'!$1:$2,2,FALSE),FALSE))),"")</f>
        <v/>
      </c>
      <c r="L288" s="14" t="str">
        <f>IFERROR((VLOOKUP($A288,'[1]import success seats course'!$A:Z,HLOOKUP('[1]Course Totals'!L$4,'[1]import success seats course'!$1:$2,2,FALSE),FALSE)/(VLOOKUP($A288,'[1]import graded seats course pivo'!$A:AJ,HLOOKUP('[1]Course Totals'!L$4,'[1]import graded seats course pivo'!$1:$2,2,FALSE),FALSE))),"")</f>
        <v/>
      </c>
      <c r="M288" s="14" t="str">
        <f>IFERROR((VLOOKUP($A288,'[1]import success seats course'!$A:AA,HLOOKUP('[1]Course Totals'!M$4,'[1]import success seats course'!$1:$2,2,FALSE),FALSE)/(VLOOKUP($A288,'[1]import graded seats course pivo'!$A:AK,HLOOKUP('[1]Course Totals'!M$4,'[1]import graded seats course pivo'!$1:$2,2,FALSE),FALSE))),"")</f>
        <v/>
      </c>
      <c r="N288" s="14" t="str">
        <f>IFERROR((VLOOKUP($A288,'[1]import success seats course'!$A:AB,HLOOKUP('[1]Course Totals'!N$4,'[1]import success seats course'!$1:$2,2,FALSE),FALSE)/(VLOOKUP($A288,'[1]import graded seats course pivo'!$A:AL,HLOOKUP('[1]Course Totals'!N$4,'[1]import graded seats course pivo'!$1:$2,2,FALSE),FALSE))),"")</f>
        <v/>
      </c>
      <c r="O288" s="14" t="str">
        <f>IFERROR((VLOOKUP($A288,'[1]import success seats course'!$A:AC,HLOOKUP('[1]Course Totals'!O$4,'[1]import success seats course'!$1:$2,2,FALSE),FALSE)/(VLOOKUP($A288,'[1]import graded seats course pivo'!$A:AM,HLOOKUP('[1]Course Totals'!O$4,'[1]import graded seats course pivo'!$1:$2,2,FALSE),FALSE))),"")</f>
        <v/>
      </c>
      <c r="P288" s="14" t="str">
        <f>IFERROR((VLOOKUP($A288,'[1]import success seats course'!$A:AD,HLOOKUP('[1]Course Totals'!P$4,'[1]import success seats course'!$1:$2,2,FALSE),FALSE)/(VLOOKUP($A288,'[1]import graded seats course pivo'!$A:AN,HLOOKUP('[1]Course Totals'!P$4,'[1]import graded seats course pivo'!$1:$2,2,FALSE),FALSE))),"")</f>
        <v/>
      </c>
      <c r="Q288" s="14" t="str">
        <f>IFERROR((VLOOKUP($A288,'[1]import success seats course'!$A:AE,HLOOKUP('[1]Course Totals'!Q$4,'[1]import success seats course'!$1:$2,2,FALSE),FALSE)/(VLOOKUP($A288,'[1]import graded seats course pivo'!$A:AO,HLOOKUP('[1]Course Totals'!Q$4,'[1]import graded seats course pivo'!$1:$2,2,FALSE),FALSE))),"")</f>
        <v/>
      </c>
      <c r="R288" s="14" t="str">
        <f>IFERROR((VLOOKUP($A288,'[1]import success seats course'!$A:AF,HLOOKUP('[1]Course Totals'!R$4,'[1]import success seats course'!$1:$2,2,FALSE),FALSE)/(VLOOKUP($A288,'[1]import graded seats course pivo'!$A:AP,HLOOKUP('[1]Course Totals'!R$4,'[1]import graded seats course pivo'!$1:$2,2,FALSE),FALSE))),"")</f>
        <v/>
      </c>
      <c r="S288" s="14" t="str">
        <f>IFERROR((VLOOKUP($A288,'[1]import success seats course'!$A:AG,HLOOKUP('[1]Course Totals'!S$4,'[1]import success seats course'!$1:$2,2,FALSE),FALSE)/(VLOOKUP($A288,'[1]import graded seats course pivo'!$A:AQ,HLOOKUP('[1]Course Totals'!S$4,'[1]import graded seats course pivo'!$1:$2,2,FALSE),FALSE))),"")</f>
        <v/>
      </c>
      <c r="Z288" s="7"/>
      <c r="AA288" s="7"/>
      <c r="AB288" s="7"/>
      <c r="AC288" s="7"/>
    </row>
    <row r="289" spans="1:29" ht="15.75" hidden="1" customHeight="1" x14ac:dyDescent="0.25">
      <c r="A289" s="12" t="s">
        <v>146</v>
      </c>
      <c r="B289" s="14" t="str">
        <f>IFERROR((VLOOKUP($A289,'[1]import success seats course'!$A:P,HLOOKUP('[1]Course Totals'!B$4,'[1]import success seats course'!$1:$2,2,FALSE),FALSE)/(VLOOKUP($A289,'[1]import graded seats course pivo'!$A:Z,HLOOKUP('[1]Course Totals'!B$4,'[1]import graded seats course pivo'!$1:$2,2,FALSE),FALSE))),"")</f>
        <v/>
      </c>
      <c r="C289" s="14" t="str">
        <f>IFERROR((VLOOKUP($A289,'[1]import success seats course'!$A:Q,HLOOKUP('[1]Course Totals'!C$4,'[1]import success seats course'!$1:$2,2,FALSE),FALSE)/(VLOOKUP($A289,'[1]import graded seats course pivo'!$A:AA,HLOOKUP('[1]Course Totals'!C$4,'[1]import graded seats course pivo'!$1:$2,2,FALSE),FALSE))),"")</f>
        <v/>
      </c>
      <c r="D289" s="14" t="str">
        <f>IFERROR((VLOOKUP($A289,'[1]import success seats course'!$A:R,HLOOKUP('[1]Course Totals'!D$4,'[1]import success seats course'!$1:$2,2,FALSE),FALSE)/(VLOOKUP($A289,'[1]import graded seats course pivo'!$A:AB,HLOOKUP('[1]Course Totals'!D$4,'[1]import graded seats course pivo'!$1:$2,2,FALSE),FALSE))),"")</f>
        <v/>
      </c>
      <c r="E289" s="14" t="str">
        <f>IFERROR((VLOOKUP($A289,'[1]import success seats course'!$A:S,HLOOKUP('[1]Course Totals'!E$4,'[1]import success seats course'!$1:$2,2,FALSE),FALSE)/(VLOOKUP($A289,'[1]import graded seats course pivo'!$A:AC,HLOOKUP('[1]Course Totals'!E$4,'[1]import graded seats course pivo'!$1:$2,2,FALSE),FALSE))),"")</f>
        <v/>
      </c>
      <c r="F289" s="14" t="str">
        <f>IFERROR((VLOOKUP($A289,'[1]import success seats course'!$A:T,HLOOKUP('[1]Course Totals'!F$4,'[1]import success seats course'!$1:$2,2,FALSE),FALSE)/(VLOOKUP($A289,'[1]import graded seats course pivo'!$A:AD,HLOOKUP('[1]Course Totals'!F$4,'[1]import graded seats course pivo'!$1:$2,2,FALSE),FALSE))),"")</f>
        <v/>
      </c>
      <c r="G289" s="14" t="str">
        <f>IFERROR((VLOOKUP($A289,'[1]import success seats course'!$A:U,HLOOKUP('[1]Course Totals'!G$4,'[1]import success seats course'!$1:$2,2,FALSE),FALSE)/(VLOOKUP($A289,'[1]import graded seats course pivo'!$A:AE,HLOOKUP('[1]Course Totals'!G$4,'[1]import graded seats course pivo'!$1:$2,2,FALSE),FALSE))),"")</f>
        <v/>
      </c>
      <c r="H289" s="14" t="str">
        <f>IFERROR((VLOOKUP($A289,'[1]import success seats course'!$A:V,HLOOKUP('[1]Course Totals'!H$4,'[1]import success seats course'!$1:$2,2,FALSE),FALSE)/(VLOOKUP($A289,'[1]import graded seats course pivo'!$A:AF,HLOOKUP('[1]Course Totals'!H$4,'[1]import graded seats course pivo'!$1:$2,2,FALSE),FALSE))),"")</f>
        <v/>
      </c>
      <c r="I289" s="14" t="str">
        <f>IFERROR((VLOOKUP($A289,'[1]import success seats course'!$A:W,HLOOKUP('[1]Course Totals'!I$4,'[1]import success seats course'!$1:$2,2,FALSE),FALSE)/(VLOOKUP($A289,'[1]import graded seats course pivo'!$A:AG,HLOOKUP('[1]Course Totals'!I$4,'[1]import graded seats course pivo'!$1:$2,2,FALSE),FALSE))),"")</f>
        <v/>
      </c>
      <c r="J289" s="14" t="str">
        <f>IFERROR((VLOOKUP($A289,'[1]import success seats course'!$A:X,HLOOKUP('[1]Course Totals'!J$4,'[1]import success seats course'!$1:$2,2,FALSE),FALSE)/(VLOOKUP($A289,'[1]import graded seats course pivo'!$A:AH,HLOOKUP('[1]Course Totals'!J$4,'[1]import graded seats course pivo'!$1:$2,2,FALSE),FALSE))),"")</f>
        <v/>
      </c>
      <c r="K289" s="14" t="str">
        <f>IFERROR((VLOOKUP($A289,'[1]import success seats course'!$A:Y,HLOOKUP('[1]Course Totals'!K$4,'[1]import success seats course'!$1:$2,2,FALSE),FALSE)/(VLOOKUP($A289,'[1]import graded seats course pivo'!$A:AI,HLOOKUP('[1]Course Totals'!K$4,'[1]import graded seats course pivo'!$1:$2,2,FALSE),FALSE))),"")</f>
        <v/>
      </c>
      <c r="L289" s="14" t="str">
        <f>IFERROR((VLOOKUP($A289,'[1]import success seats course'!$A:Z,HLOOKUP('[1]Course Totals'!L$4,'[1]import success seats course'!$1:$2,2,FALSE),FALSE)/(VLOOKUP($A289,'[1]import graded seats course pivo'!$A:AJ,HLOOKUP('[1]Course Totals'!L$4,'[1]import graded seats course pivo'!$1:$2,2,FALSE),FALSE))),"")</f>
        <v/>
      </c>
      <c r="M289" s="14" t="str">
        <f>IFERROR((VLOOKUP($A289,'[1]import success seats course'!$A:AA,HLOOKUP('[1]Course Totals'!M$4,'[1]import success seats course'!$1:$2,2,FALSE),FALSE)/(VLOOKUP($A289,'[1]import graded seats course pivo'!$A:AK,HLOOKUP('[1]Course Totals'!M$4,'[1]import graded seats course pivo'!$1:$2,2,FALSE),FALSE))),"")</f>
        <v/>
      </c>
      <c r="N289" s="14" t="str">
        <f>IFERROR((VLOOKUP($A289,'[1]import success seats course'!$A:AB,HLOOKUP('[1]Course Totals'!N$4,'[1]import success seats course'!$1:$2,2,FALSE),FALSE)/(VLOOKUP($A289,'[1]import graded seats course pivo'!$A:AL,HLOOKUP('[1]Course Totals'!N$4,'[1]import graded seats course pivo'!$1:$2,2,FALSE),FALSE))),"")</f>
        <v/>
      </c>
      <c r="O289" s="14" t="str">
        <f>IFERROR((VLOOKUP($A289,'[1]import success seats course'!$A:AC,HLOOKUP('[1]Course Totals'!O$4,'[1]import success seats course'!$1:$2,2,FALSE),FALSE)/(VLOOKUP($A289,'[1]import graded seats course pivo'!$A:AM,HLOOKUP('[1]Course Totals'!O$4,'[1]import graded seats course pivo'!$1:$2,2,FALSE),FALSE))),"")</f>
        <v/>
      </c>
      <c r="P289" s="14" t="str">
        <f>IFERROR((VLOOKUP($A289,'[1]import success seats course'!$A:AD,HLOOKUP('[1]Course Totals'!P$4,'[1]import success seats course'!$1:$2,2,FALSE),FALSE)/(VLOOKUP($A289,'[1]import graded seats course pivo'!$A:AN,HLOOKUP('[1]Course Totals'!P$4,'[1]import graded seats course pivo'!$1:$2,2,FALSE),FALSE))),"")</f>
        <v/>
      </c>
      <c r="Q289" s="14" t="str">
        <f>IFERROR((VLOOKUP($A289,'[1]import success seats course'!$A:AE,HLOOKUP('[1]Course Totals'!Q$4,'[1]import success seats course'!$1:$2,2,FALSE),FALSE)/(VLOOKUP($A289,'[1]import graded seats course pivo'!$A:AO,HLOOKUP('[1]Course Totals'!Q$4,'[1]import graded seats course pivo'!$1:$2,2,FALSE),FALSE))),"")</f>
        <v/>
      </c>
      <c r="R289" s="14" t="str">
        <f>IFERROR((VLOOKUP($A289,'[1]import success seats course'!$A:AF,HLOOKUP('[1]Course Totals'!R$4,'[1]import success seats course'!$1:$2,2,FALSE),FALSE)/(VLOOKUP($A289,'[1]import graded seats course pivo'!$A:AP,HLOOKUP('[1]Course Totals'!R$4,'[1]import graded seats course pivo'!$1:$2,2,FALSE),FALSE))),"")</f>
        <v/>
      </c>
      <c r="S289" s="14" t="str">
        <f>IFERROR((VLOOKUP($A289,'[1]import success seats course'!$A:AG,HLOOKUP('[1]Course Totals'!S$4,'[1]import success seats course'!$1:$2,2,FALSE),FALSE)/(VLOOKUP($A289,'[1]import graded seats course pivo'!$A:AQ,HLOOKUP('[1]Course Totals'!S$4,'[1]import graded seats course pivo'!$1:$2,2,FALSE),FALSE))),"")</f>
        <v/>
      </c>
      <c r="Z289" s="7"/>
      <c r="AA289" s="7"/>
      <c r="AB289" s="7"/>
      <c r="AC289" s="7"/>
    </row>
    <row r="290" spans="1:29" ht="15.75" customHeight="1" x14ac:dyDescent="0.25">
      <c r="A290" s="12" t="s">
        <v>708</v>
      </c>
      <c r="B290" s="14">
        <f>IFERROR((VLOOKUP($A290,'[1]import success seats course'!$A:P,HLOOKUP('[1]Course Totals'!B$4,'[1]import success seats course'!$1:$2,2,FALSE),FALSE)/(VLOOKUP($A290,'[1]import graded seats course pivo'!$A:Z,HLOOKUP('[1]Course Totals'!B$4,'[1]import graded seats course pivo'!$1:$2,2,FALSE),FALSE))),"")</f>
        <v>0.96875</v>
      </c>
      <c r="C290" s="14" t="str">
        <f>IFERROR((VLOOKUP($A290,'[1]import success seats course'!$A:Q,HLOOKUP('[1]Course Totals'!C$4,'[1]import success seats course'!$1:$2,2,FALSE),FALSE)/(VLOOKUP($A290,'[1]import graded seats course pivo'!$A:AA,HLOOKUP('[1]Course Totals'!C$4,'[1]import graded seats course pivo'!$1:$2,2,FALSE),FALSE))),"")</f>
        <v/>
      </c>
      <c r="D290" s="14" t="str">
        <f>IFERROR((VLOOKUP($A290,'[1]import success seats course'!$A:R,HLOOKUP('[1]Course Totals'!D$4,'[1]import success seats course'!$1:$2,2,FALSE),FALSE)/(VLOOKUP($A290,'[1]import graded seats course pivo'!$A:AB,HLOOKUP('[1]Course Totals'!D$4,'[1]import graded seats course pivo'!$1:$2,2,FALSE),FALSE))),"")</f>
        <v/>
      </c>
      <c r="E290" s="14" t="str">
        <f>IFERROR((VLOOKUP($A290,'[1]import success seats course'!$A:S,HLOOKUP('[1]Course Totals'!E$4,'[1]import success seats course'!$1:$2,2,FALSE),FALSE)/(VLOOKUP($A290,'[1]import graded seats course pivo'!$A:AC,HLOOKUP('[1]Course Totals'!E$4,'[1]import graded seats course pivo'!$1:$2,2,FALSE),FALSE))),"")</f>
        <v/>
      </c>
      <c r="F290" s="14" t="str">
        <f>IFERROR((VLOOKUP($A290,'[1]import success seats course'!$A:T,HLOOKUP('[1]Course Totals'!F$4,'[1]import success seats course'!$1:$2,2,FALSE),FALSE)/(VLOOKUP($A290,'[1]import graded seats course pivo'!$A:AD,HLOOKUP('[1]Course Totals'!F$4,'[1]import graded seats course pivo'!$1:$2,2,FALSE),FALSE))),"")</f>
        <v/>
      </c>
      <c r="G290" s="14" t="str">
        <f>IFERROR((VLOOKUP($A290,'[1]import success seats course'!$A:U,HLOOKUP('[1]Course Totals'!G$4,'[1]import success seats course'!$1:$2,2,FALSE),FALSE)/(VLOOKUP($A290,'[1]import graded seats course pivo'!$A:AE,HLOOKUP('[1]Course Totals'!G$4,'[1]import graded seats course pivo'!$1:$2,2,FALSE),FALSE))),"")</f>
        <v/>
      </c>
      <c r="H290" s="14" t="str">
        <f>IFERROR((VLOOKUP($A290,'[1]import success seats course'!$A:V,HLOOKUP('[1]Course Totals'!H$4,'[1]import success seats course'!$1:$2,2,FALSE),FALSE)/(VLOOKUP($A290,'[1]import graded seats course pivo'!$A:AF,HLOOKUP('[1]Course Totals'!H$4,'[1]import graded seats course pivo'!$1:$2,2,FALSE),FALSE))),"")</f>
        <v/>
      </c>
      <c r="I290" s="14">
        <f>IFERROR((VLOOKUP($A290,'[1]import success seats course'!$A:W,HLOOKUP('[1]Course Totals'!I$4,'[1]import success seats course'!$1:$2,2,FALSE),FALSE)/(VLOOKUP($A290,'[1]import graded seats course pivo'!$A:AG,HLOOKUP('[1]Course Totals'!I$4,'[1]import graded seats course pivo'!$1:$2,2,FALSE),FALSE))),"")</f>
        <v>0.8571428571428571</v>
      </c>
      <c r="J290" s="14" t="str">
        <f>IFERROR((VLOOKUP($A290,'[1]import success seats course'!$A:X,HLOOKUP('[1]Course Totals'!J$4,'[1]import success seats course'!$1:$2,2,FALSE),FALSE)/(VLOOKUP($A290,'[1]import graded seats course pivo'!$A:AH,HLOOKUP('[1]Course Totals'!J$4,'[1]import graded seats course pivo'!$1:$2,2,FALSE),FALSE))),"")</f>
        <v/>
      </c>
      <c r="K290" s="14" t="str">
        <f>IFERROR((VLOOKUP($A290,'[1]import success seats course'!$A:Y,HLOOKUP('[1]Course Totals'!K$4,'[1]import success seats course'!$1:$2,2,FALSE),FALSE)/(VLOOKUP($A290,'[1]import graded seats course pivo'!$A:AI,HLOOKUP('[1]Course Totals'!K$4,'[1]import graded seats course pivo'!$1:$2,2,FALSE),FALSE))),"")</f>
        <v/>
      </c>
      <c r="L290" s="14" t="str">
        <f>IFERROR((VLOOKUP($A290,'[1]import success seats course'!$A:Z,HLOOKUP('[1]Course Totals'!L$4,'[1]import success seats course'!$1:$2,2,FALSE),FALSE)/(VLOOKUP($A290,'[1]import graded seats course pivo'!$A:AJ,HLOOKUP('[1]Course Totals'!L$4,'[1]import graded seats course pivo'!$1:$2,2,FALSE),FALSE))),"")</f>
        <v/>
      </c>
      <c r="M290" s="14" t="str">
        <f>IFERROR((VLOOKUP($A290,'[1]import success seats course'!$A:AA,HLOOKUP('[1]Course Totals'!M$4,'[1]import success seats course'!$1:$2,2,FALSE),FALSE)/(VLOOKUP($A290,'[1]import graded seats course pivo'!$A:AK,HLOOKUP('[1]Course Totals'!M$4,'[1]import graded seats course pivo'!$1:$2,2,FALSE),FALSE))),"")</f>
        <v/>
      </c>
      <c r="N290" s="14" t="str">
        <f>IFERROR((VLOOKUP($A290,'[1]import success seats course'!$A:AB,HLOOKUP('[1]Course Totals'!N$4,'[1]import success seats course'!$1:$2,2,FALSE),FALSE)/(VLOOKUP($A290,'[1]import graded seats course pivo'!$A:AL,HLOOKUP('[1]Course Totals'!N$4,'[1]import graded seats course pivo'!$1:$2,2,FALSE),FALSE))),"")</f>
        <v/>
      </c>
      <c r="O290" s="14" t="str">
        <f>IFERROR((VLOOKUP($A290,'[1]import success seats course'!$A:AC,HLOOKUP('[1]Course Totals'!O$4,'[1]import success seats course'!$1:$2,2,FALSE),FALSE)/(VLOOKUP($A290,'[1]import graded seats course pivo'!$A:AM,HLOOKUP('[1]Course Totals'!O$4,'[1]import graded seats course pivo'!$1:$2,2,FALSE),FALSE))),"")</f>
        <v/>
      </c>
      <c r="P290" s="14" t="str">
        <f>IFERROR((VLOOKUP($A290,'[1]import success seats course'!$A:AD,HLOOKUP('[1]Course Totals'!P$4,'[1]import success seats course'!$1:$2,2,FALSE),FALSE)/(VLOOKUP($A290,'[1]import graded seats course pivo'!$A:AN,HLOOKUP('[1]Course Totals'!P$4,'[1]import graded seats course pivo'!$1:$2,2,FALSE),FALSE))),"")</f>
        <v/>
      </c>
      <c r="Q290" s="14" t="str">
        <f>IFERROR((VLOOKUP($A290,'[1]import success seats course'!$A:AE,HLOOKUP('[1]Course Totals'!Q$4,'[1]import success seats course'!$1:$2,2,FALSE),FALSE)/(VLOOKUP($A290,'[1]import graded seats course pivo'!$A:AO,HLOOKUP('[1]Course Totals'!Q$4,'[1]import graded seats course pivo'!$1:$2,2,FALSE),FALSE))),"")</f>
        <v/>
      </c>
      <c r="R290" s="14" t="str">
        <f>IFERROR((VLOOKUP($A290,'[1]import success seats course'!$A:AF,HLOOKUP('[1]Course Totals'!R$4,'[1]import success seats course'!$1:$2,2,FALSE),FALSE)/(VLOOKUP($A290,'[1]import graded seats course pivo'!$A:AP,HLOOKUP('[1]Course Totals'!R$4,'[1]import graded seats course pivo'!$1:$2,2,FALSE),FALSE))),"")</f>
        <v/>
      </c>
      <c r="S290" s="14" t="str">
        <f>IFERROR((VLOOKUP($A290,'[1]import success seats course'!$A:AG,HLOOKUP('[1]Course Totals'!S$4,'[1]import success seats course'!$1:$2,2,FALSE),FALSE)/(VLOOKUP($A290,'[1]import graded seats course pivo'!$A:AQ,HLOOKUP('[1]Course Totals'!S$4,'[1]import graded seats course pivo'!$1:$2,2,FALSE),FALSE))),"")</f>
        <v/>
      </c>
      <c r="Z290" s="7"/>
      <c r="AA290" s="7"/>
      <c r="AB290" s="7"/>
      <c r="AC290" s="7"/>
    </row>
    <row r="291" spans="1:29" ht="15.75" hidden="1" customHeight="1" x14ac:dyDescent="0.25">
      <c r="A291" s="12" t="s">
        <v>882</v>
      </c>
      <c r="B291" s="14" t="str">
        <f>IFERROR((VLOOKUP($A291,'[1]import success seats course'!$A:P,HLOOKUP('[1]Course Totals'!B$4,'[1]import success seats course'!$1:$2,2,FALSE),FALSE)/(VLOOKUP($A291,'[1]import graded seats course pivo'!$A:Z,HLOOKUP('[1]Course Totals'!B$4,'[1]import graded seats course pivo'!$1:$2,2,FALSE),FALSE))),"")</f>
        <v/>
      </c>
      <c r="C291" s="14" t="str">
        <f>IFERROR((VLOOKUP($A291,'[1]import success seats course'!$A:Q,HLOOKUP('[1]Course Totals'!C$4,'[1]import success seats course'!$1:$2,2,FALSE),FALSE)/(VLOOKUP($A291,'[1]import graded seats course pivo'!$A:AA,HLOOKUP('[1]Course Totals'!C$4,'[1]import graded seats course pivo'!$1:$2,2,FALSE),FALSE))),"")</f>
        <v/>
      </c>
      <c r="D291" s="14" t="str">
        <f>IFERROR((VLOOKUP($A291,'[1]import success seats course'!$A:R,HLOOKUP('[1]Course Totals'!D$4,'[1]import success seats course'!$1:$2,2,FALSE),FALSE)/(VLOOKUP($A291,'[1]import graded seats course pivo'!$A:AB,HLOOKUP('[1]Course Totals'!D$4,'[1]import graded seats course pivo'!$1:$2,2,FALSE),FALSE))),"")</f>
        <v/>
      </c>
      <c r="E291" s="14" t="str">
        <f>IFERROR((VLOOKUP($A291,'[1]import success seats course'!$A:S,HLOOKUP('[1]Course Totals'!E$4,'[1]import success seats course'!$1:$2,2,FALSE),FALSE)/(VLOOKUP($A291,'[1]import graded seats course pivo'!$A:AC,HLOOKUP('[1]Course Totals'!E$4,'[1]import graded seats course pivo'!$1:$2,2,FALSE),FALSE))),"")</f>
        <v/>
      </c>
      <c r="F291" s="14" t="str">
        <f>IFERROR((VLOOKUP($A291,'[1]import success seats course'!$A:T,HLOOKUP('[1]Course Totals'!F$4,'[1]import success seats course'!$1:$2,2,FALSE),FALSE)/(VLOOKUP($A291,'[1]import graded seats course pivo'!$A:AD,HLOOKUP('[1]Course Totals'!F$4,'[1]import graded seats course pivo'!$1:$2,2,FALSE),FALSE))),"")</f>
        <v/>
      </c>
      <c r="G291" s="14" t="str">
        <f>IFERROR((VLOOKUP($A291,'[1]import success seats course'!$A:U,HLOOKUP('[1]Course Totals'!G$4,'[1]import success seats course'!$1:$2,2,FALSE),FALSE)/(VLOOKUP($A291,'[1]import graded seats course pivo'!$A:AE,HLOOKUP('[1]Course Totals'!G$4,'[1]import graded seats course pivo'!$1:$2,2,FALSE),FALSE))),"")</f>
        <v/>
      </c>
      <c r="H291" s="14" t="str">
        <f>IFERROR((VLOOKUP($A291,'[1]import success seats course'!$A:V,HLOOKUP('[1]Course Totals'!H$4,'[1]import success seats course'!$1:$2,2,FALSE),FALSE)/(VLOOKUP($A291,'[1]import graded seats course pivo'!$A:AF,HLOOKUP('[1]Course Totals'!H$4,'[1]import graded seats course pivo'!$1:$2,2,FALSE),FALSE))),"")</f>
        <v/>
      </c>
      <c r="I291" s="14" t="str">
        <f>IFERROR((VLOOKUP($A291,'[1]import success seats course'!$A:W,HLOOKUP('[1]Course Totals'!I$4,'[1]import success seats course'!$1:$2,2,FALSE),FALSE)/(VLOOKUP($A291,'[1]import graded seats course pivo'!$A:AG,HLOOKUP('[1]Course Totals'!I$4,'[1]import graded seats course pivo'!$1:$2,2,FALSE),FALSE))),"")</f>
        <v/>
      </c>
      <c r="J291" s="14" t="str">
        <f>IFERROR((VLOOKUP($A291,'[1]import success seats course'!$A:X,HLOOKUP('[1]Course Totals'!J$4,'[1]import success seats course'!$1:$2,2,FALSE),FALSE)/(VLOOKUP($A291,'[1]import graded seats course pivo'!$A:AH,HLOOKUP('[1]Course Totals'!J$4,'[1]import graded seats course pivo'!$1:$2,2,FALSE),FALSE))),"")</f>
        <v/>
      </c>
      <c r="K291" s="14" t="str">
        <f>IFERROR((VLOOKUP($A291,'[1]import success seats course'!$A:Y,HLOOKUP('[1]Course Totals'!K$4,'[1]import success seats course'!$1:$2,2,FALSE),FALSE)/(VLOOKUP($A291,'[1]import graded seats course pivo'!$A:AI,HLOOKUP('[1]Course Totals'!K$4,'[1]import graded seats course pivo'!$1:$2,2,FALSE),FALSE))),"")</f>
        <v/>
      </c>
      <c r="L291" s="14" t="str">
        <f>IFERROR((VLOOKUP($A291,'[1]import success seats course'!$A:Z,HLOOKUP('[1]Course Totals'!L$4,'[1]import success seats course'!$1:$2,2,FALSE),FALSE)/(VLOOKUP($A291,'[1]import graded seats course pivo'!$A:AJ,HLOOKUP('[1]Course Totals'!L$4,'[1]import graded seats course pivo'!$1:$2,2,FALSE),FALSE))),"")</f>
        <v/>
      </c>
      <c r="M291" s="14" t="str">
        <f>IFERROR((VLOOKUP($A291,'[1]import success seats course'!$A:AA,HLOOKUP('[1]Course Totals'!M$4,'[1]import success seats course'!$1:$2,2,FALSE),FALSE)/(VLOOKUP($A291,'[1]import graded seats course pivo'!$A:AK,HLOOKUP('[1]Course Totals'!M$4,'[1]import graded seats course pivo'!$1:$2,2,FALSE),FALSE))),"")</f>
        <v/>
      </c>
      <c r="N291" s="14" t="str">
        <f>IFERROR((VLOOKUP($A291,'[1]import success seats course'!$A:AB,HLOOKUP('[1]Course Totals'!N$4,'[1]import success seats course'!$1:$2,2,FALSE),FALSE)/(VLOOKUP($A291,'[1]import graded seats course pivo'!$A:AL,HLOOKUP('[1]Course Totals'!N$4,'[1]import graded seats course pivo'!$1:$2,2,FALSE),FALSE))),"")</f>
        <v/>
      </c>
      <c r="O291" s="14" t="str">
        <f>IFERROR((VLOOKUP($A291,'[1]import success seats course'!$A:AC,HLOOKUP('[1]Course Totals'!O$4,'[1]import success seats course'!$1:$2,2,FALSE),FALSE)/(VLOOKUP($A291,'[1]import graded seats course pivo'!$A:AM,HLOOKUP('[1]Course Totals'!O$4,'[1]import graded seats course pivo'!$1:$2,2,FALSE),FALSE))),"")</f>
        <v/>
      </c>
      <c r="P291" s="14" t="str">
        <f>IFERROR((VLOOKUP($A291,'[1]import success seats course'!$A:AD,HLOOKUP('[1]Course Totals'!P$4,'[1]import success seats course'!$1:$2,2,FALSE),FALSE)/(VLOOKUP($A291,'[1]import graded seats course pivo'!$A:AN,HLOOKUP('[1]Course Totals'!P$4,'[1]import graded seats course pivo'!$1:$2,2,FALSE),FALSE))),"")</f>
        <v/>
      </c>
      <c r="Q291" s="14" t="str">
        <f>IFERROR((VLOOKUP($A291,'[1]import success seats course'!$A:AE,HLOOKUP('[1]Course Totals'!Q$4,'[1]import success seats course'!$1:$2,2,FALSE),FALSE)/(VLOOKUP($A291,'[1]import graded seats course pivo'!$A:AO,HLOOKUP('[1]Course Totals'!Q$4,'[1]import graded seats course pivo'!$1:$2,2,FALSE),FALSE))),"")</f>
        <v/>
      </c>
      <c r="R291" s="14" t="str">
        <f>IFERROR((VLOOKUP($A291,'[1]import success seats course'!$A:AF,HLOOKUP('[1]Course Totals'!R$4,'[1]import success seats course'!$1:$2,2,FALSE),FALSE)/(VLOOKUP($A291,'[1]import graded seats course pivo'!$A:AP,HLOOKUP('[1]Course Totals'!R$4,'[1]import graded seats course pivo'!$1:$2,2,FALSE),FALSE))),"")</f>
        <v/>
      </c>
      <c r="S291" s="14" t="str">
        <f>IFERROR((VLOOKUP($A291,'[1]import success seats course'!$A:AG,HLOOKUP('[1]Course Totals'!S$4,'[1]import success seats course'!$1:$2,2,FALSE),FALSE)/(VLOOKUP($A291,'[1]import graded seats course pivo'!$A:AQ,HLOOKUP('[1]Course Totals'!S$4,'[1]import graded seats course pivo'!$1:$2,2,FALSE),FALSE))),"")</f>
        <v/>
      </c>
      <c r="Z291" s="7"/>
      <c r="AA291" s="7"/>
      <c r="AB291" s="7"/>
      <c r="AC291" s="7"/>
    </row>
    <row r="292" spans="1:29" ht="15.75" customHeight="1" x14ac:dyDescent="0.25">
      <c r="A292" s="12" t="s">
        <v>579</v>
      </c>
      <c r="B292" s="14" t="str">
        <f>IFERROR((VLOOKUP($A292,'[1]import success seats course'!$A:P,HLOOKUP('[1]Course Totals'!B$4,'[1]import success seats course'!$1:$2,2,FALSE),FALSE)/(VLOOKUP($A292,'[1]import graded seats course pivo'!$A:Z,HLOOKUP('[1]Course Totals'!B$4,'[1]import graded seats course pivo'!$1:$2,2,FALSE),FALSE))),"")</f>
        <v/>
      </c>
      <c r="C292" s="14" t="str">
        <f>IFERROR((VLOOKUP($A292,'[1]import success seats course'!$A:Q,HLOOKUP('[1]Course Totals'!C$4,'[1]import success seats course'!$1:$2,2,FALSE),FALSE)/(VLOOKUP($A292,'[1]import graded seats course pivo'!$A:AA,HLOOKUP('[1]Course Totals'!C$4,'[1]import graded seats course pivo'!$1:$2,2,FALSE),FALSE))),"")</f>
        <v/>
      </c>
      <c r="D292" s="14" t="str">
        <f>IFERROR((VLOOKUP($A292,'[1]import success seats course'!$A:R,HLOOKUP('[1]Course Totals'!D$4,'[1]import success seats course'!$1:$2,2,FALSE),FALSE)/(VLOOKUP($A292,'[1]import graded seats course pivo'!$A:AB,HLOOKUP('[1]Course Totals'!D$4,'[1]import graded seats course pivo'!$1:$2,2,FALSE),FALSE))),"")</f>
        <v/>
      </c>
      <c r="E292" s="14" t="str">
        <f>IFERROR((VLOOKUP($A292,'[1]import success seats course'!$A:S,HLOOKUP('[1]Course Totals'!E$4,'[1]import success seats course'!$1:$2,2,FALSE),FALSE)/(VLOOKUP($A292,'[1]import graded seats course pivo'!$A:AC,HLOOKUP('[1]Course Totals'!E$4,'[1]import graded seats course pivo'!$1:$2,2,FALSE),FALSE))),"")</f>
        <v/>
      </c>
      <c r="F292" s="14">
        <f>IFERROR((VLOOKUP($A292,'[1]import success seats course'!$A:T,HLOOKUP('[1]Course Totals'!F$4,'[1]import success seats course'!$1:$2,2,FALSE),FALSE)/(VLOOKUP($A292,'[1]import graded seats course pivo'!$A:AD,HLOOKUP('[1]Course Totals'!F$4,'[1]import graded seats course pivo'!$1:$2,2,FALSE),FALSE))),"")</f>
        <v>0.89473684210526316</v>
      </c>
      <c r="G292" s="14" t="str">
        <f>IFERROR((VLOOKUP($A292,'[1]import success seats course'!$A:U,HLOOKUP('[1]Course Totals'!G$4,'[1]import success seats course'!$1:$2,2,FALSE),FALSE)/(VLOOKUP($A292,'[1]import graded seats course pivo'!$A:AE,HLOOKUP('[1]Course Totals'!G$4,'[1]import graded seats course pivo'!$1:$2,2,FALSE),FALSE))),"")</f>
        <v/>
      </c>
      <c r="H292" s="14" t="str">
        <f>IFERROR((VLOOKUP($A292,'[1]import success seats course'!$A:V,HLOOKUP('[1]Course Totals'!H$4,'[1]import success seats course'!$1:$2,2,FALSE),FALSE)/(VLOOKUP($A292,'[1]import graded seats course pivo'!$A:AF,HLOOKUP('[1]Course Totals'!H$4,'[1]import graded seats course pivo'!$1:$2,2,FALSE),FALSE))),"")</f>
        <v/>
      </c>
      <c r="I292" s="14" t="str">
        <f>IFERROR((VLOOKUP($A292,'[1]import success seats course'!$A:W,HLOOKUP('[1]Course Totals'!I$4,'[1]import success seats course'!$1:$2,2,FALSE),FALSE)/(VLOOKUP($A292,'[1]import graded seats course pivo'!$A:AG,HLOOKUP('[1]Course Totals'!I$4,'[1]import graded seats course pivo'!$1:$2,2,FALSE),FALSE))),"")</f>
        <v/>
      </c>
      <c r="J292" s="14" t="str">
        <f>IFERROR((VLOOKUP($A292,'[1]import success seats course'!$A:X,HLOOKUP('[1]Course Totals'!J$4,'[1]import success seats course'!$1:$2,2,FALSE),FALSE)/(VLOOKUP($A292,'[1]import graded seats course pivo'!$A:AH,HLOOKUP('[1]Course Totals'!J$4,'[1]import graded seats course pivo'!$1:$2,2,FALSE),FALSE))),"")</f>
        <v/>
      </c>
      <c r="K292" s="14" t="str">
        <f>IFERROR((VLOOKUP($A292,'[1]import success seats course'!$A:Y,HLOOKUP('[1]Course Totals'!K$4,'[1]import success seats course'!$1:$2,2,FALSE),FALSE)/(VLOOKUP($A292,'[1]import graded seats course pivo'!$A:AI,HLOOKUP('[1]Course Totals'!K$4,'[1]import graded seats course pivo'!$1:$2,2,FALSE),FALSE))),"")</f>
        <v/>
      </c>
      <c r="L292" s="14" t="str">
        <f>IFERROR((VLOOKUP($A292,'[1]import success seats course'!$A:Z,HLOOKUP('[1]Course Totals'!L$4,'[1]import success seats course'!$1:$2,2,FALSE),FALSE)/(VLOOKUP($A292,'[1]import graded seats course pivo'!$A:AJ,HLOOKUP('[1]Course Totals'!L$4,'[1]import graded seats course pivo'!$1:$2,2,FALSE),FALSE))),"")</f>
        <v/>
      </c>
      <c r="M292" s="14" t="str">
        <f>IFERROR((VLOOKUP($A292,'[1]import success seats course'!$A:AA,HLOOKUP('[1]Course Totals'!M$4,'[1]import success seats course'!$1:$2,2,FALSE),FALSE)/(VLOOKUP($A292,'[1]import graded seats course pivo'!$A:AK,HLOOKUP('[1]Course Totals'!M$4,'[1]import graded seats course pivo'!$1:$2,2,FALSE),FALSE))),"")</f>
        <v/>
      </c>
      <c r="N292" s="14" t="str">
        <f>IFERROR((VLOOKUP($A292,'[1]import success seats course'!$A:AB,HLOOKUP('[1]Course Totals'!N$4,'[1]import success seats course'!$1:$2,2,FALSE),FALSE)/(VLOOKUP($A292,'[1]import graded seats course pivo'!$A:AL,HLOOKUP('[1]Course Totals'!N$4,'[1]import graded seats course pivo'!$1:$2,2,FALSE),FALSE))),"")</f>
        <v/>
      </c>
      <c r="O292" s="14">
        <f>IFERROR((VLOOKUP($A292,'[1]import success seats course'!$A:AC,HLOOKUP('[1]Course Totals'!O$4,'[1]import success seats course'!$1:$2,2,FALSE),FALSE)/(VLOOKUP($A292,'[1]import graded seats course pivo'!$A:AM,HLOOKUP('[1]Course Totals'!O$4,'[1]import graded seats course pivo'!$1:$2,2,FALSE),FALSE))),"")</f>
        <v>0.83333333333333337</v>
      </c>
      <c r="P292" s="14" t="str">
        <f>IFERROR((VLOOKUP($A292,'[1]import success seats course'!$A:AD,HLOOKUP('[1]Course Totals'!P$4,'[1]import success seats course'!$1:$2,2,FALSE),FALSE)/(VLOOKUP($A292,'[1]import graded seats course pivo'!$A:AN,HLOOKUP('[1]Course Totals'!P$4,'[1]import graded seats course pivo'!$1:$2,2,FALSE),FALSE))),"")</f>
        <v/>
      </c>
      <c r="Q292" s="14" t="str">
        <f>IFERROR((VLOOKUP($A292,'[1]import success seats course'!$A:AE,HLOOKUP('[1]Course Totals'!Q$4,'[1]import success seats course'!$1:$2,2,FALSE),FALSE)/(VLOOKUP($A292,'[1]import graded seats course pivo'!$A:AO,HLOOKUP('[1]Course Totals'!Q$4,'[1]import graded seats course pivo'!$1:$2,2,FALSE),FALSE))),"")</f>
        <v/>
      </c>
      <c r="R292" s="14" t="str">
        <f>IFERROR((VLOOKUP($A292,'[1]import success seats course'!$A:AF,HLOOKUP('[1]Course Totals'!R$4,'[1]import success seats course'!$1:$2,2,FALSE),FALSE)/(VLOOKUP($A292,'[1]import graded seats course pivo'!$A:AP,HLOOKUP('[1]Course Totals'!R$4,'[1]import graded seats course pivo'!$1:$2,2,FALSE),FALSE))),"")</f>
        <v/>
      </c>
      <c r="S292" s="14" t="str">
        <f>IFERROR((VLOOKUP($A292,'[1]import success seats course'!$A:AG,HLOOKUP('[1]Course Totals'!S$4,'[1]import success seats course'!$1:$2,2,FALSE),FALSE)/(VLOOKUP($A292,'[1]import graded seats course pivo'!$A:AQ,HLOOKUP('[1]Course Totals'!S$4,'[1]import graded seats course pivo'!$1:$2,2,FALSE),FALSE))),"")</f>
        <v/>
      </c>
      <c r="Z292" s="7"/>
      <c r="AA292" s="7"/>
      <c r="AB292" s="7"/>
      <c r="AC292" s="7"/>
    </row>
    <row r="293" spans="1:29" ht="15.75" customHeight="1" x14ac:dyDescent="0.25">
      <c r="A293" s="12" t="s">
        <v>147</v>
      </c>
      <c r="B293" s="14" t="str">
        <f>IFERROR((VLOOKUP($A293,'[1]import success seats course'!$A:P,HLOOKUP('[1]Course Totals'!B$4,'[1]import success seats course'!$1:$2,2,FALSE),FALSE)/(VLOOKUP($A293,'[1]import graded seats course pivo'!$A:Z,HLOOKUP('[1]Course Totals'!B$4,'[1]import graded seats course pivo'!$1:$2,2,FALSE),FALSE))),"")</f>
        <v/>
      </c>
      <c r="C293" s="14" t="str">
        <f>IFERROR((VLOOKUP($A293,'[1]import success seats course'!$A:Q,HLOOKUP('[1]Course Totals'!C$4,'[1]import success seats course'!$1:$2,2,FALSE),FALSE)/(VLOOKUP($A293,'[1]import graded seats course pivo'!$A:AA,HLOOKUP('[1]Course Totals'!C$4,'[1]import graded seats course pivo'!$1:$2,2,FALSE),FALSE))),"")</f>
        <v/>
      </c>
      <c r="D293" s="14" t="str">
        <f>IFERROR((VLOOKUP($A293,'[1]import success seats course'!$A:R,HLOOKUP('[1]Course Totals'!D$4,'[1]import success seats course'!$1:$2,2,FALSE),FALSE)/(VLOOKUP($A293,'[1]import graded seats course pivo'!$A:AB,HLOOKUP('[1]Course Totals'!D$4,'[1]import graded seats course pivo'!$1:$2,2,FALSE),FALSE))),"")</f>
        <v/>
      </c>
      <c r="E293" s="14" t="str">
        <f>IFERROR((VLOOKUP($A293,'[1]import success seats course'!$A:S,HLOOKUP('[1]Course Totals'!E$4,'[1]import success seats course'!$1:$2,2,FALSE),FALSE)/(VLOOKUP($A293,'[1]import graded seats course pivo'!$A:AC,HLOOKUP('[1]Course Totals'!E$4,'[1]import graded seats course pivo'!$1:$2,2,FALSE),FALSE))),"")</f>
        <v/>
      </c>
      <c r="F293" s="14">
        <f>IFERROR((VLOOKUP($A293,'[1]import success seats course'!$A:T,HLOOKUP('[1]Course Totals'!F$4,'[1]import success seats course'!$1:$2,2,FALSE),FALSE)/(VLOOKUP($A293,'[1]import graded seats course pivo'!$A:AD,HLOOKUP('[1]Course Totals'!F$4,'[1]import graded seats course pivo'!$1:$2,2,FALSE),FALSE))),"")</f>
        <v>0.73684210526315785</v>
      </c>
      <c r="G293" s="14" t="str">
        <f>IFERROR((VLOOKUP($A293,'[1]import success seats course'!$A:U,HLOOKUP('[1]Course Totals'!G$4,'[1]import success seats course'!$1:$2,2,FALSE),FALSE)/(VLOOKUP($A293,'[1]import graded seats course pivo'!$A:AE,HLOOKUP('[1]Course Totals'!G$4,'[1]import graded seats course pivo'!$1:$2,2,FALSE),FALSE))),"")</f>
        <v/>
      </c>
      <c r="H293" s="14" t="str">
        <f>IFERROR((VLOOKUP($A293,'[1]import success seats course'!$A:V,HLOOKUP('[1]Course Totals'!H$4,'[1]import success seats course'!$1:$2,2,FALSE),FALSE)/(VLOOKUP($A293,'[1]import graded seats course pivo'!$A:AF,HLOOKUP('[1]Course Totals'!H$4,'[1]import graded seats course pivo'!$1:$2,2,FALSE),FALSE))),"")</f>
        <v/>
      </c>
      <c r="I293" s="14">
        <f>IFERROR((VLOOKUP($A293,'[1]import success seats course'!$A:W,HLOOKUP('[1]Course Totals'!I$4,'[1]import success seats course'!$1:$2,2,FALSE),FALSE)/(VLOOKUP($A293,'[1]import graded seats course pivo'!$A:AG,HLOOKUP('[1]Course Totals'!I$4,'[1]import graded seats course pivo'!$1:$2,2,FALSE),FALSE))),"")</f>
        <v>0.8</v>
      </c>
      <c r="J293" s="14" t="str">
        <f>IFERROR((VLOOKUP($A293,'[1]import success seats course'!$A:X,HLOOKUP('[1]Course Totals'!J$4,'[1]import success seats course'!$1:$2,2,FALSE),FALSE)/(VLOOKUP($A293,'[1]import graded seats course pivo'!$A:AH,HLOOKUP('[1]Course Totals'!J$4,'[1]import graded seats course pivo'!$1:$2,2,FALSE),FALSE))),"")</f>
        <v/>
      </c>
      <c r="K293" s="14" t="str">
        <f>IFERROR((VLOOKUP($A293,'[1]import success seats course'!$A:Y,HLOOKUP('[1]Course Totals'!K$4,'[1]import success seats course'!$1:$2,2,FALSE),FALSE)/(VLOOKUP($A293,'[1]import graded seats course pivo'!$A:AI,HLOOKUP('[1]Course Totals'!K$4,'[1]import graded seats course pivo'!$1:$2,2,FALSE),FALSE))),"")</f>
        <v/>
      </c>
      <c r="L293" s="14" t="str">
        <f>IFERROR((VLOOKUP($A293,'[1]import success seats course'!$A:Z,HLOOKUP('[1]Course Totals'!L$4,'[1]import success seats course'!$1:$2,2,FALSE),FALSE)/(VLOOKUP($A293,'[1]import graded seats course pivo'!$A:AJ,HLOOKUP('[1]Course Totals'!L$4,'[1]import graded seats course pivo'!$1:$2,2,FALSE),FALSE))),"")</f>
        <v/>
      </c>
      <c r="M293" s="14" t="str">
        <f>IFERROR((VLOOKUP($A293,'[1]import success seats course'!$A:AA,HLOOKUP('[1]Course Totals'!M$4,'[1]import success seats course'!$1:$2,2,FALSE),FALSE)/(VLOOKUP($A293,'[1]import graded seats course pivo'!$A:AK,HLOOKUP('[1]Course Totals'!M$4,'[1]import graded seats course pivo'!$1:$2,2,FALSE),FALSE))),"")</f>
        <v/>
      </c>
      <c r="N293" s="14" t="str">
        <f>IFERROR((VLOOKUP($A293,'[1]import success seats course'!$A:AB,HLOOKUP('[1]Course Totals'!N$4,'[1]import success seats course'!$1:$2,2,FALSE),FALSE)/(VLOOKUP($A293,'[1]import graded seats course pivo'!$A:AL,HLOOKUP('[1]Course Totals'!N$4,'[1]import graded seats course pivo'!$1:$2,2,FALSE),FALSE))),"")</f>
        <v/>
      </c>
      <c r="O293" s="14" t="str">
        <f>IFERROR((VLOOKUP($A293,'[1]import success seats course'!$A:AC,HLOOKUP('[1]Course Totals'!O$4,'[1]import success seats course'!$1:$2,2,FALSE),FALSE)/(VLOOKUP($A293,'[1]import graded seats course pivo'!$A:AM,HLOOKUP('[1]Course Totals'!O$4,'[1]import graded seats course pivo'!$1:$2,2,FALSE),FALSE))),"")</f>
        <v/>
      </c>
      <c r="P293" s="14" t="str">
        <f>IFERROR((VLOOKUP($A293,'[1]import success seats course'!$A:AD,HLOOKUP('[1]Course Totals'!P$4,'[1]import success seats course'!$1:$2,2,FALSE),FALSE)/(VLOOKUP($A293,'[1]import graded seats course pivo'!$A:AN,HLOOKUP('[1]Course Totals'!P$4,'[1]import graded seats course pivo'!$1:$2,2,FALSE),FALSE))),"")</f>
        <v/>
      </c>
      <c r="Q293" s="14" t="str">
        <f>IFERROR((VLOOKUP($A293,'[1]import success seats course'!$A:AE,HLOOKUP('[1]Course Totals'!Q$4,'[1]import success seats course'!$1:$2,2,FALSE),FALSE)/(VLOOKUP($A293,'[1]import graded seats course pivo'!$A:AO,HLOOKUP('[1]Course Totals'!Q$4,'[1]import graded seats course pivo'!$1:$2,2,FALSE),FALSE))),"")</f>
        <v/>
      </c>
      <c r="R293" s="14">
        <f>IFERROR((VLOOKUP($A293,'[1]import success seats course'!$A:AF,HLOOKUP('[1]Course Totals'!R$4,'[1]import success seats course'!$1:$2,2,FALSE),FALSE)/(VLOOKUP($A293,'[1]import graded seats course pivo'!$A:AP,HLOOKUP('[1]Course Totals'!R$4,'[1]import graded seats course pivo'!$1:$2,2,FALSE),FALSE))),"")</f>
        <v>0.88235294117647056</v>
      </c>
      <c r="S293" s="14" t="str">
        <f>IFERROR((VLOOKUP($A293,'[1]import success seats course'!$A:AG,HLOOKUP('[1]Course Totals'!S$4,'[1]import success seats course'!$1:$2,2,FALSE),FALSE)/(VLOOKUP($A293,'[1]import graded seats course pivo'!$A:AQ,HLOOKUP('[1]Course Totals'!S$4,'[1]import graded seats course pivo'!$1:$2,2,FALSE),FALSE))),"")</f>
        <v/>
      </c>
      <c r="Z293" s="7"/>
      <c r="AA293" s="7"/>
      <c r="AB293" s="7"/>
      <c r="AC293" s="7"/>
    </row>
    <row r="294" spans="1:29" ht="15.75" customHeight="1" x14ac:dyDescent="0.25">
      <c r="A294" s="12" t="s">
        <v>148</v>
      </c>
      <c r="B294" s="14" t="str">
        <f>IFERROR((VLOOKUP($A294,'[1]import success seats course'!$A:P,HLOOKUP('[1]Course Totals'!B$4,'[1]import success seats course'!$1:$2,2,FALSE),FALSE)/(VLOOKUP($A294,'[1]import graded seats course pivo'!$A:Z,HLOOKUP('[1]Course Totals'!B$4,'[1]import graded seats course pivo'!$1:$2,2,FALSE),FALSE))),"")</f>
        <v/>
      </c>
      <c r="C294" s="14" t="str">
        <f>IFERROR((VLOOKUP($A294,'[1]import success seats course'!$A:Q,HLOOKUP('[1]Course Totals'!C$4,'[1]import success seats course'!$1:$2,2,FALSE),FALSE)/(VLOOKUP($A294,'[1]import graded seats course pivo'!$A:AA,HLOOKUP('[1]Course Totals'!C$4,'[1]import graded seats course pivo'!$1:$2,2,FALSE),FALSE))),"")</f>
        <v/>
      </c>
      <c r="D294" s="14" t="str">
        <f>IFERROR((VLOOKUP($A294,'[1]import success seats course'!$A:R,HLOOKUP('[1]Course Totals'!D$4,'[1]import success seats course'!$1:$2,2,FALSE),FALSE)/(VLOOKUP($A294,'[1]import graded seats course pivo'!$A:AB,HLOOKUP('[1]Course Totals'!D$4,'[1]import graded seats course pivo'!$1:$2,2,FALSE),FALSE))),"")</f>
        <v/>
      </c>
      <c r="E294" s="14" t="str">
        <f>IFERROR((VLOOKUP($A294,'[1]import success seats course'!$A:S,HLOOKUP('[1]Course Totals'!E$4,'[1]import success seats course'!$1:$2,2,FALSE),FALSE)/(VLOOKUP($A294,'[1]import graded seats course pivo'!$A:AC,HLOOKUP('[1]Course Totals'!E$4,'[1]import graded seats course pivo'!$1:$2,2,FALSE),FALSE))),"")</f>
        <v/>
      </c>
      <c r="F294" s="14" t="str">
        <f>IFERROR((VLOOKUP($A294,'[1]import success seats course'!$A:T,HLOOKUP('[1]Course Totals'!F$4,'[1]import success seats course'!$1:$2,2,FALSE),FALSE)/(VLOOKUP($A294,'[1]import graded seats course pivo'!$A:AD,HLOOKUP('[1]Course Totals'!F$4,'[1]import graded seats course pivo'!$1:$2,2,FALSE),FALSE))),"")</f>
        <v/>
      </c>
      <c r="G294" s="14">
        <f>IFERROR((VLOOKUP($A294,'[1]import success seats course'!$A:U,HLOOKUP('[1]Course Totals'!G$4,'[1]import success seats course'!$1:$2,2,FALSE),FALSE)/(VLOOKUP($A294,'[1]import graded seats course pivo'!$A:AE,HLOOKUP('[1]Course Totals'!G$4,'[1]import graded seats course pivo'!$1:$2,2,FALSE),FALSE))),"")</f>
        <v>0.86111111111111116</v>
      </c>
      <c r="H294" s="14" t="str">
        <f>IFERROR((VLOOKUP($A294,'[1]import success seats course'!$A:V,HLOOKUP('[1]Course Totals'!H$4,'[1]import success seats course'!$1:$2,2,FALSE),FALSE)/(VLOOKUP($A294,'[1]import graded seats course pivo'!$A:AF,HLOOKUP('[1]Course Totals'!H$4,'[1]import graded seats course pivo'!$1:$2,2,FALSE),FALSE))),"")</f>
        <v/>
      </c>
      <c r="I294" s="14" t="str">
        <f>IFERROR((VLOOKUP($A294,'[1]import success seats course'!$A:W,HLOOKUP('[1]Course Totals'!I$4,'[1]import success seats course'!$1:$2,2,FALSE),FALSE)/(VLOOKUP($A294,'[1]import graded seats course pivo'!$A:AG,HLOOKUP('[1]Course Totals'!I$4,'[1]import graded seats course pivo'!$1:$2,2,FALSE),FALSE))),"")</f>
        <v/>
      </c>
      <c r="J294" s="14" t="str">
        <f>IFERROR((VLOOKUP($A294,'[1]import success seats course'!$A:X,HLOOKUP('[1]Course Totals'!J$4,'[1]import success seats course'!$1:$2,2,FALSE),FALSE)/(VLOOKUP($A294,'[1]import graded seats course pivo'!$A:AH,HLOOKUP('[1]Course Totals'!J$4,'[1]import graded seats course pivo'!$1:$2,2,FALSE),FALSE))),"")</f>
        <v/>
      </c>
      <c r="K294" s="14" t="str">
        <f>IFERROR((VLOOKUP($A294,'[1]import success seats course'!$A:Y,HLOOKUP('[1]Course Totals'!K$4,'[1]import success seats course'!$1:$2,2,FALSE),FALSE)/(VLOOKUP($A294,'[1]import graded seats course pivo'!$A:AI,HLOOKUP('[1]Course Totals'!K$4,'[1]import graded seats course pivo'!$1:$2,2,FALSE),FALSE))),"")</f>
        <v/>
      </c>
      <c r="L294" s="14" t="str">
        <f>IFERROR((VLOOKUP($A294,'[1]import success seats course'!$A:Z,HLOOKUP('[1]Course Totals'!L$4,'[1]import success seats course'!$1:$2,2,FALSE),FALSE)/(VLOOKUP($A294,'[1]import graded seats course pivo'!$A:AJ,HLOOKUP('[1]Course Totals'!L$4,'[1]import graded seats course pivo'!$1:$2,2,FALSE),FALSE))),"")</f>
        <v/>
      </c>
      <c r="M294" s="14">
        <f>IFERROR((VLOOKUP($A294,'[1]import success seats course'!$A:AA,HLOOKUP('[1]Course Totals'!M$4,'[1]import success seats course'!$1:$2,2,FALSE),FALSE)/(VLOOKUP($A294,'[1]import graded seats course pivo'!$A:AK,HLOOKUP('[1]Course Totals'!M$4,'[1]import graded seats course pivo'!$1:$2,2,FALSE),FALSE))),"")</f>
        <v>0.75</v>
      </c>
      <c r="N294" s="14" t="str">
        <f>IFERROR((VLOOKUP($A294,'[1]import success seats course'!$A:AB,HLOOKUP('[1]Course Totals'!N$4,'[1]import success seats course'!$1:$2,2,FALSE),FALSE)/(VLOOKUP($A294,'[1]import graded seats course pivo'!$A:AL,HLOOKUP('[1]Course Totals'!N$4,'[1]import graded seats course pivo'!$1:$2,2,FALSE),FALSE))),"")</f>
        <v/>
      </c>
      <c r="O294" s="14" t="str">
        <f>IFERROR((VLOOKUP($A294,'[1]import success seats course'!$A:AC,HLOOKUP('[1]Course Totals'!O$4,'[1]import success seats course'!$1:$2,2,FALSE),FALSE)/(VLOOKUP($A294,'[1]import graded seats course pivo'!$A:AM,HLOOKUP('[1]Course Totals'!O$4,'[1]import graded seats course pivo'!$1:$2,2,FALSE),FALSE))),"")</f>
        <v/>
      </c>
      <c r="P294" s="14" t="str">
        <f>IFERROR((VLOOKUP($A294,'[1]import success seats course'!$A:AD,HLOOKUP('[1]Course Totals'!P$4,'[1]import success seats course'!$1:$2,2,FALSE),FALSE)/(VLOOKUP($A294,'[1]import graded seats course pivo'!$A:AN,HLOOKUP('[1]Course Totals'!P$4,'[1]import graded seats course pivo'!$1:$2,2,FALSE),FALSE))),"")</f>
        <v/>
      </c>
      <c r="Q294" s="14" t="str">
        <f>IFERROR((VLOOKUP($A294,'[1]import success seats course'!$A:AE,HLOOKUP('[1]Course Totals'!Q$4,'[1]import success seats course'!$1:$2,2,FALSE),FALSE)/(VLOOKUP($A294,'[1]import graded seats course pivo'!$A:AO,HLOOKUP('[1]Course Totals'!Q$4,'[1]import graded seats course pivo'!$1:$2,2,FALSE),FALSE))),"")</f>
        <v/>
      </c>
      <c r="R294" s="14" t="str">
        <f>IFERROR((VLOOKUP($A294,'[1]import success seats course'!$A:AF,HLOOKUP('[1]Course Totals'!R$4,'[1]import success seats course'!$1:$2,2,FALSE),FALSE)/(VLOOKUP($A294,'[1]import graded seats course pivo'!$A:AP,HLOOKUP('[1]Course Totals'!R$4,'[1]import graded seats course pivo'!$1:$2,2,FALSE),FALSE))),"")</f>
        <v/>
      </c>
      <c r="S294" s="14">
        <f>IFERROR((VLOOKUP($A294,'[1]import success seats course'!$A:AG,HLOOKUP('[1]Course Totals'!S$4,'[1]import success seats course'!$1:$2,2,FALSE),FALSE)/(VLOOKUP($A294,'[1]import graded seats course pivo'!$A:AQ,HLOOKUP('[1]Course Totals'!S$4,'[1]import graded seats course pivo'!$1:$2,2,FALSE),FALSE))),"")</f>
        <v>0.80645161290322576</v>
      </c>
      <c r="Z294" s="7"/>
      <c r="AA294" s="7"/>
      <c r="AB294" s="7"/>
      <c r="AC294" s="7"/>
    </row>
    <row r="295" spans="1:29" ht="15.75" customHeight="1" x14ac:dyDescent="0.25">
      <c r="A295" s="12" t="s">
        <v>149</v>
      </c>
      <c r="B295" s="14" t="str">
        <f>IFERROR((VLOOKUP($A295,'[1]import success seats course'!$A:P,HLOOKUP('[1]Course Totals'!B$4,'[1]import success seats course'!$1:$2,2,FALSE),FALSE)/(VLOOKUP($A295,'[1]import graded seats course pivo'!$A:Z,HLOOKUP('[1]Course Totals'!B$4,'[1]import graded seats course pivo'!$1:$2,2,FALSE),FALSE))),"")</f>
        <v/>
      </c>
      <c r="C295" s="14">
        <f>IFERROR((VLOOKUP($A295,'[1]import success seats course'!$A:Q,HLOOKUP('[1]Course Totals'!C$4,'[1]import success seats course'!$1:$2,2,FALSE),FALSE)/(VLOOKUP($A295,'[1]import graded seats course pivo'!$A:AA,HLOOKUP('[1]Course Totals'!C$4,'[1]import graded seats course pivo'!$1:$2,2,FALSE),FALSE))),"")</f>
        <v>0.8</v>
      </c>
      <c r="D295" s="14">
        <f>IFERROR((VLOOKUP($A295,'[1]import success seats course'!$A:R,HLOOKUP('[1]Course Totals'!D$4,'[1]import success seats course'!$1:$2,2,FALSE),FALSE)/(VLOOKUP($A295,'[1]import graded seats course pivo'!$A:AB,HLOOKUP('[1]Course Totals'!D$4,'[1]import graded seats course pivo'!$1:$2,2,FALSE),FALSE))),"")</f>
        <v>0.86538461538461542</v>
      </c>
      <c r="E295" s="14">
        <f>IFERROR((VLOOKUP($A295,'[1]import success seats course'!$A:S,HLOOKUP('[1]Course Totals'!E$4,'[1]import success seats course'!$1:$2,2,FALSE),FALSE)/(VLOOKUP($A295,'[1]import graded seats course pivo'!$A:AC,HLOOKUP('[1]Course Totals'!E$4,'[1]import graded seats course pivo'!$1:$2,2,FALSE),FALSE))),"")</f>
        <v>1</v>
      </c>
      <c r="F295" s="14">
        <f>IFERROR((VLOOKUP($A295,'[1]import success seats course'!$A:T,HLOOKUP('[1]Course Totals'!F$4,'[1]import success seats course'!$1:$2,2,FALSE),FALSE)/(VLOOKUP($A295,'[1]import graded seats course pivo'!$A:AD,HLOOKUP('[1]Course Totals'!F$4,'[1]import graded seats course pivo'!$1:$2,2,FALSE),FALSE))),"")</f>
        <v>0.83673469387755106</v>
      </c>
      <c r="G295" s="14">
        <f>IFERROR((VLOOKUP($A295,'[1]import success seats course'!$A:U,HLOOKUP('[1]Course Totals'!G$4,'[1]import success seats course'!$1:$2,2,FALSE),FALSE)/(VLOOKUP($A295,'[1]import graded seats course pivo'!$A:AE,HLOOKUP('[1]Course Totals'!G$4,'[1]import graded seats course pivo'!$1:$2,2,FALSE),FALSE))),"")</f>
        <v>0.76811594202898548</v>
      </c>
      <c r="H295" s="14" t="str">
        <f>IFERROR((VLOOKUP($A295,'[1]import success seats course'!$A:V,HLOOKUP('[1]Course Totals'!H$4,'[1]import success seats course'!$1:$2,2,FALSE),FALSE)/(VLOOKUP($A295,'[1]import graded seats course pivo'!$A:AF,HLOOKUP('[1]Course Totals'!H$4,'[1]import graded seats course pivo'!$1:$2,2,FALSE),FALSE))),"")</f>
        <v/>
      </c>
      <c r="I295" s="14">
        <f>IFERROR((VLOOKUP($A295,'[1]import success seats course'!$A:W,HLOOKUP('[1]Course Totals'!I$4,'[1]import success seats course'!$1:$2,2,FALSE),FALSE)/(VLOOKUP($A295,'[1]import graded seats course pivo'!$A:AG,HLOOKUP('[1]Course Totals'!I$4,'[1]import graded seats course pivo'!$1:$2,2,FALSE),FALSE))),"")</f>
        <v>0.921875</v>
      </c>
      <c r="J295" s="14">
        <f>IFERROR((VLOOKUP($A295,'[1]import success seats course'!$A:X,HLOOKUP('[1]Course Totals'!J$4,'[1]import success seats course'!$1:$2,2,FALSE),FALSE)/(VLOOKUP($A295,'[1]import graded seats course pivo'!$A:AH,HLOOKUP('[1]Course Totals'!J$4,'[1]import graded seats course pivo'!$1:$2,2,FALSE),FALSE))),"")</f>
        <v>0.82474226804123707</v>
      </c>
      <c r="K295" s="14" t="str">
        <f>IFERROR((VLOOKUP($A295,'[1]import success seats course'!$A:Y,HLOOKUP('[1]Course Totals'!K$4,'[1]import success seats course'!$1:$2,2,FALSE),FALSE)/(VLOOKUP($A295,'[1]import graded seats course pivo'!$A:AI,HLOOKUP('[1]Course Totals'!K$4,'[1]import graded seats course pivo'!$1:$2,2,FALSE),FALSE))),"")</f>
        <v/>
      </c>
      <c r="L295" s="14">
        <f>IFERROR((VLOOKUP($A295,'[1]import success seats course'!$A:Z,HLOOKUP('[1]Course Totals'!L$4,'[1]import success seats course'!$1:$2,2,FALSE),FALSE)/(VLOOKUP($A295,'[1]import graded seats course pivo'!$A:AJ,HLOOKUP('[1]Course Totals'!L$4,'[1]import graded seats course pivo'!$1:$2,2,FALSE),FALSE))),"")</f>
        <v>0.89552238805970152</v>
      </c>
      <c r="M295" s="14">
        <f>IFERROR((VLOOKUP($A295,'[1]import success seats course'!$A:AA,HLOOKUP('[1]Course Totals'!M$4,'[1]import success seats course'!$1:$2,2,FALSE),FALSE)/(VLOOKUP($A295,'[1]import graded seats course pivo'!$A:AK,HLOOKUP('[1]Course Totals'!M$4,'[1]import graded seats course pivo'!$1:$2,2,FALSE),FALSE))),"")</f>
        <v>0.8125</v>
      </c>
      <c r="N295" s="14" t="str">
        <f>IFERROR((VLOOKUP($A295,'[1]import success seats course'!$A:AB,HLOOKUP('[1]Course Totals'!N$4,'[1]import success seats course'!$1:$2,2,FALSE),FALSE)/(VLOOKUP($A295,'[1]import graded seats course pivo'!$A:AL,HLOOKUP('[1]Course Totals'!N$4,'[1]import graded seats course pivo'!$1:$2,2,FALSE),FALSE))),"")</f>
        <v/>
      </c>
      <c r="O295" s="14">
        <f>IFERROR((VLOOKUP($A295,'[1]import success seats course'!$A:AC,HLOOKUP('[1]Course Totals'!O$4,'[1]import success seats course'!$1:$2,2,FALSE),FALSE)/(VLOOKUP($A295,'[1]import graded seats course pivo'!$A:AM,HLOOKUP('[1]Course Totals'!O$4,'[1]import graded seats course pivo'!$1:$2,2,FALSE),FALSE))),"")</f>
        <v>0.89247311827956988</v>
      </c>
      <c r="P295" s="14">
        <f>IFERROR((VLOOKUP($A295,'[1]import success seats course'!$A:AD,HLOOKUP('[1]Course Totals'!P$4,'[1]import success seats course'!$1:$2,2,FALSE),FALSE)/(VLOOKUP($A295,'[1]import graded seats course pivo'!$A:AN,HLOOKUP('[1]Course Totals'!P$4,'[1]import graded seats course pivo'!$1:$2,2,FALSE),FALSE))),"")</f>
        <v>0.81818181818181823</v>
      </c>
      <c r="Q295" s="14">
        <f>IFERROR((VLOOKUP($A295,'[1]import success seats course'!$A:AE,HLOOKUP('[1]Course Totals'!Q$4,'[1]import success seats course'!$1:$2,2,FALSE),FALSE)/(VLOOKUP($A295,'[1]import graded seats course pivo'!$A:AO,HLOOKUP('[1]Course Totals'!Q$4,'[1]import graded seats course pivo'!$1:$2,2,FALSE),FALSE))),"")</f>
        <v>0.96551724137931039</v>
      </c>
      <c r="R295" s="14">
        <f>IFERROR((VLOOKUP($A295,'[1]import success seats course'!$A:AF,HLOOKUP('[1]Course Totals'!R$4,'[1]import success seats course'!$1:$2,2,FALSE),FALSE)/(VLOOKUP($A295,'[1]import graded seats course pivo'!$A:AP,HLOOKUP('[1]Course Totals'!R$4,'[1]import graded seats course pivo'!$1:$2,2,FALSE),FALSE))),"")</f>
        <v>0.76271186440677963</v>
      </c>
      <c r="S295" s="14">
        <f>IFERROR((VLOOKUP($A295,'[1]import success seats course'!$A:AG,HLOOKUP('[1]Course Totals'!S$4,'[1]import success seats course'!$1:$2,2,FALSE),FALSE)/(VLOOKUP($A295,'[1]import graded seats course pivo'!$A:AQ,HLOOKUP('[1]Course Totals'!S$4,'[1]import graded seats course pivo'!$1:$2,2,FALSE),FALSE))),"")</f>
        <v>0.69512195121951215</v>
      </c>
      <c r="Z295" s="7"/>
      <c r="AA295" s="7"/>
      <c r="AB295" s="7"/>
      <c r="AC295" s="7"/>
    </row>
    <row r="296" spans="1:29" ht="15.75" customHeight="1" x14ac:dyDescent="0.25">
      <c r="A296" s="12" t="s">
        <v>150</v>
      </c>
      <c r="B296" s="14" t="str">
        <f>IFERROR((VLOOKUP($A296,'[1]import success seats course'!$A:P,HLOOKUP('[1]Course Totals'!B$4,'[1]import success seats course'!$1:$2,2,FALSE),FALSE)/(VLOOKUP($A296,'[1]import graded seats course pivo'!$A:Z,HLOOKUP('[1]Course Totals'!B$4,'[1]import graded seats course pivo'!$1:$2,2,FALSE),FALSE))),"")</f>
        <v/>
      </c>
      <c r="C296" s="14">
        <f>IFERROR((VLOOKUP($A296,'[1]import success seats course'!$A:Q,HLOOKUP('[1]Course Totals'!C$4,'[1]import success seats course'!$1:$2,2,FALSE),FALSE)/(VLOOKUP($A296,'[1]import graded seats course pivo'!$A:AA,HLOOKUP('[1]Course Totals'!C$4,'[1]import graded seats course pivo'!$1:$2,2,FALSE),FALSE))),"")</f>
        <v>1</v>
      </c>
      <c r="D296" s="14" t="str">
        <f>IFERROR((VLOOKUP($A296,'[1]import success seats course'!$A:R,HLOOKUP('[1]Course Totals'!D$4,'[1]import success seats course'!$1:$2,2,FALSE),FALSE)/(VLOOKUP($A296,'[1]import graded seats course pivo'!$A:AB,HLOOKUP('[1]Course Totals'!D$4,'[1]import graded seats course pivo'!$1:$2,2,FALSE),FALSE))),"")</f>
        <v/>
      </c>
      <c r="E296" s="14" t="str">
        <f>IFERROR((VLOOKUP($A296,'[1]import success seats course'!$A:S,HLOOKUP('[1]Course Totals'!E$4,'[1]import success seats course'!$1:$2,2,FALSE),FALSE)/(VLOOKUP($A296,'[1]import graded seats course pivo'!$A:AC,HLOOKUP('[1]Course Totals'!E$4,'[1]import graded seats course pivo'!$1:$2,2,FALSE),FALSE))),"")</f>
        <v/>
      </c>
      <c r="F296" s="14" t="str">
        <f>IFERROR((VLOOKUP($A296,'[1]import success seats course'!$A:T,HLOOKUP('[1]Course Totals'!F$4,'[1]import success seats course'!$1:$2,2,FALSE),FALSE)/(VLOOKUP($A296,'[1]import graded seats course pivo'!$A:AD,HLOOKUP('[1]Course Totals'!F$4,'[1]import graded seats course pivo'!$1:$2,2,FALSE),FALSE))),"")</f>
        <v/>
      </c>
      <c r="G296" s="14" t="str">
        <f>IFERROR((VLOOKUP($A296,'[1]import success seats course'!$A:U,HLOOKUP('[1]Course Totals'!G$4,'[1]import success seats course'!$1:$2,2,FALSE),FALSE)/(VLOOKUP($A296,'[1]import graded seats course pivo'!$A:AE,HLOOKUP('[1]Course Totals'!G$4,'[1]import graded seats course pivo'!$1:$2,2,FALSE),FALSE))),"")</f>
        <v/>
      </c>
      <c r="H296" s="14" t="str">
        <f>IFERROR((VLOOKUP($A296,'[1]import success seats course'!$A:V,HLOOKUP('[1]Course Totals'!H$4,'[1]import success seats course'!$1:$2,2,FALSE),FALSE)/(VLOOKUP($A296,'[1]import graded seats course pivo'!$A:AF,HLOOKUP('[1]Course Totals'!H$4,'[1]import graded seats course pivo'!$1:$2,2,FALSE),FALSE))),"")</f>
        <v/>
      </c>
      <c r="I296" s="14">
        <f>IFERROR((VLOOKUP($A296,'[1]import success seats course'!$A:W,HLOOKUP('[1]Course Totals'!I$4,'[1]import success seats course'!$1:$2,2,FALSE),FALSE)/(VLOOKUP($A296,'[1]import graded seats course pivo'!$A:AG,HLOOKUP('[1]Course Totals'!I$4,'[1]import graded seats course pivo'!$1:$2,2,FALSE),FALSE))),"")</f>
        <v>1</v>
      </c>
      <c r="J296" s="14">
        <f>IFERROR((VLOOKUP($A296,'[1]import success seats course'!$A:X,HLOOKUP('[1]Course Totals'!J$4,'[1]import success seats course'!$1:$2,2,FALSE),FALSE)/(VLOOKUP($A296,'[1]import graded seats course pivo'!$A:AH,HLOOKUP('[1]Course Totals'!J$4,'[1]import graded seats course pivo'!$1:$2,2,FALSE),FALSE))),"")</f>
        <v>1</v>
      </c>
      <c r="K296" s="14" t="str">
        <f>IFERROR((VLOOKUP($A296,'[1]import success seats course'!$A:Y,HLOOKUP('[1]Course Totals'!K$4,'[1]import success seats course'!$1:$2,2,FALSE),FALSE)/(VLOOKUP($A296,'[1]import graded seats course pivo'!$A:AI,HLOOKUP('[1]Course Totals'!K$4,'[1]import graded seats course pivo'!$1:$2,2,FALSE),FALSE))),"")</f>
        <v/>
      </c>
      <c r="L296" s="14" t="str">
        <f>IFERROR((VLOOKUP($A296,'[1]import success seats course'!$A:Z,HLOOKUP('[1]Course Totals'!L$4,'[1]import success seats course'!$1:$2,2,FALSE),FALSE)/(VLOOKUP($A296,'[1]import graded seats course pivo'!$A:AJ,HLOOKUP('[1]Course Totals'!L$4,'[1]import graded seats course pivo'!$1:$2,2,FALSE),FALSE))),"")</f>
        <v/>
      </c>
      <c r="M296" s="14" t="str">
        <f>IFERROR((VLOOKUP($A296,'[1]import success seats course'!$A:AA,HLOOKUP('[1]Course Totals'!M$4,'[1]import success seats course'!$1:$2,2,FALSE),FALSE)/(VLOOKUP($A296,'[1]import graded seats course pivo'!$A:AK,HLOOKUP('[1]Course Totals'!M$4,'[1]import graded seats course pivo'!$1:$2,2,FALSE),FALSE))),"")</f>
        <v/>
      </c>
      <c r="N296" s="14" t="str">
        <f>IFERROR((VLOOKUP($A296,'[1]import success seats course'!$A:AB,HLOOKUP('[1]Course Totals'!N$4,'[1]import success seats course'!$1:$2,2,FALSE),FALSE)/(VLOOKUP($A296,'[1]import graded seats course pivo'!$A:AL,HLOOKUP('[1]Course Totals'!N$4,'[1]import graded seats course pivo'!$1:$2,2,FALSE),FALSE))),"")</f>
        <v/>
      </c>
      <c r="O296" s="14" t="str">
        <f>IFERROR((VLOOKUP($A296,'[1]import success seats course'!$A:AC,HLOOKUP('[1]Course Totals'!O$4,'[1]import success seats course'!$1:$2,2,FALSE),FALSE)/(VLOOKUP($A296,'[1]import graded seats course pivo'!$A:AM,HLOOKUP('[1]Course Totals'!O$4,'[1]import graded seats course pivo'!$1:$2,2,FALSE),FALSE))),"")</f>
        <v/>
      </c>
      <c r="P296" s="14" t="str">
        <f>IFERROR((VLOOKUP($A296,'[1]import success seats course'!$A:AD,HLOOKUP('[1]Course Totals'!P$4,'[1]import success seats course'!$1:$2,2,FALSE),FALSE)/(VLOOKUP($A296,'[1]import graded seats course pivo'!$A:AN,HLOOKUP('[1]Course Totals'!P$4,'[1]import graded seats course pivo'!$1:$2,2,FALSE),FALSE))),"")</f>
        <v/>
      </c>
      <c r="Q296" s="14" t="str">
        <f>IFERROR((VLOOKUP($A296,'[1]import success seats course'!$A:AE,HLOOKUP('[1]Course Totals'!Q$4,'[1]import success seats course'!$1:$2,2,FALSE),FALSE)/(VLOOKUP($A296,'[1]import graded seats course pivo'!$A:AO,HLOOKUP('[1]Course Totals'!Q$4,'[1]import graded seats course pivo'!$1:$2,2,FALSE),FALSE))),"")</f>
        <v/>
      </c>
      <c r="R296" s="14">
        <f>IFERROR((VLOOKUP($A296,'[1]import success seats course'!$A:AF,HLOOKUP('[1]Course Totals'!R$4,'[1]import success seats course'!$1:$2,2,FALSE),FALSE)/(VLOOKUP($A296,'[1]import graded seats course pivo'!$A:AP,HLOOKUP('[1]Course Totals'!R$4,'[1]import graded seats course pivo'!$1:$2,2,FALSE),FALSE))),"")</f>
        <v>1</v>
      </c>
      <c r="S296" s="14" t="str">
        <f>IFERROR((VLOOKUP($A296,'[1]import success seats course'!$A:AG,HLOOKUP('[1]Course Totals'!S$4,'[1]import success seats course'!$1:$2,2,FALSE),FALSE)/(VLOOKUP($A296,'[1]import graded seats course pivo'!$A:AQ,HLOOKUP('[1]Course Totals'!S$4,'[1]import graded seats course pivo'!$1:$2,2,FALSE),FALSE))),"")</f>
        <v/>
      </c>
      <c r="Z296" s="7"/>
      <c r="AA296" s="7"/>
      <c r="AB296" s="7"/>
      <c r="AC296" s="7"/>
    </row>
    <row r="297" spans="1:29" ht="15.75" customHeight="1" x14ac:dyDescent="0.25">
      <c r="A297" s="12" t="s">
        <v>151</v>
      </c>
      <c r="B297" s="14" t="str">
        <f>IFERROR((VLOOKUP($A297,'[1]import success seats course'!$A:P,HLOOKUP('[1]Course Totals'!B$4,'[1]import success seats course'!$1:$2,2,FALSE),FALSE)/(VLOOKUP($A297,'[1]import graded seats course pivo'!$A:Z,HLOOKUP('[1]Course Totals'!B$4,'[1]import graded seats course pivo'!$1:$2,2,FALSE),FALSE))),"")</f>
        <v/>
      </c>
      <c r="C297" s="14">
        <f>IFERROR((VLOOKUP($A297,'[1]import success seats course'!$A:Q,HLOOKUP('[1]Course Totals'!C$4,'[1]import success seats course'!$1:$2,2,FALSE),FALSE)/(VLOOKUP($A297,'[1]import graded seats course pivo'!$A:AA,HLOOKUP('[1]Course Totals'!C$4,'[1]import graded seats course pivo'!$1:$2,2,FALSE),FALSE))),"")</f>
        <v>0.94117647058823528</v>
      </c>
      <c r="D297" s="14" t="str">
        <f>IFERROR((VLOOKUP($A297,'[1]import success seats course'!$A:R,HLOOKUP('[1]Course Totals'!D$4,'[1]import success seats course'!$1:$2,2,FALSE),FALSE)/(VLOOKUP($A297,'[1]import graded seats course pivo'!$A:AB,HLOOKUP('[1]Course Totals'!D$4,'[1]import graded seats course pivo'!$1:$2,2,FALSE),FALSE))),"")</f>
        <v/>
      </c>
      <c r="E297" s="14" t="str">
        <f>IFERROR((VLOOKUP($A297,'[1]import success seats course'!$A:S,HLOOKUP('[1]Course Totals'!E$4,'[1]import success seats course'!$1:$2,2,FALSE),FALSE)/(VLOOKUP($A297,'[1]import graded seats course pivo'!$A:AC,HLOOKUP('[1]Course Totals'!E$4,'[1]import graded seats course pivo'!$1:$2,2,FALSE),FALSE))),"")</f>
        <v/>
      </c>
      <c r="F297" s="14" t="str">
        <f>IFERROR((VLOOKUP($A297,'[1]import success seats course'!$A:T,HLOOKUP('[1]Course Totals'!F$4,'[1]import success seats course'!$1:$2,2,FALSE),FALSE)/(VLOOKUP($A297,'[1]import graded seats course pivo'!$A:AD,HLOOKUP('[1]Course Totals'!F$4,'[1]import graded seats course pivo'!$1:$2,2,FALSE),FALSE))),"")</f>
        <v/>
      </c>
      <c r="G297" s="14" t="str">
        <f>IFERROR((VLOOKUP($A297,'[1]import success seats course'!$A:U,HLOOKUP('[1]Course Totals'!G$4,'[1]import success seats course'!$1:$2,2,FALSE),FALSE)/(VLOOKUP($A297,'[1]import graded seats course pivo'!$A:AE,HLOOKUP('[1]Course Totals'!G$4,'[1]import graded seats course pivo'!$1:$2,2,FALSE),FALSE))),"")</f>
        <v/>
      </c>
      <c r="H297" s="14" t="str">
        <f>IFERROR((VLOOKUP($A297,'[1]import success seats course'!$A:V,HLOOKUP('[1]Course Totals'!H$4,'[1]import success seats course'!$1:$2,2,FALSE),FALSE)/(VLOOKUP($A297,'[1]import graded seats course pivo'!$A:AF,HLOOKUP('[1]Course Totals'!H$4,'[1]import graded seats course pivo'!$1:$2,2,FALSE),FALSE))),"")</f>
        <v/>
      </c>
      <c r="I297" s="14">
        <f>IFERROR((VLOOKUP($A297,'[1]import success seats course'!$A:W,HLOOKUP('[1]Course Totals'!I$4,'[1]import success seats course'!$1:$2,2,FALSE),FALSE)/(VLOOKUP($A297,'[1]import graded seats course pivo'!$A:AG,HLOOKUP('[1]Course Totals'!I$4,'[1]import graded seats course pivo'!$1:$2,2,FALSE),FALSE))),"")</f>
        <v>0.96666666666666667</v>
      </c>
      <c r="J297" s="14" t="str">
        <f>IFERROR((VLOOKUP($A297,'[1]import success seats course'!$A:X,HLOOKUP('[1]Course Totals'!J$4,'[1]import success seats course'!$1:$2,2,FALSE),FALSE)/(VLOOKUP($A297,'[1]import graded seats course pivo'!$A:AH,HLOOKUP('[1]Course Totals'!J$4,'[1]import graded seats course pivo'!$1:$2,2,FALSE),FALSE))),"")</f>
        <v/>
      </c>
      <c r="K297" s="14" t="str">
        <f>IFERROR((VLOOKUP($A297,'[1]import success seats course'!$A:Y,HLOOKUP('[1]Course Totals'!K$4,'[1]import success seats course'!$1:$2,2,FALSE),FALSE)/(VLOOKUP($A297,'[1]import graded seats course pivo'!$A:AI,HLOOKUP('[1]Course Totals'!K$4,'[1]import graded seats course pivo'!$1:$2,2,FALSE),FALSE))),"")</f>
        <v/>
      </c>
      <c r="L297" s="14" t="str">
        <f>IFERROR((VLOOKUP($A297,'[1]import success seats course'!$A:Z,HLOOKUP('[1]Course Totals'!L$4,'[1]import success seats course'!$1:$2,2,FALSE),FALSE)/(VLOOKUP($A297,'[1]import graded seats course pivo'!$A:AJ,HLOOKUP('[1]Course Totals'!L$4,'[1]import graded seats course pivo'!$1:$2,2,FALSE),FALSE))),"")</f>
        <v/>
      </c>
      <c r="M297" s="14" t="str">
        <f>IFERROR((VLOOKUP($A297,'[1]import success seats course'!$A:AA,HLOOKUP('[1]Course Totals'!M$4,'[1]import success seats course'!$1:$2,2,FALSE),FALSE)/(VLOOKUP($A297,'[1]import graded seats course pivo'!$A:AK,HLOOKUP('[1]Course Totals'!M$4,'[1]import graded seats course pivo'!$1:$2,2,FALSE),FALSE))),"")</f>
        <v/>
      </c>
      <c r="N297" s="14" t="str">
        <f>IFERROR((VLOOKUP($A297,'[1]import success seats course'!$A:AB,HLOOKUP('[1]Course Totals'!N$4,'[1]import success seats course'!$1:$2,2,FALSE),FALSE)/(VLOOKUP($A297,'[1]import graded seats course pivo'!$A:AL,HLOOKUP('[1]Course Totals'!N$4,'[1]import graded seats course pivo'!$1:$2,2,FALSE),FALSE))),"")</f>
        <v/>
      </c>
      <c r="O297" s="14" t="str">
        <f>IFERROR((VLOOKUP($A297,'[1]import success seats course'!$A:AC,HLOOKUP('[1]Course Totals'!O$4,'[1]import success seats course'!$1:$2,2,FALSE),FALSE)/(VLOOKUP($A297,'[1]import graded seats course pivo'!$A:AM,HLOOKUP('[1]Course Totals'!O$4,'[1]import graded seats course pivo'!$1:$2,2,FALSE),FALSE))),"")</f>
        <v/>
      </c>
      <c r="P297" s="14" t="str">
        <f>IFERROR((VLOOKUP($A297,'[1]import success seats course'!$A:AD,HLOOKUP('[1]Course Totals'!P$4,'[1]import success seats course'!$1:$2,2,FALSE),FALSE)/(VLOOKUP($A297,'[1]import graded seats course pivo'!$A:AN,HLOOKUP('[1]Course Totals'!P$4,'[1]import graded seats course pivo'!$1:$2,2,FALSE),FALSE))),"")</f>
        <v/>
      </c>
      <c r="Q297" s="14" t="str">
        <f>IFERROR((VLOOKUP($A297,'[1]import success seats course'!$A:AE,HLOOKUP('[1]Course Totals'!Q$4,'[1]import success seats course'!$1:$2,2,FALSE),FALSE)/(VLOOKUP($A297,'[1]import graded seats course pivo'!$A:AO,HLOOKUP('[1]Course Totals'!Q$4,'[1]import graded seats course pivo'!$1:$2,2,FALSE),FALSE))),"")</f>
        <v/>
      </c>
      <c r="R297" s="14" t="str">
        <f>IFERROR((VLOOKUP($A297,'[1]import success seats course'!$A:AF,HLOOKUP('[1]Course Totals'!R$4,'[1]import success seats course'!$1:$2,2,FALSE),FALSE)/(VLOOKUP($A297,'[1]import graded seats course pivo'!$A:AP,HLOOKUP('[1]Course Totals'!R$4,'[1]import graded seats course pivo'!$1:$2,2,FALSE),FALSE))),"")</f>
        <v/>
      </c>
      <c r="S297" s="14">
        <f>IFERROR((VLOOKUP($A297,'[1]import success seats course'!$A:AG,HLOOKUP('[1]Course Totals'!S$4,'[1]import success seats course'!$1:$2,2,FALSE),FALSE)/(VLOOKUP($A297,'[1]import graded seats course pivo'!$A:AQ,HLOOKUP('[1]Course Totals'!S$4,'[1]import graded seats course pivo'!$1:$2,2,FALSE),FALSE))),"")</f>
        <v>0.967741935483871</v>
      </c>
      <c r="Z297" s="7"/>
      <c r="AA297" s="7"/>
      <c r="AB297" s="7"/>
      <c r="AC297" s="7"/>
    </row>
    <row r="298" spans="1:29" ht="15.75" customHeight="1" x14ac:dyDescent="0.25">
      <c r="A298" s="12" t="s">
        <v>883</v>
      </c>
      <c r="B298" s="14" t="str">
        <f>IFERROR((VLOOKUP($A298,'[1]import success seats course'!$A:P,HLOOKUP('[1]Course Totals'!B$4,'[1]import success seats course'!$1:$2,2,FALSE),FALSE)/(VLOOKUP($A298,'[1]import graded seats course pivo'!$A:Z,HLOOKUP('[1]Course Totals'!B$4,'[1]import graded seats course pivo'!$1:$2,2,FALSE),FALSE))),"")</f>
        <v/>
      </c>
      <c r="C298" s="14" t="str">
        <f>IFERROR((VLOOKUP($A298,'[1]import success seats course'!$A:Q,HLOOKUP('[1]Course Totals'!C$4,'[1]import success seats course'!$1:$2,2,FALSE),FALSE)/(VLOOKUP($A298,'[1]import graded seats course pivo'!$A:AA,HLOOKUP('[1]Course Totals'!C$4,'[1]import graded seats course pivo'!$1:$2,2,FALSE),FALSE))),"")</f>
        <v/>
      </c>
      <c r="D298" s="14">
        <f>IFERROR((VLOOKUP($A298,'[1]import success seats course'!$A:R,HLOOKUP('[1]Course Totals'!D$4,'[1]import success seats course'!$1:$2,2,FALSE),FALSE)/(VLOOKUP($A298,'[1]import graded seats course pivo'!$A:AB,HLOOKUP('[1]Course Totals'!D$4,'[1]import graded seats course pivo'!$1:$2,2,FALSE),FALSE))),"")</f>
        <v>1</v>
      </c>
      <c r="E298" s="14" t="str">
        <f>IFERROR((VLOOKUP($A298,'[1]import success seats course'!$A:S,HLOOKUP('[1]Course Totals'!E$4,'[1]import success seats course'!$1:$2,2,FALSE),FALSE)/(VLOOKUP($A298,'[1]import graded seats course pivo'!$A:AC,HLOOKUP('[1]Course Totals'!E$4,'[1]import graded seats course pivo'!$1:$2,2,FALSE),FALSE))),"")</f>
        <v/>
      </c>
      <c r="F298" s="14" t="str">
        <f>IFERROR((VLOOKUP($A298,'[1]import success seats course'!$A:T,HLOOKUP('[1]Course Totals'!F$4,'[1]import success seats course'!$1:$2,2,FALSE),FALSE)/(VLOOKUP($A298,'[1]import graded seats course pivo'!$A:AD,HLOOKUP('[1]Course Totals'!F$4,'[1]import graded seats course pivo'!$1:$2,2,FALSE),FALSE))),"")</f>
        <v/>
      </c>
      <c r="G298" s="14" t="str">
        <f>IFERROR((VLOOKUP($A298,'[1]import success seats course'!$A:U,HLOOKUP('[1]Course Totals'!G$4,'[1]import success seats course'!$1:$2,2,FALSE),FALSE)/(VLOOKUP($A298,'[1]import graded seats course pivo'!$A:AE,HLOOKUP('[1]Course Totals'!G$4,'[1]import graded seats course pivo'!$1:$2,2,FALSE),FALSE))),"")</f>
        <v/>
      </c>
      <c r="H298" s="14" t="str">
        <f>IFERROR((VLOOKUP($A298,'[1]import success seats course'!$A:V,HLOOKUP('[1]Course Totals'!H$4,'[1]import success seats course'!$1:$2,2,FALSE),FALSE)/(VLOOKUP($A298,'[1]import graded seats course pivo'!$A:AF,HLOOKUP('[1]Course Totals'!H$4,'[1]import graded seats course pivo'!$1:$2,2,FALSE),FALSE))),"")</f>
        <v/>
      </c>
      <c r="I298" s="14" t="str">
        <f>IFERROR((VLOOKUP($A298,'[1]import success seats course'!$A:W,HLOOKUP('[1]Course Totals'!I$4,'[1]import success seats course'!$1:$2,2,FALSE),FALSE)/(VLOOKUP($A298,'[1]import graded seats course pivo'!$A:AG,HLOOKUP('[1]Course Totals'!I$4,'[1]import graded seats course pivo'!$1:$2,2,FALSE),FALSE))),"")</f>
        <v/>
      </c>
      <c r="J298" s="14">
        <f>IFERROR((VLOOKUP($A298,'[1]import success seats course'!$A:X,HLOOKUP('[1]Course Totals'!J$4,'[1]import success seats course'!$1:$2,2,FALSE),FALSE)/(VLOOKUP($A298,'[1]import graded seats course pivo'!$A:AH,HLOOKUP('[1]Course Totals'!J$4,'[1]import graded seats course pivo'!$1:$2,2,FALSE),FALSE))),"")</f>
        <v>1</v>
      </c>
      <c r="K298" s="14" t="str">
        <f>IFERROR((VLOOKUP($A298,'[1]import success seats course'!$A:Y,HLOOKUP('[1]Course Totals'!K$4,'[1]import success seats course'!$1:$2,2,FALSE),FALSE)/(VLOOKUP($A298,'[1]import graded seats course pivo'!$A:AI,HLOOKUP('[1]Course Totals'!K$4,'[1]import graded seats course pivo'!$1:$2,2,FALSE),FALSE))),"")</f>
        <v/>
      </c>
      <c r="L298" s="14" t="str">
        <f>IFERROR((VLOOKUP($A298,'[1]import success seats course'!$A:Z,HLOOKUP('[1]Course Totals'!L$4,'[1]import success seats course'!$1:$2,2,FALSE),FALSE)/(VLOOKUP($A298,'[1]import graded seats course pivo'!$A:AJ,HLOOKUP('[1]Course Totals'!L$4,'[1]import graded seats course pivo'!$1:$2,2,FALSE),FALSE))),"")</f>
        <v/>
      </c>
      <c r="M298" s="14" t="str">
        <f>IFERROR((VLOOKUP($A298,'[1]import success seats course'!$A:AA,HLOOKUP('[1]Course Totals'!M$4,'[1]import success seats course'!$1:$2,2,FALSE),FALSE)/(VLOOKUP($A298,'[1]import graded seats course pivo'!$A:AK,HLOOKUP('[1]Course Totals'!M$4,'[1]import graded seats course pivo'!$1:$2,2,FALSE),FALSE))),"")</f>
        <v/>
      </c>
      <c r="N298" s="14" t="str">
        <f>IFERROR((VLOOKUP($A298,'[1]import success seats course'!$A:AB,HLOOKUP('[1]Course Totals'!N$4,'[1]import success seats course'!$1:$2,2,FALSE),FALSE)/(VLOOKUP($A298,'[1]import graded seats course pivo'!$A:AL,HLOOKUP('[1]Course Totals'!N$4,'[1]import graded seats course pivo'!$1:$2,2,FALSE),FALSE))),"")</f>
        <v/>
      </c>
      <c r="O298" s="14" t="str">
        <f>IFERROR((VLOOKUP($A298,'[1]import success seats course'!$A:AC,HLOOKUP('[1]Course Totals'!O$4,'[1]import success seats course'!$1:$2,2,FALSE),FALSE)/(VLOOKUP($A298,'[1]import graded seats course pivo'!$A:AM,HLOOKUP('[1]Course Totals'!O$4,'[1]import graded seats course pivo'!$1:$2,2,FALSE),FALSE))),"")</f>
        <v/>
      </c>
      <c r="P298" s="14" t="str">
        <f>IFERROR((VLOOKUP($A298,'[1]import success seats course'!$A:AD,HLOOKUP('[1]Course Totals'!P$4,'[1]import success seats course'!$1:$2,2,FALSE),FALSE)/(VLOOKUP($A298,'[1]import graded seats course pivo'!$A:AN,HLOOKUP('[1]Course Totals'!P$4,'[1]import graded seats course pivo'!$1:$2,2,FALSE),FALSE))),"")</f>
        <v/>
      </c>
      <c r="Q298" s="14" t="str">
        <f>IFERROR((VLOOKUP($A298,'[1]import success seats course'!$A:AE,HLOOKUP('[1]Course Totals'!Q$4,'[1]import success seats course'!$1:$2,2,FALSE),FALSE)/(VLOOKUP($A298,'[1]import graded seats course pivo'!$A:AO,HLOOKUP('[1]Course Totals'!Q$4,'[1]import graded seats course pivo'!$1:$2,2,FALSE),FALSE))),"")</f>
        <v/>
      </c>
      <c r="R298" s="14" t="str">
        <f>IFERROR((VLOOKUP($A298,'[1]import success seats course'!$A:AF,HLOOKUP('[1]Course Totals'!R$4,'[1]import success seats course'!$1:$2,2,FALSE),FALSE)/(VLOOKUP($A298,'[1]import graded seats course pivo'!$A:AP,HLOOKUP('[1]Course Totals'!R$4,'[1]import graded seats course pivo'!$1:$2,2,FALSE),FALSE))),"")</f>
        <v/>
      </c>
      <c r="S298" s="14" t="str">
        <f>IFERROR((VLOOKUP($A298,'[1]import success seats course'!$A:AG,HLOOKUP('[1]Course Totals'!S$4,'[1]import success seats course'!$1:$2,2,FALSE),FALSE)/(VLOOKUP($A298,'[1]import graded seats course pivo'!$A:AQ,HLOOKUP('[1]Course Totals'!S$4,'[1]import graded seats course pivo'!$1:$2,2,FALSE),FALSE))),"")</f>
        <v/>
      </c>
      <c r="Z298" s="7"/>
      <c r="AA298" s="7"/>
      <c r="AB298" s="7"/>
      <c r="AC298" s="7"/>
    </row>
    <row r="299" spans="1:29" ht="15.75" customHeight="1" x14ac:dyDescent="0.25">
      <c r="A299" s="12" t="s">
        <v>884</v>
      </c>
      <c r="B299" s="14" t="str">
        <f>IFERROR((VLOOKUP($A299,'[1]import success seats course'!$A:P,HLOOKUP('[1]Course Totals'!B$4,'[1]import success seats course'!$1:$2,2,FALSE),FALSE)/(VLOOKUP($A299,'[1]import graded seats course pivo'!$A:Z,HLOOKUP('[1]Course Totals'!B$4,'[1]import graded seats course pivo'!$1:$2,2,FALSE),FALSE))),"")</f>
        <v/>
      </c>
      <c r="C299" s="14" t="str">
        <f>IFERROR((VLOOKUP($A299,'[1]import success seats course'!$A:Q,HLOOKUP('[1]Course Totals'!C$4,'[1]import success seats course'!$1:$2,2,FALSE),FALSE)/(VLOOKUP($A299,'[1]import graded seats course pivo'!$A:AA,HLOOKUP('[1]Course Totals'!C$4,'[1]import graded seats course pivo'!$1:$2,2,FALSE),FALSE))),"")</f>
        <v/>
      </c>
      <c r="D299" s="14">
        <f>IFERROR((VLOOKUP($A299,'[1]import success seats course'!$A:R,HLOOKUP('[1]Course Totals'!D$4,'[1]import success seats course'!$1:$2,2,FALSE),FALSE)/(VLOOKUP($A299,'[1]import graded seats course pivo'!$A:AB,HLOOKUP('[1]Course Totals'!D$4,'[1]import graded seats course pivo'!$1:$2,2,FALSE),FALSE))),"")</f>
        <v>0.97058823529411764</v>
      </c>
      <c r="E299" s="14" t="str">
        <f>IFERROR((VLOOKUP($A299,'[1]import success seats course'!$A:S,HLOOKUP('[1]Course Totals'!E$4,'[1]import success seats course'!$1:$2,2,FALSE),FALSE)/(VLOOKUP($A299,'[1]import graded seats course pivo'!$A:AC,HLOOKUP('[1]Course Totals'!E$4,'[1]import graded seats course pivo'!$1:$2,2,FALSE),FALSE))),"")</f>
        <v/>
      </c>
      <c r="F299" s="14" t="str">
        <f>IFERROR((VLOOKUP($A299,'[1]import success seats course'!$A:T,HLOOKUP('[1]Course Totals'!F$4,'[1]import success seats course'!$1:$2,2,FALSE),FALSE)/(VLOOKUP($A299,'[1]import graded seats course pivo'!$A:AD,HLOOKUP('[1]Course Totals'!F$4,'[1]import graded seats course pivo'!$1:$2,2,FALSE),FALSE))),"")</f>
        <v/>
      </c>
      <c r="G299" s="14" t="str">
        <f>IFERROR((VLOOKUP($A299,'[1]import success seats course'!$A:U,HLOOKUP('[1]Course Totals'!G$4,'[1]import success seats course'!$1:$2,2,FALSE),FALSE)/(VLOOKUP($A299,'[1]import graded seats course pivo'!$A:AE,HLOOKUP('[1]Course Totals'!G$4,'[1]import graded seats course pivo'!$1:$2,2,FALSE),FALSE))),"")</f>
        <v/>
      </c>
      <c r="H299" s="14" t="str">
        <f>IFERROR((VLOOKUP($A299,'[1]import success seats course'!$A:V,HLOOKUP('[1]Course Totals'!H$4,'[1]import success seats course'!$1:$2,2,FALSE),FALSE)/(VLOOKUP($A299,'[1]import graded seats course pivo'!$A:AF,HLOOKUP('[1]Course Totals'!H$4,'[1]import graded seats course pivo'!$1:$2,2,FALSE),FALSE))),"")</f>
        <v/>
      </c>
      <c r="I299" s="14" t="str">
        <f>IFERROR((VLOOKUP($A299,'[1]import success seats course'!$A:W,HLOOKUP('[1]Course Totals'!I$4,'[1]import success seats course'!$1:$2,2,FALSE),FALSE)/(VLOOKUP($A299,'[1]import graded seats course pivo'!$A:AG,HLOOKUP('[1]Course Totals'!I$4,'[1]import graded seats course pivo'!$1:$2,2,FALSE),FALSE))),"")</f>
        <v/>
      </c>
      <c r="J299" s="14">
        <f>IFERROR((VLOOKUP($A299,'[1]import success seats course'!$A:X,HLOOKUP('[1]Course Totals'!J$4,'[1]import success seats course'!$1:$2,2,FALSE),FALSE)/(VLOOKUP($A299,'[1]import graded seats course pivo'!$A:AH,HLOOKUP('[1]Course Totals'!J$4,'[1]import graded seats course pivo'!$1:$2,2,FALSE),FALSE))),"")</f>
        <v>1</v>
      </c>
      <c r="K299" s="14" t="str">
        <f>IFERROR((VLOOKUP($A299,'[1]import success seats course'!$A:Y,HLOOKUP('[1]Course Totals'!K$4,'[1]import success seats course'!$1:$2,2,FALSE),FALSE)/(VLOOKUP($A299,'[1]import graded seats course pivo'!$A:AI,HLOOKUP('[1]Course Totals'!K$4,'[1]import graded seats course pivo'!$1:$2,2,FALSE),FALSE))),"")</f>
        <v/>
      </c>
      <c r="L299" s="14" t="str">
        <f>IFERROR((VLOOKUP($A299,'[1]import success seats course'!$A:Z,HLOOKUP('[1]Course Totals'!L$4,'[1]import success seats course'!$1:$2,2,FALSE),FALSE)/(VLOOKUP($A299,'[1]import graded seats course pivo'!$A:AJ,HLOOKUP('[1]Course Totals'!L$4,'[1]import graded seats course pivo'!$1:$2,2,FALSE),FALSE))),"")</f>
        <v/>
      </c>
      <c r="M299" s="14" t="str">
        <f>IFERROR((VLOOKUP($A299,'[1]import success seats course'!$A:AA,HLOOKUP('[1]Course Totals'!M$4,'[1]import success seats course'!$1:$2,2,FALSE),FALSE)/(VLOOKUP($A299,'[1]import graded seats course pivo'!$A:AK,HLOOKUP('[1]Course Totals'!M$4,'[1]import graded seats course pivo'!$1:$2,2,FALSE),FALSE))),"")</f>
        <v/>
      </c>
      <c r="N299" s="14" t="str">
        <f>IFERROR((VLOOKUP($A299,'[1]import success seats course'!$A:AB,HLOOKUP('[1]Course Totals'!N$4,'[1]import success seats course'!$1:$2,2,FALSE),FALSE)/(VLOOKUP($A299,'[1]import graded seats course pivo'!$A:AL,HLOOKUP('[1]Course Totals'!N$4,'[1]import graded seats course pivo'!$1:$2,2,FALSE),FALSE))),"")</f>
        <v/>
      </c>
      <c r="O299" s="14" t="str">
        <f>IFERROR((VLOOKUP($A299,'[1]import success seats course'!$A:AC,HLOOKUP('[1]Course Totals'!O$4,'[1]import success seats course'!$1:$2,2,FALSE),FALSE)/(VLOOKUP($A299,'[1]import graded seats course pivo'!$A:AM,HLOOKUP('[1]Course Totals'!O$4,'[1]import graded seats course pivo'!$1:$2,2,FALSE),FALSE))),"")</f>
        <v/>
      </c>
      <c r="P299" s="14" t="str">
        <f>IFERROR((VLOOKUP($A299,'[1]import success seats course'!$A:AD,HLOOKUP('[1]Course Totals'!P$4,'[1]import success seats course'!$1:$2,2,FALSE),FALSE)/(VLOOKUP($A299,'[1]import graded seats course pivo'!$A:AN,HLOOKUP('[1]Course Totals'!P$4,'[1]import graded seats course pivo'!$1:$2,2,FALSE),FALSE))),"")</f>
        <v/>
      </c>
      <c r="Q299" s="14" t="str">
        <f>IFERROR((VLOOKUP($A299,'[1]import success seats course'!$A:AE,HLOOKUP('[1]Course Totals'!Q$4,'[1]import success seats course'!$1:$2,2,FALSE),FALSE)/(VLOOKUP($A299,'[1]import graded seats course pivo'!$A:AO,HLOOKUP('[1]Course Totals'!Q$4,'[1]import graded seats course pivo'!$1:$2,2,FALSE),FALSE))),"")</f>
        <v/>
      </c>
      <c r="R299" s="14" t="str">
        <f>IFERROR((VLOOKUP($A299,'[1]import success seats course'!$A:AF,HLOOKUP('[1]Course Totals'!R$4,'[1]import success seats course'!$1:$2,2,FALSE),FALSE)/(VLOOKUP($A299,'[1]import graded seats course pivo'!$A:AP,HLOOKUP('[1]Course Totals'!R$4,'[1]import graded seats course pivo'!$1:$2,2,FALSE),FALSE))),"")</f>
        <v/>
      </c>
      <c r="S299" s="14" t="str">
        <f>IFERROR((VLOOKUP($A299,'[1]import success seats course'!$A:AG,HLOOKUP('[1]Course Totals'!S$4,'[1]import success seats course'!$1:$2,2,FALSE),FALSE)/(VLOOKUP($A299,'[1]import graded seats course pivo'!$A:AQ,HLOOKUP('[1]Course Totals'!S$4,'[1]import graded seats course pivo'!$1:$2,2,FALSE),FALSE))),"")</f>
        <v/>
      </c>
      <c r="Z299" s="7"/>
      <c r="AA299" s="7"/>
      <c r="AB299" s="7"/>
      <c r="AC299" s="7"/>
    </row>
    <row r="300" spans="1:29" ht="15.75" hidden="1" customHeight="1" x14ac:dyDescent="0.25">
      <c r="A300" s="12" t="s">
        <v>885</v>
      </c>
      <c r="B300" s="14" t="str">
        <f>IFERROR((VLOOKUP($A300,'[1]import success seats course'!$A:P,HLOOKUP('[1]Course Totals'!B$4,'[1]import success seats course'!$1:$2,2,FALSE),FALSE)/(VLOOKUP($A300,'[1]import graded seats course pivo'!$A:Z,HLOOKUP('[1]Course Totals'!B$4,'[1]import graded seats course pivo'!$1:$2,2,FALSE),FALSE))),"")</f>
        <v/>
      </c>
      <c r="C300" s="14" t="str">
        <f>IFERROR((VLOOKUP($A300,'[1]import success seats course'!$A:Q,HLOOKUP('[1]Course Totals'!C$4,'[1]import success seats course'!$1:$2,2,FALSE),FALSE)/(VLOOKUP($A300,'[1]import graded seats course pivo'!$A:AA,HLOOKUP('[1]Course Totals'!C$4,'[1]import graded seats course pivo'!$1:$2,2,FALSE),FALSE))),"")</f>
        <v/>
      </c>
      <c r="D300" s="14" t="str">
        <f>IFERROR((VLOOKUP($A300,'[1]import success seats course'!$A:R,HLOOKUP('[1]Course Totals'!D$4,'[1]import success seats course'!$1:$2,2,FALSE),FALSE)/(VLOOKUP($A300,'[1]import graded seats course pivo'!$A:AB,HLOOKUP('[1]Course Totals'!D$4,'[1]import graded seats course pivo'!$1:$2,2,FALSE),FALSE))),"")</f>
        <v/>
      </c>
      <c r="E300" s="14" t="str">
        <f>IFERROR((VLOOKUP($A300,'[1]import success seats course'!$A:S,HLOOKUP('[1]Course Totals'!E$4,'[1]import success seats course'!$1:$2,2,FALSE),FALSE)/(VLOOKUP($A300,'[1]import graded seats course pivo'!$A:AC,HLOOKUP('[1]Course Totals'!E$4,'[1]import graded seats course pivo'!$1:$2,2,FALSE),FALSE))),"")</f>
        <v/>
      </c>
      <c r="F300" s="14" t="str">
        <f>IFERROR((VLOOKUP($A300,'[1]import success seats course'!$A:T,HLOOKUP('[1]Course Totals'!F$4,'[1]import success seats course'!$1:$2,2,FALSE),FALSE)/(VLOOKUP($A300,'[1]import graded seats course pivo'!$A:AD,HLOOKUP('[1]Course Totals'!F$4,'[1]import graded seats course pivo'!$1:$2,2,FALSE),FALSE))),"")</f>
        <v/>
      </c>
      <c r="G300" s="14" t="str">
        <f>IFERROR((VLOOKUP($A300,'[1]import success seats course'!$A:U,HLOOKUP('[1]Course Totals'!G$4,'[1]import success seats course'!$1:$2,2,FALSE),FALSE)/(VLOOKUP($A300,'[1]import graded seats course pivo'!$A:AE,HLOOKUP('[1]Course Totals'!G$4,'[1]import graded seats course pivo'!$1:$2,2,FALSE),FALSE))),"")</f>
        <v/>
      </c>
      <c r="H300" s="14" t="str">
        <f>IFERROR((VLOOKUP($A300,'[1]import success seats course'!$A:V,HLOOKUP('[1]Course Totals'!H$4,'[1]import success seats course'!$1:$2,2,FALSE),FALSE)/(VLOOKUP($A300,'[1]import graded seats course pivo'!$A:AF,HLOOKUP('[1]Course Totals'!H$4,'[1]import graded seats course pivo'!$1:$2,2,FALSE),FALSE))),"")</f>
        <v/>
      </c>
      <c r="I300" s="14" t="str">
        <f>IFERROR((VLOOKUP($A300,'[1]import success seats course'!$A:W,HLOOKUP('[1]Course Totals'!I$4,'[1]import success seats course'!$1:$2,2,FALSE),FALSE)/(VLOOKUP($A300,'[1]import graded seats course pivo'!$A:AG,HLOOKUP('[1]Course Totals'!I$4,'[1]import graded seats course pivo'!$1:$2,2,FALSE),FALSE))),"")</f>
        <v/>
      </c>
      <c r="J300" s="14" t="str">
        <f>IFERROR((VLOOKUP($A300,'[1]import success seats course'!$A:X,HLOOKUP('[1]Course Totals'!J$4,'[1]import success seats course'!$1:$2,2,FALSE),FALSE)/(VLOOKUP($A300,'[1]import graded seats course pivo'!$A:AH,HLOOKUP('[1]Course Totals'!J$4,'[1]import graded seats course pivo'!$1:$2,2,FALSE),FALSE))),"")</f>
        <v/>
      </c>
      <c r="K300" s="14" t="str">
        <f>IFERROR((VLOOKUP($A300,'[1]import success seats course'!$A:Y,HLOOKUP('[1]Course Totals'!K$4,'[1]import success seats course'!$1:$2,2,FALSE),FALSE)/(VLOOKUP($A300,'[1]import graded seats course pivo'!$A:AI,HLOOKUP('[1]Course Totals'!K$4,'[1]import graded seats course pivo'!$1:$2,2,FALSE),FALSE))),"")</f>
        <v/>
      </c>
      <c r="L300" s="14" t="str">
        <f>IFERROR((VLOOKUP($A300,'[1]import success seats course'!$A:Z,HLOOKUP('[1]Course Totals'!L$4,'[1]import success seats course'!$1:$2,2,FALSE),FALSE)/(VLOOKUP($A300,'[1]import graded seats course pivo'!$A:AJ,HLOOKUP('[1]Course Totals'!L$4,'[1]import graded seats course pivo'!$1:$2,2,FALSE),FALSE))),"")</f>
        <v/>
      </c>
      <c r="M300" s="14" t="str">
        <f>IFERROR((VLOOKUP($A300,'[1]import success seats course'!$A:AA,HLOOKUP('[1]Course Totals'!M$4,'[1]import success seats course'!$1:$2,2,FALSE),FALSE)/(VLOOKUP($A300,'[1]import graded seats course pivo'!$A:AK,HLOOKUP('[1]Course Totals'!M$4,'[1]import graded seats course pivo'!$1:$2,2,FALSE),FALSE))),"")</f>
        <v/>
      </c>
      <c r="N300" s="14" t="str">
        <f>IFERROR((VLOOKUP($A300,'[1]import success seats course'!$A:AB,HLOOKUP('[1]Course Totals'!N$4,'[1]import success seats course'!$1:$2,2,FALSE),FALSE)/(VLOOKUP($A300,'[1]import graded seats course pivo'!$A:AL,HLOOKUP('[1]Course Totals'!N$4,'[1]import graded seats course pivo'!$1:$2,2,FALSE),FALSE))),"")</f>
        <v/>
      </c>
      <c r="O300" s="14" t="str">
        <f>IFERROR((VLOOKUP($A300,'[1]import success seats course'!$A:AC,HLOOKUP('[1]Course Totals'!O$4,'[1]import success seats course'!$1:$2,2,FALSE),FALSE)/(VLOOKUP($A300,'[1]import graded seats course pivo'!$A:AM,HLOOKUP('[1]Course Totals'!O$4,'[1]import graded seats course pivo'!$1:$2,2,FALSE),FALSE))),"")</f>
        <v/>
      </c>
      <c r="P300" s="14" t="str">
        <f>IFERROR((VLOOKUP($A300,'[1]import success seats course'!$A:AD,HLOOKUP('[1]Course Totals'!P$4,'[1]import success seats course'!$1:$2,2,FALSE),FALSE)/(VLOOKUP($A300,'[1]import graded seats course pivo'!$A:AN,HLOOKUP('[1]Course Totals'!P$4,'[1]import graded seats course pivo'!$1:$2,2,FALSE),FALSE))),"")</f>
        <v/>
      </c>
      <c r="Q300" s="14" t="str">
        <f>IFERROR((VLOOKUP($A300,'[1]import success seats course'!$A:AE,HLOOKUP('[1]Course Totals'!Q$4,'[1]import success seats course'!$1:$2,2,FALSE),FALSE)/(VLOOKUP($A300,'[1]import graded seats course pivo'!$A:AO,HLOOKUP('[1]Course Totals'!Q$4,'[1]import graded seats course pivo'!$1:$2,2,FALSE),FALSE))),"")</f>
        <v/>
      </c>
      <c r="R300" s="14" t="str">
        <f>IFERROR((VLOOKUP($A300,'[1]import success seats course'!$A:AF,HLOOKUP('[1]Course Totals'!R$4,'[1]import success seats course'!$1:$2,2,FALSE),FALSE)/(VLOOKUP($A300,'[1]import graded seats course pivo'!$A:AP,HLOOKUP('[1]Course Totals'!R$4,'[1]import graded seats course pivo'!$1:$2,2,FALSE),FALSE))),"")</f>
        <v/>
      </c>
      <c r="S300" s="14" t="str">
        <f>IFERROR((VLOOKUP($A300,'[1]import success seats course'!$A:AG,HLOOKUP('[1]Course Totals'!S$4,'[1]import success seats course'!$1:$2,2,FALSE),FALSE)/(VLOOKUP($A300,'[1]import graded seats course pivo'!$A:AQ,HLOOKUP('[1]Course Totals'!S$4,'[1]import graded seats course pivo'!$1:$2,2,FALSE),FALSE))),"")</f>
        <v/>
      </c>
      <c r="Z300" s="7"/>
      <c r="AA300" s="7"/>
      <c r="AB300" s="7"/>
      <c r="AC300" s="7"/>
    </row>
    <row r="301" spans="1:29" ht="15.75" customHeight="1" x14ac:dyDescent="0.25">
      <c r="A301" s="12" t="s">
        <v>152</v>
      </c>
      <c r="B301" s="14" t="str">
        <f>IFERROR((VLOOKUP($A301,'[1]import success seats course'!$A:P,HLOOKUP('[1]Course Totals'!B$4,'[1]import success seats course'!$1:$2,2,FALSE),FALSE)/(VLOOKUP($A301,'[1]import graded seats course pivo'!$A:Z,HLOOKUP('[1]Course Totals'!B$4,'[1]import graded seats course pivo'!$1:$2,2,FALSE),FALSE))),"")</f>
        <v/>
      </c>
      <c r="C301" s="14">
        <f>IFERROR((VLOOKUP($A301,'[1]import success seats course'!$A:Q,HLOOKUP('[1]Course Totals'!C$4,'[1]import success seats course'!$1:$2,2,FALSE),FALSE)/(VLOOKUP($A301,'[1]import graded seats course pivo'!$A:AA,HLOOKUP('[1]Course Totals'!C$4,'[1]import graded seats course pivo'!$1:$2,2,FALSE),FALSE))),"")</f>
        <v>0.83333333333333337</v>
      </c>
      <c r="D301" s="14">
        <f>IFERROR((VLOOKUP($A301,'[1]import success seats course'!$A:R,HLOOKUP('[1]Course Totals'!D$4,'[1]import success seats course'!$1:$2,2,FALSE),FALSE)/(VLOOKUP($A301,'[1]import graded seats course pivo'!$A:AB,HLOOKUP('[1]Course Totals'!D$4,'[1]import graded seats course pivo'!$1:$2,2,FALSE),FALSE))),"")</f>
        <v>0.22222222222222221</v>
      </c>
      <c r="E301" s="14" t="str">
        <f>IFERROR((VLOOKUP($A301,'[1]import success seats course'!$A:S,HLOOKUP('[1]Course Totals'!E$4,'[1]import success seats course'!$1:$2,2,FALSE),FALSE)/(VLOOKUP($A301,'[1]import graded seats course pivo'!$A:AC,HLOOKUP('[1]Course Totals'!E$4,'[1]import graded seats course pivo'!$1:$2,2,FALSE),FALSE))),"")</f>
        <v/>
      </c>
      <c r="F301" s="14">
        <f>IFERROR((VLOOKUP($A301,'[1]import success seats course'!$A:T,HLOOKUP('[1]Course Totals'!F$4,'[1]import success seats course'!$1:$2,2,FALSE),FALSE)/(VLOOKUP($A301,'[1]import graded seats course pivo'!$A:AD,HLOOKUP('[1]Course Totals'!F$4,'[1]import graded seats course pivo'!$1:$2,2,FALSE),FALSE))),"")</f>
        <v>0.5</v>
      </c>
      <c r="G301" s="14" t="str">
        <f>IFERROR((VLOOKUP($A301,'[1]import success seats course'!$A:U,HLOOKUP('[1]Course Totals'!G$4,'[1]import success seats course'!$1:$2,2,FALSE),FALSE)/(VLOOKUP($A301,'[1]import graded seats course pivo'!$A:AE,HLOOKUP('[1]Course Totals'!G$4,'[1]import graded seats course pivo'!$1:$2,2,FALSE),FALSE))),"")</f>
        <v/>
      </c>
      <c r="H301" s="14" t="str">
        <f>IFERROR((VLOOKUP($A301,'[1]import success seats course'!$A:V,HLOOKUP('[1]Course Totals'!H$4,'[1]import success seats course'!$1:$2,2,FALSE),FALSE)/(VLOOKUP($A301,'[1]import graded seats course pivo'!$A:AF,HLOOKUP('[1]Course Totals'!H$4,'[1]import graded seats course pivo'!$1:$2,2,FALSE),FALSE))),"")</f>
        <v/>
      </c>
      <c r="I301" s="14">
        <f>IFERROR((VLOOKUP($A301,'[1]import success seats course'!$A:W,HLOOKUP('[1]Course Totals'!I$4,'[1]import success seats course'!$1:$2,2,FALSE),FALSE)/(VLOOKUP($A301,'[1]import graded seats course pivo'!$A:AG,HLOOKUP('[1]Course Totals'!I$4,'[1]import graded seats course pivo'!$1:$2,2,FALSE),FALSE))),"")</f>
        <v>0.73913043478260865</v>
      </c>
      <c r="J301" s="14">
        <f>IFERROR((VLOOKUP($A301,'[1]import success seats course'!$A:X,HLOOKUP('[1]Course Totals'!J$4,'[1]import success seats course'!$1:$2,2,FALSE),FALSE)/(VLOOKUP($A301,'[1]import graded seats course pivo'!$A:AH,HLOOKUP('[1]Course Totals'!J$4,'[1]import graded seats course pivo'!$1:$2,2,FALSE),FALSE))),"")</f>
        <v>0.72727272727272729</v>
      </c>
      <c r="K301" s="14" t="str">
        <f>IFERROR((VLOOKUP($A301,'[1]import success seats course'!$A:Y,HLOOKUP('[1]Course Totals'!K$4,'[1]import success seats course'!$1:$2,2,FALSE),FALSE)/(VLOOKUP($A301,'[1]import graded seats course pivo'!$A:AI,HLOOKUP('[1]Course Totals'!K$4,'[1]import graded seats course pivo'!$1:$2,2,FALSE),FALSE))),"")</f>
        <v/>
      </c>
      <c r="L301" s="14">
        <f>IFERROR((VLOOKUP($A301,'[1]import success seats course'!$A:Z,HLOOKUP('[1]Course Totals'!L$4,'[1]import success seats course'!$1:$2,2,FALSE),FALSE)/(VLOOKUP($A301,'[1]import graded seats course pivo'!$A:AJ,HLOOKUP('[1]Course Totals'!L$4,'[1]import graded seats course pivo'!$1:$2,2,FALSE),FALSE))),"")</f>
        <v>0.7</v>
      </c>
      <c r="M301" s="14">
        <f>IFERROR((VLOOKUP($A301,'[1]import success seats course'!$A:AA,HLOOKUP('[1]Course Totals'!M$4,'[1]import success seats course'!$1:$2,2,FALSE),FALSE)/(VLOOKUP($A301,'[1]import graded seats course pivo'!$A:AK,HLOOKUP('[1]Course Totals'!M$4,'[1]import graded seats course pivo'!$1:$2,2,FALSE),FALSE))),"")</f>
        <v>0.86363636363636365</v>
      </c>
      <c r="N301" s="14" t="str">
        <f>IFERROR((VLOOKUP($A301,'[1]import success seats course'!$A:AB,HLOOKUP('[1]Course Totals'!N$4,'[1]import success seats course'!$1:$2,2,FALSE),FALSE)/(VLOOKUP($A301,'[1]import graded seats course pivo'!$A:AL,HLOOKUP('[1]Course Totals'!N$4,'[1]import graded seats course pivo'!$1:$2,2,FALSE),FALSE))),"")</f>
        <v/>
      </c>
      <c r="O301" s="14">
        <f>IFERROR((VLOOKUP($A301,'[1]import success seats course'!$A:AC,HLOOKUP('[1]Course Totals'!O$4,'[1]import success seats course'!$1:$2,2,FALSE),FALSE)/(VLOOKUP($A301,'[1]import graded seats course pivo'!$A:AM,HLOOKUP('[1]Course Totals'!O$4,'[1]import graded seats course pivo'!$1:$2,2,FALSE),FALSE))),"")</f>
        <v>0.8</v>
      </c>
      <c r="P301" s="14" t="str">
        <f>IFERROR((VLOOKUP($A301,'[1]import success seats course'!$A:AD,HLOOKUP('[1]Course Totals'!P$4,'[1]import success seats course'!$1:$2,2,FALSE),FALSE)/(VLOOKUP($A301,'[1]import graded seats course pivo'!$A:AN,HLOOKUP('[1]Course Totals'!P$4,'[1]import graded seats course pivo'!$1:$2,2,FALSE),FALSE))),"")</f>
        <v/>
      </c>
      <c r="Q301" s="14" t="str">
        <f>IFERROR((VLOOKUP($A301,'[1]import success seats course'!$A:AE,HLOOKUP('[1]Course Totals'!Q$4,'[1]import success seats course'!$1:$2,2,FALSE),FALSE)/(VLOOKUP($A301,'[1]import graded seats course pivo'!$A:AO,HLOOKUP('[1]Course Totals'!Q$4,'[1]import graded seats course pivo'!$1:$2,2,FALSE),FALSE))),"")</f>
        <v/>
      </c>
      <c r="R301" s="14">
        <f>IFERROR((VLOOKUP($A301,'[1]import success seats course'!$A:AF,HLOOKUP('[1]Course Totals'!R$4,'[1]import success seats course'!$1:$2,2,FALSE),FALSE)/(VLOOKUP($A301,'[1]import graded seats course pivo'!$A:AP,HLOOKUP('[1]Course Totals'!R$4,'[1]import graded seats course pivo'!$1:$2,2,FALSE),FALSE))),"")</f>
        <v>0.77272727272727271</v>
      </c>
      <c r="S301" s="14" t="str">
        <f>IFERROR((VLOOKUP($A301,'[1]import success seats course'!$A:AG,HLOOKUP('[1]Course Totals'!S$4,'[1]import success seats course'!$1:$2,2,FALSE),FALSE)/(VLOOKUP($A301,'[1]import graded seats course pivo'!$A:AQ,HLOOKUP('[1]Course Totals'!S$4,'[1]import graded seats course pivo'!$1:$2,2,FALSE),FALSE))),"")</f>
        <v/>
      </c>
      <c r="Z301" s="7"/>
      <c r="AA301" s="7"/>
      <c r="AB301" s="7"/>
      <c r="AC301" s="7"/>
    </row>
    <row r="302" spans="1:29" ht="15.75" customHeight="1" x14ac:dyDescent="0.25">
      <c r="A302" s="12" t="s">
        <v>886</v>
      </c>
      <c r="B302" s="14" t="str">
        <f>IFERROR((VLOOKUP($A302,'[1]import success seats course'!$A:P,HLOOKUP('[1]Course Totals'!B$4,'[1]import success seats course'!$1:$2,2,FALSE),FALSE)/(VLOOKUP($A302,'[1]import graded seats course pivo'!$A:Z,HLOOKUP('[1]Course Totals'!B$4,'[1]import graded seats course pivo'!$1:$2,2,FALSE),FALSE))),"")</f>
        <v/>
      </c>
      <c r="C302" s="14" t="str">
        <f>IFERROR((VLOOKUP($A302,'[1]import success seats course'!$A:Q,HLOOKUP('[1]Course Totals'!C$4,'[1]import success seats course'!$1:$2,2,FALSE),FALSE)/(VLOOKUP($A302,'[1]import graded seats course pivo'!$A:AA,HLOOKUP('[1]Course Totals'!C$4,'[1]import graded seats course pivo'!$1:$2,2,FALSE),FALSE))),"")</f>
        <v/>
      </c>
      <c r="D302" s="14">
        <f>IFERROR((VLOOKUP($A302,'[1]import success seats course'!$A:R,HLOOKUP('[1]Course Totals'!D$4,'[1]import success seats course'!$1:$2,2,FALSE),FALSE)/(VLOOKUP($A302,'[1]import graded seats course pivo'!$A:AB,HLOOKUP('[1]Course Totals'!D$4,'[1]import graded seats course pivo'!$1:$2,2,FALSE),FALSE))),"")</f>
        <v>1</v>
      </c>
      <c r="E302" s="14" t="str">
        <f>IFERROR((VLOOKUP($A302,'[1]import success seats course'!$A:S,HLOOKUP('[1]Course Totals'!E$4,'[1]import success seats course'!$1:$2,2,FALSE),FALSE)/(VLOOKUP($A302,'[1]import graded seats course pivo'!$A:AC,HLOOKUP('[1]Course Totals'!E$4,'[1]import graded seats course pivo'!$1:$2,2,FALSE),FALSE))),"")</f>
        <v/>
      </c>
      <c r="F302" s="14" t="str">
        <f>IFERROR((VLOOKUP($A302,'[1]import success seats course'!$A:T,HLOOKUP('[1]Course Totals'!F$4,'[1]import success seats course'!$1:$2,2,FALSE),FALSE)/(VLOOKUP($A302,'[1]import graded seats course pivo'!$A:AD,HLOOKUP('[1]Course Totals'!F$4,'[1]import graded seats course pivo'!$1:$2,2,FALSE),FALSE))),"")</f>
        <v/>
      </c>
      <c r="G302" s="14" t="str">
        <f>IFERROR((VLOOKUP($A302,'[1]import success seats course'!$A:U,HLOOKUP('[1]Course Totals'!G$4,'[1]import success seats course'!$1:$2,2,FALSE),FALSE)/(VLOOKUP($A302,'[1]import graded seats course pivo'!$A:AE,HLOOKUP('[1]Course Totals'!G$4,'[1]import graded seats course pivo'!$1:$2,2,FALSE),FALSE))),"")</f>
        <v/>
      </c>
      <c r="H302" s="14" t="str">
        <f>IFERROR((VLOOKUP($A302,'[1]import success seats course'!$A:V,HLOOKUP('[1]Course Totals'!H$4,'[1]import success seats course'!$1:$2,2,FALSE),FALSE)/(VLOOKUP($A302,'[1]import graded seats course pivo'!$A:AF,HLOOKUP('[1]Course Totals'!H$4,'[1]import graded seats course pivo'!$1:$2,2,FALSE),FALSE))),"")</f>
        <v/>
      </c>
      <c r="I302" s="14" t="str">
        <f>IFERROR((VLOOKUP($A302,'[1]import success seats course'!$A:W,HLOOKUP('[1]Course Totals'!I$4,'[1]import success seats course'!$1:$2,2,FALSE),FALSE)/(VLOOKUP($A302,'[1]import graded seats course pivo'!$A:AG,HLOOKUP('[1]Course Totals'!I$4,'[1]import graded seats course pivo'!$1:$2,2,FALSE),FALSE))),"")</f>
        <v/>
      </c>
      <c r="J302" s="14" t="str">
        <f>IFERROR((VLOOKUP($A302,'[1]import success seats course'!$A:X,HLOOKUP('[1]Course Totals'!J$4,'[1]import success seats course'!$1:$2,2,FALSE),FALSE)/(VLOOKUP($A302,'[1]import graded seats course pivo'!$A:AH,HLOOKUP('[1]Course Totals'!J$4,'[1]import graded seats course pivo'!$1:$2,2,FALSE),FALSE))),"")</f>
        <v/>
      </c>
      <c r="K302" s="14" t="str">
        <f>IFERROR((VLOOKUP($A302,'[1]import success seats course'!$A:Y,HLOOKUP('[1]Course Totals'!K$4,'[1]import success seats course'!$1:$2,2,FALSE),FALSE)/(VLOOKUP($A302,'[1]import graded seats course pivo'!$A:AI,HLOOKUP('[1]Course Totals'!K$4,'[1]import graded seats course pivo'!$1:$2,2,FALSE),FALSE))),"")</f>
        <v/>
      </c>
      <c r="L302" s="14" t="str">
        <f>IFERROR((VLOOKUP($A302,'[1]import success seats course'!$A:Z,HLOOKUP('[1]Course Totals'!L$4,'[1]import success seats course'!$1:$2,2,FALSE),FALSE)/(VLOOKUP($A302,'[1]import graded seats course pivo'!$A:AJ,HLOOKUP('[1]Course Totals'!L$4,'[1]import graded seats course pivo'!$1:$2,2,FALSE),FALSE))),"")</f>
        <v/>
      </c>
      <c r="M302" s="14" t="str">
        <f>IFERROR((VLOOKUP($A302,'[1]import success seats course'!$A:AA,HLOOKUP('[1]Course Totals'!M$4,'[1]import success seats course'!$1:$2,2,FALSE),FALSE)/(VLOOKUP($A302,'[1]import graded seats course pivo'!$A:AK,HLOOKUP('[1]Course Totals'!M$4,'[1]import graded seats course pivo'!$1:$2,2,FALSE),FALSE))),"")</f>
        <v/>
      </c>
      <c r="N302" s="14" t="str">
        <f>IFERROR((VLOOKUP($A302,'[1]import success seats course'!$A:AB,HLOOKUP('[1]Course Totals'!N$4,'[1]import success seats course'!$1:$2,2,FALSE),FALSE)/(VLOOKUP($A302,'[1]import graded seats course pivo'!$A:AL,HLOOKUP('[1]Course Totals'!N$4,'[1]import graded seats course pivo'!$1:$2,2,FALSE),FALSE))),"")</f>
        <v/>
      </c>
      <c r="O302" s="14" t="str">
        <f>IFERROR((VLOOKUP($A302,'[1]import success seats course'!$A:AC,HLOOKUP('[1]Course Totals'!O$4,'[1]import success seats course'!$1:$2,2,FALSE),FALSE)/(VLOOKUP($A302,'[1]import graded seats course pivo'!$A:AM,HLOOKUP('[1]Course Totals'!O$4,'[1]import graded seats course pivo'!$1:$2,2,FALSE),FALSE))),"")</f>
        <v/>
      </c>
      <c r="P302" s="14" t="str">
        <f>IFERROR((VLOOKUP($A302,'[1]import success seats course'!$A:AD,HLOOKUP('[1]Course Totals'!P$4,'[1]import success seats course'!$1:$2,2,FALSE),FALSE)/(VLOOKUP($A302,'[1]import graded seats course pivo'!$A:AN,HLOOKUP('[1]Course Totals'!P$4,'[1]import graded seats course pivo'!$1:$2,2,FALSE),FALSE))),"")</f>
        <v/>
      </c>
      <c r="Q302" s="14" t="str">
        <f>IFERROR((VLOOKUP($A302,'[1]import success seats course'!$A:AE,HLOOKUP('[1]Course Totals'!Q$4,'[1]import success seats course'!$1:$2,2,FALSE),FALSE)/(VLOOKUP($A302,'[1]import graded seats course pivo'!$A:AO,HLOOKUP('[1]Course Totals'!Q$4,'[1]import graded seats course pivo'!$1:$2,2,FALSE),FALSE))),"")</f>
        <v/>
      </c>
      <c r="R302" s="14" t="str">
        <f>IFERROR((VLOOKUP($A302,'[1]import success seats course'!$A:AF,HLOOKUP('[1]Course Totals'!R$4,'[1]import success seats course'!$1:$2,2,FALSE),FALSE)/(VLOOKUP($A302,'[1]import graded seats course pivo'!$A:AP,HLOOKUP('[1]Course Totals'!R$4,'[1]import graded seats course pivo'!$1:$2,2,FALSE),FALSE))),"")</f>
        <v/>
      </c>
      <c r="S302" s="14" t="str">
        <f>IFERROR((VLOOKUP($A302,'[1]import success seats course'!$A:AG,HLOOKUP('[1]Course Totals'!S$4,'[1]import success seats course'!$1:$2,2,FALSE),FALSE)/(VLOOKUP($A302,'[1]import graded seats course pivo'!$A:AQ,HLOOKUP('[1]Course Totals'!S$4,'[1]import graded seats course pivo'!$1:$2,2,FALSE),FALSE))),"")</f>
        <v/>
      </c>
      <c r="Z302" s="7"/>
      <c r="AA302" s="7"/>
      <c r="AB302" s="7"/>
      <c r="AC302" s="7"/>
    </row>
    <row r="303" spans="1:29" ht="15.75" customHeight="1" x14ac:dyDescent="0.25">
      <c r="A303" s="12" t="s">
        <v>153</v>
      </c>
      <c r="B303" s="14" t="str">
        <f>IFERROR((VLOOKUP($A303,'[1]import success seats course'!$A:P,HLOOKUP('[1]Course Totals'!B$4,'[1]import success seats course'!$1:$2,2,FALSE),FALSE)/(VLOOKUP($A303,'[1]import graded seats course pivo'!$A:Z,HLOOKUP('[1]Course Totals'!B$4,'[1]import graded seats course pivo'!$1:$2,2,FALSE),FALSE))),"")</f>
        <v/>
      </c>
      <c r="C303" s="14" t="str">
        <f>IFERROR((VLOOKUP($A303,'[1]import success seats course'!$A:Q,HLOOKUP('[1]Course Totals'!C$4,'[1]import success seats course'!$1:$2,2,FALSE),FALSE)/(VLOOKUP($A303,'[1]import graded seats course pivo'!$A:AA,HLOOKUP('[1]Course Totals'!C$4,'[1]import graded seats course pivo'!$1:$2,2,FALSE),FALSE))),"")</f>
        <v/>
      </c>
      <c r="D303" s="14" t="str">
        <f>IFERROR((VLOOKUP($A303,'[1]import success seats course'!$A:R,HLOOKUP('[1]Course Totals'!D$4,'[1]import success seats course'!$1:$2,2,FALSE),FALSE)/(VLOOKUP($A303,'[1]import graded seats course pivo'!$A:AB,HLOOKUP('[1]Course Totals'!D$4,'[1]import graded seats course pivo'!$1:$2,2,FALSE),FALSE))),"")</f>
        <v/>
      </c>
      <c r="E303" s="14" t="str">
        <f>IFERROR((VLOOKUP($A303,'[1]import success seats course'!$A:S,HLOOKUP('[1]Course Totals'!E$4,'[1]import success seats course'!$1:$2,2,FALSE),FALSE)/(VLOOKUP($A303,'[1]import graded seats course pivo'!$A:AC,HLOOKUP('[1]Course Totals'!E$4,'[1]import graded seats course pivo'!$1:$2,2,FALSE),FALSE))),"")</f>
        <v/>
      </c>
      <c r="F303" s="14">
        <f>IFERROR((VLOOKUP($A303,'[1]import success seats course'!$A:T,HLOOKUP('[1]Course Totals'!F$4,'[1]import success seats course'!$1:$2,2,FALSE),FALSE)/(VLOOKUP($A303,'[1]import graded seats course pivo'!$A:AD,HLOOKUP('[1]Course Totals'!F$4,'[1]import graded seats course pivo'!$1:$2,2,FALSE),FALSE))),"")</f>
        <v>0.93103448275862066</v>
      </c>
      <c r="G303" s="14" t="str">
        <f>IFERROR((VLOOKUP($A303,'[1]import success seats course'!$A:U,HLOOKUP('[1]Course Totals'!G$4,'[1]import success seats course'!$1:$2,2,FALSE),FALSE)/(VLOOKUP($A303,'[1]import graded seats course pivo'!$A:AE,HLOOKUP('[1]Course Totals'!G$4,'[1]import graded seats course pivo'!$1:$2,2,FALSE),FALSE))),"")</f>
        <v/>
      </c>
      <c r="H303" s="14" t="str">
        <f>IFERROR((VLOOKUP($A303,'[1]import success seats course'!$A:V,HLOOKUP('[1]Course Totals'!H$4,'[1]import success seats course'!$1:$2,2,FALSE),FALSE)/(VLOOKUP($A303,'[1]import graded seats course pivo'!$A:AF,HLOOKUP('[1]Course Totals'!H$4,'[1]import graded seats course pivo'!$1:$2,2,FALSE),FALSE))),"")</f>
        <v/>
      </c>
      <c r="I303" s="14" t="str">
        <f>IFERROR((VLOOKUP($A303,'[1]import success seats course'!$A:W,HLOOKUP('[1]Course Totals'!I$4,'[1]import success seats course'!$1:$2,2,FALSE),FALSE)/(VLOOKUP($A303,'[1]import graded seats course pivo'!$A:AG,HLOOKUP('[1]Course Totals'!I$4,'[1]import graded seats course pivo'!$1:$2,2,FALSE),FALSE))),"")</f>
        <v/>
      </c>
      <c r="J303" s="14" t="str">
        <f>IFERROR((VLOOKUP($A303,'[1]import success seats course'!$A:X,HLOOKUP('[1]Course Totals'!J$4,'[1]import success seats course'!$1:$2,2,FALSE),FALSE)/(VLOOKUP($A303,'[1]import graded seats course pivo'!$A:AH,HLOOKUP('[1]Course Totals'!J$4,'[1]import graded seats course pivo'!$1:$2,2,FALSE),FALSE))),"")</f>
        <v/>
      </c>
      <c r="K303" s="14" t="str">
        <f>IFERROR((VLOOKUP($A303,'[1]import success seats course'!$A:Y,HLOOKUP('[1]Course Totals'!K$4,'[1]import success seats course'!$1:$2,2,FALSE),FALSE)/(VLOOKUP($A303,'[1]import graded seats course pivo'!$A:AI,HLOOKUP('[1]Course Totals'!K$4,'[1]import graded seats course pivo'!$1:$2,2,FALSE),FALSE))),"")</f>
        <v/>
      </c>
      <c r="L303" s="14">
        <f>IFERROR((VLOOKUP($A303,'[1]import success seats course'!$A:Z,HLOOKUP('[1]Course Totals'!L$4,'[1]import success seats course'!$1:$2,2,FALSE),FALSE)/(VLOOKUP($A303,'[1]import graded seats course pivo'!$A:AJ,HLOOKUP('[1]Course Totals'!L$4,'[1]import graded seats course pivo'!$1:$2,2,FALSE),FALSE))),"")</f>
        <v>0.89655172413793105</v>
      </c>
      <c r="M303" s="14" t="str">
        <f>IFERROR((VLOOKUP($A303,'[1]import success seats course'!$A:AA,HLOOKUP('[1]Course Totals'!M$4,'[1]import success seats course'!$1:$2,2,FALSE),FALSE)/(VLOOKUP($A303,'[1]import graded seats course pivo'!$A:AK,HLOOKUP('[1]Course Totals'!M$4,'[1]import graded seats course pivo'!$1:$2,2,FALSE),FALSE))),"")</f>
        <v/>
      </c>
      <c r="N303" s="14" t="str">
        <f>IFERROR((VLOOKUP($A303,'[1]import success seats course'!$A:AB,HLOOKUP('[1]Course Totals'!N$4,'[1]import success seats course'!$1:$2,2,FALSE),FALSE)/(VLOOKUP($A303,'[1]import graded seats course pivo'!$A:AL,HLOOKUP('[1]Course Totals'!N$4,'[1]import graded seats course pivo'!$1:$2,2,FALSE),FALSE))),"")</f>
        <v/>
      </c>
      <c r="O303" s="14" t="str">
        <f>IFERROR((VLOOKUP($A303,'[1]import success seats course'!$A:AC,HLOOKUP('[1]Course Totals'!O$4,'[1]import success seats course'!$1:$2,2,FALSE),FALSE)/(VLOOKUP($A303,'[1]import graded seats course pivo'!$A:AM,HLOOKUP('[1]Course Totals'!O$4,'[1]import graded seats course pivo'!$1:$2,2,FALSE),FALSE))),"")</f>
        <v/>
      </c>
      <c r="P303" s="14" t="str">
        <f>IFERROR((VLOOKUP($A303,'[1]import success seats course'!$A:AD,HLOOKUP('[1]Course Totals'!P$4,'[1]import success seats course'!$1:$2,2,FALSE),FALSE)/(VLOOKUP($A303,'[1]import graded seats course pivo'!$A:AN,HLOOKUP('[1]Course Totals'!P$4,'[1]import graded seats course pivo'!$1:$2,2,FALSE),FALSE))),"")</f>
        <v/>
      </c>
      <c r="Q303" s="14" t="str">
        <f>IFERROR((VLOOKUP($A303,'[1]import success seats course'!$A:AE,HLOOKUP('[1]Course Totals'!Q$4,'[1]import success seats course'!$1:$2,2,FALSE),FALSE)/(VLOOKUP($A303,'[1]import graded seats course pivo'!$A:AO,HLOOKUP('[1]Course Totals'!Q$4,'[1]import graded seats course pivo'!$1:$2,2,FALSE),FALSE))),"")</f>
        <v/>
      </c>
      <c r="R303" s="14">
        <f>IFERROR((VLOOKUP($A303,'[1]import success seats course'!$A:AF,HLOOKUP('[1]Course Totals'!R$4,'[1]import success seats course'!$1:$2,2,FALSE),FALSE)/(VLOOKUP($A303,'[1]import graded seats course pivo'!$A:AP,HLOOKUP('[1]Course Totals'!R$4,'[1]import graded seats course pivo'!$1:$2,2,FALSE),FALSE))),"")</f>
        <v>0.76666666666666672</v>
      </c>
      <c r="S303" s="14" t="str">
        <f>IFERROR((VLOOKUP($A303,'[1]import success seats course'!$A:AG,HLOOKUP('[1]Course Totals'!S$4,'[1]import success seats course'!$1:$2,2,FALSE),FALSE)/(VLOOKUP($A303,'[1]import graded seats course pivo'!$A:AQ,HLOOKUP('[1]Course Totals'!S$4,'[1]import graded seats course pivo'!$1:$2,2,FALSE),FALSE))),"")</f>
        <v/>
      </c>
      <c r="Z303" s="7"/>
      <c r="AA303" s="7"/>
      <c r="AB303" s="7"/>
      <c r="AC303" s="7"/>
    </row>
    <row r="304" spans="1:29" ht="15.75" customHeight="1" x14ac:dyDescent="0.25">
      <c r="A304" s="12" t="s">
        <v>969</v>
      </c>
      <c r="B304" s="14" t="str">
        <f>IFERROR((VLOOKUP($A304,'[1]import success seats course'!$A:P,HLOOKUP('[1]Course Totals'!B$4,'[1]import success seats course'!$1:$2,2,FALSE),FALSE)/(VLOOKUP($A304,'[1]import graded seats course pivo'!$A:Z,HLOOKUP('[1]Course Totals'!B$4,'[1]import graded seats course pivo'!$1:$2,2,FALSE),FALSE))),"")</f>
        <v/>
      </c>
      <c r="C304" s="14" t="str">
        <f>IFERROR((VLOOKUP($A304,'[1]import success seats course'!$A:Q,HLOOKUP('[1]Course Totals'!C$4,'[1]import success seats course'!$1:$2,2,FALSE),FALSE)/(VLOOKUP($A304,'[1]import graded seats course pivo'!$A:AA,HLOOKUP('[1]Course Totals'!C$4,'[1]import graded seats course pivo'!$1:$2,2,FALSE),FALSE))),"")</f>
        <v/>
      </c>
      <c r="D304" s="14" t="str">
        <f>IFERROR((VLOOKUP($A304,'[1]import success seats course'!$A:R,HLOOKUP('[1]Course Totals'!D$4,'[1]import success seats course'!$1:$2,2,FALSE),FALSE)/(VLOOKUP($A304,'[1]import graded seats course pivo'!$A:AB,HLOOKUP('[1]Course Totals'!D$4,'[1]import graded seats course pivo'!$1:$2,2,FALSE),FALSE))),"")</f>
        <v/>
      </c>
      <c r="E304" s="14">
        <f>IFERROR((VLOOKUP($A304,'[1]import success seats course'!$A:S,HLOOKUP('[1]Course Totals'!E$4,'[1]import success seats course'!$1:$2,2,FALSE),FALSE)/(VLOOKUP($A304,'[1]import graded seats course pivo'!$A:AC,HLOOKUP('[1]Course Totals'!E$4,'[1]import graded seats course pivo'!$1:$2,2,FALSE),FALSE))),"")</f>
        <v>1</v>
      </c>
      <c r="F304" s="14" t="str">
        <f>IFERROR((VLOOKUP($A304,'[1]import success seats course'!$A:T,HLOOKUP('[1]Course Totals'!F$4,'[1]import success seats course'!$1:$2,2,FALSE),FALSE)/(VLOOKUP($A304,'[1]import graded seats course pivo'!$A:AD,HLOOKUP('[1]Course Totals'!F$4,'[1]import graded seats course pivo'!$1:$2,2,FALSE),FALSE))),"")</f>
        <v/>
      </c>
      <c r="G304" s="14" t="str">
        <f>IFERROR((VLOOKUP($A304,'[1]import success seats course'!$A:U,HLOOKUP('[1]Course Totals'!G$4,'[1]import success seats course'!$1:$2,2,FALSE),FALSE)/(VLOOKUP($A304,'[1]import graded seats course pivo'!$A:AE,HLOOKUP('[1]Course Totals'!G$4,'[1]import graded seats course pivo'!$1:$2,2,FALSE),FALSE))),"")</f>
        <v/>
      </c>
      <c r="H304" s="14" t="str">
        <f>IFERROR((VLOOKUP($A304,'[1]import success seats course'!$A:V,HLOOKUP('[1]Course Totals'!H$4,'[1]import success seats course'!$1:$2,2,FALSE),FALSE)/(VLOOKUP($A304,'[1]import graded seats course pivo'!$A:AF,HLOOKUP('[1]Course Totals'!H$4,'[1]import graded seats course pivo'!$1:$2,2,FALSE),FALSE))),"")</f>
        <v/>
      </c>
      <c r="I304" s="14" t="str">
        <f>IFERROR((VLOOKUP($A304,'[1]import success seats course'!$A:W,HLOOKUP('[1]Course Totals'!I$4,'[1]import success seats course'!$1:$2,2,FALSE),FALSE)/(VLOOKUP($A304,'[1]import graded seats course pivo'!$A:AG,HLOOKUP('[1]Course Totals'!I$4,'[1]import graded seats course pivo'!$1:$2,2,FALSE),FALSE))),"")</f>
        <v/>
      </c>
      <c r="J304" s="14" t="str">
        <f>IFERROR((VLOOKUP($A304,'[1]import success seats course'!$A:X,HLOOKUP('[1]Course Totals'!J$4,'[1]import success seats course'!$1:$2,2,FALSE),FALSE)/(VLOOKUP($A304,'[1]import graded seats course pivo'!$A:AH,HLOOKUP('[1]Course Totals'!J$4,'[1]import graded seats course pivo'!$1:$2,2,FALSE),FALSE))),"")</f>
        <v/>
      </c>
      <c r="K304" s="14" t="str">
        <f>IFERROR((VLOOKUP($A304,'[1]import success seats course'!$A:Y,HLOOKUP('[1]Course Totals'!K$4,'[1]import success seats course'!$1:$2,2,FALSE),FALSE)/(VLOOKUP($A304,'[1]import graded seats course pivo'!$A:AI,HLOOKUP('[1]Course Totals'!K$4,'[1]import graded seats course pivo'!$1:$2,2,FALSE),FALSE))),"")</f>
        <v/>
      </c>
      <c r="L304" s="14" t="str">
        <f>IFERROR((VLOOKUP($A304,'[1]import success seats course'!$A:Z,HLOOKUP('[1]Course Totals'!L$4,'[1]import success seats course'!$1:$2,2,FALSE),FALSE)/(VLOOKUP($A304,'[1]import graded seats course pivo'!$A:AJ,HLOOKUP('[1]Course Totals'!L$4,'[1]import graded seats course pivo'!$1:$2,2,FALSE),FALSE))),"")</f>
        <v/>
      </c>
      <c r="M304" s="14" t="str">
        <f>IFERROR((VLOOKUP($A304,'[1]import success seats course'!$A:AA,HLOOKUP('[1]Course Totals'!M$4,'[1]import success seats course'!$1:$2,2,FALSE),FALSE)/(VLOOKUP($A304,'[1]import graded seats course pivo'!$A:AK,HLOOKUP('[1]Course Totals'!M$4,'[1]import graded seats course pivo'!$1:$2,2,FALSE),FALSE))),"")</f>
        <v/>
      </c>
      <c r="N304" s="14" t="str">
        <f>IFERROR((VLOOKUP($A304,'[1]import success seats course'!$A:AB,HLOOKUP('[1]Course Totals'!N$4,'[1]import success seats course'!$1:$2,2,FALSE),FALSE)/(VLOOKUP($A304,'[1]import graded seats course pivo'!$A:AL,HLOOKUP('[1]Course Totals'!N$4,'[1]import graded seats course pivo'!$1:$2,2,FALSE),FALSE))),"")</f>
        <v/>
      </c>
      <c r="O304" s="14" t="str">
        <f>IFERROR((VLOOKUP($A304,'[1]import success seats course'!$A:AC,HLOOKUP('[1]Course Totals'!O$4,'[1]import success seats course'!$1:$2,2,FALSE),FALSE)/(VLOOKUP($A304,'[1]import graded seats course pivo'!$A:AM,HLOOKUP('[1]Course Totals'!O$4,'[1]import graded seats course pivo'!$1:$2,2,FALSE),FALSE))),"")</f>
        <v/>
      </c>
      <c r="P304" s="14" t="str">
        <f>IFERROR((VLOOKUP($A304,'[1]import success seats course'!$A:AD,HLOOKUP('[1]Course Totals'!P$4,'[1]import success seats course'!$1:$2,2,FALSE),FALSE)/(VLOOKUP($A304,'[1]import graded seats course pivo'!$A:AN,HLOOKUP('[1]Course Totals'!P$4,'[1]import graded seats course pivo'!$1:$2,2,FALSE),FALSE))),"")</f>
        <v/>
      </c>
      <c r="Q304" s="14" t="str">
        <f>IFERROR((VLOOKUP($A304,'[1]import success seats course'!$A:AE,HLOOKUP('[1]Course Totals'!Q$4,'[1]import success seats course'!$1:$2,2,FALSE),FALSE)/(VLOOKUP($A304,'[1]import graded seats course pivo'!$A:AO,HLOOKUP('[1]Course Totals'!Q$4,'[1]import graded seats course pivo'!$1:$2,2,FALSE),FALSE))),"")</f>
        <v/>
      </c>
      <c r="R304" s="14" t="str">
        <f>IFERROR((VLOOKUP($A304,'[1]import success seats course'!$A:AF,HLOOKUP('[1]Course Totals'!R$4,'[1]import success seats course'!$1:$2,2,FALSE),FALSE)/(VLOOKUP($A304,'[1]import graded seats course pivo'!$A:AP,HLOOKUP('[1]Course Totals'!R$4,'[1]import graded seats course pivo'!$1:$2,2,FALSE),FALSE))),"")</f>
        <v/>
      </c>
      <c r="S304" s="14" t="str">
        <f>IFERROR((VLOOKUP($A304,'[1]import success seats course'!$A:AG,HLOOKUP('[1]Course Totals'!S$4,'[1]import success seats course'!$1:$2,2,FALSE),FALSE)/(VLOOKUP($A304,'[1]import graded seats course pivo'!$A:AQ,HLOOKUP('[1]Course Totals'!S$4,'[1]import graded seats course pivo'!$1:$2,2,FALSE),FALSE))),"")</f>
        <v/>
      </c>
      <c r="Z304" s="7"/>
      <c r="AA304" s="7"/>
      <c r="AB304" s="7"/>
      <c r="AC304" s="7"/>
    </row>
    <row r="305" spans="1:29" ht="15.75" customHeight="1" x14ac:dyDescent="0.25">
      <c r="A305" s="12" t="s">
        <v>154</v>
      </c>
      <c r="B305" s="14" t="str">
        <f>IFERROR((VLOOKUP($A305,'[1]import success seats course'!$A:P,HLOOKUP('[1]Course Totals'!B$4,'[1]import success seats course'!$1:$2,2,FALSE),FALSE)/(VLOOKUP($A305,'[1]import graded seats course pivo'!$A:Z,HLOOKUP('[1]Course Totals'!B$4,'[1]import graded seats course pivo'!$1:$2,2,FALSE),FALSE))),"")</f>
        <v/>
      </c>
      <c r="C305" s="14">
        <f>IFERROR((VLOOKUP($A305,'[1]import success seats course'!$A:Q,HLOOKUP('[1]Course Totals'!C$4,'[1]import success seats course'!$1:$2,2,FALSE),FALSE)/(VLOOKUP($A305,'[1]import graded seats course pivo'!$A:AA,HLOOKUP('[1]Course Totals'!C$4,'[1]import graded seats course pivo'!$1:$2,2,FALSE),FALSE))),"")</f>
        <v>0.78787878787878785</v>
      </c>
      <c r="D305" s="14">
        <f>IFERROR((VLOOKUP($A305,'[1]import success seats course'!$A:R,HLOOKUP('[1]Course Totals'!D$4,'[1]import success seats course'!$1:$2,2,FALSE),FALSE)/(VLOOKUP($A305,'[1]import graded seats course pivo'!$A:AB,HLOOKUP('[1]Course Totals'!D$4,'[1]import graded seats course pivo'!$1:$2,2,FALSE),FALSE))),"")</f>
        <v>0.92592592592592593</v>
      </c>
      <c r="E305" s="14" t="str">
        <f>IFERROR((VLOOKUP($A305,'[1]import success seats course'!$A:S,HLOOKUP('[1]Course Totals'!E$4,'[1]import success seats course'!$1:$2,2,FALSE),FALSE)/(VLOOKUP($A305,'[1]import graded seats course pivo'!$A:AC,HLOOKUP('[1]Course Totals'!E$4,'[1]import graded seats course pivo'!$1:$2,2,FALSE),FALSE))),"")</f>
        <v/>
      </c>
      <c r="F305" s="14">
        <f>IFERROR((VLOOKUP($A305,'[1]import success seats course'!$A:T,HLOOKUP('[1]Course Totals'!F$4,'[1]import success seats course'!$1:$2,2,FALSE),FALSE)/(VLOOKUP($A305,'[1]import graded seats course pivo'!$A:AD,HLOOKUP('[1]Course Totals'!F$4,'[1]import graded seats course pivo'!$1:$2,2,FALSE),FALSE))),"")</f>
        <v>0.91428571428571426</v>
      </c>
      <c r="G305" s="14" t="str">
        <f>IFERROR((VLOOKUP($A305,'[1]import success seats course'!$A:U,HLOOKUP('[1]Course Totals'!G$4,'[1]import success seats course'!$1:$2,2,FALSE),FALSE)/(VLOOKUP($A305,'[1]import graded seats course pivo'!$A:AE,HLOOKUP('[1]Course Totals'!G$4,'[1]import graded seats course pivo'!$1:$2,2,FALSE),FALSE))),"")</f>
        <v/>
      </c>
      <c r="H305" s="14" t="str">
        <f>IFERROR((VLOOKUP($A305,'[1]import success seats course'!$A:V,HLOOKUP('[1]Course Totals'!H$4,'[1]import success seats course'!$1:$2,2,FALSE),FALSE)/(VLOOKUP($A305,'[1]import graded seats course pivo'!$A:AF,HLOOKUP('[1]Course Totals'!H$4,'[1]import graded seats course pivo'!$1:$2,2,FALSE),FALSE))),"")</f>
        <v/>
      </c>
      <c r="I305" s="14">
        <f>IFERROR((VLOOKUP($A305,'[1]import success seats course'!$A:W,HLOOKUP('[1]Course Totals'!I$4,'[1]import success seats course'!$1:$2,2,FALSE),FALSE)/(VLOOKUP($A305,'[1]import graded seats course pivo'!$A:AG,HLOOKUP('[1]Course Totals'!I$4,'[1]import graded seats course pivo'!$1:$2,2,FALSE),FALSE))),"")</f>
        <v>0.91666666666666663</v>
      </c>
      <c r="J305" s="14" t="str">
        <f>IFERROR((VLOOKUP($A305,'[1]import success seats course'!$A:X,HLOOKUP('[1]Course Totals'!J$4,'[1]import success seats course'!$1:$2,2,FALSE),FALSE)/(VLOOKUP($A305,'[1]import graded seats course pivo'!$A:AH,HLOOKUP('[1]Course Totals'!J$4,'[1]import graded seats course pivo'!$1:$2,2,FALSE),FALSE))),"")</f>
        <v/>
      </c>
      <c r="K305" s="14" t="str">
        <f>IFERROR((VLOOKUP($A305,'[1]import success seats course'!$A:Y,HLOOKUP('[1]Course Totals'!K$4,'[1]import success seats course'!$1:$2,2,FALSE),FALSE)/(VLOOKUP($A305,'[1]import graded seats course pivo'!$A:AI,HLOOKUP('[1]Course Totals'!K$4,'[1]import graded seats course pivo'!$1:$2,2,FALSE),FALSE))),"")</f>
        <v/>
      </c>
      <c r="L305" s="14">
        <f>IFERROR((VLOOKUP($A305,'[1]import success seats course'!$A:Z,HLOOKUP('[1]Course Totals'!L$4,'[1]import success seats course'!$1:$2,2,FALSE),FALSE)/(VLOOKUP($A305,'[1]import graded seats course pivo'!$A:AJ,HLOOKUP('[1]Course Totals'!L$4,'[1]import graded seats course pivo'!$1:$2,2,FALSE),FALSE))),"")</f>
        <v>0.97058823529411764</v>
      </c>
      <c r="M305" s="14" t="str">
        <f>IFERROR((VLOOKUP($A305,'[1]import success seats course'!$A:AA,HLOOKUP('[1]Course Totals'!M$4,'[1]import success seats course'!$1:$2,2,FALSE),FALSE)/(VLOOKUP($A305,'[1]import graded seats course pivo'!$A:AK,HLOOKUP('[1]Course Totals'!M$4,'[1]import graded seats course pivo'!$1:$2,2,FALSE),FALSE))),"")</f>
        <v/>
      </c>
      <c r="N305" s="14" t="str">
        <f>IFERROR((VLOOKUP($A305,'[1]import success seats course'!$A:AB,HLOOKUP('[1]Course Totals'!N$4,'[1]import success seats course'!$1:$2,2,FALSE),FALSE)/(VLOOKUP($A305,'[1]import graded seats course pivo'!$A:AL,HLOOKUP('[1]Course Totals'!N$4,'[1]import graded seats course pivo'!$1:$2,2,FALSE),FALSE))),"")</f>
        <v/>
      </c>
      <c r="O305" s="14">
        <f>IFERROR((VLOOKUP($A305,'[1]import success seats course'!$A:AC,HLOOKUP('[1]Course Totals'!O$4,'[1]import success seats course'!$1:$2,2,FALSE),FALSE)/(VLOOKUP($A305,'[1]import graded seats course pivo'!$A:AM,HLOOKUP('[1]Course Totals'!O$4,'[1]import graded seats course pivo'!$1:$2,2,FALSE),FALSE))),"")</f>
        <v>0.8</v>
      </c>
      <c r="P305" s="14">
        <f>IFERROR((VLOOKUP($A305,'[1]import success seats course'!$A:AD,HLOOKUP('[1]Course Totals'!P$4,'[1]import success seats course'!$1:$2,2,FALSE),FALSE)/(VLOOKUP($A305,'[1]import graded seats course pivo'!$A:AN,HLOOKUP('[1]Course Totals'!P$4,'[1]import graded seats course pivo'!$1:$2,2,FALSE),FALSE))),"")</f>
        <v>0.88571428571428568</v>
      </c>
      <c r="Q305" s="14" t="str">
        <f>IFERROR((VLOOKUP($A305,'[1]import success seats course'!$A:AE,HLOOKUP('[1]Course Totals'!Q$4,'[1]import success seats course'!$1:$2,2,FALSE),FALSE)/(VLOOKUP($A305,'[1]import graded seats course pivo'!$A:AO,HLOOKUP('[1]Course Totals'!Q$4,'[1]import graded seats course pivo'!$1:$2,2,FALSE),FALSE))),"")</f>
        <v/>
      </c>
      <c r="R305" s="14">
        <f>IFERROR((VLOOKUP($A305,'[1]import success seats course'!$A:AF,HLOOKUP('[1]Course Totals'!R$4,'[1]import success seats course'!$1:$2,2,FALSE),FALSE)/(VLOOKUP($A305,'[1]import graded seats course pivo'!$A:AP,HLOOKUP('[1]Course Totals'!R$4,'[1]import graded seats course pivo'!$1:$2,2,FALSE),FALSE))),"")</f>
        <v>0.90625</v>
      </c>
      <c r="S305" s="14">
        <f>IFERROR((VLOOKUP($A305,'[1]import success seats course'!$A:AG,HLOOKUP('[1]Course Totals'!S$4,'[1]import success seats course'!$1:$2,2,FALSE),FALSE)/(VLOOKUP($A305,'[1]import graded seats course pivo'!$A:AQ,HLOOKUP('[1]Course Totals'!S$4,'[1]import graded seats course pivo'!$1:$2,2,FALSE),FALSE))),"")</f>
        <v>1</v>
      </c>
      <c r="Z305" s="7"/>
      <c r="AA305" s="7"/>
      <c r="AB305" s="7"/>
      <c r="AC305" s="7"/>
    </row>
    <row r="306" spans="1:29" ht="15.75" customHeight="1" x14ac:dyDescent="0.25">
      <c r="A306" s="12" t="s">
        <v>155</v>
      </c>
      <c r="B306" s="14" t="str">
        <f>IFERROR((VLOOKUP($A306,'[1]import success seats course'!$A:P,HLOOKUP('[1]Course Totals'!B$4,'[1]import success seats course'!$1:$2,2,FALSE),FALSE)/(VLOOKUP($A306,'[1]import graded seats course pivo'!$A:Z,HLOOKUP('[1]Course Totals'!B$4,'[1]import graded seats course pivo'!$1:$2,2,FALSE),FALSE))),"")</f>
        <v/>
      </c>
      <c r="C306" s="14">
        <f>IFERROR((VLOOKUP($A306,'[1]import success seats course'!$A:Q,HLOOKUP('[1]Course Totals'!C$4,'[1]import success seats course'!$1:$2,2,FALSE),FALSE)/(VLOOKUP($A306,'[1]import graded seats course pivo'!$A:AA,HLOOKUP('[1]Course Totals'!C$4,'[1]import graded seats course pivo'!$1:$2,2,FALSE),FALSE))),"")</f>
        <v>1</v>
      </c>
      <c r="D306" s="14" t="str">
        <f>IFERROR((VLOOKUP($A306,'[1]import success seats course'!$A:R,HLOOKUP('[1]Course Totals'!D$4,'[1]import success seats course'!$1:$2,2,FALSE),FALSE)/(VLOOKUP($A306,'[1]import graded seats course pivo'!$A:AB,HLOOKUP('[1]Course Totals'!D$4,'[1]import graded seats course pivo'!$1:$2,2,FALSE),FALSE))),"")</f>
        <v/>
      </c>
      <c r="E306" s="14" t="str">
        <f>IFERROR((VLOOKUP($A306,'[1]import success seats course'!$A:S,HLOOKUP('[1]Course Totals'!E$4,'[1]import success seats course'!$1:$2,2,FALSE),FALSE)/(VLOOKUP($A306,'[1]import graded seats course pivo'!$A:AC,HLOOKUP('[1]Course Totals'!E$4,'[1]import graded seats course pivo'!$1:$2,2,FALSE),FALSE))),"")</f>
        <v/>
      </c>
      <c r="F306" s="14">
        <f>IFERROR((VLOOKUP($A306,'[1]import success seats course'!$A:T,HLOOKUP('[1]Course Totals'!F$4,'[1]import success seats course'!$1:$2,2,FALSE),FALSE)/(VLOOKUP($A306,'[1]import graded seats course pivo'!$A:AD,HLOOKUP('[1]Course Totals'!F$4,'[1]import graded seats course pivo'!$1:$2,2,FALSE),FALSE))),"")</f>
        <v>0.875</v>
      </c>
      <c r="G306" s="14" t="str">
        <f>IFERROR((VLOOKUP($A306,'[1]import success seats course'!$A:U,HLOOKUP('[1]Course Totals'!G$4,'[1]import success seats course'!$1:$2,2,FALSE),FALSE)/(VLOOKUP($A306,'[1]import graded seats course pivo'!$A:AE,HLOOKUP('[1]Course Totals'!G$4,'[1]import graded seats course pivo'!$1:$2,2,FALSE),FALSE))),"")</f>
        <v/>
      </c>
      <c r="H306" s="14" t="str">
        <f>IFERROR((VLOOKUP($A306,'[1]import success seats course'!$A:V,HLOOKUP('[1]Course Totals'!H$4,'[1]import success seats course'!$1:$2,2,FALSE),FALSE)/(VLOOKUP($A306,'[1]import graded seats course pivo'!$A:AF,HLOOKUP('[1]Course Totals'!H$4,'[1]import graded seats course pivo'!$1:$2,2,FALSE),FALSE))),"")</f>
        <v/>
      </c>
      <c r="I306" s="14">
        <f>IFERROR((VLOOKUP($A306,'[1]import success seats course'!$A:W,HLOOKUP('[1]Course Totals'!I$4,'[1]import success seats course'!$1:$2,2,FALSE),FALSE)/(VLOOKUP($A306,'[1]import graded seats course pivo'!$A:AG,HLOOKUP('[1]Course Totals'!I$4,'[1]import graded seats course pivo'!$1:$2,2,FALSE),FALSE))),"")</f>
        <v>0.95454545454545459</v>
      </c>
      <c r="J306" s="14" t="str">
        <f>IFERROR((VLOOKUP($A306,'[1]import success seats course'!$A:X,HLOOKUP('[1]Course Totals'!J$4,'[1]import success seats course'!$1:$2,2,FALSE),FALSE)/(VLOOKUP($A306,'[1]import graded seats course pivo'!$A:AH,HLOOKUP('[1]Course Totals'!J$4,'[1]import graded seats course pivo'!$1:$2,2,FALSE),FALSE))),"")</f>
        <v/>
      </c>
      <c r="K306" s="14" t="str">
        <f>IFERROR((VLOOKUP($A306,'[1]import success seats course'!$A:Y,HLOOKUP('[1]Course Totals'!K$4,'[1]import success seats course'!$1:$2,2,FALSE),FALSE)/(VLOOKUP($A306,'[1]import graded seats course pivo'!$A:AI,HLOOKUP('[1]Course Totals'!K$4,'[1]import graded seats course pivo'!$1:$2,2,FALSE),FALSE))),"")</f>
        <v/>
      </c>
      <c r="L306" s="14" t="str">
        <f>IFERROR((VLOOKUP($A306,'[1]import success seats course'!$A:Z,HLOOKUP('[1]Course Totals'!L$4,'[1]import success seats course'!$1:$2,2,FALSE),FALSE)/(VLOOKUP($A306,'[1]import graded seats course pivo'!$A:AJ,HLOOKUP('[1]Course Totals'!L$4,'[1]import graded seats course pivo'!$1:$2,2,FALSE),FALSE))),"")</f>
        <v/>
      </c>
      <c r="M306" s="14">
        <f>IFERROR((VLOOKUP($A306,'[1]import success seats course'!$A:AA,HLOOKUP('[1]Course Totals'!M$4,'[1]import success seats course'!$1:$2,2,FALSE),FALSE)/(VLOOKUP($A306,'[1]import graded seats course pivo'!$A:AK,HLOOKUP('[1]Course Totals'!M$4,'[1]import graded seats course pivo'!$1:$2,2,FALSE),FALSE))),"")</f>
        <v>0.94117647058823528</v>
      </c>
      <c r="N306" s="14" t="str">
        <f>IFERROR((VLOOKUP($A306,'[1]import success seats course'!$A:AB,HLOOKUP('[1]Course Totals'!N$4,'[1]import success seats course'!$1:$2,2,FALSE),FALSE)/(VLOOKUP($A306,'[1]import graded seats course pivo'!$A:AL,HLOOKUP('[1]Course Totals'!N$4,'[1]import graded seats course pivo'!$1:$2,2,FALSE),FALSE))),"")</f>
        <v/>
      </c>
      <c r="O306" s="14" t="str">
        <f>IFERROR((VLOOKUP($A306,'[1]import success seats course'!$A:AC,HLOOKUP('[1]Course Totals'!O$4,'[1]import success seats course'!$1:$2,2,FALSE),FALSE)/(VLOOKUP($A306,'[1]import graded seats course pivo'!$A:AM,HLOOKUP('[1]Course Totals'!O$4,'[1]import graded seats course pivo'!$1:$2,2,FALSE),FALSE))),"")</f>
        <v/>
      </c>
      <c r="P306" s="14" t="str">
        <f>IFERROR((VLOOKUP($A306,'[1]import success seats course'!$A:AD,HLOOKUP('[1]Course Totals'!P$4,'[1]import success seats course'!$1:$2,2,FALSE),FALSE)/(VLOOKUP($A306,'[1]import graded seats course pivo'!$A:AN,HLOOKUP('[1]Course Totals'!P$4,'[1]import graded seats course pivo'!$1:$2,2,FALSE),FALSE))),"")</f>
        <v/>
      </c>
      <c r="Q306" s="14" t="str">
        <f>IFERROR((VLOOKUP($A306,'[1]import success seats course'!$A:AE,HLOOKUP('[1]Course Totals'!Q$4,'[1]import success seats course'!$1:$2,2,FALSE),FALSE)/(VLOOKUP($A306,'[1]import graded seats course pivo'!$A:AO,HLOOKUP('[1]Course Totals'!Q$4,'[1]import graded seats course pivo'!$1:$2,2,FALSE),FALSE))),"")</f>
        <v/>
      </c>
      <c r="R306" s="14" t="str">
        <f>IFERROR((VLOOKUP($A306,'[1]import success seats course'!$A:AF,HLOOKUP('[1]Course Totals'!R$4,'[1]import success seats course'!$1:$2,2,FALSE),FALSE)/(VLOOKUP($A306,'[1]import graded seats course pivo'!$A:AP,HLOOKUP('[1]Course Totals'!R$4,'[1]import graded seats course pivo'!$1:$2,2,FALSE),FALSE))),"")</f>
        <v/>
      </c>
      <c r="S306" s="14" t="str">
        <f>IFERROR((VLOOKUP($A306,'[1]import success seats course'!$A:AG,HLOOKUP('[1]Course Totals'!S$4,'[1]import success seats course'!$1:$2,2,FALSE),FALSE)/(VLOOKUP($A306,'[1]import graded seats course pivo'!$A:AQ,HLOOKUP('[1]Course Totals'!S$4,'[1]import graded seats course pivo'!$1:$2,2,FALSE),FALSE))),"")</f>
        <v/>
      </c>
      <c r="Z306" s="7"/>
      <c r="AA306" s="7"/>
      <c r="AB306" s="7"/>
      <c r="AC306" s="7"/>
    </row>
    <row r="307" spans="1:29" ht="15.75" customHeight="1" x14ac:dyDescent="0.25">
      <c r="A307" s="12" t="s">
        <v>833</v>
      </c>
      <c r="B307" s="14" t="str">
        <f>IFERROR((VLOOKUP($A307,'[1]import success seats course'!$A:P,HLOOKUP('[1]Course Totals'!B$4,'[1]import success seats course'!$1:$2,2,FALSE),FALSE)/(VLOOKUP($A307,'[1]import graded seats course pivo'!$A:Z,HLOOKUP('[1]Course Totals'!B$4,'[1]import graded seats course pivo'!$1:$2,2,FALSE),FALSE))),"")</f>
        <v/>
      </c>
      <c r="C307" s="14" t="str">
        <f>IFERROR((VLOOKUP($A307,'[1]import success seats course'!$A:Q,HLOOKUP('[1]Course Totals'!C$4,'[1]import success seats course'!$1:$2,2,FALSE),FALSE)/(VLOOKUP($A307,'[1]import graded seats course pivo'!$A:AA,HLOOKUP('[1]Course Totals'!C$4,'[1]import graded seats course pivo'!$1:$2,2,FALSE),FALSE))),"")</f>
        <v/>
      </c>
      <c r="D307" s="14" t="str">
        <f>IFERROR((VLOOKUP($A307,'[1]import success seats course'!$A:R,HLOOKUP('[1]Course Totals'!D$4,'[1]import success seats course'!$1:$2,2,FALSE),FALSE)/(VLOOKUP($A307,'[1]import graded seats course pivo'!$A:AB,HLOOKUP('[1]Course Totals'!D$4,'[1]import graded seats course pivo'!$1:$2,2,FALSE),FALSE))),"")</f>
        <v/>
      </c>
      <c r="E307" s="14" t="str">
        <f>IFERROR((VLOOKUP($A307,'[1]import success seats course'!$A:S,HLOOKUP('[1]Course Totals'!E$4,'[1]import success seats course'!$1:$2,2,FALSE),FALSE)/(VLOOKUP($A307,'[1]import graded seats course pivo'!$A:AC,HLOOKUP('[1]Course Totals'!E$4,'[1]import graded seats course pivo'!$1:$2,2,FALSE),FALSE))),"")</f>
        <v/>
      </c>
      <c r="F307" s="14" t="str">
        <f>IFERROR((VLOOKUP($A307,'[1]import success seats course'!$A:T,HLOOKUP('[1]Course Totals'!F$4,'[1]import success seats course'!$1:$2,2,FALSE),FALSE)/(VLOOKUP($A307,'[1]import graded seats course pivo'!$A:AD,HLOOKUP('[1]Course Totals'!F$4,'[1]import graded seats course pivo'!$1:$2,2,FALSE),FALSE))),"")</f>
        <v/>
      </c>
      <c r="G307" s="14" t="str">
        <f>IFERROR((VLOOKUP($A307,'[1]import success seats course'!$A:U,HLOOKUP('[1]Course Totals'!G$4,'[1]import success seats course'!$1:$2,2,FALSE),FALSE)/(VLOOKUP($A307,'[1]import graded seats course pivo'!$A:AE,HLOOKUP('[1]Course Totals'!G$4,'[1]import graded seats course pivo'!$1:$2,2,FALSE),FALSE))),"")</f>
        <v/>
      </c>
      <c r="H307" s="14" t="str">
        <f>IFERROR((VLOOKUP($A307,'[1]import success seats course'!$A:V,HLOOKUP('[1]Course Totals'!H$4,'[1]import success seats course'!$1:$2,2,FALSE),FALSE)/(VLOOKUP($A307,'[1]import graded seats course pivo'!$A:AF,HLOOKUP('[1]Course Totals'!H$4,'[1]import graded seats course pivo'!$1:$2,2,FALSE),FALSE))),"")</f>
        <v/>
      </c>
      <c r="I307" s="14" t="str">
        <f>IFERROR((VLOOKUP($A307,'[1]import success seats course'!$A:W,HLOOKUP('[1]Course Totals'!I$4,'[1]import success seats course'!$1:$2,2,FALSE),FALSE)/(VLOOKUP($A307,'[1]import graded seats course pivo'!$A:AG,HLOOKUP('[1]Course Totals'!I$4,'[1]import graded seats course pivo'!$1:$2,2,FALSE),FALSE))),"")</f>
        <v/>
      </c>
      <c r="J307" s="14" t="str">
        <f>IFERROR((VLOOKUP($A307,'[1]import success seats course'!$A:X,HLOOKUP('[1]Course Totals'!J$4,'[1]import success seats course'!$1:$2,2,FALSE),FALSE)/(VLOOKUP($A307,'[1]import graded seats course pivo'!$A:AH,HLOOKUP('[1]Course Totals'!J$4,'[1]import graded seats course pivo'!$1:$2,2,FALSE),FALSE))),"")</f>
        <v/>
      </c>
      <c r="K307" s="14" t="str">
        <f>IFERROR((VLOOKUP($A307,'[1]import success seats course'!$A:Y,HLOOKUP('[1]Course Totals'!K$4,'[1]import success seats course'!$1:$2,2,FALSE),FALSE)/(VLOOKUP($A307,'[1]import graded seats course pivo'!$A:AI,HLOOKUP('[1]Course Totals'!K$4,'[1]import graded seats course pivo'!$1:$2,2,FALSE),FALSE))),"")</f>
        <v/>
      </c>
      <c r="L307" s="14" t="str">
        <f>IFERROR((VLOOKUP($A307,'[1]import success seats course'!$A:Z,HLOOKUP('[1]Course Totals'!L$4,'[1]import success seats course'!$1:$2,2,FALSE),FALSE)/(VLOOKUP($A307,'[1]import graded seats course pivo'!$A:AJ,HLOOKUP('[1]Course Totals'!L$4,'[1]import graded seats course pivo'!$1:$2,2,FALSE),FALSE))),"")</f>
        <v/>
      </c>
      <c r="M307" s="14" t="str">
        <f>IFERROR((VLOOKUP($A307,'[1]import success seats course'!$A:AA,HLOOKUP('[1]Course Totals'!M$4,'[1]import success seats course'!$1:$2,2,FALSE),FALSE)/(VLOOKUP($A307,'[1]import graded seats course pivo'!$A:AK,HLOOKUP('[1]Course Totals'!M$4,'[1]import graded seats course pivo'!$1:$2,2,FALSE),FALSE))),"")</f>
        <v/>
      </c>
      <c r="N307" s="14" t="str">
        <f>IFERROR((VLOOKUP($A307,'[1]import success seats course'!$A:AB,HLOOKUP('[1]Course Totals'!N$4,'[1]import success seats course'!$1:$2,2,FALSE),FALSE)/(VLOOKUP($A307,'[1]import graded seats course pivo'!$A:AL,HLOOKUP('[1]Course Totals'!N$4,'[1]import graded seats course pivo'!$1:$2,2,FALSE),FALSE))),"")</f>
        <v/>
      </c>
      <c r="O307" s="14">
        <f>IFERROR((VLOOKUP($A307,'[1]import success seats course'!$A:AC,HLOOKUP('[1]Course Totals'!O$4,'[1]import success seats course'!$1:$2,2,FALSE),FALSE)/(VLOOKUP($A307,'[1]import graded seats course pivo'!$A:AM,HLOOKUP('[1]Course Totals'!O$4,'[1]import graded seats course pivo'!$1:$2,2,FALSE),FALSE))),"")</f>
        <v>0.89743589743589747</v>
      </c>
      <c r="P307" s="14" t="str">
        <f>IFERROR((VLOOKUP($A307,'[1]import success seats course'!$A:AD,HLOOKUP('[1]Course Totals'!P$4,'[1]import success seats course'!$1:$2,2,FALSE),FALSE)/(VLOOKUP($A307,'[1]import graded seats course pivo'!$A:AN,HLOOKUP('[1]Course Totals'!P$4,'[1]import graded seats course pivo'!$1:$2,2,FALSE),FALSE))),"")</f>
        <v/>
      </c>
      <c r="Q307" s="14" t="str">
        <f>IFERROR((VLOOKUP($A307,'[1]import success seats course'!$A:AE,HLOOKUP('[1]Course Totals'!Q$4,'[1]import success seats course'!$1:$2,2,FALSE),FALSE)/(VLOOKUP($A307,'[1]import graded seats course pivo'!$A:AO,HLOOKUP('[1]Course Totals'!Q$4,'[1]import graded seats course pivo'!$1:$2,2,FALSE),FALSE))),"")</f>
        <v/>
      </c>
      <c r="R307" s="14">
        <f>IFERROR((VLOOKUP($A307,'[1]import success seats course'!$A:AF,HLOOKUP('[1]Course Totals'!R$4,'[1]import success seats course'!$1:$2,2,FALSE),FALSE)/(VLOOKUP($A307,'[1]import graded seats course pivo'!$A:AP,HLOOKUP('[1]Course Totals'!R$4,'[1]import graded seats course pivo'!$1:$2,2,FALSE),FALSE))),"")</f>
        <v>0.93103448275862066</v>
      </c>
      <c r="S307" s="14" t="str">
        <f>IFERROR((VLOOKUP($A307,'[1]import success seats course'!$A:AG,HLOOKUP('[1]Course Totals'!S$4,'[1]import success seats course'!$1:$2,2,FALSE),FALSE)/(VLOOKUP($A307,'[1]import graded seats course pivo'!$A:AQ,HLOOKUP('[1]Course Totals'!S$4,'[1]import graded seats course pivo'!$1:$2,2,FALSE),FALSE))),"")</f>
        <v/>
      </c>
      <c r="Z307" s="7"/>
      <c r="AA307" s="7"/>
      <c r="AB307" s="7"/>
      <c r="AC307" s="7"/>
    </row>
    <row r="308" spans="1:29" ht="15.75" customHeight="1" x14ac:dyDescent="0.25">
      <c r="A308" s="12" t="s">
        <v>156</v>
      </c>
      <c r="B308" s="14" t="str">
        <f>IFERROR((VLOOKUP($A308,'[1]import success seats course'!$A:P,HLOOKUP('[1]Course Totals'!B$4,'[1]import success seats course'!$1:$2,2,FALSE),FALSE)/(VLOOKUP($A308,'[1]import graded seats course pivo'!$A:Z,HLOOKUP('[1]Course Totals'!B$4,'[1]import graded seats course pivo'!$1:$2,2,FALSE),FALSE))),"")</f>
        <v/>
      </c>
      <c r="C308" s="14">
        <f>IFERROR((VLOOKUP($A308,'[1]import success seats course'!$A:Q,HLOOKUP('[1]Course Totals'!C$4,'[1]import success seats course'!$1:$2,2,FALSE),FALSE)/(VLOOKUP($A308,'[1]import graded seats course pivo'!$A:AA,HLOOKUP('[1]Course Totals'!C$4,'[1]import graded seats course pivo'!$1:$2,2,FALSE),FALSE))),"")</f>
        <v>1</v>
      </c>
      <c r="D308" s="14" t="str">
        <f>IFERROR((VLOOKUP($A308,'[1]import success seats course'!$A:R,HLOOKUP('[1]Course Totals'!D$4,'[1]import success seats course'!$1:$2,2,FALSE),FALSE)/(VLOOKUP($A308,'[1]import graded seats course pivo'!$A:AB,HLOOKUP('[1]Course Totals'!D$4,'[1]import graded seats course pivo'!$1:$2,2,FALSE),FALSE))),"")</f>
        <v/>
      </c>
      <c r="E308" s="14" t="str">
        <f>IFERROR((VLOOKUP($A308,'[1]import success seats course'!$A:S,HLOOKUP('[1]Course Totals'!E$4,'[1]import success seats course'!$1:$2,2,FALSE),FALSE)/(VLOOKUP($A308,'[1]import graded seats course pivo'!$A:AC,HLOOKUP('[1]Course Totals'!E$4,'[1]import graded seats course pivo'!$1:$2,2,FALSE),FALSE))),"")</f>
        <v/>
      </c>
      <c r="F308" s="14" t="str">
        <f>IFERROR((VLOOKUP($A308,'[1]import success seats course'!$A:T,HLOOKUP('[1]Course Totals'!F$4,'[1]import success seats course'!$1:$2,2,FALSE),FALSE)/(VLOOKUP($A308,'[1]import graded seats course pivo'!$A:AD,HLOOKUP('[1]Course Totals'!F$4,'[1]import graded seats course pivo'!$1:$2,2,FALSE),FALSE))),"")</f>
        <v/>
      </c>
      <c r="G308" s="14" t="str">
        <f>IFERROR((VLOOKUP($A308,'[1]import success seats course'!$A:U,HLOOKUP('[1]Course Totals'!G$4,'[1]import success seats course'!$1:$2,2,FALSE),FALSE)/(VLOOKUP($A308,'[1]import graded seats course pivo'!$A:AE,HLOOKUP('[1]Course Totals'!G$4,'[1]import graded seats course pivo'!$1:$2,2,FALSE),FALSE))),"")</f>
        <v/>
      </c>
      <c r="H308" s="14" t="str">
        <f>IFERROR((VLOOKUP($A308,'[1]import success seats course'!$A:V,HLOOKUP('[1]Course Totals'!H$4,'[1]import success seats course'!$1:$2,2,FALSE),FALSE)/(VLOOKUP($A308,'[1]import graded seats course pivo'!$A:AF,HLOOKUP('[1]Course Totals'!H$4,'[1]import graded seats course pivo'!$1:$2,2,FALSE),FALSE))),"")</f>
        <v/>
      </c>
      <c r="I308" s="14">
        <f>IFERROR((VLOOKUP($A308,'[1]import success seats course'!$A:W,HLOOKUP('[1]Course Totals'!I$4,'[1]import success seats course'!$1:$2,2,FALSE),FALSE)/(VLOOKUP($A308,'[1]import graded seats course pivo'!$A:AG,HLOOKUP('[1]Course Totals'!I$4,'[1]import graded seats course pivo'!$1:$2,2,FALSE),FALSE))),"")</f>
        <v>0.96153846153846156</v>
      </c>
      <c r="J308" s="14" t="str">
        <f>IFERROR((VLOOKUP($A308,'[1]import success seats course'!$A:X,HLOOKUP('[1]Course Totals'!J$4,'[1]import success seats course'!$1:$2,2,FALSE),FALSE)/(VLOOKUP($A308,'[1]import graded seats course pivo'!$A:AH,HLOOKUP('[1]Course Totals'!J$4,'[1]import graded seats course pivo'!$1:$2,2,FALSE),FALSE))),"")</f>
        <v/>
      </c>
      <c r="K308" s="14" t="str">
        <f>IFERROR((VLOOKUP($A308,'[1]import success seats course'!$A:Y,HLOOKUP('[1]Course Totals'!K$4,'[1]import success seats course'!$1:$2,2,FALSE),FALSE)/(VLOOKUP($A308,'[1]import graded seats course pivo'!$A:AI,HLOOKUP('[1]Course Totals'!K$4,'[1]import graded seats course pivo'!$1:$2,2,FALSE),FALSE))),"")</f>
        <v/>
      </c>
      <c r="L308" s="14" t="str">
        <f>IFERROR((VLOOKUP($A308,'[1]import success seats course'!$A:Z,HLOOKUP('[1]Course Totals'!L$4,'[1]import success seats course'!$1:$2,2,FALSE),FALSE)/(VLOOKUP($A308,'[1]import graded seats course pivo'!$A:AJ,HLOOKUP('[1]Course Totals'!L$4,'[1]import graded seats course pivo'!$1:$2,2,FALSE),FALSE))),"")</f>
        <v/>
      </c>
      <c r="M308" s="14" t="str">
        <f>IFERROR((VLOOKUP($A308,'[1]import success seats course'!$A:AA,HLOOKUP('[1]Course Totals'!M$4,'[1]import success seats course'!$1:$2,2,FALSE),FALSE)/(VLOOKUP($A308,'[1]import graded seats course pivo'!$A:AK,HLOOKUP('[1]Course Totals'!M$4,'[1]import graded seats course pivo'!$1:$2,2,FALSE),FALSE))),"")</f>
        <v/>
      </c>
      <c r="N308" s="14" t="str">
        <f>IFERROR((VLOOKUP($A308,'[1]import success seats course'!$A:AB,HLOOKUP('[1]Course Totals'!N$4,'[1]import success seats course'!$1:$2,2,FALSE),FALSE)/(VLOOKUP($A308,'[1]import graded seats course pivo'!$A:AL,HLOOKUP('[1]Course Totals'!N$4,'[1]import graded seats course pivo'!$1:$2,2,FALSE),FALSE))),"")</f>
        <v/>
      </c>
      <c r="O308" s="14" t="str">
        <f>IFERROR((VLOOKUP($A308,'[1]import success seats course'!$A:AC,HLOOKUP('[1]Course Totals'!O$4,'[1]import success seats course'!$1:$2,2,FALSE),FALSE)/(VLOOKUP($A308,'[1]import graded seats course pivo'!$A:AM,HLOOKUP('[1]Course Totals'!O$4,'[1]import graded seats course pivo'!$1:$2,2,FALSE),FALSE))),"")</f>
        <v/>
      </c>
      <c r="P308" s="14" t="str">
        <f>IFERROR((VLOOKUP($A308,'[1]import success seats course'!$A:AD,HLOOKUP('[1]Course Totals'!P$4,'[1]import success seats course'!$1:$2,2,FALSE),FALSE)/(VLOOKUP($A308,'[1]import graded seats course pivo'!$A:AN,HLOOKUP('[1]Course Totals'!P$4,'[1]import graded seats course pivo'!$1:$2,2,FALSE),FALSE))),"")</f>
        <v/>
      </c>
      <c r="Q308" s="14" t="str">
        <f>IFERROR((VLOOKUP($A308,'[1]import success seats course'!$A:AE,HLOOKUP('[1]Course Totals'!Q$4,'[1]import success seats course'!$1:$2,2,FALSE),FALSE)/(VLOOKUP($A308,'[1]import graded seats course pivo'!$A:AO,HLOOKUP('[1]Course Totals'!Q$4,'[1]import graded seats course pivo'!$1:$2,2,FALSE),FALSE))),"")</f>
        <v/>
      </c>
      <c r="R308" s="14" t="str">
        <f>IFERROR((VLOOKUP($A308,'[1]import success seats course'!$A:AF,HLOOKUP('[1]Course Totals'!R$4,'[1]import success seats course'!$1:$2,2,FALSE),FALSE)/(VLOOKUP($A308,'[1]import graded seats course pivo'!$A:AP,HLOOKUP('[1]Course Totals'!R$4,'[1]import graded seats course pivo'!$1:$2,2,FALSE),FALSE))),"")</f>
        <v/>
      </c>
      <c r="S308" s="14" t="str">
        <f>IFERROR((VLOOKUP($A308,'[1]import success seats course'!$A:AG,HLOOKUP('[1]Course Totals'!S$4,'[1]import success seats course'!$1:$2,2,FALSE),FALSE)/(VLOOKUP($A308,'[1]import graded seats course pivo'!$A:AQ,HLOOKUP('[1]Course Totals'!S$4,'[1]import graded seats course pivo'!$1:$2,2,FALSE),FALSE))),"")</f>
        <v/>
      </c>
      <c r="Z308" s="7"/>
      <c r="AA308" s="7"/>
      <c r="AB308" s="7"/>
      <c r="AC308" s="7"/>
    </row>
    <row r="309" spans="1:29" ht="15.75" customHeight="1" x14ac:dyDescent="0.25">
      <c r="A309" s="12" t="s">
        <v>157</v>
      </c>
      <c r="B309" s="14" t="str">
        <f>IFERROR((VLOOKUP($A309,'[1]import success seats course'!$A:P,HLOOKUP('[1]Course Totals'!B$4,'[1]import success seats course'!$1:$2,2,FALSE),FALSE)/(VLOOKUP($A309,'[1]import graded seats course pivo'!$A:Z,HLOOKUP('[1]Course Totals'!B$4,'[1]import graded seats course pivo'!$1:$2,2,FALSE),FALSE))),"")</f>
        <v/>
      </c>
      <c r="C309" s="14">
        <f>IFERROR((VLOOKUP($A309,'[1]import success seats course'!$A:Q,HLOOKUP('[1]Course Totals'!C$4,'[1]import success seats course'!$1:$2,2,FALSE),FALSE)/(VLOOKUP($A309,'[1]import graded seats course pivo'!$A:AA,HLOOKUP('[1]Course Totals'!C$4,'[1]import graded seats course pivo'!$1:$2,2,FALSE),FALSE))),"")</f>
        <v>0.95</v>
      </c>
      <c r="D309" s="14">
        <f>IFERROR((VLOOKUP($A309,'[1]import success seats course'!$A:R,HLOOKUP('[1]Course Totals'!D$4,'[1]import success seats course'!$1:$2,2,FALSE),FALSE)/(VLOOKUP($A309,'[1]import graded seats course pivo'!$A:AB,HLOOKUP('[1]Course Totals'!D$4,'[1]import graded seats course pivo'!$1:$2,2,FALSE),FALSE))),"")</f>
        <v>0.9375</v>
      </c>
      <c r="E309" s="14" t="str">
        <f>IFERROR((VLOOKUP($A309,'[1]import success seats course'!$A:S,HLOOKUP('[1]Course Totals'!E$4,'[1]import success seats course'!$1:$2,2,FALSE),FALSE)/(VLOOKUP($A309,'[1]import graded seats course pivo'!$A:AC,HLOOKUP('[1]Course Totals'!E$4,'[1]import graded seats course pivo'!$1:$2,2,FALSE),FALSE))),"")</f>
        <v/>
      </c>
      <c r="F309" s="14">
        <f>IFERROR((VLOOKUP($A309,'[1]import success seats course'!$A:T,HLOOKUP('[1]Course Totals'!F$4,'[1]import success seats course'!$1:$2,2,FALSE),FALSE)/(VLOOKUP($A309,'[1]import graded seats course pivo'!$A:AD,HLOOKUP('[1]Course Totals'!F$4,'[1]import graded seats course pivo'!$1:$2,2,FALSE),FALSE))),"")</f>
        <v>0.88888888888888884</v>
      </c>
      <c r="G309" s="14">
        <f>IFERROR((VLOOKUP($A309,'[1]import success seats course'!$A:U,HLOOKUP('[1]Course Totals'!G$4,'[1]import success seats course'!$1:$2,2,FALSE),FALSE)/(VLOOKUP($A309,'[1]import graded seats course pivo'!$A:AE,HLOOKUP('[1]Course Totals'!G$4,'[1]import graded seats course pivo'!$1:$2,2,FALSE),FALSE))),"")</f>
        <v>0.86363636363636365</v>
      </c>
      <c r="H309" s="14" t="str">
        <f>IFERROR((VLOOKUP($A309,'[1]import success seats course'!$A:V,HLOOKUP('[1]Course Totals'!H$4,'[1]import success seats course'!$1:$2,2,FALSE),FALSE)/(VLOOKUP($A309,'[1]import graded seats course pivo'!$A:AF,HLOOKUP('[1]Course Totals'!H$4,'[1]import graded seats course pivo'!$1:$2,2,FALSE),FALSE))),"")</f>
        <v/>
      </c>
      <c r="I309" s="14" t="str">
        <f>IFERROR((VLOOKUP($A309,'[1]import success seats course'!$A:W,HLOOKUP('[1]Course Totals'!I$4,'[1]import success seats course'!$1:$2,2,FALSE),FALSE)/(VLOOKUP($A309,'[1]import graded seats course pivo'!$A:AG,HLOOKUP('[1]Course Totals'!I$4,'[1]import graded seats course pivo'!$1:$2,2,FALSE),FALSE))),"")</f>
        <v/>
      </c>
      <c r="J309" s="14">
        <f>IFERROR((VLOOKUP($A309,'[1]import success seats course'!$A:X,HLOOKUP('[1]Course Totals'!J$4,'[1]import success seats course'!$1:$2,2,FALSE),FALSE)/(VLOOKUP($A309,'[1]import graded seats course pivo'!$A:AH,HLOOKUP('[1]Course Totals'!J$4,'[1]import graded seats course pivo'!$1:$2,2,FALSE),FALSE))),"")</f>
        <v>0.95238095238095233</v>
      </c>
      <c r="K309" s="14" t="str">
        <f>IFERROR((VLOOKUP($A309,'[1]import success seats course'!$A:Y,HLOOKUP('[1]Course Totals'!K$4,'[1]import success seats course'!$1:$2,2,FALSE),FALSE)/(VLOOKUP($A309,'[1]import graded seats course pivo'!$A:AI,HLOOKUP('[1]Course Totals'!K$4,'[1]import graded seats course pivo'!$1:$2,2,FALSE),FALSE))),"")</f>
        <v/>
      </c>
      <c r="L309" s="14">
        <f>IFERROR((VLOOKUP($A309,'[1]import success seats course'!$A:Z,HLOOKUP('[1]Course Totals'!L$4,'[1]import success seats course'!$1:$2,2,FALSE),FALSE)/(VLOOKUP($A309,'[1]import graded seats course pivo'!$A:AJ,HLOOKUP('[1]Course Totals'!L$4,'[1]import graded seats course pivo'!$1:$2,2,FALSE),FALSE))),"")</f>
        <v>0.94736842105263153</v>
      </c>
      <c r="M309" s="14">
        <f>IFERROR((VLOOKUP($A309,'[1]import success seats course'!$A:AA,HLOOKUP('[1]Course Totals'!M$4,'[1]import success seats course'!$1:$2,2,FALSE),FALSE)/(VLOOKUP($A309,'[1]import graded seats course pivo'!$A:AK,HLOOKUP('[1]Course Totals'!M$4,'[1]import graded seats course pivo'!$1:$2,2,FALSE),FALSE))),"")</f>
        <v>1</v>
      </c>
      <c r="N309" s="14" t="str">
        <f>IFERROR((VLOOKUP($A309,'[1]import success seats course'!$A:AB,HLOOKUP('[1]Course Totals'!N$4,'[1]import success seats course'!$1:$2,2,FALSE),FALSE)/(VLOOKUP($A309,'[1]import graded seats course pivo'!$A:AL,HLOOKUP('[1]Course Totals'!N$4,'[1]import graded seats course pivo'!$1:$2,2,FALSE),FALSE))),"")</f>
        <v/>
      </c>
      <c r="O309" s="14" t="str">
        <f>IFERROR((VLOOKUP($A309,'[1]import success seats course'!$A:AC,HLOOKUP('[1]Course Totals'!O$4,'[1]import success seats course'!$1:$2,2,FALSE),FALSE)/(VLOOKUP($A309,'[1]import graded seats course pivo'!$A:AM,HLOOKUP('[1]Course Totals'!O$4,'[1]import graded seats course pivo'!$1:$2,2,FALSE),FALSE))),"")</f>
        <v/>
      </c>
      <c r="P309" s="14">
        <f>IFERROR((VLOOKUP($A309,'[1]import success seats course'!$A:AD,HLOOKUP('[1]Course Totals'!P$4,'[1]import success seats course'!$1:$2,2,FALSE),FALSE)/(VLOOKUP($A309,'[1]import graded seats course pivo'!$A:AN,HLOOKUP('[1]Course Totals'!P$4,'[1]import graded seats course pivo'!$1:$2,2,FALSE),FALSE))),"")</f>
        <v>1</v>
      </c>
      <c r="Q309" s="14" t="str">
        <f>IFERROR((VLOOKUP($A309,'[1]import success seats course'!$A:AE,HLOOKUP('[1]Course Totals'!Q$4,'[1]import success seats course'!$1:$2,2,FALSE),FALSE)/(VLOOKUP($A309,'[1]import graded seats course pivo'!$A:AO,HLOOKUP('[1]Course Totals'!Q$4,'[1]import graded seats course pivo'!$1:$2,2,FALSE),FALSE))),"")</f>
        <v/>
      </c>
      <c r="R309" s="14">
        <f>IFERROR((VLOOKUP($A309,'[1]import success seats course'!$A:AF,HLOOKUP('[1]Course Totals'!R$4,'[1]import success seats course'!$1:$2,2,FALSE),FALSE)/(VLOOKUP($A309,'[1]import graded seats course pivo'!$A:AP,HLOOKUP('[1]Course Totals'!R$4,'[1]import graded seats course pivo'!$1:$2,2,FALSE),FALSE))),"")</f>
        <v>1</v>
      </c>
      <c r="S309" s="14">
        <f>IFERROR((VLOOKUP($A309,'[1]import success seats course'!$A:AG,HLOOKUP('[1]Course Totals'!S$4,'[1]import success seats course'!$1:$2,2,FALSE),FALSE)/(VLOOKUP($A309,'[1]import graded seats course pivo'!$A:AQ,HLOOKUP('[1]Course Totals'!S$4,'[1]import graded seats course pivo'!$1:$2,2,FALSE),FALSE))),"")</f>
        <v>1</v>
      </c>
      <c r="Z309" s="7"/>
      <c r="AA309" s="7"/>
      <c r="AB309" s="7"/>
      <c r="AC309" s="7"/>
    </row>
    <row r="310" spans="1:29" ht="15.75" customHeight="1" x14ac:dyDescent="0.25">
      <c r="A310" s="12" t="s">
        <v>158</v>
      </c>
      <c r="B310" s="14" t="str">
        <f>IFERROR((VLOOKUP($A310,'[1]import success seats course'!$A:P,HLOOKUP('[1]Course Totals'!B$4,'[1]import success seats course'!$1:$2,2,FALSE),FALSE)/(VLOOKUP($A310,'[1]import graded seats course pivo'!$A:Z,HLOOKUP('[1]Course Totals'!B$4,'[1]import graded seats course pivo'!$1:$2,2,FALSE),FALSE))),"")</f>
        <v/>
      </c>
      <c r="C310" s="14">
        <f>IFERROR((VLOOKUP($A310,'[1]import success seats course'!$A:Q,HLOOKUP('[1]Course Totals'!C$4,'[1]import success seats course'!$1:$2,2,FALSE),FALSE)/(VLOOKUP($A310,'[1]import graded seats course pivo'!$A:AA,HLOOKUP('[1]Course Totals'!C$4,'[1]import graded seats course pivo'!$1:$2,2,FALSE),FALSE))),"")</f>
        <v>1</v>
      </c>
      <c r="D310" s="14">
        <f>IFERROR((VLOOKUP($A310,'[1]import success seats course'!$A:R,HLOOKUP('[1]Course Totals'!D$4,'[1]import success seats course'!$1:$2,2,FALSE),FALSE)/(VLOOKUP($A310,'[1]import graded seats course pivo'!$A:AB,HLOOKUP('[1]Course Totals'!D$4,'[1]import graded seats course pivo'!$1:$2,2,FALSE),FALSE))),"")</f>
        <v>1</v>
      </c>
      <c r="E310" s="14" t="str">
        <f>IFERROR((VLOOKUP($A310,'[1]import success seats course'!$A:S,HLOOKUP('[1]Course Totals'!E$4,'[1]import success seats course'!$1:$2,2,FALSE),FALSE)/(VLOOKUP($A310,'[1]import graded seats course pivo'!$A:AC,HLOOKUP('[1]Course Totals'!E$4,'[1]import graded seats course pivo'!$1:$2,2,FALSE),FALSE))),"")</f>
        <v/>
      </c>
      <c r="F310" s="14">
        <f>IFERROR((VLOOKUP($A310,'[1]import success seats course'!$A:T,HLOOKUP('[1]Course Totals'!F$4,'[1]import success seats course'!$1:$2,2,FALSE),FALSE)/(VLOOKUP($A310,'[1]import graded seats course pivo'!$A:AD,HLOOKUP('[1]Course Totals'!F$4,'[1]import graded seats course pivo'!$1:$2,2,FALSE),FALSE))),"")</f>
        <v>1</v>
      </c>
      <c r="G310" s="14">
        <f>IFERROR((VLOOKUP($A310,'[1]import success seats course'!$A:U,HLOOKUP('[1]Course Totals'!G$4,'[1]import success seats course'!$1:$2,2,FALSE),FALSE)/(VLOOKUP($A310,'[1]import graded seats course pivo'!$A:AE,HLOOKUP('[1]Course Totals'!G$4,'[1]import graded seats course pivo'!$1:$2,2,FALSE),FALSE))),"")</f>
        <v>1</v>
      </c>
      <c r="H310" s="14" t="str">
        <f>IFERROR((VLOOKUP($A310,'[1]import success seats course'!$A:V,HLOOKUP('[1]Course Totals'!H$4,'[1]import success seats course'!$1:$2,2,FALSE),FALSE)/(VLOOKUP($A310,'[1]import graded seats course pivo'!$A:AF,HLOOKUP('[1]Course Totals'!H$4,'[1]import graded seats course pivo'!$1:$2,2,FALSE),FALSE))),"")</f>
        <v/>
      </c>
      <c r="I310" s="14">
        <f>IFERROR((VLOOKUP($A310,'[1]import success seats course'!$A:W,HLOOKUP('[1]Course Totals'!I$4,'[1]import success seats course'!$1:$2,2,FALSE),FALSE)/(VLOOKUP($A310,'[1]import graded seats course pivo'!$A:AG,HLOOKUP('[1]Course Totals'!I$4,'[1]import graded seats course pivo'!$1:$2,2,FALSE),FALSE))),"")</f>
        <v>0.9285714285714286</v>
      </c>
      <c r="J310" s="14" t="str">
        <f>IFERROR((VLOOKUP($A310,'[1]import success seats course'!$A:X,HLOOKUP('[1]Course Totals'!J$4,'[1]import success seats course'!$1:$2,2,FALSE),FALSE)/(VLOOKUP($A310,'[1]import graded seats course pivo'!$A:AH,HLOOKUP('[1]Course Totals'!J$4,'[1]import graded seats course pivo'!$1:$2,2,FALSE),FALSE))),"")</f>
        <v/>
      </c>
      <c r="K310" s="14" t="str">
        <f>IFERROR((VLOOKUP($A310,'[1]import success seats course'!$A:Y,HLOOKUP('[1]Course Totals'!K$4,'[1]import success seats course'!$1:$2,2,FALSE),FALSE)/(VLOOKUP($A310,'[1]import graded seats course pivo'!$A:AI,HLOOKUP('[1]Course Totals'!K$4,'[1]import graded seats course pivo'!$1:$2,2,FALSE),FALSE))),"")</f>
        <v/>
      </c>
      <c r="L310" s="14">
        <f>IFERROR((VLOOKUP($A310,'[1]import success seats course'!$A:Z,HLOOKUP('[1]Course Totals'!L$4,'[1]import success seats course'!$1:$2,2,FALSE),FALSE)/(VLOOKUP($A310,'[1]import graded seats course pivo'!$A:AJ,HLOOKUP('[1]Course Totals'!L$4,'[1]import graded seats course pivo'!$1:$2,2,FALSE),FALSE))),"")</f>
        <v>0.94444444444444442</v>
      </c>
      <c r="M310" s="14">
        <f>IFERROR((VLOOKUP($A310,'[1]import success seats course'!$A:AA,HLOOKUP('[1]Course Totals'!M$4,'[1]import success seats course'!$1:$2,2,FALSE),FALSE)/(VLOOKUP($A310,'[1]import graded seats course pivo'!$A:AK,HLOOKUP('[1]Course Totals'!M$4,'[1]import graded seats course pivo'!$1:$2,2,FALSE),FALSE))),"")</f>
        <v>0.8125</v>
      </c>
      <c r="N310" s="14" t="str">
        <f>IFERROR((VLOOKUP($A310,'[1]import success seats course'!$A:AB,HLOOKUP('[1]Course Totals'!N$4,'[1]import success seats course'!$1:$2,2,FALSE),FALSE)/(VLOOKUP($A310,'[1]import graded seats course pivo'!$A:AL,HLOOKUP('[1]Course Totals'!N$4,'[1]import graded seats course pivo'!$1:$2,2,FALSE),FALSE))),"")</f>
        <v/>
      </c>
      <c r="O310" s="14">
        <f>IFERROR((VLOOKUP($A310,'[1]import success seats course'!$A:AC,HLOOKUP('[1]Course Totals'!O$4,'[1]import success seats course'!$1:$2,2,FALSE),FALSE)/(VLOOKUP($A310,'[1]import graded seats course pivo'!$A:AM,HLOOKUP('[1]Course Totals'!O$4,'[1]import graded seats course pivo'!$1:$2,2,FALSE),FALSE))),"")</f>
        <v>0.875</v>
      </c>
      <c r="P310" s="14" t="str">
        <f>IFERROR((VLOOKUP($A310,'[1]import success seats course'!$A:AD,HLOOKUP('[1]Course Totals'!P$4,'[1]import success seats course'!$1:$2,2,FALSE),FALSE)/(VLOOKUP($A310,'[1]import graded seats course pivo'!$A:AN,HLOOKUP('[1]Course Totals'!P$4,'[1]import graded seats course pivo'!$1:$2,2,FALSE),FALSE))),"")</f>
        <v/>
      </c>
      <c r="Q310" s="14" t="str">
        <f>IFERROR((VLOOKUP($A310,'[1]import success seats course'!$A:AE,HLOOKUP('[1]Course Totals'!Q$4,'[1]import success seats course'!$1:$2,2,FALSE),FALSE)/(VLOOKUP($A310,'[1]import graded seats course pivo'!$A:AO,HLOOKUP('[1]Course Totals'!Q$4,'[1]import graded seats course pivo'!$1:$2,2,FALSE),FALSE))),"")</f>
        <v/>
      </c>
      <c r="R310" s="14">
        <f>IFERROR((VLOOKUP($A310,'[1]import success seats course'!$A:AF,HLOOKUP('[1]Course Totals'!R$4,'[1]import success seats course'!$1:$2,2,FALSE),FALSE)/(VLOOKUP($A310,'[1]import graded seats course pivo'!$A:AP,HLOOKUP('[1]Course Totals'!R$4,'[1]import graded seats course pivo'!$1:$2,2,FALSE),FALSE))),"")</f>
        <v>1</v>
      </c>
      <c r="S310" s="14" t="str">
        <f>IFERROR((VLOOKUP($A310,'[1]import success seats course'!$A:AG,HLOOKUP('[1]Course Totals'!S$4,'[1]import success seats course'!$1:$2,2,FALSE),FALSE)/(VLOOKUP($A310,'[1]import graded seats course pivo'!$A:AQ,HLOOKUP('[1]Course Totals'!S$4,'[1]import graded seats course pivo'!$1:$2,2,FALSE),FALSE))),"")</f>
        <v/>
      </c>
      <c r="Z310" s="7"/>
      <c r="AA310" s="7"/>
      <c r="AB310" s="7"/>
      <c r="AC310" s="7"/>
    </row>
    <row r="311" spans="1:29" ht="15.75" customHeight="1" x14ac:dyDescent="0.25">
      <c r="A311" s="12" t="s">
        <v>580</v>
      </c>
      <c r="B311" s="14" t="str">
        <f>IFERROR((VLOOKUP($A311,'[1]import success seats course'!$A:P,HLOOKUP('[1]Course Totals'!B$4,'[1]import success seats course'!$1:$2,2,FALSE),FALSE)/(VLOOKUP($A311,'[1]import graded seats course pivo'!$A:Z,HLOOKUP('[1]Course Totals'!B$4,'[1]import graded seats course pivo'!$1:$2,2,FALSE),FALSE))),"")</f>
        <v/>
      </c>
      <c r="C311" s="14" t="str">
        <f>IFERROR((VLOOKUP($A311,'[1]import success seats course'!$A:Q,HLOOKUP('[1]Course Totals'!C$4,'[1]import success seats course'!$1:$2,2,FALSE),FALSE)/(VLOOKUP($A311,'[1]import graded seats course pivo'!$A:AA,HLOOKUP('[1]Course Totals'!C$4,'[1]import graded seats course pivo'!$1:$2,2,FALSE),FALSE))),"")</f>
        <v/>
      </c>
      <c r="D311" s="14" t="str">
        <f>IFERROR((VLOOKUP($A311,'[1]import success seats course'!$A:R,HLOOKUP('[1]Course Totals'!D$4,'[1]import success seats course'!$1:$2,2,FALSE),FALSE)/(VLOOKUP($A311,'[1]import graded seats course pivo'!$A:AB,HLOOKUP('[1]Course Totals'!D$4,'[1]import graded seats course pivo'!$1:$2,2,FALSE),FALSE))),"")</f>
        <v/>
      </c>
      <c r="E311" s="14" t="str">
        <f>IFERROR((VLOOKUP($A311,'[1]import success seats course'!$A:S,HLOOKUP('[1]Course Totals'!E$4,'[1]import success seats course'!$1:$2,2,FALSE),FALSE)/(VLOOKUP($A311,'[1]import graded seats course pivo'!$A:AC,HLOOKUP('[1]Course Totals'!E$4,'[1]import graded seats course pivo'!$1:$2,2,FALSE),FALSE))),"")</f>
        <v/>
      </c>
      <c r="F311" s="14">
        <f>IFERROR((VLOOKUP($A311,'[1]import success seats course'!$A:T,HLOOKUP('[1]Course Totals'!F$4,'[1]import success seats course'!$1:$2,2,FALSE),FALSE)/(VLOOKUP($A311,'[1]import graded seats course pivo'!$A:AD,HLOOKUP('[1]Course Totals'!F$4,'[1]import graded seats course pivo'!$1:$2,2,FALSE),FALSE))),"")</f>
        <v>0.84615384615384615</v>
      </c>
      <c r="G311" s="14">
        <f>IFERROR((VLOOKUP($A311,'[1]import success seats course'!$A:U,HLOOKUP('[1]Course Totals'!G$4,'[1]import success seats course'!$1:$2,2,FALSE),FALSE)/(VLOOKUP($A311,'[1]import graded seats course pivo'!$A:AE,HLOOKUP('[1]Course Totals'!G$4,'[1]import graded seats course pivo'!$1:$2,2,FALSE),FALSE))),"")</f>
        <v>1</v>
      </c>
      <c r="H311" s="14" t="str">
        <f>IFERROR((VLOOKUP($A311,'[1]import success seats course'!$A:V,HLOOKUP('[1]Course Totals'!H$4,'[1]import success seats course'!$1:$2,2,FALSE),FALSE)/(VLOOKUP($A311,'[1]import graded seats course pivo'!$A:AF,HLOOKUP('[1]Course Totals'!H$4,'[1]import graded seats course pivo'!$1:$2,2,FALSE),FALSE))),"")</f>
        <v/>
      </c>
      <c r="I311" s="14">
        <f>IFERROR((VLOOKUP($A311,'[1]import success seats course'!$A:W,HLOOKUP('[1]Course Totals'!I$4,'[1]import success seats course'!$1:$2,2,FALSE),FALSE)/(VLOOKUP($A311,'[1]import graded seats course pivo'!$A:AG,HLOOKUP('[1]Course Totals'!I$4,'[1]import graded seats course pivo'!$1:$2,2,FALSE),FALSE))),"")</f>
        <v>1</v>
      </c>
      <c r="J311" s="14">
        <f>IFERROR((VLOOKUP($A311,'[1]import success seats course'!$A:X,HLOOKUP('[1]Course Totals'!J$4,'[1]import success seats course'!$1:$2,2,FALSE),FALSE)/(VLOOKUP($A311,'[1]import graded seats course pivo'!$A:AH,HLOOKUP('[1]Course Totals'!J$4,'[1]import graded seats course pivo'!$1:$2,2,FALSE),FALSE))),"")</f>
        <v>1</v>
      </c>
      <c r="K311" s="14" t="str">
        <f>IFERROR((VLOOKUP($A311,'[1]import success seats course'!$A:Y,HLOOKUP('[1]Course Totals'!K$4,'[1]import success seats course'!$1:$2,2,FALSE),FALSE)/(VLOOKUP($A311,'[1]import graded seats course pivo'!$A:AI,HLOOKUP('[1]Course Totals'!K$4,'[1]import graded seats course pivo'!$1:$2,2,FALSE),FALSE))),"")</f>
        <v/>
      </c>
      <c r="L311" s="14">
        <f>IFERROR((VLOOKUP($A311,'[1]import success seats course'!$A:Z,HLOOKUP('[1]Course Totals'!L$4,'[1]import success seats course'!$1:$2,2,FALSE),FALSE)/(VLOOKUP($A311,'[1]import graded seats course pivo'!$A:AJ,HLOOKUP('[1]Course Totals'!L$4,'[1]import graded seats course pivo'!$1:$2,2,FALSE),FALSE))),"")</f>
        <v>1</v>
      </c>
      <c r="M311" s="14">
        <f>IFERROR((VLOOKUP($A311,'[1]import success seats course'!$A:AA,HLOOKUP('[1]Course Totals'!M$4,'[1]import success seats course'!$1:$2,2,FALSE),FALSE)/(VLOOKUP($A311,'[1]import graded seats course pivo'!$A:AK,HLOOKUP('[1]Course Totals'!M$4,'[1]import graded seats course pivo'!$1:$2,2,FALSE),FALSE))),"")</f>
        <v>1</v>
      </c>
      <c r="N311" s="14" t="str">
        <f>IFERROR((VLOOKUP($A311,'[1]import success seats course'!$A:AB,HLOOKUP('[1]Course Totals'!N$4,'[1]import success seats course'!$1:$2,2,FALSE),FALSE)/(VLOOKUP($A311,'[1]import graded seats course pivo'!$A:AL,HLOOKUP('[1]Course Totals'!N$4,'[1]import graded seats course pivo'!$1:$2,2,FALSE),FALSE))),"")</f>
        <v/>
      </c>
      <c r="O311" s="14">
        <f>IFERROR((VLOOKUP($A311,'[1]import success seats course'!$A:AC,HLOOKUP('[1]Course Totals'!O$4,'[1]import success seats course'!$1:$2,2,FALSE),FALSE)/(VLOOKUP($A311,'[1]import graded seats course pivo'!$A:AM,HLOOKUP('[1]Course Totals'!O$4,'[1]import graded seats course pivo'!$1:$2,2,FALSE),FALSE))),"")</f>
        <v>1</v>
      </c>
      <c r="P311" s="14">
        <f>IFERROR((VLOOKUP($A311,'[1]import success seats course'!$A:AD,HLOOKUP('[1]Course Totals'!P$4,'[1]import success seats course'!$1:$2,2,FALSE),FALSE)/(VLOOKUP($A311,'[1]import graded seats course pivo'!$A:AN,HLOOKUP('[1]Course Totals'!P$4,'[1]import graded seats course pivo'!$1:$2,2,FALSE),FALSE))),"")</f>
        <v>1</v>
      </c>
      <c r="Q311" s="14" t="str">
        <f>IFERROR((VLOOKUP($A311,'[1]import success seats course'!$A:AE,HLOOKUP('[1]Course Totals'!Q$4,'[1]import success seats course'!$1:$2,2,FALSE),FALSE)/(VLOOKUP($A311,'[1]import graded seats course pivo'!$A:AO,HLOOKUP('[1]Course Totals'!Q$4,'[1]import graded seats course pivo'!$1:$2,2,FALSE),FALSE))),"")</f>
        <v/>
      </c>
      <c r="R311" s="14">
        <f>IFERROR((VLOOKUP($A311,'[1]import success seats course'!$A:AF,HLOOKUP('[1]Course Totals'!R$4,'[1]import success seats course'!$1:$2,2,FALSE),FALSE)/(VLOOKUP($A311,'[1]import graded seats course pivo'!$A:AP,HLOOKUP('[1]Course Totals'!R$4,'[1]import graded seats course pivo'!$1:$2,2,FALSE),FALSE))),"")</f>
        <v>1</v>
      </c>
      <c r="S311" s="14">
        <f>IFERROR((VLOOKUP($A311,'[1]import success seats course'!$A:AG,HLOOKUP('[1]Course Totals'!S$4,'[1]import success seats course'!$1:$2,2,FALSE),FALSE)/(VLOOKUP($A311,'[1]import graded seats course pivo'!$A:AQ,HLOOKUP('[1]Course Totals'!S$4,'[1]import graded seats course pivo'!$1:$2,2,FALSE),FALSE))),"")</f>
        <v>1</v>
      </c>
      <c r="Z311" s="7"/>
      <c r="AA311" s="7"/>
      <c r="AB311" s="7"/>
      <c r="AC311" s="7"/>
    </row>
    <row r="312" spans="1:29" ht="15.75" customHeight="1" x14ac:dyDescent="0.25">
      <c r="A312" s="12" t="s">
        <v>581</v>
      </c>
      <c r="B312" s="14" t="str">
        <f>IFERROR((VLOOKUP($A312,'[1]import success seats course'!$A:P,HLOOKUP('[1]Course Totals'!B$4,'[1]import success seats course'!$1:$2,2,FALSE),FALSE)/(VLOOKUP($A312,'[1]import graded seats course pivo'!$A:Z,HLOOKUP('[1]Course Totals'!B$4,'[1]import graded seats course pivo'!$1:$2,2,FALSE),FALSE))),"")</f>
        <v/>
      </c>
      <c r="C312" s="14" t="str">
        <f>IFERROR((VLOOKUP($A312,'[1]import success seats course'!$A:Q,HLOOKUP('[1]Course Totals'!C$4,'[1]import success seats course'!$1:$2,2,FALSE),FALSE)/(VLOOKUP($A312,'[1]import graded seats course pivo'!$A:AA,HLOOKUP('[1]Course Totals'!C$4,'[1]import graded seats course pivo'!$1:$2,2,FALSE),FALSE))),"")</f>
        <v/>
      </c>
      <c r="D312" s="14" t="str">
        <f>IFERROR((VLOOKUP($A312,'[1]import success seats course'!$A:R,HLOOKUP('[1]Course Totals'!D$4,'[1]import success seats course'!$1:$2,2,FALSE),FALSE)/(VLOOKUP($A312,'[1]import graded seats course pivo'!$A:AB,HLOOKUP('[1]Course Totals'!D$4,'[1]import graded seats course pivo'!$1:$2,2,FALSE),FALSE))),"")</f>
        <v/>
      </c>
      <c r="E312" s="14" t="str">
        <f>IFERROR((VLOOKUP($A312,'[1]import success seats course'!$A:S,HLOOKUP('[1]Course Totals'!E$4,'[1]import success seats course'!$1:$2,2,FALSE),FALSE)/(VLOOKUP($A312,'[1]import graded seats course pivo'!$A:AC,HLOOKUP('[1]Course Totals'!E$4,'[1]import graded seats course pivo'!$1:$2,2,FALSE),FALSE))),"")</f>
        <v/>
      </c>
      <c r="F312" s="14">
        <f>IFERROR((VLOOKUP($A312,'[1]import success seats course'!$A:T,HLOOKUP('[1]Course Totals'!F$4,'[1]import success seats course'!$1:$2,2,FALSE),FALSE)/(VLOOKUP($A312,'[1]import graded seats course pivo'!$A:AD,HLOOKUP('[1]Course Totals'!F$4,'[1]import graded seats course pivo'!$1:$2,2,FALSE),FALSE))),"")</f>
        <v>1</v>
      </c>
      <c r="G312" s="14" t="str">
        <f>IFERROR((VLOOKUP($A312,'[1]import success seats course'!$A:U,HLOOKUP('[1]Course Totals'!G$4,'[1]import success seats course'!$1:$2,2,FALSE),FALSE)/(VLOOKUP($A312,'[1]import graded seats course pivo'!$A:AE,HLOOKUP('[1]Course Totals'!G$4,'[1]import graded seats course pivo'!$1:$2,2,FALSE),FALSE))),"")</f>
        <v/>
      </c>
      <c r="H312" s="14" t="str">
        <f>IFERROR((VLOOKUP($A312,'[1]import success seats course'!$A:V,HLOOKUP('[1]Course Totals'!H$4,'[1]import success seats course'!$1:$2,2,FALSE),FALSE)/(VLOOKUP($A312,'[1]import graded seats course pivo'!$A:AF,HLOOKUP('[1]Course Totals'!H$4,'[1]import graded seats course pivo'!$1:$2,2,FALSE),FALSE))),"")</f>
        <v/>
      </c>
      <c r="I312" s="14" t="str">
        <f>IFERROR((VLOOKUP($A312,'[1]import success seats course'!$A:W,HLOOKUP('[1]Course Totals'!I$4,'[1]import success seats course'!$1:$2,2,FALSE),FALSE)/(VLOOKUP($A312,'[1]import graded seats course pivo'!$A:AG,HLOOKUP('[1]Course Totals'!I$4,'[1]import graded seats course pivo'!$1:$2,2,FALSE),FALSE))),"")</f>
        <v/>
      </c>
      <c r="J312" s="14" t="str">
        <f>IFERROR((VLOOKUP($A312,'[1]import success seats course'!$A:X,HLOOKUP('[1]Course Totals'!J$4,'[1]import success seats course'!$1:$2,2,FALSE),FALSE)/(VLOOKUP($A312,'[1]import graded seats course pivo'!$A:AH,HLOOKUP('[1]Course Totals'!J$4,'[1]import graded seats course pivo'!$1:$2,2,FALSE),FALSE))),"")</f>
        <v/>
      </c>
      <c r="K312" s="14" t="str">
        <f>IFERROR((VLOOKUP($A312,'[1]import success seats course'!$A:Y,HLOOKUP('[1]Course Totals'!K$4,'[1]import success seats course'!$1:$2,2,FALSE),FALSE)/(VLOOKUP($A312,'[1]import graded seats course pivo'!$A:AI,HLOOKUP('[1]Course Totals'!K$4,'[1]import graded seats course pivo'!$1:$2,2,FALSE),FALSE))),"")</f>
        <v/>
      </c>
      <c r="L312" s="14" t="str">
        <f>IFERROR((VLOOKUP($A312,'[1]import success seats course'!$A:Z,HLOOKUP('[1]Course Totals'!L$4,'[1]import success seats course'!$1:$2,2,FALSE),FALSE)/(VLOOKUP($A312,'[1]import graded seats course pivo'!$A:AJ,HLOOKUP('[1]Course Totals'!L$4,'[1]import graded seats course pivo'!$1:$2,2,FALSE),FALSE))),"")</f>
        <v/>
      </c>
      <c r="M312" s="14" t="str">
        <f>IFERROR((VLOOKUP($A312,'[1]import success seats course'!$A:AA,HLOOKUP('[1]Course Totals'!M$4,'[1]import success seats course'!$1:$2,2,FALSE),FALSE)/(VLOOKUP($A312,'[1]import graded seats course pivo'!$A:AK,HLOOKUP('[1]Course Totals'!M$4,'[1]import graded seats course pivo'!$1:$2,2,FALSE),FALSE))),"")</f>
        <v/>
      </c>
      <c r="N312" s="14" t="str">
        <f>IFERROR((VLOOKUP($A312,'[1]import success seats course'!$A:AB,HLOOKUP('[1]Course Totals'!N$4,'[1]import success seats course'!$1:$2,2,FALSE),FALSE)/(VLOOKUP($A312,'[1]import graded seats course pivo'!$A:AL,HLOOKUP('[1]Course Totals'!N$4,'[1]import graded seats course pivo'!$1:$2,2,FALSE),FALSE))),"")</f>
        <v/>
      </c>
      <c r="O312" s="14" t="str">
        <f>IFERROR((VLOOKUP($A312,'[1]import success seats course'!$A:AC,HLOOKUP('[1]Course Totals'!O$4,'[1]import success seats course'!$1:$2,2,FALSE),FALSE)/(VLOOKUP($A312,'[1]import graded seats course pivo'!$A:AM,HLOOKUP('[1]Course Totals'!O$4,'[1]import graded seats course pivo'!$1:$2,2,FALSE),FALSE))),"")</f>
        <v/>
      </c>
      <c r="P312" s="14" t="str">
        <f>IFERROR((VLOOKUP($A312,'[1]import success seats course'!$A:AD,HLOOKUP('[1]Course Totals'!P$4,'[1]import success seats course'!$1:$2,2,FALSE),FALSE)/(VLOOKUP($A312,'[1]import graded seats course pivo'!$A:AN,HLOOKUP('[1]Course Totals'!P$4,'[1]import graded seats course pivo'!$1:$2,2,FALSE),FALSE))),"")</f>
        <v/>
      </c>
      <c r="Q312" s="14" t="str">
        <f>IFERROR((VLOOKUP($A312,'[1]import success seats course'!$A:AE,HLOOKUP('[1]Course Totals'!Q$4,'[1]import success seats course'!$1:$2,2,FALSE),FALSE)/(VLOOKUP($A312,'[1]import graded seats course pivo'!$A:AO,HLOOKUP('[1]Course Totals'!Q$4,'[1]import graded seats course pivo'!$1:$2,2,FALSE),FALSE))),"")</f>
        <v/>
      </c>
      <c r="R312" s="14" t="str">
        <f>IFERROR((VLOOKUP($A312,'[1]import success seats course'!$A:AF,HLOOKUP('[1]Course Totals'!R$4,'[1]import success seats course'!$1:$2,2,FALSE),FALSE)/(VLOOKUP($A312,'[1]import graded seats course pivo'!$A:AP,HLOOKUP('[1]Course Totals'!R$4,'[1]import graded seats course pivo'!$1:$2,2,FALSE),FALSE))),"")</f>
        <v/>
      </c>
      <c r="S312" s="14" t="str">
        <f>IFERROR((VLOOKUP($A312,'[1]import success seats course'!$A:AG,HLOOKUP('[1]Course Totals'!S$4,'[1]import success seats course'!$1:$2,2,FALSE),FALSE)/(VLOOKUP($A312,'[1]import graded seats course pivo'!$A:AQ,HLOOKUP('[1]Course Totals'!S$4,'[1]import graded seats course pivo'!$1:$2,2,FALSE),FALSE))),"")</f>
        <v/>
      </c>
      <c r="Z312" s="7"/>
      <c r="AA312" s="7"/>
      <c r="AB312" s="7"/>
      <c r="AC312" s="7"/>
    </row>
    <row r="313" spans="1:29" ht="15.75" customHeight="1" x14ac:dyDescent="0.25">
      <c r="A313" s="12" t="s">
        <v>970</v>
      </c>
      <c r="B313" s="14" t="str">
        <f>IFERROR((VLOOKUP($A313,'[1]import success seats course'!$A:P,HLOOKUP('[1]Course Totals'!B$4,'[1]import success seats course'!$1:$2,2,FALSE),FALSE)/(VLOOKUP($A313,'[1]import graded seats course pivo'!$A:Z,HLOOKUP('[1]Course Totals'!B$4,'[1]import graded seats course pivo'!$1:$2,2,FALSE),FALSE))),"")</f>
        <v/>
      </c>
      <c r="C313" s="14" t="str">
        <f>IFERROR((VLOOKUP($A313,'[1]import success seats course'!$A:Q,HLOOKUP('[1]Course Totals'!C$4,'[1]import success seats course'!$1:$2,2,FALSE),FALSE)/(VLOOKUP($A313,'[1]import graded seats course pivo'!$A:AA,HLOOKUP('[1]Course Totals'!C$4,'[1]import graded seats course pivo'!$1:$2,2,FALSE),FALSE))),"")</f>
        <v/>
      </c>
      <c r="D313" s="14" t="str">
        <f>IFERROR((VLOOKUP($A313,'[1]import success seats course'!$A:R,HLOOKUP('[1]Course Totals'!D$4,'[1]import success seats course'!$1:$2,2,FALSE),FALSE)/(VLOOKUP($A313,'[1]import graded seats course pivo'!$A:AB,HLOOKUP('[1]Course Totals'!D$4,'[1]import graded seats course pivo'!$1:$2,2,FALSE),FALSE))),"")</f>
        <v/>
      </c>
      <c r="E313" s="14" t="str">
        <f>IFERROR((VLOOKUP($A313,'[1]import success seats course'!$A:S,HLOOKUP('[1]Course Totals'!E$4,'[1]import success seats course'!$1:$2,2,FALSE),FALSE)/(VLOOKUP($A313,'[1]import graded seats course pivo'!$A:AC,HLOOKUP('[1]Course Totals'!E$4,'[1]import graded seats course pivo'!$1:$2,2,FALSE),FALSE))),"")</f>
        <v/>
      </c>
      <c r="F313" s="14" t="str">
        <f>IFERROR((VLOOKUP($A313,'[1]import success seats course'!$A:T,HLOOKUP('[1]Course Totals'!F$4,'[1]import success seats course'!$1:$2,2,FALSE),FALSE)/(VLOOKUP($A313,'[1]import graded seats course pivo'!$A:AD,HLOOKUP('[1]Course Totals'!F$4,'[1]import graded seats course pivo'!$1:$2,2,FALSE),FALSE))),"")</f>
        <v/>
      </c>
      <c r="G313" s="14">
        <f>IFERROR((VLOOKUP($A313,'[1]import success seats course'!$A:U,HLOOKUP('[1]Course Totals'!G$4,'[1]import success seats course'!$1:$2,2,FALSE),FALSE)/(VLOOKUP($A313,'[1]import graded seats course pivo'!$A:AE,HLOOKUP('[1]Course Totals'!G$4,'[1]import graded seats course pivo'!$1:$2,2,FALSE),FALSE))),"")</f>
        <v>1</v>
      </c>
      <c r="H313" s="14" t="str">
        <f>IFERROR((VLOOKUP($A313,'[1]import success seats course'!$A:V,HLOOKUP('[1]Course Totals'!H$4,'[1]import success seats course'!$1:$2,2,FALSE),FALSE)/(VLOOKUP($A313,'[1]import graded seats course pivo'!$A:AF,HLOOKUP('[1]Course Totals'!H$4,'[1]import graded seats course pivo'!$1:$2,2,FALSE),FALSE))),"")</f>
        <v/>
      </c>
      <c r="I313" s="14" t="str">
        <f>IFERROR((VLOOKUP($A313,'[1]import success seats course'!$A:W,HLOOKUP('[1]Course Totals'!I$4,'[1]import success seats course'!$1:$2,2,FALSE),FALSE)/(VLOOKUP($A313,'[1]import graded seats course pivo'!$A:AG,HLOOKUP('[1]Course Totals'!I$4,'[1]import graded seats course pivo'!$1:$2,2,FALSE),FALSE))),"")</f>
        <v/>
      </c>
      <c r="J313" s="14" t="str">
        <f>IFERROR((VLOOKUP($A313,'[1]import success seats course'!$A:X,HLOOKUP('[1]Course Totals'!J$4,'[1]import success seats course'!$1:$2,2,FALSE),FALSE)/(VLOOKUP($A313,'[1]import graded seats course pivo'!$A:AH,HLOOKUP('[1]Course Totals'!J$4,'[1]import graded seats course pivo'!$1:$2,2,FALSE),FALSE))),"")</f>
        <v/>
      </c>
      <c r="K313" s="14" t="str">
        <f>IFERROR((VLOOKUP($A313,'[1]import success seats course'!$A:Y,HLOOKUP('[1]Course Totals'!K$4,'[1]import success seats course'!$1:$2,2,FALSE),FALSE)/(VLOOKUP($A313,'[1]import graded seats course pivo'!$A:AI,HLOOKUP('[1]Course Totals'!K$4,'[1]import graded seats course pivo'!$1:$2,2,FALSE),FALSE))),"")</f>
        <v/>
      </c>
      <c r="L313" s="14" t="str">
        <f>IFERROR((VLOOKUP($A313,'[1]import success seats course'!$A:Z,HLOOKUP('[1]Course Totals'!L$4,'[1]import success seats course'!$1:$2,2,FALSE),FALSE)/(VLOOKUP($A313,'[1]import graded seats course pivo'!$A:AJ,HLOOKUP('[1]Course Totals'!L$4,'[1]import graded seats course pivo'!$1:$2,2,FALSE),FALSE))),"")</f>
        <v/>
      </c>
      <c r="M313" s="14" t="str">
        <f>IFERROR((VLOOKUP($A313,'[1]import success seats course'!$A:AA,HLOOKUP('[1]Course Totals'!M$4,'[1]import success seats course'!$1:$2,2,FALSE),FALSE)/(VLOOKUP($A313,'[1]import graded seats course pivo'!$A:AK,HLOOKUP('[1]Course Totals'!M$4,'[1]import graded seats course pivo'!$1:$2,2,FALSE),FALSE))),"")</f>
        <v/>
      </c>
      <c r="N313" s="14" t="str">
        <f>IFERROR((VLOOKUP($A313,'[1]import success seats course'!$A:AB,HLOOKUP('[1]Course Totals'!N$4,'[1]import success seats course'!$1:$2,2,FALSE),FALSE)/(VLOOKUP($A313,'[1]import graded seats course pivo'!$A:AL,HLOOKUP('[1]Course Totals'!N$4,'[1]import graded seats course pivo'!$1:$2,2,FALSE),FALSE))),"")</f>
        <v/>
      </c>
      <c r="O313" s="14" t="str">
        <f>IFERROR((VLOOKUP($A313,'[1]import success seats course'!$A:AC,HLOOKUP('[1]Course Totals'!O$4,'[1]import success seats course'!$1:$2,2,FALSE),FALSE)/(VLOOKUP($A313,'[1]import graded seats course pivo'!$A:AM,HLOOKUP('[1]Course Totals'!O$4,'[1]import graded seats course pivo'!$1:$2,2,FALSE),FALSE))),"")</f>
        <v/>
      </c>
      <c r="P313" s="14" t="str">
        <f>IFERROR((VLOOKUP($A313,'[1]import success seats course'!$A:AD,HLOOKUP('[1]Course Totals'!P$4,'[1]import success seats course'!$1:$2,2,FALSE),FALSE)/(VLOOKUP($A313,'[1]import graded seats course pivo'!$A:AN,HLOOKUP('[1]Course Totals'!P$4,'[1]import graded seats course pivo'!$1:$2,2,FALSE),FALSE))),"")</f>
        <v/>
      </c>
      <c r="Q313" s="14" t="str">
        <f>IFERROR((VLOOKUP($A313,'[1]import success seats course'!$A:AE,HLOOKUP('[1]Course Totals'!Q$4,'[1]import success seats course'!$1:$2,2,FALSE),FALSE)/(VLOOKUP($A313,'[1]import graded seats course pivo'!$A:AO,HLOOKUP('[1]Course Totals'!Q$4,'[1]import graded seats course pivo'!$1:$2,2,FALSE),FALSE))),"")</f>
        <v/>
      </c>
      <c r="R313" s="14" t="str">
        <f>IFERROR((VLOOKUP($A313,'[1]import success seats course'!$A:AF,HLOOKUP('[1]Course Totals'!R$4,'[1]import success seats course'!$1:$2,2,FALSE),FALSE)/(VLOOKUP($A313,'[1]import graded seats course pivo'!$A:AP,HLOOKUP('[1]Course Totals'!R$4,'[1]import graded seats course pivo'!$1:$2,2,FALSE),FALSE))),"")</f>
        <v/>
      </c>
      <c r="S313" s="14" t="str">
        <f>IFERROR((VLOOKUP($A313,'[1]import success seats course'!$A:AG,HLOOKUP('[1]Course Totals'!S$4,'[1]import success seats course'!$1:$2,2,FALSE),FALSE)/(VLOOKUP($A313,'[1]import graded seats course pivo'!$A:AQ,HLOOKUP('[1]Course Totals'!S$4,'[1]import graded seats course pivo'!$1:$2,2,FALSE),FALSE))),"")</f>
        <v/>
      </c>
      <c r="Z313" s="7"/>
      <c r="AA313" s="7"/>
      <c r="AB313" s="7"/>
      <c r="AC313" s="7"/>
    </row>
    <row r="314" spans="1:29" ht="15.75" hidden="1" customHeight="1" x14ac:dyDescent="0.25">
      <c r="A314" s="12" t="s">
        <v>159</v>
      </c>
      <c r="B314" s="14" t="str">
        <f>IFERROR((VLOOKUP($A314,'[1]import success seats course'!$A:P,HLOOKUP('[1]Course Totals'!B$4,'[1]import success seats course'!$1:$2,2,FALSE),FALSE)/(VLOOKUP($A314,'[1]import graded seats course pivo'!$A:Z,HLOOKUP('[1]Course Totals'!B$4,'[1]import graded seats course pivo'!$1:$2,2,FALSE),FALSE))),"")</f>
        <v/>
      </c>
      <c r="C314" s="14" t="str">
        <f>IFERROR((VLOOKUP($A314,'[1]import success seats course'!$A:Q,HLOOKUP('[1]Course Totals'!C$4,'[1]import success seats course'!$1:$2,2,FALSE),FALSE)/(VLOOKUP($A314,'[1]import graded seats course pivo'!$A:AA,HLOOKUP('[1]Course Totals'!C$4,'[1]import graded seats course pivo'!$1:$2,2,FALSE),FALSE))),"")</f>
        <v/>
      </c>
      <c r="D314" s="14" t="str">
        <f>IFERROR((VLOOKUP($A314,'[1]import success seats course'!$A:R,HLOOKUP('[1]Course Totals'!D$4,'[1]import success seats course'!$1:$2,2,FALSE),FALSE)/(VLOOKUP($A314,'[1]import graded seats course pivo'!$A:AB,HLOOKUP('[1]Course Totals'!D$4,'[1]import graded seats course pivo'!$1:$2,2,FALSE),FALSE))),"")</f>
        <v/>
      </c>
      <c r="E314" s="14" t="str">
        <f>IFERROR((VLOOKUP($A314,'[1]import success seats course'!$A:S,HLOOKUP('[1]Course Totals'!E$4,'[1]import success seats course'!$1:$2,2,FALSE),FALSE)/(VLOOKUP($A314,'[1]import graded seats course pivo'!$A:AC,HLOOKUP('[1]Course Totals'!E$4,'[1]import graded seats course pivo'!$1:$2,2,FALSE),FALSE))),"")</f>
        <v/>
      </c>
      <c r="F314" s="14" t="str">
        <f>IFERROR((VLOOKUP($A314,'[1]import success seats course'!$A:T,HLOOKUP('[1]Course Totals'!F$4,'[1]import success seats course'!$1:$2,2,FALSE),FALSE)/(VLOOKUP($A314,'[1]import graded seats course pivo'!$A:AD,HLOOKUP('[1]Course Totals'!F$4,'[1]import graded seats course pivo'!$1:$2,2,FALSE),FALSE))),"")</f>
        <v/>
      </c>
      <c r="G314" s="14" t="str">
        <f>IFERROR((VLOOKUP($A314,'[1]import success seats course'!$A:U,HLOOKUP('[1]Course Totals'!G$4,'[1]import success seats course'!$1:$2,2,FALSE),FALSE)/(VLOOKUP($A314,'[1]import graded seats course pivo'!$A:AE,HLOOKUP('[1]Course Totals'!G$4,'[1]import graded seats course pivo'!$1:$2,2,FALSE),FALSE))),"")</f>
        <v/>
      </c>
      <c r="H314" s="14" t="str">
        <f>IFERROR((VLOOKUP($A314,'[1]import success seats course'!$A:V,HLOOKUP('[1]Course Totals'!H$4,'[1]import success seats course'!$1:$2,2,FALSE),FALSE)/(VLOOKUP($A314,'[1]import graded seats course pivo'!$A:AF,HLOOKUP('[1]Course Totals'!H$4,'[1]import graded seats course pivo'!$1:$2,2,FALSE),FALSE))),"")</f>
        <v/>
      </c>
      <c r="I314" s="14" t="str">
        <f>IFERROR((VLOOKUP($A314,'[1]import success seats course'!$A:W,HLOOKUP('[1]Course Totals'!I$4,'[1]import success seats course'!$1:$2,2,FALSE),FALSE)/(VLOOKUP($A314,'[1]import graded seats course pivo'!$A:AG,HLOOKUP('[1]Course Totals'!I$4,'[1]import graded seats course pivo'!$1:$2,2,FALSE),FALSE))),"")</f>
        <v/>
      </c>
      <c r="J314" s="14" t="str">
        <f>IFERROR((VLOOKUP($A314,'[1]import success seats course'!$A:X,HLOOKUP('[1]Course Totals'!J$4,'[1]import success seats course'!$1:$2,2,FALSE),FALSE)/(VLOOKUP($A314,'[1]import graded seats course pivo'!$A:AH,HLOOKUP('[1]Course Totals'!J$4,'[1]import graded seats course pivo'!$1:$2,2,FALSE),FALSE))),"")</f>
        <v/>
      </c>
      <c r="K314" s="14" t="str">
        <f>IFERROR((VLOOKUP($A314,'[1]import success seats course'!$A:Y,HLOOKUP('[1]Course Totals'!K$4,'[1]import success seats course'!$1:$2,2,FALSE),FALSE)/(VLOOKUP($A314,'[1]import graded seats course pivo'!$A:AI,HLOOKUP('[1]Course Totals'!K$4,'[1]import graded seats course pivo'!$1:$2,2,FALSE),FALSE))),"")</f>
        <v/>
      </c>
      <c r="L314" s="14" t="str">
        <f>IFERROR((VLOOKUP($A314,'[1]import success seats course'!$A:Z,HLOOKUP('[1]Course Totals'!L$4,'[1]import success seats course'!$1:$2,2,FALSE),FALSE)/(VLOOKUP($A314,'[1]import graded seats course pivo'!$A:AJ,HLOOKUP('[1]Course Totals'!L$4,'[1]import graded seats course pivo'!$1:$2,2,FALSE),FALSE))),"")</f>
        <v/>
      </c>
      <c r="M314" s="14" t="str">
        <f>IFERROR((VLOOKUP($A314,'[1]import success seats course'!$A:AA,HLOOKUP('[1]Course Totals'!M$4,'[1]import success seats course'!$1:$2,2,FALSE),FALSE)/(VLOOKUP($A314,'[1]import graded seats course pivo'!$A:AK,HLOOKUP('[1]Course Totals'!M$4,'[1]import graded seats course pivo'!$1:$2,2,FALSE),FALSE))),"")</f>
        <v/>
      </c>
      <c r="N314" s="14" t="str">
        <f>IFERROR((VLOOKUP($A314,'[1]import success seats course'!$A:AB,HLOOKUP('[1]Course Totals'!N$4,'[1]import success seats course'!$1:$2,2,FALSE),FALSE)/(VLOOKUP($A314,'[1]import graded seats course pivo'!$A:AL,HLOOKUP('[1]Course Totals'!N$4,'[1]import graded seats course pivo'!$1:$2,2,FALSE),FALSE))),"")</f>
        <v/>
      </c>
      <c r="O314" s="14" t="str">
        <f>IFERROR((VLOOKUP($A314,'[1]import success seats course'!$A:AC,HLOOKUP('[1]Course Totals'!O$4,'[1]import success seats course'!$1:$2,2,FALSE),FALSE)/(VLOOKUP($A314,'[1]import graded seats course pivo'!$A:AM,HLOOKUP('[1]Course Totals'!O$4,'[1]import graded seats course pivo'!$1:$2,2,FALSE),FALSE))),"")</f>
        <v/>
      </c>
      <c r="P314" s="14" t="str">
        <f>IFERROR((VLOOKUP($A314,'[1]import success seats course'!$A:AD,HLOOKUP('[1]Course Totals'!P$4,'[1]import success seats course'!$1:$2,2,FALSE),FALSE)/(VLOOKUP($A314,'[1]import graded seats course pivo'!$A:AN,HLOOKUP('[1]Course Totals'!P$4,'[1]import graded seats course pivo'!$1:$2,2,FALSE),FALSE))),"")</f>
        <v/>
      </c>
      <c r="Q314" s="14" t="str">
        <f>IFERROR((VLOOKUP($A314,'[1]import success seats course'!$A:AE,HLOOKUP('[1]Course Totals'!Q$4,'[1]import success seats course'!$1:$2,2,FALSE),FALSE)/(VLOOKUP($A314,'[1]import graded seats course pivo'!$A:AO,HLOOKUP('[1]Course Totals'!Q$4,'[1]import graded seats course pivo'!$1:$2,2,FALSE),FALSE))),"")</f>
        <v/>
      </c>
      <c r="R314" s="14" t="str">
        <f>IFERROR((VLOOKUP($A314,'[1]import success seats course'!$A:AF,HLOOKUP('[1]Course Totals'!R$4,'[1]import success seats course'!$1:$2,2,FALSE),FALSE)/(VLOOKUP($A314,'[1]import graded seats course pivo'!$A:AP,HLOOKUP('[1]Course Totals'!R$4,'[1]import graded seats course pivo'!$1:$2,2,FALSE),FALSE))),"")</f>
        <v/>
      </c>
      <c r="S314" s="14" t="str">
        <f>IFERROR((VLOOKUP($A314,'[1]import success seats course'!$A:AG,HLOOKUP('[1]Course Totals'!S$4,'[1]import success seats course'!$1:$2,2,FALSE),FALSE)/(VLOOKUP($A314,'[1]import graded seats course pivo'!$A:AQ,HLOOKUP('[1]Course Totals'!S$4,'[1]import graded seats course pivo'!$1:$2,2,FALSE),FALSE))),"")</f>
        <v/>
      </c>
      <c r="Z314" s="7"/>
      <c r="AA314" s="7"/>
      <c r="AB314" s="7"/>
      <c r="AC314" s="7"/>
    </row>
    <row r="315" spans="1:29" ht="15.75" hidden="1" customHeight="1" x14ac:dyDescent="0.25">
      <c r="A315" s="12" t="s">
        <v>971</v>
      </c>
      <c r="B315" s="14" t="str">
        <f>IFERROR((VLOOKUP($A315,'[1]import success seats course'!$A:P,HLOOKUP('[1]Course Totals'!B$4,'[1]import success seats course'!$1:$2,2,FALSE),FALSE)/(VLOOKUP($A315,'[1]import graded seats course pivo'!$A:Z,HLOOKUP('[1]Course Totals'!B$4,'[1]import graded seats course pivo'!$1:$2,2,FALSE),FALSE))),"")</f>
        <v/>
      </c>
      <c r="C315" s="14" t="str">
        <f>IFERROR((VLOOKUP($A315,'[1]import success seats course'!$A:Q,HLOOKUP('[1]Course Totals'!C$4,'[1]import success seats course'!$1:$2,2,FALSE),FALSE)/(VLOOKUP($A315,'[1]import graded seats course pivo'!$A:AA,HLOOKUP('[1]Course Totals'!C$4,'[1]import graded seats course pivo'!$1:$2,2,FALSE),FALSE))),"")</f>
        <v/>
      </c>
      <c r="D315" s="14" t="str">
        <f>IFERROR((VLOOKUP($A315,'[1]import success seats course'!$A:R,HLOOKUP('[1]Course Totals'!D$4,'[1]import success seats course'!$1:$2,2,FALSE),FALSE)/(VLOOKUP($A315,'[1]import graded seats course pivo'!$A:AB,HLOOKUP('[1]Course Totals'!D$4,'[1]import graded seats course pivo'!$1:$2,2,FALSE),FALSE))),"")</f>
        <v/>
      </c>
      <c r="E315" s="14" t="str">
        <f>IFERROR((VLOOKUP($A315,'[1]import success seats course'!$A:S,HLOOKUP('[1]Course Totals'!E$4,'[1]import success seats course'!$1:$2,2,FALSE),FALSE)/(VLOOKUP($A315,'[1]import graded seats course pivo'!$A:AC,HLOOKUP('[1]Course Totals'!E$4,'[1]import graded seats course pivo'!$1:$2,2,FALSE),FALSE))),"")</f>
        <v/>
      </c>
      <c r="F315" s="14" t="str">
        <f>IFERROR((VLOOKUP($A315,'[1]import success seats course'!$A:T,HLOOKUP('[1]Course Totals'!F$4,'[1]import success seats course'!$1:$2,2,FALSE),FALSE)/(VLOOKUP($A315,'[1]import graded seats course pivo'!$A:AD,HLOOKUP('[1]Course Totals'!F$4,'[1]import graded seats course pivo'!$1:$2,2,FALSE),FALSE))),"")</f>
        <v/>
      </c>
      <c r="G315" s="14" t="str">
        <f>IFERROR((VLOOKUP($A315,'[1]import success seats course'!$A:U,HLOOKUP('[1]Course Totals'!G$4,'[1]import success seats course'!$1:$2,2,FALSE),FALSE)/(VLOOKUP($A315,'[1]import graded seats course pivo'!$A:AE,HLOOKUP('[1]Course Totals'!G$4,'[1]import graded seats course pivo'!$1:$2,2,FALSE),FALSE))),"")</f>
        <v/>
      </c>
      <c r="H315" s="14" t="str">
        <f>IFERROR((VLOOKUP($A315,'[1]import success seats course'!$A:V,HLOOKUP('[1]Course Totals'!H$4,'[1]import success seats course'!$1:$2,2,FALSE),FALSE)/(VLOOKUP($A315,'[1]import graded seats course pivo'!$A:AF,HLOOKUP('[1]Course Totals'!H$4,'[1]import graded seats course pivo'!$1:$2,2,FALSE),FALSE))),"")</f>
        <v/>
      </c>
      <c r="I315" s="14" t="str">
        <f>IFERROR((VLOOKUP($A315,'[1]import success seats course'!$A:W,HLOOKUP('[1]Course Totals'!I$4,'[1]import success seats course'!$1:$2,2,FALSE),FALSE)/(VLOOKUP($A315,'[1]import graded seats course pivo'!$A:AG,HLOOKUP('[1]Course Totals'!I$4,'[1]import graded seats course pivo'!$1:$2,2,FALSE),FALSE))),"")</f>
        <v/>
      </c>
      <c r="J315" s="14" t="str">
        <f>IFERROR((VLOOKUP($A315,'[1]import success seats course'!$A:X,HLOOKUP('[1]Course Totals'!J$4,'[1]import success seats course'!$1:$2,2,FALSE),FALSE)/(VLOOKUP($A315,'[1]import graded seats course pivo'!$A:AH,HLOOKUP('[1]Course Totals'!J$4,'[1]import graded seats course pivo'!$1:$2,2,FALSE),FALSE))),"")</f>
        <v/>
      </c>
      <c r="K315" s="14" t="str">
        <f>IFERROR((VLOOKUP($A315,'[1]import success seats course'!$A:Y,HLOOKUP('[1]Course Totals'!K$4,'[1]import success seats course'!$1:$2,2,FALSE),FALSE)/(VLOOKUP($A315,'[1]import graded seats course pivo'!$A:AI,HLOOKUP('[1]Course Totals'!K$4,'[1]import graded seats course pivo'!$1:$2,2,FALSE),FALSE))),"")</f>
        <v/>
      </c>
      <c r="L315" s="14" t="str">
        <f>IFERROR((VLOOKUP($A315,'[1]import success seats course'!$A:Z,HLOOKUP('[1]Course Totals'!L$4,'[1]import success seats course'!$1:$2,2,FALSE),FALSE)/(VLOOKUP($A315,'[1]import graded seats course pivo'!$A:AJ,HLOOKUP('[1]Course Totals'!L$4,'[1]import graded seats course pivo'!$1:$2,2,FALSE),FALSE))),"")</f>
        <v/>
      </c>
      <c r="M315" s="14" t="str">
        <f>IFERROR((VLOOKUP($A315,'[1]import success seats course'!$A:AA,HLOOKUP('[1]Course Totals'!M$4,'[1]import success seats course'!$1:$2,2,FALSE),FALSE)/(VLOOKUP($A315,'[1]import graded seats course pivo'!$A:AK,HLOOKUP('[1]Course Totals'!M$4,'[1]import graded seats course pivo'!$1:$2,2,FALSE),FALSE))),"")</f>
        <v/>
      </c>
      <c r="N315" s="14" t="str">
        <f>IFERROR((VLOOKUP($A315,'[1]import success seats course'!$A:AB,HLOOKUP('[1]Course Totals'!N$4,'[1]import success seats course'!$1:$2,2,FALSE),FALSE)/(VLOOKUP($A315,'[1]import graded seats course pivo'!$A:AL,HLOOKUP('[1]Course Totals'!N$4,'[1]import graded seats course pivo'!$1:$2,2,FALSE),FALSE))),"")</f>
        <v/>
      </c>
      <c r="O315" s="14" t="str">
        <f>IFERROR((VLOOKUP($A315,'[1]import success seats course'!$A:AC,HLOOKUP('[1]Course Totals'!O$4,'[1]import success seats course'!$1:$2,2,FALSE),FALSE)/(VLOOKUP($A315,'[1]import graded seats course pivo'!$A:AM,HLOOKUP('[1]Course Totals'!O$4,'[1]import graded seats course pivo'!$1:$2,2,FALSE),FALSE))),"")</f>
        <v/>
      </c>
      <c r="P315" s="14" t="str">
        <f>IFERROR((VLOOKUP($A315,'[1]import success seats course'!$A:AD,HLOOKUP('[1]Course Totals'!P$4,'[1]import success seats course'!$1:$2,2,FALSE),FALSE)/(VLOOKUP($A315,'[1]import graded seats course pivo'!$A:AN,HLOOKUP('[1]Course Totals'!P$4,'[1]import graded seats course pivo'!$1:$2,2,FALSE),FALSE))),"")</f>
        <v/>
      </c>
      <c r="Q315" s="14" t="str">
        <f>IFERROR((VLOOKUP($A315,'[1]import success seats course'!$A:AE,HLOOKUP('[1]Course Totals'!Q$4,'[1]import success seats course'!$1:$2,2,FALSE),FALSE)/(VLOOKUP($A315,'[1]import graded seats course pivo'!$A:AO,HLOOKUP('[1]Course Totals'!Q$4,'[1]import graded seats course pivo'!$1:$2,2,FALSE),FALSE))),"")</f>
        <v/>
      </c>
      <c r="R315" s="14" t="str">
        <f>IFERROR((VLOOKUP($A315,'[1]import success seats course'!$A:AF,HLOOKUP('[1]Course Totals'!R$4,'[1]import success seats course'!$1:$2,2,FALSE),FALSE)/(VLOOKUP($A315,'[1]import graded seats course pivo'!$A:AP,HLOOKUP('[1]Course Totals'!R$4,'[1]import graded seats course pivo'!$1:$2,2,FALSE),FALSE))),"")</f>
        <v/>
      </c>
      <c r="S315" s="14" t="str">
        <f>IFERROR((VLOOKUP($A315,'[1]import success seats course'!$A:AG,HLOOKUP('[1]Course Totals'!S$4,'[1]import success seats course'!$1:$2,2,FALSE),FALSE)/(VLOOKUP($A315,'[1]import graded seats course pivo'!$A:AQ,HLOOKUP('[1]Course Totals'!S$4,'[1]import graded seats course pivo'!$1:$2,2,FALSE),FALSE))),"")</f>
        <v/>
      </c>
      <c r="Z315" s="7"/>
      <c r="AA315" s="7"/>
      <c r="AB315" s="7"/>
      <c r="AC315" s="7"/>
    </row>
    <row r="316" spans="1:29" ht="15.75" hidden="1" customHeight="1" x14ac:dyDescent="0.25">
      <c r="A316" s="12" t="s">
        <v>582</v>
      </c>
      <c r="B316" s="14" t="str">
        <f>IFERROR((VLOOKUP($A316,'[1]import success seats course'!$A:P,HLOOKUP('[1]Course Totals'!B$4,'[1]import success seats course'!$1:$2,2,FALSE),FALSE)/(VLOOKUP($A316,'[1]import graded seats course pivo'!$A:Z,HLOOKUP('[1]Course Totals'!B$4,'[1]import graded seats course pivo'!$1:$2,2,FALSE),FALSE))),"")</f>
        <v/>
      </c>
      <c r="C316" s="14" t="str">
        <f>IFERROR((VLOOKUP($A316,'[1]import success seats course'!$A:Q,HLOOKUP('[1]Course Totals'!C$4,'[1]import success seats course'!$1:$2,2,FALSE),FALSE)/(VLOOKUP($A316,'[1]import graded seats course pivo'!$A:AA,HLOOKUP('[1]Course Totals'!C$4,'[1]import graded seats course pivo'!$1:$2,2,FALSE),FALSE))),"")</f>
        <v/>
      </c>
      <c r="D316" s="14" t="str">
        <f>IFERROR((VLOOKUP($A316,'[1]import success seats course'!$A:R,HLOOKUP('[1]Course Totals'!D$4,'[1]import success seats course'!$1:$2,2,FALSE),FALSE)/(VLOOKUP($A316,'[1]import graded seats course pivo'!$A:AB,HLOOKUP('[1]Course Totals'!D$4,'[1]import graded seats course pivo'!$1:$2,2,FALSE),FALSE))),"")</f>
        <v/>
      </c>
      <c r="E316" s="14" t="str">
        <f>IFERROR((VLOOKUP($A316,'[1]import success seats course'!$A:S,HLOOKUP('[1]Course Totals'!E$4,'[1]import success seats course'!$1:$2,2,FALSE),FALSE)/(VLOOKUP($A316,'[1]import graded seats course pivo'!$A:AC,HLOOKUP('[1]Course Totals'!E$4,'[1]import graded seats course pivo'!$1:$2,2,FALSE),FALSE))),"")</f>
        <v/>
      </c>
      <c r="F316" s="14" t="str">
        <f>IFERROR((VLOOKUP($A316,'[1]import success seats course'!$A:T,HLOOKUP('[1]Course Totals'!F$4,'[1]import success seats course'!$1:$2,2,FALSE),FALSE)/(VLOOKUP($A316,'[1]import graded seats course pivo'!$A:AD,HLOOKUP('[1]Course Totals'!F$4,'[1]import graded seats course pivo'!$1:$2,2,FALSE),FALSE))),"")</f>
        <v/>
      </c>
      <c r="G316" s="14" t="str">
        <f>IFERROR((VLOOKUP($A316,'[1]import success seats course'!$A:U,HLOOKUP('[1]Course Totals'!G$4,'[1]import success seats course'!$1:$2,2,FALSE),FALSE)/(VLOOKUP($A316,'[1]import graded seats course pivo'!$A:AE,HLOOKUP('[1]Course Totals'!G$4,'[1]import graded seats course pivo'!$1:$2,2,FALSE),FALSE))),"")</f>
        <v/>
      </c>
      <c r="H316" s="14" t="str">
        <f>IFERROR((VLOOKUP($A316,'[1]import success seats course'!$A:V,HLOOKUP('[1]Course Totals'!H$4,'[1]import success seats course'!$1:$2,2,FALSE),FALSE)/(VLOOKUP($A316,'[1]import graded seats course pivo'!$A:AF,HLOOKUP('[1]Course Totals'!H$4,'[1]import graded seats course pivo'!$1:$2,2,FALSE),FALSE))),"")</f>
        <v/>
      </c>
      <c r="I316" s="14" t="str">
        <f>IFERROR((VLOOKUP($A316,'[1]import success seats course'!$A:W,HLOOKUP('[1]Course Totals'!I$4,'[1]import success seats course'!$1:$2,2,FALSE),FALSE)/(VLOOKUP($A316,'[1]import graded seats course pivo'!$A:AG,HLOOKUP('[1]Course Totals'!I$4,'[1]import graded seats course pivo'!$1:$2,2,FALSE),FALSE))),"")</f>
        <v/>
      </c>
      <c r="J316" s="14" t="str">
        <f>IFERROR((VLOOKUP($A316,'[1]import success seats course'!$A:X,HLOOKUP('[1]Course Totals'!J$4,'[1]import success seats course'!$1:$2,2,FALSE),FALSE)/(VLOOKUP($A316,'[1]import graded seats course pivo'!$A:AH,HLOOKUP('[1]Course Totals'!J$4,'[1]import graded seats course pivo'!$1:$2,2,FALSE),FALSE))),"")</f>
        <v/>
      </c>
      <c r="K316" s="14" t="str">
        <f>IFERROR((VLOOKUP($A316,'[1]import success seats course'!$A:Y,HLOOKUP('[1]Course Totals'!K$4,'[1]import success seats course'!$1:$2,2,FALSE),FALSE)/(VLOOKUP($A316,'[1]import graded seats course pivo'!$A:AI,HLOOKUP('[1]Course Totals'!K$4,'[1]import graded seats course pivo'!$1:$2,2,FALSE),FALSE))),"")</f>
        <v/>
      </c>
      <c r="L316" s="14" t="str">
        <f>IFERROR((VLOOKUP($A316,'[1]import success seats course'!$A:Z,HLOOKUP('[1]Course Totals'!L$4,'[1]import success seats course'!$1:$2,2,FALSE),FALSE)/(VLOOKUP($A316,'[1]import graded seats course pivo'!$A:AJ,HLOOKUP('[1]Course Totals'!L$4,'[1]import graded seats course pivo'!$1:$2,2,FALSE),FALSE))),"")</f>
        <v/>
      </c>
      <c r="M316" s="14" t="str">
        <f>IFERROR((VLOOKUP($A316,'[1]import success seats course'!$A:AA,HLOOKUP('[1]Course Totals'!M$4,'[1]import success seats course'!$1:$2,2,FALSE),FALSE)/(VLOOKUP($A316,'[1]import graded seats course pivo'!$A:AK,HLOOKUP('[1]Course Totals'!M$4,'[1]import graded seats course pivo'!$1:$2,2,FALSE),FALSE))),"")</f>
        <v/>
      </c>
      <c r="N316" s="14" t="str">
        <f>IFERROR((VLOOKUP($A316,'[1]import success seats course'!$A:AB,HLOOKUP('[1]Course Totals'!N$4,'[1]import success seats course'!$1:$2,2,FALSE),FALSE)/(VLOOKUP($A316,'[1]import graded seats course pivo'!$A:AL,HLOOKUP('[1]Course Totals'!N$4,'[1]import graded seats course pivo'!$1:$2,2,FALSE),FALSE))),"")</f>
        <v/>
      </c>
      <c r="O316" s="14" t="str">
        <f>IFERROR((VLOOKUP($A316,'[1]import success seats course'!$A:AC,HLOOKUP('[1]Course Totals'!O$4,'[1]import success seats course'!$1:$2,2,FALSE),FALSE)/(VLOOKUP($A316,'[1]import graded seats course pivo'!$A:AM,HLOOKUP('[1]Course Totals'!O$4,'[1]import graded seats course pivo'!$1:$2,2,FALSE),FALSE))),"")</f>
        <v/>
      </c>
      <c r="P316" s="14" t="str">
        <f>IFERROR((VLOOKUP($A316,'[1]import success seats course'!$A:AD,HLOOKUP('[1]Course Totals'!P$4,'[1]import success seats course'!$1:$2,2,FALSE),FALSE)/(VLOOKUP($A316,'[1]import graded seats course pivo'!$A:AN,HLOOKUP('[1]Course Totals'!P$4,'[1]import graded seats course pivo'!$1:$2,2,FALSE),FALSE))),"")</f>
        <v/>
      </c>
      <c r="Q316" s="14" t="str">
        <f>IFERROR((VLOOKUP($A316,'[1]import success seats course'!$A:AE,HLOOKUP('[1]Course Totals'!Q$4,'[1]import success seats course'!$1:$2,2,FALSE),FALSE)/(VLOOKUP($A316,'[1]import graded seats course pivo'!$A:AO,HLOOKUP('[1]Course Totals'!Q$4,'[1]import graded seats course pivo'!$1:$2,2,FALSE),FALSE))),"")</f>
        <v/>
      </c>
      <c r="R316" s="14" t="str">
        <f>IFERROR((VLOOKUP($A316,'[1]import success seats course'!$A:AF,HLOOKUP('[1]Course Totals'!R$4,'[1]import success seats course'!$1:$2,2,FALSE),FALSE)/(VLOOKUP($A316,'[1]import graded seats course pivo'!$A:AP,HLOOKUP('[1]Course Totals'!R$4,'[1]import graded seats course pivo'!$1:$2,2,FALSE),FALSE))),"")</f>
        <v/>
      </c>
      <c r="S316" s="14" t="str">
        <f>IFERROR((VLOOKUP($A316,'[1]import success seats course'!$A:AG,HLOOKUP('[1]Course Totals'!S$4,'[1]import success seats course'!$1:$2,2,FALSE),FALSE)/(VLOOKUP($A316,'[1]import graded seats course pivo'!$A:AQ,HLOOKUP('[1]Course Totals'!S$4,'[1]import graded seats course pivo'!$1:$2,2,FALSE),FALSE))),"")</f>
        <v/>
      </c>
      <c r="Z316" s="7"/>
      <c r="AA316" s="7"/>
      <c r="AB316" s="7"/>
      <c r="AC316" s="7"/>
    </row>
    <row r="317" spans="1:29" ht="15.75" customHeight="1" x14ac:dyDescent="0.25">
      <c r="A317" s="12" t="s">
        <v>160</v>
      </c>
      <c r="B317" s="14" t="str">
        <f>IFERROR((VLOOKUP($A317,'[1]import success seats course'!$A:P,HLOOKUP('[1]Course Totals'!B$4,'[1]import success seats course'!$1:$2,2,FALSE),FALSE)/(VLOOKUP($A317,'[1]import graded seats course pivo'!$A:Z,HLOOKUP('[1]Course Totals'!B$4,'[1]import graded seats course pivo'!$1:$2,2,FALSE),FALSE))),"")</f>
        <v/>
      </c>
      <c r="C317" s="14">
        <f>IFERROR((VLOOKUP($A317,'[1]import success seats course'!$A:Q,HLOOKUP('[1]Course Totals'!C$4,'[1]import success seats course'!$1:$2,2,FALSE),FALSE)/(VLOOKUP($A317,'[1]import graded seats course pivo'!$A:AA,HLOOKUP('[1]Course Totals'!C$4,'[1]import graded seats course pivo'!$1:$2,2,FALSE),FALSE))),"")</f>
        <v>1</v>
      </c>
      <c r="D317" s="14" t="str">
        <f>IFERROR((VLOOKUP($A317,'[1]import success seats course'!$A:R,HLOOKUP('[1]Course Totals'!D$4,'[1]import success seats course'!$1:$2,2,FALSE),FALSE)/(VLOOKUP($A317,'[1]import graded seats course pivo'!$A:AB,HLOOKUP('[1]Course Totals'!D$4,'[1]import graded seats course pivo'!$1:$2,2,FALSE),FALSE))),"")</f>
        <v/>
      </c>
      <c r="E317" s="14" t="str">
        <f>IFERROR((VLOOKUP($A317,'[1]import success seats course'!$A:S,HLOOKUP('[1]Course Totals'!E$4,'[1]import success seats course'!$1:$2,2,FALSE),FALSE)/(VLOOKUP($A317,'[1]import graded seats course pivo'!$A:AC,HLOOKUP('[1]Course Totals'!E$4,'[1]import graded seats course pivo'!$1:$2,2,FALSE),FALSE))),"")</f>
        <v/>
      </c>
      <c r="F317" s="14" t="str">
        <f>IFERROR((VLOOKUP($A317,'[1]import success seats course'!$A:T,HLOOKUP('[1]Course Totals'!F$4,'[1]import success seats course'!$1:$2,2,FALSE),FALSE)/(VLOOKUP($A317,'[1]import graded seats course pivo'!$A:AD,HLOOKUP('[1]Course Totals'!F$4,'[1]import graded seats course pivo'!$1:$2,2,FALSE),FALSE))),"")</f>
        <v/>
      </c>
      <c r="G317" s="14" t="str">
        <f>IFERROR((VLOOKUP($A317,'[1]import success seats course'!$A:U,HLOOKUP('[1]Course Totals'!G$4,'[1]import success seats course'!$1:$2,2,FALSE),FALSE)/(VLOOKUP($A317,'[1]import graded seats course pivo'!$A:AE,HLOOKUP('[1]Course Totals'!G$4,'[1]import graded seats course pivo'!$1:$2,2,FALSE),FALSE))),"")</f>
        <v/>
      </c>
      <c r="H317" s="14" t="str">
        <f>IFERROR((VLOOKUP($A317,'[1]import success seats course'!$A:V,HLOOKUP('[1]Course Totals'!H$4,'[1]import success seats course'!$1:$2,2,FALSE),FALSE)/(VLOOKUP($A317,'[1]import graded seats course pivo'!$A:AF,HLOOKUP('[1]Course Totals'!H$4,'[1]import graded seats course pivo'!$1:$2,2,FALSE),FALSE))),"")</f>
        <v/>
      </c>
      <c r="I317" s="14" t="str">
        <f>IFERROR((VLOOKUP($A317,'[1]import success seats course'!$A:W,HLOOKUP('[1]Course Totals'!I$4,'[1]import success seats course'!$1:$2,2,FALSE),FALSE)/(VLOOKUP($A317,'[1]import graded seats course pivo'!$A:AG,HLOOKUP('[1]Course Totals'!I$4,'[1]import graded seats course pivo'!$1:$2,2,FALSE),FALSE))),"")</f>
        <v/>
      </c>
      <c r="J317" s="14" t="str">
        <f>IFERROR((VLOOKUP($A317,'[1]import success seats course'!$A:X,HLOOKUP('[1]Course Totals'!J$4,'[1]import success seats course'!$1:$2,2,FALSE),FALSE)/(VLOOKUP($A317,'[1]import graded seats course pivo'!$A:AH,HLOOKUP('[1]Course Totals'!J$4,'[1]import graded seats course pivo'!$1:$2,2,FALSE),FALSE))),"")</f>
        <v/>
      </c>
      <c r="K317" s="14" t="str">
        <f>IFERROR((VLOOKUP($A317,'[1]import success seats course'!$A:Y,HLOOKUP('[1]Course Totals'!K$4,'[1]import success seats course'!$1:$2,2,FALSE),FALSE)/(VLOOKUP($A317,'[1]import graded seats course pivo'!$A:AI,HLOOKUP('[1]Course Totals'!K$4,'[1]import graded seats course pivo'!$1:$2,2,FALSE),FALSE))),"")</f>
        <v/>
      </c>
      <c r="L317" s="14" t="str">
        <f>IFERROR((VLOOKUP($A317,'[1]import success seats course'!$A:Z,HLOOKUP('[1]Course Totals'!L$4,'[1]import success seats course'!$1:$2,2,FALSE),FALSE)/(VLOOKUP($A317,'[1]import graded seats course pivo'!$A:AJ,HLOOKUP('[1]Course Totals'!L$4,'[1]import graded seats course pivo'!$1:$2,2,FALSE),FALSE))),"")</f>
        <v/>
      </c>
      <c r="M317" s="14" t="str">
        <f>IFERROR((VLOOKUP($A317,'[1]import success seats course'!$A:AA,HLOOKUP('[1]Course Totals'!M$4,'[1]import success seats course'!$1:$2,2,FALSE),FALSE)/(VLOOKUP($A317,'[1]import graded seats course pivo'!$A:AK,HLOOKUP('[1]Course Totals'!M$4,'[1]import graded seats course pivo'!$1:$2,2,FALSE),FALSE))),"")</f>
        <v/>
      </c>
      <c r="N317" s="14" t="str">
        <f>IFERROR((VLOOKUP($A317,'[1]import success seats course'!$A:AB,HLOOKUP('[1]Course Totals'!N$4,'[1]import success seats course'!$1:$2,2,FALSE),FALSE)/(VLOOKUP($A317,'[1]import graded seats course pivo'!$A:AL,HLOOKUP('[1]Course Totals'!N$4,'[1]import graded seats course pivo'!$1:$2,2,FALSE),FALSE))),"")</f>
        <v/>
      </c>
      <c r="O317" s="14" t="str">
        <f>IFERROR((VLOOKUP($A317,'[1]import success seats course'!$A:AC,HLOOKUP('[1]Course Totals'!O$4,'[1]import success seats course'!$1:$2,2,FALSE),FALSE)/(VLOOKUP($A317,'[1]import graded seats course pivo'!$A:AM,HLOOKUP('[1]Course Totals'!O$4,'[1]import graded seats course pivo'!$1:$2,2,FALSE),FALSE))),"")</f>
        <v/>
      </c>
      <c r="P317" s="14" t="str">
        <f>IFERROR((VLOOKUP($A317,'[1]import success seats course'!$A:AD,HLOOKUP('[1]Course Totals'!P$4,'[1]import success seats course'!$1:$2,2,FALSE),FALSE)/(VLOOKUP($A317,'[1]import graded seats course pivo'!$A:AN,HLOOKUP('[1]Course Totals'!P$4,'[1]import graded seats course pivo'!$1:$2,2,FALSE),FALSE))),"")</f>
        <v/>
      </c>
      <c r="Q317" s="14" t="str">
        <f>IFERROR((VLOOKUP($A317,'[1]import success seats course'!$A:AE,HLOOKUP('[1]Course Totals'!Q$4,'[1]import success seats course'!$1:$2,2,FALSE),FALSE)/(VLOOKUP($A317,'[1]import graded seats course pivo'!$A:AO,HLOOKUP('[1]Course Totals'!Q$4,'[1]import graded seats course pivo'!$1:$2,2,FALSE),FALSE))),"")</f>
        <v/>
      </c>
      <c r="R317" s="14" t="str">
        <f>IFERROR((VLOOKUP($A317,'[1]import success seats course'!$A:AF,HLOOKUP('[1]Course Totals'!R$4,'[1]import success seats course'!$1:$2,2,FALSE),FALSE)/(VLOOKUP($A317,'[1]import graded seats course pivo'!$A:AP,HLOOKUP('[1]Course Totals'!R$4,'[1]import graded seats course pivo'!$1:$2,2,FALSE),FALSE))),"")</f>
        <v/>
      </c>
      <c r="S317" s="14" t="str">
        <f>IFERROR((VLOOKUP($A317,'[1]import success seats course'!$A:AG,HLOOKUP('[1]Course Totals'!S$4,'[1]import success seats course'!$1:$2,2,FALSE),FALSE)/(VLOOKUP($A317,'[1]import graded seats course pivo'!$A:AQ,HLOOKUP('[1]Course Totals'!S$4,'[1]import graded seats course pivo'!$1:$2,2,FALSE),FALSE))),"")</f>
        <v/>
      </c>
      <c r="Z317" s="7"/>
      <c r="AA317" s="7"/>
      <c r="AB317" s="7"/>
      <c r="AC317" s="7"/>
    </row>
    <row r="318" spans="1:29" ht="15.75" customHeight="1" x14ac:dyDescent="0.25">
      <c r="A318" s="12" t="s">
        <v>161</v>
      </c>
      <c r="B318" s="14" t="str">
        <f>IFERROR((VLOOKUP($A318,'[1]import success seats course'!$A:P,HLOOKUP('[1]Course Totals'!B$4,'[1]import success seats course'!$1:$2,2,FALSE),FALSE)/(VLOOKUP($A318,'[1]import graded seats course pivo'!$A:Z,HLOOKUP('[1]Course Totals'!B$4,'[1]import graded seats course pivo'!$1:$2,2,FALSE),FALSE))),"")</f>
        <v/>
      </c>
      <c r="C318" s="14">
        <f>IFERROR((VLOOKUP($A318,'[1]import success seats course'!$A:Q,HLOOKUP('[1]Course Totals'!C$4,'[1]import success seats course'!$1:$2,2,FALSE),FALSE)/(VLOOKUP($A318,'[1]import graded seats course pivo'!$A:AA,HLOOKUP('[1]Course Totals'!C$4,'[1]import graded seats course pivo'!$1:$2,2,FALSE),FALSE))),"")</f>
        <v>1</v>
      </c>
      <c r="D318" s="14" t="str">
        <f>IFERROR((VLOOKUP($A318,'[1]import success seats course'!$A:R,HLOOKUP('[1]Course Totals'!D$4,'[1]import success seats course'!$1:$2,2,FALSE),FALSE)/(VLOOKUP($A318,'[1]import graded seats course pivo'!$A:AB,HLOOKUP('[1]Course Totals'!D$4,'[1]import graded seats course pivo'!$1:$2,2,FALSE),FALSE))),"")</f>
        <v/>
      </c>
      <c r="E318" s="14" t="str">
        <f>IFERROR((VLOOKUP($A318,'[1]import success seats course'!$A:S,HLOOKUP('[1]Course Totals'!E$4,'[1]import success seats course'!$1:$2,2,FALSE),FALSE)/(VLOOKUP($A318,'[1]import graded seats course pivo'!$A:AC,HLOOKUP('[1]Course Totals'!E$4,'[1]import graded seats course pivo'!$1:$2,2,FALSE),FALSE))),"")</f>
        <v/>
      </c>
      <c r="F318" s="14" t="str">
        <f>IFERROR((VLOOKUP($A318,'[1]import success seats course'!$A:T,HLOOKUP('[1]Course Totals'!F$4,'[1]import success seats course'!$1:$2,2,FALSE),FALSE)/(VLOOKUP($A318,'[1]import graded seats course pivo'!$A:AD,HLOOKUP('[1]Course Totals'!F$4,'[1]import graded seats course pivo'!$1:$2,2,FALSE),FALSE))),"")</f>
        <v/>
      </c>
      <c r="G318" s="14" t="str">
        <f>IFERROR((VLOOKUP($A318,'[1]import success seats course'!$A:U,HLOOKUP('[1]Course Totals'!G$4,'[1]import success seats course'!$1:$2,2,FALSE),FALSE)/(VLOOKUP($A318,'[1]import graded seats course pivo'!$A:AE,HLOOKUP('[1]Course Totals'!G$4,'[1]import graded seats course pivo'!$1:$2,2,FALSE),FALSE))),"")</f>
        <v/>
      </c>
      <c r="H318" s="14" t="str">
        <f>IFERROR((VLOOKUP($A318,'[1]import success seats course'!$A:V,HLOOKUP('[1]Course Totals'!H$4,'[1]import success seats course'!$1:$2,2,FALSE),FALSE)/(VLOOKUP($A318,'[1]import graded seats course pivo'!$A:AF,HLOOKUP('[1]Course Totals'!H$4,'[1]import graded seats course pivo'!$1:$2,2,FALSE),FALSE))),"")</f>
        <v/>
      </c>
      <c r="I318" s="14" t="str">
        <f>IFERROR((VLOOKUP($A318,'[1]import success seats course'!$A:W,HLOOKUP('[1]Course Totals'!I$4,'[1]import success seats course'!$1:$2,2,FALSE),FALSE)/(VLOOKUP($A318,'[1]import graded seats course pivo'!$A:AG,HLOOKUP('[1]Course Totals'!I$4,'[1]import graded seats course pivo'!$1:$2,2,FALSE),FALSE))),"")</f>
        <v/>
      </c>
      <c r="J318" s="14" t="str">
        <f>IFERROR((VLOOKUP($A318,'[1]import success seats course'!$A:X,HLOOKUP('[1]Course Totals'!J$4,'[1]import success seats course'!$1:$2,2,FALSE),FALSE)/(VLOOKUP($A318,'[1]import graded seats course pivo'!$A:AH,HLOOKUP('[1]Course Totals'!J$4,'[1]import graded seats course pivo'!$1:$2,2,FALSE),FALSE))),"")</f>
        <v/>
      </c>
      <c r="K318" s="14" t="str">
        <f>IFERROR((VLOOKUP($A318,'[1]import success seats course'!$A:Y,HLOOKUP('[1]Course Totals'!K$4,'[1]import success seats course'!$1:$2,2,FALSE),FALSE)/(VLOOKUP($A318,'[1]import graded seats course pivo'!$A:AI,HLOOKUP('[1]Course Totals'!K$4,'[1]import graded seats course pivo'!$1:$2,2,FALSE),FALSE))),"")</f>
        <v/>
      </c>
      <c r="L318" s="14" t="str">
        <f>IFERROR((VLOOKUP($A318,'[1]import success seats course'!$A:Z,HLOOKUP('[1]Course Totals'!L$4,'[1]import success seats course'!$1:$2,2,FALSE),FALSE)/(VLOOKUP($A318,'[1]import graded seats course pivo'!$A:AJ,HLOOKUP('[1]Course Totals'!L$4,'[1]import graded seats course pivo'!$1:$2,2,FALSE),FALSE))),"")</f>
        <v/>
      </c>
      <c r="M318" s="14" t="str">
        <f>IFERROR((VLOOKUP($A318,'[1]import success seats course'!$A:AA,HLOOKUP('[1]Course Totals'!M$4,'[1]import success seats course'!$1:$2,2,FALSE),FALSE)/(VLOOKUP($A318,'[1]import graded seats course pivo'!$A:AK,HLOOKUP('[1]Course Totals'!M$4,'[1]import graded seats course pivo'!$1:$2,2,FALSE),FALSE))),"")</f>
        <v/>
      </c>
      <c r="N318" s="14" t="str">
        <f>IFERROR((VLOOKUP($A318,'[1]import success seats course'!$A:AB,HLOOKUP('[1]Course Totals'!N$4,'[1]import success seats course'!$1:$2,2,FALSE),FALSE)/(VLOOKUP($A318,'[1]import graded seats course pivo'!$A:AL,HLOOKUP('[1]Course Totals'!N$4,'[1]import graded seats course pivo'!$1:$2,2,FALSE),FALSE))),"")</f>
        <v/>
      </c>
      <c r="O318" s="14" t="str">
        <f>IFERROR((VLOOKUP($A318,'[1]import success seats course'!$A:AC,HLOOKUP('[1]Course Totals'!O$4,'[1]import success seats course'!$1:$2,2,FALSE),FALSE)/(VLOOKUP($A318,'[1]import graded seats course pivo'!$A:AM,HLOOKUP('[1]Course Totals'!O$4,'[1]import graded seats course pivo'!$1:$2,2,FALSE),FALSE))),"")</f>
        <v/>
      </c>
      <c r="P318" s="14" t="str">
        <f>IFERROR((VLOOKUP($A318,'[1]import success seats course'!$A:AD,HLOOKUP('[1]Course Totals'!P$4,'[1]import success seats course'!$1:$2,2,FALSE),FALSE)/(VLOOKUP($A318,'[1]import graded seats course pivo'!$A:AN,HLOOKUP('[1]Course Totals'!P$4,'[1]import graded seats course pivo'!$1:$2,2,FALSE),FALSE))),"")</f>
        <v/>
      </c>
      <c r="Q318" s="14" t="str">
        <f>IFERROR((VLOOKUP($A318,'[1]import success seats course'!$A:AE,HLOOKUP('[1]Course Totals'!Q$4,'[1]import success seats course'!$1:$2,2,FALSE),FALSE)/(VLOOKUP($A318,'[1]import graded seats course pivo'!$A:AO,HLOOKUP('[1]Course Totals'!Q$4,'[1]import graded seats course pivo'!$1:$2,2,FALSE),FALSE))),"")</f>
        <v/>
      </c>
      <c r="R318" s="14" t="str">
        <f>IFERROR((VLOOKUP($A318,'[1]import success seats course'!$A:AF,HLOOKUP('[1]Course Totals'!R$4,'[1]import success seats course'!$1:$2,2,FALSE),FALSE)/(VLOOKUP($A318,'[1]import graded seats course pivo'!$A:AP,HLOOKUP('[1]Course Totals'!R$4,'[1]import graded seats course pivo'!$1:$2,2,FALSE),FALSE))),"")</f>
        <v/>
      </c>
      <c r="S318" s="14" t="str">
        <f>IFERROR((VLOOKUP($A318,'[1]import success seats course'!$A:AG,HLOOKUP('[1]Course Totals'!S$4,'[1]import success seats course'!$1:$2,2,FALSE),FALSE)/(VLOOKUP($A318,'[1]import graded seats course pivo'!$A:AQ,HLOOKUP('[1]Course Totals'!S$4,'[1]import graded seats course pivo'!$1:$2,2,FALSE),FALSE))),"")</f>
        <v/>
      </c>
      <c r="Z318" s="7"/>
      <c r="AA318" s="7"/>
      <c r="AB318" s="7"/>
      <c r="AC318" s="7"/>
    </row>
    <row r="319" spans="1:29" ht="15.75" customHeight="1" x14ac:dyDescent="0.25">
      <c r="A319" s="12" t="s">
        <v>583</v>
      </c>
      <c r="B319" s="14" t="str">
        <f>IFERROR((VLOOKUP($A319,'[1]import success seats course'!$A:P,HLOOKUP('[1]Course Totals'!B$4,'[1]import success seats course'!$1:$2,2,FALSE),FALSE)/(VLOOKUP($A319,'[1]import graded seats course pivo'!$A:Z,HLOOKUP('[1]Course Totals'!B$4,'[1]import graded seats course pivo'!$1:$2,2,FALSE),FALSE))),"")</f>
        <v/>
      </c>
      <c r="C319" s="14" t="str">
        <f>IFERROR((VLOOKUP($A319,'[1]import success seats course'!$A:Q,HLOOKUP('[1]Course Totals'!C$4,'[1]import success seats course'!$1:$2,2,FALSE),FALSE)/(VLOOKUP($A319,'[1]import graded seats course pivo'!$A:AA,HLOOKUP('[1]Course Totals'!C$4,'[1]import graded seats course pivo'!$1:$2,2,FALSE),FALSE))),"")</f>
        <v/>
      </c>
      <c r="D319" s="14" t="str">
        <f>IFERROR((VLOOKUP($A319,'[1]import success seats course'!$A:R,HLOOKUP('[1]Course Totals'!D$4,'[1]import success seats course'!$1:$2,2,FALSE),FALSE)/(VLOOKUP($A319,'[1]import graded seats course pivo'!$A:AB,HLOOKUP('[1]Course Totals'!D$4,'[1]import graded seats course pivo'!$1:$2,2,FALSE),FALSE))),"")</f>
        <v/>
      </c>
      <c r="E319" s="14" t="str">
        <f>IFERROR((VLOOKUP($A319,'[1]import success seats course'!$A:S,HLOOKUP('[1]Course Totals'!E$4,'[1]import success seats course'!$1:$2,2,FALSE),FALSE)/(VLOOKUP($A319,'[1]import graded seats course pivo'!$A:AC,HLOOKUP('[1]Course Totals'!E$4,'[1]import graded seats course pivo'!$1:$2,2,FALSE),FALSE))),"")</f>
        <v/>
      </c>
      <c r="F319" s="14">
        <f>IFERROR((VLOOKUP($A319,'[1]import success seats course'!$A:T,HLOOKUP('[1]Course Totals'!F$4,'[1]import success seats course'!$1:$2,2,FALSE),FALSE)/(VLOOKUP($A319,'[1]import graded seats course pivo'!$A:AD,HLOOKUP('[1]Course Totals'!F$4,'[1]import graded seats course pivo'!$1:$2,2,FALSE),FALSE))),"")</f>
        <v>1</v>
      </c>
      <c r="G319" s="14" t="str">
        <f>IFERROR((VLOOKUP($A319,'[1]import success seats course'!$A:U,HLOOKUP('[1]Course Totals'!G$4,'[1]import success seats course'!$1:$2,2,FALSE),FALSE)/(VLOOKUP($A319,'[1]import graded seats course pivo'!$A:AE,HLOOKUP('[1]Course Totals'!G$4,'[1]import graded seats course pivo'!$1:$2,2,FALSE),FALSE))),"")</f>
        <v/>
      </c>
      <c r="H319" s="14" t="str">
        <f>IFERROR((VLOOKUP($A319,'[1]import success seats course'!$A:V,HLOOKUP('[1]Course Totals'!H$4,'[1]import success seats course'!$1:$2,2,FALSE),FALSE)/(VLOOKUP($A319,'[1]import graded seats course pivo'!$A:AF,HLOOKUP('[1]Course Totals'!H$4,'[1]import graded seats course pivo'!$1:$2,2,FALSE),FALSE))),"")</f>
        <v/>
      </c>
      <c r="I319" s="14" t="str">
        <f>IFERROR((VLOOKUP($A319,'[1]import success seats course'!$A:W,HLOOKUP('[1]Course Totals'!I$4,'[1]import success seats course'!$1:$2,2,FALSE),FALSE)/(VLOOKUP($A319,'[1]import graded seats course pivo'!$A:AG,HLOOKUP('[1]Course Totals'!I$4,'[1]import graded seats course pivo'!$1:$2,2,FALSE),FALSE))),"")</f>
        <v/>
      </c>
      <c r="J319" s="14" t="str">
        <f>IFERROR((VLOOKUP($A319,'[1]import success seats course'!$A:X,HLOOKUP('[1]Course Totals'!J$4,'[1]import success seats course'!$1:$2,2,FALSE),FALSE)/(VLOOKUP($A319,'[1]import graded seats course pivo'!$A:AH,HLOOKUP('[1]Course Totals'!J$4,'[1]import graded seats course pivo'!$1:$2,2,FALSE),FALSE))),"")</f>
        <v/>
      </c>
      <c r="K319" s="14" t="str">
        <f>IFERROR((VLOOKUP($A319,'[1]import success seats course'!$A:Y,HLOOKUP('[1]Course Totals'!K$4,'[1]import success seats course'!$1:$2,2,FALSE),FALSE)/(VLOOKUP($A319,'[1]import graded seats course pivo'!$A:AI,HLOOKUP('[1]Course Totals'!K$4,'[1]import graded seats course pivo'!$1:$2,2,FALSE),FALSE))),"")</f>
        <v/>
      </c>
      <c r="L319" s="14" t="str">
        <f>IFERROR((VLOOKUP($A319,'[1]import success seats course'!$A:Z,HLOOKUP('[1]Course Totals'!L$4,'[1]import success seats course'!$1:$2,2,FALSE),FALSE)/(VLOOKUP($A319,'[1]import graded seats course pivo'!$A:AJ,HLOOKUP('[1]Course Totals'!L$4,'[1]import graded seats course pivo'!$1:$2,2,FALSE),FALSE))),"")</f>
        <v/>
      </c>
      <c r="M319" s="14" t="str">
        <f>IFERROR((VLOOKUP($A319,'[1]import success seats course'!$A:AA,HLOOKUP('[1]Course Totals'!M$4,'[1]import success seats course'!$1:$2,2,FALSE),FALSE)/(VLOOKUP($A319,'[1]import graded seats course pivo'!$A:AK,HLOOKUP('[1]Course Totals'!M$4,'[1]import graded seats course pivo'!$1:$2,2,FALSE),FALSE))),"")</f>
        <v/>
      </c>
      <c r="N319" s="14" t="str">
        <f>IFERROR((VLOOKUP($A319,'[1]import success seats course'!$A:AB,HLOOKUP('[1]Course Totals'!N$4,'[1]import success seats course'!$1:$2,2,FALSE),FALSE)/(VLOOKUP($A319,'[1]import graded seats course pivo'!$A:AL,HLOOKUP('[1]Course Totals'!N$4,'[1]import graded seats course pivo'!$1:$2,2,FALSE),FALSE))),"")</f>
        <v/>
      </c>
      <c r="O319" s="14" t="str">
        <f>IFERROR((VLOOKUP($A319,'[1]import success seats course'!$A:AC,HLOOKUP('[1]Course Totals'!O$4,'[1]import success seats course'!$1:$2,2,FALSE),FALSE)/(VLOOKUP($A319,'[1]import graded seats course pivo'!$A:AM,HLOOKUP('[1]Course Totals'!O$4,'[1]import graded seats course pivo'!$1:$2,2,FALSE),FALSE))),"")</f>
        <v/>
      </c>
      <c r="P319" s="14" t="str">
        <f>IFERROR((VLOOKUP($A319,'[1]import success seats course'!$A:AD,HLOOKUP('[1]Course Totals'!P$4,'[1]import success seats course'!$1:$2,2,FALSE),FALSE)/(VLOOKUP($A319,'[1]import graded seats course pivo'!$A:AN,HLOOKUP('[1]Course Totals'!P$4,'[1]import graded seats course pivo'!$1:$2,2,FALSE),FALSE))),"")</f>
        <v/>
      </c>
      <c r="Q319" s="14" t="str">
        <f>IFERROR((VLOOKUP($A319,'[1]import success seats course'!$A:AE,HLOOKUP('[1]Course Totals'!Q$4,'[1]import success seats course'!$1:$2,2,FALSE),FALSE)/(VLOOKUP($A319,'[1]import graded seats course pivo'!$A:AO,HLOOKUP('[1]Course Totals'!Q$4,'[1]import graded seats course pivo'!$1:$2,2,FALSE),FALSE))),"")</f>
        <v/>
      </c>
      <c r="R319" s="14" t="str">
        <f>IFERROR((VLOOKUP($A319,'[1]import success seats course'!$A:AF,HLOOKUP('[1]Course Totals'!R$4,'[1]import success seats course'!$1:$2,2,FALSE),FALSE)/(VLOOKUP($A319,'[1]import graded seats course pivo'!$A:AP,HLOOKUP('[1]Course Totals'!R$4,'[1]import graded seats course pivo'!$1:$2,2,FALSE),FALSE))),"")</f>
        <v/>
      </c>
      <c r="S319" s="14" t="str">
        <f>IFERROR((VLOOKUP($A319,'[1]import success seats course'!$A:AG,HLOOKUP('[1]Course Totals'!S$4,'[1]import success seats course'!$1:$2,2,FALSE),FALSE)/(VLOOKUP($A319,'[1]import graded seats course pivo'!$A:AQ,HLOOKUP('[1]Course Totals'!S$4,'[1]import graded seats course pivo'!$1:$2,2,FALSE),FALSE))),"")</f>
        <v/>
      </c>
      <c r="Z319" s="7"/>
      <c r="AA319" s="7"/>
      <c r="AB319" s="7"/>
      <c r="AC319" s="7"/>
    </row>
    <row r="320" spans="1:29" ht="15.75" customHeight="1" x14ac:dyDescent="0.25">
      <c r="A320" s="12" t="s">
        <v>887</v>
      </c>
      <c r="B320" s="14" t="str">
        <f>IFERROR((VLOOKUP($A320,'[1]import success seats course'!$A:P,HLOOKUP('[1]Course Totals'!B$4,'[1]import success seats course'!$1:$2,2,FALSE),FALSE)/(VLOOKUP($A320,'[1]import graded seats course pivo'!$A:Z,HLOOKUP('[1]Course Totals'!B$4,'[1]import graded seats course pivo'!$1:$2,2,FALSE),FALSE))),"")</f>
        <v/>
      </c>
      <c r="C320" s="14" t="str">
        <f>IFERROR((VLOOKUP($A320,'[1]import success seats course'!$A:Q,HLOOKUP('[1]Course Totals'!C$4,'[1]import success seats course'!$1:$2,2,FALSE),FALSE)/(VLOOKUP($A320,'[1]import graded seats course pivo'!$A:AA,HLOOKUP('[1]Course Totals'!C$4,'[1]import graded seats course pivo'!$1:$2,2,FALSE),FALSE))),"")</f>
        <v/>
      </c>
      <c r="D320" s="14">
        <f>IFERROR((VLOOKUP($A320,'[1]import success seats course'!$A:R,HLOOKUP('[1]Course Totals'!D$4,'[1]import success seats course'!$1:$2,2,FALSE),FALSE)/(VLOOKUP($A320,'[1]import graded seats course pivo'!$A:AB,HLOOKUP('[1]Course Totals'!D$4,'[1]import graded seats course pivo'!$1:$2,2,FALSE),FALSE))),"")</f>
        <v>1</v>
      </c>
      <c r="E320" s="14" t="str">
        <f>IFERROR((VLOOKUP($A320,'[1]import success seats course'!$A:S,HLOOKUP('[1]Course Totals'!E$4,'[1]import success seats course'!$1:$2,2,FALSE),FALSE)/(VLOOKUP($A320,'[1]import graded seats course pivo'!$A:AC,HLOOKUP('[1]Course Totals'!E$4,'[1]import graded seats course pivo'!$1:$2,2,FALSE),FALSE))),"")</f>
        <v/>
      </c>
      <c r="F320" s="14" t="str">
        <f>IFERROR((VLOOKUP($A320,'[1]import success seats course'!$A:T,HLOOKUP('[1]Course Totals'!F$4,'[1]import success seats course'!$1:$2,2,FALSE),FALSE)/(VLOOKUP($A320,'[1]import graded seats course pivo'!$A:AD,HLOOKUP('[1]Course Totals'!F$4,'[1]import graded seats course pivo'!$1:$2,2,FALSE),FALSE))),"")</f>
        <v/>
      </c>
      <c r="G320" s="14" t="str">
        <f>IFERROR((VLOOKUP($A320,'[1]import success seats course'!$A:U,HLOOKUP('[1]Course Totals'!G$4,'[1]import success seats course'!$1:$2,2,FALSE),FALSE)/(VLOOKUP($A320,'[1]import graded seats course pivo'!$A:AE,HLOOKUP('[1]Course Totals'!G$4,'[1]import graded seats course pivo'!$1:$2,2,FALSE),FALSE))),"")</f>
        <v/>
      </c>
      <c r="H320" s="14" t="str">
        <f>IFERROR((VLOOKUP($A320,'[1]import success seats course'!$A:V,HLOOKUP('[1]Course Totals'!H$4,'[1]import success seats course'!$1:$2,2,FALSE),FALSE)/(VLOOKUP($A320,'[1]import graded seats course pivo'!$A:AF,HLOOKUP('[1]Course Totals'!H$4,'[1]import graded seats course pivo'!$1:$2,2,FALSE),FALSE))),"")</f>
        <v/>
      </c>
      <c r="I320" s="14" t="str">
        <f>IFERROR((VLOOKUP($A320,'[1]import success seats course'!$A:W,HLOOKUP('[1]Course Totals'!I$4,'[1]import success seats course'!$1:$2,2,FALSE),FALSE)/(VLOOKUP($A320,'[1]import graded seats course pivo'!$A:AG,HLOOKUP('[1]Course Totals'!I$4,'[1]import graded seats course pivo'!$1:$2,2,FALSE),FALSE))),"")</f>
        <v/>
      </c>
      <c r="J320" s="14" t="str">
        <f>IFERROR((VLOOKUP($A320,'[1]import success seats course'!$A:X,HLOOKUP('[1]Course Totals'!J$4,'[1]import success seats course'!$1:$2,2,FALSE),FALSE)/(VLOOKUP($A320,'[1]import graded seats course pivo'!$A:AH,HLOOKUP('[1]Course Totals'!J$4,'[1]import graded seats course pivo'!$1:$2,2,FALSE),FALSE))),"")</f>
        <v/>
      </c>
      <c r="K320" s="14" t="str">
        <f>IFERROR((VLOOKUP($A320,'[1]import success seats course'!$A:Y,HLOOKUP('[1]Course Totals'!K$4,'[1]import success seats course'!$1:$2,2,FALSE),FALSE)/(VLOOKUP($A320,'[1]import graded seats course pivo'!$A:AI,HLOOKUP('[1]Course Totals'!K$4,'[1]import graded seats course pivo'!$1:$2,2,FALSE),FALSE))),"")</f>
        <v/>
      </c>
      <c r="L320" s="14" t="str">
        <f>IFERROR((VLOOKUP($A320,'[1]import success seats course'!$A:Z,HLOOKUP('[1]Course Totals'!L$4,'[1]import success seats course'!$1:$2,2,FALSE),FALSE)/(VLOOKUP($A320,'[1]import graded seats course pivo'!$A:AJ,HLOOKUP('[1]Course Totals'!L$4,'[1]import graded seats course pivo'!$1:$2,2,FALSE),FALSE))),"")</f>
        <v/>
      </c>
      <c r="M320" s="14" t="str">
        <f>IFERROR((VLOOKUP($A320,'[1]import success seats course'!$A:AA,HLOOKUP('[1]Course Totals'!M$4,'[1]import success seats course'!$1:$2,2,FALSE),FALSE)/(VLOOKUP($A320,'[1]import graded seats course pivo'!$A:AK,HLOOKUP('[1]Course Totals'!M$4,'[1]import graded seats course pivo'!$1:$2,2,FALSE),FALSE))),"")</f>
        <v/>
      </c>
      <c r="N320" s="14" t="str">
        <f>IFERROR((VLOOKUP($A320,'[1]import success seats course'!$A:AB,HLOOKUP('[1]Course Totals'!N$4,'[1]import success seats course'!$1:$2,2,FALSE),FALSE)/(VLOOKUP($A320,'[1]import graded seats course pivo'!$A:AL,HLOOKUP('[1]Course Totals'!N$4,'[1]import graded seats course pivo'!$1:$2,2,FALSE),FALSE))),"")</f>
        <v/>
      </c>
      <c r="O320" s="14" t="str">
        <f>IFERROR((VLOOKUP($A320,'[1]import success seats course'!$A:AC,HLOOKUP('[1]Course Totals'!O$4,'[1]import success seats course'!$1:$2,2,FALSE),FALSE)/(VLOOKUP($A320,'[1]import graded seats course pivo'!$A:AM,HLOOKUP('[1]Course Totals'!O$4,'[1]import graded seats course pivo'!$1:$2,2,FALSE),FALSE))),"")</f>
        <v/>
      </c>
      <c r="P320" s="14" t="str">
        <f>IFERROR((VLOOKUP($A320,'[1]import success seats course'!$A:AD,HLOOKUP('[1]Course Totals'!P$4,'[1]import success seats course'!$1:$2,2,FALSE),FALSE)/(VLOOKUP($A320,'[1]import graded seats course pivo'!$A:AN,HLOOKUP('[1]Course Totals'!P$4,'[1]import graded seats course pivo'!$1:$2,2,FALSE),FALSE))),"")</f>
        <v/>
      </c>
      <c r="Q320" s="14" t="str">
        <f>IFERROR((VLOOKUP($A320,'[1]import success seats course'!$A:AE,HLOOKUP('[1]Course Totals'!Q$4,'[1]import success seats course'!$1:$2,2,FALSE),FALSE)/(VLOOKUP($A320,'[1]import graded seats course pivo'!$A:AO,HLOOKUP('[1]Course Totals'!Q$4,'[1]import graded seats course pivo'!$1:$2,2,FALSE),FALSE))),"")</f>
        <v/>
      </c>
      <c r="R320" s="14" t="str">
        <f>IFERROR((VLOOKUP($A320,'[1]import success seats course'!$A:AF,HLOOKUP('[1]Course Totals'!R$4,'[1]import success seats course'!$1:$2,2,FALSE),FALSE)/(VLOOKUP($A320,'[1]import graded seats course pivo'!$A:AP,HLOOKUP('[1]Course Totals'!R$4,'[1]import graded seats course pivo'!$1:$2,2,FALSE),FALSE))),"")</f>
        <v/>
      </c>
      <c r="S320" s="14" t="str">
        <f>IFERROR((VLOOKUP($A320,'[1]import success seats course'!$A:AG,HLOOKUP('[1]Course Totals'!S$4,'[1]import success seats course'!$1:$2,2,FALSE),FALSE)/(VLOOKUP($A320,'[1]import graded seats course pivo'!$A:AQ,HLOOKUP('[1]Course Totals'!S$4,'[1]import graded seats course pivo'!$1:$2,2,FALSE),FALSE))),"")</f>
        <v/>
      </c>
      <c r="Z320" s="7"/>
      <c r="AA320" s="7"/>
      <c r="AB320" s="7"/>
      <c r="AC320" s="7"/>
    </row>
    <row r="321" spans="1:29" ht="15.75" customHeight="1" x14ac:dyDescent="0.25">
      <c r="A321" s="12" t="s">
        <v>888</v>
      </c>
      <c r="B321" s="14" t="str">
        <f>IFERROR((VLOOKUP($A321,'[1]import success seats course'!$A:P,HLOOKUP('[1]Course Totals'!B$4,'[1]import success seats course'!$1:$2,2,FALSE),FALSE)/(VLOOKUP($A321,'[1]import graded seats course pivo'!$A:Z,HLOOKUP('[1]Course Totals'!B$4,'[1]import graded seats course pivo'!$1:$2,2,FALSE),FALSE))),"")</f>
        <v/>
      </c>
      <c r="C321" s="14" t="str">
        <f>IFERROR((VLOOKUP($A321,'[1]import success seats course'!$A:Q,HLOOKUP('[1]Course Totals'!C$4,'[1]import success seats course'!$1:$2,2,FALSE),FALSE)/(VLOOKUP($A321,'[1]import graded seats course pivo'!$A:AA,HLOOKUP('[1]Course Totals'!C$4,'[1]import graded seats course pivo'!$1:$2,2,FALSE),FALSE))),"")</f>
        <v/>
      </c>
      <c r="D321" s="14">
        <f>IFERROR((VLOOKUP($A321,'[1]import success seats course'!$A:R,HLOOKUP('[1]Course Totals'!D$4,'[1]import success seats course'!$1:$2,2,FALSE),FALSE)/(VLOOKUP($A321,'[1]import graded seats course pivo'!$A:AB,HLOOKUP('[1]Course Totals'!D$4,'[1]import graded seats course pivo'!$1:$2,2,FALSE),FALSE))),"")</f>
        <v>1</v>
      </c>
      <c r="E321" s="14" t="str">
        <f>IFERROR((VLOOKUP($A321,'[1]import success seats course'!$A:S,HLOOKUP('[1]Course Totals'!E$4,'[1]import success seats course'!$1:$2,2,FALSE),FALSE)/(VLOOKUP($A321,'[1]import graded seats course pivo'!$A:AC,HLOOKUP('[1]Course Totals'!E$4,'[1]import graded seats course pivo'!$1:$2,2,FALSE),FALSE))),"")</f>
        <v/>
      </c>
      <c r="F321" s="14" t="str">
        <f>IFERROR((VLOOKUP($A321,'[1]import success seats course'!$A:T,HLOOKUP('[1]Course Totals'!F$4,'[1]import success seats course'!$1:$2,2,FALSE),FALSE)/(VLOOKUP($A321,'[1]import graded seats course pivo'!$A:AD,HLOOKUP('[1]Course Totals'!F$4,'[1]import graded seats course pivo'!$1:$2,2,FALSE),FALSE))),"")</f>
        <v/>
      </c>
      <c r="G321" s="14" t="str">
        <f>IFERROR((VLOOKUP($A321,'[1]import success seats course'!$A:U,HLOOKUP('[1]Course Totals'!G$4,'[1]import success seats course'!$1:$2,2,FALSE),FALSE)/(VLOOKUP($A321,'[1]import graded seats course pivo'!$A:AE,HLOOKUP('[1]Course Totals'!G$4,'[1]import graded seats course pivo'!$1:$2,2,FALSE),FALSE))),"")</f>
        <v/>
      </c>
      <c r="H321" s="14" t="str">
        <f>IFERROR((VLOOKUP($A321,'[1]import success seats course'!$A:V,HLOOKUP('[1]Course Totals'!H$4,'[1]import success seats course'!$1:$2,2,FALSE),FALSE)/(VLOOKUP($A321,'[1]import graded seats course pivo'!$A:AF,HLOOKUP('[1]Course Totals'!H$4,'[1]import graded seats course pivo'!$1:$2,2,FALSE),FALSE))),"")</f>
        <v/>
      </c>
      <c r="I321" s="14" t="str">
        <f>IFERROR((VLOOKUP($A321,'[1]import success seats course'!$A:W,HLOOKUP('[1]Course Totals'!I$4,'[1]import success seats course'!$1:$2,2,FALSE),FALSE)/(VLOOKUP($A321,'[1]import graded seats course pivo'!$A:AG,HLOOKUP('[1]Course Totals'!I$4,'[1]import graded seats course pivo'!$1:$2,2,FALSE),FALSE))),"")</f>
        <v/>
      </c>
      <c r="J321" s="14" t="str">
        <f>IFERROR((VLOOKUP($A321,'[1]import success seats course'!$A:X,HLOOKUP('[1]Course Totals'!J$4,'[1]import success seats course'!$1:$2,2,FALSE),FALSE)/(VLOOKUP($A321,'[1]import graded seats course pivo'!$A:AH,HLOOKUP('[1]Course Totals'!J$4,'[1]import graded seats course pivo'!$1:$2,2,FALSE),FALSE))),"")</f>
        <v/>
      </c>
      <c r="K321" s="14" t="str">
        <f>IFERROR((VLOOKUP($A321,'[1]import success seats course'!$A:Y,HLOOKUP('[1]Course Totals'!K$4,'[1]import success seats course'!$1:$2,2,FALSE),FALSE)/(VLOOKUP($A321,'[1]import graded seats course pivo'!$A:AI,HLOOKUP('[1]Course Totals'!K$4,'[1]import graded seats course pivo'!$1:$2,2,FALSE),FALSE))),"")</f>
        <v/>
      </c>
      <c r="L321" s="14" t="str">
        <f>IFERROR((VLOOKUP($A321,'[1]import success seats course'!$A:Z,HLOOKUP('[1]Course Totals'!L$4,'[1]import success seats course'!$1:$2,2,FALSE),FALSE)/(VLOOKUP($A321,'[1]import graded seats course pivo'!$A:AJ,HLOOKUP('[1]Course Totals'!L$4,'[1]import graded seats course pivo'!$1:$2,2,FALSE),FALSE))),"")</f>
        <v/>
      </c>
      <c r="M321" s="14" t="str">
        <f>IFERROR((VLOOKUP($A321,'[1]import success seats course'!$A:AA,HLOOKUP('[1]Course Totals'!M$4,'[1]import success seats course'!$1:$2,2,FALSE),FALSE)/(VLOOKUP($A321,'[1]import graded seats course pivo'!$A:AK,HLOOKUP('[1]Course Totals'!M$4,'[1]import graded seats course pivo'!$1:$2,2,FALSE),FALSE))),"")</f>
        <v/>
      </c>
      <c r="N321" s="14" t="str">
        <f>IFERROR((VLOOKUP($A321,'[1]import success seats course'!$A:AB,HLOOKUP('[1]Course Totals'!N$4,'[1]import success seats course'!$1:$2,2,FALSE),FALSE)/(VLOOKUP($A321,'[1]import graded seats course pivo'!$A:AL,HLOOKUP('[1]Course Totals'!N$4,'[1]import graded seats course pivo'!$1:$2,2,FALSE),FALSE))),"")</f>
        <v/>
      </c>
      <c r="O321" s="14" t="str">
        <f>IFERROR((VLOOKUP($A321,'[1]import success seats course'!$A:AC,HLOOKUP('[1]Course Totals'!O$4,'[1]import success seats course'!$1:$2,2,FALSE),FALSE)/(VLOOKUP($A321,'[1]import graded seats course pivo'!$A:AM,HLOOKUP('[1]Course Totals'!O$4,'[1]import graded seats course pivo'!$1:$2,2,FALSE),FALSE))),"")</f>
        <v/>
      </c>
      <c r="P321" s="14" t="str">
        <f>IFERROR((VLOOKUP($A321,'[1]import success seats course'!$A:AD,HLOOKUP('[1]Course Totals'!P$4,'[1]import success seats course'!$1:$2,2,FALSE),FALSE)/(VLOOKUP($A321,'[1]import graded seats course pivo'!$A:AN,HLOOKUP('[1]Course Totals'!P$4,'[1]import graded seats course pivo'!$1:$2,2,FALSE),FALSE))),"")</f>
        <v/>
      </c>
      <c r="Q321" s="14" t="str">
        <f>IFERROR((VLOOKUP($A321,'[1]import success seats course'!$A:AE,HLOOKUP('[1]Course Totals'!Q$4,'[1]import success seats course'!$1:$2,2,FALSE),FALSE)/(VLOOKUP($A321,'[1]import graded seats course pivo'!$A:AO,HLOOKUP('[1]Course Totals'!Q$4,'[1]import graded seats course pivo'!$1:$2,2,FALSE),FALSE))),"")</f>
        <v/>
      </c>
      <c r="R321" s="14" t="str">
        <f>IFERROR((VLOOKUP($A321,'[1]import success seats course'!$A:AF,HLOOKUP('[1]Course Totals'!R$4,'[1]import success seats course'!$1:$2,2,FALSE),FALSE)/(VLOOKUP($A321,'[1]import graded seats course pivo'!$A:AP,HLOOKUP('[1]Course Totals'!R$4,'[1]import graded seats course pivo'!$1:$2,2,FALSE),FALSE))),"")</f>
        <v/>
      </c>
      <c r="S321" s="14" t="str">
        <f>IFERROR((VLOOKUP($A321,'[1]import success seats course'!$A:AG,HLOOKUP('[1]Course Totals'!S$4,'[1]import success seats course'!$1:$2,2,FALSE),FALSE)/(VLOOKUP($A321,'[1]import graded seats course pivo'!$A:AQ,HLOOKUP('[1]Course Totals'!S$4,'[1]import graded seats course pivo'!$1:$2,2,FALSE),FALSE))),"")</f>
        <v/>
      </c>
      <c r="Z321" s="7"/>
      <c r="AA321" s="7"/>
      <c r="AB321" s="7"/>
      <c r="AC321" s="7"/>
    </row>
    <row r="322" spans="1:29" ht="15.75" customHeight="1" x14ac:dyDescent="0.25">
      <c r="A322" s="12" t="s">
        <v>972</v>
      </c>
      <c r="B322" s="14" t="str">
        <f>IFERROR((VLOOKUP($A322,'[1]import success seats course'!$A:P,HLOOKUP('[1]Course Totals'!B$4,'[1]import success seats course'!$1:$2,2,FALSE),FALSE)/(VLOOKUP($A322,'[1]import graded seats course pivo'!$A:Z,HLOOKUP('[1]Course Totals'!B$4,'[1]import graded seats course pivo'!$1:$2,2,FALSE),FALSE))),"")</f>
        <v/>
      </c>
      <c r="C322" s="14" t="str">
        <f>IFERROR((VLOOKUP($A322,'[1]import success seats course'!$A:Q,HLOOKUP('[1]Course Totals'!C$4,'[1]import success seats course'!$1:$2,2,FALSE),FALSE)/(VLOOKUP($A322,'[1]import graded seats course pivo'!$A:AA,HLOOKUP('[1]Course Totals'!C$4,'[1]import graded seats course pivo'!$1:$2,2,FALSE),FALSE))),"")</f>
        <v/>
      </c>
      <c r="D322" s="14" t="str">
        <f>IFERROR((VLOOKUP($A322,'[1]import success seats course'!$A:R,HLOOKUP('[1]Course Totals'!D$4,'[1]import success seats course'!$1:$2,2,FALSE),FALSE)/(VLOOKUP($A322,'[1]import graded seats course pivo'!$A:AB,HLOOKUP('[1]Course Totals'!D$4,'[1]import graded seats course pivo'!$1:$2,2,FALSE),FALSE))),"")</f>
        <v/>
      </c>
      <c r="E322" s="14" t="str">
        <f>IFERROR((VLOOKUP($A322,'[1]import success seats course'!$A:S,HLOOKUP('[1]Course Totals'!E$4,'[1]import success seats course'!$1:$2,2,FALSE),FALSE)/(VLOOKUP($A322,'[1]import graded seats course pivo'!$A:AC,HLOOKUP('[1]Course Totals'!E$4,'[1]import graded seats course pivo'!$1:$2,2,FALSE),FALSE))),"")</f>
        <v/>
      </c>
      <c r="F322" s="14" t="str">
        <f>IFERROR((VLOOKUP($A322,'[1]import success seats course'!$A:T,HLOOKUP('[1]Course Totals'!F$4,'[1]import success seats course'!$1:$2,2,FALSE),FALSE)/(VLOOKUP($A322,'[1]import graded seats course pivo'!$A:AD,HLOOKUP('[1]Course Totals'!F$4,'[1]import graded seats course pivo'!$1:$2,2,FALSE),FALSE))),"")</f>
        <v/>
      </c>
      <c r="G322" s="14">
        <f>IFERROR((VLOOKUP($A322,'[1]import success seats course'!$A:U,HLOOKUP('[1]Course Totals'!G$4,'[1]import success seats course'!$1:$2,2,FALSE),FALSE)/(VLOOKUP($A322,'[1]import graded seats course pivo'!$A:AE,HLOOKUP('[1]Course Totals'!G$4,'[1]import graded seats course pivo'!$1:$2,2,FALSE),FALSE))),"")</f>
        <v>1</v>
      </c>
      <c r="H322" s="14" t="str">
        <f>IFERROR((VLOOKUP($A322,'[1]import success seats course'!$A:V,HLOOKUP('[1]Course Totals'!H$4,'[1]import success seats course'!$1:$2,2,FALSE),FALSE)/(VLOOKUP($A322,'[1]import graded seats course pivo'!$A:AF,HLOOKUP('[1]Course Totals'!H$4,'[1]import graded seats course pivo'!$1:$2,2,FALSE),FALSE))),"")</f>
        <v/>
      </c>
      <c r="I322" s="14" t="str">
        <f>IFERROR((VLOOKUP($A322,'[1]import success seats course'!$A:W,HLOOKUP('[1]Course Totals'!I$4,'[1]import success seats course'!$1:$2,2,FALSE),FALSE)/(VLOOKUP($A322,'[1]import graded seats course pivo'!$A:AG,HLOOKUP('[1]Course Totals'!I$4,'[1]import graded seats course pivo'!$1:$2,2,FALSE),FALSE))),"")</f>
        <v/>
      </c>
      <c r="J322" s="14" t="str">
        <f>IFERROR((VLOOKUP($A322,'[1]import success seats course'!$A:X,HLOOKUP('[1]Course Totals'!J$4,'[1]import success seats course'!$1:$2,2,FALSE),FALSE)/(VLOOKUP($A322,'[1]import graded seats course pivo'!$A:AH,HLOOKUP('[1]Course Totals'!J$4,'[1]import graded seats course pivo'!$1:$2,2,FALSE),FALSE))),"")</f>
        <v/>
      </c>
      <c r="K322" s="14" t="str">
        <f>IFERROR((VLOOKUP($A322,'[1]import success seats course'!$A:Y,HLOOKUP('[1]Course Totals'!K$4,'[1]import success seats course'!$1:$2,2,FALSE),FALSE)/(VLOOKUP($A322,'[1]import graded seats course pivo'!$A:AI,HLOOKUP('[1]Course Totals'!K$4,'[1]import graded seats course pivo'!$1:$2,2,FALSE),FALSE))),"")</f>
        <v/>
      </c>
      <c r="L322" s="14" t="str">
        <f>IFERROR((VLOOKUP($A322,'[1]import success seats course'!$A:Z,HLOOKUP('[1]Course Totals'!L$4,'[1]import success seats course'!$1:$2,2,FALSE),FALSE)/(VLOOKUP($A322,'[1]import graded seats course pivo'!$A:AJ,HLOOKUP('[1]Course Totals'!L$4,'[1]import graded seats course pivo'!$1:$2,2,FALSE),FALSE))),"")</f>
        <v/>
      </c>
      <c r="M322" s="14" t="str">
        <f>IFERROR((VLOOKUP($A322,'[1]import success seats course'!$A:AA,HLOOKUP('[1]Course Totals'!M$4,'[1]import success seats course'!$1:$2,2,FALSE),FALSE)/(VLOOKUP($A322,'[1]import graded seats course pivo'!$A:AK,HLOOKUP('[1]Course Totals'!M$4,'[1]import graded seats course pivo'!$1:$2,2,FALSE),FALSE))),"")</f>
        <v/>
      </c>
      <c r="N322" s="14" t="str">
        <f>IFERROR((VLOOKUP($A322,'[1]import success seats course'!$A:AB,HLOOKUP('[1]Course Totals'!N$4,'[1]import success seats course'!$1:$2,2,FALSE),FALSE)/(VLOOKUP($A322,'[1]import graded seats course pivo'!$A:AL,HLOOKUP('[1]Course Totals'!N$4,'[1]import graded seats course pivo'!$1:$2,2,FALSE),FALSE))),"")</f>
        <v/>
      </c>
      <c r="O322" s="14" t="str">
        <f>IFERROR((VLOOKUP($A322,'[1]import success seats course'!$A:AC,HLOOKUP('[1]Course Totals'!O$4,'[1]import success seats course'!$1:$2,2,FALSE),FALSE)/(VLOOKUP($A322,'[1]import graded seats course pivo'!$A:AM,HLOOKUP('[1]Course Totals'!O$4,'[1]import graded seats course pivo'!$1:$2,2,FALSE),FALSE))),"")</f>
        <v/>
      </c>
      <c r="P322" s="14" t="str">
        <f>IFERROR((VLOOKUP($A322,'[1]import success seats course'!$A:AD,HLOOKUP('[1]Course Totals'!P$4,'[1]import success seats course'!$1:$2,2,FALSE),FALSE)/(VLOOKUP($A322,'[1]import graded seats course pivo'!$A:AN,HLOOKUP('[1]Course Totals'!P$4,'[1]import graded seats course pivo'!$1:$2,2,FALSE),FALSE))),"")</f>
        <v/>
      </c>
      <c r="Q322" s="14" t="str">
        <f>IFERROR((VLOOKUP($A322,'[1]import success seats course'!$A:AE,HLOOKUP('[1]Course Totals'!Q$4,'[1]import success seats course'!$1:$2,2,FALSE),FALSE)/(VLOOKUP($A322,'[1]import graded seats course pivo'!$A:AO,HLOOKUP('[1]Course Totals'!Q$4,'[1]import graded seats course pivo'!$1:$2,2,FALSE),FALSE))),"")</f>
        <v/>
      </c>
      <c r="R322" s="14" t="str">
        <f>IFERROR((VLOOKUP($A322,'[1]import success seats course'!$A:AF,HLOOKUP('[1]Course Totals'!R$4,'[1]import success seats course'!$1:$2,2,FALSE),FALSE)/(VLOOKUP($A322,'[1]import graded seats course pivo'!$A:AP,HLOOKUP('[1]Course Totals'!R$4,'[1]import graded seats course pivo'!$1:$2,2,FALSE),FALSE))),"")</f>
        <v/>
      </c>
      <c r="S322" s="14" t="str">
        <f>IFERROR((VLOOKUP($A322,'[1]import success seats course'!$A:AG,HLOOKUP('[1]Course Totals'!S$4,'[1]import success seats course'!$1:$2,2,FALSE),FALSE)/(VLOOKUP($A322,'[1]import graded seats course pivo'!$A:AQ,HLOOKUP('[1]Course Totals'!S$4,'[1]import graded seats course pivo'!$1:$2,2,FALSE),FALSE))),"")</f>
        <v/>
      </c>
      <c r="Z322" s="7"/>
      <c r="AA322" s="7"/>
      <c r="AB322" s="7"/>
      <c r="AC322" s="7"/>
    </row>
    <row r="323" spans="1:29" ht="15.75" hidden="1" customHeight="1" x14ac:dyDescent="0.25">
      <c r="A323" s="12" t="s">
        <v>162</v>
      </c>
      <c r="B323" s="14" t="str">
        <f>IFERROR((VLOOKUP($A323,'[1]import success seats course'!$A:P,HLOOKUP('[1]Course Totals'!B$4,'[1]import success seats course'!$1:$2,2,FALSE),FALSE)/(VLOOKUP($A323,'[1]import graded seats course pivo'!$A:Z,HLOOKUP('[1]Course Totals'!B$4,'[1]import graded seats course pivo'!$1:$2,2,FALSE),FALSE))),"")</f>
        <v/>
      </c>
      <c r="C323" s="14" t="str">
        <f>IFERROR((VLOOKUP($A323,'[1]import success seats course'!$A:Q,HLOOKUP('[1]Course Totals'!C$4,'[1]import success seats course'!$1:$2,2,FALSE),FALSE)/(VLOOKUP($A323,'[1]import graded seats course pivo'!$A:AA,HLOOKUP('[1]Course Totals'!C$4,'[1]import graded seats course pivo'!$1:$2,2,FALSE),FALSE))),"")</f>
        <v/>
      </c>
      <c r="D323" s="14" t="str">
        <f>IFERROR((VLOOKUP($A323,'[1]import success seats course'!$A:R,HLOOKUP('[1]Course Totals'!D$4,'[1]import success seats course'!$1:$2,2,FALSE),FALSE)/(VLOOKUP($A323,'[1]import graded seats course pivo'!$A:AB,HLOOKUP('[1]Course Totals'!D$4,'[1]import graded seats course pivo'!$1:$2,2,FALSE),FALSE))),"")</f>
        <v/>
      </c>
      <c r="E323" s="14" t="str">
        <f>IFERROR((VLOOKUP($A323,'[1]import success seats course'!$A:S,HLOOKUP('[1]Course Totals'!E$4,'[1]import success seats course'!$1:$2,2,FALSE),FALSE)/(VLOOKUP($A323,'[1]import graded seats course pivo'!$A:AC,HLOOKUP('[1]Course Totals'!E$4,'[1]import graded seats course pivo'!$1:$2,2,FALSE),FALSE))),"")</f>
        <v/>
      </c>
      <c r="F323" s="14" t="str">
        <f>IFERROR((VLOOKUP($A323,'[1]import success seats course'!$A:T,HLOOKUP('[1]Course Totals'!F$4,'[1]import success seats course'!$1:$2,2,FALSE),FALSE)/(VLOOKUP($A323,'[1]import graded seats course pivo'!$A:AD,HLOOKUP('[1]Course Totals'!F$4,'[1]import graded seats course pivo'!$1:$2,2,FALSE),FALSE))),"")</f>
        <v/>
      </c>
      <c r="G323" s="14" t="str">
        <f>IFERROR((VLOOKUP($A323,'[1]import success seats course'!$A:U,HLOOKUP('[1]Course Totals'!G$4,'[1]import success seats course'!$1:$2,2,FALSE),FALSE)/(VLOOKUP($A323,'[1]import graded seats course pivo'!$A:AE,HLOOKUP('[1]Course Totals'!G$4,'[1]import graded seats course pivo'!$1:$2,2,FALSE),FALSE))),"")</f>
        <v/>
      </c>
      <c r="H323" s="14" t="str">
        <f>IFERROR((VLOOKUP($A323,'[1]import success seats course'!$A:V,HLOOKUP('[1]Course Totals'!H$4,'[1]import success seats course'!$1:$2,2,FALSE),FALSE)/(VLOOKUP($A323,'[1]import graded seats course pivo'!$A:AF,HLOOKUP('[1]Course Totals'!H$4,'[1]import graded seats course pivo'!$1:$2,2,FALSE),FALSE))),"")</f>
        <v/>
      </c>
      <c r="I323" s="14" t="str">
        <f>IFERROR((VLOOKUP($A323,'[1]import success seats course'!$A:W,HLOOKUP('[1]Course Totals'!I$4,'[1]import success seats course'!$1:$2,2,FALSE),FALSE)/(VLOOKUP($A323,'[1]import graded seats course pivo'!$A:AG,HLOOKUP('[1]Course Totals'!I$4,'[1]import graded seats course pivo'!$1:$2,2,FALSE),FALSE))),"")</f>
        <v/>
      </c>
      <c r="J323" s="14" t="str">
        <f>IFERROR((VLOOKUP($A323,'[1]import success seats course'!$A:X,HLOOKUP('[1]Course Totals'!J$4,'[1]import success seats course'!$1:$2,2,FALSE),FALSE)/(VLOOKUP($A323,'[1]import graded seats course pivo'!$A:AH,HLOOKUP('[1]Course Totals'!J$4,'[1]import graded seats course pivo'!$1:$2,2,FALSE),FALSE))),"")</f>
        <v/>
      </c>
      <c r="K323" s="14" t="str">
        <f>IFERROR((VLOOKUP($A323,'[1]import success seats course'!$A:Y,HLOOKUP('[1]Course Totals'!K$4,'[1]import success seats course'!$1:$2,2,FALSE),FALSE)/(VLOOKUP($A323,'[1]import graded seats course pivo'!$A:AI,HLOOKUP('[1]Course Totals'!K$4,'[1]import graded seats course pivo'!$1:$2,2,FALSE),FALSE))),"")</f>
        <v/>
      </c>
      <c r="L323" s="14" t="str">
        <f>IFERROR((VLOOKUP($A323,'[1]import success seats course'!$A:Z,HLOOKUP('[1]Course Totals'!L$4,'[1]import success seats course'!$1:$2,2,FALSE),FALSE)/(VLOOKUP($A323,'[1]import graded seats course pivo'!$A:AJ,HLOOKUP('[1]Course Totals'!L$4,'[1]import graded seats course pivo'!$1:$2,2,FALSE),FALSE))),"")</f>
        <v/>
      </c>
      <c r="M323" s="14" t="str">
        <f>IFERROR((VLOOKUP($A323,'[1]import success seats course'!$A:AA,HLOOKUP('[1]Course Totals'!M$4,'[1]import success seats course'!$1:$2,2,FALSE),FALSE)/(VLOOKUP($A323,'[1]import graded seats course pivo'!$A:AK,HLOOKUP('[1]Course Totals'!M$4,'[1]import graded seats course pivo'!$1:$2,2,FALSE),FALSE))),"")</f>
        <v/>
      </c>
      <c r="N323" s="14" t="str">
        <f>IFERROR((VLOOKUP($A323,'[1]import success seats course'!$A:AB,HLOOKUP('[1]Course Totals'!N$4,'[1]import success seats course'!$1:$2,2,FALSE),FALSE)/(VLOOKUP($A323,'[1]import graded seats course pivo'!$A:AL,HLOOKUP('[1]Course Totals'!N$4,'[1]import graded seats course pivo'!$1:$2,2,FALSE),FALSE))),"")</f>
        <v/>
      </c>
      <c r="O323" s="14" t="str">
        <f>IFERROR((VLOOKUP($A323,'[1]import success seats course'!$A:AC,HLOOKUP('[1]Course Totals'!O$4,'[1]import success seats course'!$1:$2,2,FALSE),FALSE)/(VLOOKUP($A323,'[1]import graded seats course pivo'!$A:AM,HLOOKUP('[1]Course Totals'!O$4,'[1]import graded seats course pivo'!$1:$2,2,FALSE),FALSE))),"")</f>
        <v/>
      </c>
      <c r="P323" s="14" t="str">
        <f>IFERROR((VLOOKUP($A323,'[1]import success seats course'!$A:AD,HLOOKUP('[1]Course Totals'!P$4,'[1]import success seats course'!$1:$2,2,FALSE),FALSE)/(VLOOKUP($A323,'[1]import graded seats course pivo'!$A:AN,HLOOKUP('[1]Course Totals'!P$4,'[1]import graded seats course pivo'!$1:$2,2,FALSE),FALSE))),"")</f>
        <v/>
      </c>
      <c r="Q323" s="14" t="str">
        <f>IFERROR((VLOOKUP($A323,'[1]import success seats course'!$A:AE,HLOOKUP('[1]Course Totals'!Q$4,'[1]import success seats course'!$1:$2,2,FALSE),FALSE)/(VLOOKUP($A323,'[1]import graded seats course pivo'!$A:AO,HLOOKUP('[1]Course Totals'!Q$4,'[1]import graded seats course pivo'!$1:$2,2,FALSE),FALSE))),"")</f>
        <v/>
      </c>
      <c r="R323" s="14" t="str">
        <f>IFERROR((VLOOKUP($A323,'[1]import success seats course'!$A:AF,HLOOKUP('[1]Course Totals'!R$4,'[1]import success seats course'!$1:$2,2,FALSE),FALSE)/(VLOOKUP($A323,'[1]import graded seats course pivo'!$A:AP,HLOOKUP('[1]Course Totals'!R$4,'[1]import graded seats course pivo'!$1:$2,2,FALSE),FALSE))),"")</f>
        <v/>
      </c>
      <c r="S323" s="14" t="str">
        <f>IFERROR((VLOOKUP($A323,'[1]import success seats course'!$A:AG,HLOOKUP('[1]Course Totals'!S$4,'[1]import success seats course'!$1:$2,2,FALSE),FALSE)/(VLOOKUP($A323,'[1]import graded seats course pivo'!$A:AQ,HLOOKUP('[1]Course Totals'!S$4,'[1]import graded seats course pivo'!$1:$2,2,FALSE),FALSE))),"")</f>
        <v/>
      </c>
      <c r="Z323" s="7"/>
      <c r="AA323" s="7"/>
      <c r="AB323" s="7"/>
      <c r="AC323" s="7"/>
    </row>
    <row r="324" spans="1:29" ht="15.75" hidden="1" customHeight="1" x14ac:dyDescent="0.25">
      <c r="A324" s="12" t="s">
        <v>889</v>
      </c>
      <c r="B324" s="14" t="str">
        <f>IFERROR((VLOOKUP($A324,'[1]import success seats course'!$A:P,HLOOKUP('[1]Course Totals'!B$4,'[1]import success seats course'!$1:$2,2,FALSE),FALSE)/(VLOOKUP($A324,'[1]import graded seats course pivo'!$A:Z,HLOOKUP('[1]Course Totals'!B$4,'[1]import graded seats course pivo'!$1:$2,2,FALSE),FALSE))),"")</f>
        <v/>
      </c>
      <c r="C324" s="14" t="str">
        <f>IFERROR((VLOOKUP($A324,'[1]import success seats course'!$A:Q,HLOOKUP('[1]Course Totals'!C$4,'[1]import success seats course'!$1:$2,2,FALSE),FALSE)/(VLOOKUP($A324,'[1]import graded seats course pivo'!$A:AA,HLOOKUP('[1]Course Totals'!C$4,'[1]import graded seats course pivo'!$1:$2,2,FALSE),FALSE))),"")</f>
        <v/>
      </c>
      <c r="D324" s="14" t="str">
        <f>IFERROR((VLOOKUP($A324,'[1]import success seats course'!$A:R,HLOOKUP('[1]Course Totals'!D$4,'[1]import success seats course'!$1:$2,2,FALSE),FALSE)/(VLOOKUP($A324,'[1]import graded seats course pivo'!$A:AB,HLOOKUP('[1]Course Totals'!D$4,'[1]import graded seats course pivo'!$1:$2,2,FALSE),FALSE))),"")</f>
        <v/>
      </c>
      <c r="E324" s="14" t="str">
        <f>IFERROR((VLOOKUP($A324,'[1]import success seats course'!$A:S,HLOOKUP('[1]Course Totals'!E$4,'[1]import success seats course'!$1:$2,2,FALSE),FALSE)/(VLOOKUP($A324,'[1]import graded seats course pivo'!$A:AC,HLOOKUP('[1]Course Totals'!E$4,'[1]import graded seats course pivo'!$1:$2,2,FALSE),FALSE))),"")</f>
        <v/>
      </c>
      <c r="F324" s="14" t="str">
        <f>IFERROR((VLOOKUP($A324,'[1]import success seats course'!$A:T,HLOOKUP('[1]Course Totals'!F$4,'[1]import success seats course'!$1:$2,2,FALSE),FALSE)/(VLOOKUP($A324,'[1]import graded seats course pivo'!$A:AD,HLOOKUP('[1]Course Totals'!F$4,'[1]import graded seats course pivo'!$1:$2,2,FALSE),FALSE))),"")</f>
        <v/>
      </c>
      <c r="G324" s="14" t="str">
        <f>IFERROR((VLOOKUP($A324,'[1]import success seats course'!$A:U,HLOOKUP('[1]Course Totals'!G$4,'[1]import success seats course'!$1:$2,2,FALSE),FALSE)/(VLOOKUP($A324,'[1]import graded seats course pivo'!$A:AE,HLOOKUP('[1]Course Totals'!G$4,'[1]import graded seats course pivo'!$1:$2,2,FALSE),FALSE))),"")</f>
        <v/>
      </c>
      <c r="H324" s="14" t="str">
        <f>IFERROR((VLOOKUP($A324,'[1]import success seats course'!$A:V,HLOOKUP('[1]Course Totals'!H$4,'[1]import success seats course'!$1:$2,2,FALSE),FALSE)/(VLOOKUP($A324,'[1]import graded seats course pivo'!$A:AF,HLOOKUP('[1]Course Totals'!H$4,'[1]import graded seats course pivo'!$1:$2,2,FALSE),FALSE))),"")</f>
        <v/>
      </c>
      <c r="I324" s="14" t="str">
        <f>IFERROR((VLOOKUP($A324,'[1]import success seats course'!$A:W,HLOOKUP('[1]Course Totals'!I$4,'[1]import success seats course'!$1:$2,2,FALSE),FALSE)/(VLOOKUP($A324,'[1]import graded seats course pivo'!$A:AG,HLOOKUP('[1]Course Totals'!I$4,'[1]import graded seats course pivo'!$1:$2,2,FALSE),FALSE))),"")</f>
        <v/>
      </c>
      <c r="J324" s="14" t="str">
        <f>IFERROR((VLOOKUP($A324,'[1]import success seats course'!$A:X,HLOOKUP('[1]Course Totals'!J$4,'[1]import success seats course'!$1:$2,2,FALSE),FALSE)/(VLOOKUP($A324,'[1]import graded seats course pivo'!$A:AH,HLOOKUP('[1]Course Totals'!J$4,'[1]import graded seats course pivo'!$1:$2,2,FALSE),FALSE))),"")</f>
        <v/>
      </c>
      <c r="K324" s="14" t="str">
        <f>IFERROR((VLOOKUP($A324,'[1]import success seats course'!$A:Y,HLOOKUP('[1]Course Totals'!K$4,'[1]import success seats course'!$1:$2,2,FALSE),FALSE)/(VLOOKUP($A324,'[1]import graded seats course pivo'!$A:AI,HLOOKUP('[1]Course Totals'!K$4,'[1]import graded seats course pivo'!$1:$2,2,FALSE),FALSE))),"")</f>
        <v/>
      </c>
      <c r="L324" s="14" t="str">
        <f>IFERROR((VLOOKUP($A324,'[1]import success seats course'!$A:Z,HLOOKUP('[1]Course Totals'!L$4,'[1]import success seats course'!$1:$2,2,FALSE),FALSE)/(VLOOKUP($A324,'[1]import graded seats course pivo'!$A:AJ,HLOOKUP('[1]Course Totals'!L$4,'[1]import graded seats course pivo'!$1:$2,2,FALSE),FALSE))),"")</f>
        <v/>
      </c>
      <c r="M324" s="14" t="str">
        <f>IFERROR((VLOOKUP($A324,'[1]import success seats course'!$A:AA,HLOOKUP('[1]Course Totals'!M$4,'[1]import success seats course'!$1:$2,2,FALSE),FALSE)/(VLOOKUP($A324,'[1]import graded seats course pivo'!$A:AK,HLOOKUP('[1]Course Totals'!M$4,'[1]import graded seats course pivo'!$1:$2,2,FALSE),FALSE))),"")</f>
        <v/>
      </c>
      <c r="N324" s="14" t="str">
        <f>IFERROR((VLOOKUP($A324,'[1]import success seats course'!$A:AB,HLOOKUP('[1]Course Totals'!N$4,'[1]import success seats course'!$1:$2,2,FALSE),FALSE)/(VLOOKUP($A324,'[1]import graded seats course pivo'!$A:AL,HLOOKUP('[1]Course Totals'!N$4,'[1]import graded seats course pivo'!$1:$2,2,FALSE),FALSE))),"")</f>
        <v/>
      </c>
      <c r="O324" s="14" t="str">
        <f>IFERROR((VLOOKUP($A324,'[1]import success seats course'!$A:AC,HLOOKUP('[1]Course Totals'!O$4,'[1]import success seats course'!$1:$2,2,FALSE),FALSE)/(VLOOKUP($A324,'[1]import graded seats course pivo'!$A:AM,HLOOKUP('[1]Course Totals'!O$4,'[1]import graded seats course pivo'!$1:$2,2,FALSE),FALSE))),"")</f>
        <v/>
      </c>
      <c r="P324" s="14" t="str">
        <f>IFERROR((VLOOKUP($A324,'[1]import success seats course'!$A:AD,HLOOKUP('[1]Course Totals'!P$4,'[1]import success seats course'!$1:$2,2,FALSE),FALSE)/(VLOOKUP($A324,'[1]import graded seats course pivo'!$A:AN,HLOOKUP('[1]Course Totals'!P$4,'[1]import graded seats course pivo'!$1:$2,2,FALSE),FALSE))),"")</f>
        <v/>
      </c>
      <c r="Q324" s="14" t="str">
        <f>IFERROR((VLOOKUP($A324,'[1]import success seats course'!$A:AE,HLOOKUP('[1]Course Totals'!Q$4,'[1]import success seats course'!$1:$2,2,FALSE),FALSE)/(VLOOKUP($A324,'[1]import graded seats course pivo'!$A:AO,HLOOKUP('[1]Course Totals'!Q$4,'[1]import graded seats course pivo'!$1:$2,2,FALSE),FALSE))),"")</f>
        <v/>
      </c>
      <c r="R324" s="14" t="str">
        <f>IFERROR((VLOOKUP($A324,'[1]import success seats course'!$A:AF,HLOOKUP('[1]Course Totals'!R$4,'[1]import success seats course'!$1:$2,2,FALSE),FALSE)/(VLOOKUP($A324,'[1]import graded seats course pivo'!$A:AP,HLOOKUP('[1]Course Totals'!R$4,'[1]import graded seats course pivo'!$1:$2,2,FALSE),FALSE))),"")</f>
        <v/>
      </c>
      <c r="S324" s="14" t="str">
        <f>IFERROR((VLOOKUP($A324,'[1]import success seats course'!$A:AG,HLOOKUP('[1]Course Totals'!S$4,'[1]import success seats course'!$1:$2,2,FALSE),FALSE)/(VLOOKUP($A324,'[1]import graded seats course pivo'!$A:AQ,HLOOKUP('[1]Course Totals'!S$4,'[1]import graded seats course pivo'!$1:$2,2,FALSE),FALSE))),"")</f>
        <v/>
      </c>
      <c r="Z324" s="7"/>
      <c r="AA324" s="7"/>
      <c r="AB324" s="7"/>
      <c r="AC324" s="7"/>
    </row>
    <row r="325" spans="1:29" ht="15.75" customHeight="1" x14ac:dyDescent="0.25">
      <c r="A325" s="12" t="s">
        <v>890</v>
      </c>
      <c r="B325" s="14" t="str">
        <f>IFERROR((VLOOKUP($A325,'[1]import success seats course'!$A:P,HLOOKUP('[1]Course Totals'!B$4,'[1]import success seats course'!$1:$2,2,FALSE),FALSE)/(VLOOKUP($A325,'[1]import graded seats course pivo'!$A:Z,HLOOKUP('[1]Course Totals'!B$4,'[1]import graded seats course pivo'!$1:$2,2,FALSE),FALSE))),"")</f>
        <v/>
      </c>
      <c r="C325" s="14" t="str">
        <f>IFERROR((VLOOKUP($A325,'[1]import success seats course'!$A:Q,HLOOKUP('[1]Course Totals'!C$4,'[1]import success seats course'!$1:$2,2,FALSE),FALSE)/(VLOOKUP($A325,'[1]import graded seats course pivo'!$A:AA,HLOOKUP('[1]Course Totals'!C$4,'[1]import graded seats course pivo'!$1:$2,2,FALSE),FALSE))),"")</f>
        <v/>
      </c>
      <c r="D325" s="14">
        <f>IFERROR((VLOOKUP($A325,'[1]import success seats course'!$A:R,HLOOKUP('[1]Course Totals'!D$4,'[1]import success seats course'!$1:$2,2,FALSE),FALSE)/(VLOOKUP($A325,'[1]import graded seats course pivo'!$A:AB,HLOOKUP('[1]Course Totals'!D$4,'[1]import graded seats course pivo'!$1:$2,2,FALSE),FALSE))),"")</f>
        <v>1</v>
      </c>
      <c r="E325" s="14" t="str">
        <f>IFERROR((VLOOKUP($A325,'[1]import success seats course'!$A:S,HLOOKUP('[1]Course Totals'!E$4,'[1]import success seats course'!$1:$2,2,FALSE),FALSE)/(VLOOKUP($A325,'[1]import graded seats course pivo'!$A:AC,HLOOKUP('[1]Course Totals'!E$4,'[1]import graded seats course pivo'!$1:$2,2,FALSE),FALSE))),"")</f>
        <v/>
      </c>
      <c r="F325" s="14" t="str">
        <f>IFERROR((VLOOKUP($A325,'[1]import success seats course'!$A:T,HLOOKUP('[1]Course Totals'!F$4,'[1]import success seats course'!$1:$2,2,FALSE),FALSE)/(VLOOKUP($A325,'[1]import graded seats course pivo'!$A:AD,HLOOKUP('[1]Course Totals'!F$4,'[1]import graded seats course pivo'!$1:$2,2,FALSE),FALSE))),"")</f>
        <v/>
      </c>
      <c r="G325" s="14" t="str">
        <f>IFERROR((VLOOKUP($A325,'[1]import success seats course'!$A:U,HLOOKUP('[1]Course Totals'!G$4,'[1]import success seats course'!$1:$2,2,FALSE),FALSE)/(VLOOKUP($A325,'[1]import graded seats course pivo'!$A:AE,HLOOKUP('[1]Course Totals'!G$4,'[1]import graded seats course pivo'!$1:$2,2,FALSE),FALSE))),"")</f>
        <v/>
      </c>
      <c r="H325" s="14" t="str">
        <f>IFERROR((VLOOKUP($A325,'[1]import success seats course'!$A:V,HLOOKUP('[1]Course Totals'!H$4,'[1]import success seats course'!$1:$2,2,FALSE),FALSE)/(VLOOKUP($A325,'[1]import graded seats course pivo'!$A:AF,HLOOKUP('[1]Course Totals'!H$4,'[1]import graded seats course pivo'!$1:$2,2,FALSE),FALSE))),"")</f>
        <v/>
      </c>
      <c r="I325" s="14" t="str">
        <f>IFERROR((VLOOKUP($A325,'[1]import success seats course'!$A:W,HLOOKUP('[1]Course Totals'!I$4,'[1]import success seats course'!$1:$2,2,FALSE),FALSE)/(VLOOKUP($A325,'[1]import graded seats course pivo'!$A:AG,HLOOKUP('[1]Course Totals'!I$4,'[1]import graded seats course pivo'!$1:$2,2,FALSE),FALSE))),"")</f>
        <v/>
      </c>
      <c r="J325" s="14" t="str">
        <f>IFERROR((VLOOKUP($A325,'[1]import success seats course'!$A:X,HLOOKUP('[1]Course Totals'!J$4,'[1]import success seats course'!$1:$2,2,FALSE),FALSE)/(VLOOKUP($A325,'[1]import graded seats course pivo'!$A:AH,HLOOKUP('[1]Course Totals'!J$4,'[1]import graded seats course pivo'!$1:$2,2,FALSE),FALSE))),"")</f>
        <v/>
      </c>
      <c r="K325" s="14" t="str">
        <f>IFERROR((VLOOKUP($A325,'[1]import success seats course'!$A:Y,HLOOKUP('[1]Course Totals'!K$4,'[1]import success seats course'!$1:$2,2,FALSE),FALSE)/(VLOOKUP($A325,'[1]import graded seats course pivo'!$A:AI,HLOOKUP('[1]Course Totals'!K$4,'[1]import graded seats course pivo'!$1:$2,2,FALSE),FALSE))),"")</f>
        <v/>
      </c>
      <c r="L325" s="14" t="str">
        <f>IFERROR((VLOOKUP($A325,'[1]import success seats course'!$A:Z,HLOOKUP('[1]Course Totals'!L$4,'[1]import success seats course'!$1:$2,2,FALSE),FALSE)/(VLOOKUP($A325,'[1]import graded seats course pivo'!$A:AJ,HLOOKUP('[1]Course Totals'!L$4,'[1]import graded seats course pivo'!$1:$2,2,FALSE),FALSE))),"")</f>
        <v/>
      </c>
      <c r="M325" s="14" t="str">
        <f>IFERROR((VLOOKUP($A325,'[1]import success seats course'!$A:AA,HLOOKUP('[1]Course Totals'!M$4,'[1]import success seats course'!$1:$2,2,FALSE),FALSE)/(VLOOKUP($A325,'[1]import graded seats course pivo'!$A:AK,HLOOKUP('[1]Course Totals'!M$4,'[1]import graded seats course pivo'!$1:$2,2,FALSE),FALSE))),"")</f>
        <v/>
      </c>
      <c r="N325" s="14" t="str">
        <f>IFERROR((VLOOKUP($A325,'[1]import success seats course'!$A:AB,HLOOKUP('[1]Course Totals'!N$4,'[1]import success seats course'!$1:$2,2,FALSE),FALSE)/(VLOOKUP($A325,'[1]import graded seats course pivo'!$A:AL,HLOOKUP('[1]Course Totals'!N$4,'[1]import graded seats course pivo'!$1:$2,2,FALSE),FALSE))),"")</f>
        <v/>
      </c>
      <c r="O325" s="14" t="str">
        <f>IFERROR((VLOOKUP($A325,'[1]import success seats course'!$A:AC,HLOOKUP('[1]Course Totals'!O$4,'[1]import success seats course'!$1:$2,2,FALSE),FALSE)/(VLOOKUP($A325,'[1]import graded seats course pivo'!$A:AM,HLOOKUP('[1]Course Totals'!O$4,'[1]import graded seats course pivo'!$1:$2,2,FALSE),FALSE))),"")</f>
        <v/>
      </c>
      <c r="P325" s="14" t="str">
        <f>IFERROR((VLOOKUP($A325,'[1]import success seats course'!$A:AD,HLOOKUP('[1]Course Totals'!P$4,'[1]import success seats course'!$1:$2,2,FALSE),FALSE)/(VLOOKUP($A325,'[1]import graded seats course pivo'!$A:AN,HLOOKUP('[1]Course Totals'!P$4,'[1]import graded seats course pivo'!$1:$2,2,FALSE),FALSE))),"")</f>
        <v/>
      </c>
      <c r="Q325" s="14" t="str">
        <f>IFERROR((VLOOKUP($A325,'[1]import success seats course'!$A:AE,HLOOKUP('[1]Course Totals'!Q$4,'[1]import success seats course'!$1:$2,2,FALSE),FALSE)/(VLOOKUP($A325,'[1]import graded seats course pivo'!$A:AO,HLOOKUP('[1]Course Totals'!Q$4,'[1]import graded seats course pivo'!$1:$2,2,FALSE),FALSE))),"")</f>
        <v/>
      </c>
      <c r="R325" s="14" t="str">
        <f>IFERROR((VLOOKUP($A325,'[1]import success seats course'!$A:AF,HLOOKUP('[1]Course Totals'!R$4,'[1]import success seats course'!$1:$2,2,FALSE),FALSE)/(VLOOKUP($A325,'[1]import graded seats course pivo'!$A:AP,HLOOKUP('[1]Course Totals'!R$4,'[1]import graded seats course pivo'!$1:$2,2,FALSE),FALSE))),"")</f>
        <v/>
      </c>
      <c r="S325" s="14" t="str">
        <f>IFERROR((VLOOKUP($A325,'[1]import success seats course'!$A:AG,HLOOKUP('[1]Course Totals'!S$4,'[1]import success seats course'!$1:$2,2,FALSE),FALSE)/(VLOOKUP($A325,'[1]import graded seats course pivo'!$A:AQ,HLOOKUP('[1]Course Totals'!S$4,'[1]import graded seats course pivo'!$1:$2,2,FALSE),FALSE))),"")</f>
        <v/>
      </c>
      <c r="Z325" s="7"/>
      <c r="AA325" s="7"/>
      <c r="AB325" s="7"/>
      <c r="AC325" s="7"/>
    </row>
    <row r="326" spans="1:29" s="7" customFormat="1" ht="15.75" x14ac:dyDescent="0.25">
      <c r="A326" s="9" t="s">
        <v>1139</v>
      </c>
      <c r="B326" s="67" t="str">
        <f>'[1]Subject TOTALS'!$B$1:$P$1</f>
        <v xml:space="preserve">MVC Retention Rates </v>
      </c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</row>
    <row r="327" spans="1:29" ht="15.75" customHeight="1" thickBot="1" x14ac:dyDescent="0.3">
      <c r="A327" s="8" t="str">
        <f>'[1]SUBJECTS BASE'!H16</f>
        <v>Chemistry</v>
      </c>
      <c r="B327" s="38" t="s">
        <v>1046</v>
      </c>
      <c r="C327" s="39" t="s">
        <v>0</v>
      </c>
      <c r="D327" s="40" t="s">
        <v>868</v>
      </c>
      <c r="E327" s="41" t="s">
        <v>1052</v>
      </c>
      <c r="F327" s="42" t="s">
        <v>546</v>
      </c>
      <c r="G327" s="43" t="s">
        <v>959</v>
      </c>
      <c r="H327" s="44" t="s">
        <v>1060</v>
      </c>
      <c r="I327" s="39" t="s">
        <v>675</v>
      </c>
      <c r="J327" s="45" t="s">
        <v>1006</v>
      </c>
      <c r="K327" s="46" t="s">
        <v>1062</v>
      </c>
      <c r="L327" s="42" t="s">
        <v>762</v>
      </c>
      <c r="M327" s="43" t="s">
        <v>1022</v>
      </c>
      <c r="N327" s="44" t="s">
        <v>1063</v>
      </c>
      <c r="O327" s="39" t="s">
        <v>822</v>
      </c>
      <c r="P327" s="40" t="s">
        <v>1042</v>
      </c>
      <c r="Q327" s="46" t="s">
        <v>1153</v>
      </c>
      <c r="R327" s="42" t="s">
        <v>1154</v>
      </c>
      <c r="S327" s="43" t="s">
        <v>1155</v>
      </c>
      <c r="Z327" s="7"/>
      <c r="AA327" s="7"/>
      <c r="AB327" s="7"/>
      <c r="AC327" s="7"/>
    </row>
    <row r="328" spans="1:29" ht="15.75" customHeight="1" x14ac:dyDescent="0.25">
      <c r="A328" s="12" t="s">
        <v>163</v>
      </c>
      <c r="B328" s="14">
        <f>IFERROR((VLOOKUP($A328,'[1]import success seats course'!$A:P,HLOOKUP('[1]Course Totals'!B$4,'[1]import success seats course'!$1:$2,2,FALSE),FALSE)/(VLOOKUP($A328,'[1]import graded seats course pivo'!$A:Z,HLOOKUP('[1]Course Totals'!B$4,'[1]import graded seats course pivo'!$1:$2,2,FALSE),FALSE))),"")</f>
        <v>0.91666666666666663</v>
      </c>
      <c r="C328" s="14">
        <f>IFERROR((VLOOKUP($A328,'[1]import success seats course'!$A:Q,HLOOKUP('[1]Course Totals'!C$4,'[1]import success seats course'!$1:$2,2,FALSE),FALSE)/(VLOOKUP($A328,'[1]import graded seats course pivo'!$A:AA,HLOOKUP('[1]Course Totals'!C$4,'[1]import graded seats course pivo'!$1:$2,2,FALSE),FALSE))),"")</f>
        <v>0.86111111111111116</v>
      </c>
      <c r="D328" s="14">
        <f>IFERROR((VLOOKUP($A328,'[1]import success seats course'!$A:R,HLOOKUP('[1]Course Totals'!D$4,'[1]import success seats course'!$1:$2,2,FALSE),FALSE)/(VLOOKUP($A328,'[1]import graded seats course pivo'!$A:AB,HLOOKUP('[1]Course Totals'!D$4,'[1]import graded seats course pivo'!$1:$2,2,FALSE),FALSE))),"")</f>
        <v>0.7528089887640449</v>
      </c>
      <c r="E328" s="14">
        <f>IFERROR((VLOOKUP($A328,'[1]import success seats course'!$A:S,HLOOKUP('[1]Course Totals'!E$4,'[1]import success seats course'!$1:$2,2,FALSE),FALSE)/(VLOOKUP($A328,'[1]import graded seats course pivo'!$A:AC,HLOOKUP('[1]Course Totals'!E$4,'[1]import graded seats course pivo'!$1:$2,2,FALSE),FALSE))),"")</f>
        <v>0.80952380952380953</v>
      </c>
      <c r="F328" s="14">
        <f>IFERROR((VLOOKUP($A328,'[1]import success seats course'!$A:T,HLOOKUP('[1]Course Totals'!F$4,'[1]import success seats course'!$1:$2,2,FALSE),FALSE)/(VLOOKUP($A328,'[1]import graded seats course pivo'!$A:AD,HLOOKUP('[1]Course Totals'!F$4,'[1]import graded seats course pivo'!$1:$2,2,FALSE),FALSE))),"")</f>
        <v>0.82524271844660191</v>
      </c>
      <c r="G328" s="14">
        <f>IFERROR((VLOOKUP($A328,'[1]import success seats course'!$A:U,HLOOKUP('[1]Course Totals'!G$4,'[1]import success seats course'!$1:$2,2,FALSE),FALSE)/(VLOOKUP($A328,'[1]import graded seats course pivo'!$A:AE,HLOOKUP('[1]Course Totals'!G$4,'[1]import graded seats course pivo'!$1:$2,2,FALSE),FALSE))),"")</f>
        <v>0.9375</v>
      </c>
      <c r="H328" s="14">
        <f>IFERROR((VLOOKUP($A328,'[1]import success seats course'!$A:V,HLOOKUP('[1]Course Totals'!H$4,'[1]import success seats course'!$1:$2,2,FALSE),FALSE)/(VLOOKUP($A328,'[1]import graded seats course pivo'!$A:AF,HLOOKUP('[1]Course Totals'!H$4,'[1]import graded seats course pivo'!$1:$2,2,FALSE),FALSE))),"")</f>
        <v>0.94117647058823528</v>
      </c>
      <c r="I328" s="14">
        <f>IFERROR((VLOOKUP($A328,'[1]import success seats course'!$A:W,HLOOKUP('[1]Course Totals'!I$4,'[1]import success seats course'!$1:$2,2,FALSE),FALSE)/(VLOOKUP($A328,'[1]import graded seats course pivo'!$A:AG,HLOOKUP('[1]Course Totals'!I$4,'[1]import graded seats course pivo'!$1:$2,2,FALSE),FALSE))),"")</f>
        <v>0.83064516129032262</v>
      </c>
      <c r="J328" s="14">
        <f>IFERROR((VLOOKUP($A328,'[1]import success seats course'!$A:X,HLOOKUP('[1]Course Totals'!J$4,'[1]import success seats course'!$1:$2,2,FALSE),FALSE)/(VLOOKUP($A328,'[1]import graded seats course pivo'!$A:AH,HLOOKUP('[1]Course Totals'!J$4,'[1]import graded seats course pivo'!$1:$2,2,FALSE),FALSE))),"")</f>
        <v>0.8188405797101449</v>
      </c>
      <c r="K328" s="14">
        <f>IFERROR((VLOOKUP($A328,'[1]import success seats course'!$A:Y,HLOOKUP('[1]Course Totals'!K$4,'[1]import success seats course'!$1:$2,2,FALSE),FALSE)/(VLOOKUP($A328,'[1]import graded seats course pivo'!$A:AI,HLOOKUP('[1]Course Totals'!K$4,'[1]import graded seats course pivo'!$1:$2,2,FALSE),FALSE))),"")</f>
        <v>0.9</v>
      </c>
      <c r="L328" s="14">
        <f>IFERROR((VLOOKUP($A328,'[1]import success seats course'!$A:Z,HLOOKUP('[1]Course Totals'!L$4,'[1]import success seats course'!$1:$2,2,FALSE),FALSE)/(VLOOKUP($A328,'[1]import graded seats course pivo'!$A:AJ,HLOOKUP('[1]Course Totals'!L$4,'[1]import graded seats course pivo'!$1:$2,2,FALSE),FALSE))),"")</f>
        <v>0.77049180327868849</v>
      </c>
      <c r="M328" s="14">
        <f>IFERROR((VLOOKUP($A328,'[1]import success seats course'!$A:AA,HLOOKUP('[1]Course Totals'!M$4,'[1]import success seats course'!$1:$2,2,FALSE),FALSE)/(VLOOKUP($A328,'[1]import graded seats course pivo'!$A:AK,HLOOKUP('[1]Course Totals'!M$4,'[1]import graded seats course pivo'!$1:$2,2,FALSE),FALSE))),"")</f>
        <v>0.75</v>
      </c>
      <c r="N328" s="14" t="str">
        <f>IFERROR((VLOOKUP($A328,'[1]import success seats course'!$A:AB,HLOOKUP('[1]Course Totals'!N$4,'[1]import success seats course'!$1:$2,2,FALSE),FALSE)/(VLOOKUP($A328,'[1]import graded seats course pivo'!$A:AL,HLOOKUP('[1]Course Totals'!N$4,'[1]import graded seats course pivo'!$1:$2,2,FALSE),FALSE))),"")</f>
        <v/>
      </c>
      <c r="O328" s="14">
        <f>IFERROR((VLOOKUP($A328,'[1]import success seats course'!$A:AC,HLOOKUP('[1]Course Totals'!O$4,'[1]import success seats course'!$1:$2,2,FALSE),FALSE)/(VLOOKUP($A328,'[1]import graded seats course pivo'!$A:AM,HLOOKUP('[1]Course Totals'!O$4,'[1]import graded seats course pivo'!$1:$2,2,FALSE),FALSE))),"")</f>
        <v>0.8539325842696629</v>
      </c>
      <c r="P328" s="14">
        <f>IFERROR((VLOOKUP($A328,'[1]import success seats course'!$A:AD,HLOOKUP('[1]Course Totals'!P$4,'[1]import success seats course'!$1:$2,2,FALSE),FALSE)/(VLOOKUP($A328,'[1]import graded seats course pivo'!$A:AN,HLOOKUP('[1]Course Totals'!P$4,'[1]import graded seats course pivo'!$1:$2,2,FALSE),FALSE))),"")</f>
        <v>0.8</v>
      </c>
      <c r="Q328" s="14">
        <f>IFERROR((VLOOKUP($A328,'[1]import success seats course'!$A:AE,HLOOKUP('[1]Course Totals'!Q$4,'[1]import success seats course'!$1:$2,2,FALSE),FALSE)/(VLOOKUP($A328,'[1]import graded seats course pivo'!$A:AO,HLOOKUP('[1]Course Totals'!Q$4,'[1]import graded seats course pivo'!$1:$2,2,FALSE),FALSE))),"")</f>
        <v>0.73333333333333328</v>
      </c>
      <c r="R328" s="14">
        <f>IFERROR((VLOOKUP($A328,'[1]import success seats course'!$A:AF,HLOOKUP('[1]Course Totals'!R$4,'[1]import success seats course'!$1:$2,2,FALSE),FALSE)/(VLOOKUP($A328,'[1]import graded seats course pivo'!$A:AP,HLOOKUP('[1]Course Totals'!R$4,'[1]import graded seats course pivo'!$1:$2,2,FALSE),FALSE))),"")</f>
        <v>0.8</v>
      </c>
      <c r="S328" s="14">
        <f>IFERROR((VLOOKUP($A328,'[1]import success seats course'!$A:AG,HLOOKUP('[1]Course Totals'!S$4,'[1]import success seats course'!$1:$2,2,FALSE),FALSE)/(VLOOKUP($A328,'[1]import graded seats course pivo'!$A:AQ,HLOOKUP('[1]Course Totals'!S$4,'[1]import graded seats course pivo'!$1:$2,2,FALSE),FALSE))),"")</f>
        <v>0.74712643678160917</v>
      </c>
      <c r="Z328" s="7"/>
      <c r="AA328" s="7"/>
      <c r="AB328" s="7"/>
      <c r="AC328" s="7"/>
    </row>
    <row r="329" spans="1:29" ht="15.75" customHeight="1" x14ac:dyDescent="0.25">
      <c r="A329" s="12" t="s">
        <v>164</v>
      </c>
      <c r="B329" s="14">
        <f>IFERROR((VLOOKUP($A329,'[1]import success seats course'!$A:P,HLOOKUP('[1]Course Totals'!B$4,'[1]import success seats course'!$1:$2,2,FALSE),FALSE)/(VLOOKUP($A329,'[1]import graded seats course pivo'!$A:Z,HLOOKUP('[1]Course Totals'!B$4,'[1]import graded seats course pivo'!$1:$2,2,FALSE),FALSE))),"")</f>
        <v>0.93548387096774188</v>
      </c>
      <c r="C329" s="14">
        <f>IFERROR((VLOOKUP($A329,'[1]import success seats course'!$A:Q,HLOOKUP('[1]Course Totals'!C$4,'[1]import success seats course'!$1:$2,2,FALSE),FALSE)/(VLOOKUP($A329,'[1]import graded seats course pivo'!$A:AA,HLOOKUP('[1]Course Totals'!C$4,'[1]import graded seats course pivo'!$1:$2,2,FALSE),FALSE))),"")</f>
        <v>0.81372549019607843</v>
      </c>
      <c r="D329" s="14">
        <f>IFERROR((VLOOKUP($A329,'[1]import success seats course'!$A:R,HLOOKUP('[1]Course Totals'!D$4,'[1]import success seats course'!$1:$2,2,FALSE),FALSE)/(VLOOKUP($A329,'[1]import graded seats course pivo'!$A:AB,HLOOKUP('[1]Course Totals'!D$4,'[1]import graded seats course pivo'!$1:$2,2,FALSE),FALSE))),"")</f>
        <v>0.86538461538461542</v>
      </c>
      <c r="E329" s="14">
        <f>IFERROR((VLOOKUP($A329,'[1]import success seats course'!$A:S,HLOOKUP('[1]Course Totals'!E$4,'[1]import success seats course'!$1:$2,2,FALSE),FALSE)/(VLOOKUP($A329,'[1]import graded seats course pivo'!$A:AC,HLOOKUP('[1]Course Totals'!E$4,'[1]import graded seats course pivo'!$1:$2,2,FALSE),FALSE))),"")</f>
        <v>0.88888888888888884</v>
      </c>
      <c r="F329" s="14">
        <f>IFERROR((VLOOKUP($A329,'[1]import success seats course'!$A:T,HLOOKUP('[1]Course Totals'!F$4,'[1]import success seats course'!$1:$2,2,FALSE),FALSE)/(VLOOKUP($A329,'[1]import graded seats course pivo'!$A:AD,HLOOKUP('[1]Course Totals'!F$4,'[1]import graded seats course pivo'!$1:$2,2,FALSE),FALSE))),"")</f>
        <v>0.84848484848484851</v>
      </c>
      <c r="G329" s="14">
        <f>IFERROR((VLOOKUP($A329,'[1]import success seats course'!$A:U,HLOOKUP('[1]Course Totals'!G$4,'[1]import success seats course'!$1:$2,2,FALSE),FALSE)/(VLOOKUP($A329,'[1]import graded seats course pivo'!$A:AE,HLOOKUP('[1]Course Totals'!G$4,'[1]import graded seats course pivo'!$1:$2,2,FALSE),FALSE))),"")</f>
        <v>0.85567010309278346</v>
      </c>
      <c r="H329" s="14">
        <f>IFERROR((VLOOKUP($A329,'[1]import success seats course'!$A:V,HLOOKUP('[1]Course Totals'!H$4,'[1]import success seats course'!$1:$2,2,FALSE),FALSE)/(VLOOKUP($A329,'[1]import graded seats course pivo'!$A:AF,HLOOKUP('[1]Course Totals'!H$4,'[1]import graded seats course pivo'!$1:$2,2,FALSE),FALSE))),"")</f>
        <v>0.87878787878787878</v>
      </c>
      <c r="I329" s="14">
        <f>IFERROR((VLOOKUP($A329,'[1]import success seats course'!$A:W,HLOOKUP('[1]Course Totals'!I$4,'[1]import success seats course'!$1:$2,2,FALSE),FALSE)/(VLOOKUP($A329,'[1]import graded seats course pivo'!$A:AG,HLOOKUP('[1]Course Totals'!I$4,'[1]import graded seats course pivo'!$1:$2,2,FALSE),FALSE))),"")</f>
        <v>0.81188118811881194</v>
      </c>
      <c r="J329" s="14">
        <f>IFERROR((VLOOKUP($A329,'[1]import success seats course'!$A:X,HLOOKUP('[1]Course Totals'!J$4,'[1]import success seats course'!$1:$2,2,FALSE),FALSE)/(VLOOKUP($A329,'[1]import graded seats course pivo'!$A:AH,HLOOKUP('[1]Course Totals'!J$4,'[1]import graded seats course pivo'!$1:$2,2,FALSE),FALSE))),"")</f>
        <v>0.93548387096774188</v>
      </c>
      <c r="K329" s="14">
        <f>IFERROR((VLOOKUP($A329,'[1]import success seats course'!$A:Y,HLOOKUP('[1]Course Totals'!K$4,'[1]import success seats course'!$1:$2,2,FALSE),FALSE)/(VLOOKUP($A329,'[1]import graded seats course pivo'!$A:AI,HLOOKUP('[1]Course Totals'!K$4,'[1]import graded seats course pivo'!$1:$2,2,FALSE),FALSE))),"")</f>
        <v>0.93103448275862066</v>
      </c>
      <c r="L329" s="14">
        <f>IFERROR((VLOOKUP($A329,'[1]import success seats course'!$A:Z,HLOOKUP('[1]Course Totals'!L$4,'[1]import success seats course'!$1:$2,2,FALSE),FALSE)/(VLOOKUP($A329,'[1]import graded seats course pivo'!$A:AJ,HLOOKUP('[1]Course Totals'!L$4,'[1]import graded seats course pivo'!$1:$2,2,FALSE),FALSE))),"")</f>
        <v>0.78494623655913975</v>
      </c>
      <c r="M329" s="14">
        <f>IFERROR((VLOOKUP($A329,'[1]import success seats course'!$A:AA,HLOOKUP('[1]Course Totals'!M$4,'[1]import success seats course'!$1:$2,2,FALSE),FALSE)/(VLOOKUP($A329,'[1]import graded seats course pivo'!$A:AK,HLOOKUP('[1]Course Totals'!M$4,'[1]import graded seats course pivo'!$1:$2,2,FALSE),FALSE))),"")</f>
        <v>0.81632653061224492</v>
      </c>
      <c r="N329" s="14" t="str">
        <f>IFERROR((VLOOKUP($A329,'[1]import success seats course'!$A:AB,HLOOKUP('[1]Course Totals'!N$4,'[1]import success seats course'!$1:$2,2,FALSE),FALSE)/(VLOOKUP($A329,'[1]import graded seats course pivo'!$A:AL,HLOOKUP('[1]Course Totals'!N$4,'[1]import graded seats course pivo'!$1:$2,2,FALSE),FALSE))),"")</f>
        <v/>
      </c>
      <c r="O329" s="14">
        <f>IFERROR((VLOOKUP($A329,'[1]import success seats course'!$A:AC,HLOOKUP('[1]Course Totals'!O$4,'[1]import success seats course'!$1:$2,2,FALSE),FALSE)/(VLOOKUP($A329,'[1]import graded seats course pivo'!$A:AM,HLOOKUP('[1]Course Totals'!O$4,'[1]import graded seats course pivo'!$1:$2,2,FALSE),FALSE))),"")</f>
        <v>0.89423076923076927</v>
      </c>
      <c r="P329" s="14">
        <f>IFERROR((VLOOKUP($A329,'[1]import success seats course'!$A:AD,HLOOKUP('[1]Course Totals'!P$4,'[1]import success seats course'!$1:$2,2,FALSE),FALSE)/(VLOOKUP($A329,'[1]import graded seats course pivo'!$A:AN,HLOOKUP('[1]Course Totals'!P$4,'[1]import graded seats course pivo'!$1:$2,2,FALSE),FALSE))),"")</f>
        <v>0.9042553191489362</v>
      </c>
      <c r="Q329" s="14">
        <f>IFERROR((VLOOKUP($A329,'[1]import success seats course'!$A:AE,HLOOKUP('[1]Course Totals'!Q$4,'[1]import success seats course'!$1:$2,2,FALSE),FALSE)/(VLOOKUP($A329,'[1]import graded seats course pivo'!$A:AO,HLOOKUP('[1]Course Totals'!Q$4,'[1]import graded seats course pivo'!$1:$2,2,FALSE),FALSE))),"")</f>
        <v>0.90909090909090906</v>
      </c>
      <c r="R329" s="14">
        <f>IFERROR((VLOOKUP($A329,'[1]import success seats course'!$A:AF,HLOOKUP('[1]Course Totals'!R$4,'[1]import success seats course'!$1:$2,2,FALSE),FALSE)/(VLOOKUP($A329,'[1]import graded seats course pivo'!$A:AP,HLOOKUP('[1]Course Totals'!R$4,'[1]import graded seats course pivo'!$1:$2,2,FALSE),FALSE))),"")</f>
        <v>0.83333333333333337</v>
      </c>
      <c r="S329" s="14">
        <f>IFERROR((VLOOKUP($A329,'[1]import success seats course'!$A:AG,HLOOKUP('[1]Course Totals'!S$4,'[1]import success seats course'!$1:$2,2,FALSE),FALSE)/(VLOOKUP($A329,'[1]import graded seats course pivo'!$A:AQ,HLOOKUP('[1]Course Totals'!S$4,'[1]import graded seats course pivo'!$1:$2,2,FALSE),FALSE))),"")</f>
        <v>0.76344086021505375</v>
      </c>
      <c r="Z329" s="7"/>
      <c r="AA329" s="7"/>
      <c r="AB329" s="7"/>
      <c r="AC329" s="7"/>
    </row>
    <row r="330" spans="1:29" ht="15.75" customHeight="1" x14ac:dyDescent="0.25">
      <c r="A330" s="12" t="s">
        <v>165</v>
      </c>
      <c r="B330" s="14" t="str">
        <f>IFERROR((VLOOKUP($A330,'[1]import success seats course'!$A:P,HLOOKUP('[1]Course Totals'!B$4,'[1]import success seats course'!$1:$2,2,FALSE),FALSE)/(VLOOKUP($A330,'[1]import graded seats course pivo'!$A:Z,HLOOKUP('[1]Course Totals'!B$4,'[1]import graded seats course pivo'!$1:$2,2,FALSE),FALSE))),"")</f>
        <v/>
      </c>
      <c r="C330" s="14">
        <f>IFERROR((VLOOKUP($A330,'[1]import success seats course'!$A:Q,HLOOKUP('[1]Course Totals'!C$4,'[1]import success seats course'!$1:$2,2,FALSE),FALSE)/(VLOOKUP($A330,'[1]import graded seats course pivo'!$A:AA,HLOOKUP('[1]Course Totals'!C$4,'[1]import graded seats course pivo'!$1:$2,2,FALSE),FALSE))),"")</f>
        <v>0.67924528301886788</v>
      </c>
      <c r="D330" s="14">
        <f>IFERROR((VLOOKUP($A330,'[1]import success seats course'!$A:R,HLOOKUP('[1]Course Totals'!D$4,'[1]import success seats course'!$1:$2,2,FALSE),FALSE)/(VLOOKUP($A330,'[1]import graded seats course pivo'!$A:AB,HLOOKUP('[1]Course Totals'!D$4,'[1]import graded seats course pivo'!$1:$2,2,FALSE),FALSE))),"")</f>
        <v>0.81034482758620685</v>
      </c>
      <c r="E330" s="14" t="str">
        <f>IFERROR((VLOOKUP($A330,'[1]import success seats course'!$A:S,HLOOKUP('[1]Course Totals'!E$4,'[1]import success seats course'!$1:$2,2,FALSE),FALSE)/(VLOOKUP($A330,'[1]import graded seats course pivo'!$A:AC,HLOOKUP('[1]Course Totals'!E$4,'[1]import graded seats course pivo'!$1:$2,2,FALSE),FALSE))),"")</f>
        <v/>
      </c>
      <c r="F330" s="14">
        <f>IFERROR((VLOOKUP($A330,'[1]import success seats course'!$A:T,HLOOKUP('[1]Course Totals'!F$4,'[1]import success seats course'!$1:$2,2,FALSE),FALSE)/(VLOOKUP($A330,'[1]import graded seats course pivo'!$A:AD,HLOOKUP('[1]Course Totals'!F$4,'[1]import graded seats course pivo'!$1:$2,2,FALSE),FALSE))),"")</f>
        <v>0.78846153846153844</v>
      </c>
      <c r="G330" s="14">
        <f>IFERROR((VLOOKUP($A330,'[1]import success seats course'!$A:U,HLOOKUP('[1]Course Totals'!G$4,'[1]import success seats course'!$1:$2,2,FALSE),FALSE)/(VLOOKUP($A330,'[1]import graded seats course pivo'!$A:AE,HLOOKUP('[1]Course Totals'!G$4,'[1]import graded seats course pivo'!$1:$2,2,FALSE),FALSE))),"")</f>
        <v>0.75862068965517238</v>
      </c>
      <c r="H330" s="14" t="str">
        <f>IFERROR((VLOOKUP($A330,'[1]import success seats course'!$A:V,HLOOKUP('[1]Course Totals'!H$4,'[1]import success seats course'!$1:$2,2,FALSE),FALSE)/(VLOOKUP($A330,'[1]import graded seats course pivo'!$A:AF,HLOOKUP('[1]Course Totals'!H$4,'[1]import graded seats course pivo'!$1:$2,2,FALSE),FALSE))),"")</f>
        <v/>
      </c>
      <c r="I330" s="14">
        <f>IFERROR((VLOOKUP($A330,'[1]import success seats course'!$A:W,HLOOKUP('[1]Course Totals'!I$4,'[1]import success seats course'!$1:$2,2,FALSE),FALSE)/(VLOOKUP($A330,'[1]import graded seats course pivo'!$A:AG,HLOOKUP('[1]Course Totals'!I$4,'[1]import graded seats course pivo'!$1:$2,2,FALSE),FALSE))),"")</f>
        <v>0.65454545454545454</v>
      </c>
      <c r="J330" s="14">
        <f>IFERROR((VLOOKUP($A330,'[1]import success seats course'!$A:X,HLOOKUP('[1]Course Totals'!J$4,'[1]import success seats course'!$1:$2,2,FALSE),FALSE)/(VLOOKUP($A330,'[1]import graded seats course pivo'!$A:AH,HLOOKUP('[1]Course Totals'!J$4,'[1]import graded seats course pivo'!$1:$2,2,FALSE),FALSE))),"")</f>
        <v>0.82539682539682535</v>
      </c>
      <c r="K330" s="14" t="str">
        <f>IFERROR((VLOOKUP($A330,'[1]import success seats course'!$A:Y,HLOOKUP('[1]Course Totals'!K$4,'[1]import success seats course'!$1:$2,2,FALSE),FALSE)/(VLOOKUP($A330,'[1]import graded seats course pivo'!$A:AI,HLOOKUP('[1]Course Totals'!K$4,'[1]import graded seats course pivo'!$1:$2,2,FALSE),FALSE))),"")</f>
        <v/>
      </c>
      <c r="L330" s="14">
        <f>IFERROR((VLOOKUP($A330,'[1]import success seats course'!$A:Z,HLOOKUP('[1]Course Totals'!L$4,'[1]import success seats course'!$1:$2,2,FALSE),FALSE)/(VLOOKUP($A330,'[1]import graded seats course pivo'!$A:AJ,HLOOKUP('[1]Course Totals'!L$4,'[1]import graded seats course pivo'!$1:$2,2,FALSE),FALSE))),"")</f>
        <v>0.79629629629629628</v>
      </c>
      <c r="M330" s="14">
        <f>IFERROR((VLOOKUP($A330,'[1]import success seats course'!$A:AA,HLOOKUP('[1]Course Totals'!M$4,'[1]import success seats course'!$1:$2,2,FALSE),FALSE)/(VLOOKUP($A330,'[1]import graded seats course pivo'!$A:AK,HLOOKUP('[1]Course Totals'!M$4,'[1]import graded seats course pivo'!$1:$2,2,FALSE),FALSE))),"")</f>
        <v>0.8214285714285714</v>
      </c>
      <c r="N330" s="14" t="str">
        <f>IFERROR((VLOOKUP($A330,'[1]import success seats course'!$A:AB,HLOOKUP('[1]Course Totals'!N$4,'[1]import success seats course'!$1:$2,2,FALSE),FALSE)/(VLOOKUP($A330,'[1]import graded seats course pivo'!$A:AL,HLOOKUP('[1]Course Totals'!N$4,'[1]import graded seats course pivo'!$1:$2,2,FALSE),FALSE))),"")</f>
        <v/>
      </c>
      <c r="O330" s="14">
        <f>IFERROR((VLOOKUP($A330,'[1]import success seats course'!$A:AC,HLOOKUP('[1]Course Totals'!O$4,'[1]import success seats course'!$1:$2,2,FALSE),FALSE)/(VLOOKUP($A330,'[1]import graded seats course pivo'!$A:AM,HLOOKUP('[1]Course Totals'!O$4,'[1]import graded seats course pivo'!$1:$2,2,FALSE),FALSE))),"")</f>
        <v>0.86792452830188682</v>
      </c>
      <c r="P330" s="14">
        <f>IFERROR((VLOOKUP($A330,'[1]import success seats course'!$A:AD,HLOOKUP('[1]Course Totals'!P$4,'[1]import success seats course'!$1:$2,2,FALSE),FALSE)/(VLOOKUP($A330,'[1]import graded seats course pivo'!$A:AN,HLOOKUP('[1]Course Totals'!P$4,'[1]import graded seats course pivo'!$1:$2,2,FALSE),FALSE))),"")</f>
        <v>0.85483870967741937</v>
      </c>
      <c r="Q330" s="14" t="str">
        <f>IFERROR((VLOOKUP($A330,'[1]import success seats course'!$A:AE,HLOOKUP('[1]Course Totals'!Q$4,'[1]import success seats course'!$1:$2,2,FALSE),FALSE)/(VLOOKUP($A330,'[1]import graded seats course pivo'!$A:AO,HLOOKUP('[1]Course Totals'!Q$4,'[1]import graded seats course pivo'!$1:$2,2,FALSE),FALSE))),"")</f>
        <v/>
      </c>
      <c r="R330" s="14">
        <f>IFERROR((VLOOKUP($A330,'[1]import success seats course'!$A:AF,HLOOKUP('[1]Course Totals'!R$4,'[1]import success seats course'!$1:$2,2,FALSE),FALSE)/(VLOOKUP($A330,'[1]import graded seats course pivo'!$A:AP,HLOOKUP('[1]Course Totals'!R$4,'[1]import graded seats course pivo'!$1:$2,2,FALSE),FALSE))),"")</f>
        <v>0.88235294117647056</v>
      </c>
      <c r="S330" s="14">
        <f>IFERROR((VLOOKUP($A330,'[1]import success seats course'!$A:AG,HLOOKUP('[1]Course Totals'!S$4,'[1]import success seats course'!$1:$2,2,FALSE),FALSE)/(VLOOKUP($A330,'[1]import graded seats course pivo'!$A:AQ,HLOOKUP('[1]Course Totals'!S$4,'[1]import graded seats course pivo'!$1:$2,2,FALSE),FALSE))),"")</f>
        <v>0.77192982456140347</v>
      </c>
      <c r="Z330" s="7"/>
      <c r="AA330" s="7"/>
      <c r="AB330" s="7"/>
      <c r="AC330" s="7"/>
    </row>
    <row r="331" spans="1:29" ht="15.75" customHeight="1" x14ac:dyDescent="0.25">
      <c r="A331" s="12" t="s">
        <v>709</v>
      </c>
      <c r="B331" s="14" t="str">
        <f>IFERROR((VLOOKUP($A331,'[1]import success seats course'!$A:P,HLOOKUP('[1]Course Totals'!B$4,'[1]import success seats course'!$1:$2,2,FALSE),FALSE)/(VLOOKUP($A331,'[1]import graded seats course pivo'!$A:Z,HLOOKUP('[1]Course Totals'!B$4,'[1]import graded seats course pivo'!$1:$2,2,FALSE),FALSE))),"")</f>
        <v/>
      </c>
      <c r="C331" s="14" t="str">
        <f>IFERROR((VLOOKUP($A331,'[1]import success seats course'!$A:Q,HLOOKUP('[1]Course Totals'!C$4,'[1]import success seats course'!$1:$2,2,FALSE),FALSE)/(VLOOKUP($A331,'[1]import graded seats course pivo'!$A:AA,HLOOKUP('[1]Course Totals'!C$4,'[1]import graded seats course pivo'!$1:$2,2,FALSE),FALSE))),"")</f>
        <v/>
      </c>
      <c r="D331" s="14" t="str">
        <f>IFERROR((VLOOKUP($A331,'[1]import success seats course'!$A:R,HLOOKUP('[1]Course Totals'!D$4,'[1]import success seats course'!$1:$2,2,FALSE),FALSE)/(VLOOKUP($A331,'[1]import graded seats course pivo'!$A:AB,HLOOKUP('[1]Course Totals'!D$4,'[1]import graded seats course pivo'!$1:$2,2,FALSE),FALSE))),"")</f>
        <v/>
      </c>
      <c r="E331" s="14" t="str">
        <f>IFERROR((VLOOKUP($A331,'[1]import success seats course'!$A:S,HLOOKUP('[1]Course Totals'!E$4,'[1]import success seats course'!$1:$2,2,FALSE),FALSE)/(VLOOKUP($A331,'[1]import graded seats course pivo'!$A:AC,HLOOKUP('[1]Course Totals'!E$4,'[1]import graded seats course pivo'!$1:$2,2,FALSE),FALSE))),"")</f>
        <v/>
      </c>
      <c r="F331" s="14" t="str">
        <f>IFERROR((VLOOKUP($A331,'[1]import success seats course'!$A:T,HLOOKUP('[1]Course Totals'!F$4,'[1]import success seats course'!$1:$2,2,FALSE),FALSE)/(VLOOKUP($A331,'[1]import graded seats course pivo'!$A:AD,HLOOKUP('[1]Course Totals'!F$4,'[1]import graded seats course pivo'!$1:$2,2,FALSE),FALSE))),"")</f>
        <v/>
      </c>
      <c r="G331" s="14" t="str">
        <f>IFERROR((VLOOKUP($A331,'[1]import success seats course'!$A:U,HLOOKUP('[1]Course Totals'!G$4,'[1]import success seats course'!$1:$2,2,FALSE),FALSE)/(VLOOKUP($A331,'[1]import graded seats course pivo'!$A:AE,HLOOKUP('[1]Course Totals'!G$4,'[1]import graded seats course pivo'!$1:$2,2,FALSE),FALSE))),"")</f>
        <v/>
      </c>
      <c r="H331" s="14" t="str">
        <f>IFERROR((VLOOKUP($A331,'[1]import success seats course'!$A:V,HLOOKUP('[1]Course Totals'!H$4,'[1]import success seats course'!$1:$2,2,FALSE),FALSE)/(VLOOKUP($A331,'[1]import graded seats course pivo'!$A:AF,HLOOKUP('[1]Course Totals'!H$4,'[1]import graded seats course pivo'!$1:$2,2,FALSE),FALSE))),"")</f>
        <v/>
      </c>
      <c r="I331" s="14" t="str">
        <f>IFERROR((VLOOKUP($A331,'[1]import success seats course'!$A:W,HLOOKUP('[1]Course Totals'!I$4,'[1]import success seats course'!$1:$2,2,FALSE),FALSE)/(VLOOKUP($A331,'[1]import graded seats course pivo'!$A:AG,HLOOKUP('[1]Course Totals'!I$4,'[1]import graded seats course pivo'!$1:$2,2,FALSE),FALSE))),"")</f>
        <v/>
      </c>
      <c r="J331" s="14" t="str">
        <f>IFERROR((VLOOKUP($A331,'[1]import success seats course'!$A:X,HLOOKUP('[1]Course Totals'!J$4,'[1]import success seats course'!$1:$2,2,FALSE),FALSE)/(VLOOKUP($A331,'[1]import graded seats course pivo'!$A:AH,HLOOKUP('[1]Course Totals'!J$4,'[1]import graded seats course pivo'!$1:$2,2,FALSE),FALSE))),"")</f>
        <v/>
      </c>
      <c r="K331" s="14" t="str">
        <f>IFERROR((VLOOKUP($A331,'[1]import success seats course'!$A:Y,HLOOKUP('[1]Course Totals'!K$4,'[1]import success seats course'!$1:$2,2,FALSE),FALSE)/(VLOOKUP($A331,'[1]import graded seats course pivo'!$A:AI,HLOOKUP('[1]Course Totals'!K$4,'[1]import graded seats course pivo'!$1:$2,2,FALSE),FALSE))),"")</f>
        <v/>
      </c>
      <c r="L331" s="14" t="str">
        <f>IFERROR((VLOOKUP($A331,'[1]import success seats course'!$A:Z,HLOOKUP('[1]Course Totals'!L$4,'[1]import success seats course'!$1:$2,2,FALSE),FALSE)/(VLOOKUP($A331,'[1]import graded seats course pivo'!$A:AJ,HLOOKUP('[1]Course Totals'!L$4,'[1]import graded seats course pivo'!$1:$2,2,FALSE),FALSE))),"")</f>
        <v/>
      </c>
      <c r="M331" s="14">
        <f>IFERROR((VLOOKUP($A331,'[1]import success seats course'!$A:AA,HLOOKUP('[1]Course Totals'!M$4,'[1]import success seats course'!$1:$2,2,FALSE),FALSE)/(VLOOKUP($A331,'[1]import graded seats course pivo'!$A:AK,HLOOKUP('[1]Course Totals'!M$4,'[1]import graded seats course pivo'!$1:$2,2,FALSE),FALSE))),"")</f>
        <v>0.90625</v>
      </c>
      <c r="N331" s="14" t="str">
        <f>IFERROR((VLOOKUP($A331,'[1]import success seats course'!$A:AB,HLOOKUP('[1]Course Totals'!N$4,'[1]import success seats course'!$1:$2,2,FALSE),FALSE)/(VLOOKUP($A331,'[1]import graded seats course pivo'!$A:AL,HLOOKUP('[1]Course Totals'!N$4,'[1]import graded seats course pivo'!$1:$2,2,FALSE),FALSE))),"")</f>
        <v/>
      </c>
      <c r="O331" s="14">
        <f>IFERROR((VLOOKUP($A331,'[1]import success seats course'!$A:AC,HLOOKUP('[1]Course Totals'!O$4,'[1]import success seats course'!$1:$2,2,FALSE),FALSE)/(VLOOKUP($A331,'[1]import graded seats course pivo'!$A:AM,HLOOKUP('[1]Course Totals'!O$4,'[1]import graded seats course pivo'!$1:$2,2,FALSE),FALSE))),"")</f>
        <v>0.96666666666666667</v>
      </c>
      <c r="P331" s="14">
        <f>IFERROR((VLOOKUP($A331,'[1]import success seats course'!$A:AD,HLOOKUP('[1]Course Totals'!P$4,'[1]import success seats course'!$1:$2,2,FALSE),FALSE)/(VLOOKUP($A331,'[1]import graded seats course pivo'!$A:AN,HLOOKUP('[1]Course Totals'!P$4,'[1]import graded seats course pivo'!$1:$2,2,FALSE),FALSE))),"")</f>
        <v>0.90625</v>
      </c>
      <c r="Q331" s="14" t="str">
        <f>IFERROR((VLOOKUP($A331,'[1]import success seats course'!$A:AE,HLOOKUP('[1]Course Totals'!Q$4,'[1]import success seats course'!$1:$2,2,FALSE),FALSE)/(VLOOKUP($A331,'[1]import graded seats course pivo'!$A:AO,HLOOKUP('[1]Course Totals'!Q$4,'[1]import graded seats course pivo'!$1:$2,2,FALSE),FALSE))),"")</f>
        <v/>
      </c>
      <c r="R331" s="14">
        <f>IFERROR((VLOOKUP($A331,'[1]import success seats course'!$A:AF,HLOOKUP('[1]Course Totals'!R$4,'[1]import success seats course'!$1:$2,2,FALSE),FALSE)/(VLOOKUP($A331,'[1]import graded seats course pivo'!$A:AP,HLOOKUP('[1]Course Totals'!R$4,'[1]import graded seats course pivo'!$1:$2,2,FALSE),FALSE))),"")</f>
        <v>0.61290322580645162</v>
      </c>
      <c r="S331" s="14">
        <f>IFERROR((VLOOKUP($A331,'[1]import success seats course'!$A:AG,HLOOKUP('[1]Course Totals'!S$4,'[1]import success seats course'!$1:$2,2,FALSE),FALSE)/(VLOOKUP($A331,'[1]import graded seats course pivo'!$A:AQ,HLOOKUP('[1]Course Totals'!S$4,'[1]import graded seats course pivo'!$1:$2,2,FALSE),FALSE))),"")</f>
        <v>0.52</v>
      </c>
      <c r="Z331" s="7"/>
      <c r="AA331" s="7"/>
      <c r="AB331" s="7"/>
      <c r="AC331" s="7"/>
    </row>
    <row r="332" spans="1:29" ht="15.75" hidden="1" customHeight="1" x14ac:dyDescent="0.25">
      <c r="A332" s="12" t="s">
        <v>166</v>
      </c>
      <c r="B332" s="14" t="str">
        <f>IFERROR((VLOOKUP($A332,'[1]import success seats course'!$A:P,HLOOKUP('[1]Course Totals'!B$4,'[1]import success seats course'!$1:$2,2,FALSE),FALSE)/(VLOOKUP($A332,'[1]import graded seats course pivo'!$A:Z,HLOOKUP('[1]Course Totals'!B$4,'[1]import graded seats course pivo'!$1:$2,2,FALSE),FALSE))),"")</f>
        <v/>
      </c>
      <c r="C332" s="14" t="str">
        <f>IFERROR((VLOOKUP($A332,'[1]import success seats course'!$A:Q,HLOOKUP('[1]Course Totals'!C$4,'[1]import success seats course'!$1:$2,2,FALSE),FALSE)/(VLOOKUP($A332,'[1]import graded seats course pivo'!$A:AA,HLOOKUP('[1]Course Totals'!C$4,'[1]import graded seats course pivo'!$1:$2,2,FALSE),FALSE))),"")</f>
        <v/>
      </c>
      <c r="D332" s="14" t="str">
        <f>IFERROR((VLOOKUP($A332,'[1]import success seats course'!$A:R,HLOOKUP('[1]Course Totals'!D$4,'[1]import success seats course'!$1:$2,2,FALSE),FALSE)/(VLOOKUP($A332,'[1]import graded seats course pivo'!$A:AB,HLOOKUP('[1]Course Totals'!D$4,'[1]import graded seats course pivo'!$1:$2,2,FALSE),FALSE))),"")</f>
        <v/>
      </c>
      <c r="E332" s="14" t="str">
        <f>IFERROR((VLOOKUP($A332,'[1]import success seats course'!$A:S,HLOOKUP('[1]Course Totals'!E$4,'[1]import success seats course'!$1:$2,2,FALSE),FALSE)/(VLOOKUP($A332,'[1]import graded seats course pivo'!$A:AC,HLOOKUP('[1]Course Totals'!E$4,'[1]import graded seats course pivo'!$1:$2,2,FALSE),FALSE))),"")</f>
        <v/>
      </c>
      <c r="F332" s="14" t="str">
        <f>IFERROR((VLOOKUP($A332,'[1]import success seats course'!$A:T,HLOOKUP('[1]Course Totals'!F$4,'[1]import success seats course'!$1:$2,2,FALSE),FALSE)/(VLOOKUP($A332,'[1]import graded seats course pivo'!$A:AD,HLOOKUP('[1]Course Totals'!F$4,'[1]import graded seats course pivo'!$1:$2,2,FALSE),FALSE))),"")</f>
        <v/>
      </c>
      <c r="G332" s="14" t="str">
        <f>IFERROR((VLOOKUP($A332,'[1]import success seats course'!$A:U,HLOOKUP('[1]Course Totals'!G$4,'[1]import success seats course'!$1:$2,2,FALSE),FALSE)/(VLOOKUP($A332,'[1]import graded seats course pivo'!$A:AE,HLOOKUP('[1]Course Totals'!G$4,'[1]import graded seats course pivo'!$1:$2,2,FALSE),FALSE))),"")</f>
        <v/>
      </c>
      <c r="H332" s="14" t="str">
        <f>IFERROR((VLOOKUP($A332,'[1]import success seats course'!$A:V,HLOOKUP('[1]Course Totals'!H$4,'[1]import success seats course'!$1:$2,2,FALSE),FALSE)/(VLOOKUP($A332,'[1]import graded seats course pivo'!$A:AF,HLOOKUP('[1]Course Totals'!H$4,'[1]import graded seats course pivo'!$1:$2,2,FALSE),FALSE))),"")</f>
        <v/>
      </c>
      <c r="I332" s="14" t="str">
        <f>IFERROR((VLOOKUP($A332,'[1]import success seats course'!$A:W,HLOOKUP('[1]Course Totals'!I$4,'[1]import success seats course'!$1:$2,2,FALSE),FALSE)/(VLOOKUP($A332,'[1]import graded seats course pivo'!$A:AG,HLOOKUP('[1]Course Totals'!I$4,'[1]import graded seats course pivo'!$1:$2,2,FALSE),FALSE))),"")</f>
        <v/>
      </c>
      <c r="J332" s="14" t="str">
        <f>IFERROR((VLOOKUP($A332,'[1]import success seats course'!$A:X,HLOOKUP('[1]Course Totals'!J$4,'[1]import success seats course'!$1:$2,2,FALSE),FALSE)/(VLOOKUP($A332,'[1]import graded seats course pivo'!$A:AH,HLOOKUP('[1]Course Totals'!J$4,'[1]import graded seats course pivo'!$1:$2,2,FALSE),FALSE))),"")</f>
        <v/>
      </c>
      <c r="K332" s="14" t="str">
        <f>IFERROR((VLOOKUP($A332,'[1]import success seats course'!$A:Y,HLOOKUP('[1]Course Totals'!K$4,'[1]import success seats course'!$1:$2,2,FALSE),FALSE)/(VLOOKUP($A332,'[1]import graded seats course pivo'!$A:AI,HLOOKUP('[1]Course Totals'!K$4,'[1]import graded seats course pivo'!$1:$2,2,FALSE),FALSE))),"")</f>
        <v/>
      </c>
      <c r="L332" s="14" t="str">
        <f>IFERROR((VLOOKUP($A332,'[1]import success seats course'!$A:Z,HLOOKUP('[1]Course Totals'!L$4,'[1]import success seats course'!$1:$2,2,FALSE),FALSE)/(VLOOKUP($A332,'[1]import graded seats course pivo'!$A:AJ,HLOOKUP('[1]Course Totals'!L$4,'[1]import graded seats course pivo'!$1:$2,2,FALSE),FALSE))),"")</f>
        <v/>
      </c>
      <c r="M332" s="14" t="str">
        <f>IFERROR((VLOOKUP($A332,'[1]import success seats course'!$A:AA,HLOOKUP('[1]Course Totals'!M$4,'[1]import success seats course'!$1:$2,2,FALSE),FALSE)/(VLOOKUP($A332,'[1]import graded seats course pivo'!$A:AK,HLOOKUP('[1]Course Totals'!M$4,'[1]import graded seats course pivo'!$1:$2,2,FALSE),FALSE))),"")</f>
        <v/>
      </c>
      <c r="N332" s="14" t="str">
        <f>IFERROR((VLOOKUP($A332,'[1]import success seats course'!$A:AB,HLOOKUP('[1]Course Totals'!N$4,'[1]import success seats course'!$1:$2,2,FALSE),FALSE)/(VLOOKUP($A332,'[1]import graded seats course pivo'!$A:AL,HLOOKUP('[1]Course Totals'!N$4,'[1]import graded seats course pivo'!$1:$2,2,FALSE),FALSE))),"")</f>
        <v/>
      </c>
      <c r="O332" s="14" t="str">
        <f>IFERROR((VLOOKUP($A332,'[1]import success seats course'!$A:AC,HLOOKUP('[1]Course Totals'!O$4,'[1]import success seats course'!$1:$2,2,FALSE),FALSE)/(VLOOKUP($A332,'[1]import graded seats course pivo'!$A:AM,HLOOKUP('[1]Course Totals'!O$4,'[1]import graded seats course pivo'!$1:$2,2,FALSE),FALSE))),"")</f>
        <v/>
      </c>
      <c r="P332" s="14" t="str">
        <f>IFERROR((VLOOKUP($A332,'[1]import success seats course'!$A:AD,HLOOKUP('[1]Course Totals'!P$4,'[1]import success seats course'!$1:$2,2,FALSE),FALSE)/(VLOOKUP($A332,'[1]import graded seats course pivo'!$A:AN,HLOOKUP('[1]Course Totals'!P$4,'[1]import graded seats course pivo'!$1:$2,2,FALSE),FALSE))),"")</f>
        <v/>
      </c>
      <c r="Q332" s="14" t="str">
        <f>IFERROR((VLOOKUP($A332,'[1]import success seats course'!$A:AE,HLOOKUP('[1]Course Totals'!Q$4,'[1]import success seats course'!$1:$2,2,FALSE),FALSE)/(VLOOKUP($A332,'[1]import graded seats course pivo'!$A:AO,HLOOKUP('[1]Course Totals'!Q$4,'[1]import graded seats course pivo'!$1:$2,2,FALSE),FALSE))),"")</f>
        <v/>
      </c>
      <c r="R332" s="14" t="str">
        <f>IFERROR((VLOOKUP($A332,'[1]import success seats course'!$A:AF,HLOOKUP('[1]Course Totals'!R$4,'[1]import success seats course'!$1:$2,2,FALSE),FALSE)/(VLOOKUP($A332,'[1]import graded seats course pivo'!$A:AP,HLOOKUP('[1]Course Totals'!R$4,'[1]import graded seats course pivo'!$1:$2,2,FALSE),FALSE))),"")</f>
        <v/>
      </c>
      <c r="S332" s="14" t="str">
        <f>IFERROR((VLOOKUP($A332,'[1]import success seats course'!$A:AG,HLOOKUP('[1]Course Totals'!S$4,'[1]import success seats course'!$1:$2,2,FALSE),FALSE)/(VLOOKUP($A332,'[1]import graded seats course pivo'!$A:AQ,HLOOKUP('[1]Course Totals'!S$4,'[1]import graded seats course pivo'!$1:$2,2,FALSE),FALSE))),"")</f>
        <v/>
      </c>
      <c r="Z332" s="7"/>
      <c r="AA332" s="7"/>
      <c r="AB332" s="7"/>
      <c r="AC332" s="7"/>
    </row>
    <row r="333" spans="1:29" ht="15.75" hidden="1" customHeight="1" x14ac:dyDescent="0.25">
      <c r="A333" s="12" t="s">
        <v>891</v>
      </c>
      <c r="B333" s="14" t="str">
        <f>IFERROR((VLOOKUP($A333,'[1]import success seats course'!$A:P,HLOOKUP('[1]Course Totals'!B$4,'[1]import success seats course'!$1:$2,2,FALSE),FALSE)/(VLOOKUP($A333,'[1]import graded seats course pivo'!$A:Z,HLOOKUP('[1]Course Totals'!B$4,'[1]import graded seats course pivo'!$1:$2,2,FALSE),FALSE))),"")</f>
        <v/>
      </c>
      <c r="C333" s="14" t="str">
        <f>IFERROR((VLOOKUP($A333,'[1]import success seats course'!$A:Q,HLOOKUP('[1]Course Totals'!C$4,'[1]import success seats course'!$1:$2,2,FALSE),FALSE)/(VLOOKUP($A333,'[1]import graded seats course pivo'!$A:AA,HLOOKUP('[1]Course Totals'!C$4,'[1]import graded seats course pivo'!$1:$2,2,FALSE),FALSE))),"")</f>
        <v/>
      </c>
      <c r="D333" s="14" t="str">
        <f>IFERROR((VLOOKUP($A333,'[1]import success seats course'!$A:R,HLOOKUP('[1]Course Totals'!D$4,'[1]import success seats course'!$1:$2,2,FALSE),FALSE)/(VLOOKUP($A333,'[1]import graded seats course pivo'!$A:AB,HLOOKUP('[1]Course Totals'!D$4,'[1]import graded seats course pivo'!$1:$2,2,FALSE),FALSE))),"")</f>
        <v/>
      </c>
      <c r="E333" s="14" t="str">
        <f>IFERROR((VLOOKUP($A333,'[1]import success seats course'!$A:S,HLOOKUP('[1]Course Totals'!E$4,'[1]import success seats course'!$1:$2,2,FALSE),FALSE)/(VLOOKUP($A333,'[1]import graded seats course pivo'!$A:AC,HLOOKUP('[1]Course Totals'!E$4,'[1]import graded seats course pivo'!$1:$2,2,FALSE),FALSE))),"")</f>
        <v/>
      </c>
      <c r="F333" s="14" t="str">
        <f>IFERROR((VLOOKUP($A333,'[1]import success seats course'!$A:T,HLOOKUP('[1]Course Totals'!F$4,'[1]import success seats course'!$1:$2,2,FALSE),FALSE)/(VLOOKUP($A333,'[1]import graded seats course pivo'!$A:AD,HLOOKUP('[1]Course Totals'!F$4,'[1]import graded seats course pivo'!$1:$2,2,FALSE),FALSE))),"")</f>
        <v/>
      </c>
      <c r="G333" s="14" t="str">
        <f>IFERROR((VLOOKUP($A333,'[1]import success seats course'!$A:U,HLOOKUP('[1]Course Totals'!G$4,'[1]import success seats course'!$1:$2,2,FALSE),FALSE)/(VLOOKUP($A333,'[1]import graded seats course pivo'!$A:AE,HLOOKUP('[1]Course Totals'!G$4,'[1]import graded seats course pivo'!$1:$2,2,FALSE),FALSE))),"")</f>
        <v/>
      </c>
      <c r="H333" s="14" t="str">
        <f>IFERROR((VLOOKUP($A333,'[1]import success seats course'!$A:V,HLOOKUP('[1]Course Totals'!H$4,'[1]import success seats course'!$1:$2,2,FALSE),FALSE)/(VLOOKUP($A333,'[1]import graded seats course pivo'!$A:AF,HLOOKUP('[1]Course Totals'!H$4,'[1]import graded seats course pivo'!$1:$2,2,FALSE),FALSE))),"")</f>
        <v/>
      </c>
      <c r="I333" s="14" t="str">
        <f>IFERROR((VLOOKUP($A333,'[1]import success seats course'!$A:W,HLOOKUP('[1]Course Totals'!I$4,'[1]import success seats course'!$1:$2,2,FALSE),FALSE)/(VLOOKUP($A333,'[1]import graded seats course pivo'!$A:AG,HLOOKUP('[1]Course Totals'!I$4,'[1]import graded seats course pivo'!$1:$2,2,FALSE),FALSE))),"")</f>
        <v/>
      </c>
      <c r="J333" s="14" t="str">
        <f>IFERROR((VLOOKUP($A333,'[1]import success seats course'!$A:X,HLOOKUP('[1]Course Totals'!J$4,'[1]import success seats course'!$1:$2,2,FALSE),FALSE)/(VLOOKUP($A333,'[1]import graded seats course pivo'!$A:AH,HLOOKUP('[1]Course Totals'!J$4,'[1]import graded seats course pivo'!$1:$2,2,FALSE),FALSE))),"")</f>
        <v/>
      </c>
      <c r="K333" s="14" t="str">
        <f>IFERROR((VLOOKUP($A333,'[1]import success seats course'!$A:Y,HLOOKUP('[1]Course Totals'!K$4,'[1]import success seats course'!$1:$2,2,FALSE),FALSE)/(VLOOKUP($A333,'[1]import graded seats course pivo'!$A:AI,HLOOKUP('[1]Course Totals'!K$4,'[1]import graded seats course pivo'!$1:$2,2,FALSE),FALSE))),"")</f>
        <v/>
      </c>
      <c r="L333" s="14" t="str">
        <f>IFERROR((VLOOKUP($A333,'[1]import success seats course'!$A:Z,HLOOKUP('[1]Course Totals'!L$4,'[1]import success seats course'!$1:$2,2,FALSE),FALSE)/(VLOOKUP($A333,'[1]import graded seats course pivo'!$A:AJ,HLOOKUP('[1]Course Totals'!L$4,'[1]import graded seats course pivo'!$1:$2,2,FALSE),FALSE))),"")</f>
        <v/>
      </c>
      <c r="M333" s="14" t="str">
        <f>IFERROR((VLOOKUP($A333,'[1]import success seats course'!$A:AA,HLOOKUP('[1]Course Totals'!M$4,'[1]import success seats course'!$1:$2,2,FALSE),FALSE)/(VLOOKUP($A333,'[1]import graded seats course pivo'!$A:AK,HLOOKUP('[1]Course Totals'!M$4,'[1]import graded seats course pivo'!$1:$2,2,FALSE),FALSE))),"")</f>
        <v/>
      </c>
      <c r="N333" s="14" t="str">
        <f>IFERROR((VLOOKUP($A333,'[1]import success seats course'!$A:AB,HLOOKUP('[1]Course Totals'!N$4,'[1]import success seats course'!$1:$2,2,FALSE),FALSE)/(VLOOKUP($A333,'[1]import graded seats course pivo'!$A:AL,HLOOKUP('[1]Course Totals'!N$4,'[1]import graded seats course pivo'!$1:$2,2,FALSE),FALSE))),"")</f>
        <v/>
      </c>
      <c r="O333" s="14" t="str">
        <f>IFERROR((VLOOKUP($A333,'[1]import success seats course'!$A:AC,HLOOKUP('[1]Course Totals'!O$4,'[1]import success seats course'!$1:$2,2,FALSE),FALSE)/(VLOOKUP($A333,'[1]import graded seats course pivo'!$A:AM,HLOOKUP('[1]Course Totals'!O$4,'[1]import graded seats course pivo'!$1:$2,2,FALSE),FALSE))),"")</f>
        <v/>
      </c>
      <c r="P333" s="14" t="str">
        <f>IFERROR((VLOOKUP($A333,'[1]import success seats course'!$A:AD,HLOOKUP('[1]Course Totals'!P$4,'[1]import success seats course'!$1:$2,2,FALSE),FALSE)/(VLOOKUP($A333,'[1]import graded seats course pivo'!$A:AN,HLOOKUP('[1]Course Totals'!P$4,'[1]import graded seats course pivo'!$1:$2,2,FALSE),FALSE))),"")</f>
        <v/>
      </c>
      <c r="Q333" s="14" t="str">
        <f>IFERROR((VLOOKUP($A333,'[1]import success seats course'!$A:AE,HLOOKUP('[1]Course Totals'!Q$4,'[1]import success seats course'!$1:$2,2,FALSE),FALSE)/(VLOOKUP($A333,'[1]import graded seats course pivo'!$A:AO,HLOOKUP('[1]Course Totals'!Q$4,'[1]import graded seats course pivo'!$1:$2,2,FALSE),FALSE))),"")</f>
        <v/>
      </c>
      <c r="R333" s="14" t="str">
        <f>IFERROR((VLOOKUP($A333,'[1]import success seats course'!$A:AF,HLOOKUP('[1]Course Totals'!R$4,'[1]import success seats course'!$1:$2,2,FALSE),FALSE)/(VLOOKUP($A333,'[1]import graded seats course pivo'!$A:AP,HLOOKUP('[1]Course Totals'!R$4,'[1]import graded seats course pivo'!$1:$2,2,FALSE),FALSE))),"")</f>
        <v/>
      </c>
      <c r="S333" s="14" t="str">
        <f>IFERROR((VLOOKUP($A333,'[1]import success seats course'!$A:AG,HLOOKUP('[1]Course Totals'!S$4,'[1]import success seats course'!$1:$2,2,FALSE),FALSE)/(VLOOKUP($A333,'[1]import graded seats course pivo'!$A:AQ,HLOOKUP('[1]Course Totals'!S$4,'[1]import graded seats course pivo'!$1:$2,2,FALSE),FALSE))),"")</f>
        <v/>
      </c>
      <c r="Z333" s="7"/>
      <c r="AA333" s="7"/>
      <c r="AB333" s="7"/>
      <c r="AC333" s="7"/>
    </row>
    <row r="334" spans="1:29" ht="15.75" customHeight="1" x14ac:dyDescent="0.25">
      <c r="A334" s="12" t="s">
        <v>167</v>
      </c>
      <c r="B334" s="14">
        <f>IFERROR((VLOOKUP($A334,'[1]import success seats course'!$A:P,HLOOKUP('[1]Course Totals'!B$4,'[1]import success seats course'!$1:$2,2,FALSE),FALSE)/(VLOOKUP($A334,'[1]import graded seats course pivo'!$A:Z,HLOOKUP('[1]Course Totals'!B$4,'[1]import graded seats course pivo'!$1:$2,2,FALSE),FALSE))),"")</f>
        <v>1</v>
      </c>
      <c r="C334" s="14">
        <f>IFERROR((VLOOKUP($A334,'[1]import success seats course'!$A:Q,HLOOKUP('[1]Course Totals'!C$4,'[1]import success seats course'!$1:$2,2,FALSE),FALSE)/(VLOOKUP($A334,'[1]import graded seats course pivo'!$A:AA,HLOOKUP('[1]Course Totals'!C$4,'[1]import graded seats course pivo'!$1:$2,2,FALSE),FALSE))),"")</f>
        <v>1</v>
      </c>
      <c r="D334" s="14" t="str">
        <f>IFERROR((VLOOKUP($A334,'[1]import success seats course'!$A:R,HLOOKUP('[1]Course Totals'!D$4,'[1]import success seats course'!$1:$2,2,FALSE),FALSE)/(VLOOKUP($A334,'[1]import graded seats course pivo'!$A:AB,HLOOKUP('[1]Course Totals'!D$4,'[1]import graded seats course pivo'!$1:$2,2,FALSE),FALSE))),"")</f>
        <v/>
      </c>
      <c r="E334" s="14" t="str">
        <f>IFERROR((VLOOKUP($A334,'[1]import success seats course'!$A:S,HLOOKUP('[1]Course Totals'!E$4,'[1]import success seats course'!$1:$2,2,FALSE),FALSE)/(VLOOKUP($A334,'[1]import graded seats course pivo'!$A:AC,HLOOKUP('[1]Course Totals'!E$4,'[1]import graded seats course pivo'!$1:$2,2,FALSE),FALSE))),"")</f>
        <v/>
      </c>
      <c r="F334" s="14" t="str">
        <f>IFERROR((VLOOKUP($A334,'[1]import success seats course'!$A:T,HLOOKUP('[1]Course Totals'!F$4,'[1]import success seats course'!$1:$2,2,FALSE),FALSE)/(VLOOKUP($A334,'[1]import graded seats course pivo'!$A:AD,HLOOKUP('[1]Course Totals'!F$4,'[1]import graded seats course pivo'!$1:$2,2,FALSE),FALSE))),"")</f>
        <v/>
      </c>
      <c r="G334" s="14" t="str">
        <f>IFERROR((VLOOKUP($A334,'[1]import success seats course'!$A:U,HLOOKUP('[1]Course Totals'!G$4,'[1]import success seats course'!$1:$2,2,FALSE),FALSE)/(VLOOKUP($A334,'[1]import graded seats course pivo'!$A:AE,HLOOKUP('[1]Course Totals'!G$4,'[1]import graded seats course pivo'!$1:$2,2,FALSE),FALSE))),"")</f>
        <v/>
      </c>
      <c r="H334" s="14" t="str">
        <f>IFERROR((VLOOKUP($A334,'[1]import success seats course'!$A:V,HLOOKUP('[1]Course Totals'!H$4,'[1]import success seats course'!$1:$2,2,FALSE),FALSE)/(VLOOKUP($A334,'[1]import graded seats course pivo'!$A:AF,HLOOKUP('[1]Course Totals'!H$4,'[1]import graded seats course pivo'!$1:$2,2,FALSE),FALSE))),"")</f>
        <v/>
      </c>
      <c r="I334" s="14" t="str">
        <f>IFERROR((VLOOKUP($A334,'[1]import success seats course'!$A:W,HLOOKUP('[1]Course Totals'!I$4,'[1]import success seats course'!$1:$2,2,FALSE),FALSE)/(VLOOKUP($A334,'[1]import graded seats course pivo'!$A:AG,HLOOKUP('[1]Course Totals'!I$4,'[1]import graded seats course pivo'!$1:$2,2,FALSE),FALSE))),"")</f>
        <v/>
      </c>
      <c r="J334" s="14" t="str">
        <f>IFERROR((VLOOKUP($A334,'[1]import success seats course'!$A:X,HLOOKUP('[1]Course Totals'!J$4,'[1]import success seats course'!$1:$2,2,FALSE),FALSE)/(VLOOKUP($A334,'[1]import graded seats course pivo'!$A:AH,HLOOKUP('[1]Course Totals'!J$4,'[1]import graded seats course pivo'!$1:$2,2,FALSE),FALSE))),"")</f>
        <v/>
      </c>
      <c r="K334" s="14" t="str">
        <f>IFERROR((VLOOKUP($A334,'[1]import success seats course'!$A:Y,HLOOKUP('[1]Course Totals'!K$4,'[1]import success seats course'!$1:$2,2,FALSE),FALSE)/(VLOOKUP($A334,'[1]import graded seats course pivo'!$A:AI,HLOOKUP('[1]Course Totals'!K$4,'[1]import graded seats course pivo'!$1:$2,2,FALSE),FALSE))),"")</f>
        <v/>
      </c>
      <c r="L334" s="14" t="str">
        <f>IFERROR((VLOOKUP($A334,'[1]import success seats course'!$A:Z,HLOOKUP('[1]Course Totals'!L$4,'[1]import success seats course'!$1:$2,2,FALSE),FALSE)/(VLOOKUP($A334,'[1]import graded seats course pivo'!$A:AJ,HLOOKUP('[1]Course Totals'!L$4,'[1]import graded seats course pivo'!$1:$2,2,FALSE),FALSE))),"")</f>
        <v/>
      </c>
      <c r="M334" s="14" t="str">
        <f>IFERROR((VLOOKUP($A334,'[1]import success seats course'!$A:AA,HLOOKUP('[1]Course Totals'!M$4,'[1]import success seats course'!$1:$2,2,FALSE),FALSE)/(VLOOKUP($A334,'[1]import graded seats course pivo'!$A:AK,HLOOKUP('[1]Course Totals'!M$4,'[1]import graded seats course pivo'!$1:$2,2,FALSE),FALSE))),"")</f>
        <v/>
      </c>
      <c r="N334" s="14" t="str">
        <f>IFERROR((VLOOKUP($A334,'[1]import success seats course'!$A:AB,HLOOKUP('[1]Course Totals'!N$4,'[1]import success seats course'!$1:$2,2,FALSE),FALSE)/(VLOOKUP($A334,'[1]import graded seats course pivo'!$A:AL,HLOOKUP('[1]Course Totals'!N$4,'[1]import graded seats course pivo'!$1:$2,2,FALSE),FALSE))),"")</f>
        <v/>
      </c>
      <c r="O334" s="14" t="str">
        <f>IFERROR((VLOOKUP($A334,'[1]import success seats course'!$A:AC,HLOOKUP('[1]Course Totals'!O$4,'[1]import success seats course'!$1:$2,2,FALSE),FALSE)/(VLOOKUP($A334,'[1]import graded seats course pivo'!$A:AM,HLOOKUP('[1]Course Totals'!O$4,'[1]import graded seats course pivo'!$1:$2,2,FALSE),FALSE))),"")</f>
        <v/>
      </c>
      <c r="P334" s="14" t="str">
        <f>IFERROR((VLOOKUP($A334,'[1]import success seats course'!$A:AD,HLOOKUP('[1]Course Totals'!P$4,'[1]import success seats course'!$1:$2,2,FALSE),FALSE)/(VLOOKUP($A334,'[1]import graded seats course pivo'!$A:AN,HLOOKUP('[1]Course Totals'!P$4,'[1]import graded seats course pivo'!$1:$2,2,FALSE),FALSE))),"")</f>
        <v/>
      </c>
      <c r="Q334" s="14" t="str">
        <f>IFERROR((VLOOKUP($A334,'[1]import success seats course'!$A:AE,HLOOKUP('[1]Course Totals'!Q$4,'[1]import success seats course'!$1:$2,2,FALSE),FALSE)/(VLOOKUP($A334,'[1]import graded seats course pivo'!$A:AO,HLOOKUP('[1]Course Totals'!Q$4,'[1]import graded seats course pivo'!$1:$2,2,FALSE),FALSE))),"")</f>
        <v/>
      </c>
      <c r="R334" s="14" t="str">
        <f>IFERROR((VLOOKUP($A334,'[1]import success seats course'!$A:AF,HLOOKUP('[1]Course Totals'!R$4,'[1]import success seats course'!$1:$2,2,FALSE),FALSE)/(VLOOKUP($A334,'[1]import graded seats course pivo'!$A:AP,HLOOKUP('[1]Course Totals'!R$4,'[1]import graded seats course pivo'!$1:$2,2,FALSE),FALSE))),"")</f>
        <v/>
      </c>
      <c r="S334" s="14" t="str">
        <f>IFERROR((VLOOKUP($A334,'[1]import success seats course'!$A:AG,HLOOKUP('[1]Course Totals'!S$4,'[1]import success seats course'!$1:$2,2,FALSE),FALSE)/(VLOOKUP($A334,'[1]import graded seats course pivo'!$A:AQ,HLOOKUP('[1]Course Totals'!S$4,'[1]import graded seats course pivo'!$1:$2,2,FALSE),FALSE))),"")</f>
        <v/>
      </c>
      <c r="Z334" s="7"/>
      <c r="AA334" s="7"/>
      <c r="AB334" s="7"/>
      <c r="AC334" s="7"/>
    </row>
    <row r="335" spans="1:29" ht="15.75" customHeight="1" thickBot="1" x14ac:dyDescent="0.3">
      <c r="A335" s="8" t="str">
        <f>'[1]SUBJECTS BASE'!H17</f>
        <v>Communication</v>
      </c>
      <c r="B335" s="38" t="s">
        <v>1046</v>
      </c>
      <c r="C335" s="39" t="s">
        <v>0</v>
      </c>
      <c r="D335" s="40" t="s">
        <v>868</v>
      </c>
      <c r="E335" s="41" t="s">
        <v>1052</v>
      </c>
      <c r="F335" s="42" t="s">
        <v>546</v>
      </c>
      <c r="G335" s="43" t="s">
        <v>959</v>
      </c>
      <c r="H335" s="44" t="s">
        <v>1060</v>
      </c>
      <c r="I335" s="39" t="s">
        <v>675</v>
      </c>
      <c r="J335" s="45" t="s">
        <v>1006</v>
      </c>
      <c r="K335" s="46" t="s">
        <v>1062</v>
      </c>
      <c r="L335" s="42" t="s">
        <v>762</v>
      </c>
      <c r="M335" s="43" t="s">
        <v>1022</v>
      </c>
      <c r="N335" s="44" t="s">
        <v>1063</v>
      </c>
      <c r="O335" s="39" t="s">
        <v>822</v>
      </c>
      <c r="P335" s="40" t="s">
        <v>1042</v>
      </c>
      <c r="Q335" s="46" t="s">
        <v>1153</v>
      </c>
      <c r="R335" s="42" t="s">
        <v>1154</v>
      </c>
      <c r="S335" s="43" t="s">
        <v>1155</v>
      </c>
      <c r="Z335" s="7"/>
      <c r="AA335" s="7"/>
      <c r="AB335" s="7"/>
      <c r="AC335" s="7"/>
    </row>
    <row r="336" spans="1:29" ht="15.75" hidden="1" customHeight="1" x14ac:dyDescent="0.25">
      <c r="A336" s="12" t="s">
        <v>1027</v>
      </c>
      <c r="B336" s="14" t="str">
        <f>IFERROR((VLOOKUP($A336,'[1]import success seats course'!$A:P,HLOOKUP('[1]Course Totals'!B$4,'[1]import success seats course'!$1:$2,2,FALSE),FALSE)/(VLOOKUP($A336,'[1]import graded seats course pivo'!$A:Z,HLOOKUP('[1]Course Totals'!B$4,'[1]import graded seats course pivo'!$1:$2,2,FALSE),FALSE))),"")</f>
        <v/>
      </c>
      <c r="C336" s="14" t="str">
        <f>IFERROR((VLOOKUP($A336,'[1]import success seats course'!$A:Q,HLOOKUP('[1]Course Totals'!C$4,'[1]import success seats course'!$1:$2,2,FALSE),FALSE)/(VLOOKUP($A336,'[1]import graded seats course pivo'!$A:AA,HLOOKUP('[1]Course Totals'!C$4,'[1]import graded seats course pivo'!$1:$2,2,FALSE),FALSE))),"")</f>
        <v/>
      </c>
      <c r="D336" s="14" t="str">
        <f>IFERROR((VLOOKUP($A336,'[1]import success seats course'!$A:R,HLOOKUP('[1]Course Totals'!D$4,'[1]import success seats course'!$1:$2,2,FALSE),FALSE)/(VLOOKUP($A336,'[1]import graded seats course pivo'!$A:AB,HLOOKUP('[1]Course Totals'!D$4,'[1]import graded seats course pivo'!$1:$2,2,FALSE),FALSE))),"")</f>
        <v/>
      </c>
      <c r="E336" s="14" t="str">
        <f>IFERROR((VLOOKUP($A336,'[1]import success seats course'!$A:S,HLOOKUP('[1]Course Totals'!E$4,'[1]import success seats course'!$1:$2,2,FALSE),FALSE)/(VLOOKUP($A336,'[1]import graded seats course pivo'!$A:AC,HLOOKUP('[1]Course Totals'!E$4,'[1]import graded seats course pivo'!$1:$2,2,FALSE),FALSE))),"")</f>
        <v/>
      </c>
      <c r="F336" s="14" t="str">
        <f>IFERROR((VLOOKUP($A336,'[1]import success seats course'!$A:T,HLOOKUP('[1]Course Totals'!F$4,'[1]import success seats course'!$1:$2,2,FALSE),FALSE)/(VLOOKUP($A336,'[1]import graded seats course pivo'!$A:AD,HLOOKUP('[1]Course Totals'!F$4,'[1]import graded seats course pivo'!$1:$2,2,FALSE),FALSE))),"")</f>
        <v/>
      </c>
      <c r="G336" s="14" t="str">
        <f>IFERROR((VLOOKUP($A336,'[1]import success seats course'!$A:U,HLOOKUP('[1]Course Totals'!G$4,'[1]import success seats course'!$1:$2,2,FALSE),FALSE)/(VLOOKUP($A336,'[1]import graded seats course pivo'!$A:AE,HLOOKUP('[1]Course Totals'!G$4,'[1]import graded seats course pivo'!$1:$2,2,FALSE),FALSE))),"")</f>
        <v/>
      </c>
      <c r="H336" s="14" t="str">
        <f>IFERROR((VLOOKUP($A336,'[1]import success seats course'!$A:V,HLOOKUP('[1]Course Totals'!H$4,'[1]import success seats course'!$1:$2,2,FALSE),FALSE)/(VLOOKUP($A336,'[1]import graded seats course pivo'!$A:AF,HLOOKUP('[1]Course Totals'!H$4,'[1]import graded seats course pivo'!$1:$2,2,FALSE),FALSE))),"")</f>
        <v/>
      </c>
      <c r="I336" s="14" t="str">
        <f>IFERROR((VLOOKUP($A336,'[1]import success seats course'!$A:W,HLOOKUP('[1]Course Totals'!I$4,'[1]import success seats course'!$1:$2,2,FALSE),FALSE)/(VLOOKUP($A336,'[1]import graded seats course pivo'!$A:AG,HLOOKUP('[1]Course Totals'!I$4,'[1]import graded seats course pivo'!$1:$2,2,FALSE),FALSE))),"")</f>
        <v/>
      </c>
      <c r="J336" s="14" t="str">
        <f>IFERROR((VLOOKUP($A336,'[1]import success seats course'!$A:X,HLOOKUP('[1]Course Totals'!J$4,'[1]import success seats course'!$1:$2,2,FALSE),FALSE)/(VLOOKUP($A336,'[1]import graded seats course pivo'!$A:AH,HLOOKUP('[1]Course Totals'!J$4,'[1]import graded seats course pivo'!$1:$2,2,FALSE),FALSE))),"")</f>
        <v/>
      </c>
      <c r="K336" s="14" t="str">
        <f>IFERROR((VLOOKUP($A336,'[1]import success seats course'!$A:Y,HLOOKUP('[1]Course Totals'!K$4,'[1]import success seats course'!$1:$2,2,FALSE),FALSE)/(VLOOKUP($A336,'[1]import graded seats course pivo'!$A:AI,HLOOKUP('[1]Course Totals'!K$4,'[1]import graded seats course pivo'!$1:$2,2,FALSE),FALSE))),"")</f>
        <v/>
      </c>
      <c r="L336" s="14" t="str">
        <f>IFERROR((VLOOKUP($A336,'[1]import success seats course'!$A:Z,HLOOKUP('[1]Course Totals'!L$4,'[1]import success seats course'!$1:$2,2,FALSE),FALSE)/(VLOOKUP($A336,'[1]import graded seats course pivo'!$A:AJ,HLOOKUP('[1]Course Totals'!L$4,'[1]import graded seats course pivo'!$1:$2,2,FALSE),FALSE))),"")</f>
        <v/>
      </c>
      <c r="M336" s="14" t="str">
        <f>IFERROR((VLOOKUP($A336,'[1]import success seats course'!$A:AA,HLOOKUP('[1]Course Totals'!M$4,'[1]import success seats course'!$1:$2,2,FALSE),FALSE)/(VLOOKUP($A336,'[1]import graded seats course pivo'!$A:AK,HLOOKUP('[1]Course Totals'!M$4,'[1]import graded seats course pivo'!$1:$2,2,FALSE),FALSE))),"")</f>
        <v/>
      </c>
      <c r="N336" s="14" t="str">
        <f>IFERROR((VLOOKUP($A336,'[1]import success seats course'!$A:AB,HLOOKUP('[1]Course Totals'!N$4,'[1]import success seats course'!$1:$2,2,FALSE),FALSE)/(VLOOKUP($A336,'[1]import graded seats course pivo'!$A:AL,HLOOKUP('[1]Course Totals'!N$4,'[1]import graded seats course pivo'!$1:$2,2,FALSE),FALSE))),"")</f>
        <v/>
      </c>
      <c r="O336" s="14" t="str">
        <f>IFERROR((VLOOKUP($A336,'[1]import success seats course'!$A:AC,HLOOKUP('[1]Course Totals'!O$4,'[1]import success seats course'!$1:$2,2,FALSE),FALSE)/(VLOOKUP($A336,'[1]import graded seats course pivo'!$A:AM,HLOOKUP('[1]Course Totals'!O$4,'[1]import graded seats course pivo'!$1:$2,2,FALSE),FALSE))),"")</f>
        <v/>
      </c>
      <c r="P336" s="14" t="str">
        <f>IFERROR((VLOOKUP($A336,'[1]import success seats course'!$A:AD,HLOOKUP('[1]Course Totals'!P$4,'[1]import success seats course'!$1:$2,2,FALSE),FALSE)/(VLOOKUP($A336,'[1]import graded seats course pivo'!$A:AN,HLOOKUP('[1]Course Totals'!P$4,'[1]import graded seats course pivo'!$1:$2,2,FALSE),FALSE))),"")</f>
        <v/>
      </c>
      <c r="Q336" s="14" t="str">
        <f>IFERROR((VLOOKUP($A336,'[1]import success seats course'!$A:AE,HLOOKUP('[1]Course Totals'!Q$4,'[1]import success seats course'!$1:$2,2,FALSE),FALSE)/(VLOOKUP($A336,'[1]import graded seats course pivo'!$A:AO,HLOOKUP('[1]Course Totals'!Q$4,'[1]import graded seats course pivo'!$1:$2,2,FALSE),FALSE))),"")</f>
        <v/>
      </c>
      <c r="R336" s="14" t="str">
        <f>IFERROR((VLOOKUP($A336,'[1]import success seats course'!$A:AF,HLOOKUP('[1]Course Totals'!R$4,'[1]import success seats course'!$1:$2,2,FALSE),FALSE)/(VLOOKUP($A336,'[1]import graded seats course pivo'!$A:AP,HLOOKUP('[1]Course Totals'!R$4,'[1]import graded seats course pivo'!$1:$2,2,FALSE),FALSE))),"")</f>
        <v/>
      </c>
      <c r="S336" s="14" t="str">
        <f>IFERROR((VLOOKUP($A336,'[1]import success seats course'!$A:AG,HLOOKUP('[1]Course Totals'!S$4,'[1]import success seats course'!$1:$2,2,FALSE),FALSE)/(VLOOKUP($A336,'[1]import graded seats course pivo'!$A:AQ,HLOOKUP('[1]Course Totals'!S$4,'[1]import graded seats course pivo'!$1:$2,2,FALSE),FALSE))),"")</f>
        <v/>
      </c>
      <c r="Z336" s="7"/>
      <c r="AA336" s="7"/>
      <c r="AB336" s="7"/>
      <c r="AC336" s="7"/>
    </row>
    <row r="337" spans="1:29" ht="15.75" customHeight="1" x14ac:dyDescent="0.25">
      <c r="A337" s="12" t="s">
        <v>710</v>
      </c>
      <c r="B337" s="14" t="str">
        <f>IFERROR((VLOOKUP($A337,'[1]import success seats course'!$A:P,HLOOKUP('[1]Course Totals'!B$4,'[1]import success seats course'!$1:$2,2,FALSE),FALSE)/(VLOOKUP($A337,'[1]import graded seats course pivo'!$A:Z,HLOOKUP('[1]Course Totals'!B$4,'[1]import graded seats course pivo'!$1:$2,2,FALSE),FALSE))),"")</f>
        <v/>
      </c>
      <c r="C337" s="14" t="str">
        <f>IFERROR((VLOOKUP($A337,'[1]import success seats course'!$A:Q,HLOOKUP('[1]Course Totals'!C$4,'[1]import success seats course'!$1:$2,2,FALSE),FALSE)/(VLOOKUP($A337,'[1]import graded seats course pivo'!$A:AA,HLOOKUP('[1]Course Totals'!C$4,'[1]import graded seats course pivo'!$1:$2,2,FALSE),FALSE))),"")</f>
        <v/>
      </c>
      <c r="D337" s="14" t="str">
        <f>IFERROR((VLOOKUP($A337,'[1]import success seats course'!$A:R,HLOOKUP('[1]Course Totals'!D$4,'[1]import success seats course'!$1:$2,2,FALSE),FALSE)/(VLOOKUP($A337,'[1]import graded seats course pivo'!$A:AB,HLOOKUP('[1]Course Totals'!D$4,'[1]import graded seats course pivo'!$1:$2,2,FALSE),FALSE))),"")</f>
        <v/>
      </c>
      <c r="E337" s="14" t="str">
        <f>IFERROR((VLOOKUP($A337,'[1]import success seats course'!$A:S,HLOOKUP('[1]Course Totals'!E$4,'[1]import success seats course'!$1:$2,2,FALSE),FALSE)/(VLOOKUP($A337,'[1]import graded seats course pivo'!$A:AC,HLOOKUP('[1]Course Totals'!E$4,'[1]import graded seats course pivo'!$1:$2,2,FALSE),FALSE))),"")</f>
        <v/>
      </c>
      <c r="F337" s="14" t="str">
        <f>IFERROR((VLOOKUP($A337,'[1]import success seats course'!$A:T,HLOOKUP('[1]Course Totals'!F$4,'[1]import success seats course'!$1:$2,2,FALSE),FALSE)/(VLOOKUP($A337,'[1]import graded seats course pivo'!$A:AD,HLOOKUP('[1]Course Totals'!F$4,'[1]import graded seats course pivo'!$1:$2,2,FALSE),FALSE))),"")</f>
        <v/>
      </c>
      <c r="G337" s="14">
        <f>IFERROR((VLOOKUP($A337,'[1]import success seats course'!$A:U,HLOOKUP('[1]Course Totals'!G$4,'[1]import success seats course'!$1:$2,2,FALSE),FALSE)/(VLOOKUP($A337,'[1]import graded seats course pivo'!$A:AE,HLOOKUP('[1]Course Totals'!G$4,'[1]import graded seats course pivo'!$1:$2,2,FALSE),FALSE))),"")</f>
        <v>1</v>
      </c>
      <c r="H337" s="14" t="str">
        <f>IFERROR((VLOOKUP($A337,'[1]import success seats course'!$A:V,HLOOKUP('[1]Course Totals'!H$4,'[1]import success seats course'!$1:$2,2,FALSE),FALSE)/(VLOOKUP($A337,'[1]import graded seats course pivo'!$A:AF,HLOOKUP('[1]Course Totals'!H$4,'[1]import graded seats course pivo'!$1:$2,2,FALSE),FALSE))),"")</f>
        <v/>
      </c>
      <c r="I337" s="14">
        <f>IFERROR((VLOOKUP($A337,'[1]import success seats course'!$A:W,HLOOKUP('[1]Course Totals'!I$4,'[1]import success seats course'!$1:$2,2,FALSE),FALSE)/(VLOOKUP($A337,'[1]import graded seats course pivo'!$A:AG,HLOOKUP('[1]Course Totals'!I$4,'[1]import graded seats course pivo'!$1:$2,2,FALSE),FALSE))),"")</f>
        <v>1</v>
      </c>
      <c r="J337" s="14">
        <f>IFERROR((VLOOKUP($A337,'[1]import success seats course'!$A:X,HLOOKUP('[1]Course Totals'!J$4,'[1]import success seats course'!$1:$2,2,FALSE),FALSE)/(VLOOKUP($A337,'[1]import graded seats course pivo'!$A:AH,HLOOKUP('[1]Course Totals'!J$4,'[1]import graded seats course pivo'!$1:$2,2,FALSE),FALSE))),"")</f>
        <v>0.75</v>
      </c>
      <c r="K337" s="14" t="str">
        <f>IFERROR((VLOOKUP($A337,'[1]import success seats course'!$A:Y,HLOOKUP('[1]Course Totals'!K$4,'[1]import success seats course'!$1:$2,2,FALSE),FALSE)/(VLOOKUP($A337,'[1]import graded seats course pivo'!$A:AI,HLOOKUP('[1]Course Totals'!K$4,'[1]import graded seats course pivo'!$1:$2,2,FALSE),FALSE))),"")</f>
        <v/>
      </c>
      <c r="L337" s="14">
        <f>IFERROR((VLOOKUP($A337,'[1]import success seats course'!$A:Z,HLOOKUP('[1]Course Totals'!L$4,'[1]import success seats course'!$1:$2,2,FALSE),FALSE)/(VLOOKUP($A337,'[1]import graded seats course pivo'!$A:AJ,HLOOKUP('[1]Course Totals'!L$4,'[1]import graded seats course pivo'!$1:$2,2,FALSE),FALSE))),"")</f>
        <v>0.75</v>
      </c>
      <c r="M337" s="14" t="str">
        <f>IFERROR((VLOOKUP($A337,'[1]import success seats course'!$A:AA,HLOOKUP('[1]Course Totals'!M$4,'[1]import success seats course'!$1:$2,2,FALSE),FALSE)/(VLOOKUP($A337,'[1]import graded seats course pivo'!$A:AK,HLOOKUP('[1]Course Totals'!M$4,'[1]import graded seats course pivo'!$1:$2,2,FALSE),FALSE))),"")</f>
        <v/>
      </c>
      <c r="N337" s="14" t="str">
        <f>IFERROR((VLOOKUP($A337,'[1]import success seats course'!$A:AB,HLOOKUP('[1]Course Totals'!N$4,'[1]import success seats course'!$1:$2,2,FALSE),FALSE)/(VLOOKUP($A337,'[1]import graded seats course pivo'!$A:AL,HLOOKUP('[1]Course Totals'!N$4,'[1]import graded seats course pivo'!$1:$2,2,FALSE),FALSE))),"")</f>
        <v/>
      </c>
      <c r="O337" s="14">
        <f>IFERROR((VLOOKUP($A337,'[1]import success seats course'!$A:AC,HLOOKUP('[1]Course Totals'!O$4,'[1]import success seats course'!$1:$2,2,FALSE),FALSE)/(VLOOKUP($A337,'[1]import graded seats course pivo'!$A:AM,HLOOKUP('[1]Course Totals'!O$4,'[1]import graded seats course pivo'!$1:$2,2,FALSE),FALSE))),"")</f>
        <v>1</v>
      </c>
      <c r="P337" s="14" t="str">
        <f>IFERROR((VLOOKUP($A337,'[1]import success seats course'!$A:AD,HLOOKUP('[1]Course Totals'!P$4,'[1]import success seats course'!$1:$2,2,FALSE),FALSE)/(VLOOKUP($A337,'[1]import graded seats course pivo'!$A:AN,HLOOKUP('[1]Course Totals'!P$4,'[1]import graded seats course pivo'!$1:$2,2,FALSE),FALSE))),"")</f>
        <v/>
      </c>
      <c r="Q337" s="14" t="str">
        <f>IFERROR((VLOOKUP($A337,'[1]import success seats course'!$A:AE,HLOOKUP('[1]Course Totals'!Q$4,'[1]import success seats course'!$1:$2,2,FALSE),FALSE)/(VLOOKUP($A337,'[1]import graded seats course pivo'!$A:AO,HLOOKUP('[1]Course Totals'!Q$4,'[1]import graded seats course pivo'!$1:$2,2,FALSE),FALSE))),"")</f>
        <v/>
      </c>
      <c r="R337" s="14" t="str">
        <f>IFERROR((VLOOKUP($A337,'[1]import success seats course'!$A:AF,HLOOKUP('[1]Course Totals'!R$4,'[1]import success seats course'!$1:$2,2,FALSE),FALSE)/(VLOOKUP($A337,'[1]import graded seats course pivo'!$A:AP,HLOOKUP('[1]Course Totals'!R$4,'[1]import graded seats course pivo'!$1:$2,2,FALSE),FALSE))),"")</f>
        <v/>
      </c>
      <c r="S337" s="14" t="str">
        <f>IFERROR((VLOOKUP($A337,'[1]import success seats course'!$A:AG,HLOOKUP('[1]Course Totals'!S$4,'[1]import success seats course'!$1:$2,2,FALSE),FALSE)/(VLOOKUP($A337,'[1]import graded seats course pivo'!$A:AQ,HLOOKUP('[1]Course Totals'!S$4,'[1]import graded seats course pivo'!$1:$2,2,FALSE),FALSE))),"")</f>
        <v/>
      </c>
      <c r="Z337" s="7"/>
      <c r="AA337" s="7"/>
      <c r="AB337" s="7"/>
      <c r="AC337" s="7"/>
    </row>
    <row r="338" spans="1:29" ht="15.75" customHeight="1" x14ac:dyDescent="0.25">
      <c r="A338" s="12" t="s">
        <v>168</v>
      </c>
      <c r="B338" s="14">
        <f>IFERROR((VLOOKUP($A338,'[1]import success seats course'!$A:P,HLOOKUP('[1]Course Totals'!B$4,'[1]import success seats course'!$1:$2,2,FALSE),FALSE)/(VLOOKUP($A338,'[1]import graded seats course pivo'!$A:Z,HLOOKUP('[1]Course Totals'!B$4,'[1]import graded seats course pivo'!$1:$2,2,FALSE),FALSE))),"")</f>
        <v>0.98750000000000004</v>
      </c>
      <c r="C338" s="14">
        <f>IFERROR((VLOOKUP($A338,'[1]import success seats course'!$A:Q,HLOOKUP('[1]Course Totals'!C$4,'[1]import success seats course'!$1:$2,2,FALSE),FALSE)/(VLOOKUP($A338,'[1]import graded seats course pivo'!$A:AA,HLOOKUP('[1]Course Totals'!C$4,'[1]import graded seats course pivo'!$1:$2,2,FALSE),FALSE))),"")</f>
        <v>0.87440758293838861</v>
      </c>
      <c r="D338" s="14">
        <f>IFERROR((VLOOKUP($A338,'[1]import success seats course'!$A:R,HLOOKUP('[1]Course Totals'!D$4,'[1]import success seats course'!$1:$2,2,FALSE),FALSE)/(VLOOKUP($A338,'[1]import graded seats course pivo'!$A:AB,HLOOKUP('[1]Course Totals'!D$4,'[1]import graded seats course pivo'!$1:$2,2,FALSE),FALSE))),"")</f>
        <v>0.84499999999999997</v>
      </c>
      <c r="E338" s="14">
        <f>IFERROR((VLOOKUP($A338,'[1]import success seats course'!$A:S,HLOOKUP('[1]Course Totals'!E$4,'[1]import success seats course'!$1:$2,2,FALSE),FALSE)/(VLOOKUP($A338,'[1]import graded seats course pivo'!$A:AC,HLOOKUP('[1]Course Totals'!E$4,'[1]import graded seats course pivo'!$1:$2,2,FALSE),FALSE))),"")</f>
        <v>0.91764705882352937</v>
      </c>
      <c r="F338" s="14">
        <f>IFERROR((VLOOKUP($A338,'[1]import success seats course'!$A:T,HLOOKUP('[1]Course Totals'!F$4,'[1]import success seats course'!$1:$2,2,FALSE),FALSE)/(VLOOKUP($A338,'[1]import graded seats course pivo'!$A:AD,HLOOKUP('[1]Course Totals'!F$4,'[1]import graded seats course pivo'!$1:$2,2,FALSE),FALSE))),"")</f>
        <v>0.8529411764705882</v>
      </c>
      <c r="G338" s="14">
        <f>IFERROR((VLOOKUP($A338,'[1]import success seats course'!$A:U,HLOOKUP('[1]Course Totals'!G$4,'[1]import success seats course'!$1:$2,2,FALSE),FALSE)/(VLOOKUP($A338,'[1]import graded seats course pivo'!$A:AE,HLOOKUP('[1]Course Totals'!G$4,'[1]import graded seats course pivo'!$1:$2,2,FALSE),FALSE))),"")</f>
        <v>0.86619718309859151</v>
      </c>
      <c r="H338" s="14" t="str">
        <f>IFERROR((VLOOKUP($A338,'[1]import success seats course'!$A:V,HLOOKUP('[1]Course Totals'!H$4,'[1]import success seats course'!$1:$2,2,FALSE),FALSE)/(VLOOKUP($A338,'[1]import graded seats course pivo'!$A:AF,HLOOKUP('[1]Course Totals'!H$4,'[1]import graded seats course pivo'!$1:$2,2,FALSE),FALSE))),"")</f>
        <v/>
      </c>
      <c r="I338" s="14">
        <f>IFERROR((VLOOKUP($A338,'[1]import success seats course'!$A:W,HLOOKUP('[1]Course Totals'!I$4,'[1]import success seats course'!$1:$2,2,FALSE),FALSE)/(VLOOKUP($A338,'[1]import graded seats course pivo'!$A:AG,HLOOKUP('[1]Course Totals'!I$4,'[1]import graded seats course pivo'!$1:$2,2,FALSE),FALSE))),"")</f>
        <v>0.88187372708757639</v>
      </c>
      <c r="J338" s="14">
        <f>IFERROR((VLOOKUP($A338,'[1]import success seats course'!$A:X,HLOOKUP('[1]Course Totals'!J$4,'[1]import success seats course'!$1:$2,2,FALSE),FALSE)/(VLOOKUP($A338,'[1]import graded seats course pivo'!$A:AH,HLOOKUP('[1]Course Totals'!J$4,'[1]import graded seats course pivo'!$1:$2,2,FALSE),FALSE))),"")</f>
        <v>0.90315789473684216</v>
      </c>
      <c r="K338" s="14" t="str">
        <f>IFERROR((VLOOKUP($A338,'[1]import success seats course'!$A:Y,HLOOKUP('[1]Course Totals'!K$4,'[1]import success seats course'!$1:$2,2,FALSE),FALSE)/(VLOOKUP($A338,'[1]import graded seats course pivo'!$A:AI,HLOOKUP('[1]Course Totals'!K$4,'[1]import graded seats course pivo'!$1:$2,2,FALSE),FALSE))),"")</f>
        <v/>
      </c>
      <c r="L338" s="14">
        <f>IFERROR((VLOOKUP($A338,'[1]import success seats course'!$A:Z,HLOOKUP('[1]Course Totals'!L$4,'[1]import success seats course'!$1:$2,2,FALSE),FALSE)/(VLOOKUP($A338,'[1]import graded seats course pivo'!$A:AJ,HLOOKUP('[1]Course Totals'!L$4,'[1]import graded seats course pivo'!$1:$2,2,FALSE),FALSE))),"")</f>
        <v>0.88600000000000001</v>
      </c>
      <c r="M338" s="14">
        <f>IFERROR((VLOOKUP($A338,'[1]import success seats course'!$A:AA,HLOOKUP('[1]Course Totals'!M$4,'[1]import success seats course'!$1:$2,2,FALSE),FALSE)/(VLOOKUP($A338,'[1]import graded seats course pivo'!$A:AK,HLOOKUP('[1]Course Totals'!M$4,'[1]import graded seats course pivo'!$1:$2,2,FALSE),FALSE))),"")</f>
        <v>0.89189189189189189</v>
      </c>
      <c r="N338" s="14" t="str">
        <f>IFERROR((VLOOKUP($A338,'[1]import success seats course'!$A:AB,HLOOKUP('[1]Course Totals'!N$4,'[1]import success seats course'!$1:$2,2,FALSE),FALSE)/(VLOOKUP($A338,'[1]import graded seats course pivo'!$A:AL,HLOOKUP('[1]Course Totals'!N$4,'[1]import graded seats course pivo'!$1:$2,2,FALSE),FALSE))),"")</f>
        <v/>
      </c>
      <c r="O338" s="14">
        <f>IFERROR((VLOOKUP($A338,'[1]import success seats course'!$A:AC,HLOOKUP('[1]Course Totals'!O$4,'[1]import success seats course'!$1:$2,2,FALSE),FALSE)/(VLOOKUP($A338,'[1]import graded seats course pivo'!$A:AM,HLOOKUP('[1]Course Totals'!O$4,'[1]import graded seats course pivo'!$1:$2,2,FALSE),FALSE))),"")</f>
        <v>0.9038854805725971</v>
      </c>
      <c r="P338" s="14">
        <f>IFERROR((VLOOKUP($A338,'[1]import success seats course'!$A:AD,HLOOKUP('[1]Course Totals'!P$4,'[1]import success seats course'!$1:$2,2,FALSE),FALSE)/(VLOOKUP($A338,'[1]import graded seats course pivo'!$A:AN,HLOOKUP('[1]Course Totals'!P$4,'[1]import graded seats course pivo'!$1:$2,2,FALSE),FALSE))),"")</f>
        <v>0.90205011389521639</v>
      </c>
      <c r="Q338" s="14">
        <f>IFERROR((VLOOKUP($A338,'[1]import success seats course'!$A:AE,HLOOKUP('[1]Course Totals'!Q$4,'[1]import success seats course'!$1:$2,2,FALSE),FALSE)/(VLOOKUP($A338,'[1]import graded seats course pivo'!$A:AO,HLOOKUP('[1]Course Totals'!Q$4,'[1]import graded seats course pivo'!$1:$2,2,FALSE),FALSE))),"")</f>
        <v>0.96551724137931039</v>
      </c>
      <c r="R338" s="14">
        <f>IFERROR((VLOOKUP($A338,'[1]import success seats course'!$A:AF,HLOOKUP('[1]Course Totals'!R$4,'[1]import success seats course'!$1:$2,2,FALSE),FALSE)/(VLOOKUP($A338,'[1]import graded seats course pivo'!$A:AP,HLOOKUP('[1]Course Totals'!R$4,'[1]import graded seats course pivo'!$1:$2,2,FALSE),FALSE))),"")</f>
        <v>0.92446043165467628</v>
      </c>
      <c r="S338" s="14">
        <f>IFERROR((VLOOKUP($A338,'[1]import success seats course'!$A:AG,HLOOKUP('[1]Course Totals'!S$4,'[1]import success seats course'!$1:$2,2,FALSE),FALSE)/(VLOOKUP($A338,'[1]import graded seats course pivo'!$A:AQ,HLOOKUP('[1]Course Totals'!S$4,'[1]import graded seats course pivo'!$1:$2,2,FALSE),FALSE))),"")</f>
        <v>0.90437158469945356</v>
      </c>
      <c r="Z338" s="7"/>
      <c r="AA338" s="7"/>
      <c r="AB338" s="7"/>
      <c r="AC338" s="7"/>
    </row>
    <row r="339" spans="1:29" ht="15.75" hidden="1" customHeight="1" x14ac:dyDescent="0.25">
      <c r="A339" s="12" t="s">
        <v>777</v>
      </c>
      <c r="B339" s="14" t="str">
        <f>IFERROR((VLOOKUP($A339,'[1]import success seats course'!$A:P,HLOOKUP('[1]Course Totals'!B$4,'[1]import success seats course'!$1:$2,2,FALSE),FALSE)/(VLOOKUP($A339,'[1]import graded seats course pivo'!$A:Z,HLOOKUP('[1]Course Totals'!B$4,'[1]import graded seats course pivo'!$1:$2,2,FALSE),FALSE))),"")</f>
        <v/>
      </c>
      <c r="C339" s="14" t="str">
        <f>IFERROR((VLOOKUP($A339,'[1]import success seats course'!$A:Q,HLOOKUP('[1]Course Totals'!C$4,'[1]import success seats course'!$1:$2,2,FALSE),FALSE)/(VLOOKUP($A339,'[1]import graded seats course pivo'!$A:AA,HLOOKUP('[1]Course Totals'!C$4,'[1]import graded seats course pivo'!$1:$2,2,FALSE),FALSE))),"")</f>
        <v/>
      </c>
      <c r="D339" s="14" t="str">
        <f>IFERROR((VLOOKUP($A339,'[1]import success seats course'!$A:R,HLOOKUP('[1]Course Totals'!D$4,'[1]import success seats course'!$1:$2,2,FALSE),FALSE)/(VLOOKUP($A339,'[1]import graded seats course pivo'!$A:AB,HLOOKUP('[1]Course Totals'!D$4,'[1]import graded seats course pivo'!$1:$2,2,FALSE),FALSE))),"")</f>
        <v/>
      </c>
      <c r="E339" s="14" t="str">
        <f>IFERROR((VLOOKUP($A339,'[1]import success seats course'!$A:S,HLOOKUP('[1]Course Totals'!E$4,'[1]import success seats course'!$1:$2,2,FALSE),FALSE)/(VLOOKUP($A339,'[1]import graded seats course pivo'!$A:AC,HLOOKUP('[1]Course Totals'!E$4,'[1]import graded seats course pivo'!$1:$2,2,FALSE),FALSE))),"")</f>
        <v/>
      </c>
      <c r="F339" s="14" t="str">
        <f>IFERROR((VLOOKUP($A339,'[1]import success seats course'!$A:T,HLOOKUP('[1]Course Totals'!F$4,'[1]import success seats course'!$1:$2,2,FALSE),FALSE)/(VLOOKUP($A339,'[1]import graded seats course pivo'!$A:AD,HLOOKUP('[1]Course Totals'!F$4,'[1]import graded seats course pivo'!$1:$2,2,FALSE),FALSE))),"")</f>
        <v/>
      </c>
      <c r="G339" s="14" t="str">
        <f>IFERROR((VLOOKUP($A339,'[1]import success seats course'!$A:U,HLOOKUP('[1]Course Totals'!G$4,'[1]import success seats course'!$1:$2,2,FALSE),FALSE)/(VLOOKUP($A339,'[1]import graded seats course pivo'!$A:AE,HLOOKUP('[1]Course Totals'!G$4,'[1]import graded seats course pivo'!$1:$2,2,FALSE),FALSE))),"")</f>
        <v/>
      </c>
      <c r="H339" s="14" t="str">
        <f>IFERROR((VLOOKUP($A339,'[1]import success seats course'!$A:V,HLOOKUP('[1]Course Totals'!H$4,'[1]import success seats course'!$1:$2,2,FALSE),FALSE)/(VLOOKUP($A339,'[1]import graded seats course pivo'!$A:AF,HLOOKUP('[1]Course Totals'!H$4,'[1]import graded seats course pivo'!$1:$2,2,FALSE),FALSE))),"")</f>
        <v/>
      </c>
      <c r="I339" s="14" t="str">
        <f>IFERROR((VLOOKUP($A339,'[1]import success seats course'!$A:W,HLOOKUP('[1]Course Totals'!I$4,'[1]import success seats course'!$1:$2,2,FALSE),FALSE)/(VLOOKUP($A339,'[1]import graded seats course pivo'!$A:AG,HLOOKUP('[1]Course Totals'!I$4,'[1]import graded seats course pivo'!$1:$2,2,FALSE),FALSE))),"")</f>
        <v/>
      </c>
      <c r="J339" s="14" t="str">
        <f>IFERROR((VLOOKUP($A339,'[1]import success seats course'!$A:X,HLOOKUP('[1]Course Totals'!J$4,'[1]import success seats course'!$1:$2,2,FALSE),FALSE)/(VLOOKUP($A339,'[1]import graded seats course pivo'!$A:AH,HLOOKUP('[1]Course Totals'!J$4,'[1]import graded seats course pivo'!$1:$2,2,FALSE),FALSE))),"")</f>
        <v/>
      </c>
      <c r="K339" s="14" t="str">
        <f>IFERROR((VLOOKUP($A339,'[1]import success seats course'!$A:Y,HLOOKUP('[1]Course Totals'!K$4,'[1]import success seats course'!$1:$2,2,FALSE),FALSE)/(VLOOKUP($A339,'[1]import graded seats course pivo'!$A:AI,HLOOKUP('[1]Course Totals'!K$4,'[1]import graded seats course pivo'!$1:$2,2,FALSE),FALSE))),"")</f>
        <v/>
      </c>
      <c r="L339" s="14" t="str">
        <f>IFERROR((VLOOKUP($A339,'[1]import success seats course'!$A:Z,HLOOKUP('[1]Course Totals'!L$4,'[1]import success seats course'!$1:$2,2,FALSE),FALSE)/(VLOOKUP($A339,'[1]import graded seats course pivo'!$A:AJ,HLOOKUP('[1]Course Totals'!L$4,'[1]import graded seats course pivo'!$1:$2,2,FALSE),FALSE))),"")</f>
        <v/>
      </c>
      <c r="M339" s="14" t="str">
        <f>IFERROR((VLOOKUP($A339,'[1]import success seats course'!$A:AA,HLOOKUP('[1]Course Totals'!M$4,'[1]import success seats course'!$1:$2,2,FALSE),FALSE)/(VLOOKUP($A339,'[1]import graded seats course pivo'!$A:AK,HLOOKUP('[1]Course Totals'!M$4,'[1]import graded seats course pivo'!$1:$2,2,FALSE),FALSE))),"")</f>
        <v/>
      </c>
      <c r="N339" s="14" t="str">
        <f>IFERROR((VLOOKUP($A339,'[1]import success seats course'!$A:AB,HLOOKUP('[1]Course Totals'!N$4,'[1]import success seats course'!$1:$2,2,FALSE),FALSE)/(VLOOKUP($A339,'[1]import graded seats course pivo'!$A:AL,HLOOKUP('[1]Course Totals'!N$4,'[1]import graded seats course pivo'!$1:$2,2,FALSE),FALSE))),"")</f>
        <v/>
      </c>
      <c r="O339" s="14" t="str">
        <f>IFERROR((VLOOKUP($A339,'[1]import success seats course'!$A:AC,HLOOKUP('[1]Course Totals'!O$4,'[1]import success seats course'!$1:$2,2,FALSE),FALSE)/(VLOOKUP($A339,'[1]import graded seats course pivo'!$A:AM,HLOOKUP('[1]Course Totals'!O$4,'[1]import graded seats course pivo'!$1:$2,2,FALSE),FALSE))),"")</f>
        <v/>
      </c>
      <c r="P339" s="14" t="str">
        <f>IFERROR((VLOOKUP($A339,'[1]import success seats course'!$A:AD,HLOOKUP('[1]Course Totals'!P$4,'[1]import success seats course'!$1:$2,2,FALSE),FALSE)/(VLOOKUP($A339,'[1]import graded seats course pivo'!$A:AN,HLOOKUP('[1]Course Totals'!P$4,'[1]import graded seats course pivo'!$1:$2,2,FALSE),FALSE))),"")</f>
        <v/>
      </c>
      <c r="Q339" s="14" t="str">
        <f>IFERROR((VLOOKUP($A339,'[1]import success seats course'!$A:AE,HLOOKUP('[1]Course Totals'!Q$4,'[1]import success seats course'!$1:$2,2,FALSE),FALSE)/(VLOOKUP($A339,'[1]import graded seats course pivo'!$A:AO,HLOOKUP('[1]Course Totals'!Q$4,'[1]import graded seats course pivo'!$1:$2,2,FALSE),FALSE))),"")</f>
        <v/>
      </c>
      <c r="R339" s="14" t="str">
        <f>IFERROR((VLOOKUP($A339,'[1]import success seats course'!$A:AF,HLOOKUP('[1]Course Totals'!R$4,'[1]import success seats course'!$1:$2,2,FALSE),FALSE)/(VLOOKUP($A339,'[1]import graded seats course pivo'!$A:AP,HLOOKUP('[1]Course Totals'!R$4,'[1]import graded seats course pivo'!$1:$2,2,FALSE),FALSE))),"")</f>
        <v/>
      </c>
      <c r="S339" s="14">
        <f>IFERROR((VLOOKUP($A339,'[1]import success seats course'!$A:AG,HLOOKUP('[1]Course Totals'!S$4,'[1]import success seats course'!$1:$2,2,FALSE),FALSE)/(VLOOKUP($A339,'[1]import graded seats course pivo'!$A:AQ,HLOOKUP('[1]Course Totals'!S$4,'[1]import graded seats course pivo'!$1:$2,2,FALSE),FALSE))),"")</f>
        <v>1</v>
      </c>
      <c r="Z339" s="7"/>
      <c r="AA339" s="7"/>
      <c r="AB339" s="7"/>
      <c r="AC339" s="7"/>
    </row>
    <row r="340" spans="1:29" ht="15.75" customHeight="1" x14ac:dyDescent="0.25">
      <c r="A340" s="12" t="s">
        <v>169</v>
      </c>
      <c r="B340" s="14">
        <f>IFERROR((VLOOKUP($A340,'[1]import success seats course'!$A:P,HLOOKUP('[1]Course Totals'!B$4,'[1]import success seats course'!$1:$2,2,FALSE),FALSE)/(VLOOKUP($A340,'[1]import graded seats course pivo'!$A:Z,HLOOKUP('[1]Course Totals'!B$4,'[1]import graded seats course pivo'!$1:$2,2,FALSE),FALSE))),"")</f>
        <v>0.96</v>
      </c>
      <c r="C340" s="14">
        <f>IFERROR((VLOOKUP($A340,'[1]import success seats course'!$A:Q,HLOOKUP('[1]Course Totals'!C$4,'[1]import success seats course'!$1:$2,2,FALSE),FALSE)/(VLOOKUP($A340,'[1]import graded seats course pivo'!$A:AA,HLOOKUP('[1]Course Totals'!C$4,'[1]import graded seats course pivo'!$1:$2,2,FALSE),FALSE))),"")</f>
        <v>0.89772727272727271</v>
      </c>
      <c r="D340" s="14">
        <f>IFERROR((VLOOKUP($A340,'[1]import success seats course'!$A:R,HLOOKUP('[1]Course Totals'!D$4,'[1]import success seats course'!$1:$2,2,FALSE),FALSE)/(VLOOKUP($A340,'[1]import graded seats course pivo'!$A:AB,HLOOKUP('[1]Course Totals'!D$4,'[1]import graded seats course pivo'!$1:$2,2,FALSE),FALSE))),"")</f>
        <v>0.91034482758620694</v>
      </c>
      <c r="E340" s="14">
        <f>IFERROR((VLOOKUP($A340,'[1]import success seats course'!$A:S,HLOOKUP('[1]Course Totals'!E$4,'[1]import success seats course'!$1:$2,2,FALSE),FALSE)/(VLOOKUP($A340,'[1]import graded seats course pivo'!$A:AC,HLOOKUP('[1]Course Totals'!E$4,'[1]import graded seats course pivo'!$1:$2,2,FALSE),FALSE))),"")</f>
        <v>0.95238095238095233</v>
      </c>
      <c r="F340" s="14">
        <f>IFERROR((VLOOKUP($A340,'[1]import success seats course'!$A:T,HLOOKUP('[1]Course Totals'!F$4,'[1]import success seats course'!$1:$2,2,FALSE),FALSE)/(VLOOKUP($A340,'[1]import graded seats course pivo'!$A:AD,HLOOKUP('[1]Course Totals'!F$4,'[1]import graded seats course pivo'!$1:$2,2,FALSE),FALSE))),"")</f>
        <v>0.91836734693877553</v>
      </c>
      <c r="G340" s="14">
        <f>IFERROR((VLOOKUP($A340,'[1]import success seats course'!$A:U,HLOOKUP('[1]Course Totals'!G$4,'[1]import success seats course'!$1:$2,2,FALSE),FALSE)/(VLOOKUP($A340,'[1]import graded seats course pivo'!$A:AE,HLOOKUP('[1]Course Totals'!G$4,'[1]import graded seats course pivo'!$1:$2,2,FALSE),FALSE))),"")</f>
        <v>0.91233766233766234</v>
      </c>
      <c r="H340" s="14">
        <f>IFERROR((VLOOKUP($A340,'[1]import success seats course'!$A:V,HLOOKUP('[1]Course Totals'!H$4,'[1]import success seats course'!$1:$2,2,FALSE),FALSE)/(VLOOKUP($A340,'[1]import graded seats course pivo'!$A:AF,HLOOKUP('[1]Course Totals'!H$4,'[1]import graded seats course pivo'!$1:$2,2,FALSE),FALSE))),"")</f>
        <v>0.9285714285714286</v>
      </c>
      <c r="I340" s="14">
        <f>IFERROR((VLOOKUP($A340,'[1]import success seats course'!$A:W,HLOOKUP('[1]Course Totals'!I$4,'[1]import success seats course'!$1:$2,2,FALSE),FALSE)/(VLOOKUP($A340,'[1]import graded seats course pivo'!$A:AG,HLOOKUP('[1]Course Totals'!I$4,'[1]import graded seats course pivo'!$1:$2,2,FALSE),FALSE))),"")</f>
        <v>0.91411042944785281</v>
      </c>
      <c r="J340" s="14">
        <f>IFERROR((VLOOKUP($A340,'[1]import success seats course'!$A:X,HLOOKUP('[1]Course Totals'!J$4,'[1]import success seats course'!$1:$2,2,FALSE),FALSE)/(VLOOKUP($A340,'[1]import graded seats course pivo'!$A:AH,HLOOKUP('[1]Course Totals'!J$4,'[1]import graded seats course pivo'!$1:$2,2,FALSE),FALSE))),"")</f>
        <v>0.88300835654596099</v>
      </c>
      <c r="K340" s="14" t="str">
        <f>IFERROR((VLOOKUP($A340,'[1]import success seats course'!$A:Y,HLOOKUP('[1]Course Totals'!K$4,'[1]import success seats course'!$1:$2,2,FALSE),FALSE)/(VLOOKUP($A340,'[1]import graded seats course pivo'!$A:AI,HLOOKUP('[1]Course Totals'!K$4,'[1]import graded seats course pivo'!$1:$2,2,FALSE),FALSE))),"")</f>
        <v/>
      </c>
      <c r="L340" s="14">
        <f>IFERROR((VLOOKUP($A340,'[1]import success seats course'!$A:Z,HLOOKUP('[1]Course Totals'!L$4,'[1]import success seats course'!$1:$2,2,FALSE),FALSE)/(VLOOKUP($A340,'[1]import graded seats course pivo'!$A:AJ,HLOOKUP('[1]Course Totals'!L$4,'[1]import graded seats course pivo'!$1:$2,2,FALSE),FALSE))),"")</f>
        <v>0.93846153846153846</v>
      </c>
      <c r="M340" s="14">
        <f>IFERROR((VLOOKUP($A340,'[1]import success seats course'!$A:AA,HLOOKUP('[1]Course Totals'!M$4,'[1]import success seats course'!$1:$2,2,FALSE),FALSE)/(VLOOKUP($A340,'[1]import graded seats course pivo'!$A:AK,HLOOKUP('[1]Course Totals'!M$4,'[1]import graded seats course pivo'!$1:$2,2,FALSE),FALSE))),"")</f>
        <v>0.88257575757575757</v>
      </c>
      <c r="N340" s="14" t="str">
        <f>IFERROR((VLOOKUP($A340,'[1]import success seats course'!$A:AB,HLOOKUP('[1]Course Totals'!N$4,'[1]import success seats course'!$1:$2,2,FALSE),FALSE)/(VLOOKUP($A340,'[1]import graded seats course pivo'!$A:AL,HLOOKUP('[1]Course Totals'!N$4,'[1]import graded seats course pivo'!$1:$2,2,FALSE),FALSE))),"")</f>
        <v/>
      </c>
      <c r="O340" s="14">
        <f>IFERROR((VLOOKUP($A340,'[1]import success seats course'!$A:AC,HLOOKUP('[1]Course Totals'!O$4,'[1]import success seats course'!$1:$2,2,FALSE),FALSE)/(VLOOKUP($A340,'[1]import graded seats course pivo'!$A:AM,HLOOKUP('[1]Course Totals'!O$4,'[1]import graded seats course pivo'!$1:$2,2,FALSE),FALSE))),"")</f>
        <v>0.88114754098360659</v>
      </c>
      <c r="P340" s="14">
        <f>IFERROR((VLOOKUP($A340,'[1]import success seats course'!$A:AD,HLOOKUP('[1]Course Totals'!P$4,'[1]import success seats course'!$1:$2,2,FALSE),FALSE)/(VLOOKUP($A340,'[1]import graded seats course pivo'!$A:AN,HLOOKUP('[1]Course Totals'!P$4,'[1]import graded seats course pivo'!$1:$2,2,FALSE),FALSE))),"")</f>
        <v>0.83965014577259478</v>
      </c>
      <c r="Q340" s="14" t="str">
        <f>IFERROR((VLOOKUP($A340,'[1]import success seats course'!$A:AE,HLOOKUP('[1]Course Totals'!Q$4,'[1]import success seats course'!$1:$2,2,FALSE),FALSE)/(VLOOKUP($A340,'[1]import graded seats course pivo'!$A:AO,HLOOKUP('[1]Course Totals'!Q$4,'[1]import graded seats course pivo'!$1:$2,2,FALSE),FALSE))),"")</f>
        <v/>
      </c>
      <c r="R340" s="14">
        <f>IFERROR((VLOOKUP($A340,'[1]import success seats course'!$A:AF,HLOOKUP('[1]Course Totals'!R$4,'[1]import success seats course'!$1:$2,2,FALSE),FALSE)/(VLOOKUP($A340,'[1]import graded seats course pivo'!$A:AP,HLOOKUP('[1]Course Totals'!R$4,'[1]import graded seats course pivo'!$1:$2,2,FALSE),FALSE))),"")</f>
        <v>0.92592592592592593</v>
      </c>
      <c r="S340" s="14">
        <f>IFERROR((VLOOKUP($A340,'[1]import success seats course'!$A:AG,HLOOKUP('[1]Course Totals'!S$4,'[1]import success seats course'!$1:$2,2,FALSE),FALSE)/(VLOOKUP($A340,'[1]import graded seats course pivo'!$A:AQ,HLOOKUP('[1]Course Totals'!S$4,'[1]import graded seats course pivo'!$1:$2,2,FALSE),FALSE))),"")</f>
        <v>0.87537993920972645</v>
      </c>
      <c r="Z340" s="7"/>
      <c r="AA340" s="7"/>
      <c r="AB340" s="7"/>
      <c r="AC340" s="7"/>
    </row>
    <row r="341" spans="1:29" ht="15.75" customHeight="1" x14ac:dyDescent="0.25">
      <c r="A341" s="12" t="s">
        <v>170</v>
      </c>
      <c r="B341" s="14">
        <f>IFERROR((VLOOKUP($A341,'[1]import success seats course'!$A:P,HLOOKUP('[1]Course Totals'!B$4,'[1]import success seats course'!$1:$2,2,FALSE),FALSE)/(VLOOKUP($A341,'[1]import graded seats course pivo'!$A:Z,HLOOKUP('[1]Course Totals'!B$4,'[1]import graded seats course pivo'!$1:$2,2,FALSE),FALSE))),"")</f>
        <v>0.8571428571428571</v>
      </c>
      <c r="C341" s="14">
        <f>IFERROR((VLOOKUP($A341,'[1]import success seats course'!$A:Q,HLOOKUP('[1]Course Totals'!C$4,'[1]import success seats course'!$1:$2,2,FALSE),FALSE)/(VLOOKUP($A341,'[1]import graded seats course pivo'!$A:AA,HLOOKUP('[1]Course Totals'!C$4,'[1]import graded seats course pivo'!$1:$2,2,FALSE),FALSE))),"")</f>
        <v>0.8571428571428571</v>
      </c>
      <c r="D341" s="14">
        <f>IFERROR((VLOOKUP($A341,'[1]import success seats course'!$A:R,HLOOKUP('[1]Course Totals'!D$4,'[1]import success seats course'!$1:$2,2,FALSE),FALSE)/(VLOOKUP($A341,'[1]import graded seats course pivo'!$A:AB,HLOOKUP('[1]Course Totals'!D$4,'[1]import graded seats course pivo'!$1:$2,2,FALSE),FALSE))),"")</f>
        <v>0.94047619047619047</v>
      </c>
      <c r="E341" s="14">
        <f>IFERROR((VLOOKUP($A341,'[1]import success seats course'!$A:S,HLOOKUP('[1]Course Totals'!E$4,'[1]import success seats course'!$1:$2,2,FALSE),FALSE)/(VLOOKUP($A341,'[1]import graded seats course pivo'!$A:AC,HLOOKUP('[1]Course Totals'!E$4,'[1]import graded seats course pivo'!$1:$2,2,FALSE),FALSE))),"")</f>
        <v>0.83333333333333337</v>
      </c>
      <c r="F341" s="14">
        <f>IFERROR((VLOOKUP($A341,'[1]import success seats course'!$A:T,HLOOKUP('[1]Course Totals'!F$4,'[1]import success seats course'!$1:$2,2,FALSE),FALSE)/(VLOOKUP($A341,'[1]import graded seats course pivo'!$A:AD,HLOOKUP('[1]Course Totals'!F$4,'[1]import graded seats course pivo'!$1:$2,2,FALSE),FALSE))),"")</f>
        <v>0.93055555555555558</v>
      </c>
      <c r="G341" s="14">
        <f>IFERROR((VLOOKUP($A341,'[1]import success seats course'!$A:U,HLOOKUP('[1]Course Totals'!G$4,'[1]import success seats course'!$1:$2,2,FALSE),FALSE)/(VLOOKUP($A341,'[1]import graded seats course pivo'!$A:AE,HLOOKUP('[1]Course Totals'!G$4,'[1]import graded seats course pivo'!$1:$2,2,FALSE),FALSE))),"")</f>
        <v>0.90697674418604646</v>
      </c>
      <c r="H341" s="14" t="str">
        <f>IFERROR((VLOOKUP($A341,'[1]import success seats course'!$A:V,HLOOKUP('[1]Course Totals'!H$4,'[1]import success seats course'!$1:$2,2,FALSE),FALSE)/(VLOOKUP($A341,'[1]import graded seats course pivo'!$A:AF,HLOOKUP('[1]Course Totals'!H$4,'[1]import graded seats course pivo'!$1:$2,2,FALSE),FALSE))),"")</f>
        <v/>
      </c>
      <c r="I341" s="14">
        <f>IFERROR((VLOOKUP($A341,'[1]import success seats course'!$A:W,HLOOKUP('[1]Course Totals'!I$4,'[1]import success seats course'!$1:$2,2,FALSE),FALSE)/(VLOOKUP($A341,'[1]import graded seats course pivo'!$A:AG,HLOOKUP('[1]Course Totals'!I$4,'[1]import graded seats course pivo'!$1:$2,2,FALSE),FALSE))),"")</f>
        <v>0.92941176470588238</v>
      </c>
      <c r="J341" s="14">
        <f>IFERROR((VLOOKUP($A341,'[1]import success seats course'!$A:X,HLOOKUP('[1]Course Totals'!J$4,'[1]import success seats course'!$1:$2,2,FALSE),FALSE)/(VLOOKUP($A341,'[1]import graded seats course pivo'!$A:AH,HLOOKUP('[1]Course Totals'!J$4,'[1]import graded seats course pivo'!$1:$2,2,FALSE),FALSE))),"")</f>
        <v>0.92771084337349397</v>
      </c>
      <c r="K341" s="14" t="str">
        <f>IFERROR((VLOOKUP($A341,'[1]import success seats course'!$A:Y,HLOOKUP('[1]Course Totals'!K$4,'[1]import success seats course'!$1:$2,2,FALSE),FALSE)/(VLOOKUP($A341,'[1]import graded seats course pivo'!$A:AI,HLOOKUP('[1]Course Totals'!K$4,'[1]import graded seats course pivo'!$1:$2,2,FALSE),FALSE))),"")</f>
        <v/>
      </c>
      <c r="L341" s="14">
        <f>IFERROR((VLOOKUP($A341,'[1]import success seats course'!$A:Z,HLOOKUP('[1]Course Totals'!L$4,'[1]import success seats course'!$1:$2,2,FALSE),FALSE)/(VLOOKUP($A341,'[1]import graded seats course pivo'!$A:AJ,HLOOKUP('[1]Course Totals'!L$4,'[1]import graded seats course pivo'!$1:$2,2,FALSE),FALSE))),"")</f>
        <v>0.89130434782608692</v>
      </c>
      <c r="M341" s="14">
        <f>IFERROR((VLOOKUP($A341,'[1]import success seats course'!$A:AA,HLOOKUP('[1]Course Totals'!M$4,'[1]import success seats course'!$1:$2,2,FALSE),FALSE)/(VLOOKUP($A341,'[1]import graded seats course pivo'!$A:AK,HLOOKUP('[1]Course Totals'!M$4,'[1]import graded seats course pivo'!$1:$2,2,FALSE),FALSE))),"")</f>
        <v>0.89247311827956988</v>
      </c>
      <c r="N341" s="14" t="str">
        <f>IFERROR((VLOOKUP($A341,'[1]import success seats course'!$A:AB,HLOOKUP('[1]Course Totals'!N$4,'[1]import success seats course'!$1:$2,2,FALSE),FALSE)/(VLOOKUP($A341,'[1]import graded seats course pivo'!$A:AL,HLOOKUP('[1]Course Totals'!N$4,'[1]import graded seats course pivo'!$1:$2,2,FALSE),FALSE))),"")</f>
        <v/>
      </c>
      <c r="O341" s="14">
        <f>IFERROR((VLOOKUP($A341,'[1]import success seats course'!$A:AC,HLOOKUP('[1]Course Totals'!O$4,'[1]import success seats course'!$1:$2,2,FALSE),FALSE)/(VLOOKUP($A341,'[1]import graded seats course pivo'!$A:AM,HLOOKUP('[1]Course Totals'!O$4,'[1]import graded seats course pivo'!$1:$2,2,FALSE),FALSE))),"")</f>
        <v>0.90109890109890112</v>
      </c>
      <c r="P341" s="14">
        <f>IFERROR((VLOOKUP($A341,'[1]import success seats course'!$A:AD,HLOOKUP('[1]Course Totals'!P$4,'[1]import success seats course'!$1:$2,2,FALSE),FALSE)/(VLOOKUP($A341,'[1]import graded seats course pivo'!$A:AN,HLOOKUP('[1]Course Totals'!P$4,'[1]import graded seats course pivo'!$1:$2,2,FALSE),FALSE))),"")</f>
        <v>0.89010989010989006</v>
      </c>
      <c r="Q341" s="14" t="str">
        <f>IFERROR((VLOOKUP($A341,'[1]import success seats course'!$A:AE,HLOOKUP('[1]Course Totals'!Q$4,'[1]import success seats course'!$1:$2,2,FALSE),FALSE)/(VLOOKUP($A341,'[1]import graded seats course pivo'!$A:AO,HLOOKUP('[1]Course Totals'!Q$4,'[1]import graded seats course pivo'!$1:$2,2,FALSE),FALSE))),"")</f>
        <v/>
      </c>
      <c r="R341" s="14">
        <f>IFERROR((VLOOKUP($A341,'[1]import success seats course'!$A:AF,HLOOKUP('[1]Course Totals'!R$4,'[1]import success seats course'!$1:$2,2,FALSE),FALSE)/(VLOOKUP($A341,'[1]import graded seats course pivo'!$A:AP,HLOOKUP('[1]Course Totals'!R$4,'[1]import graded seats course pivo'!$1:$2,2,FALSE),FALSE))),"")</f>
        <v>0.94565217391304346</v>
      </c>
      <c r="S341" s="14">
        <f>IFERROR((VLOOKUP($A341,'[1]import success seats course'!$A:AG,HLOOKUP('[1]Course Totals'!S$4,'[1]import success seats course'!$1:$2,2,FALSE),FALSE)/(VLOOKUP($A341,'[1]import graded seats course pivo'!$A:AQ,HLOOKUP('[1]Course Totals'!S$4,'[1]import graded seats course pivo'!$1:$2,2,FALSE),FALSE))),"")</f>
        <v>0.88888888888888884</v>
      </c>
      <c r="Z341" s="7"/>
      <c r="AA341" s="7"/>
      <c r="AB341" s="7"/>
      <c r="AC341" s="7"/>
    </row>
    <row r="342" spans="1:29" ht="15.75" customHeight="1" x14ac:dyDescent="0.25">
      <c r="A342" s="12" t="s">
        <v>171</v>
      </c>
      <c r="B342" s="14" t="str">
        <f>IFERROR((VLOOKUP($A342,'[1]import success seats course'!$A:P,HLOOKUP('[1]Course Totals'!B$4,'[1]import success seats course'!$1:$2,2,FALSE),FALSE)/(VLOOKUP($A342,'[1]import graded seats course pivo'!$A:Z,HLOOKUP('[1]Course Totals'!B$4,'[1]import graded seats course pivo'!$1:$2,2,FALSE),FALSE))),"")</f>
        <v/>
      </c>
      <c r="C342" s="14">
        <f>IFERROR((VLOOKUP($A342,'[1]import success seats course'!$A:Q,HLOOKUP('[1]Course Totals'!C$4,'[1]import success seats course'!$1:$2,2,FALSE),FALSE)/(VLOOKUP($A342,'[1]import graded seats course pivo'!$A:AA,HLOOKUP('[1]Course Totals'!C$4,'[1]import graded seats course pivo'!$1:$2,2,FALSE),FALSE))),"")</f>
        <v>0.6</v>
      </c>
      <c r="D342" s="14" t="str">
        <f>IFERROR((VLOOKUP($A342,'[1]import success seats course'!$A:R,HLOOKUP('[1]Course Totals'!D$4,'[1]import success seats course'!$1:$2,2,FALSE),FALSE)/(VLOOKUP($A342,'[1]import graded seats course pivo'!$A:AB,HLOOKUP('[1]Course Totals'!D$4,'[1]import graded seats course pivo'!$1:$2,2,FALSE),FALSE))),"")</f>
        <v/>
      </c>
      <c r="E342" s="14" t="str">
        <f>IFERROR((VLOOKUP($A342,'[1]import success seats course'!$A:S,HLOOKUP('[1]Course Totals'!E$4,'[1]import success seats course'!$1:$2,2,FALSE),FALSE)/(VLOOKUP($A342,'[1]import graded seats course pivo'!$A:AC,HLOOKUP('[1]Course Totals'!E$4,'[1]import graded seats course pivo'!$1:$2,2,FALSE),FALSE))),"")</f>
        <v/>
      </c>
      <c r="F342" s="14">
        <f>IFERROR((VLOOKUP($A342,'[1]import success seats course'!$A:T,HLOOKUP('[1]Course Totals'!F$4,'[1]import success seats course'!$1:$2,2,FALSE),FALSE)/(VLOOKUP($A342,'[1]import graded seats course pivo'!$A:AD,HLOOKUP('[1]Course Totals'!F$4,'[1]import graded seats course pivo'!$1:$2,2,FALSE),FALSE))),"")</f>
        <v>0.5</v>
      </c>
      <c r="G342" s="14" t="str">
        <f>IFERROR((VLOOKUP($A342,'[1]import success seats course'!$A:U,HLOOKUP('[1]Course Totals'!G$4,'[1]import success seats course'!$1:$2,2,FALSE),FALSE)/(VLOOKUP($A342,'[1]import graded seats course pivo'!$A:AE,HLOOKUP('[1]Course Totals'!G$4,'[1]import graded seats course pivo'!$1:$2,2,FALSE),FALSE))),"")</f>
        <v/>
      </c>
      <c r="H342" s="14" t="str">
        <f>IFERROR((VLOOKUP($A342,'[1]import success seats course'!$A:V,HLOOKUP('[1]Course Totals'!H$4,'[1]import success seats course'!$1:$2,2,FALSE),FALSE)/(VLOOKUP($A342,'[1]import graded seats course pivo'!$A:AF,HLOOKUP('[1]Course Totals'!H$4,'[1]import graded seats course pivo'!$1:$2,2,FALSE),FALSE))),"")</f>
        <v/>
      </c>
      <c r="I342" s="14" t="str">
        <f>IFERROR((VLOOKUP($A342,'[1]import success seats course'!$A:W,HLOOKUP('[1]Course Totals'!I$4,'[1]import success seats course'!$1:$2,2,FALSE),FALSE)/(VLOOKUP($A342,'[1]import graded seats course pivo'!$A:AG,HLOOKUP('[1]Course Totals'!I$4,'[1]import graded seats course pivo'!$1:$2,2,FALSE),FALSE))),"")</f>
        <v/>
      </c>
      <c r="J342" s="14">
        <f>IFERROR((VLOOKUP($A342,'[1]import success seats course'!$A:X,HLOOKUP('[1]Course Totals'!J$4,'[1]import success seats course'!$1:$2,2,FALSE),FALSE)/(VLOOKUP($A342,'[1]import graded seats course pivo'!$A:AH,HLOOKUP('[1]Course Totals'!J$4,'[1]import graded seats course pivo'!$1:$2,2,FALSE),FALSE))),"")</f>
        <v>0.625</v>
      </c>
      <c r="K342" s="14" t="str">
        <f>IFERROR((VLOOKUP($A342,'[1]import success seats course'!$A:Y,HLOOKUP('[1]Course Totals'!K$4,'[1]import success seats course'!$1:$2,2,FALSE),FALSE)/(VLOOKUP($A342,'[1]import graded seats course pivo'!$A:AI,HLOOKUP('[1]Course Totals'!K$4,'[1]import graded seats course pivo'!$1:$2,2,FALSE),FALSE))),"")</f>
        <v/>
      </c>
      <c r="L342" s="14">
        <f>IFERROR((VLOOKUP($A342,'[1]import success seats course'!$A:Z,HLOOKUP('[1]Course Totals'!L$4,'[1]import success seats course'!$1:$2,2,FALSE),FALSE)/(VLOOKUP($A342,'[1]import graded seats course pivo'!$A:AJ,HLOOKUP('[1]Course Totals'!L$4,'[1]import graded seats course pivo'!$1:$2,2,FALSE),FALSE))),"")</f>
        <v>0.75</v>
      </c>
      <c r="M342" s="14" t="str">
        <f>IFERROR((VLOOKUP($A342,'[1]import success seats course'!$A:AA,HLOOKUP('[1]Course Totals'!M$4,'[1]import success seats course'!$1:$2,2,FALSE),FALSE)/(VLOOKUP($A342,'[1]import graded seats course pivo'!$A:AK,HLOOKUP('[1]Course Totals'!M$4,'[1]import graded seats course pivo'!$1:$2,2,FALSE),FALSE))),"")</f>
        <v/>
      </c>
      <c r="N342" s="14" t="str">
        <f>IFERROR((VLOOKUP($A342,'[1]import success seats course'!$A:AB,HLOOKUP('[1]Course Totals'!N$4,'[1]import success seats course'!$1:$2,2,FALSE),FALSE)/(VLOOKUP($A342,'[1]import graded seats course pivo'!$A:AL,HLOOKUP('[1]Course Totals'!N$4,'[1]import graded seats course pivo'!$1:$2,2,FALSE),FALSE))),"")</f>
        <v/>
      </c>
      <c r="O342" s="14">
        <f>IFERROR((VLOOKUP($A342,'[1]import success seats course'!$A:AC,HLOOKUP('[1]Course Totals'!O$4,'[1]import success seats course'!$1:$2,2,FALSE),FALSE)/(VLOOKUP($A342,'[1]import graded seats course pivo'!$A:AM,HLOOKUP('[1]Course Totals'!O$4,'[1]import graded seats course pivo'!$1:$2,2,FALSE),FALSE))),"")</f>
        <v>0.58333333333333337</v>
      </c>
      <c r="P342" s="14">
        <f>IFERROR((VLOOKUP($A342,'[1]import success seats course'!$A:AD,HLOOKUP('[1]Course Totals'!P$4,'[1]import success seats course'!$1:$2,2,FALSE),FALSE)/(VLOOKUP($A342,'[1]import graded seats course pivo'!$A:AN,HLOOKUP('[1]Course Totals'!P$4,'[1]import graded seats course pivo'!$1:$2,2,FALSE),FALSE))),"")</f>
        <v>0.81818181818181823</v>
      </c>
      <c r="Q342" s="14" t="str">
        <f>IFERROR((VLOOKUP($A342,'[1]import success seats course'!$A:AE,HLOOKUP('[1]Course Totals'!Q$4,'[1]import success seats course'!$1:$2,2,FALSE),FALSE)/(VLOOKUP($A342,'[1]import graded seats course pivo'!$A:AO,HLOOKUP('[1]Course Totals'!Q$4,'[1]import graded seats course pivo'!$1:$2,2,FALSE),FALSE))),"")</f>
        <v/>
      </c>
      <c r="R342" s="14">
        <f>IFERROR((VLOOKUP($A342,'[1]import success seats course'!$A:AF,HLOOKUP('[1]Course Totals'!R$4,'[1]import success seats course'!$1:$2,2,FALSE),FALSE)/(VLOOKUP($A342,'[1]import graded seats course pivo'!$A:AP,HLOOKUP('[1]Course Totals'!R$4,'[1]import graded seats course pivo'!$1:$2,2,FALSE),FALSE))),"")</f>
        <v>0.6</v>
      </c>
      <c r="S342" s="14" t="str">
        <f>IFERROR((VLOOKUP($A342,'[1]import success seats course'!$A:AG,HLOOKUP('[1]Course Totals'!S$4,'[1]import success seats course'!$1:$2,2,FALSE),FALSE)/(VLOOKUP($A342,'[1]import graded seats course pivo'!$A:AQ,HLOOKUP('[1]Course Totals'!S$4,'[1]import graded seats course pivo'!$1:$2,2,FALSE),FALSE))),"")</f>
        <v/>
      </c>
      <c r="Z342" s="7"/>
      <c r="AA342" s="7"/>
      <c r="AB342" s="7"/>
      <c r="AC342" s="7"/>
    </row>
    <row r="343" spans="1:29" ht="15.75" customHeight="1" x14ac:dyDescent="0.25">
      <c r="A343" s="12" t="s">
        <v>584</v>
      </c>
      <c r="B343" s="14" t="str">
        <f>IFERROR((VLOOKUP($A343,'[1]import success seats course'!$A:P,HLOOKUP('[1]Course Totals'!B$4,'[1]import success seats course'!$1:$2,2,FALSE),FALSE)/(VLOOKUP($A343,'[1]import graded seats course pivo'!$A:Z,HLOOKUP('[1]Course Totals'!B$4,'[1]import graded seats course pivo'!$1:$2,2,FALSE),FALSE))),"")</f>
        <v/>
      </c>
      <c r="C343" s="14" t="str">
        <f>IFERROR((VLOOKUP($A343,'[1]import success seats course'!$A:Q,HLOOKUP('[1]Course Totals'!C$4,'[1]import success seats course'!$1:$2,2,FALSE),FALSE)/(VLOOKUP($A343,'[1]import graded seats course pivo'!$A:AA,HLOOKUP('[1]Course Totals'!C$4,'[1]import graded seats course pivo'!$1:$2,2,FALSE),FALSE))),"")</f>
        <v/>
      </c>
      <c r="D343" s="14">
        <f>IFERROR((VLOOKUP($A343,'[1]import success seats course'!$A:R,HLOOKUP('[1]Course Totals'!D$4,'[1]import success seats course'!$1:$2,2,FALSE),FALSE)/(VLOOKUP($A343,'[1]import graded seats course pivo'!$A:AB,HLOOKUP('[1]Course Totals'!D$4,'[1]import graded seats course pivo'!$1:$2,2,FALSE),FALSE))),"")</f>
        <v>1</v>
      </c>
      <c r="E343" s="14" t="str">
        <f>IFERROR((VLOOKUP($A343,'[1]import success seats course'!$A:S,HLOOKUP('[1]Course Totals'!E$4,'[1]import success seats course'!$1:$2,2,FALSE),FALSE)/(VLOOKUP($A343,'[1]import graded seats course pivo'!$A:AC,HLOOKUP('[1]Course Totals'!E$4,'[1]import graded seats course pivo'!$1:$2,2,FALSE),FALSE))),"")</f>
        <v/>
      </c>
      <c r="F343" s="14">
        <f>IFERROR((VLOOKUP($A343,'[1]import success seats course'!$A:T,HLOOKUP('[1]Course Totals'!F$4,'[1]import success seats course'!$1:$2,2,FALSE),FALSE)/(VLOOKUP($A343,'[1]import graded seats course pivo'!$A:AD,HLOOKUP('[1]Course Totals'!F$4,'[1]import graded seats course pivo'!$1:$2,2,FALSE),FALSE))),"")</f>
        <v>0.96551724137931039</v>
      </c>
      <c r="G343" s="14">
        <f>IFERROR((VLOOKUP($A343,'[1]import success seats course'!$A:U,HLOOKUP('[1]Course Totals'!G$4,'[1]import success seats course'!$1:$2,2,FALSE),FALSE)/(VLOOKUP($A343,'[1]import graded seats course pivo'!$A:AE,HLOOKUP('[1]Course Totals'!G$4,'[1]import graded seats course pivo'!$1:$2,2,FALSE),FALSE))),"")</f>
        <v>0.8928571428571429</v>
      </c>
      <c r="H343" s="14" t="str">
        <f>IFERROR((VLOOKUP($A343,'[1]import success seats course'!$A:V,HLOOKUP('[1]Course Totals'!H$4,'[1]import success seats course'!$1:$2,2,FALSE),FALSE)/(VLOOKUP($A343,'[1]import graded seats course pivo'!$A:AF,HLOOKUP('[1]Course Totals'!H$4,'[1]import graded seats course pivo'!$1:$2,2,FALSE),FALSE))),"")</f>
        <v/>
      </c>
      <c r="I343" s="14">
        <f>IFERROR((VLOOKUP($A343,'[1]import success seats course'!$A:W,HLOOKUP('[1]Course Totals'!I$4,'[1]import success seats course'!$1:$2,2,FALSE),FALSE)/(VLOOKUP($A343,'[1]import graded seats course pivo'!$A:AG,HLOOKUP('[1]Course Totals'!I$4,'[1]import graded seats course pivo'!$1:$2,2,FALSE),FALSE))),"")</f>
        <v>1</v>
      </c>
      <c r="J343" s="14">
        <f>IFERROR((VLOOKUP($A343,'[1]import success seats course'!$A:X,HLOOKUP('[1]Course Totals'!J$4,'[1]import success seats course'!$1:$2,2,FALSE),FALSE)/(VLOOKUP($A343,'[1]import graded seats course pivo'!$A:AH,HLOOKUP('[1]Course Totals'!J$4,'[1]import graded seats course pivo'!$1:$2,2,FALSE),FALSE))),"")</f>
        <v>0.90322580645161288</v>
      </c>
      <c r="K343" s="14" t="str">
        <f>IFERROR((VLOOKUP($A343,'[1]import success seats course'!$A:Y,HLOOKUP('[1]Course Totals'!K$4,'[1]import success seats course'!$1:$2,2,FALSE),FALSE)/(VLOOKUP($A343,'[1]import graded seats course pivo'!$A:AI,HLOOKUP('[1]Course Totals'!K$4,'[1]import graded seats course pivo'!$1:$2,2,FALSE),FALSE))),"")</f>
        <v/>
      </c>
      <c r="L343" s="14">
        <f>IFERROR((VLOOKUP($A343,'[1]import success seats course'!$A:Z,HLOOKUP('[1]Course Totals'!L$4,'[1]import success seats course'!$1:$2,2,FALSE),FALSE)/(VLOOKUP($A343,'[1]import graded seats course pivo'!$A:AJ,HLOOKUP('[1]Course Totals'!L$4,'[1]import graded seats course pivo'!$1:$2,2,FALSE),FALSE))),"")</f>
        <v>0.9285714285714286</v>
      </c>
      <c r="M343" s="14" t="str">
        <f>IFERROR((VLOOKUP($A343,'[1]import success seats course'!$A:AA,HLOOKUP('[1]Course Totals'!M$4,'[1]import success seats course'!$1:$2,2,FALSE),FALSE)/(VLOOKUP($A343,'[1]import graded seats course pivo'!$A:AK,HLOOKUP('[1]Course Totals'!M$4,'[1]import graded seats course pivo'!$1:$2,2,FALSE),FALSE))),"")</f>
        <v/>
      </c>
      <c r="N343" s="14" t="str">
        <f>IFERROR((VLOOKUP($A343,'[1]import success seats course'!$A:AB,HLOOKUP('[1]Course Totals'!N$4,'[1]import success seats course'!$1:$2,2,FALSE),FALSE)/(VLOOKUP($A343,'[1]import graded seats course pivo'!$A:AL,HLOOKUP('[1]Course Totals'!N$4,'[1]import graded seats course pivo'!$1:$2,2,FALSE),FALSE))),"")</f>
        <v/>
      </c>
      <c r="O343" s="14">
        <f>IFERROR((VLOOKUP($A343,'[1]import success seats course'!$A:AC,HLOOKUP('[1]Course Totals'!O$4,'[1]import success seats course'!$1:$2,2,FALSE),FALSE)/(VLOOKUP($A343,'[1]import graded seats course pivo'!$A:AM,HLOOKUP('[1]Course Totals'!O$4,'[1]import graded seats course pivo'!$1:$2,2,FALSE),FALSE))),"")</f>
        <v>0.87096774193548387</v>
      </c>
      <c r="P343" s="14" t="str">
        <f>IFERROR((VLOOKUP($A343,'[1]import success seats course'!$A:AD,HLOOKUP('[1]Course Totals'!P$4,'[1]import success seats course'!$1:$2,2,FALSE),FALSE)/(VLOOKUP($A343,'[1]import graded seats course pivo'!$A:AN,HLOOKUP('[1]Course Totals'!P$4,'[1]import graded seats course pivo'!$1:$2,2,FALSE),FALSE))),"")</f>
        <v/>
      </c>
      <c r="Q343" s="14" t="str">
        <f>IFERROR((VLOOKUP($A343,'[1]import success seats course'!$A:AE,HLOOKUP('[1]Course Totals'!Q$4,'[1]import success seats course'!$1:$2,2,FALSE),FALSE)/(VLOOKUP($A343,'[1]import graded seats course pivo'!$A:AO,HLOOKUP('[1]Course Totals'!Q$4,'[1]import graded seats course pivo'!$1:$2,2,FALSE),FALSE))),"")</f>
        <v/>
      </c>
      <c r="R343" s="14">
        <f>IFERROR((VLOOKUP($A343,'[1]import success seats course'!$A:AF,HLOOKUP('[1]Course Totals'!R$4,'[1]import success seats course'!$1:$2,2,FALSE),FALSE)/(VLOOKUP($A343,'[1]import graded seats course pivo'!$A:AP,HLOOKUP('[1]Course Totals'!R$4,'[1]import graded seats course pivo'!$1:$2,2,FALSE),FALSE))),"")</f>
        <v>0.967741935483871</v>
      </c>
      <c r="S343" s="14" t="str">
        <f>IFERROR((VLOOKUP($A343,'[1]import success seats course'!$A:AG,HLOOKUP('[1]Course Totals'!S$4,'[1]import success seats course'!$1:$2,2,FALSE),FALSE)/(VLOOKUP($A343,'[1]import graded seats course pivo'!$A:AQ,HLOOKUP('[1]Course Totals'!S$4,'[1]import graded seats course pivo'!$1:$2,2,FALSE),FALSE))),"")</f>
        <v/>
      </c>
      <c r="Z343" s="7"/>
      <c r="AA343" s="7"/>
      <c r="AB343" s="7"/>
      <c r="AC343" s="7"/>
    </row>
    <row r="344" spans="1:29" ht="15.75" customHeight="1" x14ac:dyDescent="0.25">
      <c r="A344" s="12" t="s">
        <v>172</v>
      </c>
      <c r="B344" s="14" t="str">
        <f>IFERROR((VLOOKUP($A344,'[1]import success seats course'!$A:P,HLOOKUP('[1]Course Totals'!B$4,'[1]import success seats course'!$1:$2,2,FALSE),FALSE)/(VLOOKUP($A344,'[1]import graded seats course pivo'!$A:Z,HLOOKUP('[1]Course Totals'!B$4,'[1]import graded seats course pivo'!$1:$2,2,FALSE),FALSE))),"")</f>
        <v/>
      </c>
      <c r="C344" s="14">
        <f>IFERROR((VLOOKUP($A344,'[1]import success seats course'!$A:Q,HLOOKUP('[1]Course Totals'!C$4,'[1]import success seats course'!$1:$2,2,FALSE),FALSE)/(VLOOKUP($A344,'[1]import graded seats course pivo'!$A:AA,HLOOKUP('[1]Course Totals'!C$4,'[1]import graded seats course pivo'!$1:$2,2,FALSE),FALSE))),"")</f>
        <v>0.86206896551724133</v>
      </c>
      <c r="D344" s="14" t="str">
        <f>IFERROR((VLOOKUP($A344,'[1]import success seats course'!$A:R,HLOOKUP('[1]Course Totals'!D$4,'[1]import success seats course'!$1:$2,2,FALSE),FALSE)/(VLOOKUP($A344,'[1]import graded seats course pivo'!$A:AB,HLOOKUP('[1]Course Totals'!D$4,'[1]import graded seats course pivo'!$1:$2,2,FALSE),FALSE))),"")</f>
        <v/>
      </c>
      <c r="E344" s="14" t="str">
        <f>IFERROR((VLOOKUP($A344,'[1]import success seats course'!$A:S,HLOOKUP('[1]Course Totals'!E$4,'[1]import success seats course'!$1:$2,2,FALSE),FALSE)/(VLOOKUP($A344,'[1]import graded seats course pivo'!$A:AC,HLOOKUP('[1]Course Totals'!E$4,'[1]import graded seats course pivo'!$1:$2,2,FALSE),FALSE))),"")</f>
        <v/>
      </c>
      <c r="F344" s="14">
        <f>IFERROR((VLOOKUP($A344,'[1]import success seats course'!$A:T,HLOOKUP('[1]Course Totals'!F$4,'[1]import success seats course'!$1:$2,2,FALSE),FALSE)/(VLOOKUP($A344,'[1]import graded seats course pivo'!$A:AD,HLOOKUP('[1]Course Totals'!F$4,'[1]import graded seats course pivo'!$1:$2,2,FALSE),FALSE))),"")</f>
        <v>0.9642857142857143</v>
      </c>
      <c r="G344" s="14">
        <f>IFERROR((VLOOKUP($A344,'[1]import success seats course'!$A:U,HLOOKUP('[1]Course Totals'!G$4,'[1]import success seats course'!$1:$2,2,FALSE),FALSE)/(VLOOKUP($A344,'[1]import graded seats course pivo'!$A:AE,HLOOKUP('[1]Course Totals'!G$4,'[1]import graded seats course pivo'!$1:$2,2,FALSE),FALSE))),"")</f>
        <v>0.9</v>
      </c>
      <c r="H344" s="14" t="str">
        <f>IFERROR((VLOOKUP($A344,'[1]import success seats course'!$A:V,HLOOKUP('[1]Course Totals'!H$4,'[1]import success seats course'!$1:$2,2,FALSE),FALSE)/(VLOOKUP($A344,'[1]import graded seats course pivo'!$A:AF,HLOOKUP('[1]Course Totals'!H$4,'[1]import graded seats course pivo'!$1:$2,2,FALSE),FALSE))),"")</f>
        <v/>
      </c>
      <c r="I344" s="14">
        <f>IFERROR((VLOOKUP($A344,'[1]import success seats course'!$A:W,HLOOKUP('[1]Course Totals'!I$4,'[1]import success seats course'!$1:$2,2,FALSE),FALSE)/(VLOOKUP($A344,'[1]import graded seats course pivo'!$A:AG,HLOOKUP('[1]Course Totals'!I$4,'[1]import graded seats course pivo'!$1:$2,2,FALSE),FALSE))),"")</f>
        <v>0.88888888888888884</v>
      </c>
      <c r="J344" s="14" t="str">
        <f>IFERROR((VLOOKUP($A344,'[1]import success seats course'!$A:X,HLOOKUP('[1]Course Totals'!J$4,'[1]import success seats course'!$1:$2,2,FALSE),FALSE)/(VLOOKUP($A344,'[1]import graded seats course pivo'!$A:AH,HLOOKUP('[1]Course Totals'!J$4,'[1]import graded seats course pivo'!$1:$2,2,FALSE),FALSE))),"")</f>
        <v/>
      </c>
      <c r="K344" s="14" t="str">
        <f>IFERROR((VLOOKUP($A344,'[1]import success seats course'!$A:Y,HLOOKUP('[1]Course Totals'!K$4,'[1]import success seats course'!$1:$2,2,FALSE),FALSE)/(VLOOKUP($A344,'[1]import graded seats course pivo'!$A:AI,HLOOKUP('[1]Course Totals'!K$4,'[1]import graded seats course pivo'!$1:$2,2,FALSE),FALSE))),"")</f>
        <v/>
      </c>
      <c r="L344" s="14">
        <f>IFERROR((VLOOKUP($A344,'[1]import success seats course'!$A:Z,HLOOKUP('[1]Course Totals'!L$4,'[1]import success seats course'!$1:$2,2,FALSE),FALSE)/(VLOOKUP($A344,'[1]import graded seats course pivo'!$A:AJ,HLOOKUP('[1]Course Totals'!L$4,'[1]import graded seats course pivo'!$1:$2,2,FALSE),FALSE))),"")</f>
        <v>0.90322580645161288</v>
      </c>
      <c r="M344" s="14" t="str">
        <f>IFERROR((VLOOKUP($A344,'[1]import success seats course'!$A:AA,HLOOKUP('[1]Course Totals'!M$4,'[1]import success seats course'!$1:$2,2,FALSE),FALSE)/(VLOOKUP($A344,'[1]import graded seats course pivo'!$A:AK,HLOOKUP('[1]Course Totals'!M$4,'[1]import graded seats course pivo'!$1:$2,2,FALSE),FALSE))),"")</f>
        <v/>
      </c>
      <c r="N344" s="14" t="str">
        <f>IFERROR((VLOOKUP($A344,'[1]import success seats course'!$A:AB,HLOOKUP('[1]Course Totals'!N$4,'[1]import success seats course'!$1:$2,2,FALSE),FALSE)/(VLOOKUP($A344,'[1]import graded seats course pivo'!$A:AL,HLOOKUP('[1]Course Totals'!N$4,'[1]import graded seats course pivo'!$1:$2,2,FALSE),FALSE))),"")</f>
        <v/>
      </c>
      <c r="O344" s="14">
        <f>IFERROR((VLOOKUP($A344,'[1]import success seats course'!$A:AC,HLOOKUP('[1]Course Totals'!O$4,'[1]import success seats course'!$1:$2,2,FALSE),FALSE)/(VLOOKUP($A344,'[1]import graded seats course pivo'!$A:AM,HLOOKUP('[1]Course Totals'!O$4,'[1]import graded seats course pivo'!$1:$2,2,FALSE),FALSE))),"")</f>
        <v>0.90909090909090906</v>
      </c>
      <c r="P344" s="14" t="str">
        <f>IFERROR((VLOOKUP($A344,'[1]import success seats course'!$A:AD,HLOOKUP('[1]Course Totals'!P$4,'[1]import success seats course'!$1:$2,2,FALSE),FALSE)/(VLOOKUP($A344,'[1]import graded seats course pivo'!$A:AN,HLOOKUP('[1]Course Totals'!P$4,'[1]import graded seats course pivo'!$1:$2,2,FALSE),FALSE))),"")</f>
        <v/>
      </c>
      <c r="Q344" s="14" t="str">
        <f>IFERROR((VLOOKUP($A344,'[1]import success seats course'!$A:AE,HLOOKUP('[1]Course Totals'!Q$4,'[1]import success seats course'!$1:$2,2,FALSE),FALSE)/(VLOOKUP($A344,'[1]import graded seats course pivo'!$A:AO,HLOOKUP('[1]Course Totals'!Q$4,'[1]import graded seats course pivo'!$1:$2,2,FALSE),FALSE))),"")</f>
        <v/>
      </c>
      <c r="R344" s="14">
        <f>IFERROR((VLOOKUP($A344,'[1]import success seats course'!$A:AF,HLOOKUP('[1]Course Totals'!R$4,'[1]import success seats course'!$1:$2,2,FALSE),FALSE)/(VLOOKUP($A344,'[1]import graded seats course pivo'!$A:AP,HLOOKUP('[1]Course Totals'!R$4,'[1]import graded seats course pivo'!$1:$2,2,FALSE),FALSE))),"")</f>
        <v>0.89655172413793105</v>
      </c>
      <c r="S344" s="14" t="str">
        <f>IFERROR((VLOOKUP($A344,'[1]import success seats course'!$A:AG,HLOOKUP('[1]Course Totals'!S$4,'[1]import success seats course'!$1:$2,2,FALSE),FALSE)/(VLOOKUP($A344,'[1]import graded seats course pivo'!$A:AQ,HLOOKUP('[1]Course Totals'!S$4,'[1]import graded seats course pivo'!$1:$2,2,FALSE),FALSE))),"")</f>
        <v/>
      </c>
      <c r="Z344" s="7"/>
      <c r="AA344" s="7"/>
      <c r="AB344" s="7"/>
      <c r="AC344" s="7"/>
    </row>
    <row r="345" spans="1:29" ht="15.75" customHeight="1" x14ac:dyDescent="0.25">
      <c r="A345" s="12" t="s">
        <v>585</v>
      </c>
      <c r="B345" s="14" t="str">
        <f>IFERROR((VLOOKUP($A345,'[1]import success seats course'!$A:P,HLOOKUP('[1]Course Totals'!B$4,'[1]import success seats course'!$1:$2,2,FALSE),FALSE)/(VLOOKUP($A345,'[1]import graded seats course pivo'!$A:Z,HLOOKUP('[1]Course Totals'!B$4,'[1]import graded seats course pivo'!$1:$2,2,FALSE),FALSE))),"")</f>
        <v/>
      </c>
      <c r="C345" s="14" t="str">
        <f>IFERROR((VLOOKUP($A345,'[1]import success seats course'!$A:Q,HLOOKUP('[1]Course Totals'!C$4,'[1]import success seats course'!$1:$2,2,FALSE),FALSE)/(VLOOKUP($A345,'[1]import graded seats course pivo'!$A:AA,HLOOKUP('[1]Course Totals'!C$4,'[1]import graded seats course pivo'!$1:$2,2,FALSE),FALSE))),"")</f>
        <v/>
      </c>
      <c r="D345" s="14" t="str">
        <f>IFERROR((VLOOKUP($A345,'[1]import success seats course'!$A:R,HLOOKUP('[1]Course Totals'!D$4,'[1]import success seats course'!$1:$2,2,FALSE),FALSE)/(VLOOKUP($A345,'[1]import graded seats course pivo'!$A:AB,HLOOKUP('[1]Course Totals'!D$4,'[1]import graded seats course pivo'!$1:$2,2,FALSE),FALSE))),"")</f>
        <v/>
      </c>
      <c r="E345" s="14" t="str">
        <f>IFERROR((VLOOKUP($A345,'[1]import success seats course'!$A:S,HLOOKUP('[1]Course Totals'!E$4,'[1]import success seats course'!$1:$2,2,FALSE),FALSE)/(VLOOKUP($A345,'[1]import graded seats course pivo'!$A:AC,HLOOKUP('[1]Course Totals'!E$4,'[1]import graded seats course pivo'!$1:$2,2,FALSE),FALSE))),"")</f>
        <v/>
      </c>
      <c r="F345" s="14">
        <f>IFERROR((VLOOKUP($A345,'[1]import success seats course'!$A:T,HLOOKUP('[1]Course Totals'!F$4,'[1]import success seats course'!$1:$2,2,FALSE),FALSE)/(VLOOKUP($A345,'[1]import graded seats course pivo'!$A:AD,HLOOKUP('[1]Course Totals'!F$4,'[1]import graded seats course pivo'!$1:$2,2,FALSE),FALSE))),"")</f>
        <v>1</v>
      </c>
      <c r="G345" s="14" t="str">
        <f>IFERROR((VLOOKUP($A345,'[1]import success seats course'!$A:U,HLOOKUP('[1]Course Totals'!G$4,'[1]import success seats course'!$1:$2,2,FALSE),FALSE)/(VLOOKUP($A345,'[1]import graded seats course pivo'!$A:AE,HLOOKUP('[1]Course Totals'!G$4,'[1]import graded seats course pivo'!$1:$2,2,FALSE),FALSE))),"")</f>
        <v/>
      </c>
      <c r="H345" s="14" t="str">
        <f>IFERROR((VLOOKUP($A345,'[1]import success seats course'!$A:V,HLOOKUP('[1]Course Totals'!H$4,'[1]import success seats course'!$1:$2,2,FALSE),FALSE)/(VLOOKUP($A345,'[1]import graded seats course pivo'!$A:AF,HLOOKUP('[1]Course Totals'!H$4,'[1]import graded seats course pivo'!$1:$2,2,FALSE),FALSE))),"")</f>
        <v/>
      </c>
      <c r="I345" s="14">
        <f>IFERROR((VLOOKUP($A345,'[1]import success seats course'!$A:W,HLOOKUP('[1]Course Totals'!I$4,'[1]import success seats course'!$1:$2,2,FALSE),FALSE)/(VLOOKUP($A345,'[1]import graded seats course pivo'!$A:AG,HLOOKUP('[1]Course Totals'!I$4,'[1]import graded seats course pivo'!$1:$2,2,FALSE),FALSE))),"")</f>
        <v>1</v>
      </c>
      <c r="J345" s="14" t="str">
        <f>IFERROR((VLOOKUP($A345,'[1]import success seats course'!$A:X,HLOOKUP('[1]Course Totals'!J$4,'[1]import success seats course'!$1:$2,2,FALSE),FALSE)/(VLOOKUP($A345,'[1]import graded seats course pivo'!$A:AH,HLOOKUP('[1]Course Totals'!J$4,'[1]import graded seats course pivo'!$1:$2,2,FALSE),FALSE))),"")</f>
        <v/>
      </c>
      <c r="K345" s="14" t="str">
        <f>IFERROR((VLOOKUP($A345,'[1]import success seats course'!$A:Y,HLOOKUP('[1]Course Totals'!K$4,'[1]import success seats course'!$1:$2,2,FALSE),FALSE)/(VLOOKUP($A345,'[1]import graded seats course pivo'!$A:AI,HLOOKUP('[1]Course Totals'!K$4,'[1]import graded seats course pivo'!$1:$2,2,FALSE),FALSE))),"")</f>
        <v/>
      </c>
      <c r="L345" s="14" t="str">
        <f>IFERROR((VLOOKUP($A345,'[1]import success seats course'!$A:Z,HLOOKUP('[1]Course Totals'!L$4,'[1]import success seats course'!$1:$2,2,FALSE),FALSE)/(VLOOKUP($A345,'[1]import graded seats course pivo'!$A:AJ,HLOOKUP('[1]Course Totals'!L$4,'[1]import graded seats course pivo'!$1:$2,2,FALSE),FALSE))),"")</f>
        <v/>
      </c>
      <c r="M345" s="14" t="str">
        <f>IFERROR((VLOOKUP($A345,'[1]import success seats course'!$A:AA,HLOOKUP('[1]Course Totals'!M$4,'[1]import success seats course'!$1:$2,2,FALSE),FALSE)/(VLOOKUP($A345,'[1]import graded seats course pivo'!$A:AK,HLOOKUP('[1]Course Totals'!M$4,'[1]import graded seats course pivo'!$1:$2,2,FALSE),FALSE))),"")</f>
        <v/>
      </c>
      <c r="N345" s="14" t="str">
        <f>IFERROR((VLOOKUP($A345,'[1]import success seats course'!$A:AB,HLOOKUP('[1]Course Totals'!N$4,'[1]import success seats course'!$1:$2,2,FALSE),FALSE)/(VLOOKUP($A345,'[1]import graded seats course pivo'!$A:AL,HLOOKUP('[1]Course Totals'!N$4,'[1]import graded seats course pivo'!$1:$2,2,FALSE),FALSE))),"")</f>
        <v/>
      </c>
      <c r="O345" s="14">
        <f>IFERROR((VLOOKUP($A345,'[1]import success seats course'!$A:AC,HLOOKUP('[1]Course Totals'!O$4,'[1]import success seats course'!$1:$2,2,FALSE),FALSE)/(VLOOKUP($A345,'[1]import graded seats course pivo'!$A:AM,HLOOKUP('[1]Course Totals'!O$4,'[1]import graded seats course pivo'!$1:$2,2,FALSE),FALSE))),"")</f>
        <v>1</v>
      </c>
      <c r="P345" s="14" t="str">
        <f>IFERROR((VLOOKUP($A345,'[1]import success seats course'!$A:AD,HLOOKUP('[1]Course Totals'!P$4,'[1]import success seats course'!$1:$2,2,FALSE),FALSE)/(VLOOKUP($A345,'[1]import graded seats course pivo'!$A:AN,HLOOKUP('[1]Course Totals'!P$4,'[1]import graded seats course pivo'!$1:$2,2,FALSE),FALSE))),"")</f>
        <v/>
      </c>
      <c r="Q345" s="14" t="str">
        <f>IFERROR((VLOOKUP($A345,'[1]import success seats course'!$A:AE,HLOOKUP('[1]Course Totals'!Q$4,'[1]import success seats course'!$1:$2,2,FALSE),FALSE)/(VLOOKUP($A345,'[1]import graded seats course pivo'!$A:AO,HLOOKUP('[1]Course Totals'!Q$4,'[1]import graded seats course pivo'!$1:$2,2,FALSE),FALSE))),"")</f>
        <v/>
      </c>
      <c r="R345" s="14">
        <f>IFERROR((VLOOKUP($A345,'[1]import success seats course'!$A:AF,HLOOKUP('[1]Course Totals'!R$4,'[1]import success seats course'!$1:$2,2,FALSE),FALSE)/(VLOOKUP($A345,'[1]import graded seats course pivo'!$A:AP,HLOOKUP('[1]Course Totals'!R$4,'[1]import graded seats course pivo'!$1:$2,2,FALSE),FALSE))),"")</f>
        <v>1</v>
      </c>
      <c r="S345" s="14" t="str">
        <f>IFERROR((VLOOKUP($A345,'[1]import success seats course'!$A:AG,HLOOKUP('[1]Course Totals'!S$4,'[1]import success seats course'!$1:$2,2,FALSE),FALSE)/(VLOOKUP($A345,'[1]import graded seats course pivo'!$A:AQ,HLOOKUP('[1]Course Totals'!S$4,'[1]import graded seats course pivo'!$1:$2,2,FALSE),FALSE))),"")</f>
        <v/>
      </c>
      <c r="Z345" s="7"/>
      <c r="AA345" s="7"/>
      <c r="AB345" s="7"/>
      <c r="AC345" s="7"/>
    </row>
    <row r="346" spans="1:29" ht="15.75" customHeight="1" x14ac:dyDescent="0.25">
      <c r="A346" s="12" t="s">
        <v>173</v>
      </c>
      <c r="B346" s="14" t="str">
        <f>IFERROR((VLOOKUP($A346,'[1]import success seats course'!$A:P,HLOOKUP('[1]Course Totals'!B$4,'[1]import success seats course'!$1:$2,2,FALSE),FALSE)/(VLOOKUP($A346,'[1]import graded seats course pivo'!$A:Z,HLOOKUP('[1]Course Totals'!B$4,'[1]import graded seats course pivo'!$1:$2,2,FALSE),FALSE))),"")</f>
        <v/>
      </c>
      <c r="C346" s="14" t="str">
        <f>IFERROR((VLOOKUP($A346,'[1]import success seats course'!$A:Q,HLOOKUP('[1]Course Totals'!C$4,'[1]import success seats course'!$1:$2,2,FALSE),FALSE)/(VLOOKUP($A346,'[1]import graded seats course pivo'!$A:AA,HLOOKUP('[1]Course Totals'!C$4,'[1]import graded seats course pivo'!$1:$2,2,FALSE),FALSE))),"")</f>
        <v/>
      </c>
      <c r="D346" s="14" t="str">
        <f>IFERROR((VLOOKUP($A346,'[1]import success seats course'!$A:R,HLOOKUP('[1]Course Totals'!D$4,'[1]import success seats course'!$1:$2,2,FALSE),FALSE)/(VLOOKUP($A346,'[1]import graded seats course pivo'!$A:AB,HLOOKUP('[1]Course Totals'!D$4,'[1]import graded seats course pivo'!$1:$2,2,FALSE),FALSE))),"")</f>
        <v/>
      </c>
      <c r="E346" s="14" t="str">
        <f>IFERROR((VLOOKUP($A346,'[1]import success seats course'!$A:S,HLOOKUP('[1]Course Totals'!E$4,'[1]import success seats course'!$1:$2,2,FALSE),FALSE)/(VLOOKUP($A346,'[1]import graded seats course pivo'!$A:AC,HLOOKUP('[1]Course Totals'!E$4,'[1]import graded seats course pivo'!$1:$2,2,FALSE),FALSE))),"")</f>
        <v/>
      </c>
      <c r="F346" s="14" t="str">
        <f>IFERROR((VLOOKUP($A346,'[1]import success seats course'!$A:T,HLOOKUP('[1]Course Totals'!F$4,'[1]import success seats course'!$1:$2,2,FALSE),FALSE)/(VLOOKUP($A346,'[1]import graded seats course pivo'!$A:AD,HLOOKUP('[1]Course Totals'!F$4,'[1]import graded seats course pivo'!$1:$2,2,FALSE),FALSE))),"")</f>
        <v/>
      </c>
      <c r="G346" s="14">
        <f>IFERROR((VLOOKUP($A346,'[1]import success seats course'!$A:U,HLOOKUP('[1]Course Totals'!G$4,'[1]import success seats course'!$1:$2,2,FALSE),FALSE)/(VLOOKUP($A346,'[1]import graded seats course pivo'!$A:AE,HLOOKUP('[1]Course Totals'!G$4,'[1]import graded seats course pivo'!$1:$2,2,FALSE),FALSE))),"")</f>
        <v>0.86206896551724133</v>
      </c>
      <c r="H346" s="14" t="str">
        <f>IFERROR((VLOOKUP($A346,'[1]import success seats course'!$A:V,HLOOKUP('[1]Course Totals'!H$4,'[1]import success seats course'!$1:$2,2,FALSE),FALSE)/(VLOOKUP($A346,'[1]import graded seats course pivo'!$A:AF,HLOOKUP('[1]Course Totals'!H$4,'[1]import graded seats course pivo'!$1:$2,2,FALSE),FALSE))),"")</f>
        <v/>
      </c>
      <c r="I346" s="14" t="str">
        <f>IFERROR((VLOOKUP($A346,'[1]import success seats course'!$A:W,HLOOKUP('[1]Course Totals'!I$4,'[1]import success seats course'!$1:$2,2,FALSE),FALSE)/(VLOOKUP($A346,'[1]import graded seats course pivo'!$A:AG,HLOOKUP('[1]Course Totals'!I$4,'[1]import graded seats course pivo'!$1:$2,2,FALSE),FALSE))),"")</f>
        <v/>
      </c>
      <c r="J346" s="14" t="str">
        <f>IFERROR((VLOOKUP($A346,'[1]import success seats course'!$A:X,HLOOKUP('[1]Course Totals'!J$4,'[1]import success seats course'!$1:$2,2,FALSE),FALSE)/(VLOOKUP($A346,'[1]import graded seats course pivo'!$A:AH,HLOOKUP('[1]Course Totals'!J$4,'[1]import graded seats course pivo'!$1:$2,2,FALSE),FALSE))),"")</f>
        <v/>
      </c>
      <c r="K346" s="14" t="str">
        <f>IFERROR((VLOOKUP($A346,'[1]import success seats course'!$A:Y,HLOOKUP('[1]Course Totals'!K$4,'[1]import success seats course'!$1:$2,2,FALSE),FALSE)/(VLOOKUP($A346,'[1]import graded seats course pivo'!$A:AI,HLOOKUP('[1]Course Totals'!K$4,'[1]import graded seats course pivo'!$1:$2,2,FALSE),FALSE))),"")</f>
        <v/>
      </c>
      <c r="L346" s="14" t="str">
        <f>IFERROR((VLOOKUP($A346,'[1]import success seats course'!$A:Z,HLOOKUP('[1]Course Totals'!L$4,'[1]import success seats course'!$1:$2,2,FALSE),FALSE)/(VLOOKUP($A346,'[1]import graded seats course pivo'!$A:AJ,HLOOKUP('[1]Course Totals'!L$4,'[1]import graded seats course pivo'!$1:$2,2,FALSE),FALSE))),"")</f>
        <v/>
      </c>
      <c r="M346" s="14" t="str">
        <f>IFERROR((VLOOKUP($A346,'[1]import success seats course'!$A:AA,HLOOKUP('[1]Course Totals'!M$4,'[1]import success seats course'!$1:$2,2,FALSE),FALSE)/(VLOOKUP($A346,'[1]import graded seats course pivo'!$A:AK,HLOOKUP('[1]Course Totals'!M$4,'[1]import graded seats course pivo'!$1:$2,2,FALSE),FALSE))),"")</f>
        <v/>
      </c>
      <c r="N346" s="14" t="str">
        <f>IFERROR((VLOOKUP($A346,'[1]import success seats course'!$A:AB,HLOOKUP('[1]Course Totals'!N$4,'[1]import success seats course'!$1:$2,2,FALSE),FALSE)/(VLOOKUP($A346,'[1]import graded seats course pivo'!$A:AL,HLOOKUP('[1]Course Totals'!N$4,'[1]import graded seats course pivo'!$1:$2,2,FALSE),FALSE))),"")</f>
        <v/>
      </c>
      <c r="O346" s="14" t="str">
        <f>IFERROR((VLOOKUP($A346,'[1]import success seats course'!$A:AC,HLOOKUP('[1]Course Totals'!O$4,'[1]import success seats course'!$1:$2,2,FALSE),FALSE)/(VLOOKUP($A346,'[1]import graded seats course pivo'!$A:AM,HLOOKUP('[1]Course Totals'!O$4,'[1]import graded seats course pivo'!$1:$2,2,FALSE),FALSE))),"")</f>
        <v/>
      </c>
      <c r="P346" s="14" t="str">
        <f>IFERROR((VLOOKUP($A346,'[1]import success seats course'!$A:AD,HLOOKUP('[1]Course Totals'!P$4,'[1]import success seats course'!$1:$2,2,FALSE),FALSE)/(VLOOKUP($A346,'[1]import graded seats course pivo'!$A:AN,HLOOKUP('[1]Course Totals'!P$4,'[1]import graded seats course pivo'!$1:$2,2,FALSE),FALSE))),"")</f>
        <v/>
      </c>
      <c r="Q346" s="14" t="str">
        <f>IFERROR((VLOOKUP($A346,'[1]import success seats course'!$A:AE,HLOOKUP('[1]Course Totals'!Q$4,'[1]import success seats course'!$1:$2,2,FALSE),FALSE)/(VLOOKUP($A346,'[1]import graded seats course pivo'!$A:AO,HLOOKUP('[1]Course Totals'!Q$4,'[1]import graded seats course pivo'!$1:$2,2,FALSE),FALSE))),"")</f>
        <v/>
      </c>
      <c r="R346" s="14" t="str">
        <f>IFERROR((VLOOKUP($A346,'[1]import success seats course'!$A:AF,HLOOKUP('[1]Course Totals'!R$4,'[1]import success seats course'!$1:$2,2,FALSE),FALSE)/(VLOOKUP($A346,'[1]import graded seats course pivo'!$A:AP,HLOOKUP('[1]Course Totals'!R$4,'[1]import graded seats course pivo'!$1:$2,2,FALSE),FALSE))),"")</f>
        <v/>
      </c>
      <c r="S346" s="14" t="str">
        <f>IFERROR((VLOOKUP($A346,'[1]import success seats course'!$A:AG,HLOOKUP('[1]Course Totals'!S$4,'[1]import success seats course'!$1:$2,2,FALSE),FALSE)/(VLOOKUP($A346,'[1]import graded seats course pivo'!$A:AQ,HLOOKUP('[1]Course Totals'!S$4,'[1]import graded seats course pivo'!$1:$2,2,FALSE),FALSE))),"")</f>
        <v/>
      </c>
      <c r="Z346" s="7"/>
      <c r="AA346" s="7"/>
      <c r="AB346" s="7"/>
      <c r="AC346" s="7"/>
    </row>
    <row r="347" spans="1:29" ht="15.75" customHeight="1" x14ac:dyDescent="0.25">
      <c r="A347" s="12" t="s">
        <v>174</v>
      </c>
      <c r="B347" s="14" t="str">
        <f>IFERROR((VLOOKUP($A347,'[1]import success seats course'!$A:P,HLOOKUP('[1]Course Totals'!B$4,'[1]import success seats course'!$1:$2,2,FALSE),FALSE)/(VLOOKUP($A347,'[1]import graded seats course pivo'!$A:Z,HLOOKUP('[1]Course Totals'!B$4,'[1]import graded seats course pivo'!$1:$2,2,FALSE),FALSE))),"")</f>
        <v/>
      </c>
      <c r="C347" s="14">
        <f>IFERROR((VLOOKUP($A347,'[1]import success seats course'!$A:Q,HLOOKUP('[1]Course Totals'!C$4,'[1]import success seats course'!$1:$2,2,FALSE),FALSE)/(VLOOKUP($A347,'[1]import graded seats course pivo'!$A:AA,HLOOKUP('[1]Course Totals'!C$4,'[1]import graded seats course pivo'!$1:$2,2,FALSE),FALSE))),"")</f>
        <v>0.88888888888888884</v>
      </c>
      <c r="D347" s="14">
        <f>IFERROR((VLOOKUP($A347,'[1]import success seats course'!$A:R,HLOOKUP('[1]Course Totals'!D$4,'[1]import success seats course'!$1:$2,2,FALSE),FALSE)/(VLOOKUP($A347,'[1]import graded seats course pivo'!$A:AB,HLOOKUP('[1]Course Totals'!D$4,'[1]import graded seats course pivo'!$1:$2,2,FALSE),FALSE))),"")</f>
        <v>0.75</v>
      </c>
      <c r="E347" s="14" t="str">
        <f>IFERROR((VLOOKUP($A347,'[1]import success seats course'!$A:S,HLOOKUP('[1]Course Totals'!E$4,'[1]import success seats course'!$1:$2,2,FALSE),FALSE)/(VLOOKUP($A347,'[1]import graded seats course pivo'!$A:AC,HLOOKUP('[1]Course Totals'!E$4,'[1]import graded seats course pivo'!$1:$2,2,FALSE),FALSE))),"")</f>
        <v/>
      </c>
      <c r="F347" s="14">
        <f>IFERROR((VLOOKUP($A347,'[1]import success seats course'!$A:T,HLOOKUP('[1]Course Totals'!F$4,'[1]import success seats course'!$1:$2,2,FALSE),FALSE)/(VLOOKUP($A347,'[1]import graded seats course pivo'!$A:AD,HLOOKUP('[1]Course Totals'!F$4,'[1]import graded seats course pivo'!$1:$2,2,FALSE),FALSE))),"")</f>
        <v>1</v>
      </c>
      <c r="G347" s="14" t="str">
        <f>IFERROR((VLOOKUP($A347,'[1]import success seats course'!$A:U,HLOOKUP('[1]Course Totals'!G$4,'[1]import success seats course'!$1:$2,2,FALSE),FALSE)/(VLOOKUP($A347,'[1]import graded seats course pivo'!$A:AE,HLOOKUP('[1]Course Totals'!G$4,'[1]import graded seats course pivo'!$1:$2,2,FALSE),FALSE))),"")</f>
        <v/>
      </c>
      <c r="H347" s="14" t="str">
        <f>IFERROR((VLOOKUP($A347,'[1]import success seats course'!$A:V,HLOOKUP('[1]Course Totals'!H$4,'[1]import success seats course'!$1:$2,2,FALSE),FALSE)/(VLOOKUP($A347,'[1]import graded seats course pivo'!$A:AF,HLOOKUP('[1]Course Totals'!H$4,'[1]import graded seats course pivo'!$1:$2,2,FALSE),FALSE))),"")</f>
        <v/>
      </c>
      <c r="I347" s="14">
        <f>IFERROR((VLOOKUP($A347,'[1]import success seats course'!$A:W,HLOOKUP('[1]Course Totals'!I$4,'[1]import success seats course'!$1:$2,2,FALSE),FALSE)/(VLOOKUP($A347,'[1]import graded seats course pivo'!$A:AG,HLOOKUP('[1]Course Totals'!I$4,'[1]import graded seats course pivo'!$1:$2,2,FALSE),FALSE))),"")</f>
        <v>0.90909090909090906</v>
      </c>
      <c r="J347" s="14" t="str">
        <f>IFERROR((VLOOKUP($A347,'[1]import success seats course'!$A:X,HLOOKUP('[1]Course Totals'!J$4,'[1]import success seats course'!$1:$2,2,FALSE),FALSE)/(VLOOKUP($A347,'[1]import graded seats course pivo'!$A:AH,HLOOKUP('[1]Course Totals'!J$4,'[1]import graded seats course pivo'!$1:$2,2,FALSE),FALSE))),"")</f>
        <v/>
      </c>
      <c r="K347" s="14" t="str">
        <f>IFERROR((VLOOKUP($A347,'[1]import success seats course'!$A:Y,HLOOKUP('[1]Course Totals'!K$4,'[1]import success seats course'!$1:$2,2,FALSE),FALSE)/(VLOOKUP($A347,'[1]import graded seats course pivo'!$A:AI,HLOOKUP('[1]Course Totals'!K$4,'[1]import graded seats course pivo'!$1:$2,2,FALSE),FALSE))),"")</f>
        <v/>
      </c>
      <c r="L347" s="14">
        <f>IFERROR((VLOOKUP($A347,'[1]import success seats course'!$A:Z,HLOOKUP('[1]Course Totals'!L$4,'[1]import success seats course'!$1:$2,2,FALSE),FALSE)/(VLOOKUP($A347,'[1]import graded seats course pivo'!$A:AJ,HLOOKUP('[1]Course Totals'!L$4,'[1]import graded seats course pivo'!$1:$2,2,FALSE),FALSE))),"")</f>
        <v>0.88</v>
      </c>
      <c r="M347" s="14" t="str">
        <f>IFERROR((VLOOKUP($A347,'[1]import success seats course'!$A:AA,HLOOKUP('[1]Course Totals'!M$4,'[1]import success seats course'!$1:$2,2,FALSE),FALSE)/(VLOOKUP($A347,'[1]import graded seats course pivo'!$A:AK,HLOOKUP('[1]Course Totals'!M$4,'[1]import graded seats course pivo'!$1:$2,2,FALSE),FALSE))),"")</f>
        <v/>
      </c>
      <c r="N347" s="14" t="str">
        <f>IFERROR((VLOOKUP($A347,'[1]import success seats course'!$A:AB,HLOOKUP('[1]Course Totals'!N$4,'[1]import success seats course'!$1:$2,2,FALSE),FALSE)/(VLOOKUP($A347,'[1]import graded seats course pivo'!$A:AL,HLOOKUP('[1]Course Totals'!N$4,'[1]import graded seats course pivo'!$1:$2,2,FALSE),FALSE))),"")</f>
        <v/>
      </c>
      <c r="O347" s="14" t="str">
        <f>IFERROR((VLOOKUP($A347,'[1]import success seats course'!$A:AC,HLOOKUP('[1]Course Totals'!O$4,'[1]import success seats course'!$1:$2,2,FALSE),FALSE)/(VLOOKUP($A347,'[1]import graded seats course pivo'!$A:AM,HLOOKUP('[1]Course Totals'!O$4,'[1]import graded seats course pivo'!$1:$2,2,FALSE),FALSE))),"")</f>
        <v/>
      </c>
      <c r="P347" s="14" t="str">
        <f>IFERROR((VLOOKUP($A347,'[1]import success seats course'!$A:AD,HLOOKUP('[1]Course Totals'!P$4,'[1]import success seats course'!$1:$2,2,FALSE),FALSE)/(VLOOKUP($A347,'[1]import graded seats course pivo'!$A:AN,HLOOKUP('[1]Course Totals'!P$4,'[1]import graded seats course pivo'!$1:$2,2,FALSE),FALSE))),"")</f>
        <v/>
      </c>
      <c r="Q347" s="14" t="str">
        <f>IFERROR((VLOOKUP($A347,'[1]import success seats course'!$A:AE,HLOOKUP('[1]Course Totals'!Q$4,'[1]import success seats course'!$1:$2,2,FALSE),FALSE)/(VLOOKUP($A347,'[1]import graded seats course pivo'!$A:AO,HLOOKUP('[1]Course Totals'!Q$4,'[1]import graded seats course pivo'!$1:$2,2,FALSE),FALSE))),"")</f>
        <v/>
      </c>
      <c r="R347" s="14" t="str">
        <f>IFERROR((VLOOKUP($A347,'[1]import success seats course'!$A:AF,HLOOKUP('[1]Course Totals'!R$4,'[1]import success seats course'!$1:$2,2,FALSE),FALSE)/(VLOOKUP($A347,'[1]import graded seats course pivo'!$A:AP,HLOOKUP('[1]Course Totals'!R$4,'[1]import graded seats course pivo'!$1:$2,2,FALSE),FALSE))),"")</f>
        <v/>
      </c>
      <c r="S347" s="14" t="str">
        <f>IFERROR((VLOOKUP($A347,'[1]import success seats course'!$A:AG,HLOOKUP('[1]Course Totals'!S$4,'[1]import success seats course'!$1:$2,2,FALSE),FALSE)/(VLOOKUP($A347,'[1]import graded seats course pivo'!$A:AQ,HLOOKUP('[1]Course Totals'!S$4,'[1]import graded seats course pivo'!$1:$2,2,FALSE),FALSE))),"")</f>
        <v/>
      </c>
      <c r="Z347" s="7"/>
      <c r="AA347" s="7"/>
      <c r="AB347" s="7"/>
      <c r="AC347" s="7"/>
    </row>
    <row r="348" spans="1:29" ht="15.75" customHeight="1" x14ac:dyDescent="0.25">
      <c r="A348" s="12" t="s">
        <v>1028</v>
      </c>
      <c r="B348" s="14" t="str">
        <f>IFERROR((VLOOKUP($A348,'[1]import success seats course'!$A:P,HLOOKUP('[1]Course Totals'!B$4,'[1]import success seats course'!$1:$2,2,FALSE),FALSE)/(VLOOKUP($A348,'[1]import graded seats course pivo'!$A:Z,HLOOKUP('[1]Course Totals'!B$4,'[1]import graded seats course pivo'!$1:$2,2,FALSE),FALSE))),"")</f>
        <v/>
      </c>
      <c r="C348" s="14" t="str">
        <f>IFERROR((VLOOKUP($A348,'[1]import success seats course'!$A:Q,HLOOKUP('[1]Course Totals'!C$4,'[1]import success seats course'!$1:$2,2,FALSE),FALSE)/(VLOOKUP($A348,'[1]import graded seats course pivo'!$A:AA,HLOOKUP('[1]Course Totals'!C$4,'[1]import graded seats course pivo'!$1:$2,2,FALSE),FALSE))),"")</f>
        <v/>
      </c>
      <c r="D348" s="14" t="str">
        <f>IFERROR((VLOOKUP($A348,'[1]import success seats course'!$A:R,HLOOKUP('[1]Course Totals'!D$4,'[1]import success seats course'!$1:$2,2,FALSE),FALSE)/(VLOOKUP($A348,'[1]import graded seats course pivo'!$A:AB,HLOOKUP('[1]Course Totals'!D$4,'[1]import graded seats course pivo'!$1:$2,2,FALSE),FALSE))),"")</f>
        <v/>
      </c>
      <c r="E348" s="14" t="str">
        <f>IFERROR((VLOOKUP($A348,'[1]import success seats course'!$A:S,HLOOKUP('[1]Course Totals'!E$4,'[1]import success seats course'!$1:$2,2,FALSE),FALSE)/(VLOOKUP($A348,'[1]import graded seats course pivo'!$A:AC,HLOOKUP('[1]Course Totals'!E$4,'[1]import graded seats course pivo'!$1:$2,2,FALSE),FALSE))),"")</f>
        <v/>
      </c>
      <c r="F348" s="14" t="str">
        <f>IFERROR((VLOOKUP($A348,'[1]import success seats course'!$A:T,HLOOKUP('[1]Course Totals'!F$4,'[1]import success seats course'!$1:$2,2,FALSE),FALSE)/(VLOOKUP($A348,'[1]import graded seats course pivo'!$A:AD,HLOOKUP('[1]Course Totals'!F$4,'[1]import graded seats course pivo'!$1:$2,2,FALSE),FALSE))),"")</f>
        <v/>
      </c>
      <c r="G348" s="14" t="str">
        <f>IFERROR((VLOOKUP($A348,'[1]import success seats course'!$A:U,HLOOKUP('[1]Course Totals'!G$4,'[1]import success seats course'!$1:$2,2,FALSE),FALSE)/(VLOOKUP($A348,'[1]import graded seats course pivo'!$A:AE,HLOOKUP('[1]Course Totals'!G$4,'[1]import graded seats course pivo'!$1:$2,2,FALSE),FALSE))),"")</f>
        <v/>
      </c>
      <c r="H348" s="14" t="str">
        <f>IFERROR((VLOOKUP($A348,'[1]import success seats course'!$A:V,HLOOKUP('[1]Course Totals'!H$4,'[1]import success seats course'!$1:$2,2,FALSE),FALSE)/(VLOOKUP($A348,'[1]import graded seats course pivo'!$A:AF,HLOOKUP('[1]Course Totals'!H$4,'[1]import graded seats course pivo'!$1:$2,2,FALSE),FALSE))),"")</f>
        <v/>
      </c>
      <c r="I348" s="14" t="str">
        <f>IFERROR((VLOOKUP($A348,'[1]import success seats course'!$A:W,HLOOKUP('[1]Course Totals'!I$4,'[1]import success seats course'!$1:$2,2,FALSE),FALSE)/(VLOOKUP($A348,'[1]import graded seats course pivo'!$A:AG,HLOOKUP('[1]Course Totals'!I$4,'[1]import graded seats course pivo'!$1:$2,2,FALSE),FALSE))),"")</f>
        <v/>
      </c>
      <c r="J348" s="14" t="str">
        <f>IFERROR((VLOOKUP($A348,'[1]import success seats course'!$A:X,HLOOKUP('[1]Course Totals'!J$4,'[1]import success seats course'!$1:$2,2,FALSE),FALSE)/(VLOOKUP($A348,'[1]import graded seats course pivo'!$A:AH,HLOOKUP('[1]Course Totals'!J$4,'[1]import graded seats course pivo'!$1:$2,2,FALSE),FALSE))),"")</f>
        <v/>
      </c>
      <c r="K348" s="14" t="str">
        <f>IFERROR((VLOOKUP($A348,'[1]import success seats course'!$A:Y,HLOOKUP('[1]Course Totals'!K$4,'[1]import success seats course'!$1:$2,2,FALSE),FALSE)/(VLOOKUP($A348,'[1]import graded seats course pivo'!$A:AI,HLOOKUP('[1]Course Totals'!K$4,'[1]import graded seats course pivo'!$1:$2,2,FALSE),FALSE))),"")</f>
        <v/>
      </c>
      <c r="L348" s="14" t="str">
        <f>IFERROR((VLOOKUP($A348,'[1]import success seats course'!$A:Z,HLOOKUP('[1]Course Totals'!L$4,'[1]import success seats course'!$1:$2,2,FALSE),FALSE)/(VLOOKUP($A348,'[1]import graded seats course pivo'!$A:AJ,HLOOKUP('[1]Course Totals'!L$4,'[1]import graded seats course pivo'!$1:$2,2,FALSE),FALSE))),"")</f>
        <v/>
      </c>
      <c r="M348" s="14">
        <f>IFERROR((VLOOKUP($A348,'[1]import success seats course'!$A:AA,HLOOKUP('[1]Course Totals'!M$4,'[1]import success seats course'!$1:$2,2,FALSE),FALSE)/(VLOOKUP($A348,'[1]import graded seats course pivo'!$A:AK,HLOOKUP('[1]Course Totals'!M$4,'[1]import graded seats course pivo'!$1:$2,2,FALSE),FALSE))),"")</f>
        <v>0.89655172413793105</v>
      </c>
      <c r="N348" s="14" t="str">
        <f>IFERROR((VLOOKUP($A348,'[1]import success seats course'!$A:AB,HLOOKUP('[1]Course Totals'!N$4,'[1]import success seats course'!$1:$2,2,FALSE),FALSE)/(VLOOKUP($A348,'[1]import graded seats course pivo'!$A:AL,HLOOKUP('[1]Course Totals'!N$4,'[1]import graded seats course pivo'!$1:$2,2,FALSE),FALSE))),"")</f>
        <v/>
      </c>
      <c r="O348" s="14" t="str">
        <f>IFERROR((VLOOKUP($A348,'[1]import success seats course'!$A:AC,HLOOKUP('[1]Course Totals'!O$4,'[1]import success seats course'!$1:$2,2,FALSE),FALSE)/(VLOOKUP($A348,'[1]import graded seats course pivo'!$A:AM,HLOOKUP('[1]Course Totals'!O$4,'[1]import graded seats course pivo'!$1:$2,2,FALSE),FALSE))),"")</f>
        <v/>
      </c>
      <c r="P348" s="14">
        <f>IFERROR((VLOOKUP($A348,'[1]import success seats course'!$A:AD,HLOOKUP('[1]Course Totals'!P$4,'[1]import success seats course'!$1:$2,2,FALSE),FALSE)/(VLOOKUP($A348,'[1]import graded seats course pivo'!$A:AN,HLOOKUP('[1]Course Totals'!P$4,'[1]import graded seats course pivo'!$1:$2,2,FALSE),FALSE))),"")</f>
        <v>0.86206896551724133</v>
      </c>
      <c r="Q348" s="14" t="str">
        <f>IFERROR((VLOOKUP($A348,'[1]import success seats course'!$A:AE,HLOOKUP('[1]Course Totals'!Q$4,'[1]import success seats course'!$1:$2,2,FALSE),FALSE)/(VLOOKUP($A348,'[1]import graded seats course pivo'!$A:AO,HLOOKUP('[1]Course Totals'!Q$4,'[1]import graded seats course pivo'!$1:$2,2,FALSE),FALSE))),"")</f>
        <v/>
      </c>
      <c r="R348" s="14" t="str">
        <f>IFERROR((VLOOKUP($A348,'[1]import success seats course'!$A:AF,HLOOKUP('[1]Course Totals'!R$4,'[1]import success seats course'!$1:$2,2,FALSE),FALSE)/(VLOOKUP($A348,'[1]import graded seats course pivo'!$A:AP,HLOOKUP('[1]Course Totals'!R$4,'[1]import graded seats course pivo'!$1:$2,2,FALSE),FALSE))),"")</f>
        <v/>
      </c>
      <c r="S348" s="14" t="str">
        <f>IFERROR((VLOOKUP($A348,'[1]import success seats course'!$A:AG,HLOOKUP('[1]Course Totals'!S$4,'[1]import success seats course'!$1:$2,2,FALSE),FALSE)/(VLOOKUP($A348,'[1]import graded seats course pivo'!$A:AQ,HLOOKUP('[1]Course Totals'!S$4,'[1]import graded seats course pivo'!$1:$2,2,FALSE),FALSE))),"")</f>
        <v/>
      </c>
      <c r="Z348" s="7"/>
      <c r="AA348" s="7"/>
      <c r="AB348" s="7"/>
      <c r="AC348" s="7"/>
    </row>
    <row r="349" spans="1:29" ht="15.75" customHeight="1" x14ac:dyDescent="0.25">
      <c r="A349" s="12" t="s">
        <v>1011</v>
      </c>
      <c r="B349" s="14" t="str">
        <f>IFERROR((VLOOKUP($A349,'[1]import success seats course'!$A:P,HLOOKUP('[1]Course Totals'!B$4,'[1]import success seats course'!$1:$2,2,FALSE),FALSE)/(VLOOKUP($A349,'[1]import graded seats course pivo'!$A:Z,HLOOKUP('[1]Course Totals'!B$4,'[1]import graded seats course pivo'!$1:$2,2,FALSE),FALSE))),"")</f>
        <v/>
      </c>
      <c r="C349" s="14" t="str">
        <f>IFERROR((VLOOKUP($A349,'[1]import success seats course'!$A:Q,HLOOKUP('[1]Course Totals'!C$4,'[1]import success seats course'!$1:$2,2,FALSE),FALSE)/(VLOOKUP($A349,'[1]import graded seats course pivo'!$A:AA,HLOOKUP('[1]Course Totals'!C$4,'[1]import graded seats course pivo'!$1:$2,2,FALSE),FALSE))),"")</f>
        <v/>
      </c>
      <c r="D349" s="14" t="str">
        <f>IFERROR((VLOOKUP($A349,'[1]import success seats course'!$A:R,HLOOKUP('[1]Course Totals'!D$4,'[1]import success seats course'!$1:$2,2,FALSE),FALSE)/(VLOOKUP($A349,'[1]import graded seats course pivo'!$A:AB,HLOOKUP('[1]Course Totals'!D$4,'[1]import graded seats course pivo'!$1:$2,2,FALSE),FALSE))),"")</f>
        <v/>
      </c>
      <c r="E349" s="14" t="str">
        <f>IFERROR((VLOOKUP($A349,'[1]import success seats course'!$A:S,HLOOKUP('[1]Course Totals'!E$4,'[1]import success seats course'!$1:$2,2,FALSE),FALSE)/(VLOOKUP($A349,'[1]import graded seats course pivo'!$A:AC,HLOOKUP('[1]Course Totals'!E$4,'[1]import graded seats course pivo'!$1:$2,2,FALSE),FALSE))),"")</f>
        <v/>
      </c>
      <c r="F349" s="14" t="str">
        <f>IFERROR((VLOOKUP($A349,'[1]import success seats course'!$A:T,HLOOKUP('[1]Course Totals'!F$4,'[1]import success seats course'!$1:$2,2,FALSE),FALSE)/(VLOOKUP($A349,'[1]import graded seats course pivo'!$A:AD,HLOOKUP('[1]Course Totals'!F$4,'[1]import graded seats course pivo'!$1:$2,2,FALSE),FALSE))),"")</f>
        <v/>
      </c>
      <c r="G349" s="14" t="str">
        <f>IFERROR((VLOOKUP($A349,'[1]import success seats course'!$A:U,HLOOKUP('[1]Course Totals'!G$4,'[1]import success seats course'!$1:$2,2,FALSE),FALSE)/(VLOOKUP($A349,'[1]import graded seats course pivo'!$A:AE,HLOOKUP('[1]Course Totals'!G$4,'[1]import graded seats course pivo'!$1:$2,2,FALSE),FALSE))),"")</f>
        <v/>
      </c>
      <c r="H349" s="14" t="str">
        <f>IFERROR((VLOOKUP($A349,'[1]import success seats course'!$A:V,HLOOKUP('[1]Course Totals'!H$4,'[1]import success seats course'!$1:$2,2,FALSE),FALSE)/(VLOOKUP($A349,'[1]import graded seats course pivo'!$A:AF,HLOOKUP('[1]Course Totals'!H$4,'[1]import graded seats course pivo'!$1:$2,2,FALSE),FALSE))),"")</f>
        <v/>
      </c>
      <c r="I349" s="14" t="str">
        <f>IFERROR((VLOOKUP($A349,'[1]import success seats course'!$A:W,HLOOKUP('[1]Course Totals'!I$4,'[1]import success seats course'!$1:$2,2,FALSE),FALSE)/(VLOOKUP($A349,'[1]import graded seats course pivo'!$A:AG,HLOOKUP('[1]Course Totals'!I$4,'[1]import graded seats course pivo'!$1:$2,2,FALSE),FALSE))),"")</f>
        <v/>
      </c>
      <c r="J349" s="14">
        <f>IFERROR((VLOOKUP($A349,'[1]import success seats course'!$A:X,HLOOKUP('[1]Course Totals'!J$4,'[1]import success seats course'!$1:$2,2,FALSE),FALSE)/(VLOOKUP($A349,'[1]import graded seats course pivo'!$A:AH,HLOOKUP('[1]Course Totals'!J$4,'[1]import graded seats course pivo'!$1:$2,2,FALSE),FALSE))),"")</f>
        <v>0.93103448275862066</v>
      </c>
      <c r="K349" s="14" t="str">
        <f>IFERROR((VLOOKUP($A349,'[1]import success seats course'!$A:Y,HLOOKUP('[1]Course Totals'!K$4,'[1]import success seats course'!$1:$2,2,FALSE),FALSE)/(VLOOKUP($A349,'[1]import graded seats course pivo'!$A:AI,HLOOKUP('[1]Course Totals'!K$4,'[1]import graded seats course pivo'!$1:$2,2,FALSE),FALSE))),"")</f>
        <v/>
      </c>
      <c r="L349" s="14" t="str">
        <f>IFERROR((VLOOKUP($A349,'[1]import success seats course'!$A:Z,HLOOKUP('[1]Course Totals'!L$4,'[1]import success seats course'!$1:$2,2,FALSE),FALSE)/(VLOOKUP($A349,'[1]import graded seats course pivo'!$A:AJ,HLOOKUP('[1]Course Totals'!L$4,'[1]import graded seats course pivo'!$1:$2,2,FALSE),FALSE))),"")</f>
        <v/>
      </c>
      <c r="M349" s="14">
        <f>IFERROR((VLOOKUP($A349,'[1]import success seats course'!$A:AA,HLOOKUP('[1]Course Totals'!M$4,'[1]import success seats course'!$1:$2,2,FALSE),FALSE)/(VLOOKUP($A349,'[1]import graded seats course pivo'!$A:AK,HLOOKUP('[1]Course Totals'!M$4,'[1]import graded seats course pivo'!$1:$2,2,FALSE),FALSE))),"")</f>
        <v>0.93103448275862066</v>
      </c>
      <c r="N349" s="14" t="str">
        <f>IFERROR((VLOOKUP($A349,'[1]import success seats course'!$A:AB,HLOOKUP('[1]Course Totals'!N$4,'[1]import success seats course'!$1:$2,2,FALSE),FALSE)/(VLOOKUP($A349,'[1]import graded seats course pivo'!$A:AL,HLOOKUP('[1]Course Totals'!N$4,'[1]import graded seats course pivo'!$1:$2,2,FALSE),FALSE))),"")</f>
        <v/>
      </c>
      <c r="O349" s="14" t="str">
        <f>IFERROR((VLOOKUP($A349,'[1]import success seats course'!$A:AC,HLOOKUP('[1]Course Totals'!O$4,'[1]import success seats course'!$1:$2,2,FALSE),FALSE)/(VLOOKUP($A349,'[1]import graded seats course pivo'!$A:AM,HLOOKUP('[1]Course Totals'!O$4,'[1]import graded seats course pivo'!$1:$2,2,FALSE),FALSE))),"")</f>
        <v/>
      </c>
      <c r="P349" s="14">
        <f>IFERROR((VLOOKUP($A349,'[1]import success seats course'!$A:AD,HLOOKUP('[1]Course Totals'!P$4,'[1]import success seats course'!$1:$2,2,FALSE),FALSE)/(VLOOKUP($A349,'[1]import graded seats course pivo'!$A:AN,HLOOKUP('[1]Course Totals'!P$4,'[1]import graded seats course pivo'!$1:$2,2,FALSE),FALSE))),"")</f>
        <v>0.84615384615384615</v>
      </c>
      <c r="Q349" s="14" t="str">
        <f>IFERROR((VLOOKUP($A349,'[1]import success seats course'!$A:AE,HLOOKUP('[1]Course Totals'!Q$4,'[1]import success seats course'!$1:$2,2,FALSE),FALSE)/(VLOOKUP($A349,'[1]import graded seats course pivo'!$A:AO,HLOOKUP('[1]Course Totals'!Q$4,'[1]import graded seats course pivo'!$1:$2,2,FALSE),FALSE))),"")</f>
        <v/>
      </c>
      <c r="R349" s="14">
        <f>IFERROR((VLOOKUP($A349,'[1]import success seats course'!$A:AF,HLOOKUP('[1]Course Totals'!R$4,'[1]import success seats course'!$1:$2,2,FALSE),FALSE)/(VLOOKUP($A349,'[1]import graded seats course pivo'!$A:AP,HLOOKUP('[1]Course Totals'!R$4,'[1]import graded seats course pivo'!$1:$2,2,FALSE),FALSE))),"")</f>
        <v>0.96875</v>
      </c>
      <c r="S349" s="14">
        <f>IFERROR((VLOOKUP($A349,'[1]import success seats course'!$A:AG,HLOOKUP('[1]Course Totals'!S$4,'[1]import success seats course'!$1:$2,2,FALSE),FALSE)/(VLOOKUP($A349,'[1]import graded seats course pivo'!$A:AQ,HLOOKUP('[1]Course Totals'!S$4,'[1]import graded seats course pivo'!$1:$2,2,FALSE),FALSE))),"")</f>
        <v>0.96666666666666667</v>
      </c>
      <c r="Z349" s="7"/>
      <c r="AA349" s="7"/>
      <c r="AB349" s="7"/>
      <c r="AC349" s="7"/>
    </row>
    <row r="350" spans="1:29" ht="15.75" customHeight="1" x14ac:dyDescent="0.25">
      <c r="A350" s="12" t="s">
        <v>973</v>
      </c>
      <c r="B350" s="14" t="str">
        <f>IFERROR((VLOOKUP($A350,'[1]import success seats course'!$A:P,HLOOKUP('[1]Course Totals'!B$4,'[1]import success seats course'!$1:$2,2,FALSE),FALSE)/(VLOOKUP($A350,'[1]import graded seats course pivo'!$A:Z,HLOOKUP('[1]Course Totals'!B$4,'[1]import graded seats course pivo'!$1:$2,2,FALSE),FALSE))),"")</f>
        <v/>
      </c>
      <c r="C350" s="14" t="str">
        <f>IFERROR((VLOOKUP($A350,'[1]import success seats course'!$A:Q,HLOOKUP('[1]Course Totals'!C$4,'[1]import success seats course'!$1:$2,2,FALSE),FALSE)/(VLOOKUP($A350,'[1]import graded seats course pivo'!$A:AA,HLOOKUP('[1]Course Totals'!C$4,'[1]import graded seats course pivo'!$1:$2,2,FALSE),FALSE))),"")</f>
        <v/>
      </c>
      <c r="D350" s="14" t="str">
        <f>IFERROR((VLOOKUP($A350,'[1]import success seats course'!$A:R,HLOOKUP('[1]Course Totals'!D$4,'[1]import success seats course'!$1:$2,2,FALSE),FALSE)/(VLOOKUP($A350,'[1]import graded seats course pivo'!$A:AB,HLOOKUP('[1]Course Totals'!D$4,'[1]import graded seats course pivo'!$1:$2,2,FALSE),FALSE))),"")</f>
        <v/>
      </c>
      <c r="E350" s="14" t="str">
        <f>IFERROR((VLOOKUP($A350,'[1]import success seats course'!$A:S,HLOOKUP('[1]Course Totals'!E$4,'[1]import success seats course'!$1:$2,2,FALSE),FALSE)/(VLOOKUP($A350,'[1]import graded seats course pivo'!$A:AC,HLOOKUP('[1]Course Totals'!E$4,'[1]import graded seats course pivo'!$1:$2,2,FALSE),FALSE))),"")</f>
        <v/>
      </c>
      <c r="F350" s="14" t="str">
        <f>IFERROR((VLOOKUP($A350,'[1]import success seats course'!$A:T,HLOOKUP('[1]Course Totals'!F$4,'[1]import success seats course'!$1:$2,2,FALSE),FALSE)/(VLOOKUP($A350,'[1]import graded seats course pivo'!$A:AD,HLOOKUP('[1]Course Totals'!F$4,'[1]import graded seats course pivo'!$1:$2,2,FALSE),FALSE))),"")</f>
        <v/>
      </c>
      <c r="G350" s="14">
        <f>IFERROR((VLOOKUP($A350,'[1]import success seats course'!$A:U,HLOOKUP('[1]Course Totals'!G$4,'[1]import success seats course'!$1:$2,2,FALSE),FALSE)/(VLOOKUP($A350,'[1]import graded seats course pivo'!$A:AE,HLOOKUP('[1]Course Totals'!G$4,'[1]import graded seats course pivo'!$1:$2,2,FALSE),FALSE))),"")</f>
        <v>1</v>
      </c>
      <c r="H350" s="14" t="str">
        <f>IFERROR((VLOOKUP($A350,'[1]import success seats course'!$A:V,HLOOKUP('[1]Course Totals'!H$4,'[1]import success seats course'!$1:$2,2,FALSE),FALSE)/(VLOOKUP($A350,'[1]import graded seats course pivo'!$A:AF,HLOOKUP('[1]Course Totals'!H$4,'[1]import graded seats course pivo'!$1:$2,2,FALSE),FALSE))),"")</f>
        <v/>
      </c>
      <c r="I350" s="14" t="str">
        <f>IFERROR((VLOOKUP($A350,'[1]import success seats course'!$A:W,HLOOKUP('[1]Course Totals'!I$4,'[1]import success seats course'!$1:$2,2,FALSE),FALSE)/(VLOOKUP($A350,'[1]import graded seats course pivo'!$A:AG,HLOOKUP('[1]Course Totals'!I$4,'[1]import graded seats course pivo'!$1:$2,2,FALSE),FALSE))),"")</f>
        <v/>
      </c>
      <c r="J350" s="14">
        <f>IFERROR((VLOOKUP($A350,'[1]import success seats course'!$A:X,HLOOKUP('[1]Course Totals'!J$4,'[1]import success seats course'!$1:$2,2,FALSE),FALSE)/(VLOOKUP($A350,'[1]import graded seats course pivo'!$A:AH,HLOOKUP('[1]Course Totals'!J$4,'[1]import graded seats course pivo'!$1:$2,2,FALSE),FALSE))),"")</f>
        <v>1</v>
      </c>
      <c r="K350" s="14" t="str">
        <f>IFERROR((VLOOKUP($A350,'[1]import success seats course'!$A:Y,HLOOKUP('[1]Course Totals'!K$4,'[1]import success seats course'!$1:$2,2,FALSE),FALSE)/(VLOOKUP($A350,'[1]import graded seats course pivo'!$A:AI,HLOOKUP('[1]Course Totals'!K$4,'[1]import graded seats course pivo'!$1:$2,2,FALSE),FALSE))),"")</f>
        <v/>
      </c>
      <c r="L350" s="14" t="str">
        <f>IFERROR((VLOOKUP($A350,'[1]import success seats course'!$A:Z,HLOOKUP('[1]Course Totals'!L$4,'[1]import success seats course'!$1:$2,2,FALSE),FALSE)/(VLOOKUP($A350,'[1]import graded seats course pivo'!$A:AJ,HLOOKUP('[1]Course Totals'!L$4,'[1]import graded seats course pivo'!$1:$2,2,FALSE),FALSE))),"")</f>
        <v/>
      </c>
      <c r="M350" s="14" t="str">
        <f>IFERROR((VLOOKUP($A350,'[1]import success seats course'!$A:AA,HLOOKUP('[1]Course Totals'!M$4,'[1]import success seats course'!$1:$2,2,FALSE),FALSE)/(VLOOKUP($A350,'[1]import graded seats course pivo'!$A:AK,HLOOKUP('[1]Course Totals'!M$4,'[1]import graded seats course pivo'!$1:$2,2,FALSE),FALSE))),"")</f>
        <v/>
      </c>
      <c r="N350" s="14" t="str">
        <f>IFERROR((VLOOKUP($A350,'[1]import success seats course'!$A:AB,HLOOKUP('[1]Course Totals'!N$4,'[1]import success seats course'!$1:$2,2,FALSE),FALSE)/(VLOOKUP($A350,'[1]import graded seats course pivo'!$A:AL,HLOOKUP('[1]Course Totals'!N$4,'[1]import graded seats course pivo'!$1:$2,2,FALSE),FALSE))),"")</f>
        <v/>
      </c>
      <c r="O350" s="14" t="str">
        <f>IFERROR((VLOOKUP($A350,'[1]import success seats course'!$A:AC,HLOOKUP('[1]Course Totals'!O$4,'[1]import success seats course'!$1:$2,2,FALSE),FALSE)/(VLOOKUP($A350,'[1]import graded seats course pivo'!$A:AM,HLOOKUP('[1]Course Totals'!O$4,'[1]import graded seats course pivo'!$1:$2,2,FALSE),FALSE))),"")</f>
        <v/>
      </c>
      <c r="P350" s="14" t="str">
        <f>IFERROR((VLOOKUP($A350,'[1]import success seats course'!$A:AD,HLOOKUP('[1]Course Totals'!P$4,'[1]import success seats course'!$1:$2,2,FALSE),FALSE)/(VLOOKUP($A350,'[1]import graded seats course pivo'!$A:AN,HLOOKUP('[1]Course Totals'!P$4,'[1]import graded seats course pivo'!$1:$2,2,FALSE),FALSE))),"")</f>
        <v/>
      </c>
      <c r="Q350" s="14" t="str">
        <f>IFERROR((VLOOKUP($A350,'[1]import success seats course'!$A:AE,HLOOKUP('[1]Course Totals'!Q$4,'[1]import success seats course'!$1:$2,2,FALSE),FALSE)/(VLOOKUP($A350,'[1]import graded seats course pivo'!$A:AO,HLOOKUP('[1]Course Totals'!Q$4,'[1]import graded seats course pivo'!$1:$2,2,FALSE),FALSE))),"")</f>
        <v/>
      </c>
      <c r="R350" s="14" t="str">
        <f>IFERROR((VLOOKUP($A350,'[1]import success seats course'!$A:AF,HLOOKUP('[1]Course Totals'!R$4,'[1]import success seats course'!$1:$2,2,FALSE),FALSE)/(VLOOKUP($A350,'[1]import graded seats course pivo'!$A:AP,HLOOKUP('[1]Course Totals'!R$4,'[1]import graded seats course pivo'!$1:$2,2,FALSE),FALSE))),"")</f>
        <v/>
      </c>
      <c r="S350" s="14" t="str">
        <f>IFERROR((VLOOKUP($A350,'[1]import success seats course'!$A:AG,HLOOKUP('[1]Course Totals'!S$4,'[1]import success seats course'!$1:$2,2,FALSE),FALSE)/(VLOOKUP($A350,'[1]import graded seats course pivo'!$A:AQ,HLOOKUP('[1]Course Totals'!S$4,'[1]import graded seats course pivo'!$1:$2,2,FALSE),FALSE))),"")</f>
        <v/>
      </c>
      <c r="Z350" s="7"/>
      <c r="AA350" s="7"/>
      <c r="AB350" s="7"/>
      <c r="AC350" s="7"/>
    </row>
    <row r="351" spans="1:29" ht="15.75" customHeight="1" x14ac:dyDescent="0.25">
      <c r="A351" s="12" t="s">
        <v>974</v>
      </c>
      <c r="B351" s="14" t="str">
        <f>IFERROR((VLOOKUP($A351,'[1]import success seats course'!$A:P,HLOOKUP('[1]Course Totals'!B$4,'[1]import success seats course'!$1:$2,2,FALSE),FALSE)/(VLOOKUP($A351,'[1]import graded seats course pivo'!$A:Z,HLOOKUP('[1]Course Totals'!B$4,'[1]import graded seats course pivo'!$1:$2,2,FALSE),FALSE))),"")</f>
        <v/>
      </c>
      <c r="C351" s="14" t="str">
        <f>IFERROR((VLOOKUP($A351,'[1]import success seats course'!$A:Q,HLOOKUP('[1]Course Totals'!C$4,'[1]import success seats course'!$1:$2,2,FALSE),FALSE)/(VLOOKUP($A351,'[1]import graded seats course pivo'!$A:AA,HLOOKUP('[1]Course Totals'!C$4,'[1]import graded seats course pivo'!$1:$2,2,FALSE),FALSE))),"")</f>
        <v/>
      </c>
      <c r="D351" s="14" t="str">
        <f>IFERROR((VLOOKUP($A351,'[1]import success seats course'!$A:R,HLOOKUP('[1]Course Totals'!D$4,'[1]import success seats course'!$1:$2,2,FALSE),FALSE)/(VLOOKUP($A351,'[1]import graded seats course pivo'!$A:AB,HLOOKUP('[1]Course Totals'!D$4,'[1]import graded seats course pivo'!$1:$2,2,FALSE),FALSE))),"")</f>
        <v/>
      </c>
      <c r="E351" s="14" t="str">
        <f>IFERROR((VLOOKUP($A351,'[1]import success seats course'!$A:S,HLOOKUP('[1]Course Totals'!E$4,'[1]import success seats course'!$1:$2,2,FALSE),FALSE)/(VLOOKUP($A351,'[1]import graded seats course pivo'!$A:AC,HLOOKUP('[1]Course Totals'!E$4,'[1]import graded seats course pivo'!$1:$2,2,FALSE),FALSE))),"")</f>
        <v/>
      </c>
      <c r="F351" s="14" t="str">
        <f>IFERROR((VLOOKUP($A351,'[1]import success seats course'!$A:T,HLOOKUP('[1]Course Totals'!F$4,'[1]import success seats course'!$1:$2,2,FALSE),FALSE)/(VLOOKUP($A351,'[1]import graded seats course pivo'!$A:AD,HLOOKUP('[1]Course Totals'!F$4,'[1]import graded seats course pivo'!$1:$2,2,FALSE),FALSE))),"")</f>
        <v/>
      </c>
      <c r="G351" s="14">
        <f>IFERROR((VLOOKUP($A351,'[1]import success seats course'!$A:U,HLOOKUP('[1]Course Totals'!G$4,'[1]import success seats course'!$1:$2,2,FALSE),FALSE)/(VLOOKUP($A351,'[1]import graded seats course pivo'!$A:AE,HLOOKUP('[1]Course Totals'!G$4,'[1]import graded seats course pivo'!$1:$2,2,FALSE),FALSE))),"")</f>
        <v>1</v>
      </c>
      <c r="H351" s="14" t="str">
        <f>IFERROR((VLOOKUP($A351,'[1]import success seats course'!$A:V,HLOOKUP('[1]Course Totals'!H$4,'[1]import success seats course'!$1:$2,2,FALSE),FALSE)/(VLOOKUP($A351,'[1]import graded seats course pivo'!$A:AF,HLOOKUP('[1]Course Totals'!H$4,'[1]import graded seats course pivo'!$1:$2,2,FALSE),FALSE))),"")</f>
        <v/>
      </c>
      <c r="I351" s="14" t="str">
        <f>IFERROR((VLOOKUP($A351,'[1]import success seats course'!$A:W,HLOOKUP('[1]Course Totals'!I$4,'[1]import success seats course'!$1:$2,2,FALSE),FALSE)/(VLOOKUP($A351,'[1]import graded seats course pivo'!$A:AG,HLOOKUP('[1]Course Totals'!I$4,'[1]import graded seats course pivo'!$1:$2,2,FALSE),FALSE))),"")</f>
        <v/>
      </c>
      <c r="J351" s="14">
        <f>IFERROR((VLOOKUP($A351,'[1]import success seats course'!$A:X,HLOOKUP('[1]Course Totals'!J$4,'[1]import success seats course'!$1:$2,2,FALSE),FALSE)/(VLOOKUP($A351,'[1]import graded seats course pivo'!$A:AH,HLOOKUP('[1]Course Totals'!J$4,'[1]import graded seats course pivo'!$1:$2,2,FALSE),FALSE))),"")</f>
        <v>1</v>
      </c>
      <c r="K351" s="14" t="str">
        <f>IFERROR((VLOOKUP($A351,'[1]import success seats course'!$A:Y,HLOOKUP('[1]Course Totals'!K$4,'[1]import success seats course'!$1:$2,2,FALSE),FALSE)/(VLOOKUP($A351,'[1]import graded seats course pivo'!$A:AI,HLOOKUP('[1]Course Totals'!K$4,'[1]import graded seats course pivo'!$1:$2,2,FALSE),FALSE))),"")</f>
        <v/>
      </c>
      <c r="L351" s="14" t="str">
        <f>IFERROR((VLOOKUP($A351,'[1]import success seats course'!$A:Z,HLOOKUP('[1]Course Totals'!L$4,'[1]import success seats course'!$1:$2,2,FALSE),FALSE)/(VLOOKUP($A351,'[1]import graded seats course pivo'!$A:AJ,HLOOKUP('[1]Course Totals'!L$4,'[1]import graded seats course pivo'!$1:$2,2,FALSE),FALSE))),"")</f>
        <v/>
      </c>
      <c r="M351" s="14" t="str">
        <f>IFERROR((VLOOKUP($A351,'[1]import success seats course'!$A:AA,HLOOKUP('[1]Course Totals'!M$4,'[1]import success seats course'!$1:$2,2,FALSE),FALSE)/(VLOOKUP($A351,'[1]import graded seats course pivo'!$A:AK,HLOOKUP('[1]Course Totals'!M$4,'[1]import graded seats course pivo'!$1:$2,2,FALSE),FALSE))),"")</f>
        <v/>
      </c>
      <c r="N351" s="14" t="str">
        <f>IFERROR((VLOOKUP($A351,'[1]import success seats course'!$A:AB,HLOOKUP('[1]Course Totals'!N$4,'[1]import success seats course'!$1:$2,2,FALSE),FALSE)/(VLOOKUP($A351,'[1]import graded seats course pivo'!$A:AL,HLOOKUP('[1]Course Totals'!N$4,'[1]import graded seats course pivo'!$1:$2,2,FALSE),FALSE))),"")</f>
        <v/>
      </c>
      <c r="O351" s="14" t="str">
        <f>IFERROR((VLOOKUP($A351,'[1]import success seats course'!$A:AC,HLOOKUP('[1]Course Totals'!O$4,'[1]import success seats course'!$1:$2,2,FALSE),FALSE)/(VLOOKUP($A351,'[1]import graded seats course pivo'!$A:AM,HLOOKUP('[1]Course Totals'!O$4,'[1]import graded seats course pivo'!$1:$2,2,FALSE),FALSE))),"")</f>
        <v/>
      </c>
      <c r="P351" s="14" t="str">
        <f>IFERROR((VLOOKUP($A351,'[1]import success seats course'!$A:AD,HLOOKUP('[1]Course Totals'!P$4,'[1]import success seats course'!$1:$2,2,FALSE),FALSE)/(VLOOKUP($A351,'[1]import graded seats course pivo'!$A:AN,HLOOKUP('[1]Course Totals'!P$4,'[1]import graded seats course pivo'!$1:$2,2,FALSE),FALSE))),"")</f>
        <v/>
      </c>
      <c r="Q351" s="14">
        <f>IFERROR((VLOOKUP($A351,'[1]import success seats course'!$A:AE,HLOOKUP('[1]Course Totals'!Q$4,'[1]import success seats course'!$1:$2,2,FALSE),FALSE)/(VLOOKUP($A351,'[1]import graded seats course pivo'!$A:AO,HLOOKUP('[1]Course Totals'!Q$4,'[1]import graded seats course pivo'!$1:$2,2,FALSE),FALSE))),"")</f>
        <v>1</v>
      </c>
      <c r="R351" s="14" t="str">
        <f>IFERROR((VLOOKUP($A351,'[1]import success seats course'!$A:AF,HLOOKUP('[1]Course Totals'!R$4,'[1]import success seats course'!$1:$2,2,FALSE),FALSE)/(VLOOKUP($A351,'[1]import graded seats course pivo'!$A:AP,HLOOKUP('[1]Course Totals'!R$4,'[1]import graded seats course pivo'!$1:$2,2,FALSE),FALSE))),"")</f>
        <v/>
      </c>
      <c r="S351" s="14">
        <f>IFERROR((VLOOKUP($A351,'[1]import success seats course'!$A:AG,HLOOKUP('[1]Course Totals'!S$4,'[1]import success seats course'!$1:$2,2,FALSE),FALSE)/(VLOOKUP($A351,'[1]import graded seats course pivo'!$A:AQ,HLOOKUP('[1]Course Totals'!S$4,'[1]import graded seats course pivo'!$1:$2,2,FALSE),FALSE))),"")</f>
        <v>1</v>
      </c>
      <c r="Z351" s="7"/>
      <c r="AA351" s="7"/>
      <c r="AB351" s="7"/>
      <c r="AC351" s="7"/>
    </row>
    <row r="352" spans="1:29" ht="15.75" customHeight="1" x14ac:dyDescent="0.25">
      <c r="A352" s="12" t="s">
        <v>892</v>
      </c>
      <c r="B352" s="14" t="str">
        <f>IFERROR((VLOOKUP($A352,'[1]import success seats course'!$A:P,HLOOKUP('[1]Course Totals'!B$4,'[1]import success seats course'!$1:$2,2,FALSE),FALSE)/(VLOOKUP($A352,'[1]import graded seats course pivo'!$A:Z,HLOOKUP('[1]Course Totals'!B$4,'[1]import graded seats course pivo'!$1:$2,2,FALSE),FALSE))),"")</f>
        <v/>
      </c>
      <c r="C352" s="14" t="str">
        <f>IFERROR((VLOOKUP($A352,'[1]import success seats course'!$A:Q,HLOOKUP('[1]Course Totals'!C$4,'[1]import success seats course'!$1:$2,2,FALSE),FALSE)/(VLOOKUP($A352,'[1]import graded seats course pivo'!$A:AA,HLOOKUP('[1]Course Totals'!C$4,'[1]import graded seats course pivo'!$1:$2,2,FALSE),FALSE))),"")</f>
        <v/>
      </c>
      <c r="D352" s="14">
        <f>IFERROR((VLOOKUP($A352,'[1]import success seats course'!$A:R,HLOOKUP('[1]Course Totals'!D$4,'[1]import success seats course'!$1:$2,2,FALSE),FALSE)/(VLOOKUP($A352,'[1]import graded seats course pivo'!$A:AB,HLOOKUP('[1]Course Totals'!D$4,'[1]import graded seats course pivo'!$1:$2,2,FALSE),FALSE))),"")</f>
        <v>1</v>
      </c>
      <c r="E352" s="14" t="str">
        <f>IFERROR((VLOOKUP($A352,'[1]import success seats course'!$A:S,HLOOKUP('[1]Course Totals'!E$4,'[1]import success seats course'!$1:$2,2,FALSE),FALSE)/(VLOOKUP($A352,'[1]import graded seats course pivo'!$A:AC,HLOOKUP('[1]Course Totals'!E$4,'[1]import graded seats course pivo'!$1:$2,2,FALSE),FALSE))),"")</f>
        <v/>
      </c>
      <c r="F352" s="14" t="str">
        <f>IFERROR((VLOOKUP($A352,'[1]import success seats course'!$A:T,HLOOKUP('[1]Course Totals'!F$4,'[1]import success seats course'!$1:$2,2,FALSE),FALSE)/(VLOOKUP($A352,'[1]import graded seats course pivo'!$A:AD,HLOOKUP('[1]Course Totals'!F$4,'[1]import graded seats course pivo'!$1:$2,2,FALSE),FALSE))),"")</f>
        <v/>
      </c>
      <c r="G352" s="14" t="str">
        <f>IFERROR((VLOOKUP($A352,'[1]import success seats course'!$A:U,HLOOKUP('[1]Course Totals'!G$4,'[1]import success seats course'!$1:$2,2,FALSE),FALSE)/(VLOOKUP($A352,'[1]import graded seats course pivo'!$A:AE,HLOOKUP('[1]Course Totals'!G$4,'[1]import graded seats course pivo'!$1:$2,2,FALSE),FALSE))),"")</f>
        <v/>
      </c>
      <c r="H352" s="14" t="str">
        <f>IFERROR((VLOOKUP($A352,'[1]import success seats course'!$A:V,HLOOKUP('[1]Course Totals'!H$4,'[1]import success seats course'!$1:$2,2,FALSE),FALSE)/(VLOOKUP($A352,'[1]import graded seats course pivo'!$A:AF,HLOOKUP('[1]Course Totals'!H$4,'[1]import graded seats course pivo'!$1:$2,2,FALSE),FALSE))),"")</f>
        <v/>
      </c>
      <c r="I352" s="14" t="str">
        <f>IFERROR((VLOOKUP($A352,'[1]import success seats course'!$A:W,HLOOKUP('[1]Course Totals'!I$4,'[1]import success seats course'!$1:$2,2,FALSE),FALSE)/(VLOOKUP($A352,'[1]import graded seats course pivo'!$A:AG,HLOOKUP('[1]Course Totals'!I$4,'[1]import graded seats course pivo'!$1:$2,2,FALSE),FALSE))),"")</f>
        <v/>
      </c>
      <c r="J352" s="14" t="str">
        <f>IFERROR((VLOOKUP($A352,'[1]import success seats course'!$A:X,HLOOKUP('[1]Course Totals'!J$4,'[1]import success seats course'!$1:$2,2,FALSE),FALSE)/(VLOOKUP($A352,'[1]import graded seats course pivo'!$A:AH,HLOOKUP('[1]Course Totals'!J$4,'[1]import graded seats course pivo'!$1:$2,2,FALSE),FALSE))),"")</f>
        <v/>
      </c>
      <c r="K352" s="14" t="str">
        <f>IFERROR((VLOOKUP($A352,'[1]import success seats course'!$A:Y,HLOOKUP('[1]Course Totals'!K$4,'[1]import success seats course'!$1:$2,2,FALSE),FALSE)/(VLOOKUP($A352,'[1]import graded seats course pivo'!$A:AI,HLOOKUP('[1]Course Totals'!K$4,'[1]import graded seats course pivo'!$1:$2,2,FALSE),FALSE))),"")</f>
        <v/>
      </c>
      <c r="L352" s="14" t="str">
        <f>IFERROR((VLOOKUP($A352,'[1]import success seats course'!$A:Z,HLOOKUP('[1]Course Totals'!L$4,'[1]import success seats course'!$1:$2,2,FALSE),FALSE)/(VLOOKUP($A352,'[1]import graded seats course pivo'!$A:AJ,HLOOKUP('[1]Course Totals'!L$4,'[1]import graded seats course pivo'!$1:$2,2,FALSE),FALSE))),"")</f>
        <v/>
      </c>
      <c r="M352" s="14" t="str">
        <f>IFERROR((VLOOKUP($A352,'[1]import success seats course'!$A:AA,HLOOKUP('[1]Course Totals'!M$4,'[1]import success seats course'!$1:$2,2,FALSE),FALSE)/(VLOOKUP($A352,'[1]import graded seats course pivo'!$A:AK,HLOOKUP('[1]Course Totals'!M$4,'[1]import graded seats course pivo'!$1:$2,2,FALSE),FALSE))),"")</f>
        <v/>
      </c>
      <c r="N352" s="14" t="str">
        <f>IFERROR((VLOOKUP($A352,'[1]import success seats course'!$A:AB,HLOOKUP('[1]Course Totals'!N$4,'[1]import success seats course'!$1:$2,2,FALSE),FALSE)/(VLOOKUP($A352,'[1]import graded seats course pivo'!$A:AL,HLOOKUP('[1]Course Totals'!N$4,'[1]import graded seats course pivo'!$1:$2,2,FALSE),FALSE))),"")</f>
        <v/>
      </c>
      <c r="O352" s="14" t="str">
        <f>IFERROR((VLOOKUP($A352,'[1]import success seats course'!$A:AC,HLOOKUP('[1]Course Totals'!O$4,'[1]import success seats course'!$1:$2,2,FALSE),FALSE)/(VLOOKUP($A352,'[1]import graded seats course pivo'!$A:AM,HLOOKUP('[1]Course Totals'!O$4,'[1]import graded seats course pivo'!$1:$2,2,FALSE),FALSE))),"")</f>
        <v/>
      </c>
      <c r="P352" s="14">
        <f>IFERROR((VLOOKUP($A352,'[1]import success seats course'!$A:AD,HLOOKUP('[1]Course Totals'!P$4,'[1]import success seats course'!$1:$2,2,FALSE),FALSE)/(VLOOKUP($A352,'[1]import graded seats course pivo'!$A:AN,HLOOKUP('[1]Course Totals'!P$4,'[1]import graded seats course pivo'!$1:$2,2,FALSE),FALSE))),"")</f>
        <v>0.76470588235294112</v>
      </c>
      <c r="Q352" s="14" t="str">
        <f>IFERROR((VLOOKUP($A352,'[1]import success seats course'!$A:AE,HLOOKUP('[1]Course Totals'!Q$4,'[1]import success seats course'!$1:$2,2,FALSE),FALSE)/(VLOOKUP($A352,'[1]import graded seats course pivo'!$A:AO,HLOOKUP('[1]Course Totals'!Q$4,'[1]import graded seats course pivo'!$1:$2,2,FALSE),FALSE))),"")</f>
        <v/>
      </c>
      <c r="R352" s="14" t="str">
        <f>IFERROR((VLOOKUP($A352,'[1]import success seats course'!$A:AF,HLOOKUP('[1]Course Totals'!R$4,'[1]import success seats course'!$1:$2,2,FALSE),FALSE)/(VLOOKUP($A352,'[1]import graded seats course pivo'!$A:AP,HLOOKUP('[1]Course Totals'!R$4,'[1]import graded seats course pivo'!$1:$2,2,FALSE),FALSE))),"")</f>
        <v/>
      </c>
      <c r="S352" s="14" t="str">
        <f>IFERROR((VLOOKUP($A352,'[1]import success seats course'!$A:AG,HLOOKUP('[1]Course Totals'!S$4,'[1]import success seats course'!$1:$2,2,FALSE),FALSE)/(VLOOKUP($A352,'[1]import graded seats course pivo'!$A:AQ,HLOOKUP('[1]Course Totals'!S$4,'[1]import graded seats course pivo'!$1:$2,2,FALSE),FALSE))),"")</f>
        <v/>
      </c>
      <c r="Z352" s="7"/>
      <c r="AA352" s="7"/>
      <c r="AB352" s="7"/>
      <c r="AC352" s="7"/>
    </row>
    <row r="353" spans="1:29" ht="15.75" customHeight="1" x14ac:dyDescent="0.25">
      <c r="A353" s="12" t="s">
        <v>711</v>
      </c>
      <c r="B353" s="14" t="str">
        <f>IFERROR((VLOOKUP($A353,'[1]import success seats course'!$A:P,HLOOKUP('[1]Course Totals'!B$4,'[1]import success seats course'!$1:$2,2,FALSE),FALSE)/(VLOOKUP($A353,'[1]import graded seats course pivo'!$A:Z,HLOOKUP('[1]Course Totals'!B$4,'[1]import graded seats course pivo'!$1:$2,2,FALSE),FALSE))),"")</f>
        <v/>
      </c>
      <c r="C353" s="14" t="str">
        <f>IFERROR((VLOOKUP($A353,'[1]import success seats course'!$A:Q,HLOOKUP('[1]Course Totals'!C$4,'[1]import success seats course'!$1:$2,2,FALSE),FALSE)/(VLOOKUP($A353,'[1]import graded seats course pivo'!$A:AA,HLOOKUP('[1]Course Totals'!C$4,'[1]import graded seats course pivo'!$1:$2,2,FALSE),FALSE))),"")</f>
        <v/>
      </c>
      <c r="D353" s="14" t="str">
        <f>IFERROR((VLOOKUP($A353,'[1]import success seats course'!$A:R,HLOOKUP('[1]Course Totals'!D$4,'[1]import success seats course'!$1:$2,2,FALSE),FALSE)/(VLOOKUP($A353,'[1]import graded seats course pivo'!$A:AB,HLOOKUP('[1]Course Totals'!D$4,'[1]import graded seats course pivo'!$1:$2,2,FALSE),FALSE))),"")</f>
        <v/>
      </c>
      <c r="E353" s="14" t="str">
        <f>IFERROR((VLOOKUP($A353,'[1]import success seats course'!$A:S,HLOOKUP('[1]Course Totals'!E$4,'[1]import success seats course'!$1:$2,2,FALSE),FALSE)/(VLOOKUP($A353,'[1]import graded seats course pivo'!$A:AC,HLOOKUP('[1]Course Totals'!E$4,'[1]import graded seats course pivo'!$1:$2,2,FALSE),FALSE))),"")</f>
        <v/>
      </c>
      <c r="F353" s="14" t="str">
        <f>IFERROR((VLOOKUP($A353,'[1]import success seats course'!$A:T,HLOOKUP('[1]Course Totals'!F$4,'[1]import success seats course'!$1:$2,2,FALSE),FALSE)/(VLOOKUP($A353,'[1]import graded seats course pivo'!$A:AD,HLOOKUP('[1]Course Totals'!F$4,'[1]import graded seats course pivo'!$1:$2,2,FALSE),FALSE))),"")</f>
        <v/>
      </c>
      <c r="G353" s="14" t="str">
        <f>IFERROR((VLOOKUP($A353,'[1]import success seats course'!$A:U,HLOOKUP('[1]Course Totals'!G$4,'[1]import success seats course'!$1:$2,2,FALSE),FALSE)/(VLOOKUP($A353,'[1]import graded seats course pivo'!$A:AE,HLOOKUP('[1]Course Totals'!G$4,'[1]import graded seats course pivo'!$1:$2,2,FALSE),FALSE))),"")</f>
        <v/>
      </c>
      <c r="H353" s="14" t="str">
        <f>IFERROR((VLOOKUP($A353,'[1]import success seats course'!$A:V,HLOOKUP('[1]Course Totals'!H$4,'[1]import success seats course'!$1:$2,2,FALSE),FALSE)/(VLOOKUP($A353,'[1]import graded seats course pivo'!$A:AF,HLOOKUP('[1]Course Totals'!H$4,'[1]import graded seats course pivo'!$1:$2,2,FALSE),FALSE))),"")</f>
        <v/>
      </c>
      <c r="I353" s="14" t="str">
        <f>IFERROR((VLOOKUP($A353,'[1]import success seats course'!$A:W,HLOOKUP('[1]Course Totals'!I$4,'[1]import success seats course'!$1:$2,2,FALSE),FALSE)/(VLOOKUP($A353,'[1]import graded seats course pivo'!$A:AG,HLOOKUP('[1]Course Totals'!I$4,'[1]import graded seats course pivo'!$1:$2,2,FALSE),FALSE))),"")</f>
        <v/>
      </c>
      <c r="J353" s="14" t="str">
        <f>IFERROR((VLOOKUP($A353,'[1]import success seats course'!$A:X,HLOOKUP('[1]Course Totals'!J$4,'[1]import success seats course'!$1:$2,2,FALSE),FALSE)/(VLOOKUP($A353,'[1]import graded seats course pivo'!$A:AH,HLOOKUP('[1]Course Totals'!J$4,'[1]import graded seats course pivo'!$1:$2,2,FALSE),FALSE))),"")</f>
        <v/>
      </c>
      <c r="K353" s="14" t="str">
        <f>IFERROR((VLOOKUP($A353,'[1]import success seats course'!$A:Y,HLOOKUP('[1]Course Totals'!K$4,'[1]import success seats course'!$1:$2,2,FALSE),FALSE)/(VLOOKUP($A353,'[1]import graded seats course pivo'!$A:AI,HLOOKUP('[1]Course Totals'!K$4,'[1]import graded seats course pivo'!$1:$2,2,FALSE),FALSE))),"")</f>
        <v/>
      </c>
      <c r="L353" s="14" t="str">
        <f>IFERROR((VLOOKUP($A353,'[1]import success seats course'!$A:Z,HLOOKUP('[1]Course Totals'!L$4,'[1]import success seats course'!$1:$2,2,FALSE),FALSE)/(VLOOKUP($A353,'[1]import graded seats course pivo'!$A:AJ,HLOOKUP('[1]Course Totals'!L$4,'[1]import graded seats course pivo'!$1:$2,2,FALSE),FALSE))),"")</f>
        <v/>
      </c>
      <c r="M353" s="14">
        <f>IFERROR((VLOOKUP($A353,'[1]import success seats course'!$A:AA,HLOOKUP('[1]Course Totals'!M$4,'[1]import success seats course'!$1:$2,2,FALSE),FALSE)/(VLOOKUP($A353,'[1]import graded seats course pivo'!$A:AK,HLOOKUP('[1]Course Totals'!M$4,'[1]import graded seats course pivo'!$1:$2,2,FALSE),FALSE))),"")</f>
        <v>1</v>
      </c>
      <c r="N353" s="14" t="str">
        <f>IFERROR((VLOOKUP($A353,'[1]import success seats course'!$A:AB,HLOOKUP('[1]Course Totals'!N$4,'[1]import success seats course'!$1:$2,2,FALSE),FALSE)/(VLOOKUP($A353,'[1]import graded seats course pivo'!$A:AL,HLOOKUP('[1]Course Totals'!N$4,'[1]import graded seats course pivo'!$1:$2,2,FALSE),FALSE))),"")</f>
        <v/>
      </c>
      <c r="O353" s="14" t="str">
        <f>IFERROR((VLOOKUP($A353,'[1]import success seats course'!$A:AC,HLOOKUP('[1]Course Totals'!O$4,'[1]import success seats course'!$1:$2,2,FALSE),FALSE)/(VLOOKUP($A353,'[1]import graded seats course pivo'!$A:AM,HLOOKUP('[1]Course Totals'!O$4,'[1]import graded seats course pivo'!$1:$2,2,FALSE),FALSE))),"")</f>
        <v/>
      </c>
      <c r="P353" s="14" t="str">
        <f>IFERROR((VLOOKUP($A353,'[1]import success seats course'!$A:AD,HLOOKUP('[1]Course Totals'!P$4,'[1]import success seats course'!$1:$2,2,FALSE),FALSE)/(VLOOKUP($A353,'[1]import graded seats course pivo'!$A:AN,HLOOKUP('[1]Course Totals'!P$4,'[1]import graded seats course pivo'!$1:$2,2,FALSE),FALSE))),"")</f>
        <v/>
      </c>
      <c r="Q353" s="14" t="str">
        <f>IFERROR((VLOOKUP($A353,'[1]import success seats course'!$A:AE,HLOOKUP('[1]Course Totals'!Q$4,'[1]import success seats course'!$1:$2,2,FALSE),FALSE)/(VLOOKUP($A353,'[1]import graded seats course pivo'!$A:AO,HLOOKUP('[1]Course Totals'!Q$4,'[1]import graded seats course pivo'!$1:$2,2,FALSE),FALSE))),"")</f>
        <v/>
      </c>
      <c r="R353" s="14" t="str">
        <f>IFERROR((VLOOKUP($A353,'[1]import success seats course'!$A:AF,HLOOKUP('[1]Course Totals'!R$4,'[1]import success seats course'!$1:$2,2,FALSE),FALSE)/(VLOOKUP($A353,'[1]import graded seats course pivo'!$A:AP,HLOOKUP('[1]Course Totals'!R$4,'[1]import graded seats course pivo'!$1:$2,2,FALSE),FALSE))),"")</f>
        <v/>
      </c>
      <c r="S353" s="14" t="str">
        <f>IFERROR((VLOOKUP($A353,'[1]import success seats course'!$A:AG,HLOOKUP('[1]Course Totals'!S$4,'[1]import success seats course'!$1:$2,2,FALSE),FALSE)/(VLOOKUP($A353,'[1]import graded seats course pivo'!$A:AQ,HLOOKUP('[1]Course Totals'!S$4,'[1]import graded seats course pivo'!$1:$2,2,FALSE),FALSE))),"")</f>
        <v/>
      </c>
      <c r="Z353" s="7"/>
      <c r="AA353" s="7"/>
      <c r="AB353" s="7"/>
      <c r="AC353" s="7"/>
    </row>
    <row r="354" spans="1:29" s="7" customFormat="1" ht="15.75" x14ac:dyDescent="0.25">
      <c r="A354" s="9" t="s">
        <v>1139</v>
      </c>
      <c r="B354" s="67" t="str">
        <f>'[1]Subject TOTALS'!$B$1:$P$1</f>
        <v xml:space="preserve">MVC Retention Rates </v>
      </c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</row>
    <row r="355" spans="1:29" ht="15.75" customHeight="1" thickBot="1" x14ac:dyDescent="0.3">
      <c r="A355" s="8" t="str">
        <f>'[1]SUBJECTS BASE'!H18</f>
        <v>Corrections</v>
      </c>
      <c r="B355" s="38" t="s">
        <v>1046</v>
      </c>
      <c r="C355" s="39" t="s">
        <v>0</v>
      </c>
      <c r="D355" s="40" t="s">
        <v>868</v>
      </c>
      <c r="E355" s="41" t="s">
        <v>1052</v>
      </c>
      <c r="F355" s="42" t="s">
        <v>546</v>
      </c>
      <c r="G355" s="43" t="s">
        <v>959</v>
      </c>
      <c r="H355" s="44" t="s">
        <v>1060</v>
      </c>
      <c r="I355" s="39" t="s">
        <v>675</v>
      </c>
      <c r="J355" s="45" t="s">
        <v>1006</v>
      </c>
      <c r="K355" s="46" t="s">
        <v>1062</v>
      </c>
      <c r="L355" s="42" t="s">
        <v>762</v>
      </c>
      <c r="M355" s="43" t="s">
        <v>1022</v>
      </c>
      <c r="N355" s="44" t="s">
        <v>1063</v>
      </c>
      <c r="O355" s="39" t="s">
        <v>822</v>
      </c>
      <c r="P355" s="40" t="s">
        <v>1042</v>
      </c>
      <c r="Q355" s="46" t="s">
        <v>1153</v>
      </c>
      <c r="R355" s="42" t="s">
        <v>1154</v>
      </c>
      <c r="S355" s="43" t="s">
        <v>1155</v>
      </c>
      <c r="Z355" s="7"/>
      <c r="AA355" s="7"/>
      <c r="AB355" s="7"/>
      <c r="AC355" s="7"/>
    </row>
    <row r="356" spans="1:29" ht="15.75" customHeight="1" x14ac:dyDescent="0.25">
      <c r="A356" s="12" t="s">
        <v>175</v>
      </c>
      <c r="B356" s="14" t="str">
        <f>IFERROR((VLOOKUP($A356,'[1]import success seats course'!$A:P,HLOOKUP('[1]Course Totals'!B$4,'[1]import success seats course'!$1:$2,2,FALSE),FALSE)/(VLOOKUP($A356,'[1]import graded seats course pivo'!$A:Z,HLOOKUP('[1]Course Totals'!B$4,'[1]import graded seats course pivo'!$1:$2,2,FALSE),FALSE))),"")</f>
        <v/>
      </c>
      <c r="C356" s="14">
        <f>IFERROR((VLOOKUP($A356,'[1]import success seats course'!$A:Q,HLOOKUP('[1]Course Totals'!C$4,'[1]import success seats course'!$1:$2,2,FALSE),FALSE)/(VLOOKUP($A356,'[1]import graded seats course pivo'!$A:AA,HLOOKUP('[1]Course Totals'!C$4,'[1]import graded seats course pivo'!$1:$2,2,FALSE),FALSE))),"")</f>
        <v>0.92307692307692313</v>
      </c>
      <c r="D356" s="14" t="str">
        <f>IFERROR((VLOOKUP($A356,'[1]import success seats course'!$A:R,HLOOKUP('[1]Course Totals'!D$4,'[1]import success seats course'!$1:$2,2,FALSE),FALSE)/(VLOOKUP($A356,'[1]import graded seats course pivo'!$A:AB,HLOOKUP('[1]Course Totals'!D$4,'[1]import graded seats course pivo'!$1:$2,2,FALSE),FALSE))),"")</f>
        <v/>
      </c>
      <c r="E356" s="14" t="str">
        <f>IFERROR((VLOOKUP($A356,'[1]import success seats course'!$A:S,HLOOKUP('[1]Course Totals'!E$4,'[1]import success seats course'!$1:$2,2,FALSE),FALSE)/(VLOOKUP($A356,'[1]import graded seats course pivo'!$A:AC,HLOOKUP('[1]Course Totals'!E$4,'[1]import graded seats course pivo'!$1:$2,2,FALSE),FALSE))),"")</f>
        <v/>
      </c>
      <c r="F356" s="14" t="str">
        <f>IFERROR((VLOOKUP($A356,'[1]import success seats course'!$A:T,HLOOKUP('[1]Course Totals'!F$4,'[1]import success seats course'!$1:$2,2,FALSE),FALSE)/(VLOOKUP($A356,'[1]import graded seats course pivo'!$A:AD,HLOOKUP('[1]Course Totals'!F$4,'[1]import graded seats course pivo'!$1:$2,2,FALSE),FALSE))),"")</f>
        <v/>
      </c>
      <c r="G356" s="14">
        <f>IFERROR((VLOOKUP($A356,'[1]import success seats course'!$A:U,HLOOKUP('[1]Course Totals'!G$4,'[1]import success seats course'!$1:$2,2,FALSE),FALSE)/(VLOOKUP($A356,'[1]import graded seats course pivo'!$A:AE,HLOOKUP('[1]Course Totals'!G$4,'[1]import graded seats course pivo'!$1:$2,2,FALSE),FALSE))),"")</f>
        <v>0.89189189189189189</v>
      </c>
      <c r="H356" s="14" t="str">
        <f>IFERROR((VLOOKUP($A356,'[1]import success seats course'!$A:V,HLOOKUP('[1]Course Totals'!H$4,'[1]import success seats course'!$1:$2,2,FALSE),FALSE)/(VLOOKUP($A356,'[1]import graded seats course pivo'!$A:AF,HLOOKUP('[1]Course Totals'!H$4,'[1]import graded seats course pivo'!$1:$2,2,FALSE),FALSE))),"")</f>
        <v/>
      </c>
      <c r="I356" s="14" t="str">
        <f>IFERROR((VLOOKUP($A356,'[1]import success seats course'!$A:W,HLOOKUP('[1]Course Totals'!I$4,'[1]import success seats course'!$1:$2,2,FALSE),FALSE)/(VLOOKUP($A356,'[1]import graded seats course pivo'!$A:AG,HLOOKUP('[1]Course Totals'!I$4,'[1]import graded seats course pivo'!$1:$2,2,FALSE),FALSE))),"")</f>
        <v/>
      </c>
      <c r="J356" s="14" t="str">
        <f>IFERROR((VLOOKUP($A356,'[1]import success seats course'!$A:X,HLOOKUP('[1]Course Totals'!J$4,'[1]import success seats course'!$1:$2,2,FALSE),FALSE)/(VLOOKUP($A356,'[1]import graded seats course pivo'!$A:AH,HLOOKUP('[1]Course Totals'!J$4,'[1]import graded seats course pivo'!$1:$2,2,FALSE),FALSE))),"")</f>
        <v/>
      </c>
      <c r="K356" s="14" t="str">
        <f>IFERROR((VLOOKUP($A356,'[1]import success seats course'!$A:Y,HLOOKUP('[1]Course Totals'!K$4,'[1]import success seats course'!$1:$2,2,FALSE),FALSE)/(VLOOKUP($A356,'[1]import graded seats course pivo'!$A:AI,HLOOKUP('[1]Course Totals'!K$4,'[1]import graded seats course pivo'!$1:$2,2,FALSE),FALSE))),"")</f>
        <v/>
      </c>
      <c r="L356" s="14" t="str">
        <f>IFERROR((VLOOKUP($A356,'[1]import success seats course'!$A:Z,HLOOKUP('[1]Course Totals'!L$4,'[1]import success seats course'!$1:$2,2,FALSE),FALSE)/(VLOOKUP($A356,'[1]import graded seats course pivo'!$A:AJ,HLOOKUP('[1]Course Totals'!L$4,'[1]import graded seats course pivo'!$1:$2,2,FALSE),FALSE))),"")</f>
        <v/>
      </c>
      <c r="M356" s="14" t="str">
        <f>IFERROR((VLOOKUP($A356,'[1]import success seats course'!$A:AA,HLOOKUP('[1]Course Totals'!M$4,'[1]import success seats course'!$1:$2,2,FALSE),FALSE)/(VLOOKUP($A356,'[1]import graded seats course pivo'!$A:AK,HLOOKUP('[1]Course Totals'!M$4,'[1]import graded seats course pivo'!$1:$2,2,FALSE),FALSE))),"")</f>
        <v/>
      </c>
      <c r="N356" s="14" t="str">
        <f>IFERROR((VLOOKUP($A356,'[1]import success seats course'!$A:AB,HLOOKUP('[1]Course Totals'!N$4,'[1]import success seats course'!$1:$2,2,FALSE),FALSE)/(VLOOKUP($A356,'[1]import graded seats course pivo'!$A:AL,HLOOKUP('[1]Course Totals'!N$4,'[1]import graded seats course pivo'!$1:$2,2,FALSE),FALSE))),"")</f>
        <v/>
      </c>
      <c r="O356" s="14" t="str">
        <f>IFERROR((VLOOKUP($A356,'[1]import success seats course'!$A:AC,HLOOKUP('[1]Course Totals'!O$4,'[1]import success seats course'!$1:$2,2,FALSE),FALSE)/(VLOOKUP($A356,'[1]import graded seats course pivo'!$A:AM,HLOOKUP('[1]Course Totals'!O$4,'[1]import graded seats course pivo'!$1:$2,2,FALSE),FALSE))),"")</f>
        <v/>
      </c>
      <c r="P356" s="14" t="str">
        <f>IFERROR((VLOOKUP($A356,'[1]import success seats course'!$A:AD,HLOOKUP('[1]Course Totals'!P$4,'[1]import success seats course'!$1:$2,2,FALSE),FALSE)/(VLOOKUP($A356,'[1]import graded seats course pivo'!$A:AN,HLOOKUP('[1]Course Totals'!P$4,'[1]import graded seats course pivo'!$1:$2,2,FALSE),FALSE))),"")</f>
        <v/>
      </c>
      <c r="Q356" s="14" t="str">
        <f>IFERROR((VLOOKUP($A356,'[1]import success seats course'!$A:AE,HLOOKUP('[1]Course Totals'!Q$4,'[1]import success seats course'!$1:$2,2,FALSE),FALSE)/(VLOOKUP($A356,'[1]import graded seats course pivo'!$A:AO,HLOOKUP('[1]Course Totals'!Q$4,'[1]import graded seats course pivo'!$1:$2,2,FALSE),FALSE))),"")</f>
        <v/>
      </c>
      <c r="R356" s="14">
        <f>IFERROR((VLOOKUP($A356,'[1]import success seats course'!$A:AF,HLOOKUP('[1]Course Totals'!R$4,'[1]import success seats course'!$1:$2,2,FALSE),FALSE)/(VLOOKUP($A356,'[1]import graded seats course pivo'!$A:AP,HLOOKUP('[1]Course Totals'!R$4,'[1]import graded seats course pivo'!$1:$2,2,FALSE),FALSE))),"")</f>
        <v>0.94871794871794868</v>
      </c>
      <c r="S356" s="14" t="str">
        <f>IFERROR((VLOOKUP($A356,'[1]import success seats course'!$A:AG,HLOOKUP('[1]Course Totals'!S$4,'[1]import success seats course'!$1:$2,2,FALSE),FALSE)/(VLOOKUP($A356,'[1]import graded seats course pivo'!$A:AQ,HLOOKUP('[1]Course Totals'!S$4,'[1]import graded seats course pivo'!$1:$2,2,FALSE),FALSE))),"")</f>
        <v/>
      </c>
      <c r="Z356" s="7"/>
      <c r="AA356" s="7"/>
      <c r="AB356" s="7"/>
      <c r="AC356" s="7"/>
    </row>
    <row r="357" spans="1:29" ht="15.75" customHeight="1" x14ac:dyDescent="0.25">
      <c r="A357" s="12" t="s">
        <v>586</v>
      </c>
      <c r="B357" s="14" t="str">
        <f>IFERROR((VLOOKUP($A357,'[1]import success seats course'!$A:P,HLOOKUP('[1]Course Totals'!B$4,'[1]import success seats course'!$1:$2,2,FALSE),FALSE)/(VLOOKUP($A357,'[1]import graded seats course pivo'!$A:Z,HLOOKUP('[1]Course Totals'!B$4,'[1]import graded seats course pivo'!$1:$2,2,FALSE),FALSE))),"")</f>
        <v/>
      </c>
      <c r="C357" s="14" t="str">
        <f>IFERROR((VLOOKUP($A357,'[1]import success seats course'!$A:Q,HLOOKUP('[1]Course Totals'!C$4,'[1]import success seats course'!$1:$2,2,FALSE),FALSE)/(VLOOKUP($A357,'[1]import graded seats course pivo'!$A:AA,HLOOKUP('[1]Course Totals'!C$4,'[1]import graded seats course pivo'!$1:$2,2,FALSE),FALSE))),"")</f>
        <v/>
      </c>
      <c r="D357" s="14">
        <f>IFERROR((VLOOKUP($A357,'[1]import success seats course'!$A:R,HLOOKUP('[1]Course Totals'!D$4,'[1]import success seats course'!$1:$2,2,FALSE),FALSE)/(VLOOKUP($A357,'[1]import graded seats course pivo'!$A:AB,HLOOKUP('[1]Course Totals'!D$4,'[1]import graded seats course pivo'!$1:$2,2,FALSE),FALSE))),"")</f>
        <v>0.9</v>
      </c>
      <c r="E357" s="14" t="str">
        <f>IFERROR((VLOOKUP($A357,'[1]import success seats course'!$A:S,HLOOKUP('[1]Course Totals'!E$4,'[1]import success seats course'!$1:$2,2,FALSE),FALSE)/(VLOOKUP($A357,'[1]import graded seats course pivo'!$A:AC,HLOOKUP('[1]Course Totals'!E$4,'[1]import graded seats course pivo'!$1:$2,2,FALSE),FALSE))),"")</f>
        <v/>
      </c>
      <c r="F357" s="14" t="str">
        <f>IFERROR((VLOOKUP($A357,'[1]import success seats course'!$A:T,HLOOKUP('[1]Course Totals'!F$4,'[1]import success seats course'!$1:$2,2,FALSE),FALSE)/(VLOOKUP($A357,'[1]import graded seats course pivo'!$A:AD,HLOOKUP('[1]Course Totals'!F$4,'[1]import graded seats course pivo'!$1:$2,2,FALSE),FALSE))),"")</f>
        <v/>
      </c>
      <c r="G357" s="14" t="str">
        <f>IFERROR((VLOOKUP($A357,'[1]import success seats course'!$A:U,HLOOKUP('[1]Course Totals'!G$4,'[1]import success seats course'!$1:$2,2,FALSE),FALSE)/(VLOOKUP($A357,'[1]import graded seats course pivo'!$A:AE,HLOOKUP('[1]Course Totals'!G$4,'[1]import graded seats course pivo'!$1:$2,2,FALSE),FALSE))),"")</f>
        <v/>
      </c>
      <c r="H357" s="14" t="str">
        <f>IFERROR((VLOOKUP($A357,'[1]import success seats course'!$A:V,HLOOKUP('[1]Course Totals'!H$4,'[1]import success seats course'!$1:$2,2,FALSE),FALSE)/(VLOOKUP($A357,'[1]import graded seats course pivo'!$A:AF,HLOOKUP('[1]Course Totals'!H$4,'[1]import graded seats course pivo'!$1:$2,2,FALSE),FALSE))),"")</f>
        <v/>
      </c>
      <c r="I357" s="14">
        <f>IFERROR((VLOOKUP($A357,'[1]import success seats course'!$A:W,HLOOKUP('[1]Course Totals'!I$4,'[1]import success seats course'!$1:$2,2,FALSE),FALSE)/(VLOOKUP($A357,'[1]import graded seats course pivo'!$A:AG,HLOOKUP('[1]Course Totals'!I$4,'[1]import graded seats course pivo'!$1:$2,2,FALSE),FALSE))),"")</f>
        <v>0.89473684210526316</v>
      </c>
      <c r="J357" s="14" t="str">
        <f>IFERROR((VLOOKUP($A357,'[1]import success seats course'!$A:X,HLOOKUP('[1]Course Totals'!J$4,'[1]import success seats course'!$1:$2,2,FALSE),FALSE)/(VLOOKUP($A357,'[1]import graded seats course pivo'!$A:AH,HLOOKUP('[1]Course Totals'!J$4,'[1]import graded seats course pivo'!$1:$2,2,FALSE),FALSE))),"")</f>
        <v/>
      </c>
      <c r="K357" s="14" t="str">
        <f>IFERROR((VLOOKUP($A357,'[1]import success seats course'!$A:Y,HLOOKUP('[1]Course Totals'!K$4,'[1]import success seats course'!$1:$2,2,FALSE),FALSE)/(VLOOKUP($A357,'[1]import graded seats course pivo'!$A:AI,HLOOKUP('[1]Course Totals'!K$4,'[1]import graded seats course pivo'!$1:$2,2,FALSE),FALSE))),"")</f>
        <v/>
      </c>
      <c r="L357" s="14" t="str">
        <f>IFERROR((VLOOKUP($A357,'[1]import success seats course'!$A:Z,HLOOKUP('[1]Course Totals'!L$4,'[1]import success seats course'!$1:$2,2,FALSE),FALSE)/(VLOOKUP($A357,'[1]import graded seats course pivo'!$A:AJ,HLOOKUP('[1]Course Totals'!L$4,'[1]import graded seats course pivo'!$1:$2,2,FALSE),FALSE))),"")</f>
        <v/>
      </c>
      <c r="M357" s="14">
        <f>IFERROR((VLOOKUP($A357,'[1]import success seats course'!$A:AA,HLOOKUP('[1]Course Totals'!M$4,'[1]import success seats course'!$1:$2,2,FALSE),FALSE)/(VLOOKUP($A357,'[1]import graded seats course pivo'!$A:AK,HLOOKUP('[1]Course Totals'!M$4,'[1]import graded seats course pivo'!$1:$2,2,FALSE),FALSE))),"")</f>
        <v>0.94444444444444442</v>
      </c>
      <c r="N357" s="14" t="str">
        <f>IFERROR((VLOOKUP($A357,'[1]import success seats course'!$A:AB,HLOOKUP('[1]Course Totals'!N$4,'[1]import success seats course'!$1:$2,2,FALSE),FALSE)/(VLOOKUP($A357,'[1]import graded seats course pivo'!$A:AL,HLOOKUP('[1]Course Totals'!N$4,'[1]import graded seats course pivo'!$1:$2,2,FALSE),FALSE))),"")</f>
        <v/>
      </c>
      <c r="O357" s="14" t="str">
        <f>IFERROR((VLOOKUP($A357,'[1]import success seats course'!$A:AC,HLOOKUP('[1]Course Totals'!O$4,'[1]import success seats course'!$1:$2,2,FALSE),FALSE)/(VLOOKUP($A357,'[1]import graded seats course pivo'!$A:AM,HLOOKUP('[1]Course Totals'!O$4,'[1]import graded seats course pivo'!$1:$2,2,FALSE),FALSE))),"")</f>
        <v/>
      </c>
      <c r="P357" s="14" t="str">
        <f>IFERROR((VLOOKUP($A357,'[1]import success seats course'!$A:AD,HLOOKUP('[1]Course Totals'!P$4,'[1]import success seats course'!$1:$2,2,FALSE),FALSE)/(VLOOKUP($A357,'[1]import graded seats course pivo'!$A:AN,HLOOKUP('[1]Course Totals'!P$4,'[1]import graded seats course pivo'!$1:$2,2,FALSE),FALSE))),"")</f>
        <v/>
      </c>
      <c r="Q357" s="14" t="str">
        <f>IFERROR((VLOOKUP($A357,'[1]import success seats course'!$A:AE,HLOOKUP('[1]Course Totals'!Q$4,'[1]import success seats course'!$1:$2,2,FALSE),FALSE)/(VLOOKUP($A357,'[1]import graded seats course pivo'!$A:AO,HLOOKUP('[1]Course Totals'!Q$4,'[1]import graded seats course pivo'!$1:$2,2,FALSE),FALSE))),"")</f>
        <v/>
      </c>
      <c r="R357" s="14" t="str">
        <f>IFERROR((VLOOKUP($A357,'[1]import success seats course'!$A:AF,HLOOKUP('[1]Course Totals'!R$4,'[1]import success seats course'!$1:$2,2,FALSE),FALSE)/(VLOOKUP($A357,'[1]import graded seats course pivo'!$A:AP,HLOOKUP('[1]Course Totals'!R$4,'[1]import graded seats course pivo'!$1:$2,2,FALSE),FALSE))),"")</f>
        <v/>
      </c>
      <c r="S357" s="14">
        <f>IFERROR((VLOOKUP($A357,'[1]import success seats course'!$A:AG,HLOOKUP('[1]Course Totals'!S$4,'[1]import success seats course'!$1:$2,2,FALSE),FALSE)/(VLOOKUP($A357,'[1]import graded seats course pivo'!$A:AQ,HLOOKUP('[1]Course Totals'!S$4,'[1]import graded seats course pivo'!$1:$2,2,FALSE),FALSE))),"")</f>
        <v>0.88235294117647056</v>
      </c>
      <c r="Z357" s="7"/>
      <c r="AA357" s="7"/>
      <c r="AB357" s="7"/>
      <c r="AC357" s="7"/>
    </row>
    <row r="358" spans="1:29" ht="15.75" customHeight="1" x14ac:dyDescent="0.25">
      <c r="A358" s="12" t="s">
        <v>587</v>
      </c>
      <c r="B358" s="14" t="str">
        <f>IFERROR((VLOOKUP($A358,'[1]import success seats course'!$A:P,HLOOKUP('[1]Course Totals'!B$4,'[1]import success seats course'!$1:$2,2,FALSE),FALSE)/(VLOOKUP($A358,'[1]import graded seats course pivo'!$A:Z,HLOOKUP('[1]Course Totals'!B$4,'[1]import graded seats course pivo'!$1:$2,2,FALSE),FALSE))),"")</f>
        <v/>
      </c>
      <c r="C358" s="14" t="str">
        <f>IFERROR((VLOOKUP($A358,'[1]import success seats course'!$A:Q,HLOOKUP('[1]Course Totals'!C$4,'[1]import success seats course'!$1:$2,2,FALSE),FALSE)/(VLOOKUP($A358,'[1]import graded seats course pivo'!$A:AA,HLOOKUP('[1]Course Totals'!C$4,'[1]import graded seats course pivo'!$1:$2,2,FALSE),FALSE))),"")</f>
        <v/>
      </c>
      <c r="D358" s="14" t="str">
        <f>IFERROR((VLOOKUP($A358,'[1]import success seats course'!$A:R,HLOOKUP('[1]Course Totals'!D$4,'[1]import success seats course'!$1:$2,2,FALSE),FALSE)/(VLOOKUP($A358,'[1]import graded seats course pivo'!$A:AB,HLOOKUP('[1]Course Totals'!D$4,'[1]import graded seats course pivo'!$1:$2,2,FALSE),FALSE))),"")</f>
        <v/>
      </c>
      <c r="E358" s="14" t="str">
        <f>IFERROR((VLOOKUP($A358,'[1]import success seats course'!$A:S,HLOOKUP('[1]Course Totals'!E$4,'[1]import success seats course'!$1:$2,2,FALSE),FALSE)/(VLOOKUP($A358,'[1]import graded seats course pivo'!$A:AC,HLOOKUP('[1]Course Totals'!E$4,'[1]import graded seats course pivo'!$1:$2,2,FALSE),FALSE))),"")</f>
        <v/>
      </c>
      <c r="F358" s="14">
        <f>IFERROR((VLOOKUP($A358,'[1]import success seats course'!$A:T,HLOOKUP('[1]Course Totals'!F$4,'[1]import success seats course'!$1:$2,2,FALSE),FALSE)/(VLOOKUP($A358,'[1]import graded seats course pivo'!$A:AD,HLOOKUP('[1]Course Totals'!F$4,'[1]import graded seats course pivo'!$1:$2,2,FALSE),FALSE))),"")</f>
        <v>0.875</v>
      </c>
      <c r="G358" s="14" t="str">
        <f>IFERROR((VLOOKUP($A358,'[1]import success seats course'!$A:U,HLOOKUP('[1]Course Totals'!G$4,'[1]import success seats course'!$1:$2,2,FALSE),FALSE)/(VLOOKUP($A358,'[1]import graded seats course pivo'!$A:AE,HLOOKUP('[1]Course Totals'!G$4,'[1]import graded seats course pivo'!$1:$2,2,FALSE),FALSE))),"")</f>
        <v/>
      </c>
      <c r="H358" s="14" t="str">
        <f>IFERROR((VLOOKUP($A358,'[1]import success seats course'!$A:V,HLOOKUP('[1]Course Totals'!H$4,'[1]import success seats course'!$1:$2,2,FALSE),FALSE)/(VLOOKUP($A358,'[1]import graded seats course pivo'!$A:AF,HLOOKUP('[1]Course Totals'!H$4,'[1]import graded seats course pivo'!$1:$2,2,FALSE),FALSE))),"")</f>
        <v/>
      </c>
      <c r="I358" s="14" t="str">
        <f>IFERROR((VLOOKUP($A358,'[1]import success seats course'!$A:W,HLOOKUP('[1]Course Totals'!I$4,'[1]import success seats course'!$1:$2,2,FALSE),FALSE)/(VLOOKUP($A358,'[1]import graded seats course pivo'!$A:AG,HLOOKUP('[1]Course Totals'!I$4,'[1]import graded seats course pivo'!$1:$2,2,FALSE),FALSE))),"")</f>
        <v/>
      </c>
      <c r="J358" s="14">
        <f>IFERROR((VLOOKUP($A358,'[1]import success seats course'!$A:X,HLOOKUP('[1]Course Totals'!J$4,'[1]import success seats course'!$1:$2,2,FALSE),FALSE)/(VLOOKUP($A358,'[1]import graded seats course pivo'!$A:AH,HLOOKUP('[1]Course Totals'!J$4,'[1]import graded seats course pivo'!$1:$2,2,FALSE),FALSE))),"")</f>
        <v>0.92682926829268297</v>
      </c>
      <c r="K358" s="14" t="str">
        <f>IFERROR((VLOOKUP($A358,'[1]import success seats course'!$A:Y,HLOOKUP('[1]Course Totals'!K$4,'[1]import success seats course'!$1:$2,2,FALSE),FALSE)/(VLOOKUP($A358,'[1]import graded seats course pivo'!$A:AI,HLOOKUP('[1]Course Totals'!K$4,'[1]import graded seats course pivo'!$1:$2,2,FALSE),FALSE))),"")</f>
        <v/>
      </c>
      <c r="L358" s="14" t="str">
        <f>IFERROR((VLOOKUP($A358,'[1]import success seats course'!$A:Z,HLOOKUP('[1]Course Totals'!L$4,'[1]import success seats course'!$1:$2,2,FALSE),FALSE)/(VLOOKUP($A358,'[1]import graded seats course pivo'!$A:AJ,HLOOKUP('[1]Course Totals'!L$4,'[1]import graded seats course pivo'!$1:$2,2,FALSE),FALSE))),"")</f>
        <v/>
      </c>
      <c r="M358" s="14" t="str">
        <f>IFERROR((VLOOKUP($A358,'[1]import success seats course'!$A:AA,HLOOKUP('[1]Course Totals'!M$4,'[1]import success seats course'!$1:$2,2,FALSE),FALSE)/(VLOOKUP($A358,'[1]import graded seats course pivo'!$A:AK,HLOOKUP('[1]Course Totals'!M$4,'[1]import graded seats course pivo'!$1:$2,2,FALSE),FALSE))),"")</f>
        <v/>
      </c>
      <c r="N358" s="14" t="str">
        <f>IFERROR((VLOOKUP($A358,'[1]import success seats course'!$A:AB,HLOOKUP('[1]Course Totals'!N$4,'[1]import success seats course'!$1:$2,2,FALSE),FALSE)/(VLOOKUP($A358,'[1]import graded seats course pivo'!$A:AL,HLOOKUP('[1]Course Totals'!N$4,'[1]import graded seats course pivo'!$1:$2,2,FALSE),FALSE))),"")</f>
        <v/>
      </c>
      <c r="O358" s="14">
        <f>IFERROR((VLOOKUP($A358,'[1]import success seats course'!$A:AC,HLOOKUP('[1]Course Totals'!O$4,'[1]import success seats course'!$1:$2,2,FALSE),FALSE)/(VLOOKUP($A358,'[1]import graded seats course pivo'!$A:AM,HLOOKUP('[1]Course Totals'!O$4,'[1]import graded seats course pivo'!$1:$2,2,FALSE),FALSE))),"")</f>
        <v>0.91891891891891897</v>
      </c>
      <c r="P358" s="14" t="str">
        <f>IFERROR((VLOOKUP($A358,'[1]import success seats course'!$A:AD,HLOOKUP('[1]Course Totals'!P$4,'[1]import success seats course'!$1:$2,2,FALSE),FALSE)/(VLOOKUP($A358,'[1]import graded seats course pivo'!$A:AN,HLOOKUP('[1]Course Totals'!P$4,'[1]import graded seats course pivo'!$1:$2,2,FALSE),FALSE))),"")</f>
        <v/>
      </c>
      <c r="Q358" s="14" t="str">
        <f>IFERROR((VLOOKUP($A358,'[1]import success seats course'!$A:AE,HLOOKUP('[1]Course Totals'!Q$4,'[1]import success seats course'!$1:$2,2,FALSE),FALSE)/(VLOOKUP($A358,'[1]import graded seats course pivo'!$A:AO,HLOOKUP('[1]Course Totals'!Q$4,'[1]import graded seats course pivo'!$1:$2,2,FALSE),FALSE))),"")</f>
        <v/>
      </c>
      <c r="R358" s="14" t="str">
        <f>IFERROR((VLOOKUP($A358,'[1]import success seats course'!$A:AF,HLOOKUP('[1]Course Totals'!R$4,'[1]import success seats course'!$1:$2,2,FALSE),FALSE)/(VLOOKUP($A358,'[1]import graded seats course pivo'!$A:AP,HLOOKUP('[1]Course Totals'!R$4,'[1]import graded seats course pivo'!$1:$2,2,FALSE),FALSE))),"")</f>
        <v/>
      </c>
      <c r="S358" s="14" t="str">
        <f>IFERROR((VLOOKUP($A358,'[1]import success seats course'!$A:AG,HLOOKUP('[1]Course Totals'!S$4,'[1]import success seats course'!$1:$2,2,FALSE),FALSE)/(VLOOKUP($A358,'[1]import graded seats course pivo'!$A:AQ,HLOOKUP('[1]Course Totals'!S$4,'[1]import graded seats course pivo'!$1:$2,2,FALSE),FALSE))),"")</f>
        <v/>
      </c>
      <c r="Z358" s="7"/>
      <c r="AA358" s="7"/>
      <c r="AB358" s="7"/>
      <c r="AC358" s="7"/>
    </row>
    <row r="359" spans="1:29" ht="15.75" customHeight="1" thickBot="1" x14ac:dyDescent="0.3">
      <c r="A359" s="8" t="str">
        <f>'[1]SUBJECTS BASE'!H19</f>
        <v>Computer Science/Informations Systems</v>
      </c>
      <c r="B359" s="38" t="s">
        <v>1046</v>
      </c>
      <c r="C359" s="39" t="s">
        <v>0</v>
      </c>
      <c r="D359" s="40" t="s">
        <v>868</v>
      </c>
      <c r="E359" s="41" t="s">
        <v>1052</v>
      </c>
      <c r="F359" s="42" t="s">
        <v>546</v>
      </c>
      <c r="G359" s="43" t="s">
        <v>959</v>
      </c>
      <c r="H359" s="44" t="s">
        <v>1060</v>
      </c>
      <c r="I359" s="39" t="s">
        <v>675</v>
      </c>
      <c r="J359" s="45" t="s">
        <v>1006</v>
      </c>
      <c r="K359" s="46" t="s">
        <v>1062</v>
      </c>
      <c r="L359" s="42" t="s">
        <v>762</v>
      </c>
      <c r="M359" s="43" t="s">
        <v>1022</v>
      </c>
      <c r="N359" s="44" t="s">
        <v>1063</v>
      </c>
      <c r="O359" s="39" t="s">
        <v>822</v>
      </c>
      <c r="P359" s="40" t="s">
        <v>1042</v>
      </c>
      <c r="Q359" s="46" t="s">
        <v>1153</v>
      </c>
      <c r="R359" s="42" t="s">
        <v>1154</v>
      </c>
      <c r="S359" s="43" t="s">
        <v>1155</v>
      </c>
      <c r="Z359" s="7"/>
      <c r="AA359" s="7"/>
      <c r="AB359" s="7"/>
      <c r="AC359" s="7"/>
    </row>
    <row r="360" spans="1:29" ht="15.75" hidden="1" customHeight="1" x14ac:dyDescent="0.25">
      <c r="A360" s="12" t="s">
        <v>176</v>
      </c>
      <c r="B360" s="14" t="str">
        <f>IFERROR((VLOOKUP($A360,'[1]import success seats course'!$A:P,HLOOKUP('[1]Course Totals'!B$4,'[1]import success seats course'!$1:$2,2,FALSE),FALSE)/(VLOOKUP($A360,'[1]import graded seats course pivo'!$A:Z,HLOOKUP('[1]Course Totals'!B$4,'[1]import graded seats course pivo'!$1:$2,2,FALSE),FALSE))),"")</f>
        <v/>
      </c>
      <c r="C360" s="14" t="str">
        <f>IFERROR((VLOOKUP($A360,'[1]import success seats course'!$A:Q,HLOOKUP('[1]Course Totals'!C$4,'[1]import success seats course'!$1:$2,2,FALSE),FALSE)/(VLOOKUP($A360,'[1]import graded seats course pivo'!$A:AA,HLOOKUP('[1]Course Totals'!C$4,'[1]import graded seats course pivo'!$1:$2,2,FALSE),FALSE))),"")</f>
        <v/>
      </c>
      <c r="D360" s="14" t="str">
        <f>IFERROR((VLOOKUP($A360,'[1]import success seats course'!$A:R,HLOOKUP('[1]Course Totals'!D$4,'[1]import success seats course'!$1:$2,2,FALSE),FALSE)/(VLOOKUP($A360,'[1]import graded seats course pivo'!$A:AB,HLOOKUP('[1]Course Totals'!D$4,'[1]import graded seats course pivo'!$1:$2,2,FALSE),FALSE))),"")</f>
        <v/>
      </c>
      <c r="E360" s="14" t="str">
        <f>IFERROR((VLOOKUP($A360,'[1]import success seats course'!$A:S,HLOOKUP('[1]Course Totals'!E$4,'[1]import success seats course'!$1:$2,2,FALSE),FALSE)/(VLOOKUP($A360,'[1]import graded seats course pivo'!$A:AC,HLOOKUP('[1]Course Totals'!E$4,'[1]import graded seats course pivo'!$1:$2,2,FALSE),FALSE))),"")</f>
        <v/>
      </c>
      <c r="F360" s="14" t="str">
        <f>IFERROR((VLOOKUP($A360,'[1]import success seats course'!$A:T,HLOOKUP('[1]Course Totals'!F$4,'[1]import success seats course'!$1:$2,2,FALSE),FALSE)/(VLOOKUP($A360,'[1]import graded seats course pivo'!$A:AD,HLOOKUP('[1]Course Totals'!F$4,'[1]import graded seats course pivo'!$1:$2,2,FALSE),FALSE))),"")</f>
        <v/>
      </c>
      <c r="G360" s="14" t="str">
        <f>IFERROR((VLOOKUP($A360,'[1]import success seats course'!$A:U,HLOOKUP('[1]Course Totals'!G$4,'[1]import success seats course'!$1:$2,2,FALSE),FALSE)/(VLOOKUP($A360,'[1]import graded seats course pivo'!$A:AE,HLOOKUP('[1]Course Totals'!G$4,'[1]import graded seats course pivo'!$1:$2,2,FALSE),FALSE))),"")</f>
        <v/>
      </c>
      <c r="H360" s="14" t="str">
        <f>IFERROR((VLOOKUP($A360,'[1]import success seats course'!$A:V,HLOOKUP('[1]Course Totals'!H$4,'[1]import success seats course'!$1:$2,2,FALSE),FALSE)/(VLOOKUP($A360,'[1]import graded seats course pivo'!$A:AF,HLOOKUP('[1]Course Totals'!H$4,'[1]import graded seats course pivo'!$1:$2,2,FALSE),FALSE))),"")</f>
        <v/>
      </c>
      <c r="I360" s="14" t="str">
        <f>IFERROR((VLOOKUP($A360,'[1]import success seats course'!$A:W,HLOOKUP('[1]Course Totals'!I$4,'[1]import success seats course'!$1:$2,2,FALSE),FALSE)/(VLOOKUP($A360,'[1]import graded seats course pivo'!$A:AG,HLOOKUP('[1]Course Totals'!I$4,'[1]import graded seats course pivo'!$1:$2,2,FALSE),FALSE))),"")</f>
        <v/>
      </c>
      <c r="J360" s="14" t="str">
        <f>IFERROR((VLOOKUP($A360,'[1]import success seats course'!$A:X,HLOOKUP('[1]Course Totals'!J$4,'[1]import success seats course'!$1:$2,2,FALSE),FALSE)/(VLOOKUP($A360,'[1]import graded seats course pivo'!$A:AH,HLOOKUP('[1]Course Totals'!J$4,'[1]import graded seats course pivo'!$1:$2,2,FALSE),FALSE))),"")</f>
        <v/>
      </c>
      <c r="K360" s="14" t="str">
        <f>IFERROR((VLOOKUP($A360,'[1]import success seats course'!$A:Y,HLOOKUP('[1]Course Totals'!K$4,'[1]import success seats course'!$1:$2,2,FALSE),FALSE)/(VLOOKUP($A360,'[1]import graded seats course pivo'!$A:AI,HLOOKUP('[1]Course Totals'!K$4,'[1]import graded seats course pivo'!$1:$2,2,FALSE),FALSE))),"")</f>
        <v/>
      </c>
      <c r="L360" s="14" t="str">
        <f>IFERROR((VLOOKUP($A360,'[1]import success seats course'!$A:Z,HLOOKUP('[1]Course Totals'!L$4,'[1]import success seats course'!$1:$2,2,FALSE),FALSE)/(VLOOKUP($A360,'[1]import graded seats course pivo'!$A:AJ,HLOOKUP('[1]Course Totals'!L$4,'[1]import graded seats course pivo'!$1:$2,2,FALSE),FALSE))),"")</f>
        <v/>
      </c>
      <c r="M360" s="14" t="str">
        <f>IFERROR((VLOOKUP($A360,'[1]import success seats course'!$A:AA,HLOOKUP('[1]Course Totals'!M$4,'[1]import success seats course'!$1:$2,2,FALSE),FALSE)/(VLOOKUP($A360,'[1]import graded seats course pivo'!$A:AK,HLOOKUP('[1]Course Totals'!M$4,'[1]import graded seats course pivo'!$1:$2,2,FALSE),FALSE))),"")</f>
        <v/>
      </c>
      <c r="N360" s="14" t="str">
        <f>IFERROR((VLOOKUP($A360,'[1]import success seats course'!$A:AB,HLOOKUP('[1]Course Totals'!N$4,'[1]import success seats course'!$1:$2,2,FALSE),FALSE)/(VLOOKUP($A360,'[1]import graded seats course pivo'!$A:AL,HLOOKUP('[1]Course Totals'!N$4,'[1]import graded seats course pivo'!$1:$2,2,FALSE),FALSE))),"")</f>
        <v/>
      </c>
      <c r="O360" s="14" t="str">
        <f>IFERROR((VLOOKUP($A360,'[1]import success seats course'!$A:AC,HLOOKUP('[1]Course Totals'!O$4,'[1]import success seats course'!$1:$2,2,FALSE),FALSE)/(VLOOKUP($A360,'[1]import graded seats course pivo'!$A:AM,HLOOKUP('[1]Course Totals'!O$4,'[1]import graded seats course pivo'!$1:$2,2,FALSE),FALSE))),"")</f>
        <v/>
      </c>
      <c r="P360" s="14" t="str">
        <f>IFERROR((VLOOKUP($A360,'[1]import success seats course'!$A:AD,HLOOKUP('[1]Course Totals'!P$4,'[1]import success seats course'!$1:$2,2,FALSE),FALSE)/(VLOOKUP($A360,'[1]import graded seats course pivo'!$A:AN,HLOOKUP('[1]Course Totals'!P$4,'[1]import graded seats course pivo'!$1:$2,2,FALSE),FALSE))),"")</f>
        <v/>
      </c>
      <c r="Q360" s="14" t="str">
        <f>IFERROR((VLOOKUP($A360,'[1]import success seats course'!$A:AE,HLOOKUP('[1]Course Totals'!Q$4,'[1]import success seats course'!$1:$2,2,FALSE),FALSE)/(VLOOKUP($A360,'[1]import graded seats course pivo'!$A:AO,HLOOKUP('[1]Course Totals'!Q$4,'[1]import graded seats course pivo'!$1:$2,2,FALSE),FALSE))),"")</f>
        <v/>
      </c>
      <c r="R360" s="14" t="str">
        <f>IFERROR((VLOOKUP($A360,'[1]import success seats course'!$A:AF,HLOOKUP('[1]Course Totals'!R$4,'[1]import success seats course'!$1:$2,2,FALSE),FALSE)/(VLOOKUP($A360,'[1]import graded seats course pivo'!$A:AP,HLOOKUP('[1]Course Totals'!R$4,'[1]import graded seats course pivo'!$1:$2,2,FALSE),FALSE))),"")</f>
        <v/>
      </c>
      <c r="S360" s="14" t="str">
        <f>IFERROR((VLOOKUP($A360,'[1]import success seats course'!$A:AG,HLOOKUP('[1]Course Totals'!S$4,'[1]import success seats course'!$1:$2,2,FALSE),FALSE)/(VLOOKUP($A360,'[1]import graded seats course pivo'!$A:AQ,HLOOKUP('[1]Course Totals'!S$4,'[1]import graded seats course pivo'!$1:$2,2,FALSE),FALSE))),"")</f>
        <v/>
      </c>
      <c r="Z360" s="7"/>
      <c r="AA360" s="7"/>
      <c r="AB360" s="7"/>
      <c r="AC360" s="7"/>
    </row>
    <row r="361" spans="1:29" ht="15.75" customHeight="1" x14ac:dyDescent="0.25">
      <c r="A361" s="12" t="s">
        <v>177</v>
      </c>
      <c r="B361" s="14">
        <f>IFERROR((VLOOKUP($A361,'[1]import success seats course'!$A:P,HLOOKUP('[1]Course Totals'!B$4,'[1]import success seats course'!$1:$2,2,FALSE),FALSE)/(VLOOKUP($A361,'[1]import graded seats course pivo'!$A:Z,HLOOKUP('[1]Course Totals'!B$4,'[1]import graded seats course pivo'!$1:$2,2,FALSE),FALSE))),"")</f>
        <v>0.91891891891891897</v>
      </c>
      <c r="C361" s="14">
        <f>IFERROR((VLOOKUP($A361,'[1]import success seats course'!$A:Q,HLOOKUP('[1]Course Totals'!C$4,'[1]import success seats course'!$1:$2,2,FALSE),FALSE)/(VLOOKUP($A361,'[1]import graded seats course pivo'!$A:AA,HLOOKUP('[1]Course Totals'!C$4,'[1]import graded seats course pivo'!$1:$2,2,FALSE),FALSE))),"")</f>
        <v>0.88888888888888884</v>
      </c>
      <c r="D361" s="14">
        <f>IFERROR((VLOOKUP($A361,'[1]import success seats course'!$A:R,HLOOKUP('[1]Course Totals'!D$4,'[1]import success seats course'!$1:$2,2,FALSE),FALSE)/(VLOOKUP($A361,'[1]import graded seats course pivo'!$A:AB,HLOOKUP('[1]Course Totals'!D$4,'[1]import graded seats course pivo'!$1:$2,2,FALSE),FALSE))),"")</f>
        <v>0.98412698412698407</v>
      </c>
      <c r="E361" s="14">
        <f>IFERROR((VLOOKUP($A361,'[1]import success seats course'!$A:S,HLOOKUP('[1]Course Totals'!E$4,'[1]import success seats course'!$1:$2,2,FALSE),FALSE)/(VLOOKUP($A361,'[1]import graded seats course pivo'!$A:AC,HLOOKUP('[1]Course Totals'!E$4,'[1]import graded seats course pivo'!$1:$2,2,FALSE),FALSE))),"")</f>
        <v>0.98039215686274506</v>
      </c>
      <c r="F361" s="14">
        <f>IFERROR((VLOOKUP($A361,'[1]import success seats course'!$A:T,HLOOKUP('[1]Course Totals'!F$4,'[1]import success seats course'!$1:$2,2,FALSE),FALSE)/(VLOOKUP($A361,'[1]import graded seats course pivo'!$A:AD,HLOOKUP('[1]Course Totals'!F$4,'[1]import graded seats course pivo'!$1:$2,2,FALSE),FALSE))),"")</f>
        <v>0.91515151515151516</v>
      </c>
      <c r="G361" s="14">
        <f>IFERROR((VLOOKUP($A361,'[1]import success seats course'!$A:U,HLOOKUP('[1]Course Totals'!G$4,'[1]import success seats course'!$1:$2,2,FALSE),FALSE)/(VLOOKUP($A361,'[1]import graded seats course pivo'!$A:AE,HLOOKUP('[1]Course Totals'!G$4,'[1]import graded seats course pivo'!$1:$2,2,FALSE),FALSE))),"")</f>
        <v>0.9096774193548387</v>
      </c>
      <c r="H361" s="14" t="str">
        <f>IFERROR((VLOOKUP($A361,'[1]import success seats course'!$A:V,HLOOKUP('[1]Course Totals'!H$4,'[1]import success seats course'!$1:$2,2,FALSE),FALSE)/(VLOOKUP($A361,'[1]import graded seats course pivo'!$A:AF,HLOOKUP('[1]Course Totals'!H$4,'[1]import graded seats course pivo'!$1:$2,2,FALSE),FALSE))),"")</f>
        <v/>
      </c>
      <c r="I361" s="14">
        <f>IFERROR((VLOOKUP($A361,'[1]import success seats course'!$A:W,HLOOKUP('[1]Course Totals'!I$4,'[1]import success seats course'!$1:$2,2,FALSE),FALSE)/(VLOOKUP($A361,'[1]import graded seats course pivo'!$A:AG,HLOOKUP('[1]Course Totals'!I$4,'[1]import graded seats course pivo'!$1:$2,2,FALSE),FALSE))),"")</f>
        <v>0.95061728395061729</v>
      </c>
      <c r="J361" s="14">
        <f>IFERROR((VLOOKUP($A361,'[1]import success seats course'!$A:X,HLOOKUP('[1]Course Totals'!J$4,'[1]import success seats course'!$1:$2,2,FALSE),FALSE)/(VLOOKUP($A361,'[1]import graded seats course pivo'!$A:AH,HLOOKUP('[1]Course Totals'!J$4,'[1]import graded seats course pivo'!$1:$2,2,FALSE),FALSE))),"")</f>
        <v>0.90977443609022557</v>
      </c>
      <c r="K361" s="14">
        <f>IFERROR((VLOOKUP($A361,'[1]import success seats course'!$A:Y,HLOOKUP('[1]Course Totals'!K$4,'[1]import success seats course'!$1:$2,2,FALSE),FALSE)/(VLOOKUP($A361,'[1]import graded seats course pivo'!$A:AI,HLOOKUP('[1]Course Totals'!K$4,'[1]import graded seats course pivo'!$1:$2,2,FALSE),FALSE))),"")</f>
        <v>0.9642857142857143</v>
      </c>
      <c r="L361" s="14">
        <f>IFERROR((VLOOKUP($A361,'[1]import success seats course'!$A:Z,HLOOKUP('[1]Course Totals'!L$4,'[1]import success seats course'!$1:$2,2,FALSE),FALSE)/(VLOOKUP($A361,'[1]import graded seats course pivo'!$A:AJ,HLOOKUP('[1]Course Totals'!L$4,'[1]import graded seats course pivo'!$1:$2,2,FALSE),FALSE))),"")</f>
        <v>0.8984375</v>
      </c>
      <c r="M361" s="14">
        <f>IFERROR((VLOOKUP($A361,'[1]import success seats course'!$A:AA,HLOOKUP('[1]Course Totals'!M$4,'[1]import success seats course'!$1:$2,2,FALSE),FALSE)/(VLOOKUP($A361,'[1]import graded seats course pivo'!$A:AK,HLOOKUP('[1]Course Totals'!M$4,'[1]import graded seats course pivo'!$1:$2,2,FALSE),FALSE))),"")</f>
        <v>0.91666666666666663</v>
      </c>
      <c r="N361" s="14" t="str">
        <f>IFERROR((VLOOKUP($A361,'[1]import success seats course'!$A:AB,HLOOKUP('[1]Course Totals'!N$4,'[1]import success seats course'!$1:$2,2,FALSE),FALSE)/(VLOOKUP($A361,'[1]import graded seats course pivo'!$A:AL,HLOOKUP('[1]Course Totals'!N$4,'[1]import graded seats course pivo'!$1:$2,2,FALSE),FALSE))),"")</f>
        <v/>
      </c>
      <c r="O361" s="14">
        <f>IFERROR((VLOOKUP($A361,'[1]import success seats course'!$A:AC,HLOOKUP('[1]Course Totals'!O$4,'[1]import success seats course'!$1:$2,2,FALSE),FALSE)/(VLOOKUP($A361,'[1]import graded seats course pivo'!$A:AM,HLOOKUP('[1]Course Totals'!O$4,'[1]import graded seats course pivo'!$1:$2,2,FALSE),FALSE))),"")</f>
        <v>0.88524590163934425</v>
      </c>
      <c r="P361" s="14">
        <f>IFERROR((VLOOKUP($A361,'[1]import success seats course'!$A:AD,HLOOKUP('[1]Course Totals'!P$4,'[1]import success seats course'!$1:$2,2,FALSE),FALSE)/(VLOOKUP($A361,'[1]import graded seats course pivo'!$A:AN,HLOOKUP('[1]Course Totals'!P$4,'[1]import graded seats course pivo'!$1:$2,2,FALSE),FALSE))),"")</f>
        <v>0.92307692307692313</v>
      </c>
      <c r="Q361" s="14" t="str">
        <f>IFERROR((VLOOKUP($A361,'[1]import success seats course'!$A:AE,HLOOKUP('[1]Course Totals'!Q$4,'[1]import success seats course'!$1:$2,2,FALSE),FALSE)/(VLOOKUP($A361,'[1]import graded seats course pivo'!$A:AO,HLOOKUP('[1]Course Totals'!Q$4,'[1]import graded seats course pivo'!$1:$2,2,FALSE),FALSE))),"")</f>
        <v/>
      </c>
      <c r="R361" s="14">
        <f>IFERROR((VLOOKUP($A361,'[1]import success seats course'!$A:AF,HLOOKUP('[1]Course Totals'!R$4,'[1]import success seats course'!$1:$2,2,FALSE),FALSE)/(VLOOKUP($A361,'[1]import graded seats course pivo'!$A:AP,HLOOKUP('[1]Course Totals'!R$4,'[1]import graded seats course pivo'!$1:$2,2,FALSE),FALSE))),"")</f>
        <v>0.95049504950495045</v>
      </c>
      <c r="S361" s="14">
        <f>IFERROR((VLOOKUP($A361,'[1]import success seats course'!$A:AG,HLOOKUP('[1]Course Totals'!S$4,'[1]import success seats course'!$1:$2,2,FALSE),FALSE)/(VLOOKUP($A361,'[1]import graded seats course pivo'!$A:AQ,HLOOKUP('[1]Course Totals'!S$4,'[1]import graded seats course pivo'!$1:$2,2,FALSE),FALSE))),"")</f>
        <v>0.90099009900990101</v>
      </c>
      <c r="Z361" s="7"/>
      <c r="AA361" s="7"/>
      <c r="AB361" s="7"/>
      <c r="AC361" s="7"/>
    </row>
    <row r="362" spans="1:29" ht="15.75" customHeight="1" x14ac:dyDescent="0.25">
      <c r="A362" s="12" t="s">
        <v>178</v>
      </c>
      <c r="B362" s="14" t="str">
        <f>IFERROR((VLOOKUP($A362,'[1]import success seats course'!$A:P,HLOOKUP('[1]Course Totals'!B$4,'[1]import success seats course'!$1:$2,2,FALSE),FALSE)/(VLOOKUP($A362,'[1]import graded seats course pivo'!$A:Z,HLOOKUP('[1]Course Totals'!B$4,'[1]import graded seats course pivo'!$1:$2,2,FALSE),FALSE))),"")</f>
        <v/>
      </c>
      <c r="C362" s="14">
        <f>IFERROR((VLOOKUP($A362,'[1]import success seats course'!$A:Q,HLOOKUP('[1]Course Totals'!C$4,'[1]import success seats course'!$1:$2,2,FALSE),FALSE)/(VLOOKUP($A362,'[1]import graded seats course pivo'!$A:AA,HLOOKUP('[1]Course Totals'!C$4,'[1]import graded seats course pivo'!$1:$2,2,FALSE),FALSE))),"")</f>
        <v>0.8</v>
      </c>
      <c r="D362" s="14">
        <f>IFERROR((VLOOKUP($A362,'[1]import success seats course'!$A:R,HLOOKUP('[1]Course Totals'!D$4,'[1]import success seats course'!$1:$2,2,FALSE),FALSE)/(VLOOKUP($A362,'[1]import graded seats course pivo'!$A:AB,HLOOKUP('[1]Course Totals'!D$4,'[1]import graded seats course pivo'!$1:$2,2,FALSE),FALSE))),"")</f>
        <v>0.91304347826086951</v>
      </c>
      <c r="E362" s="14" t="str">
        <f>IFERROR((VLOOKUP($A362,'[1]import success seats course'!$A:S,HLOOKUP('[1]Course Totals'!E$4,'[1]import success seats course'!$1:$2,2,FALSE),FALSE)/(VLOOKUP($A362,'[1]import graded seats course pivo'!$A:AC,HLOOKUP('[1]Course Totals'!E$4,'[1]import graded seats course pivo'!$1:$2,2,FALSE),FALSE))),"")</f>
        <v/>
      </c>
      <c r="F362" s="14">
        <f>IFERROR((VLOOKUP($A362,'[1]import success seats course'!$A:T,HLOOKUP('[1]Course Totals'!F$4,'[1]import success seats course'!$1:$2,2,FALSE),FALSE)/(VLOOKUP($A362,'[1]import graded seats course pivo'!$A:AD,HLOOKUP('[1]Course Totals'!F$4,'[1]import graded seats course pivo'!$1:$2,2,FALSE),FALSE))),"")</f>
        <v>0.88</v>
      </c>
      <c r="G362" s="14">
        <f>IFERROR((VLOOKUP($A362,'[1]import success seats course'!$A:U,HLOOKUP('[1]Course Totals'!G$4,'[1]import success seats course'!$1:$2,2,FALSE),FALSE)/(VLOOKUP($A362,'[1]import graded seats course pivo'!$A:AE,HLOOKUP('[1]Course Totals'!G$4,'[1]import graded seats course pivo'!$1:$2,2,FALSE),FALSE))),"")</f>
        <v>0.91111111111111109</v>
      </c>
      <c r="H362" s="14" t="str">
        <f>IFERROR((VLOOKUP($A362,'[1]import success seats course'!$A:V,HLOOKUP('[1]Course Totals'!H$4,'[1]import success seats course'!$1:$2,2,FALSE),FALSE)/(VLOOKUP($A362,'[1]import graded seats course pivo'!$A:AF,HLOOKUP('[1]Course Totals'!H$4,'[1]import graded seats course pivo'!$1:$2,2,FALSE),FALSE))),"")</f>
        <v/>
      </c>
      <c r="I362" s="14">
        <f>IFERROR((VLOOKUP($A362,'[1]import success seats course'!$A:W,HLOOKUP('[1]Course Totals'!I$4,'[1]import success seats course'!$1:$2,2,FALSE),FALSE)/(VLOOKUP($A362,'[1]import graded seats course pivo'!$A:AG,HLOOKUP('[1]Course Totals'!I$4,'[1]import graded seats course pivo'!$1:$2,2,FALSE),FALSE))),"")</f>
        <v>0.94736842105263153</v>
      </c>
      <c r="J362" s="14">
        <f>IFERROR((VLOOKUP($A362,'[1]import success seats course'!$A:X,HLOOKUP('[1]Course Totals'!J$4,'[1]import success seats course'!$1:$2,2,FALSE),FALSE)/(VLOOKUP($A362,'[1]import graded seats course pivo'!$A:AH,HLOOKUP('[1]Course Totals'!J$4,'[1]import graded seats course pivo'!$1:$2,2,FALSE),FALSE))),"")</f>
        <v>0.98039215686274506</v>
      </c>
      <c r="K362" s="14" t="str">
        <f>IFERROR((VLOOKUP($A362,'[1]import success seats course'!$A:Y,HLOOKUP('[1]Course Totals'!K$4,'[1]import success seats course'!$1:$2,2,FALSE),FALSE)/(VLOOKUP($A362,'[1]import graded seats course pivo'!$A:AI,HLOOKUP('[1]Course Totals'!K$4,'[1]import graded seats course pivo'!$1:$2,2,FALSE),FALSE))),"")</f>
        <v/>
      </c>
      <c r="L362" s="14">
        <f>IFERROR((VLOOKUP($A362,'[1]import success seats course'!$A:Z,HLOOKUP('[1]Course Totals'!L$4,'[1]import success seats course'!$1:$2,2,FALSE),FALSE)/(VLOOKUP($A362,'[1]import graded seats course pivo'!$A:AJ,HLOOKUP('[1]Course Totals'!L$4,'[1]import graded seats course pivo'!$1:$2,2,FALSE),FALSE))),"")</f>
        <v>0.91304347826086951</v>
      </c>
      <c r="M362" s="14">
        <f>IFERROR((VLOOKUP($A362,'[1]import success seats course'!$A:AA,HLOOKUP('[1]Course Totals'!M$4,'[1]import success seats course'!$1:$2,2,FALSE),FALSE)/(VLOOKUP($A362,'[1]import graded seats course pivo'!$A:AK,HLOOKUP('[1]Course Totals'!M$4,'[1]import graded seats course pivo'!$1:$2,2,FALSE),FALSE))),"")</f>
        <v>0.8571428571428571</v>
      </c>
      <c r="N362" s="14" t="str">
        <f>IFERROR((VLOOKUP($A362,'[1]import success seats course'!$A:AB,HLOOKUP('[1]Course Totals'!N$4,'[1]import success seats course'!$1:$2,2,FALSE),FALSE)/(VLOOKUP($A362,'[1]import graded seats course pivo'!$A:AL,HLOOKUP('[1]Course Totals'!N$4,'[1]import graded seats course pivo'!$1:$2,2,FALSE),FALSE))),"")</f>
        <v/>
      </c>
      <c r="O362" s="14">
        <f>IFERROR((VLOOKUP($A362,'[1]import success seats course'!$A:AC,HLOOKUP('[1]Course Totals'!O$4,'[1]import success seats course'!$1:$2,2,FALSE),FALSE)/(VLOOKUP($A362,'[1]import graded seats course pivo'!$A:AM,HLOOKUP('[1]Course Totals'!O$4,'[1]import graded seats course pivo'!$1:$2,2,FALSE),FALSE))),"")</f>
        <v>1</v>
      </c>
      <c r="P362" s="14">
        <f>IFERROR((VLOOKUP($A362,'[1]import success seats course'!$A:AD,HLOOKUP('[1]Course Totals'!P$4,'[1]import success seats course'!$1:$2,2,FALSE),FALSE)/(VLOOKUP($A362,'[1]import graded seats course pivo'!$A:AN,HLOOKUP('[1]Course Totals'!P$4,'[1]import graded seats course pivo'!$1:$2,2,FALSE),FALSE))),"")</f>
        <v>0.95238095238095233</v>
      </c>
      <c r="Q362" s="14" t="str">
        <f>IFERROR((VLOOKUP($A362,'[1]import success seats course'!$A:AE,HLOOKUP('[1]Course Totals'!Q$4,'[1]import success seats course'!$1:$2,2,FALSE),FALSE)/(VLOOKUP($A362,'[1]import graded seats course pivo'!$A:AO,HLOOKUP('[1]Course Totals'!Q$4,'[1]import graded seats course pivo'!$1:$2,2,FALSE),FALSE))),"")</f>
        <v/>
      </c>
      <c r="R362" s="14">
        <f>IFERROR((VLOOKUP($A362,'[1]import success seats course'!$A:AF,HLOOKUP('[1]Course Totals'!R$4,'[1]import success seats course'!$1:$2,2,FALSE),FALSE)/(VLOOKUP($A362,'[1]import graded seats course pivo'!$A:AP,HLOOKUP('[1]Course Totals'!R$4,'[1]import graded seats course pivo'!$1:$2,2,FALSE),FALSE))),"")</f>
        <v>0.95652173913043481</v>
      </c>
      <c r="S362" s="14">
        <f>IFERROR((VLOOKUP($A362,'[1]import success seats course'!$A:AG,HLOOKUP('[1]Course Totals'!S$4,'[1]import success seats course'!$1:$2,2,FALSE),FALSE)/(VLOOKUP($A362,'[1]import graded seats course pivo'!$A:AQ,HLOOKUP('[1]Course Totals'!S$4,'[1]import graded seats course pivo'!$1:$2,2,FALSE),FALSE))),"")</f>
        <v>0.76923076923076927</v>
      </c>
      <c r="Z362" s="7"/>
      <c r="AA362" s="7"/>
      <c r="AB362" s="7"/>
      <c r="AC362" s="7"/>
    </row>
    <row r="363" spans="1:29" ht="15.75" hidden="1" customHeight="1" x14ac:dyDescent="0.25">
      <c r="A363" s="12" t="s">
        <v>588</v>
      </c>
      <c r="B363" s="14" t="str">
        <f>IFERROR((VLOOKUP($A363,'[1]import success seats course'!$A:P,HLOOKUP('[1]Course Totals'!B$4,'[1]import success seats course'!$1:$2,2,FALSE),FALSE)/(VLOOKUP($A363,'[1]import graded seats course pivo'!$A:Z,HLOOKUP('[1]Course Totals'!B$4,'[1]import graded seats course pivo'!$1:$2,2,FALSE),FALSE))),"")</f>
        <v/>
      </c>
      <c r="C363" s="14" t="str">
        <f>IFERROR((VLOOKUP($A363,'[1]import success seats course'!$A:Q,HLOOKUP('[1]Course Totals'!C$4,'[1]import success seats course'!$1:$2,2,FALSE),FALSE)/(VLOOKUP($A363,'[1]import graded seats course pivo'!$A:AA,HLOOKUP('[1]Course Totals'!C$4,'[1]import graded seats course pivo'!$1:$2,2,FALSE),FALSE))),"")</f>
        <v/>
      </c>
      <c r="D363" s="14" t="str">
        <f>IFERROR((VLOOKUP($A363,'[1]import success seats course'!$A:R,HLOOKUP('[1]Course Totals'!D$4,'[1]import success seats course'!$1:$2,2,FALSE),FALSE)/(VLOOKUP($A363,'[1]import graded seats course pivo'!$A:AB,HLOOKUP('[1]Course Totals'!D$4,'[1]import graded seats course pivo'!$1:$2,2,FALSE),FALSE))),"")</f>
        <v/>
      </c>
      <c r="E363" s="14" t="str">
        <f>IFERROR((VLOOKUP($A363,'[1]import success seats course'!$A:S,HLOOKUP('[1]Course Totals'!E$4,'[1]import success seats course'!$1:$2,2,FALSE),FALSE)/(VLOOKUP($A363,'[1]import graded seats course pivo'!$A:AC,HLOOKUP('[1]Course Totals'!E$4,'[1]import graded seats course pivo'!$1:$2,2,FALSE),FALSE))),"")</f>
        <v/>
      </c>
      <c r="F363" s="14" t="str">
        <f>IFERROR((VLOOKUP($A363,'[1]import success seats course'!$A:T,HLOOKUP('[1]Course Totals'!F$4,'[1]import success seats course'!$1:$2,2,FALSE),FALSE)/(VLOOKUP($A363,'[1]import graded seats course pivo'!$A:AD,HLOOKUP('[1]Course Totals'!F$4,'[1]import graded seats course pivo'!$1:$2,2,FALSE),FALSE))),"")</f>
        <v/>
      </c>
      <c r="G363" s="14" t="str">
        <f>IFERROR((VLOOKUP($A363,'[1]import success seats course'!$A:U,HLOOKUP('[1]Course Totals'!G$4,'[1]import success seats course'!$1:$2,2,FALSE),FALSE)/(VLOOKUP($A363,'[1]import graded seats course pivo'!$A:AE,HLOOKUP('[1]Course Totals'!G$4,'[1]import graded seats course pivo'!$1:$2,2,FALSE),FALSE))),"")</f>
        <v/>
      </c>
      <c r="H363" s="14" t="str">
        <f>IFERROR((VLOOKUP($A363,'[1]import success seats course'!$A:V,HLOOKUP('[1]Course Totals'!H$4,'[1]import success seats course'!$1:$2,2,FALSE),FALSE)/(VLOOKUP($A363,'[1]import graded seats course pivo'!$A:AF,HLOOKUP('[1]Course Totals'!H$4,'[1]import graded seats course pivo'!$1:$2,2,FALSE),FALSE))),"")</f>
        <v/>
      </c>
      <c r="I363" s="14" t="str">
        <f>IFERROR((VLOOKUP($A363,'[1]import success seats course'!$A:W,HLOOKUP('[1]Course Totals'!I$4,'[1]import success seats course'!$1:$2,2,FALSE),FALSE)/(VLOOKUP($A363,'[1]import graded seats course pivo'!$A:AG,HLOOKUP('[1]Course Totals'!I$4,'[1]import graded seats course pivo'!$1:$2,2,FALSE),FALSE))),"")</f>
        <v/>
      </c>
      <c r="J363" s="14" t="str">
        <f>IFERROR((VLOOKUP($A363,'[1]import success seats course'!$A:X,HLOOKUP('[1]Course Totals'!J$4,'[1]import success seats course'!$1:$2,2,FALSE),FALSE)/(VLOOKUP($A363,'[1]import graded seats course pivo'!$A:AH,HLOOKUP('[1]Course Totals'!J$4,'[1]import graded seats course pivo'!$1:$2,2,FALSE),FALSE))),"")</f>
        <v/>
      </c>
      <c r="K363" s="14" t="str">
        <f>IFERROR((VLOOKUP($A363,'[1]import success seats course'!$A:Y,HLOOKUP('[1]Course Totals'!K$4,'[1]import success seats course'!$1:$2,2,FALSE),FALSE)/(VLOOKUP($A363,'[1]import graded seats course pivo'!$A:AI,HLOOKUP('[1]Course Totals'!K$4,'[1]import graded seats course pivo'!$1:$2,2,FALSE),FALSE))),"")</f>
        <v/>
      </c>
      <c r="L363" s="14" t="str">
        <f>IFERROR((VLOOKUP($A363,'[1]import success seats course'!$A:Z,HLOOKUP('[1]Course Totals'!L$4,'[1]import success seats course'!$1:$2,2,FALSE),FALSE)/(VLOOKUP($A363,'[1]import graded seats course pivo'!$A:AJ,HLOOKUP('[1]Course Totals'!L$4,'[1]import graded seats course pivo'!$1:$2,2,FALSE),FALSE))),"")</f>
        <v/>
      </c>
      <c r="M363" s="14" t="str">
        <f>IFERROR((VLOOKUP($A363,'[1]import success seats course'!$A:AA,HLOOKUP('[1]Course Totals'!M$4,'[1]import success seats course'!$1:$2,2,FALSE),FALSE)/(VLOOKUP($A363,'[1]import graded seats course pivo'!$A:AK,HLOOKUP('[1]Course Totals'!M$4,'[1]import graded seats course pivo'!$1:$2,2,FALSE),FALSE))),"")</f>
        <v/>
      </c>
      <c r="N363" s="14" t="str">
        <f>IFERROR((VLOOKUP($A363,'[1]import success seats course'!$A:AB,HLOOKUP('[1]Course Totals'!N$4,'[1]import success seats course'!$1:$2,2,FALSE),FALSE)/(VLOOKUP($A363,'[1]import graded seats course pivo'!$A:AL,HLOOKUP('[1]Course Totals'!N$4,'[1]import graded seats course pivo'!$1:$2,2,FALSE),FALSE))),"")</f>
        <v/>
      </c>
      <c r="O363" s="14" t="str">
        <f>IFERROR((VLOOKUP($A363,'[1]import success seats course'!$A:AC,HLOOKUP('[1]Course Totals'!O$4,'[1]import success seats course'!$1:$2,2,FALSE),FALSE)/(VLOOKUP($A363,'[1]import graded seats course pivo'!$A:AM,HLOOKUP('[1]Course Totals'!O$4,'[1]import graded seats course pivo'!$1:$2,2,FALSE),FALSE))),"")</f>
        <v/>
      </c>
      <c r="P363" s="14" t="str">
        <f>IFERROR((VLOOKUP($A363,'[1]import success seats course'!$A:AD,HLOOKUP('[1]Course Totals'!P$4,'[1]import success seats course'!$1:$2,2,FALSE),FALSE)/(VLOOKUP($A363,'[1]import graded seats course pivo'!$A:AN,HLOOKUP('[1]Course Totals'!P$4,'[1]import graded seats course pivo'!$1:$2,2,FALSE),FALSE))),"")</f>
        <v/>
      </c>
      <c r="Q363" s="14" t="str">
        <f>IFERROR((VLOOKUP($A363,'[1]import success seats course'!$A:AE,HLOOKUP('[1]Course Totals'!Q$4,'[1]import success seats course'!$1:$2,2,FALSE),FALSE)/(VLOOKUP($A363,'[1]import graded seats course pivo'!$A:AO,HLOOKUP('[1]Course Totals'!Q$4,'[1]import graded seats course pivo'!$1:$2,2,FALSE),FALSE))),"")</f>
        <v/>
      </c>
      <c r="R363" s="14" t="str">
        <f>IFERROR((VLOOKUP($A363,'[1]import success seats course'!$A:AF,HLOOKUP('[1]Course Totals'!R$4,'[1]import success seats course'!$1:$2,2,FALSE),FALSE)/(VLOOKUP($A363,'[1]import graded seats course pivo'!$A:AP,HLOOKUP('[1]Course Totals'!R$4,'[1]import graded seats course pivo'!$1:$2,2,FALSE),FALSE))),"")</f>
        <v/>
      </c>
      <c r="S363" s="14" t="str">
        <f>IFERROR((VLOOKUP($A363,'[1]import success seats course'!$A:AG,HLOOKUP('[1]Course Totals'!S$4,'[1]import success seats course'!$1:$2,2,FALSE),FALSE)/(VLOOKUP($A363,'[1]import graded seats course pivo'!$A:AQ,HLOOKUP('[1]Course Totals'!S$4,'[1]import graded seats course pivo'!$1:$2,2,FALSE),FALSE))),"")</f>
        <v/>
      </c>
      <c r="Z363" s="7"/>
      <c r="AA363" s="7"/>
      <c r="AB363" s="7"/>
      <c r="AC363" s="7"/>
    </row>
    <row r="364" spans="1:29" ht="15.75" customHeight="1" x14ac:dyDescent="0.25">
      <c r="A364" s="12" t="s">
        <v>179</v>
      </c>
      <c r="B364" s="14">
        <f>IFERROR((VLOOKUP($A364,'[1]import success seats course'!$A:P,HLOOKUP('[1]Course Totals'!B$4,'[1]import success seats course'!$1:$2,2,FALSE),FALSE)/(VLOOKUP($A364,'[1]import graded seats course pivo'!$A:Z,HLOOKUP('[1]Course Totals'!B$4,'[1]import graded seats course pivo'!$1:$2,2,FALSE),FALSE))),"")</f>
        <v>1</v>
      </c>
      <c r="C364" s="14">
        <f>IFERROR((VLOOKUP($A364,'[1]import success seats course'!$A:Q,HLOOKUP('[1]Course Totals'!C$4,'[1]import success seats course'!$1:$2,2,FALSE),FALSE)/(VLOOKUP($A364,'[1]import graded seats course pivo'!$A:AA,HLOOKUP('[1]Course Totals'!C$4,'[1]import graded seats course pivo'!$1:$2,2,FALSE),FALSE))),"")</f>
        <v>0.83333333333333337</v>
      </c>
      <c r="D364" s="14">
        <f>IFERROR((VLOOKUP($A364,'[1]import success seats course'!$A:R,HLOOKUP('[1]Course Totals'!D$4,'[1]import success seats course'!$1:$2,2,FALSE),FALSE)/(VLOOKUP($A364,'[1]import graded seats course pivo'!$A:AB,HLOOKUP('[1]Course Totals'!D$4,'[1]import graded seats course pivo'!$1:$2,2,FALSE),FALSE))),"")</f>
        <v>0.84848484848484851</v>
      </c>
      <c r="E364" s="14" t="str">
        <f>IFERROR((VLOOKUP($A364,'[1]import success seats course'!$A:S,HLOOKUP('[1]Course Totals'!E$4,'[1]import success seats course'!$1:$2,2,FALSE),FALSE)/(VLOOKUP($A364,'[1]import graded seats course pivo'!$A:AC,HLOOKUP('[1]Course Totals'!E$4,'[1]import graded seats course pivo'!$1:$2,2,FALSE),FALSE))),"")</f>
        <v/>
      </c>
      <c r="F364" s="14">
        <f>IFERROR((VLOOKUP($A364,'[1]import success seats course'!$A:T,HLOOKUP('[1]Course Totals'!F$4,'[1]import success seats course'!$1:$2,2,FALSE),FALSE)/(VLOOKUP($A364,'[1]import graded seats course pivo'!$A:AD,HLOOKUP('[1]Course Totals'!F$4,'[1]import graded seats course pivo'!$1:$2,2,FALSE),FALSE))),"")</f>
        <v>0.82926829268292679</v>
      </c>
      <c r="G364" s="14">
        <f>IFERROR((VLOOKUP($A364,'[1]import success seats course'!$A:U,HLOOKUP('[1]Course Totals'!G$4,'[1]import success seats course'!$1:$2,2,FALSE),FALSE)/(VLOOKUP($A364,'[1]import graded seats course pivo'!$A:AE,HLOOKUP('[1]Course Totals'!G$4,'[1]import graded seats course pivo'!$1:$2,2,FALSE),FALSE))),"")</f>
        <v>0.65</v>
      </c>
      <c r="H364" s="14" t="str">
        <f>IFERROR((VLOOKUP($A364,'[1]import success seats course'!$A:V,HLOOKUP('[1]Course Totals'!H$4,'[1]import success seats course'!$1:$2,2,FALSE),FALSE)/(VLOOKUP($A364,'[1]import graded seats course pivo'!$A:AF,HLOOKUP('[1]Course Totals'!H$4,'[1]import graded seats course pivo'!$1:$2,2,FALSE),FALSE))),"")</f>
        <v/>
      </c>
      <c r="I364" s="14">
        <f>IFERROR((VLOOKUP($A364,'[1]import success seats course'!$A:W,HLOOKUP('[1]Course Totals'!I$4,'[1]import success seats course'!$1:$2,2,FALSE),FALSE)/(VLOOKUP($A364,'[1]import graded seats course pivo'!$A:AG,HLOOKUP('[1]Course Totals'!I$4,'[1]import graded seats course pivo'!$1:$2,2,FALSE),FALSE))),"")</f>
        <v>0.81081081081081086</v>
      </c>
      <c r="J364" s="14">
        <f>IFERROR((VLOOKUP($A364,'[1]import success seats course'!$A:X,HLOOKUP('[1]Course Totals'!J$4,'[1]import success seats course'!$1:$2,2,FALSE),FALSE)/(VLOOKUP($A364,'[1]import graded seats course pivo'!$A:AH,HLOOKUP('[1]Course Totals'!J$4,'[1]import graded seats course pivo'!$1:$2,2,FALSE),FALSE))),"")</f>
        <v>0.91304347826086951</v>
      </c>
      <c r="K364" s="14" t="str">
        <f>IFERROR((VLOOKUP($A364,'[1]import success seats course'!$A:Y,HLOOKUP('[1]Course Totals'!K$4,'[1]import success seats course'!$1:$2,2,FALSE),FALSE)/(VLOOKUP($A364,'[1]import graded seats course pivo'!$A:AI,HLOOKUP('[1]Course Totals'!K$4,'[1]import graded seats course pivo'!$1:$2,2,FALSE),FALSE))),"")</f>
        <v/>
      </c>
      <c r="L364" s="14">
        <f>IFERROR((VLOOKUP($A364,'[1]import success seats course'!$A:Z,HLOOKUP('[1]Course Totals'!L$4,'[1]import success seats course'!$1:$2,2,FALSE),FALSE)/(VLOOKUP($A364,'[1]import graded seats course pivo'!$A:AJ,HLOOKUP('[1]Course Totals'!L$4,'[1]import graded seats course pivo'!$1:$2,2,FALSE),FALSE))),"")</f>
        <v>0.92307692307692313</v>
      </c>
      <c r="M364" s="14">
        <f>IFERROR((VLOOKUP($A364,'[1]import success seats course'!$A:AA,HLOOKUP('[1]Course Totals'!M$4,'[1]import success seats course'!$1:$2,2,FALSE),FALSE)/(VLOOKUP($A364,'[1]import graded seats course pivo'!$A:AK,HLOOKUP('[1]Course Totals'!M$4,'[1]import graded seats course pivo'!$1:$2,2,FALSE),FALSE))),"")</f>
        <v>0.76470588235294112</v>
      </c>
      <c r="N364" s="14" t="str">
        <f>IFERROR((VLOOKUP($A364,'[1]import success seats course'!$A:AB,HLOOKUP('[1]Course Totals'!N$4,'[1]import success seats course'!$1:$2,2,FALSE),FALSE)/(VLOOKUP($A364,'[1]import graded seats course pivo'!$A:AL,HLOOKUP('[1]Course Totals'!N$4,'[1]import graded seats course pivo'!$1:$2,2,FALSE),FALSE))),"")</f>
        <v/>
      </c>
      <c r="O364" s="14">
        <f>IFERROR((VLOOKUP($A364,'[1]import success seats course'!$A:AC,HLOOKUP('[1]Course Totals'!O$4,'[1]import success seats course'!$1:$2,2,FALSE),FALSE)/(VLOOKUP($A364,'[1]import graded seats course pivo'!$A:AM,HLOOKUP('[1]Course Totals'!O$4,'[1]import graded seats course pivo'!$1:$2,2,FALSE),FALSE))),"")</f>
        <v>0.78</v>
      </c>
      <c r="P364" s="14">
        <f>IFERROR((VLOOKUP($A364,'[1]import success seats course'!$A:AD,HLOOKUP('[1]Course Totals'!P$4,'[1]import success seats course'!$1:$2,2,FALSE),FALSE)/(VLOOKUP($A364,'[1]import graded seats course pivo'!$A:AN,HLOOKUP('[1]Course Totals'!P$4,'[1]import graded seats course pivo'!$1:$2,2,FALSE),FALSE))),"")</f>
        <v>0.5714285714285714</v>
      </c>
      <c r="Q364" s="14" t="str">
        <f>IFERROR((VLOOKUP($A364,'[1]import success seats course'!$A:AE,HLOOKUP('[1]Course Totals'!Q$4,'[1]import success seats course'!$1:$2,2,FALSE),FALSE)/(VLOOKUP($A364,'[1]import graded seats course pivo'!$A:AO,HLOOKUP('[1]Course Totals'!Q$4,'[1]import graded seats course pivo'!$1:$2,2,FALSE),FALSE))),"")</f>
        <v/>
      </c>
      <c r="R364" s="14">
        <f>IFERROR((VLOOKUP($A364,'[1]import success seats course'!$A:AF,HLOOKUP('[1]Course Totals'!R$4,'[1]import success seats course'!$1:$2,2,FALSE),FALSE)/(VLOOKUP($A364,'[1]import graded seats course pivo'!$A:AP,HLOOKUP('[1]Course Totals'!R$4,'[1]import graded seats course pivo'!$1:$2,2,FALSE),FALSE))),"")</f>
        <v>0.82222222222222219</v>
      </c>
      <c r="S364" s="14">
        <f>IFERROR((VLOOKUP($A364,'[1]import success seats course'!$A:AG,HLOOKUP('[1]Course Totals'!S$4,'[1]import success seats course'!$1:$2,2,FALSE),FALSE)/(VLOOKUP($A364,'[1]import graded seats course pivo'!$A:AQ,HLOOKUP('[1]Course Totals'!S$4,'[1]import graded seats course pivo'!$1:$2,2,FALSE),FALSE))),"")</f>
        <v>1</v>
      </c>
      <c r="Z364" s="7"/>
      <c r="AA364" s="7"/>
      <c r="AB364" s="7"/>
      <c r="AC364" s="7"/>
    </row>
    <row r="365" spans="1:29" ht="15.75" customHeight="1" x14ac:dyDescent="0.25">
      <c r="A365" s="12" t="s">
        <v>180</v>
      </c>
      <c r="B365" s="14" t="str">
        <f>IFERROR((VLOOKUP($A365,'[1]import success seats course'!$A:P,HLOOKUP('[1]Course Totals'!B$4,'[1]import success seats course'!$1:$2,2,FALSE),FALSE)/(VLOOKUP($A365,'[1]import graded seats course pivo'!$A:Z,HLOOKUP('[1]Course Totals'!B$4,'[1]import graded seats course pivo'!$1:$2,2,FALSE),FALSE))),"")</f>
        <v/>
      </c>
      <c r="C365" s="14">
        <f>IFERROR((VLOOKUP($A365,'[1]import success seats course'!$A:Q,HLOOKUP('[1]Course Totals'!C$4,'[1]import success seats course'!$1:$2,2,FALSE),FALSE)/(VLOOKUP($A365,'[1]import graded seats course pivo'!$A:AA,HLOOKUP('[1]Course Totals'!C$4,'[1]import graded seats course pivo'!$1:$2,2,FALSE),FALSE))),"")</f>
        <v>0.86363636363636365</v>
      </c>
      <c r="D365" s="14">
        <f>IFERROR((VLOOKUP($A365,'[1]import success seats course'!$A:R,HLOOKUP('[1]Course Totals'!D$4,'[1]import success seats course'!$1:$2,2,FALSE),FALSE)/(VLOOKUP($A365,'[1]import graded seats course pivo'!$A:AB,HLOOKUP('[1]Course Totals'!D$4,'[1]import graded seats course pivo'!$1:$2,2,FALSE),FALSE))),"")</f>
        <v>1</v>
      </c>
      <c r="E365" s="14" t="str">
        <f>IFERROR((VLOOKUP($A365,'[1]import success seats course'!$A:S,HLOOKUP('[1]Course Totals'!E$4,'[1]import success seats course'!$1:$2,2,FALSE),FALSE)/(VLOOKUP($A365,'[1]import graded seats course pivo'!$A:AC,HLOOKUP('[1]Course Totals'!E$4,'[1]import graded seats course pivo'!$1:$2,2,FALSE),FALSE))),"")</f>
        <v/>
      </c>
      <c r="F365" s="14">
        <f>IFERROR((VLOOKUP($A365,'[1]import success seats course'!$A:T,HLOOKUP('[1]Course Totals'!F$4,'[1]import success seats course'!$1:$2,2,FALSE),FALSE)/(VLOOKUP($A365,'[1]import graded seats course pivo'!$A:AD,HLOOKUP('[1]Course Totals'!F$4,'[1]import graded seats course pivo'!$1:$2,2,FALSE),FALSE))),"")</f>
        <v>0.73684210526315785</v>
      </c>
      <c r="G365" s="14" t="str">
        <f>IFERROR((VLOOKUP($A365,'[1]import success seats course'!$A:U,HLOOKUP('[1]Course Totals'!G$4,'[1]import success seats course'!$1:$2,2,FALSE),FALSE)/(VLOOKUP($A365,'[1]import graded seats course pivo'!$A:AE,HLOOKUP('[1]Course Totals'!G$4,'[1]import graded seats course pivo'!$1:$2,2,FALSE),FALSE))),"")</f>
        <v/>
      </c>
      <c r="H365" s="14" t="str">
        <f>IFERROR((VLOOKUP($A365,'[1]import success seats course'!$A:V,HLOOKUP('[1]Course Totals'!H$4,'[1]import success seats course'!$1:$2,2,FALSE),FALSE)/(VLOOKUP($A365,'[1]import graded seats course pivo'!$A:AF,HLOOKUP('[1]Course Totals'!H$4,'[1]import graded seats course pivo'!$1:$2,2,FALSE),FALSE))),"")</f>
        <v/>
      </c>
      <c r="I365" s="14" t="str">
        <f>IFERROR((VLOOKUP($A365,'[1]import success seats course'!$A:W,HLOOKUP('[1]Course Totals'!I$4,'[1]import success seats course'!$1:$2,2,FALSE),FALSE)/(VLOOKUP($A365,'[1]import graded seats course pivo'!$A:AG,HLOOKUP('[1]Course Totals'!I$4,'[1]import graded seats course pivo'!$1:$2,2,FALSE),FALSE))),"")</f>
        <v/>
      </c>
      <c r="J365" s="14" t="str">
        <f>IFERROR((VLOOKUP($A365,'[1]import success seats course'!$A:X,HLOOKUP('[1]Course Totals'!J$4,'[1]import success seats course'!$1:$2,2,FALSE),FALSE)/(VLOOKUP($A365,'[1]import graded seats course pivo'!$A:AH,HLOOKUP('[1]Course Totals'!J$4,'[1]import graded seats course pivo'!$1:$2,2,FALSE),FALSE))),"")</f>
        <v/>
      </c>
      <c r="K365" s="14" t="str">
        <f>IFERROR((VLOOKUP($A365,'[1]import success seats course'!$A:Y,HLOOKUP('[1]Course Totals'!K$4,'[1]import success seats course'!$1:$2,2,FALSE),FALSE)/(VLOOKUP($A365,'[1]import graded seats course pivo'!$A:AI,HLOOKUP('[1]Course Totals'!K$4,'[1]import graded seats course pivo'!$1:$2,2,FALSE),FALSE))),"")</f>
        <v/>
      </c>
      <c r="L365" s="14" t="str">
        <f>IFERROR((VLOOKUP($A365,'[1]import success seats course'!$A:Z,HLOOKUP('[1]Course Totals'!L$4,'[1]import success seats course'!$1:$2,2,FALSE),FALSE)/(VLOOKUP($A365,'[1]import graded seats course pivo'!$A:AJ,HLOOKUP('[1]Course Totals'!L$4,'[1]import graded seats course pivo'!$1:$2,2,FALSE),FALSE))),"")</f>
        <v/>
      </c>
      <c r="M365" s="14" t="str">
        <f>IFERROR((VLOOKUP($A365,'[1]import success seats course'!$A:AA,HLOOKUP('[1]Course Totals'!M$4,'[1]import success seats course'!$1:$2,2,FALSE),FALSE)/(VLOOKUP($A365,'[1]import graded seats course pivo'!$A:AK,HLOOKUP('[1]Course Totals'!M$4,'[1]import graded seats course pivo'!$1:$2,2,FALSE),FALSE))),"")</f>
        <v/>
      </c>
      <c r="N365" s="14" t="str">
        <f>IFERROR((VLOOKUP($A365,'[1]import success seats course'!$A:AB,HLOOKUP('[1]Course Totals'!N$4,'[1]import success seats course'!$1:$2,2,FALSE),FALSE)/(VLOOKUP($A365,'[1]import graded seats course pivo'!$A:AL,HLOOKUP('[1]Course Totals'!N$4,'[1]import graded seats course pivo'!$1:$2,2,FALSE),FALSE))),"")</f>
        <v/>
      </c>
      <c r="O365" s="14" t="str">
        <f>IFERROR((VLOOKUP($A365,'[1]import success seats course'!$A:AC,HLOOKUP('[1]Course Totals'!O$4,'[1]import success seats course'!$1:$2,2,FALSE),FALSE)/(VLOOKUP($A365,'[1]import graded seats course pivo'!$A:AM,HLOOKUP('[1]Course Totals'!O$4,'[1]import graded seats course pivo'!$1:$2,2,FALSE),FALSE))),"")</f>
        <v/>
      </c>
      <c r="P365" s="14" t="str">
        <f>IFERROR((VLOOKUP($A365,'[1]import success seats course'!$A:AD,HLOOKUP('[1]Course Totals'!P$4,'[1]import success seats course'!$1:$2,2,FALSE),FALSE)/(VLOOKUP($A365,'[1]import graded seats course pivo'!$A:AN,HLOOKUP('[1]Course Totals'!P$4,'[1]import graded seats course pivo'!$1:$2,2,FALSE),FALSE))),"")</f>
        <v/>
      </c>
      <c r="Q365" s="14" t="str">
        <f>IFERROR((VLOOKUP($A365,'[1]import success seats course'!$A:AE,HLOOKUP('[1]Course Totals'!Q$4,'[1]import success seats course'!$1:$2,2,FALSE),FALSE)/(VLOOKUP($A365,'[1]import graded seats course pivo'!$A:AO,HLOOKUP('[1]Course Totals'!Q$4,'[1]import graded seats course pivo'!$1:$2,2,FALSE),FALSE))),"")</f>
        <v/>
      </c>
      <c r="R365" s="14" t="str">
        <f>IFERROR((VLOOKUP($A365,'[1]import success seats course'!$A:AF,HLOOKUP('[1]Course Totals'!R$4,'[1]import success seats course'!$1:$2,2,FALSE),FALSE)/(VLOOKUP($A365,'[1]import graded seats course pivo'!$A:AP,HLOOKUP('[1]Course Totals'!R$4,'[1]import graded seats course pivo'!$1:$2,2,FALSE),FALSE))),"")</f>
        <v/>
      </c>
      <c r="S365" s="14" t="str">
        <f>IFERROR((VLOOKUP($A365,'[1]import success seats course'!$A:AG,HLOOKUP('[1]Course Totals'!S$4,'[1]import success seats course'!$1:$2,2,FALSE),FALSE)/(VLOOKUP($A365,'[1]import graded seats course pivo'!$A:AQ,HLOOKUP('[1]Course Totals'!S$4,'[1]import graded seats course pivo'!$1:$2,2,FALSE),FALSE))),"")</f>
        <v/>
      </c>
      <c r="Z365" s="7"/>
      <c r="AA365" s="7"/>
      <c r="AB365" s="7"/>
      <c r="AC365" s="7"/>
    </row>
    <row r="366" spans="1:29" ht="15.75" customHeight="1" x14ac:dyDescent="0.25">
      <c r="A366" s="12" t="s">
        <v>181</v>
      </c>
      <c r="B366" s="14" t="str">
        <f>IFERROR((VLOOKUP($A366,'[1]import success seats course'!$A:P,HLOOKUP('[1]Course Totals'!B$4,'[1]import success seats course'!$1:$2,2,FALSE),FALSE)/(VLOOKUP($A366,'[1]import graded seats course pivo'!$A:Z,HLOOKUP('[1]Course Totals'!B$4,'[1]import graded seats course pivo'!$1:$2,2,FALSE),FALSE))),"")</f>
        <v/>
      </c>
      <c r="C366" s="14">
        <f>IFERROR((VLOOKUP($A366,'[1]import success seats course'!$A:Q,HLOOKUP('[1]Course Totals'!C$4,'[1]import success seats course'!$1:$2,2,FALSE),FALSE)/(VLOOKUP($A366,'[1]import graded seats course pivo'!$A:AA,HLOOKUP('[1]Course Totals'!C$4,'[1]import graded seats course pivo'!$1:$2,2,FALSE),FALSE))),"")</f>
        <v>1</v>
      </c>
      <c r="D366" s="14">
        <f>IFERROR((VLOOKUP($A366,'[1]import success seats course'!$A:R,HLOOKUP('[1]Course Totals'!D$4,'[1]import success seats course'!$1:$2,2,FALSE),FALSE)/(VLOOKUP($A366,'[1]import graded seats course pivo'!$A:AB,HLOOKUP('[1]Course Totals'!D$4,'[1]import graded seats course pivo'!$1:$2,2,FALSE),FALSE))),"")</f>
        <v>0.84615384615384615</v>
      </c>
      <c r="E366" s="14" t="str">
        <f>IFERROR((VLOOKUP($A366,'[1]import success seats course'!$A:S,HLOOKUP('[1]Course Totals'!E$4,'[1]import success seats course'!$1:$2,2,FALSE),FALSE)/(VLOOKUP($A366,'[1]import graded seats course pivo'!$A:AC,HLOOKUP('[1]Course Totals'!E$4,'[1]import graded seats course pivo'!$1:$2,2,FALSE),FALSE))),"")</f>
        <v/>
      </c>
      <c r="F366" s="14">
        <f>IFERROR((VLOOKUP($A366,'[1]import success seats course'!$A:T,HLOOKUP('[1]Course Totals'!F$4,'[1]import success seats course'!$1:$2,2,FALSE),FALSE)/(VLOOKUP($A366,'[1]import graded seats course pivo'!$A:AD,HLOOKUP('[1]Course Totals'!F$4,'[1]import graded seats course pivo'!$1:$2,2,FALSE),FALSE))),"")</f>
        <v>0.90476190476190477</v>
      </c>
      <c r="G366" s="14">
        <f>IFERROR((VLOOKUP($A366,'[1]import success seats course'!$A:U,HLOOKUP('[1]Course Totals'!G$4,'[1]import success seats course'!$1:$2,2,FALSE),FALSE)/(VLOOKUP($A366,'[1]import graded seats course pivo'!$A:AE,HLOOKUP('[1]Course Totals'!G$4,'[1]import graded seats course pivo'!$1:$2,2,FALSE),FALSE))),"")</f>
        <v>0.8</v>
      </c>
      <c r="H366" s="14" t="str">
        <f>IFERROR((VLOOKUP($A366,'[1]import success seats course'!$A:V,HLOOKUP('[1]Course Totals'!H$4,'[1]import success seats course'!$1:$2,2,FALSE),FALSE)/(VLOOKUP($A366,'[1]import graded seats course pivo'!$A:AF,HLOOKUP('[1]Course Totals'!H$4,'[1]import graded seats course pivo'!$1:$2,2,FALSE),FALSE))),"")</f>
        <v/>
      </c>
      <c r="I366" s="14">
        <f>IFERROR((VLOOKUP($A366,'[1]import success seats course'!$A:W,HLOOKUP('[1]Course Totals'!I$4,'[1]import success seats course'!$1:$2,2,FALSE),FALSE)/(VLOOKUP($A366,'[1]import graded seats course pivo'!$A:AG,HLOOKUP('[1]Course Totals'!I$4,'[1]import graded seats course pivo'!$1:$2,2,FALSE),FALSE))),"")</f>
        <v>0.92592592592592593</v>
      </c>
      <c r="J366" s="14">
        <f>IFERROR((VLOOKUP($A366,'[1]import success seats course'!$A:X,HLOOKUP('[1]Course Totals'!J$4,'[1]import success seats course'!$1:$2,2,FALSE),FALSE)/(VLOOKUP($A366,'[1]import graded seats course pivo'!$A:AH,HLOOKUP('[1]Course Totals'!J$4,'[1]import graded seats course pivo'!$1:$2,2,FALSE),FALSE))),"")</f>
        <v>0.7407407407407407</v>
      </c>
      <c r="K366" s="14" t="str">
        <f>IFERROR((VLOOKUP($A366,'[1]import success seats course'!$A:Y,HLOOKUP('[1]Course Totals'!K$4,'[1]import success seats course'!$1:$2,2,FALSE),FALSE)/(VLOOKUP($A366,'[1]import graded seats course pivo'!$A:AI,HLOOKUP('[1]Course Totals'!K$4,'[1]import graded seats course pivo'!$1:$2,2,FALSE),FALSE))),"")</f>
        <v/>
      </c>
      <c r="L366" s="14">
        <f>IFERROR((VLOOKUP($A366,'[1]import success seats course'!$A:Z,HLOOKUP('[1]Course Totals'!L$4,'[1]import success seats course'!$1:$2,2,FALSE),FALSE)/(VLOOKUP($A366,'[1]import graded seats course pivo'!$A:AJ,HLOOKUP('[1]Course Totals'!L$4,'[1]import graded seats course pivo'!$1:$2,2,FALSE),FALSE))),"")</f>
        <v>0.875</v>
      </c>
      <c r="M366" s="14">
        <f>IFERROR((VLOOKUP($A366,'[1]import success seats course'!$A:AA,HLOOKUP('[1]Course Totals'!M$4,'[1]import success seats course'!$1:$2,2,FALSE),FALSE)/(VLOOKUP($A366,'[1]import graded seats course pivo'!$A:AK,HLOOKUP('[1]Course Totals'!M$4,'[1]import graded seats course pivo'!$1:$2,2,FALSE),FALSE))),"")</f>
        <v>0.78431372549019607</v>
      </c>
      <c r="N366" s="14" t="str">
        <f>IFERROR((VLOOKUP($A366,'[1]import success seats course'!$A:AB,HLOOKUP('[1]Course Totals'!N$4,'[1]import success seats course'!$1:$2,2,FALSE),FALSE)/(VLOOKUP($A366,'[1]import graded seats course pivo'!$A:AL,HLOOKUP('[1]Course Totals'!N$4,'[1]import graded seats course pivo'!$1:$2,2,FALSE),FALSE))),"")</f>
        <v/>
      </c>
      <c r="O366" s="14">
        <f>IFERROR((VLOOKUP($A366,'[1]import success seats course'!$A:AC,HLOOKUP('[1]Course Totals'!O$4,'[1]import success seats course'!$1:$2,2,FALSE),FALSE)/(VLOOKUP($A366,'[1]import graded seats course pivo'!$A:AM,HLOOKUP('[1]Course Totals'!O$4,'[1]import graded seats course pivo'!$1:$2,2,FALSE),FALSE))),"")</f>
        <v>0.88235294117647056</v>
      </c>
      <c r="P366" s="14">
        <f>IFERROR((VLOOKUP($A366,'[1]import success seats course'!$A:AD,HLOOKUP('[1]Course Totals'!P$4,'[1]import success seats course'!$1:$2,2,FALSE),FALSE)/(VLOOKUP($A366,'[1]import graded seats course pivo'!$A:AN,HLOOKUP('[1]Course Totals'!P$4,'[1]import graded seats course pivo'!$1:$2,2,FALSE),FALSE))),"")</f>
        <v>0.9</v>
      </c>
      <c r="Q366" s="14" t="str">
        <f>IFERROR((VLOOKUP($A366,'[1]import success seats course'!$A:AE,HLOOKUP('[1]Course Totals'!Q$4,'[1]import success seats course'!$1:$2,2,FALSE),FALSE)/(VLOOKUP($A366,'[1]import graded seats course pivo'!$A:AO,HLOOKUP('[1]Course Totals'!Q$4,'[1]import graded seats course pivo'!$1:$2,2,FALSE),FALSE))),"")</f>
        <v/>
      </c>
      <c r="R366" s="14">
        <f>IFERROR((VLOOKUP($A366,'[1]import success seats course'!$A:AF,HLOOKUP('[1]Course Totals'!R$4,'[1]import success seats course'!$1:$2,2,FALSE),FALSE)/(VLOOKUP($A366,'[1]import graded seats course pivo'!$A:AP,HLOOKUP('[1]Course Totals'!R$4,'[1]import graded seats course pivo'!$1:$2,2,FALSE),FALSE))),"")</f>
        <v>0.7142857142857143</v>
      </c>
      <c r="S366" s="14">
        <f>IFERROR((VLOOKUP($A366,'[1]import success seats course'!$A:AG,HLOOKUP('[1]Course Totals'!S$4,'[1]import success seats course'!$1:$2,2,FALSE),FALSE)/(VLOOKUP($A366,'[1]import graded seats course pivo'!$A:AQ,HLOOKUP('[1]Course Totals'!S$4,'[1]import graded seats course pivo'!$1:$2,2,FALSE),FALSE))),"")</f>
        <v>0.79166666666666663</v>
      </c>
      <c r="Z366" s="7"/>
      <c r="AA366" s="7"/>
      <c r="AB366" s="7"/>
      <c r="AC366" s="7"/>
    </row>
    <row r="367" spans="1:29" ht="15.75" customHeight="1" x14ac:dyDescent="0.25">
      <c r="A367" s="12" t="s">
        <v>182</v>
      </c>
      <c r="B367" s="14" t="str">
        <f>IFERROR((VLOOKUP($A367,'[1]import success seats course'!$A:P,HLOOKUP('[1]Course Totals'!B$4,'[1]import success seats course'!$1:$2,2,FALSE),FALSE)/(VLOOKUP($A367,'[1]import graded seats course pivo'!$A:Z,HLOOKUP('[1]Course Totals'!B$4,'[1]import graded seats course pivo'!$1:$2,2,FALSE),FALSE))),"")</f>
        <v/>
      </c>
      <c r="C367" s="14">
        <f>IFERROR((VLOOKUP($A367,'[1]import success seats course'!$A:Q,HLOOKUP('[1]Course Totals'!C$4,'[1]import success seats course'!$1:$2,2,FALSE),FALSE)/(VLOOKUP($A367,'[1]import graded seats course pivo'!$A:AA,HLOOKUP('[1]Course Totals'!C$4,'[1]import graded seats course pivo'!$1:$2,2,FALSE),FALSE))),"")</f>
        <v>0.95833333333333337</v>
      </c>
      <c r="D367" s="14">
        <f>IFERROR((VLOOKUP($A367,'[1]import success seats course'!$A:R,HLOOKUP('[1]Course Totals'!D$4,'[1]import success seats course'!$1:$2,2,FALSE),FALSE)/(VLOOKUP($A367,'[1]import graded seats course pivo'!$A:AB,HLOOKUP('[1]Course Totals'!D$4,'[1]import graded seats course pivo'!$1:$2,2,FALSE),FALSE))),"")</f>
        <v>1</v>
      </c>
      <c r="E367" s="14" t="str">
        <f>IFERROR((VLOOKUP($A367,'[1]import success seats course'!$A:S,HLOOKUP('[1]Course Totals'!E$4,'[1]import success seats course'!$1:$2,2,FALSE),FALSE)/(VLOOKUP($A367,'[1]import graded seats course pivo'!$A:AC,HLOOKUP('[1]Course Totals'!E$4,'[1]import graded seats course pivo'!$1:$2,2,FALSE),FALSE))),"")</f>
        <v/>
      </c>
      <c r="F367" s="14">
        <f>IFERROR((VLOOKUP($A367,'[1]import success seats course'!$A:T,HLOOKUP('[1]Course Totals'!F$4,'[1]import success seats course'!$1:$2,2,FALSE),FALSE)/(VLOOKUP($A367,'[1]import graded seats course pivo'!$A:AD,HLOOKUP('[1]Course Totals'!F$4,'[1]import graded seats course pivo'!$1:$2,2,FALSE),FALSE))),"")</f>
        <v>0.76923076923076927</v>
      </c>
      <c r="G367" s="14" t="str">
        <f>IFERROR((VLOOKUP($A367,'[1]import success seats course'!$A:U,HLOOKUP('[1]Course Totals'!G$4,'[1]import success seats course'!$1:$2,2,FALSE),FALSE)/(VLOOKUP($A367,'[1]import graded seats course pivo'!$A:AE,HLOOKUP('[1]Course Totals'!G$4,'[1]import graded seats course pivo'!$1:$2,2,FALSE),FALSE))),"")</f>
        <v/>
      </c>
      <c r="H367" s="14" t="str">
        <f>IFERROR((VLOOKUP($A367,'[1]import success seats course'!$A:V,HLOOKUP('[1]Course Totals'!H$4,'[1]import success seats course'!$1:$2,2,FALSE),FALSE)/(VLOOKUP($A367,'[1]import graded seats course pivo'!$A:AF,HLOOKUP('[1]Course Totals'!H$4,'[1]import graded seats course pivo'!$1:$2,2,FALSE),FALSE))),"")</f>
        <v/>
      </c>
      <c r="I367" s="14" t="str">
        <f>IFERROR((VLOOKUP($A367,'[1]import success seats course'!$A:W,HLOOKUP('[1]Course Totals'!I$4,'[1]import success seats course'!$1:$2,2,FALSE),FALSE)/(VLOOKUP($A367,'[1]import graded seats course pivo'!$A:AG,HLOOKUP('[1]Course Totals'!I$4,'[1]import graded seats course pivo'!$1:$2,2,FALSE),FALSE))),"")</f>
        <v/>
      </c>
      <c r="J367" s="14" t="str">
        <f>IFERROR((VLOOKUP($A367,'[1]import success seats course'!$A:X,HLOOKUP('[1]Course Totals'!J$4,'[1]import success seats course'!$1:$2,2,FALSE),FALSE)/(VLOOKUP($A367,'[1]import graded seats course pivo'!$A:AH,HLOOKUP('[1]Course Totals'!J$4,'[1]import graded seats course pivo'!$1:$2,2,FALSE),FALSE))),"")</f>
        <v/>
      </c>
      <c r="K367" s="14" t="str">
        <f>IFERROR((VLOOKUP($A367,'[1]import success seats course'!$A:Y,HLOOKUP('[1]Course Totals'!K$4,'[1]import success seats course'!$1:$2,2,FALSE),FALSE)/(VLOOKUP($A367,'[1]import graded seats course pivo'!$A:AI,HLOOKUP('[1]Course Totals'!K$4,'[1]import graded seats course pivo'!$1:$2,2,FALSE),FALSE))),"")</f>
        <v/>
      </c>
      <c r="L367" s="14" t="str">
        <f>IFERROR((VLOOKUP($A367,'[1]import success seats course'!$A:Z,HLOOKUP('[1]Course Totals'!L$4,'[1]import success seats course'!$1:$2,2,FALSE),FALSE)/(VLOOKUP($A367,'[1]import graded seats course pivo'!$A:AJ,HLOOKUP('[1]Course Totals'!L$4,'[1]import graded seats course pivo'!$1:$2,2,FALSE),FALSE))),"")</f>
        <v/>
      </c>
      <c r="M367" s="14" t="str">
        <f>IFERROR((VLOOKUP($A367,'[1]import success seats course'!$A:AA,HLOOKUP('[1]Course Totals'!M$4,'[1]import success seats course'!$1:$2,2,FALSE),FALSE)/(VLOOKUP($A367,'[1]import graded seats course pivo'!$A:AK,HLOOKUP('[1]Course Totals'!M$4,'[1]import graded seats course pivo'!$1:$2,2,FALSE),FALSE))),"")</f>
        <v/>
      </c>
      <c r="N367" s="14" t="str">
        <f>IFERROR((VLOOKUP($A367,'[1]import success seats course'!$A:AB,HLOOKUP('[1]Course Totals'!N$4,'[1]import success seats course'!$1:$2,2,FALSE),FALSE)/(VLOOKUP($A367,'[1]import graded seats course pivo'!$A:AL,HLOOKUP('[1]Course Totals'!N$4,'[1]import graded seats course pivo'!$1:$2,2,FALSE),FALSE))),"")</f>
        <v/>
      </c>
      <c r="O367" s="14" t="str">
        <f>IFERROR((VLOOKUP($A367,'[1]import success seats course'!$A:AC,HLOOKUP('[1]Course Totals'!O$4,'[1]import success seats course'!$1:$2,2,FALSE),FALSE)/(VLOOKUP($A367,'[1]import graded seats course pivo'!$A:AM,HLOOKUP('[1]Course Totals'!O$4,'[1]import graded seats course pivo'!$1:$2,2,FALSE),FALSE))),"")</f>
        <v/>
      </c>
      <c r="P367" s="14" t="str">
        <f>IFERROR((VLOOKUP($A367,'[1]import success seats course'!$A:AD,HLOOKUP('[1]Course Totals'!P$4,'[1]import success seats course'!$1:$2,2,FALSE),FALSE)/(VLOOKUP($A367,'[1]import graded seats course pivo'!$A:AN,HLOOKUP('[1]Course Totals'!P$4,'[1]import graded seats course pivo'!$1:$2,2,FALSE),FALSE))),"")</f>
        <v/>
      </c>
      <c r="Q367" s="14" t="str">
        <f>IFERROR((VLOOKUP($A367,'[1]import success seats course'!$A:AE,HLOOKUP('[1]Course Totals'!Q$4,'[1]import success seats course'!$1:$2,2,FALSE),FALSE)/(VLOOKUP($A367,'[1]import graded seats course pivo'!$A:AO,HLOOKUP('[1]Course Totals'!Q$4,'[1]import graded seats course pivo'!$1:$2,2,FALSE),FALSE))),"")</f>
        <v/>
      </c>
      <c r="R367" s="14" t="str">
        <f>IFERROR((VLOOKUP($A367,'[1]import success seats course'!$A:AF,HLOOKUP('[1]Course Totals'!R$4,'[1]import success seats course'!$1:$2,2,FALSE),FALSE)/(VLOOKUP($A367,'[1]import graded seats course pivo'!$A:AP,HLOOKUP('[1]Course Totals'!R$4,'[1]import graded seats course pivo'!$1:$2,2,FALSE),FALSE))),"")</f>
        <v/>
      </c>
      <c r="S367" s="14" t="str">
        <f>IFERROR((VLOOKUP($A367,'[1]import success seats course'!$A:AG,HLOOKUP('[1]Course Totals'!S$4,'[1]import success seats course'!$1:$2,2,FALSE),FALSE)/(VLOOKUP($A367,'[1]import graded seats course pivo'!$A:AQ,HLOOKUP('[1]Course Totals'!S$4,'[1]import graded seats course pivo'!$1:$2,2,FALSE),FALSE))),"")</f>
        <v/>
      </c>
      <c r="Z367" s="7"/>
      <c r="AA367" s="7"/>
      <c r="AB367" s="7"/>
      <c r="AC367" s="7"/>
    </row>
    <row r="368" spans="1:29" ht="15.75" customHeight="1" x14ac:dyDescent="0.25">
      <c r="A368" s="12" t="s">
        <v>712</v>
      </c>
      <c r="B368" s="14" t="str">
        <f>IFERROR((VLOOKUP($A368,'[1]import success seats course'!$A:P,HLOOKUP('[1]Course Totals'!B$4,'[1]import success seats course'!$1:$2,2,FALSE),FALSE)/(VLOOKUP($A368,'[1]import graded seats course pivo'!$A:Z,HLOOKUP('[1]Course Totals'!B$4,'[1]import graded seats course pivo'!$1:$2,2,FALSE),FALSE))),"")</f>
        <v/>
      </c>
      <c r="C368" s="14" t="str">
        <f>IFERROR((VLOOKUP($A368,'[1]import success seats course'!$A:Q,HLOOKUP('[1]Course Totals'!C$4,'[1]import success seats course'!$1:$2,2,FALSE),FALSE)/(VLOOKUP($A368,'[1]import graded seats course pivo'!$A:AA,HLOOKUP('[1]Course Totals'!C$4,'[1]import graded seats course pivo'!$1:$2,2,FALSE),FALSE))),"")</f>
        <v/>
      </c>
      <c r="D368" s="14" t="str">
        <f>IFERROR((VLOOKUP($A368,'[1]import success seats course'!$A:R,HLOOKUP('[1]Course Totals'!D$4,'[1]import success seats course'!$1:$2,2,FALSE),FALSE)/(VLOOKUP($A368,'[1]import graded seats course pivo'!$A:AB,HLOOKUP('[1]Course Totals'!D$4,'[1]import graded seats course pivo'!$1:$2,2,FALSE),FALSE))),"")</f>
        <v/>
      </c>
      <c r="E368" s="14" t="str">
        <f>IFERROR((VLOOKUP($A368,'[1]import success seats course'!$A:S,HLOOKUP('[1]Course Totals'!E$4,'[1]import success seats course'!$1:$2,2,FALSE),FALSE)/(VLOOKUP($A368,'[1]import graded seats course pivo'!$A:AC,HLOOKUP('[1]Course Totals'!E$4,'[1]import graded seats course pivo'!$1:$2,2,FALSE),FALSE))),"")</f>
        <v/>
      </c>
      <c r="F368" s="14" t="str">
        <f>IFERROR((VLOOKUP($A368,'[1]import success seats course'!$A:T,HLOOKUP('[1]Course Totals'!F$4,'[1]import success seats course'!$1:$2,2,FALSE),FALSE)/(VLOOKUP($A368,'[1]import graded seats course pivo'!$A:AD,HLOOKUP('[1]Course Totals'!F$4,'[1]import graded seats course pivo'!$1:$2,2,FALSE),FALSE))),"")</f>
        <v/>
      </c>
      <c r="G368" s="14">
        <f>IFERROR((VLOOKUP($A368,'[1]import success seats course'!$A:U,HLOOKUP('[1]Course Totals'!G$4,'[1]import success seats course'!$1:$2,2,FALSE),FALSE)/(VLOOKUP($A368,'[1]import graded seats course pivo'!$A:AE,HLOOKUP('[1]Course Totals'!G$4,'[1]import graded seats course pivo'!$1:$2,2,FALSE),FALSE))),"")</f>
        <v>0.77777777777777779</v>
      </c>
      <c r="H368" s="14" t="str">
        <f>IFERROR((VLOOKUP($A368,'[1]import success seats course'!$A:V,HLOOKUP('[1]Course Totals'!H$4,'[1]import success seats course'!$1:$2,2,FALSE),FALSE)/(VLOOKUP($A368,'[1]import graded seats course pivo'!$A:AF,HLOOKUP('[1]Course Totals'!H$4,'[1]import graded seats course pivo'!$1:$2,2,FALSE),FALSE))),"")</f>
        <v/>
      </c>
      <c r="I368" s="14" t="str">
        <f>IFERROR((VLOOKUP($A368,'[1]import success seats course'!$A:W,HLOOKUP('[1]Course Totals'!I$4,'[1]import success seats course'!$1:$2,2,FALSE),FALSE)/(VLOOKUP($A368,'[1]import graded seats course pivo'!$A:AG,HLOOKUP('[1]Course Totals'!I$4,'[1]import graded seats course pivo'!$1:$2,2,FALSE),FALSE))),"")</f>
        <v/>
      </c>
      <c r="J368" s="14" t="str">
        <f>IFERROR((VLOOKUP($A368,'[1]import success seats course'!$A:X,HLOOKUP('[1]Course Totals'!J$4,'[1]import success seats course'!$1:$2,2,FALSE),FALSE)/(VLOOKUP($A368,'[1]import graded seats course pivo'!$A:AH,HLOOKUP('[1]Course Totals'!J$4,'[1]import graded seats course pivo'!$1:$2,2,FALSE),FALSE))),"")</f>
        <v/>
      </c>
      <c r="K368" s="14" t="str">
        <f>IFERROR((VLOOKUP($A368,'[1]import success seats course'!$A:Y,HLOOKUP('[1]Course Totals'!K$4,'[1]import success seats course'!$1:$2,2,FALSE),FALSE)/(VLOOKUP($A368,'[1]import graded seats course pivo'!$A:AI,HLOOKUP('[1]Course Totals'!K$4,'[1]import graded seats course pivo'!$1:$2,2,FALSE),FALSE))),"")</f>
        <v/>
      </c>
      <c r="L368" s="14" t="str">
        <f>IFERROR((VLOOKUP($A368,'[1]import success seats course'!$A:Z,HLOOKUP('[1]Course Totals'!L$4,'[1]import success seats course'!$1:$2,2,FALSE),FALSE)/(VLOOKUP($A368,'[1]import graded seats course pivo'!$A:AJ,HLOOKUP('[1]Course Totals'!L$4,'[1]import graded seats course pivo'!$1:$2,2,FALSE),FALSE))),"")</f>
        <v/>
      </c>
      <c r="M368" s="14" t="str">
        <f>IFERROR((VLOOKUP($A368,'[1]import success seats course'!$A:AA,HLOOKUP('[1]Course Totals'!M$4,'[1]import success seats course'!$1:$2,2,FALSE),FALSE)/(VLOOKUP($A368,'[1]import graded seats course pivo'!$A:AK,HLOOKUP('[1]Course Totals'!M$4,'[1]import graded seats course pivo'!$1:$2,2,FALSE),FALSE))),"")</f>
        <v/>
      </c>
      <c r="N368" s="14" t="str">
        <f>IFERROR((VLOOKUP($A368,'[1]import success seats course'!$A:AB,HLOOKUP('[1]Course Totals'!N$4,'[1]import success seats course'!$1:$2,2,FALSE),FALSE)/(VLOOKUP($A368,'[1]import graded seats course pivo'!$A:AL,HLOOKUP('[1]Course Totals'!N$4,'[1]import graded seats course pivo'!$1:$2,2,FALSE),FALSE))),"")</f>
        <v/>
      </c>
      <c r="O368" s="14" t="str">
        <f>IFERROR((VLOOKUP($A368,'[1]import success seats course'!$A:AC,HLOOKUP('[1]Course Totals'!O$4,'[1]import success seats course'!$1:$2,2,FALSE),FALSE)/(VLOOKUP($A368,'[1]import graded seats course pivo'!$A:AM,HLOOKUP('[1]Course Totals'!O$4,'[1]import graded seats course pivo'!$1:$2,2,FALSE),FALSE))),"")</f>
        <v/>
      </c>
      <c r="P368" s="14" t="str">
        <f>IFERROR((VLOOKUP($A368,'[1]import success seats course'!$A:AD,HLOOKUP('[1]Course Totals'!P$4,'[1]import success seats course'!$1:$2,2,FALSE),FALSE)/(VLOOKUP($A368,'[1]import graded seats course pivo'!$A:AN,HLOOKUP('[1]Course Totals'!P$4,'[1]import graded seats course pivo'!$1:$2,2,FALSE),FALSE))),"")</f>
        <v/>
      </c>
      <c r="Q368" s="14" t="str">
        <f>IFERROR((VLOOKUP($A368,'[1]import success seats course'!$A:AE,HLOOKUP('[1]Course Totals'!Q$4,'[1]import success seats course'!$1:$2,2,FALSE),FALSE)/(VLOOKUP($A368,'[1]import graded seats course pivo'!$A:AO,HLOOKUP('[1]Course Totals'!Q$4,'[1]import graded seats course pivo'!$1:$2,2,FALSE),FALSE))),"")</f>
        <v/>
      </c>
      <c r="R368" s="14" t="str">
        <f>IFERROR((VLOOKUP($A368,'[1]import success seats course'!$A:AF,HLOOKUP('[1]Course Totals'!R$4,'[1]import success seats course'!$1:$2,2,FALSE),FALSE)/(VLOOKUP($A368,'[1]import graded seats course pivo'!$A:AP,HLOOKUP('[1]Course Totals'!R$4,'[1]import graded seats course pivo'!$1:$2,2,FALSE),FALSE))),"")</f>
        <v/>
      </c>
      <c r="S368" s="14" t="str">
        <f>IFERROR((VLOOKUP($A368,'[1]import success seats course'!$A:AG,HLOOKUP('[1]Course Totals'!S$4,'[1]import success seats course'!$1:$2,2,FALSE),FALSE)/(VLOOKUP($A368,'[1]import graded seats course pivo'!$A:AQ,HLOOKUP('[1]Course Totals'!S$4,'[1]import graded seats course pivo'!$1:$2,2,FALSE),FALSE))),"")</f>
        <v/>
      </c>
      <c r="Z368" s="7"/>
      <c r="AA368" s="7"/>
      <c r="AB368" s="7"/>
      <c r="AC368" s="7"/>
    </row>
    <row r="369" spans="1:29" ht="15.75" hidden="1" customHeight="1" x14ac:dyDescent="0.25">
      <c r="A369" s="12" t="s">
        <v>183</v>
      </c>
      <c r="B369" s="14" t="str">
        <f>IFERROR((VLOOKUP($A369,'[1]import success seats course'!$A:P,HLOOKUP('[1]Course Totals'!B$4,'[1]import success seats course'!$1:$2,2,FALSE),FALSE)/(VLOOKUP($A369,'[1]import graded seats course pivo'!$A:Z,HLOOKUP('[1]Course Totals'!B$4,'[1]import graded seats course pivo'!$1:$2,2,FALSE),FALSE))),"")</f>
        <v/>
      </c>
      <c r="C369" s="14" t="str">
        <f>IFERROR((VLOOKUP($A369,'[1]import success seats course'!$A:Q,HLOOKUP('[1]Course Totals'!C$4,'[1]import success seats course'!$1:$2,2,FALSE),FALSE)/(VLOOKUP($A369,'[1]import graded seats course pivo'!$A:AA,HLOOKUP('[1]Course Totals'!C$4,'[1]import graded seats course pivo'!$1:$2,2,FALSE),FALSE))),"")</f>
        <v/>
      </c>
      <c r="D369" s="14" t="str">
        <f>IFERROR((VLOOKUP($A369,'[1]import success seats course'!$A:R,HLOOKUP('[1]Course Totals'!D$4,'[1]import success seats course'!$1:$2,2,FALSE),FALSE)/(VLOOKUP($A369,'[1]import graded seats course pivo'!$A:AB,HLOOKUP('[1]Course Totals'!D$4,'[1]import graded seats course pivo'!$1:$2,2,FALSE),FALSE))),"")</f>
        <v/>
      </c>
      <c r="E369" s="14" t="str">
        <f>IFERROR((VLOOKUP($A369,'[1]import success seats course'!$A:S,HLOOKUP('[1]Course Totals'!E$4,'[1]import success seats course'!$1:$2,2,FALSE),FALSE)/(VLOOKUP($A369,'[1]import graded seats course pivo'!$A:AC,HLOOKUP('[1]Course Totals'!E$4,'[1]import graded seats course pivo'!$1:$2,2,FALSE),FALSE))),"")</f>
        <v/>
      </c>
      <c r="F369" s="14" t="str">
        <f>IFERROR((VLOOKUP($A369,'[1]import success seats course'!$A:T,HLOOKUP('[1]Course Totals'!F$4,'[1]import success seats course'!$1:$2,2,FALSE),FALSE)/(VLOOKUP($A369,'[1]import graded seats course pivo'!$A:AD,HLOOKUP('[1]Course Totals'!F$4,'[1]import graded seats course pivo'!$1:$2,2,FALSE),FALSE))),"")</f>
        <v/>
      </c>
      <c r="G369" s="14" t="str">
        <f>IFERROR((VLOOKUP($A369,'[1]import success seats course'!$A:U,HLOOKUP('[1]Course Totals'!G$4,'[1]import success seats course'!$1:$2,2,FALSE),FALSE)/(VLOOKUP($A369,'[1]import graded seats course pivo'!$A:AE,HLOOKUP('[1]Course Totals'!G$4,'[1]import graded seats course pivo'!$1:$2,2,FALSE),FALSE))),"")</f>
        <v/>
      </c>
      <c r="H369" s="14" t="str">
        <f>IFERROR((VLOOKUP($A369,'[1]import success seats course'!$A:V,HLOOKUP('[1]Course Totals'!H$4,'[1]import success seats course'!$1:$2,2,FALSE),FALSE)/(VLOOKUP($A369,'[1]import graded seats course pivo'!$A:AF,HLOOKUP('[1]Course Totals'!H$4,'[1]import graded seats course pivo'!$1:$2,2,FALSE),FALSE))),"")</f>
        <v/>
      </c>
      <c r="I369" s="14" t="str">
        <f>IFERROR((VLOOKUP($A369,'[1]import success seats course'!$A:W,HLOOKUP('[1]Course Totals'!I$4,'[1]import success seats course'!$1:$2,2,FALSE),FALSE)/(VLOOKUP($A369,'[1]import graded seats course pivo'!$A:AG,HLOOKUP('[1]Course Totals'!I$4,'[1]import graded seats course pivo'!$1:$2,2,FALSE),FALSE))),"")</f>
        <v/>
      </c>
      <c r="J369" s="14" t="str">
        <f>IFERROR((VLOOKUP($A369,'[1]import success seats course'!$A:X,HLOOKUP('[1]Course Totals'!J$4,'[1]import success seats course'!$1:$2,2,FALSE),FALSE)/(VLOOKUP($A369,'[1]import graded seats course pivo'!$A:AH,HLOOKUP('[1]Course Totals'!J$4,'[1]import graded seats course pivo'!$1:$2,2,FALSE),FALSE))),"")</f>
        <v/>
      </c>
      <c r="K369" s="14" t="str">
        <f>IFERROR((VLOOKUP($A369,'[1]import success seats course'!$A:Y,HLOOKUP('[1]Course Totals'!K$4,'[1]import success seats course'!$1:$2,2,FALSE),FALSE)/(VLOOKUP($A369,'[1]import graded seats course pivo'!$A:AI,HLOOKUP('[1]Course Totals'!K$4,'[1]import graded seats course pivo'!$1:$2,2,FALSE),FALSE))),"")</f>
        <v/>
      </c>
      <c r="L369" s="14" t="str">
        <f>IFERROR((VLOOKUP($A369,'[1]import success seats course'!$A:Z,HLOOKUP('[1]Course Totals'!L$4,'[1]import success seats course'!$1:$2,2,FALSE),FALSE)/(VLOOKUP($A369,'[1]import graded seats course pivo'!$A:AJ,HLOOKUP('[1]Course Totals'!L$4,'[1]import graded seats course pivo'!$1:$2,2,FALSE),FALSE))),"")</f>
        <v/>
      </c>
      <c r="M369" s="14" t="str">
        <f>IFERROR((VLOOKUP($A369,'[1]import success seats course'!$A:AA,HLOOKUP('[1]Course Totals'!M$4,'[1]import success seats course'!$1:$2,2,FALSE),FALSE)/(VLOOKUP($A369,'[1]import graded seats course pivo'!$A:AK,HLOOKUP('[1]Course Totals'!M$4,'[1]import graded seats course pivo'!$1:$2,2,FALSE),FALSE))),"")</f>
        <v/>
      </c>
      <c r="N369" s="14" t="str">
        <f>IFERROR((VLOOKUP($A369,'[1]import success seats course'!$A:AB,HLOOKUP('[1]Course Totals'!N$4,'[1]import success seats course'!$1:$2,2,FALSE),FALSE)/(VLOOKUP($A369,'[1]import graded seats course pivo'!$A:AL,HLOOKUP('[1]Course Totals'!N$4,'[1]import graded seats course pivo'!$1:$2,2,FALSE),FALSE))),"")</f>
        <v/>
      </c>
      <c r="O369" s="14" t="str">
        <f>IFERROR((VLOOKUP($A369,'[1]import success seats course'!$A:AC,HLOOKUP('[1]Course Totals'!O$4,'[1]import success seats course'!$1:$2,2,FALSE),FALSE)/(VLOOKUP($A369,'[1]import graded seats course pivo'!$A:AM,HLOOKUP('[1]Course Totals'!O$4,'[1]import graded seats course pivo'!$1:$2,2,FALSE),FALSE))),"")</f>
        <v/>
      </c>
      <c r="P369" s="14" t="str">
        <f>IFERROR((VLOOKUP($A369,'[1]import success seats course'!$A:AD,HLOOKUP('[1]Course Totals'!P$4,'[1]import success seats course'!$1:$2,2,FALSE),FALSE)/(VLOOKUP($A369,'[1]import graded seats course pivo'!$A:AN,HLOOKUP('[1]Course Totals'!P$4,'[1]import graded seats course pivo'!$1:$2,2,FALSE),FALSE))),"")</f>
        <v/>
      </c>
      <c r="Q369" s="14" t="str">
        <f>IFERROR((VLOOKUP($A369,'[1]import success seats course'!$A:AE,HLOOKUP('[1]Course Totals'!Q$4,'[1]import success seats course'!$1:$2,2,FALSE),FALSE)/(VLOOKUP($A369,'[1]import graded seats course pivo'!$A:AO,HLOOKUP('[1]Course Totals'!Q$4,'[1]import graded seats course pivo'!$1:$2,2,FALSE),FALSE))),"")</f>
        <v/>
      </c>
      <c r="R369" s="14" t="str">
        <f>IFERROR((VLOOKUP($A369,'[1]import success seats course'!$A:AF,HLOOKUP('[1]Course Totals'!R$4,'[1]import success seats course'!$1:$2,2,FALSE),FALSE)/(VLOOKUP($A369,'[1]import graded seats course pivo'!$A:AP,HLOOKUP('[1]Course Totals'!R$4,'[1]import graded seats course pivo'!$1:$2,2,FALSE),FALSE))),"")</f>
        <v/>
      </c>
      <c r="S369" s="14" t="str">
        <f>IFERROR((VLOOKUP($A369,'[1]import success seats course'!$A:AG,HLOOKUP('[1]Course Totals'!S$4,'[1]import success seats course'!$1:$2,2,FALSE),FALSE)/(VLOOKUP($A369,'[1]import graded seats course pivo'!$A:AQ,HLOOKUP('[1]Course Totals'!S$4,'[1]import graded seats course pivo'!$1:$2,2,FALSE),FALSE))),"")</f>
        <v/>
      </c>
      <c r="Z369" s="7"/>
      <c r="AA369" s="7"/>
      <c r="AB369" s="7"/>
      <c r="AC369" s="7"/>
    </row>
    <row r="370" spans="1:29" ht="15.75" hidden="1" customHeight="1" x14ac:dyDescent="0.25">
      <c r="A370" s="12" t="s">
        <v>893</v>
      </c>
      <c r="B370" s="14" t="str">
        <f>IFERROR((VLOOKUP($A370,'[1]import success seats course'!$A:P,HLOOKUP('[1]Course Totals'!B$4,'[1]import success seats course'!$1:$2,2,FALSE),FALSE)/(VLOOKUP($A370,'[1]import graded seats course pivo'!$A:Z,HLOOKUP('[1]Course Totals'!B$4,'[1]import graded seats course pivo'!$1:$2,2,FALSE),FALSE))),"")</f>
        <v/>
      </c>
      <c r="C370" s="14" t="str">
        <f>IFERROR((VLOOKUP($A370,'[1]import success seats course'!$A:Q,HLOOKUP('[1]Course Totals'!C$4,'[1]import success seats course'!$1:$2,2,FALSE),FALSE)/(VLOOKUP($A370,'[1]import graded seats course pivo'!$A:AA,HLOOKUP('[1]Course Totals'!C$4,'[1]import graded seats course pivo'!$1:$2,2,FALSE),FALSE))),"")</f>
        <v/>
      </c>
      <c r="D370" s="14" t="str">
        <f>IFERROR((VLOOKUP($A370,'[1]import success seats course'!$A:R,HLOOKUP('[1]Course Totals'!D$4,'[1]import success seats course'!$1:$2,2,FALSE),FALSE)/(VLOOKUP($A370,'[1]import graded seats course pivo'!$A:AB,HLOOKUP('[1]Course Totals'!D$4,'[1]import graded seats course pivo'!$1:$2,2,FALSE),FALSE))),"")</f>
        <v/>
      </c>
      <c r="E370" s="14" t="str">
        <f>IFERROR((VLOOKUP($A370,'[1]import success seats course'!$A:S,HLOOKUP('[1]Course Totals'!E$4,'[1]import success seats course'!$1:$2,2,FALSE),FALSE)/(VLOOKUP($A370,'[1]import graded seats course pivo'!$A:AC,HLOOKUP('[1]Course Totals'!E$4,'[1]import graded seats course pivo'!$1:$2,2,FALSE),FALSE))),"")</f>
        <v/>
      </c>
      <c r="F370" s="14" t="str">
        <f>IFERROR((VLOOKUP($A370,'[1]import success seats course'!$A:T,HLOOKUP('[1]Course Totals'!F$4,'[1]import success seats course'!$1:$2,2,FALSE),FALSE)/(VLOOKUP($A370,'[1]import graded seats course pivo'!$A:AD,HLOOKUP('[1]Course Totals'!F$4,'[1]import graded seats course pivo'!$1:$2,2,FALSE),FALSE))),"")</f>
        <v/>
      </c>
      <c r="G370" s="14" t="str">
        <f>IFERROR((VLOOKUP($A370,'[1]import success seats course'!$A:U,HLOOKUP('[1]Course Totals'!G$4,'[1]import success seats course'!$1:$2,2,FALSE),FALSE)/(VLOOKUP($A370,'[1]import graded seats course pivo'!$A:AE,HLOOKUP('[1]Course Totals'!G$4,'[1]import graded seats course pivo'!$1:$2,2,FALSE),FALSE))),"")</f>
        <v/>
      </c>
      <c r="H370" s="14" t="str">
        <f>IFERROR((VLOOKUP($A370,'[1]import success seats course'!$A:V,HLOOKUP('[1]Course Totals'!H$4,'[1]import success seats course'!$1:$2,2,FALSE),FALSE)/(VLOOKUP($A370,'[1]import graded seats course pivo'!$A:AF,HLOOKUP('[1]Course Totals'!H$4,'[1]import graded seats course pivo'!$1:$2,2,FALSE),FALSE))),"")</f>
        <v/>
      </c>
      <c r="I370" s="14" t="str">
        <f>IFERROR((VLOOKUP($A370,'[1]import success seats course'!$A:W,HLOOKUP('[1]Course Totals'!I$4,'[1]import success seats course'!$1:$2,2,FALSE),FALSE)/(VLOOKUP($A370,'[1]import graded seats course pivo'!$A:AG,HLOOKUP('[1]Course Totals'!I$4,'[1]import graded seats course pivo'!$1:$2,2,FALSE),FALSE))),"")</f>
        <v/>
      </c>
      <c r="J370" s="14" t="str">
        <f>IFERROR((VLOOKUP($A370,'[1]import success seats course'!$A:X,HLOOKUP('[1]Course Totals'!J$4,'[1]import success seats course'!$1:$2,2,FALSE),FALSE)/(VLOOKUP($A370,'[1]import graded seats course pivo'!$A:AH,HLOOKUP('[1]Course Totals'!J$4,'[1]import graded seats course pivo'!$1:$2,2,FALSE),FALSE))),"")</f>
        <v/>
      </c>
      <c r="K370" s="14" t="str">
        <f>IFERROR((VLOOKUP($A370,'[1]import success seats course'!$A:Y,HLOOKUP('[1]Course Totals'!K$4,'[1]import success seats course'!$1:$2,2,FALSE),FALSE)/(VLOOKUP($A370,'[1]import graded seats course pivo'!$A:AI,HLOOKUP('[1]Course Totals'!K$4,'[1]import graded seats course pivo'!$1:$2,2,FALSE),FALSE))),"")</f>
        <v/>
      </c>
      <c r="L370" s="14" t="str">
        <f>IFERROR((VLOOKUP($A370,'[1]import success seats course'!$A:Z,HLOOKUP('[1]Course Totals'!L$4,'[1]import success seats course'!$1:$2,2,FALSE),FALSE)/(VLOOKUP($A370,'[1]import graded seats course pivo'!$A:AJ,HLOOKUP('[1]Course Totals'!L$4,'[1]import graded seats course pivo'!$1:$2,2,FALSE),FALSE))),"")</f>
        <v/>
      </c>
      <c r="M370" s="14" t="str">
        <f>IFERROR((VLOOKUP($A370,'[1]import success seats course'!$A:AA,HLOOKUP('[1]Course Totals'!M$4,'[1]import success seats course'!$1:$2,2,FALSE),FALSE)/(VLOOKUP($A370,'[1]import graded seats course pivo'!$A:AK,HLOOKUP('[1]Course Totals'!M$4,'[1]import graded seats course pivo'!$1:$2,2,FALSE),FALSE))),"")</f>
        <v/>
      </c>
      <c r="N370" s="14" t="str">
        <f>IFERROR((VLOOKUP($A370,'[1]import success seats course'!$A:AB,HLOOKUP('[1]Course Totals'!N$4,'[1]import success seats course'!$1:$2,2,FALSE),FALSE)/(VLOOKUP($A370,'[1]import graded seats course pivo'!$A:AL,HLOOKUP('[1]Course Totals'!N$4,'[1]import graded seats course pivo'!$1:$2,2,FALSE),FALSE))),"")</f>
        <v/>
      </c>
      <c r="O370" s="14" t="str">
        <f>IFERROR((VLOOKUP($A370,'[1]import success seats course'!$A:AC,HLOOKUP('[1]Course Totals'!O$4,'[1]import success seats course'!$1:$2,2,FALSE),FALSE)/(VLOOKUP($A370,'[1]import graded seats course pivo'!$A:AM,HLOOKUP('[1]Course Totals'!O$4,'[1]import graded seats course pivo'!$1:$2,2,FALSE),FALSE))),"")</f>
        <v/>
      </c>
      <c r="P370" s="14" t="str">
        <f>IFERROR((VLOOKUP($A370,'[1]import success seats course'!$A:AD,HLOOKUP('[1]Course Totals'!P$4,'[1]import success seats course'!$1:$2,2,FALSE),FALSE)/(VLOOKUP($A370,'[1]import graded seats course pivo'!$A:AN,HLOOKUP('[1]Course Totals'!P$4,'[1]import graded seats course pivo'!$1:$2,2,FALSE),FALSE))),"")</f>
        <v/>
      </c>
      <c r="Q370" s="14" t="str">
        <f>IFERROR((VLOOKUP($A370,'[1]import success seats course'!$A:AE,HLOOKUP('[1]Course Totals'!Q$4,'[1]import success seats course'!$1:$2,2,FALSE),FALSE)/(VLOOKUP($A370,'[1]import graded seats course pivo'!$A:AO,HLOOKUP('[1]Course Totals'!Q$4,'[1]import graded seats course pivo'!$1:$2,2,FALSE),FALSE))),"")</f>
        <v/>
      </c>
      <c r="R370" s="14" t="str">
        <f>IFERROR((VLOOKUP($A370,'[1]import success seats course'!$A:AF,HLOOKUP('[1]Course Totals'!R$4,'[1]import success seats course'!$1:$2,2,FALSE),FALSE)/(VLOOKUP($A370,'[1]import graded seats course pivo'!$A:AP,HLOOKUP('[1]Course Totals'!R$4,'[1]import graded seats course pivo'!$1:$2,2,FALSE),FALSE))),"")</f>
        <v/>
      </c>
      <c r="S370" s="14" t="str">
        <f>IFERROR((VLOOKUP($A370,'[1]import success seats course'!$A:AG,HLOOKUP('[1]Course Totals'!S$4,'[1]import success seats course'!$1:$2,2,FALSE),FALSE)/(VLOOKUP($A370,'[1]import graded seats course pivo'!$A:AQ,HLOOKUP('[1]Course Totals'!S$4,'[1]import graded seats course pivo'!$1:$2,2,FALSE),FALSE))),"")</f>
        <v/>
      </c>
      <c r="Z370" s="7"/>
      <c r="AA370" s="7"/>
      <c r="AB370" s="7"/>
      <c r="AC370" s="7"/>
    </row>
    <row r="371" spans="1:29" ht="15.75" customHeight="1" x14ac:dyDescent="0.25">
      <c r="A371" s="12" t="s">
        <v>184</v>
      </c>
      <c r="B371" s="14" t="str">
        <f>IFERROR((VLOOKUP($A371,'[1]import success seats course'!$A:P,HLOOKUP('[1]Course Totals'!B$4,'[1]import success seats course'!$1:$2,2,FALSE),FALSE)/(VLOOKUP($A371,'[1]import graded seats course pivo'!$A:Z,HLOOKUP('[1]Course Totals'!B$4,'[1]import graded seats course pivo'!$1:$2,2,FALSE),FALSE))),"")</f>
        <v/>
      </c>
      <c r="C371" s="14" t="str">
        <f>IFERROR((VLOOKUP($A371,'[1]import success seats course'!$A:Q,HLOOKUP('[1]Course Totals'!C$4,'[1]import success seats course'!$1:$2,2,FALSE),FALSE)/(VLOOKUP($A371,'[1]import graded seats course pivo'!$A:AA,HLOOKUP('[1]Course Totals'!C$4,'[1]import graded seats course pivo'!$1:$2,2,FALSE),FALSE))),"")</f>
        <v/>
      </c>
      <c r="D371" s="14">
        <f>IFERROR((VLOOKUP($A371,'[1]import success seats course'!$A:R,HLOOKUP('[1]Course Totals'!D$4,'[1]import success seats course'!$1:$2,2,FALSE),FALSE)/(VLOOKUP($A371,'[1]import graded seats course pivo'!$A:AB,HLOOKUP('[1]Course Totals'!D$4,'[1]import graded seats course pivo'!$1:$2,2,FALSE),FALSE))),"")</f>
        <v>0.61904761904761907</v>
      </c>
      <c r="E371" s="14" t="str">
        <f>IFERROR((VLOOKUP($A371,'[1]import success seats course'!$A:S,HLOOKUP('[1]Course Totals'!E$4,'[1]import success seats course'!$1:$2,2,FALSE),FALSE)/(VLOOKUP($A371,'[1]import graded seats course pivo'!$A:AC,HLOOKUP('[1]Course Totals'!E$4,'[1]import graded seats course pivo'!$1:$2,2,FALSE),FALSE))),"")</f>
        <v/>
      </c>
      <c r="F371" s="14">
        <f>IFERROR((VLOOKUP($A371,'[1]import success seats course'!$A:T,HLOOKUP('[1]Course Totals'!F$4,'[1]import success seats course'!$1:$2,2,FALSE),FALSE)/(VLOOKUP($A371,'[1]import graded seats course pivo'!$A:AD,HLOOKUP('[1]Course Totals'!F$4,'[1]import graded seats course pivo'!$1:$2,2,FALSE),FALSE))),"")</f>
        <v>0.875</v>
      </c>
      <c r="G371" s="14">
        <f>IFERROR((VLOOKUP($A371,'[1]import success seats course'!$A:U,HLOOKUP('[1]Course Totals'!G$4,'[1]import success seats course'!$1:$2,2,FALSE),FALSE)/(VLOOKUP($A371,'[1]import graded seats course pivo'!$A:AE,HLOOKUP('[1]Course Totals'!G$4,'[1]import graded seats course pivo'!$1:$2,2,FALSE),FALSE))),"")</f>
        <v>0.82978723404255317</v>
      </c>
      <c r="H371" s="14" t="str">
        <f>IFERROR((VLOOKUP($A371,'[1]import success seats course'!$A:V,HLOOKUP('[1]Course Totals'!H$4,'[1]import success seats course'!$1:$2,2,FALSE),FALSE)/(VLOOKUP($A371,'[1]import graded seats course pivo'!$A:AF,HLOOKUP('[1]Course Totals'!H$4,'[1]import graded seats course pivo'!$1:$2,2,FALSE),FALSE))),"")</f>
        <v/>
      </c>
      <c r="I371" s="14">
        <f>IFERROR((VLOOKUP($A371,'[1]import success seats course'!$A:W,HLOOKUP('[1]Course Totals'!I$4,'[1]import success seats course'!$1:$2,2,FALSE),FALSE)/(VLOOKUP($A371,'[1]import graded seats course pivo'!$A:AG,HLOOKUP('[1]Course Totals'!I$4,'[1]import graded seats course pivo'!$1:$2,2,FALSE),FALSE))),"")</f>
        <v>0.875</v>
      </c>
      <c r="J371" s="14">
        <f>IFERROR((VLOOKUP($A371,'[1]import success seats course'!$A:X,HLOOKUP('[1]Course Totals'!J$4,'[1]import success seats course'!$1:$2,2,FALSE),FALSE)/(VLOOKUP($A371,'[1]import graded seats course pivo'!$A:AH,HLOOKUP('[1]Course Totals'!J$4,'[1]import graded seats course pivo'!$1:$2,2,FALSE),FALSE))),"")</f>
        <v>0.875</v>
      </c>
      <c r="K371" s="14" t="str">
        <f>IFERROR((VLOOKUP($A371,'[1]import success seats course'!$A:Y,HLOOKUP('[1]Course Totals'!K$4,'[1]import success seats course'!$1:$2,2,FALSE),FALSE)/(VLOOKUP($A371,'[1]import graded seats course pivo'!$A:AI,HLOOKUP('[1]Course Totals'!K$4,'[1]import graded seats course pivo'!$1:$2,2,FALSE),FALSE))),"")</f>
        <v/>
      </c>
      <c r="L371" s="14" t="str">
        <f>IFERROR((VLOOKUP($A371,'[1]import success seats course'!$A:Z,HLOOKUP('[1]Course Totals'!L$4,'[1]import success seats course'!$1:$2,2,FALSE),FALSE)/(VLOOKUP($A371,'[1]import graded seats course pivo'!$A:AJ,HLOOKUP('[1]Course Totals'!L$4,'[1]import graded seats course pivo'!$1:$2,2,FALSE),FALSE))),"")</f>
        <v/>
      </c>
      <c r="M371" s="14" t="str">
        <f>IFERROR((VLOOKUP($A371,'[1]import success seats course'!$A:AA,HLOOKUP('[1]Course Totals'!M$4,'[1]import success seats course'!$1:$2,2,FALSE),FALSE)/(VLOOKUP($A371,'[1]import graded seats course pivo'!$A:AK,HLOOKUP('[1]Course Totals'!M$4,'[1]import graded seats course pivo'!$1:$2,2,FALSE),FALSE))),"")</f>
        <v/>
      </c>
      <c r="N371" s="14" t="str">
        <f>IFERROR((VLOOKUP($A371,'[1]import success seats course'!$A:AB,HLOOKUP('[1]Course Totals'!N$4,'[1]import success seats course'!$1:$2,2,FALSE),FALSE)/(VLOOKUP($A371,'[1]import graded seats course pivo'!$A:AL,HLOOKUP('[1]Course Totals'!N$4,'[1]import graded seats course pivo'!$1:$2,2,FALSE),FALSE))),"")</f>
        <v/>
      </c>
      <c r="O371" s="14" t="str">
        <f>IFERROR((VLOOKUP($A371,'[1]import success seats course'!$A:AC,HLOOKUP('[1]Course Totals'!O$4,'[1]import success seats course'!$1:$2,2,FALSE),FALSE)/(VLOOKUP($A371,'[1]import graded seats course pivo'!$A:AM,HLOOKUP('[1]Course Totals'!O$4,'[1]import graded seats course pivo'!$1:$2,2,FALSE),FALSE))),"")</f>
        <v/>
      </c>
      <c r="P371" s="14" t="str">
        <f>IFERROR((VLOOKUP($A371,'[1]import success seats course'!$A:AD,HLOOKUP('[1]Course Totals'!P$4,'[1]import success seats course'!$1:$2,2,FALSE),FALSE)/(VLOOKUP($A371,'[1]import graded seats course pivo'!$A:AN,HLOOKUP('[1]Course Totals'!P$4,'[1]import graded seats course pivo'!$1:$2,2,FALSE),FALSE))),"")</f>
        <v/>
      </c>
      <c r="Q371" s="14" t="str">
        <f>IFERROR((VLOOKUP($A371,'[1]import success seats course'!$A:AE,HLOOKUP('[1]Course Totals'!Q$4,'[1]import success seats course'!$1:$2,2,FALSE),FALSE)/(VLOOKUP($A371,'[1]import graded seats course pivo'!$A:AO,HLOOKUP('[1]Course Totals'!Q$4,'[1]import graded seats course pivo'!$1:$2,2,FALSE),FALSE))),"")</f>
        <v/>
      </c>
      <c r="R371" s="14" t="str">
        <f>IFERROR((VLOOKUP($A371,'[1]import success seats course'!$A:AF,HLOOKUP('[1]Course Totals'!R$4,'[1]import success seats course'!$1:$2,2,FALSE),FALSE)/(VLOOKUP($A371,'[1]import graded seats course pivo'!$A:AP,HLOOKUP('[1]Course Totals'!R$4,'[1]import graded seats course pivo'!$1:$2,2,FALSE),FALSE))),"")</f>
        <v/>
      </c>
      <c r="S371" s="14" t="str">
        <f>IFERROR((VLOOKUP($A371,'[1]import success seats course'!$A:AG,HLOOKUP('[1]Course Totals'!S$4,'[1]import success seats course'!$1:$2,2,FALSE),FALSE)/(VLOOKUP($A371,'[1]import graded seats course pivo'!$A:AQ,HLOOKUP('[1]Course Totals'!S$4,'[1]import graded seats course pivo'!$1:$2,2,FALSE),FALSE))),"")</f>
        <v/>
      </c>
      <c r="Z371" s="7"/>
      <c r="AA371" s="7"/>
      <c r="AB371" s="7"/>
      <c r="AC371" s="7"/>
    </row>
    <row r="372" spans="1:29" ht="15.75" hidden="1" customHeight="1" x14ac:dyDescent="0.25">
      <c r="A372" s="12" t="s">
        <v>589</v>
      </c>
      <c r="B372" s="14" t="str">
        <f>IFERROR((VLOOKUP($A372,'[1]import success seats course'!$A:P,HLOOKUP('[1]Course Totals'!B$4,'[1]import success seats course'!$1:$2,2,FALSE),FALSE)/(VLOOKUP($A372,'[1]import graded seats course pivo'!$A:Z,HLOOKUP('[1]Course Totals'!B$4,'[1]import graded seats course pivo'!$1:$2,2,FALSE),FALSE))),"")</f>
        <v/>
      </c>
      <c r="C372" s="14" t="str">
        <f>IFERROR((VLOOKUP($A372,'[1]import success seats course'!$A:Q,HLOOKUP('[1]Course Totals'!C$4,'[1]import success seats course'!$1:$2,2,FALSE),FALSE)/(VLOOKUP($A372,'[1]import graded seats course pivo'!$A:AA,HLOOKUP('[1]Course Totals'!C$4,'[1]import graded seats course pivo'!$1:$2,2,FALSE),FALSE))),"")</f>
        <v/>
      </c>
      <c r="D372" s="14" t="str">
        <f>IFERROR((VLOOKUP($A372,'[1]import success seats course'!$A:R,HLOOKUP('[1]Course Totals'!D$4,'[1]import success seats course'!$1:$2,2,FALSE),FALSE)/(VLOOKUP($A372,'[1]import graded seats course pivo'!$A:AB,HLOOKUP('[1]Course Totals'!D$4,'[1]import graded seats course pivo'!$1:$2,2,FALSE),FALSE))),"")</f>
        <v/>
      </c>
      <c r="E372" s="14" t="str">
        <f>IFERROR((VLOOKUP($A372,'[1]import success seats course'!$A:S,HLOOKUP('[1]Course Totals'!E$4,'[1]import success seats course'!$1:$2,2,FALSE),FALSE)/(VLOOKUP($A372,'[1]import graded seats course pivo'!$A:AC,HLOOKUP('[1]Course Totals'!E$4,'[1]import graded seats course pivo'!$1:$2,2,FALSE),FALSE))),"")</f>
        <v/>
      </c>
      <c r="F372" s="14" t="str">
        <f>IFERROR((VLOOKUP($A372,'[1]import success seats course'!$A:T,HLOOKUP('[1]Course Totals'!F$4,'[1]import success seats course'!$1:$2,2,FALSE),FALSE)/(VLOOKUP($A372,'[1]import graded seats course pivo'!$A:AD,HLOOKUP('[1]Course Totals'!F$4,'[1]import graded seats course pivo'!$1:$2,2,FALSE),FALSE))),"")</f>
        <v/>
      </c>
      <c r="G372" s="14" t="str">
        <f>IFERROR((VLOOKUP($A372,'[1]import success seats course'!$A:U,HLOOKUP('[1]Course Totals'!G$4,'[1]import success seats course'!$1:$2,2,FALSE),FALSE)/(VLOOKUP($A372,'[1]import graded seats course pivo'!$A:AE,HLOOKUP('[1]Course Totals'!G$4,'[1]import graded seats course pivo'!$1:$2,2,FALSE),FALSE))),"")</f>
        <v/>
      </c>
      <c r="H372" s="14" t="str">
        <f>IFERROR((VLOOKUP($A372,'[1]import success seats course'!$A:V,HLOOKUP('[1]Course Totals'!H$4,'[1]import success seats course'!$1:$2,2,FALSE),FALSE)/(VLOOKUP($A372,'[1]import graded seats course pivo'!$A:AF,HLOOKUP('[1]Course Totals'!H$4,'[1]import graded seats course pivo'!$1:$2,2,FALSE),FALSE))),"")</f>
        <v/>
      </c>
      <c r="I372" s="14" t="str">
        <f>IFERROR((VLOOKUP($A372,'[1]import success seats course'!$A:W,HLOOKUP('[1]Course Totals'!I$4,'[1]import success seats course'!$1:$2,2,FALSE),FALSE)/(VLOOKUP($A372,'[1]import graded seats course pivo'!$A:AG,HLOOKUP('[1]Course Totals'!I$4,'[1]import graded seats course pivo'!$1:$2,2,FALSE),FALSE))),"")</f>
        <v/>
      </c>
      <c r="J372" s="14" t="str">
        <f>IFERROR((VLOOKUP($A372,'[1]import success seats course'!$A:X,HLOOKUP('[1]Course Totals'!J$4,'[1]import success seats course'!$1:$2,2,FALSE),FALSE)/(VLOOKUP($A372,'[1]import graded seats course pivo'!$A:AH,HLOOKUP('[1]Course Totals'!J$4,'[1]import graded seats course pivo'!$1:$2,2,FALSE),FALSE))),"")</f>
        <v/>
      </c>
      <c r="K372" s="14" t="str">
        <f>IFERROR((VLOOKUP($A372,'[1]import success seats course'!$A:Y,HLOOKUP('[1]Course Totals'!K$4,'[1]import success seats course'!$1:$2,2,FALSE),FALSE)/(VLOOKUP($A372,'[1]import graded seats course pivo'!$A:AI,HLOOKUP('[1]Course Totals'!K$4,'[1]import graded seats course pivo'!$1:$2,2,FALSE),FALSE))),"")</f>
        <v/>
      </c>
      <c r="L372" s="14" t="str">
        <f>IFERROR((VLOOKUP($A372,'[1]import success seats course'!$A:Z,HLOOKUP('[1]Course Totals'!L$4,'[1]import success seats course'!$1:$2,2,FALSE),FALSE)/(VLOOKUP($A372,'[1]import graded seats course pivo'!$A:AJ,HLOOKUP('[1]Course Totals'!L$4,'[1]import graded seats course pivo'!$1:$2,2,FALSE),FALSE))),"")</f>
        <v/>
      </c>
      <c r="M372" s="14" t="str">
        <f>IFERROR((VLOOKUP($A372,'[1]import success seats course'!$A:AA,HLOOKUP('[1]Course Totals'!M$4,'[1]import success seats course'!$1:$2,2,FALSE),FALSE)/(VLOOKUP($A372,'[1]import graded seats course pivo'!$A:AK,HLOOKUP('[1]Course Totals'!M$4,'[1]import graded seats course pivo'!$1:$2,2,FALSE),FALSE))),"")</f>
        <v/>
      </c>
      <c r="N372" s="14" t="str">
        <f>IFERROR((VLOOKUP($A372,'[1]import success seats course'!$A:AB,HLOOKUP('[1]Course Totals'!N$4,'[1]import success seats course'!$1:$2,2,FALSE),FALSE)/(VLOOKUP($A372,'[1]import graded seats course pivo'!$A:AL,HLOOKUP('[1]Course Totals'!N$4,'[1]import graded seats course pivo'!$1:$2,2,FALSE),FALSE))),"")</f>
        <v/>
      </c>
      <c r="O372" s="14" t="str">
        <f>IFERROR((VLOOKUP($A372,'[1]import success seats course'!$A:AC,HLOOKUP('[1]Course Totals'!O$4,'[1]import success seats course'!$1:$2,2,FALSE),FALSE)/(VLOOKUP($A372,'[1]import graded seats course pivo'!$A:AM,HLOOKUP('[1]Course Totals'!O$4,'[1]import graded seats course pivo'!$1:$2,2,FALSE),FALSE))),"")</f>
        <v/>
      </c>
      <c r="P372" s="14" t="str">
        <f>IFERROR((VLOOKUP($A372,'[1]import success seats course'!$A:AD,HLOOKUP('[1]Course Totals'!P$4,'[1]import success seats course'!$1:$2,2,FALSE),FALSE)/(VLOOKUP($A372,'[1]import graded seats course pivo'!$A:AN,HLOOKUP('[1]Course Totals'!P$4,'[1]import graded seats course pivo'!$1:$2,2,FALSE),FALSE))),"")</f>
        <v/>
      </c>
      <c r="Q372" s="14" t="str">
        <f>IFERROR((VLOOKUP($A372,'[1]import success seats course'!$A:AE,HLOOKUP('[1]Course Totals'!Q$4,'[1]import success seats course'!$1:$2,2,FALSE),FALSE)/(VLOOKUP($A372,'[1]import graded seats course pivo'!$A:AO,HLOOKUP('[1]Course Totals'!Q$4,'[1]import graded seats course pivo'!$1:$2,2,FALSE),FALSE))),"")</f>
        <v/>
      </c>
      <c r="R372" s="14" t="str">
        <f>IFERROR((VLOOKUP($A372,'[1]import success seats course'!$A:AF,HLOOKUP('[1]Course Totals'!R$4,'[1]import success seats course'!$1:$2,2,FALSE),FALSE)/(VLOOKUP($A372,'[1]import graded seats course pivo'!$A:AP,HLOOKUP('[1]Course Totals'!R$4,'[1]import graded seats course pivo'!$1:$2,2,FALSE),FALSE))),"")</f>
        <v/>
      </c>
      <c r="S372" s="14" t="str">
        <f>IFERROR((VLOOKUP($A372,'[1]import success seats course'!$A:AG,HLOOKUP('[1]Course Totals'!S$4,'[1]import success seats course'!$1:$2,2,FALSE),FALSE)/(VLOOKUP($A372,'[1]import graded seats course pivo'!$A:AQ,HLOOKUP('[1]Course Totals'!S$4,'[1]import graded seats course pivo'!$1:$2,2,FALSE),FALSE))),"")</f>
        <v/>
      </c>
      <c r="Z372" s="7"/>
      <c r="AA372" s="7"/>
      <c r="AB372" s="7"/>
      <c r="AC372" s="7"/>
    </row>
    <row r="373" spans="1:29" ht="15.75" hidden="1" customHeight="1" x14ac:dyDescent="0.25">
      <c r="A373" s="12" t="s">
        <v>778</v>
      </c>
      <c r="B373" s="14" t="str">
        <f>IFERROR((VLOOKUP($A373,'[1]import success seats course'!$A:P,HLOOKUP('[1]Course Totals'!B$4,'[1]import success seats course'!$1:$2,2,FALSE),FALSE)/(VLOOKUP($A373,'[1]import graded seats course pivo'!$A:Z,HLOOKUP('[1]Course Totals'!B$4,'[1]import graded seats course pivo'!$1:$2,2,FALSE),FALSE))),"")</f>
        <v/>
      </c>
      <c r="C373" s="14" t="str">
        <f>IFERROR((VLOOKUP($A373,'[1]import success seats course'!$A:Q,HLOOKUP('[1]Course Totals'!C$4,'[1]import success seats course'!$1:$2,2,FALSE),FALSE)/(VLOOKUP($A373,'[1]import graded seats course pivo'!$A:AA,HLOOKUP('[1]Course Totals'!C$4,'[1]import graded seats course pivo'!$1:$2,2,FALSE),FALSE))),"")</f>
        <v/>
      </c>
      <c r="D373" s="14" t="str">
        <f>IFERROR((VLOOKUP($A373,'[1]import success seats course'!$A:R,HLOOKUP('[1]Course Totals'!D$4,'[1]import success seats course'!$1:$2,2,FALSE),FALSE)/(VLOOKUP($A373,'[1]import graded seats course pivo'!$A:AB,HLOOKUP('[1]Course Totals'!D$4,'[1]import graded seats course pivo'!$1:$2,2,FALSE),FALSE))),"")</f>
        <v/>
      </c>
      <c r="E373" s="14" t="str">
        <f>IFERROR((VLOOKUP($A373,'[1]import success seats course'!$A:S,HLOOKUP('[1]Course Totals'!E$4,'[1]import success seats course'!$1:$2,2,FALSE),FALSE)/(VLOOKUP($A373,'[1]import graded seats course pivo'!$A:AC,HLOOKUP('[1]Course Totals'!E$4,'[1]import graded seats course pivo'!$1:$2,2,FALSE),FALSE))),"")</f>
        <v/>
      </c>
      <c r="F373" s="14" t="str">
        <f>IFERROR((VLOOKUP($A373,'[1]import success seats course'!$A:T,HLOOKUP('[1]Course Totals'!F$4,'[1]import success seats course'!$1:$2,2,FALSE),FALSE)/(VLOOKUP($A373,'[1]import graded seats course pivo'!$A:AD,HLOOKUP('[1]Course Totals'!F$4,'[1]import graded seats course pivo'!$1:$2,2,FALSE),FALSE))),"")</f>
        <v/>
      </c>
      <c r="G373" s="14" t="str">
        <f>IFERROR((VLOOKUP($A373,'[1]import success seats course'!$A:U,HLOOKUP('[1]Course Totals'!G$4,'[1]import success seats course'!$1:$2,2,FALSE),FALSE)/(VLOOKUP($A373,'[1]import graded seats course pivo'!$A:AE,HLOOKUP('[1]Course Totals'!G$4,'[1]import graded seats course pivo'!$1:$2,2,FALSE),FALSE))),"")</f>
        <v/>
      </c>
      <c r="H373" s="14" t="str">
        <f>IFERROR((VLOOKUP($A373,'[1]import success seats course'!$A:V,HLOOKUP('[1]Course Totals'!H$4,'[1]import success seats course'!$1:$2,2,FALSE),FALSE)/(VLOOKUP($A373,'[1]import graded seats course pivo'!$A:AF,HLOOKUP('[1]Course Totals'!H$4,'[1]import graded seats course pivo'!$1:$2,2,FALSE),FALSE))),"")</f>
        <v/>
      </c>
      <c r="I373" s="14" t="str">
        <f>IFERROR((VLOOKUP($A373,'[1]import success seats course'!$A:W,HLOOKUP('[1]Course Totals'!I$4,'[1]import success seats course'!$1:$2,2,FALSE),FALSE)/(VLOOKUP($A373,'[1]import graded seats course pivo'!$A:AG,HLOOKUP('[1]Course Totals'!I$4,'[1]import graded seats course pivo'!$1:$2,2,FALSE),FALSE))),"")</f>
        <v/>
      </c>
      <c r="J373" s="14" t="str">
        <f>IFERROR((VLOOKUP($A373,'[1]import success seats course'!$A:X,HLOOKUP('[1]Course Totals'!J$4,'[1]import success seats course'!$1:$2,2,FALSE),FALSE)/(VLOOKUP($A373,'[1]import graded seats course pivo'!$A:AH,HLOOKUP('[1]Course Totals'!J$4,'[1]import graded seats course pivo'!$1:$2,2,FALSE),FALSE))),"")</f>
        <v/>
      </c>
      <c r="K373" s="14" t="str">
        <f>IFERROR((VLOOKUP($A373,'[1]import success seats course'!$A:Y,HLOOKUP('[1]Course Totals'!K$4,'[1]import success seats course'!$1:$2,2,FALSE),FALSE)/(VLOOKUP($A373,'[1]import graded seats course pivo'!$A:AI,HLOOKUP('[1]Course Totals'!K$4,'[1]import graded seats course pivo'!$1:$2,2,FALSE),FALSE))),"")</f>
        <v/>
      </c>
      <c r="L373" s="14" t="str">
        <f>IFERROR((VLOOKUP($A373,'[1]import success seats course'!$A:Z,HLOOKUP('[1]Course Totals'!L$4,'[1]import success seats course'!$1:$2,2,FALSE),FALSE)/(VLOOKUP($A373,'[1]import graded seats course pivo'!$A:AJ,HLOOKUP('[1]Course Totals'!L$4,'[1]import graded seats course pivo'!$1:$2,2,FALSE),FALSE))),"")</f>
        <v/>
      </c>
      <c r="M373" s="14" t="str">
        <f>IFERROR((VLOOKUP($A373,'[1]import success seats course'!$A:AA,HLOOKUP('[1]Course Totals'!M$4,'[1]import success seats course'!$1:$2,2,FALSE),FALSE)/(VLOOKUP($A373,'[1]import graded seats course pivo'!$A:AK,HLOOKUP('[1]Course Totals'!M$4,'[1]import graded seats course pivo'!$1:$2,2,FALSE),FALSE))),"")</f>
        <v/>
      </c>
      <c r="N373" s="14" t="str">
        <f>IFERROR((VLOOKUP($A373,'[1]import success seats course'!$A:AB,HLOOKUP('[1]Course Totals'!N$4,'[1]import success seats course'!$1:$2,2,FALSE),FALSE)/(VLOOKUP($A373,'[1]import graded seats course pivo'!$A:AL,HLOOKUP('[1]Course Totals'!N$4,'[1]import graded seats course pivo'!$1:$2,2,FALSE),FALSE))),"")</f>
        <v/>
      </c>
      <c r="O373" s="14" t="str">
        <f>IFERROR((VLOOKUP($A373,'[1]import success seats course'!$A:AC,HLOOKUP('[1]Course Totals'!O$4,'[1]import success seats course'!$1:$2,2,FALSE),FALSE)/(VLOOKUP($A373,'[1]import graded seats course pivo'!$A:AM,HLOOKUP('[1]Course Totals'!O$4,'[1]import graded seats course pivo'!$1:$2,2,FALSE),FALSE))),"")</f>
        <v/>
      </c>
      <c r="P373" s="14" t="str">
        <f>IFERROR((VLOOKUP($A373,'[1]import success seats course'!$A:AD,HLOOKUP('[1]Course Totals'!P$4,'[1]import success seats course'!$1:$2,2,FALSE),FALSE)/(VLOOKUP($A373,'[1]import graded seats course pivo'!$A:AN,HLOOKUP('[1]Course Totals'!P$4,'[1]import graded seats course pivo'!$1:$2,2,FALSE),FALSE))),"")</f>
        <v/>
      </c>
      <c r="Q373" s="14" t="str">
        <f>IFERROR((VLOOKUP($A373,'[1]import success seats course'!$A:AE,HLOOKUP('[1]Course Totals'!Q$4,'[1]import success seats course'!$1:$2,2,FALSE),FALSE)/(VLOOKUP($A373,'[1]import graded seats course pivo'!$A:AO,HLOOKUP('[1]Course Totals'!Q$4,'[1]import graded seats course pivo'!$1:$2,2,FALSE),FALSE))),"")</f>
        <v/>
      </c>
      <c r="R373" s="14" t="str">
        <f>IFERROR((VLOOKUP($A373,'[1]import success seats course'!$A:AF,HLOOKUP('[1]Course Totals'!R$4,'[1]import success seats course'!$1:$2,2,FALSE),FALSE)/(VLOOKUP($A373,'[1]import graded seats course pivo'!$A:AP,HLOOKUP('[1]Course Totals'!R$4,'[1]import graded seats course pivo'!$1:$2,2,FALSE),FALSE))),"")</f>
        <v/>
      </c>
      <c r="S373" s="14" t="str">
        <f>IFERROR((VLOOKUP($A373,'[1]import success seats course'!$A:AG,HLOOKUP('[1]Course Totals'!S$4,'[1]import success seats course'!$1:$2,2,FALSE),FALSE)/(VLOOKUP($A373,'[1]import graded seats course pivo'!$A:AQ,HLOOKUP('[1]Course Totals'!S$4,'[1]import graded seats course pivo'!$1:$2,2,FALSE),FALSE))),"")</f>
        <v/>
      </c>
      <c r="Z373" s="7"/>
      <c r="AA373" s="7"/>
      <c r="AB373" s="7"/>
      <c r="AC373" s="7"/>
    </row>
    <row r="374" spans="1:29" ht="15.75" hidden="1" customHeight="1" x14ac:dyDescent="0.25">
      <c r="A374" s="12" t="s">
        <v>185</v>
      </c>
      <c r="B374" s="14" t="str">
        <f>IFERROR((VLOOKUP($A374,'[1]import success seats course'!$A:P,HLOOKUP('[1]Course Totals'!B$4,'[1]import success seats course'!$1:$2,2,FALSE),FALSE)/(VLOOKUP($A374,'[1]import graded seats course pivo'!$A:Z,HLOOKUP('[1]Course Totals'!B$4,'[1]import graded seats course pivo'!$1:$2,2,FALSE),FALSE))),"")</f>
        <v/>
      </c>
      <c r="C374" s="14" t="str">
        <f>IFERROR((VLOOKUP($A374,'[1]import success seats course'!$A:Q,HLOOKUP('[1]Course Totals'!C$4,'[1]import success seats course'!$1:$2,2,FALSE),FALSE)/(VLOOKUP($A374,'[1]import graded seats course pivo'!$A:AA,HLOOKUP('[1]Course Totals'!C$4,'[1]import graded seats course pivo'!$1:$2,2,FALSE),FALSE))),"")</f>
        <v/>
      </c>
      <c r="D374" s="14" t="str">
        <f>IFERROR((VLOOKUP($A374,'[1]import success seats course'!$A:R,HLOOKUP('[1]Course Totals'!D$4,'[1]import success seats course'!$1:$2,2,FALSE),FALSE)/(VLOOKUP($A374,'[1]import graded seats course pivo'!$A:AB,HLOOKUP('[1]Course Totals'!D$4,'[1]import graded seats course pivo'!$1:$2,2,FALSE),FALSE))),"")</f>
        <v/>
      </c>
      <c r="E374" s="14" t="str">
        <f>IFERROR((VLOOKUP($A374,'[1]import success seats course'!$A:S,HLOOKUP('[1]Course Totals'!E$4,'[1]import success seats course'!$1:$2,2,FALSE),FALSE)/(VLOOKUP($A374,'[1]import graded seats course pivo'!$A:AC,HLOOKUP('[1]Course Totals'!E$4,'[1]import graded seats course pivo'!$1:$2,2,FALSE),FALSE))),"")</f>
        <v/>
      </c>
      <c r="F374" s="14" t="str">
        <f>IFERROR((VLOOKUP($A374,'[1]import success seats course'!$A:T,HLOOKUP('[1]Course Totals'!F$4,'[1]import success seats course'!$1:$2,2,FALSE),FALSE)/(VLOOKUP($A374,'[1]import graded seats course pivo'!$A:AD,HLOOKUP('[1]Course Totals'!F$4,'[1]import graded seats course pivo'!$1:$2,2,FALSE),FALSE))),"")</f>
        <v/>
      </c>
      <c r="G374" s="14" t="str">
        <f>IFERROR((VLOOKUP($A374,'[1]import success seats course'!$A:U,HLOOKUP('[1]Course Totals'!G$4,'[1]import success seats course'!$1:$2,2,FALSE),FALSE)/(VLOOKUP($A374,'[1]import graded seats course pivo'!$A:AE,HLOOKUP('[1]Course Totals'!G$4,'[1]import graded seats course pivo'!$1:$2,2,FALSE),FALSE))),"")</f>
        <v/>
      </c>
      <c r="H374" s="14" t="str">
        <f>IFERROR((VLOOKUP($A374,'[1]import success seats course'!$A:V,HLOOKUP('[1]Course Totals'!H$4,'[1]import success seats course'!$1:$2,2,FALSE),FALSE)/(VLOOKUP($A374,'[1]import graded seats course pivo'!$A:AF,HLOOKUP('[1]Course Totals'!H$4,'[1]import graded seats course pivo'!$1:$2,2,FALSE),FALSE))),"")</f>
        <v/>
      </c>
      <c r="I374" s="14" t="str">
        <f>IFERROR((VLOOKUP($A374,'[1]import success seats course'!$A:W,HLOOKUP('[1]Course Totals'!I$4,'[1]import success seats course'!$1:$2,2,FALSE),FALSE)/(VLOOKUP($A374,'[1]import graded seats course pivo'!$A:AG,HLOOKUP('[1]Course Totals'!I$4,'[1]import graded seats course pivo'!$1:$2,2,FALSE),FALSE))),"")</f>
        <v/>
      </c>
      <c r="J374" s="14" t="str">
        <f>IFERROR((VLOOKUP($A374,'[1]import success seats course'!$A:X,HLOOKUP('[1]Course Totals'!J$4,'[1]import success seats course'!$1:$2,2,FALSE),FALSE)/(VLOOKUP($A374,'[1]import graded seats course pivo'!$A:AH,HLOOKUP('[1]Course Totals'!J$4,'[1]import graded seats course pivo'!$1:$2,2,FALSE),FALSE))),"")</f>
        <v/>
      </c>
      <c r="K374" s="14" t="str">
        <f>IFERROR((VLOOKUP($A374,'[1]import success seats course'!$A:Y,HLOOKUP('[1]Course Totals'!K$4,'[1]import success seats course'!$1:$2,2,FALSE),FALSE)/(VLOOKUP($A374,'[1]import graded seats course pivo'!$A:AI,HLOOKUP('[1]Course Totals'!K$4,'[1]import graded seats course pivo'!$1:$2,2,FALSE),FALSE))),"")</f>
        <v/>
      </c>
      <c r="L374" s="14" t="str">
        <f>IFERROR((VLOOKUP($A374,'[1]import success seats course'!$A:Z,HLOOKUP('[1]Course Totals'!L$4,'[1]import success seats course'!$1:$2,2,FALSE),FALSE)/(VLOOKUP($A374,'[1]import graded seats course pivo'!$A:AJ,HLOOKUP('[1]Course Totals'!L$4,'[1]import graded seats course pivo'!$1:$2,2,FALSE),FALSE))),"")</f>
        <v/>
      </c>
      <c r="M374" s="14" t="str">
        <f>IFERROR((VLOOKUP($A374,'[1]import success seats course'!$A:AA,HLOOKUP('[1]Course Totals'!M$4,'[1]import success seats course'!$1:$2,2,FALSE),FALSE)/(VLOOKUP($A374,'[1]import graded seats course pivo'!$A:AK,HLOOKUP('[1]Course Totals'!M$4,'[1]import graded seats course pivo'!$1:$2,2,FALSE),FALSE))),"")</f>
        <v/>
      </c>
      <c r="N374" s="14" t="str">
        <f>IFERROR((VLOOKUP($A374,'[1]import success seats course'!$A:AB,HLOOKUP('[1]Course Totals'!N$4,'[1]import success seats course'!$1:$2,2,FALSE),FALSE)/(VLOOKUP($A374,'[1]import graded seats course pivo'!$A:AL,HLOOKUP('[1]Course Totals'!N$4,'[1]import graded seats course pivo'!$1:$2,2,FALSE),FALSE))),"")</f>
        <v/>
      </c>
      <c r="O374" s="14" t="str">
        <f>IFERROR((VLOOKUP($A374,'[1]import success seats course'!$A:AC,HLOOKUP('[1]Course Totals'!O$4,'[1]import success seats course'!$1:$2,2,FALSE),FALSE)/(VLOOKUP($A374,'[1]import graded seats course pivo'!$A:AM,HLOOKUP('[1]Course Totals'!O$4,'[1]import graded seats course pivo'!$1:$2,2,FALSE),FALSE))),"")</f>
        <v/>
      </c>
      <c r="P374" s="14" t="str">
        <f>IFERROR((VLOOKUP($A374,'[1]import success seats course'!$A:AD,HLOOKUP('[1]Course Totals'!P$4,'[1]import success seats course'!$1:$2,2,FALSE),FALSE)/(VLOOKUP($A374,'[1]import graded seats course pivo'!$A:AN,HLOOKUP('[1]Course Totals'!P$4,'[1]import graded seats course pivo'!$1:$2,2,FALSE),FALSE))),"")</f>
        <v/>
      </c>
      <c r="Q374" s="14" t="str">
        <f>IFERROR((VLOOKUP($A374,'[1]import success seats course'!$A:AE,HLOOKUP('[1]Course Totals'!Q$4,'[1]import success seats course'!$1:$2,2,FALSE),FALSE)/(VLOOKUP($A374,'[1]import graded seats course pivo'!$A:AO,HLOOKUP('[1]Course Totals'!Q$4,'[1]import graded seats course pivo'!$1:$2,2,FALSE),FALSE))),"")</f>
        <v/>
      </c>
      <c r="R374" s="14" t="str">
        <f>IFERROR((VLOOKUP($A374,'[1]import success seats course'!$A:AF,HLOOKUP('[1]Course Totals'!R$4,'[1]import success seats course'!$1:$2,2,FALSE),FALSE)/(VLOOKUP($A374,'[1]import graded seats course pivo'!$A:AP,HLOOKUP('[1]Course Totals'!R$4,'[1]import graded seats course pivo'!$1:$2,2,FALSE),FALSE))),"")</f>
        <v/>
      </c>
      <c r="S374" s="14" t="str">
        <f>IFERROR((VLOOKUP($A374,'[1]import success seats course'!$A:AG,HLOOKUP('[1]Course Totals'!S$4,'[1]import success seats course'!$1:$2,2,FALSE),FALSE)/(VLOOKUP($A374,'[1]import graded seats course pivo'!$A:AQ,HLOOKUP('[1]Course Totals'!S$4,'[1]import graded seats course pivo'!$1:$2,2,FALSE),FALSE))),"")</f>
        <v/>
      </c>
      <c r="Z374" s="7"/>
      <c r="AA374" s="7"/>
      <c r="AB374" s="7"/>
      <c r="AC374" s="7"/>
    </row>
    <row r="375" spans="1:29" ht="15.75" hidden="1" customHeight="1" x14ac:dyDescent="0.25">
      <c r="A375" s="12" t="s">
        <v>975</v>
      </c>
      <c r="B375" s="14" t="str">
        <f>IFERROR((VLOOKUP($A375,'[1]import success seats course'!$A:P,HLOOKUP('[1]Course Totals'!B$4,'[1]import success seats course'!$1:$2,2,FALSE),FALSE)/(VLOOKUP($A375,'[1]import graded seats course pivo'!$A:Z,HLOOKUP('[1]Course Totals'!B$4,'[1]import graded seats course pivo'!$1:$2,2,FALSE),FALSE))),"")</f>
        <v/>
      </c>
      <c r="C375" s="14" t="str">
        <f>IFERROR((VLOOKUP($A375,'[1]import success seats course'!$A:Q,HLOOKUP('[1]Course Totals'!C$4,'[1]import success seats course'!$1:$2,2,FALSE),FALSE)/(VLOOKUP($A375,'[1]import graded seats course pivo'!$A:AA,HLOOKUP('[1]Course Totals'!C$4,'[1]import graded seats course pivo'!$1:$2,2,FALSE),FALSE))),"")</f>
        <v/>
      </c>
      <c r="D375" s="14" t="str">
        <f>IFERROR((VLOOKUP($A375,'[1]import success seats course'!$A:R,HLOOKUP('[1]Course Totals'!D$4,'[1]import success seats course'!$1:$2,2,FALSE),FALSE)/(VLOOKUP($A375,'[1]import graded seats course pivo'!$A:AB,HLOOKUP('[1]Course Totals'!D$4,'[1]import graded seats course pivo'!$1:$2,2,FALSE),FALSE))),"")</f>
        <v/>
      </c>
      <c r="E375" s="14" t="str">
        <f>IFERROR((VLOOKUP($A375,'[1]import success seats course'!$A:S,HLOOKUP('[1]Course Totals'!E$4,'[1]import success seats course'!$1:$2,2,FALSE),FALSE)/(VLOOKUP($A375,'[1]import graded seats course pivo'!$A:AC,HLOOKUP('[1]Course Totals'!E$4,'[1]import graded seats course pivo'!$1:$2,2,FALSE),FALSE))),"")</f>
        <v/>
      </c>
      <c r="F375" s="14" t="str">
        <f>IFERROR((VLOOKUP($A375,'[1]import success seats course'!$A:T,HLOOKUP('[1]Course Totals'!F$4,'[1]import success seats course'!$1:$2,2,FALSE),FALSE)/(VLOOKUP($A375,'[1]import graded seats course pivo'!$A:AD,HLOOKUP('[1]Course Totals'!F$4,'[1]import graded seats course pivo'!$1:$2,2,FALSE),FALSE))),"")</f>
        <v/>
      </c>
      <c r="G375" s="14" t="str">
        <f>IFERROR((VLOOKUP($A375,'[1]import success seats course'!$A:U,HLOOKUP('[1]Course Totals'!G$4,'[1]import success seats course'!$1:$2,2,FALSE),FALSE)/(VLOOKUP($A375,'[1]import graded seats course pivo'!$A:AE,HLOOKUP('[1]Course Totals'!G$4,'[1]import graded seats course pivo'!$1:$2,2,FALSE),FALSE))),"")</f>
        <v/>
      </c>
      <c r="H375" s="14" t="str">
        <f>IFERROR((VLOOKUP($A375,'[1]import success seats course'!$A:V,HLOOKUP('[1]Course Totals'!H$4,'[1]import success seats course'!$1:$2,2,FALSE),FALSE)/(VLOOKUP($A375,'[1]import graded seats course pivo'!$A:AF,HLOOKUP('[1]Course Totals'!H$4,'[1]import graded seats course pivo'!$1:$2,2,FALSE),FALSE))),"")</f>
        <v/>
      </c>
      <c r="I375" s="14" t="str">
        <f>IFERROR((VLOOKUP($A375,'[1]import success seats course'!$A:W,HLOOKUP('[1]Course Totals'!I$4,'[1]import success seats course'!$1:$2,2,FALSE),FALSE)/(VLOOKUP($A375,'[1]import graded seats course pivo'!$A:AG,HLOOKUP('[1]Course Totals'!I$4,'[1]import graded seats course pivo'!$1:$2,2,FALSE),FALSE))),"")</f>
        <v/>
      </c>
      <c r="J375" s="14" t="str">
        <f>IFERROR((VLOOKUP($A375,'[1]import success seats course'!$A:X,HLOOKUP('[1]Course Totals'!J$4,'[1]import success seats course'!$1:$2,2,FALSE),FALSE)/(VLOOKUP($A375,'[1]import graded seats course pivo'!$A:AH,HLOOKUP('[1]Course Totals'!J$4,'[1]import graded seats course pivo'!$1:$2,2,FALSE),FALSE))),"")</f>
        <v/>
      </c>
      <c r="K375" s="14" t="str">
        <f>IFERROR((VLOOKUP($A375,'[1]import success seats course'!$A:Y,HLOOKUP('[1]Course Totals'!K$4,'[1]import success seats course'!$1:$2,2,FALSE),FALSE)/(VLOOKUP($A375,'[1]import graded seats course pivo'!$A:AI,HLOOKUP('[1]Course Totals'!K$4,'[1]import graded seats course pivo'!$1:$2,2,FALSE),FALSE))),"")</f>
        <v/>
      </c>
      <c r="L375" s="14" t="str">
        <f>IFERROR((VLOOKUP($A375,'[1]import success seats course'!$A:Z,HLOOKUP('[1]Course Totals'!L$4,'[1]import success seats course'!$1:$2,2,FALSE),FALSE)/(VLOOKUP($A375,'[1]import graded seats course pivo'!$A:AJ,HLOOKUP('[1]Course Totals'!L$4,'[1]import graded seats course pivo'!$1:$2,2,FALSE),FALSE))),"")</f>
        <v/>
      </c>
      <c r="M375" s="14" t="str">
        <f>IFERROR((VLOOKUP($A375,'[1]import success seats course'!$A:AA,HLOOKUP('[1]Course Totals'!M$4,'[1]import success seats course'!$1:$2,2,FALSE),FALSE)/(VLOOKUP($A375,'[1]import graded seats course pivo'!$A:AK,HLOOKUP('[1]Course Totals'!M$4,'[1]import graded seats course pivo'!$1:$2,2,FALSE),FALSE))),"")</f>
        <v/>
      </c>
      <c r="N375" s="14" t="str">
        <f>IFERROR((VLOOKUP($A375,'[1]import success seats course'!$A:AB,HLOOKUP('[1]Course Totals'!N$4,'[1]import success seats course'!$1:$2,2,FALSE),FALSE)/(VLOOKUP($A375,'[1]import graded seats course pivo'!$A:AL,HLOOKUP('[1]Course Totals'!N$4,'[1]import graded seats course pivo'!$1:$2,2,FALSE),FALSE))),"")</f>
        <v/>
      </c>
      <c r="O375" s="14" t="str">
        <f>IFERROR((VLOOKUP($A375,'[1]import success seats course'!$A:AC,HLOOKUP('[1]Course Totals'!O$4,'[1]import success seats course'!$1:$2,2,FALSE),FALSE)/(VLOOKUP($A375,'[1]import graded seats course pivo'!$A:AM,HLOOKUP('[1]Course Totals'!O$4,'[1]import graded seats course pivo'!$1:$2,2,FALSE),FALSE))),"")</f>
        <v/>
      </c>
      <c r="P375" s="14" t="str">
        <f>IFERROR((VLOOKUP($A375,'[1]import success seats course'!$A:AD,HLOOKUP('[1]Course Totals'!P$4,'[1]import success seats course'!$1:$2,2,FALSE),FALSE)/(VLOOKUP($A375,'[1]import graded seats course pivo'!$A:AN,HLOOKUP('[1]Course Totals'!P$4,'[1]import graded seats course pivo'!$1:$2,2,FALSE),FALSE))),"")</f>
        <v/>
      </c>
      <c r="Q375" s="14" t="str">
        <f>IFERROR((VLOOKUP($A375,'[1]import success seats course'!$A:AE,HLOOKUP('[1]Course Totals'!Q$4,'[1]import success seats course'!$1:$2,2,FALSE),FALSE)/(VLOOKUP($A375,'[1]import graded seats course pivo'!$A:AO,HLOOKUP('[1]Course Totals'!Q$4,'[1]import graded seats course pivo'!$1:$2,2,FALSE),FALSE))),"")</f>
        <v/>
      </c>
      <c r="R375" s="14" t="str">
        <f>IFERROR((VLOOKUP($A375,'[1]import success seats course'!$A:AF,HLOOKUP('[1]Course Totals'!R$4,'[1]import success seats course'!$1:$2,2,FALSE),FALSE)/(VLOOKUP($A375,'[1]import graded seats course pivo'!$A:AP,HLOOKUP('[1]Course Totals'!R$4,'[1]import graded seats course pivo'!$1:$2,2,FALSE),FALSE))),"")</f>
        <v/>
      </c>
      <c r="S375" s="14" t="str">
        <f>IFERROR((VLOOKUP($A375,'[1]import success seats course'!$A:AG,HLOOKUP('[1]Course Totals'!S$4,'[1]import success seats course'!$1:$2,2,FALSE),FALSE)/(VLOOKUP($A375,'[1]import graded seats course pivo'!$A:AQ,HLOOKUP('[1]Course Totals'!S$4,'[1]import graded seats course pivo'!$1:$2,2,FALSE),FALSE))),"")</f>
        <v/>
      </c>
      <c r="Z375" s="7"/>
      <c r="AA375" s="7"/>
      <c r="AB375" s="7"/>
      <c r="AC375" s="7"/>
    </row>
    <row r="376" spans="1:29" ht="15.75" hidden="1" customHeight="1" x14ac:dyDescent="0.25">
      <c r="A376" s="12" t="s">
        <v>590</v>
      </c>
      <c r="B376" s="14" t="str">
        <f>IFERROR((VLOOKUP($A376,'[1]import success seats course'!$A:P,HLOOKUP('[1]Course Totals'!B$4,'[1]import success seats course'!$1:$2,2,FALSE),FALSE)/(VLOOKUP($A376,'[1]import graded seats course pivo'!$A:Z,HLOOKUP('[1]Course Totals'!B$4,'[1]import graded seats course pivo'!$1:$2,2,FALSE),FALSE))),"")</f>
        <v/>
      </c>
      <c r="C376" s="14" t="str">
        <f>IFERROR((VLOOKUP($A376,'[1]import success seats course'!$A:Q,HLOOKUP('[1]Course Totals'!C$4,'[1]import success seats course'!$1:$2,2,FALSE),FALSE)/(VLOOKUP($A376,'[1]import graded seats course pivo'!$A:AA,HLOOKUP('[1]Course Totals'!C$4,'[1]import graded seats course pivo'!$1:$2,2,FALSE),FALSE))),"")</f>
        <v/>
      </c>
      <c r="D376" s="14" t="str">
        <f>IFERROR((VLOOKUP($A376,'[1]import success seats course'!$A:R,HLOOKUP('[1]Course Totals'!D$4,'[1]import success seats course'!$1:$2,2,FALSE),FALSE)/(VLOOKUP($A376,'[1]import graded seats course pivo'!$A:AB,HLOOKUP('[1]Course Totals'!D$4,'[1]import graded seats course pivo'!$1:$2,2,FALSE),FALSE))),"")</f>
        <v/>
      </c>
      <c r="E376" s="14" t="str">
        <f>IFERROR((VLOOKUP($A376,'[1]import success seats course'!$A:S,HLOOKUP('[1]Course Totals'!E$4,'[1]import success seats course'!$1:$2,2,FALSE),FALSE)/(VLOOKUP($A376,'[1]import graded seats course pivo'!$A:AC,HLOOKUP('[1]Course Totals'!E$4,'[1]import graded seats course pivo'!$1:$2,2,FALSE),FALSE))),"")</f>
        <v/>
      </c>
      <c r="F376" s="14" t="str">
        <f>IFERROR((VLOOKUP($A376,'[1]import success seats course'!$A:T,HLOOKUP('[1]Course Totals'!F$4,'[1]import success seats course'!$1:$2,2,FALSE),FALSE)/(VLOOKUP($A376,'[1]import graded seats course pivo'!$A:AD,HLOOKUP('[1]Course Totals'!F$4,'[1]import graded seats course pivo'!$1:$2,2,FALSE),FALSE))),"")</f>
        <v/>
      </c>
      <c r="G376" s="14" t="str">
        <f>IFERROR((VLOOKUP($A376,'[1]import success seats course'!$A:U,HLOOKUP('[1]Course Totals'!G$4,'[1]import success seats course'!$1:$2,2,FALSE),FALSE)/(VLOOKUP($A376,'[1]import graded seats course pivo'!$A:AE,HLOOKUP('[1]Course Totals'!G$4,'[1]import graded seats course pivo'!$1:$2,2,FALSE),FALSE))),"")</f>
        <v/>
      </c>
      <c r="H376" s="14" t="str">
        <f>IFERROR((VLOOKUP($A376,'[1]import success seats course'!$A:V,HLOOKUP('[1]Course Totals'!H$4,'[1]import success seats course'!$1:$2,2,FALSE),FALSE)/(VLOOKUP($A376,'[1]import graded seats course pivo'!$A:AF,HLOOKUP('[1]Course Totals'!H$4,'[1]import graded seats course pivo'!$1:$2,2,FALSE),FALSE))),"")</f>
        <v/>
      </c>
      <c r="I376" s="14" t="str">
        <f>IFERROR((VLOOKUP($A376,'[1]import success seats course'!$A:W,HLOOKUP('[1]Course Totals'!I$4,'[1]import success seats course'!$1:$2,2,FALSE),FALSE)/(VLOOKUP($A376,'[1]import graded seats course pivo'!$A:AG,HLOOKUP('[1]Course Totals'!I$4,'[1]import graded seats course pivo'!$1:$2,2,FALSE),FALSE))),"")</f>
        <v/>
      </c>
      <c r="J376" s="14" t="str">
        <f>IFERROR((VLOOKUP($A376,'[1]import success seats course'!$A:X,HLOOKUP('[1]Course Totals'!J$4,'[1]import success seats course'!$1:$2,2,FALSE),FALSE)/(VLOOKUP($A376,'[1]import graded seats course pivo'!$A:AH,HLOOKUP('[1]Course Totals'!J$4,'[1]import graded seats course pivo'!$1:$2,2,FALSE),FALSE))),"")</f>
        <v/>
      </c>
      <c r="K376" s="14" t="str">
        <f>IFERROR((VLOOKUP($A376,'[1]import success seats course'!$A:Y,HLOOKUP('[1]Course Totals'!K$4,'[1]import success seats course'!$1:$2,2,FALSE),FALSE)/(VLOOKUP($A376,'[1]import graded seats course pivo'!$A:AI,HLOOKUP('[1]Course Totals'!K$4,'[1]import graded seats course pivo'!$1:$2,2,FALSE),FALSE))),"")</f>
        <v/>
      </c>
      <c r="L376" s="14" t="str">
        <f>IFERROR((VLOOKUP($A376,'[1]import success seats course'!$A:Z,HLOOKUP('[1]Course Totals'!L$4,'[1]import success seats course'!$1:$2,2,FALSE),FALSE)/(VLOOKUP($A376,'[1]import graded seats course pivo'!$A:AJ,HLOOKUP('[1]Course Totals'!L$4,'[1]import graded seats course pivo'!$1:$2,2,FALSE),FALSE))),"")</f>
        <v/>
      </c>
      <c r="M376" s="14" t="str">
        <f>IFERROR((VLOOKUP($A376,'[1]import success seats course'!$A:AA,HLOOKUP('[1]Course Totals'!M$4,'[1]import success seats course'!$1:$2,2,FALSE),FALSE)/(VLOOKUP($A376,'[1]import graded seats course pivo'!$A:AK,HLOOKUP('[1]Course Totals'!M$4,'[1]import graded seats course pivo'!$1:$2,2,FALSE),FALSE))),"")</f>
        <v/>
      </c>
      <c r="N376" s="14" t="str">
        <f>IFERROR((VLOOKUP($A376,'[1]import success seats course'!$A:AB,HLOOKUP('[1]Course Totals'!N$4,'[1]import success seats course'!$1:$2,2,FALSE),FALSE)/(VLOOKUP($A376,'[1]import graded seats course pivo'!$A:AL,HLOOKUP('[1]Course Totals'!N$4,'[1]import graded seats course pivo'!$1:$2,2,FALSE),FALSE))),"")</f>
        <v/>
      </c>
      <c r="O376" s="14" t="str">
        <f>IFERROR((VLOOKUP($A376,'[1]import success seats course'!$A:AC,HLOOKUP('[1]Course Totals'!O$4,'[1]import success seats course'!$1:$2,2,FALSE),FALSE)/(VLOOKUP($A376,'[1]import graded seats course pivo'!$A:AM,HLOOKUP('[1]Course Totals'!O$4,'[1]import graded seats course pivo'!$1:$2,2,FALSE),FALSE))),"")</f>
        <v/>
      </c>
      <c r="P376" s="14" t="str">
        <f>IFERROR((VLOOKUP($A376,'[1]import success seats course'!$A:AD,HLOOKUP('[1]Course Totals'!P$4,'[1]import success seats course'!$1:$2,2,FALSE),FALSE)/(VLOOKUP($A376,'[1]import graded seats course pivo'!$A:AN,HLOOKUP('[1]Course Totals'!P$4,'[1]import graded seats course pivo'!$1:$2,2,FALSE),FALSE))),"")</f>
        <v/>
      </c>
      <c r="Q376" s="14" t="str">
        <f>IFERROR((VLOOKUP($A376,'[1]import success seats course'!$A:AE,HLOOKUP('[1]Course Totals'!Q$4,'[1]import success seats course'!$1:$2,2,FALSE),FALSE)/(VLOOKUP($A376,'[1]import graded seats course pivo'!$A:AO,HLOOKUP('[1]Course Totals'!Q$4,'[1]import graded seats course pivo'!$1:$2,2,FALSE),FALSE))),"")</f>
        <v/>
      </c>
      <c r="R376" s="14" t="str">
        <f>IFERROR((VLOOKUP($A376,'[1]import success seats course'!$A:AF,HLOOKUP('[1]Course Totals'!R$4,'[1]import success seats course'!$1:$2,2,FALSE),FALSE)/(VLOOKUP($A376,'[1]import graded seats course pivo'!$A:AP,HLOOKUP('[1]Course Totals'!R$4,'[1]import graded seats course pivo'!$1:$2,2,FALSE),FALSE))),"")</f>
        <v/>
      </c>
      <c r="S376" s="14" t="str">
        <f>IFERROR((VLOOKUP($A376,'[1]import success seats course'!$A:AG,HLOOKUP('[1]Course Totals'!S$4,'[1]import success seats course'!$1:$2,2,FALSE),FALSE)/(VLOOKUP($A376,'[1]import graded seats course pivo'!$A:AQ,HLOOKUP('[1]Course Totals'!S$4,'[1]import graded seats course pivo'!$1:$2,2,FALSE),FALSE))),"")</f>
        <v/>
      </c>
      <c r="Z376" s="7"/>
      <c r="AA376" s="7"/>
      <c r="AB376" s="7"/>
      <c r="AC376" s="7"/>
    </row>
    <row r="377" spans="1:29" ht="15.75" customHeight="1" x14ac:dyDescent="0.25">
      <c r="A377" s="12" t="s">
        <v>186</v>
      </c>
      <c r="B377" s="14" t="str">
        <f>IFERROR((VLOOKUP($A377,'[1]import success seats course'!$A:P,HLOOKUP('[1]Course Totals'!B$4,'[1]import success seats course'!$1:$2,2,FALSE),FALSE)/(VLOOKUP($A377,'[1]import graded seats course pivo'!$A:Z,HLOOKUP('[1]Course Totals'!B$4,'[1]import graded seats course pivo'!$1:$2,2,FALSE),FALSE))),"")</f>
        <v/>
      </c>
      <c r="C377" s="14">
        <f>IFERROR((VLOOKUP($A377,'[1]import success seats course'!$A:Q,HLOOKUP('[1]Course Totals'!C$4,'[1]import success seats course'!$1:$2,2,FALSE),FALSE)/(VLOOKUP($A377,'[1]import graded seats course pivo'!$A:AA,HLOOKUP('[1]Course Totals'!C$4,'[1]import graded seats course pivo'!$1:$2,2,FALSE),FALSE))),"")</f>
        <v>0.73684210526315785</v>
      </c>
      <c r="D377" s="14" t="str">
        <f>IFERROR((VLOOKUP($A377,'[1]import success seats course'!$A:R,HLOOKUP('[1]Course Totals'!D$4,'[1]import success seats course'!$1:$2,2,FALSE),FALSE)/(VLOOKUP($A377,'[1]import graded seats course pivo'!$A:AB,HLOOKUP('[1]Course Totals'!D$4,'[1]import graded seats course pivo'!$1:$2,2,FALSE),FALSE))),"")</f>
        <v/>
      </c>
      <c r="E377" s="14" t="str">
        <f>IFERROR((VLOOKUP($A377,'[1]import success seats course'!$A:S,HLOOKUP('[1]Course Totals'!E$4,'[1]import success seats course'!$1:$2,2,FALSE),FALSE)/(VLOOKUP($A377,'[1]import graded seats course pivo'!$A:AC,HLOOKUP('[1]Course Totals'!E$4,'[1]import graded seats course pivo'!$1:$2,2,FALSE),FALSE))),"")</f>
        <v/>
      </c>
      <c r="F377" s="14">
        <f>IFERROR((VLOOKUP($A377,'[1]import success seats course'!$A:T,HLOOKUP('[1]Course Totals'!F$4,'[1]import success seats course'!$1:$2,2,FALSE),FALSE)/(VLOOKUP($A377,'[1]import graded seats course pivo'!$A:AD,HLOOKUP('[1]Course Totals'!F$4,'[1]import graded seats course pivo'!$1:$2,2,FALSE),FALSE))),"")</f>
        <v>0.75</v>
      </c>
      <c r="G377" s="14" t="str">
        <f>IFERROR((VLOOKUP($A377,'[1]import success seats course'!$A:U,HLOOKUP('[1]Course Totals'!G$4,'[1]import success seats course'!$1:$2,2,FALSE),FALSE)/(VLOOKUP($A377,'[1]import graded seats course pivo'!$A:AE,HLOOKUP('[1]Course Totals'!G$4,'[1]import graded seats course pivo'!$1:$2,2,FALSE),FALSE))),"")</f>
        <v/>
      </c>
      <c r="H377" s="14" t="str">
        <f>IFERROR((VLOOKUP($A377,'[1]import success seats course'!$A:V,HLOOKUP('[1]Course Totals'!H$4,'[1]import success seats course'!$1:$2,2,FALSE),FALSE)/(VLOOKUP($A377,'[1]import graded seats course pivo'!$A:AF,HLOOKUP('[1]Course Totals'!H$4,'[1]import graded seats course pivo'!$1:$2,2,FALSE),FALSE))),"")</f>
        <v/>
      </c>
      <c r="I377" s="14">
        <f>IFERROR((VLOOKUP($A377,'[1]import success seats course'!$A:W,HLOOKUP('[1]Course Totals'!I$4,'[1]import success seats course'!$1:$2,2,FALSE),FALSE)/(VLOOKUP($A377,'[1]import graded seats course pivo'!$A:AG,HLOOKUP('[1]Course Totals'!I$4,'[1]import graded seats course pivo'!$1:$2,2,FALSE),FALSE))),"")</f>
        <v>1</v>
      </c>
      <c r="J377" s="14">
        <f>IFERROR((VLOOKUP($A377,'[1]import success seats course'!$A:X,HLOOKUP('[1]Course Totals'!J$4,'[1]import success seats course'!$1:$2,2,FALSE),FALSE)/(VLOOKUP($A377,'[1]import graded seats course pivo'!$A:AH,HLOOKUP('[1]Course Totals'!J$4,'[1]import graded seats course pivo'!$1:$2,2,FALSE),FALSE))),"")</f>
        <v>0.9</v>
      </c>
      <c r="K377" s="14" t="str">
        <f>IFERROR((VLOOKUP($A377,'[1]import success seats course'!$A:Y,HLOOKUP('[1]Course Totals'!K$4,'[1]import success seats course'!$1:$2,2,FALSE),FALSE)/(VLOOKUP($A377,'[1]import graded seats course pivo'!$A:AI,HLOOKUP('[1]Course Totals'!K$4,'[1]import graded seats course pivo'!$1:$2,2,FALSE),FALSE))),"")</f>
        <v/>
      </c>
      <c r="L377" s="14">
        <f>IFERROR((VLOOKUP($A377,'[1]import success seats course'!$A:Z,HLOOKUP('[1]Course Totals'!L$4,'[1]import success seats course'!$1:$2,2,FALSE),FALSE)/(VLOOKUP($A377,'[1]import graded seats course pivo'!$A:AJ,HLOOKUP('[1]Course Totals'!L$4,'[1]import graded seats course pivo'!$1:$2,2,FALSE),FALSE))),"")</f>
        <v>1</v>
      </c>
      <c r="M377" s="14" t="str">
        <f>IFERROR((VLOOKUP($A377,'[1]import success seats course'!$A:AA,HLOOKUP('[1]Course Totals'!M$4,'[1]import success seats course'!$1:$2,2,FALSE),FALSE)/(VLOOKUP($A377,'[1]import graded seats course pivo'!$A:AK,HLOOKUP('[1]Course Totals'!M$4,'[1]import graded seats course pivo'!$1:$2,2,FALSE),FALSE))),"")</f>
        <v/>
      </c>
      <c r="N377" s="14" t="str">
        <f>IFERROR((VLOOKUP($A377,'[1]import success seats course'!$A:AB,HLOOKUP('[1]Course Totals'!N$4,'[1]import success seats course'!$1:$2,2,FALSE),FALSE)/(VLOOKUP($A377,'[1]import graded seats course pivo'!$A:AL,HLOOKUP('[1]Course Totals'!N$4,'[1]import graded seats course pivo'!$1:$2,2,FALSE),FALSE))),"")</f>
        <v/>
      </c>
      <c r="O377" s="14">
        <f>IFERROR((VLOOKUP($A377,'[1]import success seats course'!$A:AC,HLOOKUP('[1]Course Totals'!O$4,'[1]import success seats course'!$1:$2,2,FALSE),FALSE)/(VLOOKUP($A377,'[1]import graded seats course pivo'!$A:AM,HLOOKUP('[1]Course Totals'!O$4,'[1]import graded seats course pivo'!$1:$2,2,FALSE),FALSE))),"")</f>
        <v>0.91304347826086951</v>
      </c>
      <c r="P377" s="14">
        <f>IFERROR((VLOOKUP($A377,'[1]import success seats course'!$A:AD,HLOOKUP('[1]Course Totals'!P$4,'[1]import success seats course'!$1:$2,2,FALSE),FALSE)/(VLOOKUP($A377,'[1]import graded seats course pivo'!$A:AN,HLOOKUP('[1]Course Totals'!P$4,'[1]import graded seats course pivo'!$1:$2,2,FALSE),FALSE))),"")</f>
        <v>0.76190476190476186</v>
      </c>
      <c r="Q377" s="14" t="str">
        <f>IFERROR((VLOOKUP($A377,'[1]import success seats course'!$A:AE,HLOOKUP('[1]Course Totals'!Q$4,'[1]import success seats course'!$1:$2,2,FALSE),FALSE)/(VLOOKUP($A377,'[1]import graded seats course pivo'!$A:AO,HLOOKUP('[1]Course Totals'!Q$4,'[1]import graded seats course pivo'!$1:$2,2,FALSE),FALSE))),"")</f>
        <v/>
      </c>
      <c r="R377" s="14">
        <f>IFERROR((VLOOKUP($A377,'[1]import success seats course'!$A:AF,HLOOKUP('[1]Course Totals'!R$4,'[1]import success seats course'!$1:$2,2,FALSE),FALSE)/(VLOOKUP($A377,'[1]import graded seats course pivo'!$A:AP,HLOOKUP('[1]Course Totals'!R$4,'[1]import graded seats course pivo'!$1:$2,2,FALSE),FALSE))),"")</f>
        <v>0.93333333333333335</v>
      </c>
      <c r="S377" s="14">
        <f>IFERROR((VLOOKUP($A377,'[1]import success seats course'!$A:AG,HLOOKUP('[1]Course Totals'!S$4,'[1]import success seats course'!$1:$2,2,FALSE),FALSE)/(VLOOKUP($A377,'[1]import graded seats course pivo'!$A:AQ,HLOOKUP('[1]Course Totals'!S$4,'[1]import graded seats course pivo'!$1:$2,2,FALSE),FALSE))),"")</f>
        <v>0.84</v>
      </c>
      <c r="Z377" s="7"/>
      <c r="AA377" s="7"/>
      <c r="AB377" s="7"/>
      <c r="AC377" s="7"/>
    </row>
    <row r="378" spans="1:29" ht="15.75" customHeight="1" x14ac:dyDescent="0.25">
      <c r="A378" s="12" t="s">
        <v>591</v>
      </c>
      <c r="B378" s="14" t="str">
        <f>IFERROR((VLOOKUP($A378,'[1]import success seats course'!$A:P,HLOOKUP('[1]Course Totals'!B$4,'[1]import success seats course'!$1:$2,2,FALSE),FALSE)/(VLOOKUP($A378,'[1]import graded seats course pivo'!$A:Z,HLOOKUP('[1]Course Totals'!B$4,'[1]import graded seats course pivo'!$1:$2,2,FALSE),FALSE))),"")</f>
        <v/>
      </c>
      <c r="C378" s="14" t="str">
        <f>IFERROR((VLOOKUP($A378,'[1]import success seats course'!$A:Q,HLOOKUP('[1]Course Totals'!C$4,'[1]import success seats course'!$1:$2,2,FALSE),FALSE)/(VLOOKUP($A378,'[1]import graded seats course pivo'!$A:AA,HLOOKUP('[1]Course Totals'!C$4,'[1]import graded seats course pivo'!$1:$2,2,FALSE),FALSE))),"")</f>
        <v/>
      </c>
      <c r="D378" s="14" t="str">
        <f>IFERROR((VLOOKUP($A378,'[1]import success seats course'!$A:R,HLOOKUP('[1]Course Totals'!D$4,'[1]import success seats course'!$1:$2,2,FALSE),FALSE)/(VLOOKUP($A378,'[1]import graded seats course pivo'!$A:AB,HLOOKUP('[1]Course Totals'!D$4,'[1]import graded seats course pivo'!$1:$2,2,FALSE),FALSE))),"")</f>
        <v/>
      </c>
      <c r="E378" s="14" t="str">
        <f>IFERROR((VLOOKUP($A378,'[1]import success seats course'!$A:S,HLOOKUP('[1]Course Totals'!E$4,'[1]import success seats course'!$1:$2,2,FALSE),FALSE)/(VLOOKUP($A378,'[1]import graded seats course pivo'!$A:AC,HLOOKUP('[1]Course Totals'!E$4,'[1]import graded seats course pivo'!$1:$2,2,FALSE),FALSE))),"")</f>
        <v/>
      </c>
      <c r="F378" s="14">
        <f>IFERROR((VLOOKUP($A378,'[1]import success seats course'!$A:T,HLOOKUP('[1]Course Totals'!F$4,'[1]import success seats course'!$1:$2,2,FALSE),FALSE)/(VLOOKUP($A378,'[1]import graded seats course pivo'!$A:AD,HLOOKUP('[1]Course Totals'!F$4,'[1]import graded seats course pivo'!$1:$2,2,FALSE),FALSE))),"")</f>
        <v>0.78947368421052633</v>
      </c>
      <c r="G378" s="14" t="str">
        <f>IFERROR((VLOOKUP($A378,'[1]import success seats course'!$A:U,HLOOKUP('[1]Course Totals'!G$4,'[1]import success seats course'!$1:$2,2,FALSE),FALSE)/(VLOOKUP($A378,'[1]import graded seats course pivo'!$A:AE,HLOOKUP('[1]Course Totals'!G$4,'[1]import graded seats course pivo'!$1:$2,2,FALSE),FALSE))),"")</f>
        <v/>
      </c>
      <c r="H378" s="14" t="str">
        <f>IFERROR((VLOOKUP($A378,'[1]import success seats course'!$A:V,HLOOKUP('[1]Course Totals'!H$4,'[1]import success seats course'!$1:$2,2,FALSE),FALSE)/(VLOOKUP($A378,'[1]import graded seats course pivo'!$A:AF,HLOOKUP('[1]Course Totals'!H$4,'[1]import graded seats course pivo'!$1:$2,2,FALSE),FALSE))),"")</f>
        <v/>
      </c>
      <c r="I378" s="14" t="str">
        <f>IFERROR((VLOOKUP($A378,'[1]import success seats course'!$A:W,HLOOKUP('[1]Course Totals'!I$4,'[1]import success seats course'!$1:$2,2,FALSE),FALSE)/(VLOOKUP($A378,'[1]import graded seats course pivo'!$A:AG,HLOOKUP('[1]Course Totals'!I$4,'[1]import graded seats course pivo'!$1:$2,2,FALSE),FALSE))),"")</f>
        <v/>
      </c>
      <c r="J378" s="14" t="str">
        <f>IFERROR((VLOOKUP($A378,'[1]import success seats course'!$A:X,HLOOKUP('[1]Course Totals'!J$4,'[1]import success seats course'!$1:$2,2,FALSE),FALSE)/(VLOOKUP($A378,'[1]import graded seats course pivo'!$A:AH,HLOOKUP('[1]Course Totals'!J$4,'[1]import graded seats course pivo'!$1:$2,2,FALSE),FALSE))),"")</f>
        <v/>
      </c>
      <c r="K378" s="14" t="str">
        <f>IFERROR((VLOOKUP($A378,'[1]import success seats course'!$A:Y,HLOOKUP('[1]Course Totals'!K$4,'[1]import success seats course'!$1:$2,2,FALSE),FALSE)/(VLOOKUP($A378,'[1]import graded seats course pivo'!$A:AI,HLOOKUP('[1]Course Totals'!K$4,'[1]import graded seats course pivo'!$1:$2,2,FALSE),FALSE))),"")</f>
        <v/>
      </c>
      <c r="L378" s="14">
        <f>IFERROR((VLOOKUP($A378,'[1]import success seats course'!$A:Z,HLOOKUP('[1]Course Totals'!L$4,'[1]import success seats course'!$1:$2,2,FALSE),FALSE)/(VLOOKUP($A378,'[1]import graded seats course pivo'!$A:AJ,HLOOKUP('[1]Course Totals'!L$4,'[1]import graded seats course pivo'!$1:$2,2,FALSE),FALSE))),"")</f>
        <v>0.77777777777777779</v>
      </c>
      <c r="M378" s="14" t="str">
        <f>IFERROR((VLOOKUP($A378,'[1]import success seats course'!$A:AA,HLOOKUP('[1]Course Totals'!M$4,'[1]import success seats course'!$1:$2,2,FALSE),FALSE)/(VLOOKUP($A378,'[1]import graded seats course pivo'!$A:AK,HLOOKUP('[1]Course Totals'!M$4,'[1]import graded seats course pivo'!$1:$2,2,FALSE),FALSE))),"")</f>
        <v/>
      </c>
      <c r="N378" s="14" t="str">
        <f>IFERROR((VLOOKUP($A378,'[1]import success seats course'!$A:AB,HLOOKUP('[1]Course Totals'!N$4,'[1]import success seats course'!$1:$2,2,FALSE),FALSE)/(VLOOKUP($A378,'[1]import graded seats course pivo'!$A:AL,HLOOKUP('[1]Course Totals'!N$4,'[1]import graded seats course pivo'!$1:$2,2,FALSE),FALSE))),"")</f>
        <v/>
      </c>
      <c r="O378" s="14" t="str">
        <f>IFERROR((VLOOKUP($A378,'[1]import success seats course'!$A:AC,HLOOKUP('[1]Course Totals'!O$4,'[1]import success seats course'!$1:$2,2,FALSE),FALSE)/(VLOOKUP($A378,'[1]import graded seats course pivo'!$A:AM,HLOOKUP('[1]Course Totals'!O$4,'[1]import graded seats course pivo'!$1:$2,2,FALSE),FALSE))),"")</f>
        <v/>
      </c>
      <c r="P378" s="14" t="str">
        <f>IFERROR((VLOOKUP($A378,'[1]import success seats course'!$A:AD,HLOOKUP('[1]Course Totals'!P$4,'[1]import success seats course'!$1:$2,2,FALSE),FALSE)/(VLOOKUP($A378,'[1]import graded seats course pivo'!$A:AN,HLOOKUP('[1]Course Totals'!P$4,'[1]import graded seats course pivo'!$1:$2,2,FALSE),FALSE))),"")</f>
        <v/>
      </c>
      <c r="Q378" s="14" t="str">
        <f>IFERROR((VLOOKUP($A378,'[1]import success seats course'!$A:AE,HLOOKUP('[1]Course Totals'!Q$4,'[1]import success seats course'!$1:$2,2,FALSE),FALSE)/(VLOOKUP($A378,'[1]import graded seats course pivo'!$A:AO,HLOOKUP('[1]Course Totals'!Q$4,'[1]import graded seats course pivo'!$1:$2,2,FALSE),FALSE))),"")</f>
        <v/>
      </c>
      <c r="R378" s="14" t="str">
        <f>IFERROR((VLOOKUP($A378,'[1]import success seats course'!$A:AF,HLOOKUP('[1]Course Totals'!R$4,'[1]import success seats course'!$1:$2,2,FALSE),FALSE)/(VLOOKUP($A378,'[1]import graded seats course pivo'!$A:AP,HLOOKUP('[1]Course Totals'!R$4,'[1]import graded seats course pivo'!$1:$2,2,FALSE),FALSE))),"")</f>
        <v/>
      </c>
      <c r="S378" s="14" t="str">
        <f>IFERROR((VLOOKUP($A378,'[1]import success seats course'!$A:AG,HLOOKUP('[1]Course Totals'!S$4,'[1]import success seats course'!$1:$2,2,FALSE),FALSE)/(VLOOKUP($A378,'[1]import graded seats course pivo'!$A:AQ,HLOOKUP('[1]Course Totals'!S$4,'[1]import graded seats course pivo'!$1:$2,2,FALSE),FALSE))),"")</f>
        <v/>
      </c>
      <c r="Z378" s="7"/>
      <c r="AA378" s="7"/>
      <c r="AB378" s="7"/>
      <c r="AC378" s="7"/>
    </row>
    <row r="379" spans="1:29" ht="15.75" hidden="1" customHeight="1" x14ac:dyDescent="0.25">
      <c r="A379" s="12" t="s">
        <v>713</v>
      </c>
      <c r="B379" s="14" t="str">
        <f>IFERROR((VLOOKUP($A379,'[1]import success seats course'!$A:P,HLOOKUP('[1]Course Totals'!B$4,'[1]import success seats course'!$1:$2,2,FALSE),FALSE)/(VLOOKUP($A379,'[1]import graded seats course pivo'!$A:Z,HLOOKUP('[1]Course Totals'!B$4,'[1]import graded seats course pivo'!$1:$2,2,FALSE),FALSE))),"")</f>
        <v/>
      </c>
      <c r="C379" s="14" t="str">
        <f>IFERROR((VLOOKUP($A379,'[1]import success seats course'!$A:Q,HLOOKUP('[1]Course Totals'!C$4,'[1]import success seats course'!$1:$2,2,FALSE),FALSE)/(VLOOKUP($A379,'[1]import graded seats course pivo'!$A:AA,HLOOKUP('[1]Course Totals'!C$4,'[1]import graded seats course pivo'!$1:$2,2,FALSE),FALSE))),"")</f>
        <v/>
      </c>
      <c r="D379" s="14" t="str">
        <f>IFERROR((VLOOKUP($A379,'[1]import success seats course'!$A:R,HLOOKUP('[1]Course Totals'!D$4,'[1]import success seats course'!$1:$2,2,FALSE),FALSE)/(VLOOKUP($A379,'[1]import graded seats course pivo'!$A:AB,HLOOKUP('[1]Course Totals'!D$4,'[1]import graded seats course pivo'!$1:$2,2,FALSE),FALSE))),"")</f>
        <v/>
      </c>
      <c r="E379" s="14" t="str">
        <f>IFERROR((VLOOKUP($A379,'[1]import success seats course'!$A:S,HLOOKUP('[1]Course Totals'!E$4,'[1]import success seats course'!$1:$2,2,FALSE),FALSE)/(VLOOKUP($A379,'[1]import graded seats course pivo'!$A:AC,HLOOKUP('[1]Course Totals'!E$4,'[1]import graded seats course pivo'!$1:$2,2,FALSE),FALSE))),"")</f>
        <v/>
      </c>
      <c r="F379" s="14" t="str">
        <f>IFERROR((VLOOKUP($A379,'[1]import success seats course'!$A:T,HLOOKUP('[1]Course Totals'!F$4,'[1]import success seats course'!$1:$2,2,FALSE),FALSE)/(VLOOKUP($A379,'[1]import graded seats course pivo'!$A:AD,HLOOKUP('[1]Course Totals'!F$4,'[1]import graded seats course pivo'!$1:$2,2,FALSE),FALSE))),"")</f>
        <v/>
      </c>
      <c r="G379" s="14" t="str">
        <f>IFERROR((VLOOKUP($A379,'[1]import success seats course'!$A:U,HLOOKUP('[1]Course Totals'!G$4,'[1]import success seats course'!$1:$2,2,FALSE),FALSE)/(VLOOKUP($A379,'[1]import graded seats course pivo'!$A:AE,HLOOKUP('[1]Course Totals'!G$4,'[1]import graded seats course pivo'!$1:$2,2,FALSE),FALSE))),"")</f>
        <v/>
      </c>
      <c r="H379" s="14" t="str">
        <f>IFERROR((VLOOKUP($A379,'[1]import success seats course'!$A:V,HLOOKUP('[1]Course Totals'!H$4,'[1]import success seats course'!$1:$2,2,FALSE),FALSE)/(VLOOKUP($A379,'[1]import graded seats course pivo'!$A:AF,HLOOKUP('[1]Course Totals'!H$4,'[1]import graded seats course pivo'!$1:$2,2,FALSE),FALSE))),"")</f>
        <v/>
      </c>
      <c r="I379" s="14" t="str">
        <f>IFERROR((VLOOKUP($A379,'[1]import success seats course'!$A:W,HLOOKUP('[1]Course Totals'!I$4,'[1]import success seats course'!$1:$2,2,FALSE),FALSE)/(VLOOKUP($A379,'[1]import graded seats course pivo'!$A:AG,HLOOKUP('[1]Course Totals'!I$4,'[1]import graded seats course pivo'!$1:$2,2,FALSE),FALSE))),"")</f>
        <v/>
      </c>
      <c r="J379" s="14" t="str">
        <f>IFERROR((VLOOKUP($A379,'[1]import success seats course'!$A:X,HLOOKUP('[1]Course Totals'!J$4,'[1]import success seats course'!$1:$2,2,FALSE),FALSE)/(VLOOKUP($A379,'[1]import graded seats course pivo'!$A:AH,HLOOKUP('[1]Course Totals'!J$4,'[1]import graded seats course pivo'!$1:$2,2,FALSE),FALSE))),"")</f>
        <v/>
      </c>
      <c r="K379" s="14" t="str">
        <f>IFERROR((VLOOKUP($A379,'[1]import success seats course'!$A:Y,HLOOKUP('[1]Course Totals'!K$4,'[1]import success seats course'!$1:$2,2,FALSE),FALSE)/(VLOOKUP($A379,'[1]import graded seats course pivo'!$A:AI,HLOOKUP('[1]Course Totals'!K$4,'[1]import graded seats course pivo'!$1:$2,2,FALSE),FALSE))),"")</f>
        <v/>
      </c>
      <c r="L379" s="14" t="str">
        <f>IFERROR((VLOOKUP($A379,'[1]import success seats course'!$A:Z,HLOOKUP('[1]Course Totals'!L$4,'[1]import success seats course'!$1:$2,2,FALSE),FALSE)/(VLOOKUP($A379,'[1]import graded seats course pivo'!$A:AJ,HLOOKUP('[1]Course Totals'!L$4,'[1]import graded seats course pivo'!$1:$2,2,FALSE),FALSE))),"")</f>
        <v/>
      </c>
      <c r="M379" s="14" t="str">
        <f>IFERROR((VLOOKUP($A379,'[1]import success seats course'!$A:AA,HLOOKUP('[1]Course Totals'!M$4,'[1]import success seats course'!$1:$2,2,FALSE),FALSE)/(VLOOKUP($A379,'[1]import graded seats course pivo'!$A:AK,HLOOKUP('[1]Course Totals'!M$4,'[1]import graded seats course pivo'!$1:$2,2,FALSE),FALSE))),"")</f>
        <v/>
      </c>
      <c r="N379" s="14" t="str">
        <f>IFERROR((VLOOKUP($A379,'[1]import success seats course'!$A:AB,HLOOKUP('[1]Course Totals'!N$4,'[1]import success seats course'!$1:$2,2,FALSE),FALSE)/(VLOOKUP($A379,'[1]import graded seats course pivo'!$A:AL,HLOOKUP('[1]Course Totals'!N$4,'[1]import graded seats course pivo'!$1:$2,2,FALSE),FALSE))),"")</f>
        <v/>
      </c>
      <c r="O379" s="14" t="str">
        <f>IFERROR((VLOOKUP($A379,'[1]import success seats course'!$A:AC,HLOOKUP('[1]Course Totals'!O$4,'[1]import success seats course'!$1:$2,2,FALSE),FALSE)/(VLOOKUP($A379,'[1]import graded seats course pivo'!$A:AM,HLOOKUP('[1]Course Totals'!O$4,'[1]import graded seats course pivo'!$1:$2,2,FALSE),FALSE))),"")</f>
        <v/>
      </c>
      <c r="P379" s="14" t="str">
        <f>IFERROR((VLOOKUP($A379,'[1]import success seats course'!$A:AD,HLOOKUP('[1]Course Totals'!P$4,'[1]import success seats course'!$1:$2,2,FALSE),FALSE)/(VLOOKUP($A379,'[1]import graded seats course pivo'!$A:AN,HLOOKUP('[1]Course Totals'!P$4,'[1]import graded seats course pivo'!$1:$2,2,FALSE),FALSE))),"")</f>
        <v/>
      </c>
      <c r="Q379" s="14" t="str">
        <f>IFERROR((VLOOKUP($A379,'[1]import success seats course'!$A:AE,HLOOKUP('[1]Course Totals'!Q$4,'[1]import success seats course'!$1:$2,2,FALSE),FALSE)/(VLOOKUP($A379,'[1]import graded seats course pivo'!$A:AO,HLOOKUP('[1]Course Totals'!Q$4,'[1]import graded seats course pivo'!$1:$2,2,FALSE),FALSE))),"")</f>
        <v/>
      </c>
      <c r="R379" s="14" t="str">
        <f>IFERROR((VLOOKUP($A379,'[1]import success seats course'!$A:AF,HLOOKUP('[1]Course Totals'!R$4,'[1]import success seats course'!$1:$2,2,FALSE),FALSE)/(VLOOKUP($A379,'[1]import graded seats course pivo'!$A:AP,HLOOKUP('[1]Course Totals'!R$4,'[1]import graded seats course pivo'!$1:$2,2,FALSE),FALSE))),"")</f>
        <v/>
      </c>
      <c r="S379" s="14" t="str">
        <f>IFERROR((VLOOKUP($A379,'[1]import success seats course'!$A:AG,HLOOKUP('[1]Course Totals'!S$4,'[1]import success seats course'!$1:$2,2,FALSE),FALSE)/(VLOOKUP($A379,'[1]import graded seats course pivo'!$A:AQ,HLOOKUP('[1]Course Totals'!S$4,'[1]import graded seats course pivo'!$1:$2,2,FALSE),FALSE))),"")</f>
        <v/>
      </c>
      <c r="Z379" s="7"/>
      <c r="AA379" s="7"/>
      <c r="AB379" s="7"/>
      <c r="AC379" s="7"/>
    </row>
    <row r="380" spans="1:29" ht="15.75" hidden="1" customHeight="1" x14ac:dyDescent="0.25">
      <c r="A380" s="12" t="s">
        <v>779</v>
      </c>
      <c r="B380" s="14" t="str">
        <f>IFERROR((VLOOKUP($A380,'[1]import success seats course'!$A:P,HLOOKUP('[1]Course Totals'!B$4,'[1]import success seats course'!$1:$2,2,FALSE),FALSE)/(VLOOKUP($A380,'[1]import graded seats course pivo'!$A:Z,HLOOKUP('[1]Course Totals'!B$4,'[1]import graded seats course pivo'!$1:$2,2,FALSE),FALSE))),"")</f>
        <v/>
      </c>
      <c r="C380" s="14" t="str">
        <f>IFERROR((VLOOKUP($A380,'[1]import success seats course'!$A:Q,HLOOKUP('[1]Course Totals'!C$4,'[1]import success seats course'!$1:$2,2,FALSE),FALSE)/(VLOOKUP($A380,'[1]import graded seats course pivo'!$A:AA,HLOOKUP('[1]Course Totals'!C$4,'[1]import graded seats course pivo'!$1:$2,2,FALSE),FALSE))),"")</f>
        <v/>
      </c>
      <c r="D380" s="14" t="str">
        <f>IFERROR((VLOOKUP($A380,'[1]import success seats course'!$A:R,HLOOKUP('[1]Course Totals'!D$4,'[1]import success seats course'!$1:$2,2,FALSE),FALSE)/(VLOOKUP($A380,'[1]import graded seats course pivo'!$A:AB,HLOOKUP('[1]Course Totals'!D$4,'[1]import graded seats course pivo'!$1:$2,2,FALSE),FALSE))),"")</f>
        <v/>
      </c>
      <c r="E380" s="14" t="str">
        <f>IFERROR((VLOOKUP($A380,'[1]import success seats course'!$A:S,HLOOKUP('[1]Course Totals'!E$4,'[1]import success seats course'!$1:$2,2,FALSE),FALSE)/(VLOOKUP($A380,'[1]import graded seats course pivo'!$A:AC,HLOOKUP('[1]Course Totals'!E$4,'[1]import graded seats course pivo'!$1:$2,2,FALSE),FALSE))),"")</f>
        <v/>
      </c>
      <c r="F380" s="14" t="str">
        <f>IFERROR((VLOOKUP($A380,'[1]import success seats course'!$A:T,HLOOKUP('[1]Course Totals'!F$4,'[1]import success seats course'!$1:$2,2,FALSE),FALSE)/(VLOOKUP($A380,'[1]import graded seats course pivo'!$A:AD,HLOOKUP('[1]Course Totals'!F$4,'[1]import graded seats course pivo'!$1:$2,2,FALSE),FALSE))),"")</f>
        <v/>
      </c>
      <c r="G380" s="14" t="str">
        <f>IFERROR((VLOOKUP($A380,'[1]import success seats course'!$A:U,HLOOKUP('[1]Course Totals'!G$4,'[1]import success seats course'!$1:$2,2,FALSE),FALSE)/(VLOOKUP($A380,'[1]import graded seats course pivo'!$A:AE,HLOOKUP('[1]Course Totals'!G$4,'[1]import graded seats course pivo'!$1:$2,2,FALSE),FALSE))),"")</f>
        <v/>
      </c>
      <c r="H380" s="14" t="str">
        <f>IFERROR((VLOOKUP($A380,'[1]import success seats course'!$A:V,HLOOKUP('[1]Course Totals'!H$4,'[1]import success seats course'!$1:$2,2,FALSE),FALSE)/(VLOOKUP($A380,'[1]import graded seats course pivo'!$A:AF,HLOOKUP('[1]Course Totals'!H$4,'[1]import graded seats course pivo'!$1:$2,2,FALSE),FALSE))),"")</f>
        <v/>
      </c>
      <c r="I380" s="14" t="str">
        <f>IFERROR((VLOOKUP($A380,'[1]import success seats course'!$A:W,HLOOKUP('[1]Course Totals'!I$4,'[1]import success seats course'!$1:$2,2,FALSE),FALSE)/(VLOOKUP($A380,'[1]import graded seats course pivo'!$A:AG,HLOOKUP('[1]Course Totals'!I$4,'[1]import graded seats course pivo'!$1:$2,2,FALSE),FALSE))),"")</f>
        <v/>
      </c>
      <c r="J380" s="14" t="str">
        <f>IFERROR((VLOOKUP($A380,'[1]import success seats course'!$A:X,HLOOKUP('[1]Course Totals'!J$4,'[1]import success seats course'!$1:$2,2,FALSE),FALSE)/(VLOOKUP($A380,'[1]import graded seats course pivo'!$A:AH,HLOOKUP('[1]Course Totals'!J$4,'[1]import graded seats course pivo'!$1:$2,2,FALSE),FALSE))),"")</f>
        <v/>
      </c>
      <c r="K380" s="14" t="str">
        <f>IFERROR((VLOOKUP($A380,'[1]import success seats course'!$A:Y,HLOOKUP('[1]Course Totals'!K$4,'[1]import success seats course'!$1:$2,2,FALSE),FALSE)/(VLOOKUP($A380,'[1]import graded seats course pivo'!$A:AI,HLOOKUP('[1]Course Totals'!K$4,'[1]import graded seats course pivo'!$1:$2,2,FALSE),FALSE))),"")</f>
        <v/>
      </c>
      <c r="L380" s="14" t="str">
        <f>IFERROR((VLOOKUP($A380,'[1]import success seats course'!$A:Z,HLOOKUP('[1]Course Totals'!L$4,'[1]import success seats course'!$1:$2,2,FALSE),FALSE)/(VLOOKUP($A380,'[1]import graded seats course pivo'!$A:AJ,HLOOKUP('[1]Course Totals'!L$4,'[1]import graded seats course pivo'!$1:$2,2,FALSE),FALSE))),"")</f>
        <v/>
      </c>
      <c r="M380" s="14" t="str">
        <f>IFERROR((VLOOKUP($A380,'[1]import success seats course'!$A:AA,HLOOKUP('[1]Course Totals'!M$4,'[1]import success seats course'!$1:$2,2,FALSE),FALSE)/(VLOOKUP($A380,'[1]import graded seats course pivo'!$A:AK,HLOOKUP('[1]Course Totals'!M$4,'[1]import graded seats course pivo'!$1:$2,2,FALSE),FALSE))),"")</f>
        <v/>
      </c>
      <c r="N380" s="14" t="str">
        <f>IFERROR((VLOOKUP($A380,'[1]import success seats course'!$A:AB,HLOOKUP('[1]Course Totals'!N$4,'[1]import success seats course'!$1:$2,2,FALSE),FALSE)/(VLOOKUP($A380,'[1]import graded seats course pivo'!$A:AL,HLOOKUP('[1]Course Totals'!N$4,'[1]import graded seats course pivo'!$1:$2,2,FALSE),FALSE))),"")</f>
        <v/>
      </c>
      <c r="O380" s="14" t="str">
        <f>IFERROR((VLOOKUP($A380,'[1]import success seats course'!$A:AC,HLOOKUP('[1]Course Totals'!O$4,'[1]import success seats course'!$1:$2,2,FALSE),FALSE)/(VLOOKUP($A380,'[1]import graded seats course pivo'!$A:AM,HLOOKUP('[1]Course Totals'!O$4,'[1]import graded seats course pivo'!$1:$2,2,FALSE),FALSE))),"")</f>
        <v/>
      </c>
      <c r="P380" s="14" t="str">
        <f>IFERROR((VLOOKUP($A380,'[1]import success seats course'!$A:AD,HLOOKUP('[1]Course Totals'!P$4,'[1]import success seats course'!$1:$2,2,FALSE),FALSE)/(VLOOKUP($A380,'[1]import graded seats course pivo'!$A:AN,HLOOKUP('[1]Course Totals'!P$4,'[1]import graded seats course pivo'!$1:$2,2,FALSE),FALSE))),"")</f>
        <v/>
      </c>
      <c r="Q380" s="14" t="str">
        <f>IFERROR((VLOOKUP($A380,'[1]import success seats course'!$A:AE,HLOOKUP('[1]Course Totals'!Q$4,'[1]import success seats course'!$1:$2,2,FALSE),FALSE)/(VLOOKUP($A380,'[1]import graded seats course pivo'!$A:AO,HLOOKUP('[1]Course Totals'!Q$4,'[1]import graded seats course pivo'!$1:$2,2,FALSE),FALSE))),"")</f>
        <v/>
      </c>
      <c r="R380" s="14" t="str">
        <f>IFERROR((VLOOKUP($A380,'[1]import success seats course'!$A:AF,HLOOKUP('[1]Course Totals'!R$4,'[1]import success seats course'!$1:$2,2,FALSE),FALSE)/(VLOOKUP($A380,'[1]import graded seats course pivo'!$A:AP,HLOOKUP('[1]Course Totals'!R$4,'[1]import graded seats course pivo'!$1:$2,2,FALSE),FALSE))),"")</f>
        <v/>
      </c>
      <c r="S380" s="14" t="str">
        <f>IFERROR((VLOOKUP($A380,'[1]import success seats course'!$A:AG,HLOOKUP('[1]Course Totals'!S$4,'[1]import success seats course'!$1:$2,2,FALSE),FALSE)/(VLOOKUP($A380,'[1]import graded seats course pivo'!$A:AQ,HLOOKUP('[1]Course Totals'!S$4,'[1]import graded seats course pivo'!$1:$2,2,FALSE),FALSE))),"")</f>
        <v/>
      </c>
      <c r="Z380" s="7"/>
      <c r="AA380" s="7"/>
      <c r="AB380" s="7"/>
      <c r="AC380" s="7"/>
    </row>
    <row r="381" spans="1:29" ht="15.75" customHeight="1" x14ac:dyDescent="0.25">
      <c r="A381" s="12" t="s">
        <v>894</v>
      </c>
      <c r="B381" s="14" t="str">
        <f>IFERROR((VLOOKUP($A381,'[1]import success seats course'!$A:P,HLOOKUP('[1]Course Totals'!B$4,'[1]import success seats course'!$1:$2,2,FALSE),FALSE)/(VLOOKUP($A381,'[1]import graded seats course pivo'!$A:Z,HLOOKUP('[1]Course Totals'!B$4,'[1]import graded seats course pivo'!$1:$2,2,FALSE),FALSE))),"")</f>
        <v/>
      </c>
      <c r="C381" s="14" t="str">
        <f>IFERROR((VLOOKUP($A381,'[1]import success seats course'!$A:Q,HLOOKUP('[1]Course Totals'!C$4,'[1]import success seats course'!$1:$2,2,FALSE),FALSE)/(VLOOKUP($A381,'[1]import graded seats course pivo'!$A:AA,HLOOKUP('[1]Course Totals'!C$4,'[1]import graded seats course pivo'!$1:$2,2,FALSE),FALSE))),"")</f>
        <v/>
      </c>
      <c r="D381" s="14">
        <f>IFERROR((VLOOKUP($A381,'[1]import success seats course'!$A:R,HLOOKUP('[1]Course Totals'!D$4,'[1]import success seats course'!$1:$2,2,FALSE),FALSE)/(VLOOKUP($A381,'[1]import graded seats course pivo'!$A:AB,HLOOKUP('[1]Course Totals'!D$4,'[1]import graded seats course pivo'!$1:$2,2,FALSE),FALSE))),"")</f>
        <v>1</v>
      </c>
      <c r="E381" s="14" t="str">
        <f>IFERROR((VLOOKUP($A381,'[1]import success seats course'!$A:S,HLOOKUP('[1]Course Totals'!E$4,'[1]import success seats course'!$1:$2,2,FALSE),FALSE)/(VLOOKUP($A381,'[1]import graded seats course pivo'!$A:AC,HLOOKUP('[1]Course Totals'!E$4,'[1]import graded seats course pivo'!$1:$2,2,FALSE),FALSE))),"")</f>
        <v/>
      </c>
      <c r="F381" s="14" t="str">
        <f>IFERROR((VLOOKUP($A381,'[1]import success seats course'!$A:T,HLOOKUP('[1]Course Totals'!F$4,'[1]import success seats course'!$1:$2,2,FALSE),FALSE)/(VLOOKUP($A381,'[1]import graded seats course pivo'!$A:AD,HLOOKUP('[1]Course Totals'!F$4,'[1]import graded seats course pivo'!$1:$2,2,FALSE),FALSE))),"")</f>
        <v/>
      </c>
      <c r="G381" s="14" t="str">
        <f>IFERROR((VLOOKUP($A381,'[1]import success seats course'!$A:U,HLOOKUP('[1]Course Totals'!G$4,'[1]import success seats course'!$1:$2,2,FALSE),FALSE)/(VLOOKUP($A381,'[1]import graded seats course pivo'!$A:AE,HLOOKUP('[1]Course Totals'!G$4,'[1]import graded seats course pivo'!$1:$2,2,FALSE),FALSE))),"")</f>
        <v/>
      </c>
      <c r="H381" s="14" t="str">
        <f>IFERROR((VLOOKUP($A381,'[1]import success seats course'!$A:V,HLOOKUP('[1]Course Totals'!H$4,'[1]import success seats course'!$1:$2,2,FALSE),FALSE)/(VLOOKUP($A381,'[1]import graded seats course pivo'!$A:AF,HLOOKUP('[1]Course Totals'!H$4,'[1]import graded seats course pivo'!$1:$2,2,FALSE),FALSE))),"")</f>
        <v/>
      </c>
      <c r="I381" s="14" t="str">
        <f>IFERROR((VLOOKUP($A381,'[1]import success seats course'!$A:W,HLOOKUP('[1]Course Totals'!I$4,'[1]import success seats course'!$1:$2,2,FALSE),FALSE)/(VLOOKUP($A381,'[1]import graded seats course pivo'!$A:AG,HLOOKUP('[1]Course Totals'!I$4,'[1]import graded seats course pivo'!$1:$2,2,FALSE),FALSE))),"")</f>
        <v/>
      </c>
      <c r="J381" s="14" t="str">
        <f>IFERROR((VLOOKUP($A381,'[1]import success seats course'!$A:X,HLOOKUP('[1]Course Totals'!J$4,'[1]import success seats course'!$1:$2,2,FALSE),FALSE)/(VLOOKUP($A381,'[1]import graded seats course pivo'!$A:AH,HLOOKUP('[1]Course Totals'!J$4,'[1]import graded seats course pivo'!$1:$2,2,FALSE),FALSE))),"")</f>
        <v/>
      </c>
      <c r="K381" s="14" t="str">
        <f>IFERROR((VLOOKUP($A381,'[1]import success seats course'!$A:Y,HLOOKUP('[1]Course Totals'!K$4,'[1]import success seats course'!$1:$2,2,FALSE),FALSE)/(VLOOKUP($A381,'[1]import graded seats course pivo'!$A:AI,HLOOKUP('[1]Course Totals'!K$4,'[1]import graded seats course pivo'!$1:$2,2,FALSE),FALSE))),"")</f>
        <v/>
      </c>
      <c r="L381" s="14" t="str">
        <f>IFERROR((VLOOKUP($A381,'[1]import success seats course'!$A:Z,HLOOKUP('[1]Course Totals'!L$4,'[1]import success seats course'!$1:$2,2,FALSE),FALSE)/(VLOOKUP($A381,'[1]import graded seats course pivo'!$A:AJ,HLOOKUP('[1]Course Totals'!L$4,'[1]import graded seats course pivo'!$1:$2,2,FALSE),FALSE))),"")</f>
        <v/>
      </c>
      <c r="M381" s="14" t="str">
        <f>IFERROR((VLOOKUP($A381,'[1]import success seats course'!$A:AA,HLOOKUP('[1]Course Totals'!M$4,'[1]import success seats course'!$1:$2,2,FALSE),FALSE)/(VLOOKUP($A381,'[1]import graded seats course pivo'!$A:AK,HLOOKUP('[1]Course Totals'!M$4,'[1]import graded seats course pivo'!$1:$2,2,FALSE),FALSE))),"")</f>
        <v/>
      </c>
      <c r="N381" s="14" t="str">
        <f>IFERROR((VLOOKUP($A381,'[1]import success seats course'!$A:AB,HLOOKUP('[1]Course Totals'!N$4,'[1]import success seats course'!$1:$2,2,FALSE),FALSE)/(VLOOKUP($A381,'[1]import graded seats course pivo'!$A:AL,HLOOKUP('[1]Course Totals'!N$4,'[1]import graded seats course pivo'!$1:$2,2,FALSE),FALSE))),"")</f>
        <v/>
      </c>
      <c r="O381" s="14" t="str">
        <f>IFERROR((VLOOKUP($A381,'[1]import success seats course'!$A:AC,HLOOKUP('[1]Course Totals'!O$4,'[1]import success seats course'!$1:$2,2,FALSE),FALSE)/(VLOOKUP($A381,'[1]import graded seats course pivo'!$A:AM,HLOOKUP('[1]Course Totals'!O$4,'[1]import graded seats course pivo'!$1:$2,2,FALSE),FALSE))),"")</f>
        <v/>
      </c>
      <c r="P381" s="14" t="str">
        <f>IFERROR((VLOOKUP($A381,'[1]import success seats course'!$A:AD,HLOOKUP('[1]Course Totals'!P$4,'[1]import success seats course'!$1:$2,2,FALSE),FALSE)/(VLOOKUP($A381,'[1]import graded seats course pivo'!$A:AN,HLOOKUP('[1]Course Totals'!P$4,'[1]import graded seats course pivo'!$1:$2,2,FALSE),FALSE))),"")</f>
        <v/>
      </c>
      <c r="Q381" s="14" t="str">
        <f>IFERROR((VLOOKUP($A381,'[1]import success seats course'!$A:AE,HLOOKUP('[1]Course Totals'!Q$4,'[1]import success seats course'!$1:$2,2,FALSE),FALSE)/(VLOOKUP($A381,'[1]import graded seats course pivo'!$A:AO,HLOOKUP('[1]Course Totals'!Q$4,'[1]import graded seats course pivo'!$1:$2,2,FALSE),FALSE))),"")</f>
        <v/>
      </c>
      <c r="R381" s="14" t="str">
        <f>IFERROR((VLOOKUP($A381,'[1]import success seats course'!$A:AF,HLOOKUP('[1]Course Totals'!R$4,'[1]import success seats course'!$1:$2,2,FALSE),FALSE)/(VLOOKUP($A381,'[1]import graded seats course pivo'!$A:AP,HLOOKUP('[1]Course Totals'!R$4,'[1]import graded seats course pivo'!$1:$2,2,FALSE),FALSE))),"")</f>
        <v/>
      </c>
      <c r="S381" s="14" t="str">
        <f>IFERROR((VLOOKUP($A381,'[1]import success seats course'!$A:AG,HLOOKUP('[1]Course Totals'!S$4,'[1]import success seats course'!$1:$2,2,FALSE),FALSE)/(VLOOKUP($A381,'[1]import graded seats course pivo'!$A:AQ,HLOOKUP('[1]Course Totals'!S$4,'[1]import graded seats course pivo'!$1:$2,2,FALSE),FALSE))),"")</f>
        <v/>
      </c>
      <c r="Z381" s="7"/>
      <c r="AA381" s="7"/>
      <c r="AB381" s="7"/>
      <c r="AC381" s="7"/>
    </row>
    <row r="382" spans="1:29" ht="15.75" customHeight="1" x14ac:dyDescent="0.25">
      <c r="A382" s="12" t="s">
        <v>187</v>
      </c>
      <c r="B382" s="14" t="str">
        <f>IFERROR((VLOOKUP($A382,'[1]import success seats course'!$A:P,HLOOKUP('[1]Course Totals'!B$4,'[1]import success seats course'!$1:$2,2,FALSE),FALSE)/(VLOOKUP($A382,'[1]import graded seats course pivo'!$A:Z,HLOOKUP('[1]Course Totals'!B$4,'[1]import graded seats course pivo'!$1:$2,2,FALSE),FALSE))),"")</f>
        <v/>
      </c>
      <c r="C382" s="14">
        <f>IFERROR((VLOOKUP($A382,'[1]import success seats course'!$A:Q,HLOOKUP('[1]Course Totals'!C$4,'[1]import success seats course'!$1:$2,2,FALSE),FALSE)/(VLOOKUP($A382,'[1]import graded seats course pivo'!$A:AA,HLOOKUP('[1]Course Totals'!C$4,'[1]import graded seats course pivo'!$1:$2,2,FALSE),FALSE))),"")</f>
        <v>0.73333333333333328</v>
      </c>
      <c r="D382" s="14">
        <f>IFERROR((VLOOKUP($A382,'[1]import success seats course'!$A:R,HLOOKUP('[1]Course Totals'!D$4,'[1]import success seats course'!$1:$2,2,FALSE),FALSE)/(VLOOKUP($A382,'[1]import graded seats course pivo'!$A:AB,HLOOKUP('[1]Course Totals'!D$4,'[1]import graded seats course pivo'!$1:$2,2,FALSE),FALSE))),"")</f>
        <v>0.93333333333333335</v>
      </c>
      <c r="E382" s="14" t="str">
        <f>IFERROR((VLOOKUP($A382,'[1]import success seats course'!$A:S,HLOOKUP('[1]Course Totals'!E$4,'[1]import success seats course'!$1:$2,2,FALSE),FALSE)/(VLOOKUP($A382,'[1]import graded seats course pivo'!$A:AC,HLOOKUP('[1]Course Totals'!E$4,'[1]import graded seats course pivo'!$1:$2,2,FALSE),FALSE))),"")</f>
        <v/>
      </c>
      <c r="F382" s="14">
        <f>IFERROR((VLOOKUP($A382,'[1]import success seats course'!$A:T,HLOOKUP('[1]Course Totals'!F$4,'[1]import success seats course'!$1:$2,2,FALSE),FALSE)/(VLOOKUP($A382,'[1]import graded seats course pivo'!$A:AD,HLOOKUP('[1]Course Totals'!F$4,'[1]import graded seats course pivo'!$1:$2,2,FALSE),FALSE))),"")</f>
        <v>0.8</v>
      </c>
      <c r="G382" s="14">
        <f>IFERROR((VLOOKUP($A382,'[1]import success seats course'!$A:U,HLOOKUP('[1]Course Totals'!G$4,'[1]import success seats course'!$1:$2,2,FALSE),FALSE)/(VLOOKUP($A382,'[1]import graded seats course pivo'!$A:AE,HLOOKUP('[1]Course Totals'!G$4,'[1]import graded seats course pivo'!$1:$2,2,FALSE),FALSE))),"")</f>
        <v>0.75</v>
      </c>
      <c r="H382" s="14" t="str">
        <f>IFERROR((VLOOKUP($A382,'[1]import success seats course'!$A:V,HLOOKUP('[1]Course Totals'!H$4,'[1]import success seats course'!$1:$2,2,FALSE),FALSE)/(VLOOKUP($A382,'[1]import graded seats course pivo'!$A:AF,HLOOKUP('[1]Course Totals'!H$4,'[1]import graded seats course pivo'!$1:$2,2,FALSE),FALSE))),"")</f>
        <v/>
      </c>
      <c r="I382" s="14">
        <f>IFERROR((VLOOKUP($A382,'[1]import success seats course'!$A:W,HLOOKUP('[1]Course Totals'!I$4,'[1]import success seats course'!$1:$2,2,FALSE),FALSE)/(VLOOKUP($A382,'[1]import graded seats course pivo'!$A:AG,HLOOKUP('[1]Course Totals'!I$4,'[1]import graded seats course pivo'!$1:$2,2,FALSE),FALSE))),"")</f>
        <v>0.80952380952380953</v>
      </c>
      <c r="J382" s="14">
        <f>IFERROR((VLOOKUP($A382,'[1]import success seats course'!$A:X,HLOOKUP('[1]Course Totals'!J$4,'[1]import success seats course'!$1:$2,2,FALSE),FALSE)/(VLOOKUP($A382,'[1]import graded seats course pivo'!$A:AH,HLOOKUP('[1]Course Totals'!J$4,'[1]import graded seats course pivo'!$1:$2,2,FALSE),FALSE))),"")</f>
        <v>1</v>
      </c>
      <c r="K382" s="14" t="str">
        <f>IFERROR((VLOOKUP($A382,'[1]import success seats course'!$A:Y,HLOOKUP('[1]Course Totals'!K$4,'[1]import success seats course'!$1:$2,2,FALSE),FALSE)/(VLOOKUP($A382,'[1]import graded seats course pivo'!$A:AI,HLOOKUP('[1]Course Totals'!K$4,'[1]import graded seats course pivo'!$1:$2,2,FALSE),FALSE))),"")</f>
        <v/>
      </c>
      <c r="L382" s="14">
        <f>IFERROR((VLOOKUP($A382,'[1]import success seats course'!$A:Z,HLOOKUP('[1]Course Totals'!L$4,'[1]import success seats course'!$1:$2,2,FALSE),FALSE)/(VLOOKUP($A382,'[1]import graded seats course pivo'!$A:AJ,HLOOKUP('[1]Course Totals'!L$4,'[1]import graded seats course pivo'!$1:$2,2,FALSE),FALSE))),"")</f>
        <v>0.76923076923076927</v>
      </c>
      <c r="M382" s="14">
        <f>IFERROR((VLOOKUP($A382,'[1]import success seats course'!$A:AA,HLOOKUP('[1]Course Totals'!M$4,'[1]import success seats course'!$1:$2,2,FALSE),FALSE)/(VLOOKUP($A382,'[1]import graded seats course pivo'!$A:AK,HLOOKUP('[1]Course Totals'!M$4,'[1]import graded seats course pivo'!$1:$2,2,FALSE),FALSE))),"")</f>
        <v>0.8</v>
      </c>
      <c r="N382" s="14" t="str">
        <f>IFERROR((VLOOKUP($A382,'[1]import success seats course'!$A:AB,HLOOKUP('[1]Course Totals'!N$4,'[1]import success seats course'!$1:$2,2,FALSE),FALSE)/(VLOOKUP($A382,'[1]import graded seats course pivo'!$A:AL,HLOOKUP('[1]Course Totals'!N$4,'[1]import graded seats course pivo'!$1:$2,2,FALSE),FALSE))),"")</f>
        <v/>
      </c>
      <c r="O382" s="14">
        <f>IFERROR((VLOOKUP($A382,'[1]import success seats course'!$A:AC,HLOOKUP('[1]Course Totals'!O$4,'[1]import success seats course'!$1:$2,2,FALSE),FALSE)/(VLOOKUP($A382,'[1]import graded seats course pivo'!$A:AM,HLOOKUP('[1]Course Totals'!O$4,'[1]import graded seats course pivo'!$1:$2,2,FALSE),FALSE))),"")</f>
        <v>0.75</v>
      </c>
      <c r="P382" s="14">
        <f>IFERROR((VLOOKUP($A382,'[1]import success seats course'!$A:AD,HLOOKUP('[1]Course Totals'!P$4,'[1]import success seats course'!$1:$2,2,FALSE),FALSE)/(VLOOKUP($A382,'[1]import graded seats course pivo'!$A:AN,HLOOKUP('[1]Course Totals'!P$4,'[1]import graded seats course pivo'!$1:$2,2,FALSE),FALSE))),"")</f>
        <v>0.75</v>
      </c>
      <c r="Q382" s="14" t="str">
        <f>IFERROR((VLOOKUP($A382,'[1]import success seats course'!$A:AE,HLOOKUP('[1]Course Totals'!Q$4,'[1]import success seats course'!$1:$2,2,FALSE),FALSE)/(VLOOKUP($A382,'[1]import graded seats course pivo'!$A:AO,HLOOKUP('[1]Course Totals'!Q$4,'[1]import graded seats course pivo'!$1:$2,2,FALSE),FALSE))),"")</f>
        <v/>
      </c>
      <c r="R382" s="14">
        <f>IFERROR((VLOOKUP($A382,'[1]import success seats course'!$A:AF,HLOOKUP('[1]Course Totals'!R$4,'[1]import success seats course'!$1:$2,2,FALSE),FALSE)/(VLOOKUP($A382,'[1]import graded seats course pivo'!$A:AP,HLOOKUP('[1]Course Totals'!R$4,'[1]import graded seats course pivo'!$1:$2,2,FALSE),FALSE))),"")</f>
        <v>0.72727272727272729</v>
      </c>
      <c r="S382" s="14">
        <f>IFERROR((VLOOKUP($A382,'[1]import success seats course'!$A:AG,HLOOKUP('[1]Course Totals'!S$4,'[1]import success seats course'!$1:$2,2,FALSE),FALSE)/(VLOOKUP($A382,'[1]import graded seats course pivo'!$A:AQ,HLOOKUP('[1]Course Totals'!S$4,'[1]import graded seats course pivo'!$1:$2,2,FALSE),FALSE))),"")</f>
        <v>0.58823529411764708</v>
      </c>
      <c r="Z382" s="7"/>
      <c r="AA382" s="7"/>
      <c r="AB382" s="7"/>
      <c r="AC382" s="7"/>
    </row>
    <row r="383" spans="1:29" ht="15.75" customHeight="1" x14ac:dyDescent="0.25">
      <c r="A383" s="12" t="s">
        <v>188</v>
      </c>
      <c r="B383" s="14" t="str">
        <f>IFERROR((VLOOKUP($A383,'[1]import success seats course'!$A:P,HLOOKUP('[1]Course Totals'!B$4,'[1]import success seats course'!$1:$2,2,FALSE),FALSE)/(VLOOKUP($A383,'[1]import graded seats course pivo'!$A:Z,HLOOKUP('[1]Course Totals'!B$4,'[1]import graded seats course pivo'!$1:$2,2,FALSE),FALSE))),"")</f>
        <v/>
      </c>
      <c r="C383" s="14">
        <f>IFERROR((VLOOKUP($A383,'[1]import success seats course'!$A:Q,HLOOKUP('[1]Course Totals'!C$4,'[1]import success seats course'!$1:$2,2,FALSE),FALSE)/(VLOOKUP($A383,'[1]import graded seats course pivo'!$A:AA,HLOOKUP('[1]Course Totals'!C$4,'[1]import graded seats course pivo'!$1:$2,2,FALSE),FALSE))),"")</f>
        <v>1</v>
      </c>
      <c r="D383" s="14">
        <f>IFERROR((VLOOKUP($A383,'[1]import success seats course'!$A:R,HLOOKUP('[1]Course Totals'!D$4,'[1]import success seats course'!$1:$2,2,FALSE),FALSE)/(VLOOKUP($A383,'[1]import graded seats course pivo'!$A:AB,HLOOKUP('[1]Course Totals'!D$4,'[1]import graded seats course pivo'!$1:$2,2,FALSE),FALSE))),"")</f>
        <v>0.8571428571428571</v>
      </c>
      <c r="E383" s="14" t="str">
        <f>IFERROR((VLOOKUP($A383,'[1]import success seats course'!$A:S,HLOOKUP('[1]Course Totals'!E$4,'[1]import success seats course'!$1:$2,2,FALSE),FALSE)/(VLOOKUP($A383,'[1]import graded seats course pivo'!$A:AC,HLOOKUP('[1]Course Totals'!E$4,'[1]import graded seats course pivo'!$1:$2,2,FALSE),FALSE))),"")</f>
        <v/>
      </c>
      <c r="F383" s="14" t="str">
        <f>IFERROR((VLOOKUP($A383,'[1]import success seats course'!$A:T,HLOOKUP('[1]Course Totals'!F$4,'[1]import success seats course'!$1:$2,2,FALSE),FALSE)/(VLOOKUP($A383,'[1]import graded seats course pivo'!$A:AD,HLOOKUP('[1]Course Totals'!F$4,'[1]import graded seats course pivo'!$1:$2,2,FALSE),FALSE))),"")</f>
        <v/>
      </c>
      <c r="G383" s="14" t="str">
        <f>IFERROR((VLOOKUP($A383,'[1]import success seats course'!$A:U,HLOOKUP('[1]Course Totals'!G$4,'[1]import success seats course'!$1:$2,2,FALSE),FALSE)/(VLOOKUP($A383,'[1]import graded seats course pivo'!$A:AE,HLOOKUP('[1]Course Totals'!G$4,'[1]import graded seats course pivo'!$1:$2,2,FALSE),FALSE))),"")</f>
        <v/>
      </c>
      <c r="H383" s="14" t="str">
        <f>IFERROR((VLOOKUP($A383,'[1]import success seats course'!$A:V,HLOOKUP('[1]Course Totals'!H$4,'[1]import success seats course'!$1:$2,2,FALSE),FALSE)/(VLOOKUP($A383,'[1]import graded seats course pivo'!$A:AF,HLOOKUP('[1]Course Totals'!H$4,'[1]import graded seats course pivo'!$1:$2,2,FALSE),FALSE))),"")</f>
        <v/>
      </c>
      <c r="I383" s="14" t="str">
        <f>IFERROR((VLOOKUP($A383,'[1]import success seats course'!$A:W,HLOOKUP('[1]Course Totals'!I$4,'[1]import success seats course'!$1:$2,2,FALSE),FALSE)/(VLOOKUP($A383,'[1]import graded seats course pivo'!$A:AG,HLOOKUP('[1]Course Totals'!I$4,'[1]import graded seats course pivo'!$1:$2,2,FALSE),FALSE))),"")</f>
        <v/>
      </c>
      <c r="J383" s="14" t="str">
        <f>IFERROR((VLOOKUP($A383,'[1]import success seats course'!$A:X,HLOOKUP('[1]Course Totals'!J$4,'[1]import success seats course'!$1:$2,2,FALSE),FALSE)/(VLOOKUP($A383,'[1]import graded seats course pivo'!$A:AH,HLOOKUP('[1]Course Totals'!J$4,'[1]import graded seats course pivo'!$1:$2,2,FALSE),FALSE))),"")</f>
        <v/>
      </c>
      <c r="K383" s="14" t="str">
        <f>IFERROR((VLOOKUP($A383,'[1]import success seats course'!$A:Y,HLOOKUP('[1]Course Totals'!K$4,'[1]import success seats course'!$1:$2,2,FALSE),FALSE)/(VLOOKUP($A383,'[1]import graded seats course pivo'!$A:AI,HLOOKUP('[1]Course Totals'!K$4,'[1]import graded seats course pivo'!$1:$2,2,FALSE),FALSE))),"")</f>
        <v/>
      </c>
      <c r="L383" s="14" t="str">
        <f>IFERROR((VLOOKUP($A383,'[1]import success seats course'!$A:Z,HLOOKUP('[1]Course Totals'!L$4,'[1]import success seats course'!$1:$2,2,FALSE),FALSE)/(VLOOKUP($A383,'[1]import graded seats course pivo'!$A:AJ,HLOOKUP('[1]Course Totals'!L$4,'[1]import graded seats course pivo'!$1:$2,2,FALSE),FALSE))),"")</f>
        <v/>
      </c>
      <c r="M383" s="14" t="str">
        <f>IFERROR((VLOOKUP($A383,'[1]import success seats course'!$A:AA,HLOOKUP('[1]Course Totals'!M$4,'[1]import success seats course'!$1:$2,2,FALSE),FALSE)/(VLOOKUP($A383,'[1]import graded seats course pivo'!$A:AK,HLOOKUP('[1]Course Totals'!M$4,'[1]import graded seats course pivo'!$1:$2,2,FALSE),FALSE))),"")</f>
        <v/>
      </c>
      <c r="N383" s="14" t="str">
        <f>IFERROR((VLOOKUP($A383,'[1]import success seats course'!$A:AB,HLOOKUP('[1]Course Totals'!N$4,'[1]import success seats course'!$1:$2,2,FALSE),FALSE)/(VLOOKUP($A383,'[1]import graded seats course pivo'!$A:AL,HLOOKUP('[1]Course Totals'!N$4,'[1]import graded seats course pivo'!$1:$2,2,FALSE),FALSE))),"")</f>
        <v/>
      </c>
      <c r="O383" s="14" t="str">
        <f>IFERROR((VLOOKUP($A383,'[1]import success seats course'!$A:AC,HLOOKUP('[1]Course Totals'!O$4,'[1]import success seats course'!$1:$2,2,FALSE),FALSE)/(VLOOKUP($A383,'[1]import graded seats course pivo'!$A:AM,HLOOKUP('[1]Course Totals'!O$4,'[1]import graded seats course pivo'!$1:$2,2,FALSE),FALSE))),"")</f>
        <v/>
      </c>
      <c r="P383" s="14" t="str">
        <f>IFERROR((VLOOKUP($A383,'[1]import success seats course'!$A:AD,HLOOKUP('[1]Course Totals'!P$4,'[1]import success seats course'!$1:$2,2,FALSE),FALSE)/(VLOOKUP($A383,'[1]import graded seats course pivo'!$A:AN,HLOOKUP('[1]Course Totals'!P$4,'[1]import graded seats course pivo'!$1:$2,2,FALSE),FALSE))),"")</f>
        <v/>
      </c>
      <c r="Q383" s="14" t="str">
        <f>IFERROR((VLOOKUP($A383,'[1]import success seats course'!$A:AE,HLOOKUP('[1]Course Totals'!Q$4,'[1]import success seats course'!$1:$2,2,FALSE),FALSE)/(VLOOKUP($A383,'[1]import graded seats course pivo'!$A:AO,HLOOKUP('[1]Course Totals'!Q$4,'[1]import graded seats course pivo'!$1:$2,2,FALSE),FALSE))),"")</f>
        <v/>
      </c>
      <c r="R383" s="14" t="str">
        <f>IFERROR((VLOOKUP($A383,'[1]import success seats course'!$A:AF,HLOOKUP('[1]Course Totals'!R$4,'[1]import success seats course'!$1:$2,2,FALSE),FALSE)/(VLOOKUP($A383,'[1]import graded seats course pivo'!$A:AP,HLOOKUP('[1]Course Totals'!R$4,'[1]import graded seats course pivo'!$1:$2,2,FALSE),FALSE))),"")</f>
        <v/>
      </c>
      <c r="S383" s="14" t="str">
        <f>IFERROR((VLOOKUP($A383,'[1]import success seats course'!$A:AG,HLOOKUP('[1]Course Totals'!S$4,'[1]import success seats course'!$1:$2,2,FALSE),FALSE)/(VLOOKUP($A383,'[1]import graded seats course pivo'!$A:AQ,HLOOKUP('[1]Course Totals'!S$4,'[1]import graded seats course pivo'!$1:$2,2,FALSE),FALSE))),"")</f>
        <v/>
      </c>
      <c r="Z383" s="7"/>
      <c r="AA383" s="7"/>
      <c r="AB383" s="7"/>
      <c r="AC383" s="7"/>
    </row>
    <row r="384" spans="1:29" ht="15.75" hidden="1" customHeight="1" x14ac:dyDescent="0.25">
      <c r="A384" s="12" t="s">
        <v>1029</v>
      </c>
      <c r="B384" s="14" t="str">
        <f>IFERROR((VLOOKUP($A384,'[1]import success seats course'!$A:P,HLOOKUP('[1]Course Totals'!B$4,'[1]import success seats course'!$1:$2,2,FALSE),FALSE)/(VLOOKUP($A384,'[1]import graded seats course pivo'!$A:Z,HLOOKUP('[1]Course Totals'!B$4,'[1]import graded seats course pivo'!$1:$2,2,FALSE),FALSE))),"")</f>
        <v/>
      </c>
      <c r="C384" s="14" t="str">
        <f>IFERROR((VLOOKUP($A384,'[1]import success seats course'!$A:Q,HLOOKUP('[1]Course Totals'!C$4,'[1]import success seats course'!$1:$2,2,FALSE),FALSE)/(VLOOKUP($A384,'[1]import graded seats course pivo'!$A:AA,HLOOKUP('[1]Course Totals'!C$4,'[1]import graded seats course pivo'!$1:$2,2,FALSE),FALSE))),"")</f>
        <v/>
      </c>
      <c r="D384" s="14" t="str">
        <f>IFERROR((VLOOKUP($A384,'[1]import success seats course'!$A:R,HLOOKUP('[1]Course Totals'!D$4,'[1]import success seats course'!$1:$2,2,FALSE),FALSE)/(VLOOKUP($A384,'[1]import graded seats course pivo'!$A:AB,HLOOKUP('[1]Course Totals'!D$4,'[1]import graded seats course pivo'!$1:$2,2,FALSE),FALSE))),"")</f>
        <v/>
      </c>
      <c r="E384" s="14" t="str">
        <f>IFERROR((VLOOKUP($A384,'[1]import success seats course'!$A:S,HLOOKUP('[1]Course Totals'!E$4,'[1]import success seats course'!$1:$2,2,FALSE),FALSE)/(VLOOKUP($A384,'[1]import graded seats course pivo'!$A:AC,HLOOKUP('[1]Course Totals'!E$4,'[1]import graded seats course pivo'!$1:$2,2,FALSE),FALSE))),"")</f>
        <v/>
      </c>
      <c r="F384" s="14" t="str">
        <f>IFERROR((VLOOKUP($A384,'[1]import success seats course'!$A:T,HLOOKUP('[1]Course Totals'!F$4,'[1]import success seats course'!$1:$2,2,FALSE),FALSE)/(VLOOKUP($A384,'[1]import graded seats course pivo'!$A:AD,HLOOKUP('[1]Course Totals'!F$4,'[1]import graded seats course pivo'!$1:$2,2,FALSE),FALSE))),"")</f>
        <v/>
      </c>
      <c r="G384" s="14" t="str">
        <f>IFERROR((VLOOKUP($A384,'[1]import success seats course'!$A:U,HLOOKUP('[1]Course Totals'!G$4,'[1]import success seats course'!$1:$2,2,FALSE),FALSE)/(VLOOKUP($A384,'[1]import graded seats course pivo'!$A:AE,HLOOKUP('[1]Course Totals'!G$4,'[1]import graded seats course pivo'!$1:$2,2,FALSE),FALSE))),"")</f>
        <v/>
      </c>
      <c r="H384" s="14" t="str">
        <f>IFERROR((VLOOKUP($A384,'[1]import success seats course'!$A:V,HLOOKUP('[1]Course Totals'!H$4,'[1]import success seats course'!$1:$2,2,FALSE),FALSE)/(VLOOKUP($A384,'[1]import graded seats course pivo'!$A:AF,HLOOKUP('[1]Course Totals'!H$4,'[1]import graded seats course pivo'!$1:$2,2,FALSE),FALSE))),"")</f>
        <v/>
      </c>
      <c r="I384" s="14" t="str">
        <f>IFERROR((VLOOKUP($A384,'[1]import success seats course'!$A:W,HLOOKUP('[1]Course Totals'!I$4,'[1]import success seats course'!$1:$2,2,FALSE),FALSE)/(VLOOKUP($A384,'[1]import graded seats course pivo'!$A:AG,HLOOKUP('[1]Course Totals'!I$4,'[1]import graded seats course pivo'!$1:$2,2,FALSE),FALSE))),"")</f>
        <v/>
      </c>
      <c r="J384" s="14" t="str">
        <f>IFERROR((VLOOKUP($A384,'[1]import success seats course'!$A:X,HLOOKUP('[1]Course Totals'!J$4,'[1]import success seats course'!$1:$2,2,FALSE),FALSE)/(VLOOKUP($A384,'[1]import graded seats course pivo'!$A:AH,HLOOKUP('[1]Course Totals'!J$4,'[1]import graded seats course pivo'!$1:$2,2,FALSE),FALSE))),"")</f>
        <v/>
      </c>
      <c r="K384" s="14" t="str">
        <f>IFERROR((VLOOKUP($A384,'[1]import success seats course'!$A:Y,HLOOKUP('[1]Course Totals'!K$4,'[1]import success seats course'!$1:$2,2,FALSE),FALSE)/(VLOOKUP($A384,'[1]import graded seats course pivo'!$A:AI,HLOOKUP('[1]Course Totals'!K$4,'[1]import graded seats course pivo'!$1:$2,2,FALSE),FALSE))),"")</f>
        <v/>
      </c>
      <c r="L384" s="14" t="str">
        <f>IFERROR((VLOOKUP($A384,'[1]import success seats course'!$A:Z,HLOOKUP('[1]Course Totals'!L$4,'[1]import success seats course'!$1:$2,2,FALSE),FALSE)/(VLOOKUP($A384,'[1]import graded seats course pivo'!$A:AJ,HLOOKUP('[1]Course Totals'!L$4,'[1]import graded seats course pivo'!$1:$2,2,FALSE),FALSE))),"")</f>
        <v/>
      </c>
      <c r="M384" s="14" t="str">
        <f>IFERROR((VLOOKUP($A384,'[1]import success seats course'!$A:AA,HLOOKUP('[1]Course Totals'!M$4,'[1]import success seats course'!$1:$2,2,FALSE),FALSE)/(VLOOKUP($A384,'[1]import graded seats course pivo'!$A:AK,HLOOKUP('[1]Course Totals'!M$4,'[1]import graded seats course pivo'!$1:$2,2,FALSE),FALSE))),"")</f>
        <v/>
      </c>
      <c r="N384" s="14" t="str">
        <f>IFERROR((VLOOKUP($A384,'[1]import success seats course'!$A:AB,HLOOKUP('[1]Course Totals'!N$4,'[1]import success seats course'!$1:$2,2,FALSE),FALSE)/(VLOOKUP($A384,'[1]import graded seats course pivo'!$A:AL,HLOOKUP('[1]Course Totals'!N$4,'[1]import graded seats course pivo'!$1:$2,2,FALSE),FALSE))),"")</f>
        <v/>
      </c>
      <c r="O384" s="14" t="str">
        <f>IFERROR((VLOOKUP($A384,'[1]import success seats course'!$A:AC,HLOOKUP('[1]Course Totals'!O$4,'[1]import success seats course'!$1:$2,2,FALSE),FALSE)/(VLOOKUP($A384,'[1]import graded seats course pivo'!$A:AM,HLOOKUP('[1]Course Totals'!O$4,'[1]import graded seats course pivo'!$1:$2,2,FALSE),FALSE))),"")</f>
        <v/>
      </c>
      <c r="P384" s="14" t="str">
        <f>IFERROR((VLOOKUP($A384,'[1]import success seats course'!$A:AD,HLOOKUP('[1]Course Totals'!P$4,'[1]import success seats course'!$1:$2,2,FALSE),FALSE)/(VLOOKUP($A384,'[1]import graded seats course pivo'!$A:AN,HLOOKUP('[1]Course Totals'!P$4,'[1]import graded seats course pivo'!$1:$2,2,FALSE),FALSE))),"")</f>
        <v/>
      </c>
      <c r="Q384" s="14" t="str">
        <f>IFERROR((VLOOKUP($A384,'[1]import success seats course'!$A:AE,HLOOKUP('[1]Course Totals'!Q$4,'[1]import success seats course'!$1:$2,2,FALSE),FALSE)/(VLOOKUP($A384,'[1]import graded seats course pivo'!$A:AO,HLOOKUP('[1]Course Totals'!Q$4,'[1]import graded seats course pivo'!$1:$2,2,FALSE),FALSE))),"")</f>
        <v/>
      </c>
      <c r="R384" s="14" t="str">
        <f>IFERROR((VLOOKUP($A384,'[1]import success seats course'!$A:AF,HLOOKUP('[1]Course Totals'!R$4,'[1]import success seats course'!$1:$2,2,FALSE),FALSE)/(VLOOKUP($A384,'[1]import graded seats course pivo'!$A:AP,HLOOKUP('[1]Course Totals'!R$4,'[1]import graded seats course pivo'!$1:$2,2,FALSE),FALSE))),"")</f>
        <v/>
      </c>
      <c r="S384" s="14" t="str">
        <f>IFERROR((VLOOKUP($A384,'[1]import success seats course'!$A:AG,HLOOKUP('[1]Course Totals'!S$4,'[1]import success seats course'!$1:$2,2,FALSE),FALSE)/(VLOOKUP($A384,'[1]import graded seats course pivo'!$A:AQ,HLOOKUP('[1]Course Totals'!S$4,'[1]import graded seats course pivo'!$1:$2,2,FALSE),FALSE))),"")</f>
        <v/>
      </c>
      <c r="Z384" s="7"/>
      <c r="AA384" s="7"/>
      <c r="AB384" s="7"/>
      <c r="AC384" s="7"/>
    </row>
    <row r="385" spans="1:29" ht="15.75" hidden="1" customHeight="1" x14ac:dyDescent="0.25">
      <c r="A385" s="12" t="s">
        <v>189</v>
      </c>
      <c r="B385" s="14" t="str">
        <f>IFERROR((VLOOKUP($A385,'[1]import success seats course'!$A:P,HLOOKUP('[1]Course Totals'!B$4,'[1]import success seats course'!$1:$2,2,FALSE),FALSE)/(VLOOKUP($A385,'[1]import graded seats course pivo'!$A:Z,HLOOKUP('[1]Course Totals'!B$4,'[1]import graded seats course pivo'!$1:$2,2,FALSE),FALSE))),"")</f>
        <v/>
      </c>
      <c r="C385" s="14" t="str">
        <f>IFERROR((VLOOKUP($A385,'[1]import success seats course'!$A:Q,HLOOKUP('[1]Course Totals'!C$4,'[1]import success seats course'!$1:$2,2,FALSE),FALSE)/(VLOOKUP($A385,'[1]import graded seats course pivo'!$A:AA,HLOOKUP('[1]Course Totals'!C$4,'[1]import graded seats course pivo'!$1:$2,2,FALSE),FALSE))),"")</f>
        <v/>
      </c>
      <c r="D385" s="14" t="str">
        <f>IFERROR((VLOOKUP($A385,'[1]import success seats course'!$A:R,HLOOKUP('[1]Course Totals'!D$4,'[1]import success seats course'!$1:$2,2,FALSE),FALSE)/(VLOOKUP($A385,'[1]import graded seats course pivo'!$A:AB,HLOOKUP('[1]Course Totals'!D$4,'[1]import graded seats course pivo'!$1:$2,2,FALSE),FALSE))),"")</f>
        <v/>
      </c>
      <c r="E385" s="14" t="str">
        <f>IFERROR((VLOOKUP($A385,'[1]import success seats course'!$A:S,HLOOKUP('[1]Course Totals'!E$4,'[1]import success seats course'!$1:$2,2,FALSE),FALSE)/(VLOOKUP($A385,'[1]import graded seats course pivo'!$A:AC,HLOOKUP('[1]Course Totals'!E$4,'[1]import graded seats course pivo'!$1:$2,2,FALSE),FALSE))),"")</f>
        <v/>
      </c>
      <c r="F385" s="14" t="str">
        <f>IFERROR((VLOOKUP($A385,'[1]import success seats course'!$A:T,HLOOKUP('[1]Course Totals'!F$4,'[1]import success seats course'!$1:$2,2,FALSE),FALSE)/(VLOOKUP($A385,'[1]import graded seats course pivo'!$A:AD,HLOOKUP('[1]Course Totals'!F$4,'[1]import graded seats course pivo'!$1:$2,2,FALSE),FALSE))),"")</f>
        <v/>
      </c>
      <c r="G385" s="14" t="str">
        <f>IFERROR((VLOOKUP($A385,'[1]import success seats course'!$A:U,HLOOKUP('[1]Course Totals'!G$4,'[1]import success seats course'!$1:$2,2,FALSE),FALSE)/(VLOOKUP($A385,'[1]import graded seats course pivo'!$A:AE,HLOOKUP('[1]Course Totals'!G$4,'[1]import graded seats course pivo'!$1:$2,2,FALSE),FALSE))),"")</f>
        <v/>
      </c>
      <c r="H385" s="14" t="str">
        <f>IFERROR((VLOOKUP($A385,'[1]import success seats course'!$A:V,HLOOKUP('[1]Course Totals'!H$4,'[1]import success seats course'!$1:$2,2,FALSE),FALSE)/(VLOOKUP($A385,'[1]import graded seats course pivo'!$A:AF,HLOOKUP('[1]Course Totals'!H$4,'[1]import graded seats course pivo'!$1:$2,2,FALSE),FALSE))),"")</f>
        <v/>
      </c>
      <c r="I385" s="14" t="str">
        <f>IFERROR((VLOOKUP($A385,'[1]import success seats course'!$A:W,HLOOKUP('[1]Course Totals'!I$4,'[1]import success seats course'!$1:$2,2,FALSE),FALSE)/(VLOOKUP($A385,'[1]import graded seats course pivo'!$A:AG,HLOOKUP('[1]Course Totals'!I$4,'[1]import graded seats course pivo'!$1:$2,2,FALSE),FALSE))),"")</f>
        <v/>
      </c>
      <c r="J385" s="14" t="str">
        <f>IFERROR((VLOOKUP($A385,'[1]import success seats course'!$A:X,HLOOKUP('[1]Course Totals'!J$4,'[1]import success seats course'!$1:$2,2,FALSE),FALSE)/(VLOOKUP($A385,'[1]import graded seats course pivo'!$A:AH,HLOOKUP('[1]Course Totals'!J$4,'[1]import graded seats course pivo'!$1:$2,2,FALSE),FALSE))),"")</f>
        <v/>
      </c>
      <c r="K385" s="14" t="str">
        <f>IFERROR((VLOOKUP($A385,'[1]import success seats course'!$A:Y,HLOOKUP('[1]Course Totals'!K$4,'[1]import success seats course'!$1:$2,2,FALSE),FALSE)/(VLOOKUP($A385,'[1]import graded seats course pivo'!$A:AI,HLOOKUP('[1]Course Totals'!K$4,'[1]import graded seats course pivo'!$1:$2,2,FALSE),FALSE))),"")</f>
        <v/>
      </c>
      <c r="L385" s="14" t="str">
        <f>IFERROR((VLOOKUP($A385,'[1]import success seats course'!$A:Z,HLOOKUP('[1]Course Totals'!L$4,'[1]import success seats course'!$1:$2,2,FALSE),FALSE)/(VLOOKUP($A385,'[1]import graded seats course pivo'!$A:AJ,HLOOKUP('[1]Course Totals'!L$4,'[1]import graded seats course pivo'!$1:$2,2,FALSE),FALSE))),"")</f>
        <v/>
      </c>
      <c r="M385" s="14" t="str">
        <f>IFERROR((VLOOKUP($A385,'[1]import success seats course'!$A:AA,HLOOKUP('[1]Course Totals'!M$4,'[1]import success seats course'!$1:$2,2,FALSE),FALSE)/(VLOOKUP($A385,'[1]import graded seats course pivo'!$A:AK,HLOOKUP('[1]Course Totals'!M$4,'[1]import graded seats course pivo'!$1:$2,2,FALSE),FALSE))),"")</f>
        <v/>
      </c>
      <c r="N385" s="14" t="str">
        <f>IFERROR((VLOOKUP($A385,'[1]import success seats course'!$A:AB,HLOOKUP('[1]Course Totals'!N$4,'[1]import success seats course'!$1:$2,2,FALSE),FALSE)/(VLOOKUP($A385,'[1]import graded seats course pivo'!$A:AL,HLOOKUP('[1]Course Totals'!N$4,'[1]import graded seats course pivo'!$1:$2,2,FALSE),FALSE))),"")</f>
        <v/>
      </c>
      <c r="O385" s="14" t="str">
        <f>IFERROR((VLOOKUP($A385,'[1]import success seats course'!$A:AC,HLOOKUP('[1]Course Totals'!O$4,'[1]import success seats course'!$1:$2,2,FALSE),FALSE)/(VLOOKUP($A385,'[1]import graded seats course pivo'!$A:AM,HLOOKUP('[1]Course Totals'!O$4,'[1]import graded seats course pivo'!$1:$2,2,FALSE),FALSE))),"")</f>
        <v/>
      </c>
      <c r="P385" s="14" t="str">
        <f>IFERROR((VLOOKUP($A385,'[1]import success seats course'!$A:AD,HLOOKUP('[1]Course Totals'!P$4,'[1]import success seats course'!$1:$2,2,FALSE),FALSE)/(VLOOKUP($A385,'[1]import graded seats course pivo'!$A:AN,HLOOKUP('[1]Course Totals'!P$4,'[1]import graded seats course pivo'!$1:$2,2,FALSE),FALSE))),"")</f>
        <v/>
      </c>
      <c r="Q385" s="14" t="str">
        <f>IFERROR((VLOOKUP($A385,'[1]import success seats course'!$A:AE,HLOOKUP('[1]Course Totals'!Q$4,'[1]import success seats course'!$1:$2,2,FALSE),FALSE)/(VLOOKUP($A385,'[1]import graded seats course pivo'!$A:AO,HLOOKUP('[1]Course Totals'!Q$4,'[1]import graded seats course pivo'!$1:$2,2,FALSE),FALSE))),"")</f>
        <v/>
      </c>
      <c r="R385" s="14" t="str">
        <f>IFERROR((VLOOKUP($A385,'[1]import success seats course'!$A:AF,HLOOKUP('[1]Course Totals'!R$4,'[1]import success seats course'!$1:$2,2,FALSE),FALSE)/(VLOOKUP($A385,'[1]import graded seats course pivo'!$A:AP,HLOOKUP('[1]Course Totals'!R$4,'[1]import graded seats course pivo'!$1:$2,2,FALSE),FALSE))),"")</f>
        <v/>
      </c>
      <c r="S385" s="14" t="str">
        <f>IFERROR((VLOOKUP($A385,'[1]import success seats course'!$A:AG,HLOOKUP('[1]Course Totals'!S$4,'[1]import success seats course'!$1:$2,2,FALSE),FALSE)/(VLOOKUP($A385,'[1]import graded seats course pivo'!$A:AQ,HLOOKUP('[1]Course Totals'!S$4,'[1]import graded seats course pivo'!$1:$2,2,FALSE),FALSE))),"")</f>
        <v/>
      </c>
      <c r="Z385" s="7"/>
      <c r="AA385" s="7"/>
      <c r="AB385" s="7"/>
      <c r="AC385" s="7"/>
    </row>
    <row r="386" spans="1:29" ht="15.75" hidden="1" customHeight="1" x14ac:dyDescent="0.25">
      <c r="A386" s="12" t="s">
        <v>895</v>
      </c>
      <c r="B386" s="14" t="str">
        <f>IFERROR((VLOOKUP($A386,'[1]import success seats course'!$A:P,HLOOKUP('[1]Course Totals'!B$4,'[1]import success seats course'!$1:$2,2,FALSE),FALSE)/(VLOOKUP($A386,'[1]import graded seats course pivo'!$A:Z,HLOOKUP('[1]Course Totals'!B$4,'[1]import graded seats course pivo'!$1:$2,2,FALSE),FALSE))),"")</f>
        <v/>
      </c>
      <c r="C386" s="14" t="str">
        <f>IFERROR((VLOOKUP($A386,'[1]import success seats course'!$A:Q,HLOOKUP('[1]Course Totals'!C$4,'[1]import success seats course'!$1:$2,2,FALSE),FALSE)/(VLOOKUP($A386,'[1]import graded seats course pivo'!$A:AA,HLOOKUP('[1]Course Totals'!C$4,'[1]import graded seats course pivo'!$1:$2,2,FALSE),FALSE))),"")</f>
        <v/>
      </c>
      <c r="D386" s="14" t="str">
        <f>IFERROR((VLOOKUP($A386,'[1]import success seats course'!$A:R,HLOOKUP('[1]Course Totals'!D$4,'[1]import success seats course'!$1:$2,2,FALSE),FALSE)/(VLOOKUP($A386,'[1]import graded seats course pivo'!$A:AB,HLOOKUP('[1]Course Totals'!D$4,'[1]import graded seats course pivo'!$1:$2,2,FALSE),FALSE))),"")</f>
        <v/>
      </c>
      <c r="E386" s="14" t="str">
        <f>IFERROR((VLOOKUP($A386,'[1]import success seats course'!$A:S,HLOOKUP('[1]Course Totals'!E$4,'[1]import success seats course'!$1:$2,2,FALSE),FALSE)/(VLOOKUP($A386,'[1]import graded seats course pivo'!$A:AC,HLOOKUP('[1]Course Totals'!E$4,'[1]import graded seats course pivo'!$1:$2,2,FALSE),FALSE))),"")</f>
        <v/>
      </c>
      <c r="F386" s="14" t="str">
        <f>IFERROR((VLOOKUP($A386,'[1]import success seats course'!$A:T,HLOOKUP('[1]Course Totals'!F$4,'[1]import success seats course'!$1:$2,2,FALSE),FALSE)/(VLOOKUP($A386,'[1]import graded seats course pivo'!$A:AD,HLOOKUP('[1]Course Totals'!F$4,'[1]import graded seats course pivo'!$1:$2,2,FALSE),FALSE))),"")</f>
        <v/>
      </c>
      <c r="G386" s="14" t="str">
        <f>IFERROR((VLOOKUP($A386,'[1]import success seats course'!$A:U,HLOOKUP('[1]Course Totals'!G$4,'[1]import success seats course'!$1:$2,2,FALSE),FALSE)/(VLOOKUP($A386,'[1]import graded seats course pivo'!$A:AE,HLOOKUP('[1]Course Totals'!G$4,'[1]import graded seats course pivo'!$1:$2,2,FALSE),FALSE))),"")</f>
        <v/>
      </c>
      <c r="H386" s="14" t="str">
        <f>IFERROR((VLOOKUP($A386,'[1]import success seats course'!$A:V,HLOOKUP('[1]Course Totals'!H$4,'[1]import success seats course'!$1:$2,2,FALSE),FALSE)/(VLOOKUP($A386,'[1]import graded seats course pivo'!$A:AF,HLOOKUP('[1]Course Totals'!H$4,'[1]import graded seats course pivo'!$1:$2,2,FALSE),FALSE))),"")</f>
        <v/>
      </c>
      <c r="I386" s="14" t="str">
        <f>IFERROR((VLOOKUP($A386,'[1]import success seats course'!$A:W,HLOOKUP('[1]Course Totals'!I$4,'[1]import success seats course'!$1:$2,2,FALSE),FALSE)/(VLOOKUP($A386,'[1]import graded seats course pivo'!$A:AG,HLOOKUP('[1]Course Totals'!I$4,'[1]import graded seats course pivo'!$1:$2,2,FALSE),FALSE))),"")</f>
        <v/>
      </c>
      <c r="J386" s="14" t="str">
        <f>IFERROR((VLOOKUP($A386,'[1]import success seats course'!$A:X,HLOOKUP('[1]Course Totals'!J$4,'[1]import success seats course'!$1:$2,2,FALSE),FALSE)/(VLOOKUP($A386,'[1]import graded seats course pivo'!$A:AH,HLOOKUP('[1]Course Totals'!J$4,'[1]import graded seats course pivo'!$1:$2,2,FALSE),FALSE))),"")</f>
        <v/>
      </c>
      <c r="K386" s="14" t="str">
        <f>IFERROR((VLOOKUP($A386,'[1]import success seats course'!$A:Y,HLOOKUP('[1]Course Totals'!K$4,'[1]import success seats course'!$1:$2,2,FALSE),FALSE)/(VLOOKUP($A386,'[1]import graded seats course pivo'!$A:AI,HLOOKUP('[1]Course Totals'!K$4,'[1]import graded seats course pivo'!$1:$2,2,FALSE),FALSE))),"")</f>
        <v/>
      </c>
      <c r="L386" s="14" t="str">
        <f>IFERROR((VLOOKUP($A386,'[1]import success seats course'!$A:Z,HLOOKUP('[1]Course Totals'!L$4,'[1]import success seats course'!$1:$2,2,FALSE),FALSE)/(VLOOKUP($A386,'[1]import graded seats course pivo'!$A:AJ,HLOOKUP('[1]Course Totals'!L$4,'[1]import graded seats course pivo'!$1:$2,2,FALSE),FALSE))),"")</f>
        <v/>
      </c>
      <c r="M386" s="14" t="str">
        <f>IFERROR((VLOOKUP($A386,'[1]import success seats course'!$A:AA,HLOOKUP('[1]Course Totals'!M$4,'[1]import success seats course'!$1:$2,2,FALSE),FALSE)/(VLOOKUP($A386,'[1]import graded seats course pivo'!$A:AK,HLOOKUP('[1]Course Totals'!M$4,'[1]import graded seats course pivo'!$1:$2,2,FALSE),FALSE))),"")</f>
        <v/>
      </c>
      <c r="N386" s="14" t="str">
        <f>IFERROR((VLOOKUP($A386,'[1]import success seats course'!$A:AB,HLOOKUP('[1]Course Totals'!N$4,'[1]import success seats course'!$1:$2,2,FALSE),FALSE)/(VLOOKUP($A386,'[1]import graded seats course pivo'!$A:AL,HLOOKUP('[1]Course Totals'!N$4,'[1]import graded seats course pivo'!$1:$2,2,FALSE),FALSE))),"")</f>
        <v/>
      </c>
      <c r="O386" s="14" t="str">
        <f>IFERROR((VLOOKUP($A386,'[1]import success seats course'!$A:AC,HLOOKUP('[1]Course Totals'!O$4,'[1]import success seats course'!$1:$2,2,FALSE),FALSE)/(VLOOKUP($A386,'[1]import graded seats course pivo'!$A:AM,HLOOKUP('[1]Course Totals'!O$4,'[1]import graded seats course pivo'!$1:$2,2,FALSE),FALSE))),"")</f>
        <v/>
      </c>
      <c r="P386" s="14" t="str">
        <f>IFERROR((VLOOKUP($A386,'[1]import success seats course'!$A:AD,HLOOKUP('[1]Course Totals'!P$4,'[1]import success seats course'!$1:$2,2,FALSE),FALSE)/(VLOOKUP($A386,'[1]import graded seats course pivo'!$A:AN,HLOOKUP('[1]Course Totals'!P$4,'[1]import graded seats course pivo'!$1:$2,2,FALSE),FALSE))),"")</f>
        <v/>
      </c>
      <c r="Q386" s="14" t="str">
        <f>IFERROR((VLOOKUP($A386,'[1]import success seats course'!$A:AE,HLOOKUP('[1]Course Totals'!Q$4,'[1]import success seats course'!$1:$2,2,FALSE),FALSE)/(VLOOKUP($A386,'[1]import graded seats course pivo'!$A:AO,HLOOKUP('[1]Course Totals'!Q$4,'[1]import graded seats course pivo'!$1:$2,2,FALSE),FALSE))),"")</f>
        <v/>
      </c>
      <c r="R386" s="14" t="str">
        <f>IFERROR((VLOOKUP($A386,'[1]import success seats course'!$A:AF,HLOOKUP('[1]Course Totals'!R$4,'[1]import success seats course'!$1:$2,2,FALSE),FALSE)/(VLOOKUP($A386,'[1]import graded seats course pivo'!$A:AP,HLOOKUP('[1]Course Totals'!R$4,'[1]import graded seats course pivo'!$1:$2,2,FALSE),FALSE))),"")</f>
        <v/>
      </c>
      <c r="S386" s="14" t="str">
        <f>IFERROR((VLOOKUP($A386,'[1]import success seats course'!$A:AG,HLOOKUP('[1]Course Totals'!S$4,'[1]import success seats course'!$1:$2,2,FALSE),FALSE)/(VLOOKUP($A386,'[1]import graded seats course pivo'!$A:AQ,HLOOKUP('[1]Course Totals'!S$4,'[1]import graded seats course pivo'!$1:$2,2,FALSE),FALSE))),"")</f>
        <v/>
      </c>
      <c r="Z386" s="7"/>
      <c r="AA386" s="7"/>
      <c r="AB386" s="7"/>
      <c r="AC386" s="7"/>
    </row>
    <row r="387" spans="1:29" ht="15.75" hidden="1" customHeight="1" x14ac:dyDescent="0.25">
      <c r="A387" s="12" t="s">
        <v>780</v>
      </c>
      <c r="B387" s="14" t="str">
        <f>IFERROR((VLOOKUP($A387,'[1]import success seats course'!$A:P,HLOOKUP('[1]Course Totals'!B$4,'[1]import success seats course'!$1:$2,2,FALSE),FALSE)/(VLOOKUP($A387,'[1]import graded seats course pivo'!$A:Z,HLOOKUP('[1]Course Totals'!B$4,'[1]import graded seats course pivo'!$1:$2,2,FALSE),FALSE))),"")</f>
        <v/>
      </c>
      <c r="C387" s="14" t="str">
        <f>IFERROR((VLOOKUP($A387,'[1]import success seats course'!$A:Q,HLOOKUP('[1]Course Totals'!C$4,'[1]import success seats course'!$1:$2,2,FALSE),FALSE)/(VLOOKUP($A387,'[1]import graded seats course pivo'!$A:AA,HLOOKUP('[1]Course Totals'!C$4,'[1]import graded seats course pivo'!$1:$2,2,FALSE),FALSE))),"")</f>
        <v/>
      </c>
      <c r="D387" s="14" t="str">
        <f>IFERROR((VLOOKUP($A387,'[1]import success seats course'!$A:R,HLOOKUP('[1]Course Totals'!D$4,'[1]import success seats course'!$1:$2,2,FALSE),FALSE)/(VLOOKUP($A387,'[1]import graded seats course pivo'!$A:AB,HLOOKUP('[1]Course Totals'!D$4,'[1]import graded seats course pivo'!$1:$2,2,FALSE),FALSE))),"")</f>
        <v/>
      </c>
      <c r="E387" s="14" t="str">
        <f>IFERROR((VLOOKUP($A387,'[1]import success seats course'!$A:S,HLOOKUP('[1]Course Totals'!E$4,'[1]import success seats course'!$1:$2,2,FALSE),FALSE)/(VLOOKUP($A387,'[1]import graded seats course pivo'!$A:AC,HLOOKUP('[1]Course Totals'!E$4,'[1]import graded seats course pivo'!$1:$2,2,FALSE),FALSE))),"")</f>
        <v/>
      </c>
      <c r="F387" s="14" t="str">
        <f>IFERROR((VLOOKUP($A387,'[1]import success seats course'!$A:T,HLOOKUP('[1]Course Totals'!F$4,'[1]import success seats course'!$1:$2,2,FALSE),FALSE)/(VLOOKUP($A387,'[1]import graded seats course pivo'!$A:AD,HLOOKUP('[1]Course Totals'!F$4,'[1]import graded seats course pivo'!$1:$2,2,FALSE),FALSE))),"")</f>
        <v/>
      </c>
      <c r="G387" s="14" t="str">
        <f>IFERROR((VLOOKUP($A387,'[1]import success seats course'!$A:U,HLOOKUP('[1]Course Totals'!G$4,'[1]import success seats course'!$1:$2,2,FALSE),FALSE)/(VLOOKUP($A387,'[1]import graded seats course pivo'!$A:AE,HLOOKUP('[1]Course Totals'!G$4,'[1]import graded seats course pivo'!$1:$2,2,FALSE),FALSE))),"")</f>
        <v/>
      </c>
      <c r="H387" s="14" t="str">
        <f>IFERROR((VLOOKUP($A387,'[1]import success seats course'!$A:V,HLOOKUP('[1]Course Totals'!H$4,'[1]import success seats course'!$1:$2,2,FALSE),FALSE)/(VLOOKUP($A387,'[1]import graded seats course pivo'!$A:AF,HLOOKUP('[1]Course Totals'!H$4,'[1]import graded seats course pivo'!$1:$2,2,FALSE),FALSE))),"")</f>
        <v/>
      </c>
      <c r="I387" s="14" t="str">
        <f>IFERROR((VLOOKUP($A387,'[1]import success seats course'!$A:W,HLOOKUP('[1]Course Totals'!I$4,'[1]import success seats course'!$1:$2,2,FALSE),FALSE)/(VLOOKUP($A387,'[1]import graded seats course pivo'!$A:AG,HLOOKUP('[1]Course Totals'!I$4,'[1]import graded seats course pivo'!$1:$2,2,FALSE),FALSE))),"")</f>
        <v/>
      </c>
      <c r="J387" s="14" t="str">
        <f>IFERROR((VLOOKUP($A387,'[1]import success seats course'!$A:X,HLOOKUP('[1]Course Totals'!J$4,'[1]import success seats course'!$1:$2,2,FALSE),FALSE)/(VLOOKUP($A387,'[1]import graded seats course pivo'!$A:AH,HLOOKUP('[1]Course Totals'!J$4,'[1]import graded seats course pivo'!$1:$2,2,FALSE),FALSE))),"")</f>
        <v/>
      </c>
      <c r="K387" s="14" t="str">
        <f>IFERROR((VLOOKUP($A387,'[1]import success seats course'!$A:Y,HLOOKUP('[1]Course Totals'!K$4,'[1]import success seats course'!$1:$2,2,FALSE),FALSE)/(VLOOKUP($A387,'[1]import graded seats course pivo'!$A:AI,HLOOKUP('[1]Course Totals'!K$4,'[1]import graded seats course pivo'!$1:$2,2,FALSE),FALSE))),"")</f>
        <v/>
      </c>
      <c r="L387" s="14" t="str">
        <f>IFERROR((VLOOKUP($A387,'[1]import success seats course'!$A:Z,HLOOKUP('[1]Course Totals'!L$4,'[1]import success seats course'!$1:$2,2,FALSE),FALSE)/(VLOOKUP($A387,'[1]import graded seats course pivo'!$A:AJ,HLOOKUP('[1]Course Totals'!L$4,'[1]import graded seats course pivo'!$1:$2,2,FALSE),FALSE))),"")</f>
        <v/>
      </c>
      <c r="M387" s="14" t="str">
        <f>IFERROR((VLOOKUP($A387,'[1]import success seats course'!$A:AA,HLOOKUP('[1]Course Totals'!M$4,'[1]import success seats course'!$1:$2,2,FALSE),FALSE)/(VLOOKUP($A387,'[1]import graded seats course pivo'!$A:AK,HLOOKUP('[1]Course Totals'!M$4,'[1]import graded seats course pivo'!$1:$2,2,FALSE),FALSE))),"")</f>
        <v/>
      </c>
      <c r="N387" s="14" t="str">
        <f>IFERROR((VLOOKUP($A387,'[1]import success seats course'!$A:AB,HLOOKUP('[1]Course Totals'!N$4,'[1]import success seats course'!$1:$2,2,FALSE),FALSE)/(VLOOKUP($A387,'[1]import graded seats course pivo'!$A:AL,HLOOKUP('[1]Course Totals'!N$4,'[1]import graded seats course pivo'!$1:$2,2,FALSE),FALSE))),"")</f>
        <v/>
      </c>
      <c r="O387" s="14" t="str">
        <f>IFERROR((VLOOKUP($A387,'[1]import success seats course'!$A:AC,HLOOKUP('[1]Course Totals'!O$4,'[1]import success seats course'!$1:$2,2,FALSE),FALSE)/(VLOOKUP($A387,'[1]import graded seats course pivo'!$A:AM,HLOOKUP('[1]Course Totals'!O$4,'[1]import graded seats course pivo'!$1:$2,2,FALSE),FALSE))),"")</f>
        <v/>
      </c>
      <c r="P387" s="14" t="str">
        <f>IFERROR((VLOOKUP($A387,'[1]import success seats course'!$A:AD,HLOOKUP('[1]Course Totals'!P$4,'[1]import success seats course'!$1:$2,2,FALSE),FALSE)/(VLOOKUP($A387,'[1]import graded seats course pivo'!$A:AN,HLOOKUP('[1]Course Totals'!P$4,'[1]import graded seats course pivo'!$1:$2,2,FALSE),FALSE))),"")</f>
        <v/>
      </c>
      <c r="Q387" s="14" t="str">
        <f>IFERROR((VLOOKUP($A387,'[1]import success seats course'!$A:AE,HLOOKUP('[1]Course Totals'!Q$4,'[1]import success seats course'!$1:$2,2,FALSE),FALSE)/(VLOOKUP($A387,'[1]import graded seats course pivo'!$A:AO,HLOOKUP('[1]Course Totals'!Q$4,'[1]import graded seats course pivo'!$1:$2,2,FALSE),FALSE))),"")</f>
        <v/>
      </c>
      <c r="R387" s="14" t="str">
        <f>IFERROR((VLOOKUP($A387,'[1]import success seats course'!$A:AF,HLOOKUP('[1]Course Totals'!R$4,'[1]import success seats course'!$1:$2,2,FALSE),FALSE)/(VLOOKUP($A387,'[1]import graded seats course pivo'!$A:AP,HLOOKUP('[1]Course Totals'!R$4,'[1]import graded seats course pivo'!$1:$2,2,FALSE),FALSE))),"")</f>
        <v/>
      </c>
      <c r="S387" s="14" t="str">
        <f>IFERROR((VLOOKUP($A387,'[1]import success seats course'!$A:AG,HLOOKUP('[1]Course Totals'!S$4,'[1]import success seats course'!$1:$2,2,FALSE),FALSE)/(VLOOKUP($A387,'[1]import graded seats course pivo'!$A:AQ,HLOOKUP('[1]Course Totals'!S$4,'[1]import graded seats course pivo'!$1:$2,2,FALSE),FALSE))),"")</f>
        <v/>
      </c>
      <c r="Z387" s="7"/>
      <c r="AA387" s="7"/>
      <c r="AB387" s="7"/>
      <c r="AC387" s="7"/>
    </row>
    <row r="388" spans="1:29" ht="15.75" customHeight="1" x14ac:dyDescent="0.25">
      <c r="A388" s="12" t="s">
        <v>190</v>
      </c>
      <c r="B388" s="14" t="str">
        <f>IFERROR((VLOOKUP($A388,'[1]import success seats course'!$A:P,HLOOKUP('[1]Course Totals'!B$4,'[1]import success seats course'!$1:$2,2,FALSE),FALSE)/(VLOOKUP($A388,'[1]import graded seats course pivo'!$A:Z,HLOOKUP('[1]Course Totals'!B$4,'[1]import graded seats course pivo'!$1:$2,2,FALSE),FALSE))),"")</f>
        <v/>
      </c>
      <c r="C388" s="14">
        <f>IFERROR((VLOOKUP($A388,'[1]import success seats course'!$A:Q,HLOOKUP('[1]Course Totals'!C$4,'[1]import success seats course'!$1:$2,2,FALSE),FALSE)/(VLOOKUP($A388,'[1]import graded seats course pivo'!$A:AA,HLOOKUP('[1]Course Totals'!C$4,'[1]import graded seats course pivo'!$1:$2,2,FALSE),FALSE))),"")</f>
        <v>0</v>
      </c>
      <c r="D388" s="14" t="str">
        <f>IFERROR((VLOOKUP($A388,'[1]import success seats course'!$A:R,HLOOKUP('[1]Course Totals'!D$4,'[1]import success seats course'!$1:$2,2,FALSE),FALSE)/(VLOOKUP($A388,'[1]import graded seats course pivo'!$A:AB,HLOOKUP('[1]Course Totals'!D$4,'[1]import graded seats course pivo'!$1:$2,2,FALSE),FALSE))),"")</f>
        <v/>
      </c>
      <c r="E388" s="14">
        <f>IFERROR((VLOOKUP($A388,'[1]import success seats course'!$A:S,HLOOKUP('[1]Course Totals'!E$4,'[1]import success seats course'!$1:$2,2,FALSE),FALSE)/(VLOOKUP($A388,'[1]import graded seats course pivo'!$A:AC,HLOOKUP('[1]Course Totals'!E$4,'[1]import graded seats course pivo'!$1:$2,2,FALSE),FALSE))),"")</f>
        <v>1</v>
      </c>
      <c r="F388" s="14">
        <f>IFERROR((VLOOKUP($A388,'[1]import success seats course'!$A:T,HLOOKUP('[1]Course Totals'!F$4,'[1]import success seats course'!$1:$2,2,FALSE),FALSE)/(VLOOKUP($A388,'[1]import graded seats course pivo'!$A:AD,HLOOKUP('[1]Course Totals'!F$4,'[1]import graded seats course pivo'!$1:$2,2,FALSE),FALSE))),"")</f>
        <v>1</v>
      </c>
      <c r="G388" s="14">
        <f>IFERROR((VLOOKUP($A388,'[1]import success seats course'!$A:U,HLOOKUP('[1]Course Totals'!G$4,'[1]import success seats course'!$1:$2,2,FALSE),FALSE)/(VLOOKUP($A388,'[1]import graded seats course pivo'!$A:AE,HLOOKUP('[1]Course Totals'!G$4,'[1]import graded seats course pivo'!$1:$2,2,FALSE),FALSE))),"")</f>
        <v>0.75</v>
      </c>
      <c r="H388" s="14" t="str">
        <f>IFERROR((VLOOKUP($A388,'[1]import success seats course'!$A:V,HLOOKUP('[1]Course Totals'!H$4,'[1]import success seats course'!$1:$2,2,FALSE),FALSE)/(VLOOKUP($A388,'[1]import graded seats course pivo'!$A:AF,HLOOKUP('[1]Course Totals'!H$4,'[1]import graded seats course pivo'!$1:$2,2,FALSE),FALSE))),"")</f>
        <v/>
      </c>
      <c r="I388" s="14" t="str">
        <f>IFERROR((VLOOKUP($A388,'[1]import success seats course'!$A:W,HLOOKUP('[1]Course Totals'!I$4,'[1]import success seats course'!$1:$2,2,FALSE),FALSE)/(VLOOKUP($A388,'[1]import graded seats course pivo'!$A:AG,HLOOKUP('[1]Course Totals'!I$4,'[1]import graded seats course pivo'!$1:$2,2,FALSE),FALSE))),"")</f>
        <v/>
      </c>
      <c r="J388" s="14" t="str">
        <f>IFERROR((VLOOKUP($A388,'[1]import success seats course'!$A:X,HLOOKUP('[1]Course Totals'!J$4,'[1]import success seats course'!$1:$2,2,FALSE),FALSE)/(VLOOKUP($A388,'[1]import graded seats course pivo'!$A:AH,HLOOKUP('[1]Course Totals'!J$4,'[1]import graded seats course pivo'!$1:$2,2,FALSE),FALSE))),"")</f>
        <v/>
      </c>
      <c r="K388" s="14" t="str">
        <f>IFERROR((VLOOKUP($A388,'[1]import success seats course'!$A:Y,HLOOKUP('[1]Course Totals'!K$4,'[1]import success seats course'!$1:$2,2,FALSE),FALSE)/(VLOOKUP($A388,'[1]import graded seats course pivo'!$A:AI,HLOOKUP('[1]Course Totals'!K$4,'[1]import graded seats course pivo'!$1:$2,2,FALSE),FALSE))),"")</f>
        <v/>
      </c>
      <c r="L388" s="14" t="str">
        <f>IFERROR((VLOOKUP($A388,'[1]import success seats course'!$A:Z,HLOOKUP('[1]Course Totals'!L$4,'[1]import success seats course'!$1:$2,2,FALSE),FALSE)/(VLOOKUP($A388,'[1]import graded seats course pivo'!$A:AJ,HLOOKUP('[1]Course Totals'!L$4,'[1]import graded seats course pivo'!$1:$2,2,FALSE),FALSE))),"")</f>
        <v/>
      </c>
      <c r="M388" s="14" t="str">
        <f>IFERROR((VLOOKUP($A388,'[1]import success seats course'!$A:AA,HLOOKUP('[1]Course Totals'!M$4,'[1]import success seats course'!$1:$2,2,FALSE),FALSE)/(VLOOKUP($A388,'[1]import graded seats course pivo'!$A:AK,HLOOKUP('[1]Course Totals'!M$4,'[1]import graded seats course pivo'!$1:$2,2,FALSE),FALSE))),"")</f>
        <v/>
      </c>
      <c r="N388" s="14" t="str">
        <f>IFERROR((VLOOKUP($A388,'[1]import success seats course'!$A:AB,HLOOKUP('[1]Course Totals'!N$4,'[1]import success seats course'!$1:$2,2,FALSE),FALSE)/(VLOOKUP($A388,'[1]import graded seats course pivo'!$A:AL,HLOOKUP('[1]Course Totals'!N$4,'[1]import graded seats course pivo'!$1:$2,2,FALSE),FALSE))),"")</f>
        <v/>
      </c>
      <c r="O388" s="14" t="str">
        <f>IFERROR((VLOOKUP($A388,'[1]import success seats course'!$A:AC,HLOOKUP('[1]Course Totals'!O$4,'[1]import success seats course'!$1:$2,2,FALSE),FALSE)/(VLOOKUP($A388,'[1]import graded seats course pivo'!$A:AM,HLOOKUP('[1]Course Totals'!O$4,'[1]import graded seats course pivo'!$1:$2,2,FALSE),FALSE))),"")</f>
        <v/>
      </c>
      <c r="P388" s="14" t="str">
        <f>IFERROR((VLOOKUP($A388,'[1]import success seats course'!$A:AD,HLOOKUP('[1]Course Totals'!P$4,'[1]import success seats course'!$1:$2,2,FALSE),FALSE)/(VLOOKUP($A388,'[1]import graded seats course pivo'!$A:AN,HLOOKUP('[1]Course Totals'!P$4,'[1]import graded seats course pivo'!$1:$2,2,FALSE),FALSE))),"")</f>
        <v/>
      </c>
      <c r="Q388" s="14" t="str">
        <f>IFERROR((VLOOKUP($A388,'[1]import success seats course'!$A:AE,HLOOKUP('[1]Course Totals'!Q$4,'[1]import success seats course'!$1:$2,2,FALSE),FALSE)/(VLOOKUP($A388,'[1]import graded seats course pivo'!$A:AO,HLOOKUP('[1]Course Totals'!Q$4,'[1]import graded seats course pivo'!$1:$2,2,FALSE),FALSE))),"")</f>
        <v/>
      </c>
      <c r="R388" s="14" t="str">
        <f>IFERROR((VLOOKUP($A388,'[1]import success seats course'!$A:AF,HLOOKUP('[1]Course Totals'!R$4,'[1]import success seats course'!$1:$2,2,FALSE),FALSE)/(VLOOKUP($A388,'[1]import graded seats course pivo'!$A:AP,HLOOKUP('[1]Course Totals'!R$4,'[1]import graded seats course pivo'!$1:$2,2,FALSE),FALSE))),"")</f>
        <v/>
      </c>
      <c r="S388" s="14">
        <f>IFERROR((VLOOKUP($A388,'[1]import success seats course'!$A:AG,HLOOKUP('[1]Course Totals'!S$4,'[1]import success seats course'!$1:$2,2,FALSE),FALSE)/(VLOOKUP($A388,'[1]import graded seats course pivo'!$A:AQ,HLOOKUP('[1]Course Totals'!S$4,'[1]import graded seats course pivo'!$1:$2,2,FALSE),FALSE))),"")</f>
        <v>1</v>
      </c>
      <c r="Z388" s="7"/>
      <c r="AA388" s="7"/>
      <c r="AB388" s="7"/>
      <c r="AC388" s="7"/>
    </row>
    <row r="389" spans="1:29" ht="15.75" hidden="1" customHeight="1" x14ac:dyDescent="0.25">
      <c r="A389" s="12" t="s">
        <v>781</v>
      </c>
      <c r="B389" s="14" t="str">
        <f>IFERROR((VLOOKUP($A389,'[1]import success seats course'!$A:P,HLOOKUP('[1]Course Totals'!B$4,'[1]import success seats course'!$1:$2,2,FALSE),FALSE)/(VLOOKUP($A389,'[1]import graded seats course pivo'!$A:Z,HLOOKUP('[1]Course Totals'!B$4,'[1]import graded seats course pivo'!$1:$2,2,FALSE),FALSE))),"")</f>
        <v/>
      </c>
      <c r="C389" s="14" t="str">
        <f>IFERROR((VLOOKUP($A389,'[1]import success seats course'!$A:Q,HLOOKUP('[1]Course Totals'!C$4,'[1]import success seats course'!$1:$2,2,FALSE),FALSE)/(VLOOKUP($A389,'[1]import graded seats course pivo'!$A:AA,HLOOKUP('[1]Course Totals'!C$4,'[1]import graded seats course pivo'!$1:$2,2,FALSE),FALSE))),"")</f>
        <v/>
      </c>
      <c r="D389" s="14" t="str">
        <f>IFERROR((VLOOKUP($A389,'[1]import success seats course'!$A:R,HLOOKUP('[1]Course Totals'!D$4,'[1]import success seats course'!$1:$2,2,FALSE),FALSE)/(VLOOKUP($A389,'[1]import graded seats course pivo'!$A:AB,HLOOKUP('[1]Course Totals'!D$4,'[1]import graded seats course pivo'!$1:$2,2,FALSE),FALSE))),"")</f>
        <v/>
      </c>
      <c r="E389" s="14" t="str">
        <f>IFERROR((VLOOKUP($A389,'[1]import success seats course'!$A:S,HLOOKUP('[1]Course Totals'!E$4,'[1]import success seats course'!$1:$2,2,FALSE),FALSE)/(VLOOKUP($A389,'[1]import graded seats course pivo'!$A:AC,HLOOKUP('[1]Course Totals'!E$4,'[1]import graded seats course pivo'!$1:$2,2,FALSE),FALSE))),"")</f>
        <v/>
      </c>
      <c r="F389" s="14" t="str">
        <f>IFERROR((VLOOKUP($A389,'[1]import success seats course'!$A:T,HLOOKUP('[1]Course Totals'!F$4,'[1]import success seats course'!$1:$2,2,FALSE),FALSE)/(VLOOKUP($A389,'[1]import graded seats course pivo'!$A:AD,HLOOKUP('[1]Course Totals'!F$4,'[1]import graded seats course pivo'!$1:$2,2,FALSE),FALSE))),"")</f>
        <v/>
      </c>
      <c r="G389" s="14" t="str">
        <f>IFERROR((VLOOKUP($A389,'[1]import success seats course'!$A:U,HLOOKUP('[1]Course Totals'!G$4,'[1]import success seats course'!$1:$2,2,FALSE),FALSE)/(VLOOKUP($A389,'[1]import graded seats course pivo'!$A:AE,HLOOKUP('[1]Course Totals'!G$4,'[1]import graded seats course pivo'!$1:$2,2,FALSE),FALSE))),"")</f>
        <v/>
      </c>
      <c r="H389" s="14" t="str">
        <f>IFERROR((VLOOKUP($A389,'[1]import success seats course'!$A:V,HLOOKUP('[1]Course Totals'!H$4,'[1]import success seats course'!$1:$2,2,FALSE),FALSE)/(VLOOKUP($A389,'[1]import graded seats course pivo'!$A:AF,HLOOKUP('[1]Course Totals'!H$4,'[1]import graded seats course pivo'!$1:$2,2,FALSE),FALSE))),"")</f>
        <v/>
      </c>
      <c r="I389" s="14" t="str">
        <f>IFERROR((VLOOKUP($A389,'[1]import success seats course'!$A:W,HLOOKUP('[1]Course Totals'!I$4,'[1]import success seats course'!$1:$2,2,FALSE),FALSE)/(VLOOKUP($A389,'[1]import graded seats course pivo'!$A:AG,HLOOKUP('[1]Course Totals'!I$4,'[1]import graded seats course pivo'!$1:$2,2,FALSE),FALSE))),"")</f>
        <v/>
      </c>
      <c r="J389" s="14" t="str">
        <f>IFERROR((VLOOKUP($A389,'[1]import success seats course'!$A:X,HLOOKUP('[1]Course Totals'!J$4,'[1]import success seats course'!$1:$2,2,FALSE),FALSE)/(VLOOKUP($A389,'[1]import graded seats course pivo'!$A:AH,HLOOKUP('[1]Course Totals'!J$4,'[1]import graded seats course pivo'!$1:$2,2,FALSE),FALSE))),"")</f>
        <v/>
      </c>
      <c r="K389" s="14" t="str">
        <f>IFERROR((VLOOKUP($A389,'[1]import success seats course'!$A:Y,HLOOKUP('[1]Course Totals'!K$4,'[1]import success seats course'!$1:$2,2,FALSE),FALSE)/(VLOOKUP($A389,'[1]import graded seats course pivo'!$A:AI,HLOOKUP('[1]Course Totals'!K$4,'[1]import graded seats course pivo'!$1:$2,2,FALSE),FALSE))),"")</f>
        <v/>
      </c>
      <c r="L389" s="14" t="str">
        <f>IFERROR((VLOOKUP($A389,'[1]import success seats course'!$A:Z,HLOOKUP('[1]Course Totals'!L$4,'[1]import success seats course'!$1:$2,2,FALSE),FALSE)/(VLOOKUP($A389,'[1]import graded seats course pivo'!$A:AJ,HLOOKUP('[1]Course Totals'!L$4,'[1]import graded seats course pivo'!$1:$2,2,FALSE),FALSE))),"")</f>
        <v/>
      </c>
      <c r="M389" s="14" t="str">
        <f>IFERROR((VLOOKUP($A389,'[1]import success seats course'!$A:AA,HLOOKUP('[1]Course Totals'!M$4,'[1]import success seats course'!$1:$2,2,FALSE),FALSE)/(VLOOKUP($A389,'[1]import graded seats course pivo'!$A:AK,HLOOKUP('[1]Course Totals'!M$4,'[1]import graded seats course pivo'!$1:$2,2,FALSE),FALSE))),"")</f>
        <v/>
      </c>
      <c r="N389" s="14" t="str">
        <f>IFERROR((VLOOKUP($A389,'[1]import success seats course'!$A:AB,HLOOKUP('[1]Course Totals'!N$4,'[1]import success seats course'!$1:$2,2,FALSE),FALSE)/(VLOOKUP($A389,'[1]import graded seats course pivo'!$A:AL,HLOOKUP('[1]Course Totals'!N$4,'[1]import graded seats course pivo'!$1:$2,2,FALSE),FALSE))),"")</f>
        <v/>
      </c>
      <c r="O389" s="14" t="str">
        <f>IFERROR((VLOOKUP($A389,'[1]import success seats course'!$A:AC,HLOOKUP('[1]Course Totals'!O$4,'[1]import success seats course'!$1:$2,2,FALSE),FALSE)/(VLOOKUP($A389,'[1]import graded seats course pivo'!$A:AM,HLOOKUP('[1]Course Totals'!O$4,'[1]import graded seats course pivo'!$1:$2,2,FALSE),FALSE))),"")</f>
        <v/>
      </c>
      <c r="P389" s="14" t="str">
        <f>IFERROR((VLOOKUP($A389,'[1]import success seats course'!$A:AD,HLOOKUP('[1]Course Totals'!P$4,'[1]import success seats course'!$1:$2,2,FALSE),FALSE)/(VLOOKUP($A389,'[1]import graded seats course pivo'!$A:AN,HLOOKUP('[1]Course Totals'!P$4,'[1]import graded seats course pivo'!$1:$2,2,FALSE),FALSE))),"")</f>
        <v/>
      </c>
      <c r="Q389" s="14" t="str">
        <f>IFERROR((VLOOKUP($A389,'[1]import success seats course'!$A:AE,HLOOKUP('[1]Course Totals'!Q$4,'[1]import success seats course'!$1:$2,2,FALSE),FALSE)/(VLOOKUP($A389,'[1]import graded seats course pivo'!$A:AO,HLOOKUP('[1]Course Totals'!Q$4,'[1]import graded seats course pivo'!$1:$2,2,FALSE),FALSE))),"")</f>
        <v/>
      </c>
      <c r="R389" s="14" t="str">
        <f>IFERROR((VLOOKUP($A389,'[1]import success seats course'!$A:AF,HLOOKUP('[1]Course Totals'!R$4,'[1]import success seats course'!$1:$2,2,FALSE),FALSE)/(VLOOKUP($A389,'[1]import graded seats course pivo'!$A:AP,HLOOKUP('[1]Course Totals'!R$4,'[1]import graded seats course pivo'!$1:$2,2,FALSE),FALSE))),"")</f>
        <v/>
      </c>
      <c r="S389" s="14" t="str">
        <f>IFERROR((VLOOKUP($A389,'[1]import success seats course'!$A:AG,HLOOKUP('[1]Course Totals'!S$4,'[1]import success seats course'!$1:$2,2,FALSE),FALSE)/(VLOOKUP($A389,'[1]import graded seats course pivo'!$A:AQ,HLOOKUP('[1]Course Totals'!S$4,'[1]import graded seats course pivo'!$1:$2,2,FALSE),FALSE))),"")</f>
        <v/>
      </c>
      <c r="Z389" s="7"/>
      <c r="AA389" s="7"/>
      <c r="AB389" s="7"/>
      <c r="AC389" s="7"/>
    </row>
    <row r="390" spans="1:29" ht="15.75" hidden="1" customHeight="1" x14ac:dyDescent="0.25">
      <c r="A390" s="12" t="s">
        <v>191</v>
      </c>
      <c r="B390" s="14" t="str">
        <f>IFERROR((VLOOKUP($A390,'[1]import success seats course'!$A:P,HLOOKUP('[1]Course Totals'!B$4,'[1]import success seats course'!$1:$2,2,FALSE),FALSE)/(VLOOKUP($A390,'[1]import graded seats course pivo'!$A:Z,HLOOKUP('[1]Course Totals'!B$4,'[1]import graded seats course pivo'!$1:$2,2,FALSE),FALSE))),"")</f>
        <v/>
      </c>
      <c r="C390" s="14" t="str">
        <f>IFERROR((VLOOKUP($A390,'[1]import success seats course'!$A:Q,HLOOKUP('[1]Course Totals'!C$4,'[1]import success seats course'!$1:$2,2,FALSE),FALSE)/(VLOOKUP($A390,'[1]import graded seats course pivo'!$A:AA,HLOOKUP('[1]Course Totals'!C$4,'[1]import graded seats course pivo'!$1:$2,2,FALSE),FALSE))),"")</f>
        <v/>
      </c>
      <c r="D390" s="14" t="str">
        <f>IFERROR((VLOOKUP($A390,'[1]import success seats course'!$A:R,HLOOKUP('[1]Course Totals'!D$4,'[1]import success seats course'!$1:$2,2,FALSE),FALSE)/(VLOOKUP($A390,'[1]import graded seats course pivo'!$A:AB,HLOOKUP('[1]Course Totals'!D$4,'[1]import graded seats course pivo'!$1:$2,2,FALSE),FALSE))),"")</f>
        <v/>
      </c>
      <c r="E390" s="14" t="str">
        <f>IFERROR((VLOOKUP($A390,'[1]import success seats course'!$A:S,HLOOKUP('[1]Course Totals'!E$4,'[1]import success seats course'!$1:$2,2,FALSE),FALSE)/(VLOOKUP($A390,'[1]import graded seats course pivo'!$A:AC,HLOOKUP('[1]Course Totals'!E$4,'[1]import graded seats course pivo'!$1:$2,2,FALSE),FALSE))),"")</f>
        <v/>
      </c>
      <c r="F390" s="14" t="str">
        <f>IFERROR((VLOOKUP($A390,'[1]import success seats course'!$A:T,HLOOKUP('[1]Course Totals'!F$4,'[1]import success seats course'!$1:$2,2,FALSE),FALSE)/(VLOOKUP($A390,'[1]import graded seats course pivo'!$A:AD,HLOOKUP('[1]Course Totals'!F$4,'[1]import graded seats course pivo'!$1:$2,2,FALSE),FALSE))),"")</f>
        <v/>
      </c>
      <c r="G390" s="14" t="str">
        <f>IFERROR((VLOOKUP($A390,'[1]import success seats course'!$A:U,HLOOKUP('[1]Course Totals'!G$4,'[1]import success seats course'!$1:$2,2,FALSE),FALSE)/(VLOOKUP($A390,'[1]import graded seats course pivo'!$A:AE,HLOOKUP('[1]Course Totals'!G$4,'[1]import graded seats course pivo'!$1:$2,2,FALSE),FALSE))),"")</f>
        <v/>
      </c>
      <c r="H390" s="14" t="str">
        <f>IFERROR((VLOOKUP($A390,'[1]import success seats course'!$A:V,HLOOKUP('[1]Course Totals'!H$4,'[1]import success seats course'!$1:$2,2,FALSE),FALSE)/(VLOOKUP($A390,'[1]import graded seats course pivo'!$A:AF,HLOOKUP('[1]Course Totals'!H$4,'[1]import graded seats course pivo'!$1:$2,2,FALSE),FALSE))),"")</f>
        <v/>
      </c>
      <c r="I390" s="14" t="str">
        <f>IFERROR((VLOOKUP($A390,'[1]import success seats course'!$A:W,HLOOKUP('[1]Course Totals'!I$4,'[1]import success seats course'!$1:$2,2,FALSE),FALSE)/(VLOOKUP($A390,'[1]import graded seats course pivo'!$A:AG,HLOOKUP('[1]Course Totals'!I$4,'[1]import graded seats course pivo'!$1:$2,2,FALSE),FALSE))),"")</f>
        <v/>
      </c>
      <c r="J390" s="14" t="str">
        <f>IFERROR((VLOOKUP($A390,'[1]import success seats course'!$A:X,HLOOKUP('[1]Course Totals'!J$4,'[1]import success seats course'!$1:$2,2,FALSE),FALSE)/(VLOOKUP($A390,'[1]import graded seats course pivo'!$A:AH,HLOOKUP('[1]Course Totals'!J$4,'[1]import graded seats course pivo'!$1:$2,2,FALSE),FALSE))),"")</f>
        <v/>
      </c>
      <c r="K390" s="14" t="str">
        <f>IFERROR((VLOOKUP($A390,'[1]import success seats course'!$A:Y,HLOOKUP('[1]Course Totals'!K$4,'[1]import success seats course'!$1:$2,2,FALSE),FALSE)/(VLOOKUP($A390,'[1]import graded seats course pivo'!$A:AI,HLOOKUP('[1]Course Totals'!K$4,'[1]import graded seats course pivo'!$1:$2,2,FALSE),FALSE))),"")</f>
        <v/>
      </c>
      <c r="L390" s="14" t="str">
        <f>IFERROR((VLOOKUP($A390,'[1]import success seats course'!$A:Z,HLOOKUP('[1]Course Totals'!L$4,'[1]import success seats course'!$1:$2,2,FALSE),FALSE)/(VLOOKUP($A390,'[1]import graded seats course pivo'!$A:AJ,HLOOKUP('[1]Course Totals'!L$4,'[1]import graded seats course pivo'!$1:$2,2,FALSE),FALSE))),"")</f>
        <v/>
      </c>
      <c r="M390" s="14" t="str">
        <f>IFERROR((VLOOKUP($A390,'[1]import success seats course'!$A:AA,HLOOKUP('[1]Course Totals'!M$4,'[1]import success seats course'!$1:$2,2,FALSE),FALSE)/(VLOOKUP($A390,'[1]import graded seats course pivo'!$A:AK,HLOOKUP('[1]Course Totals'!M$4,'[1]import graded seats course pivo'!$1:$2,2,FALSE),FALSE))),"")</f>
        <v/>
      </c>
      <c r="N390" s="14" t="str">
        <f>IFERROR((VLOOKUP($A390,'[1]import success seats course'!$A:AB,HLOOKUP('[1]Course Totals'!N$4,'[1]import success seats course'!$1:$2,2,FALSE),FALSE)/(VLOOKUP($A390,'[1]import graded seats course pivo'!$A:AL,HLOOKUP('[1]Course Totals'!N$4,'[1]import graded seats course pivo'!$1:$2,2,FALSE),FALSE))),"")</f>
        <v/>
      </c>
      <c r="O390" s="14" t="str">
        <f>IFERROR((VLOOKUP($A390,'[1]import success seats course'!$A:AC,HLOOKUP('[1]Course Totals'!O$4,'[1]import success seats course'!$1:$2,2,FALSE),FALSE)/(VLOOKUP($A390,'[1]import graded seats course pivo'!$A:AM,HLOOKUP('[1]Course Totals'!O$4,'[1]import graded seats course pivo'!$1:$2,2,FALSE),FALSE))),"")</f>
        <v/>
      </c>
      <c r="P390" s="14" t="str">
        <f>IFERROR((VLOOKUP($A390,'[1]import success seats course'!$A:AD,HLOOKUP('[1]Course Totals'!P$4,'[1]import success seats course'!$1:$2,2,FALSE),FALSE)/(VLOOKUP($A390,'[1]import graded seats course pivo'!$A:AN,HLOOKUP('[1]Course Totals'!P$4,'[1]import graded seats course pivo'!$1:$2,2,FALSE),FALSE))),"")</f>
        <v/>
      </c>
      <c r="Q390" s="14" t="str">
        <f>IFERROR((VLOOKUP($A390,'[1]import success seats course'!$A:AE,HLOOKUP('[1]Course Totals'!Q$4,'[1]import success seats course'!$1:$2,2,FALSE),FALSE)/(VLOOKUP($A390,'[1]import graded seats course pivo'!$A:AO,HLOOKUP('[1]Course Totals'!Q$4,'[1]import graded seats course pivo'!$1:$2,2,FALSE),FALSE))),"")</f>
        <v/>
      </c>
      <c r="R390" s="14" t="str">
        <f>IFERROR((VLOOKUP($A390,'[1]import success seats course'!$A:AF,HLOOKUP('[1]Course Totals'!R$4,'[1]import success seats course'!$1:$2,2,FALSE),FALSE)/(VLOOKUP($A390,'[1]import graded seats course pivo'!$A:AP,HLOOKUP('[1]Course Totals'!R$4,'[1]import graded seats course pivo'!$1:$2,2,FALSE),FALSE))),"")</f>
        <v/>
      </c>
      <c r="S390" s="14" t="str">
        <f>IFERROR((VLOOKUP($A390,'[1]import success seats course'!$A:AG,HLOOKUP('[1]Course Totals'!S$4,'[1]import success seats course'!$1:$2,2,FALSE),FALSE)/(VLOOKUP($A390,'[1]import graded seats course pivo'!$A:AQ,HLOOKUP('[1]Course Totals'!S$4,'[1]import graded seats course pivo'!$1:$2,2,FALSE),FALSE))),"")</f>
        <v/>
      </c>
      <c r="Z390" s="7"/>
      <c r="AA390" s="7"/>
      <c r="AB390" s="7"/>
      <c r="AC390" s="7"/>
    </row>
    <row r="391" spans="1:29" ht="15.75" customHeight="1" x14ac:dyDescent="0.25">
      <c r="A391" s="12" t="s">
        <v>192</v>
      </c>
      <c r="B391" s="14" t="str">
        <f>IFERROR((VLOOKUP($A391,'[1]import success seats course'!$A:P,HLOOKUP('[1]Course Totals'!B$4,'[1]import success seats course'!$1:$2,2,FALSE),FALSE)/(VLOOKUP($A391,'[1]import graded seats course pivo'!$A:Z,HLOOKUP('[1]Course Totals'!B$4,'[1]import graded seats course pivo'!$1:$2,2,FALSE),FALSE))),"")</f>
        <v/>
      </c>
      <c r="C391" s="14">
        <f>IFERROR((VLOOKUP($A391,'[1]import success seats course'!$A:Q,HLOOKUP('[1]Course Totals'!C$4,'[1]import success seats course'!$1:$2,2,FALSE),FALSE)/(VLOOKUP($A391,'[1]import graded seats course pivo'!$A:AA,HLOOKUP('[1]Course Totals'!C$4,'[1]import graded seats course pivo'!$1:$2,2,FALSE),FALSE))),"")</f>
        <v>0.83333333333333337</v>
      </c>
      <c r="D391" s="14" t="str">
        <f>IFERROR((VLOOKUP($A391,'[1]import success seats course'!$A:R,HLOOKUP('[1]Course Totals'!D$4,'[1]import success seats course'!$1:$2,2,FALSE),FALSE)/(VLOOKUP($A391,'[1]import graded seats course pivo'!$A:AB,HLOOKUP('[1]Course Totals'!D$4,'[1]import graded seats course pivo'!$1:$2,2,FALSE),FALSE))),"")</f>
        <v/>
      </c>
      <c r="E391" s="14" t="str">
        <f>IFERROR((VLOOKUP($A391,'[1]import success seats course'!$A:S,HLOOKUP('[1]Course Totals'!E$4,'[1]import success seats course'!$1:$2,2,FALSE),FALSE)/(VLOOKUP($A391,'[1]import graded seats course pivo'!$A:AC,HLOOKUP('[1]Course Totals'!E$4,'[1]import graded seats course pivo'!$1:$2,2,FALSE),FALSE))),"")</f>
        <v/>
      </c>
      <c r="F391" s="14" t="str">
        <f>IFERROR((VLOOKUP($A391,'[1]import success seats course'!$A:T,HLOOKUP('[1]Course Totals'!F$4,'[1]import success seats course'!$1:$2,2,FALSE),FALSE)/(VLOOKUP($A391,'[1]import graded seats course pivo'!$A:AD,HLOOKUP('[1]Course Totals'!F$4,'[1]import graded seats course pivo'!$1:$2,2,FALSE),FALSE))),"")</f>
        <v/>
      </c>
      <c r="G391" s="14" t="str">
        <f>IFERROR((VLOOKUP($A391,'[1]import success seats course'!$A:U,HLOOKUP('[1]Course Totals'!G$4,'[1]import success seats course'!$1:$2,2,FALSE),FALSE)/(VLOOKUP($A391,'[1]import graded seats course pivo'!$A:AE,HLOOKUP('[1]Course Totals'!G$4,'[1]import graded seats course pivo'!$1:$2,2,FALSE),FALSE))),"")</f>
        <v/>
      </c>
      <c r="H391" s="14" t="str">
        <f>IFERROR((VLOOKUP($A391,'[1]import success seats course'!$A:V,HLOOKUP('[1]Course Totals'!H$4,'[1]import success seats course'!$1:$2,2,FALSE),FALSE)/(VLOOKUP($A391,'[1]import graded seats course pivo'!$A:AF,HLOOKUP('[1]Course Totals'!H$4,'[1]import graded seats course pivo'!$1:$2,2,FALSE),FALSE))),"")</f>
        <v/>
      </c>
      <c r="I391" s="14" t="str">
        <f>IFERROR((VLOOKUP($A391,'[1]import success seats course'!$A:W,HLOOKUP('[1]Course Totals'!I$4,'[1]import success seats course'!$1:$2,2,FALSE),FALSE)/(VLOOKUP($A391,'[1]import graded seats course pivo'!$A:AG,HLOOKUP('[1]Course Totals'!I$4,'[1]import graded seats course pivo'!$1:$2,2,FALSE),FALSE))),"")</f>
        <v/>
      </c>
      <c r="J391" s="14" t="str">
        <f>IFERROR((VLOOKUP($A391,'[1]import success seats course'!$A:X,HLOOKUP('[1]Course Totals'!J$4,'[1]import success seats course'!$1:$2,2,FALSE),FALSE)/(VLOOKUP($A391,'[1]import graded seats course pivo'!$A:AH,HLOOKUP('[1]Course Totals'!J$4,'[1]import graded seats course pivo'!$1:$2,2,FALSE),FALSE))),"")</f>
        <v/>
      </c>
      <c r="K391" s="14" t="str">
        <f>IFERROR((VLOOKUP($A391,'[1]import success seats course'!$A:Y,HLOOKUP('[1]Course Totals'!K$4,'[1]import success seats course'!$1:$2,2,FALSE),FALSE)/(VLOOKUP($A391,'[1]import graded seats course pivo'!$A:AI,HLOOKUP('[1]Course Totals'!K$4,'[1]import graded seats course pivo'!$1:$2,2,FALSE),FALSE))),"")</f>
        <v/>
      </c>
      <c r="L391" s="14" t="str">
        <f>IFERROR((VLOOKUP($A391,'[1]import success seats course'!$A:Z,HLOOKUP('[1]Course Totals'!L$4,'[1]import success seats course'!$1:$2,2,FALSE),FALSE)/(VLOOKUP($A391,'[1]import graded seats course pivo'!$A:AJ,HLOOKUP('[1]Course Totals'!L$4,'[1]import graded seats course pivo'!$1:$2,2,FALSE),FALSE))),"")</f>
        <v/>
      </c>
      <c r="M391" s="14" t="str">
        <f>IFERROR((VLOOKUP($A391,'[1]import success seats course'!$A:AA,HLOOKUP('[1]Course Totals'!M$4,'[1]import success seats course'!$1:$2,2,FALSE),FALSE)/(VLOOKUP($A391,'[1]import graded seats course pivo'!$A:AK,HLOOKUP('[1]Course Totals'!M$4,'[1]import graded seats course pivo'!$1:$2,2,FALSE),FALSE))),"")</f>
        <v/>
      </c>
      <c r="N391" s="14" t="str">
        <f>IFERROR((VLOOKUP($A391,'[1]import success seats course'!$A:AB,HLOOKUP('[1]Course Totals'!N$4,'[1]import success seats course'!$1:$2,2,FALSE),FALSE)/(VLOOKUP($A391,'[1]import graded seats course pivo'!$A:AL,HLOOKUP('[1]Course Totals'!N$4,'[1]import graded seats course pivo'!$1:$2,2,FALSE),FALSE))),"")</f>
        <v/>
      </c>
      <c r="O391" s="14" t="str">
        <f>IFERROR((VLOOKUP($A391,'[1]import success seats course'!$A:AC,HLOOKUP('[1]Course Totals'!O$4,'[1]import success seats course'!$1:$2,2,FALSE),FALSE)/(VLOOKUP($A391,'[1]import graded seats course pivo'!$A:AM,HLOOKUP('[1]Course Totals'!O$4,'[1]import graded seats course pivo'!$1:$2,2,FALSE),FALSE))),"")</f>
        <v/>
      </c>
      <c r="P391" s="14" t="str">
        <f>IFERROR((VLOOKUP($A391,'[1]import success seats course'!$A:AD,HLOOKUP('[1]Course Totals'!P$4,'[1]import success seats course'!$1:$2,2,FALSE),FALSE)/(VLOOKUP($A391,'[1]import graded seats course pivo'!$A:AN,HLOOKUP('[1]Course Totals'!P$4,'[1]import graded seats course pivo'!$1:$2,2,FALSE),FALSE))),"")</f>
        <v/>
      </c>
      <c r="Q391" s="14" t="str">
        <f>IFERROR((VLOOKUP($A391,'[1]import success seats course'!$A:AE,HLOOKUP('[1]Course Totals'!Q$4,'[1]import success seats course'!$1:$2,2,FALSE),FALSE)/(VLOOKUP($A391,'[1]import graded seats course pivo'!$A:AO,HLOOKUP('[1]Course Totals'!Q$4,'[1]import graded seats course pivo'!$1:$2,2,FALSE),FALSE))),"")</f>
        <v/>
      </c>
      <c r="R391" s="14" t="str">
        <f>IFERROR((VLOOKUP($A391,'[1]import success seats course'!$A:AF,HLOOKUP('[1]Course Totals'!R$4,'[1]import success seats course'!$1:$2,2,FALSE),FALSE)/(VLOOKUP($A391,'[1]import graded seats course pivo'!$A:AP,HLOOKUP('[1]Course Totals'!R$4,'[1]import graded seats course pivo'!$1:$2,2,FALSE),FALSE))),"")</f>
        <v/>
      </c>
      <c r="S391" s="14" t="str">
        <f>IFERROR((VLOOKUP($A391,'[1]import success seats course'!$A:AG,HLOOKUP('[1]Course Totals'!S$4,'[1]import success seats course'!$1:$2,2,FALSE),FALSE)/(VLOOKUP($A391,'[1]import graded seats course pivo'!$A:AQ,HLOOKUP('[1]Course Totals'!S$4,'[1]import graded seats course pivo'!$1:$2,2,FALSE),FALSE))),"")</f>
        <v/>
      </c>
      <c r="Z391" s="7"/>
      <c r="AA391" s="7"/>
      <c r="AB391" s="7"/>
      <c r="AC391" s="7"/>
    </row>
    <row r="392" spans="1:29" ht="15.75" hidden="1" customHeight="1" x14ac:dyDescent="0.25">
      <c r="A392" s="12" t="s">
        <v>193</v>
      </c>
      <c r="B392" s="14" t="str">
        <f>IFERROR((VLOOKUP($A392,'[1]import success seats course'!$A:P,HLOOKUP('[1]Course Totals'!B$4,'[1]import success seats course'!$1:$2,2,FALSE),FALSE)/(VLOOKUP($A392,'[1]import graded seats course pivo'!$A:Z,HLOOKUP('[1]Course Totals'!B$4,'[1]import graded seats course pivo'!$1:$2,2,FALSE),FALSE))),"")</f>
        <v/>
      </c>
      <c r="C392" s="14" t="str">
        <f>IFERROR((VLOOKUP($A392,'[1]import success seats course'!$A:Q,HLOOKUP('[1]Course Totals'!C$4,'[1]import success seats course'!$1:$2,2,FALSE),FALSE)/(VLOOKUP($A392,'[1]import graded seats course pivo'!$A:AA,HLOOKUP('[1]Course Totals'!C$4,'[1]import graded seats course pivo'!$1:$2,2,FALSE),FALSE))),"")</f>
        <v/>
      </c>
      <c r="D392" s="14" t="str">
        <f>IFERROR((VLOOKUP($A392,'[1]import success seats course'!$A:R,HLOOKUP('[1]Course Totals'!D$4,'[1]import success seats course'!$1:$2,2,FALSE),FALSE)/(VLOOKUP($A392,'[1]import graded seats course pivo'!$A:AB,HLOOKUP('[1]Course Totals'!D$4,'[1]import graded seats course pivo'!$1:$2,2,FALSE),FALSE))),"")</f>
        <v/>
      </c>
      <c r="E392" s="14" t="str">
        <f>IFERROR((VLOOKUP($A392,'[1]import success seats course'!$A:S,HLOOKUP('[1]Course Totals'!E$4,'[1]import success seats course'!$1:$2,2,FALSE),FALSE)/(VLOOKUP($A392,'[1]import graded seats course pivo'!$A:AC,HLOOKUP('[1]Course Totals'!E$4,'[1]import graded seats course pivo'!$1:$2,2,FALSE),FALSE))),"")</f>
        <v/>
      </c>
      <c r="F392" s="14" t="str">
        <f>IFERROR((VLOOKUP($A392,'[1]import success seats course'!$A:T,HLOOKUP('[1]Course Totals'!F$4,'[1]import success seats course'!$1:$2,2,FALSE),FALSE)/(VLOOKUP($A392,'[1]import graded seats course pivo'!$A:AD,HLOOKUP('[1]Course Totals'!F$4,'[1]import graded seats course pivo'!$1:$2,2,FALSE),FALSE))),"")</f>
        <v/>
      </c>
      <c r="G392" s="14" t="str">
        <f>IFERROR((VLOOKUP($A392,'[1]import success seats course'!$A:U,HLOOKUP('[1]Course Totals'!G$4,'[1]import success seats course'!$1:$2,2,FALSE),FALSE)/(VLOOKUP($A392,'[1]import graded seats course pivo'!$A:AE,HLOOKUP('[1]Course Totals'!G$4,'[1]import graded seats course pivo'!$1:$2,2,FALSE),FALSE))),"")</f>
        <v/>
      </c>
      <c r="H392" s="14" t="str">
        <f>IFERROR((VLOOKUP($A392,'[1]import success seats course'!$A:V,HLOOKUP('[1]Course Totals'!H$4,'[1]import success seats course'!$1:$2,2,FALSE),FALSE)/(VLOOKUP($A392,'[1]import graded seats course pivo'!$A:AF,HLOOKUP('[1]Course Totals'!H$4,'[1]import graded seats course pivo'!$1:$2,2,FALSE),FALSE))),"")</f>
        <v/>
      </c>
      <c r="I392" s="14" t="str">
        <f>IFERROR((VLOOKUP($A392,'[1]import success seats course'!$A:W,HLOOKUP('[1]Course Totals'!I$4,'[1]import success seats course'!$1:$2,2,FALSE),FALSE)/(VLOOKUP($A392,'[1]import graded seats course pivo'!$A:AG,HLOOKUP('[1]Course Totals'!I$4,'[1]import graded seats course pivo'!$1:$2,2,FALSE),FALSE))),"")</f>
        <v/>
      </c>
      <c r="J392" s="14" t="str">
        <f>IFERROR((VLOOKUP($A392,'[1]import success seats course'!$A:X,HLOOKUP('[1]Course Totals'!J$4,'[1]import success seats course'!$1:$2,2,FALSE),FALSE)/(VLOOKUP($A392,'[1]import graded seats course pivo'!$A:AH,HLOOKUP('[1]Course Totals'!J$4,'[1]import graded seats course pivo'!$1:$2,2,FALSE),FALSE))),"")</f>
        <v/>
      </c>
      <c r="K392" s="14" t="str">
        <f>IFERROR((VLOOKUP($A392,'[1]import success seats course'!$A:Y,HLOOKUP('[1]Course Totals'!K$4,'[1]import success seats course'!$1:$2,2,FALSE),FALSE)/(VLOOKUP($A392,'[1]import graded seats course pivo'!$A:AI,HLOOKUP('[1]Course Totals'!K$4,'[1]import graded seats course pivo'!$1:$2,2,FALSE),FALSE))),"")</f>
        <v/>
      </c>
      <c r="L392" s="14" t="str">
        <f>IFERROR((VLOOKUP($A392,'[1]import success seats course'!$A:Z,HLOOKUP('[1]Course Totals'!L$4,'[1]import success seats course'!$1:$2,2,FALSE),FALSE)/(VLOOKUP($A392,'[1]import graded seats course pivo'!$A:AJ,HLOOKUP('[1]Course Totals'!L$4,'[1]import graded seats course pivo'!$1:$2,2,FALSE),FALSE))),"")</f>
        <v/>
      </c>
      <c r="M392" s="14" t="str">
        <f>IFERROR((VLOOKUP($A392,'[1]import success seats course'!$A:AA,HLOOKUP('[1]Course Totals'!M$4,'[1]import success seats course'!$1:$2,2,FALSE),FALSE)/(VLOOKUP($A392,'[1]import graded seats course pivo'!$A:AK,HLOOKUP('[1]Course Totals'!M$4,'[1]import graded seats course pivo'!$1:$2,2,FALSE),FALSE))),"")</f>
        <v/>
      </c>
      <c r="N392" s="14" t="str">
        <f>IFERROR((VLOOKUP($A392,'[1]import success seats course'!$A:AB,HLOOKUP('[1]Course Totals'!N$4,'[1]import success seats course'!$1:$2,2,FALSE),FALSE)/(VLOOKUP($A392,'[1]import graded seats course pivo'!$A:AL,HLOOKUP('[1]Course Totals'!N$4,'[1]import graded seats course pivo'!$1:$2,2,FALSE),FALSE))),"")</f>
        <v/>
      </c>
      <c r="O392" s="14" t="str">
        <f>IFERROR((VLOOKUP($A392,'[1]import success seats course'!$A:AC,HLOOKUP('[1]Course Totals'!O$4,'[1]import success seats course'!$1:$2,2,FALSE),FALSE)/(VLOOKUP($A392,'[1]import graded seats course pivo'!$A:AM,HLOOKUP('[1]Course Totals'!O$4,'[1]import graded seats course pivo'!$1:$2,2,FALSE),FALSE))),"")</f>
        <v/>
      </c>
      <c r="P392" s="14" t="str">
        <f>IFERROR((VLOOKUP($A392,'[1]import success seats course'!$A:AD,HLOOKUP('[1]Course Totals'!P$4,'[1]import success seats course'!$1:$2,2,FALSE),FALSE)/(VLOOKUP($A392,'[1]import graded seats course pivo'!$A:AN,HLOOKUP('[1]Course Totals'!P$4,'[1]import graded seats course pivo'!$1:$2,2,FALSE),FALSE))),"")</f>
        <v/>
      </c>
      <c r="Q392" s="14" t="str">
        <f>IFERROR((VLOOKUP($A392,'[1]import success seats course'!$A:AE,HLOOKUP('[1]Course Totals'!Q$4,'[1]import success seats course'!$1:$2,2,FALSE),FALSE)/(VLOOKUP($A392,'[1]import graded seats course pivo'!$A:AO,HLOOKUP('[1]Course Totals'!Q$4,'[1]import graded seats course pivo'!$1:$2,2,FALSE),FALSE))),"")</f>
        <v/>
      </c>
      <c r="R392" s="14" t="str">
        <f>IFERROR((VLOOKUP($A392,'[1]import success seats course'!$A:AF,HLOOKUP('[1]Course Totals'!R$4,'[1]import success seats course'!$1:$2,2,FALSE),FALSE)/(VLOOKUP($A392,'[1]import graded seats course pivo'!$A:AP,HLOOKUP('[1]Course Totals'!R$4,'[1]import graded seats course pivo'!$1:$2,2,FALSE),FALSE))),"")</f>
        <v/>
      </c>
      <c r="S392" s="14" t="str">
        <f>IFERROR((VLOOKUP($A392,'[1]import success seats course'!$A:AG,HLOOKUP('[1]Course Totals'!S$4,'[1]import success seats course'!$1:$2,2,FALSE),FALSE)/(VLOOKUP($A392,'[1]import graded seats course pivo'!$A:AQ,HLOOKUP('[1]Course Totals'!S$4,'[1]import graded seats course pivo'!$1:$2,2,FALSE),FALSE))),"")</f>
        <v/>
      </c>
      <c r="Z392" s="7"/>
      <c r="AA392" s="7"/>
      <c r="AB392" s="7"/>
      <c r="AC392" s="7"/>
    </row>
    <row r="393" spans="1:29" ht="15.75" hidden="1" customHeight="1" x14ac:dyDescent="0.25">
      <c r="A393" s="12" t="s">
        <v>834</v>
      </c>
      <c r="B393" s="14" t="str">
        <f>IFERROR((VLOOKUP($A393,'[1]import success seats course'!$A:P,HLOOKUP('[1]Course Totals'!B$4,'[1]import success seats course'!$1:$2,2,FALSE),FALSE)/(VLOOKUP($A393,'[1]import graded seats course pivo'!$A:Z,HLOOKUP('[1]Course Totals'!B$4,'[1]import graded seats course pivo'!$1:$2,2,FALSE),FALSE))),"")</f>
        <v/>
      </c>
      <c r="C393" s="14" t="str">
        <f>IFERROR((VLOOKUP($A393,'[1]import success seats course'!$A:Q,HLOOKUP('[1]Course Totals'!C$4,'[1]import success seats course'!$1:$2,2,FALSE),FALSE)/(VLOOKUP($A393,'[1]import graded seats course pivo'!$A:AA,HLOOKUP('[1]Course Totals'!C$4,'[1]import graded seats course pivo'!$1:$2,2,FALSE),FALSE))),"")</f>
        <v/>
      </c>
      <c r="D393" s="14" t="str">
        <f>IFERROR((VLOOKUP($A393,'[1]import success seats course'!$A:R,HLOOKUP('[1]Course Totals'!D$4,'[1]import success seats course'!$1:$2,2,FALSE),FALSE)/(VLOOKUP($A393,'[1]import graded seats course pivo'!$A:AB,HLOOKUP('[1]Course Totals'!D$4,'[1]import graded seats course pivo'!$1:$2,2,FALSE),FALSE))),"")</f>
        <v/>
      </c>
      <c r="E393" s="14" t="str">
        <f>IFERROR((VLOOKUP($A393,'[1]import success seats course'!$A:S,HLOOKUP('[1]Course Totals'!E$4,'[1]import success seats course'!$1:$2,2,FALSE),FALSE)/(VLOOKUP($A393,'[1]import graded seats course pivo'!$A:AC,HLOOKUP('[1]Course Totals'!E$4,'[1]import graded seats course pivo'!$1:$2,2,FALSE),FALSE))),"")</f>
        <v/>
      </c>
      <c r="F393" s="14" t="str">
        <f>IFERROR((VLOOKUP($A393,'[1]import success seats course'!$A:T,HLOOKUP('[1]Course Totals'!F$4,'[1]import success seats course'!$1:$2,2,FALSE),FALSE)/(VLOOKUP($A393,'[1]import graded seats course pivo'!$A:AD,HLOOKUP('[1]Course Totals'!F$4,'[1]import graded seats course pivo'!$1:$2,2,FALSE),FALSE))),"")</f>
        <v/>
      </c>
      <c r="G393" s="14" t="str">
        <f>IFERROR((VLOOKUP($A393,'[1]import success seats course'!$A:U,HLOOKUP('[1]Course Totals'!G$4,'[1]import success seats course'!$1:$2,2,FALSE),FALSE)/(VLOOKUP($A393,'[1]import graded seats course pivo'!$A:AE,HLOOKUP('[1]Course Totals'!G$4,'[1]import graded seats course pivo'!$1:$2,2,FALSE),FALSE))),"")</f>
        <v/>
      </c>
      <c r="H393" s="14" t="str">
        <f>IFERROR((VLOOKUP($A393,'[1]import success seats course'!$A:V,HLOOKUP('[1]Course Totals'!H$4,'[1]import success seats course'!$1:$2,2,FALSE),FALSE)/(VLOOKUP($A393,'[1]import graded seats course pivo'!$A:AF,HLOOKUP('[1]Course Totals'!H$4,'[1]import graded seats course pivo'!$1:$2,2,FALSE),FALSE))),"")</f>
        <v/>
      </c>
      <c r="I393" s="14" t="str">
        <f>IFERROR((VLOOKUP($A393,'[1]import success seats course'!$A:W,HLOOKUP('[1]Course Totals'!I$4,'[1]import success seats course'!$1:$2,2,FALSE),FALSE)/(VLOOKUP($A393,'[1]import graded seats course pivo'!$A:AG,HLOOKUP('[1]Course Totals'!I$4,'[1]import graded seats course pivo'!$1:$2,2,FALSE),FALSE))),"")</f>
        <v/>
      </c>
      <c r="J393" s="14" t="str">
        <f>IFERROR((VLOOKUP($A393,'[1]import success seats course'!$A:X,HLOOKUP('[1]Course Totals'!J$4,'[1]import success seats course'!$1:$2,2,FALSE),FALSE)/(VLOOKUP($A393,'[1]import graded seats course pivo'!$A:AH,HLOOKUP('[1]Course Totals'!J$4,'[1]import graded seats course pivo'!$1:$2,2,FALSE),FALSE))),"")</f>
        <v/>
      </c>
      <c r="K393" s="14" t="str">
        <f>IFERROR((VLOOKUP($A393,'[1]import success seats course'!$A:Y,HLOOKUP('[1]Course Totals'!K$4,'[1]import success seats course'!$1:$2,2,FALSE),FALSE)/(VLOOKUP($A393,'[1]import graded seats course pivo'!$A:AI,HLOOKUP('[1]Course Totals'!K$4,'[1]import graded seats course pivo'!$1:$2,2,FALSE),FALSE))),"")</f>
        <v/>
      </c>
      <c r="L393" s="14" t="str">
        <f>IFERROR((VLOOKUP($A393,'[1]import success seats course'!$A:Z,HLOOKUP('[1]Course Totals'!L$4,'[1]import success seats course'!$1:$2,2,FALSE),FALSE)/(VLOOKUP($A393,'[1]import graded seats course pivo'!$A:AJ,HLOOKUP('[1]Course Totals'!L$4,'[1]import graded seats course pivo'!$1:$2,2,FALSE),FALSE))),"")</f>
        <v/>
      </c>
      <c r="M393" s="14" t="str">
        <f>IFERROR((VLOOKUP($A393,'[1]import success seats course'!$A:AA,HLOOKUP('[1]Course Totals'!M$4,'[1]import success seats course'!$1:$2,2,FALSE),FALSE)/(VLOOKUP($A393,'[1]import graded seats course pivo'!$A:AK,HLOOKUP('[1]Course Totals'!M$4,'[1]import graded seats course pivo'!$1:$2,2,FALSE),FALSE))),"")</f>
        <v/>
      </c>
      <c r="N393" s="14" t="str">
        <f>IFERROR((VLOOKUP($A393,'[1]import success seats course'!$A:AB,HLOOKUP('[1]Course Totals'!N$4,'[1]import success seats course'!$1:$2,2,FALSE),FALSE)/(VLOOKUP($A393,'[1]import graded seats course pivo'!$A:AL,HLOOKUP('[1]Course Totals'!N$4,'[1]import graded seats course pivo'!$1:$2,2,FALSE),FALSE))),"")</f>
        <v/>
      </c>
      <c r="O393" s="14" t="str">
        <f>IFERROR((VLOOKUP($A393,'[1]import success seats course'!$A:AC,HLOOKUP('[1]Course Totals'!O$4,'[1]import success seats course'!$1:$2,2,FALSE),FALSE)/(VLOOKUP($A393,'[1]import graded seats course pivo'!$A:AM,HLOOKUP('[1]Course Totals'!O$4,'[1]import graded seats course pivo'!$1:$2,2,FALSE),FALSE))),"")</f>
        <v/>
      </c>
      <c r="P393" s="14" t="str">
        <f>IFERROR((VLOOKUP($A393,'[1]import success seats course'!$A:AD,HLOOKUP('[1]Course Totals'!P$4,'[1]import success seats course'!$1:$2,2,FALSE),FALSE)/(VLOOKUP($A393,'[1]import graded seats course pivo'!$A:AN,HLOOKUP('[1]Course Totals'!P$4,'[1]import graded seats course pivo'!$1:$2,2,FALSE),FALSE))),"")</f>
        <v/>
      </c>
      <c r="Q393" s="14" t="str">
        <f>IFERROR((VLOOKUP($A393,'[1]import success seats course'!$A:AE,HLOOKUP('[1]Course Totals'!Q$4,'[1]import success seats course'!$1:$2,2,FALSE),FALSE)/(VLOOKUP($A393,'[1]import graded seats course pivo'!$A:AO,HLOOKUP('[1]Course Totals'!Q$4,'[1]import graded seats course pivo'!$1:$2,2,FALSE),FALSE))),"")</f>
        <v/>
      </c>
      <c r="R393" s="14" t="str">
        <f>IFERROR((VLOOKUP($A393,'[1]import success seats course'!$A:AF,HLOOKUP('[1]Course Totals'!R$4,'[1]import success seats course'!$1:$2,2,FALSE),FALSE)/(VLOOKUP($A393,'[1]import graded seats course pivo'!$A:AP,HLOOKUP('[1]Course Totals'!R$4,'[1]import graded seats course pivo'!$1:$2,2,FALSE),FALSE))),"")</f>
        <v/>
      </c>
      <c r="S393" s="14" t="str">
        <f>IFERROR((VLOOKUP($A393,'[1]import success seats course'!$A:AG,HLOOKUP('[1]Course Totals'!S$4,'[1]import success seats course'!$1:$2,2,FALSE),FALSE)/(VLOOKUP($A393,'[1]import graded seats course pivo'!$A:AQ,HLOOKUP('[1]Course Totals'!S$4,'[1]import graded seats course pivo'!$1:$2,2,FALSE),FALSE))),"")</f>
        <v/>
      </c>
      <c r="Z393" s="7"/>
      <c r="AA393" s="7"/>
      <c r="AB393" s="7"/>
      <c r="AC393" s="7"/>
    </row>
    <row r="394" spans="1:29" ht="15.75" hidden="1" customHeight="1" x14ac:dyDescent="0.25">
      <c r="A394" s="12" t="s">
        <v>194</v>
      </c>
      <c r="B394" s="14" t="str">
        <f>IFERROR((VLOOKUP($A394,'[1]import success seats course'!$A:P,HLOOKUP('[1]Course Totals'!B$4,'[1]import success seats course'!$1:$2,2,FALSE),FALSE)/(VLOOKUP($A394,'[1]import graded seats course pivo'!$A:Z,HLOOKUP('[1]Course Totals'!B$4,'[1]import graded seats course pivo'!$1:$2,2,FALSE),FALSE))),"")</f>
        <v/>
      </c>
      <c r="C394" s="14" t="str">
        <f>IFERROR((VLOOKUP($A394,'[1]import success seats course'!$A:Q,HLOOKUP('[1]Course Totals'!C$4,'[1]import success seats course'!$1:$2,2,FALSE),FALSE)/(VLOOKUP($A394,'[1]import graded seats course pivo'!$A:AA,HLOOKUP('[1]Course Totals'!C$4,'[1]import graded seats course pivo'!$1:$2,2,FALSE),FALSE))),"")</f>
        <v/>
      </c>
      <c r="D394" s="14" t="str">
        <f>IFERROR((VLOOKUP($A394,'[1]import success seats course'!$A:R,HLOOKUP('[1]Course Totals'!D$4,'[1]import success seats course'!$1:$2,2,FALSE),FALSE)/(VLOOKUP($A394,'[1]import graded seats course pivo'!$A:AB,HLOOKUP('[1]Course Totals'!D$4,'[1]import graded seats course pivo'!$1:$2,2,FALSE),FALSE))),"")</f>
        <v/>
      </c>
      <c r="E394" s="14" t="str">
        <f>IFERROR((VLOOKUP($A394,'[1]import success seats course'!$A:S,HLOOKUP('[1]Course Totals'!E$4,'[1]import success seats course'!$1:$2,2,FALSE),FALSE)/(VLOOKUP($A394,'[1]import graded seats course pivo'!$A:AC,HLOOKUP('[1]Course Totals'!E$4,'[1]import graded seats course pivo'!$1:$2,2,FALSE),FALSE))),"")</f>
        <v/>
      </c>
      <c r="F394" s="14" t="str">
        <f>IFERROR((VLOOKUP($A394,'[1]import success seats course'!$A:T,HLOOKUP('[1]Course Totals'!F$4,'[1]import success seats course'!$1:$2,2,FALSE),FALSE)/(VLOOKUP($A394,'[1]import graded seats course pivo'!$A:AD,HLOOKUP('[1]Course Totals'!F$4,'[1]import graded seats course pivo'!$1:$2,2,FALSE),FALSE))),"")</f>
        <v/>
      </c>
      <c r="G394" s="14" t="str">
        <f>IFERROR((VLOOKUP($A394,'[1]import success seats course'!$A:U,HLOOKUP('[1]Course Totals'!G$4,'[1]import success seats course'!$1:$2,2,FALSE),FALSE)/(VLOOKUP($A394,'[1]import graded seats course pivo'!$A:AE,HLOOKUP('[1]Course Totals'!G$4,'[1]import graded seats course pivo'!$1:$2,2,FALSE),FALSE))),"")</f>
        <v/>
      </c>
      <c r="H394" s="14" t="str">
        <f>IFERROR((VLOOKUP($A394,'[1]import success seats course'!$A:V,HLOOKUP('[1]Course Totals'!H$4,'[1]import success seats course'!$1:$2,2,FALSE),FALSE)/(VLOOKUP($A394,'[1]import graded seats course pivo'!$A:AF,HLOOKUP('[1]Course Totals'!H$4,'[1]import graded seats course pivo'!$1:$2,2,FALSE),FALSE))),"")</f>
        <v/>
      </c>
      <c r="I394" s="14" t="str">
        <f>IFERROR((VLOOKUP($A394,'[1]import success seats course'!$A:W,HLOOKUP('[1]Course Totals'!I$4,'[1]import success seats course'!$1:$2,2,FALSE),FALSE)/(VLOOKUP($A394,'[1]import graded seats course pivo'!$A:AG,HLOOKUP('[1]Course Totals'!I$4,'[1]import graded seats course pivo'!$1:$2,2,FALSE),FALSE))),"")</f>
        <v/>
      </c>
      <c r="J394" s="14" t="str">
        <f>IFERROR((VLOOKUP($A394,'[1]import success seats course'!$A:X,HLOOKUP('[1]Course Totals'!J$4,'[1]import success seats course'!$1:$2,2,FALSE),FALSE)/(VLOOKUP($A394,'[1]import graded seats course pivo'!$A:AH,HLOOKUP('[1]Course Totals'!J$4,'[1]import graded seats course pivo'!$1:$2,2,FALSE),FALSE))),"")</f>
        <v/>
      </c>
      <c r="K394" s="14" t="str">
        <f>IFERROR((VLOOKUP($A394,'[1]import success seats course'!$A:Y,HLOOKUP('[1]Course Totals'!K$4,'[1]import success seats course'!$1:$2,2,FALSE),FALSE)/(VLOOKUP($A394,'[1]import graded seats course pivo'!$A:AI,HLOOKUP('[1]Course Totals'!K$4,'[1]import graded seats course pivo'!$1:$2,2,FALSE),FALSE))),"")</f>
        <v/>
      </c>
      <c r="L394" s="14" t="str">
        <f>IFERROR((VLOOKUP($A394,'[1]import success seats course'!$A:Z,HLOOKUP('[1]Course Totals'!L$4,'[1]import success seats course'!$1:$2,2,FALSE),FALSE)/(VLOOKUP($A394,'[1]import graded seats course pivo'!$A:AJ,HLOOKUP('[1]Course Totals'!L$4,'[1]import graded seats course pivo'!$1:$2,2,FALSE),FALSE))),"")</f>
        <v/>
      </c>
      <c r="M394" s="14" t="str">
        <f>IFERROR((VLOOKUP($A394,'[1]import success seats course'!$A:AA,HLOOKUP('[1]Course Totals'!M$4,'[1]import success seats course'!$1:$2,2,FALSE),FALSE)/(VLOOKUP($A394,'[1]import graded seats course pivo'!$A:AK,HLOOKUP('[1]Course Totals'!M$4,'[1]import graded seats course pivo'!$1:$2,2,FALSE),FALSE))),"")</f>
        <v/>
      </c>
      <c r="N394" s="14" t="str">
        <f>IFERROR((VLOOKUP($A394,'[1]import success seats course'!$A:AB,HLOOKUP('[1]Course Totals'!N$4,'[1]import success seats course'!$1:$2,2,FALSE),FALSE)/(VLOOKUP($A394,'[1]import graded seats course pivo'!$A:AL,HLOOKUP('[1]Course Totals'!N$4,'[1]import graded seats course pivo'!$1:$2,2,FALSE),FALSE))),"")</f>
        <v/>
      </c>
      <c r="O394" s="14" t="str">
        <f>IFERROR((VLOOKUP($A394,'[1]import success seats course'!$A:AC,HLOOKUP('[1]Course Totals'!O$4,'[1]import success seats course'!$1:$2,2,FALSE),FALSE)/(VLOOKUP($A394,'[1]import graded seats course pivo'!$A:AM,HLOOKUP('[1]Course Totals'!O$4,'[1]import graded seats course pivo'!$1:$2,2,FALSE),FALSE))),"")</f>
        <v/>
      </c>
      <c r="P394" s="14" t="str">
        <f>IFERROR((VLOOKUP($A394,'[1]import success seats course'!$A:AD,HLOOKUP('[1]Course Totals'!P$4,'[1]import success seats course'!$1:$2,2,FALSE),FALSE)/(VLOOKUP($A394,'[1]import graded seats course pivo'!$A:AN,HLOOKUP('[1]Course Totals'!P$4,'[1]import graded seats course pivo'!$1:$2,2,FALSE),FALSE))),"")</f>
        <v/>
      </c>
      <c r="Q394" s="14" t="str">
        <f>IFERROR((VLOOKUP($A394,'[1]import success seats course'!$A:AE,HLOOKUP('[1]Course Totals'!Q$4,'[1]import success seats course'!$1:$2,2,FALSE),FALSE)/(VLOOKUP($A394,'[1]import graded seats course pivo'!$A:AO,HLOOKUP('[1]Course Totals'!Q$4,'[1]import graded seats course pivo'!$1:$2,2,FALSE),FALSE))),"")</f>
        <v/>
      </c>
      <c r="R394" s="14" t="str">
        <f>IFERROR((VLOOKUP($A394,'[1]import success seats course'!$A:AF,HLOOKUP('[1]Course Totals'!R$4,'[1]import success seats course'!$1:$2,2,FALSE),FALSE)/(VLOOKUP($A394,'[1]import graded seats course pivo'!$A:AP,HLOOKUP('[1]Course Totals'!R$4,'[1]import graded seats course pivo'!$1:$2,2,FALSE),FALSE))),"")</f>
        <v/>
      </c>
      <c r="S394" s="14" t="str">
        <f>IFERROR((VLOOKUP($A394,'[1]import success seats course'!$A:AG,HLOOKUP('[1]Course Totals'!S$4,'[1]import success seats course'!$1:$2,2,FALSE),FALSE)/(VLOOKUP($A394,'[1]import graded seats course pivo'!$A:AQ,HLOOKUP('[1]Course Totals'!S$4,'[1]import graded seats course pivo'!$1:$2,2,FALSE),FALSE))),"")</f>
        <v/>
      </c>
      <c r="Z394" s="7"/>
      <c r="AA394" s="7"/>
      <c r="AB394" s="7"/>
      <c r="AC394" s="7"/>
    </row>
    <row r="395" spans="1:29" ht="15.75" hidden="1" customHeight="1" x14ac:dyDescent="0.25">
      <c r="A395" s="12" t="s">
        <v>1012</v>
      </c>
      <c r="B395" s="14" t="str">
        <f>IFERROR((VLOOKUP($A395,'[1]import success seats course'!$A:P,HLOOKUP('[1]Course Totals'!B$4,'[1]import success seats course'!$1:$2,2,FALSE),FALSE)/(VLOOKUP($A395,'[1]import graded seats course pivo'!$A:Z,HLOOKUP('[1]Course Totals'!B$4,'[1]import graded seats course pivo'!$1:$2,2,FALSE),FALSE))),"")</f>
        <v/>
      </c>
      <c r="C395" s="14" t="str">
        <f>IFERROR((VLOOKUP($A395,'[1]import success seats course'!$A:Q,HLOOKUP('[1]Course Totals'!C$4,'[1]import success seats course'!$1:$2,2,FALSE),FALSE)/(VLOOKUP($A395,'[1]import graded seats course pivo'!$A:AA,HLOOKUP('[1]Course Totals'!C$4,'[1]import graded seats course pivo'!$1:$2,2,FALSE),FALSE))),"")</f>
        <v/>
      </c>
      <c r="D395" s="14" t="str">
        <f>IFERROR((VLOOKUP($A395,'[1]import success seats course'!$A:R,HLOOKUP('[1]Course Totals'!D$4,'[1]import success seats course'!$1:$2,2,FALSE),FALSE)/(VLOOKUP($A395,'[1]import graded seats course pivo'!$A:AB,HLOOKUP('[1]Course Totals'!D$4,'[1]import graded seats course pivo'!$1:$2,2,FALSE),FALSE))),"")</f>
        <v/>
      </c>
      <c r="E395" s="14" t="str">
        <f>IFERROR((VLOOKUP($A395,'[1]import success seats course'!$A:S,HLOOKUP('[1]Course Totals'!E$4,'[1]import success seats course'!$1:$2,2,FALSE),FALSE)/(VLOOKUP($A395,'[1]import graded seats course pivo'!$A:AC,HLOOKUP('[1]Course Totals'!E$4,'[1]import graded seats course pivo'!$1:$2,2,FALSE),FALSE))),"")</f>
        <v/>
      </c>
      <c r="F395" s="14" t="str">
        <f>IFERROR((VLOOKUP($A395,'[1]import success seats course'!$A:T,HLOOKUP('[1]Course Totals'!F$4,'[1]import success seats course'!$1:$2,2,FALSE),FALSE)/(VLOOKUP($A395,'[1]import graded seats course pivo'!$A:AD,HLOOKUP('[1]Course Totals'!F$4,'[1]import graded seats course pivo'!$1:$2,2,FALSE),FALSE))),"")</f>
        <v/>
      </c>
      <c r="G395" s="14" t="str">
        <f>IFERROR((VLOOKUP($A395,'[1]import success seats course'!$A:U,HLOOKUP('[1]Course Totals'!G$4,'[1]import success seats course'!$1:$2,2,FALSE),FALSE)/(VLOOKUP($A395,'[1]import graded seats course pivo'!$A:AE,HLOOKUP('[1]Course Totals'!G$4,'[1]import graded seats course pivo'!$1:$2,2,FALSE),FALSE))),"")</f>
        <v/>
      </c>
      <c r="H395" s="14" t="str">
        <f>IFERROR((VLOOKUP($A395,'[1]import success seats course'!$A:V,HLOOKUP('[1]Course Totals'!H$4,'[1]import success seats course'!$1:$2,2,FALSE),FALSE)/(VLOOKUP($A395,'[1]import graded seats course pivo'!$A:AF,HLOOKUP('[1]Course Totals'!H$4,'[1]import graded seats course pivo'!$1:$2,2,FALSE),FALSE))),"")</f>
        <v/>
      </c>
      <c r="I395" s="14" t="str">
        <f>IFERROR((VLOOKUP($A395,'[1]import success seats course'!$A:W,HLOOKUP('[1]Course Totals'!I$4,'[1]import success seats course'!$1:$2,2,FALSE),FALSE)/(VLOOKUP($A395,'[1]import graded seats course pivo'!$A:AG,HLOOKUP('[1]Course Totals'!I$4,'[1]import graded seats course pivo'!$1:$2,2,FALSE),FALSE))),"")</f>
        <v/>
      </c>
      <c r="J395" s="14" t="str">
        <f>IFERROR((VLOOKUP($A395,'[1]import success seats course'!$A:X,HLOOKUP('[1]Course Totals'!J$4,'[1]import success seats course'!$1:$2,2,FALSE),FALSE)/(VLOOKUP($A395,'[1]import graded seats course pivo'!$A:AH,HLOOKUP('[1]Course Totals'!J$4,'[1]import graded seats course pivo'!$1:$2,2,FALSE),FALSE))),"")</f>
        <v/>
      </c>
      <c r="K395" s="14" t="str">
        <f>IFERROR((VLOOKUP($A395,'[1]import success seats course'!$A:Y,HLOOKUP('[1]Course Totals'!K$4,'[1]import success seats course'!$1:$2,2,FALSE),FALSE)/(VLOOKUP($A395,'[1]import graded seats course pivo'!$A:AI,HLOOKUP('[1]Course Totals'!K$4,'[1]import graded seats course pivo'!$1:$2,2,FALSE),FALSE))),"")</f>
        <v/>
      </c>
      <c r="L395" s="14" t="str">
        <f>IFERROR((VLOOKUP($A395,'[1]import success seats course'!$A:Z,HLOOKUP('[1]Course Totals'!L$4,'[1]import success seats course'!$1:$2,2,FALSE),FALSE)/(VLOOKUP($A395,'[1]import graded seats course pivo'!$A:AJ,HLOOKUP('[1]Course Totals'!L$4,'[1]import graded seats course pivo'!$1:$2,2,FALSE),FALSE))),"")</f>
        <v/>
      </c>
      <c r="M395" s="14" t="str">
        <f>IFERROR((VLOOKUP($A395,'[1]import success seats course'!$A:AA,HLOOKUP('[1]Course Totals'!M$4,'[1]import success seats course'!$1:$2,2,FALSE),FALSE)/(VLOOKUP($A395,'[1]import graded seats course pivo'!$A:AK,HLOOKUP('[1]Course Totals'!M$4,'[1]import graded seats course pivo'!$1:$2,2,FALSE),FALSE))),"")</f>
        <v/>
      </c>
      <c r="N395" s="14" t="str">
        <f>IFERROR((VLOOKUP($A395,'[1]import success seats course'!$A:AB,HLOOKUP('[1]Course Totals'!N$4,'[1]import success seats course'!$1:$2,2,FALSE),FALSE)/(VLOOKUP($A395,'[1]import graded seats course pivo'!$A:AL,HLOOKUP('[1]Course Totals'!N$4,'[1]import graded seats course pivo'!$1:$2,2,FALSE),FALSE))),"")</f>
        <v/>
      </c>
      <c r="O395" s="14" t="str">
        <f>IFERROR((VLOOKUP($A395,'[1]import success seats course'!$A:AC,HLOOKUP('[1]Course Totals'!O$4,'[1]import success seats course'!$1:$2,2,FALSE),FALSE)/(VLOOKUP($A395,'[1]import graded seats course pivo'!$A:AM,HLOOKUP('[1]Course Totals'!O$4,'[1]import graded seats course pivo'!$1:$2,2,FALSE),FALSE))),"")</f>
        <v/>
      </c>
      <c r="P395" s="14" t="str">
        <f>IFERROR((VLOOKUP($A395,'[1]import success seats course'!$A:AD,HLOOKUP('[1]Course Totals'!P$4,'[1]import success seats course'!$1:$2,2,FALSE),FALSE)/(VLOOKUP($A395,'[1]import graded seats course pivo'!$A:AN,HLOOKUP('[1]Course Totals'!P$4,'[1]import graded seats course pivo'!$1:$2,2,FALSE),FALSE))),"")</f>
        <v/>
      </c>
      <c r="Q395" s="14" t="str">
        <f>IFERROR((VLOOKUP($A395,'[1]import success seats course'!$A:AE,HLOOKUP('[1]Course Totals'!Q$4,'[1]import success seats course'!$1:$2,2,FALSE),FALSE)/(VLOOKUP($A395,'[1]import graded seats course pivo'!$A:AO,HLOOKUP('[1]Course Totals'!Q$4,'[1]import graded seats course pivo'!$1:$2,2,FALSE),FALSE))),"")</f>
        <v/>
      </c>
      <c r="R395" s="14" t="str">
        <f>IFERROR((VLOOKUP($A395,'[1]import success seats course'!$A:AF,HLOOKUP('[1]Course Totals'!R$4,'[1]import success seats course'!$1:$2,2,FALSE),FALSE)/(VLOOKUP($A395,'[1]import graded seats course pivo'!$A:AP,HLOOKUP('[1]Course Totals'!R$4,'[1]import graded seats course pivo'!$1:$2,2,FALSE),FALSE))),"")</f>
        <v/>
      </c>
      <c r="S395" s="14" t="str">
        <f>IFERROR((VLOOKUP($A395,'[1]import success seats course'!$A:AG,HLOOKUP('[1]Course Totals'!S$4,'[1]import success seats course'!$1:$2,2,FALSE),FALSE)/(VLOOKUP($A395,'[1]import graded seats course pivo'!$A:AQ,HLOOKUP('[1]Course Totals'!S$4,'[1]import graded seats course pivo'!$1:$2,2,FALSE),FALSE))),"")</f>
        <v/>
      </c>
      <c r="Z395" s="7"/>
      <c r="AA395" s="7"/>
      <c r="AB395" s="7"/>
      <c r="AC395" s="7"/>
    </row>
    <row r="396" spans="1:29" ht="15.75" hidden="1" customHeight="1" x14ac:dyDescent="0.25">
      <c r="A396" s="12" t="s">
        <v>835</v>
      </c>
      <c r="B396" s="14" t="str">
        <f>IFERROR((VLOOKUP($A396,'[1]import success seats course'!$A:P,HLOOKUP('[1]Course Totals'!B$4,'[1]import success seats course'!$1:$2,2,FALSE),FALSE)/(VLOOKUP($A396,'[1]import graded seats course pivo'!$A:Z,HLOOKUP('[1]Course Totals'!B$4,'[1]import graded seats course pivo'!$1:$2,2,FALSE),FALSE))),"")</f>
        <v/>
      </c>
      <c r="C396" s="14" t="str">
        <f>IFERROR((VLOOKUP($A396,'[1]import success seats course'!$A:Q,HLOOKUP('[1]Course Totals'!C$4,'[1]import success seats course'!$1:$2,2,FALSE),FALSE)/(VLOOKUP($A396,'[1]import graded seats course pivo'!$A:AA,HLOOKUP('[1]Course Totals'!C$4,'[1]import graded seats course pivo'!$1:$2,2,FALSE),FALSE))),"")</f>
        <v/>
      </c>
      <c r="D396" s="14" t="str">
        <f>IFERROR((VLOOKUP($A396,'[1]import success seats course'!$A:R,HLOOKUP('[1]Course Totals'!D$4,'[1]import success seats course'!$1:$2,2,FALSE),FALSE)/(VLOOKUP($A396,'[1]import graded seats course pivo'!$A:AB,HLOOKUP('[1]Course Totals'!D$4,'[1]import graded seats course pivo'!$1:$2,2,FALSE),FALSE))),"")</f>
        <v/>
      </c>
      <c r="E396" s="14" t="str">
        <f>IFERROR((VLOOKUP($A396,'[1]import success seats course'!$A:S,HLOOKUP('[1]Course Totals'!E$4,'[1]import success seats course'!$1:$2,2,FALSE),FALSE)/(VLOOKUP($A396,'[1]import graded seats course pivo'!$A:AC,HLOOKUP('[1]Course Totals'!E$4,'[1]import graded seats course pivo'!$1:$2,2,FALSE),FALSE))),"")</f>
        <v/>
      </c>
      <c r="F396" s="14" t="str">
        <f>IFERROR((VLOOKUP($A396,'[1]import success seats course'!$A:T,HLOOKUP('[1]Course Totals'!F$4,'[1]import success seats course'!$1:$2,2,FALSE),FALSE)/(VLOOKUP($A396,'[1]import graded seats course pivo'!$A:AD,HLOOKUP('[1]Course Totals'!F$4,'[1]import graded seats course pivo'!$1:$2,2,FALSE),FALSE))),"")</f>
        <v/>
      </c>
      <c r="G396" s="14" t="str">
        <f>IFERROR((VLOOKUP($A396,'[1]import success seats course'!$A:U,HLOOKUP('[1]Course Totals'!G$4,'[1]import success seats course'!$1:$2,2,FALSE),FALSE)/(VLOOKUP($A396,'[1]import graded seats course pivo'!$A:AE,HLOOKUP('[1]Course Totals'!G$4,'[1]import graded seats course pivo'!$1:$2,2,FALSE),FALSE))),"")</f>
        <v/>
      </c>
      <c r="H396" s="14" t="str">
        <f>IFERROR((VLOOKUP($A396,'[1]import success seats course'!$A:V,HLOOKUP('[1]Course Totals'!H$4,'[1]import success seats course'!$1:$2,2,FALSE),FALSE)/(VLOOKUP($A396,'[1]import graded seats course pivo'!$A:AF,HLOOKUP('[1]Course Totals'!H$4,'[1]import graded seats course pivo'!$1:$2,2,FALSE),FALSE))),"")</f>
        <v/>
      </c>
      <c r="I396" s="14" t="str">
        <f>IFERROR((VLOOKUP($A396,'[1]import success seats course'!$A:W,HLOOKUP('[1]Course Totals'!I$4,'[1]import success seats course'!$1:$2,2,FALSE),FALSE)/(VLOOKUP($A396,'[1]import graded seats course pivo'!$A:AG,HLOOKUP('[1]Course Totals'!I$4,'[1]import graded seats course pivo'!$1:$2,2,FALSE),FALSE))),"")</f>
        <v/>
      </c>
      <c r="J396" s="14" t="str">
        <f>IFERROR((VLOOKUP($A396,'[1]import success seats course'!$A:X,HLOOKUP('[1]Course Totals'!J$4,'[1]import success seats course'!$1:$2,2,FALSE),FALSE)/(VLOOKUP($A396,'[1]import graded seats course pivo'!$A:AH,HLOOKUP('[1]Course Totals'!J$4,'[1]import graded seats course pivo'!$1:$2,2,FALSE),FALSE))),"")</f>
        <v/>
      </c>
      <c r="K396" s="14" t="str">
        <f>IFERROR((VLOOKUP($A396,'[1]import success seats course'!$A:Y,HLOOKUP('[1]Course Totals'!K$4,'[1]import success seats course'!$1:$2,2,FALSE),FALSE)/(VLOOKUP($A396,'[1]import graded seats course pivo'!$A:AI,HLOOKUP('[1]Course Totals'!K$4,'[1]import graded seats course pivo'!$1:$2,2,FALSE),FALSE))),"")</f>
        <v/>
      </c>
      <c r="L396" s="14" t="str">
        <f>IFERROR((VLOOKUP($A396,'[1]import success seats course'!$A:Z,HLOOKUP('[1]Course Totals'!L$4,'[1]import success seats course'!$1:$2,2,FALSE),FALSE)/(VLOOKUP($A396,'[1]import graded seats course pivo'!$A:AJ,HLOOKUP('[1]Course Totals'!L$4,'[1]import graded seats course pivo'!$1:$2,2,FALSE),FALSE))),"")</f>
        <v/>
      </c>
      <c r="M396" s="14" t="str">
        <f>IFERROR((VLOOKUP($A396,'[1]import success seats course'!$A:AA,HLOOKUP('[1]Course Totals'!M$4,'[1]import success seats course'!$1:$2,2,FALSE),FALSE)/(VLOOKUP($A396,'[1]import graded seats course pivo'!$A:AK,HLOOKUP('[1]Course Totals'!M$4,'[1]import graded seats course pivo'!$1:$2,2,FALSE),FALSE))),"")</f>
        <v/>
      </c>
      <c r="N396" s="14" t="str">
        <f>IFERROR((VLOOKUP($A396,'[1]import success seats course'!$A:AB,HLOOKUP('[1]Course Totals'!N$4,'[1]import success seats course'!$1:$2,2,FALSE),FALSE)/(VLOOKUP($A396,'[1]import graded seats course pivo'!$A:AL,HLOOKUP('[1]Course Totals'!N$4,'[1]import graded seats course pivo'!$1:$2,2,FALSE),FALSE))),"")</f>
        <v/>
      </c>
      <c r="O396" s="14" t="str">
        <f>IFERROR((VLOOKUP($A396,'[1]import success seats course'!$A:AC,HLOOKUP('[1]Course Totals'!O$4,'[1]import success seats course'!$1:$2,2,FALSE),FALSE)/(VLOOKUP($A396,'[1]import graded seats course pivo'!$A:AM,HLOOKUP('[1]Course Totals'!O$4,'[1]import graded seats course pivo'!$1:$2,2,FALSE),FALSE))),"")</f>
        <v/>
      </c>
      <c r="P396" s="14" t="str">
        <f>IFERROR((VLOOKUP($A396,'[1]import success seats course'!$A:AD,HLOOKUP('[1]Course Totals'!P$4,'[1]import success seats course'!$1:$2,2,FALSE),FALSE)/(VLOOKUP($A396,'[1]import graded seats course pivo'!$A:AN,HLOOKUP('[1]Course Totals'!P$4,'[1]import graded seats course pivo'!$1:$2,2,FALSE),FALSE))),"")</f>
        <v/>
      </c>
      <c r="Q396" s="14" t="str">
        <f>IFERROR((VLOOKUP($A396,'[1]import success seats course'!$A:AE,HLOOKUP('[1]Course Totals'!Q$4,'[1]import success seats course'!$1:$2,2,FALSE),FALSE)/(VLOOKUP($A396,'[1]import graded seats course pivo'!$A:AO,HLOOKUP('[1]Course Totals'!Q$4,'[1]import graded seats course pivo'!$1:$2,2,FALSE),FALSE))),"")</f>
        <v/>
      </c>
      <c r="R396" s="14" t="str">
        <f>IFERROR((VLOOKUP($A396,'[1]import success seats course'!$A:AF,HLOOKUP('[1]Course Totals'!R$4,'[1]import success seats course'!$1:$2,2,FALSE),FALSE)/(VLOOKUP($A396,'[1]import graded seats course pivo'!$A:AP,HLOOKUP('[1]Course Totals'!R$4,'[1]import graded seats course pivo'!$1:$2,2,FALSE),FALSE))),"")</f>
        <v/>
      </c>
      <c r="S396" s="14" t="str">
        <f>IFERROR((VLOOKUP($A396,'[1]import success seats course'!$A:AG,HLOOKUP('[1]Course Totals'!S$4,'[1]import success seats course'!$1:$2,2,FALSE),FALSE)/(VLOOKUP($A396,'[1]import graded seats course pivo'!$A:AQ,HLOOKUP('[1]Course Totals'!S$4,'[1]import graded seats course pivo'!$1:$2,2,FALSE),FALSE))),"")</f>
        <v/>
      </c>
      <c r="Z396" s="7"/>
      <c r="AA396" s="7"/>
      <c r="AB396" s="7"/>
      <c r="AC396" s="7"/>
    </row>
    <row r="397" spans="1:29" ht="15.75" hidden="1" customHeight="1" x14ac:dyDescent="0.25">
      <c r="A397" s="12" t="s">
        <v>896</v>
      </c>
      <c r="B397" s="14" t="str">
        <f>IFERROR((VLOOKUP($A397,'[1]import success seats course'!$A:P,HLOOKUP('[1]Course Totals'!B$4,'[1]import success seats course'!$1:$2,2,FALSE),FALSE)/(VLOOKUP($A397,'[1]import graded seats course pivo'!$A:Z,HLOOKUP('[1]Course Totals'!B$4,'[1]import graded seats course pivo'!$1:$2,2,FALSE),FALSE))),"")</f>
        <v/>
      </c>
      <c r="C397" s="14" t="str">
        <f>IFERROR((VLOOKUP($A397,'[1]import success seats course'!$A:Q,HLOOKUP('[1]Course Totals'!C$4,'[1]import success seats course'!$1:$2,2,FALSE),FALSE)/(VLOOKUP($A397,'[1]import graded seats course pivo'!$A:AA,HLOOKUP('[1]Course Totals'!C$4,'[1]import graded seats course pivo'!$1:$2,2,FALSE),FALSE))),"")</f>
        <v/>
      </c>
      <c r="D397" s="14" t="str">
        <f>IFERROR((VLOOKUP($A397,'[1]import success seats course'!$A:R,HLOOKUP('[1]Course Totals'!D$4,'[1]import success seats course'!$1:$2,2,FALSE),FALSE)/(VLOOKUP($A397,'[1]import graded seats course pivo'!$A:AB,HLOOKUP('[1]Course Totals'!D$4,'[1]import graded seats course pivo'!$1:$2,2,FALSE),FALSE))),"")</f>
        <v/>
      </c>
      <c r="E397" s="14" t="str">
        <f>IFERROR((VLOOKUP($A397,'[1]import success seats course'!$A:S,HLOOKUP('[1]Course Totals'!E$4,'[1]import success seats course'!$1:$2,2,FALSE),FALSE)/(VLOOKUP($A397,'[1]import graded seats course pivo'!$A:AC,HLOOKUP('[1]Course Totals'!E$4,'[1]import graded seats course pivo'!$1:$2,2,FALSE),FALSE))),"")</f>
        <v/>
      </c>
      <c r="F397" s="14" t="str">
        <f>IFERROR((VLOOKUP($A397,'[1]import success seats course'!$A:T,HLOOKUP('[1]Course Totals'!F$4,'[1]import success seats course'!$1:$2,2,FALSE),FALSE)/(VLOOKUP($A397,'[1]import graded seats course pivo'!$A:AD,HLOOKUP('[1]Course Totals'!F$4,'[1]import graded seats course pivo'!$1:$2,2,FALSE),FALSE))),"")</f>
        <v/>
      </c>
      <c r="G397" s="14" t="str">
        <f>IFERROR((VLOOKUP($A397,'[1]import success seats course'!$A:U,HLOOKUP('[1]Course Totals'!G$4,'[1]import success seats course'!$1:$2,2,FALSE),FALSE)/(VLOOKUP($A397,'[1]import graded seats course pivo'!$A:AE,HLOOKUP('[1]Course Totals'!G$4,'[1]import graded seats course pivo'!$1:$2,2,FALSE),FALSE))),"")</f>
        <v/>
      </c>
      <c r="H397" s="14" t="str">
        <f>IFERROR((VLOOKUP($A397,'[1]import success seats course'!$A:V,HLOOKUP('[1]Course Totals'!H$4,'[1]import success seats course'!$1:$2,2,FALSE),FALSE)/(VLOOKUP($A397,'[1]import graded seats course pivo'!$A:AF,HLOOKUP('[1]Course Totals'!H$4,'[1]import graded seats course pivo'!$1:$2,2,FALSE),FALSE))),"")</f>
        <v/>
      </c>
      <c r="I397" s="14" t="str">
        <f>IFERROR((VLOOKUP($A397,'[1]import success seats course'!$A:W,HLOOKUP('[1]Course Totals'!I$4,'[1]import success seats course'!$1:$2,2,FALSE),FALSE)/(VLOOKUP($A397,'[1]import graded seats course pivo'!$A:AG,HLOOKUP('[1]Course Totals'!I$4,'[1]import graded seats course pivo'!$1:$2,2,FALSE),FALSE))),"")</f>
        <v/>
      </c>
      <c r="J397" s="14" t="str">
        <f>IFERROR((VLOOKUP($A397,'[1]import success seats course'!$A:X,HLOOKUP('[1]Course Totals'!J$4,'[1]import success seats course'!$1:$2,2,FALSE),FALSE)/(VLOOKUP($A397,'[1]import graded seats course pivo'!$A:AH,HLOOKUP('[1]Course Totals'!J$4,'[1]import graded seats course pivo'!$1:$2,2,FALSE),FALSE))),"")</f>
        <v/>
      </c>
      <c r="K397" s="14" t="str">
        <f>IFERROR((VLOOKUP($A397,'[1]import success seats course'!$A:Y,HLOOKUP('[1]Course Totals'!K$4,'[1]import success seats course'!$1:$2,2,FALSE),FALSE)/(VLOOKUP($A397,'[1]import graded seats course pivo'!$A:AI,HLOOKUP('[1]Course Totals'!K$4,'[1]import graded seats course pivo'!$1:$2,2,FALSE),FALSE))),"")</f>
        <v/>
      </c>
      <c r="L397" s="14" t="str">
        <f>IFERROR((VLOOKUP($A397,'[1]import success seats course'!$A:Z,HLOOKUP('[1]Course Totals'!L$4,'[1]import success seats course'!$1:$2,2,FALSE),FALSE)/(VLOOKUP($A397,'[1]import graded seats course pivo'!$A:AJ,HLOOKUP('[1]Course Totals'!L$4,'[1]import graded seats course pivo'!$1:$2,2,FALSE),FALSE))),"")</f>
        <v/>
      </c>
      <c r="M397" s="14" t="str">
        <f>IFERROR((VLOOKUP($A397,'[1]import success seats course'!$A:AA,HLOOKUP('[1]Course Totals'!M$4,'[1]import success seats course'!$1:$2,2,FALSE),FALSE)/(VLOOKUP($A397,'[1]import graded seats course pivo'!$A:AK,HLOOKUP('[1]Course Totals'!M$4,'[1]import graded seats course pivo'!$1:$2,2,FALSE),FALSE))),"")</f>
        <v/>
      </c>
      <c r="N397" s="14" t="str">
        <f>IFERROR((VLOOKUP($A397,'[1]import success seats course'!$A:AB,HLOOKUP('[1]Course Totals'!N$4,'[1]import success seats course'!$1:$2,2,FALSE),FALSE)/(VLOOKUP($A397,'[1]import graded seats course pivo'!$A:AL,HLOOKUP('[1]Course Totals'!N$4,'[1]import graded seats course pivo'!$1:$2,2,FALSE),FALSE))),"")</f>
        <v/>
      </c>
      <c r="O397" s="14" t="str">
        <f>IFERROR((VLOOKUP($A397,'[1]import success seats course'!$A:AC,HLOOKUP('[1]Course Totals'!O$4,'[1]import success seats course'!$1:$2,2,FALSE),FALSE)/(VLOOKUP($A397,'[1]import graded seats course pivo'!$A:AM,HLOOKUP('[1]Course Totals'!O$4,'[1]import graded seats course pivo'!$1:$2,2,FALSE),FALSE))),"")</f>
        <v/>
      </c>
      <c r="P397" s="14" t="str">
        <f>IFERROR((VLOOKUP($A397,'[1]import success seats course'!$A:AD,HLOOKUP('[1]Course Totals'!P$4,'[1]import success seats course'!$1:$2,2,FALSE),FALSE)/(VLOOKUP($A397,'[1]import graded seats course pivo'!$A:AN,HLOOKUP('[1]Course Totals'!P$4,'[1]import graded seats course pivo'!$1:$2,2,FALSE),FALSE))),"")</f>
        <v/>
      </c>
      <c r="Q397" s="14" t="str">
        <f>IFERROR((VLOOKUP($A397,'[1]import success seats course'!$A:AE,HLOOKUP('[1]Course Totals'!Q$4,'[1]import success seats course'!$1:$2,2,FALSE),FALSE)/(VLOOKUP($A397,'[1]import graded seats course pivo'!$A:AO,HLOOKUP('[1]Course Totals'!Q$4,'[1]import graded seats course pivo'!$1:$2,2,FALSE),FALSE))),"")</f>
        <v/>
      </c>
      <c r="R397" s="14" t="str">
        <f>IFERROR((VLOOKUP($A397,'[1]import success seats course'!$A:AF,HLOOKUP('[1]Course Totals'!R$4,'[1]import success seats course'!$1:$2,2,FALSE),FALSE)/(VLOOKUP($A397,'[1]import graded seats course pivo'!$A:AP,HLOOKUP('[1]Course Totals'!R$4,'[1]import graded seats course pivo'!$1:$2,2,FALSE),FALSE))),"")</f>
        <v/>
      </c>
      <c r="S397" s="14" t="str">
        <f>IFERROR((VLOOKUP($A397,'[1]import success seats course'!$A:AG,HLOOKUP('[1]Course Totals'!S$4,'[1]import success seats course'!$1:$2,2,FALSE),FALSE)/(VLOOKUP($A397,'[1]import graded seats course pivo'!$A:AQ,HLOOKUP('[1]Course Totals'!S$4,'[1]import graded seats course pivo'!$1:$2,2,FALSE),FALSE))),"")</f>
        <v/>
      </c>
      <c r="Z397" s="7"/>
      <c r="AA397" s="7"/>
      <c r="AB397" s="7"/>
      <c r="AC397" s="7"/>
    </row>
    <row r="398" spans="1:29" ht="15.75" hidden="1" customHeight="1" x14ac:dyDescent="0.25">
      <c r="A398" s="12" t="s">
        <v>195</v>
      </c>
      <c r="B398" s="14" t="str">
        <f>IFERROR((VLOOKUP($A398,'[1]import success seats course'!$A:P,HLOOKUP('[1]Course Totals'!B$4,'[1]import success seats course'!$1:$2,2,FALSE),FALSE)/(VLOOKUP($A398,'[1]import graded seats course pivo'!$A:Z,HLOOKUP('[1]Course Totals'!B$4,'[1]import graded seats course pivo'!$1:$2,2,FALSE),FALSE))),"")</f>
        <v/>
      </c>
      <c r="C398" s="14" t="str">
        <f>IFERROR((VLOOKUP($A398,'[1]import success seats course'!$A:Q,HLOOKUP('[1]Course Totals'!C$4,'[1]import success seats course'!$1:$2,2,FALSE),FALSE)/(VLOOKUP($A398,'[1]import graded seats course pivo'!$A:AA,HLOOKUP('[1]Course Totals'!C$4,'[1]import graded seats course pivo'!$1:$2,2,FALSE),FALSE))),"")</f>
        <v/>
      </c>
      <c r="D398" s="14" t="str">
        <f>IFERROR((VLOOKUP($A398,'[1]import success seats course'!$A:R,HLOOKUP('[1]Course Totals'!D$4,'[1]import success seats course'!$1:$2,2,FALSE),FALSE)/(VLOOKUP($A398,'[1]import graded seats course pivo'!$A:AB,HLOOKUP('[1]Course Totals'!D$4,'[1]import graded seats course pivo'!$1:$2,2,FALSE),FALSE))),"")</f>
        <v/>
      </c>
      <c r="E398" s="14" t="str">
        <f>IFERROR((VLOOKUP($A398,'[1]import success seats course'!$A:S,HLOOKUP('[1]Course Totals'!E$4,'[1]import success seats course'!$1:$2,2,FALSE),FALSE)/(VLOOKUP($A398,'[1]import graded seats course pivo'!$A:AC,HLOOKUP('[1]Course Totals'!E$4,'[1]import graded seats course pivo'!$1:$2,2,FALSE),FALSE))),"")</f>
        <v/>
      </c>
      <c r="F398" s="14" t="str">
        <f>IFERROR((VLOOKUP($A398,'[1]import success seats course'!$A:T,HLOOKUP('[1]Course Totals'!F$4,'[1]import success seats course'!$1:$2,2,FALSE),FALSE)/(VLOOKUP($A398,'[1]import graded seats course pivo'!$A:AD,HLOOKUP('[1]Course Totals'!F$4,'[1]import graded seats course pivo'!$1:$2,2,FALSE),FALSE))),"")</f>
        <v/>
      </c>
      <c r="G398" s="14" t="str">
        <f>IFERROR((VLOOKUP($A398,'[1]import success seats course'!$A:U,HLOOKUP('[1]Course Totals'!G$4,'[1]import success seats course'!$1:$2,2,FALSE),FALSE)/(VLOOKUP($A398,'[1]import graded seats course pivo'!$A:AE,HLOOKUP('[1]Course Totals'!G$4,'[1]import graded seats course pivo'!$1:$2,2,FALSE),FALSE))),"")</f>
        <v/>
      </c>
      <c r="H398" s="14" t="str">
        <f>IFERROR((VLOOKUP($A398,'[1]import success seats course'!$A:V,HLOOKUP('[1]Course Totals'!H$4,'[1]import success seats course'!$1:$2,2,FALSE),FALSE)/(VLOOKUP($A398,'[1]import graded seats course pivo'!$A:AF,HLOOKUP('[1]Course Totals'!H$4,'[1]import graded seats course pivo'!$1:$2,2,FALSE),FALSE))),"")</f>
        <v/>
      </c>
      <c r="I398" s="14" t="str">
        <f>IFERROR((VLOOKUP($A398,'[1]import success seats course'!$A:W,HLOOKUP('[1]Course Totals'!I$4,'[1]import success seats course'!$1:$2,2,FALSE),FALSE)/(VLOOKUP($A398,'[1]import graded seats course pivo'!$A:AG,HLOOKUP('[1]Course Totals'!I$4,'[1]import graded seats course pivo'!$1:$2,2,FALSE),FALSE))),"")</f>
        <v/>
      </c>
      <c r="J398" s="14" t="str">
        <f>IFERROR((VLOOKUP($A398,'[1]import success seats course'!$A:X,HLOOKUP('[1]Course Totals'!J$4,'[1]import success seats course'!$1:$2,2,FALSE),FALSE)/(VLOOKUP($A398,'[1]import graded seats course pivo'!$A:AH,HLOOKUP('[1]Course Totals'!J$4,'[1]import graded seats course pivo'!$1:$2,2,FALSE),FALSE))),"")</f>
        <v/>
      </c>
      <c r="K398" s="14" t="str">
        <f>IFERROR((VLOOKUP($A398,'[1]import success seats course'!$A:Y,HLOOKUP('[1]Course Totals'!K$4,'[1]import success seats course'!$1:$2,2,FALSE),FALSE)/(VLOOKUP($A398,'[1]import graded seats course pivo'!$A:AI,HLOOKUP('[1]Course Totals'!K$4,'[1]import graded seats course pivo'!$1:$2,2,FALSE),FALSE))),"")</f>
        <v/>
      </c>
      <c r="L398" s="14" t="str">
        <f>IFERROR((VLOOKUP($A398,'[1]import success seats course'!$A:Z,HLOOKUP('[1]Course Totals'!L$4,'[1]import success seats course'!$1:$2,2,FALSE),FALSE)/(VLOOKUP($A398,'[1]import graded seats course pivo'!$A:AJ,HLOOKUP('[1]Course Totals'!L$4,'[1]import graded seats course pivo'!$1:$2,2,FALSE),FALSE))),"")</f>
        <v/>
      </c>
      <c r="M398" s="14" t="str">
        <f>IFERROR((VLOOKUP($A398,'[1]import success seats course'!$A:AA,HLOOKUP('[1]Course Totals'!M$4,'[1]import success seats course'!$1:$2,2,FALSE),FALSE)/(VLOOKUP($A398,'[1]import graded seats course pivo'!$A:AK,HLOOKUP('[1]Course Totals'!M$4,'[1]import graded seats course pivo'!$1:$2,2,FALSE),FALSE))),"")</f>
        <v/>
      </c>
      <c r="N398" s="14" t="str">
        <f>IFERROR((VLOOKUP($A398,'[1]import success seats course'!$A:AB,HLOOKUP('[1]Course Totals'!N$4,'[1]import success seats course'!$1:$2,2,FALSE),FALSE)/(VLOOKUP($A398,'[1]import graded seats course pivo'!$A:AL,HLOOKUP('[1]Course Totals'!N$4,'[1]import graded seats course pivo'!$1:$2,2,FALSE),FALSE))),"")</f>
        <v/>
      </c>
      <c r="O398" s="14" t="str">
        <f>IFERROR((VLOOKUP($A398,'[1]import success seats course'!$A:AC,HLOOKUP('[1]Course Totals'!O$4,'[1]import success seats course'!$1:$2,2,FALSE),FALSE)/(VLOOKUP($A398,'[1]import graded seats course pivo'!$A:AM,HLOOKUP('[1]Course Totals'!O$4,'[1]import graded seats course pivo'!$1:$2,2,FALSE),FALSE))),"")</f>
        <v/>
      </c>
      <c r="P398" s="14" t="str">
        <f>IFERROR((VLOOKUP($A398,'[1]import success seats course'!$A:AD,HLOOKUP('[1]Course Totals'!P$4,'[1]import success seats course'!$1:$2,2,FALSE),FALSE)/(VLOOKUP($A398,'[1]import graded seats course pivo'!$A:AN,HLOOKUP('[1]Course Totals'!P$4,'[1]import graded seats course pivo'!$1:$2,2,FALSE),FALSE))),"")</f>
        <v/>
      </c>
      <c r="Q398" s="14" t="str">
        <f>IFERROR((VLOOKUP($A398,'[1]import success seats course'!$A:AE,HLOOKUP('[1]Course Totals'!Q$4,'[1]import success seats course'!$1:$2,2,FALSE),FALSE)/(VLOOKUP($A398,'[1]import graded seats course pivo'!$A:AO,HLOOKUP('[1]Course Totals'!Q$4,'[1]import graded seats course pivo'!$1:$2,2,FALSE),FALSE))),"")</f>
        <v/>
      </c>
      <c r="R398" s="14" t="str">
        <f>IFERROR((VLOOKUP($A398,'[1]import success seats course'!$A:AF,HLOOKUP('[1]Course Totals'!R$4,'[1]import success seats course'!$1:$2,2,FALSE),FALSE)/(VLOOKUP($A398,'[1]import graded seats course pivo'!$A:AP,HLOOKUP('[1]Course Totals'!R$4,'[1]import graded seats course pivo'!$1:$2,2,FALSE),FALSE))),"")</f>
        <v/>
      </c>
      <c r="S398" s="14" t="str">
        <f>IFERROR((VLOOKUP($A398,'[1]import success seats course'!$A:AG,HLOOKUP('[1]Course Totals'!S$4,'[1]import success seats course'!$1:$2,2,FALSE),FALSE)/(VLOOKUP($A398,'[1]import graded seats course pivo'!$A:AQ,HLOOKUP('[1]Course Totals'!S$4,'[1]import graded seats course pivo'!$1:$2,2,FALSE),FALSE))),"")</f>
        <v/>
      </c>
      <c r="Z398" s="7"/>
      <c r="AA398" s="7"/>
      <c r="AB398" s="7"/>
      <c r="AC398" s="7"/>
    </row>
    <row r="399" spans="1:29" ht="15.75" customHeight="1" x14ac:dyDescent="0.25">
      <c r="A399" s="12" t="s">
        <v>196</v>
      </c>
      <c r="B399" s="14" t="str">
        <f>IFERROR((VLOOKUP($A399,'[1]import success seats course'!$A:P,HLOOKUP('[1]Course Totals'!B$4,'[1]import success seats course'!$1:$2,2,FALSE),FALSE)/(VLOOKUP($A399,'[1]import graded seats course pivo'!$A:Z,HLOOKUP('[1]Course Totals'!B$4,'[1]import graded seats course pivo'!$1:$2,2,FALSE),FALSE))),"")</f>
        <v/>
      </c>
      <c r="C399" s="14">
        <f>IFERROR((VLOOKUP($A399,'[1]import success seats course'!$A:Q,HLOOKUP('[1]Course Totals'!C$4,'[1]import success seats course'!$1:$2,2,FALSE),FALSE)/(VLOOKUP($A399,'[1]import graded seats course pivo'!$A:AA,HLOOKUP('[1]Course Totals'!C$4,'[1]import graded seats course pivo'!$1:$2,2,FALSE),FALSE))),"")</f>
        <v>1</v>
      </c>
      <c r="D399" s="14">
        <f>IFERROR((VLOOKUP($A399,'[1]import success seats course'!$A:R,HLOOKUP('[1]Course Totals'!D$4,'[1]import success seats course'!$1:$2,2,FALSE),FALSE)/(VLOOKUP($A399,'[1]import graded seats course pivo'!$A:AB,HLOOKUP('[1]Course Totals'!D$4,'[1]import graded seats course pivo'!$1:$2,2,FALSE),FALSE))),"")</f>
        <v>0.9</v>
      </c>
      <c r="E399" s="14" t="str">
        <f>IFERROR((VLOOKUP($A399,'[1]import success seats course'!$A:S,HLOOKUP('[1]Course Totals'!E$4,'[1]import success seats course'!$1:$2,2,FALSE),FALSE)/(VLOOKUP($A399,'[1]import graded seats course pivo'!$A:AC,HLOOKUP('[1]Course Totals'!E$4,'[1]import graded seats course pivo'!$1:$2,2,FALSE),FALSE))),"")</f>
        <v/>
      </c>
      <c r="F399" s="14">
        <f>IFERROR((VLOOKUP($A399,'[1]import success seats course'!$A:T,HLOOKUP('[1]Course Totals'!F$4,'[1]import success seats course'!$1:$2,2,FALSE),FALSE)/(VLOOKUP($A399,'[1]import graded seats course pivo'!$A:AD,HLOOKUP('[1]Course Totals'!F$4,'[1]import graded seats course pivo'!$1:$2,2,FALSE),FALSE))),"")</f>
        <v>0.87096774193548387</v>
      </c>
      <c r="G399" s="14">
        <f>IFERROR((VLOOKUP($A399,'[1]import success seats course'!$A:U,HLOOKUP('[1]Course Totals'!G$4,'[1]import success seats course'!$1:$2,2,FALSE),FALSE)/(VLOOKUP($A399,'[1]import graded seats course pivo'!$A:AE,HLOOKUP('[1]Course Totals'!G$4,'[1]import graded seats course pivo'!$1:$2,2,FALSE),FALSE))),"")</f>
        <v>0.875</v>
      </c>
      <c r="H399" s="14" t="str">
        <f>IFERROR((VLOOKUP($A399,'[1]import success seats course'!$A:V,HLOOKUP('[1]Course Totals'!H$4,'[1]import success seats course'!$1:$2,2,FALSE),FALSE)/(VLOOKUP($A399,'[1]import graded seats course pivo'!$A:AF,HLOOKUP('[1]Course Totals'!H$4,'[1]import graded seats course pivo'!$1:$2,2,FALSE),FALSE))),"")</f>
        <v/>
      </c>
      <c r="I399" s="14">
        <f>IFERROR((VLOOKUP($A399,'[1]import success seats course'!$A:W,HLOOKUP('[1]Course Totals'!I$4,'[1]import success seats course'!$1:$2,2,FALSE),FALSE)/(VLOOKUP($A399,'[1]import graded seats course pivo'!$A:AG,HLOOKUP('[1]Course Totals'!I$4,'[1]import graded seats course pivo'!$1:$2,2,FALSE),FALSE))),"")</f>
        <v>0.66666666666666663</v>
      </c>
      <c r="J399" s="14">
        <f>IFERROR((VLOOKUP($A399,'[1]import success seats course'!$A:X,HLOOKUP('[1]Course Totals'!J$4,'[1]import success seats course'!$1:$2,2,FALSE),FALSE)/(VLOOKUP($A399,'[1]import graded seats course pivo'!$A:AH,HLOOKUP('[1]Course Totals'!J$4,'[1]import graded seats course pivo'!$1:$2,2,FALSE),FALSE))),"")</f>
        <v>0.77500000000000002</v>
      </c>
      <c r="K399" s="14" t="str">
        <f>IFERROR((VLOOKUP($A399,'[1]import success seats course'!$A:Y,HLOOKUP('[1]Course Totals'!K$4,'[1]import success seats course'!$1:$2,2,FALSE),FALSE)/(VLOOKUP($A399,'[1]import graded seats course pivo'!$A:AI,HLOOKUP('[1]Course Totals'!K$4,'[1]import graded seats course pivo'!$1:$2,2,FALSE),FALSE))),"")</f>
        <v/>
      </c>
      <c r="L399" s="14">
        <f>IFERROR((VLOOKUP($A399,'[1]import success seats course'!$A:Z,HLOOKUP('[1]Course Totals'!L$4,'[1]import success seats course'!$1:$2,2,FALSE),FALSE)/(VLOOKUP($A399,'[1]import graded seats course pivo'!$A:AJ,HLOOKUP('[1]Course Totals'!L$4,'[1]import graded seats course pivo'!$1:$2,2,FALSE),FALSE))),"")</f>
        <v>0.75</v>
      </c>
      <c r="M399" s="14">
        <f>IFERROR((VLOOKUP($A399,'[1]import success seats course'!$A:AA,HLOOKUP('[1]Course Totals'!M$4,'[1]import success seats course'!$1:$2,2,FALSE),FALSE)/(VLOOKUP($A399,'[1]import graded seats course pivo'!$A:AK,HLOOKUP('[1]Course Totals'!M$4,'[1]import graded seats course pivo'!$1:$2,2,FALSE),FALSE))),"")</f>
        <v>0.75</v>
      </c>
      <c r="N399" s="14" t="str">
        <f>IFERROR((VLOOKUP($A399,'[1]import success seats course'!$A:AB,HLOOKUP('[1]Course Totals'!N$4,'[1]import success seats course'!$1:$2,2,FALSE),FALSE)/(VLOOKUP($A399,'[1]import graded seats course pivo'!$A:AL,HLOOKUP('[1]Course Totals'!N$4,'[1]import graded seats course pivo'!$1:$2,2,FALSE),FALSE))),"")</f>
        <v/>
      </c>
      <c r="O399" s="14">
        <f>IFERROR((VLOOKUP($A399,'[1]import success seats course'!$A:AC,HLOOKUP('[1]Course Totals'!O$4,'[1]import success seats course'!$1:$2,2,FALSE),FALSE)/(VLOOKUP($A399,'[1]import graded seats course pivo'!$A:AM,HLOOKUP('[1]Course Totals'!O$4,'[1]import graded seats course pivo'!$1:$2,2,FALSE),FALSE))),"")</f>
        <v>1</v>
      </c>
      <c r="P399" s="14">
        <f>IFERROR((VLOOKUP($A399,'[1]import success seats course'!$A:AD,HLOOKUP('[1]Course Totals'!P$4,'[1]import success seats course'!$1:$2,2,FALSE),FALSE)/(VLOOKUP($A399,'[1]import graded seats course pivo'!$A:AN,HLOOKUP('[1]Course Totals'!P$4,'[1]import graded seats course pivo'!$1:$2,2,FALSE),FALSE))),"")</f>
        <v>0.66666666666666663</v>
      </c>
      <c r="Q399" s="14" t="str">
        <f>IFERROR((VLOOKUP($A399,'[1]import success seats course'!$A:AE,HLOOKUP('[1]Course Totals'!Q$4,'[1]import success seats course'!$1:$2,2,FALSE),FALSE)/(VLOOKUP($A399,'[1]import graded seats course pivo'!$A:AO,HLOOKUP('[1]Course Totals'!Q$4,'[1]import graded seats course pivo'!$1:$2,2,FALSE),FALSE))),"")</f>
        <v/>
      </c>
      <c r="R399" s="14">
        <f>IFERROR((VLOOKUP($A399,'[1]import success seats course'!$A:AF,HLOOKUP('[1]Course Totals'!R$4,'[1]import success seats course'!$1:$2,2,FALSE),FALSE)/(VLOOKUP($A399,'[1]import graded seats course pivo'!$A:AP,HLOOKUP('[1]Course Totals'!R$4,'[1]import graded seats course pivo'!$1:$2,2,FALSE),FALSE))),"")</f>
        <v>0.88461538461538458</v>
      </c>
      <c r="S399" s="14">
        <f>IFERROR((VLOOKUP($A399,'[1]import success seats course'!$A:AG,HLOOKUP('[1]Course Totals'!S$4,'[1]import success seats course'!$1:$2,2,FALSE),FALSE)/(VLOOKUP($A399,'[1]import graded seats course pivo'!$A:AQ,HLOOKUP('[1]Course Totals'!S$4,'[1]import graded seats course pivo'!$1:$2,2,FALSE),FALSE))),"")</f>
        <v>0.70833333333333337</v>
      </c>
      <c r="Z399" s="7"/>
      <c r="AA399" s="7"/>
      <c r="AB399" s="7"/>
      <c r="AC399" s="7"/>
    </row>
    <row r="400" spans="1:29" ht="15.75" customHeight="1" x14ac:dyDescent="0.25">
      <c r="A400" s="12" t="s">
        <v>197</v>
      </c>
      <c r="B400" s="14">
        <f>IFERROR((VLOOKUP($A400,'[1]import success seats course'!$A:P,HLOOKUP('[1]Course Totals'!B$4,'[1]import success seats course'!$1:$2,2,FALSE),FALSE)/(VLOOKUP($A400,'[1]import graded seats course pivo'!$A:Z,HLOOKUP('[1]Course Totals'!B$4,'[1]import graded seats course pivo'!$1:$2,2,FALSE),FALSE))),"")</f>
        <v>1</v>
      </c>
      <c r="C400" s="14">
        <f>IFERROR((VLOOKUP($A400,'[1]import success seats course'!$A:Q,HLOOKUP('[1]Course Totals'!C$4,'[1]import success seats course'!$1:$2,2,FALSE),FALSE)/(VLOOKUP($A400,'[1]import graded seats course pivo'!$A:AA,HLOOKUP('[1]Course Totals'!C$4,'[1]import graded seats course pivo'!$1:$2,2,FALSE),FALSE))),"")</f>
        <v>0.90625</v>
      </c>
      <c r="D400" s="14">
        <f>IFERROR((VLOOKUP($A400,'[1]import success seats course'!$A:R,HLOOKUP('[1]Course Totals'!D$4,'[1]import success seats course'!$1:$2,2,FALSE),FALSE)/(VLOOKUP($A400,'[1]import graded seats course pivo'!$A:AB,HLOOKUP('[1]Course Totals'!D$4,'[1]import graded seats course pivo'!$1:$2,2,FALSE),FALSE))),"")</f>
        <v>0.9</v>
      </c>
      <c r="E400" s="14">
        <f>IFERROR((VLOOKUP($A400,'[1]import success seats course'!$A:S,HLOOKUP('[1]Course Totals'!E$4,'[1]import success seats course'!$1:$2,2,FALSE),FALSE)/(VLOOKUP($A400,'[1]import graded seats course pivo'!$A:AC,HLOOKUP('[1]Course Totals'!E$4,'[1]import graded seats course pivo'!$1:$2,2,FALSE),FALSE))),"")</f>
        <v>0.96296296296296291</v>
      </c>
      <c r="F400" s="14">
        <f>IFERROR((VLOOKUP($A400,'[1]import success seats course'!$A:T,HLOOKUP('[1]Course Totals'!F$4,'[1]import success seats course'!$1:$2,2,FALSE),FALSE)/(VLOOKUP($A400,'[1]import graded seats course pivo'!$A:AD,HLOOKUP('[1]Course Totals'!F$4,'[1]import graded seats course pivo'!$1:$2,2,FALSE),FALSE))),"")</f>
        <v>0.81818181818181823</v>
      </c>
      <c r="G400" s="14">
        <f>IFERROR((VLOOKUP($A400,'[1]import success seats course'!$A:U,HLOOKUP('[1]Course Totals'!G$4,'[1]import success seats course'!$1:$2,2,FALSE),FALSE)/(VLOOKUP($A400,'[1]import graded seats course pivo'!$A:AE,HLOOKUP('[1]Course Totals'!G$4,'[1]import graded seats course pivo'!$1:$2,2,FALSE),FALSE))),"")</f>
        <v>0.91489361702127658</v>
      </c>
      <c r="H400" s="14" t="str">
        <f>IFERROR((VLOOKUP($A400,'[1]import success seats course'!$A:V,HLOOKUP('[1]Course Totals'!H$4,'[1]import success seats course'!$1:$2,2,FALSE),FALSE)/(VLOOKUP($A400,'[1]import graded seats course pivo'!$A:AF,HLOOKUP('[1]Course Totals'!H$4,'[1]import graded seats course pivo'!$1:$2,2,FALSE),FALSE))),"")</f>
        <v/>
      </c>
      <c r="I400" s="14">
        <f>IFERROR((VLOOKUP($A400,'[1]import success seats course'!$A:W,HLOOKUP('[1]Course Totals'!I$4,'[1]import success seats course'!$1:$2,2,FALSE),FALSE)/(VLOOKUP($A400,'[1]import graded seats course pivo'!$A:AG,HLOOKUP('[1]Course Totals'!I$4,'[1]import graded seats course pivo'!$1:$2,2,FALSE),FALSE))),"")</f>
        <v>0.76086956521739135</v>
      </c>
      <c r="J400" s="14">
        <f>IFERROR((VLOOKUP($A400,'[1]import success seats course'!$A:X,HLOOKUP('[1]Course Totals'!J$4,'[1]import success seats course'!$1:$2,2,FALSE),FALSE)/(VLOOKUP($A400,'[1]import graded seats course pivo'!$A:AH,HLOOKUP('[1]Course Totals'!J$4,'[1]import graded seats course pivo'!$1:$2,2,FALSE),FALSE))),"")</f>
        <v>0.78873239436619713</v>
      </c>
      <c r="K400" s="14" t="str">
        <f>IFERROR((VLOOKUP($A400,'[1]import success seats course'!$A:Y,HLOOKUP('[1]Course Totals'!K$4,'[1]import success seats course'!$1:$2,2,FALSE),FALSE)/(VLOOKUP($A400,'[1]import graded seats course pivo'!$A:AI,HLOOKUP('[1]Course Totals'!K$4,'[1]import graded seats course pivo'!$1:$2,2,FALSE),FALSE))),"")</f>
        <v/>
      </c>
      <c r="L400" s="14">
        <f>IFERROR((VLOOKUP($A400,'[1]import success seats course'!$A:Z,HLOOKUP('[1]Course Totals'!L$4,'[1]import success seats course'!$1:$2,2,FALSE),FALSE)/(VLOOKUP($A400,'[1]import graded seats course pivo'!$A:AJ,HLOOKUP('[1]Course Totals'!L$4,'[1]import graded seats course pivo'!$1:$2,2,FALSE),FALSE))),"")</f>
        <v>0.86567164179104472</v>
      </c>
      <c r="M400" s="14">
        <f>IFERROR((VLOOKUP($A400,'[1]import success seats course'!$A:AA,HLOOKUP('[1]Course Totals'!M$4,'[1]import success seats course'!$1:$2,2,FALSE),FALSE)/(VLOOKUP($A400,'[1]import graded seats course pivo'!$A:AK,HLOOKUP('[1]Course Totals'!M$4,'[1]import graded seats course pivo'!$1:$2,2,FALSE),FALSE))),"")</f>
        <v>0.82352941176470584</v>
      </c>
      <c r="N400" s="14" t="str">
        <f>IFERROR((VLOOKUP($A400,'[1]import success seats course'!$A:AB,HLOOKUP('[1]Course Totals'!N$4,'[1]import success seats course'!$1:$2,2,FALSE),FALSE)/(VLOOKUP($A400,'[1]import graded seats course pivo'!$A:AL,HLOOKUP('[1]Course Totals'!N$4,'[1]import graded seats course pivo'!$1:$2,2,FALSE),FALSE))),"")</f>
        <v/>
      </c>
      <c r="O400" s="14">
        <f>IFERROR((VLOOKUP($A400,'[1]import success seats course'!$A:AC,HLOOKUP('[1]Course Totals'!O$4,'[1]import success seats course'!$1:$2,2,FALSE),FALSE)/(VLOOKUP($A400,'[1]import graded seats course pivo'!$A:AM,HLOOKUP('[1]Course Totals'!O$4,'[1]import graded seats course pivo'!$1:$2,2,FALSE),FALSE))),"")</f>
        <v>0.90625</v>
      </c>
      <c r="P400" s="14">
        <f>IFERROR((VLOOKUP($A400,'[1]import success seats course'!$A:AD,HLOOKUP('[1]Course Totals'!P$4,'[1]import success seats course'!$1:$2,2,FALSE),FALSE)/(VLOOKUP($A400,'[1]import graded seats course pivo'!$A:AN,HLOOKUP('[1]Course Totals'!P$4,'[1]import graded seats course pivo'!$1:$2,2,FALSE),FALSE))),"")</f>
        <v>0.79761904761904767</v>
      </c>
      <c r="Q400" s="14" t="str">
        <f>IFERROR((VLOOKUP($A400,'[1]import success seats course'!$A:AE,HLOOKUP('[1]Course Totals'!Q$4,'[1]import success seats course'!$1:$2,2,FALSE),FALSE)/(VLOOKUP($A400,'[1]import graded seats course pivo'!$A:AO,HLOOKUP('[1]Course Totals'!Q$4,'[1]import graded seats course pivo'!$1:$2,2,FALSE),FALSE))),"")</f>
        <v/>
      </c>
      <c r="R400" s="14">
        <f>IFERROR((VLOOKUP($A400,'[1]import success seats course'!$A:AF,HLOOKUP('[1]Course Totals'!R$4,'[1]import success seats course'!$1:$2,2,FALSE),FALSE)/(VLOOKUP($A400,'[1]import graded seats course pivo'!$A:AP,HLOOKUP('[1]Course Totals'!R$4,'[1]import graded seats course pivo'!$1:$2,2,FALSE),FALSE))),"")</f>
        <v>0.73417721518987344</v>
      </c>
      <c r="S400" s="14">
        <f>IFERROR((VLOOKUP($A400,'[1]import success seats course'!$A:AG,HLOOKUP('[1]Course Totals'!S$4,'[1]import success seats course'!$1:$2,2,FALSE),FALSE)/(VLOOKUP($A400,'[1]import graded seats course pivo'!$A:AQ,HLOOKUP('[1]Course Totals'!S$4,'[1]import graded seats course pivo'!$1:$2,2,FALSE),FALSE))),"")</f>
        <v>0.66666666666666663</v>
      </c>
      <c r="Z400" s="7"/>
      <c r="AA400" s="7"/>
      <c r="AB400" s="7"/>
      <c r="AC400" s="7"/>
    </row>
    <row r="401" spans="1:29" ht="15.75" customHeight="1" x14ac:dyDescent="0.25">
      <c r="A401" s="12" t="s">
        <v>897</v>
      </c>
      <c r="B401" s="14" t="str">
        <f>IFERROR((VLOOKUP($A401,'[1]import success seats course'!$A:P,HLOOKUP('[1]Course Totals'!B$4,'[1]import success seats course'!$1:$2,2,FALSE),FALSE)/(VLOOKUP($A401,'[1]import graded seats course pivo'!$A:Z,HLOOKUP('[1]Course Totals'!B$4,'[1]import graded seats course pivo'!$1:$2,2,FALSE),FALSE))),"")</f>
        <v/>
      </c>
      <c r="C401" s="14" t="str">
        <f>IFERROR((VLOOKUP($A401,'[1]import success seats course'!$A:Q,HLOOKUP('[1]Course Totals'!C$4,'[1]import success seats course'!$1:$2,2,FALSE),FALSE)/(VLOOKUP($A401,'[1]import graded seats course pivo'!$A:AA,HLOOKUP('[1]Course Totals'!C$4,'[1]import graded seats course pivo'!$1:$2,2,FALSE),FALSE))),"")</f>
        <v/>
      </c>
      <c r="D401" s="14">
        <f>IFERROR((VLOOKUP($A401,'[1]import success seats course'!$A:R,HLOOKUP('[1]Course Totals'!D$4,'[1]import success seats course'!$1:$2,2,FALSE),FALSE)/(VLOOKUP($A401,'[1]import graded seats course pivo'!$A:AB,HLOOKUP('[1]Course Totals'!D$4,'[1]import graded seats course pivo'!$1:$2,2,FALSE),FALSE))),"")</f>
        <v>0.91666666666666663</v>
      </c>
      <c r="E401" s="14" t="str">
        <f>IFERROR((VLOOKUP($A401,'[1]import success seats course'!$A:S,HLOOKUP('[1]Course Totals'!E$4,'[1]import success seats course'!$1:$2,2,FALSE),FALSE)/(VLOOKUP($A401,'[1]import graded seats course pivo'!$A:AC,HLOOKUP('[1]Course Totals'!E$4,'[1]import graded seats course pivo'!$1:$2,2,FALSE),FALSE))),"")</f>
        <v/>
      </c>
      <c r="F401" s="14" t="str">
        <f>IFERROR((VLOOKUP($A401,'[1]import success seats course'!$A:T,HLOOKUP('[1]Course Totals'!F$4,'[1]import success seats course'!$1:$2,2,FALSE),FALSE)/(VLOOKUP($A401,'[1]import graded seats course pivo'!$A:AD,HLOOKUP('[1]Course Totals'!F$4,'[1]import graded seats course pivo'!$1:$2,2,FALSE),FALSE))),"")</f>
        <v/>
      </c>
      <c r="G401" s="14" t="str">
        <f>IFERROR((VLOOKUP($A401,'[1]import success seats course'!$A:U,HLOOKUP('[1]Course Totals'!G$4,'[1]import success seats course'!$1:$2,2,FALSE),FALSE)/(VLOOKUP($A401,'[1]import graded seats course pivo'!$A:AE,HLOOKUP('[1]Course Totals'!G$4,'[1]import graded seats course pivo'!$1:$2,2,FALSE),FALSE))),"")</f>
        <v/>
      </c>
      <c r="H401" s="14" t="str">
        <f>IFERROR((VLOOKUP($A401,'[1]import success seats course'!$A:V,HLOOKUP('[1]Course Totals'!H$4,'[1]import success seats course'!$1:$2,2,FALSE),FALSE)/(VLOOKUP($A401,'[1]import graded seats course pivo'!$A:AF,HLOOKUP('[1]Course Totals'!H$4,'[1]import graded seats course pivo'!$1:$2,2,FALSE),FALSE))),"")</f>
        <v/>
      </c>
      <c r="I401" s="14" t="str">
        <f>IFERROR((VLOOKUP($A401,'[1]import success seats course'!$A:W,HLOOKUP('[1]Course Totals'!I$4,'[1]import success seats course'!$1:$2,2,FALSE),FALSE)/(VLOOKUP($A401,'[1]import graded seats course pivo'!$A:AG,HLOOKUP('[1]Course Totals'!I$4,'[1]import graded seats course pivo'!$1:$2,2,FALSE),FALSE))),"")</f>
        <v/>
      </c>
      <c r="J401" s="14">
        <f>IFERROR((VLOOKUP($A401,'[1]import success seats course'!$A:X,HLOOKUP('[1]Course Totals'!J$4,'[1]import success seats course'!$1:$2,2,FALSE),FALSE)/(VLOOKUP($A401,'[1]import graded seats course pivo'!$A:AH,HLOOKUP('[1]Course Totals'!J$4,'[1]import graded seats course pivo'!$1:$2,2,FALSE),FALSE))),"")</f>
        <v>0.81818181818181823</v>
      </c>
      <c r="K401" s="14" t="str">
        <f>IFERROR((VLOOKUP($A401,'[1]import success seats course'!$A:Y,HLOOKUP('[1]Course Totals'!K$4,'[1]import success seats course'!$1:$2,2,FALSE),FALSE)/(VLOOKUP($A401,'[1]import graded seats course pivo'!$A:AI,HLOOKUP('[1]Course Totals'!K$4,'[1]import graded seats course pivo'!$1:$2,2,FALSE),FALSE))),"")</f>
        <v/>
      </c>
      <c r="L401" s="14" t="str">
        <f>IFERROR((VLOOKUP($A401,'[1]import success seats course'!$A:Z,HLOOKUP('[1]Course Totals'!L$4,'[1]import success seats course'!$1:$2,2,FALSE),FALSE)/(VLOOKUP($A401,'[1]import graded seats course pivo'!$A:AJ,HLOOKUP('[1]Course Totals'!L$4,'[1]import graded seats course pivo'!$1:$2,2,FALSE),FALSE))),"")</f>
        <v/>
      </c>
      <c r="M401" s="14" t="str">
        <f>IFERROR((VLOOKUP($A401,'[1]import success seats course'!$A:AA,HLOOKUP('[1]Course Totals'!M$4,'[1]import success seats course'!$1:$2,2,FALSE),FALSE)/(VLOOKUP($A401,'[1]import graded seats course pivo'!$A:AK,HLOOKUP('[1]Course Totals'!M$4,'[1]import graded seats course pivo'!$1:$2,2,FALSE),FALSE))),"")</f>
        <v/>
      </c>
      <c r="N401" s="14" t="str">
        <f>IFERROR((VLOOKUP($A401,'[1]import success seats course'!$A:AB,HLOOKUP('[1]Course Totals'!N$4,'[1]import success seats course'!$1:$2,2,FALSE),FALSE)/(VLOOKUP($A401,'[1]import graded seats course pivo'!$A:AL,HLOOKUP('[1]Course Totals'!N$4,'[1]import graded seats course pivo'!$1:$2,2,FALSE),FALSE))),"")</f>
        <v/>
      </c>
      <c r="O401" s="14" t="str">
        <f>IFERROR((VLOOKUP($A401,'[1]import success seats course'!$A:AC,HLOOKUP('[1]Course Totals'!O$4,'[1]import success seats course'!$1:$2,2,FALSE),FALSE)/(VLOOKUP($A401,'[1]import graded seats course pivo'!$A:AM,HLOOKUP('[1]Course Totals'!O$4,'[1]import graded seats course pivo'!$1:$2,2,FALSE),FALSE))),"")</f>
        <v/>
      </c>
      <c r="P401" s="14" t="str">
        <f>IFERROR((VLOOKUP($A401,'[1]import success seats course'!$A:AD,HLOOKUP('[1]Course Totals'!P$4,'[1]import success seats course'!$1:$2,2,FALSE),FALSE)/(VLOOKUP($A401,'[1]import graded seats course pivo'!$A:AN,HLOOKUP('[1]Course Totals'!P$4,'[1]import graded seats course pivo'!$1:$2,2,FALSE),FALSE))),"")</f>
        <v/>
      </c>
      <c r="Q401" s="14" t="str">
        <f>IFERROR((VLOOKUP($A401,'[1]import success seats course'!$A:AE,HLOOKUP('[1]Course Totals'!Q$4,'[1]import success seats course'!$1:$2,2,FALSE),FALSE)/(VLOOKUP($A401,'[1]import graded seats course pivo'!$A:AO,HLOOKUP('[1]Course Totals'!Q$4,'[1]import graded seats course pivo'!$1:$2,2,FALSE),FALSE))),"")</f>
        <v/>
      </c>
      <c r="R401" s="14" t="str">
        <f>IFERROR((VLOOKUP($A401,'[1]import success seats course'!$A:AF,HLOOKUP('[1]Course Totals'!R$4,'[1]import success seats course'!$1:$2,2,FALSE),FALSE)/(VLOOKUP($A401,'[1]import graded seats course pivo'!$A:AP,HLOOKUP('[1]Course Totals'!R$4,'[1]import graded seats course pivo'!$1:$2,2,FALSE),FALSE))),"")</f>
        <v/>
      </c>
      <c r="S401" s="14">
        <f>IFERROR((VLOOKUP($A401,'[1]import success seats course'!$A:AG,HLOOKUP('[1]Course Totals'!S$4,'[1]import success seats course'!$1:$2,2,FALSE),FALSE)/(VLOOKUP($A401,'[1]import graded seats course pivo'!$A:AQ,HLOOKUP('[1]Course Totals'!S$4,'[1]import graded seats course pivo'!$1:$2,2,FALSE),FALSE))),"")</f>
        <v>0.61111111111111116</v>
      </c>
      <c r="Z401" s="7"/>
      <c r="AA401" s="7"/>
      <c r="AB401" s="7"/>
      <c r="AC401" s="7"/>
    </row>
    <row r="402" spans="1:29" ht="15.75" hidden="1" customHeight="1" x14ac:dyDescent="0.25">
      <c r="A402" s="12" t="s">
        <v>714</v>
      </c>
      <c r="B402" s="14" t="str">
        <f>IFERROR((VLOOKUP($A402,'[1]import success seats course'!$A:P,HLOOKUP('[1]Course Totals'!B$4,'[1]import success seats course'!$1:$2,2,FALSE),FALSE)/(VLOOKUP($A402,'[1]import graded seats course pivo'!$A:Z,HLOOKUP('[1]Course Totals'!B$4,'[1]import graded seats course pivo'!$1:$2,2,FALSE),FALSE))),"")</f>
        <v/>
      </c>
      <c r="C402" s="14" t="str">
        <f>IFERROR((VLOOKUP($A402,'[1]import success seats course'!$A:Q,HLOOKUP('[1]Course Totals'!C$4,'[1]import success seats course'!$1:$2,2,FALSE),FALSE)/(VLOOKUP($A402,'[1]import graded seats course pivo'!$A:AA,HLOOKUP('[1]Course Totals'!C$4,'[1]import graded seats course pivo'!$1:$2,2,FALSE),FALSE))),"")</f>
        <v/>
      </c>
      <c r="D402" s="14" t="str">
        <f>IFERROR((VLOOKUP($A402,'[1]import success seats course'!$A:R,HLOOKUP('[1]Course Totals'!D$4,'[1]import success seats course'!$1:$2,2,FALSE),FALSE)/(VLOOKUP($A402,'[1]import graded seats course pivo'!$A:AB,HLOOKUP('[1]Course Totals'!D$4,'[1]import graded seats course pivo'!$1:$2,2,FALSE),FALSE))),"")</f>
        <v/>
      </c>
      <c r="E402" s="14" t="str">
        <f>IFERROR((VLOOKUP($A402,'[1]import success seats course'!$A:S,HLOOKUP('[1]Course Totals'!E$4,'[1]import success seats course'!$1:$2,2,FALSE),FALSE)/(VLOOKUP($A402,'[1]import graded seats course pivo'!$A:AC,HLOOKUP('[1]Course Totals'!E$4,'[1]import graded seats course pivo'!$1:$2,2,FALSE),FALSE))),"")</f>
        <v/>
      </c>
      <c r="F402" s="14" t="str">
        <f>IFERROR((VLOOKUP($A402,'[1]import success seats course'!$A:T,HLOOKUP('[1]Course Totals'!F$4,'[1]import success seats course'!$1:$2,2,FALSE),FALSE)/(VLOOKUP($A402,'[1]import graded seats course pivo'!$A:AD,HLOOKUP('[1]Course Totals'!F$4,'[1]import graded seats course pivo'!$1:$2,2,FALSE),FALSE))),"")</f>
        <v/>
      </c>
      <c r="G402" s="14" t="str">
        <f>IFERROR((VLOOKUP($A402,'[1]import success seats course'!$A:U,HLOOKUP('[1]Course Totals'!G$4,'[1]import success seats course'!$1:$2,2,FALSE),FALSE)/(VLOOKUP($A402,'[1]import graded seats course pivo'!$A:AE,HLOOKUP('[1]Course Totals'!G$4,'[1]import graded seats course pivo'!$1:$2,2,FALSE),FALSE))),"")</f>
        <v/>
      </c>
      <c r="H402" s="14" t="str">
        <f>IFERROR((VLOOKUP($A402,'[1]import success seats course'!$A:V,HLOOKUP('[1]Course Totals'!H$4,'[1]import success seats course'!$1:$2,2,FALSE),FALSE)/(VLOOKUP($A402,'[1]import graded seats course pivo'!$A:AF,HLOOKUP('[1]Course Totals'!H$4,'[1]import graded seats course pivo'!$1:$2,2,FALSE),FALSE))),"")</f>
        <v/>
      </c>
      <c r="I402" s="14" t="str">
        <f>IFERROR((VLOOKUP($A402,'[1]import success seats course'!$A:W,HLOOKUP('[1]Course Totals'!I$4,'[1]import success seats course'!$1:$2,2,FALSE),FALSE)/(VLOOKUP($A402,'[1]import graded seats course pivo'!$A:AG,HLOOKUP('[1]Course Totals'!I$4,'[1]import graded seats course pivo'!$1:$2,2,FALSE),FALSE))),"")</f>
        <v/>
      </c>
      <c r="J402" s="14" t="str">
        <f>IFERROR((VLOOKUP($A402,'[1]import success seats course'!$A:X,HLOOKUP('[1]Course Totals'!J$4,'[1]import success seats course'!$1:$2,2,FALSE),FALSE)/(VLOOKUP($A402,'[1]import graded seats course pivo'!$A:AH,HLOOKUP('[1]Course Totals'!J$4,'[1]import graded seats course pivo'!$1:$2,2,FALSE),FALSE))),"")</f>
        <v/>
      </c>
      <c r="K402" s="14" t="str">
        <f>IFERROR((VLOOKUP($A402,'[1]import success seats course'!$A:Y,HLOOKUP('[1]Course Totals'!K$4,'[1]import success seats course'!$1:$2,2,FALSE),FALSE)/(VLOOKUP($A402,'[1]import graded seats course pivo'!$A:AI,HLOOKUP('[1]Course Totals'!K$4,'[1]import graded seats course pivo'!$1:$2,2,FALSE),FALSE))),"")</f>
        <v/>
      </c>
      <c r="L402" s="14" t="str">
        <f>IFERROR((VLOOKUP($A402,'[1]import success seats course'!$A:Z,HLOOKUP('[1]Course Totals'!L$4,'[1]import success seats course'!$1:$2,2,FALSE),FALSE)/(VLOOKUP($A402,'[1]import graded seats course pivo'!$A:AJ,HLOOKUP('[1]Course Totals'!L$4,'[1]import graded seats course pivo'!$1:$2,2,FALSE),FALSE))),"")</f>
        <v/>
      </c>
      <c r="M402" s="14" t="str">
        <f>IFERROR((VLOOKUP($A402,'[1]import success seats course'!$A:AA,HLOOKUP('[1]Course Totals'!M$4,'[1]import success seats course'!$1:$2,2,FALSE),FALSE)/(VLOOKUP($A402,'[1]import graded seats course pivo'!$A:AK,HLOOKUP('[1]Course Totals'!M$4,'[1]import graded seats course pivo'!$1:$2,2,FALSE),FALSE))),"")</f>
        <v/>
      </c>
      <c r="N402" s="14" t="str">
        <f>IFERROR((VLOOKUP($A402,'[1]import success seats course'!$A:AB,HLOOKUP('[1]Course Totals'!N$4,'[1]import success seats course'!$1:$2,2,FALSE),FALSE)/(VLOOKUP($A402,'[1]import graded seats course pivo'!$A:AL,HLOOKUP('[1]Course Totals'!N$4,'[1]import graded seats course pivo'!$1:$2,2,FALSE),FALSE))),"")</f>
        <v/>
      </c>
      <c r="O402" s="14" t="str">
        <f>IFERROR((VLOOKUP($A402,'[1]import success seats course'!$A:AC,HLOOKUP('[1]Course Totals'!O$4,'[1]import success seats course'!$1:$2,2,FALSE),FALSE)/(VLOOKUP($A402,'[1]import graded seats course pivo'!$A:AM,HLOOKUP('[1]Course Totals'!O$4,'[1]import graded seats course pivo'!$1:$2,2,FALSE),FALSE))),"")</f>
        <v/>
      </c>
      <c r="P402" s="14" t="str">
        <f>IFERROR((VLOOKUP($A402,'[1]import success seats course'!$A:AD,HLOOKUP('[1]Course Totals'!P$4,'[1]import success seats course'!$1:$2,2,FALSE),FALSE)/(VLOOKUP($A402,'[1]import graded seats course pivo'!$A:AN,HLOOKUP('[1]Course Totals'!P$4,'[1]import graded seats course pivo'!$1:$2,2,FALSE),FALSE))),"")</f>
        <v/>
      </c>
      <c r="Q402" s="14" t="str">
        <f>IFERROR((VLOOKUP($A402,'[1]import success seats course'!$A:AE,HLOOKUP('[1]Course Totals'!Q$4,'[1]import success seats course'!$1:$2,2,FALSE),FALSE)/(VLOOKUP($A402,'[1]import graded seats course pivo'!$A:AO,HLOOKUP('[1]Course Totals'!Q$4,'[1]import graded seats course pivo'!$1:$2,2,FALSE),FALSE))),"")</f>
        <v/>
      </c>
      <c r="R402" s="14" t="str">
        <f>IFERROR((VLOOKUP($A402,'[1]import success seats course'!$A:AF,HLOOKUP('[1]Course Totals'!R$4,'[1]import success seats course'!$1:$2,2,FALSE),FALSE)/(VLOOKUP($A402,'[1]import graded seats course pivo'!$A:AP,HLOOKUP('[1]Course Totals'!R$4,'[1]import graded seats course pivo'!$1:$2,2,FALSE),FALSE))),"")</f>
        <v/>
      </c>
      <c r="S402" s="14" t="str">
        <f>IFERROR((VLOOKUP($A402,'[1]import success seats course'!$A:AG,HLOOKUP('[1]Course Totals'!S$4,'[1]import success seats course'!$1:$2,2,FALSE),FALSE)/(VLOOKUP($A402,'[1]import graded seats course pivo'!$A:AQ,HLOOKUP('[1]Course Totals'!S$4,'[1]import graded seats course pivo'!$1:$2,2,FALSE),FALSE))),"")</f>
        <v/>
      </c>
      <c r="Z402" s="7"/>
      <c r="AA402" s="7"/>
      <c r="AB402" s="7"/>
      <c r="AC402" s="7"/>
    </row>
    <row r="403" spans="1:29" ht="15.75" hidden="1" customHeight="1" x14ac:dyDescent="0.25">
      <c r="A403" s="12" t="s">
        <v>198</v>
      </c>
      <c r="B403" s="14" t="str">
        <f>IFERROR((VLOOKUP($A403,'[1]import success seats course'!$A:P,HLOOKUP('[1]Course Totals'!B$4,'[1]import success seats course'!$1:$2,2,FALSE),FALSE)/(VLOOKUP($A403,'[1]import graded seats course pivo'!$A:Z,HLOOKUP('[1]Course Totals'!B$4,'[1]import graded seats course pivo'!$1:$2,2,FALSE),FALSE))),"")</f>
        <v/>
      </c>
      <c r="C403" s="14" t="str">
        <f>IFERROR((VLOOKUP($A403,'[1]import success seats course'!$A:Q,HLOOKUP('[1]Course Totals'!C$4,'[1]import success seats course'!$1:$2,2,FALSE),FALSE)/(VLOOKUP($A403,'[1]import graded seats course pivo'!$A:AA,HLOOKUP('[1]Course Totals'!C$4,'[1]import graded seats course pivo'!$1:$2,2,FALSE),FALSE))),"")</f>
        <v/>
      </c>
      <c r="D403" s="14" t="str">
        <f>IFERROR((VLOOKUP($A403,'[1]import success seats course'!$A:R,HLOOKUP('[1]Course Totals'!D$4,'[1]import success seats course'!$1:$2,2,FALSE),FALSE)/(VLOOKUP($A403,'[1]import graded seats course pivo'!$A:AB,HLOOKUP('[1]Course Totals'!D$4,'[1]import graded seats course pivo'!$1:$2,2,FALSE),FALSE))),"")</f>
        <v/>
      </c>
      <c r="E403" s="14" t="str">
        <f>IFERROR((VLOOKUP($A403,'[1]import success seats course'!$A:S,HLOOKUP('[1]Course Totals'!E$4,'[1]import success seats course'!$1:$2,2,FALSE),FALSE)/(VLOOKUP($A403,'[1]import graded seats course pivo'!$A:AC,HLOOKUP('[1]Course Totals'!E$4,'[1]import graded seats course pivo'!$1:$2,2,FALSE),FALSE))),"")</f>
        <v/>
      </c>
      <c r="F403" s="14" t="str">
        <f>IFERROR((VLOOKUP($A403,'[1]import success seats course'!$A:T,HLOOKUP('[1]Course Totals'!F$4,'[1]import success seats course'!$1:$2,2,FALSE),FALSE)/(VLOOKUP($A403,'[1]import graded seats course pivo'!$A:AD,HLOOKUP('[1]Course Totals'!F$4,'[1]import graded seats course pivo'!$1:$2,2,FALSE),FALSE))),"")</f>
        <v/>
      </c>
      <c r="G403" s="14" t="str">
        <f>IFERROR((VLOOKUP($A403,'[1]import success seats course'!$A:U,HLOOKUP('[1]Course Totals'!G$4,'[1]import success seats course'!$1:$2,2,FALSE),FALSE)/(VLOOKUP($A403,'[1]import graded seats course pivo'!$A:AE,HLOOKUP('[1]Course Totals'!G$4,'[1]import graded seats course pivo'!$1:$2,2,FALSE),FALSE))),"")</f>
        <v/>
      </c>
      <c r="H403" s="14" t="str">
        <f>IFERROR((VLOOKUP($A403,'[1]import success seats course'!$A:V,HLOOKUP('[1]Course Totals'!H$4,'[1]import success seats course'!$1:$2,2,FALSE),FALSE)/(VLOOKUP($A403,'[1]import graded seats course pivo'!$A:AF,HLOOKUP('[1]Course Totals'!H$4,'[1]import graded seats course pivo'!$1:$2,2,FALSE),FALSE))),"")</f>
        <v/>
      </c>
      <c r="I403" s="14" t="str">
        <f>IFERROR((VLOOKUP($A403,'[1]import success seats course'!$A:W,HLOOKUP('[1]Course Totals'!I$4,'[1]import success seats course'!$1:$2,2,FALSE),FALSE)/(VLOOKUP($A403,'[1]import graded seats course pivo'!$A:AG,HLOOKUP('[1]Course Totals'!I$4,'[1]import graded seats course pivo'!$1:$2,2,FALSE),FALSE))),"")</f>
        <v/>
      </c>
      <c r="J403" s="14" t="str">
        <f>IFERROR((VLOOKUP($A403,'[1]import success seats course'!$A:X,HLOOKUP('[1]Course Totals'!J$4,'[1]import success seats course'!$1:$2,2,FALSE),FALSE)/(VLOOKUP($A403,'[1]import graded seats course pivo'!$A:AH,HLOOKUP('[1]Course Totals'!J$4,'[1]import graded seats course pivo'!$1:$2,2,FALSE),FALSE))),"")</f>
        <v/>
      </c>
      <c r="K403" s="14" t="str">
        <f>IFERROR((VLOOKUP($A403,'[1]import success seats course'!$A:Y,HLOOKUP('[1]Course Totals'!K$4,'[1]import success seats course'!$1:$2,2,FALSE),FALSE)/(VLOOKUP($A403,'[1]import graded seats course pivo'!$A:AI,HLOOKUP('[1]Course Totals'!K$4,'[1]import graded seats course pivo'!$1:$2,2,FALSE),FALSE))),"")</f>
        <v/>
      </c>
      <c r="L403" s="14" t="str">
        <f>IFERROR((VLOOKUP($A403,'[1]import success seats course'!$A:Z,HLOOKUP('[1]Course Totals'!L$4,'[1]import success seats course'!$1:$2,2,FALSE),FALSE)/(VLOOKUP($A403,'[1]import graded seats course pivo'!$A:AJ,HLOOKUP('[1]Course Totals'!L$4,'[1]import graded seats course pivo'!$1:$2,2,FALSE),FALSE))),"")</f>
        <v/>
      </c>
      <c r="M403" s="14" t="str">
        <f>IFERROR((VLOOKUP($A403,'[1]import success seats course'!$A:AA,HLOOKUP('[1]Course Totals'!M$4,'[1]import success seats course'!$1:$2,2,FALSE),FALSE)/(VLOOKUP($A403,'[1]import graded seats course pivo'!$A:AK,HLOOKUP('[1]Course Totals'!M$4,'[1]import graded seats course pivo'!$1:$2,2,FALSE),FALSE))),"")</f>
        <v/>
      </c>
      <c r="N403" s="14" t="str">
        <f>IFERROR((VLOOKUP($A403,'[1]import success seats course'!$A:AB,HLOOKUP('[1]Course Totals'!N$4,'[1]import success seats course'!$1:$2,2,FALSE),FALSE)/(VLOOKUP($A403,'[1]import graded seats course pivo'!$A:AL,HLOOKUP('[1]Course Totals'!N$4,'[1]import graded seats course pivo'!$1:$2,2,FALSE),FALSE))),"")</f>
        <v/>
      </c>
      <c r="O403" s="14" t="str">
        <f>IFERROR((VLOOKUP($A403,'[1]import success seats course'!$A:AC,HLOOKUP('[1]Course Totals'!O$4,'[1]import success seats course'!$1:$2,2,FALSE),FALSE)/(VLOOKUP($A403,'[1]import graded seats course pivo'!$A:AM,HLOOKUP('[1]Course Totals'!O$4,'[1]import graded seats course pivo'!$1:$2,2,FALSE),FALSE))),"")</f>
        <v/>
      </c>
      <c r="P403" s="14" t="str">
        <f>IFERROR((VLOOKUP($A403,'[1]import success seats course'!$A:AD,HLOOKUP('[1]Course Totals'!P$4,'[1]import success seats course'!$1:$2,2,FALSE),FALSE)/(VLOOKUP($A403,'[1]import graded seats course pivo'!$A:AN,HLOOKUP('[1]Course Totals'!P$4,'[1]import graded seats course pivo'!$1:$2,2,FALSE),FALSE))),"")</f>
        <v/>
      </c>
      <c r="Q403" s="14" t="str">
        <f>IFERROR((VLOOKUP($A403,'[1]import success seats course'!$A:AE,HLOOKUP('[1]Course Totals'!Q$4,'[1]import success seats course'!$1:$2,2,FALSE),FALSE)/(VLOOKUP($A403,'[1]import graded seats course pivo'!$A:AO,HLOOKUP('[1]Course Totals'!Q$4,'[1]import graded seats course pivo'!$1:$2,2,FALSE),FALSE))),"")</f>
        <v/>
      </c>
      <c r="R403" s="14" t="str">
        <f>IFERROR((VLOOKUP($A403,'[1]import success seats course'!$A:AF,HLOOKUP('[1]Course Totals'!R$4,'[1]import success seats course'!$1:$2,2,FALSE),FALSE)/(VLOOKUP($A403,'[1]import graded seats course pivo'!$A:AP,HLOOKUP('[1]Course Totals'!R$4,'[1]import graded seats course pivo'!$1:$2,2,FALSE),FALSE))),"")</f>
        <v/>
      </c>
      <c r="S403" s="14" t="str">
        <f>IFERROR((VLOOKUP($A403,'[1]import success seats course'!$A:AG,HLOOKUP('[1]Course Totals'!S$4,'[1]import success seats course'!$1:$2,2,FALSE),FALSE)/(VLOOKUP($A403,'[1]import graded seats course pivo'!$A:AQ,HLOOKUP('[1]Course Totals'!S$4,'[1]import graded seats course pivo'!$1:$2,2,FALSE),FALSE))),"")</f>
        <v/>
      </c>
      <c r="Z403" s="7"/>
      <c r="AA403" s="7"/>
      <c r="AB403" s="7"/>
      <c r="AC403" s="7"/>
    </row>
    <row r="404" spans="1:29" ht="15.75" hidden="1" customHeight="1" x14ac:dyDescent="0.25">
      <c r="A404" s="12" t="s">
        <v>199</v>
      </c>
      <c r="B404" s="14" t="str">
        <f>IFERROR((VLOOKUP($A404,'[1]import success seats course'!$A:P,HLOOKUP('[1]Course Totals'!B$4,'[1]import success seats course'!$1:$2,2,FALSE),FALSE)/(VLOOKUP($A404,'[1]import graded seats course pivo'!$A:Z,HLOOKUP('[1]Course Totals'!B$4,'[1]import graded seats course pivo'!$1:$2,2,FALSE),FALSE))),"")</f>
        <v/>
      </c>
      <c r="C404" s="14" t="str">
        <f>IFERROR((VLOOKUP($A404,'[1]import success seats course'!$A:Q,HLOOKUP('[1]Course Totals'!C$4,'[1]import success seats course'!$1:$2,2,FALSE),FALSE)/(VLOOKUP($A404,'[1]import graded seats course pivo'!$A:AA,HLOOKUP('[1]Course Totals'!C$4,'[1]import graded seats course pivo'!$1:$2,2,FALSE),FALSE))),"")</f>
        <v/>
      </c>
      <c r="D404" s="14" t="str">
        <f>IFERROR((VLOOKUP($A404,'[1]import success seats course'!$A:R,HLOOKUP('[1]Course Totals'!D$4,'[1]import success seats course'!$1:$2,2,FALSE),FALSE)/(VLOOKUP($A404,'[1]import graded seats course pivo'!$A:AB,HLOOKUP('[1]Course Totals'!D$4,'[1]import graded seats course pivo'!$1:$2,2,FALSE),FALSE))),"")</f>
        <v/>
      </c>
      <c r="E404" s="14" t="str">
        <f>IFERROR((VLOOKUP($A404,'[1]import success seats course'!$A:S,HLOOKUP('[1]Course Totals'!E$4,'[1]import success seats course'!$1:$2,2,FALSE),FALSE)/(VLOOKUP($A404,'[1]import graded seats course pivo'!$A:AC,HLOOKUP('[1]Course Totals'!E$4,'[1]import graded seats course pivo'!$1:$2,2,FALSE),FALSE))),"")</f>
        <v/>
      </c>
      <c r="F404" s="14" t="str">
        <f>IFERROR((VLOOKUP($A404,'[1]import success seats course'!$A:T,HLOOKUP('[1]Course Totals'!F$4,'[1]import success seats course'!$1:$2,2,FALSE),FALSE)/(VLOOKUP($A404,'[1]import graded seats course pivo'!$A:AD,HLOOKUP('[1]Course Totals'!F$4,'[1]import graded seats course pivo'!$1:$2,2,FALSE),FALSE))),"")</f>
        <v/>
      </c>
      <c r="G404" s="14" t="str">
        <f>IFERROR((VLOOKUP($A404,'[1]import success seats course'!$A:U,HLOOKUP('[1]Course Totals'!G$4,'[1]import success seats course'!$1:$2,2,FALSE),FALSE)/(VLOOKUP($A404,'[1]import graded seats course pivo'!$A:AE,HLOOKUP('[1]Course Totals'!G$4,'[1]import graded seats course pivo'!$1:$2,2,FALSE),FALSE))),"")</f>
        <v/>
      </c>
      <c r="H404" s="14" t="str">
        <f>IFERROR((VLOOKUP($A404,'[1]import success seats course'!$A:V,HLOOKUP('[1]Course Totals'!H$4,'[1]import success seats course'!$1:$2,2,FALSE),FALSE)/(VLOOKUP($A404,'[1]import graded seats course pivo'!$A:AF,HLOOKUP('[1]Course Totals'!H$4,'[1]import graded seats course pivo'!$1:$2,2,FALSE),FALSE))),"")</f>
        <v/>
      </c>
      <c r="I404" s="14" t="str">
        <f>IFERROR((VLOOKUP($A404,'[1]import success seats course'!$A:W,HLOOKUP('[1]Course Totals'!I$4,'[1]import success seats course'!$1:$2,2,FALSE),FALSE)/(VLOOKUP($A404,'[1]import graded seats course pivo'!$A:AG,HLOOKUP('[1]Course Totals'!I$4,'[1]import graded seats course pivo'!$1:$2,2,FALSE),FALSE))),"")</f>
        <v/>
      </c>
      <c r="J404" s="14" t="str">
        <f>IFERROR((VLOOKUP($A404,'[1]import success seats course'!$A:X,HLOOKUP('[1]Course Totals'!J$4,'[1]import success seats course'!$1:$2,2,FALSE),FALSE)/(VLOOKUP($A404,'[1]import graded seats course pivo'!$A:AH,HLOOKUP('[1]Course Totals'!J$4,'[1]import graded seats course pivo'!$1:$2,2,FALSE),FALSE))),"")</f>
        <v/>
      </c>
      <c r="K404" s="14" t="str">
        <f>IFERROR((VLOOKUP($A404,'[1]import success seats course'!$A:Y,HLOOKUP('[1]Course Totals'!K$4,'[1]import success seats course'!$1:$2,2,FALSE),FALSE)/(VLOOKUP($A404,'[1]import graded seats course pivo'!$A:AI,HLOOKUP('[1]Course Totals'!K$4,'[1]import graded seats course pivo'!$1:$2,2,FALSE),FALSE))),"")</f>
        <v/>
      </c>
      <c r="L404" s="14" t="str">
        <f>IFERROR((VLOOKUP($A404,'[1]import success seats course'!$A:Z,HLOOKUP('[1]Course Totals'!L$4,'[1]import success seats course'!$1:$2,2,FALSE),FALSE)/(VLOOKUP($A404,'[1]import graded seats course pivo'!$A:AJ,HLOOKUP('[1]Course Totals'!L$4,'[1]import graded seats course pivo'!$1:$2,2,FALSE),FALSE))),"")</f>
        <v/>
      </c>
      <c r="M404" s="14" t="str">
        <f>IFERROR((VLOOKUP($A404,'[1]import success seats course'!$A:AA,HLOOKUP('[1]Course Totals'!M$4,'[1]import success seats course'!$1:$2,2,FALSE),FALSE)/(VLOOKUP($A404,'[1]import graded seats course pivo'!$A:AK,HLOOKUP('[1]Course Totals'!M$4,'[1]import graded seats course pivo'!$1:$2,2,FALSE),FALSE))),"")</f>
        <v/>
      </c>
      <c r="N404" s="14" t="str">
        <f>IFERROR((VLOOKUP($A404,'[1]import success seats course'!$A:AB,HLOOKUP('[1]Course Totals'!N$4,'[1]import success seats course'!$1:$2,2,FALSE),FALSE)/(VLOOKUP($A404,'[1]import graded seats course pivo'!$A:AL,HLOOKUP('[1]Course Totals'!N$4,'[1]import graded seats course pivo'!$1:$2,2,FALSE),FALSE))),"")</f>
        <v/>
      </c>
      <c r="O404" s="14" t="str">
        <f>IFERROR((VLOOKUP($A404,'[1]import success seats course'!$A:AC,HLOOKUP('[1]Course Totals'!O$4,'[1]import success seats course'!$1:$2,2,FALSE),FALSE)/(VLOOKUP($A404,'[1]import graded seats course pivo'!$A:AM,HLOOKUP('[1]Course Totals'!O$4,'[1]import graded seats course pivo'!$1:$2,2,FALSE),FALSE))),"")</f>
        <v/>
      </c>
      <c r="P404" s="14" t="str">
        <f>IFERROR((VLOOKUP($A404,'[1]import success seats course'!$A:AD,HLOOKUP('[1]Course Totals'!P$4,'[1]import success seats course'!$1:$2,2,FALSE),FALSE)/(VLOOKUP($A404,'[1]import graded seats course pivo'!$A:AN,HLOOKUP('[1]Course Totals'!P$4,'[1]import graded seats course pivo'!$1:$2,2,FALSE),FALSE))),"")</f>
        <v/>
      </c>
      <c r="Q404" s="14" t="str">
        <f>IFERROR((VLOOKUP($A404,'[1]import success seats course'!$A:AE,HLOOKUP('[1]Course Totals'!Q$4,'[1]import success seats course'!$1:$2,2,FALSE),FALSE)/(VLOOKUP($A404,'[1]import graded seats course pivo'!$A:AO,HLOOKUP('[1]Course Totals'!Q$4,'[1]import graded seats course pivo'!$1:$2,2,FALSE),FALSE))),"")</f>
        <v/>
      </c>
      <c r="R404" s="14" t="str">
        <f>IFERROR((VLOOKUP($A404,'[1]import success seats course'!$A:AF,HLOOKUP('[1]Course Totals'!R$4,'[1]import success seats course'!$1:$2,2,FALSE),FALSE)/(VLOOKUP($A404,'[1]import graded seats course pivo'!$A:AP,HLOOKUP('[1]Course Totals'!R$4,'[1]import graded seats course pivo'!$1:$2,2,FALSE),FALSE))),"")</f>
        <v/>
      </c>
      <c r="S404" s="14" t="str">
        <f>IFERROR((VLOOKUP($A404,'[1]import success seats course'!$A:AG,HLOOKUP('[1]Course Totals'!S$4,'[1]import success seats course'!$1:$2,2,FALSE),FALSE)/(VLOOKUP($A404,'[1]import graded seats course pivo'!$A:AQ,HLOOKUP('[1]Course Totals'!S$4,'[1]import graded seats course pivo'!$1:$2,2,FALSE),FALSE))),"")</f>
        <v/>
      </c>
      <c r="Z404" s="7"/>
      <c r="AA404" s="7"/>
      <c r="AB404" s="7"/>
      <c r="AC404" s="7"/>
    </row>
    <row r="405" spans="1:29" ht="15.75" hidden="1" customHeight="1" x14ac:dyDescent="0.25">
      <c r="A405" s="12" t="s">
        <v>200</v>
      </c>
      <c r="B405" s="14" t="str">
        <f>IFERROR((VLOOKUP($A405,'[1]import success seats course'!$A:P,HLOOKUP('[1]Course Totals'!B$4,'[1]import success seats course'!$1:$2,2,FALSE),FALSE)/(VLOOKUP($A405,'[1]import graded seats course pivo'!$A:Z,HLOOKUP('[1]Course Totals'!B$4,'[1]import graded seats course pivo'!$1:$2,2,FALSE),FALSE))),"")</f>
        <v/>
      </c>
      <c r="C405" s="14" t="str">
        <f>IFERROR((VLOOKUP($A405,'[1]import success seats course'!$A:Q,HLOOKUP('[1]Course Totals'!C$4,'[1]import success seats course'!$1:$2,2,FALSE),FALSE)/(VLOOKUP($A405,'[1]import graded seats course pivo'!$A:AA,HLOOKUP('[1]Course Totals'!C$4,'[1]import graded seats course pivo'!$1:$2,2,FALSE),FALSE))),"")</f>
        <v/>
      </c>
      <c r="D405" s="14" t="str">
        <f>IFERROR((VLOOKUP($A405,'[1]import success seats course'!$A:R,HLOOKUP('[1]Course Totals'!D$4,'[1]import success seats course'!$1:$2,2,FALSE),FALSE)/(VLOOKUP($A405,'[1]import graded seats course pivo'!$A:AB,HLOOKUP('[1]Course Totals'!D$4,'[1]import graded seats course pivo'!$1:$2,2,FALSE),FALSE))),"")</f>
        <v/>
      </c>
      <c r="E405" s="14" t="str">
        <f>IFERROR((VLOOKUP($A405,'[1]import success seats course'!$A:S,HLOOKUP('[1]Course Totals'!E$4,'[1]import success seats course'!$1:$2,2,FALSE),FALSE)/(VLOOKUP($A405,'[1]import graded seats course pivo'!$A:AC,HLOOKUP('[1]Course Totals'!E$4,'[1]import graded seats course pivo'!$1:$2,2,FALSE),FALSE))),"")</f>
        <v/>
      </c>
      <c r="F405" s="14" t="str">
        <f>IFERROR((VLOOKUP($A405,'[1]import success seats course'!$A:T,HLOOKUP('[1]Course Totals'!F$4,'[1]import success seats course'!$1:$2,2,FALSE),FALSE)/(VLOOKUP($A405,'[1]import graded seats course pivo'!$A:AD,HLOOKUP('[1]Course Totals'!F$4,'[1]import graded seats course pivo'!$1:$2,2,FALSE),FALSE))),"")</f>
        <v/>
      </c>
      <c r="G405" s="14" t="str">
        <f>IFERROR((VLOOKUP($A405,'[1]import success seats course'!$A:U,HLOOKUP('[1]Course Totals'!G$4,'[1]import success seats course'!$1:$2,2,FALSE),FALSE)/(VLOOKUP($A405,'[1]import graded seats course pivo'!$A:AE,HLOOKUP('[1]Course Totals'!G$4,'[1]import graded seats course pivo'!$1:$2,2,FALSE),FALSE))),"")</f>
        <v/>
      </c>
      <c r="H405" s="14" t="str">
        <f>IFERROR((VLOOKUP($A405,'[1]import success seats course'!$A:V,HLOOKUP('[1]Course Totals'!H$4,'[1]import success seats course'!$1:$2,2,FALSE),FALSE)/(VLOOKUP($A405,'[1]import graded seats course pivo'!$A:AF,HLOOKUP('[1]Course Totals'!H$4,'[1]import graded seats course pivo'!$1:$2,2,FALSE),FALSE))),"")</f>
        <v/>
      </c>
      <c r="I405" s="14" t="str">
        <f>IFERROR((VLOOKUP($A405,'[1]import success seats course'!$A:W,HLOOKUP('[1]Course Totals'!I$4,'[1]import success seats course'!$1:$2,2,FALSE),FALSE)/(VLOOKUP($A405,'[1]import graded seats course pivo'!$A:AG,HLOOKUP('[1]Course Totals'!I$4,'[1]import graded seats course pivo'!$1:$2,2,FALSE),FALSE))),"")</f>
        <v/>
      </c>
      <c r="J405" s="14" t="str">
        <f>IFERROR((VLOOKUP($A405,'[1]import success seats course'!$A:X,HLOOKUP('[1]Course Totals'!J$4,'[1]import success seats course'!$1:$2,2,FALSE),FALSE)/(VLOOKUP($A405,'[1]import graded seats course pivo'!$A:AH,HLOOKUP('[1]Course Totals'!J$4,'[1]import graded seats course pivo'!$1:$2,2,FALSE),FALSE))),"")</f>
        <v/>
      </c>
      <c r="K405" s="14" t="str">
        <f>IFERROR((VLOOKUP($A405,'[1]import success seats course'!$A:Y,HLOOKUP('[1]Course Totals'!K$4,'[1]import success seats course'!$1:$2,2,FALSE),FALSE)/(VLOOKUP($A405,'[1]import graded seats course pivo'!$A:AI,HLOOKUP('[1]Course Totals'!K$4,'[1]import graded seats course pivo'!$1:$2,2,FALSE),FALSE))),"")</f>
        <v/>
      </c>
      <c r="L405" s="14" t="str">
        <f>IFERROR((VLOOKUP($A405,'[1]import success seats course'!$A:Z,HLOOKUP('[1]Course Totals'!L$4,'[1]import success seats course'!$1:$2,2,FALSE),FALSE)/(VLOOKUP($A405,'[1]import graded seats course pivo'!$A:AJ,HLOOKUP('[1]Course Totals'!L$4,'[1]import graded seats course pivo'!$1:$2,2,FALSE),FALSE))),"")</f>
        <v/>
      </c>
      <c r="M405" s="14" t="str">
        <f>IFERROR((VLOOKUP($A405,'[1]import success seats course'!$A:AA,HLOOKUP('[1]Course Totals'!M$4,'[1]import success seats course'!$1:$2,2,FALSE),FALSE)/(VLOOKUP($A405,'[1]import graded seats course pivo'!$A:AK,HLOOKUP('[1]Course Totals'!M$4,'[1]import graded seats course pivo'!$1:$2,2,FALSE),FALSE))),"")</f>
        <v/>
      </c>
      <c r="N405" s="14" t="str">
        <f>IFERROR((VLOOKUP($A405,'[1]import success seats course'!$A:AB,HLOOKUP('[1]Course Totals'!N$4,'[1]import success seats course'!$1:$2,2,FALSE),FALSE)/(VLOOKUP($A405,'[1]import graded seats course pivo'!$A:AL,HLOOKUP('[1]Course Totals'!N$4,'[1]import graded seats course pivo'!$1:$2,2,FALSE),FALSE))),"")</f>
        <v/>
      </c>
      <c r="O405" s="14" t="str">
        <f>IFERROR((VLOOKUP($A405,'[1]import success seats course'!$A:AC,HLOOKUP('[1]Course Totals'!O$4,'[1]import success seats course'!$1:$2,2,FALSE),FALSE)/(VLOOKUP($A405,'[1]import graded seats course pivo'!$A:AM,HLOOKUP('[1]Course Totals'!O$4,'[1]import graded seats course pivo'!$1:$2,2,FALSE),FALSE))),"")</f>
        <v/>
      </c>
      <c r="P405" s="14" t="str">
        <f>IFERROR((VLOOKUP($A405,'[1]import success seats course'!$A:AD,HLOOKUP('[1]Course Totals'!P$4,'[1]import success seats course'!$1:$2,2,FALSE),FALSE)/(VLOOKUP($A405,'[1]import graded seats course pivo'!$A:AN,HLOOKUP('[1]Course Totals'!P$4,'[1]import graded seats course pivo'!$1:$2,2,FALSE),FALSE))),"")</f>
        <v/>
      </c>
      <c r="Q405" s="14" t="str">
        <f>IFERROR((VLOOKUP($A405,'[1]import success seats course'!$A:AE,HLOOKUP('[1]Course Totals'!Q$4,'[1]import success seats course'!$1:$2,2,FALSE),FALSE)/(VLOOKUP($A405,'[1]import graded seats course pivo'!$A:AO,HLOOKUP('[1]Course Totals'!Q$4,'[1]import graded seats course pivo'!$1:$2,2,FALSE),FALSE))),"")</f>
        <v/>
      </c>
      <c r="R405" s="14" t="str">
        <f>IFERROR((VLOOKUP($A405,'[1]import success seats course'!$A:AF,HLOOKUP('[1]Course Totals'!R$4,'[1]import success seats course'!$1:$2,2,FALSE),FALSE)/(VLOOKUP($A405,'[1]import graded seats course pivo'!$A:AP,HLOOKUP('[1]Course Totals'!R$4,'[1]import graded seats course pivo'!$1:$2,2,FALSE),FALSE))),"")</f>
        <v/>
      </c>
      <c r="S405" s="14" t="str">
        <f>IFERROR((VLOOKUP($A405,'[1]import success seats course'!$A:AG,HLOOKUP('[1]Course Totals'!S$4,'[1]import success seats course'!$1:$2,2,FALSE),FALSE)/(VLOOKUP($A405,'[1]import graded seats course pivo'!$A:AQ,HLOOKUP('[1]Course Totals'!S$4,'[1]import graded seats course pivo'!$1:$2,2,FALSE),FALSE))),"")</f>
        <v/>
      </c>
      <c r="Z405" s="7"/>
      <c r="AA405" s="7"/>
      <c r="AB405" s="7"/>
      <c r="AC405" s="7"/>
    </row>
    <row r="406" spans="1:29" ht="15.75" hidden="1" customHeight="1" x14ac:dyDescent="0.25">
      <c r="A406" s="12" t="s">
        <v>201</v>
      </c>
      <c r="B406" s="14" t="str">
        <f>IFERROR((VLOOKUP($A406,'[1]import success seats course'!$A:P,HLOOKUP('[1]Course Totals'!B$4,'[1]import success seats course'!$1:$2,2,FALSE),FALSE)/(VLOOKUP($A406,'[1]import graded seats course pivo'!$A:Z,HLOOKUP('[1]Course Totals'!B$4,'[1]import graded seats course pivo'!$1:$2,2,FALSE),FALSE))),"")</f>
        <v/>
      </c>
      <c r="C406" s="14" t="str">
        <f>IFERROR((VLOOKUP($A406,'[1]import success seats course'!$A:Q,HLOOKUP('[1]Course Totals'!C$4,'[1]import success seats course'!$1:$2,2,FALSE),FALSE)/(VLOOKUP($A406,'[1]import graded seats course pivo'!$A:AA,HLOOKUP('[1]Course Totals'!C$4,'[1]import graded seats course pivo'!$1:$2,2,FALSE),FALSE))),"")</f>
        <v/>
      </c>
      <c r="D406" s="14" t="str">
        <f>IFERROR((VLOOKUP($A406,'[1]import success seats course'!$A:R,HLOOKUP('[1]Course Totals'!D$4,'[1]import success seats course'!$1:$2,2,FALSE),FALSE)/(VLOOKUP($A406,'[1]import graded seats course pivo'!$A:AB,HLOOKUP('[1]Course Totals'!D$4,'[1]import graded seats course pivo'!$1:$2,2,FALSE),FALSE))),"")</f>
        <v/>
      </c>
      <c r="E406" s="14" t="str">
        <f>IFERROR((VLOOKUP($A406,'[1]import success seats course'!$A:S,HLOOKUP('[1]Course Totals'!E$4,'[1]import success seats course'!$1:$2,2,FALSE),FALSE)/(VLOOKUP($A406,'[1]import graded seats course pivo'!$A:AC,HLOOKUP('[1]Course Totals'!E$4,'[1]import graded seats course pivo'!$1:$2,2,FALSE),FALSE))),"")</f>
        <v/>
      </c>
      <c r="F406" s="14" t="str">
        <f>IFERROR((VLOOKUP($A406,'[1]import success seats course'!$A:T,HLOOKUP('[1]Course Totals'!F$4,'[1]import success seats course'!$1:$2,2,FALSE),FALSE)/(VLOOKUP($A406,'[1]import graded seats course pivo'!$A:AD,HLOOKUP('[1]Course Totals'!F$4,'[1]import graded seats course pivo'!$1:$2,2,FALSE),FALSE))),"")</f>
        <v/>
      </c>
      <c r="G406" s="14" t="str">
        <f>IFERROR((VLOOKUP($A406,'[1]import success seats course'!$A:U,HLOOKUP('[1]Course Totals'!G$4,'[1]import success seats course'!$1:$2,2,FALSE),FALSE)/(VLOOKUP($A406,'[1]import graded seats course pivo'!$A:AE,HLOOKUP('[1]Course Totals'!G$4,'[1]import graded seats course pivo'!$1:$2,2,FALSE),FALSE))),"")</f>
        <v/>
      </c>
      <c r="H406" s="14" t="str">
        <f>IFERROR((VLOOKUP($A406,'[1]import success seats course'!$A:V,HLOOKUP('[1]Course Totals'!H$4,'[1]import success seats course'!$1:$2,2,FALSE),FALSE)/(VLOOKUP($A406,'[1]import graded seats course pivo'!$A:AF,HLOOKUP('[1]Course Totals'!H$4,'[1]import graded seats course pivo'!$1:$2,2,FALSE),FALSE))),"")</f>
        <v/>
      </c>
      <c r="I406" s="14" t="str">
        <f>IFERROR((VLOOKUP($A406,'[1]import success seats course'!$A:W,HLOOKUP('[1]Course Totals'!I$4,'[1]import success seats course'!$1:$2,2,FALSE),FALSE)/(VLOOKUP($A406,'[1]import graded seats course pivo'!$A:AG,HLOOKUP('[1]Course Totals'!I$4,'[1]import graded seats course pivo'!$1:$2,2,FALSE),FALSE))),"")</f>
        <v/>
      </c>
      <c r="J406" s="14" t="str">
        <f>IFERROR((VLOOKUP($A406,'[1]import success seats course'!$A:X,HLOOKUP('[1]Course Totals'!J$4,'[1]import success seats course'!$1:$2,2,FALSE),FALSE)/(VLOOKUP($A406,'[1]import graded seats course pivo'!$A:AH,HLOOKUP('[1]Course Totals'!J$4,'[1]import graded seats course pivo'!$1:$2,2,FALSE),FALSE))),"")</f>
        <v/>
      </c>
      <c r="K406" s="14" t="str">
        <f>IFERROR((VLOOKUP($A406,'[1]import success seats course'!$A:Y,HLOOKUP('[1]Course Totals'!K$4,'[1]import success seats course'!$1:$2,2,FALSE),FALSE)/(VLOOKUP($A406,'[1]import graded seats course pivo'!$A:AI,HLOOKUP('[1]Course Totals'!K$4,'[1]import graded seats course pivo'!$1:$2,2,FALSE),FALSE))),"")</f>
        <v/>
      </c>
      <c r="L406" s="14" t="str">
        <f>IFERROR((VLOOKUP($A406,'[1]import success seats course'!$A:Z,HLOOKUP('[1]Course Totals'!L$4,'[1]import success seats course'!$1:$2,2,FALSE),FALSE)/(VLOOKUP($A406,'[1]import graded seats course pivo'!$A:AJ,HLOOKUP('[1]Course Totals'!L$4,'[1]import graded seats course pivo'!$1:$2,2,FALSE),FALSE))),"")</f>
        <v/>
      </c>
      <c r="M406" s="14" t="str">
        <f>IFERROR((VLOOKUP($A406,'[1]import success seats course'!$A:AA,HLOOKUP('[1]Course Totals'!M$4,'[1]import success seats course'!$1:$2,2,FALSE),FALSE)/(VLOOKUP($A406,'[1]import graded seats course pivo'!$A:AK,HLOOKUP('[1]Course Totals'!M$4,'[1]import graded seats course pivo'!$1:$2,2,FALSE),FALSE))),"")</f>
        <v/>
      </c>
      <c r="N406" s="14" t="str">
        <f>IFERROR((VLOOKUP($A406,'[1]import success seats course'!$A:AB,HLOOKUP('[1]Course Totals'!N$4,'[1]import success seats course'!$1:$2,2,FALSE),FALSE)/(VLOOKUP($A406,'[1]import graded seats course pivo'!$A:AL,HLOOKUP('[1]Course Totals'!N$4,'[1]import graded seats course pivo'!$1:$2,2,FALSE),FALSE))),"")</f>
        <v/>
      </c>
      <c r="O406" s="14" t="str">
        <f>IFERROR((VLOOKUP($A406,'[1]import success seats course'!$A:AC,HLOOKUP('[1]Course Totals'!O$4,'[1]import success seats course'!$1:$2,2,FALSE),FALSE)/(VLOOKUP($A406,'[1]import graded seats course pivo'!$A:AM,HLOOKUP('[1]Course Totals'!O$4,'[1]import graded seats course pivo'!$1:$2,2,FALSE),FALSE))),"")</f>
        <v/>
      </c>
      <c r="P406" s="14" t="str">
        <f>IFERROR((VLOOKUP($A406,'[1]import success seats course'!$A:AD,HLOOKUP('[1]Course Totals'!P$4,'[1]import success seats course'!$1:$2,2,FALSE),FALSE)/(VLOOKUP($A406,'[1]import graded seats course pivo'!$A:AN,HLOOKUP('[1]Course Totals'!P$4,'[1]import graded seats course pivo'!$1:$2,2,FALSE),FALSE))),"")</f>
        <v/>
      </c>
      <c r="Q406" s="14" t="str">
        <f>IFERROR((VLOOKUP($A406,'[1]import success seats course'!$A:AE,HLOOKUP('[1]Course Totals'!Q$4,'[1]import success seats course'!$1:$2,2,FALSE),FALSE)/(VLOOKUP($A406,'[1]import graded seats course pivo'!$A:AO,HLOOKUP('[1]Course Totals'!Q$4,'[1]import graded seats course pivo'!$1:$2,2,FALSE),FALSE))),"")</f>
        <v/>
      </c>
      <c r="R406" s="14" t="str">
        <f>IFERROR((VLOOKUP($A406,'[1]import success seats course'!$A:AF,HLOOKUP('[1]Course Totals'!R$4,'[1]import success seats course'!$1:$2,2,FALSE),FALSE)/(VLOOKUP($A406,'[1]import graded seats course pivo'!$A:AP,HLOOKUP('[1]Course Totals'!R$4,'[1]import graded seats course pivo'!$1:$2,2,FALSE),FALSE))),"")</f>
        <v/>
      </c>
      <c r="S406" s="14" t="str">
        <f>IFERROR((VLOOKUP($A406,'[1]import success seats course'!$A:AG,HLOOKUP('[1]Course Totals'!S$4,'[1]import success seats course'!$1:$2,2,FALSE),FALSE)/(VLOOKUP($A406,'[1]import graded seats course pivo'!$A:AQ,HLOOKUP('[1]Course Totals'!S$4,'[1]import graded seats course pivo'!$1:$2,2,FALSE),FALSE))),"")</f>
        <v/>
      </c>
      <c r="Z406" s="7"/>
      <c r="AA406" s="7"/>
      <c r="AB406" s="7"/>
      <c r="AC406" s="7"/>
    </row>
    <row r="407" spans="1:29" ht="15.75" customHeight="1" x14ac:dyDescent="0.25">
      <c r="A407" s="12" t="s">
        <v>1047</v>
      </c>
      <c r="B407" s="14">
        <f>IFERROR((VLOOKUP($A407,'[1]import success seats course'!$A:P,HLOOKUP('[1]Course Totals'!B$4,'[1]import success seats course'!$1:$2,2,FALSE),FALSE)/(VLOOKUP($A407,'[1]import graded seats course pivo'!$A:Z,HLOOKUP('[1]Course Totals'!B$4,'[1]import graded seats course pivo'!$1:$2,2,FALSE),FALSE))),"")</f>
        <v>1</v>
      </c>
      <c r="C407" s="14" t="str">
        <f>IFERROR((VLOOKUP($A407,'[1]import success seats course'!$A:Q,HLOOKUP('[1]Course Totals'!C$4,'[1]import success seats course'!$1:$2,2,FALSE),FALSE)/(VLOOKUP($A407,'[1]import graded seats course pivo'!$A:AA,HLOOKUP('[1]Course Totals'!C$4,'[1]import graded seats course pivo'!$1:$2,2,FALSE),FALSE))),"")</f>
        <v/>
      </c>
      <c r="D407" s="14" t="str">
        <f>IFERROR((VLOOKUP($A407,'[1]import success seats course'!$A:R,HLOOKUP('[1]Course Totals'!D$4,'[1]import success seats course'!$1:$2,2,FALSE),FALSE)/(VLOOKUP($A407,'[1]import graded seats course pivo'!$A:AB,HLOOKUP('[1]Course Totals'!D$4,'[1]import graded seats course pivo'!$1:$2,2,FALSE),FALSE))),"")</f>
        <v/>
      </c>
      <c r="E407" s="14" t="str">
        <f>IFERROR((VLOOKUP($A407,'[1]import success seats course'!$A:S,HLOOKUP('[1]Course Totals'!E$4,'[1]import success seats course'!$1:$2,2,FALSE),FALSE)/(VLOOKUP($A407,'[1]import graded seats course pivo'!$A:AC,HLOOKUP('[1]Course Totals'!E$4,'[1]import graded seats course pivo'!$1:$2,2,FALSE),FALSE))),"")</f>
        <v/>
      </c>
      <c r="F407" s="14" t="str">
        <f>IFERROR((VLOOKUP($A407,'[1]import success seats course'!$A:T,HLOOKUP('[1]Course Totals'!F$4,'[1]import success seats course'!$1:$2,2,FALSE),FALSE)/(VLOOKUP($A407,'[1]import graded seats course pivo'!$A:AD,HLOOKUP('[1]Course Totals'!F$4,'[1]import graded seats course pivo'!$1:$2,2,FALSE),FALSE))),"")</f>
        <v/>
      </c>
      <c r="G407" s="14" t="str">
        <f>IFERROR((VLOOKUP($A407,'[1]import success seats course'!$A:U,HLOOKUP('[1]Course Totals'!G$4,'[1]import success seats course'!$1:$2,2,FALSE),FALSE)/(VLOOKUP($A407,'[1]import graded seats course pivo'!$A:AE,HLOOKUP('[1]Course Totals'!G$4,'[1]import graded seats course pivo'!$1:$2,2,FALSE),FALSE))),"")</f>
        <v/>
      </c>
      <c r="H407" s="14" t="str">
        <f>IFERROR((VLOOKUP($A407,'[1]import success seats course'!$A:V,HLOOKUP('[1]Course Totals'!H$4,'[1]import success seats course'!$1:$2,2,FALSE),FALSE)/(VLOOKUP($A407,'[1]import graded seats course pivo'!$A:AF,HLOOKUP('[1]Course Totals'!H$4,'[1]import graded seats course pivo'!$1:$2,2,FALSE),FALSE))),"")</f>
        <v/>
      </c>
      <c r="I407" s="14" t="str">
        <f>IFERROR((VLOOKUP($A407,'[1]import success seats course'!$A:W,HLOOKUP('[1]Course Totals'!I$4,'[1]import success seats course'!$1:$2,2,FALSE),FALSE)/(VLOOKUP($A407,'[1]import graded seats course pivo'!$A:AG,HLOOKUP('[1]Course Totals'!I$4,'[1]import graded seats course pivo'!$1:$2,2,FALSE),FALSE))),"")</f>
        <v/>
      </c>
      <c r="J407" s="14" t="str">
        <f>IFERROR((VLOOKUP($A407,'[1]import success seats course'!$A:X,HLOOKUP('[1]Course Totals'!J$4,'[1]import success seats course'!$1:$2,2,FALSE),FALSE)/(VLOOKUP($A407,'[1]import graded seats course pivo'!$A:AH,HLOOKUP('[1]Course Totals'!J$4,'[1]import graded seats course pivo'!$1:$2,2,FALSE),FALSE))),"")</f>
        <v/>
      </c>
      <c r="K407" s="14" t="str">
        <f>IFERROR((VLOOKUP($A407,'[1]import success seats course'!$A:Y,HLOOKUP('[1]Course Totals'!K$4,'[1]import success seats course'!$1:$2,2,FALSE),FALSE)/(VLOOKUP($A407,'[1]import graded seats course pivo'!$A:AI,HLOOKUP('[1]Course Totals'!K$4,'[1]import graded seats course pivo'!$1:$2,2,FALSE),FALSE))),"")</f>
        <v/>
      </c>
      <c r="L407" s="14" t="str">
        <f>IFERROR((VLOOKUP($A407,'[1]import success seats course'!$A:Z,HLOOKUP('[1]Course Totals'!L$4,'[1]import success seats course'!$1:$2,2,FALSE),FALSE)/(VLOOKUP($A407,'[1]import graded seats course pivo'!$A:AJ,HLOOKUP('[1]Course Totals'!L$4,'[1]import graded seats course pivo'!$1:$2,2,FALSE),FALSE))),"")</f>
        <v/>
      </c>
      <c r="M407" s="14" t="str">
        <f>IFERROR((VLOOKUP($A407,'[1]import success seats course'!$A:AA,HLOOKUP('[1]Course Totals'!M$4,'[1]import success seats course'!$1:$2,2,FALSE),FALSE)/(VLOOKUP($A407,'[1]import graded seats course pivo'!$A:AK,HLOOKUP('[1]Course Totals'!M$4,'[1]import graded seats course pivo'!$1:$2,2,FALSE),FALSE))),"")</f>
        <v/>
      </c>
      <c r="N407" s="14" t="str">
        <f>IFERROR((VLOOKUP($A407,'[1]import success seats course'!$A:AB,HLOOKUP('[1]Course Totals'!N$4,'[1]import success seats course'!$1:$2,2,FALSE),FALSE)/(VLOOKUP($A407,'[1]import graded seats course pivo'!$A:AL,HLOOKUP('[1]Course Totals'!N$4,'[1]import graded seats course pivo'!$1:$2,2,FALSE),FALSE))),"")</f>
        <v/>
      </c>
      <c r="O407" s="14" t="str">
        <f>IFERROR((VLOOKUP($A407,'[1]import success seats course'!$A:AC,HLOOKUP('[1]Course Totals'!O$4,'[1]import success seats course'!$1:$2,2,FALSE),FALSE)/(VLOOKUP($A407,'[1]import graded seats course pivo'!$A:AM,HLOOKUP('[1]Course Totals'!O$4,'[1]import graded seats course pivo'!$1:$2,2,FALSE),FALSE))),"")</f>
        <v/>
      </c>
      <c r="P407" s="14" t="str">
        <f>IFERROR((VLOOKUP($A407,'[1]import success seats course'!$A:AD,HLOOKUP('[1]Course Totals'!P$4,'[1]import success seats course'!$1:$2,2,FALSE),FALSE)/(VLOOKUP($A407,'[1]import graded seats course pivo'!$A:AN,HLOOKUP('[1]Course Totals'!P$4,'[1]import graded seats course pivo'!$1:$2,2,FALSE),FALSE))),"")</f>
        <v/>
      </c>
      <c r="Q407" s="14" t="str">
        <f>IFERROR((VLOOKUP($A407,'[1]import success seats course'!$A:AE,HLOOKUP('[1]Course Totals'!Q$4,'[1]import success seats course'!$1:$2,2,FALSE),FALSE)/(VLOOKUP($A407,'[1]import graded seats course pivo'!$A:AO,HLOOKUP('[1]Course Totals'!Q$4,'[1]import graded seats course pivo'!$1:$2,2,FALSE),FALSE))),"")</f>
        <v/>
      </c>
      <c r="R407" s="14" t="str">
        <f>IFERROR((VLOOKUP($A407,'[1]import success seats course'!$A:AF,HLOOKUP('[1]Course Totals'!R$4,'[1]import success seats course'!$1:$2,2,FALSE),FALSE)/(VLOOKUP($A407,'[1]import graded seats course pivo'!$A:AP,HLOOKUP('[1]Course Totals'!R$4,'[1]import graded seats course pivo'!$1:$2,2,FALSE),FALSE))),"")</f>
        <v/>
      </c>
      <c r="S407" s="14" t="str">
        <f>IFERROR((VLOOKUP($A407,'[1]import success seats course'!$A:AG,HLOOKUP('[1]Course Totals'!S$4,'[1]import success seats course'!$1:$2,2,FALSE),FALSE)/(VLOOKUP($A407,'[1]import graded seats course pivo'!$A:AQ,HLOOKUP('[1]Course Totals'!S$4,'[1]import graded seats course pivo'!$1:$2,2,FALSE),FALSE))),"")</f>
        <v/>
      </c>
      <c r="Z407" s="7"/>
      <c r="AA407" s="7"/>
      <c r="AB407" s="7"/>
      <c r="AC407" s="7"/>
    </row>
    <row r="408" spans="1:29" ht="15.75" x14ac:dyDescent="0.25">
      <c r="A408" s="9" t="s">
        <v>1139</v>
      </c>
      <c r="B408" s="67" t="str">
        <f>'[1]Subject TOTALS'!$B$1:$P$1</f>
        <v xml:space="preserve">MVC Retention Rates </v>
      </c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Z408" s="7"/>
      <c r="AA408" s="7"/>
      <c r="AB408" s="7"/>
      <c r="AC408" s="7"/>
    </row>
    <row r="409" spans="1:29" ht="15.75" customHeight="1" thickBot="1" x14ac:dyDescent="0.3">
      <c r="A409" s="8" t="str">
        <f>'[1]SUBJECTS BASE'!H20</f>
        <v>Dance</v>
      </c>
      <c r="B409" s="38" t="s">
        <v>1046</v>
      </c>
      <c r="C409" s="39" t="s">
        <v>0</v>
      </c>
      <c r="D409" s="40" t="s">
        <v>868</v>
      </c>
      <c r="E409" s="41" t="s">
        <v>1052</v>
      </c>
      <c r="F409" s="42" t="s">
        <v>546</v>
      </c>
      <c r="G409" s="43" t="s">
        <v>959</v>
      </c>
      <c r="H409" s="44" t="s">
        <v>1060</v>
      </c>
      <c r="I409" s="39" t="s">
        <v>675</v>
      </c>
      <c r="J409" s="45" t="s">
        <v>1006</v>
      </c>
      <c r="K409" s="46" t="s">
        <v>1062</v>
      </c>
      <c r="L409" s="42" t="s">
        <v>762</v>
      </c>
      <c r="M409" s="43" t="s">
        <v>1022</v>
      </c>
      <c r="N409" s="44" t="s">
        <v>1063</v>
      </c>
      <c r="O409" s="39" t="s">
        <v>822</v>
      </c>
      <c r="P409" s="40" t="s">
        <v>1042</v>
      </c>
      <c r="Q409" s="46" t="s">
        <v>1153</v>
      </c>
      <c r="R409" s="42" t="s">
        <v>1154</v>
      </c>
      <c r="S409" s="43" t="s">
        <v>1155</v>
      </c>
      <c r="Z409" s="7"/>
      <c r="AA409" s="7"/>
      <c r="AB409" s="7"/>
      <c r="AC409" s="7"/>
    </row>
    <row r="410" spans="1:29" ht="15.75" customHeight="1" x14ac:dyDescent="0.25">
      <c r="A410" s="12" t="s">
        <v>202</v>
      </c>
      <c r="B410" s="14" t="str">
        <f>IFERROR((VLOOKUP($A410,'[1]import success seats course'!$A:P,HLOOKUP('[1]Course Totals'!B$4,'[1]import success seats course'!$1:$2,2,FALSE),FALSE)/(VLOOKUP($A410,'[1]import graded seats course pivo'!$A:Z,HLOOKUP('[1]Course Totals'!B$4,'[1]import graded seats course pivo'!$1:$2,2,FALSE),FALSE))),"")</f>
        <v/>
      </c>
      <c r="C410" s="14">
        <f>IFERROR((VLOOKUP($A410,'[1]import success seats course'!$A:Q,HLOOKUP('[1]Course Totals'!C$4,'[1]import success seats course'!$1:$2,2,FALSE),FALSE)/(VLOOKUP($A410,'[1]import graded seats course pivo'!$A:AA,HLOOKUP('[1]Course Totals'!C$4,'[1]import graded seats course pivo'!$1:$2,2,FALSE),FALSE))),"")</f>
        <v>0.90322580645161288</v>
      </c>
      <c r="D410" s="14">
        <f>IFERROR((VLOOKUP($A410,'[1]import success seats course'!$A:R,HLOOKUP('[1]Course Totals'!D$4,'[1]import success seats course'!$1:$2,2,FALSE),FALSE)/(VLOOKUP($A410,'[1]import graded seats course pivo'!$A:AB,HLOOKUP('[1]Course Totals'!D$4,'[1]import graded seats course pivo'!$1:$2,2,FALSE),FALSE))),"")</f>
        <v>0.73333333333333328</v>
      </c>
      <c r="E410" s="14" t="str">
        <f>IFERROR((VLOOKUP($A410,'[1]import success seats course'!$A:S,HLOOKUP('[1]Course Totals'!E$4,'[1]import success seats course'!$1:$2,2,FALSE),FALSE)/(VLOOKUP($A410,'[1]import graded seats course pivo'!$A:AC,HLOOKUP('[1]Course Totals'!E$4,'[1]import graded seats course pivo'!$1:$2,2,FALSE),FALSE))),"")</f>
        <v/>
      </c>
      <c r="F410" s="14">
        <f>IFERROR((VLOOKUP($A410,'[1]import success seats course'!$A:T,HLOOKUP('[1]Course Totals'!F$4,'[1]import success seats course'!$1:$2,2,FALSE),FALSE)/(VLOOKUP($A410,'[1]import graded seats course pivo'!$A:AD,HLOOKUP('[1]Course Totals'!F$4,'[1]import graded seats course pivo'!$1:$2,2,FALSE),FALSE))),"")</f>
        <v>0.76470588235294112</v>
      </c>
      <c r="G410" s="14">
        <f>IFERROR((VLOOKUP($A410,'[1]import success seats course'!$A:U,HLOOKUP('[1]Course Totals'!G$4,'[1]import success seats course'!$1:$2,2,FALSE),FALSE)/(VLOOKUP($A410,'[1]import graded seats course pivo'!$A:AE,HLOOKUP('[1]Course Totals'!G$4,'[1]import graded seats course pivo'!$1:$2,2,FALSE),FALSE))),"")</f>
        <v>0.81159420289855078</v>
      </c>
      <c r="H410" s="14" t="str">
        <f>IFERROR((VLOOKUP($A410,'[1]import success seats course'!$A:V,HLOOKUP('[1]Course Totals'!H$4,'[1]import success seats course'!$1:$2,2,FALSE),FALSE)/(VLOOKUP($A410,'[1]import graded seats course pivo'!$A:AF,HLOOKUP('[1]Course Totals'!H$4,'[1]import graded seats course pivo'!$1:$2,2,FALSE),FALSE))),"")</f>
        <v/>
      </c>
      <c r="I410" s="14">
        <f>IFERROR((VLOOKUP($A410,'[1]import success seats course'!$A:W,HLOOKUP('[1]Course Totals'!I$4,'[1]import success seats course'!$1:$2,2,FALSE),FALSE)/(VLOOKUP($A410,'[1]import graded seats course pivo'!$A:AG,HLOOKUP('[1]Course Totals'!I$4,'[1]import graded seats course pivo'!$1:$2,2,FALSE),FALSE))),"")</f>
        <v>0.93548387096774188</v>
      </c>
      <c r="J410" s="14">
        <f>IFERROR((VLOOKUP($A410,'[1]import success seats course'!$A:X,HLOOKUP('[1]Course Totals'!J$4,'[1]import success seats course'!$1:$2,2,FALSE),FALSE)/(VLOOKUP($A410,'[1]import graded seats course pivo'!$A:AH,HLOOKUP('[1]Course Totals'!J$4,'[1]import graded seats course pivo'!$1:$2,2,FALSE),FALSE))),"")</f>
        <v>0.90769230769230769</v>
      </c>
      <c r="K410" s="14" t="str">
        <f>IFERROR((VLOOKUP($A410,'[1]import success seats course'!$A:Y,HLOOKUP('[1]Course Totals'!K$4,'[1]import success seats course'!$1:$2,2,FALSE),FALSE)/(VLOOKUP($A410,'[1]import graded seats course pivo'!$A:AI,HLOOKUP('[1]Course Totals'!K$4,'[1]import graded seats course pivo'!$1:$2,2,FALSE),FALSE))),"")</f>
        <v/>
      </c>
      <c r="L410" s="14">
        <f>IFERROR((VLOOKUP($A410,'[1]import success seats course'!$A:Z,HLOOKUP('[1]Course Totals'!L$4,'[1]import success seats course'!$1:$2,2,FALSE),FALSE)/(VLOOKUP($A410,'[1]import graded seats course pivo'!$A:AJ,HLOOKUP('[1]Course Totals'!L$4,'[1]import graded seats course pivo'!$1:$2,2,FALSE),FALSE))),"")</f>
        <v>0.75757575757575757</v>
      </c>
      <c r="M410" s="14">
        <f>IFERROR((VLOOKUP($A410,'[1]import success seats course'!$A:AA,HLOOKUP('[1]Course Totals'!M$4,'[1]import success seats course'!$1:$2,2,FALSE),FALSE)/(VLOOKUP($A410,'[1]import graded seats course pivo'!$A:AK,HLOOKUP('[1]Course Totals'!M$4,'[1]import graded seats course pivo'!$1:$2,2,FALSE),FALSE))),"")</f>
        <v>0.967741935483871</v>
      </c>
      <c r="N410" s="14" t="str">
        <f>IFERROR((VLOOKUP($A410,'[1]import success seats course'!$A:AB,HLOOKUP('[1]Course Totals'!N$4,'[1]import success seats course'!$1:$2,2,FALSE),FALSE)/(VLOOKUP($A410,'[1]import graded seats course pivo'!$A:AL,HLOOKUP('[1]Course Totals'!N$4,'[1]import graded seats course pivo'!$1:$2,2,FALSE),FALSE))),"")</f>
        <v/>
      </c>
      <c r="O410" s="14">
        <f>IFERROR((VLOOKUP($A410,'[1]import success seats course'!$A:AC,HLOOKUP('[1]Course Totals'!O$4,'[1]import success seats course'!$1:$2,2,FALSE),FALSE)/(VLOOKUP($A410,'[1]import graded seats course pivo'!$A:AM,HLOOKUP('[1]Course Totals'!O$4,'[1]import graded seats course pivo'!$1:$2,2,FALSE),FALSE))),"")</f>
        <v>0.84848484848484851</v>
      </c>
      <c r="P410" s="14">
        <f>IFERROR((VLOOKUP($A410,'[1]import success seats course'!$A:AD,HLOOKUP('[1]Course Totals'!P$4,'[1]import success seats course'!$1:$2,2,FALSE),FALSE)/(VLOOKUP($A410,'[1]import graded seats course pivo'!$A:AN,HLOOKUP('[1]Course Totals'!P$4,'[1]import graded seats course pivo'!$1:$2,2,FALSE),FALSE))),"")</f>
        <v>0.9</v>
      </c>
      <c r="Q410" s="14" t="str">
        <f>IFERROR((VLOOKUP($A410,'[1]import success seats course'!$A:AE,HLOOKUP('[1]Course Totals'!Q$4,'[1]import success seats course'!$1:$2,2,FALSE),FALSE)/(VLOOKUP($A410,'[1]import graded seats course pivo'!$A:AO,HLOOKUP('[1]Course Totals'!Q$4,'[1]import graded seats course pivo'!$1:$2,2,FALSE),FALSE))),"")</f>
        <v/>
      </c>
      <c r="R410" s="14">
        <f>IFERROR((VLOOKUP($A410,'[1]import success seats course'!$A:AF,HLOOKUP('[1]Course Totals'!R$4,'[1]import success seats course'!$1:$2,2,FALSE),FALSE)/(VLOOKUP($A410,'[1]import graded seats course pivo'!$A:AP,HLOOKUP('[1]Course Totals'!R$4,'[1]import graded seats course pivo'!$1:$2,2,FALSE),FALSE))),"")</f>
        <v>0.9375</v>
      </c>
      <c r="S410" s="14">
        <f>IFERROR((VLOOKUP($A410,'[1]import success seats course'!$A:AG,HLOOKUP('[1]Course Totals'!S$4,'[1]import success seats course'!$1:$2,2,FALSE),FALSE)/(VLOOKUP($A410,'[1]import graded seats course pivo'!$A:AQ,HLOOKUP('[1]Course Totals'!S$4,'[1]import graded seats course pivo'!$1:$2,2,FALSE),FALSE))),"")</f>
        <v>0.97058823529411764</v>
      </c>
      <c r="Z410" s="7"/>
      <c r="AA410" s="7"/>
      <c r="AB410" s="7"/>
      <c r="AC410" s="7"/>
    </row>
    <row r="411" spans="1:29" ht="15.75" customHeight="1" x14ac:dyDescent="0.25">
      <c r="A411" s="12" t="s">
        <v>203</v>
      </c>
      <c r="B411" s="14" t="str">
        <f>IFERROR((VLOOKUP($A411,'[1]import success seats course'!$A:P,HLOOKUP('[1]Course Totals'!B$4,'[1]import success seats course'!$1:$2,2,FALSE),FALSE)/(VLOOKUP($A411,'[1]import graded seats course pivo'!$A:Z,HLOOKUP('[1]Course Totals'!B$4,'[1]import graded seats course pivo'!$1:$2,2,FALSE),FALSE))),"")</f>
        <v/>
      </c>
      <c r="C411" s="14">
        <f>IFERROR((VLOOKUP($A411,'[1]import success seats course'!$A:Q,HLOOKUP('[1]Course Totals'!C$4,'[1]import success seats course'!$1:$2,2,FALSE),FALSE)/(VLOOKUP($A411,'[1]import graded seats course pivo'!$A:AA,HLOOKUP('[1]Course Totals'!C$4,'[1]import graded seats course pivo'!$1:$2,2,FALSE),FALSE))),"")</f>
        <v>0.76923076923076927</v>
      </c>
      <c r="D411" s="14" t="str">
        <f>IFERROR((VLOOKUP($A411,'[1]import success seats course'!$A:R,HLOOKUP('[1]Course Totals'!D$4,'[1]import success seats course'!$1:$2,2,FALSE),FALSE)/(VLOOKUP($A411,'[1]import graded seats course pivo'!$A:AB,HLOOKUP('[1]Course Totals'!D$4,'[1]import graded seats course pivo'!$1:$2,2,FALSE),FALSE))),"")</f>
        <v/>
      </c>
      <c r="E411" s="14" t="str">
        <f>IFERROR((VLOOKUP($A411,'[1]import success seats course'!$A:S,HLOOKUP('[1]Course Totals'!E$4,'[1]import success seats course'!$1:$2,2,FALSE),FALSE)/(VLOOKUP($A411,'[1]import graded seats course pivo'!$A:AC,HLOOKUP('[1]Course Totals'!E$4,'[1]import graded seats course pivo'!$1:$2,2,FALSE),FALSE))),"")</f>
        <v/>
      </c>
      <c r="F411" s="14">
        <f>IFERROR((VLOOKUP($A411,'[1]import success seats course'!$A:T,HLOOKUP('[1]Course Totals'!F$4,'[1]import success seats course'!$1:$2,2,FALSE),FALSE)/(VLOOKUP($A411,'[1]import graded seats course pivo'!$A:AD,HLOOKUP('[1]Course Totals'!F$4,'[1]import graded seats course pivo'!$1:$2,2,FALSE),FALSE))),"")</f>
        <v>0.82352941176470584</v>
      </c>
      <c r="G411" s="14">
        <f>IFERROR((VLOOKUP($A411,'[1]import success seats course'!$A:U,HLOOKUP('[1]Course Totals'!G$4,'[1]import success seats course'!$1:$2,2,FALSE),FALSE)/(VLOOKUP($A411,'[1]import graded seats course pivo'!$A:AE,HLOOKUP('[1]Course Totals'!G$4,'[1]import graded seats course pivo'!$1:$2,2,FALSE),FALSE))),"")</f>
        <v>0.75</v>
      </c>
      <c r="H411" s="14" t="str">
        <f>IFERROR((VLOOKUP($A411,'[1]import success seats course'!$A:V,HLOOKUP('[1]Course Totals'!H$4,'[1]import success seats course'!$1:$2,2,FALSE),FALSE)/(VLOOKUP($A411,'[1]import graded seats course pivo'!$A:AF,HLOOKUP('[1]Course Totals'!H$4,'[1]import graded seats course pivo'!$1:$2,2,FALSE),FALSE))),"")</f>
        <v/>
      </c>
      <c r="I411" s="14">
        <f>IFERROR((VLOOKUP($A411,'[1]import success seats course'!$A:W,HLOOKUP('[1]Course Totals'!I$4,'[1]import success seats course'!$1:$2,2,FALSE),FALSE)/(VLOOKUP($A411,'[1]import graded seats course pivo'!$A:AG,HLOOKUP('[1]Course Totals'!I$4,'[1]import graded seats course pivo'!$1:$2,2,FALSE),FALSE))),"")</f>
        <v>0.94444444444444442</v>
      </c>
      <c r="J411" s="14">
        <f>IFERROR((VLOOKUP($A411,'[1]import success seats course'!$A:X,HLOOKUP('[1]Course Totals'!J$4,'[1]import success seats course'!$1:$2,2,FALSE),FALSE)/(VLOOKUP($A411,'[1]import graded seats course pivo'!$A:AH,HLOOKUP('[1]Course Totals'!J$4,'[1]import graded seats course pivo'!$1:$2,2,FALSE),FALSE))),"")</f>
        <v>0.45454545454545453</v>
      </c>
      <c r="K411" s="14" t="str">
        <f>IFERROR((VLOOKUP($A411,'[1]import success seats course'!$A:Y,HLOOKUP('[1]Course Totals'!K$4,'[1]import success seats course'!$1:$2,2,FALSE),FALSE)/(VLOOKUP($A411,'[1]import graded seats course pivo'!$A:AI,HLOOKUP('[1]Course Totals'!K$4,'[1]import graded seats course pivo'!$1:$2,2,FALSE),FALSE))),"")</f>
        <v/>
      </c>
      <c r="L411" s="14">
        <f>IFERROR((VLOOKUP($A411,'[1]import success seats course'!$A:Z,HLOOKUP('[1]Course Totals'!L$4,'[1]import success seats course'!$1:$2,2,FALSE),FALSE)/(VLOOKUP($A411,'[1]import graded seats course pivo'!$A:AJ,HLOOKUP('[1]Course Totals'!L$4,'[1]import graded seats course pivo'!$1:$2,2,FALSE),FALSE))),"")</f>
        <v>0.9285714285714286</v>
      </c>
      <c r="M411" s="14">
        <f>IFERROR((VLOOKUP($A411,'[1]import success seats course'!$A:AA,HLOOKUP('[1]Course Totals'!M$4,'[1]import success seats course'!$1:$2,2,FALSE),FALSE)/(VLOOKUP($A411,'[1]import graded seats course pivo'!$A:AK,HLOOKUP('[1]Course Totals'!M$4,'[1]import graded seats course pivo'!$1:$2,2,FALSE),FALSE))),"")</f>
        <v>0.5625</v>
      </c>
      <c r="N411" s="14" t="str">
        <f>IFERROR((VLOOKUP($A411,'[1]import success seats course'!$A:AB,HLOOKUP('[1]Course Totals'!N$4,'[1]import success seats course'!$1:$2,2,FALSE),FALSE)/(VLOOKUP($A411,'[1]import graded seats course pivo'!$A:AL,HLOOKUP('[1]Course Totals'!N$4,'[1]import graded seats course pivo'!$1:$2,2,FALSE),FALSE))),"")</f>
        <v/>
      </c>
      <c r="O411" s="14">
        <f>IFERROR((VLOOKUP($A411,'[1]import success seats course'!$A:AC,HLOOKUP('[1]Course Totals'!O$4,'[1]import success seats course'!$1:$2,2,FALSE),FALSE)/(VLOOKUP($A411,'[1]import graded seats course pivo'!$A:AM,HLOOKUP('[1]Course Totals'!O$4,'[1]import graded seats course pivo'!$1:$2,2,FALSE),FALSE))),"")</f>
        <v>0.9</v>
      </c>
      <c r="P411" s="14">
        <f>IFERROR((VLOOKUP($A411,'[1]import success seats course'!$A:AD,HLOOKUP('[1]Course Totals'!P$4,'[1]import success seats course'!$1:$2,2,FALSE),FALSE)/(VLOOKUP($A411,'[1]import graded seats course pivo'!$A:AN,HLOOKUP('[1]Course Totals'!P$4,'[1]import graded seats course pivo'!$1:$2,2,FALSE),FALSE))),"")</f>
        <v>0.81818181818181823</v>
      </c>
      <c r="Q411" s="14" t="str">
        <f>IFERROR((VLOOKUP($A411,'[1]import success seats course'!$A:AE,HLOOKUP('[1]Course Totals'!Q$4,'[1]import success seats course'!$1:$2,2,FALSE),FALSE)/(VLOOKUP($A411,'[1]import graded seats course pivo'!$A:AO,HLOOKUP('[1]Course Totals'!Q$4,'[1]import graded seats course pivo'!$1:$2,2,FALSE),FALSE))),"")</f>
        <v/>
      </c>
      <c r="R411" s="14">
        <f>IFERROR((VLOOKUP($A411,'[1]import success seats course'!$A:AF,HLOOKUP('[1]Course Totals'!R$4,'[1]import success seats course'!$1:$2,2,FALSE),FALSE)/(VLOOKUP($A411,'[1]import graded seats course pivo'!$A:AP,HLOOKUP('[1]Course Totals'!R$4,'[1]import graded seats course pivo'!$1:$2,2,FALSE),FALSE))),"")</f>
        <v>0.9</v>
      </c>
      <c r="S411" s="14">
        <f>IFERROR((VLOOKUP($A411,'[1]import success seats course'!$A:AG,HLOOKUP('[1]Course Totals'!S$4,'[1]import success seats course'!$1:$2,2,FALSE),FALSE)/(VLOOKUP($A411,'[1]import graded seats course pivo'!$A:AQ,HLOOKUP('[1]Course Totals'!S$4,'[1]import graded seats course pivo'!$1:$2,2,FALSE),FALSE))),"")</f>
        <v>0.83333333333333337</v>
      </c>
      <c r="Z411" s="7"/>
      <c r="AA411" s="7"/>
      <c r="AB411" s="7"/>
      <c r="AC411" s="7"/>
    </row>
    <row r="412" spans="1:29" ht="15.75" hidden="1" customHeight="1" x14ac:dyDescent="0.25">
      <c r="A412" s="12" t="s">
        <v>898</v>
      </c>
      <c r="B412" s="14" t="str">
        <f>IFERROR((VLOOKUP($A412,'[1]import success seats course'!$A:P,HLOOKUP('[1]Course Totals'!B$4,'[1]import success seats course'!$1:$2,2,FALSE),FALSE)/(VLOOKUP($A412,'[1]import graded seats course pivo'!$A:Z,HLOOKUP('[1]Course Totals'!B$4,'[1]import graded seats course pivo'!$1:$2,2,FALSE),FALSE))),"")</f>
        <v/>
      </c>
      <c r="C412" s="14" t="str">
        <f>IFERROR((VLOOKUP($A412,'[1]import success seats course'!$A:Q,HLOOKUP('[1]Course Totals'!C$4,'[1]import success seats course'!$1:$2,2,FALSE),FALSE)/(VLOOKUP($A412,'[1]import graded seats course pivo'!$A:AA,HLOOKUP('[1]Course Totals'!C$4,'[1]import graded seats course pivo'!$1:$2,2,FALSE),FALSE))),"")</f>
        <v/>
      </c>
      <c r="D412" s="14" t="str">
        <f>IFERROR((VLOOKUP($A412,'[1]import success seats course'!$A:R,HLOOKUP('[1]Course Totals'!D$4,'[1]import success seats course'!$1:$2,2,FALSE),FALSE)/(VLOOKUP($A412,'[1]import graded seats course pivo'!$A:AB,HLOOKUP('[1]Course Totals'!D$4,'[1]import graded seats course pivo'!$1:$2,2,FALSE),FALSE))),"")</f>
        <v/>
      </c>
      <c r="E412" s="14" t="str">
        <f>IFERROR((VLOOKUP($A412,'[1]import success seats course'!$A:S,HLOOKUP('[1]Course Totals'!E$4,'[1]import success seats course'!$1:$2,2,FALSE),FALSE)/(VLOOKUP($A412,'[1]import graded seats course pivo'!$A:AC,HLOOKUP('[1]Course Totals'!E$4,'[1]import graded seats course pivo'!$1:$2,2,FALSE),FALSE))),"")</f>
        <v/>
      </c>
      <c r="F412" s="14" t="str">
        <f>IFERROR((VLOOKUP($A412,'[1]import success seats course'!$A:T,HLOOKUP('[1]Course Totals'!F$4,'[1]import success seats course'!$1:$2,2,FALSE),FALSE)/(VLOOKUP($A412,'[1]import graded seats course pivo'!$A:AD,HLOOKUP('[1]Course Totals'!F$4,'[1]import graded seats course pivo'!$1:$2,2,FALSE),FALSE))),"")</f>
        <v/>
      </c>
      <c r="G412" s="14" t="str">
        <f>IFERROR((VLOOKUP($A412,'[1]import success seats course'!$A:U,HLOOKUP('[1]Course Totals'!G$4,'[1]import success seats course'!$1:$2,2,FALSE),FALSE)/(VLOOKUP($A412,'[1]import graded seats course pivo'!$A:AE,HLOOKUP('[1]Course Totals'!G$4,'[1]import graded seats course pivo'!$1:$2,2,FALSE),FALSE))),"")</f>
        <v/>
      </c>
      <c r="H412" s="14" t="str">
        <f>IFERROR((VLOOKUP($A412,'[1]import success seats course'!$A:V,HLOOKUP('[1]Course Totals'!H$4,'[1]import success seats course'!$1:$2,2,FALSE),FALSE)/(VLOOKUP($A412,'[1]import graded seats course pivo'!$A:AF,HLOOKUP('[1]Course Totals'!H$4,'[1]import graded seats course pivo'!$1:$2,2,FALSE),FALSE))),"")</f>
        <v/>
      </c>
      <c r="I412" s="14" t="str">
        <f>IFERROR((VLOOKUP($A412,'[1]import success seats course'!$A:W,HLOOKUP('[1]Course Totals'!I$4,'[1]import success seats course'!$1:$2,2,FALSE),FALSE)/(VLOOKUP($A412,'[1]import graded seats course pivo'!$A:AG,HLOOKUP('[1]Course Totals'!I$4,'[1]import graded seats course pivo'!$1:$2,2,FALSE),FALSE))),"")</f>
        <v/>
      </c>
      <c r="J412" s="14" t="str">
        <f>IFERROR((VLOOKUP($A412,'[1]import success seats course'!$A:X,HLOOKUP('[1]Course Totals'!J$4,'[1]import success seats course'!$1:$2,2,FALSE),FALSE)/(VLOOKUP($A412,'[1]import graded seats course pivo'!$A:AH,HLOOKUP('[1]Course Totals'!J$4,'[1]import graded seats course pivo'!$1:$2,2,FALSE),FALSE))),"")</f>
        <v/>
      </c>
      <c r="K412" s="14" t="str">
        <f>IFERROR((VLOOKUP($A412,'[1]import success seats course'!$A:Y,HLOOKUP('[1]Course Totals'!K$4,'[1]import success seats course'!$1:$2,2,FALSE),FALSE)/(VLOOKUP($A412,'[1]import graded seats course pivo'!$A:AI,HLOOKUP('[1]Course Totals'!K$4,'[1]import graded seats course pivo'!$1:$2,2,FALSE),FALSE))),"")</f>
        <v/>
      </c>
      <c r="L412" s="14" t="str">
        <f>IFERROR((VLOOKUP($A412,'[1]import success seats course'!$A:Z,HLOOKUP('[1]Course Totals'!L$4,'[1]import success seats course'!$1:$2,2,FALSE),FALSE)/(VLOOKUP($A412,'[1]import graded seats course pivo'!$A:AJ,HLOOKUP('[1]Course Totals'!L$4,'[1]import graded seats course pivo'!$1:$2,2,FALSE),FALSE))),"")</f>
        <v/>
      </c>
      <c r="M412" s="14" t="str">
        <f>IFERROR((VLOOKUP($A412,'[1]import success seats course'!$A:AA,HLOOKUP('[1]Course Totals'!M$4,'[1]import success seats course'!$1:$2,2,FALSE),FALSE)/(VLOOKUP($A412,'[1]import graded seats course pivo'!$A:AK,HLOOKUP('[1]Course Totals'!M$4,'[1]import graded seats course pivo'!$1:$2,2,FALSE),FALSE))),"")</f>
        <v/>
      </c>
      <c r="N412" s="14" t="str">
        <f>IFERROR((VLOOKUP($A412,'[1]import success seats course'!$A:AB,HLOOKUP('[1]Course Totals'!N$4,'[1]import success seats course'!$1:$2,2,FALSE),FALSE)/(VLOOKUP($A412,'[1]import graded seats course pivo'!$A:AL,HLOOKUP('[1]Course Totals'!N$4,'[1]import graded seats course pivo'!$1:$2,2,FALSE),FALSE))),"")</f>
        <v/>
      </c>
      <c r="O412" s="14" t="str">
        <f>IFERROR((VLOOKUP($A412,'[1]import success seats course'!$A:AC,HLOOKUP('[1]Course Totals'!O$4,'[1]import success seats course'!$1:$2,2,FALSE),FALSE)/(VLOOKUP($A412,'[1]import graded seats course pivo'!$A:AM,HLOOKUP('[1]Course Totals'!O$4,'[1]import graded seats course pivo'!$1:$2,2,FALSE),FALSE))),"")</f>
        <v/>
      </c>
      <c r="P412" s="14" t="str">
        <f>IFERROR((VLOOKUP($A412,'[1]import success seats course'!$A:AD,HLOOKUP('[1]Course Totals'!P$4,'[1]import success seats course'!$1:$2,2,FALSE),FALSE)/(VLOOKUP($A412,'[1]import graded seats course pivo'!$A:AN,HLOOKUP('[1]Course Totals'!P$4,'[1]import graded seats course pivo'!$1:$2,2,FALSE),FALSE))),"")</f>
        <v/>
      </c>
      <c r="Q412" s="14" t="str">
        <f>IFERROR((VLOOKUP($A412,'[1]import success seats course'!$A:AE,HLOOKUP('[1]Course Totals'!Q$4,'[1]import success seats course'!$1:$2,2,FALSE),FALSE)/(VLOOKUP($A412,'[1]import graded seats course pivo'!$A:AO,HLOOKUP('[1]Course Totals'!Q$4,'[1]import graded seats course pivo'!$1:$2,2,FALSE),FALSE))),"")</f>
        <v/>
      </c>
      <c r="R412" s="14" t="str">
        <f>IFERROR((VLOOKUP($A412,'[1]import success seats course'!$A:AF,HLOOKUP('[1]Course Totals'!R$4,'[1]import success seats course'!$1:$2,2,FALSE),FALSE)/(VLOOKUP($A412,'[1]import graded seats course pivo'!$A:AP,HLOOKUP('[1]Course Totals'!R$4,'[1]import graded seats course pivo'!$1:$2,2,FALSE),FALSE))),"")</f>
        <v/>
      </c>
      <c r="S412" s="14" t="str">
        <f>IFERROR((VLOOKUP($A412,'[1]import success seats course'!$A:AG,HLOOKUP('[1]Course Totals'!S$4,'[1]import success seats course'!$1:$2,2,FALSE),FALSE)/(VLOOKUP($A412,'[1]import graded seats course pivo'!$A:AQ,HLOOKUP('[1]Course Totals'!S$4,'[1]import graded seats course pivo'!$1:$2,2,FALSE),FALSE))),"")</f>
        <v/>
      </c>
      <c r="Z412" s="7"/>
      <c r="AA412" s="7"/>
      <c r="AB412" s="7"/>
      <c r="AC412" s="7"/>
    </row>
    <row r="413" spans="1:29" ht="15.75" customHeight="1" x14ac:dyDescent="0.25">
      <c r="A413" s="12" t="s">
        <v>204</v>
      </c>
      <c r="B413" s="14">
        <f>IFERROR((VLOOKUP($A413,'[1]import success seats course'!$A:P,HLOOKUP('[1]Course Totals'!B$4,'[1]import success seats course'!$1:$2,2,FALSE),FALSE)/(VLOOKUP($A413,'[1]import graded seats course pivo'!$A:Z,HLOOKUP('[1]Course Totals'!B$4,'[1]import graded seats course pivo'!$1:$2,2,FALSE),FALSE))),"")</f>
        <v>0.9375</v>
      </c>
      <c r="C413" s="14">
        <f>IFERROR((VLOOKUP($A413,'[1]import success seats course'!$A:Q,HLOOKUP('[1]Course Totals'!C$4,'[1]import success seats course'!$1:$2,2,FALSE),FALSE)/(VLOOKUP($A413,'[1]import graded seats course pivo'!$A:AA,HLOOKUP('[1]Course Totals'!C$4,'[1]import graded seats course pivo'!$1:$2,2,FALSE),FALSE))),"")</f>
        <v>0.875</v>
      </c>
      <c r="D413" s="14" t="str">
        <f>IFERROR((VLOOKUP($A413,'[1]import success seats course'!$A:R,HLOOKUP('[1]Course Totals'!D$4,'[1]import success seats course'!$1:$2,2,FALSE),FALSE)/(VLOOKUP($A413,'[1]import graded seats course pivo'!$A:AB,HLOOKUP('[1]Course Totals'!D$4,'[1]import graded seats course pivo'!$1:$2,2,FALSE),FALSE))),"")</f>
        <v/>
      </c>
      <c r="E413" s="14" t="str">
        <f>IFERROR((VLOOKUP($A413,'[1]import success seats course'!$A:S,HLOOKUP('[1]Course Totals'!E$4,'[1]import success seats course'!$1:$2,2,FALSE),FALSE)/(VLOOKUP($A413,'[1]import graded seats course pivo'!$A:AC,HLOOKUP('[1]Course Totals'!E$4,'[1]import graded seats course pivo'!$1:$2,2,FALSE),FALSE))),"")</f>
        <v/>
      </c>
      <c r="F413" s="14" t="str">
        <f>IFERROR((VLOOKUP($A413,'[1]import success seats course'!$A:T,HLOOKUP('[1]Course Totals'!F$4,'[1]import success seats course'!$1:$2,2,FALSE),FALSE)/(VLOOKUP($A413,'[1]import graded seats course pivo'!$A:AD,HLOOKUP('[1]Course Totals'!F$4,'[1]import graded seats course pivo'!$1:$2,2,FALSE),FALSE))),"")</f>
        <v/>
      </c>
      <c r="G413" s="14">
        <f>IFERROR((VLOOKUP($A413,'[1]import success seats course'!$A:U,HLOOKUP('[1]Course Totals'!G$4,'[1]import success seats course'!$1:$2,2,FALSE),FALSE)/(VLOOKUP($A413,'[1]import graded seats course pivo'!$A:AE,HLOOKUP('[1]Course Totals'!G$4,'[1]import graded seats course pivo'!$1:$2,2,FALSE),FALSE))),"")</f>
        <v>0.88888888888888884</v>
      </c>
      <c r="H413" s="14" t="str">
        <f>IFERROR((VLOOKUP($A413,'[1]import success seats course'!$A:V,HLOOKUP('[1]Course Totals'!H$4,'[1]import success seats course'!$1:$2,2,FALSE),FALSE)/(VLOOKUP($A413,'[1]import graded seats course pivo'!$A:AF,HLOOKUP('[1]Course Totals'!H$4,'[1]import graded seats course pivo'!$1:$2,2,FALSE),FALSE))),"")</f>
        <v/>
      </c>
      <c r="I413" s="14">
        <f>IFERROR((VLOOKUP($A413,'[1]import success seats course'!$A:W,HLOOKUP('[1]Course Totals'!I$4,'[1]import success seats course'!$1:$2,2,FALSE),FALSE)/(VLOOKUP($A413,'[1]import graded seats course pivo'!$A:AG,HLOOKUP('[1]Course Totals'!I$4,'[1]import graded seats course pivo'!$1:$2,2,FALSE),FALSE))),"")</f>
        <v>1</v>
      </c>
      <c r="J413" s="14">
        <f>IFERROR((VLOOKUP($A413,'[1]import success seats course'!$A:X,HLOOKUP('[1]Course Totals'!J$4,'[1]import success seats course'!$1:$2,2,FALSE),FALSE)/(VLOOKUP($A413,'[1]import graded seats course pivo'!$A:AH,HLOOKUP('[1]Course Totals'!J$4,'[1]import graded seats course pivo'!$1:$2,2,FALSE),FALSE))),"")</f>
        <v>0.83333333333333337</v>
      </c>
      <c r="K413" s="14" t="str">
        <f>IFERROR((VLOOKUP($A413,'[1]import success seats course'!$A:Y,HLOOKUP('[1]Course Totals'!K$4,'[1]import success seats course'!$1:$2,2,FALSE),FALSE)/(VLOOKUP($A413,'[1]import graded seats course pivo'!$A:AI,HLOOKUP('[1]Course Totals'!K$4,'[1]import graded seats course pivo'!$1:$2,2,FALSE),FALSE))),"")</f>
        <v/>
      </c>
      <c r="L413" s="14">
        <f>IFERROR((VLOOKUP($A413,'[1]import success seats course'!$A:Z,HLOOKUP('[1]Course Totals'!L$4,'[1]import success seats course'!$1:$2,2,FALSE),FALSE)/(VLOOKUP($A413,'[1]import graded seats course pivo'!$A:AJ,HLOOKUP('[1]Course Totals'!L$4,'[1]import graded seats course pivo'!$1:$2,2,FALSE),FALSE))),"")</f>
        <v>0.875</v>
      </c>
      <c r="M413" s="14" t="str">
        <f>IFERROR((VLOOKUP($A413,'[1]import success seats course'!$A:AA,HLOOKUP('[1]Course Totals'!M$4,'[1]import success seats course'!$1:$2,2,FALSE),FALSE)/(VLOOKUP($A413,'[1]import graded seats course pivo'!$A:AK,HLOOKUP('[1]Course Totals'!M$4,'[1]import graded seats course pivo'!$1:$2,2,FALSE),FALSE))),"")</f>
        <v/>
      </c>
      <c r="N413" s="14" t="str">
        <f>IFERROR((VLOOKUP($A413,'[1]import success seats course'!$A:AB,HLOOKUP('[1]Course Totals'!N$4,'[1]import success seats course'!$1:$2,2,FALSE),FALSE)/(VLOOKUP($A413,'[1]import graded seats course pivo'!$A:AL,HLOOKUP('[1]Course Totals'!N$4,'[1]import graded seats course pivo'!$1:$2,2,FALSE),FALSE))),"")</f>
        <v/>
      </c>
      <c r="O413" s="14" t="str">
        <f>IFERROR((VLOOKUP($A413,'[1]import success seats course'!$A:AC,HLOOKUP('[1]Course Totals'!O$4,'[1]import success seats course'!$1:$2,2,FALSE),FALSE)/(VLOOKUP($A413,'[1]import graded seats course pivo'!$A:AM,HLOOKUP('[1]Course Totals'!O$4,'[1]import graded seats course pivo'!$1:$2,2,FALSE),FALSE))),"")</f>
        <v/>
      </c>
      <c r="P413" s="14" t="str">
        <f>IFERROR((VLOOKUP($A413,'[1]import success seats course'!$A:AD,HLOOKUP('[1]Course Totals'!P$4,'[1]import success seats course'!$1:$2,2,FALSE),FALSE)/(VLOOKUP($A413,'[1]import graded seats course pivo'!$A:AN,HLOOKUP('[1]Course Totals'!P$4,'[1]import graded seats course pivo'!$1:$2,2,FALSE),FALSE))),"")</f>
        <v/>
      </c>
      <c r="Q413" s="14" t="str">
        <f>IFERROR((VLOOKUP($A413,'[1]import success seats course'!$A:AE,HLOOKUP('[1]Course Totals'!Q$4,'[1]import success seats course'!$1:$2,2,FALSE),FALSE)/(VLOOKUP($A413,'[1]import graded seats course pivo'!$A:AO,HLOOKUP('[1]Course Totals'!Q$4,'[1]import graded seats course pivo'!$1:$2,2,FALSE),FALSE))),"")</f>
        <v/>
      </c>
      <c r="R413" s="14" t="str">
        <f>IFERROR((VLOOKUP($A413,'[1]import success seats course'!$A:AF,HLOOKUP('[1]Course Totals'!R$4,'[1]import success seats course'!$1:$2,2,FALSE),FALSE)/(VLOOKUP($A413,'[1]import graded seats course pivo'!$A:AP,HLOOKUP('[1]Course Totals'!R$4,'[1]import graded seats course pivo'!$1:$2,2,FALSE),FALSE))),"")</f>
        <v/>
      </c>
      <c r="S413" s="14" t="str">
        <f>IFERROR((VLOOKUP($A413,'[1]import success seats course'!$A:AG,HLOOKUP('[1]Course Totals'!S$4,'[1]import success seats course'!$1:$2,2,FALSE),FALSE)/(VLOOKUP($A413,'[1]import graded seats course pivo'!$A:AQ,HLOOKUP('[1]Course Totals'!S$4,'[1]import graded seats course pivo'!$1:$2,2,FALSE),FALSE))),"")</f>
        <v/>
      </c>
      <c r="Z413" s="7"/>
      <c r="AA413" s="7"/>
      <c r="AB413" s="7"/>
      <c r="AC413" s="7"/>
    </row>
    <row r="414" spans="1:29" ht="15.75" customHeight="1" x14ac:dyDescent="0.25">
      <c r="A414" s="12" t="s">
        <v>205</v>
      </c>
      <c r="B414" s="14" t="str">
        <f>IFERROR((VLOOKUP($A414,'[1]import success seats course'!$A:P,HLOOKUP('[1]Course Totals'!B$4,'[1]import success seats course'!$1:$2,2,FALSE),FALSE)/(VLOOKUP($A414,'[1]import graded seats course pivo'!$A:Z,HLOOKUP('[1]Course Totals'!B$4,'[1]import graded seats course pivo'!$1:$2,2,FALSE),FALSE))),"")</f>
        <v/>
      </c>
      <c r="C414" s="14">
        <f>IFERROR((VLOOKUP($A414,'[1]import success seats course'!$A:Q,HLOOKUP('[1]Course Totals'!C$4,'[1]import success seats course'!$1:$2,2,FALSE),FALSE)/(VLOOKUP($A414,'[1]import graded seats course pivo'!$A:AA,HLOOKUP('[1]Course Totals'!C$4,'[1]import graded seats course pivo'!$1:$2,2,FALSE),FALSE))),"")</f>
        <v>0.81395348837209303</v>
      </c>
      <c r="D414" s="14">
        <f>IFERROR((VLOOKUP($A414,'[1]import success seats course'!$A:R,HLOOKUP('[1]Course Totals'!D$4,'[1]import success seats course'!$1:$2,2,FALSE),FALSE)/(VLOOKUP($A414,'[1]import graded seats course pivo'!$A:AB,HLOOKUP('[1]Course Totals'!D$4,'[1]import graded seats course pivo'!$1:$2,2,FALSE),FALSE))),"")</f>
        <v>0.84848484848484851</v>
      </c>
      <c r="E414" s="14">
        <f>IFERROR((VLOOKUP($A414,'[1]import success seats course'!$A:S,HLOOKUP('[1]Course Totals'!E$4,'[1]import success seats course'!$1:$2,2,FALSE),FALSE)/(VLOOKUP($A414,'[1]import graded seats course pivo'!$A:AC,HLOOKUP('[1]Course Totals'!E$4,'[1]import graded seats course pivo'!$1:$2,2,FALSE),FALSE))),"")</f>
        <v>0.95652173913043481</v>
      </c>
      <c r="F414" s="14">
        <f>IFERROR((VLOOKUP($A414,'[1]import success seats course'!$A:T,HLOOKUP('[1]Course Totals'!F$4,'[1]import success seats course'!$1:$2,2,FALSE),FALSE)/(VLOOKUP($A414,'[1]import graded seats course pivo'!$A:AD,HLOOKUP('[1]Course Totals'!F$4,'[1]import graded seats course pivo'!$1:$2,2,FALSE),FALSE))),"")</f>
        <v>0.83333333333333337</v>
      </c>
      <c r="G414" s="14">
        <f>IFERROR((VLOOKUP($A414,'[1]import success seats course'!$A:U,HLOOKUP('[1]Course Totals'!G$4,'[1]import success seats course'!$1:$2,2,FALSE),FALSE)/(VLOOKUP($A414,'[1]import graded seats course pivo'!$A:AE,HLOOKUP('[1]Course Totals'!G$4,'[1]import graded seats course pivo'!$1:$2,2,FALSE),FALSE))),"")</f>
        <v>0.88</v>
      </c>
      <c r="H414" s="14" t="str">
        <f>IFERROR((VLOOKUP($A414,'[1]import success seats course'!$A:V,HLOOKUP('[1]Course Totals'!H$4,'[1]import success seats course'!$1:$2,2,FALSE),FALSE)/(VLOOKUP($A414,'[1]import graded seats course pivo'!$A:AF,HLOOKUP('[1]Course Totals'!H$4,'[1]import graded seats course pivo'!$1:$2,2,FALSE),FALSE))),"")</f>
        <v/>
      </c>
      <c r="I414" s="14">
        <f>IFERROR((VLOOKUP($A414,'[1]import success seats course'!$A:W,HLOOKUP('[1]Course Totals'!I$4,'[1]import success seats course'!$1:$2,2,FALSE),FALSE)/(VLOOKUP($A414,'[1]import graded seats course pivo'!$A:AG,HLOOKUP('[1]Course Totals'!I$4,'[1]import graded seats course pivo'!$1:$2,2,FALSE),FALSE))),"")</f>
        <v>0.92</v>
      </c>
      <c r="J414" s="14">
        <f>IFERROR((VLOOKUP($A414,'[1]import success seats course'!$A:X,HLOOKUP('[1]Course Totals'!J$4,'[1]import success seats course'!$1:$2,2,FALSE),FALSE)/(VLOOKUP($A414,'[1]import graded seats course pivo'!$A:AH,HLOOKUP('[1]Course Totals'!J$4,'[1]import graded seats course pivo'!$1:$2,2,FALSE),FALSE))),"")</f>
        <v>0.7857142857142857</v>
      </c>
      <c r="K414" s="14" t="str">
        <f>IFERROR((VLOOKUP($A414,'[1]import success seats course'!$A:Y,HLOOKUP('[1]Course Totals'!K$4,'[1]import success seats course'!$1:$2,2,FALSE),FALSE)/(VLOOKUP($A414,'[1]import graded seats course pivo'!$A:AI,HLOOKUP('[1]Course Totals'!K$4,'[1]import graded seats course pivo'!$1:$2,2,FALSE),FALSE))),"")</f>
        <v/>
      </c>
      <c r="L414" s="14">
        <f>IFERROR((VLOOKUP($A414,'[1]import success seats course'!$A:Z,HLOOKUP('[1]Course Totals'!L$4,'[1]import success seats course'!$1:$2,2,FALSE),FALSE)/(VLOOKUP($A414,'[1]import graded seats course pivo'!$A:AJ,HLOOKUP('[1]Course Totals'!L$4,'[1]import graded seats course pivo'!$1:$2,2,FALSE),FALSE))),"")</f>
        <v>0.96</v>
      </c>
      <c r="M414" s="14">
        <f>IFERROR((VLOOKUP($A414,'[1]import success seats course'!$A:AA,HLOOKUP('[1]Course Totals'!M$4,'[1]import success seats course'!$1:$2,2,FALSE),FALSE)/(VLOOKUP($A414,'[1]import graded seats course pivo'!$A:AK,HLOOKUP('[1]Course Totals'!M$4,'[1]import graded seats course pivo'!$1:$2,2,FALSE),FALSE))),"")</f>
        <v>0.95652173913043481</v>
      </c>
      <c r="N414" s="14" t="str">
        <f>IFERROR((VLOOKUP($A414,'[1]import success seats course'!$A:AB,HLOOKUP('[1]Course Totals'!N$4,'[1]import success seats course'!$1:$2,2,FALSE),FALSE)/(VLOOKUP($A414,'[1]import graded seats course pivo'!$A:AL,HLOOKUP('[1]Course Totals'!N$4,'[1]import graded seats course pivo'!$1:$2,2,FALSE),FALSE))),"")</f>
        <v/>
      </c>
      <c r="O414" s="14">
        <f>IFERROR((VLOOKUP($A414,'[1]import success seats course'!$A:AC,HLOOKUP('[1]Course Totals'!O$4,'[1]import success seats course'!$1:$2,2,FALSE),FALSE)/(VLOOKUP($A414,'[1]import graded seats course pivo'!$A:AM,HLOOKUP('[1]Course Totals'!O$4,'[1]import graded seats course pivo'!$1:$2,2,FALSE),FALSE))),"")</f>
        <v>1</v>
      </c>
      <c r="P414" s="14" t="str">
        <f>IFERROR((VLOOKUP($A414,'[1]import success seats course'!$A:AD,HLOOKUP('[1]Course Totals'!P$4,'[1]import success seats course'!$1:$2,2,FALSE),FALSE)/(VLOOKUP($A414,'[1]import graded seats course pivo'!$A:AN,HLOOKUP('[1]Course Totals'!P$4,'[1]import graded seats course pivo'!$1:$2,2,FALSE),FALSE))),"")</f>
        <v/>
      </c>
      <c r="Q414" s="14" t="str">
        <f>IFERROR((VLOOKUP($A414,'[1]import success seats course'!$A:AE,HLOOKUP('[1]Course Totals'!Q$4,'[1]import success seats course'!$1:$2,2,FALSE),FALSE)/(VLOOKUP($A414,'[1]import graded seats course pivo'!$A:AO,HLOOKUP('[1]Course Totals'!Q$4,'[1]import graded seats course pivo'!$1:$2,2,FALSE),FALSE))),"")</f>
        <v/>
      </c>
      <c r="R414" s="14">
        <f>IFERROR((VLOOKUP($A414,'[1]import success seats course'!$A:AF,HLOOKUP('[1]Course Totals'!R$4,'[1]import success seats course'!$1:$2,2,FALSE),FALSE)/(VLOOKUP($A414,'[1]import graded seats course pivo'!$A:AP,HLOOKUP('[1]Course Totals'!R$4,'[1]import graded seats course pivo'!$1:$2,2,FALSE),FALSE))),"")</f>
        <v>0.88</v>
      </c>
      <c r="S414" s="14">
        <f>IFERROR((VLOOKUP($A414,'[1]import success seats course'!$A:AG,HLOOKUP('[1]Course Totals'!S$4,'[1]import success seats course'!$1:$2,2,FALSE),FALSE)/(VLOOKUP($A414,'[1]import graded seats course pivo'!$A:AQ,HLOOKUP('[1]Course Totals'!S$4,'[1]import graded seats course pivo'!$1:$2,2,FALSE),FALSE))),"")</f>
        <v>0.76923076923076927</v>
      </c>
      <c r="Z414" s="7"/>
      <c r="AA414" s="7"/>
      <c r="AB414" s="7"/>
      <c r="AC414" s="7"/>
    </row>
    <row r="415" spans="1:29" ht="15.75" customHeight="1" x14ac:dyDescent="0.25">
      <c r="A415" s="12" t="s">
        <v>206</v>
      </c>
      <c r="B415" s="14" t="str">
        <f>IFERROR((VLOOKUP($A415,'[1]import success seats course'!$A:P,HLOOKUP('[1]Course Totals'!B$4,'[1]import success seats course'!$1:$2,2,FALSE),FALSE)/(VLOOKUP($A415,'[1]import graded seats course pivo'!$A:Z,HLOOKUP('[1]Course Totals'!B$4,'[1]import graded seats course pivo'!$1:$2,2,FALSE),FALSE))),"")</f>
        <v/>
      </c>
      <c r="C415" s="14">
        <f>IFERROR((VLOOKUP($A415,'[1]import success seats course'!$A:Q,HLOOKUP('[1]Course Totals'!C$4,'[1]import success seats course'!$1:$2,2,FALSE),FALSE)/(VLOOKUP($A415,'[1]import graded seats course pivo'!$A:AA,HLOOKUP('[1]Course Totals'!C$4,'[1]import graded seats course pivo'!$1:$2,2,FALSE),FALSE))),"")</f>
        <v>0.8571428571428571</v>
      </c>
      <c r="D415" s="14">
        <f>IFERROR((VLOOKUP($A415,'[1]import success seats course'!$A:R,HLOOKUP('[1]Course Totals'!D$4,'[1]import success seats course'!$1:$2,2,FALSE),FALSE)/(VLOOKUP($A415,'[1]import graded seats course pivo'!$A:AB,HLOOKUP('[1]Course Totals'!D$4,'[1]import graded seats course pivo'!$1:$2,2,FALSE),FALSE))),"")</f>
        <v>0.8571428571428571</v>
      </c>
      <c r="E415" s="14" t="str">
        <f>IFERROR((VLOOKUP($A415,'[1]import success seats course'!$A:S,HLOOKUP('[1]Course Totals'!E$4,'[1]import success seats course'!$1:$2,2,FALSE),FALSE)/(VLOOKUP($A415,'[1]import graded seats course pivo'!$A:AC,HLOOKUP('[1]Course Totals'!E$4,'[1]import graded seats course pivo'!$1:$2,2,FALSE),FALSE))),"")</f>
        <v/>
      </c>
      <c r="F415" s="14">
        <f>IFERROR((VLOOKUP($A415,'[1]import success seats course'!$A:T,HLOOKUP('[1]Course Totals'!F$4,'[1]import success seats course'!$1:$2,2,FALSE),FALSE)/(VLOOKUP($A415,'[1]import graded seats course pivo'!$A:AD,HLOOKUP('[1]Course Totals'!F$4,'[1]import graded seats course pivo'!$1:$2,2,FALSE),FALSE))),"")</f>
        <v>0.8666666666666667</v>
      </c>
      <c r="G415" s="14">
        <f>IFERROR((VLOOKUP($A415,'[1]import success seats course'!$A:U,HLOOKUP('[1]Course Totals'!G$4,'[1]import success seats course'!$1:$2,2,FALSE),FALSE)/(VLOOKUP($A415,'[1]import graded seats course pivo'!$A:AE,HLOOKUP('[1]Course Totals'!G$4,'[1]import graded seats course pivo'!$1:$2,2,FALSE),FALSE))),"")</f>
        <v>0.89473684210526316</v>
      </c>
      <c r="H415" s="14" t="str">
        <f>IFERROR((VLOOKUP($A415,'[1]import success seats course'!$A:V,HLOOKUP('[1]Course Totals'!H$4,'[1]import success seats course'!$1:$2,2,FALSE),FALSE)/(VLOOKUP($A415,'[1]import graded seats course pivo'!$A:AF,HLOOKUP('[1]Course Totals'!H$4,'[1]import graded seats course pivo'!$1:$2,2,FALSE),FALSE))),"")</f>
        <v/>
      </c>
      <c r="I415" s="14">
        <f>IFERROR((VLOOKUP($A415,'[1]import success seats course'!$A:W,HLOOKUP('[1]Course Totals'!I$4,'[1]import success seats course'!$1:$2,2,FALSE),FALSE)/(VLOOKUP($A415,'[1]import graded seats course pivo'!$A:AG,HLOOKUP('[1]Course Totals'!I$4,'[1]import graded seats course pivo'!$1:$2,2,FALSE),FALSE))),"")</f>
        <v>0.84210526315789469</v>
      </c>
      <c r="J415" s="14">
        <f>IFERROR((VLOOKUP($A415,'[1]import success seats course'!$A:X,HLOOKUP('[1]Course Totals'!J$4,'[1]import success seats course'!$1:$2,2,FALSE),FALSE)/(VLOOKUP($A415,'[1]import graded seats course pivo'!$A:AH,HLOOKUP('[1]Course Totals'!J$4,'[1]import graded seats course pivo'!$1:$2,2,FALSE),FALSE))),"")</f>
        <v>0.82758620689655171</v>
      </c>
      <c r="K415" s="14" t="str">
        <f>IFERROR((VLOOKUP($A415,'[1]import success seats course'!$A:Y,HLOOKUP('[1]Course Totals'!K$4,'[1]import success seats course'!$1:$2,2,FALSE),FALSE)/(VLOOKUP($A415,'[1]import graded seats course pivo'!$A:AI,HLOOKUP('[1]Course Totals'!K$4,'[1]import graded seats course pivo'!$1:$2,2,FALSE),FALSE))),"")</f>
        <v/>
      </c>
      <c r="L415" s="14">
        <f>IFERROR((VLOOKUP($A415,'[1]import success seats course'!$A:Z,HLOOKUP('[1]Course Totals'!L$4,'[1]import success seats course'!$1:$2,2,FALSE),FALSE)/(VLOOKUP($A415,'[1]import graded seats course pivo'!$A:AJ,HLOOKUP('[1]Course Totals'!L$4,'[1]import graded seats course pivo'!$1:$2,2,FALSE),FALSE))),"")</f>
        <v>0.96153846153846156</v>
      </c>
      <c r="M415" s="14">
        <f>IFERROR((VLOOKUP($A415,'[1]import success seats course'!$A:AA,HLOOKUP('[1]Course Totals'!M$4,'[1]import success seats course'!$1:$2,2,FALSE),FALSE)/(VLOOKUP($A415,'[1]import graded seats course pivo'!$A:AK,HLOOKUP('[1]Course Totals'!M$4,'[1]import graded seats course pivo'!$1:$2,2,FALSE),FALSE))),"")</f>
        <v>0.83333333333333337</v>
      </c>
      <c r="N415" s="14" t="str">
        <f>IFERROR((VLOOKUP($A415,'[1]import success seats course'!$A:AB,HLOOKUP('[1]Course Totals'!N$4,'[1]import success seats course'!$1:$2,2,FALSE),FALSE)/(VLOOKUP($A415,'[1]import graded seats course pivo'!$A:AL,HLOOKUP('[1]Course Totals'!N$4,'[1]import graded seats course pivo'!$1:$2,2,FALSE),FALSE))),"")</f>
        <v/>
      </c>
      <c r="O415" s="14" t="str">
        <f>IFERROR((VLOOKUP($A415,'[1]import success seats course'!$A:AC,HLOOKUP('[1]Course Totals'!O$4,'[1]import success seats course'!$1:$2,2,FALSE),FALSE)/(VLOOKUP($A415,'[1]import graded seats course pivo'!$A:AM,HLOOKUP('[1]Course Totals'!O$4,'[1]import graded seats course pivo'!$1:$2,2,FALSE),FALSE))),"")</f>
        <v/>
      </c>
      <c r="P415" s="14">
        <f>IFERROR((VLOOKUP($A415,'[1]import success seats course'!$A:AD,HLOOKUP('[1]Course Totals'!P$4,'[1]import success seats course'!$1:$2,2,FALSE),FALSE)/(VLOOKUP($A415,'[1]import graded seats course pivo'!$A:AN,HLOOKUP('[1]Course Totals'!P$4,'[1]import graded seats course pivo'!$1:$2,2,FALSE),FALSE))),"")</f>
        <v>0.8</v>
      </c>
      <c r="Q415" s="14" t="str">
        <f>IFERROR((VLOOKUP($A415,'[1]import success seats course'!$A:AE,HLOOKUP('[1]Course Totals'!Q$4,'[1]import success seats course'!$1:$2,2,FALSE),FALSE)/(VLOOKUP($A415,'[1]import graded seats course pivo'!$A:AO,HLOOKUP('[1]Course Totals'!Q$4,'[1]import graded seats course pivo'!$1:$2,2,FALSE),FALSE))),"")</f>
        <v/>
      </c>
      <c r="R415" s="14">
        <f>IFERROR((VLOOKUP($A415,'[1]import success seats course'!$A:AF,HLOOKUP('[1]Course Totals'!R$4,'[1]import success seats course'!$1:$2,2,FALSE),FALSE)/(VLOOKUP($A415,'[1]import graded seats course pivo'!$A:AP,HLOOKUP('[1]Course Totals'!R$4,'[1]import graded seats course pivo'!$1:$2,2,FALSE),FALSE))),"")</f>
        <v>0.875</v>
      </c>
      <c r="S415" s="14" t="str">
        <f>IFERROR((VLOOKUP($A415,'[1]import success seats course'!$A:AG,HLOOKUP('[1]Course Totals'!S$4,'[1]import success seats course'!$1:$2,2,FALSE),FALSE)/(VLOOKUP($A415,'[1]import graded seats course pivo'!$A:AQ,HLOOKUP('[1]Course Totals'!S$4,'[1]import graded seats course pivo'!$1:$2,2,FALSE),FALSE))),"")</f>
        <v/>
      </c>
      <c r="Z415" s="7"/>
      <c r="AA415" s="7"/>
      <c r="AB415" s="7"/>
      <c r="AC415" s="7"/>
    </row>
    <row r="416" spans="1:29" ht="15.75" customHeight="1" x14ac:dyDescent="0.25">
      <c r="A416" s="12" t="s">
        <v>207</v>
      </c>
      <c r="B416" s="14">
        <f>IFERROR((VLOOKUP($A416,'[1]import success seats course'!$A:P,HLOOKUP('[1]Course Totals'!B$4,'[1]import success seats course'!$1:$2,2,FALSE),FALSE)/(VLOOKUP($A416,'[1]import graded seats course pivo'!$A:Z,HLOOKUP('[1]Course Totals'!B$4,'[1]import graded seats course pivo'!$1:$2,2,FALSE),FALSE))),"")</f>
        <v>0.9285714285714286</v>
      </c>
      <c r="C416" s="14">
        <f>IFERROR((VLOOKUP($A416,'[1]import success seats course'!$A:Q,HLOOKUP('[1]Course Totals'!C$4,'[1]import success seats course'!$1:$2,2,FALSE),FALSE)/(VLOOKUP($A416,'[1]import graded seats course pivo'!$A:AA,HLOOKUP('[1]Course Totals'!C$4,'[1]import graded seats course pivo'!$1:$2,2,FALSE),FALSE))),"")</f>
        <v>0.7678571428571429</v>
      </c>
      <c r="D416" s="14">
        <f>IFERROR((VLOOKUP($A416,'[1]import success seats course'!$A:R,HLOOKUP('[1]Course Totals'!D$4,'[1]import success seats course'!$1:$2,2,FALSE),FALSE)/(VLOOKUP($A416,'[1]import graded seats course pivo'!$A:AB,HLOOKUP('[1]Course Totals'!D$4,'[1]import graded seats course pivo'!$1:$2,2,FALSE),FALSE))),"")</f>
        <v>0.625</v>
      </c>
      <c r="E416" s="14">
        <f>IFERROR((VLOOKUP($A416,'[1]import success seats course'!$A:S,HLOOKUP('[1]Course Totals'!E$4,'[1]import success seats course'!$1:$2,2,FALSE),FALSE)/(VLOOKUP($A416,'[1]import graded seats course pivo'!$A:AC,HLOOKUP('[1]Course Totals'!E$4,'[1]import graded seats course pivo'!$1:$2,2,FALSE),FALSE))),"")</f>
        <v>0.94285714285714284</v>
      </c>
      <c r="F416" s="14">
        <f>IFERROR((VLOOKUP($A416,'[1]import success seats course'!$A:T,HLOOKUP('[1]Course Totals'!F$4,'[1]import success seats course'!$1:$2,2,FALSE),FALSE)/(VLOOKUP($A416,'[1]import graded seats course pivo'!$A:AD,HLOOKUP('[1]Course Totals'!F$4,'[1]import graded seats course pivo'!$1:$2,2,FALSE),FALSE))),"")</f>
        <v>0.86792452830188682</v>
      </c>
      <c r="G416" s="14">
        <f>IFERROR((VLOOKUP($A416,'[1]import success seats course'!$A:U,HLOOKUP('[1]Course Totals'!G$4,'[1]import success seats course'!$1:$2,2,FALSE),FALSE)/(VLOOKUP($A416,'[1]import graded seats course pivo'!$A:AE,HLOOKUP('[1]Course Totals'!G$4,'[1]import graded seats course pivo'!$1:$2,2,FALSE),FALSE))),"")</f>
        <v>0.84782608695652173</v>
      </c>
      <c r="H416" s="14" t="str">
        <f>IFERROR((VLOOKUP($A416,'[1]import success seats course'!$A:V,HLOOKUP('[1]Course Totals'!H$4,'[1]import success seats course'!$1:$2,2,FALSE),FALSE)/(VLOOKUP($A416,'[1]import graded seats course pivo'!$A:AF,HLOOKUP('[1]Course Totals'!H$4,'[1]import graded seats course pivo'!$1:$2,2,FALSE),FALSE))),"")</f>
        <v/>
      </c>
      <c r="I416" s="14">
        <f>IFERROR((VLOOKUP($A416,'[1]import success seats course'!$A:W,HLOOKUP('[1]Course Totals'!I$4,'[1]import success seats course'!$1:$2,2,FALSE),FALSE)/(VLOOKUP($A416,'[1]import graded seats course pivo'!$A:AG,HLOOKUP('[1]Course Totals'!I$4,'[1]import graded seats course pivo'!$1:$2,2,FALSE),FALSE))),"")</f>
        <v>0.88461538461538458</v>
      </c>
      <c r="J416" s="14">
        <f>IFERROR((VLOOKUP($A416,'[1]import success seats course'!$A:X,HLOOKUP('[1]Course Totals'!J$4,'[1]import success seats course'!$1:$2,2,FALSE),FALSE)/(VLOOKUP($A416,'[1]import graded seats course pivo'!$A:AH,HLOOKUP('[1]Course Totals'!J$4,'[1]import graded seats course pivo'!$1:$2,2,FALSE),FALSE))),"")</f>
        <v>0.83673469387755106</v>
      </c>
      <c r="K416" s="14" t="str">
        <f>IFERROR((VLOOKUP($A416,'[1]import success seats course'!$A:Y,HLOOKUP('[1]Course Totals'!K$4,'[1]import success seats course'!$1:$2,2,FALSE),FALSE)/(VLOOKUP($A416,'[1]import graded seats course pivo'!$A:AI,HLOOKUP('[1]Course Totals'!K$4,'[1]import graded seats course pivo'!$1:$2,2,FALSE),FALSE))),"")</f>
        <v/>
      </c>
      <c r="L416" s="14">
        <f>IFERROR((VLOOKUP($A416,'[1]import success seats course'!$A:Z,HLOOKUP('[1]Course Totals'!L$4,'[1]import success seats course'!$1:$2,2,FALSE),FALSE)/(VLOOKUP($A416,'[1]import graded seats course pivo'!$A:AJ,HLOOKUP('[1]Course Totals'!L$4,'[1]import graded seats course pivo'!$1:$2,2,FALSE),FALSE))),"")</f>
        <v>0.86956521739130432</v>
      </c>
      <c r="M416" s="14" t="str">
        <f>IFERROR((VLOOKUP($A416,'[1]import success seats course'!$A:AA,HLOOKUP('[1]Course Totals'!M$4,'[1]import success seats course'!$1:$2,2,FALSE),FALSE)/(VLOOKUP($A416,'[1]import graded seats course pivo'!$A:AK,HLOOKUP('[1]Course Totals'!M$4,'[1]import graded seats course pivo'!$1:$2,2,FALSE),FALSE))),"")</f>
        <v/>
      </c>
      <c r="N416" s="14" t="str">
        <f>IFERROR((VLOOKUP($A416,'[1]import success seats course'!$A:AB,HLOOKUP('[1]Course Totals'!N$4,'[1]import success seats course'!$1:$2,2,FALSE),FALSE)/(VLOOKUP($A416,'[1]import graded seats course pivo'!$A:AL,HLOOKUP('[1]Course Totals'!N$4,'[1]import graded seats course pivo'!$1:$2,2,FALSE),FALSE))),"")</f>
        <v/>
      </c>
      <c r="O416" s="14">
        <f>IFERROR((VLOOKUP($A416,'[1]import success seats course'!$A:AC,HLOOKUP('[1]Course Totals'!O$4,'[1]import success seats course'!$1:$2,2,FALSE),FALSE)/(VLOOKUP($A416,'[1]import graded seats course pivo'!$A:AM,HLOOKUP('[1]Course Totals'!O$4,'[1]import graded seats course pivo'!$1:$2,2,FALSE),FALSE))),"")</f>
        <v>1</v>
      </c>
      <c r="P416" s="14">
        <f>IFERROR((VLOOKUP($A416,'[1]import success seats course'!$A:AD,HLOOKUP('[1]Course Totals'!P$4,'[1]import success seats course'!$1:$2,2,FALSE),FALSE)/(VLOOKUP($A416,'[1]import graded seats course pivo'!$A:AN,HLOOKUP('[1]Course Totals'!P$4,'[1]import graded seats course pivo'!$1:$2,2,FALSE),FALSE))),"")</f>
        <v>0.76923076923076927</v>
      </c>
      <c r="Q416" s="14" t="str">
        <f>IFERROR((VLOOKUP($A416,'[1]import success seats course'!$A:AE,HLOOKUP('[1]Course Totals'!Q$4,'[1]import success seats course'!$1:$2,2,FALSE),FALSE)/(VLOOKUP($A416,'[1]import graded seats course pivo'!$A:AO,HLOOKUP('[1]Course Totals'!Q$4,'[1]import graded seats course pivo'!$1:$2,2,FALSE),FALSE))),"")</f>
        <v/>
      </c>
      <c r="R416" s="14">
        <f>IFERROR((VLOOKUP($A416,'[1]import success seats course'!$A:AF,HLOOKUP('[1]Course Totals'!R$4,'[1]import success seats course'!$1:$2,2,FALSE),FALSE)/(VLOOKUP($A416,'[1]import graded seats course pivo'!$A:AP,HLOOKUP('[1]Course Totals'!R$4,'[1]import graded seats course pivo'!$1:$2,2,FALSE),FALSE))),"")</f>
        <v>0.83333333333333337</v>
      </c>
      <c r="S416" s="14">
        <f>IFERROR((VLOOKUP($A416,'[1]import success seats course'!$A:AG,HLOOKUP('[1]Course Totals'!S$4,'[1]import success seats course'!$1:$2,2,FALSE),FALSE)/(VLOOKUP($A416,'[1]import graded seats course pivo'!$A:AQ,HLOOKUP('[1]Course Totals'!S$4,'[1]import graded seats course pivo'!$1:$2,2,FALSE),FALSE))),"")</f>
        <v>0.88</v>
      </c>
      <c r="Z416" s="7"/>
      <c r="AA416" s="7"/>
      <c r="AB416" s="7"/>
      <c r="AC416" s="7"/>
    </row>
    <row r="417" spans="1:29" ht="15.75" customHeight="1" x14ac:dyDescent="0.25">
      <c r="A417" s="12" t="s">
        <v>208</v>
      </c>
      <c r="B417" s="14" t="str">
        <f>IFERROR((VLOOKUP($A417,'[1]import success seats course'!$A:P,HLOOKUP('[1]Course Totals'!B$4,'[1]import success seats course'!$1:$2,2,FALSE),FALSE)/(VLOOKUP($A417,'[1]import graded seats course pivo'!$A:Z,HLOOKUP('[1]Course Totals'!B$4,'[1]import graded seats course pivo'!$1:$2,2,FALSE),FALSE))),"")</f>
        <v/>
      </c>
      <c r="C417" s="14">
        <f>IFERROR((VLOOKUP($A417,'[1]import success seats course'!$A:Q,HLOOKUP('[1]Course Totals'!C$4,'[1]import success seats course'!$1:$2,2,FALSE),FALSE)/(VLOOKUP($A417,'[1]import graded seats course pivo'!$A:AA,HLOOKUP('[1]Course Totals'!C$4,'[1]import graded seats course pivo'!$1:$2,2,FALSE),FALSE))),"")</f>
        <v>0.68421052631578949</v>
      </c>
      <c r="D417" s="14">
        <f>IFERROR((VLOOKUP($A417,'[1]import success seats course'!$A:R,HLOOKUP('[1]Course Totals'!D$4,'[1]import success seats course'!$1:$2,2,FALSE),FALSE)/(VLOOKUP($A417,'[1]import graded seats course pivo'!$A:AB,HLOOKUP('[1]Course Totals'!D$4,'[1]import graded seats course pivo'!$1:$2,2,FALSE),FALSE))),"")</f>
        <v>0.5</v>
      </c>
      <c r="E417" s="14" t="str">
        <f>IFERROR((VLOOKUP($A417,'[1]import success seats course'!$A:S,HLOOKUP('[1]Course Totals'!E$4,'[1]import success seats course'!$1:$2,2,FALSE),FALSE)/(VLOOKUP($A417,'[1]import graded seats course pivo'!$A:AC,HLOOKUP('[1]Course Totals'!E$4,'[1]import graded seats course pivo'!$1:$2,2,FALSE),FALSE))),"")</f>
        <v/>
      </c>
      <c r="F417" s="14">
        <f>IFERROR((VLOOKUP($A417,'[1]import success seats course'!$A:T,HLOOKUP('[1]Course Totals'!F$4,'[1]import success seats course'!$1:$2,2,FALSE),FALSE)/(VLOOKUP($A417,'[1]import graded seats course pivo'!$A:AD,HLOOKUP('[1]Course Totals'!F$4,'[1]import graded seats course pivo'!$1:$2,2,FALSE),FALSE))),"")</f>
        <v>0.81481481481481477</v>
      </c>
      <c r="G417" s="14" t="str">
        <f>IFERROR((VLOOKUP($A417,'[1]import success seats course'!$A:U,HLOOKUP('[1]Course Totals'!G$4,'[1]import success seats course'!$1:$2,2,FALSE),FALSE)/(VLOOKUP($A417,'[1]import graded seats course pivo'!$A:AE,HLOOKUP('[1]Course Totals'!G$4,'[1]import graded seats course pivo'!$1:$2,2,FALSE),FALSE))),"")</f>
        <v/>
      </c>
      <c r="H417" s="14" t="str">
        <f>IFERROR((VLOOKUP($A417,'[1]import success seats course'!$A:V,HLOOKUP('[1]Course Totals'!H$4,'[1]import success seats course'!$1:$2,2,FALSE),FALSE)/(VLOOKUP($A417,'[1]import graded seats course pivo'!$A:AF,HLOOKUP('[1]Course Totals'!H$4,'[1]import graded seats course pivo'!$1:$2,2,FALSE),FALSE))),"")</f>
        <v/>
      </c>
      <c r="I417" s="14">
        <f>IFERROR((VLOOKUP($A417,'[1]import success seats course'!$A:W,HLOOKUP('[1]Course Totals'!I$4,'[1]import success seats course'!$1:$2,2,FALSE),FALSE)/(VLOOKUP($A417,'[1]import graded seats course pivo'!$A:AG,HLOOKUP('[1]Course Totals'!I$4,'[1]import graded seats course pivo'!$1:$2,2,FALSE),FALSE))),"")</f>
        <v>0.8</v>
      </c>
      <c r="J417" s="14" t="str">
        <f>IFERROR((VLOOKUP($A417,'[1]import success seats course'!$A:X,HLOOKUP('[1]Course Totals'!J$4,'[1]import success seats course'!$1:$2,2,FALSE),FALSE)/(VLOOKUP($A417,'[1]import graded seats course pivo'!$A:AH,HLOOKUP('[1]Course Totals'!J$4,'[1]import graded seats course pivo'!$1:$2,2,FALSE),FALSE))),"")</f>
        <v/>
      </c>
      <c r="K417" s="14" t="str">
        <f>IFERROR((VLOOKUP($A417,'[1]import success seats course'!$A:Y,HLOOKUP('[1]Course Totals'!K$4,'[1]import success seats course'!$1:$2,2,FALSE),FALSE)/(VLOOKUP($A417,'[1]import graded seats course pivo'!$A:AI,HLOOKUP('[1]Course Totals'!K$4,'[1]import graded seats course pivo'!$1:$2,2,FALSE),FALSE))),"")</f>
        <v/>
      </c>
      <c r="L417" s="14" t="str">
        <f>IFERROR((VLOOKUP($A417,'[1]import success seats course'!$A:Z,HLOOKUP('[1]Course Totals'!L$4,'[1]import success seats course'!$1:$2,2,FALSE),FALSE)/(VLOOKUP($A417,'[1]import graded seats course pivo'!$A:AJ,HLOOKUP('[1]Course Totals'!L$4,'[1]import graded seats course pivo'!$1:$2,2,FALSE),FALSE))),"")</f>
        <v/>
      </c>
      <c r="M417" s="14" t="str">
        <f>IFERROR((VLOOKUP($A417,'[1]import success seats course'!$A:AA,HLOOKUP('[1]Course Totals'!M$4,'[1]import success seats course'!$1:$2,2,FALSE),FALSE)/(VLOOKUP($A417,'[1]import graded seats course pivo'!$A:AK,HLOOKUP('[1]Course Totals'!M$4,'[1]import graded seats course pivo'!$1:$2,2,FALSE),FALSE))),"")</f>
        <v/>
      </c>
      <c r="N417" s="14" t="str">
        <f>IFERROR((VLOOKUP($A417,'[1]import success seats course'!$A:AB,HLOOKUP('[1]Course Totals'!N$4,'[1]import success seats course'!$1:$2,2,FALSE),FALSE)/(VLOOKUP($A417,'[1]import graded seats course pivo'!$A:AL,HLOOKUP('[1]Course Totals'!N$4,'[1]import graded seats course pivo'!$1:$2,2,FALSE),FALSE))),"")</f>
        <v/>
      </c>
      <c r="O417" s="14">
        <f>IFERROR((VLOOKUP($A417,'[1]import success seats course'!$A:AC,HLOOKUP('[1]Course Totals'!O$4,'[1]import success seats course'!$1:$2,2,FALSE),FALSE)/(VLOOKUP($A417,'[1]import graded seats course pivo'!$A:AM,HLOOKUP('[1]Course Totals'!O$4,'[1]import graded seats course pivo'!$1:$2,2,FALSE),FALSE))),"")</f>
        <v>0.84</v>
      </c>
      <c r="P417" s="14" t="str">
        <f>IFERROR((VLOOKUP($A417,'[1]import success seats course'!$A:AD,HLOOKUP('[1]Course Totals'!P$4,'[1]import success seats course'!$1:$2,2,FALSE),FALSE)/(VLOOKUP($A417,'[1]import graded seats course pivo'!$A:AN,HLOOKUP('[1]Course Totals'!P$4,'[1]import graded seats course pivo'!$1:$2,2,FALSE),FALSE))),"")</f>
        <v/>
      </c>
      <c r="Q417" s="14" t="str">
        <f>IFERROR((VLOOKUP($A417,'[1]import success seats course'!$A:AE,HLOOKUP('[1]Course Totals'!Q$4,'[1]import success seats course'!$1:$2,2,FALSE),FALSE)/(VLOOKUP($A417,'[1]import graded seats course pivo'!$A:AO,HLOOKUP('[1]Course Totals'!Q$4,'[1]import graded seats course pivo'!$1:$2,2,FALSE),FALSE))),"")</f>
        <v/>
      </c>
      <c r="R417" s="14" t="str">
        <f>IFERROR((VLOOKUP($A417,'[1]import success seats course'!$A:AF,HLOOKUP('[1]Course Totals'!R$4,'[1]import success seats course'!$1:$2,2,FALSE),FALSE)/(VLOOKUP($A417,'[1]import graded seats course pivo'!$A:AP,HLOOKUP('[1]Course Totals'!R$4,'[1]import graded seats course pivo'!$1:$2,2,FALSE),FALSE))),"")</f>
        <v/>
      </c>
      <c r="S417" s="14" t="str">
        <f>IFERROR((VLOOKUP($A417,'[1]import success seats course'!$A:AG,HLOOKUP('[1]Course Totals'!S$4,'[1]import success seats course'!$1:$2,2,FALSE),FALSE)/(VLOOKUP($A417,'[1]import graded seats course pivo'!$A:AQ,HLOOKUP('[1]Course Totals'!S$4,'[1]import graded seats course pivo'!$1:$2,2,FALSE),FALSE))),"")</f>
        <v/>
      </c>
      <c r="Z417" s="7"/>
      <c r="AA417" s="7"/>
      <c r="AB417" s="7"/>
      <c r="AC417" s="7"/>
    </row>
    <row r="418" spans="1:29" ht="15.75" customHeight="1" x14ac:dyDescent="0.25">
      <c r="A418" s="12" t="s">
        <v>209</v>
      </c>
      <c r="B418" s="14" t="str">
        <f>IFERROR((VLOOKUP($A418,'[1]import success seats course'!$A:P,HLOOKUP('[1]Course Totals'!B$4,'[1]import success seats course'!$1:$2,2,FALSE),FALSE)/(VLOOKUP($A418,'[1]import graded seats course pivo'!$A:Z,HLOOKUP('[1]Course Totals'!B$4,'[1]import graded seats course pivo'!$1:$2,2,FALSE),FALSE))),"")</f>
        <v/>
      </c>
      <c r="C418" s="14">
        <f>IFERROR((VLOOKUP($A418,'[1]import success seats course'!$A:Q,HLOOKUP('[1]Course Totals'!C$4,'[1]import success seats course'!$1:$2,2,FALSE),FALSE)/(VLOOKUP($A418,'[1]import graded seats course pivo'!$A:AA,HLOOKUP('[1]Course Totals'!C$4,'[1]import graded seats course pivo'!$1:$2,2,FALSE),FALSE))),"")</f>
        <v>0.66666666666666663</v>
      </c>
      <c r="D418" s="14">
        <f>IFERROR((VLOOKUP($A418,'[1]import success seats course'!$A:R,HLOOKUP('[1]Course Totals'!D$4,'[1]import success seats course'!$1:$2,2,FALSE),FALSE)/(VLOOKUP($A418,'[1]import graded seats course pivo'!$A:AB,HLOOKUP('[1]Course Totals'!D$4,'[1]import graded seats course pivo'!$1:$2,2,FALSE),FALSE))),"")</f>
        <v>0.93333333333333335</v>
      </c>
      <c r="E418" s="14" t="str">
        <f>IFERROR((VLOOKUP($A418,'[1]import success seats course'!$A:S,HLOOKUP('[1]Course Totals'!E$4,'[1]import success seats course'!$1:$2,2,FALSE),FALSE)/(VLOOKUP($A418,'[1]import graded seats course pivo'!$A:AC,HLOOKUP('[1]Course Totals'!E$4,'[1]import graded seats course pivo'!$1:$2,2,FALSE),FALSE))),"")</f>
        <v/>
      </c>
      <c r="F418" s="14">
        <f>IFERROR((VLOOKUP($A418,'[1]import success seats course'!$A:T,HLOOKUP('[1]Course Totals'!F$4,'[1]import success seats course'!$1:$2,2,FALSE),FALSE)/(VLOOKUP($A418,'[1]import graded seats course pivo'!$A:AD,HLOOKUP('[1]Course Totals'!F$4,'[1]import graded seats course pivo'!$1:$2,2,FALSE),FALSE))),"")</f>
        <v>0.90909090909090906</v>
      </c>
      <c r="G418" s="14">
        <f>IFERROR((VLOOKUP($A418,'[1]import success seats course'!$A:U,HLOOKUP('[1]Course Totals'!G$4,'[1]import success seats course'!$1:$2,2,FALSE),FALSE)/(VLOOKUP($A418,'[1]import graded seats course pivo'!$A:AE,HLOOKUP('[1]Course Totals'!G$4,'[1]import graded seats course pivo'!$1:$2,2,FALSE),FALSE))),"")</f>
        <v>0.80952380952380953</v>
      </c>
      <c r="H418" s="14" t="str">
        <f>IFERROR((VLOOKUP($A418,'[1]import success seats course'!$A:V,HLOOKUP('[1]Course Totals'!H$4,'[1]import success seats course'!$1:$2,2,FALSE),FALSE)/(VLOOKUP($A418,'[1]import graded seats course pivo'!$A:AF,HLOOKUP('[1]Course Totals'!H$4,'[1]import graded seats course pivo'!$1:$2,2,FALSE),FALSE))),"")</f>
        <v/>
      </c>
      <c r="I418" s="14">
        <f>IFERROR((VLOOKUP($A418,'[1]import success seats course'!$A:W,HLOOKUP('[1]Course Totals'!I$4,'[1]import success seats course'!$1:$2,2,FALSE),FALSE)/(VLOOKUP($A418,'[1]import graded seats course pivo'!$A:AG,HLOOKUP('[1]Course Totals'!I$4,'[1]import graded seats course pivo'!$1:$2,2,FALSE),FALSE))),"")</f>
        <v>0.9</v>
      </c>
      <c r="J418" s="14">
        <f>IFERROR((VLOOKUP($A418,'[1]import success seats course'!$A:X,HLOOKUP('[1]Course Totals'!J$4,'[1]import success seats course'!$1:$2,2,FALSE),FALSE)/(VLOOKUP($A418,'[1]import graded seats course pivo'!$A:AH,HLOOKUP('[1]Course Totals'!J$4,'[1]import graded seats course pivo'!$1:$2,2,FALSE),FALSE))),"")</f>
        <v>0.83333333333333337</v>
      </c>
      <c r="K418" s="14" t="str">
        <f>IFERROR((VLOOKUP($A418,'[1]import success seats course'!$A:Y,HLOOKUP('[1]Course Totals'!K$4,'[1]import success seats course'!$1:$2,2,FALSE),FALSE)/(VLOOKUP($A418,'[1]import graded seats course pivo'!$A:AI,HLOOKUP('[1]Course Totals'!K$4,'[1]import graded seats course pivo'!$1:$2,2,FALSE),FALSE))),"")</f>
        <v/>
      </c>
      <c r="L418" s="14">
        <f>IFERROR((VLOOKUP($A418,'[1]import success seats course'!$A:Z,HLOOKUP('[1]Course Totals'!L$4,'[1]import success seats course'!$1:$2,2,FALSE),FALSE)/(VLOOKUP($A418,'[1]import graded seats course pivo'!$A:AJ,HLOOKUP('[1]Course Totals'!L$4,'[1]import graded seats course pivo'!$1:$2,2,FALSE),FALSE))),"")</f>
        <v>0.95</v>
      </c>
      <c r="M418" s="14">
        <f>IFERROR((VLOOKUP($A418,'[1]import success seats course'!$A:AA,HLOOKUP('[1]Course Totals'!M$4,'[1]import success seats course'!$1:$2,2,FALSE),FALSE)/(VLOOKUP($A418,'[1]import graded seats course pivo'!$A:AK,HLOOKUP('[1]Course Totals'!M$4,'[1]import graded seats course pivo'!$1:$2,2,FALSE),FALSE))),"")</f>
        <v>0.88</v>
      </c>
      <c r="N418" s="14" t="str">
        <f>IFERROR((VLOOKUP($A418,'[1]import success seats course'!$A:AB,HLOOKUP('[1]Course Totals'!N$4,'[1]import success seats course'!$1:$2,2,FALSE),FALSE)/(VLOOKUP($A418,'[1]import graded seats course pivo'!$A:AL,HLOOKUP('[1]Course Totals'!N$4,'[1]import graded seats course pivo'!$1:$2,2,FALSE),FALSE))),"")</f>
        <v/>
      </c>
      <c r="O418" s="14">
        <f>IFERROR((VLOOKUP($A418,'[1]import success seats course'!$A:AC,HLOOKUP('[1]Course Totals'!O$4,'[1]import success seats course'!$1:$2,2,FALSE),FALSE)/(VLOOKUP($A418,'[1]import graded seats course pivo'!$A:AM,HLOOKUP('[1]Course Totals'!O$4,'[1]import graded seats course pivo'!$1:$2,2,FALSE),FALSE))),"")</f>
        <v>0.95</v>
      </c>
      <c r="P418" s="14" t="str">
        <f>IFERROR((VLOOKUP($A418,'[1]import success seats course'!$A:AD,HLOOKUP('[1]Course Totals'!P$4,'[1]import success seats course'!$1:$2,2,FALSE),FALSE)/(VLOOKUP($A418,'[1]import graded seats course pivo'!$A:AN,HLOOKUP('[1]Course Totals'!P$4,'[1]import graded seats course pivo'!$1:$2,2,FALSE),FALSE))),"")</f>
        <v/>
      </c>
      <c r="Q418" s="14" t="str">
        <f>IFERROR((VLOOKUP($A418,'[1]import success seats course'!$A:AE,HLOOKUP('[1]Course Totals'!Q$4,'[1]import success seats course'!$1:$2,2,FALSE),FALSE)/(VLOOKUP($A418,'[1]import graded seats course pivo'!$A:AO,HLOOKUP('[1]Course Totals'!Q$4,'[1]import graded seats course pivo'!$1:$2,2,FALSE),FALSE))),"")</f>
        <v/>
      </c>
      <c r="R418" s="14">
        <f>IFERROR((VLOOKUP($A418,'[1]import success seats course'!$A:AF,HLOOKUP('[1]Course Totals'!R$4,'[1]import success seats course'!$1:$2,2,FALSE),FALSE)/(VLOOKUP($A418,'[1]import graded seats course pivo'!$A:AP,HLOOKUP('[1]Course Totals'!R$4,'[1]import graded seats course pivo'!$1:$2,2,FALSE),FALSE))),"")</f>
        <v>0.8</v>
      </c>
      <c r="S418" s="14">
        <f>IFERROR((VLOOKUP($A418,'[1]import success seats course'!$A:AG,HLOOKUP('[1]Course Totals'!S$4,'[1]import success seats course'!$1:$2,2,FALSE),FALSE)/(VLOOKUP($A418,'[1]import graded seats course pivo'!$A:AQ,HLOOKUP('[1]Course Totals'!S$4,'[1]import graded seats course pivo'!$1:$2,2,FALSE),FALSE))),"")</f>
        <v>1</v>
      </c>
      <c r="Z418" s="7"/>
      <c r="AA418" s="7"/>
      <c r="AB418" s="7"/>
      <c r="AC418" s="7"/>
    </row>
    <row r="419" spans="1:29" ht="15.75" customHeight="1" x14ac:dyDescent="0.25">
      <c r="A419" s="12" t="s">
        <v>210</v>
      </c>
      <c r="B419" s="14" t="str">
        <f>IFERROR((VLOOKUP($A419,'[1]import success seats course'!$A:P,HLOOKUP('[1]Course Totals'!B$4,'[1]import success seats course'!$1:$2,2,FALSE),FALSE)/(VLOOKUP($A419,'[1]import graded seats course pivo'!$A:Z,HLOOKUP('[1]Course Totals'!B$4,'[1]import graded seats course pivo'!$1:$2,2,FALSE),FALSE))),"")</f>
        <v/>
      </c>
      <c r="C419" s="14" t="str">
        <f>IFERROR((VLOOKUP($A419,'[1]import success seats course'!$A:Q,HLOOKUP('[1]Course Totals'!C$4,'[1]import success seats course'!$1:$2,2,FALSE),FALSE)/(VLOOKUP($A419,'[1]import graded seats course pivo'!$A:AA,HLOOKUP('[1]Course Totals'!C$4,'[1]import graded seats course pivo'!$1:$2,2,FALSE),FALSE))),"")</f>
        <v/>
      </c>
      <c r="D419" s="14">
        <f>IFERROR((VLOOKUP($A419,'[1]import success seats course'!$A:R,HLOOKUP('[1]Course Totals'!D$4,'[1]import success seats course'!$1:$2,2,FALSE),FALSE)/(VLOOKUP($A419,'[1]import graded seats course pivo'!$A:AB,HLOOKUP('[1]Course Totals'!D$4,'[1]import graded seats course pivo'!$1:$2,2,FALSE),FALSE))),"")</f>
        <v>1</v>
      </c>
      <c r="E419" s="14" t="str">
        <f>IFERROR((VLOOKUP($A419,'[1]import success seats course'!$A:S,HLOOKUP('[1]Course Totals'!E$4,'[1]import success seats course'!$1:$2,2,FALSE),FALSE)/(VLOOKUP($A419,'[1]import graded seats course pivo'!$A:AC,HLOOKUP('[1]Course Totals'!E$4,'[1]import graded seats course pivo'!$1:$2,2,FALSE),FALSE))),"")</f>
        <v/>
      </c>
      <c r="F419" s="14" t="str">
        <f>IFERROR((VLOOKUP($A419,'[1]import success seats course'!$A:T,HLOOKUP('[1]Course Totals'!F$4,'[1]import success seats course'!$1:$2,2,FALSE),FALSE)/(VLOOKUP($A419,'[1]import graded seats course pivo'!$A:AD,HLOOKUP('[1]Course Totals'!F$4,'[1]import graded seats course pivo'!$1:$2,2,FALSE),FALSE))),"")</f>
        <v/>
      </c>
      <c r="G419" s="14" t="str">
        <f>IFERROR((VLOOKUP($A419,'[1]import success seats course'!$A:U,HLOOKUP('[1]Course Totals'!G$4,'[1]import success seats course'!$1:$2,2,FALSE),FALSE)/(VLOOKUP($A419,'[1]import graded seats course pivo'!$A:AE,HLOOKUP('[1]Course Totals'!G$4,'[1]import graded seats course pivo'!$1:$2,2,FALSE),FALSE))),"")</f>
        <v/>
      </c>
      <c r="H419" s="14" t="str">
        <f>IFERROR((VLOOKUP($A419,'[1]import success seats course'!$A:V,HLOOKUP('[1]Course Totals'!H$4,'[1]import success seats course'!$1:$2,2,FALSE),FALSE)/(VLOOKUP($A419,'[1]import graded seats course pivo'!$A:AF,HLOOKUP('[1]Course Totals'!H$4,'[1]import graded seats course pivo'!$1:$2,2,FALSE),FALSE))),"")</f>
        <v/>
      </c>
      <c r="I419" s="14" t="str">
        <f>IFERROR((VLOOKUP($A419,'[1]import success seats course'!$A:W,HLOOKUP('[1]Course Totals'!I$4,'[1]import success seats course'!$1:$2,2,FALSE),FALSE)/(VLOOKUP($A419,'[1]import graded seats course pivo'!$A:AG,HLOOKUP('[1]Course Totals'!I$4,'[1]import graded seats course pivo'!$1:$2,2,FALSE),FALSE))),"")</f>
        <v/>
      </c>
      <c r="J419" s="14">
        <f>IFERROR((VLOOKUP($A419,'[1]import success seats course'!$A:X,HLOOKUP('[1]Course Totals'!J$4,'[1]import success seats course'!$1:$2,2,FALSE),FALSE)/(VLOOKUP($A419,'[1]import graded seats course pivo'!$A:AH,HLOOKUP('[1]Course Totals'!J$4,'[1]import graded seats course pivo'!$1:$2,2,FALSE),FALSE))),"")</f>
        <v>0.88461538461538458</v>
      </c>
      <c r="K419" s="14" t="str">
        <f>IFERROR((VLOOKUP($A419,'[1]import success seats course'!$A:Y,HLOOKUP('[1]Course Totals'!K$4,'[1]import success seats course'!$1:$2,2,FALSE),FALSE)/(VLOOKUP($A419,'[1]import graded seats course pivo'!$A:AI,HLOOKUP('[1]Course Totals'!K$4,'[1]import graded seats course pivo'!$1:$2,2,FALSE),FALSE))),"")</f>
        <v/>
      </c>
      <c r="L419" s="14">
        <f>IFERROR((VLOOKUP($A419,'[1]import success seats course'!$A:Z,HLOOKUP('[1]Course Totals'!L$4,'[1]import success seats course'!$1:$2,2,FALSE),FALSE)/(VLOOKUP($A419,'[1]import graded seats course pivo'!$A:AJ,HLOOKUP('[1]Course Totals'!L$4,'[1]import graded seats course pivo'!$1:$2,2,FALSE),FALSE))),"")</f>
        <v>1</v>
      </c>
      <c r="M419" s="14">
        <f>IFERROR((VLOOKUP($A419,'[1]import success seats course'!$A:AA,HLOOKUP('[1]Course Totals'!M$4,'[1]import success seats course'!$1:$2,2,FALSE),FALSE)/(VLOOKUP($A419,'[1]import graded seats course pivo'!$A:AK,HLOOKUP('[1]Course Totals'!M$4,'[1]import graded seats course pivo'!$1:$2,2,FALSE),FALSE))),"")</f>
        <v>0.83333333333333337</v>
      </c>
      <c r="N419" s="14" t="str">
        <f>IFERROR((VLOOKUP($A419,'[1]import success seats course'!$A:AB,HLOOKUP('[1]Course Totals'!N$4,'[1]import success seats course'!$1:$2,2,FALSE),FALSE)/(VLOOKUP($A419,'[1]import graded seats course pivo'!$A:AL,HLOOKUP('[1]Course Totals'!N$4,'[1]import graded seats course pivo'!$1:$2,2,FALSE),FALSE))),"")</f>
        <v/>
      </c>
      <c r="O419" s="14">
        <f>IFERROR((VLOOKUP($A419,'[1]import success seats course'!$A:AC,HLOOKUP('[1]Course Totals'!O$4,'[1]import success seats course'!$1:$2,2,FALSE),FALSE)/(VLOOKUP($A419,'[1]import graded seats course pivo'!$A:AM,HLOOKUP('[1]Course Totals'!O$4,'[1]import graded seats course pivo'!$1:$2,2,FALSE),FALSE))),"")</f>
        <v>0.93333333333333335</v>
      </c>
      <c r="P419" s="14" t="str">
        <f>IFERROR((VLOOKUP($A419,'[1]import success seats course'!$A:AD,HLOOKUP('[1]Course Totals'!P$4,'[1]import success seats course'!$1:$2,2,FALSE),FALSE)/(VLOOKUP($A419,'[1]import graded seats course pivo'!$A:AN,HLOOKUP('[1]Course Totals'!P$4,'[1]import graded seats course pivo'!$1:$2,2,FALSE),FALSE))),"")</f>
        <v/>
      </c>
      <c r="Q419" s="14" t="str">
        <f>IFERROR((VLOOKUP($A419,'[1]import success seats course'!$A:AE,HLOOKUP('[1]Course Totals'!Q$4,'[1]import success seats course'!$1:$2,2,FALSE),FALSE)/(VLOOKUP($A419,'[1]import graded seats course pivo'!$A:AO,HLOOKUP('[1]Course Totals'!Q$4,'[1]import graded seats course pivo'!$1:$2,2,FALSE),FALSE))),"")</f>
        <v/>
      </c>
      <c r="R419" s="14" t="str">
        <f>IFERROR((VLOOKUP($A419,'[1]import success seats course'!$A:AF,HLOOKUP('[1]Course Totals'!R$4,'[1]import success seats course'!$1:$2,2,FALSE),FALSE)/(VLOOKUP($A419,'[1]import graded seats course pivo'!$A:AP,HLOOKUP('[1]Course Totals'!R$4,'[1]import graded seats course pivo'!$1:$2,2,FALSE),FALSE))),"")</f>
        <v/>
      </c>
      <c r="S419" s="14">
        <f>IFERROR((VLOOKUP($A419,'[1]import success seats course'!$A:AG,HLOOKUP('[1]Course Totals'!S$4,'[1]import success seats course'!$1:$2,2,FALSE),FALSE)/(VLOOKUP($A419,'[1]import graded seats course pivo'!$A:AQ,HLOOKUP('[1]Course Totals'!S$4,'[1]import graded seats course pivo'!$1:$2,2,FALSE),FALSE))),"")</f>
        <v>0.9</v>
      </c>
      <c r="Z419" s="7"/>
      <c r="AA419" s="7"/>
      <c r="AB419" s="7"/>
      <c r="AC419" s="7"/>
    </row>
    <row r="420" spans="1:29" ht="15.75" customHeight="1" x14ac:dyDescent="0.25">
      <c r="A420" s="12" t="s">
        <v>211</v>
      </c>
      <c r="B420" s="14" t="str">
        <f>IFERROR((VLOOKUP($A420,'[1]import success seats course'!$A:P,HLOOKUP('[1]Course Totals'!B$4,'[1]import success seats course'!$1:$2,2,FALSE),FALSE)/(VLOOKUP($A420,'[1]import graded seats course pivo'!$A:Z,HLOOKUP('[1]Course Totals'!B$4,'[1]import graded seats course pivo'!$1:$2,2,FALSE),FALSE))),"")</f>
        <v/>
      </c>
      <c r="C420" s="14" t="str">
        <f>IFERROR((VLOOKUP($A420,'[1]import success seats course'!$A:Q,HLOOKUP('[1]Course Totals'!C$4,'[1]import success seats course'!$1:$2,2,FALSE),FALSE)/(VLOOKUP($A420,'[1]import graded seats course pivo'!$A:AA,HLOOKUP('[1]Course Totals'!C$4,'[1]import graded seats course pivo'!$1:$2,2,FALSE),FALSE))),"")</f>
        <v/>
      </c>
      <c r="D420" s="14">
        <f>IFERROR((VLOOKUP($A420,'[1]import success seats course'!$A:R,HLOOKUP('[1]Course Totals'!D$4,'[1]import success seats course'!$1:$2,2,FALSE),FALSE)/(VLOOKUP($A420,'[1]import graded seats course pivo'!$A:AB,HLOOKUP('[1]Course Totals'!D$4,'[1]import graded seats course pivo'!$1:$2,2,FALSE),FALSE))),"")</f>
        <v>0.84615384615384615</v>
      </c>
      <c r="E420" s="14" t="str">
        <f>IFERROR((VLOOKUP($A420,'[1]import success seats course'!$A:S,HLOOKUP('[1]Course Totals'!E$4,'[1]import success seats course'!$1:$2,2,FALSE),FALSE)/(VLOOKUP($A420,'[1]import graded seats course pivo'!$A:AC,HLOOKUP('[1]Course Totals'!E$4,'[1]import graded seats course pivo'!$1:$2,2,FALSE),FALSE))),"")</f>
        <v/>
      </c>
      <c r="F420" s="14">
        <f>IFERROR((VLOOKUP($A420,'[1]import success seats course'!$A:T,HLOOKUP('[1]Course Totals'!F$4,'[1]import success seats course'!$1:$2,2,FALSE),FALSE)/(VLOOKUP($A420,'[1]import graded seats course pivo'!$A:AD,HLOOKUP('[1]Course Totals'!F$4,'[1]import graded seats course pivo'!$1:$2,2,FALSE),FALSE))),"")</f>
        <v>0.94117647058823528</v>
      </c>
      <c r="G420" s="14">
        <f>IFERROR((VLOOKUP($A420,'[1]import success seats course'!$A:U,HLOOKUP('[1]Course Totals'!G$4,'[1]import success seats course'!$1:$2,2,FALSE),FALSE)/(VLOOKUP($A420,'[1]import graded seats course pivo'!$A:AE,HLOOKUP('[1]Course Totals'!G$4,'[1]import graded seats course pivo'!$1:$2,2,FALSE),FALSE))),"")</f>
        <v>0.76</v>
      </c>
      <c r="H420" s="14" t="str">
        <f>IFERROR((VLOOKUP($A420,'[1]import success seats course'!$A:V,HLOOKUP('[1]Course Totals'!H$4,'[1]import success seats course'!$1:$2,2,FALSE),FALSE)/(VLOOKUP($A420,'[1]import graded seats course pivo'!$A:AF,HLOOKUP('[1]Course Totals'!H$4,'[1]import graded seats course pivo'!$1:$2,2,FALSE),FALSE))),"")</f>
        <v/>
      </c>
      <c r="I420" s="14">
        <f>IFERROR((VLOOKUP($A420,'[1]import success seats course'!$A:W,HLOOKUP('[1]Course Totals'!I$4,'[1]import success seats course'!$1:$2,2,FALSE),FALSE)/(VLOOKUP($A420,'[1]import graded seats course pivo'!$A:AG,HLOOKUP('[1]Course Totals'!I$4,'[1]import graded seats course pivo'!$1:$2,2,FALSE),FALSE))),"")</f>
        <v>0.94117647058823528</v>
      </c>
      <c r="J420" s="14" t="str">
        <f>IFERROR((VLOOKUP($A420,'[1]import success seats course'!$A:X,HLOOKUP('[1]Course Totals'!J$4,'[1]import success seats course'!$1:$2,2,FALSE),FALSE)/(VLOOKUP($A420,'[1]import graded seats course pivo'!$A:AH,HLOOKUP('[1]Course Totals'!J$4,'[1]import graded seats course pivo'!$1:$2,2,FALSE),FALSE))),"")</f>
        <v/>
      </c>
      <c r="K420" s="14" t="str">
        <f>IFERROR((VLOOKUP($A420,'[1]import success seats course'!$A:Y,HLOOKUP('[1]Course Totals'!K$4,'[1]import success seats course'!$1:$2,2,FALSE),FALSE)/(VLOOKUP($A420,'[1]import graded seats course pivo'!$A:AI,HLOOKUP('[1]Course Totals'!K$4,'[1]import graded seats course pivo'!$1:$2,2,FALSE),FALSE))),"")</f>
        <v/>
      </c>
      <c r="L420" s="14" t="str">
        <f>IFERROR((VLOOKUP($A420,'[1]import success seats course'!$A:Z,HLOOKUP('[1]Course Totals'!L$4,'[1]import success seats course'!$1:$2,2,FALSE),FALSE)/(VLOOKUP($A420,'[1]import graded seats course pivo'!$A:AJ,HLOOKUP('[1]Course Totals'!L$4,'[1]import graded seats course pivo'!$1:$2,2,FALSE),FALSE))),"")</f>
        <v/>
      </c>
      <c r="M420" s="14">
        <f>IFERROR((VLOOKUP($A420,'[1]import success seats course'!$A:AA,HLOOKUP('[1]Course Totals'!M$4,'[1]import success seats course'!$1:$2,2,FALSE),FALSE)/(VLOOKUP($A420,'[1]import graded seats course pivo'!$A:AK,HLOOKUP('[1]Course Totals'!M$4,'[1]import graded seats course pivo'!$1:$2,2,FALSE),FALSE))),"")</f>
        <v>0.78947368421052633</v>
      </c>
      <c r="N420" s="14" t="str">
        <f>IFERROR((VLOOKUP($A420,'[1]import success seats course'!$A:AB,HLOOKUP('[1]Course Totals'!N$4,'[1]import success seats course'!$1:$2,2,FALSE),FALSE)/(VLOOKUP($A420,'[1]import graded seats course pivo'!$A:AL,HLOOKUP('[1]Course Totals'!N$4,'[1]import graded seats course pivo'!$1:$2,2,FALSE),FALSE))),"")</f>
        <v/>
      </c>
      <c r="O420" s="14" t="str">
        <f>IFERROR((VLOOKUP($A420,'[1]import success seats course'!$A:AC,HLOOKUP('[1]Course Totals'!O$4,'[1]import success seats course'!$1:$2,2,FALSE),FALSE)/(VLOOKUP($A420,'[1]import graded seats course pivo'!$A:AM,HLOOKUP('[1]Course Totals'!O$4,'[1]import graded seats course pivo'!$1:$2,2,FALSE),FALSE))),"")</f>
        <v/>
      </c>
      <c r="P420" s="14">
        <f>IFERROR((VLOOKUP($A420,'[1]import success seats course'!$A:AD,HLOOKUP('[1]Course Totals'!P$4,'[1]import success seats course'!$1:$2,2,FALSE),FALSE)/(VLOOKUP($A420,'[1]import graded seats course pivo'!$A:AN,HLOOKUP('[1]Course Totals'!P$4,'[1]import graded seats course pivo'!$1:$2,2,FALSE),FALSE))),"")</f>
        <v>0.875</v>
      </c>
      <c r="Q420" s="14" t="str">
        <f>IFERROR((VLOOKUP($A420,'[1]import success seats course'!$A:AE,HLOOKUP('[1]Course Totals'!Q$4,'[1]import success seats course'!$1:$2,2,FALSE),FALSE)/(VLOOKUP($A420,'[1]import graded seats course pivo'!$A:AO,HLOOKUP('[1]Course Totals'!Q$4,'[1]import graded seats course pivo'!$1:$2,2,FALSE),FALSE))),"")</f>
        <v/>
      </c>
      <c r="R420" s="14" t="str">
        <f>IFERROR((VLOOKUP($A420,'[1]import success seats course'!$A:AF,HLOOKUP('[1]Course Totals'!R$4,'[1]import success seats course'!$1:$2,2,FALSE),FALSE)/(VLOOKUP($A420,'[1]import graded seats course pivo'!$A:AP,HLOOKUP('[1]Course Totals'!R$4,'[1]import graded seats course pivo'!$1:$2,2,FALSE),FALSE))),"")</f>
        <v/>
      </c>
      <c r="S420" s="14" t="str">
        <f>IFERROR((VLOOKUP($A420,'[1]import success seats course'!$A:AG,HLOOKUP('[1]Course Totals'!S$4,'[1]import success seats course'!$1:$2,2,FALSE),FALSE)/(VLOOKUP($A420,'[1]import graded seats course pivo'!$A:AQ,HLOOKUP('[1]Course Totals'!S$4,'[1]import graded seats course pivo'!$1:$2,2,FALSE),FALSE))),"")</f>
        <v/>
      </c>
      <c r="Z420" s="7"/>
      <c r="AA420" s="7"/>
      <c r="AB420" s="7"/>
      <c r="AC420" s="7"/>
    </row>
    <row r="421" spans="1:29" ht="15.75" customHeight="1" x14ac:dyDescent="0.25">
      <c r="A421" s="12" t="s">
        <v>715</v>
      </c>
      <c r="B421" s="14" t="str">
        <f>IFERROR((VLOOKUP($A421,'[1]import success seats course'!$A:P,HLOOKUP('[1]Course Totals'!B$4,'[1]import success seats course'!$1:$2,2,FALSE),FALSE)/(VLOOKUP($A421,'[1]import graded seats course pivo'!$A:Z,HLOOKUP('[1]Course Totals'!B$4,'[1]import graded seats course pivo'!$1:$2,2,FALSE),FALSE))),"")</f>
        <v/>
      </c>
      <c r="C421" s="14" t="str">
        <f>IFERROR((VLOOKUP($A421,'[1]import success seats course'!$A:Q,HLOOKUP('[1]Course Totals'!C$4,'[1]import success seats course'!$1:$2,2,FALSE),FALSE)/(VLOOKUP($A421,'[1]import graded seats course pivo'!$A:AA,HLOOKUP('[1]Course Totals'!C$4,'[1]import graded seats course pivo'!$1:$2,2,FALSE),FALSE))),"")</f>
        <v/>
      </c>
      <c r="D421" s="14">
        <f>IFERROR((VLOOKUP($A421,'[1]import success seats course'!$A:R,HLOOKUP('[1]Course Totals'!D$4,'[1]import success seats course'!$1:$2,2,FALSE),FALSE)/(VLOOKUP($A421,'[1]import graded seats course pivo'!$A:AB,HLOOKUP('[1]Course Totals'!D$4,'[1]import graded seats course pivo'!$1:$2,2,FALSE),FALSE))),"")</f>
        <v>0.92307692307692313</v>
      </c>
      <c r="E421" s="14" t="str">
        <f>IFERROR((VLOOKUP($A421,'[1]import success seats course'!$A:S,HLOOKUP('[1]Course Totals'!E$4,'[1]import success seats course'!$1:$2,2,FALSE),FALSE)/(VLOOKUP($A421,'[1]import graded seats course pivo'!$A:AC,HLOOKUP('[1]Course Totals'!E$4,'[1]import graded seats course pivo'!$1:$2,2,FALSE),FALSE))),"")</f>
        <v/>
      </c>
      <c r="F421" s="14" t="str">
        <f>IFERROR((VLOOKUP($A421,'[1]import success seats course'!$A:T,HLOOKUP('[1]Course Totals'!F$4,'[1]import success seats course'!$1:$2,2,FALSE),FALSE)/(VLOOKUP($A421,'[1]import graded seats course pivo'!$A:AD,HLOOKUP('[1]Course Totals'!F$4,'[1]import graded seats course pivo'!$1:$2,2,FALSE),FALSE))),"")</f>
        <v/>
      </c>
      <c r="G421" s="14" t="str">
        <f>IFERROR((VLOOKUP($A421,'[1]import success seats course'!$A:U,HLOOKUP('[1]Course Totals'!G$4,'[1]import success seats course'!$1:$2,2,FALSE),FALSE)/(VLOOKUP($A421,'[1]import graded seats course pivo'!$A:AE,HLOOKUP('[1]Course Totals'!G$4,'[1]import graded seats course pivo'!$1:$2,2,FALSE),FALSE))),"")</f>
        <v/>
      </c>
      <c r="H421" s="14" t="str">
        <f>IFERROR((VLOOKUP($A421,'[1]import success seats course'!$A:V,HLOOKUP('[1]Course Totals'!H$4,'[1]import success seats course'!$1:$2,2,FALSE),FALSE)/(VLOOKUP($A421,'[1]import graded seats course pivo'!$A:AF,HLOOKUP('[1]Course Totals'!H$4,'[1]import graded seats course pivo'!$1:$2,2,FALSE),FALSE))),"")</f>
        <v/>
      </c>
      <c r="I421" s="14">
        <f>IFERROR((VLOOKUP($A421,'[1]import success seats course'!$A:W,HLOOKUP('[1]Course Totals'!I$4,'[1]import success seats course'!$1:$2,2,FALSE),FALSE)/(VLOOKUP($A421,'[1]import graded seats course pivo'!$A:AG,HLOOKUP('[1]Course Totals'!I$4,'[1]import graded seats course pivo'!$1:$2,2,FALSE),FALSE))),"")</f>
        <v>0.75</v>
      </c>
      <c r="J421" s="14" t="str">
        <f>IFERROR((VLOOKUP($A421,'[1]import success seats course'!$A:X,HLOOKUP('[1]Course Totals'!J$4,'[1]import success seats course'!$1:$2,2,FALSE),FALSE)/(VLOOKUP($A421,'[1]import graded seats course pivo'!$A:AH,HLOOKUP('[1]Course Totals'!J$4,'[1]import graded seats course pivo'!$1:$2,2,FALSE),FALSE))),"")</f>
        <v/>
      </c>
      <c r="K421" s="14" t="str">
        <f>IFERROR((VLOOKUP($A421,'[1]import success seats course'!$A:Y,HLOOKUP('[1]Course Totals'!K$4,'[1]import success seats course'!$1:$2,2,FALSE),FALSE)/(VLOOKUP($A421,'[1]import graded seats course pivo'!$A:AI,HLOOKUP('[1]Course Totals'!K$4,'[1]import graded seats course pivo'!$1:$2,2,FALSE),FALSE))),"")</f>
        <v/>
      </c>
      <c r="L421" s="14" t="str">
        <f>IFERROR((VLOOKUP($A421,'[1]import success seats course'!$A:Z,HLOOKUP('[1]Course Totals'!L$4,'[1]import success seats course'!$1:$2,2,FALSE),FALSE)/(VLOOKUP($A421,'[1]import graded seats course pivo'!$A:AJ,HLOOKUP('[1]Course Totals'!L$4,'[1]import graded seats course pivo'!$1:$2,2,FALSE),FALSE))),"")</f>
        <v/>
      </c>
      <c r="M421" s="14" t="str">
        <f>IFERROR((VLOOKUP($A421,'[1]import success seats course'!$A:AA,HLOOKUP('[1]Course Totals'!M$4,'[1]import success seats course'!$1:$2,2,FALSE),FALSE)/(VLOOKUP($A421,'[1]import graded seats course pivo'!$A:AK,HLOOKUP('[1]Course Totals'!M$4,'[1]import graded seats course pivo'!$1:$2,2,FALSE),FALSE))),"")</f>
        <v/>
      </c>
      <c r="N421" s="14" t="str">
        <f>IFERROR((VLOOKUP($A421,'[1]import success seats course'!$A:AB,HLOOKUP('[1]Course Totals'!N$4,'[1]import success seats course'!$1:$2,2,FALSE),FALSE)/(VLOOKUP($A421,'[1]import graded seats course pivo'!$A:AL,HLOOKUP('[1]Course Totals'!N$4,'[1]import graded seats course pivo'!$1:$2,2,FALSE),FALSE))),"")</f>
        <v/>
      </c>
      <c r="O421" s="14" t="str">
        <f>IFERROR((VLOOKUP($A421,'[1]import success seats course'!$A:AC,HLOOKUP('[1]Course Totals'!O$4,'[1]import success seats course'!$1:$2,2,FALSE),FALSE)/(VLOOKUP($A421,'[1]import graded seats course pivo'!$A:AM,HLOOKUP('[1]Course Totals'!O$4,'[1]import graded seats course pivo'!$1:$2,2,FALSE),FALSE))),"")</f>
        <v/>
      </c>
      <c r="P421" s="14">
        <f>IFERROR((VLOOKUP($A421,'[1]import success seats course'!$A:AD,HLOOKUP('[1]Course Totals'!P$4,'[1]import success seats course'!$1:$2,2,FALSE),FALSE)/(VLOOKUP($A421,'[1]import graded seats course pivo'!$A:AN,HLOOKUP('[1]Course Totals'!P$4,'[1]import graded seats course pivo'!$1:$2,2,FALSE),FALSE))),"")</f>
        <v>0.76190476190476186</v>
      </c>
      <c r="Q421" s="14" t="str">
        <f>IFERROR((VLOOKUP($A421,'[1]import success seats course'!$A:AE,HLOOKUP('[1]Course Totals'!Q$4,'[1]import success seats course'!$1:$2,2,FALSE),FALSE)/(VLOOKUP($A421,'[1]import graded seats course pivo'!$A:AO,HLOOKUP('[1]Course Totals'!Q$4,'[1]import graded seats course pivo'!$1:$2,2,FALSE),FALSE))),"")</f>
        <v/>
      </c>
      <c r="R421" s="14" t="str">
        <f>IFERROR((VLOOKUP($A421,'[1]import success seats course'!$A:AF,HLOOKUP('[1]Course Totals'!R$4,'[1]import success seats course'!$1:$2,2,FALSE),FALSE)/(VLOOKUP($A421,'[1]import graded seats course pivo'!$A:AP,HLOOKUP('[1]Course Totals'!R$4,'[1]import graded seats course pivo'!$1:$2,2,FALSE),FALSE))),"")</f>
        <v/>
      </c>
      <c r="S421" s="14" t="str">
        <f>IFERROR((VLOOKUP($A421,'[1]import success seats course'!$A:AG,HLOOKUP('[1]Course Totals'!S$4,'[1]import success seats course'!$1:$2,2,FALSE),FALSE)/(VLOOKUP($A421,'[1]import graded seats course pivo'!$A:AQ,HLOOKUP('[1]Course Totals'!S$4,'[1]import graded seats course pivo'!$1:$2,2,FALSE),FALSE))),"")</f>
        <v/>
      </c>
      <c r="Z421" s="7"/>
      <c r="AA421" s="7"/>
      <c r="AB421" s="7"/>
      <c r="AC421" s="7"/>
    </row>
    <row r="422" spans="1:29" ht="15.75" hidden="1" customHeight="1" x14ac:dyDescent="0.25">
      <c r="A422" s="12" t="s">
        <v>212</v>
      </c>
      <c r="B422" s="14" t="str">
        <f>IFERROR((VLOOKUP($A422,'[1]import success seats course'!$A:P,HLOOKUP('[1]Course Totals'!B$4,'[1]import success seats course'!$1:$2,2,FALSE),FALSE)/(VLOOKUP($A422,'[1]import graded seats course pivo'!$A:Z,HLOOKUP('[1]Course Totals'!B$4,'[1]import graded seats course pivo'!$1:$2,2,FALSE),FALSE))),"")</f>
        <v/>
      </c>
      <c r="C422" s="14" t="str">
        <f>IFERROR((VLOOKUP($A422,'[1]import success seats course'!$A:Q,HLOOKUP('[1]Course Totals'!C$4,'[1]import success seats course'!$1:$2,2,FALSE),FALSE)/(VLOOKUP($A422,'[1]import graded seats course pivo'!$A:AA,HLOOKUP('[1]Course Totals'!C$4,'[1]import graded seats course pivo'!$1:$2,2,FALSE),FALSE))),"")</f>
        <v/>
      </c>
      <c r="D422" s="14" t="str">
        <f>IFERROR((VLOOKUP($A422,'[1]import success seats course'!$A:R,HLOOKUP('[1]Course Totals'!D$4,'[1]import success seats course'!$1:$2,2,FALSE),FALSE)/(VLOOKUP($A422,'[1]import graded seats course pivo'!$A:AB,HLOOKUP('[1]Course Totals'!D$4,'[1]import graded seats course pivo'!$1:$2,2,FALSE),FALSE))),"")</f>
        <v/>
      </c>
      <c r="E422" s="14" t="str">
        <f>IFERROR((VLOOKUP($A422,'[1]import success seats course'!$A:S,HLOOKUP('[1]Course Totals'!E$4,'[1]import success seats course'!$1:$2,2,FALSE),FALSE)/(VLOOKUP($A422,'[1]import graded seats course pivo'!$A:AC,HLOOKUP('[1]Course Totals'!E$4,'[1]import graded seats course pivo'!$1:$2,2,FALSE),FALSE))),"")</f>
        <v/>
      </c>
      <c r="F422" s="14" t="str">
        <f>IFERROR((VLOOKUP($A422,'[1]import success seats course'!$A:T,HLOOKUP('[1]Course Totals'!F$4,'[1]import success seats course'!$1:$2,2,FALSE),FALSE)/(VLOOKUP($A422,'[1]import graded seats course pivo'!$A:AD,HLOOKUP('[1]Course Totals'!F$4,'[1]import graded seats course pivo'!$1:$2,2,FALSE),FALSE))),"")</f>
        <v/>
      </c>
      <c r="G422" s="14" t="str">
        <f>IFERROR((VLOOKUP($A422,'[1]import success seats course'!$A:U,HLOOKUP('[1]Course Totals'!G$4,'[1]import success seats course'!$1:$2,2,FALSE),FALSE)/(VLOOKUP($A422,'[1]import graded seats course pivo'!$A:AE,HLOOKUP('[1]Course Totals'!G$4,'[1]import graded seats course pivo'!$1:$2,2,FALSE),FALSE))),"")</f>
        <v/>
      </c>
      <c r="H422" s="14" t="str">
        <f>IFERROR((VLOOKUP($A422,'[1]import success seats course'!$A:V,HLOOKUP('[1]Course Totals'!H$4,'[1]import success seats course'!$1:$2,2,FALSE),FALSE)/(VLOOKUP($A422,'[1]import graded seats course pivo'!$A:AF,HLOOKUP('[1]Course Totals'!H$4,'[1]import graded seats course pivo'!$1:$2,2,FALSE),FALSE))),"")</f>
        <v/>
      </c>
      <c r="I422" s="14" t="str">
        <f>IFERROR((VLOOKUP($A422,'[1]import success seats course'!$A:W,HLOOKUP('[1]Course Totals'!I$4,'[1]import success seats course'!$1:$2,2,FALSE),FALSE)/(VLOOKUP($A422,'[1]import graded seats course pivo'!$A:AG,HLOOKUP('[1]Course Totals'!I$4,'[1]import graded seats course pivo'!$1:$2,2,FALSE),FALSE))),"")</f>
        <v/>
      </c>
      <c r="J422" s="14" t="str">
        <f>IFERROR((VLOOKUP($A422,'[1]import success seats course'!$A:X,HLOOKUP('[1]Course Totals'!J$4,'[1]import success seats course'!$1:$2,2,FALSE),FALSE)/(VLOOKUP($A422,'[1]import graded seats course pivo'!$A:AH,HLOOKUP('[1]Course Totals'!J$4,'[1]import graded seats course pivo'!$1:$2,2,FALSE),FALSE))),"")</f>
        <v/>
      </c>
      <c r="K422" s="14" t="str">
        <f>IFERROR((VLOOKUP($A422,'[1]import success seats course'!$A:Y,HLOOKUP('[1]Course Totals'!K$4,'[1]import success seats course'!$1:$2,2,FALSE),FALSE)/(VLOOKUP($A422,'[1]import graded seats course pivo'!$A:AI,HLOOKUP('[1]Course Totals'!K$4,'[1]import graded seats course pivo'!$1:$2,2,FALSE),FALSE))),"")</f>
        <v/>
      </c>
      <c r="L422" s="14" t="str">
        <f>IFERROR((VLOOKUP($A422,'[1]import success seats course'!$A:Z,HLOOKUP('[1]Course Totals'!L$4,'[1]import success seats course'!$1:$2,2,FALSE),FALSE)/(VLOOKUP($A422,'[1]import graded seats course pivo'!$A:AJ,HLOOKUP('[1]Course Totals'!L$4,'[1]import graded seats course pivo'!$1:$2,2,FALSE),FALSE))),"")</f>
        <v/>
      </c>
      <c r="M422" s="14" t="str">
        <f>IFERROR((VLOOKUP($A422,'[1]import success seats course'!$A:AA,HLOOKUP('[1]Course Totals'!M$4,'[1]import success seats course'!$1:$2,2,FALSE),FALSE)/(VLOOKUP($A422,'[1]import graded seats course pivo'!$A:AK,HLOOKUP('[1]Course Totals'!M$4,'[1]import graded seats course pivo'!$1:$2,2,FALSE),FALSE))),"")</f>
        <v/>
      </c>
      <c r="N422" s="14" t="str">
        <f>IFERROR((VLOOKUP($A422,'[1]import success seats course'!$A:AB,HLOOKUP('[1]Course Totals'!N$4,'[1]import success seats course'!$1:$2,2,FALSE),FALSE)/(VLOOKUP($A422,'[1]import graded seats course pivo'!$A:AL,HLOOKUP('[1]Course Totals'!N$4,'[1]import graded seats course pivo'!$1:$2,2,FALSE),FALSE))),"")</f>
        <v/>
      </c>
      <c r="O422" s="14" t="str">
        <f>IFERROR((VLOOKUP($A422,'[1]import success seats course'!$A:AC,HLOOKUP('[1]Course Totals'!O$4,'[1]import success seats course'!$1:$2,2,FALSE),FALSE)/(VLOOKUP($A422,'[1]import graded seats course pivo'!$A:AM,HLOOKUP('[1]Course Totals'!O$4,'[1]import graded seats course pivo'!$1:$2,2,FALSE),FALSE))),"")</f>
        <v/>
      </c>
      <c r="P422" s="14" t="str">
        <f>IFERROR((VLOOKUP($A422,'[1]import success seats course'!$A:AD,HLOOKUP('[1]Course Totals'!P$4,'[1]import success seats course'!$1:$2,2,FALSE),FALSE)/(VLOOKUP($A422,'[1]import graded seats course pivo'!$A:AN,HLOOKUP('[1]Course Totals'!P$4,'[1]import graded seats course pivo'!$1:$2,2,FALSE),FALSE))),"")</f>
        <v/>
      </c>
      <c r="Q422" s="14" t="str">
        <f>IFERROR((VLOOKUP($A422,'[1]import success seats course'!$A:AE,HLOOKUP('[1]Course Totals'!Q$4,'[1]import success seats course'!$1:$2,2,FALSE),FALSE)/(VLOOKUP($A422,'[1]import graded seats course pivo'!$A:AO,HLOOKUP('[1]Course Totals'!Q$4,'[1]import graded seats course pivo'!$1:$2,2,FALSE),FALSE))),"")</f>
        <v/>
      </c>
      <c r="R422" s="14" t="str">
        <f>IFERROR((VLOOKUP($A422,'[1]import success seats course'!$A:AF,HLOOKUP('[1]Course Totals'!R$4,'[1]import success seats course'!$1:$2,2,FALSE),FALSE)/(VLOOKUP($A422,'[1]import graded seats course pivo'!$A:AP,HLOOKUP('[1]Course Totals'!R$4,'[1]import graded seats course pivo'!$1:$2,2,FALSE),FALSE))),"")</f>
        <v/>
      </c>
      <c r="S422" s="14" t="str">
        <f>IFERROR((VLOOKUP($A422,'[1]import success seats course'!$A:AG,HLOOKUP('[1]Course Totals'!S$4,'[1]import success seats course'!$1:$2,2,FALSE),FALSE)/(VLOOKUP($A422,'[1]import graded seats course pivo'!$A:AQ,HLOOKUP('[1]Course Totals'!S$4,'[1]import graded seats course pivo'!$1:$2,2,FALSE),FALSE))),"")</f>
        <v/>
      </c>
      <c r="Z422" s="7"/>
      <c r="AA422" s="7"/>
      <c r="AB422" s="7"/>
      <c r="AC422" s="7"/>
    </row>
    <row r="423" spans="1:29" ht="15.75" hidden="1" customHeight="1" x14ac:dyDescent="0.25">
      <c r="A423" s="12" t="s">
        <v>592</v>
      </c>
      <c r="B423" s="14" t="str">
        <f>IFERROR((VLOOKUP($A423,'[1]import success seats course'!$A:P,HLOOKUP('[1]Course Totals'!B$4,'[1]import success seats course'!$1:$2,2,FALSE),FALSE)/(VLOOKUP($A423,'[1]import graded seats course pivo'!$A:Z,HLOOKUP('[1]Course Totals'!B$4,'[1]import graded seats course pivo'!$1:$2,2,FALSE),FALSE))),"")</f>
        <v/>
      </c>
      <c r="C423" s="14" t="str">
        <f>IFERROR((VLOOKUP($A423,'[1]import success seats course'!$A:Q,HLOOKUP('[1]Course Totals'!C$4,'[1]import success seats course'!$1:$2,2,FALSE),FALSE)/(VLOOKUP($A423,'[1]import graded seats course pivo'!$A:AA,HLOOKUP('[1]Course Totals'!C$4,'[1]import graded seats course pivo'!$1:$2,2,FALSE),FALSE))),"")</f>
        <v/>
      </c>
      <c r="D423" s="14" t="str">
        <f>IFERROR((VLOOKUP($A423,'[1]import success seats course'!$A:R,HLOOKUP('[1]Course Totals'!D$4,'[1]import success seats course'!$1:$2,2,FALSE),FALSE)/(VLOOKUP($A423,'[1]import graded seats course pivo'!$A:AB,HLOOKUP('[1]Course Totals'!D$4,'[1]import graded seats course pivo'!$1:$2,2,FALSE),FALSE))),"")</f>
        <v/>
      </c>
      <c r="E423" s="14" t="str">
        <f>IFERROR((VLOOKUP($A423,'[1]import success seats course'!$A:S,HLOOKUP('[1]Course Totals'!E$4,'[1]import success seats course'!$1:$2,2,FALSE),FALSE)/(VLOOKUP($A423,'[1]import graded seats course pivo'!$A:AC,HLOOKUP('[1]Course Totals'!E$4,'[1]import graded seats course pivo'!$1:$2,2,FALSE),FALSE))),"")</f>
        <v/>
      </c>
      <c r="F423" s="14" t="str">
        <f>IFERROR((VLOOKUP($A423,'[1]import success seats course'!$A:T,HLOOKUP('[1]Course Totals'!F$4,'[1]import success seats course'!$1:$2,2,FALSE),FALSE)/(VLOOKUP($A423,'[1]import graded seats course pivo'!$A:AD,HLOOKUP('[1]Course Totals'!F$4,'[1]import graded seats course pivo'!$1:$2,2,FALSE),FALSE))),"")</f>
        <v/>
      </c>
      <c r="G423" s="14" t="str">
        <f>IFERROR((VLOOKUP($A423,'[1]import success seats course'!$A:U,HLOOKUP('[1]Course Totals'!G$4,'[1]import success seats course'!$1:$2,2,FALSE),FALSE)/(VLOOKUP($A423,'[1]import graded seats course pivo'!$A:AE,HLOOKUP('[1]Course Totals'!G$4,'[1]import graded seats course pivo'!$1:$2,2,FALSE),FALSE))),"")</f>
        <v/>
      </c>
      <c r="H423" s="14" t="str">
        <f>IFERROR((VLOOKUP($A423,'[1]import success seats course'!$A:V,HLOOKUP('[1]Course Totals'!H$4,'[1]import success seats course'!$1:$2,2,FALSE),FALSE)/(VLOOKUP($A423,'[1]import graded seats course pivo'!$A:AF,HLOOKUP('[1]Course Totals'!H$4,'[1]import graded seats course pivo'!$1:$2,2,FALSE),FALSE))),"")</f>
        <v/>
      </c>
      <c r="I423" s="14" t="str">
        <f>IFERROR((VLOOKUP($A423,'[1]import success seats course'!$A:W,HLOOKUP('[1]Course Totals'!I$4,'[1]import success seats course'!$1:$2,2,FALSE),FALSE)/(VLOOKUP($A423,'[1]import graded seats course pivo'!$A:AG,HLOOKUP('[1]Course Totals'!I$4,'[1]import graded seats course pivo'!$1:$2,2,FALSE),FALSE))),"")</f>
        <v/>
      </c>
      <c r="J423" s="14" t="str">
        <f>IFERROR((VLOOKUP($A423,'[1]import success seats course'!$A:X,HLOOKUP('[1]Course Totals'!J$4,'[1]import success seats course'!$1:$2,2,FALSE),FALSE)/(VLOOKUP($A423,'[1]import graded seats course pivo'!$A:AH,HLOOKUP('[1]Course Totals'!J$4,'[1]import graded seats course pivo'!$1:$2,2,FALSE),FALSE))),"")</f>
        <v/>
      </c>
      <c r="K423" s="14" t="str">
        <f>IFERROR((VLOOKUP($A423,'[1]import success seats course'!$A:Y,HLOOKUP('[1]Course Totals'!K$4,'[1]import success seats course'!$1:$2,2,FALSE),FALSE)/(VLOOKUP($A423,'[1]import graded seats course pivo'!$A:AI,HLOOKUP('[1]Course Totals'!K$4,'[1]import graded seats course pivo'!$1:$2,2,FALSE),FALSE))),"")</f>
        <v/>
      </c>
      <c r="L423" s="14" t="str">
        <f>IFERROR((VLOOKUP($A423,'[1]import success seats course'!$A:Z,HLOOKUP('[1]Course Totals'!L$4,'[1]import success seats course'!$1:$2,2,FALSE),FALSE)/(VLOOKUP($A423,'[1]import graded seats course pivo'!$A:AJ,HLOOKUP('[1]Course Totals'!L$4,'[1]import graded seats course pivo'!$1:$2,2,FALSE),FALSE))),"")</f>
        <v/>
      </c>
      <c r="M423" s="14" t="str">
        <f>IFERROR((VLOOKUP($A423,'[1]import success seats course'!$A:AA,HLOOKUP('[1]Course Totals'!M$4,'[1]import success seats course'!$1:$2,2,FALSE),FALSE)/(VLOOKUP($A423,'[1]import graded seats course pivo'!$A:AK,HLOOKUP('[1]Course Totals'!M$4,'[1]import graded seats course pivo'!$1:$2,2,FALSE),FALSE))),"")</f>
        <v/>
      </c>
      <c r="N423" s="14" t="str">
        <f>IFERROR((VLOOKUP($A423,'[1]import success seats course'!$A:AB,HLOOKUP('[1]Course Totals'!N$4,'[1]import success seats course'!$1:$2,2,FALSE),FALSE)/(VLOOKUP($A423,'[1]import graded seats course pivo'!$A:AL,HLOOKUP('[1]Course Totals'!N$4,'[1]import graded seats course pivo'!$1:$2,2,FALSE),FALSE))),"")</f>
        <v/>
      </c>
      <c r="O423" s="14" t="str">
        <f>IFERROR((VLOOKUP($A423,'[1]import success seats course'!$A:AC,HLOOKUP('[1]Course Totals'!O$4,'[1]import success seats course'!$1:$2,2,FALSE),FALSE)/(VLOOKUP($A423,'[1]import graded seats course pivo'!$A:AM,HLOOKUP('[1]Course Totals'!O$4,'[1]import graded seats course pivo'!$1:$2,2,FALSE),FALSE))),"")</f>
        <v/>
      </c>
      <c r="P423" s="14" t="str">
        <f>IFERROR((VLOOKUP($A423,'[1]import success seats course'!$A:AD,HLOOKUP('[1]Course Totals'!P$4,'[1]import success seats course'!$1:$2,2,FALSE),FALSE)/(VLOOKUP($A423,'[1]import graded seats course pivo'!$A:AN,HLOOKUP('[1]Course Totals'!P$4,'[1]import graded seats course pivo'!$1:$2,2,FALSE),FALSE))),"")</f>
        <v/>
      </c>
      <c r="Q423" s="14" t="str">
        <f>IFERROR((VLOOKUP($A423,'[1]import success seats course'!$A:AE,HLOOKUP('[1]Course Totals'!Q$4,'[1]import success seats course'!$1:$2,2,FALSE),FALSE)/(VLOOKUP($A423,'[1]import graded seats course pivo'!$A:AO,HLOOKUP('[1]Course Totals'!Q$4,'[1]import graded seats course pivo'!$1:$2,2,FALSE),FALSE))),"")</f>
        <v/>
      </c>
      <c r="R423" s="14" t="str">
        <f>IFERROR((VLOOKUP($A423,'[1]import success seats course'!$A:AF,HLOOKUP('[1]Course Totals'!R$4,'[1]import success seats course'!$1:$2,2,FALSE),FALSE)/(VLOOKUP($A423,'[1]import graded seats course pivo'!$A:AP,HLOOKUP('[1]Course Totals'!R$4,'[1]import graded seats course pivo'!$1:$2,2,FALSE),FALSE))),"")</f>
        <v/>
      </c>
      <c r="S423" s="14" t="str">
        <f>IFERROR((VLOOKUP($A423,'[1]import success seats course'!$A:AG,HLOOKUP('[1]Course Totals'!S$4,'[1]import success seats course'!$1:$2,2,FALSE),FALSE)/(VLOOKUP($A423,'[1]import graded seats course pivo'!$A:AQ,HLOOKUP('[1]Course Totals'!S$4,'[1]import graded seats course pivo'!$1:$2,2,FALSE),FALSE))),"")</f>
        <v/>
      </c>
      <c r="Z423" s="7"/>
      <c r="AA423" s="7"/>
      <c r="AB423" s="7"/>
      <c r="AC423" s="7"/>
    </row>
    <row r="424" spans="1:29" ht="15.75" customHeight="1" x14ac:dyDescent="0.25">
      <c r="A424" s="12" t="s">
        <v>593</v>
      </c>
      <c r="B424" s="14" t="str">
        <f>IFERROR((VLOOKUP($A424,'[1]import success seats course'!$A:P,HLOOKUP('[1]Course Totals'!B$4,'[1]import success seats course'!$1:$2,2,FALSE),FALSE)/(VLOOKUP($A424,'[1]import graded seats course pivo'!$A:Z,HLOOKUP('[1]Course Totals'!B$4,'[1]import graded seats course pivo'!$1:$2,2,FALSE),FALSE))),"")</f>
        <v/>
      </c>
      <c r="C424" s="14" t="str">
        <f>IFERROR((VLOOKUP($A424,'[1]import success seats course'!$A:Q,HLOOKUP('[1]Course Totals'!C$4,'[1]import success seats course'!$1:$2,2,FALSE),FALSE)/(VLOOKUP($A424,'[1]import graded seats course pivo'!$A:AA,HLOOKUP('[1]Course Totals'!C$4,'[1]import graded seats course pivo'!$1:$2,2,FALSE),FALSE))),"")</f>
        <v/>
      </c>
      <c r="D424" s="14" t="str">
        <f>IFERROR((VLOOKUP($A424,'[1]import success seats course'!$A:R,HLOOKUP('[1]Course Totals'!D$4,'[1]import success seats course'!$1:$2,2,FALSE),FALSE)/(VLOOKUP($A424,'[1]import graded seats course pivo'!$A:AB,HLOOKUP('[1]Course Totals'!D$4,'[1]import graded seats course pivo'!$1:$2,2,FALSE),FALSE))),"")</f>
        <v/>
      </c>
      <c r="E424" s="14" t="str">
        <f>IFERROR((VLOOKUP($A424,'[1]import success seats course'!$A:S,HLOOKUP('[1]Course Totals'!E$4,'[1]import success seats course'!$1:$2,2,FALSE),FALSE)/(VLOOKUP($A424,'[1]import graded seats course pivo'!$A:AC,HLOOKUP('[1]Course Totals'!E$4,'[1]import graded seats course pivo'!$1:$2,2,FALSE),FALSE))),"")</f>
        <v/>
      </c>
      <c r="F424" s="14">
        <f>IFERROR((VLOOKUP($A424,'[1]import success seats course'!$A:T,HLOOKUP('[1]Course Totals'!F$4,'[1]import success seats course'!$1:$2,2,FALSE),FALSE)/(VLOOKUP($A424,'[1]import graded seats course pivo'!$A:AD,HLOOKUP('[1]Course Totals'!F$4,'[1]import graded seats course pivo'!$1:$2,2,FALSE),FALSE))),"")</f>
        <v>0.93939393939393945</v>
      </c>
      <c r="G424" s="14">
        <f>IFERROR((VLOOKUP($A424,'[1]import success seats course'!$A:U,HLOOKUP('[1]Course Totals'!G$4,'[1]import success seats course'!$1:$2,2,FALSE),FALSE)/(VLOOKUP($A424,'[1]import graded seats course pivo'!$A:AE,HLOOKUP('[1]Course Totals'!G$4,'[1]import graded seats course pivo'!$1:$2,2,FALSE),FALSE))),"")</f>
        <v>0.76</v>
      </c>
      <c r="H424" s="14" t="str">
        <f>IFERROR((VLOOKUP($A424,'[1]import success seats course'!$A:V,HLOOKUP('[1]Course Totals'!H$4,'[1]import success seats course'!$1:$2,2,FALSE),FALSE)/(VLOOKUP($A424,'[1]import graded seats course pivo'!$A:AF,HLOOKUP('[1]Course Totals'!H$4,'[1]import graded seats course pivo'!$1:$2,2,FALSE),FALSE))),"")</f>
        <v/>
      </c>
      <c r="I424" s="14">
        <f>IFERROR((VLOOKUP($A424,'[1]import success seats course'!$A:W,HLOOKUP('[1]Course Totals'!I$4,'[1]import success seats course'!$1:$2,2,FALSE),FALSE)/(VLOOKUP($A424,'[1]import graded seats course pivo'!$A:AG,HLOOKUP('[1]Course Totals'!I$4,'[1]import graded seats course pivo'!$1:$2,2,FALSE),FALSE))),"")</f>
        <v>0.87096774193548387</v>
      </c>
      <c r="J424" s="14">
        <f>IFERROR((VLOOKUP($A424,'[1]import success seats course'!$A:X,HLOOKUP('[1]Course Totals'!J$4,'[1]import success seats course'!$1:$2,2,FALSE),FALSE)/(VLOOKUP($A424,'[1]import graded seats course pivo'!$A:AH,HLOOKUP('[1]Course Totals'!J$4,'[1]import graded seats course pivo'!$1:$2,2,FALSE),FALSE))),"")</f>
        <v>0.88888888888888884</v>
      </c>
      <c r="K424" s="14" t="str">
        <f>IFERROR((VLOOKUP($A424,'[1]import success seats course'!$A:Y,HLOOKUP('[1]Course Totals'!K$4,'[1]import success seats course'!$1:$2,2,FALSE),FALSE)/(VLOOKUP($A424,'[1]import graded seats course pivo'!$A:AI,HLOOKUP('[1]Course Totals'!K$4,'[1]import graded seats course pivo'!$1:$2,2,FALSE),FALSE))),"")</f>
        <v/>
      </c>
      <c r="L424" s="14">
        <f>IFERROR((VLOOKUP($A424,'[1]import success seats course'!$A:Z,HLOOKUP('[1]Course Totals'!L$4,'[1]import success seats course'!$1:$2,2,FALSE),FALSE)/(VLOOKUP($A424,'[1]import graded seats course pivo'!$A:AJ,HLOOKUP('[1]Course Totals'!L$4,'[1]import graded seats course pivo'!$1:$2,2,FALSE),FALSE))),"")</f>
        <v>0.73913043478260865</v>
      </c>
      <c r="M424" s="14">
        <f>IFERROR((VLOOKUP($A424,'[1]import success seats course'!$A:AA,HLOOKUP('[1]Course Totals'!M$4,'[1]import success seats course'!$1:$2,2,FALSE),FALSE)/(VLOOKUP($A424,'[1]import graded seats course pivo'!$A:AK,HLOOKUP('[1]Course Totals'!M$4,'[1]import graded seats course pivo'!$1:$2,2,FALSE),FALSE))),"")</f>
        <v>0.875</v>
      </c>
      <c r="N424" s="14" t="str">
        <f>IFERROR((VLOOKUP($A424,'[1]import success seats course'!$A:AB,HLOOKUP('[1]Course Totals'!N$4,'[1]import success seats course'!$1:$2,2,FALSE),FALSE)/(VLOOKUP($A424,'[1]import graded seats course pivo'!$A:AL,HLOOKUP('[1]Course Totals'!N$4,'[1]import graded seats course pivo'!$1:$2,2,FALSE),FALSE))),"")</f>
        <v/>
      </c>
      <c r="O424" s="14">
        <f>IFERROR((VLOOKUP($A424,'[1]import success seats course'!$A:AC,HLOOKUP('[1]Course Totals'!O$4,'[1]import success seats course'!$1:$2,2,FALSE),FALSE)/(VLOOKUP($A424,'[1]import graded seats course pivo'!$A:AM,HLOOKUP('[1]Course Totals'!O$4,'[1]import graded seats course pivo'!$1:$2,2,FALSE),FALSE))),"")</f>
        <v>0.92</v>
      </c>
      <c r="P424" s="14">
        <f>IFERROR((VLOOKUP($A424,'[1]import success seats course'!$A:AD,HLOOKUP('[1]Course Totals'!P$4,'[1]import success seats course'!$1:$2,2,FALSE),FALSE)/(VLOOKUP($A424,'[1]import graded seats course pivo'!$A:AN,HLOOKUP('[1]Course Totals'!P$4,'[1]import graded seats course pivo'!$1:$2,2,FALSE),FALSE))),"")</f>
        <v>0.88461538461538458</v>
      </c>
      <c r="Q424" s="14" t="str">
        <f>IFERROR((VLOOKUP($A424,'[1]import success seats course'!$A:AE,HLOOKUP('[1]Course Totals'!Q$4,'[1]import success seats course'!$1:$2,2,FALSE),FALSE)/(VLOOKUP($A424,'[1]import graded seats course pivo'!$A:AO,HLOOKUP('[1]Course Totals'!Q$4,'[1]import graded seats course pivo'!$1:$2,2,FALSE),FALSE))),"")</f>
        <v/>
      </c>
      <c r="R424" s="14">
        <f>IFERROR((VLOOKUP($A424,'[1]import success seats course'!$A:AF,HLOOKUP('[1]Course Totals'!R$4,'[1]import success seats course'!$1:$2,2,FALSE),FALSE)/(VLOOKUP($A424,'[1]import graded seats course pivo'!$A:AP,HLOOKUP('[1]Course Totals'!R$4,'[1]import graded seats course pivo'!$1:$2,2,FALSE),FALSE))),"")</f>
        <v>0.82608695652173914</v>
      </c>
      <c r="S424" s="14">
        <f>IFERROR((VLOOKUP($A424,'[1]import success seats course'!$A:AG,HLOOKUP('[1]Course Totals'!S$4,'[1]import success seats course'!$1:$2,2,FALSE),FALSE)/(VLOOKUP($A424,'[1]import graded seats course pivo'!$A:AQ,HLOOKUP('[1]Course Totals'!S$4,'[1]import graded seats course pivo'!$1:$2,2,FALSE),FALSE))),"")</f>
        <v>0.94736842105263153</v>
      </c>
      <c r="Z424" s="7"/>
      <c r="AA424" s="7"/>
      <c r="AB424" s="7"/>
      <c r="AC424" s="7"/>
    </row>
    <row r="425" spans="1:29" ht="15.75" customHeight="1" x14ac:dyDescent="0.25">
      <c r="A425" s="12" t="s">
        <v>213</v>
      </c>
      <c r="B425" s="14" t="str">
        <f>IFERROR((VLOOKUP($A425,'[1]import success seats course'!$A:P,HLOOKUP('[1]Course Totals'!B$4,'[1]import success seats course'!$1:$2,2,FALSE),FALSE)/(VLOOKUP($A425,'[1]import graded seats course pivo'!$A:Z,HLOOKUP('[1]Course Totals'!B$4,'[1]import graded seats course pivo'!$1:$2,2,FALSE),FALSE))),"")</f>
        <v/>
      </c>
      <c r="C425" s="14" t="str">
        <f>IFERROR((VLOOKUP($A425,'[1]import success seats course'!$A:Q,HLOOKUP('[1]Course Totals'!C$4,'[1]import success seats course'!$1:$2,2,FALSE),FALSE)/(VLOOKUP($A425,'[1]import graded seats course pivo'!$A:AA,HLOOKUP('[1]Course Totals'!C$4,'[1]import graded seats course pivo'!$1:$2,2,FALSE),FALSE))),"")</f>
        <v/>
      </c>
      <c r="D425" s="14">
        <f>IFERROR((VLOOKUP($A425,'[1]import success seats course'!$A:R,HLOOKUP('[1]Course Totals'!D$4,'[1]import success seats course'!$1:$2,2,FALSE),FALSE)/(VLOOKUP($A425,'[1]import graded seats course pivo'!$A:AB,HLOOKUP('[1]Course Totals'!D$4,'[1]import graded seats course pivo'!$1:$2,2,FALSE),FALSE))),"")</f>
        <v>1</v>
      </c>
      <c r="E425" s="14" t="str">
        <f>IFERROR((VLOOKUP($A425,'[1]import success seats course'!$A:S,HLOOKUP('[1]Course Totals'!E$4,'[1]import success seats course'!$1:$2,2,FALSE),FALSE)/(VLOOKUP($A425,'[1]import graded seats course pivo'!$A:AC,HLOOKUP('[1]Course Totals'!E$4,'[1]import graded seats course pivo'!$1:$2,2,FALSE),FALSE))),"")</f>
        <v/>
      </c>
      <c r="F425" s="14" t="str">
        <f>IFERROR((VLOOKUP($A425,'[1]import success seats course'!$A:T,HLOOKUP('[1]Course Totals'!F$4,'[1]import success seats course'!$1:$2,2,FALSE),FALSE)/(VLOOKUP($A425,'[1]import graded seats course pivo'!$A:AD,HLOOKUP('[1]Course Totals'!F$4,'[1]import graded seats course pivo'!$1:$2,2,FALSE),FALSE))),"")</f>
        <v/>
      </c>
      <c r="G425" s="14">
        <f>IFERROR((VLOOKUP($A425,'[1]import success seats course'!$A:U,HLOOKUP('[1]Course Totals'!G$4,'[1]import success seats course'!$1:$2,2,FALSE),FALSE)/(VLOOKUP($A425,'[1]import graded seats course pivo'!$A:AE,HLOOKUP('[1]Course Totals'!G$4,'[1]import graded seats course pivo'!$1:$2,2,FALSE),FALSE))),"")</f>
        <v>0.76470588235294112</v>
      </c>
      <c r="H425" s="14" t="str">
        <f>IFERROR((VLOOKUP($A425,'[1]import success seats course'!$A:V,HLOOKUP('[1]Course Totals'!H$4,'[1]import success seats course'!$1:$2,2,FALSE),FALSE)/(VLOOKUP($A425,'[1]import graded seats course pivo'!$A:AF,HLOOKUP('[1]Course Totals'!H$4,'[1]import graded seats course pivo'!$1:$2,2,FALSE),FALSE))),"")</f>
        <v/>
      </c>
      <c r="I425" s="14" t="str">
        <f>IFERROR((VLOOKUP($A425,'[1]import success seats course'!$A:W,HLOOKUP('[1]Course Totals'!I$4,'[1]import success seats course'!$1:$2,2,FALSE),FALSE)/(VLOOKUP($A425,'[1]import graded seats course pivo'!$A:AG,HLOOKUP('[1]Course Totals'!I$4,'[1]import graded seats course pivo'!$1:$2,2,FALSE),FALSE))),"")</f>
        <v/>
      </c>
      <c r="J425" s="14" t="str">
        <f>IFERROR((VLOOKUP($A425,'[1]import success seats course'!$A:X,HLOOKUP('[1]Course Totals'!J$4,'[1]import success seats course'!$1:$2,2,FALSE),FALSE)/(VLOOKUP($A425,'[1]import graded seats course pivo'!$A:AH,HLOOKUP('[1]Course Totals'!J$4,'[1]import graded seats course pivo'!$1:$2,2,FALSE),FALSE))),"")</f>
        <v/>
      </c>
      <c r="K425" s="14" t="str">
        <f>IFERROR((VLOOKUP($A425,'[1]import success seats course'!$A:Y,HLOOKUP('[1]Course Totals'!K$4,'[1]import success seats course'!$1:$2,2,FALSE),FALSE)/(VLOOKUP($A425,'[1]import graded seats course pivo'!$A:AI,HLOOKUP('[1]Course Totals'!K$4,'[1]import graded seats course pivo'!$1:$2,2,FALSE),FALSE))),"")</f>
        <v/>
      </c>
      <c r="L425" s="14">
        <f>IFERROR((VLOOKUP($A425,'[1]import success seats course'!$A:Z,HLOOKUP('[1]Course Totals'!L$4,'[1]import success seats course'!$1:$2,2,FALSE),FALSE)/(VLOOKUP($A425,'[1]import graded seats course pivo'!$A:AJ,HLOOKUP('[1]Course Totals'!L$4,'[1]import graded seats course pivo'!$1:$2,2,FALSE),FALSE))),"")</f>
        <v>0.91304347826086951</v>
      </c>
      <c r="M425" s="14">
        <f>IFERROR((VLOOKUP($A425,'[1]import success seats course'!$A:AA,HLOOKUP('[1]Course Totals'!M$4,'[1]import success seats course'!$1:$2,2,FALSE),FALSE)/(VLOOKUP($A425,'[1]import graded seats course pivo'!$A:AK,HLOOKUP('[1]Course Totals'!M$4,'[1]import graded seats course pivo'!$1:$2,2,FALSE),FALSE))),"")</f>
        <v>0.91304347826086951</v>
      </c>
      <c r="N425" s="14" t="str">
        <f>IFERROR((VLOOKUP($A425,'[1]import success seats course'!$A:AB,HLOOKUP('[1]Course Totals'!N$4,'[1]import success seats course'!$1:$2,2,FALSE),FALSE)/(VLOOKUP($A425,'[1]import graded seats course pivo'!$A:AL,HLOOKUP('[1]Course Totals'!N$4,'[1]import graded seats course pivo'!$1:$2,2,FALSE),FALSE))),"")</f>
        <v/>
      </c>
      <c r="O425" s="14">
        <f>IFERROR((VLOOKUP($A425,'[1]import success seats course'!$A:AC,HLOOKUP('[1]Course Totals'!O$4,'[1]import success seats course'!$1:$2,2,FALSE),FALSE)/(VLOOKUP($A425,'[1]import graded seats course pivo'!$A:AM,HLOOKUP('[1]Course Totals'!O$4,'[1]import graded seats course pivo'!$1:$2,2,FALSE),FALSE))),"")</f>
        <v>0.81481481481481477</v>
      </c>
      <c r="P425" s="14">
        <f>IFERROR((VLOOKUP($A425,'[1]import success seats course'!$A:AD,HLOOKUP('[1]Course Totals'!P$4,'[1]import success seats course'!$1:$2,2,FALSE),FALSE)/(VLOOKUP($A425,'[1]import graded seats course pivo'!$A:AN,HLOOKUP('[1]Course Totals'!P$4,'[1]import graded seats course pivo'!$1:$2,2,FALSE),FALSE))),"")</f>
        <v>0.96153846153846156</v>
      </c>
      <c r="Q425" s="14" t="str">
        <f>IFERROR((VLOOKUP($A425,'[1]import success seats course'!$A:AE,HLOOKUP('[1]Course Totals'!Q$4,'[1]import success seats course'!$1:$2,2,FALSE),FALSE)/(VLOOKUP($A425,'[1]import graded seats course pivo'!$A:AO,HLOOKUP('[1]Course Totals'!Q$4,'[1]import graded seats course pivo'!$1:$2,2,FALSE),FALSE))),"")</f>
        <v/>
      </c>
      <c r="R425" s="14">
        <f>IFERROR((VLOOKUP($A425,'[1]import success seats course'!$A:AF,HLOOKUP('[1]Course Totals'!R$4,'[1]import success seats course'!$1:$2,2,FALSE),FALSE)/(VLOOKUP($A425,'[1]import graded seats course pivo'!$A:AP,HLOOKUP('[1]Course Totals'!R$4,'[1]import graded seats course pivo'!$1:$2,2,FALSE),FALSE))),"")</f>
        <v>0.94736842105263153</v>
      </c>
      <c r="S425" s="14">
        <f>IFERROR((VLOOKUP($A425,'[1]import success seats course'!$A:AG,HLOOKUP('[1]Course Totals'!S$4,'[1]import success seats course'!$1:$2,2,FALSE),FALSE)/(VLOOKUP($A425,'[1]import graded seats course pivo'!$A:AQ,HLOOKUP('[1]Course Totals'!S$4,'[1]import graded seats course pivo'!$1:$2,2,FALSE),FALSE))),"")</f>
        <v>0.8666666666666667</v>
      </c>
      <c r="Z425" s="7"/>
      <c r="AA425" s="7"/>
      <c r="AB425" s="7"/>
      <c r="AC425" s="7"/>
    </row>
    <row r="426" spans="1:29" ht="15.75" hidden="1" customHeight="1" x14ac:dyDescent="0.25">
      <c r="A426" s="12" t="s">
        <v>594</v>
      </c>
      <c r="B426" s="14" t="str">
        <f>IFERROR((VLOOKUP($A426,'[1]import success seats course'!$A:P,HLOOKUP('[1]Course Totals'!B$4,'[1]import success seats course'!$1:$2,2,FALSE),FALSE)/(VLOOKUP($A426,'[1]import graded seats course pivo'!$A:Z,HLOOKUP('[1]Course Totals'!B$4,'[1]import graded seats course pivo'!$1:$2,2,FALSE),FALSE))),"")</f>
        <v/>
      </c>
      <c r="C426" s="14" t="str">
        <f>IFERROR((VLOOKUP($A426,'[1]import success seats course'!$A:Q,HLOOKUP('[1]Course Totals'!C$4,'[1]import success seats course'!$1:$2,2,FALSE),FALSE)/(VLOOKUP($A426,'[1]import graded seats course pivo'!$A:AA,HLOOKUP('[1]Course Totals'!C$4,'[1]import graded seats course pivo'!$1:$2,2,FALSE),FALSE))),"")</f>
        <v/>
      </c>
      <c r="D426" s="14" t="str">
        <f>IFERROR((VLOOKUP($A426,'[1]import success seats course'!$A:R,HLOOKUP('[1]Course Totals'!D$4,'[1]import success seats course'!$1:$2,2,FALSE),FALSE)/(VLOOKUP($A426,'[1]import graded seats course pivo'!$A:AB,HLOOKUP('[1]Course Totals'!D$4,'[1]import graded seats course pivo'!$1:$2,2,FALSE),FALSE))),"")</f>
        <v/>
      </c>
      <c r="E426" s="14" t="str">
        <f>IFERROR((VLOOKUP($A426,'[1]import success seats course'!$A:S,HLOOKUP('[1]Course Totals'!E$4,'[1]import success seats course'!$1:$2,2,FALSE),FALSE)/(VLOOKUP($A426,'[1]import graded seats course pivo'!$A:AC,HLOOKUP('[1]Course Totals'!E$4,'[1]import graded seats course pivo'!$1:$2,2,FALSE),FALSE))),"")</f>
        <v/>
      </c>
      <c r="F426" s="14" t="str">
        <f>IFERROR((VLOOKUP($A426,'[1]import success seats course'!$A:T,HLOOKUP('[1]Course Totals'!F$4,'[1]import success seats course'!$1:$2,2,FALSE),FALSE)/(VLOOKUP($A426,'[1]import graded seats course pivo'!$A:AD,HLOOKUP('[1]Course Totals'!F$4,'[1]import graded seats course pivo'!$1:$2,2,FALSE),FALSE))),"")</f>
        <v/>
      </c>
      <c r="G426" s="14" t="str">
        <f>IFERROR((VLOOKUP($A426,'[1]import success seats course'!$A:U,HLOOKUP('[1]Course Totals'!G$4,'[1]import success seats course'!$1:$2,2,FALSE),FALSE)/(VLOOKUP($A426,'[1]import graded seats course pivo'!$A:AE,HLOOKUP('[1]Course Totals'!G$4,'[1]import graded seats course pivo'!$1:$2,2,FALSE),FALSE))),"")</f>
        <v/>
      </c>
      <c r="H426" s="14" t="str">
        <f>IFERROR((VLOOKUP($A426,'[1]import success seats course'!$A:V,HLOOKUP('[1]Course Totals'!H$4,'[1]import success seats course'!$1:$2,2,FALSE),FALSE)/(VLOOKUP($A426,'[1]import graded seats course pivo'!$A:AF,HLOOKUP('[1]Course Totals'!H$4,'[1]import graded seats course pivo'!$1:$2,2,FALSE),FALSE))),"")</f>
        <v/>
      </c>
      <c r="I426" s="14" t="str">
        <f>IFERROR((VLOOKUP($A426,'[1]import success seats course'!$A:W,HLOOKUP('[1]Course Totals'!I$4,'[1]import success seats course'!$1:$2,2,FALSE),FALSE)/(VLOOKUP($A426,'[1]import graded seats course pivo'!$A:AG,HLOOKUP('[1]Course Totals'!I$4,'[1]import graded seats course pivo'!$1:$2,2,FALSE),FALSE))),"")</f>
        <v/>
      </c>
      <c r="J426" s="14" t="str">
        <f>IFERROR((VLOOKUP($A426,'[1]import success seats course'!$A:X,HLOOKUP('[1]Course Totals'!J$4,'[1]import success seats course'!$1:$2,2,FALSE),FALSE)/(VLOOKUP($A426,'[1]import graded seats course pivo'!$A:AH,HLOOKUP('[1]Course Totals'!J$4,'[1]import graded seats course pivo'!$1:$2,2,FALSE),FALSE))),"")</f>
        <v/>
      </c>
      <c r="K426" s="14" t="str">
        <f>IFERROR((VLOOKUP($A426,'[1]import success seats course'!$A:Y,HLOOKUP('[1]Course Totals'!K$4,'[1]import success seats course'!$1:$2,2,FALSE),FALSE)/(VLOOKUP($A426,'[1]import graded seats course pivo'!$A:AI,HLOOKUP('[1]Course Totals'!K$4,'[1]import graded seats course pivo'!$1:$2,2,FALSE),FALSE))),"")</f>
        <v/>
      </c>
      <c r="L426" s="14" t="str">
        <f>IFERROR((VLOOKUP($A426,'[1]import success seats course'!$A:Z,HLOOKUP('[1]Course Totals'!L$4,'[1]import success seats course'!$1:$2,2,FALSE),FALSE)/(VLOOKUP($A426,'[1]import graded seats course pivo'!$A:AJ,HLOOKUP('[1]Course Totals'!L$4,'[1]import graded seats course pivo'!$1:$2,2,FALSE),FALSE))),"")</f>
        <v/>
      </c>
      <c r="M426" s="14" t="str">
        <f>IFERROR((VLOOKUP($A426,'[1]import success seats course'!$A:AA,HLOOKUP('[1]Course Totals'!M$4,'[1]import success seats course'!$1:$2,2,FALSE),FALSE)/(VLOOKUP($A426,'[1]import graded seats course pivo'!$A:AK,HLOOKUP('[1]Course Totals'!M$4,'[1]import graded seats course pivo'!$1:$2,2,FALSE),FALSE))),"")</f>
        <v/>
      </c>
      <c r="N426" s="14" t="str">
        <f>IFERROR((VLOOKUP($A426,'[1]import success seats course'!$A:AB,HLOOKUP('[1]Course Totals'!N$4,'[1]import success seats course'!$1:$2,2,FALSE),FALSE)/(VLOOKUP($A426,'[1]import graded seats course pivo'!$A:AL,HLOOKUP('[1]Course Totals'!N$4,'[1]import graded seats course pivo'!$1:$2,2,FALSE),FALSE))),"")</f>
        <v/>
      </c>
      <c r="O426" s="14" t="str">
        <f>IFERROR((VLOOKUP($A426,'[1]import success seats course'!$A:AC,HLOOKUP('[1]Course Totals'!O$4,'[1]import success seats course'!$1:$2,2,FALSE),FALSE)/(VLOOKUP($A426,'[1]import graded seats course pivo'!$A:AM,HLOOKUP('[1]Course Totals'!O$4,'[1]import graded seats course pivo'!$1:$2,2,FALSE),FALSE))),"")</f>
        <v/>
      </c>
      <c r="P426" s="14" t="str">
        <f>IFERROR((VLOOKUP($A426,'[1]import success seats course'!$A:AD,HLOOKUP('[1]Course Totals'!P$4,'[1]import success seats course'!$1:$2,2,FALSE),FALSE)/(VLOOKUP($A426,'[1]import graded seats course pivo'!$A:AN,HLOOKUP('[1]Course Totals'!P$4,'[1]import graded seats course pivo'!$1:$2,2,FALSE),FALSE))),"")</f>
        <v/>
      </c>
      <c r="Q426" s="14" t="str">
        <f>IFERROR((VLOOKUP($A426,'[1]import success seats course'!$A:AE,HLOOKUP('[1]Course Totals'!Q$4,'[1]import success seats course'!$1:$2,2,FALSE),FALSE)/(VLOOKUP($A426,'[1]import graded seats course pivo'!$A:AO,HLOOKUP('[1]Course Totals'!Q$4,'[1]import graded seats course pivo'!$1:$2,2,FALSE),FALSE))),"")</f>
        <v/>
      </c>
      <c r="R426" s="14" t="str">
        <f>IFERROR((VLOOKUP($A426,'[1]import success seats course'!$A:AF,HLOOKUP('[1]Course Totals'!R$4,'[1]import success seats course'!$1:$2,2,FALSE),FALSE)/(VLOOKUP($A426,'[1]import graded seats course pivo'!$A:AP,HLOOKUP('[1]Course Totals'!R$4,'[1]import graded seats course pivo'!$1:$2,2,FALSE),FALSE))),"")</f>
        <v/>
      </c>
      <c r="S426" s="14" t="str">
        <f>IFERROR((VLOOKUP($A426,'[1]import success seats course'!$A:AG,HLOOKUP('[1]Course Totals'!S$4,'[1]import success seats course'!$1:$2,2,FALSE),FALSE)/(VLOOKUP($A426,'[1]import graded seats course pivo'!$A:AQ,HLOOKUP('[1]Course Totals'!S$4,'[1]import graded seats course pivo'!$1:$2,2,FALSE),FALSE))),"")</f>
        <v/>
      </c>
      <c r="Z426" s="7"/>
      <c r="AA426" s="7"/>
      <c r="AB426" s="7"/>
      <c r="AC426" s="7"/>
    </row>
    <row r="427" spans="1:29" ht="15.75" customHeight="1" x14ac:dyDescent="0.25">
      <c r="A427" s="12" t="s">
        <v>899</v>
      </c>
      <c r="B427" s="14" t="str">
        <f>IFERROR((VLOOKUP($A427,'[1]import success seats course'!$A:P,HLOOKUP('[1]Course Totals'!B$4,'[1]import success seats course'!$1:$2,2,FALSE),FALSE)/(VLOOKUP($A427,'[1]import graded seats course pivo'!$A:Z,HLOOKUP('[1]Course Totals'!B$4,'[1]import graded seats course pivo'!$1:$2,2,FALSE),FALSE))),"")</f>
        <v/>
      </c>
      <c r="C427" s="14" t="str">
        <f>IFERROR((VLOOKUP($A427,'[1]import success seats course'!$A:Q,HLOOKUP('[1]Course Totals'!C$4,'[1]import success seats course'!$1:$2,2,FALSE),FALSE)/(VLOOKUP($A427,'[1]import graded seats course pivo'!$A:AA,HLOOKUP('[1]Course Totals'!C$4,'[1]import graded seats course pivo'!$1:$2,2,FALSE),FALSE))),"")</f>
        <v/>
      </c>
      <c r="D427" s="14">
        <f>IFERROR((VLOOKUP($A427,'[1]import success seats course'!$A:R,HLOOKUP('[1]Course Totals'!D$4,'[1]import success seats course'!$1:$2,2,FALSE),FALSE)/(VLOOKUP($A427,'[1]import graded seats course pivo'!$A:AB,HLOOKUP('[1]Course Totals'!D$4,'[1]import graded seats course pivo'!$1:$2,2,FALSE),FALSE))),"")</f>
        <v>1</v>
      </c>
      <c r="E427" s="14" t="str">
        <f>IFERROR((VLOOKUP($A427,'[1]import success seats course'!$A:S,HLOOKUP('[1]Course Totals'!E$4,'[1]import success seats course'!$1:$2,2,FALSE),FALSE)/(VLOOKUP($A427,'[1]import graded seats course pivo'!$A:AC,HLOOKUP('[1]Course Totals'!E$4,'[1]import graded seats course pivo'!$1:$2,2,FALSE),FALSE))),"")</f>
        <v/>
      </c>
      <c r="F427" s="14" t="str">
        <f>IFERROR((VLOOKUP($A427,'[1]import success seats course'!$A:T,HLOOKUP('[1]Course Totals'!F$4,'[1]import success seats course'!$1:$2,2,FALSE),FALSE)/(VLOOKUP($A427,'[1]import graded seats course pivo'!$A:AD,HLOOKUP('[1]Course Totals'!F$4,'[1]import graded seats course pivo'!$1:$2,2,FALSE),FALSE))),"")</f>
        <v/>
      </c>
      <c r="G427" s="14">
        <f>IFERROR((VLOOKUP($A427,'[1]import success seats course'!$A:U,HLOOKUP('[1]Course Totals'!G$4,'[1]import success seats course'!$1:$2,2,FALSE),FALSE)/(VLOOKUP($A427,'[1]import graded seats course pivo'!$A:AE,HLOOKUP('[1]Course Totals'!G$4,'[1]import graded seats course pivo'!$1:$2,2,FALSE),FALSE))),"")</f>
        <v>1</v>
      </c>
      <c r="H427" s="14" t="str">
        <f>IFERROR((VLOOKUP($A427,'[1]import success seats course'!$A:V,HLOOKUP('[1]Course Totals'!H$4,'[1]import success seats course'!$1:$2,2,FALSE),FALSE)/(VLOOKUP($A427,'[1]import graded seats course pivo'!$A:AF,HLOOKUP('[1]Course Totals'!H$4,'[1]import graded seats course pivo'!$1:$2,2,FALSE),FALSE))),"")</f>
        <v/>
      </c>
      <c r="I427" s="14" t="str">
        <f>IFERROR((VLOOKUP($A427,'[1]import success seats course'!$A:W,HLOOKUP('[1]Course Totals'!I$4,'[1]import success seats course'!$1:$2,2,FALSE),FALSE)/(VLOOKUP($A427,'[1]import graded seats course pivo'!$A:AG,HLOOKUP('[1]Course Totals'!I$4,'[1]import graded seats course pivo'!$1:$2,2,FALSE),FALSE))),"")</f>
        <v/>
      </c>
      <c r="J427" s="14">
        <f>IFERROR((VLOOKUP($A427,'[1]import success seats course'!$A:X,HLOOKUP('[1]Course Totals'!J$4,'[1]import success seats course'!$1:$2,2,FALSE),FALSE)/(VLOOKUP($A427,'[1]import graded seats course pivo'!$A:AH,HLOOKUP('[1]Course Totals'!J$4,'[1]import graded seats course pivo'!$1:$2,2,FALSE),FALSE))),"")</f>
        <v>0.94736842105263153</v>
      </c>
      <c r="K427" s="14" t="str">
        <f>IFERROR((VLOOKUP($A427,'[1]import success seats course'!$A:Y,HLOOKUP('[1]Course Totals'!K$4,'[1]import success seats course'!$1:$2,2,FALSE),FALSE)/(VLOOKUP($A427,'[1]import graded seats course pivo'!$A:AI,HLOOKUP('[1]Course Totals'!K$4,'[1]import graded seats course pivo'!$1:$2,2,FALSE),FALSE))),"")</f>
        <v/>
      </c>
      <c r="L427" s="14" t="str">
        <f>IFERROR((VLOOKUP($A427,'[1]import success seats course'!$A:Z,HLOOKUP('[1]Course Totals'!L$4,'[1]import success seats course'!$1:$2,2,FALSE),FALSE)/(VLOOKUP($A427,'[1]import graded seats course pivo'!$A:AJ,HLOOKUP('[1]Course Totals'!L$4,'[1]import graded seats course pivo'!$1:$2,2,FALSE),FALSE))),"")</f>
        <v/>
      </c>
      <c r="M427" s="14">
        <f>IFERROR((VLOOKUP($A427,'[1]import success seats course'!$A:AA,HLOOKUP('[1]Course Totals'!M$4,'[1]import success seats course'!$1:$2,2,FALSE),FALSE)/(VLOOKUP($A427,'[1]import graded seats course pivo'!$A:AK,HLOOKUP('[1]Course Totals'!M$4,'[1]import graded seats course pivo'!$1:$2,2,FALSE),FALSE))),"")</f>
        <v>0.93333333333333335</v>
      </c>
      <c r="N427" s="14" t="str">
        <f>IFERROR((VLOOKUP($A427,'[1]import success seats course'!$A:AB,HLOOKUP('[1]Course Totals'!N$4,'[1]import success seats course'!$1:$2,2,FALSE),FALSE)/(VLOOKUP($A427,'[1]import graded seats course pivo'!$A:AL,HLOOKUP('[1]Course Totals'!N$4,'[1]import graded seats course pivo'!$1:$2,2,FALSE),FALSE))),"")</f>
        <v/>
      </c>
      <c r="O427" s="14" t="str">
        <f>IFERROR((VLOOKUP($A427,'[1]import success seats course'!$A:AC,HLOOKUP('[1]Course Totals'!O$4,'[1]import success seats course'!$1:$2,2,FALSE),FALSE)/(VLOOKUP($A427,'[1]import graded seats course pivo'!$A:AM,HLOOKUP('[1]Course Totals'!O$4,'[1]import graded seats course pivo'!$1:$2,2,FALSE),FALSE))),"")</f>
        <v/>
      </c>
      <c r="P427" s="14" t="str">
        <f>IFERROR((VLOOKUP($A427,'[1]import success seats course'!$A:AD,HLOOKUP('[1]Course Totals'!P$4,'[1]import success seats course'!$1:$2,2,FALSE),FALSE)/(VLOOKUP($A427,'[1]import graded seats course pivo'!$A:AN,HLOOKUP('[1]Course Totals'!P$4,'[1]import graded seats course pivo'!$1:$2,2,FALSE),FALSE))),"")</f>
        <v/>
      </c>
      <c r="Q427" s="14" t="str">
        <f>IFERROR((VLOOKUP($A427,'[1]import success seats course'!$A:AE,HLOOKUP('[1]Course Totals'!Q$4,'[1]import success seats course'!$1:$2,2,FALSE),FALSE)/(VLOOKUP($A427,'[1]import graded seats course pivo'!$A:AO,HLOOKUP('[1]Course Totals'!Q$4,'[1]import graded seats course pivo'!$1:$2,2,FALSE),FALSE))),"")</f>
        <v/>
      </c>
      <c r="R427" s="14" t="str">
        <f>IFERROR((VLOOKUP($A427,'[1]import success seats course'!$A:AF,HLOOKUP('[1]Course Totals'!R$4,'[1]import success seats course'!$1:$2,2,FALSE),FALSE)/(VLOOKUP($A427,'[1]import graded seats course pivo'!$A:AP,HLOOKUP('[1]Course Totals'!R$4,'[1]import graded seats course pivo'!$1:$2,2,FALSE),FALSE))),"")</f>
        <v/>
      </c>
      <c r="S427" s="14" t="str">
        <f>IFERROR((VLOOKUP($A427,'[1]import success seats course'!$A:AG,HLOOKUP('[1]Course Totals'!S$4,'[1]import success seats course'!$1:$2,2,FALSE),FALSE)/(VLOOKUP($A427,'[1]import graded seats course pivo'!$A:AQ,HLOOKUP('[1]Course Totals'!S$4,'[1]import graded seats course pivo'!$1:$2,2,FALSE),FALSE))),"")</f>
        <v/>
      </c>
      <c r="Z427" s="7"/>
      <c r="AA427" s="7"/>
      <c r="AB427" s="7"/>
      <c r="AC427" s="7"/>
    </row>
    <row r="428" spans="1:29" ht="15.75" customHeight="1" x14ac:dyDescent="0.25">
      <c r="A428" s="12" t="s">
        <v>214</v>
      </c>
      <c r="B428" s="14" t="str">
        <f>IFERROR((VLOOKUP($A428,'[1]import success seats course'!$A:P,HLOOKUP('[1]Course Totals'!B$4,'[1]import success seats course'!$1:$2,2,FALSE),FALSE)/(VLOOKUP($A428,'[1]import graded seats course pivo'!$A:Z,HLOOKUP('[1]Course Totals'!B$4,'[1]import graded seats course pivo'!$1:$2,2,FALSE),FALSE))),"")</f>
        <v/>
      </c>
      <c r="C428" s="14">
        <f>IFERROR((VLOOKUP($A428,'[1]import success seats course'!$A:Q,HLOOKUP('[1]Course Totals'!C$4,'[1]import success seats course'!$1:$2,2,FALSE),FALSE)/(VLOOKUP($A428,'[1]import graded seats course pivo'!$A:AA,HLOOKUP('[1]Course Totals'!C$4,'[1]import graded seats course pivo'!$1:$2,2,FALSE),FALSE))),"")</f>
        <v>1</v>
      </c>
      <c r="D428" s="14" t="str">
        <f>IFERROR((VLOOKUP($A428,'[1]import success seats course'!$A:R,HLOOKUP('[1]Course Totals'!D$4,'[1]import success seats course'!$1:$2,2,FALSE),FALSE)/(VLOOKUP($A428,'[1]import graded seats course pivo'!$A:AB,HLOOKUP('[1]Course Totals'!D$4,'[1]import graded seats course pivo'!$1:$2,2,FALSE),FALSE))),"")</f>
        <v/>
      </c>
      <c r="E428" s="14" t="str">
        <f>IFERROR((VLOOKUP($A428,'[1]import success seats course'!$A:S,HLOOKUP('[1]Course Totals'!E$4,'[1]import success seats course'!$1:$2,2,FALSE),FALSE)/(VLOOKUP($A428,'[1]import graded seats course pivo'!$A:AC,HLOOKUP('[1]Course Totals'!E$4,'[1]import graded seats course pivo'!$1:$2,2,FALSE),FALSE))),"")</f>
        <v/>
      </c>
      <c r="F428" s="14" t="str">
        <f>IFERROR((VLOOKUP($A428,'[1]import success seats course'!$A:T,HLOOKUP('[1]Course Totals'!F$4,'[1]import success seats course'!$1:$2,2,FALSE),FALSE)/(VLOOKUP($A428,'[1]import graded seats course pivo'!$A:AD,HLOOKUP('[1]Course Totals'!F$4,'[1]import graded seats course pivo'!$1:$2,2,FALSE),FALSE))),"")</f>
        <v/>
      </c>
      <c r="G428" s="14" t="str">
        <f>IFERROR((VLOOKUP($A428,'[1]import success seats course'!$A:U,HLOOKUP('[1]Course Totals'!G$4,'[1]import success seats course'!$1:$2,2,FALSE),FALSE)/(VLOOKUP($A428,'[1]import graded seats course pivo'!$A:AE,HLOOKUP('[1]Course Totals'!G$4,'[1]import graded seats course pivo'!$1:$2,2,FALSE),FALSE))),"")</f>
        <v/>
      </c>
      <c r="H428" s="14" t="str">
        <f>IFERROR((VLOOKUP($A428,'[1]import success seats course'!$A:V,HLOOKUP('[1]Course Totals'!H$4,'[1]import success seats course'!$1:$2,2,FALSE),FALSE)/(VLOOKUP($A428,'[1]import graded seats course pivo'!$A:AF,HLOOKUP('[1]Course Totals'!H$4,'[1]import graded seats course pivo'!$1:$2,2,FALSE),FALSE))),"")</f>
        <v/>
      </c>
      <c r="I428" s="14" t="str">
        <f>IFERROR((VLOOKUP($A428,'[1]import success seats course'!$A:W,HLOOKUP('[1]Course Totals'!I$4,'[1]import success seats course'!$1:$2,2,FALSE),FALSE)/(VLOOKUP($A428,'[1]import graded seats course pivo'!$A:AG,HLOOKUP('[1]Course Totals'!I$4,'[1]import graded seats course pivo'!$1:$2,2,FALSE),FALSE))),"")</f>
        <v/>
      </c>
      <c r="J428" s="14" t="str">
        <f>IFERROR((VLOOKUP($A428,'[1]import success seats course'!$A:X,HLOOKUP('[1]Course Totals'!J$4,'[1]import success seats course'!$1:$2,2,FALSE),FALSE)/(VLOOKUP($A428,'[1]import graded seats course pivo'!$A:AH,HLOOKUP('[1]Course Totals'!J$4,'[1]import graded seats course pivo'!$1:$2,2,FALSE),FALSE))),"")</f>
        <v/>
      </c>
      <c r="K428" s="14" t="str">
        <f>IFERROR((VLOOKUP($A428,'[1]import success seats course'!$A:Y,HLOOKUP('[1]Course Totals'!K$4,'[1]import success seats course'!$1:$2,2,FALSE),FALSE)/(VLOOKUP($A428,'[1]import graded seats course pivo'!$A:AI,HLOOKUP('[1]Course Totals'!K$4,'[1]import graded seats course pivo'!$1:$2,2,FALSE),FALSE))),"")</f>
        <v/>
      </c>
      <c r="L428" s="14" t="str">
        <f>IFERROR((VLOOKUP($A428,'[1]import success seats course'!$A:Z,HLOOKUP('[1]Course Totals'!L$4,'[1]import success seats course'!$1:$2,2,FALSE),FALSE)/(VLOOKUP($A428,'[1]import graded seats course pivo'!$A:AJ,HLOOKUP('[1]Course Totals'!L$4,'[1]import graded seats course pivo'!$1:$2,2,FALSE),FALSE))),"")</f>
        <v/>
      </c>
      <c r="M428" s="14" t="str">
        <f>IFERROR((VLOOKUP($A428,'[1]import success seats course'!$A:AA,HLOOKUP('[1]Course Totals'!M$4,'[1]import success seats course'!$1:$2,2,FALSE),FALSE)/(VLOOKUP($A428,'[1]import graded seats course pivo'!$A:AK,HLOOKUP('[1]Course Totals'!M$4,'[1]import graded seats course pivo'!$1:$2,2,FALSE),FALSE))),"")</f>
        <v/>
      </c>
      <c r="N428" s="14" t="str">
        <f>IFERROR((VLOOKUP($A428,'[1]import success seats course'!$A:AB,HLOOKUP('[1]Course Totals'!N$4,'[1]import success seats course'!$1:$2,2,FALSE),FALSE)/(VLOOKUP($A428,'[1]import graded seats course pivo'!$A:AL,HLOOKUP('[1]Course Totals'!N$4,'[1]import graded seats course pivo'!$1:$2,2,FALSE),FALSE))),"")</f>
        <v/>
      </c>
      <c r="O428" s="14" t="str">
        <f>IFERROR((VLOOKUP($A428,'[1]import success seats course'!$A:AC,HLOOKUP('[1]Course Totals'!O$4,'[1]import success seats course'!$1:$2,2,FALSE),FALSE)/(VLOOKUP($A428,'[1]import graded seats course pivo'!$A:AM,HLOOKUP('[1]Course Totals'!O$4,'[1]import graded seats course pivo'!$1:$2,2,FALSE),FALSE))),"")</f>
        <v/>
      </c>
      <c r="P428" s="14" t="str">
        <f>IFERROR((VLOOKUP($A428,'[1]import success seats course'!$A:AD,HLOOKUP('[1]Course Totals'!P$4,'[1]import success seats course'!$1:$2,2,FALSE),FALSE)/(VLOOKUP($A428,'[1]import graded seats course pivo'!$A:AN,HLOOKUP('[1]Course Totals'!P$4,'[1]import graded seats course pivo'!$1:$2,2,FALSE),FALSE))),"")</f>
        <v/>
      </c>
      <c r="Q428" s="14" t="str">
        <f>IFERROR((VLOOKUP($A428,'[1]import success seats course'!$A:AE,HLOOKUP('[1]Course Totals'!Q$4,'[1]import success seats course'!$1:$2,2,FALSE),FALSE)/(VLOOKUP($A428,'[1]import graded seats course pivo'!$A:AO,HLOOKUP('[1]Course Totals'!Q$4,'[1]import graded seats course pivo'!$1:$2,2,FALSE),FALSE))),"")</f>
        <v/>
      </c>
      <c r="R428" s="14" t="str">
        <f>IFERROR((VLOOKUP($A428,'[1]import success seats course'!$A:AF,HLOOKUP('[1]Course Totals'!R$4,'[1]import success seats course'!$1:$2,2,FALSE),FALSE)/(VLOOKUP($A428,'[1]import graded seats course pivo'!$A:AP,HLOOKUP('[1]Course Totals'!R$4,'[1]import graded seats course pivo'!$1:$2,2,FALSE),FALSE))),"")</f>
        <v/>
      </c>
      <c r="S428" s="14" t="str">
        <f>IFERROR((VLOOKUP($A428,'[1]import success seats course'!$A:AG,HLOOKUP('[1]Course Totals'!S$4,'[1]import success seats course'!$1:$2,2,FALSE),FALSE)/(VLOOKUP($A428,'[1]import graded seats course pivo'!$A:AQ,HLOOKUP('[1]Course Totals'!S$4,'[1]import graded seats course pivo'!$1:$2,2,FALSE),FALSE))),"")</f>
        <v/>
      </c>
      <c r="Z428" s="7"/>
      <c r="AA428" s="7"/>
      <c r="AB428" s="7"/>
      <c r="AC428" s="7"/>
    </row>
    <row r="429" spans="1:29" ht="15.75" customHeight="1" x14ac:dyDescent="0.25">
      <c r="A429" s="12" t="s">
        <v>595</v>
      </c>
      <c r="B429" s="14" t="str">
        <f>IFERROR((VLOOKUP($A429,'[1]import success seats course'!$A:P,HLOOKUP('[1]Course Totals'!B$4,'[1]import success seats course'!$1:$2,2,FALSE),FALSE)/(VLOOKUP($A429,'[1]import graded seats course pivo'!$A:Z,HLOOKUP('[1]Course Totals'!B$4,'[1]import graded seats course pivo'!$1:$2,2,FALSE),FALSE))),"")</f>
        <v/>
      </c>
      <c r="C429" s="14" t="str">
        <f>IFERROR((VLOOKUP($A429,'[1]import success seats course'!$A:Q,HLOOKUP('[1]Course Totals'!C$4,'[1]import success seats course'!$1:$2,2,FALSE),FALSE)/(VLOOKUP($A429,'[1]import graded seats course pivo'!$A:AA,HLOOKUP('[1]Course Totals'!C$4,'[1]import graded seats course pivo'!$1:$2,2,FALSE),FALSE))),"")</f>
        <v/>
      </c>
      <c r="D429" s="14">
        <f>IFERROR((VLOOKUP($A429,'[1]import success seats course'!$A:R,HLOOKUP('[1]Course Totals'!D$4,'[1]import success seats course'!$1:$2,2,FALSE),FALSE)/(VLOOKUP($A429,'[1]import graded seats course pivo'!$A:AB,HLOOKUP('[1]Course Totals'!D$4,'[1]import graded seats course pivo'!$1:$2,2,FALSE),FALSE))),"")</f>
        <v>0.90909090909090906</v>
      </c>
      <c r="E429" s="14" t="str">
        <f>IFERROR((VLOOKUP($A429,'[1]import success seats course'!$A:S,HLOOKUP('[1]Course Totals'!E$4,'[1]import success seats course'!$1:$2,2,FALSE),FALSE)/(VLOOKUP($A429,'[1]import graded seats course pivo'!$A:AC,HLOOKUP('[1]Course Totals'!E$4,'[1]import graded seats course pivo'!$1:$2,2,FALSE),FALSE))),"")</f>
        <v/>
      </c>
      <c r="F429" s="14">
        <f>IFERROR((VLOOKUP($A429,'[1]import success seats course'!$A:T,HLOOKUP('[1]Course Totals'!F$4,'[1]import success seats course'!$1:$2,2,FALSE),FALSE)/(VLOOKUP($A429,'[1]import graded seats course pivo'!$A:AD,HLOOKUP('[1]Course Totals'!F$4,'[1]import graded seats course pivo'!$1:$2,2,FALSE),FALSE))),"")</f>
        <v>1</v>
      </c>
      <c r="G429" s="14" t="str">
        <f>IFERROR((VLOOKUP($A429,'[1]import success seats course'!$A:U,HLOOKUP('[1]Course Totals'!G$4,'[1]import success seats course'!$1:$2,2,FALSE),FALSE)/(VLOOKUP($A429,'[1]import graded seats course pivo'!$A:AE,HLOOKUP('[1]Course Totals'!G$4,'[1]import graded seats course pivo'!$1:$2,2,FALSE),FALSE))),"")</f>
        <v/>
      </c>
      <c r="H429" s="14" t="str">
        <f>IFERROR((VLOOKUP($A429,'[1]import success seats course'!$A:V,HLOOKUP('[1]Course Totals'!H$4,'[1]import success seats course'!$1:$2,2,FALSE),FALSE)/(VLOOKUP($A429,'[1]import graded seats course pivo'!$A:AF,HLOOKUP('[1]Course Totals'!H$4,'[1]import graded seats course pivo'!$1:$2,2,FALSE),FALSE))),"")</f>
        <v/>
      </c>
      <c r="I429" s="14">
        <f>IFERROR((VLOOKUP($A429,'[1]import success seats course'!$A:W,HLOOKUP('[1]Course Totals'!I$4,'[1]import success seats course'!$1:$2,2,FALSE),FALSE)/(VLOOKUP($A429,'[1]import graded seats course pivo'!$A:AG,HLOOKUP('[1]Course Totals'!I$4,'[1]import graded seats course pivo'!$1:$2,2,FALSE),FALSE))),"")</f>
        <v>0.875</v>
      </c>
      <c r="J429" s="14" t="str">
        <f>IFERROR((VLOOKUP($A429,'[1]import success seats course'!$A:X,HLOOKUP('[1]Course Totals'!J$4,'[1]import success seats course'!$1:$2,2,FALSE),FALSE)/(VLOOKUP($A429,'[1]import graded seats course pivo'!$A:AH,HLOOKUP('[1]Course Totals'!J$4,'[1]import graded seats course pivo'!$1:$2,2,FALSE),FALSE))),"")</f>
        <v/>
      </c>
      <c r="K429" s="14" t="str">
        <f>IFERROR((VLOOKUP($A429,'[1]import success seats course'!$A:Y,HLOOKUP('[1]Course Totals'!K$4,'[1]import success seats course'!$1:$2,2,FALSE),FALSE)/(VLOOKUP($A429,'[1]import graded seats course pivo'!$A:AI,HLOOKUP('[1]Course Totals'!K$4,'[1]import graded seats course pivo'!$1:$2,2,FALSE),FALSE))),"")</f>
        <v/>
      </c>
      <c r="L429" s="14">
        <f>IFERROR((VLOOKUP($A429,'[1]import success seats course'!$A:Z,HLOOKUP('[1]Course Totals'!L$4,'[1]import success seats course'!$1:$2,2,FALSE),FALSE)/(VLOOKUP($A429,'[1]import graded seats course pivo'!$A:AJ,HLOOKUP('[1]Course Totals'!L$4,'[1]import graded seats course pivo'!$1:$2,2,FALSE),FALSE))),"")</f>
        <v>0.97142857142857142</v>
      </c>
      <c r="M429" s="14" t="str">
        <f>IFERROR((VLOOKUP($A429,'[1]import success seats course'!$A:AA,HLOOKUP('[1]Course Totals'!M$4,'[1]import success seats course'!$1:$2,2,FALSE),FALSE)/(VLOOKUP($A429,'[1]import graded seats course pivo'!$A:AK,HLOOKUP('[1]Course Totals'!M$4,'[1]import graded seats course pivo'!$1:$2,2,FALSE),FALSE))),"")</f>
        <v/>
      </c>
      <c r="N429" s="14" t="str">
        <f>IFERROR((VLOOKUP($A429,'[1]import success seats course'!$A:AB,HLOOKUP('[1]Course Totals'!N$4,'[1]import success seats course'!$1:$2,2,FALSE),FALSE)/(VLOOKUP($A429,'[1]import graded seats course pivo'!$A:AL,HLOOKUP('[1]Course Totals'!N$4,'[1]import graded seats course pivo'!$1:$2,2,FALSE),FALSE))),"")</f>
        <v/>
      </c>
      <c r="O429" s="14">
        <f>IFERROR((VLOOKUP($A429,'[1]import success seats course'!$A:AC,HLOOKUP('[1]Course Totals'!O$4,'[1]import success seats course'!$1:$2,2,FALSE),FALSE)/(VLOOKUP($A429,'[1]import graded seats course pivo'!$A:AM,HLOOKUP('[1]Course Totals'!O$4,'[1]import graded seats course pivo'!$1:$2,2,FALSE),FALSE))),"")</f>
        <v>1</v>
      </c>
      <c r="P429" s="14">
        <f>IFERROR((VLOOKUP($A429,'[1]import success seats course'!$A:AD,HLOOKUP('[1]Course Totals'!P$4,'[1]import success seats course'!$1:$2,2,FALSE),FALSE)/(VLOOKUP($A429,'[1]import graded seats course pivo'!$A:AN,HLOOKUP('[1]Course Totals'!P$4,'[1]import graded seats course pivo'!$1:$2,2,FALSE),FALSE))),"")</f>
        <v>0.93333333333333335</v>
      </c>
      <c r="Q429" s="14" t="str">
        <f>IFERROR((VLOOKUP($A429,'[1]import success seats course'!$A:AE,HLOOKUP('[1]Course Totals'!Q$4,'[1]import success seats course'!$1:$2,2,FALSE),FALSE)/(VLOOKUP($A429,'[1]import graded seats course pivo'!$A:AO,HLOOKUP('[1]Course Totals'!Q$4,'[1]import graded seats course pivo'!$1:$2,2,FALSE),FALSE))),"")</f>
        <v/>
      </c>
      <c r="R429" s="14">
        <f>IFERROR((VLOOKUP($A429,'[1]import success seats course'!$A:AF,HLOOKUP('[1]Course Totals'!R$4,'[1]import success seats course'!$1:$2,2,FALSE),FALSE)/(VLOOKUP($A429,'[1]import graded seats course pivo'!$A:AP,HLOOKUP('[1]Course Totals'!R$4,'[1]import graded seats course pivo'!$1:$2,2,FALSE),FALSE))),"")</f>
        <v>1</v>
      </c>
      <c r="S429" s="14">
        <f>IFERROR((VLOOKUP($A429,'[1]import success seats course'!$A:AG,HLOOKUP('[1]Course Totals'!S$4,'[1]import success seats course'!$1:$2,2,FALSE),FALSE)/(VLOOKUP($A429,'[1]import graded seats course pivo'!$A:AQ,HLOOKUP('[1]Course Totals'!S$4,'[1]import graded seats course pivo'!$1:$2,2,FALSE),FALSE))),"")</f>
        <v>0.90909090909090906</v>
      </c>
      <c r="Z429" s="7"/>
      <c r="AA429" s="7"/>
      <c r="AB429" s="7"/>
      <c r="AC429" s="7"/>
    </row>
    <row r="430" spans="1:29" ht="15.75" customHeight="1" x14ac:dyDescent="0.25">
      <c r="A430" s="12" t="s">
        <v>215</v>
      </c>
      <c r="B430" s="14" t="str">
        <f>IFERROR((VLOOKUP($A430,'[1]import success seats course'!$A:P,HLOOKUP('[1]Course Totals'!B$4,'[1]import success seats course'!$1:$2,2,FALSE),FALSE)/(VLOOKUP($A430,'[1]import graded seats course pivo'!$A:Z,HLOOKUP('[1]Course Totals'!B$4,'[1]import graded seats course pivo'!$1:$2,2,FALSE),FALSE))),"")</f>
        <v/>
      </c>
      <c r="C430" s="14" t="str">
        <f>IFERROR((VLOOKUP($A430,'[1]import success seats course'!$A:Q,HLOOKUP('[1]Course Totals'!C$4,'[1]import success seats course'!$1:$2,2,FALSE),FALSE)/(VLOOKUP($A430,'[1]import graded seats course pivo'!$A:AA,HLOOKUP('[1]Course Totals'!C$4,'[1]import graded seats course pivo'!$1:$2,2,FALSE),FALSE))),"")</f>
        <v/>
      </c>
      <c r="D430" s="14" t="str">
        <f>IFERROR((VLOOKUP($A430,'[1]import success seats course'!$A:R,HLOOKUP('[1]Course Totals'!D$4,'[1]import success seats course'!$1:$2,2,FALSE),FALSE)/(VLOOKUP($A430,'[1]import graded seats course pivo'!$A:AB,HLOOKUP('[1]Course Totals'!D$4,'[1]import graded seats course pivo'!$1:$2,2,FALSE),FALSE))),"")</f>
        <v/>
      </c>
      <c r="E430" s="14" t="str">
        <f>IFERROR((VLOOKUP($A430,'[1]import success seats course'!$A:S,HLOOKUP('[1]Course Totals'!E$4,'[1]import success seats course'!$1:$2,2,FALSE),FALSE)/(VLOOKUP($A430,'[1]import graded seats course pivo'!$A:AC,HLOOKUP('[1]Course Totals'!E$4,'[1]import graded seats course pivo'!$1:$2,2,FALSE),FALSE))),"")</f>
        <v/>
      </c>
      <c r="F430" s="14" t="str">
        <f>IFERROR((VLOOKUP($A430,'[1]import success seats course'!$A:T,HLOOKUP('[1]Course Totals'!F$4,'[1]import success seats course'!$1:$2,2,FALSE),FALSE)/(VLOOKUP($A430,'[1]import graded seats course pivo'!$A:AD,HLOOKUP('[1]Course Totals'!F$4,'[1]import graded seats course pivo'!$1:$2,2,FALSE),FALSE))),"")</f>
        <v/>
      </c>
      <c r="G430" s="14">
        <f>IFERROR((VLOOKUP($A430,'[1]import success seats course'!$A:U,HLOOKUP('[1]Course Totals'!G$4,'[1]import success seats course'!$1:$2,2,FALSE),FALSE)/(VLOOKUP($A430,'[1]import graded seats course pivo'!$A:AE,HLOOKUP('[1]Course Totals'!G$4,'[1]import graded seats course pivo'!$1:$2,2,FALSE),FALSE))),"")</f>
        <v>0.84615384615384615</v>
      </c>
      <c r="H430" s="14" t="str">
        <f>IFERROR((VLOOKUP($A430,'[1]import success seats course'!$A:V,HLOOKUP('[1]Course Totals'!H$4,'[1]import success seats course'!$1:$2,2,FALSE),FALSE)/(VLOOKUP($A430,'[1]import graded seats course pivo'!$A:AF,HLOOKUP('[1]Course Totals'!H$4,'[1]import graded seats course pivo'!$1:$2,2,FALSE),FALSE))),"")</f>
        <v/>
      </c>
      <c r="I430" s="14" t="str">
        <f>IFERROR((VLOOKUP($A430,'[1]import success seats course'!$A:W,HLOOKUP('[1]Course Totals'!I$4,'[1]import success seats course'!$1:$2,2,FALSE),FALSE)/(VLOOKUP($A430,'[1]import graded seats course pivo'!$A:AG,HLOOKUP('[1]Course Totals'!I$4,'[1]import graded seats course pivo'!$1:$2,2,FALSE),FALSE))),"")</f>
        <v/>
      </c>
      <c r="J430" s="14">
        <f>IFERROR((VLOOKUP($A430,'[1]import success seats course'!$A:X,HLOOKUP('[1]Course Totals'!J$4,'[1]import success seats course'!$1:$2,2,FALSE),FALSE)/(VLOOKUP($A430,'[1]import graded seats course pivo'!$A:AH,HLOOKUP('[1]Course Totals'!J$4,'[1]import graded seats course pivo'!$1:$2,2,FALSE),FALSE))),"")</f>
        <v>0.875</v>
      </c>
      <c r="K430" s="14" t="str">
        <f>IFERROR((VLOOKUP($A430,'[1]import success seats course'!$A:Y,HLOOKUP('[1]Course Totals'!K$4,'[1]import success seats course'!$1:$2,2,FALSE),FALSE)/(VLOOKUP($A430,'[1]import graded seats course pivo'!$A:AI,HLOOKUP('[1]Course Totals'!K$4,'[1]import graded seats course pivo'!$1:$2,2,FALSE),FALSE))),"")</f>
        <v/>
      </c>
      <c r="L430" s="14" t="str">
        <f>IFERROR((VLOOKUP($A430,'[1]import success seats course'!$A:Z,HLOOKUP('[1]Course Totals'!L$4,'[1]import success seats course'!$1:$2,2,FALSE),FALSE)/(VLOOKUP($A430,'[1]import graded seats course pivo'!$A:AJ,HLOOKUP('[1]Course Totals'!L$4,'[1]import graded seats course pivo'!$1:$2,2,FALSE),FALSE))),"")</f>
        <v/>
      </c>
      <c r="M430" s="14">
        <f>IFERROR((VLOOKUP($A430,'[1]import success seats course'!$A:AA,HLOOKUP('[1]Course Totals'!M$4,'[1]import success seats course'!$1:$2,2,FALSE),FALSE)/(VLOOKUP($A430,'[1]import graded seats course pivo'!$A:AK,HLOOKUP('[1]Course Totals'!M$4,'[1]import graded seats course pivo'!$1:$2,2,FALSE),FALSE))),"")</f>
        <v>0.875</v>
      </c>
      <c r="N430" s="14" t="str">
        <f>IFERROR((VLOOKUP($A430,'[1]import success seats course'!$A:AB,HLOOKUP('[1]Course Totals'!N$4,'[1]import success seats course'!$1:$2,2,FALSE),FALSE)/(VLOOKUP($A430,'[1]import graded seats course pivo'!$A:AL,HLOOKUP('[1]Course Totals'!N$4,'[1]import graded seats course pivo'!$1:$2,2,FALSE),FALSE))),"")</f>
        <v/>
      </c>
      <c r="O430" s="14" t="str">
        <f>IFERROR((VLOOKUP($A430,'[1]import success seats course'!$A:AC,HLOOKUP('[1]Course Totals'!O$4,'[1]import success seats course'!$1:$2,2,FALSE),FALSE)/(VLOOKUP($A430,'[1]import graded seats course pivo'!$A:AM,HLOOKUP('[1]Course Totals'!O$4,'[1]import graded seats course pivo'!$1:$2,2,FALSE),FALSE))),"")</f>
        <v/>
      </c>
      <c r="P430" s="14" t="str">
        <f>IFERROR((VLOOKUP($A430,'[1]import success seats course'!$A:AD,HLOOKUP('[1]Course Totals'!P$4,'[1]import success seats course'!$1:$2,2,FALSE),FALSE)/(VLOOKUP($A430,'[1]import graded seats course pivo'!$A:AN,HLOOKUP('[1]Course Totals'!P$4,'[1]import graded seats course pivo'!$1:$2,2,FALSE),FALSE))),"")</f>
        <v/>
      </c>
      <c r="Q430" s="14" t="str">
        <f>IFERROR((VLOOKUP($A430,'[1]import success seats course'!$A:AE,HLOOKUP('[1]Course Totals'!Q$4,'[1]import success seats course'!$1:$2,2,FALSE),FALSE)/(VLOOKUP($A430,'[1]import graded seats course pivo'!$A:AO,HLOOKUP('[1]Course Totals'!Q$4,'[1]import graded seats course pivo'!$1:$2,2,FALSE),FALSE))),"")</f>
        <v/>
      </c>
      <c r="R430" s="14" t="str">
        <f>IFERROR((VLOOKUP($A430,'[1]import success seats course'!$A:AF,HLOOKUP('[1]Course Totals'!R$4,'[1]import success seats course'!$1:$2,2,FALSE),FALSE)/(VLOOKUP($A430,'[1]import graded seats course pivo'!$A:AP,HLOOKUP('[1]Course Totals'!R$4,'[1]import graded seats course pivo'!$1:$2,2,FALSE),FALSE))),"")</f>
        <v/>
      </c>
      <c r="S430" s="14" t="str">
        <f>IFERROR((VLOOKUP($A430,'[1]import success seats course'!$A:AG,HLOOKUP('[1]Course Totals'!S$4,'[1]import success seats course'!$1:$2,2,FALSE),FALSE)/(VLOOKUP($A430,'[1]import graded seats course pivo'!$A:AQ,HLOOKUP('[1]Course Totals'!S$4,'[1]import graded seats course pivo'!$1:$2,2,FALSE),FALSE))),"")</f>
        <v/>
      </c>
      <c r="Z430" s="7"/>
      <c r="AA430" s="7"/>
      <c r="AB430" s="7"/>
      <c r="AC430" s="7"/>
    </row>
    <row r="431" spans="1:29" ht="15.75" customHeight="1" x14ac:dyDescent="0.25">
      <c r="A431" s="12" t="s">
        <v>216</v>
      </c>
      <c r="B431" s="14">
        <f>IFERROR((VLOOKUP($A431,'[1]import success seats course'!$A:P,HLOOKUP('[1]Course Totals'!B$4,'[1]import success seats course'!$1:$2,2,FALSE),FALSE)/(VLOOKUP($A431,'[1]import graded seats course pivo'!$A:Z,HLOOKUP('[1]Course Totals'!B$4,'[1]import graded seats course pivo'!$1:$2,2,FALSE),FALSE))),"")</f>
        <v>1</v>
      </c>
      <c r="C431" s="14" t="str">
        <f>IFERROR((VLOOKUP($A431,'[1]import success seats course'!$A:Q,HLOOKUP('[1]Course Totals'!C$4,'[1]import success seats course'!$1:$2,2,FALSE),FALSE)/(VLOOKUP($A431,'[1]import graded seats course pivo'!$A:AA,HLOOKUP('[1]Course Totals'!C$4,'[1]import graded seats course pivo'!$1:$2,2,FALSE),FALSE))),"")</f>
        <v/>
      </c>
      <c r="D431" s="14">
        <f>IFERROR((VLOOKUP($A431,'[1]import success seats course'!$A:R,HLOOKUP('[1]Course Totals'!D$4,'[1]import success seats course'!$1:$2,2,FALSE),FALSE)/(VLOOKUP($A431,'[1]import graded seats course pivo'!$A:AB,HLOOKUP('[1]Course Totals'!D$4,'[1]import graded seats course pivo'!$1:$2,2,FALSE),FALSE))),"")</f>
        <v>1</v>
      </c>
      <c r="E431" s="14" t="str">
        <f>IFERROR((VLOOKUP($A431,'[1]import success seats course'!$A:S,HLOOKUP('[1]Course Totals'!E$4,'[1]import success seats course'!$1:$2,2,FALSE),FALSE)/(VLOOKUP($A431,'[1]import graded seats course pivo'!$A:AC,HLOOKUP('[1]Course Totals'!E$4,'[1]import graded seats course pivo'!$1:$2,2,FALSE),FALSE))),"")</f>
        <v/>
      </c>
      <c r="F431" s="14">
        <f>IFERROR((VLOOKUP($A431,'[1]import success seats course'!$A:T,HLOOKUP('[1]Course Totals'!F$4,'[1]import success seats course'!$1:$2,2,FALSE),FALSE)/(VLOOKUP($A431,'[1]import graded seats course pivo'!$A:AD,HLOOKUP('[1]Course Totals'!F$4,'[1]import graded seats course pivo'!$1:$2,2,FALSE),FALSE))),"")</f>
        <v>1</v>
      </c>
      <c r="G431" s="14">
        <f>IFERROR((VLOOKUP($A431,'[1]import success seats course'!$A:U,HLOOKUP('[1]Course Totals'!G$4,'[1]import success seats course'!$1:$2,2,FALSE),FALSE)/(VLOOKUP($A431,'[1]import graded seats course pivo'!$A:AE,HLOOKUP('[1]Course Totals'!G$4,'[1]import graded seats course pivo'!$1:$2,2,FALSE),FALSE))),"")</f>
        <v>1</v>
      </c>
      <c r="H431" s="14" t="str">
        <f>IFERROR((VLOOKUP($A431,'[1]import success seats course'!$A:V,HLOOKUP('[1]Course Totals'!H$4,'[1]import success seats course'!$1:$2,2,FALSE),FALSE)/(VLOOKUP($A431,'[1]import graded seats course pivo'!$A:AF,HLOOKUP('[1]Course Totals'!H$4,'[1]import graded seats course pivo'!$1:$2,2,FALSE),FALSE))),"")</f>
        <v/>
      </c>
      <c r="I431" s="14">
        <f>IFERROR((VLOOKUP($A431,'[1]import success seats course'!$A:W,HLOOKUP('[1]Course Totals'!I$4,'[1]import success seats course'!$1:$2,2,FALSE),FALSE)/(VLOOKUP($A431,'[1]import graded seats course pivo'!$A:AG,HLOOKUP('[1]Course Totals'!I$4,'[1]import graded seats course pivo'!$1:$2,2,FALSE),FALSE))),"")</f>
        <v>1</v>
      </c>
      <c r="J431" s="14">
        <f>IFERROR((VLOOKUP($A431,'[1]import success seats course'!$A:X,HLOOKUP('[1]Course Totals'!J$4,'[1]import success seats course'!$1:$2,2,FALSE),FALSE)/(VLOOKUP($A431,'[1]import graded seats course pivo'!$A:AH,HLOOKUP('[1]Course Totals'!J$4,'[1]import graded seats course pivo'!$1:$2,2,FALSE),FALSE))),"")</f>
        <v>1</v>
      </c>
      <c r="K431" s="14" t="str">
        <f>IFERROR((VLOOKUP($A431,'[1]import success seats course'!$A:Y,HLOOKUP('[1]Course Totals'!K$4,'[1]import success seats course'!$1:$2,2,FALSE),FALSE)/(VLOOKUP($A431,'[1]import graded seats course pivo'!$A:AI,HLOOKUP('[1]Course Totals'!K$4,'[1]import graded seats course pivo'!$1:$2,2,FALSE),FALSE))),"")</f>
        <v/>
      </c>
      <c r="L431" s="14">
        <f>IFERROR((VLOOKUP($A431,'[1]import success seats course'!$A:Z,HLOOKUP('[1]Course Totals'!L$4,'[1]import success seats course'!$1:$2,2,FALSE),FALSE)/(VLOOKUP($A431,'[1]import graded seats course pivo'!$A:AJ,HLOOKUP('[1]Course Totals'!L$4,'[1]import graded seats course pivo'!$1:$2,2,FALSE),FALSE))),"")</f>
        <v>1</v>
      </c>
      <c r="M431" s="14">
        <f>IFERROR((VLOOKUP($A431,'[1]import success seats course'!$A:AA,HLOOKUP('[1]Course Totals'!M$4,'[1]import success seats course'!$1:$2,2,FALSE),FALSE)/(VLOOKUP($A431,'[1]import graded seats course pivo'!$A:AK,HLOOKUP('[1]Course Totals'!M$4,'[1]import graded seats course pivo'!$1:$2,2,FALSE),FALSE))),"")</f>
        <v>1</v>
      </c>
      <c r="N431" s="14" t="str">
        <f>IFERROR((VLOOKUP($A431,'[1]import success seats course'!$A:AB,HLOOKUP('[1]Course Totals'!N$4,'[1]import success seats course'!$1:$2,2,FALSE),FALSE)/(VLOOKUP($A431,'[1]import graded seats course pivo'!$A:AL,HLOOKUP('[1]Course Totals'!N$4,'[1]import graded seats course pivo'!$1:$2,2,FALSE),FALSE))),"")</f>
        <v/>
      </c>
      <c r="O431" s="14">
        <f>IFERROR((VLOOKUP($A431,'[1]import success seats course'!$A:AC,HLOOKUP('[1]Course Totals'!O$4,'[1]import success seats course'!$1:$2,2,FALSE),FALSE)/(VLOOKUP($A431,'[1]import graded seats course pivo'!$A:AM,HLOOKUP('[1]Course Totals'!O$4,'[1]import graded seats course pivo'!$1:$2,2,FALSE),FALSE))),"")</f>
        <v>1</v>
      </c>
      <c r="P431" s="14">
        <f>IFERROR((VLOOKUP($A431,'[1]import success seats course'!$A:AD,HLOOKUP('[1]Course Totals'!P$4,'[1]import success seats course'!$1:$2,2,FALSE),FALSE)/(VLOOKUP($A431,'[1]import graded seats course pivo'!$A:AN,HLOOKUP('[1]Course Totals'!P$4,'[1]import graded seats course pivo'!$1:$2,2,FALSE),FALSE))),"")</f>
        <v>1</v>
      </c>
      <c r="Q431" s="14" t="str">
        <f>IFERROR((VLOOKUP($A431,'[1]import success seats course'!$A:AE,HLOOKUP('[1]Course Totals'!Q$4,'[1]import success seats course'!$1:$2,2,FALSE),FALSE)/(VLOOKUP($A431,'[1]import graded seats course pivo'!$A:AO,HLOOKUP('[1]Course Totals'!Q$4,'[1]import graded seats course pivo'!$1:$2,2,FALSE),FALSE))),"")</f>
        <v/>
      </c>
      <c r="R431" s="14">
        <f>IFERROR((VLOOKUP($A431,'[1]import success seats course'!$A:AF,HLOOKUP('[1]Course Totals'!R$4,'[1]import success seats course'!$1:$2,2,FALSE),FALSE)/(VLOOKUP($A431,'[1]import graded seats course pivo'!$A:AP,HLOOKUP('[1]Course Totals'!R$4,'[1]import graded seats course pivo'!$1:$2,2,FALSE),FALSE))),"")</f>
        <v>1</v>
      </c>
      <c r="S431" s="14">
        <f>IFERROR((VLOOKUP($A431,'[1]import success seats course'!$A:AG,HLOOKUP('[1]Course Totals'!S$4,'[1]import success seats course'!$1:$2,2,FALSE),FALSE)/(VLOOKUP($A431,'[1]import graded seats course pivo'!$A:AQ,HLOOKUP('[1]Course Totals'!S$4,'[1]import graded seats course pivo'!$1:$2,2,FALSE),FALSE))),"")</f>
        <v>1</v>
      </c>
      <c r="Z431" s="7"/>
      <c r="AA431" s="7"/>
      <c r="AB431" s="7"/>
      <c r="AC431" s="7"/>
    </row>
    <row r="432" spans="1:29" ht="15.75" customHeight="1" thickBot="1" x14ac:dyDescent="0.3">
      <c r="A432" s="8" t="str">
        <f>'[1]SUBJECTS BASE'!H21</f>
        <v>Diagnostic Medical Sonography</v>
      </c>
      <c r="B432" s="38" t="s">
        <v>1046</v>
      </c>
      <c r="C432" s="39" t="s">
        <v>0</v>
      </c>
      <c r="D432" s="40" t="s">
        <v>868</v>
      </c>
      <c r="E432" s="41" t="s">
        <v>1052</v>
      </c>
      <c r="F432" s="42" t="s">
        <v>546</v>
      </c>
      <c r="G432" s="43" t="s">
        <v>959</v>
      </c>
      <c r="H432" s="44" t="s">
        <v>1060</v>
      </c>
      <c r="I432" s="39" t="s">
        <v>675</v>
      </c>
      <c r="J432" s="45" t="s">
        <v>1006</v>
      </c>
      <c r="K432" s="46" t="s">
        <v>1062</v>
      </c>
      <c r="L432" s="42" t="s">
        <v>762</v>
      </c>
      <c r="M432" s="43" t="s">
        <v>1022</v>
      </c>
      <c r="N432" s="44" t="s">
        <v>1063</v>
      </c>
      <c r="O432" s="39" t="s">
        <v>822</v>
      </c>
      <c r="P432" s="40" t="s">
        <v>1042</v>
      </c>
      <c r="Q432" s="46" t="s">
        <v>1153</v>
      </c>
      <c r="R432" s="42" t="s">
        <v>1154</v>
      </c>
      <c r="S432" s="43" t="s">
        <v>1155</v>
      </c>
      <c r="Z432" s="7"/>
      <c r="AA432" s="7"/>
      <c r="AB432" s="7"/>
      <c r="AC432" s="7"/>
    </row>
    <row r="433" spans="1:29" ht="15.75" customHeight="1" x14ac:dyDescent="0.25">
      <c r="A433" s="12" t="s">
        <v>596</v>
      </c>
      <c r="B433" s="14" t="str">
        <f>IFERROR((VLOOKUP($A433,'[1]import success seats course'!$A:P,HLOOKUP('[1]Course Totals'!B$4,'[1]import success seats course'!$1:$2,2,FALSE),FALSE)/(VLOOKUP($A433,'[1]import graded seats course pivo'!$A:Z,HLOOKUP('[1]Course Totals'!B$4,'[1]import graded seats course pivo'!$1:$2,2,FALSE),FALSE))),"")</f>
        <v/>
      </c>
      <c r="C433" s="14" t="str">
        <f>IFERROR((VLOOKUP($A433,'[1]import success seats course'!$A:Q,HLOOKUP('[1]Course Totals'!C$4,'[1]import success seats course'!$1:$2,2,FALSE),FALSE)/(VLOOKUP($A433,'[1]import graded seats course pivo'!$A:AA,HLOOKUP('[1]Course Totals'!C$4,'[1]import graded seats course pivo'!$1:$2,2,FALSE),FALSE))),"")</f>
        <v/>
      </c>
      <c r="D433" s="14" t="str">
        <f>IFERROR((VLOOKUP($A433,'[1]import success seats course'!$A:R,HLOOKUP('[1]Course Totals'!D$4,'[1]import success seats course'!$1:$2,2,FALSE),FALSE)/(VLOOKUP($A433,'[1]import graded seats course pivo'!$A:AB,HLOOKUP('[1]Course Totals'!D$4,'[1]import graded seats course pivo'!$1:$2,2,FALSE),FALSE))),"")</f>
        <v/>
      </c>
      <c r="E433" s="14" t="str">
        <f>IFERROR((VLOOKUP($A433,'[1]import success seats course'!$A:S,HLOOKUP('[1]Course Totals'!E$4,'[1]import success seats course'!$1:$2,2,FALSE),FALSE)/(VLOOKUP($A433,'[1]import graded seats course pivo'!$A:AC,HLOOKUP('[1]Course Totals'!E$4,'[1]import graded seats course pivo'!$1:$2,2,FALSE),FALSE))),"")</f>
        <v/>
      </c>
      <c r="F433" s="14">
        <f>IFERROR((VLOOKUP($A433,'[1]import success seats course'!$A:T,HLOOKUP('[1]Course Totals'!F$4,'[1]import success seats course'!$1:$2,2,FALSE),FALSE)/(VLOOKUP($A433,'[1]import graded seats course pivo'!$A:AD,HLOOKUP('[1]Course Totals'!F$4,'[1]import graded seats course pivo'!$1:$2,2,FALSE),FALSE))),"")</f>
        <v>1</v>
      </c>
      <c r="G433" s="14" t="str">
        <f>IFERROR((VLOOKUP($A433,'[1]import success seats course'!$A:U,HLOOKUP('[1]Course Totals'!G$4,'[1]import success seats course'!$1:$2,2,FALSE),FALSE)/(VLOOKUP($A433,'[1]import graded seats course pivo'!$A:AE,HLOOKUP('[1]Course Totals'!G$4,'[1]import graded seats course pivo'!$1:$2,2,FALSE),FALSE))),"")</f>
        <v/>
      </c>
      <c r="H433" s="14" t="str">
        <f>IFERROR((VLOOKUP($A433,'[1]import success seats course'!$A:V,HLOOKUP('[1]Course Totals'!H$4,'[1]import success seats course'!$1:$2,2,FALSE),FALSE)/(VLOOKUP($A433,'[1]import graded seats course pivo'!$A:AF,HLOOKUP('[1]Course Totals'!H$4,'[1]import graded seats course pivo'!$1:$2,2,FALSE),FALSE))),"")</f>
        <v/>
      </c>
      <c r="I433" s="14">
        <f>IFERROR((VLOOKUP($A433,'[1]import success seats course'!$A:W,HLOOKUP('[1]Course Totals'!I$4,'[1]import success seats course'!$1:$2,2,FALSE),FALSE)/(VLOOKUP($A433,'[1]import graded seats course pivo'!$A:AG,HLOOKUP('[1]Course Totals'!I$4,'[1]import graded seats course pivo'!$1:$2,2,FALSE),FALSE))),"")</f>
        <v>1</v>
      </c>
      <c r="J433" s="14" t="str">
        <f>IFERROR((VLOOKUP($A433,'[1]import success seats course'!$A:X,HLOOKUP('[1]Course Totals'!J$4,'[1]import success seats course'!$1:$2,2,FALSE),FALSE)/(VLOOKUP($A433,'[1]import graded seats course pivo'!$A:AH,HLOOKUP('[1]Course Totals'!J$4,'[1]import graded seats course pivo'!$1:$2,2,FALSE),FALSE))),"")</f>
        <v/>
      </c>
      <c r="K433" s="14" t="str">
        <f>IFERROR((VLOOKUP($A433,'[1]import success seats course'!$A:Y,HLOOKUP('[1]Course Totals'!K$4,'[1]import success seats course'!$1:$2,2,FALSE),FALSE)/(VLOOKUP($A433,'[1]import graded seats course pivo'!$A:AI,HLOOKUP('[1]Course Totals'!K$4,'[1]import graded seats course pivo'!$1:$2,2,FALSE),FALSE))),"")</f>
        <v/>
      </c>
      <c r="L433" s="14">
        <f>IFERROR((VLOOKUP($A433,'[1]import success seats course'!$A:Z,HLOOKUP('[1]Course Totals'!L$4,'[1]import success seats course'!$1:$2,2,FALSE),FALSE)/(VLOOKUP($A433,'[1]import graded seats course pivo'!$A:AJ,HLOOKUP('[1]Course Totals'!L$4,'[1]import graded seats course pivo'!$1:$2,2,FALSE),FALSE))),"")</f>
        <v>1</v>
      </c>
      <c r="M433" s="14" t="str">
        <f>IFERROR((VLOOKUP($A433,'[1]import success seats course'!$A:AA,HLOOKUP('[1]Course Totals'!M$4,'[1]import success seats course'!$1:$2,2,FALSE),FALSE)/(VLOOKUP($A433,'[1]import graded seats course pivo'!$A:AK,HLOOKUP('[1]Course Totals'!M$4,'[1]import graded seats course pivo'!$1:$2,2,FALSE),FALSE))),"")</f>
        <v/>
      </c>
      <c r="N433" s="14" t="str">
        <f>IFERROR((VLOOKUP($A433,'[1]import success seats course'!$A:AB,HLOOKUP('[1]Course Totals'!N$4,'[1]import success seats course'!$1:$2,2,FALSE),FALSE)/(VLOOKUP($A433,'[1]import graded seats course pivo'!$A:AL,HLOOKUP('[1]Course Totals'!N$4,'[1]import graded seats course pivo'!$1:$2,2,FALSE),FALSE))),"")</f>
        <v/>
      </c>
      <c r="O433" s="14" t="str">
        <f>IFERROR((VLOOKUP($A433,'[1]import success seats course'!$A:AC,HLOOKUP('[1]Course Totals'!O$4,'[1]import success seats course'!$1:$2,2,FALSE),FALSE)/(VLOOKUP($A433,'[1]import graded seats course pivo'!$A:AM,HLOOKUP('[1]Course Totals'!O$4,'[1]import graded seats course pivo'!$1:$2,2,FALSE),FALSE))),"")</f>
        <v/>
      </c>
      <c r="P433" s="14" t="str">
        <f>IFERROR((VLOOKUP($A433,'[1]import success seats course'!$A:AD,HLOOKUP('[1]Course Totals'!P$4,'[1]import success seats course'!$1:$2,2,FALSE),FALSE)/(VLOOKUP($A433,'[1]import graded seats course pivo'!$A:AN,HLOOKUP('[1]Course Totals'!P$4,'[1]import graded seats course pivo'!$1:$2,2,FALSE),FALSE))),"")</f>
        <v/>
      </c>
      <c r="Q433" s="14" t="str">
        <f>IFERROR((VLOOKUP($A433,'[1]import success seats course'!$A:AE,HLOOKUP('[1]Course Totals'!Q$4,'[1]import success seats course'!$1:$2,2,FALSE),FALSE)/(VLOOKUP($A433,'[1]import graded seats course pivo'!$A:AO,HLOOKUP('[1]Course Totals'!Q$4,'[1]import graded seats course pivo'!$1:$2,2,FALSE),FALSE))),"")</f>
        <v/>
      </c>
      <c r="R433" s="14">
        <f>IFERROR((VLOOKUP($A433,'[1]import success seats course'!$A:AF,HLOOKUP('[1]Course Totals'!R$4,'[1]import success seats course'!$1:$2,2,FALSE),FALSE)/(VLOOKUP($A433,'[1]import graded seats course pivo'!$A:AP,HLOOKUP('[1]Course Totals'!R$4,'[1]import graded seats course pivo'!$1:$2,2,FALSE),FALSE))),"")</f>
        <v>1</v>
      </c>
      <c r="S433" s="14" t="str">
        <f>IFERROR((VLOOKUP($A433,'[1]import success seats course'!$A:AG,HLOOKUP('[1]Course Totals'!S$4,'[1]import success seats course'!$1:$2,2,FALSE),FALSE)/(VLOOKUP($A433,'[1]import graded seats course pivo'!$A:AQ,HLOOKUP('[1]Course Totals'!S$4,'[1]import graded seats course pivo'!$1:$2,2,FALSE),FALSE))),"")</f>
        <v/>
      </c>
      <c r="Z433" s="7"/>
      <c r="AA433" s="7"/>
      <c r="AB433" s="7"/>
      <c r="AC433" s="7"/>
    </row>
    <row r="434" spans="1:29" ht="15.75" customHeight="1" x14ac:dyDescent="0.25">
      <c r="A434" s="12" t="s">
        <v>597</v>
      </c>
      <c r="B434" s="14" t="str">
        <f>IFERROR((VLOOKUP($A434,'[1]import success seats course'!$A:P,HLOOKUP('[1]Course Totals'!B$4,'[1]import success seats course'!$1:$2,2,FALSE),FALSE)/(VLOOKUP($A434,'[1]import graded seats course pivo'!$A:Z,HLOOKUP('[1]Course Totals'!B$4,'[1]import graded seats course pivo'!$1:$2,2,FALSE),FALSE))),"")</f>
        <v/>
      </c>
      <c r="C434" s="14" t="str">
        <f>IFERROR((VLOOKUP($A434,'[1]import success seats course'!$A:Q,HLOOKUP('[1]Course Totals'!C$4,'[1]import success seats course'!$1:$2,2,FALSE),FALSE)/(VLOOKUP($A434,'[1]import graded seats course pivo'!$A:AA,HLOOKUP('[1]Course Totals'!C$4,'[1]import graded seats course pivo'!$1:$2,2,FALSE),FALSE))),"")</f>
        <v/>
      </c>
      <c r="D434" s="14" t="str">
        <f>IFERROR((VLOOKUP($A434,'[1]import success seats course'!$A:R,HLOOKUP('[1]Course Totals'!D$4,'[1]import success seats course'!$1:$2,2,FALSE),FALSE)/(VLOOKUP($A434,'[1]import graded seats course pivo'!$A:AB,HLOOKUP('[1]Course Totals'!D$4,'[1]import graded seats course pivo'!$1:$2,2,FALSE),FALSE))),"")</f>
        <v/>
      </c>
      <c r="E434" s="14">
        <f>IFERROR((VLOOKUP($A434,'[1]import success seats course'!$A:S,HLOOKUP('[1]Course Totals'!E$4,'[1]import success seats course'!$1:$2,2,FALSE),FALSE)/(VLOOKUP($A434,'[1]import graded seats course pivo'!$A:AC,HLOOKUP('[1]Course Totals'!E$4,'[1]import graded seats course pivo'!$1:$2,2,FALSE),FALSE))),"")</f>
        <v>0.9</v>
      </c>
      <c r="F434" s="14">
        <f>IFERROR((VLOOKUP($A434,'[1]import success seats course'!$A:T,HLOOKUP('[1]Course Totals'!F$4,'[1]import success seats course'!$1:$2,2,FALSE),FALSE)/(VLOOKUP($A434,'[1]import graded seats course pivo'!$A:AD,HLOOKUP('[1]Course Totals'!F$4,'[1]import graded seats course pivo'!$1:$2,2,FALSE),FALSE))),"")</f>
        <v>1</v>
      </c>
      <c r="G434" s="14" t="str">
        <f>IFERROR((VLOOKUP($A434,'[1]import success seats course'!$A:U,HLOOKUP('[1]Course Totals'!G$4,'[1]import success seats course'!$1:$2,2,FALSE),FALSE)/(VLOOKUP($A434,'[1]import graded seats course pivo'!$A:AE,HLOOKUP('[1]Course Totals'!G$4,'[1]import graded seats course pivo'!$1:$2,2,FALSE),FALSE))),"")</f>
        <v/>
      </c>
      <c r="H434" s="14" t="str">
        <f>IFERROR((VLOOKUP($A434,'[1]import success seats course'!$A:V,HLOOKUP('[1]Course Totals'!H$4,'[1]import success seats course'!$1:$2,2,FALSE),FALSE)/(VLOOKUP($A434,'[1]import graded seats course pivo'!$A:AF,HLOOKUP('[1]Course Totals'!H$4,'[1]import graded seats course pivo'!$1:$2,2,FALSE),FALSE))),"")</f>
        <v/>
      </c>
      <c r="I434" s="14">
        <f>IFERROR((VLOOKUP($A434,'[1]import success seats course'!$A:W,HLOOKUP('[1]Course Totals'!I$4,'[1]import success seats course'!$1:$2,2,FALSE),FALSE)/(VLOOKUP($A434,'[1]import graded seats course pivo'!$A:AG,HLOOKUP('[1]Course Totals'!I$4,'[1]import graded seats course pivo'!$1:$2,2,FALSE),FALSE))),"")</f>
        <v>1</v>
      </c>
      <c r="J434" s="14" t="str">
        <f>IFERROR((VLOOKUP($A434,'[1]import success seats course'!$A:X,HLOOKUP('[1]Course Totals'!J$4,'[1]import success seats course'!$1:$2,2,FALSE),FALSE)/(VLOOKUP($A434,'[1]import graded seats course pivo'!$A:AH,HLOOKUP('[1]Course Totals'!J$4,'[1]import graded seats course pivo'!$1:$2,2,FALSE),FALSE))),"")</f>
        <v/>
      </c>
      <c r="K434" s="14" t="str">
        <f>IFERROR((VLOOKUP($A434,'[1]import success seats course'!$A:Y,HLOOKUP('[1]Course Totals'!K$4,'[1]import success seats course'!$1:$2,2,FALSE),FALSE)/(VLOOKUP($A434,'[1]import graded seats course pivo'!$A:AI,HLOOKUP('[1]Course Totals'!K$4,'[1]import graded seats course pivo'!$1:$2,2,FALSE),FALSE))),"")</f>
        <v/>
      </c>
      <c r="L434" s="14">
        <f>IFERROR((VLOOKUP($A434,'[1]import success seats course'!$A:Z,HLOOKUP('[1]Course Totals'!L$4,'[1]import success seats course'!$1:$2,2,FALSE),FALSE)/(VLOOKUP($A434,'[1]import graded seats course pivo'!$A:AJ,HLOOKUP('[1]Course Totals'!L$4,'[1]import graded seats course pivo'!$1:$2,2,FALSE),FALSE))),"")</f>
        <v>0.9</v>
      </c>
      <c r="M434" s="14" t="str">
        <f>IFERROR((VLOOKUP($A434,'[1]import success seats course'!$A:AA,HLOOKUP('[1]Course Totals'!M$4,'[1]import success seats course'!$1:$2,2,FALSE),FALSE)/(VLOOKUP($A434,'[1]import graded seats course pivo'!$A:AK,HLOOKUP('[1]Course Totals'!M$4,'[1]import graded seats course pivo'!$1:$2,2,FALSE),FALSE))),"")</f>
        <v/>
      </c>
      <c r="N434" s="14" t="str">
        <f>IFERROR((VLOOKUP($A434,'[1]import success seats course'!$A:AB,HLOOKUP('[1]Course Totals'!N$4,'[1]import success seats course'!$1:$2,2,FALSE),FALSE)/(VLOOKUP($A434,'[1]import graded seats course pivo'!$A:AL,HLOOKUP('[1]Course Totals'!N$4,'[1]import graded seats course pivo'!$1:$2,2,FALSE),FALSE))),"")</f>
        <v/>
      </c>
      <c r="O434" s="14" t="str">
        <f>IFERROR((VLOOKUP($A434,'[1]import success seats course'!$A:AC,HLOOKUP('[1]Course Totals'!O$4,'[1]import success seats course'!$1:$2,2,FALSE),FALSE)/(VLOOKUP($A434,'[1]import graded seats course pivo'!$A:AM,HLOOKUP('[1]Course Totals'!O$4,'[1]import graded seats course pivo'!$1:$2,2,FALSE),FALSE))),"")</f>
        <v/>
      </c>
      <c r="P434" s="14" t="str">
        <f>IFERROR((VLOOKUP($A434,'[1]import success seats course'!$A:AD,HLOOKUP('[1]Course Totals'!P$4,'[1]import success seats course'!$1:$2,2,FALSE),FALSE)/(VLOOKUP($A434,'[1]import graded seats course pivo'!$A:AN,HLOOKUP('[1]Course Totals'!P$4,'[1]import graded seats course pivo'!$1:$2,2,FALSE),FALSE))),"")</f>
        <v/>
      </c>
      <c r="Q434" s="14" t="str">
        <f>IFERROR((VLOOKUP($A434,'[1]import success seats course'!$A:AE,HLOOKUP('[1]Course Totals'!Q$4,'[1]import success seats course'!$1:$2,2,FALSE),FALSE)/(VLOOKUP($A434,'[1]import graded seats course pivo'!$A:AO,HLOOKUP('[1]Course Totals'!Q$4,'[1]import graded seats course pivo'!$1:$2,2,FALSE),FALSE))),"")</f>
        <v/>
      </c>
      <c r="R434" s="14">
        <f>IFERROR((VLOOKUP($A434,'[1]import success seats course'!$A:AF,HLOOKUP('[1]Course Totals'!R$4,'[1]import success seats course'!$1:$2,2,FALSE),FALSE)/(VLOOKUP($A434,'[1]import graded seats course pivo'!$A:AP,HLOOKUP('[1]Course Totals'!R$4,'[1]import graded seats course pivo'!$1:$2,2,FALSE),FALSE))),"")</f>
        <v>1</v>
      </c>
      <c r="S434" s="14" t="str">
        <f>IFERROR((VLOOKUP($A434,'[1]import success seats course'!$A:AG,HLOOKUP('[1]Course Totals'!S$4,'[1]import success seats course'!$1:$2,2,FALSE),FALSE)/(VLOOKUP($A434,'[1]import graded seats course pivo'!$A:AQ,HLOOKUP('[1]Course Totals'!S$4,'[1]import graded seats course pivo'!$1:$2,2,FALSE),FALSE))),"")</f>
        <v/>
      </c>
      <c r="Z434" s="7"/>
      <c r="AA434" s="7"/>
      <c r="AB434" s="7"/>
      <c r="AC434" s="7"/>
    </row>
    <row r="435" spans="1:29" ht="15.75" customHeight="1" x14ac:dyDescent="0.25">
      <c r="A435" s="12" t="s">
        <v>598</v>
      </c>
      <c r="B435" s="14" t="str">
        <f>IFERROR((VLOOKUP($A435,'[1]import success seats course'!$A:P,HLOOKUP('[1]Course Totals'!B$4,'[1]import success seats course'!$1:$2,2,FALSE),FALSE)/(VLOOKUP($A435,'[1]import graded seats course pivo'!$A:Z,HLOOKUP('[1]Course Totals'!B$4,'[1]import graded seats course pivo'!$1:$2,2,FALSE),FALSE))),"")</f>
        <v/>
      </c>
      <c r="C435" s="14" t="str">
        <f>IFERROR((VLOOKUP($A435,'[1]import success seats course'!$A:Q,HLOOKUP('[1]Course Totals'!C$4,'[1]import success seats course'!$1:$2,2,FALSE),FALSE)/(VLOOKUP($A435,'[1]import graded seats course pivo'!$A:AA,HLOOKUP('[1]Course Totals'!C$4,'[1]import graded seats course pivo'!$1:$2,2,FALSE),FALSE))),"")</f>
        <v/>
      </c>
      <c r="D435" s="14" t="str">
        <f>IFERROR((VLOOKUP($A435,'[1]import success seats course'!$A:R,HLOOKUP('[1]Course Totals'!D$4,'[1]import success seats course'!$1:$2,2,FALSE),FALSE)/(VLOOKUP($A435,'[1]import graded seats course pivo'!$A:AB,HLOOKUP('[1]Course Totals'!D$4,'[1]import graded seats course pivo'!$1:$2,2,FALSE),FALSE))),"")</f>
        <v/>
      </c>
      <c r="E435" s="14" t="str">
        <f>IFERROR((VLOOKUP($A435,'[1]import success seats course'!$A:S,HLOOKUP('[1]Course Totals'!E$4,'[1]import success seats course'!$1:$2,2,FALSE),FALSE)/(VLOOKUP($A435,'[1]import graded seats course pivo'!$A:AC,HLOOKUP('[1]Course Totals'!E$4,'[1]import graded seats course pivo'!$1:$2,2,FALSE),FALSE))),"")</f>
        <v/>
      </c>
      <c r="F435" s="14">
        <f>IFERROR((VLOOKUP($A435,'[1]import success seats course'!$A:T,HLOOKUP('[1]Course Totals'!F$4,'[1]import success seats course'!$1:$2,2,FALSE),FALSE)/(VLOOKUP($A435,'[1]import graded seats course pivo'!$A:AD,HLOOKUP('[1]Course Totals'!F$4,'[1]import graded seats course pivo'!$1:$2,2,FALSE),FALSE))),"")</f>
        <v>1</v>
      </c>
      <c r="G435" s="14" t="str">
        <f>IFERROR((VLOOKUP($A435,'[1]import success seats course'!$A:U,HLOOKUP('[1]Course Totals'!G$4,'[1]import success seats course'!$1:$2,2,FALSE),FALSE)/(VLOOKUP($A435,'[1]import graded seats course pivo'!$A:AE,HLOOKUP('[1]Course Totals'!G$4,'[1]import graded seats course pivo'!$1:$2,2,FALSE),FALSE))),"")</f>
        <v/>
      </c>
      <c r="H435" s="14" t="str">
        <f>IFERROR((VLOOKUP($A435,'[1]import success seats course'!$A:V,HLOOKUP('[1]Course Totals'!H$4,'[1]import success seats course'!$1:$2,2,FALSE),FALSE)/(VLOOKUP($A435,'[1]import graded seats course pivo'!$A:AF,HLOOKUP('[1]Course Totals'!H$4,'[1]import graded seats course pivo'!$1:$2,2,FALSE),FALSE))),"")</f>
        <v/>
      </c>
      <c r="I435" s="14">
        <f>IFERROR((VLOOKUP($A435,'[1]import success seats course'!$A:W,HLOOKUP('[1]Course Totals'!I$4,'[1]import success seats course'!$1:$2,2,FALSE),FALSE)/(VLOOKUP($A435,'[1]import graded seats course pivo'!$A:AG,HLOOKUP('[1]Course Totals'!I$4,'[1]import graded seats course pivo'!$1:$2,2,FALSE),FALSE))),"")</f>
        <v>1</v>
      </c>
      <c r="J435" s="14" t="str">
        <f>IFERROR((VLOOKUP($A435,'[1]import success seats course'!$A:X,HLOOKUP('[1]Course Totals'!J$4,'[1]import success seats course'!$1:$2,2,FALSE),FALSE)/(VLOOKUP($A435,'[1]import graded seats course pivo'!$A:AH,HLOOKUP('[1]Course Totals'!J$4,'[1]import graded seats course pivo'!$1:$2,2,FALSE),FALSE))),"")</f>
        <v/>
      </c>
      <c r="K435" s="14" t="str">
        <f>IFERROR((VLOOKUP($A435,'[1]import success seats course'!$A:Y,HLOOKUP('[1]Course Totals'!K$4,'[1]import success seats course'!$1:$2,2,FALSE),FALSE)/(VLOOKUP($A435,'[1]import graded seats course pivo'!$A:AI,HLOOKUP('[1]Course Totals'!K$4,'[1]import graded seats course pivo'!$1:$2,2,FALSE),FALSE))),"")</f>
        <v/>
      </c>
      <c r="L435" s="14">
        <f>IFERROR((VLOOKUP($A435,'[1]import success seats course'!$A:Z,HLOOKUP('[1]Course Totals'!L$4,'[1]import success seats course'!$1:$2,2,FALSE),FALSE)/(VLOOKUP($A435,'[1]import graded seats course pivo'!$A:AJ,HLOOKUP('[1]Course Totals'!L$4,'[1]import graded seats course pivo'!$1:$2,2,FALSE),FALSE))),"")</f>
        <v>0.9</v>
      </c>
      <c r="M435" s="14" t="str">
        <f>IFERROR((VLOOKUP($A435,'[1]import success seats course'!$A:AA,HLOOKUP('[1]Course Totals'!M$4,'[1]import success seats course'!$1:$2,2,FALSE),FALSE)/(VLOOKUP($A435,'[1]import graded seats course pivo'!$A:AK,HLOOKUP('[1]Course Totals'!M$4,'[1]import graded seats course pivo'!$1:$2,2,FALSE),FALSE))),"")</f>
        <v/>
      </c>
      <c r="N435" s="14" t="str">
        <f>IFERROR((VLOOKUP($A435,'[1]import success seats course'!$A:AB,HLOOKUP('[1]Course Totals'!N$4,'[1]import success seats course'!$1:$2,2,FALSE),FALSE)/(VLOOKUP($A435,'[1]import graded seats course pivo'!$A:AL,HLOOKUP('[1]Course Totals'!N$4,'[1]import graded seats course pivo'!$1:$2,2,FALSE),FALSE))),"")</f>
        <v/>
      </c>
      <c r="O435" s="14" t="str">
        <f>IFERROR((VLOOKUP($A435,'[1]import success seats course'!$A:AC,HLOOKUP('[1]Course Totals'!O$4,'[1]import success seats course'!$1:$2,2,FALSE),FALSE)/(VLOOKUP($A435,'[1]import graded seats course pivo'!$A:AM,HLOOKUP('[1]Course Totals'!O$4,'[1]import graded seats course pivo'!$1:$2,2,FALSE),FALSE))),"")</f>
        <v/>
      </c>
      <c r="P435" s="14" t="str">
        <f>IFERROR((VLOOKUP($A435,'[1]import success seats course'!$A:AD,HLOOKUP('[1]Course Totals'!P$4,'[1]import success seats course'!$1:$2,2,FALSE),FALSE)/(VLOOKUP($A435,'[1]import graded seats course pivo'!$A:AN,HLOOKUP('[1]Course Totals'!P$4,'[1]import graded seats course pivo'!$1:$2,2,FALSE),FALSE))),"")</f>
        <v/>
      </c>
      <c r="Q435" s="14" t="str">
        <f>IFERROR((VLOOKUP($A435,'[1]import success seats course'!$A:AE,HLOOKUP('[1]Course Totals'!Q$4,'[1]import success seats course'!$1:$2,2,FALSE),FALSE)/(VLOOKUP($A435,'[1]import graded seats course pivo'!$A:AO,HLOOKUP('[1]Course Totals'!Q$4,'[1]import graded seats course pivo'!$1:$2,2,FALSE),FALSE))),"")</f>
        <v/>
      </c>
      <c r="R435" s="14">
        <f>IFERROR((VLOOKUP($A435,'[1]import success seats course'!$A:AF,HLOOKUP('[1]Course Totals'!R$4,'[1]import success seats course'!$1:$2,2,FALSE),FALSE)/(VLOOKUP($A435,'[1]import graded seats course pivo'!$A:AP,HLOOKUP('[1]Course Totals'!R$4,'[1]import graded seats course pivo'!$1:$2,2,FALSE),FALSE))),"")</f>
        <v>1</v>
      </c>
      <c r="S435" s="14" t="str">
        <f>IFERROR((VLOOKUP($A435,'[1]import success seats course'!$A:AG,HLOOKUP('[1]Course Totals'!S$4,'[1]import success seats course'!$1:$2,2,FALSE),FALSE)/(VLOOKUP($A435,'[1]import graded seats course pivo'!$A:AQ,HLOOKUP('[1]Course Totals'!S$4,'[1]import graded seats course pivo'!$1:$2,2,FALSE),FALSE))),"")</f>
        <v/>
      </c>
      <c r="Z435" s="7"/>
      <c r="AA435" s="7"/>
      <c r="AB435" s="7"/>
      <c r="AC435" s="7"/>
    </row>
    <row r="436" spans="1:29" ht="15.75" customHeight="1" x14ac:dyDescent="0.25">
      <c r="A436" s="12" t="s">
        <v>976</v>
      </c>
      <c r="B436" s="14" t="str">
        <f>IFERROR((VLOOKUP($A436,'[1]import success seats course'!$A:P,HLOOKUP('[1]Course Totals'!B$4,'[1]import success seats course'!$1:$2,2,FALSE),FALSE)/(VLOOKUP($A436,'[1]import graded seats course pivo'!$A:Z,HLOOKUP('[1]Course Totals'!B$4,'[1]import graded seats course pivo'!$1:$2,2,FALSE),FALSE))),"")</f>
        <v/>
      </c>
      <c r="C436" s="14" t="str">
        <f>IFERROR((VLOOKUP($A436,'[1]import success seats course'!$A:Q,HLOOKUP('[1]Course Totals'!C$4,'[1]import success seats course'!$1:$2,2,FALSE),FALSE)/(VLOOKUP($A436,'[1]import graded seats course pivo'!$A:AA,HLOOKUP('[1]Course Totals'!C$4,'[1]import graded seats course pivo'!$1:$2,2,FALSE),FALSE))),"")</f>
        <v/>
      </c>
      <c r="D436" s="14" t="str">
        <f>IFERROR((VLOOKUP($A436,'[1]import success seats course'!$A:R,HLOOKUP('[1]Course Totals'!D$4,'[1]import success seats course'!$1:$2,2,FALSE),FALSE)/(VLOOKUP($A436,'[1]import graded seats course pivo'!$A:AB,HLOOKUP('[1]Course Totals'!D$4,'[1]import graded seats course pivo'!$1:$2,2,FALSE),FALSE))),"")</f>
        <v/>
      </c>
      <c r="E436" s="14" t="str">
        <f>IFERROR((VLOOKUP($A436,'[1]import success seats course'!$A:S,HLOOKUP('[1]Course Totals'!E$4,'[1]import success seats course'!$1:$2,2,FALSE),FALSE)/(VLOOKUP($A436,'[1]import graded seats course pivo'!$A:AC,HLOOKUP('[1]Course Totals'!E$4,'[1]import graded seats course pivo'!$1:$2,2,FALSE),FALSE))),"")</f>
        <v/>
      </c>
      <c r="F436" s="14" t="str">
        <f>IFERROR((VLOOKUP($A436,'[1]import success seats course'!$A:T,HLOOKUP('[1]Course Totals'!F$4,'[1]import success seats course'!$1:$2,2,FALSE),FALSE)/(VLOOKUP($A436,'[1]import graded seats course pivo'!$A:AD,HLOOKUP('[1]Course Totals'!F$4,'[1]import graded seats course pivo'!$1:$2,2,FALSE),FALSE))),"")</f>
        <v/>
      </c>
      <c r="G436" s="14">
        <f>IFERROR((VLOOKUP($A436,'[1]import success seats course'!$A:U,HLOOKUP('[1]Course Totals'!G$4,'[1]import success seats course'!$1:$2,2,FALSE),FALSE)/(VLOOKUP($A436,'[1]import graded seats course pivo'!$A:AE,HLOOKUP('[1]Course Totals'!G$4,'[1]import graded seats course pivo'!$1:$2,2,FALSE),FALSE))),"")</f>
        <v>1</v>
      </c>
      <c r="H436" s="14" t="str">
        <f>IFERROR((VLOOKUP($A436,'[1]import success seats course'!$A:V,HLOOKUP('[1]Course Totals'!H$4,'[1]import success seats course'!$1:$2,2,FALSE),FALSE)/(VLOOKUP($A436,'[1]import graded seats course pivo'!$A:AF,HLOOKUP('[1]Course Totals'!H$4,'[1]import graded seats course pivo'!$1:$2,2,FALSE),FALSE))),"")</f>
        <v/>
      </c>
      <c r="I436" s="14" t="str">
        <f>IFERROR((VLOOKUP($A436,'[1]import success seats course'!$A:W,HLOOKUP('[1]Course Totals'!I$4,'[1]import success seats course'!$1:$2,2,FALSE),FALSE)/(VLOOKUP($A436,'[1]import graded seats course pivo'!$A:AG,HLOOKUP('[1]Course Totals'!I$4,'[1]import graded seats course pivo'!$1:$2,2,FALSE),FALSE))),"")</f>
        <v/>
      </c>
      <c r="J436" s="14">
        <f>IFERROR((VLOOKUP($A436,'[1]import success seats course'!$A:X,HLOOKUP('[1]Course Totals'!J$4,'[1]import success seats course'!$1:$2,2,FALSE),FALSE)/(VLOOKUP($A436,'[1]import graded seats course pivo'!$A:AH,HLOOKUP('[1]Course Totals'!J$4,'[1]import graded seats course pivo'!$1:$2,2,FALSE),FALSE))),"")</f>
        <v>1</v>
      </c>
      <c r="K436" s="14" t="str">
        <f>IFERROR((VLOOKUP($A436,'[1]import success seats course'!$A:Y,HLOOKUP('[1]Course Totals'!K$4,'[1]import success seats course'!$1:$2,2,FALSE),FALSE)/(VLOOKUP($A436,'[1]import graded seats course pivo'!$A:AI,HLOOKUP('[1]Course Totals'!K$4,'[1]import graded seats course pivo'!$1:$2,2,FALSE),FALSE))),"")</f>
        <v/>
      </c>
      <c r="L436" s="14" t="str">
        <f>IFERROR((VLOOKUP($A436,'[1]import success seats course'!$A:Z,HLOOKUP('[1]Course Totals'!L$4,'[1]import success seats course'!$1:$2,2,FALSE),FALSE)/(VLOOKUP($A436,'[1]import graded seats course pivo'!$A:AJ,HLOOKUP('[1]Course Totals'!L$4,'[1]import graded seats course pivo'!$1:$2,2,FALSE),FALSE))),"")</f>
        <v/>
      </c>
      <c r="M436" s="14">
        <f>IFERROR((VLOOKUP($A436,'[1]import success seats course'!$A:AA,HLOOKUP('[1]Course Totals'!M$4,'[1]import success seats course'!$1:$2,2,FALSE),FALSE)/(VLOOKUP($A436,'[1]import graded seats course pivo'!$A:AK,HLOOKUP('[1]Course Totals'!M$4,'[1]import graded seats course pivo'!$1:$2,2,FALSE),FALSE))),"")</f>
        <v>1</v>
      </c>
      <c r="N436" s="14" t="str">
        <f>IFERROR((VLOOKUP($A436,'[1]import success seats course'!$A:AB,HLOOKUP('[1]Course Totals'!N$4,'[1]import success seats course'!$1:$2,2,FALSE),FALSE)/(VLOOKUP($A436,'[1]import graded seats course pivo'!$A:AL,HLOOKUP('[1]Course Totals'!N$4,'[1]import graded seats course pivo'!$1:$2,2,FALSE),FALSE))),"")</f>
        <v/>
      </c>
      <c r="O436" s="14" t="str">
        <f>IFERROR((VLOOKUP($A436,'[1]import success seats course'!$A:AC,HLOOKUP('[1]Course Totals'!O$4,'[1]import success seats course'!$1:$2,2,FALSE),FALSE)/(VLOOKUP($A436,'[1]import graded seats course pivo'!$A:AM,HLOOKUP('[1]Course Totals'!O$4,'[1]import graded seats course pivo'!$1:$2,2,FALSE),FALSE))),"")</f>
        <v/>
      </c>
      <c r="P436" s="14" t="str">
        <f>IFERROR((VLOOKUP($A436,'[1]import success seats course'!$A:AD,HLOOKUP('[1]Course Totals'!P$4,'[1]import success seats course'!$1:$2,2,FALSE),FALSE)/(VLOOKUP($A436,'[1]import graded seats course pivo'!$A:AN,HLOOKUP('[1]Course Totals'!P$4,'[1]import graded seats course pivo'!$1:$2,2,FALSE),FALSE))),"")</f>
        <v/>
      </c>
      <c r="Q436" s="14" t="str">
        <f>IFERROR((VLOOKUP($A436,'[1]import success seats course'!$A:AE,HLOOKUP('[1]Course Totals'!Q$4,'[1]import success seats course'!$1:$2,2,FALSE),FALSE)/(VLOOKUP($A436,'[1]import graded seats course pivo'!$A:AO,HLOOKUP('[1]Course Totals'!Q$4,'[1]import graded seats course pivo'!$1:$2,2,FALSE),FALSE))),"")</f>
        <v/>
      </c>
      <c r="R436" s="14" t="str">
        <f>IFERROR((VLOOKUP($A436,'[1]import success seats course'!$A:AF,HLOOKUP('[1]Course Totals'!R$4,'[1]import success seats course'!$1:$2,2,FALSE),FALSE)/(VLOOKUP($A436,'[1]import graded seats course pivo'!$A:AP,HLOOKUP('[1]Course Totals'!R$4,'[1]import graded seats course pivo'!$1:$2,2,FALSE),FALSE))),"")</f>
        <v/>
      </c>
      <c r="S436" s="14">
        <f>IFERROR((VLOOKUP($A436,'[1]import success seats course'!$A:AG,HLOOKUP('[1]Course Totals'!S$4,'[1]import success seats course'!$1:$2,2,FALSE),FALSE)/(VLOOKUP($A436,'[1]import graded seats course pivo'!$A:AQ,HLOOKUP('[1]Course Totals'!S$4,'[1]import graded seats course pivo'!$1:$2,2,FALSE),FALSE))),"")</f>
        <v>1</v>
      </c>
      <c r="Z436" s="7"/>
      <c r="AA436" s="7"/>
      <c r="AB436" s="7"/>
      <c r="AC436" s="7"/>
    </row>
    <row r="437" spans="1:29" ht="15.75" customHeight="1" x14ac:dyDescent="0.25">
      <c r="A437" s="12" t="s">
        <v>599</v>
      </c>
      <c r="B437" s="14" t="str">
        <f>IFERROR((VLOOKUP($A437,'[1]import success seats course'!$A:P,HLOOKUP('[1]Course Totals'!B$4,'[1]import success seats course'!$1:$2,2,FALSE),FALSE)/(VLOOKUP($A437,'[1]import graded seats course pivo'!$A:Z,HLOOKUP('[1]Course Totals'!B$4,'[1]import graded seats course pivo'!$1:$2,2,FALSE),FALSE))),"")</f>
        <v/>
      </c>
      <c r="C437" s="14" t="str">
        <f>IFERROR((VLOOKUP($A437,'[1]import success seats course'!$A:Q,HLOOKUP('[1]Course Totals'!C$4,'[1]import success seats course'!$1:$2,2,FALSE),FALSE)/(VLOOKUP($A437,'[1]import graded seats course pivo'!$A:AA,HLOOKUP('[1]Course Totals'!C$4,'[1]import graded seats course pivo'!$1:$2,2,FALSE),FALSE))),"")</f>
        <v/>
      </c>
      <c r="D437" s="14" t="str">
        <f>IFERROR((VLOOKUP($A437,'[1]import success seats course'!$A:R,HLOOKUP('[1]Course Totals'!D$4,'[1]import success seats course'!$1:$2,2,FALSE),FALSE)/(VLOOKUP($A437,'[1]import graded seats course pivo'!$A:AB,HLOOKUP('[1]Course Totals'!D$4,'[1]import graded seats course pivo'!$1:$2,2,FALSE),FALSE))),"")</f>
        <v/>
      </c>
      <c r="E437" s="14" t="str">
        <f>IFERROR((VLOOKUP($A437,'[1]import success seats course'!$A:S,HLOOKUP('[1]Course Totals'!E$4,'[1]import success seats course'!$1:$2,2,FALSE),FALSE)/(VLOOKUP($A437,'[1]import graded seats course pivo'!$A:AC,HLOOKUP('[1]Course Totals'!E$4,'[1]import graded seats course pivo'!$1:$2,2,FALSE),FALSE))),"")</f>
        <v/>
      </c>
      <c r="F437" s="14">
        <f>IFERROR((VLOOKUP($A437,'[1]import success seats course'!$A:T,HLOOKUP('[1]Course Totals'!F$4,'[1]import success seats course'!$1:$2,2,FALSE),FALSE)/(VLOOKUP($A437,'[1]import graded seats course pivo'!$A:AD,HLOOKUP('[1]Course Totals'!F$4,'[1]import graded seats course pivo'!$1:$2,2,FALSE),FALSE))),"")</f>
        <v>1</v>
      </c>
      <c r="G437" s="14" t="str">
        <f>IFERROR((VLOOKUP($A437,'[1]import success seats course'!$A:U,HLOOKUP('[1]Course Totals'!G$4,'[1]import success seats course'!$1:$2,2,FALSE),FALSE)/(VLOOKUP($A437,'[1]import graded seats course pivo'!$A:AE,HLOOKUP('[1]Course Totals'!G$4,'[1]import graded seats course pivo'!$1:$2,2,FALSE),FALSE))),"")</f>
        <v/>
      </c>
      <c r="H437" s="14" t="str">
        <f>IFERROR((VLOOKUP($A437,'[1]import success seats course'!$A:V,HLOOKUP('[1]Course Totals'!H$4,'[1]import success seats course'!$1:$2,2,FALSE),FALSE)/(VLOOKUP($A437,'[1]import graded seats course pivo'!$A:AF,HLOOKUP('[1]Course Totals'!H$4,'[1]import graded seats course pivo'!$1:$2,2,FALSE),FALSE))),"")</f>
        <v/>
      </c>
      <c r="I437" s="14">
        <f>IFERROR((VLOOKUP($A437,'[1]import success seats course'!$A:W,HLOOKUP('[1]Course Totals'!I$4,'[1]import success seats course'!$1:$2,2,FALSE),FALSE)/(VLOOKUP($A437,'[1]import graded seats course pivo'!$A:AG,HLOOKUP('[1]Course Totals'!I$4,'[1]import graded seats course pivo'!$1:$2,2,FALSE),FALSE))),"")</f>
        <v>0.8571428571428571</v>
      </c>
      <c r="J437" s="14" t="str">
        <f>IFERROR((VLOOKUP($A437,'[1]import success seats course'!$A:X,HLOOKUP('[1]Course Totals'!J$4,'[1]import success seats course'!$1:$2,2,FALSE),FALSE)/(VLOOKUP($A437,'[1]import graded seats course pivo'!$A:AH,HLOOKUP('[1]Course Totals'!J$4,'[1]import graded seats course pivo'!$1:$2,2,FALSE),FALSE))),"")</f>
        <v/>
      </c>
      <c r="K437" s="14" t="str">
        <f>IFERROR((VLOOKUP($A437,'[1]import success seats course'!$A:Y,HLOOKUP('[1]Course Totals'!K$4,'[1]import success seats course'!$1:$2,2,FALSE),FALSE)/(VLOOKUP($A437,'[1]import graded seats course pivo'!$A:AI,HLOOKUP('[1]Course Totals'!K$4,'[1]import graded seats course pivo'!$1:$2,2,FALSE),FALSE))),"")</f>
        <v/>
      </c>
      <c r="L437" s="14">
        <f>IFERROR((VLOOKUP($A437,'[1]import success seats course'!$A:Z,HLOOKUP('[1]Course Totals'!L$4,'[1]import success seats course'!$1:$2,2,FALSE),FALSE)/(VLOOKUP($A437,'[1]import graded seats course pivo'!$A:AJ,HLOOKUP('[1]Course Totals'!L$4,'[1]import graded seats course pivo'!$1:$2,2,FALSE),FALSE))),"")</f>
        <v>0.9</v>
      </c>
      <c r="M437" s="14" t="str">
        <f>IFERROR((VLOOKUP($A437,'[1]import success seats course'!$A:AA,HLOOKUP('[1]Course Totals'!M$4,'[1]import success seats course'!$1:$2,2,FALSE),FALSE)/(VLOOKUP($A437,'[1]import graded seats course pivo'!$A:AK,HLOOKUP('[1]Course Totals'!M$4,'[1]import graded seats course pivo'!$1:$2,2,FALSE),FALSE))),"")</f>
        <v/>
      </c>
      <c r="N437" s="14" t="str">
        <f>IFERROR((VLOOKUP($A437,'[1]import success seats course'!$A:AB,HLOOKUP('[1]Course Totals'!N$4,'[1]import success seats course'!$1:$2,2,FALSE),FALSE)/(VLOOKUP($A437,'[1]import graded seats course pivo'!$A:AL,HLOOKUP('[1]Course Totals'!N$4,'[1]import graded seats course pivo'!$1:$2,2,FALSE),FALSE))),"")</f>
        <v/>
      </c>
      <c r="O437" s="14" t="str">
        <f>IFERROR((VLOOKUP($A437,'[1]import success seats course'!$A:AC,HLOOKUP('[1]Course Totals'!O$4,'[1]import success seats course'!$1:$2,2,FALSE),FALSE)/(VLOOKUP($A437,'[1]import graded seats course pivo'!$A:AM,HLOOKUP('[1]Course Totals'!O$4,'[1]import graded seats course pivo'!$1:$2,2,FALSE),FALSE))),"")</f>
        <v/>
      </c>
      <c r="P437" s="14" t="str">
        <f>IFERROR((VLOOKUP($A437,'[1]import success seats course'!$A:AD,HLOOKUP('[1]Course Totals'!P$4,'[1]import success seats course'!$1:$2,2,FALSE),FALSE)/(VLOOKUP($A437,'[1]import graded seats course pivo'!$A:AN,HLOOKUP('[1]Course Totals'!P$4,'[1]import graded seats course pivo'!$1:$2,2,FALSE),FALSE))),"")</f>
        <v/>
      </c>
      <c r="Q437" s="14" t="str">
        <f>IFERROR((VLOOKUP($A437,'[1]import success seats course'!$A:AE,HLOOKUP('[1]Course Totals'!Q$4,'[1]import success seats course'!$1:$2,2,FALSE),FALSE)/(VLOOKUP($A437,'[1]import graded seats course pivo'!$A:AO,HLOOKUP('[1]Course Totals'!Q$4,'[1]import graded seats course pivo'!$1:$2,2,FALSE),FALSE))),"")</f>
        <v/>
      </c>
      <c r="R437" s="14">
        <f>IFERROR((VLOOKUP($A437,'[1]import success seats course'!$A:AF,HLOOKUP('[1]Course Totals'!R$4,'[1]import success seats course'!$1:$2,2,FALSE),FALSE)/(VLOOKUP($A437,'[1]import graded seats course pivo'!$A:AP,HLOOKUP('[1]Course Totals'!R$4,'[1]import graded seats course pivo'!$1:$2,2,FALSE),FALSE))),"")</f>
        <v>1</v>
      </c>
      <c r="S437" s="14" t="str">
        <f>IFERROR((VLOOKUP($A437,'[1]import success seats course'!$A:AG,HLOOKUP('[1]Course Totals'!S$4,'[1]import success seats course'!$1:$2,2,FALSE),FALSE)/(VLOOKUP($A437,'[1]import graded seats course pivo'!$A:AQ,HLOOKUP('[1]Course Totals'!S$4,'[1]import graded seats course pivo'!$1:$2,2,FALSE),FALSE))),"")</f>
        <v/>
      </c>
      <c r="Z437" s="7"/>
      <c r="AA437" s="7"/>
      <c r="AB437" s="7"/>
      <c r="AC437" s="7"/>
    </row>
    <row r="438" spans="1:29" ht="15.75" hidden="1" customHeight="1" x14ac:dyDescent="0.25">
      <c r="A438" s="12" t="s">
        <v>836</v>
      </c>
      <c r="B438" s="14" t="str">
        <f>IFERROR((VLOOKUP($A438,'[1]import success seats course'!$A:P,HLOOKUP('[1]Course Totals'!B$4,'[1]import success seats course'!$1:$2,2,FALSE),FALSE)/(VLOOKUP($A438,'[1]import graded seats course pivo'!$A:Z,HLOOKUP('[1]Course Totals'!B$4,'[1]import graded seats course pivo'!$1:$2,2,FALSE),FALSE))),"")</f>
        <v/>
      </c>
      <c r="C438" s="14" t="str">
        <f>IFERROR((VLOOKUP($A438,'[1]import success seats course'!$A:Q,HLOOKUP('[1]Course Totals'!C$4,'[1]import success seats course'!$1:$2,2,FALSE),FALSE)/(VLOOKUP($A438,'[1]import graded seats course pivo'!$A:AA,HLOOKUP('[1]Course Totals'!C$4,'[1]import graded seats course pivo'!$1:$2,2,FALSE),FALSE))),"")</f>
        <v/>
      </c>
      <c r="D438" s="14" t="str">
        <f>IFERROR((VLOOKUP($A438,'[1]import success seats course'!$A:R,HLOOKUP('[1]Course Totals'!D$4,'[1]import success seats course'!$1:$2,2,FALSE),FALSE)/(VLOOKUP($A438,'[1]import graded seats course pivo'!$A:AB,HLOOKUP('[1]Course Totals'!D$4,'[1]import graded seats course pivo'!$1:$2,2,FALSE),FALSE))),"")</f>
        <v/>
      </c>
      <c r="E438" s="14" t="str">
        <f>IFERROR((VLOOKUP($A438,'[1]import success seats course'!$A:S,HLOOKUP('[1]Course Totals'!E$4,'[1]import success seats course'!$1:$2,2,FALSE),FALSE)/(VLOOKUP($A438,'[1]import graded seats course pivo'!$A:AC,HLOOKUP('[1]Course Totals'!E$4,'[1]import graded seats course pivo'!$1:$2,2,FALSE),FALSE))),"")</f>
        <v/>
      </c>
      <c r="F438" s="14" t="str">
        <f>IFERROR((VLOOKUP($A438,'[1]import success seats course'!$A:T,HLOOKUP('[1]Course Totals'!F$4,'[1]import success seats course'!$1:$2,2,FALSE),FALSE)/(VLOOKUP($A438,'[1]import graded seats course pivo'!$A:AD,HLOOKUP('[1]Course Totals'!F$4,'[1]import graded seats course pivo'!$1:$2,2,FALSE),FALSE))),"")</f>
        <v/>
      </c>
      <c r="G438" s="14" t="str">
        <f>IFERROR((VLOOKUP($A438,'[1]import success seats course'!$A:U,HLOOKUP('[1]Course Totals'!G$4,'[1]import success seats course'!$1:$2,2,FALSE),FALSE)/(VLOOKUP($A438,'[1]import graded seats course pivo'!$A:AE,HLOOKUP('[1]Course Totals'!G$4,'[1]import graded seats course pivo'!$1:$2,2,FALSE),FALSE))),"")</f>
        <v/>
      </c>
      <c r="H438" s="14" t="str">
        <f>IFERROR((VLOOKUP($A438,'[1]import success seats course'!$A:V,HLOOKUP('[1]Course Totals'!H$4,'[1]import success seats course'!$1:$2,2,FALSE),FALSE)/(VLOOKUP($A438,'[1]import graded seats course pivo'!$A:AF,HLOOKUP('[1]Course Totals'!H$4,'[1]import graded seats course pivo'!$1:$2,2,FALSE),FALSE))),"")</f>
        <v/>
      </c>
      <c r="I438" s="14" t="str">
        <f>IFERROR((VLOOKUP($A438,'[1]import success seats course'!$A:W,HLOOKUP('[1]Course Totals'!I$4,'[1]import success seats course'!$1:$2,2,FALSE),FALSE)/(VLOOKUP($A438,'[1]import graded seats course pivo'!$A:AG,HLOOKUP('[1]Course Totals'!I$4,'[1]import graded seats course pivo'!$1:$2,2,FALSE),FALSE))),"")</f>
        <v/>
      </c>
      <c r="J438" s="14" t="str">
        <f>IFERROR((VLOOKUP($A438,'[1]import success seats course'!$A:X,HLOOKUP('[1]Course Totals'!J$4,'[1]import success seats course'!$1:$2,2,FALSE),FALSE)/(VLOOKUP($A438,'[1]import graded seats course pivo'!$A:AH,HLOOKUP('[1]Course Totals'!J$4,'[1]import graded seats course pivo'!$1:$2,2,FALSE),FALSE))),"")</f>
        <v/>
      </c>
      <c r="K438" s="14" t="str">
        <f>IFERROR((VLOOKUP($A438,'[1]import success seats course'!$A:Y,HLOOKUP('[1]Course Totals'!K$4,'[1]import success seats course'!$1:$2,2,FALSE),FALSE)/(VLOOKUP($A438,'[1]import graded seats course pivo'!$A:AI,HLOOKUP('[1]Course Totals'!K$4,'[1]import graded seats course pivo'!$1:$2,2,FALSE),FALSE))),"")</f>
        <v/>
      </c>
      <c r="L438" s="14" t="str">
        <f>IFERROR((VLOOKUP($A438,'[1]import success seats course'!$A:Z,HLOOKUP('[1]Course Totals'!L$4,'[1]import success seats course'!$1:$2,2,FALSE),FALSE)/(VLOOKUP($A438,'[1]import graded seats course pivo'!$A:AJ,HLOOKUP('[1]Course Totals'!L$4,'[1]import graded seats course pivo'!$1:$2,2,FALSE),FALSE))),"")</f>
        <v/>
      </c>
      <c r="M438" s="14" t="str">
        <f>IFERROR((VLOOKUP($A438,'[1]import success seats course'!$A:AA,HLOOKUP('[1]Course Totals'!M$4,'[1]import success seats course'!$1:$2,2,FALSE),FALSE)/(VLOOKUP($A438,'[1]import graded seats course pivo'!$A:AK,HLOOKUP('[1]Course Totals'!M$4,'[1]import graded seats course pivo'!$1:$2,2,FALSE),FALSE))),"")</f>
        <v/>
      </c>
      <c r="N438" s="14" t="str">
        <f>IFERROR((VLOOKUP($A438,'[1]import success seats course'!$A:AB,HLOOKUP('[1]Course Totals'!N$4,'[1]import success seats course'!$1:$2,2,FALSE),FALSE)/(VLOOKUP($A438,'[1]import graded seats course pivo'!$A:AL,HLOOKUP('[1]Course Totals'!N$4,'[1]import graded seats course pivo'!$1:$2,2,FALSE),FALSE))),"")</f>
        <v/>
      </c>
      <c r="O438" s="14" t="str">
        <f>IFERROR((VLOOKUP($A438,'[1]import success seats course'!$A:AC,HLOOKUP('[1]Course Totals'!O$4,'[1]import success seats course'!$1:$2,2,FALSE),FALSE)/(VLOOKUP($A438,'[1]import graded seats course pivo'!$A:AM,HLOOKUP('[1]Course Totals'!O$4,'[1]import graded seats course pivo'!$1:$2,2,FALSE),FALSE))),"")</f>
        <v/>
      </c>
      <c r="P438" s="14" t="str">
        <f>IFERROR((VLOOKUP($A438,'[1]import success seats course'!$A:AD,HLOOKUP('[1]Course Totals'!P$4,'[1]import success seats course'!$1:$2,2,FALSE),FALSE)/(VLOOKUP($A438,'[1]import graded seats course pivo'!$A:AN,HLOOKUP('[1]Course Totals'!P$4,'[1]import graded seats course pivo'!$1:$2,2,FALSE),FALSE))),"")</f>
        <v/>
      </c>
      <c r="Q438" s="14" t="str">
        <f>IFERROR((VLOOKUP($A438,'[1]import success seats course'!$A:AE,HLOOKUP('[1]Course Totals'!Q$4,'[1]import success seats course'!$1:$2,2,FALSE),FALSE)/(VLOOKUP($A438,'[1]import graded seats course pivo'!$A:AO,HLOOKUP('[1]Course Totals'!Q$4,'[1]import graded seats course pivo'!$1:$2,2,FALSE),FALSE))),"")</f>
        <v/>
      </c>
      <c r="R438" s="14" t="str">
        <f>IFERROR((VLOOKUP($A438,'[1]import success seats course'!$A:AF,HLOOKUP('[1]Course Totals'!R$4,'[1]import success seats course'!$1:$2,2,FALSE),FALSE)/(VLOOKUP($A438,'[1]import graded seats course pivo'!$A:AP,HLOOKUP('[1]Course Totals'!R$4,'[1]import graded seats course pivo'!$1:$2,2,FALSE),FALSE))),"")</f>
        <v/>
      </c>
      <c r="S438" s="14">
        <f>IFERROR((VLOOKUP($A438,'[1]import success seats course'!$A:AG,HLOOKUP('[1]Course Totals'!S$4,'[1]import success seats course'!$1:$2,2,FALSE),FALSE)/(VLOOKUP($A438,'[1]import graded seats course pivo'!$A:AQ,HLOOKUP('[1]Course Totals'!S$4,'[1]import graded seats course pivo'!$1:$2,2,FALSE),FALSE))),"")</f>
        <v>1</v>
      </c>
      <c r="Z438" s="7"/>
      <c r="AA438" s="7"/>
      <c r="AB438" s="7"/>
      <c r="AC438" s="7"/>
    </row>
    <row r="439" spans="1:29" ht="15.75" customHeight="1" x14ac:dyDescent="0.25">
      <c r="A439" s="12" t="s">
        <v>900</v>
      </c>
      <c r="B439" s="14" t="str">
        <f>IFERROR((VLOOKUP($A439,'[1]import success seats course'!$A:P,HLOOKUP('[1]Course Totals'!B$4,'[1]import success seats course'!$1:$2,2,FALSE),FALSE)/(VLOOKUP($A439,'[1]import graded seats course pivo'!$A:Z,HLOOKUP('[1]Course Totals'!B$4,'[1]import graded seats course pivo'!$1:$2,2,FALSE),FALSE))),"")</f>
        <v/>
      </c>
      <c r="C439" s="14" t="str">
        <f>IFERROR((VLOOKUP($A439,'[1]import success seats course'!$A:Q,HLOOKUP('[1]Course Totals'!C$4,'[1]import success seats course'!$1:$2,2,FALSE),FALSE)/(VLOOKUP($A439,'[1]import graded seats course pivo'!$A:AA,HLOOKUP('[1]Course Totals'!C$4,'[1]import graded seats course pivo'!$1:$2,2,FALSE),FALSE))),"")</f>
        <v/>
      </c>
      <c r="D439" s="14">
        <f>IFERROR((VLOOKUP($A439,'[1]import success seats course'!$A:R,HLOOKUP('[1]Course Totals'!D$4,'[1]import success seats course'!$1:$2,2,FALSE),FALSE)/(VLOOKUP($A439,'[1]import graded seats course pivo'!$A:AB,HLOOKUP('[1]Course Totals'!D$4,'[1]import graded seats course pivo'!$1:$2,2,FALSE),FALSE))),"")</f>
        <v>1</v>
      </c>
      <c r="E439" s="14" t="str">
        <f>IFERROR((VLOOKUP($A439,'[1]import success seats course'!$A:S,HLOOKUP('[1]Course Totals'!E$4,'[1]import success seats course'!$1:$2,2,FALSE),FALSE)/(VLOOKUP($A439,'[1]import graded seats course pivo'!$A:AC,HLOOKUP('[1]Course Totals'!E$4,'[1]import graded seats course pivo'!$1:$2,2,FALSE),FALSE))),"")</f>
        <v/>
      </c>
      <c r="F439" s="14" t="str">
        <f>IFERROR((VLOOKUP($A439,'[1]import success seats course'!$A:T,HLOOKUP('[1]Course Totals'!F$4,'[1]import success seats course'!$1:$2,2,FALSE),FALSE)/(VLOOKUP($A439,'[1]import graded seats course pivo'!$A:AD,HLOOKUP('[1]Course Totals'!F$4,'[1]import graded seats course pivo'!$1:$2,2,FALSE),FALSE))),"")</f>
        <v/>
      </c>
      <c r="G439" s="14">
        <f>IFERROR((VLOOKUP($A439,'[1]import success seats course'!$A:U,HLOOKUP('[1]Course Totals'!G$4,'[1]import success seats course'!$1:$2,2,FALSE),FALSE)/(VLOOKUP($A439,'[1]import graded seats course pivo'!$A:AE,HLOOKUP('[1]Course Totals'!G$4,'[1]import graded seats course pivo'!$1:$2,2,FALSE),FALSE))),"")</f>
        <v>1</v>
      </c>
      <c r="H439" s="14" t="str">
        <f>IFERROR((VLOOKUP($A439,'[1]import success seats course'!$A:V,HLOOKUP('[1]Course Totals'!H$4,'[1]import success seats course'!$1:$2,2,FALSE),FALSE)/(VLOOKUP($A439,'[1]import graded seats course pivo'!$A:AF,HLOOKUP('[1]Course Totals'!H$4,'[1]import graded seats course pivo'!$1:$2,2,FALSE),FALSE))),"")</f>
        <v/>
      </c>
      <c r="I439" s="14" t="str">
        <f>IFERROR((VLOOKUP($A439,'[1]import success seats course'!$A:W,HLOOKUP('[1]Course Totals'!I$4,'[1]import success seats course'!$1:$2,2,FALSE),FALSE)/(VLOOKUP($A439,'[1]import graded seats course pivo'!$A:AG,HLOOKUP('[1]Course Totals'!I$4,'[1]import graded seats course pivo'!$1:$2,2,FALSE),FALSE))),"")</f>
        <v/>
      </c>
      <c r="J439" s="14">
        <f>IFERROR((VLOOKUP($A439,'[1]import success seats course'!$A:X,HLOOKUP('[1]Course Totals'!J$4,'[1]import success seats course'!$1:$2,2,FALSE),FALSE)/(VLOOKUP($A439,'[1]import graded seats course pivo'!$A:AH,HLOOKUP('[1]Course Totals'!J$4,'[1]import graded seats course pivo'!$1:$2,2,FALSE),FALSE))),"")</f>
        <v>1</v>
      </c>
      <c r="K439" s="14" t="str">
        <f>IFERROR((VLOOKUP($A439,'[1]import success seats course'!$A:Y,HLOOKUP('[1]Course Totals'!K$4,'[1]import success seats course'!$1:$2,2,FALSE),FALSE)/(VLOOKUP($A439,'[1]import graded seats course pivo'!$A:AI,HLOOKUP('[1]Course Totals'!K$4,'[1]import graded seats course pivo'!$1:$2,2,FALSE),FALSE))),"")</f>
        <v/>
      </c>
      <c r="L439" s="14" t="str">
        <f>IFERROR((VLOOKUP($A439,'[1]import success seats course'!$A:Z,HLOOKUP('[1]Course Totals'!L$4,'[1]import success seats course'!$1:$2,2,FALSE),FALSE)/(VLOOKUP($A439,'[1]import graded seats course pivo'!$A:AJ,HLOOKUP('[1]Course Totals'!L$4,'[1]import graded seats course pivo'!$1:$2,2,FALSE),FALSE))),"")</f>
        <v/>
      </c>
      <c r="M439" s="14">
        <f>IFERROR((VLOOKUP($A439,'[1]import success seats course'!$A:AA,HLOOKUP('[1]Course Totals'!M$4,'[1]import success seats course'!$1:$2,2,FALSE),FALSE)/(VLOOKUP($A439,'[1]import graded seats course pivo'!$A:AK,HLOOKUP('[1]Course Totals'!M$4,'[1]import graded seats course pivo'!$1:$2,2,FALSE),FALSE))),"")</f>
        <v>1</v>
      </c>
      <c r="N439" s="14" t="str">
        <f>IFERROR((VLOOKUP($A439,'[1]import success seats course'!$A:AB,HLOOKUP('[1]Course Totals'!N$4,'[1]import success seats course'!$1:$2,2,FALSE),FALSE)/(VLOOKUP($A439,'[1]import graded seats course pivo'!$A:AL,HLOOKUP('[1]Course Totals'!N$4,'[1]import graded seats course pivo'!$1:$2,2,FALSE),FALSE))),"")</f>
        <v/>
      </c>
      <c r="O439" s="14" t="str">
        <f>IFERROR((VLOOKUP($A439,'[1]import success seats course'!$A:AC,HLOOKUP('[1]Course Totals'!O$4,'[1]import success seats course'!$1:$2,2,FALSE),FALSE)/(VLOOKUP($A439,'[1]import graded seats course pivo'!$A:AM,HLOOKUP('[1]Course Totals'!O$4,'[1]import graded seats course pivo'!$1:$2,2,FALSE),FALSE))),"")</f>
        <v/>
      </c>
      <c r="P439" s="14" t="str">
        <f>IFERROR((VLOOKUP($A439,'[1]import success seats course'!$A:AD,HLOOKUP('[1]Course Totals'!P$4,'[1]import success seats course'!$1:$2,2,FALSE),FALSE)/(VLOOKUP($A439,'[1]import graded seats course pivo'!$A:AN,HLOOKUP('[1]Course Totals'!P$4,'[1]import graded seats course pivo'!$1:$2,2,FALSE),FALSE))),"")</f>
        <v/>
      </c>
      <c r="Q439" s="14" t="str">
        <f>IFERROR((VLOOKUP($A439,'[1]import success seats course'!$A:AE,HLOOKUP('[1]Course Totals'!Q$4,'[1]import success seats course'!$1:$2,2,FALSE),FALSE)/(VLOOKUP($A439,'[1]import graded seats course pivo'!$A:AO,HLOOKUP('[1]Course Totals'!Q$4,'[1]import graded seats course pivo'!$1:$2,2,FALSE),FALSE))),"")</f>
        <v/>
      </c>
      <c r="R439" s="14" t="str">
        <f>IFERROR((VLOOKUP($A439,'[1]import success seats course'!$A:AF,HLOOKUP('[1]Course Totals'!R$4,'[1]import success seats course'!$1:$2,2,FALSE),FALSE)/(VLOOKUP($A439,'[1]import graded seats course pivo'!$A:AP,HLOOKUP('[1]Course Totals'!R$4,'[1]import graded seats course pivo'!$1:$2,2,FALSE),FALSE))),"")</f>
        <v/>
      </c>
      <c r="S439" s="14">
        <f>IFERROR((VLOOKUP($A439,'[1]import success seats course'!$A:AG,HLOOKUP('[1]Course Totals'!S$4,'[1]import success seats course'!$1:$2,2,FALSE),FALSE)/(VLOOKUP($A439,'[1]import graded seats course pivo'!$A:AQ,HLOOKUP('[1]Course Totals'!S$4,'[1]import graded seats course pivo'!$1:$2,2,FALSE),FALSE))),"")</f>
        <v>1</v>
      </c>
      <c r="Z439" s="7"/>
      <c r="AA439" s="7"/>
      <c r="AB439" s="7"/>
      <c r="AC439" s="7"/>
    </row>
    <row r="440" spans="1:29" ht="15.75" customHeight="1" x14ac:dyDescent="0.25">
      <c r="A440" s="12" t="s">
        <v>1054</v>
      </c>
      <c r="B440" s="14" t="str">
        <f>IFERROR((VLOOKUP($A440,'[1]import success seats course'!$A:P,HLOOKUP('[1]Course Totals'!B$4,'[1]import success seats course'!$1:$2,2,FALSE),FALSE)/(VLOOKUP($A440,'[1]import graded seats course pivo'!$A:Z,HLOOKUP('[1]Course Totals'!B$4,'[1]import graded seats course pivo'!$1:$2,2,FALSE),FALSE))),"")</f>
        <v/>
      </c>
      <c r="C440" s="14" t="str">
        <f>IFERROR((VLOOKUP($A440,'[1]import success seats course'!$A:Q,HLOOKUP('[1]Course Totals'!C$4,'[1]import success seats course'!$1:$2,2,FALSE),FALSE)/(VLOOKUP($A440,'[1]import graded seats course pivo'!$A:AA,HLOOKUP('[1]Course Totals'!C$4,'[1]import graded seats course pivo'!$1:$2,2,FALSE),FALSE))),"")</f>
        <v/>
      </c>
      <c r="D440" s="14" t="str">
        <f>IFERROR((VLOOKUP($A440,'[1]import success seats course'!$A:R,HLOOKUP('[1]Course Totals'!D$4,'[1]import success seats course'!$1:$2,2,FALSE),FALSE)/(VLOOKUP($A440,'[1]import graded seats course pivo'!$A:AB,HLOOKUP('[1]Course Totals'!D$4,'[1]import graded seats course pivo'!$1:$2,2,FALSE),FALSE))),"")</f>
        <v/>
      </c>
      <c r="E440" s="14">
        <f>IFERROR((VLOOKUP($A440,'[1]import success seats course'!$A:S,HLOOKUP('[1]Course Totals'!E$4,'[1]import success seats course'!$1:$2,2,FALSE),FALSE)/(VLOOKUP($A440,'[1]import graded seats course pivo'!$A:AC,HLOOKUP('[1]Course Totals'!E$4,'[1]import graded seats course pivo'!$1:$2,2,FALSE),FALSE))),"")</f>
        <v>1</v>
      </c>
      <c r="F440" s="14" t="str">
        <f>IFERROR((VLOOKUP($A440,'[1]import success seats course'!$A:T,HLOOKUP('[1]Course Totals'!F$4,'[1]import success seats course'!$1:$2,2,FALSE),FALSE)/(VLOOKUP($A440,'[1]import graded seats course pivo'!$A:AD,HLOOKUP('[1]Course Totals'!F$4,'[1]import graded seats course pivo'!$1:$2,2,FALSE),FALSE))),"")</f>
        <v/>
      </c>
      <c r="G440" s="14" t="str">
        <f>IFERROR((VLOOKUP($A440,'[1]import success seats course'!$A:U,HLOOKUP('[1]Course Totals'!G$4,'[1]import success seats course'!$1:$2,2,FALSE),FALSE)/(VLOOKUP($A440,'[1]import graded seats course pivo'!$A:AE,HLOOKUP('[1]Course Totals'!G$4,'[1]import graded seats course pivo'!$1:$2,2,FALSE),FALSE))),"")</f>
        <v/>
      </c>
      <c r="H440" s="14">
        <f>IFERROR((VLOOKUP($A440,'[1]import success seats course'!$A:V,HLOOKUP('[1]Course Totals'!H$4,'[1]import success seats course'!$1:$2,2,FALSE),FALSE)/(VLOOKUP($A440,'[1]import graded seats course pivo'!$A:AF,HLOOKUP('[1]Course Totals'!H$4,'[1]import graded seats course pivo'!$1:$2,2,FALSE),FALSE))),"")</f>
        <v>1</v>
      </c>
      <c r="I440" s="14" t="str">
        <f>IFERROR((VLOOKUP($A440,'[1]import success seats course'!$A:W,HLOOKUP('[1]Course Totals'!I$4,'[1]import success seats course'!$1:$2,2,FALSE),FALSE)/(VLOOKUP($A440,'[1]import graded seats course pivo'!$A:AG,HLOOKUP('[1]Course Totals'!I$4,'[1]import graded seats course pivo'!$1:$2,2,FALSE),FALSE))),"")</f>
        <v/>
      </c>
      <c r="J440" s="14" t="str">
        <f>IFERROR((VLOOKUP($A440,'[1]import success seats course'!$A:X,HLOOKUP('[1]Course Totals'!J$4,'[1]import success seats course'!$1:$2,2,FALSE),FALSE)/(VLOOKUP($A440,'[1]import graded seats course pivo'!$A:AH,HLOOKUP('[1]Course Totals'!J$4,'[1]import graded seats course pivo'!$1:$2,2,FALSE),FALSE))),"")</f>
        <v/>
      </c>
      <c r="K440" s="14">
        <f>IFERROR((VLOOKUP($A440,'[1]import success seats course'!$A:Y,HLOOKUP('[1]Course Totals'!K$4,'[1]import success seats course'!$1:$2,2,FALSE),FALSE)/(VLOOKUP($A440,'[1]import graded seats course pivo'!$A:AI,HLOOKUP('[1]Course Totals'!K$4,'[1]import graded seats course pivo'!$1:$2,2,FALSE),FALSE))),"")</f>
        <v>1</v>
      </c>
      <c r="L440" s="14" t="str">
        <f>IFERROR((VLOOKUP($A440,'[1]import success seats course'!$A:Z,HLOOKUP('[1]Course Totals'!L$4,'[1]import success seats course'!$1:$2,2,FALSE),FALSE)/(VLOOKUP($A440,'[1]import graded seats course pivo'!$A:AJ,HLOOKUP('[1]Course Totals'!L$4,'[1]import graded seats course pivo'!$1:$2,2,FALSE),FALSE))),"")</f>
        <v/>
      </c>
      <c r="M440" s="14" t="str">
        <f>IFERROR((VLOOKUP($A440,'[1]import success seats course'!$A:AA,HLOOKUP('[1]Course Totals'!M$4,'[1]import success seats course'!$1:$2,2,FALSE),FALSE)/(VLOOKUP($A440,'[1]import graded seats course pivo'!$A:AK,HLOOKUP('[1]Course Totals'!M$4,'[1]import graded seats course pivo'!$1:$2,2,FALSE),FALSE))),"")</f>
        <v/>
      </c>
      <c r="N440" s="14">
        <f>IFERROR((VLOOKUP($A440,'[1]import success seats course'!$A:AB,HLOOKUP('[1]Course Totals'!N$4,'[1]import success seats course'!$1:$2,2,FALSE),FALSE)/(VLOOKUP($A440,'[1]import graded seats course pivo'!$A:AL,HLOOKUP('[1]Course Totals'!N$4,'[1]import graded seats course pivo'!$1:$2,2,FALSE),FALSE))),"")</f>
        <v>1</v>
      </c>
      <c r="O440" s="14" t="str">
        <f>IFERROR((VLOOKUP($A440,'[1]import success seats course'!$A:AC,HLOOKUP('[1]Course Totals'!O$4,'[1]import success seats course'!$1:$2,2,FALSE),FALSE)/(VLOOKUP($A440,'[1]import graded seats course pivo'!$A:AM,HLOOKUP('[1]Course Totals'!O$4,'[1]import graded seats course pivo'!$1:$2,2,FALSE),FALSE))),"")</f>
        <v/>
      </c>
      <c r="P440" s="14" t="str">
        <f>IFERROR((VLOOKUP($A440,'[1]import success seats course'!$A:AD,HLOOKUP('[1]Course Totals'!P$4,'[1]import success seats course'!$1:$2,2,FALSE),FALSE)/(VLOOKUP($A440,'[1]import graded seats course pivo'!$A:AN,HLOOKUP('[1]Course Totals'!P$4,'[1]import graded seats course pivo'!$1:$2,2,FALSE),FALSE))),"")</f>
        <v/>
      </c>
      <c r="Q440" s="14" t="str">
        <f>IFERROR((VLOOKUP($A440,'[1]import success seats course'!$A:AE,HLOOKUP('[1]Course Totals'!Q$4,'[1]import success seats course'!$1:$2,2,FALSE),FALSE)/(VLOOKUP($A440,'[1]import graded seats course pivo'!$A:AO,HLOOKUP('[1]Course Totals'!Q$4,'[1]import graded seats course pivo'!$1:$2,2,FALSE),FALSE))),"")</f>
        <v/>
      </c>
      <c r="R440" s="14" t="str">
        <f>IFERROR((VLOOKUP($A440,'[1]import success seats course'!$A:AF,HLOOKUP('[1]Course Totals'!R$4,'[1]import success seats course'!$1:$2,2,FALSE),FALSE)/(VLOOKUP($A440,'[1]import graded seats course pivo'!$A:AP,HLOOKUP('[1]Course Totals'!R$4,'[1]import graded seats course pivo'!$1:$2,2,FALSE),FALSE))),"")</f>
        <v/>
      </c>
      <c r="S440" s="14" t="str">
        <f>IFERROR((VLOOKUP($A440,'[1]import success seats course'!$A:AG,HLOOKUP('[1]Course Totals'!S$4,'[1]import success seats course'!$1:$2,2,FALSE),FALSE)/(VLOOKUP($A440,'[1]import graded seats course pivo'!$A:AQ,HLOOKUP('[1]Course Totals'!S$4,'[1]import graded seats course pivo'!$1:$2,2,FALSE),FALSE))),"")</f>
        <v/>
      </c>
      <c r="Z440" s="7"/>
      <c r="AA440" s="7"/>
      <c r="AB440" s="7"/>
      <c r="AC440" s="7"/>
    </row>
    <row r="441" spans="1:29" ht="15.75" customHeight="1" x14ac:dyDescent="0.25">
      <c r="A441" s="12" t="s">
        <v>217</v>
      </c>
      <c r="B441" s="14" t="str">
        <f>IFERROR((VLOOKUP($A441,'[1]import success seats course'!$A:P,HLOOKUP('[1]Course Totals'!B$4,'[1]import success seats course'!$1:$2,2,FALSE),FALSE)/(VLOOKUP($A441,'[1]import graded seats course pivo'!$A:Z,HLOOKUP('[1]Course Totals'!B$4,'[1]import graded seats course pivo'!$1:$2,2,FALSE),FALSE))),"")</f>
        <v/>
      </c>
      <c r="C441" s="14">
        <f>IFERROR((VLOOKUP($A441,'[1]import success seats course'!$A:Q,HLOOKUP('[1]Course Totals'!C$4,'[1]import success seats course'!$1:$2,2,FALSE),FALSE)/(VLOOKUP($A441,'[1]import graded seats course pivo'!$A:AA,HLOOKUP('[1]Course Totals'!C$4,'[1]import graded seats course pivo'!$1:$2,2,FALSE),FALSE))),"")</f>
        <v>1</v>
      </c>
      <c r="D441" s="14" t="str">
        <f>IFERROR((VLOOKUP($A441,'[1]import success seats course'!$A:R,HLOOKUP('[1]Course Totals'!D$4,'[1]import success seats course'!$1:$2,2,FALSE),FALSE)/(VLOOKUP($A441,'[1]import graded seats course pivo'!$A:AB,HLOOKUP('[1]Course Totals'!D$4,'[1]import graded seats course pivo'!$1:$2,2,FALSE),FALSE))),"")</f>
        <v/>
      </c>
      <c r="E441" s="14" t="str">
        <f>IFERROR((VLOOKUP($A441,'[1]import success seats course'!$A:S,HLOOKUP('[1]Course Totals'!E$4,'[1]import success seats course'!$1:$2,2,FALSE),FALSE)/(VLOOKUP($A441,'[1]import graded seats course pivo'!$A:AC,HLOOKUP('[1]Course Totals'!E$4,'[1]import graded seats course pivo'!$1:$2,2,FALSE),FALSE))),"")</f>
        <v/>
      </c>
      <c r="F441" s="14">
        <f>IFERROR((VLOOKUP($A441,'[1]import success seats course'!$A:T,HLOOKUP('[1]Course Totals'!F$4,'[1]import success seats course'!$1:$2,2,FALSE),FALSE)/(VLOOKUP($A441,'[1]import graded seats course pivo'!$A:AD,HLOOKUP('[1]Course Totals'!F$4,'[1]import graded seats course pivo'!$1:$2,2,FALSE),FALSE))),"")</f>
        <v>1</v>
      </c>
      <c r="G441" s="14" t="str">
        <f>IFERROR((VLOOKUP($A441,'[1]import success seats course'!$A:U,HLOOKUP('[1]Course Totals'!G$4,'[1]import success seats course'!$1:$2,2,FALSE),FALSE)/(VLOOKUP($A441,'[1]import graded seats course pivo'!$A:AE,HLOOKUP('[1]Course Totals'!G$4,'[1]import graded seats course pivo'!$1:$2,2,FALSE),FALSE))),"")</f>
        <v/>
      </c>
      <c r="H441" s="14" t="str">
        <f>IFERROR((VLOOKUP($A441,'[1]import success seats course'!$A:V,HLOOKUP('[1]Course Totals'!H$4,'[1]import success seats course'!$1:$2,2,FALSE),FALSE)/(VLOOKUP($A441,'[1]import graded seats course pivo'!$A:AF,HLOOKUP('[1]Course Totals'!H$4,'[1]import graded seats course pivo'!$1:$2,2,FALSE),FALSE))),"")</f>
        <v/>
      </c>
      <c r="I441" s="14">
        <f>IFERROR((VLOOKUP($A441,'[1]import success seats course'!$A:W,HLOOKUP('[1]Course Totals'!I$4,'[1]import success seats course'!$1:$2,2,FALSE),FALSE)/(VLOOKUP($A441,'[1]import graded seats course pivo'!$A:AG,HLOOKUP('[1]Course Totals'!I$4,'[1]import graded seats course pivo'!$1:$2,2,FALSE),FALSE))),"")</f>
        <v>1</v>
      </c>
      <c r="J441" s="14" t="str">
        <f>IFERROR((VLOOKUP($A441,'[1]import success seats course'!$A:X,HLOOKUP('[1]Course Totals'!J$4,'[1]import success seats course'!$1:$2,2,FALSE),FALSE)/(VLOOKUP($A441,'[1]import graded seats course pivo'!$A:AH,HLOOKUP('[1]Course Totals'!J$4,'[1]import graded seats course pivo'!$1:$2,2,FALSE),FALSE))),"")</f>
        <v/>
      </c>
      <c r="K441" s="14" t="str">
        <f>IFERROR((VLOOKUP($A441,'[1]import success seats course'!$A:Y,HLOOKUP('[1]Course Totals'!K$4,'[1]import success seats course'!$1:$2,2,FALSE),FALSE)/(VLOOKUP($A441,'[1]import graded seats course pivo'!$A:AI,HLOOKUP('[1]Course Totals'!K$4,'[1]import graded seats course pivo'!$1:$2,2,FALSE),FALSE))),"")</f>
        <v/>
      </c>
      <c r="L441" s="14">
        <f>IFERROR((VLOOKUP($A441,'[1]import success seats course'!$A:Z,HLOOKUP('[1]Course Totals'!L$4,'[1]import success seats course'!$1:$2,2,FALSE),FALSE)/(VLOOKUP($A441,'[1]import graded seats course pivo'!$A:AJ,HLOOKUP('[1]Course Totals'!L$4,'[1]import graded seats course pivo'!$1:$2,2,FALSE),FALSE))),"")</f>
        <v>0.9</v>
      </c>
      <c r="M441" s="14" t="str">
        <f>IFERROR((VLOOKUP($A441,'[1]import success seats course'!$A:AA,HLOOKUP('[1]Course Totals'!M$4,'[1]import success seats course'!$1:$2,2,FALSE),FALSE)/(VLOOKUP($A441,'[1]import graded seats course pivo'!$A:AK,HLOOKUP('[1]Course Totals'!M$4,'[1]import graded seats course pivo'!$1:$2,2,FALSE),FALSE))),"")</f>
        <v/>
      </c>
      <c r="N441" s="14" t="str">
        <f>IFERROR((VLOOKUP($A441,'[1]import success seats course'!$A:AB,HLOOKUP('[1]Course Totals'!N$4,'[1]import success seats course'!$1:$2,2,FALSE),FALSE)/(VLOOKUP($A441,'[1]import graded seats course pivo'!$A:AL,HLOOKUP('[1]Course Totals'!N$4,'[1]import graded seats course pivo'!$1:$2,2,FALSE),FALSE))),"")</f>
        <v/>
      </c>
      <c r="O441" s="14" t="str">
        <f>IFERROR((VLOOKUP($A441,'[1]import success seats course'!$A:AC,HLOOKUP('[1]Course Totals'!O$4,'[1]import success seats course'!$1:$2,2,FALSE),FALSE)/(VLOOKUP($A441,'[1]import graded seats course pivo'!$A:AM,HLOOKUP('[1]Course Totals'!O$4,'[1]import graded seats course pivo'!$1:$2,2,FALSE),FALSE))),"")</f>
        <v/>
      </c>
      <c r="P441" s="14" t="str">
        <f>IFERROR((VLOOKUP($A441,'[1]import success seats course'!$A:AD,HLOOKUP('[1]Course Totals'!P$4,'[1]import success seats course'!$1:$2,2,FALSE),FALSE)/(VLOOKUP($A441,'[1]import graded seats course pivo'!$A:AN,HLOOKUP('[1]Course Totals'!P$4,'[1]import graded seats course pivo'!$1:$2,2,FALSE),FALSE))),"")</f>
        <v/>
      </c>
      <c r="Q441" s="14" t="str">
        <f>IFERROR((VLOOKUP($A441,'[1]import success seats course'!$A:AE,HLOOKUP('[1]Course Totals'!Q$4,'[1]import success seats course'!$1:$2,2,FALSE),FALSE)/(VLOOKUP($A441,'[1]import graded seats course pivo'!$A:AO,HLOOKUP('[1]Course Totals'!Q$4,'[1]import graded seats course pivo'!$1:$2,2,FALSE),FALSE))),"")</f>
        <v/>
      </c>
      <c r="R441" s="14" t="str">
        <f>IFERROR((VLOOKUP($A441,'[1]import success seats course'!$A:AF,HLOOKUP('[1]Course Totals'!R$4,'[1]import success seats course'!$1:$2,2,FALSE),FALSE)/(VLOOKUP($A441,'[1]import graded seats course pivo'!$A:AP,HLOOKUP('[1]Course Totals'!R$4,'[1]import graded seats course pivo'!$1:$2,2,FALSE),FALSE))),"")</f>
        <v/>
      </c>
      <c r="S441" s="14" t="str">
        <f>IFERROR((VLOOKUP($A441,'[1]import success seats course'!$A:AG,HLOOKUP('[1]Course Totals'!S$4,'[1]import success seats course'!$1:$2,2,FALSE),FALSE)/(VLOOKUP($A441,'[1]import graded seats course pivo'!$A:AQ,HLOOKUP('[1]Course Totals'!S$4,'[1]import graded seats course pivo'!$1:$2,2,FALSE),FALSE))),"")</f>
        <v/>
      </c>
      <c r="Z441" s="7"/>
      <c r="AA441" s="7"/>
      <c r="AB441" s="7"/>
      <c r="AC441" s="7"/>
    </row>
    <row r="442" spans="1:29" ht="15.75" customHeight="1" x14ac:dyDescent="0.25">
      <c r="A442" s="12" t="s">
        <v>901</v>
      </c>
      <c r="B442" s="14" t="str">
        <f>IFERROR((VLOOKUP($A442,'[1]import success seats course'!$A:P,HLOOKUP('[1]Course Totals'!B$4,'[1]import success seats course'!$1:$2,2,FALSE),FALSE)/(VLOOKUP($A442,'[1]import graded seats course pivo'!$A:Z,HLOOKUP('[1]Course Totals'!B$4,'[1]import graded seats course pivo'!$1:$2,2,FALSE),FALSE))),"")</f>
        <v/>
      </c>
      <c r="C442" s="14" t="str">
        <f>IFERROR((VLOOKUP($A442,'[1]import success seats course'!$A:Q,HLOOKUP('[1]Course Totals'!C$4,'[1]import success seats course'!$1:$2,2,FALSE),FALSE)/(VLOOKUP($A442,'[1]import graded seats course pivo'!$A:AA,HLOOKUP('[1]Course Totals'!C$4,'[1]import graded seats course pivo'!$1:$2,2,FALSE),FALSE))),"")</f>
        <v/>
      </c>
      <c r="D442" s="14">
        <f>IFERROR((VLOOKUP($A442,'[1]import success seats course'!$A:R,HLOOKUP('[1]Course Totals'!D$4,'[1]import success seats course'!$1:$2,2,FALSE),FALSE)/(VLOOKUP($A442,'[1]import graded seats course pivo'!$A:AB,HLOOKUP('[1]Course Totals'!D$4,'[1]import graded seats course pivo'!$1:$2,2,FALSE),FALSE))),"")</f>
        <v>1</v>
      </c>
      <c r="E442" s="14" t="str">
        <f>IFERROR((VLOOKUP($A442,'[1]import success seats course'!$A:S,HLOOKUP('[1]Course Totals'!E$4,'[1]import success seats course'!$1:$2,2,FALSE),FALSE)/(VLOOKUP($A442,'[1]import graded seats course pivo'!$A:AC,HLOOKUP('[1]Course Totals'!E$4,'[1]import graded seats course pivo'!$1:$2,2,FALSE),FALSE))),"")</f>
        <v/>
      </c>
      <c r="F442" s="14" t="str">
        <f>IFERROR((VLOOKUP($A442,'[1]import success seats course'!$A:T,HLOOKUP('[1]Course Totals'!F$4,'[1]import success seats course'!$1:$2,2,FALSE),FALSE)/(VLOOKUP($A442,'[1]import graded seats course pivo'!$A:AD,HLOOKUP('[1]Course Totals'!F$4,'[1]import graded seats course pivo'!$1:$2,2,FALSE),FALSE))),"")</f>
        <v/>
      </c>
      <c r="G442" s="14">
        <f>IFERROR((VLOOKUP($A442,'[1]import success seats course'!$A:U,HLOOKUP('[1]Course Totals'!G$4,'[1]import success seats course'!$1:$2,2,FALSE),FALSE)/(VLOOKUP($A442,'[1]import graded seats course pivo'!$A:AE,HLOOKUP('[1]Course Totals'!G$4,'[1]import graded seats course pivo'!$1:$2,2,FALSE),FALSE))),"")</f>
        <v>1</v>
      </c>
      <c r="H442" s="14" t="str">
        <f>IFERROR((VLOOKUP($A442,'[1]import success seats course'!$A:V,HLOOKUP('[1]Course Totals'!H$4,'[1]import success seats course'!$1:$2,2,FALSE),FALSE)/(VLOOKUP($A442,'[1]import graded seats course pivo'!$A:AF,HLOOKUP('[1]Course Totals'!H$4,'[1]import graded seats course pivo'!$1:$2,2,FALSE),FALSE))),"")</f>
        <v/>
      </c>
      <c r="I442" s="14" t="str">
        <f>IFERROR((VLOOKUP($A442,'[1]import success seats course'!$A:W,HLOOKUP('[1]Course Totals'!I$4,'[1]import success seats course'!$1:$2,2,FALSE),FALSE)/(VLOOKUP($A442,'[1]import graded seats course pivo'!$A:AG,HLOOKUP('[1]Course Totals'!I$4,'[1]import graded seats course pivo'!$1:$2,2,FALSE),FALSE))),"")</f>
        <v/>
      </c>
      <c r="J442" s="14">
        <f>IFERROR((VLOOKUP($A442,'[1]import success seats course'!$A:X,HLOOKUP('[1]Course Totals'!J$4,'[1]import success seats course'!$1:$2,2,FALSE),FALSE)/(VLOOKUP($A442,'[1]import graded seats course pivo'!$A:AH,HLOOKUP('[1]Course Totals'!J$4,'[1]import graded seats course pivo'!$1:$2,2,FALSE),FALSE))),"")</f>
        <v>1</v>
      </c>
      <c r="K442" s="14" t="str">
        <f>IFERROR((VLOOKUP($A442,'[1]import success seats course'!$A:Y,HLOOKUP('[1]Course Totals'!K$4,'[1]import success seats course'!$1:$2,2,FALSE),FALSE)/(VLOOKUP($A442,'[1]import graded seats course pivo'!$A:AI,HLOOKUP('[1]Course Totals'!K$4,'[1]import graded seats course pivo'!$1:$2,2,FALSE),FALSE))),"")</f>
        <v/>
      </c>
      <c r="L442" s="14" t="str">
        <f>IFERROR((VLOOKUP($A442,'[1]import success seats course'!$A:Z,HLOOKUP('[1]Course Totals'!L$4,'[1]import success seats course'!$1:$2,2,FALSE),FALSE)/(VLOOKUP($A442,'[1]import graded seats course pivo'!$A:AJ,HLOOKUP('[1]Course Totals'!L$4,'[1]import graded seats course pivo'!$1:$2,2,FALSE),FALSE))),"")</f>
        <v/>
      </c>
      <c r="M442" s="14">
        <f>IFERROR((VLOOKUP($A442,'[1]import success seats course'!$A:AA,HLOOKUP('[1]Course Totals'!M$4,'[1]import success seats course'!$1:$2,2,FALSE),FALSE)/(VLOOKUP($A442,'[1]import graded seats course pivo'!$A:AK,HLOOKUP('[1]Course Totals'!M$4,'[1]import graded seats course pivo'!$1:$2,2,FALSE),FALSE))),"")</f>
        <v>1</v>
      </c>
      <c r="N442" s="14" t="str">
        <f>IFERROR((VLOOKUP($A442,'[1]import success seats course'!$A:AB,HLOOKUP('[1]Course Totals'!N$4,'[1]import success seats course'!$1:$2,2,FALSE),FALSE)/(VLOOKUP($A442,'[1]import graded seats course pivo'!$A:AL,HLOOKUP('[1]Course Totals'!N$4,'[1]import graded seats course pivo'!$1:$2,2,FALSE),FALSE))),"")</f>
        <v/>
      </c>
      <c r="O442" s="14" t="str">
        <f>IFERROR((VLOOKUP($A442,'[1]import success seats course'!$A:AC,HLOOKUP('[1]Course Totals'!O$4,'[1]import success seats course'!$1:$2,2,FALSE),FALSE)/(VLOOKUP($A442,'[1]import graded seats course pivo'!$A:AM,HLOOKUP('[1]Course Totals'!O$4,'[1]import graded seats course pivo'!$1:$2,2,FALSE),FALSE))),"")</f>
        <v/>
      </c>
      <c r="P442" s="14" t="str">
        <f>IFERROR((VLOOKUP($A442,'[1]import success seats course'!$A:AD,HLOOKUP('[1]Course Totals'!P$4,'[1]import success seats course'!$1:$2,2,FALSE),FALSE)/(VLOOKUP($A442,'[1]import graded seats course pivo'!$A:AN,HLOOKUP('[1]Course Totals'!P$4,'[1]import graded seats course pivo'!$1:$2,2,FALSE),FALSE))),"")</f>
        <v/>
      </c>
      <c r="Q442" s="14" t="str">
        <f>IFERROR((VLOOKUP($A442,'[1]import success seats course'!$A:AE,HLOOKUP('[1]Course Totals'!Q$4,'[1]import success seats course'!$1:$2,2,FALSE),FALSE)/(VLOOKUP($A442,'[1]import graded seats course pivo'!$A:AO,HLOOKUP('[1]Course Totals'!Q$4,'[1]import graded seats course pivo'!$1:$2,2,FALSE),FALSE))),"")</f>
        <v/>
      </c>
      <c r="R442" s="14" t="str">
        <f>IFERROR((VLOOKUP($A442,'[1]import success seats course'!$A:AF,HLOOKUP('[1]Course Totals'!R$4,'[1]import success seats course'!$1:$2,2,FALSE),FALSE)/(VLOOKUP($A442,'[1]import graded seats course pivo'!$A:AP,HLOOKUP('[1]Course Totals'!R$4,'[1]import graded seats course pivo'!$1:$2,2,FALSE),FALSE))),"")</f>
        <v/>
      </c>
      <c r="S442" s="14">
        <f>IFERROR((VLOOKUP($A442,'[1]import success seats course'!$A:AG,HLOOKUP('[1]Course Totals'!S$4,'[1]import success seats course'!$1:$2,2,FALSE),FALSE)/(VLOOKUP($A442,'[1]import graded seats course pivo'!$A:AQ,HLOOKUP('[1]Course Totals'!S$4,'[1]import graded seats course pivo'!$1:$2,2,FALSE),FALSE))),"")</f>
        <v>1</v>
      </c>
      <c r="Z442" s="7"/>
      <c r="AA442" s="7"/>
      <c r="AB442" s="7"/>
      <c r="AC442" s="7"/>
    </row>
    <row r="443" spans="1:29" ht="15.75" customHeight="1" x14ac:dyDescent="0.25">
      <c r="A443" s="12" t="s">
        <v>902</v>
      </c>
      <c r="B443" s="14" t="str">
        <f>IFERROR((VLOOKUP($A443,'[1]import success seats course'!$A:P,HLOOKUP('[1]Course Totals'!B$4,'[1]import success seats course'!$1:$2,2,FALSE),FALSE)/(VLOOKUP($A443,'[1]import graded seats course pivo'!$A:Z,HLOOKUP('[1]Course Totals'!B$4,'[1]import graded seats course pivo'!$1:$2,2,FALSE),FALSE))),"")</f>
        <v/>
      </c>
      <c r="C443" s="14" t="str">
        <f>IFERROR((VLOOKUP($A443,'[1]import success seats course'!$A:Q,HLOOKUP('[1]Course Totals'!C$4,'[1]import success seats course'!$1:$2,2,FALSE),FALSE)/(VLOOKUP($A443,'[1]import graded seats course pivo'!$A:AA,HLOOKUP('[1]Course Totals'!C$4,'[1]import graded seats course pivo'!$1:$2,2,FALSE),FALSE))),"")</f>
        <v/>
      </c>
      <c r="D443" s="14">
        <f>IFERROR((VLOOKUP($A443,'[1]import success seats course'!$A:R,HLOOKUP('[1]Course Totals'!D$4,'[1]import success seats course'!$1:$2,2,FALSE),FALSE)/(VLOOKUP($A443,'[1]import graded seats course pivo'!$A:AB,HLOOKUP('[1]Course Totals'!D$4,'[1]import graded seats course pivo'!$1:$2,2,FALSE),FALSE))),"")</f>
        <v>1</v>
      </c>
      <c r="E443" s="14" t="str">
        <f>IFERROR((VLOOKUP($A443,'[1]import success seats course'!$A:S,HLOOKUP('[1]Course Totals'!E$4,'[1]import success seats course'!$1:$2,2,FALSE),FALSE)/(VLOOKUP($A443,'[1]import graded seats course pivo'!$A:AC,HLOOKUP('[1]Course Totals'!E$4,'[1]import graded seats course pivo'!$1:$2,2,FALSE),FALSE))),"")</f>
        <v/>
      </c>
      <c r="F443" s="14" t="str">
        <f>IFERROR((VLOOKUP($A443,'[1]import success seats course'!$A:T,HLOOKUP('[1]Course Totals'!F$4,'[1]import success seats course'!$1:$2,2,FALSE),FALSE)/(VLOOKUP($A443,'[1]import graded seats course pivo'!$A:AD,HLOOKUP('[1]Course Totals'!F$4,'[1]import graded seats course pivo'!$1:$2,2,FALSE),FALSE))),"")</f>
        <v/>
      </c>
      <c r="G443" s="14">
        <f>IFERROR((VLOOKUP($A443,'[1]import success seats course'!$A:U,HLOOKUP('[1]Course Totals'!G$4,'[1]import success seats course'!$1:$2,2,FALSE),FALSE)/(VLOOKUP($A443,'[1]import graded seats course pivo'!$A:AE,HLOOKUP('[1]Course Totals'!G$4,'[1]import graded seats course pivo'!$1:$2,2,FALSE),FALSE))),"")</f>
        <v>1</v>
      </c>
      <c r="H443" s="14" t="str">
        <f>IFERROR((VLOOKUP($A443,'[1]import success seats course'!$A:V,HLOOKUP('[1]Course Totals'!H$4,'[1]import success seats course'!$1:$2,2,FALSE),FALSE)/(VLOOKUP($A443,'[1]import graded seats course pivo'!$A:AF,HLOOKUP('[1]Course Totals'!H$4,'[1]import graded seats course pivo'!$1:$2,2,FALSE),FALSE))),"")</f>
        <v/>
      </c>
      <c r="I443" s="14" t="str">
        <f>IFERROR((VLOOKUP($A443,'[1]import success seats course'!$A:W,HLOOKUP('[1]Course Totals'!I$4,'[1]import success seats course'!$1:$2,2,FALSE),FALSE)/(VLOOKUP($A443,'[1]import graded seats course pivo'!$A:AG,HLOOKUP('[1]Course Totals'!I$4,'[1]import graded seats course pivo'!$1:$2,2,FALSE),FALSE))),"")</f>
        <v/>
      </c>
      <c r="J443" s="14">
        <f>IFERROR((VLOOKUP($A443,'[1]import success seats course'!$A:X,HLOOKUP('[1]Course Totals'!J$4,'[1]import success seats course'!$1:$2,2,FALSE),FALSE)/(VLOOKUP($A443,'[1]import graded seats course pivo'!$A:AH,HLOOKUP('[1]Course Totals'!J$4,'[1]import graded seats course pivo'!$1:$2,2,FALSE),FALSE))),"")</f>
        <v>1</v>
      </c>
      <c r="K443" s="14" t="str">
        <f>IFERROR((VLOOKUP($A443,'[1]import success seats course'!$A:Y,HLOOKUP('[1]Course Totals'!K$4,'[1]import success seats course'!$1:$2,2,FALSE),FALSE)/(VLOOKUP($A443,'[1]import graded seats course pivo'!$A:AI,HLOOKUP('[1]Course Totals'!K$4,'[1]import graded seats course pivo'!$1:$2,2,FALSE),FALSE))),"")</f>
        <v/>
      </c>
      <c r="L443" s="14" t="str">
        <f>IFERROR((VLOOKUP($A443,'[1]import success seats course'!$A:Z,HLOOKUP('[1]Course Totals'!L$4,'[1]import success seats course'!$1:$2,2,FALSE),FALSE)/(VLOOKUP($A443,'[1]import graded seats course pivo'!$A:AJ,HLOOKUP('[1]Course Totals'!L$4,'[1]import graded seats course pivo'!$1:$2,2,FALSE),FALSE))),"")</f>
        <v/>
      </c>
      <c r="M443" s="14">
        <f>IFERROR((VLOOKUP($A443,'[1]import success seats course'!$A:AA,HLOOKUP('[1]Course Totals'!M$4,'[1]import success seats course'!$1:$2,2,FALSE),FALSE)/(VLOOKUP($A443,'[1]import graded seats course pivo'!$A:AK,HLOOKUP('[1]Course Totals'!M$4,'[1]import graded seats course pivo'!$1:$2,2,FALSE),FALSE))),"")</f>
        <v>1</v>
      </c>
      <c r="N443" s="14" t="str">
        <f>IFERROR((VLOOKUP($A443,'[1]import success seats course'!$A:AB,HLOOKUP('[1]Course Totals'!N$4,'[1]import success seats course'!$1:$2,2,FALSE),FALSE)/(VLOOKUP($A443,'[1]import graded seats course pivo'!$A:AL,HLOOKUP('[1]Course Totals'!N$4,'[1]import graded seats course pivo'!$1:$2,2,FALSE),FALSE))),"")</f>
        <v/>
      </c>
      <c r="O443" s="14" t="str">
        <f>IFERROR((VLOOKUP($A443,'[1]import success seats course'!$A:AC,HLOOKUP('[1]Course Totals'!O$4,'[1]import success seats course'!$1:$2,2,FALSE),FALSE)/(VLOOKUP($A443,'[1]import graded seats course pivo'!$A:AM,HLOOKUP('[1]Course Totals'!O$4,'[1]import graded seats course pivo'!$1:$2,2,FALSE),FALSE))),"")</f>
        <v/>
      </c>
      <c r="P443" s="14" t="str">
        <f>IFERROR((VLOOKUP($A443,'[1]import success seats course'!$A:AD,HLOOKUP('[1]Course Totals'!P$4,'[1]import success seats course'!$1:$2,2,FALSE),FALSE)/(VLOOKUP($A443,'[1]import graded seats course pivo'!$A:AN,HLOOKUP('[1]Course Totals'!P$4,'[1]import graded seats course pivo'!$1:$2,2,FALSE),FALSE))),"")</f>
        <v/>
      </c>
      <c r="Q443" s="14" t="str">
        <f>IFERROR((VLOOKUP($A443,'[1]import success seats course'!$A:AE,HLOOKUP('[1]Course Totals'!Q$4,'[1]import success seats course'!$1:$2,2,FALSE),FALSE)/(VLOOKUP($A443,'[1]import graded seats course pivo'!$A:AO,HLOOKUP('[1]Course Totals'!Q$4,'[1]import graded seats course pivo'!$1:$2,2,FALSE),FALSE))),"")</f>
        <v/>
      </c>
      <c r="R443" s="14" t="str">
        <f>IFERROR((VLOOKUP($A443,'[1]import success seats course'!$A:AF,HLOOKUP('[1]Course Totals'!R$4,'[1]import success seats course'!$1:$2,2,FALSE),FALSE)/(VLOOKUP($A443,'[1]import graded seats course pivo'!$A:AP,HLOOKUP('[1]Course Totals'!R$4,'[1]import graded seats course pivo'!$1:$2,2,FALSE),FALSE))),"")</f>
        <v/>
      </c>
      <c r="S443" s="14">
        <f>IFERROR((VLOOKUP($A443,'[1]import success seats course'!$A:AG,HLOOKUP('[1]Course Totals'!S$4,'[1]import success seats course'!$1:$2,2,FALSE),FALSE)/(VLOOKUP($A443,'[1]import graded seats course pivo'!$A:AQ,HLOOKUP('[1]Course Totals'!S$4,'[1]import graded seats course pivo'!$1:$2,2,FALSE),FALSE))),"")</f>
        <v>1</v>
      </c>
      <c r="Z443" s="7"/>
      <c r="AA443" s="7"/>
      <c r="AB443" s="7"/>
      <c r="AC443" s="7"/>
    </row>
    <row r="444" spans="1:29" ht="15.75" customHeight="1" x14ac:dyDescent="0.25">
      <c r="A444" s="12" t="s">
        <v>600</v>
      </c>
      <c r="B444" s="14" t="str">
        <f>IFERROR((VLOOKUP($A444,'[1]import success seats course'!$A:P,HLOOKUP('[1]Course Totals'!B$4,'[1]import success seats course'!$1:$2,2,FALSE),FALSE)/(VLOOKUP($A444,'[1]import graded seats course pivo'!$A:Z,HLOOKUP('[1]Course Totals'!B$4,'[1]import graded seats course pivo'!$1:$2,2,FALSE),FALSE))),"")</f>
        <v/>
      </c>
      <c r="C444" s="14" t="str">
        <f>IFERROR((VLOOKUP($A444,'[1]import success seats course'!$A:Q,HLOOKUP('[1]Course Totals'!C$4,'[1]import success seats course'!$1:$2,2,FALSE),FALSE)/(VLOOKUP($A444,'[1]import graded seats course pivo'!$A:AA,HLOOKUP('[1]Course Totals'!C$4,'[1]import graded seats course pivo'!$1:$2,2,FALSE),FALSE))),"")</f>
        <v/>
      </c>
      <c r="D444" s="14" t="str">
        <f>IFERROR((VLOOKUP($A444,'[1]import success seats course'!$A:R,HLOOKUP('[1]Course Totals'!D$4,'[1]import success seats course'!$1:$2,2,FALSE),FALSE)/(VLOOKUP($A444,'[1]import graded seats course pivo'!$A:AB,HLOOKUP('[1]Course Totals'!D$4,'[1]import graded seats course pivo'!$1:$2,2,FALSE),FALSE))),"")</f>
        <v/>
      </c>
      <c r="E444" s="14" t="str">
        <f>IFERROR((VLOOKUP($A444,'[1]import success seats course'!$A:S,HLOOKUP('[1]Course Totals'!E$4,'[1]import success seats course'!$1:$2,2,FALSE),FALSE)/(VLOOKUP($A444,'[1]import graded seats course pivo'!$A:AC,HLOOKUP('[1]Course Totals'!E$4,'[1]import graded seats course pivo'!$1:$2,2,FALSE),FALSE))),"")</f>
        <v/>
      </c>
      <c r="F444" s="14">
        <f>IFERROR((VLOOKUP($A444,'[1]import success seats course'!$A:T,HLOOKUP('[1]Course Totals'!F$4,'[1]import success seats course'!$1:$2,2,FALSE),FALSE)/(VLOOKUP($A444,'[1]import graded seats course pivo'!$A:AD,HLOOKUP('[1]Course Totals'!F$4,'[1]import graded seats course pivo'!$1:$2,2,FALSE),FALSE))),"")</f>
        <v>1</v>
      </c>
      <c r="G444" s="14" t="str">
        <f>IFERROR((VLOOKUP($A444,'[1]import success seats course'!$A:U,HLOOKUP('[1]Course Totals'!G$4,'[1]import success seats course'!$1:$2,2,FALSE),FALSE)/(VLOOKUP($A444,'[1]import graded seats course pivo'!$A:AE,HLOOKUP('[1]Course Totals'!G$4,'[1]import graded seats course pivo'!$1:$2,2,FALSE),FALSE))),"")</f>
        <v/>
      </c>
      <c r="H444" s="14" t="str">
        <f>IFERROR((VLOOKUP($A444,'[1]import success seats course'!$A:V,HLOOKUP('[1]Course Totals'!H$4,'[1]import success seats course'!$1:$2,2,FALSE),FALSE)/(VLOOKUP($A444,'[1]import graded seats course pivo'!$A:AF,HLOOKUP('[1]Course Totals'!H$4,'[1]import graded seats course pivo'!$1:$2,2,FALSE),FALSE))),"")</f>
        <v/>
      </c>
      <c r="I444" s="14">
        <f>IFERROR((VLOOKUP($A444,'[1]import success seats course'!$A:W,HLOOKUP('[1]Course Totals'!I$4,'[1]import success seats course'!$1:$2,2,FALSE),FALSE)/(VLOOKUP($A444,'[1]import graded seats course pivo'!$A:AG,HLOOKUP('[1]Course Totals'!I$4,'[1]import graded seats course pivo'!$1:$2,2,FALSE),FALSE))),"")</f>
        <v>1</v>
      </c>
      <c r="J444" s="14" t="str">
        <f>IFERROR((VLOOKUP($A444,'[1]import success seats course'!$A:X,HLOOKUP('[1]Course Totals'!J$4,'[1]import success seats course'!$1:$2,2,FALSE),FALSE)/(VLOOKUP($A444,'[1]import graded seats course pivo'!$A:AH,HLOOKUP('[1]Course Totals'!J$4,'[1]import graded seats course pivo'!$1:$2,2,FALSE),FALSE))),"")</f>
        <v/>
      </c>
      <c r="K444" s="14" t="str">
        <f>IFERROR((VLOOKUP($A444,'[1]import success seats course'!$A:Y,HLOOKUP('[1]Course Totals'!K$4,'[1]import success seats course'!$1:$2,2,FALSE),FALSE)/(VLOOKUP($A444,'[1]import graded seats course pivo'!$A:AI,HLOOKUP('[1]Course Totals'!K$4,'[1]import graded seats course pivo'!$1:$2,2,FALSE),FALSE))),"")</f>
        <v/>
      </c>
      <c r="L444" s="14">
        <f>IFERROR((VLOOKUP($A444,'[1]import success seats course'!$A:Z,HLOOKUP('[1]Course Totals'!L$4,'[1]import success seats course'!$1:$2,2,FALSE),FALSE)/(VLOOKUP($A444,'[1]import graded seats course pivo'!$A:AJ,HLOOKUP('[1]Course Totals'!L$4,'[1]import graded seats course pivo'!$1:$2,2,FALSE),FALSE))),"")</f>
        <v>1</v>
      </c>
      <c r="M444" s="14" t="str">
        <f>IFERROR((VLOOKUP($A444,'[1]import success seats course'!$A:AA,HLOOKUP('[1]Course Totals'!M$4,'[1]import success seats course'!$1:$2,2,FALSE),FALSE)/(VLOOKUP($A444,'[1]import graded seats course pivo'!$A:AK,HLOOKUP('[1]Course Totals'!M$4,'[1]import graded seats course pivo'!$1:$2,2,FALSE),FALSE))),"")</f>
        <v/>
      </c>
      <c r="N444" s="14" t="str">
        <f>IFERROR((VLOOKUP($A444,'[1]import success seats course'!$A:AB,HLOOKUP('[1]Course Totals'!N$4,'[1]import success seats course'!$1:$2,2,FALSE),FALSE)/(VLOOKUP($A444,'[1]import graded seats course pivo'!$A:AL,HLOOKUP('[1]Course Totals'!N$4,'[1]import graded seats course pivo'!$1:$2,2,FALSE),FALSE))),"")</f>
        <v/>
      </c>
      <c r="O444" s="14">
        <f>IFERROR((VLOOKUP($A444,'[1]import success seats course'!$A:AC,HLOOKUP('[1]Course Totals'!O$4,'[1]import success seats course'!$1:$2,2,FALSE),FALSE)/(VLOOKUP($A444,'[1]import graded seats course pivo'!$A:AM,HLOOKUP('[1]Course Totals'!O$4,'[1]import graded seats course pivo'!$1:$2,2,FALSE),FALSE))),"")</f>
        <v>1</v>
      </c>
      <c r="P444" s="14" t="str">
        <f>IFERROR((VLOOKUP($A444,'[1]import success seats course'!$A:AD,HLOOKUP('[1]Course Totals'!P$4,'[1]import success seats course'!$1:$2,2,FALSE),FALSE)/(VLOOKUP($A444,'[1]import graded seats course pivo'!$A:AN,HLOOKUP('[1]Course Totals'!P$4,'[1]import graded seats course pivo'!$1:$2,2,FALSE),FALSE))),"")</f>
        <v/>
      </c>
      <c r="Q444" s="14" t="str">
        <f>IFERROR((VLOOKUP($A444,'[1]import success seats course'!$A:AE,HLOOKUP('[1]Course Totals'!Q$4,'[1]import success seats course'!$1:$2,2,FALSE),FALSE)/(VLOOKUP($A444,'[1]import graded seats course pivo'!$A:AO,HLOOKUP('[1]Course Totals'!Q$4,'[1]import graded seats course pivo'!$1:$2,2,FALSE),FALSE))),"")</f>
        <v/>
      </c>
      <c r="R444" s="14" t="str">
        <f>IFERROR((VLOOKUP($A444,'[1]import success seats course'!$A:AF,HLOOKUP('[1]Course Totals'!R$4,'[1]import success seats course'!$1:$2,2,FALSE),FALSE)/(VLOOKUP($A444,'[1]import graded seats course pivo'!$A:AP,HLOOKUP('[1]Course Totals'!R$4,'[1]import graded seats course pivo'!$1:$2,2,FALSE),FALSE))),"")</f>
        <v/>
      </c>
      <c r="S444" s="14" t="str">
        <f>IFERROR((VLOOKUP($A444,'[1]import success seats course'!$A:AG,HLOOKUP('[1]Course Totals'!S$4,'[1]import success seats course'!$1:$2,2,FALSE),FALSE)/(VLOOKUP($A444,'[1]import graded seats course pivo'!$A:AQ,HLOOKUP('[1]Course Totals'!S$4,'[1]import graded seats course pivo'!$1:$2,2,FALSE),FALSE))),"")</f>
        <v/>
      </c>
      <c r="Z444" s="7"/>
      <c r="AA444" s="7"/>
      <c r="AB444" s="7"/>
      <c r="AC444" s="7"/>
    </row>
    <row r="445" spans="1:29" ht="15.75" customHeight="1" x14ac:dyDescent="0.25">
      <c r="A445" s="12" t="s">
        <v>1048</v>
      </c>
      <c r="B445" s="14">
        <f>IFERROR((VLOOKUP($A445,'[1]import success seats course'!$A:P,HLOOKUP('[1]Course Totals'!B$4,'[1]import success seats course'!$1:$2,2,FALSE),FALSE)/(VLOOKUP($A445,'[1]import graded seats course pivo'!$A:Z,HLOOKUP('[1]Course Totals'!B$4,'[1]import graded seats course pivo'!$1:$2,2,FALSE),FALSE))),"")</f>
        <v>1</v>
      </c>
      <c r="C445" s="14" t="str">
        <f>IFERROR((VLOOKUP($A445,'[1]import success seats course'!$A:Q,HLOOKUP('[1]Course Totals'!C$4,'[1]import success seats course'!$1:$2,2,FALSE),FALSE)/(VLOOKUP($A445,'[1]import graded seats course pivo'!$A:AA,HLOOKUP('[1]Course Totals'!C$4,'[1]import graded seats course pivo'!$1:$2,2,FALSE),FALSE))),"")</f>
        <v/>
      </c>
      <c r="D445" s="14" t="str">
        <f>IFERROR((VLOOKUP($A445,'[1]import success seats course'!$A:R,HLOOKUP('[1]Course Totals'!D$4,'[1]import success seats course'!$1:$2,2,FALSE),FALSE)/(VLOOKUP($A445,'[1]import graded seats course pivo'!$A:AB,HLOOKUP('[1]Course Totals'!D$4,'[1]import graded seats course pivo'!$1:$2,2,FALSE),FALSE))),"")</f>
        <v/>
      </c>
      <c r="E445" s="14" t="str">
        <f>IFERROR((VLOOKUP($A445,'[1]import success seats course'!$A:S,HLOOKUP('[1]Course Totals'!E$4,'[1]import success seats course'!$1:$2,2,FALSE),FALSE)/(VLOOKUP($A445,'[1]import graded seats course pivo'!$A:AC,HLOOKUP('[1]Course Totals'!E$4,'[1]import graded seats course pivo'!$1:$2,2,FALSE),FALSE))),"")</f>
        <v/>
      </c>
      <c r="F445" s="14" t="str">
        <f>IFERROR((VLOOKUP($A445,'[1]import success seats course'!$A:T,HLOOKUP('[1]Course Totals'!F$4,'[1]import success seats course'!$1:$2,2,FALSE),FALSE)/(VLOOKUP($A445,'[1]import graded seats course pivo'!$A:AD,HLOOKUP('[1]Course Totals'!F$4,'[1]import graded seats course pivo'!$1:$2,2,FALSE),FALSE))),"")</f>
        <v/>
      </c>
      <c r="G445" s="14" t="str">
        <f>IFERROR((VLOOKUP($A445,'[1]import success seats course'!$A:U,HLOOKUP('[1]Course Totals'!G$4,'[1]import success seats course'!$1:$2,2,FALSE),FALSE)/(VLOOKUP($A445,'[1]import graded seats course pivo'!$A:AE,HLOOKUP('[1]Course Totals'!G$4,'[1]import graded seats course pivo'!$1:$2,2,FALSE),FALSE))),"")</f>
        <v/>
      </c>
      <c r="H445" s="14" t="str">
        <f>IFERROR((VLOOKUP($A445,'[1]import success seats course'!$A:V,HLOOKUP('[1]Course Totals'!H$4,'[1]import success seats course'!$1:$2,2,FALSE),FALSE)/(VLOOKUP($A445,'[1]import graded seats course pivo'!$A:AF,HLOOKUP('[1]Course Totals'!H$4,'[1]import graded seats course pivo'!$1:$2,2,FALSE),FALSE))),"")</f>
        <v/>
      </c>
      <c r="I445" s="14" t="str">
        <f>IFERROR((VLOOKUP($A445,'[1]import success seats course'!$A:W,HLOOKUP('[1]Course Totals'!I$4,'[1]import success seats course'!$1:$2,2,FALSE),FALSE)/(VLOOKUP($A445,'[1]import graded seats course pivo'!$A:AG,HLOOKUP('[1]Course Totals'!I$4,'[1]import graded seats course pivo'!$1:$2,2,FALSE),FALSE))),"")</f>
        <v/>
      </c>
      <c r="J445" s="14" t="str">
        <f>IFERROR((VLOOKUP($A445,'[1]import success seats course'!$A:X,HLOOKUP('[1]Course Totals'!J$4,'[1]import success seats course'!$1:$2,2,FALSE),FALSE)/(VLOOKUP($A445,'[1]import graded seats course pivo'!$A:AH,HLOOKUP('[1]Course Totals'!J$4,'[1]import graded seats course pivo'!$1:$2,2,FALSE),FALSE))),"")</f>
        <v/>
      </c>
      <c r="K445" s="14" t="str">
        <f>IFERROR((VLOOKUP($A445,'[1]import success seats course'!$A:Y,HLOOKUP('[1]Course Totals'!K$4,'[1]import success seats course'!$1:$2,2,FALSE),FALSE)/(VLOOKUP($A445,'[1]import graded seats course pivo'!$A:AI,HLOOKUP('[1]Course Totals'!K$4,'[1]import graded seats course pivo'!$1:$2,2,FALSE),FALSE))),"")</f>
        <v/>
      </c>
      <c r="L445" s="14" t="str">
        <f>IFERROR((VLOOKUP($A445,'[1]import success seats course'!$A:Z,HLOOKUP('[1]Course Totals'!L$4,'[1]import success seats course'!$1:$2,2,FALSE),FALSE)/(VLOOKUP($A445,'[1]import graded seats course pivo'!$A:AJ,HLOOKUP('[1]Course Totals'!L$4,'[1]import graded seats course pivo'!$1:$2,2,FALSE),FALSE))),"")</f>
        <v/>
      </c>
      <c r="M445" s="14" t="str">
        <f>IFERROR((VLOOKUP($A445,'[1]import success seats course'!$A:AA,HLOOKUP('[1]Course Totals'!M$4,'[1]import success seats course'!$1:$2,2,FALSE),FALSE)/(VLOOKUP($A445,'[1]import graded seats course pivo'!$A:AK,HLOOKUP('[1]Course Totals'!M$4,'[1]import graded seats course pivo'!$1:$2,2,FALSE),FALSE))),"")</f>
        <v/>
      </c>
      <c r="N445" s="14" t="str">
        <f>IFERROR((VLOOKUP($A445,'[1]import success seats course'!$A:AB,HLOOKUP('[1]Course Totals'!N$4,'[1]import success seats course'!$1:$2,2,FALSE),FALSE)/(VLOOKUP($A445,'[1]import graded seats course pivo'!$A:AL,HLOOKUP('[1]Course Totals'!N$4,'[1]import graded seats course pivo'!$1:$2,2,FALSE),FALSE))),"")</f>
        <v/>
      </c>
      <c r="O445" s="14" t="str">
        <f>IFERROR((VLOOKUP($A445,'[1]import success seats course'!$A:AC,HLOOKUP('[1]Course Totals'!O$4,'[1]import success seats course'!$1:$2,2,FALSE),FALSE)/(VLOOKUP($A445,'[1]import graded seats course pivo'!$A:AM,HLOOKUP('[1]Course Totals'!O$4,'[1]import graded seats course pivo'!$1:$2,2,FALSE),FALSE))),"")</f>
        <v/>
      </c>
      <c r="P445" s="14" t="str">
        <f>IFERROR((VLOOKUP($A445,'[1]import success seats course'!$A:AD,HLOOKUP('[1]Course Totals'!P$4,'[1]import success seats course'!$1:$2,2,FALSE),FALSE)/(VLOOKUP($A445,'[1]import graded seats course pivo'!$A:AN,HLOOKUP('[1]Course Totals'!P$4,'[1]import graded seats course pivo'!$1:$2,2,FALSE),FALSE))),"")</f>
        <v/>
      </c>
      <c r="Q445" s="14" t="str">
        <f>IFERROR((VLOOKUP($A445,'[1]import success seats course'!$A:AE,HLOOKUP('[1]Course Totals'!Q$4,'[1]import success seats course'!$1:$2,2,FALSE),FALSE)/(VLOOKUP($A445,'[1]import graded seats course pivo'!$A:AO,HLOOKUP('[1]Course Totals'!Q$4,'[1]import graded seats course pivo'!$1:$2,2,FALSE),FALSE))),"")</f>
        <v/>
      </c>
      <c r="R445" s="14" t="str">
        <f>IFERROR((VLOOKUP($A445,'[1]import success seats course'!$A:AF,HLOOKUP('[1]Course Totals'!R$4,'[1]import success seats course'!$1:$2,2,FALSE),FALSE)/(VLOOKUP($A445,'[1]import graded seats course pivo'!$A:AP,HLOOKUP('[1]Course Totals'!R$4,'[1]import graded seats course pivo'!$1:$2,2,FALSE),FALSE))),"")</f>
        <v/>
      </c>
      <c r="S445" s="14" t="str">
        <f>IFERROR((VLOOKUP($A445,'[1]import success seats course'!$A:AG,HLOOKUP('[1]Course Totals'!S$4,'[1]import success seats course'!$1:$2,2,FALSE),FALSE)/(VLOOKUP($A445,'[1]import graded seats course pivo'!$A:AQ,HLOOKUP('[1]Course Totals'!S$4,'[1]import graded seats course pivo'!$1:$2,2,FALSE),FALSE))),"")</f>
        <v/>
      </c>
      <c r="Z445" s="7"/>
      <c r="AA445" s="7"/>
      <c r="AB445" s="7"/>
      <c r="AC445" s="7"/>
    </row>
    <row r="446" spans="1:29" ht="15.75" customHeight="1" x14ac:dyDescent="0.25">
      <c r="A446" s="12" t="s">
        <v>903</v>
      </c>
      <c r="B446" s="14" t="str">
        <f>IFERROR((VLOOKUP($A446,'[1]import success seats course'!$A:P,HLOOKUP('[1]Course Totals'!B$4,'[1]import success seats course'!$1:$2,2,FALSE),FALSE)/(VLOOKUP($A446,'[1]import graded seats course pivo'!$A:Z,HLOOKUP('[1]Course Totals'!B$4,'[1]import graded seats course pivo'!$1:$2,2,FALSE),FALSE))),"")</f>
        <v/>
      </c>
      <c r="C446" s="14" t="str">
        <f>IFERROR((VLOOKUP($A446,'[1]import success seats course'!$A:Q,HLOOKUP('[1]Course Totals'!C$4,'[1]import success seats course'!$1:$2,2,FALSE),FALSE)/(VLOOKUP($A446,'[1]import graded seats course pivo'!$A:AA,HLOOKUP('[1]Course Totals'!C$4,'[1]import graded seats course pivo'!$1:$2,2,FALSE),FALSE))),"")</f>
        <v/>
      </c>
      <c r="D446" s="14">
        <f>IFERROR((VLOOKUP($A446,'[1]import success seats course'!$A:R,HLOOKUP('[1]Course Totals'!D$4,'[1]import success seats course'!$1:$2,2,FALSE),FALSE)/(VLOOKUP($A446,'[1]import graded seats course pivo'!$A:AB,HLOOKUP('[1]Course Totals'!D$4,'[1]import graded seats course pivo'!$1:$2,2,FALSE),FALSE))),"")</f>
        <v>1</v>
      </c>
      <c r="E446" s="14" t="str">
        <f>IFERROR((VLOOKUP($A446,'[1]import success seats course'!$A:S,HLOOKUP('[1]Course Totals'!E$4,'[1]import success seats course'!$1:$2,2,FALSE),FALSE)/(VLOOKUP($A446,'[1]import graded seats course pivo'!$A:AC,HLOOKUP('[1]Course Totals'!E$4,'[1]import graded seats course pivo'!$1:$2,2,FALSE),FALSE))),"")</f>
        <v/>
      </c>
      <c r="F446" s="14" t="str">
        <f>IFERROR((VLOOKUP($A446,'[1]import success seats course'!$A:T,HLOOKUP('[1]Course Totals'!F$4,'[1]import success seats course'!$1:$2,2,FALSE),FALSE)/(VLOOKUP($A446,'[1]import graded seats course pivo'!$A:AD,HLOOKUP('[1]Course Totals'!F$4,'[1]import graded seats course pivo'!$1:$2,2,FALSE),FALSE))),"")</f>
        <v/>
      </c>
      <c r="G446" s="14">
        <f>IFERROR((VLOOKUP($A446,'[1]import success seats course'!$A:U,HLOOKUP('[1]Course Totals'!G$4,'[1]import success seats course'!$1:$2,2,FALSE),FALSE)/(VLOOKUP($A446,'[1]import graded seats course pivo'!$A:AE,HLOOKUP('[1]Course Totals'!G$4,'[1]import graded seats course pivo'!$1:$2,2,FALSE),FALSE))),"")</f>
        <v>1</v>
      </c>
      <c r="H446" s="14" t="str">
        <f>IFERROR((VLOOKUP($A446,'[1]import success seats course'!$A:V,HLOOKUP('[1]Course Totals'!H$4,'[1]import success seats course'!$1:$2,2,FALSE),FALSE)/(VLOOKUP($A446,'[1]import graded seats course pivo'!$A:AF,HLOOKUP('[1]Course Totals'!H$4,'[1]import graded seats course pivo'!$1:$2,2,FALSE),FALSE))),"")</f>
        <v/>
      </c>
      <c r="I446" s="14" t="str">
        <f>IFERROR((VLOOKUP($A446,'[1]import success seats course'!$A:W,HLOOKUP('[1]Course Totals'!I$4,'[1]import success seats course'!$1:$2,2,FALSE),FALSE)/(VLOOKUP($A446,'[1]import graded seats course pivo'!$A:AG,HLOOKUP('[1]Course Totals'!I$4,'[1]import graded seats course pivo'!$1:$2,2,FALSE),FALSE))),"")</f>
        <v/>
      </c>
      <c r="J446" s="14">
        <f>IFERROR((VLOOKUP($A446,'[1]import success seats course'!$A:X,HLOOKUP('[1]Course Totals'!J$4,'[1]import success seats course'!$1:$2,2,FALSE),FALSE)/(VLOOKUP($A446,'[1]import graded seats course pivo'!$A:AH,HLOOKUP('[1]Course Totals'!J$4,'[1]import graded seats course pivo'!$1:$2,2,FALSE),FALSE))),"")</f>
        <v>1</v>
      </c>
      <c r="K446" s="14" t="str">
        <f>IFERROR((VLOOKUP($A446,'[1]import success seats course'!$A:Y,HLOOKUP('[1]Course Totals'!K$4,'[1]import success seats course'!$1:$2,2,FALSE),FALSE)/(VLOOKUP($A446,'[1]import graded seats course pivo'!$A:AI,HLOOKUP('[1]Course Totals'!K$4,'[1]import graded seats course pivo'!$1:$2,2,FALSE),FALSE))),"")</f>
        <v/>
      </c>
      <c r="L446" s="14" t="str">
        <f>IFERROR((VLOOKUP($A446,'[1]import success seats course'!$A:Z,HLOOKUP('[1]Course Totals'!L$4,'[1]import success seats course'!$1:$2,2,FALSE),FALSE)/(VLOOKUP($A446,'[1]import graded seats course pivo'!$A:AJ,HLOOKUP('[1]Course Totals'!L$4,'[1]import graded seats course pivo'!$1:$2,2,FALSE),FALSE))),"")</f>
        <v/>
      </c>
      <c r="M446" s="14">
        <f>IFERROR((VLOOKUP($A446,'[1]import success seats course'!$A:AA,HLOOKUP('[1]Course Totals'!M$4,'[1]import success seats course'!$1:$2,2,FALSE),FALSE)/(VLOOKUP($A446,'[1]import graded seats course pivo'!$A:AK,HLOOKUP('[1]Course Totals'!M$4,'[1]import graded seats course pivo'!$1:$2,2,FALSE),FALSE))),"")</f>
        <v>1</v>
      </c>
      <c r="N446" s="14" t="str">
        <f>IFERROR((VLOOKUP($A446,'[1]import success seats course'!$A:AB,HLOOKUP('[1]Course Totals'!N$4,'[1]import success seats course'!$1:$2,2,FALSE),FALSE)/(VLOOKUP($A446,'[1]import graded seats course pivo'!$A:AL,HLOOKUP('[1]Course Totals'!N$4,'[1]import graded seats course pivo'!$1:$2,2,FALSE),FALSE))),"")</f>
        <v/>
      </c>
      <c r="O446" s="14" t="str">
        <f>IFERROR((VLOOKUP($A446,'[1]import success seats course'!$A:AC,HLOOKUP('[1]Course Totals'!O$4,'[1]import success seats course'!$1:$2,2,FALSE),FALSE)/(VLOOKUP($A446,'[1]import graded seats course pivo'!$A:AM,HLOOKUP('[1]Course Totals'!O$4,'[1]import graded seats course pivo'!$1:$2,2,FALSE),FALSE))),"")</f>
        <v/>
      </c>
      <c r="P446" s="14" t="str">
        <f>IFERROR((VLOOKUP($A446,'[1]import success seats course'!$A:AD,HLOOKUP('[1]Course Totals'!P$4,'[1]import success seats course'!$1:$2,2,FALSE),FALSE)/(VLOOKUP($A446,'[1]import graded seats course pivo'!$A:AN,HLOOKUP('[1]Course Totals'!P$4,'[1]import graded seats course pivo'!$1:$2,2,FALSE),FALSE))),"")</f>
        <v/>
      </c>
      <c r="Q446" s="14" t="str">
        <f>IFERROR((VLOOKUP($A446,'[1]import success seats course'!$A:AE,HLOOKUP('[1]Course Totals'!Q$4,'[1]import success seats course'!$1:$2,2,FALSE),FALSE)/(VLOOKUP($A446,'[1]import graded seats course pivo'!$A:AO,HLOOKUP('[1]Course Totals'!Q$4,'[1]import graded seats course pivo'!$1:$2,2,FALSE),FALSE))),"")</f>
        <v/>
      </c>
      <c r="R446" s="14" t="str">
        <f>IFERROR((VLOOKUP($A446,'[1]import success seats course'!$A:AF,HLOOKUP('[1]Course Totals'!R$4,'[1]import success seats course'!$1:$2,2,FALSE),FALSE)/(VLOOKUP($A446,'[1]import graded seats course pivo'!$A:AP,HLOOKUP('[1]Course Totals'!R$4,'[1]import graded seats course pivo'!$1:$2,2,FALSE),FALSE))),"")</f>
        <v/>
      </c>
      <c r="S446" s="14" t="str">
        <f>IFERROR((VLOOKUP($A446,'[1]import success seats course'!$A:AG,HLOOKUP('[1]Course Totals'!S$4,'[1]import success seats course'!$1:$2,2,FALSE),FALSE)/(VLOOKUP($A446,'[1]import graded seats course pivo'!$A:AQ,HLOOKUP('[1]Course Totals'!S$4,'[1]import graded seats course pivo'!$1:$2,2,FALSE),FALSE))),"")</f>
        <v/>
      </c>
      <c r="Z446" s="7"/>
      <c r="AA446" s="7"/>
      <c r="AB446" s="7"/>
      <c r="AC446" s="7"/>
    </row>
    <row r="447" spans="1:29" ht="15.75" customHeight="1" x14ac:dyDescent="0.25">
      <c r="A447" s="12" t="s">
        <v>601</v>
      </c>
      <c r="B447" s="14" t="str">
        <f>IFERROR((VLOOKUP($A447,'[1]import success seats course'!$A:P,HLOOKUP('[1]Course Totals'!B$4,'[1]import success seats course'!$1:$2,2,FALSE),FALSE)/(VLOOKUP($A447,'[1]import graded seats course pivo'!$A:Z,HLOOKUP('[1]Course Totals'!B$4,'[1]import graded seats course pivo'!$1:$2,2,FALSE),FALSE))),"")</f>
        <v/>
      </c>
      <c r="C447" s="14" t="str">
        <f>IFERROR((VLOOKUP($A447,'[1]import success seats course'!$A:Q,HLOOKUP('[1]Course Totals'!C$4,'[1]import success seats course'!$1:$2,2,FALSE),FALSE)/(VLOOKUP($A447,'[1]import graded seats course pivo'!$A:AA,HLOOKUP('[1]Course Totals'!C$4,'[1]import graded seats course pivo'!$1:$2,2,FALSE),FALSE))),"")</f>
        <v/>
      </c>
      <c r="D447" s="14" t="str">
        <f>IFERROR((VLOOKUP($A447,'[1]import success seats course'!$A:R,HLOOKUP('[1]Course Totals'!D$4,'[1]import success seats course'!$1:$2,2,FALSE),FALSE)/(VLOOKUP($A447,'[1]import graded seats course pivo'!$A:AB,HLOOKUP('[1]Course Totals'!D$4,'[1]import graded seats course pivo'!$1:$2,2,FALSE),FALSE))),"")</f>
        <v/>
      </c>
      <c r="E447" s="14" t="str">
        <f>IFERROR((VLOOKUP($A447,'[1]import success seats course'!$A:S,HLOOKUP('[1]Course Totals'!E$4,'[1]import success seats course'!$1:$2,2,FALSE),FALSE)/(VLOOKUP($A447,'[1]import graded seats course pivo'!$A:AC,HLOOKUP('[1]Course Totals'!E$4,'[1]import graded seats course pivo'!$1:$2,2,FALSE),FALSE))),"")</f>
        <v/>
      </c>
      <c r="F447" s="14">
        <f>IFERROR((VLOOKUP($A447,'[1]import success seats course'!$A:T,HLOOKUP('[1]Course Totals'!F$4,'[1]import success seats course'!$1:$2,2,FALSE),FALSE)/(VLOOKUP($A447,'[1]import graded seats course pivo'!$A:AD,HLOOKUP('[1]Course Totals'!F$4,'[1]import graded seats course pivo'!$1:$2,2,FALSE),FALSE))),"")</f>
        <v>1</v>
      </c>
      <c r="G447" s="14" t="str">
        <f>IFERROR((VLOOKUP($A447,'[1]import success seats course'!$A:U,HLOOKUP('[1]Course Totals'!G$4,'[1]import success seats course'!$1:$2,2,FALSE),FALSE)/(VLOOKUP($A447,'[1]import graded seats course pivo'!$A:AE,HLOOKUP('[1]Course Totals'!G$4,'[1]import graded seats course pivo'!$1:$2,2,FALSE),FALSE))),"")</f>
        <v/>
      </c>
      <c r="H447" s="14" t="str">
        <f>IFERROR((VLOOKUP($A447,'[1]import success seats course'!$A:V,HLOOKUP('[1]Course Totals'!H$4,'[1]import success seats course'!$1:$2,2,FALSE),FALSE)/(VLOOKUP($A447,'[1]import graded seats course pivo'!$A:AF,HLOOKUP('[1]Course Totals'!H$4,'[1]import graded seats course pivo'!$1:$2,2,FALSE),FALSE))),"")</f>
        <v/>
      </c>
      <c r="I447" s="14">
        <f>IFERROR((VLOOKUP($A447,'[1]import success seats course'!$A:W,HLOOKUP('[1]Course Totals'!I$4,'[1]import success seats course'!$1:$2,2,FALSE),FALSE)/(VLOOKUP($A447,'[1]import graded seats course pivo'!$A:AG,HLOOKUP('[1]Course Totals'!I$4,'[1]import graded seats course pivo'!$1:$2,2,FALSE),FALSE))),"")</f>
        <v>1</v>
      </c>
      <c r="J447" s="14" t="str">
        <f>IFERROR((VLOOKUP($A447,'[1]import success seats course'!$A:X,HLOOKUP('[1]Course Totals'!J$4,'[1]import success seats course'!$1:$2,2,FALSE),FALSE)/(VLOOKUP($A447,'[1]import graded seats course pivo'!$A:AH,HLOOKUP('[1]Course Totals'!J$4,'[1]import graded seats course pivo'!$1:$2,2,FALSE),FALSE))),"")</f>
        <v/>
      </c>
      <c r="K447" s="14" t="str">
        <f>IFERROR((VLOOKUP($A447,'[1]import success seats course'!$A:Y,HLOOKUP('[1]Course Totals'!K$4,'[1]import success seats course'!$1:$2,2,FALSE),FALSE)/(VLOOKUP($A447,'[1]import graded seats course pivo'!$A:AI,HLOOKUP('[1]Course Totals'!K$4,'[1]import graded seats course pivo'!$1:$2,2,FALSE),FALSE))),"")</f>
        <v/>
      </c>
      <c r="L447" s="14">
        <f>IFERROR((VLOOKUP($A447,'[1]import success seats course'!$A:Z,HLOOKUP('[1]Course Totals'!L$4,'[1]import success seats course'!$1:$2,2,FALSE),FALSE)/(VLOOKUP($A447,'[1]import graded seats course pivo'!$A:AJ,HLOOKUP('[1]Course Totals'!L$4,'[1]import graded seats course pivo'!$1:$2,2,FALSE),FALSE))),"")</f>
        <v>1</v>
      </c>
      <c r="M447" s="14" t="str">
        <f>IFERROR((VLOOKUP($A447,'[1]import success seats course'!$A:AA,HLOOKUP('[1]Course Totals'!M$4,'[1]import success seats course'!$1:$2,2,FALSE),FALSE)/(VLOOKUP($A447,'[1]import graded seats course pivo'!$A:AK,HLOOKUP('[1]Course Totals'!M$4,'[1]import graded seats course pivo'!$1:$2,2,FALSE),FALSE))),"")</f>
        <v/>
      </c>
      <c r="N447" s="14" t="str">
        <f>IFERROR((VLOOKUP($A447,'[1]import success seats course'!$A:AB,HLOOKUP('[1]Course Totals'!N$4,'[1]import success seats course'!$1:$2,2,FALSE),FALSE)/(VLOOKUP($A447,'[1]import graded seats course pivo'!$A:AL,HLOOKUP('[1]Course Totals'!N$4,'[1]import graded seats course pivo'!$1:$2,2,FALSE),FALSE))),"")</f>
        <v/>
      </c>
      <c r="O447" s="14">
        <f>IFERROR((VLOOKUP($A447,'[1]import success seats course'!$A:AC,HLOOKUP('[1]Course Totals'!O$4,'[1]import success seats course'!$1:$2,2,FALSE),FALSE)/(VLOOKUP($A447,'[1]import graded seats course pivo'!$A:AM,HLOOKUP('[1]Course Totals'!O$4,'[1]import graded seats course pivo'!$1:$2,2,FALSE),FALSE))),"")</f>
        <v>1</v>
      </c>
      <c r="P447" s="14" t="str">
        <f>IFERROR((VLOOKUP($A447,'[1]import success seats course'!$A:AD,HLOOKUP('[1]Course Totals'!P$4,'[1]import success seats course'!$1:$2,2,FALSE),FALSE)/(VLOOKUP($A447,'[1]import graded seats course pivo'!$A:AN,HLOOKUP('[1]Course Totals'!P$4,'[1]import graded seats course pivo'!$1:$2,2,FALSE),FALSE))),"")</f>
        <v/>
      </c>
      <c r="Q447" s="14" t="str">
        <f>IFERROR((VLOOKUP($A447,'[1]import success seats course'!$A:AE,HLOOKUP('[1]Course Totals'!Q$4,'[1]import success seats course'!$1:$2,2,FALSE),FALSE)/(VLOOKUP($A447,'[1]import graded seats course pivo'!$A:AO,HLOOKUP('[1]Course Totals'!Q$4,'[1]import graded seats course pivo'!$1:$2,2,FALSE),FALSE))),"")</f>
        <v/>
      </c>
      <c r="R447" s="14" t="str">
        <f>IFERROR((VLOOKUP($A447,'[1]import success seats course'!$A:AF,HLOOKUP('[1]Course Totals'!R$4,'[1]import success seats course'!$1:$2,2,FALSE),FALSE)/(VLOOKUP($A447,'[1]import graded seats course pivo'!$A:AP,HLOOKUP('[1]Course Totals'!R$4,'[1]import graded seats course pivo'!$1:$2,2,FALSE),FALSE))),"")</f>
        <v/>
      </c>
      <c r="S447" s="14" t="str">
        <f>IFERROR((VLOOKUP($A447,'[1]import success seats course'!$A:AG,HLOOKUP('[1]Course Totals'!S$4,'[1]import success seats course'!$1:$2,2,FALSE),FALSE)/(VLOOKUP($A447,'[1]import graded seats course pivo'!$A:AQ,HLOOKUP('[1]Course Totals'!S$4,'[1]import graded seats course pivo'!$1:$2,2,FALSE),FALSE))),"")</f>
        <v/>
      </c>
      <c r="Z447" s="7"/>
      <c r="AA447" s="7"/>
      <c r="AB447" s="7"/>
      <c r="AC447" s="7"/>
    </row>
    <row r="448" spans="1:29" ht="15.75" customHeight="1" x14ac:dyDescent="0.25">
      <c r="A448" s="12" t="s">
        <v>218</v>
      </c>
      <c r="B448" s="14" t="str">
        <f>IFERROR((VLOOKUP($A448,'[1]import success seats course'!$A:P,HLOOKUP('[1]Course Totals'!B$4,'[1]import success seats course'!$1:$2,2,FALSE),FALSE)/(VLOOKUP($A448,'[1]import graded seats course pivo'!$A:Z,HLOOKUP('[1]Course Totals'!B$4,'[1]import graded seats course pivo'!$1:$2,2,FALSE),FALSE))),"")</f>
        <v/>
      </c>
      <c r="C448" s="14">
        <f>IFERROR((VLOOKUP($A448,'[1]import success seats course'!$A:Q,HLOOKUP('[1]Course Totals'!C$4,'[1]import success seats course'!$1:$2,2,FALSE),FALSE)/(VLOOKUP($A448,'[1]import graded seats course pivo'!$A:AA,HLOOKUP('[1]Course Totals'!C$4,'[1]import graded seats course pivo'!$1:$2,2,FALSE),FALSE))),"")</f>
        <v>1</v>
      </c>
      <c r="D448" s="14" t="str">
        <f>IFERROR((VLOOKUP($A448,'[1]import success seats course'!$A:R,HLOOKUP('[1]Course Totals'!D$4,'[1]import success seats course'!$1:$2,2,FALSE),FALSE)/(VLOOKUP($A448,'[1]import graded seats course pivo'!$A:AB,HLOOKUP('[1]Course Totals'!D$4,'[1]import graded seats course pivo'!$1:$2,2,FALSE),FALSE))),"")</f>
        <v/>
      </c>
      <c r="E448" s="14" t="str">
        <f>IFERROR((VLOOKUP($A448,'[1]import success seats course'!$A:S,HLOOKUP('[1]Course Totals'!E$4,'[1]import success seats course'!$1:$2,2,FALSE),FALSE)/(VLOOKUP($A448,'[1]import graded seats course pivo'!$A:AC,HLOOKUP('[1]Course Totals'!E$4,'[1]import graded seats course pivo'!$1:$2,2,FALSE),FALSE))),"")</f>
        <v/>
      </c>
      <c r="F448" s="14">
        <f>IFERROR((VLOOKUP($A448,'[1]import success seats course'!$A:T,HLOOKUP('[1]Course Totals'!F$4,'[1]import success seats course'!$1:$2,2,FALSE),FALSE)/(VLOOKUP($A448,'[1]import graded seats course pivo'!$A:AD,HLOOKUP('[1]Course Totals'!F$4,'[1]import graded seats course pivo'!$1:$2,2,FALSE),FALSE))),"")</f>
        <v>1</v>
      </c>
      <c r="G448" s="14" t="str">
        <f>IFERROR((VLOOKUP($A448,'[1]import success seats course'!$A:U,HLOOKUP('[1]Course Totals'!G$4,'[1]import success seats course'!$1:$2,2,FALSE),FALSE)/(VLOOKUP($A448,'[1]import graded seats course pivo'!$A:AE,HLOOKUP('[1]Course Totals'!G$4,'[1]import graded seats course pivo'!$1:$2,2,FALSE),FALSE))),"")</f>
        <v/>
      </c>
      <c r="H448" s="14" t="str">
        <f>IFERROR((VLOOKUP($A448,'[1]import success seats course'!$A:V,HLOOKUP('[1]Course Totals'!H$4,'[1]import success seats course'!$1:$2,2,FALSE),FALSE)/(VLOOKUP($A448,'[1]import graded seats course pivo'!$A:AF,HLOOKUP('[1]Course Totals'!H$4,'[1]import graded seats course pivo'!$1:$2,2,FALSE),FALSE))),"")</f>
        <v/>
      </c>
      <c r="I448" s="14">
        <f>IFERROR((VLOOKUP($A448,'[1]import success seats course'!$A:W,HLOOKUP('[1]Course Totals'!I$4,'[1]import success seats course'!$1:$2,2,FALSE),FALSE)/(VLOOKUP($A448,'[1]import graded seats course pivo'!$A:AG,HLOOKUP('[1]Course Totals'!I$4,'[1]import graded seats course pivo'!$1:$2,2,FALSE),FALSE))),"")</f>
        <v>1</v>
      </c>
      <c r="J448" s="14" t="str">
        <f>IFERROR((VLOOKUP($A448,'[1]import success seats course'!$A:X,HLOOKUP('[1]Course Totals'!J$4,'[1]import success seats course'!$1:$2,2,FALSE),FALSE)/(VLOOKUP($A448,'[1]import graded seats course pivo'!$A:AH,HLOOKUP('[1]Course Totals'!J$4,'[1]import graded seats course pivo'!$1:$2,2,FALSE),FALSE))),"")</f>
        <v/>
      </c>
      <c r="K448" s="14" t="str">
        <f>IFERROR((VLOOKUP($A448,'[1]import success seats course'!$A:Y,HLOOKUP('[1]Course Totals'!K$4,'[1]import success seats course'!$1:$2,2,FALSE),FALSE)/(VLOOKUP($A448,'[1]import graded seats course pivo'!$A:AI,HLOOKUP('[1]Course Totals'!K$4,'[1]import graded seats course pivo'!$1:$2,2,FALSE),FALSE))),"")</f>
        <v/>
      </c>
      <c r="L448" s="14">
        <f>IFERROR((VLOOKUP($A448,'[1]import success seats course'!$A:Z,HLOOKUP('[1]Course Totals'!L$4,'[1]import success seats course'!$1:$2,2,FALSE),FALSE)/(VLOOKUP($A448,'[1]import graded seats course pivo'!$A:AJ,HLOOKUP('[1]Course Totals'!L$4,'[1]import graded seats course pivo'!$1:$2,2,FALSE),FALSE))),"")</f>
        <v>1</v>
      </c>
      <c r="M448" s="14" t="str">
        <f>IFERROR((VLOOKUP($A448,'[1]import success seats course'!$A:AA,HLOOKUP('[1]Course Totals'!M$4,'[1]import success seats course'!$1:$2,2,FALSE),FALSE)/(VLOOKUP($A448,'[1]import graded seats course pivo'!$A:AK,HLOOKUP('[1]Course Totals'!M$4,'[1]import graded seats course pivo'!$1:$2,2,FALSE),FALSE))),"")</f>
        <v/>
      </c>
      <c r="N448" s="14" t="str">
        <f>IFERROR((VLOOKUP($A448,'[1]import success seats course'!$A:AB,HLOOKUP('[1]Course Totals'!N$4,'[1]import success seats course'!$1:$2,2,FALSE),FALSE)/(VLOOKUP($A448,'[1]import graded seats course pivo'!$A:AL,HLOOKUP('[1]Course Totals'!N$4,'[1]import graded seats course pivo'!$1:$2,2,FALSE),FALSE))),"")</f>
        <v/>
      </c>
      <c r="O448" s="14">
        <f>IFERROR((VLOOKUP($A448,'[1]import success seats course'!$A:AC,HLOOKUP('[1]Course Totals'!O$4,'[1]import success seats course'!$1:$2,2,FALSE),FALSE)/(VLOOKUP($A448,'[1]import graded seats course pivo'!$A:AM,HLOOKUP('[1]Course Totals'!O$4,'[1]import graded seats course pivo'!$1:$2,2,FALSE),FALSE))),"")</f>
        <v>1</v>
      </c>
      <c r="P448" s="14" t="str">
        <f>IFERROR((VLOOKUP($A448,'[1]import success seats course'!$A:AD,HLOOKUP('[1]Course Totals'!P$4,'[1]import success seats course'!$1:$2,2,FALSE),FALSE)/(VLOOKUP($A448,'[1]import graded seats course pivo'!$A:AN,HLOOKUP('[1]Course Totals'!P$4,'[1]import graded seats course pivo'!$1:$2,2,FALSE),FALSE))),"")</f>
        <v/>
      </c>
      <c r="Q448" s="14" t="str">
        <f>IFERROR((VLOOKUP($A448,'[1]import success seats course'!$A:AE,HLOOKUP('[1]Course Totals'!Q$4,'[1]import success seats course'!$1:$2,2,FALSE),FALSE)/(VLOOKUP($A448,'[1]import graded seats course pivo'!$A:AO,HLOOKUP('[1]Course Totals'!Q$4,'[1]import graded seats course pivo'!$1:$2,2,FALSE),FALSE))),"")</f>
        <v/>
      </c>
      <c r="R448" s="14" t="str">
        <f>IFERROR((VLOOKUP($A448,'[1]import success seats course'!$A:AF,HLOOKUP('[1]Course Totals'!R$4,'[1]import success seats course'!$1:$2,2,FALSE),FALSE)/(VLOOKUP($A448,'[1]import graded seats course pivo'!$A:AP,HLOOKUP('[1]Course Totals'!R$4,'[1]import graded seats course pivo'!$1:$2,2,FALSE),FALSE))),"")</f>
        <v/>
      </c>
      <c r="S448" s="14" t="str">
        <f>IFERROR((VLOOKUP($A448,'[1]import success seats course'!$A:AG,HLOOKUP('[1]Course Totals'!S$4,'[1]import success seats course'!$1:$2,2,FALSE),FALSE)/(VLOOKUP($A448,'[1]import graded seats course pivo'!$A:AQ,HLOOKUP('[1]Course Totals'!S$4,'[1]import graded seats course pivo'!$1:$2,2,FALSE),FALSE))),"")</f>
        <v/>
      </c>
      <c r="Z448" s="7"/>
      <c r="AA448" s="7"/>
      <c r="AB448" s="7"/>
      <c r="AC448" s="7"/>
    </row>
    <row r="449" spans="1:29" ht="15.75" customHeight="1" x14ac:dyDescent="0.25">
      <c r="A449" s="12" t="s">
        <v>904</v>
      </c>
      <c r="B449" s="14" t="str">
        <f>IFERROR((VLOOKUP($A449,'[1]import success seats course'!$A:P,HLOOKUP('[1]Course Totals'!B$4,'[1]import success seats course'!$1:$2,2,FALSE),FALSE)/(VLOOKUP($A449,'[1]import graded seats course pivo'!$A:Z,HLOOKUP('[1]Course Totals'!B$4,'[1]import graded seats course pivo'!$1:$2,2,FALSE),FALSE))),"")</f>
        <v/>
      </c>
      <c r="C449" s="14" t="str">
        <f>IFERROR((VLOOKUP($A449,'[1]import success seats course'!$A:Q,HLOOKUP('[1]Course Totals'!C$4,'[1]import success seats course'!$1:$2,2,FALSE),FALSE)/(VLOOKUP($A449,'[1]import graded seats course pivo'!$A:AA,HLOOKUP('[1]Course Totals'!C$4,'[1]import graded seats course pivo'!$1:$2,2,FALSE),FALSE))),"")</f>
        <v/>
      </c>
      <c r="D449" s="14">
        <f>IFERROR((VLOOKUP($A449,'[1]import success seats course'!$A:R,HLOOKUP('[1]Course Totals'!D$4,'[1]import success seats course'!$1:$2,2,FALSE),FALSE)/(VLOOKUP($A449,'[1]import graded seats course pivo'!$A:AB,HLOOKUP('[1]Course Totals'!D$4,'[1]import graded seats course pivo'!$1:$2,2,FALSE),FALSE))),"")</f>
        <v>1</v>
      </c>
      <c r="E449" s="14" t="str">
        <f>IFERROR((VLOOKUP($A449,'[1]import success seats course'!$A:S,HLOOKUP('[1]Course Totals'!E$4,'[1]import success seats course'!$1:$2,2,FALSE),FALSE)/(VLOOKUP($A449,'[1]import graded seats course pivo'!$A:AC,HLOOKUP('[1]Course Totals'!E$4,'[1]import graded seats course pivo'!$1:$2,2,FALSE),FALSE))),"")</f>
        <v/>
      </c>
      <c r="F449" s="14" t="str">
        <f>IFERROR((VLOOKUP($A449,'[1]import success seats course'!$A:T,HLOOKUP('[1]Course Totals'!F$4,'[1]import success seats course'!$1:$2,2,FALSE),FALSE)/(VLOOKUP($A449,'[1]import graded seats course pivo'!$A:AD,HLOOKUP('[1]Course Totals'!F$4,'[1]import graded seats course pivo'!$1:$2,2,FALSE),FALSE))),"")</f>
        <v/>
      </c>
      <c r="G449" s="14">
        <f>IFERROR((VLOOKUP($A449,'[1]import success seats course'!$A:U,HLOOKUP('[1]Course Totals'!G$4,'[1]import success seats course'!$1:$2,2,FALSE),FALSE)/(VLOOKUP($A449,'[1]import graded seats course pivo'!$A:AE,HLOOKUP('[1]Course Totals'!G$4,'[1]import graded seats course pivo'!$1:$2,2,FALSE),FALSE))),"")</f>
        <v>1</v>
      </c>
      <c r="H449" s="14" t="str">
        <f>IFERROR((VLOOKUP($A449,'[1]import success seats course'!$A:V,HLOOKUP('[1]Course Totals'!H$4,'[1]import success seats course'!$1:$2,2,FALSE),FALSE)/(VLOOKUP($A449,'[1]import graded seats course pivo'!$A:AF,HLOOKUP('[1]Course Totals'!H$4,'[1]import graded seats course pivo'!$1:$2,2,FALSE),FALSE))),"")</f>
        <v/>
      </c>
      <c r="I449" s="14" t="str">
        <f>IFERROR((VLOOKUP($A449,'[1]import success seats course'!$A:W,HLOOKUP('[1]Course Totals'!I$4,'[1]import success seats course'!$1:$2,2,FALSE),FALSE)/(VLOOKUP($A449,'[1]import graded seats course pivo'!$A:AG,HLOOKUP('[1]Course Totals'!I$4,'[1]import graded seats course pivo'!$1:$2,2,FALSE),FALSE))),"")</f>
        <v/>
      </c>
      <c r="J449" s="14">
        <f>IFERROR((VLOOKUP($A449,'[1]import success seats course'!$A:X,HLOOKUP('[1]Course Totals'!J$4,'[1]import success seats course'!$1:$2,2,FALSE),FALSE)/(VLOOKUP($A449,'[1]import graded seats course pivo'!$A:AH,HLOOKUP('[1]Course Totals'!J$4,'[1]import graded seats course pivo'!$1:$2,2,FALSE),FALSE))),"")</f>
        <v>1</v>
      </c>
      <c r="K449" s="14" t="str">
        <f>IFERROR((VLOOKUP($A449,'[1]import success seats course'!$A:Y,HLOOKUP('[1]Course Totals'!K$4,'[1]import success seats course'!$1:$2,2,FALSE),FALSE)/(VLOOKUP($A449,'[1]import graded seats course pivo'!$A:AI,HLOOKUP('[1]Course Totals'!K$4,'[1]import graded seats course pivo'!$1:$2,2,FALSE),FALSE))),"")</f>
        <v/>
      </c>
      <c r="L449" s="14" t="str">
        <f>IFERROR((VLOOKUP($A449,'[1]import success seats course'!$A:Z,HLOOKUP('[1]Course Totals'!L$4,'[1]import success seats course'!$1:$2,2,FALSE),FALSE)/(VLOOKUP($A449,'[1]import graded seats course pivo'!$A:AJ,HLOOKUP('[1]Course Totals'!L$4,'[1]import graded seats course pivo'!$1:$2,2,FALSE),FALSE))),"")</f>
        <v/>
      </c>
      <c r="M449" s="14">
        <f>IFERROR((VLOOKUP($A449,'[1]import success seats course'!$A:AA,HLOOKUP('[1]Course Totals'!M$4,'[1]import success seats course'!$1:$2,2,FALSE),FALSE)/(VLOOKUP($A449,'[1]import graded seats course pivo'!$A:AK,HLOOKUP('[1]Course Totals'!M$4,'[1]import graded seats course pivo'!$1:$2,2,FALSE),FALSE))),"")</f>
        <v>1</v>
      </c>
      <c r="N449" s="14" t="str">
        <f>IFERROR((VLOOKUP($A449,'[1]import success seats course'!$A:AB,HLOOKUP('[1]Course Totals'!N$4,'[1]import success seats course'!$1:$2,2,FALSE),FALSE)/(VLOOKUP($A449,'[1]import graded seats course pivo'!$A:AL,HLOOKUP('[1]Course Totals'!N$4,'[1]import graded seats course pivo'!$1:$2,2,FALSE),FALSE))),"")</f>
        <v/>
      </c>
      <c r="O449" s="14" t="str">
        <f>IFERROR((VLOOKUP($A449,'[1]import success seats course'!$A:AC,HLOOKUP('[1]Course Totals'!O$4,'[1]import success seats course'!$1:$2,2,FALSE),FALSE)/(VLOOKUP($A449,'[1]import graded seats course pivo'!$A:AM,HLOOKUP('[1]Course Totals'!O$4,'[1]import graded seats course pivo'!$1:$2,2,FALSE),FALSE))),"")</f>
        <v/>
      </c>
      <c r="P449" s="14">
        <f>IFERROR((VLOOKUP($A449,'[1]import success seats course'!$A:AD,HLOOKUP('[1]Course Totals'!P$4,'[1]import success seats course'!$1:$2,2,FALSE),FALSE)/(VLOOKUP($A449,'[1]import graded seats course pivo'!$A:AN,HLOOKUP('[1]Course Totals'!P$4,'[1]import graded seats course pivo'!$1:$2,2,FALSE),FALSE))),"")</f>
        <v>1</v>
      </c>
      <c r="Q449" s="14" t="str">
        <f>IFERROR((VLOOKUP($A449,'[1]import success seats course'!$A:AE,HLOOKUP('[1]Course Totals'!Q$4,'[1]import success seats course'!$1:$2,2,FALSE),FALSE)/(VLOOKUP($A449,'[1]import graded seats course pivo'!$A:AO,HLOOKUP('[1]Course Totals'!Q$4,'[1]import graded seats course pivo'!$1:$2,2,FALSE),FALSE))),"")</f>
        <v/>
      </c>
      <c r="R449" s="14" t="str">
        <f>IFERROR((VLOOKUP($A449,'[1]import success seats course'!$A:AF,HLOOKUP('[1]Course Totals'!R$4,'[1]import success seats course'!$1:$2,2,FALSE),FALSE)/(VLOOKUP($A449,'[1]import graded seats course pivo'!$A:AP,HLOOKUP('[1]Course Totals'!R$4,'[1]import graded seats course pivo'!$1:$2,2,FALSE),FALSE))),"")</f>
        <v/>
      </c>
      <c r="S449" s="14" t="str">
        <f>IFERROR((VLOOKUP($A449,'[1]import success seats course'!$A:AG,HLOOKUP('[1]Course Totals'!S$4,'[1]import success seats course'!$1:$2,2,FALSE),FALSE)/(VLOOKUP($A449,'[1]import graded seats course pivo'!$A:AQ,HLOOKUP('[1]Course Totals'!S$4,'[1]import graded seats course pivo'!$1:$2,2,FALSE),FALSE))),"")</f>
        <v/>
      </c>
      <c r="Z449" s="7"/>
      <c r="AA449" s="7"/>
      <c r="AB449" s="7"/>
      <c r="AC449" s="7"/>
    </row>
    <row r="450" spans="1:29" ht="15.75" customHeight="1" x14ac:dyDescent="0.25">
      <c r="A450" s="12" t="s">
        <v>219</v>
      </c>
      <c r="B450" s="14" t="str">
        <f>IFERROR((VLOOKUP($A450,'[1]import success seats course'!$A:P,HLOOKUP('[1]Course Totals'!B$4,'[1]import success seats course'!$1:$2,2,FALSE),FALSE)/(VLOOKUP($A450,'[1]import graded seats course pivo'!$A:Z,HLOOKUP('[1]Course Totals'!B$4,'[1]import graded seats course pivo'!$1:$2,2,FALSE),FALSE))),"")</f>
        <v/>
      </c>
      <c r="C450" s="14">
        <f>IFERROR((VLOOKUP($A450,'[1]import success seats course'!$A:Q,HLOOKUP('[1]Course Totals'!C$4,'[1]import success seats course'!$1:$2,2,FALSE),FALSE)/(VLOOKUP($A450,'[1]import graded seats course pivo'!$A:AA,HLOOKUP('[1]Course Totals'!C$4,'[1]import graded seats course pivo'!$1:$2,2,FALSE),FALSE))),"")</f>
        <v>1</v>
      </c>
      <c r="D450" s="14" t="str">
        <f>IFERROR((VLOOKUP($A450,'[1]import success seats course'!$A:R,HLOOKUP('[1]Course Totals'!D$4,'[1]import success seats course'!$1:$2,2,FALSE),FALSE)/(VLOOKUP($A450,'[1]import graded seats course pivo'!$A:AB,HLOOKUP('[1]Course Totals'!D$4,'[1]import graded seats course pivo'!$1:$2,2,FALSE),FALSE))),"")</f>
        <v/>
      </c>
      <c r="E450" s="14" t="str">
        <f>IFERROR((VLOOKUP($A450,'[1]import success seats course'!$A:S,HLOOKUP('[1]Course Totals'!E$4,'[1]import success seats course'!$1:$2,2,FALSE),FALSE)/(VLOOKUP($A450,'[1]import graded seats course pivo'!$A:AC,HLOOKUP('[1]Course Totals'!E$4,'[1]import graded seats course pivo'!$1:$2,2,FALSE),FALSE))),"")</f>
        <v/>
      </c>
      <c r="F450" s="14" t="str">
        <f>IFERROR((VLOOKUP($A450,'[1]import success seats course'!$A:T,HLOOKUP('[1]Course Totals'!F$4,'[1]import success seats course'!$1:$2,2,FALSE),FALSE)/(VLOOKUP($A450,'[1]import graded seats course pivo'!$A:AD,HLOOKUP('[1]Course Totals'!F$4,'[1]import graded seats course pivo'!$1:$2,2,FALSE),FALSE))),"")</f>
        <v/>
      </c>
      <c r="G450" s="14">
        <f>IFERROR((VLOOKUP($A450,'[1]import success seats course'!$A:U,HLOOKUP('[1]Course Totals'!G$4,'[1]import success seats course'!$1:$2,2,FALSE),FALSE)/(VLOOKUP($A450,'[1]import graded seats course pivo'!$A:AE,HLOOKUP('[1]Course Totals'!G$4,'[1]import graded seats course pivo'!$1:$2,2,FALSE),FALSE))),"")</f>
        <v>1</v>
      </c>
      <c r="H450" s="14" t="str">
        <f>IFERROR((VLOOKUP($A450,'[1]import success seats course'!$A:V,HLOOKUP('[1]Course Totals'!H$4,'[1]import success seats course'!$1:$2,2,FALSE),FALSE)/(VLOOKUP($A450,'[1]import graded seats course pivo'!$A:AF,HLOOKUP('[1]Course Totals'!H$4,'[1]import graded seats course pivo'!$1:$2,2,FALSE),FALSE))),"")</f>
        <v/>
      </c>
      <c r="I450" s="14" t="str">
        <f>IFERROR((VLOOKUP($A450,'[1]import success seats course'!$A:W,HLOOKUP('[1]Course Totals'!I$4,'[1]import success seats course'!$1:$2,2,FALSE),FALSE)/(VLOOKUP($A450,'[1]import graded seats course pivo'!$A:AG,HLOOKUP('[1]Course Totals'!I$4,'[1]import graded seats course pivo'!$1:$2,2,FALSE),FALSE))),"")</f>
        <v/>
      </c>
      <c r="J450" s="14">
        <f>IFERROR((VLOOKUP($A450,'[1]import success seats course'!$A:X,HLOOKUP('[1]Course Totals'!J$4,'[1]import success seats course'!$1:$2,2,FALSE),FALSE)/(VLOOKUP($A450,'[1]import graded seats course pivo'!$A:AH,HLOOKUP('[1]Course Totals'!J$4,'[1]import graded seats course pivo'!$1:$2,2,FALSE),FALSE))),"")</f>
        <v>0.8</v>
      </c>
      <c r="K450" s="14">
        <f>IFERROR((VLOOKUP($A450,'[1]import success seats course'!$A:Y,HLOOKUP('[1]Course Totals'!K$4,'[1]import success seats course'!$1:$2,2,FALSE),FALSE)/(VLOOKUP($A450,'[1]import graded seats course pivo'!$A:AI,HLOOKUP('[1]Course Totals'!K$4,'[1]import graded seats course pivo'!$1:$2,2,FALSE),FALSE))),"")</f>
        <v>1</v>
      </c>
      <c r="L450" s="14" t="str">
        <f>IFERROR((VLOOKUP($A450,'[1]import success seats course'!$A:Z,HLOOKUP('[1]Course Totals'!L$4,'[1]import success seats course'!$1:$2,2,FALSE),FALSE)/(VLOOKUP($A450,'[1]import graded seats course pivo'!$A:AJ,HLOOKUP('[1]Course Totals'!L$4,'[1]import graded seats course pivo'!$1:$2,2,FALSE),FALSE))),"")</f>
        <v/>
      </c>
      <c r="M450" s="14">
        <f>IFERROR((VLOOKUP($A450,'[1]import success seats course'!$A:AA,HLOOKUP('[1]Course Totals'!M$4,'[1]import success seats course'!$1:$2,2,FALSE),FALSE)/(VLOOKUP($A450,'[1]import graded seats course pivo'!$A:AK,HLOOKUP('[1]Course Totals'!M$4,'[1]import graded seats course pivo'!$1:$2,2,FALSE),FALSE))),"")</f>
        <v>0.9</v>
      </c>
      <c r="N450" s="14" t="str">
        <f>IFERROR((VLOOKUP($A450,'[1]import success seats course'!$A:AB,HLOOKUP('[1]Course Totals'!N$4,'[1]import success seats course'!$1:$2,2,FALSE),FALSE)/(VLOOKUP($A450,'[1]import graded seats course pivo'!$A:AL,HLOOKUP('[1]Course Totals'!N$4,'[1]import graded seats course pivo'!$1:$2,2,FALSE),FALSE))),"")</f>
        <v/>
      </c>
      <c r="O450" s="14" t="str">
        <f>IFERROR((VLOOKUP($A450,'[1]import success seats course'!$A:AC,HLOOKUP('[1]Course Totals'!O$4,'[1]import success seats course'!$1:$2,2,FALSE),FALSE)/(VLOOKUP($A450,'[1]import graded seats course pivo'!$A:AM,HLOOKUP('[1]Course Totals'!O$4,'[1]import graded seats course pivo'!$1:$2,2,FALSE),FALSE))),"")</f>
        <v/>
      </c>
      <c r="P450" s="14">
        <f>IFERROR((VLOOKUP($A450,'[1]import success seats course'!$A:AD,HLOOKUP('[1]Course Totals'!P$4,'[1]import success seats course'!$1:$2,2,FALSE),FALSE)/(VLOOKUP($A450,'[1]import graded seats course pivo'!$A:AN,HLOOKUP('[1]Course Totals'!P$4,'[1]import graded seats course pivo'!$1:$2,2,FALSE),FALSE))),"")</f>
        <v>1</v>
      </c>
      <c r="Q450" s="14" t="str">
        <f>IFERROR((VLOOKUP($A450,'[1]import success seats course'!$A:AE,HLOOKUP('[1]Course Totals'!Q$4,'[1]import success seats course'!$1:$2,2,FALSE),FALSE)/(VLOOKUP($A450,'[1]import graded seats course pivo'!$A:AO,HLOOKUP('[1]Course Totals'!Q$4,'[1]import graded seats course pivo'!$1:$2,2,FALSE),FALSE))),"")</f>
        <v/>
      </c>
      <c r="R450" s="14" t="str">
        <f>IFERROR((VLOOKUP($A450,'[1]import success seats course'!$A:AF,HLOOKUP('[1]Course Totals'!R$4,'[1]import success seats course'!$1:$2,2,FALSE),FALSE)/(VLOOKUP($A450,'[1]import graded seats course pivo'!$A:AP,HLOOKUP('[1]Course Totals'!R$4,'[1]import graded seats course pivo'!$1:$2,2,FALSE),FALSE))),"")</f>
        <v/>
      </c>
      <c r="S450" s="14" t="str">
        <f>IFERROR((VLOOKUP($A450,'[1]import success seats course'!$A:AG,HLOOKUP('[1]Course Totals'!S$4,'[1]import success seats course'!$1:$2,2,FALSE),FALSE)/(VLOOKUP($A450,'[1]import graded seats course pivo'!$A:AQ,HLOOKUP('[1]Course Totals'!S$4,'[1]import graded seats course pivo'!$1:$2,2,FALSE),FALSE))),"")</f>
        <v/>
      </c>
      <c r="Z450" s="7"/>
      <c r="AA450" s="7"/>
      <c r="AB450" s="7"/>
      <c r="AC450" s="7"/>
    </row>
    <row r="451" spans="1:29" ht="15.75" customHeight="1" x14ac:dyDescent="0.25">
      <c r="A451" s="12" t="s">
        <v>220</v>
      </c>
      <c r="B451" s="14" t="str">
        <f>IFERROR((VLOOKUP($A451,'[1]import success seats course'!$A:P,HLOOKUP('[1]Course Totals'!B$4,'[1]import success seats course'!$1:$2,2,FALSE),FALSE)/(VLOOKUP($A451,'[1]import graded seats course pivo'!$A:Z,HLOOKUP('[1]Course Totals'!B$4,'[1]import graded seats course pivo'!$1:$2,2,FALSE),FALSE))),"")</f>
        <v/>
      </c>
      <c r="C451" s="14">
        <f>IFERROR((VLOOKUP($A451,'[1]import success seats course'!$A:Q,HLOOKUP('[1]Course Totals'!C$4,'[1]import success seats course'!$1:$2,2,FALSE),FALSE)/(VLOOKUP($A451,'[1]import graded seats course pivo'!$A:AA,HLOOKUP('[1]Course Totals'!C$4,'[1]import graded seats course pivo'!$1:$2,2,FALSE),FALSE))),"")</f>
        <v>1</v>
      </c>
      <c r="D451" s="14" t="str">
        <f>IFERROR((VLOOKUP($A451,'[1]import success seats course'!$A:R,HLOOKUP('[1]Course Totals'!D$4,'[1]import success seats course'!$1:$2,2,FALSE),FALSE)/(VLOOKUP($A451,'[1]import graded seats course pivo'!$A:AB,HLOOKUP('[1]Course Totals'!D$4,'[1]import graded seats course pivo'!$1:$2,2,FALSE),FALSE))),"")</f>
        <v/>
      </c>
      <c r="E451" s="14" t="str">
        <f>IFERROR((VLOOKUP($A451,'[1]import success seats course'!$A:S,HLOOKUP('[1]Course Totals'!E$4,'[1]import success seats course'!$1:$2,2,FALSE),FALSE)/(VLOOKUP($A451,'[1]import graded seats course pivo'!$A:AC,HLOOKUP('[1]Course Totals'!E$4,'[1]import graded seats course pivo'!$1:$2,2,FALSE),FALSE))),"")</f>
        <v/>
      </c>
      <c r="F451" s="14">
        <f>IFERROR((VLOOKUP($A451,'[1]import success seats course'!$A:T,HLOOKUP('[1]Course Totals'!F$4,'[1]import success seats course'!$1:$2,2,FALSE),FALSE)/(VLOOKUP($A451,'[1]import graded seats course pivo'!$A:AD,HLOOKUP('[1]Course Totals'!F$4,'[1]import graded seats course pivo'!$1:$2,2,FALSE),FALSE))),"")</f>
        <v>1</v>
      </c>
      <c r="G451" s="14" t="str">
        <f>IFERROR((VLOOKUP($A451,'[1]import success seats course'!$A:U,HLOOKUP('[1]Course Totals'!G$4,'[1]import success seats course'!$1:$2,2,FALSE),FALSE)/(VLOOKUP($A451,'[1]import graded seats course pivo'!$A:AE,HLOOKUP('[1]Course Totals'!G$4,'[1]import graded seats course pivo'!$1:$2,2,FALSE),FALSE))),"")</f>
        <v/>
      </c>
      <c r="H451" s="14" t="str">
        <f>IFERROR((VLOOKUP($A451,'[1]import success seats course'!$A:V,HLOOKUP('[1]Course Totals'!H$4,'[1]import success seats course'!$1:$2,2,FALSE),FALSE)/(VLOOKUP($A451,'[1]import graded seats course pivo'!$A:AF,HLOOKUP('[1]Course Totals'!H$4,'[1]import graded seats course pivo'!$1:$2,2,FALSE),FALSE))),"")</f>
        <v/>
      </c>
      <c r="I451" s="14">
        <f>IFERROR((VLOOKUP($A451,'[1]import success seats course'!$A:W,HLOOKUP('[1]Course Totals'!I$4,'[1]import success seats course'!$1:$2,2,FALSE),FALSE)/(VLOOKUP($A451,'[1]import graded seats course pivo'!$A:AG,HLOOKUP('[1]Course Totals'!I$4,'[1]import graded seats course pivo'!$1:$2,2,FALSE),FALSE))),"")</f>
        <v>1</v>
      </c>
      <c r="J451" s="14" t="str">
        <f>IFERROR((VLOOKUP($A451,'[1]import success seats course'!$A:X,HLOOKUP('[1]Course Totals'!J$4,'[1]import success seats course'!$1:$2,2,FALSE),FALSE)/(VLOOKUP($A451,'[1]import graded seats course pivo'!$A:AH,HLOOKUP('[1]Course Totals'!J$4,'[1]import graded seats course pivo'!$1:$2,2,FALSE),FALSE))),"")</f>
        <v/>
      </c>
      <c r="K451" s="14" t="str">
        <f>IFERROR((VLOOKUP($A451,'[1]import success seats course'!$A:Y,HLOOKUP('[1]Course Totals'!K$4,'[1]import success seats course'!$1:$2,2,FALSE),FALSE)/(VLOOKUP($A451,'[1]import graded seats course pivo'!$A:AI,HLOOKUP('[1]Course Totals'!K$4,'[1]import graded seats course pivo'!$1:$2,2,FALSE),FALSE))),"")</f>
        <v/>
      </c>
      <c r="L451" s="14">
        <f>IFERROR((VLOOKUP($A451,'[1]import success seats course'!$A:Z,HLOOKUP('[1]Course Totals'!L$4,'[1]import success seats course'!$1:$2,2,FALSE),FALSE)/(VLOOKUP($A451,'[1]import graded seats course pivo'!$A:AJ,HLOOKUP('[1]Course Totals'!L$4,'[1]import graded seats course pivo'!$1:$2,2,FALSE),FALSE))),"")</f>
        <v>1</v>
      </c>
      <c r="M451" s="14" t="str">
        <f>IFERROR((VLOOKUP($A451,'[1]import success seats course'!$A:AA,HLOOKUP('[1]Course Totals'!M$4,'[1]import success seats course'!$1:$2,2,FALSE),FALSE)/(VLOOKUP($A451,'[1]import graded seats course pivo'!$A:AK,HLOOKUP('[1]Course Totals'!M$4,'[1]import graded seats course pivo'!$1:$2,2,FALSE),FALSE))),"")</f>
        <v/>
      </c>
      <c r="N451" s="14" t="str">
        <f>IFERROR((VLOOKUP($A451,'[1]import success seats course'!$A:AB,HLOOKUP('[1]Course Totals'!N$4,'[1]import success seats course'!$1:$2,2,FALSE),FALSE)/(VLOOKUP($A451,'[1]import graded seats course pivo'!$A:AL,HLOOKUP('[1]Course Totals'!N$4,'[1]import graded seats course pivo'!$1:$2,2,FALSE),FALSE))),"")</f>
        <v/>
      </c>
      <c r="O451" s="14" t="str">
        <f>IFERROR((VLOOKUP($A451,'[1]import success seats course'!$A:AC,HLOOKUP('[1]Course Totals'!O$4,'[1]import success seats course'!$1:$2,2,FALSE),FALSE)/(VLOOKUP($A451,'[1]import graded seats course pivo'!$A:AM,HLOOKUP('[1]Course Totals'!O$4,'[1]import graded seats course pivo'!$1:$2,2,FALSE),FALSE))),"")</f>
        <v/>
      </c>
      <c r="P451" s="14" t="str">
        <f>IFERROR((VLOOKUP($A451,'[1]import success seats course'!$A:AD,HLOOKUP('[1]Course Totals'!P$4,'[1]import success seats course'!$1:$2,2,FALSE),FALSE)/(VLOOKUP($A451,'[1]import graded seats course pivo'!$A:AN,HLOOKUP('[1]Course Totals'!P$4,'[1]import graded seats course pivo'!$1:$2,2,FALSE),FALSE))),"")</f>
        <v/>
      </c>
      <c r="Q451" s="14" t="str">
        <f>IFERROR((VLOOKUP($A451,'[1]import success seats course'!$A:AE,HLOOKUP('[1]Course Totals'!Q$4,'[1]import success seats course'!$1:$2,2,FALSE),FALSE)/(VLOOKUP($A451,'[1]import graded seats course pivo'!$A:AO,HLOOKUP('[1]Course Totals'!Q$4,'[1]import graded seats course pivo'!$1:$2,2,FALSE),FALSE))),"")</f>
        <v/>
      </c>
      <c r="R451" s="14" t="str">
        <f>IFERROR((VLOOKUP($A451,'[1]import success seats course'!$A:AF,HLOOKUP('[1]Course Totals'!R$4,'[1]import success seats course'!$1:$2,2,FALSE),FALSE)/(VLOOKUP($A451,'[1]import graded seats course pivo'!$A:AP,HLOOKUP('[1]Course Totals'!R$4,'[1]import graded seats course pivo'!$1:$2,2,FALSE),FALSE))),"")</f>
        <v/>
      </c>
      <c r="S451" s="14" t="str">
        <f>IFERROR((VLOOKUP($A451,'[1]import success seats course'!$A:AG,HLOOKUP('[1]Course Totals'!S$4,'[1]import success seats course'!$1:$2,2,FALSE),FALSE)/(VLOOKUP($A451,'[1]import graded seats course pivo'!$A:AQ,HLOOKUP('[1]Course Totals'!S$4,'[1]import graded seats course pivo'!$1:$2,2,FALSE),FALSE))),"")</f>
        <v/>
      </c>
      <c r="Z451" s="7"/>
      <c r="AA451" s="7"/>
      <c r="AB451" s="7"/>
      <c r="AC451" s="7"/>
    </row>
    <row r="452" spans="1:29" ht="15.75" customHeight="1" x14ac:dyDescent="0.25">
      <c r="A452" s="12" t="s">
        <v>837</v>
      </c>
      <c r="B452" s="14" t="str">
        <f>IFERROR((VLOOKUP($A452,'[1]import success seats course'!$A:P,HLOOKUP('[1]Course Totals'!B$4,'[1]import success seats course'!$1:$2,2,FALSE),FALSE)/(VLOOKUP($A452,'[1]import graded seats course pivo'!$A:Z,HLOOKUP('[1]Course Totals'!B$4,'[1]import graded seats course pivo'!$1:$2,2,FALSE),FALSE))),"")</f>
        <v/>
      </c>
      <c r="C452" s="14" t="str">
        <f>IFERROR((VLOOKUP($A452,'[1]import success seats course'!$A:Q,HLOOKUP('[1]Course Totals'!C$4,'[1]import success seats course'!$1:$2,2,FALSE),FALSE)/(VLOOKUP($A452,'[1]import graded seats course pivo'!$A:AA,HLOOKUP('[1]Course Totals'!C$4,'[1]import graded seats course pivo'!$1:$2,2,FALSE),FALSE))),"")</f>
        <v/>
      </c>
      <c r="D452" s="14" t="str">
        <f>IFERROR((VLOOKUP($A452,'[1]import success seats course'!$A:R,HLOOKUP('[1]Course Totals'!D$4,'[1]import success seats course'!$1:$2,2,FALSE),FALSE)/(VLOOKUP($A452,'[1]import graded seats course pivo'!$A:AB,HLOOKUP('[1]Course Totals'!D$4,'[1]import graded seats course pivo'!$1:$2,2,FALSE),FALSE))),"")</f>
        <v/>
      </c>
      <c r="E452" s="14" t="str">
        <f>IFERROR((VLOOKUP($A452,'[1]import success seats course'!$A:S,HLOOKUP('[1]Course Totals'!E$4,'[1]import success seats course'!$1:$2,2,FALSE),FALSE)/(VLOOKUP($A452,'[1]import graded seats course pivo'!$A:AC,HLOOKUP('[1]Course Totals'!E$4,'[1]import graded seats course pivo'!$1:$2,2,FALSE),FALSE))),"")</f>
        <v/>
      </c>
      <c r="F452" s="14" t="str">
        <f>IFERROR((VLOOKUP($A452,'[1]import success seats course'!$A:T,HLOOKUP('[1]Course Totals'!F$4,'[1]import success seats course'!$1:$2,2,FALSE),FALSE)/(VLOOKUP($A452,'[1]import graded seats course pivo'!$A:AD,HLOOKUP('[1]Course Totals'!F$4,'[1]import graded seats course pivo'!$1:$2,2,FALSE),FALSE))),"")</f>
        <v/>
      </c>
      <c r="G452" s="14" t="str">
        <f>IFERROR((VLOOKUP($A452,'[1]import success seats course'!$A:U,HLOOKUP('[1]Course Totals'!G$4,'[1]import success seats course'!$1:$2,2,FALSE),FALSE)/(VLOOKUP($A452,'[1]import graded seats course pivo'!$A:AE,HLOOKUP('[1]Course Totals'!G$4,'[1]import graded seats course pivo'!$1:$2,2,FALSE),FALSE))),"")</f>
        <v/>
      </c>
      <c r="H452" s="14" t="str">
        <f>IFERROR((VLOOKUP($A452,'[1]import success seats course'!$A:V,HLOOKUP('[1]Course Totals'!H$4,'[1]import success seats course'!$1:$2,2,FALSE),FALSE)/(VLOOKUP($A452,'[1]import graded seats course pivo'!$A:AF,HLOOKUP('[1]Course Totals'!H$4,'[1]import graded seats course pivo'!$1:$2,2,FALSE),FALSE))),"")</f>
        <v/>
      </c>
      <c r="I452" s="14" t="str">
        <f>IFERROR((VLOOKUP($A452,'[1]import success seats course'!$A:W,HLOOKUP('[1]Course Totals'!I$4,'[1]import success seats course'!$1:$2,2,FALSE),FALSE)/(VLOOKUP($A452,'[1]import graded seats course pivo'!$A:AG,HLOOKUP('[1]Course Totals'!I$4,'[1]import graded seats course pivo'!$1:$2,2,FALSE),FALSE))),"")</f>
        <v/>
      </c>
      <c r="J452" s="14" t="str">
        <f>IFERROR((VLOOKUP($A452,'[1]import success seats course'!$A:X,HLOOKUP('[1]Course Totals'!J$4,'[1]import success seats course'!$1:$2,2,FALSE),FALSE)/(VLOOKUP($A452,'[1]import graded seats course pivo'!$A:AH,HLOOKUP('[1]Course Totals'!J$4,'[1]import graded seats course pivo'!$1:$2,2,FALSE),FALSE))),"")</f>
        <v/>
      </c>
      <c r="K452" s="14" t="str">
        <f>IFERROR((VLOOKUP($A452,'[1]import success seats course'!$A:Y,HLOOKUP('[1]Course Totals'!K$4,'[1]import success seats course'!$1:$2,2,FALSE),FALSE)/(VLOOKUP($A452,'[1]import graded seats course pivo'!$A:AI,HLOOKUP('[1]Course Totals'!K$4,'[1]import graded seats course pivo'!$1:$2,2,FALSE),FALSE))),"")</f>
        <v/>
      </c>
      <c r="L452" s="14" t="str">
        <f>IFERROR((VLOOKUP($A452,'[1]import success seats course'!$A:Z,HLOOKUP('[1]Course Totals'!L$4,'[1]import success seats course'!$1:$2,2,FALSE),FALSE)/(VLOOKUP($A452,'[1]import graded seats course pivo'!$A:AJ,HLOOKUP('[1]Course Totals'!L$4,'[1]import graded seats course pivo'!$1:$2,2,FALSE),FALSE))),"")</f>
        <v/>
      </c>
      <c r="M452" s="14" t="str">
        <f>IFERROR((VLOOKUP($A452,'[1]import success seats course'!$A:AA,HLOOKUP('[1]Course Totals'!M$4,'[1]import success seats course'!$1:$2,2,FALSE),FALSE)/(VLOOKUP($A452,'[1]import graded seats course pivo'!$A:AK,HLOOKUP('[1]Course Totals'!M$4,'[1]import graded seats course pivo'!$1:$2,2,FALSE),FALSE))),"")</f>
        <v/>
      </c>
      <c r="N452" s="14" t="str">
        <f>IFERROR((VLOOKUP($A452,'[1]import success seats course'!$A:AB,HLOOKUP('[1]Course Totals'!N$4,'[1]import success seats course'!$1:$2,2,FALSE),FALSE)/(VLOOKUP($A452,'[1]import graded seats course pivo'!$A:AL,HLOOKUP('[1]Course Totals'!N$4,'[1]import graded seats course pivo'!$1:$2,2,FALSE),FALSE))),"")</f>
        <v/>
      </c>
      <c r="O452" s="14">
        <f>IFERROR((VLOOKUP($A452,'[1]import success seats course'!$A:AC,HLOOKUP('[1]Course Totals'!O$4,'[1]import success seats course'!$1:$2,2,FALSE),FALSE)/(VLOOKUP($A452,'[1]import graded seats course pivo'!$A:AM,HLOOKUP('[1]Course Totals'!O$4,'[1]import graded seats course pivo'!$1:$2,2,FALSE),FALSE))),"")</f>
        <v>1</v>
      </c>
      <c r="P452" s="14" t="str">
        <f>IFERROR((VLOOKUP($A452,'[1]import success seats course'!$A:AD,HLOOKUP('[1]Course Totals'!P$4,'[1]import success seats course'!$1:$2,2,FALSE),FALSE)/(VLOOKUP($A452,'[1]import graded seats course pivo'!$A:AN,HLOOKUP('[1]Course Totals'!P$4,'[1]import graded seats course pivo'!$1:$2,2,FALSE),FALSE))),"")</f>
        <v/>
      </c>
      <c r="Q452" s="14" t="str">
        <f>IFERROR((VLOOKUP($A452,'[1]import success seats course'!$A:AE,HLOOKUP('[1]Course Totals'!Q$4,'[1]import success seats course'!$1:$2,2,FALSE),FALSE)/(VLOOKUP($A452,'[1]import graded seats course pivo'!$A:AO,HLOOKUP('[1]Course Totals'!Q$4,'[1]import graded seats course pivo'!$1:$2,2,FALSE),FALSE))),"")</f>
        <v/>
      </c>
      <c r="R452" s="14" t="str">
        <f>IFERROR((VLOOKUP($A452,'[1]import success seats course'!$A:AF,HLOOKUP('[1]Course Totals'!R$4,'[1]import success seats course'!$1:$2,2,FALSE),FALSE)/(VLOOKUP($A452,'[1]import graded seats course pivo'!$A:AP,HLOOKUP('[1]Course Totals'!R$4,'[1]import graded seats course pivo'!$1:$2,2,FALSE),FALSE))),"")</f>
        <v/>
      </c>
      <c r="S452" s="14" t="str">
        <f>IFERROR((VLOOKUP($A452,'[1]import success seats course'!$A:AG,HLOOKUP('[1]Course Totals'!S$4,'[1]import success seats course'!$1:$2,2,FALSE),FALSE)/(VLOOKUP($A452,'[1]import graded seats course pivo'!$A:AQ,HLOOKUP('[1]Course Totals'!S$4,'[1]import graded seats course pivo'!$1:$2,2,FALSE),FALSE))),"")</f>
        <v/>
      </c>
      <c r="Z452" s="7"/>
      <c r="AA452" s="7"/>
      <c r="AB452" s="7"/>
      <c r="AC452" s="7"/>
    </row>
    <row r="453" spans="1:29" ht="15.75" customHeight="1" x14ac:dyDescent="0.25">
      <c r="A453" s="12" t="s">
        <v>905</v>
      </c>
      <c r="B453" s="14" t="str">
        <f>IFERROR((VLOOKUP($A453,'[1]import success seats course'!$A:P,HLOOKUP('[1]Course Totals'!B$4,'[1]import success seats course'!$1:$2,2,FALSE),FALSE)/(VLOOKUP($A453,'[1]import graded seats course pivo'!$A:Z,HLOOKUP('[1]Course Totals'!B$4,'[1]import graded seats course pivo'!$1:$2,2,FALSE),FALSE))),"")</f>
        <v/>
      </c>
      <c r="C453" s="14" t="str">
        <f>IFERROR((VLOOKUP($A453,'[1]import success seats course'!$A:Q,HLOOKUP('[1]Course Totals'!C$4,'[1]import success seats course'!$1:$2,2,FALSE),FALSE)/(VLOOKUP($A453,'[1]import graded seats course pivo'!$A:AA,HLOOKUP('[1]Course Totals'!C$4,'[1]import graded seats course pivo'!$1:$2,2,FALSE),FALSE))),"")</f>
        <v/>
      </c>
      <c r="D453" s="14">
        <f>IFERROR((VLOOKUP($A453,'[1]import success seats course'!$A:R,HLOOKUP('[1]Course Totals'!D$4,'[1]import success seats course'!$1:$2,2,FALSE),FALSE)/(VLOOKUP($A453,'[1]import graded seats course pivo'!$A:AB,HLOOKUP('[1]Course Totals'!D$4,'[1]import graded seats course pivo'!$1:$2,2,FALSE),FALSE))),"")</f>
        <v>1</v>
      </c>
      <c r="E453" s="14" t="str">
        <f>IFERROR((VLOOKUP($A453,'[1]import success seats course'!$A:S,HLOOKUP('[1]Course Totals'!E$4,'[1]import success seats course'!$1:$2,2,FALSE),FALSE)/(VLOOKUP($A453,'[1]import graded seats course pivo'!$A:AC,HLOOKUP('[1]Course Totals'!E$4,'[1]import graded seats course pivo'!$1:$2,2,FALSE),FALSE))),"")</f>
        <v/>
      </c>
      <c r="F453" s="14" t="str">
        <f>IFERROR((VLOOKUP($A453,'[1]import success seats course'!$A:T,HLOOKUP('[1]Course Totals'!F$4,'[1]import success seats course'!$1:$2,2,FALSE),FALSE)/(VLOOKUP($A453,'[1]import graded seats course pivo'!$A:AD,HLOOKUP('[1]Course Totals'!F$4,'[1]import graded seats course pivo'!$1:$2,2,FALSE),FALSE))),"")</f>
        <v/>
      </c>
      <c r="G453" s="14">
        <f>IFERROR((VLOOKUP($A453,'[1]import success seats course'!$A:U,HLOOKUP('[1]Course Totals'!G$4,'[1]import success seats course'!$1:$2,2,FALSE),FALSE)/(VLOOKUP($A453,'[1]import graded seats course pivo'!$A:AE,HLOOKUP('[1]Course Totals'!G$4,'[1]import graded seats course pivo'!$1:$2,2,FALSE),FALSE))),"")</f>
        <v>1</v>
      </c>
      <c r="H453" s="14" t="str">
        <f>IFERROR((VLOOKUP($A453,'[1]import success seats course'!$A:V,HLOOKUP('[1]Course Totals'!H$4,'[1]import success seats course'!$1:$2,2,FALSE),FALSE)/(VLOOKUP($A453,'[1]import graded seats course pivo'!$A:AF,HLOOKUP('[1]Course Totals'!H$4,'[1]import graded seats course pivo'!$1:$2,2,FALSE),FALSE))),"")</f>
        <v/>
      </c>
      <c r="I453" s="14" t="str">
        <f>IFERROR((VLOOKUP($A453,'[1]import success seats course'!$A:W,HLOOKUP('[1]Course Totals'!I$4,'[1]import success seats course'!$1:$2,2,FALSE),FALSE)/(VLOOKUP($A453,'[1]import graded seats course pivo'!$A:AG,HLOOKUP('[1]Course Totals'!I$4,'[1]import graded seats course pivo'!$1:$2,2,FALSE),FALSE))),"")</f>
        <v/>
      </c>
      <c r="J453" s="14">
        <f>IFERROR((VLOOKUP($A453,'[1]import success seats course'!$A:X,HLOOKUP('[1]Course Totals'!J$4,'[1]import success seats course'!$1:$2,2,FALSE),FALSE)/(VLOOKUP($A453,'[1]import graded seats course pivo'!$A:AH,HLOOKUP('[1]Course Totals'!J$4,'[1]import graded seats course pivo'!$1:$2,2,FALSE),FALSE))),"")</f>
        <v>1</v>
      </c>
      <c r="K453" s="14" t="str">
        <f>IFERROR((VLOOKUP($A453,'[1]import success seats course'!$A:Y,HLOOKUP('[1]Course Totals'!K$4,'[1]import success seats course'!$1:$2,2,FALSE),FALSE)/(VLOOKUP($A453,'[1]import graded seats course pivo'!$A:AI,HLOOKUP('[1]Course Totals'!K$4,'[1]import graded seats course pivo'!$1:$2,2,FALSE),FALSE))),"")</f>
        <v/>
      </c>
      <c r="L453" s="14" t="str">
        <f>IFERROR((VLOOKUP($A453,'[1]import success seats course'!$A:Z,HLOOKUP('[1]Course Totals'!L$4,'[1]import success seats course'!$1:$2,2,FALSE),FALSE)/(VLOOKUP($A453,'[1]import graded seats course pivo'!$A:AJ,HLOOKUP('[1]Course Totals'!L$4,'[1]import graded seats course pivo'!$1:$2,2,FALSE),FALSE))),"")</f>
        <v/>
      </c>
      <c r="M453" s="14">
        <f>IFERROR((VLOOKUP($A453,'[1]import success seats course'!$A:AA,HLOOKUP('[1]Course Totals'!M$4,'[1]import success seats course'!$1:$2,2,FALSE),FALSE)/(VLOOKUP($A453,'[1]import graded seats course pivo'!$A:AK,HLOOKUP('[1]Course Totals'!M$4,'[1]import graded seats course pivo'!$1:$2,2,FALSE),FALSE))),"")</f>
        <v>1</v>
      </c>
      <c r="N453" s="14" t="str">
        <f>IFERROR((VLOOKUP($A453,'[1]import success seats course'!$A:AB,HLOOKUP('[1]Course Totals'!N$4,'[1]import success seats course'!$1:$2,2,FALSE),FALSE)/(VLOOKUP($A453,'[1]import graded seats course pivo'!$A:AL,HLOOKUP('[1]Course Totals'!N$4,'[1]import graded seats course pivo'!$1:$2,2,FALSE),FALSE))),"")</f>
        <v/>
      </c>
      <c r="O453" s="14" t="str">
        <f>IFERROR((VLOOKUP($A453,'[1]import success seats course'!$A:AC,HLOOKUP('[1]Course Totals'!O$4,'[1]import success seats course'!$1:$2,2,FALSE),FALSE)/(VLOOKUP($A453,'[1]import graded seats course pivo'!$A:AM,HLOOKUP('[1]Course Totals'!O$4,'[1]import graded seats course pivo'!$1:$2,2,FALSE),FALSE))),"")</f>
        <v/>
      </c>
      <c r="P453" s="14" t="str">
        <f>IFERROR((VLOOKUP($A453,'[1]import success seats course'!$A:AD,HLOOKUP('[1]Course Totals'!P$4,'[1]import success seats course'!$1:$2,2,FALSE),FALSE)/(VLOOKUP($A453,'[1]import graded seats course pivo'!$A:AN,HLOOKUP('[1]Course Totals'!P$4,'[1]import graded seats course pivo'!$1:$2,2,FALSE),FALSE))),"")</f>
        <v/>
      </c>
      <c r="Q453" s="14" t="str">
        <f>IFERROR((VLOOKUP($A453,'[1]import success seats course'!$A:AE,HLOOKUP('[1]Course Totals'!Q$4,'[1]import success seats course'!$1:$2,2,FALSE),FALSE)/(VLOOKUP($A453,'[1]import graded seats course pivo'!$A:AO,HLOOKUP('[1]Course Totals'!Q$4,'[1]import graded seats course pivo'!$1:$2,2,FALSE),FALSE))),"")</f>
        <v/>
      </c>
      <c r="R453" s="14" t="str">
        <f>IFERROR((VLOOKUP($A453,'[1]import success seats course'!$A:AF,HLOOKUP('[1]Course Totals'!R$4,'[1]import success seats course'!$1:$2,2,FALSE),FALSE)/(VLOOKUP($A453,'[1]import graded seats course pivo'!$A:AP,HLOOKUP('[1]Course Totals'!R$4,'[1]import graded seats course pivo'!$1:$2,2,FALSE),FALSE))),"")</f>
        <v/>
      </c>
      <c r="S453" s="14" t="str">
        <f>IFERROR((VLOOKUP($A453,'[1]import success seats course'!$A:AG,HLOOKUP('[1]Course Totals'!S$4,'[1]import success seats course'!$1:$2,2,FALSE),FALSE)/(VLOOKUP($A453,'[1]import graded seats course pivo'!$A:AQ,HLOOKUP('[1]Course Totals'!S$4,'[1]import graded seats course pivo'!$1:$2,2,FALSE),FALSE))),"")</f>
        <v/>
      </c>
      <c r="Z453" s="7"/>
      <c r="AA453" s="7"/>
      <c r="AB453" s="7"/>
      <c r="AC453" s="7"/>
    </row>
    <row r="454" spans="1:29" ht="15.75" x14ac:dyDescent="0.25">
      <c r="A454" s="9" t="s">
        <v>1140</v>
      </c>
      <c r="B454" s="67" t="str">
        <f>'[1]Subject TOTALS'!$B$1:$P$1</f>
        <v xml:space="preserve">MVC Retention Rates </v>
      </c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Z454" s="7"/>
      <c r="AA454" s="7"/>
      <c r="AB454" s="7"/>
      <c r="AC454" s="7"/>
    </row>
    <row r="455" spans="1:29" ht="15.75" customHeight="1" thickBot="1" x14ac:dyDescent="0.3">
      <c r="A455" s="8" t="str">
        <f>'[1]SUBJECTS BASE'!H22</f>
        <v>Economics</v>
      </c>
      <c r="B455" s="38" t="s">
        <v>1046</v>
      </c>
      <c r="C455" s="39" t="s">
        <v>0</v>
      </c>
      <c r="D455" s="40" t="s">
        <v>868</v>
      </c>
      <c r="E455" s="41" t="s">
        <v>1052</v>
      </c>
      <c r="F455" s="42" t="s">
        <v>546</v>
      </c>
      <c r="G455" s="43" t="s">
        <v>959</v>
      </c>
      <c r="H455" s="44" t="s">
        <v>1060</v>
      </c>
      <c r="I455" s="39" t="s">
        <v>675</v>
      </c>
      <c r="J455" s="45" t="s">
        <v>1006</v>
      </c>
      <c r="K455" s="46" t="s">
        <v>1062</v>
      </c>
      <c r="L455" s="42" t="s">
        <v>762</v>
      </c>
      <c r="M455" s="43" t="s">
        <v>1022</v>
      </c>
      <c r="N455" s="44" t="s">
        <v>1063</v>
      </c>
      <c r="O455" s="39" t="s">
        <v>822</v>
      </c>
      <c r="P455" s="40" t="s">
        <v>1042</v>
      </c>
      <c r="Q455" s="46" t="s">
        <v>1153</v>
      </c>
      <c r="R455" s="42" t="s">
        <v>1154</v>
      </c>
      <c r="S455" s="43" t="s">
        <v>1155</v>
      </c>
      <c r="Z455" s="7"/>
      <c r="AA455" s="7"/>
      <c r="AB455" s="7"/>
      <c r="AC455" s="7"/>
    </row>
    <row r="456" spans="1:29" ht="15.75" customHeight="1" x14ac:dyDescent="0.25">
      <c r="A456" s="12" t="s">
        <v>221</v>
      </c>
      <c r="B456" s="14">
        <f>IFERROR((VLOOKUP($A456,'[1]import success seats course'!$A:P,HLOOKUP('[1]Course Totals'!B$4,'[1]import success seats course'!$1:$2,2,FALSE),FALSE)/(VLOOKUP($A456,'[1]import graded seats course pivo'!$A:Z,HLOOKUP('[1]Course Totals'!B$4,'[1]import graded seats course pivo'!$1:$2,2,FALSE),FALSE))),"")</f>
        <v>0.94339622641509435</v>
      </c>
      <c r="C456" s="14">
        <f>IFERROR((VLOOKUP($A456,'[1]import success seats course'!$A:Q,HLOOKUP('[1]Course Totals'!C$4,'[1]import success seats course'!$1:$2,2,FALSE),FALSE)/(VLOOKUP($A456,'[1]import graded seats course pivo'!$A:AA,HLOOKUP('[1]Course Totals'!C$4,'[1]import graded seats course pivo'!$1:$2,2,FALSE),FALSE))),"")</f>
        <v>0.81645569620253167</v>
      </c>
      <c r="D456" s="14">
        <f>IFERROR((VLOOKUP($A456,'[1]import success seats course'!$A:R,HLOOKUP('[1]Course Totals'!D$4,'[1]import success seats course'!$1:$2,2,FALSE),FALSE)/(VLOOKUP($A456,'[1]import graded seats course pivo'!$A:AB,HLOOKUP('[1]Course Totals'!D$4,'[1]import graded seats course pivo'!$1:$2,2,FALSE),FALSE))),"")</f>
        <v>0.75789473684210529</v>
      </c>
      <c r="E456" s="14">
        <f>IFERROR((VLOOKUP($A456,'[1]import success seats course'!$A:S,HLOOKUP('[1]Course Totals'!E$4,'[1]import success seats course'!$1:$2,2,FALSE),FALSE)/(VLOOKUP($A456,'[1]import graded seats course pivo'!$A:AC,HLOOKUP('[1]Course Totals'!E$4,'[1]import graded seats course pivo'!$1:$2,2,FALSE),FALSE))),"")</f>
        <v>0.89743589743589747</v>
      </c>
      <c r="F456" s="14">
        <f>IFERROR((VLOOKUP($A456,'[1]import success seats course'!$A:T,HLOOKUP('[1]Course Totals'!F$4,'[1]import success seats course'!$1:$2,2,FALSE),FALSE)/(VLOOKUP($A456,'[1]import graded seats course pivo'!$A:AD,HLOOKUP('[1]Course Totals'!F$4,'[1]import graded seats course pivo'!$1:$2,2,FALSE),FALSE))),"")</f>
        <v>0.82038834951456308</v>
      </c>
      <c r="G456" s="14">
        <f>IFERROR((VLOOKUP($A456,'[1]import success seats course'!$A:U,HLOOKUP('[1]Course Totals'!G$4,'[1]import success seats course'!$1:$2,2,FALSE),FALSE)/(VLOOKUP($A456,'[1]import graded seats course pivo'!$A:AE,HLOOKUP('[1]Course Totals'!G$4,'[1]import graded seats course pivo'!$1:$2,2,FALSE),FALSE))),"")</f>
        <v>0.80473372781065089</v>
      </c>
      <c r="H456" s="14" t="str">
        <f>IFERROR((VLOOKUP($A456,'[1]import success seats course'!$A:V,HLOOKUP('[1]Course Totals'!H$4,'[1]import success seats course'!$1:$2,2,FALSE),FALSE)/(VLOOKUP($A456,'[1]import graded seats course pivo'!$A:AF,HLOOKUP('[1]Course Totals'!H$4,'[1]import graded seats course pivo'!$1:$2,2,FALSE),FALSE))),"")</f>
        <v/>
      </c>
      <c r="I456" s="14">
        <f>IFERROR((VLOOKUP($A456,'[1]import success seats course'!$A:W,HLOOKUP('[1]Course Totals'!I$4,'[1]import success seats course'!$1:$2,2,FALSE),FALSE)/(VLOOKUP($A456,'[1]import graded seats course pivo'!$A:AG,HLOOKUP('[1]Course Totals'!I$4,'[1]import graded seats course pivo'!$1:$2,2,FALSE),FALSE))),"")</f>
        <v>0.86877828054298645</v>
      </c>
      <c r="J456" s="14">
        <f>IFERROR((VLOOKUP($A456,'[1]import success seats course'!$A:X,HLOOKUP('[1]Course Totals'!J$4,'[1]import success seats course'!$1:$2,2,FALSE),FALSE)/(VLOOKUP($A456,'[1]import graded seats course pivo'!$A:AH,HLOOKUP('[1]Course Totals'!J$4,'[1]import graded seats course pivo'!$1:$2,2,FALSE),FALSE))),"")</f>
        <v>0.85492227979274615</v>
      </c>
      <c r="K456" s="14">
        <f>IFERROR((VLOOKUP($A456,'[1]import success seats course'!$A:Y,HLOOKUP('[1]Course Totals'!K$4,'[1]import success seats course'!$1:$2,2,FALSE),FALSE)/(VLOOKUP($A456,'[1]import graded seats course pivo'!$A:AI,HLOOKUP('[1]Course Totals'!K$4,'[1]import graded seats course pivo'!$1:$2,2,FALSE),FALSE))),"")</f>
        <v>1</v>
      </c>
      <c r="L456" s="14">
        <f>IFERROR((VLOOKUP($A456,'[1]import success seats course'!$A:Z,HLOOKUP('[1]Course Totals'!L$4,'[1]import success seats course'!$1:$2,2,FALSE),FALSE)/(VLOOKUP($A456,'[1]import graded seats course pivo'!$A:AJ,HLOOKUP('[1]Course Totals'!L$4,'[1]import graded seats course pivo'!$1:$2,2,FALSE),FALSE))),"")</f>
        <v>0.86301369863013699</v>
      </c>
      <c r="M456" s="14">
        <f>IFERROR((VLOOKUP($A456,'[1]import success seats course'!$A:AA,HLOOKUP('[1]Course Totals'!M$4,'[1]import success seats course'!$1:$2,2,FALSE),FALSE)/(VLOOKUP($A456,'[1]import graded seats course pivo'!$A:AK,HLOOKUP('[1]Course Totals'!M$4,'[1]import graded seats course pivo'!$1:$2,2,FALSE),FALSE))),"")</f>
        <v>0.8990825688073395</v>
      </c>
      <c r="N456" s="14" t="str">
        <f>IFERROR((VLOOKUP($A456,'[1]import success seats course'!$A:AB,HLOOKUP('[1]Course Totals'!N$4,'[1]import success seats course'!$1:$2,2,FALSE),FALSE)/(VLOOKUP($A456,'[1]import graded seats course pivo'!$A:AL,HLOOKUP('[1]Course Totals'!N$4,'[1]import graded seats course pivo'!$1:$2,2,FALSE),FALSE))),"")</f>
        <v/>
      </c>
      <c r="O456" s="14">
        <f>IFERROR((VLOOKUP($A456,'[1]import success seats course'!$A:AC,HLOOKUP('[1]Course Totals'!O$4,'[1]import success seats course'!$1:$2,2,FALSE),FALSE)/(VLOOKUP($A456,'[1]import graded seats course pivo'!$A:AM,HLOOKUP('[1]Course Totals'!O$4,'[1]import graded seats course pivo'!$1:$2,2,FALSE),FALSE))),"")</f>
        <v>0.90131578947368418</v>
      </c>
      <c r="P456" s="14">
        <f>IFERROR((VLOOKUP($A456,'[1]import success seats course'!$A:AD,HLOOKUP('[1]Course Totals'!P$4,'[1]import success seats course'!$1:$2,2,FALSE),FALSE)/(VLOOKUP($A456,'[1]import graded seats course pivo'!$A:AN,HLOOKUP('[1]Course Totals'!P$4,'[1]import graded seats course pivo'!$1:$2,2,FALSE),FALSE))),"")</f>
        <v>0.89719626168224298</v>
      </c>
      <c r="Q456" s="14" t="str">
        <f>IFERROR((VLOOKUP($A456,'[1]import success seats course'!$A:AE,HLOOKUP('[1]Course Totals'!Q$4,'[1]import success seats course'!$1:$2,2,FALSE),FALSE)/(VLOOKUP($A456,'[1]import graded seats course pivo'!$A:AO,HLOOKUP('[1]Course Totals'!Q$4,'[1]import graded seats course pivo'!$1:$2,2,FALSE),FALSE))),"")</f>
        <v/>
      </c>
      <c r="R456" s="14">
        <f>IFERROR((VLOOKUP($A456,'[1]import success seats course'!$A:AF,HLOOKUP('[1]Course Totals'!R$4,'[1]import success seats course'!$1:$2,2,FALSE),FALSE)/(VLOOKUP($A456,'[1]import graded seats course pivo'!$A:AP,HLOOKUP('[1]Course Totals'!R$4,'[1]import graded seats course pivo'!$1:$2,2,FALSE),FALSE))),"")</f>
        <v>0.91719745222929938</v>
      </c>
      <c r="S456" s="14">
        <f>IFERROR((VLOOKUP($A456,'[1]import success seats course'!$A:AG,HLOOKUP('[1]Course Totals'!S$4,'[1]import success seats course'!$1:$2,2,FALSE),FALSE)/(VLOOKUP($A456,'[1]import graded seats course pivo'!$A:AQ,HLOOKUP('[1]Course Totals'!S$4,'[1]import graded seats course pivo'!$1:$2,2,FALSE),FALSE))),"")</f>
        <v>0.82568807339449546</v>
      </c>
      <c r="Z456" s="7"/>
      <c r="AA456" s="7"/>
      <c r="AB456" s="7"/>
      <c r="AC456" s="7"/>
    </row>
    <row r="457" spans="1:29" ht="15.75" customHeight="1" x14ac:dyDescent="0.25">
      <c r="A457" s="12" t="s">
        <v>838</v>
      </c>
      <c r="B457" s="14" t="str">
        <f>IFERROR((VLOOKUP($A457,'[1]import success seats course'!$A:P,HLOOKUP('[1]Course Totals'!B$4,'[1]import success seats course'!$1:$2,2,FALSE),FALSE)/(VLOOKUP($A457,'[1]import graded seats course pivo'!$A:Z,HLOOKUP('[1]Course Totals'!B$4,'[1]import graded seats course pivo'!$1:$2,2,FALSE),FALSE))),"")</f>
        <v/>
      </c>
      <c r="C457" s="14" t="str">
        <f>IFERROR((VLOOKUP($A457,'[1]import success seats course'!$A:Q,HLOOKUP('[1]Course Totals'!C$4,'[1]import success seats course'!$1:$2,2,FALSE),FALSE)/(VLOOKUP($A457,'[1]import graded seats course pivo'!$A:AA,HLOOKUP('[1]Course Totals'!C$4,'[1]import graded seats course pivo'!$1:$2,2,FALSE),FALSE))),"")</f>
        <v/>
      </c>
      <c r="D457" s="14" t="str">
        <f>IFERROR((VLOOKUP($A457,'[1]import success seats course'!$A:R,HLOOKUP('[1]Course Totals'!D$4,'[1]import success seats course'!$1:$2,2,FALSE),FALSE)/(VLOOKUP($A457,'[1]import graded seats course pivo'!$A:AB,HLOOKUP('[1]Course Totals'!D$4,'[1]import graded seats course pivo'!$1:$2,2,FALSE),FALSE))),"")</f>
        <v/>
      </c>
      <c r="E457" s="14" t="str">
        <f>IFERROR((VLOOKUP($A457,'[1]import success seats course'!$A:S,HLOOKUP('[1]Course Totals'!E$4,'[1]import success seats course'!$1:$2,2,FALSE),FALSE)/(VLOOKUP($A457,'[1]import graded seats course pivo'!$A:AC,HLOOKUP('[1]Course Totals'!E$4,'[1]import graded seats course pivo'!$1:$2,2,FALSE),FALSE))),"")</f>
        <v/>
      </c>
      <c r="F457" s="14" t="str">
        <f>IFERROR((VLOOKUP($A457,'[1]import success seats course'!$A:T,HLOOKUP('[1]Course Totals'!F$4,'[1]import success seats course'!$1:$2,2,FALSE),FALSE)/(VLOOKUP($A457,'[1]import graded seats course pivo'!$A:AD,HLOOKUP('[1]Course Totals'!F$4,'[1]import graded seats course pivo'!$1:$2,2,FALSE),FALSE))),"")</f>
        <v/>
      </c>
      <c r="G457" s="14" t="str">
        <f>IFERROR((VLOOKUP($A457,'[1]import success seats course'!$A:U,HLOOKUP('[1]Course Totals'!G$4,'[1]import success seats course'!$1:$2,2,FALSE),FALSE)/(VLOOKUP($A457,'[1]import graded seats course pivo'!$A:AE,HLOOKUP('[1]Course Totals'!G$4,'[1]import graded seats course pivo'!$1:$2,2,FALSE),FALSE))),"")</f>
        <v/>
      </c>
      <c r="H457" s="14" t="str">
        <f>IFERROR((VLOOKUP($A457,'[1]import success seats course'!$A:V,HLOOKUP('[1]Course Totals'!H$4,'[1]import success seats course'!$1:$2,2,FALSE),FALSE)/(VLOOKUP($A457,'[1]import graded seats course pivo'!$A:AF,HLOOKUP('[1]Course Totals'!H$4,'[1]import graded seats course pivo'!$1:$2,2,FALSE),FALSE))),"")</f>
        <v/>
      </c>
      <c r="I457" s="14" t="str">
        <f>IFERROR((VLOOKUP($A457,'[1]import success seats course'!$A:W,HLOOKUP('[1]Course Totals'!I$4,'[1]import success seats course'!$1:$2,2,FALSE),FALSE)/(VLOOKUP($A457,'[1]import graded seats course pivo'!$A:AG,HLOOKUP('[1]Course Totals'!I$4,'[1]import graded seats course pivo'!$1:$2,2,FALSE),FALSE))),"")</f>
        <v/>
      </c>
      <c r="J457" s="14" t="str">
        <f>IFERROR((VLOOKUP($A457,'[1]import success seats course'!$A:X,HLOOKUP('[1]Course Totals'!J$4,'[1]import success seats course'!$1:$2,2,FALSE),FALSE)/(VLOOKUP($A457,'[1]import graded seats course pivo'!$A:AH,HLOOKUP('[1]Course Totals'!J$4,'[1]import graded seats course pivo'!$1:$2,2,FALSE),FALSE))),"")</f>
        <v/>
      </c>
      <c r="K457" s="14" t="str">
        <f>IFERROR((VLOOKUP($A457,'[1]import success seats course'!$A:Y,HLOOKUP('[1]Course Totals'!K$4,'[1]import success seats course'!$1:$2,2,FALSE),FALSE)/(VLOOKUP($A457,'[1]import graded seats course pivo'!$A:AI,HLOOKUP('[1]Course Totals'!K$4,'[1]import graded seats course pivo'!$1:$2,2,FALSE),FALSE))),"")</f>
        <v/>
      </c>
      <c r="L457" s="14" t="str">
        <f>IFERROR((VLOOKUP($A457,'[1]import success seats course'!$A:Z,HLOOKUP('[1]Course Totals'!L$4,'[1]import success seats course'!$1:$2,2,FALSE),FALSE)/(VLOOKUP($A457,'[1]import graded seats course pivo'!$A:AJ,HLOOKUP('[1]Course Totals'!L$4,'[1]import graded seats course pivo'!$1:$2,2,FALSE),FALSE))),"")</f>
        <v/>
      </c>
      <c r="M457" s="14" t="str">
        <f>IFERROR((VLOOKUP($A457,'[1]import success seats course'!$A:AA,HLOOKUP('[1]Course Totals'!M$4,'[1]import success seats course'!$1:$2,2,FALSE),FALSE)/(VLOOKUP($A457,'[1]import graded seats course pivo'!$A:AK,HLOOKUP('[1]Course Totals'!M$4,'[1]import graded seats course pivo'!$1:$2,2,FALSE),FALSE))),"")</f>
        <v/>
      </c>
      <c r="N457" s="14" t="str">
        <f>IFERROR((VLOOKUP($A457,'[1]import success seats course'!$A:AB,HLOOKUP('[1]Course Totals'!N$4,'[1]import success seats course'!$1:$2,2,FALSE),FALSE)/(VLOOKUP($A457,'[1]import graded seats course pivo'!$A:AL,HLOOKUP('[1]Course Totals'!N$4,'[1]import graded seats course pivo'!$1:$2,2,FALSE),FALSE))),"")</f>
        <v/>
      </c>
      <c r="O457" s="14" t="str">
        <f>IFERROR((VLOOKUP($A457,'[1]import success seats course'!$A:AC,HLOOKUP('[1]Course Totals'!O$4,'[1]import success seats course'!$1:$2,2,FALSE),FALSE)/(VLOOKUP($A457,'[1]import graded seats course pivo'!$A:AM,HLOOKUP('[1]Course Totals'!O$4,'[1]import graded seats course pivo'!$1:$2,2,FALSE),FALSE))),"")</f>
        <v/>
      </c>
      <c r="P457" s="14">
        <f>IFERROR((VLOOKUP($A457,'[1]import success seats course'!$A:AD,HLOOKUP('[1]Course Totals'!P$4,'[1]import success seats course'!$1:$2,2,FALSE),FALSE)/(VLOOKUP($A457,'[1]import graded seats course pivo'!$A:AN,HLOOKUP('[1]Course Totals'!P$4,'[1]import graded seats course pivo'!$1:$2,2,FALSE),FALSE))),"")</f>
        <v>1</v>
      </c>
      <c r="Q457" s="14" t="str">
        <f>IFERROR((VLOOKUP($A457,'[1]import success seats course'!$A:AE,HLOOKUP('[1]Course Totals'!Q$4,'[1]import success seats course'!$1:$2,2,FALSE),FALSE)/(VLOOKUP($A457,'[1]import graded seats course pivo'!$A:AO,HLOOKUP('[1]Course Totals'!Q$4,'[1]import graded seats course pivo'!$1:$2,2,FALSE),FALSE))),"")</f>
        <v/>
      </c>
      <c r="R457" s="14">
        <f>IFERROR((VLOOKUP($A457,'[1]import success seats course'!$A:AF,HLOOKUP('[1]Course Totals'!R$4,'[1]import success seats course'!$1:$2,2,FALSE),FALSE)/(VLOOKUP($A457,'[1]import graded seats course pivo'!$A:AP,HLOOKUP('[1]Course Totals'!R$4,'[1]import graded seats course pivo'!$1:$2,2,FALSE),FALSE))),"")</f>
        <v>1</v>
      </c>
      <c r="S457" s="14">
        <f>IFERROR((VLOOKUP($A457,'[1]import success seats course'!$A:AG,HLOOKUP('[1]Course Totals'!S$4,'[1]import success seats course'!$1:$2,2,FALSE),FALSE)/(VLOOKUP($A457,'[1]import graded seats course pivo'!$A:AQ,HLOOKUP('[1]Course Totals'!S$4,'[1]import graded seats course pivo'!$1:$2,2,FALSE),FALSE))),"")</f>
        <v>1</v>
      </c>
      <c r="Z457" s="7"/>
      <c r="AA457" s="7"/>
      <c r="AB457" s="7"/>
      <c r="AC457" s="7"/>
    </row>
    <row r="458" spans="1:29" ht="15.75" customHeight="1" x14ac:dyDescent="0.25">
      <c r="A458" s="12" t="s">
        <v>222</v>
      </c>
      <c r="B458" s="14">
        <f>IFERROR((VLOOKUP($A458,'[1]import success seats course'!$A:P,HLOOKUP('[1]Course Totals'!B$4,'[1]import success seats course'!$1:$2,2,FALSE),FALSE)/(VLOOKUP($A458,'[1]import graded seats course pivo'!$A:Z,HLOOKUP('[1]Course Totals'!B$4,'[1]import graded seats course pivo'!$1:$2,2,FALSE),FALSE))),"")</f>
        <v>0.82608695652173914</v>
      </c>
      <c r="C458" s="14">
        <f>IFERROR((VLOOKUP($A458,'[1]import success seats course'!$A:Q,HLOOKUP('[1]Course Totals'!C$4,'[1]import success seats course'!$1:$2,2,FALSE),FALSE)/(VLOOKUP($A458,'[1]import graded seats course pivo'!$A:AA,HLOOKUP('[1]Course Totals'!C$4,'[1]import graded seats course pivo'!$1:$2,2,FALSE),FALSE))),"")</f>
        <v>0.823943661971831</v>
      </c>
      <c r="D458" s="14">
        <f>IFERROR((VLOOKUP($A458,'[1]import success seats course'!$A:R,HLOOKUP('[1]Course Totals'!D$4,'[1]import success seats course'!$1:$2,2,FALSE),FALSE)/(VLOOKUP($A458,'[1]import graded seats course pivo'!$A:AB,HLOOKUP('[1]Course Totals'!D$4,'[1]import graded seats course pivo'!$1:$2,2,FALSE),FALSE))),"")</f>
        <v>0.80303030303030298</v>
      </c>
      <c r="E458" s="14">
        <f>IFERROR((VLOOKUP($A458,'[1]import success seats course'!$A:S,HLOOKUP('[1]Course Totals'!E$4,'[1]import success seats course'!$1:$2,2,FALSE),FALSE)/(VLOOKUP($A458,'[1]import graded seats course pivo'!$A:AC,HLOOKUP('[1]Course Totals'!E$4,'[1]import graded seats course pivo'!$1:$2,2,FALSE),FALSE))),"")</f>
        <v>0.85</v>
      </c>
      <c r="F458" s="14">
        <f>IFERROR((VLOOKUP($A458,'[1]import success seats course'!$A:T,HLOOKUP('[1]Course Totals'!F$4,'[1]import success seats course'!$1:$2,2,FALSE),FALSE)/(VLOOKUP($A458,'[1]import graded seats course pivo'!$A:AD,HLOOKUP('[1]Course Totals'!F$4,'[1]import graded seats course pivo'!$1:$2,2,FALSE),FALSE))),"")</f>
        <v>0.82399999999999995</v>
      </c>
      <c r="G458" s="14">
        <f>IFERROR((VLOOKUP($A458,'[1]import success seats course'!$A:U,HLOOKUP('[1]Course Totals'!G$4,'[1]import success seats course'!$1:$2,2,FALSE),FALSE)/(VLOOKUP($A458,'[1]import graded seats course pivo'!$A:AE,HLOOKUP('[1]Course Totals'!G$4,'[1]import graded seats course pivo'!$1:$2,2,FALSE),FALSE))),"")</f>
        <v>0.86470588235294121</v>
      </c>
      <c r="H458" s="14" t="str">
        <f>IFERROR((VLOOKUP($A458,'[1]import success seats course'!$A:V,HLOOKUP('[1]Course Totals'!H$4,'[1]import success seats course'!$1:$2,2,FALSE),FALSE)/(VLOOKUP($A458,'[1]import graded seats course pivo'!$A:AF,HLOOKUP('[1]Course Totals'!H$4,'[1]import graded seats course pivo'!$1:$2,2,FALSE),FALSE))),"")</f>
        <v/>
      </c>
      <c r="I458" s="14">
        <f>IFERROR((VLOOKUP($A458,'[1]import success seats course'!$A:W,HLOOKUP('[1]Course Totals'!I$4,'[1]import success seats course'!$1:$2,2,FALSE),FALSE)/(VLOOKUP($A458,'[1]import graded seats course pivo'!$A:AG,HLOOKUP('[1]Course Totals'!I$4,'[1]import graded seats course pivo'!$1:$2,2,FALSE),FALSE))),"")</f>
        <v>0.91269841269841268</v>
      </c>
      <c r="J458" s="14">
        <f>IFERROR((VLOOKUP($A458,'[1]import success seats course'!$A:X,HLOOKUP('[1]Course Totals'!J$4,'[1]import success seats course'!$1:$2,2,FALSE),FALSE)/(VLOOKUP($A458,'[1]import graded seats course pivo'!$A:AH,HLOOKUP('[1]Course Totals'!J$4,'[1]import graded seats course pivo'!$1:$2,2,FALSE),FALSE))),"")</f>
        <v>0.8571428571428571</v>
      </c>
      <c r="K458" s="14" t="str">
        <f>IFERROR((VLOOKUP($A458,'[1]import success seats course'!$A:Y,HLOOKUP('[1]Course Totals'!K$4,'[1]import success seats course'!$1:$2,2,FALSE),FALSE)/(VLOOKUP($A458,'[1]import graded seats course pivo'!$A:AI,HLOOKUP('[1]Course Totals'!K$4,'[1]import graded seats course pivo'!$1:$2,2,FALSE),FALSE))),"")</f>
        <v/>
      </c>
      <c r="L458" s="14">
        <f>IFERROR((VLOOKUP($A458,'[1]import success seats course'!$A:Z,HLOOKUP('[1]Course Totals'!L$4,'[1]import success seats course'!$1:$2,2,FALSE),FALSE)/(VLOOKUP($A458,'[1]import graded seats course pivo'!$A:AJ,HLOOKUP('[1]Course Totals'!L$4,'[1]import graded seats course pivo'!$1:$2,2,FALSE),FALSE))),"")</f>
        <v>0.90217391304347827</v>
      </c>
      <c r="M458" s="14">
        <f>IFERROR((VLOOKUP($A458,'[1]import success seats course'!$A:AA,HLOOKUP('[1]Course Totals'!M$4,'[1]import success seats course'!$1:$2,2,FALSE),FALSE)/(VLOOKUP($A458,'[1]import graded seats course pivo'!$A:AK,HLOOKUP('[1]Course Totals'!M$4,'[1]import graded seats course pivo'!$1:$2,2,FALSE),FALSE))),"")</f>
        <v>0.92405063291139244</v>
      </c>
      <c r="N458" s="14" t="str">
        <f>IFERROR((VLOOKUP($A458,'[1]import success seats course'!$A:AB,HLOOKUP('[1]Course Totals'!N$4,'[1]import success seats course'!$1:$2,2,FALSE),FALSE)/(VLOOKUP($A458,'[1]import graded seats course pivo'!$A:AL,HLOOKUP('[1]Course Totals'!N$4,'[1]import graded seats course pivo'!$1:$2,2,FALSE),FALSE))),"")</f>
        <v/>
      </c>
      <c r="O458" s="14">
        <f>IFERROR((VLOOKUP($A458,'[1]import success seats course'!$A:AC,HLOOKUP('[1]Course Totals'!O$4,'[1]import success seats course'!$1:$2,2,FALSE),FALSE)/(VLOOKUP($A458,'[1]import graded seats course pivo'!$A:AM,HLOOKUP('[1]Course Totals'!O$4,'[1]import graded seats course pivo'!$1:$2,2,FALSE),FALSE))),"")</f>
        <v>0.86250000000000004</v>
      </c>
      <c r="P458" s="14">
        <f>IFERROR((VLOOKUP($A458,'[1]import success seats course'!$A:AD,HLOOKUP('[1]Course Totals'!P$4,'[1]import success seats course'!$1:$2,2,FALSE),FALSE)/(VLOOKUP($A458,'[1]import graded seats course pivo'!$A:AN,HLOOKUP('[1]Course Totals'!P$4,'[1]import graded seats course pivo'!$1:$2,2,FALSE),FALSE))),"")</f>
        <v>0.87610619469026552</v>
      </c>
      <c r="Q458" s="14" t="str">
        <f>IFERROR((VLOOKUP($A458,'[1]import success seats course'!$A:AE,HLOOKUP('[1]Course Totals'!Q$4,'[1]import success seats course'!$1:$2,2,FALSE),FALSE)/(VLOOKUP($A458,'[1]import graded seats course pivo'!$A:AO,HLOOKUP('[1]Course Totals'!Q$4,'[1]import graded seats course pivo'!$1:$2,2,FALSE),FALSE))),"")</f>
        <v/>
      </c>
      <c r="R458" s="14">
        <f>IFERROR((VLOOKUP($A458,'[1]import success seats course'!$A:AF,HLOOKUP('[1]Course Totals'!R$4,'[1]import success seats course'!$1:$2,2,FALSE),FALSE)/(VLOOKUP($A458,'[1]import graded seats course pivo'!$A:AP,HLOOKUP('[1]Course Totals'!R$4,'[1]import graded seats course pivo'!$1:$2,2,FALSE),FALSE))),"")</f>
        <v>0.89156626506024095</v>
      </c>
      <c r="S458" s="14">
        <f>IFERROR((VLOOKUP($A458,'[1]import success seats course'!$A:AG,HLOOKUP('[1]Course Totals'!S$4,'[1]import success seats course'!$1:$2,2,FALSE),FALSE)/(VLOOKUP($A458,'[1]import graded seats course pivo'!$A:AQ,HLOOKUP('[1]Course Totals'!S$4,'[1]import graded seats course pivo'!$1:$2,2,FALSE),FALSE))),"")</f>
        <v>0.87850467289719625</v>
      </c>
      <c r="Z458" s="7"/>
      <c r="AA458" s="7"/>
      <c r="AB458" s="7"/>
      <c r="AC458" s="7"/>
    </row>
    <row r="459" spans="1:29" s="7" customFormat="1" ht="15.75" customHeight="1" x14ac:dyDescent="0.25">
      <c r="A459" s="12" t="s">
        <v>1141</v>
      </c>
      <c r="B459" s="14" t="str">
        <f>IFERROR((VLOOKUP($A459,'[1]import success seats course'!$A:P,HLOOKUP('[1]Course Totals'!B$4,'[1]import success seats course'!$1:$2,2,FALSE),FALSE)/(VLOOKUP($A459,'[1]import graded seats course pivo'!$A:Z,HLOOKUP('[1]Course Totals'!B$4,'[1]import graded seats course pivo'!$1:$2,2,FALSE),FALSE))),"")</f>
        <v/>
      </c>
      <c r="C459" s="14" t="str">
        <f>IFERROR((VLOOKUP($A459,'[1]import success seats course'!$A:Q,HLOOKUP('[1]Course Totals'!C$4,'[1]import success seats course'!$1:$2,2,FALSE),FALSE)/(VLOOKUP($A459,'[1]import graded seats course pivo'!$A:AA,HLOOKUP('[1]Course Totals'!C$4,'[1]import graded seats course pivo'!$1:$2,2,FALSE),FALSE))),"")</f>
        <v/>
      </c>
      <c r="D459" s="14" t="str">
        <f>IFERROR((VLOOKUP($A459,'[1]import success seats course'!$A:R,HLOOKUP('[1]Course Totals'!D$4,'[1]import success seats course'!$1:$2,2,FALSE),FALSE)/(VLOOKUP($A459,'[1]import graded seats course pivo'!$A:AB,HLOOKUP('[1]Course Totals'!D$4,'[1]import graded seats course pivo'!$1:$2,2,FALSE),FALSE))),"")</f>
        <v/>
      </c>
      <c r="E459" s="14" t="str">
        <f>IFERROR((VLOOKUP($A459,'[1]import success seats course'!$A:S,HLOOKUP('[1]Course Totals'!E$4,'[1]import success seats course'!$1:$2,2,FALSE),FALSE)/(VLOOKUP($A459,'[1]import graded seats course pivo'!$A:AC,HLOOKUP('[1]Course Totals'!E$4,'[1]import graded seats course pivo'!$1:$2,2,FALSE),FALSE))),"")</f>
        <v/>
      </c>
      <c r="F459" s="14" t="str">
        <f>IFERROR((VLOOKUP($A459,'[1]import success seats course'!$A:T,HLOOKUP('[1]Course Totals'!F$4,'[1]import success seats course'!$1:$2,2,FALSE),FALSE)/(VLOOKUP($A459,'[1]import graded seats course pivo'!$A:AD,HLOOKUP('[1]Course Totals'!F$4,'[1]import graded seats course pivo'!$1:$2,2,FALSE),FALSE))),"")</f>
        <v/>
      </c>
      <c r="G459" s="14" t="str">
        <f>IFERROR((VLOOKUP($A459,'[1]import success seats course'!$A:U,HLOOKUP('[1]Course Totals'!G$4,'[1]import success seats course'!$1:$2,2,FALSE),FALSE)/(VLOOKUP($A459,'[1]import graded seats course pivo'!$A:AE,HLOOKUP('[1]Course Totals'!G$4,'[1]import graded seats course pivo'!$1:$2,2,FALSE),FALSE))),"")</f>
        <v/>
      </c>
      <c r="H459" s="14" t="str">
        <f>IFERROR((VLOOKUP($A459,'[1]import success seats course'!$A:V,HLOOKUP('[1]Course Totals'!H$4,'[1]import success seats course'!$1:$2,2,FALSE),FALSE)/(VLOOKUP($A459,'[1]import graded seats course pivo'!$A:AF,HLOOKUP('[1]Course Totals'!H$4,'[1]import graded seats course pivo'!$1:$2,2,FALSE),FALSE))),"")</f>
        <v/>
      </c>
      <c r="I459" s="14" t="str">
        <f>IFERROR((VLOOKUP($A459,'[1]import success seats course'!$A:W,HLOOKUP('[1]Course Totals'!I$4,'[1]import success seats course'!$1:$2,2,FALSE),FALSE)/(VLOOKUP($A459,'[1]import graded seats course pivo'!$A:AG,HLOOKUP('[1]Course Totals'!I$4,'[1]import graded seats course pivo'!$1:$2,2,FALSE),FALSE))),"")</f>
        <v/>
      </c>
      <c r="J459" s="14" t="str">
        <f>IFERROR((VLOOKUP($A459,'[1]import success seats course'!$A:X,HLOOKUP('[1]Course Totals'!J$4,'[1]import success seats course'!$1:$2,2,FALSE),FALSE)/(VLOOKUP($A459,'[1]import graded seats course pivo'!$A:AH,HLOOKUP('[1]Course Totals'!J$4,'[1]import graded seats course pivo'!$1:$2,2,FALSE),FALSE))),"")</f>
        <v/>
      </c>
      <c r="K459" s="14" t="str">
        <f>IFERROR((VLOOKUP($A459,'[1]import success seats course'!$A:Y,HLOOKUP('[1]Course Totals'!K$4,'[1]import success seats course'!$1:$2,2,FALSE),FALSE)/(VLOOKUP($A459,'[1]import graded seats course pivo'!$A:AI,HLOOKUP('[1]Course Totals'!K$4,'[1]import graded seats course pivo'!$1:$2,2,FALSE),FALSE))),"")</f>
        <v/>
      </c>
      <c r="L459" s="14" t="str">
        <f>IFERROR((VLOOKUP($A459,'[1]import success seats course'!$A:Z,HLOOKUP('[1]Course Totals'!L$4,'[1]import success seats course'!$1:$2,2,FALSE),FALSE)/(VLOOKUP($A459,'[1]import graded seats course pivo'!$A:AJ,HLOOKUP('[1]Course Totals'!L$4,'[1]import graded seats course pivo'!$1:$2,2,FALSE),FALSE))),"")</f>
        <v/>
      </c>
      <c r="M459" s="14" t="str">
        <f>IFERROR((VLOOKUP($A459,'[1]import success seats course'!$A:AA,HLOOKUP('[1]Course Totals'!M$4,'[1]import success seats course'!$1:$2,2,FALSE),FALSE)/(VLOOKUP($A459,'[1]import graded seats course pivo'!$A:AK,HLOOKUP('[1]Course Totals'!M$4,'[1]import graded seats course pivo'!$1:$2,2,FALSE),FALSE))),"")</f>
        <v/>
      </c>
      <c r="N459" s="14" t="str">
        <f>IFERROR((VLOOKUP($A459,'[1]import success seats course'!$A:AB,HLOOKUP('[1]Course Totals'!N$4,'[1]import success seats course'!$1:$2,2,FALSE),FALSE)/(VLOOKUP($A459,'[1]import graded seats course pivo'!$A:AL,HLOOKUP('[1]Course Totals'!N$4,'[1]import graded seats course pivo'!$1:$2,2,FALSE),FALSE))),"")</f>
        <v/>
      </c>
      <c r="O459" s="14" t="str">
        <f>IFERROR((VLOOKUP($A459,'[1]import success seats course'!$A:AC,HLOOKUP('[1]Course Totals'!O$4,'[1]import success seats course'!$1:$2,2,FALSE),FALSE)/(VLOOKUP($A459,'[1]import graded seats course pivo'!$A:AM,HLOOKUP('[1]Course Totals'!O$4,'[1]import graded seats course pivo'!$1:$2,2,FALSE),FALSE))),"")</f>
        <v/>
      </c>
      <c r="P459" s="14">
        <f>IFERROR((VLOOKUP($A459,'[1]import success seats course'!$A:AD,HLOOKUP('[1]Course Totals'!P$4,'[1]import success seats course'!$1:$2,2,FALSE),FALSE)/(VLOOKUP($A459,'[1]import graded seats course pivo'!$A:AN,HLOOKUP('[1]Course Totals'!P$4,'[1]import graded seats course pivo'!$1:$2,2,FALSE),FALSE))),"")</f>
        <v>0.90909090909090906</v>
      </c>
      <c r="Q459" s="14" t="str">
        <f>IFERROR((VLOOKUP($A459,'[1]import success seats course'!$A:AE,HLOOKUP('[1]Course Totals'!Q$4,'[1]import success seats course'!$1:$2,2,FALSE),FALSE)/(VLOOKUP($A459,'[1]import graded seats course pivo'!$A:AO,HLOOKUP('[1]Course Totals'!Q$4,'[1]import graded seats course pivo'!$1:$2,2,FALSE),FALSE))),"")</f>
        <v/>
      </c>
      <c r="R459" s="14">
        <f>IFERROR((VLOOKUP($A459,'[1]import success seats course'!$A:AF,HLOOKUP('[1]Course Totals'!R$4,'[1]import success seats course'!$1:$2,2,FALSE),FALSE)/(VLOOKUP($A459,'[1]import graded seats course pivo'!$A:AP,HLOOKUP('[1]Course Totals'!R$4,'[1]import graded seats course pivo'!$1:$2,2,FALSE),FALSE))),"")</f>
        <v>0.875</v>
      </c>
      <c r="S459" s="14">
        <f>IFERROR((VLOOKUP($A459,'[1]import success seats course'!$A:AG,HLOOKUP('[1]Course Totals'!S$4,'[1]import success seats course'!$1:$2,2,FALSE),FALSE)/(VLOOKUP($A459,'[1]import graded seats course pivo'!$A:AQ,HLOOKUP('[1]Course Totals'!S$4,'[1]import graded seats course pivo'!$1:$2,2,FALSE),FALSE))),"")</f>
        <v>0.77777777777777779</v>
      </c>
    </row>
    <row r="460" spans="1:29" ht="15.75" customHeight="1" thickBot="1" x14ac:dyDescent="0.3">
      <c r="A460" s="8" t="str">
        <f>'[1]SUBJECTS BASE'!H23</f>
        <v>Education/Teacher Preparation</v>
      </c>
      <c r="B460" s="38" t="s">
        <v>1046</v>
      </c>
      <c r="C460" s="39" t="s">
        <v>0</v>
      </c>
      <c r="D460" s="40" t="s">
        <v>868</v>
      </c>
      <c r="E460" s="41" t="s">
        <v>1052</v>
      </c>
      <c r="F460" s="42" t="s">
        <v>546</v>
      </c>
      <c r="G460" s="43" t="s">
        <v>959</v>
      </c>
      <c r="H460" s="44" t="s">
        <v>1060</v>
      </c>
      <c r="I460" s="39" t="s">
        <v>675</v>
      </c>
      <c r="J460" s="45" t="s">
        <v>1006</v>
      </c>
      <c r="K460" s="46" t="s">
        <v>1062</v>
      </c>
      <c r="L460" s="42" t="s">
        <v>762</v>
      </c>
      <c r="M460" s="43" t="s">
        <v>1022</v>
      </c>
      <c r="N460" s="44" t="s">
        <v>1063</v>
      </c>
      <c r="O460" s="39" t="s">
        <v>822</v>
      </c>
      <c r="P460" s="40" t="s">
        <v>1042</v>
      </c>
      <c r="Q460" s="46" t="s">
        <v>1153</v>
      </c>
      <c r="R460" s="42" t="s">
        <v>1154</v>
      </c>
      <c r="S460" s="43" t="s">
        <v>1155</v>
      </c>
      <c r="Z460" s="7"/>
      <c r="AA460" s="7"/>
      <c r="AB460" s="7"/>
      <c r="AC460" s="7"/>
    </row>
    <row r="461" spans="1:29" ht="15.75" customHeight="1" x14ac:dyDescent="0.25">
      <c r="A461" s="12" t="s">
        <v>977</v>
      </c>
      <c r="B461" s="14" t="str">
        <f>IFERROR((VLOOKUP($A461,'[1]import success seats course'!$A:P,HLOOKUP('[1]Course Totals'!B$4,'[1]import success seats course'!$1:$2,2,FALSE),FALSE)/(VLOOKUP($A461,'[1]import graded seats course pivo'!$A:Z,HLOOKUP('[1]Course Totals'!B$4,'[1]import graded seats course pivo'!$1:$2,2,FALSE),FALSE))),"")</f>
        <v/>
      </c>
      <c r="C461" s="14" t="str">
        <f>IFERROR((VLOOKUP($A461,'[1]import success seats course'!$A:Q,HLOOKUP('[1]Course Totals'!C$4,'[1]import success seats course'!$1:$2,2,FALSE),FALSE)/(VLOOKUP($A461,'[1]import graded seats course pivo'!$A:AA,HLOOKUP('[1]Course Totals'!C$4,'[1]import graded seats course pivo'!$1:$2,2,FALSE),FALSE))),"")</f>
        <v/>
      </c>
      <c r="D461" s="14" t="str">
        <f>IFERROR((VLOOKUP($A461,'[1]import success seats course'!$A:R,HLOOKUP('[1]Course Totals'!D$4,'[1]import success seats course'!$1:$2,2,FALSE),FALSE)/(VLOOKUP($A461,'[1]import graded seats course pivo'!$A:AB,HLOOKUP('[1]Course Totals'!D$4,'[1]import graded seats course pivo'!$1:$2,2,FALSE),FALSE))),"")</f>
        <v/>
      </c>
      <c r="E461" s="14" t="str">
        <f>IFERROR((VLOOKUP($A461,'[1]import success seats course'!$A:S,HLOOKUP('[1]Course Totals'!E$4,'[1]import success seats course'!$1:$2,2,FALSE),FALSE)/(VLOOKUP($A461,'[1]import graded seats course pivo'!$A:AC,HLOOKUP('[1]Course Totals'!E$4,'[1]import graded seats course pivo'!$1:$2,2,FALSE),FALSE))),"")</f>
        <v/>
      </c>
      <c r="F461" s="14" t="str">
        <f>IFERROR((VLOOKUP($A461,'[1]import success seats course'!$A:T,HLOOKUP('[1]Course Totals'!F$4,'[1]import success seats course'!$1:$2,2,FALSE),FALSE)/(VLOOKUP($A461,'[1]import graded seats course pivo'!$A:AD,HLOOKUP('[1]Course Totals'!F$4,'[1]import graded seats course pivo'!$1:$2,2,FALSE),FALSE))),"")</f>
        <v/>
      </c>
      <c r="G461" s="14">
        <f>IFERROR((VLOOKUP($A461,'[1]import success seats course'!$A:U,HLOOKUP('[1]Course Totals'!G$4,'[1]import success seats course'!$1:$2,2,FALSE),FALSE)/(VLOOKUP($A461,'[1]import graded seats course pivo'!$A:AE,HLOOKUP('[1]Course Totals'!G$4,'[1]import graded seats course pivo'!$1:$2,2,FALSE),FALSE))),"")</f>
        <v>1</v>
      </c>
      <c r="H461" s="14" t="str">
        <f>IFERROR((VLOOKUP($A461,'[1]import success seats course'!$A:V,HLOOKUP('[1]Course Totals'!H$4,'[1]import success seats course'!$1:$2,2,FALSE),FALSE)/(VLOOKUP($A461,'[1]import graded seats course pivo'!$A:AF,HLOOKUP('[1]Course Totals'!H$4,'[1]import graded seats course pivo'!$1:$2,2,FALSE),FALSE))),"")</f>
        <v/>
      </c>
      <c r="I461" s="14" t="str">
        <f>IFERROR((VLOOKUP($A461,'[1]import success seats course'!$A:W,HLOOKUP('[1]Course Totals'!I$4,'[1]import success seats course'!$1:$2,2,FALSE),FALSE)/(VLOOKUP($A461,'[1]import graded seats course pivo'!$A:AG,HLOOKUP('[1]Course Totals'!I$4,'[1]import graded seats course pivo'!$1:$2,2,FALSE),FALSE))),"")</f>
        <v/>
      </c>
      <c r="J461" s="14">
        <f>IFERROR((VLOOKUP($A461,'[1]import success seats course'!$A:X,HLOOKUP('[1]Course Totals'!J$4,'[1]import success seats course'!$1:$2,2,FALSE),FALSE)/(VLOOKUP($A461,'[1]import graded seats course pivo'!$A:AH,HLOOKUP('[1]Course Totals'!J$4,'[1]import graded seats course pivo'!$1:$2,2,FALSE),FALSE))),"")</f>
        <v>0.7142857142857143</v>
      </c>
      <c r="K461" s="14" t="str">
        <f>IFERROR((VLOOKUP($A461,'[1]import success seats course'!$A:Y,HLOOKUP('[1]Course Totals'!K$4,'[1]import success seats course'!$1:$2,2,FALSE),FALSE)/(VLOOKUP($A461,'[1]import graded seats course pivo'!$A:AI,HLOOKUP('[1]Course Totals'!K$4,'[1]import graded seats course pivo'!$1:$2,2,FALSE),FALSE))),"")</f>
        <v/>
      </c>
      <c r="L461" s="14" t="str">
        <f>IFERROR((VLOOKUP($A461,'[1]import success seats course'!$A:Z,HLOOKUP('[1]Course Totals'!L$4,'[1]import success seats course'!$1:$2,2,FALSE),FALSE)/(VLOOKUP($A461,'[1]import graded seats course pivo'!$A:AJ,HLOOKUP('[1]Course Totals'!L$4,'[1]import graded seats course pivo'!$1:$2,2,FALSE),FALSE))),"")</f>
        <v/>
      </c>
      <c r="M461" s="14">
        <f>IFERROR((VLOOKUP($A461,'[1]import success seats course'!$A:AA,HLOOKUP('[1]Course Totals'!M$4,'[1]import success seats course'!$1:$2,2,FALSE),FALSE)/(VLOOKUP($A461,'[1]import graded seats course pivo'!$A:AK,HLOOKUP('[1]Course Totals'!M$4,'[1]import graded seats course pivo'!$1:$2,2,FALSE),FALSE))),"")</f>
        <v>0.66666666666666663</v>
      </c>
      <c r="N461" s="14" t="str">
        <f>IFERROR((VLOOKUP($A461,'[1]import success seats course'!$A:AB,HLOOKUP('[1]Course Totals'!N$4,'[1]import success seats course'!$1:$2,2,FALSE),FALSE)/(VLOOKUP($A461,'[1]import graded seats course pivo'!$A:AL,HLOOKUP('[1]Course Totals'!N$4,'[1]import graded seats course pivo'!$1:$2,2,FALSE),FALSE))),"")</f>
        <v/>
      </c>
      <c r="O461" s="14" t="str">
        <f>IFERROR((VLOOKUP($A461,'[1]import success seats course'!$A:AC,HLOOKUP('[1]Course Totals'!O$4,'[1]import success seats course'!$1:$2,2,FALSE),FALSE)/(VLOOKUP($A461,'[1]import graded seats course pivo'!$A:AM,HLOOKUP('[1]Course Totals'!O$4,'[1]import graded seats course pivo'!$1:$2,2,FALSE),FALSE))),"")</f>
        <v/>
      </c>
      <c r="P461" s="14" t="str">
        <f>IFERROR((VLOOKUP($A461,'[1]import success seats course'!$A:AD,HLOOKUP('[1]Course Totals'!P$4,'[1]import success seats course'!$1:$2,2,FALSE),FALSE)/(VLOOKUP($A461,'[1]import graded seats course pivo'!$A:AN,HLOOKUP('[1]Course Totals'!P$4,'[1]import graded seats course pivo'!$1:$2,2,FALSE),FALSE))),"")</f>
        <v/>
      </c>
      <c r="Q461" s="14" t="str">
        <f>IFERROR((VLOOKUP($A461,'[1]import success seats course'!$A:AE,HLOOKUP('[1]Course Totals'!Q$4,'[1]import success seats course'!$1:$2,2,FALSE),FALSE)/(VLOOKUP($A461,'[1]import graded seats course pivo'!$A:AO,HLOOKUP('[1]Course Totals'!Q$4,'[1]import graded seats course pivo'!$1:$2,2,FALSE),FALSE))),"")</f>
        <v/>
      </c>
      <c r="R461" s="14" t="str">
        <f>IFERROR((VLOOKUP($A461,'[1]import success seats course'!$A:AF,HLOOKUP('[1]Course Totals'!R$4,'[1]import success seats course'!$1:$2,2,FALSE),FALSE)/(VLOOKUP($A461,'[1]import graded seats course pivo'!$A:AP,HLOOKUP('[1]Course Totals'!R$4,'[1]import graded seats course pivo'!$1:$2,2,FALSE),FALSE))),"")</f>
        <v/>
      </c>
      <c r="S461" s="14">
        <f>IFERROR((VLOOKUP($A461,'[1]import success seats course'!$A:AG,HLOOKUP('[1]Course Totals'!S$4,'[1]import success seats course'!$1:$2,2,FALSE),FALSE)/(VLOOKUP($A461,'[1]import graded seats course pivo'!$A:AQ,HLOOKUP('[1]Course Totals'!S$4,'[1]import graded seats course pivo'!$1:$2,2,FALSE),FALSE))),"")</f>
        <v>1</v>
      </c>
      <c r="Z461" s="7"/>
      <c r="AA461" s="7"/>
      <c r="AB461" s="7"/>
      <c r="AC461" s="7"/>
    </row>
    <row r="462" spans="1:29" ht="15.75" customHeight="1" x14ac:dyDescent="0.25">
      <c r="A462" s="12" t="s">
        <v>223</v>
      </c>
      <c r="B462" s="14" t="str">
        <f>IFERROR((VLOOKUP($A462,'[1]import success seats course'!$A:P,HLOOKUP('[1]Course Totals'!B$4,'[1]import success seats course'!$1:$2,2,FALSE),FALSE)/(VLOOKUP($A462,'[1]import graded seats course pivo'!$A:Z,HLOOKUP('[1]Course Totals'!B$4,'[1]import graded seats course pivo'!$1:$2,2,FALSE),FALSE))),"")</f>
        <v/>
      </c>
      <c r="C462" s="14" t="str">
        <f>IFERROR((VLOOKUP($A462,'[1]import success seats course'!$A:Q,HLOOKUP('[1]Course Totals'!C$4,'[1]import success seats course'!$1:$2,2,FALSE),FALSE)/(VLOOKUP($A462,'[1]import graded seats course pivo'!$A:AA,HLOOKUP('[1]Course Totals'!C$4,'[1]import graded seats course pivo'!$1:$2,2,FALSE),FALSE))),"")</f>
        <v/>
      </c>
      <c r="D462" s="14">
        <f>IFERROR((VLOOKUP($A462,'[1]import success seats course'!$A:R,HLOOKUP('[1]Course Totals'!D$4,'[1]import success seats course'!$1:$2,2,FALSE),FALSE)/(VLOOKUP($A462,'[1]import graded seats course pivo'!$A:AB,HLOOKUP('[1]Course Totals'!D$4,'[1]import graded seats course pivo'!$1:$2,2,FALSE),FALSE))),"")</f>
        <v>0.8666666666666667</v>
      </c>
      <c r="E462" s="14" t="str">
        <f>IFERROR((VLOOKUP($A462,'[1]import success seats course'!$A:S,HLOOKUP('[1]Course Totals'!E$4,'[1]import success seats course'!$1:$2,2,FALSE),FALSE)/(VLOOKUP($A462,'[1]import graded seats course pivo'!$A:AC,HLOOKUP('[1]Course Totals'!E$4,'[1]import graded seats course pivo'!$1:$2,2,FALSE),FALSE))),"")</f>
        <v/>
      </c>
      <c r="F462" s="14" t="str">
        <f>IFERROR((VLOOKUP($A462,'[1]import success seats course'!$A:T,HLOOKUP('[1]Course Totals'!F$4,'[1]import success seats course'!$1:$2,2,FALSE),FALSE)/(VLOOKUP($A462,'[1]import graded seats course pivo'!$A:AD,HLOOKUP('[1]Course Totals'!F$4,'[1]import graded seats course pivo'!$1:$2,2,FALSE),FALSE))),"")</f>
        <v/>
      </c>
      <c r="G462" s="14">
        <f>IFERROR((VLOOKUP($A462,'[1]import success seats course'!$A:U,HLOOKUP('[1]Course Totals'!G$4,'[1]import success seats course'!$1:$2,2,FALSE),FALSE)/(VLOOKUP($A462,'[1]import graded seats course pivo'!$A:AE,HLOOKUP('[1]Course Totals'!G$4,'[1]import graded seats course pivo'!$1:$2,2,FALSE),FALSE))),"")</f>
        <v>0.92592592592592593</v>
      </c>
      <c r="H462" s="14" t="str">
        <f>IFERROR((VLOOKUP($A462,'[1]import success seats course'!$A:V,HLOOKUP('[1]Course Totals'!H$4,'[1]import success seats course'!$1:$2,2,FALSE),FALSE)/(VLOOKUP($A462,'[1]import graded seats course pivo'!$A:AF,HLOOKUP('[1]Course Totals'!H$4,'[1]import graded seats course pivo'!$1:$2,2,FALSE),FALSE))),"")</f>
        <v/>
      </c>
      <c r="I462" s="14" t="str">
        <f>IFERROR((VLOOKUP($A462,'[1]import success seats course'!$A:W,HLOOKUP('[1]Course Totals'!I$4,'[1]import success seats course'!$1:$2,2,FALSE),FALSE)/(VLOOKUP($A462,'[1]import graded seats course pivo'!$A:AG,HLOOKUP('[1]Course Totals'!I$4,'[1]import graded seats course pivo'!$1:$2,2,FALSE),FALSE))),"")</f>
        <v/>
      </c>
      <c r="J462" s="14" t="str">
        <f>IFERROR((VLOOKUP($A462,'[1]import success seats course'!$A:X,HLOOKUP('[1]Course Totals'!J$4,'[1]import success seats course'!$1:$2,2,FALSE),FALSE)/(VLOOKUP($A462,'[1]import graded seats course pivo'!$A:AH,HLOOKUP('[1]Course Totals'!J$4,'[1]import graded seats course pivo'!$1:$2,2,FALSE),FALSE))),"")</f>
        <v/>
      </c>
      <c r="K462" s="14" t="str">
        <f>IFERROR((VLOOKUP($A462,'[1]import success seats course'!$A:Y,HLOOKUP('[1]Course Totals'!K$4,'[1]import success seats course'!$1:$2,2,FALSE),FALSE)/(VLOOKUP($A462,'[1]import graded seats course pivo'!$A:AI,HLOOKUP('[1]Course Totals'!K$4,'[1]import graded seats course pivo'!$1:$2,2,FALSE),FALSE))),"")</f>
        <v/>
      </c>
      <c r="L462" s="14" t="str">
        <f>IFERROR((VLOOKUP($A462,'[1]import success seats course'!$A:Z,HLOOKUP('[1]Course Totals'!L$4,'[1]import success seats course'!$1:$2,2,FALSE),FALSE)/(VLOOKUP($A462,'[1]import graded seats course pivo'!$A:AJ,HLOOKUP('[1]Course Totals'!L$4,'[1]import graded seats course pivo'!$1:$2,2,FALSE),FALSE))),"")</f>
        <v/>
      </c>
      <c r="M462" s="14" t="str">
        <f>IFERROR((VLOOKUP($A462,'[1]import success seats course'!$A:AA,HLOOKUP('[1]Course Totals'!M$4,'[1]import success seats course'!$1:$2,2,FALSE),FALSE)/(VLOOKUP($A462,'[1]import graded seats course pivo'!$A:AK,HLOOKUP('[1]Course Totals'!M$4,'[1]import graded seats course pivo'!$1:$2,2,FALSE),FALSE))),"")</f>
        <v/>
      </c>
      <c r="N462" s="14" t="str">
        <f>IFERROR((VLOOKUP($A462,'[1]import success seats course'!$A:AB,HLOOKUP('[1]Course Totals'!N$4,'[1]import success seats course'!$1:$2,2,FALSE),FALSE)/(VLOOKUP($A462,'[1]import graded seats course pivo'!$A:AL,HLOOKUP('[1]Course Totals'!N$4,'[1]import graded seats course pivo'!$1:$2,2,FALSE),FALSE))),"")</f>
        <v/>
      </c>
      <c r="O462" s="14" t="str">
        <f>IFERROR((VLOOKUP($A462,'[1]import success seats course'!$A:AC,HLOOKUP('[1]Course Totals'!O$4,'[1]import success seats course'!$1:$2,2,FALSE),FALSE)/(VLOOKUP($A462,'[1]import graded seats course pivo'!$A:AM,HLOOKUP('[1]Course Totals'!O$4,'[1]import graded seats course pivo'!$1:$2,2,FALSE),FALSE))),"")</f>
        <v/>
      </c>
      <c r="P462" s="14" t="str">
        <f>IFERROR((VLOOKUP($A462,'[1]import success seats course'!$A:AD,HLOOKUP('[1]Course Totals'!P$4,'[1]import success seats course'!$1:$2,2,FALSE),FALSE)/(VLOOKUP($A462,'[1]import graded seats course pivo'!$A:AN,HLOOKUP('[1]Course Totals'!P$4,'[1]import graded seats course pivo'!$1:$2,2,FALSE),FALSE))),"")</f>
        <v/>
      </c>
      <c r="Q462" s="14" t="str">
        <f>IFERROR((VLOOKUP($A462,'[1]import success seats course'!$A:AE,HLOOKUP('[1]Course Totals'!Q$4,'[1]import success seats course'!$1:$2,2,FALSE),FALSE)/(VLOOKUP($A462,'[1]import graded seats course pivo'!$A:AO,HLOOKUP('[1]Course Totals'!Q$4,'[1]import graded seats course pivo'!$1:$2,2,FALSE),FALSE))),"")</f>
        <v/>
      </c>
      <c r="R462" s="14" t="str">
        <f>IFERROR((VLOOKUP($A462,'[1]import success seats course'!$A:AF,HLOOKUP('[1]Course Totals'!R$4,'[1]import success seats course'!$1:$2,2,FALSE),FALSE)/(VLOOKUP($A462,'[1]import graded seats course pivo'!$A:AP,HLOOKUP('[1]Course Totals'!R$4,'[1]import graded seats course pivo'!$1:$2,2,FALSE),FALSE))),"")</f>
        <v/>
      </c>
      <c r="S462" s="14" t="str">
        <f>IFERROR((VLOOKUP($A462,'[1]import success seats course'!$A:AG,HLOOKUP('[1]Course Totals'!S$4,'[1]import success seats course'!$1:$2,2,FALSE),FALSE)/(VLOOKUP($A462,'[1]import graded seats course pivo'!$A:AQ,HLOOKUP('[1]Course Totals'!S$4,'[1]import graded seats course pivo'!$1:$2,2,FALSE),FALSE))),"")</f>
        <v/>
      </c>
      <c r="Z462" s="7"/>
      <c r="AA462" s="7"/>
      <c r="AB462" s="7"/>
      <c r="AC462" s="7"/>
    </row>
    <row r="463" spans="1:29" ht="15.75" customHeight="1" x14ac:dyDescent="0.25">
      <c r="A463" s="12" t="s">
        <v>224</v>
      </c>
      <c r="B463" s="14" t="str">
        <f>IFERROR((VLOOKUP($A463,'[1]import success seats course'!$A:P,HLOOKUP('[1]Course Totals'!B$4,'[1]import success seats course'!$1:$2,2,FALSE),FALSE)/(VLOOKUP($A463,'[1]import graded seats course pivo'!$A:Z,HLOOKUP('[1]Course Totals'!B$4,'[1]import graded seats course pivo'!$1:$2,2,FALSE),FALSE))),"")</f>
        <v/>
      </c>
      <c r="C463" s="14">
        <f>IFERROR((VLOOKUP($A463,'[1]import success seats course'!$A:Q,HLOOKUP('[1]Course Totals'!C$4,'[1]import success seats course'!$1:$2,2,FALSE),FALSE)/(VLOOKUP($A463,'[1]import graded seats course pivo'!$A:AA,HLOOKUP('[1]Course Totals'!C$4,'[1]import graded seats course pivo'!$1:$2,2,FALSE),FALSE))),"")</f>
        <v>1</v>
      </c>
      <c r="D463" s="14" t="str">
        <f>IFERROR((VLOOKUP($A463,'[1]import success seats course'!$A:R,HLOOKUP('[1]Course Totals'!D$4,'[1]import success seats course'!$1:$2,2,FALSE),FALSE)/(VLOOKUP($A463,'[1]import graded seats course pivo'!$A:AB,HLOOKUP('[1]Course Totals'!D$4,'[1]import graded seats course pivo'!$1:$2,2,FALSE),FALSE))),"")</f>
        <v/>
      </c>
      <c r="E463" s="14" t="str">
        <f>IFERROR((VLOOKUP($A463,'[1]import success seats course'!$A:S,HLOOKUP('[1]Course Totals'!E$4,'[1]import success seats course'!$1:$2,2,FALSE),FALSE)/(VLOOKUP($A463,'[1]import graded seats course pivo'!$A:AC,HLOOKUP('[1]Course Totals'!E$4,'[1]import graded seats course pivo'!$1:$2,2,FALSE),FALSE))),"")</f>
        <v/>
      </c>
      <c r="F463" s="14">
        <f>IFERROR((VLOOKUP($A463,'[1]import success seats course'!$A:T,HLOOKUP('[1]Course Totals'!F$4,'[1]import success seats course'!$1:$2,2,FALSE),FALSE)/(VLOOKUP($A463,'[1]import graded seats course pivo'!$A:AD,HLOOKUP('[1]Course Totals'!F$4,'[1]import graded seats course pivo'!$1:$2,2,FALSE),FALSE))),"")</f>
        <v>0.72727272727272729</v>
      </c>
      <c r="G463" s="14" t="str">
        <f>IFERROR((VLOOKUP($A463,'[1]import success seats course'!$A:U,HLOOKUP('[1]Course Totals'!G$4,'[1]import success seats course'!$1:$2,2,FALSE),FALSE)/(VLOOKUP($A463,'[1]import graded seats course pivo'!$A:AE,HLOOKUP('[1]Course Totals'!G$4,'[1]import graded seats course pivo'!$1:$2,2,FALSE),FALSE))),"")</f>
        <v/>
      </c>
      <c r="H463" s="14" t="str">
        <f>IFERROR((VLOOKUP($A463,'[1]import success seats course'!$A:V,HLOOKUP('[1]Course Totals'!H$4,'[1]import success seats course'!$1:$2,2,FALSE),FALSE)/(VLOOKUP($A463,'[1]import graded seats course pivo'!$A:AF,HLOOKUP('[1]Course Totals'!H$4,'[1]import graded seats course pivo'!$1:$2,2,FALSE),FALSE))),"")</f>
        <v/>
      </c>
      <c r="I463" s="14" t="str">
        <f>IFERROR((VLOOKUP($A463,'[1]import success seats course'!$A:W,HLOOKUP('[1]Course Totals'!I$4,'[1]import success seats course'!$1:$2,2,FALSE),FALSE)/(VLOOKUP($A463,'[1]import graded seats course pivo'!$A:AG,HLOOKUP('[1]Course Totals'!I$4,'[1]import graded seats course pivo'!$1:$2,2,FALSE),FALSE))),"")</f>
        <v/>
      </c>
      <c r="J463" s="14" t="str">
        <f>IFERROR((VLOOKUP($A463,'[1]import success seats course'!$A:X,HLOOKUP('[1]Course Totals'!J$4,'[1]import success seats course'!$1:$2,2,FALSE),FALSE)/(VLOOKUP($A463,'[1]import graded seats course pivo'!$A:AH,HLOOKUP('[1]Course Totals'!J$4,'[1]import graded seats course pivo'!$1:$2,2,FALSE),FALSE))),"")</f>
        <v/>
      </c>
      <c r="K463" s="14" t="str">
        <f>IFERROR((VLOOKUP($A463,'[1]import success seats course'!$A:Y,HLOOKUP('[1]Course Totals'!K$4,'[1]import success seats course'!$1:$2,2,FALSE),FALSE)/(VLOOKUP($A463,'[1]import graded seats course pivo'!$A:AI,HLOOKUP('[1]Course Totals'!K$4,'[1]import graded seats course pivo'!$1:$2,2,FALSE),FALSE))),"")</f>
        <v/>
      </c>
      <c r="L463" s="14" t="str">
        <f>IFERROR((VLOOKUP($A463,'[1]import success seats course'!$A:Z,HLOOKUP('[1]Course Totals'!L$4,'[1]import success seats course'!$1:$2,2,FALSE),FALSE)/(VLOOKUP($A463,'[1]import graded seats course pivo'!$A:AJ,HLOOKUP('[1]Course Totals'!L$4,'[1]import graded seats course pivo'!$1:$2,2,FALSE),FALSE))),"")</f>
        <v/>
      </c>
      <c r="M463" s="14" t="str">
        <f>IFERROR((VLOOKUP($A463,'[1]import success seats course'!$A:AA,HLOOKUP('[1]Course Totals'!M$4,'[1]import success seats course'!$1:$2,2,FALSE),FALSE)/(VLOOKUP($A463,'[1]import graded seats course pivo'!$A:AK,HLOOKUP('[1]Course Totals'!M$4,'[1]import graded seats course pivo'!$1:$2,2,FALSE),FALSE))),"")</f>
        <v/>
      </c>
      <c r="N463" s="14" t="str">
        <f>IFERROR((VLOOKUP($A463,'[1]import success seats course'!$A:AB,HLOOKUP('[1]Course Totals'!N$4,'[1]import success seats course'!$1:$2,2,FALSE),FALSE)/(VLOOKUP($A463,'[1]import graded seats course pivo'!$A:AL,HLOOKUP('[1]Course Totals'!N$4,'[1]import graded seats course pivo'!$1:$2,2,FALSE),FALSE))),"")</f>
        <v/>
      </c>
      <c r="O463" s="14" t="str">
        <f>IFERROR((VLOOKUP($A463,'[1]import success seats course'!$A:AC,HLOOKUP('[1]Course Totals'!O$4,'[1]import success seats course'!$1:$2,2,FALSE),FALSE)/(VLOOKUP($A463,'[1]import graded seats course pivo'!$A:AM,HLOOKUP('[1]Course Totals'!O$4,'[1]import graded seats course pivo'!$1:$2,2,FALSE),FALSE))),"")</f>
        <v/>
      </c>
      <c r="P463" s="14" t="str">
        <f>IFERROR((VLOOKUP($A463,'[1]import success seats course'!$A:AD,HLOOKUP('[1]Course Totals'!P$4,'[1]import success seats course'!$1:$2,2,FALSE),FALSE)/(VLOOKUP($A463,'[1]import graded seats course pivo'!$A:AN,HLOOKUP('[1]Course Totals'!P$4,'[1]import graded seats course pivo'!$1:$2,2,FALSE),FALSE))),"")</f>
        <v/>
      </c>
      <c r="Q463" s="14" t="str">
        <f>IFERROR((VLOOKUP($A463,'[1]import success seats course'!$A:AE,HLOOKUP('[1]Course Totals'!Q$4,'[1]import success seats course'!$1:$2,2,FALSE),FALSE)/(VLOOKUP($A463,'[1]import graded seats course pivo'!$A:AO,HLOOKUP('[1]Course Totals'!Q$4,'[1]import graded seats course pivo'!$1:$2,2,FALSE),FALSE))),"")</f>
        <v/>
      </c>
      <c r="R463" s="14" t="str">
        <f>IFERROR((VLOOKUP($A463,'[1]import success seats course'!$A:AF,HLOOKUP('[1]Course Totals'!R$4,'[1]import success seats course'!$1:$2,2,FALSE),FALSE)/(VLOOKUP($A463,'[1]import graded seats course pivo'!$A:AP,HLOOKUP('[1]Course Totals'!R$4,'[1]import graded seats course pivo'!$1:$2,2,FALSE),FALSE))),"")</f>
        <v/>
      </c>
      <c r="S463" s="14" t="str">
        <f>IFERROR((VLOOKUP($A463,'[1]import success seats course'!$A:AG,HLOOKUP('[1]Course Totals'!S$4,'[1]import success seats course'!$1:$2,2,FALSE),FALSE)/(VLOOKUP($A463,'[1]import graded seats course pivo'!$A:AQ,HLOOKUP('[1]Course Totals'!S$4,'[1]import graded seats course pivo'!$1:$2,2,FALSE),FALSE))),"")</f>
        <v/>
      </c>
      <c r="Z463" s="7"/>
      <c r="AA463" s="7"/>
      <c r="AB463" s="7"/>
      <c r="AC463" s="7"/>
    </row>
    <row r="464" spans="1:29" ht="15.75" customHeight="1" x14ac:dyDescent="0.25">
      <c r="A464" s="12" t="s">
        <v>906</v>
      </c>
      <c r="B464" s="14" t="str">
        <f>IFERROR((VLOOKUP($A464,'[1]import success seats course'!$A:P,HLOOKUP('[1]Course Totals'!B$4,'[1]import success seats course'!$1:$2,2,FALSE),FALSE)/(VLOOKUP($A464,'[1]import graded seats course pivo'!$A:Z,HLOOKUP('[1]Course Totals'!B$4,'[1]import graded seats course pivo'!$1:$2,2,FALSE),FALSE))),"")</f>
        <v/>
      </c>
      <c r="C464" s="14" t="str">
        <f>IFERROR((VLOOKUP($A464,'[1]import success seats course'!$A:Q,HLOOKUP('[1]Course Totals'!C$4,'[1]import success seats course'!$1:$2,2,FALSE),FALSE)/(VLOOKUP($A464,'[1]import graded seats course pivo'!$A:AA,HLOOKUP('[1]Course Totals'!C$4,'[1]import graded seats course pivo'!$1:$2,2,FALSE),FALSE))),"")</f>
        <v/>
      </c>
      <c r="D464" s="14">
        <f>IFERROR((VLOOKUP($A464,'[1]import success seats course'!$A:R,HLOOKUP('[1]Course Totals'!D$4,'[1]import success seats course'!$1:$2,2,FALSE),FALSE)/(VLOOKUP($A464,'[1]import graded seats course pivo'!$A:AB,HLOOKUP('[1]Course Totals'!D$4,'[1]import graded seats course pivo'!$1:$2,2,FALSE),FALSE))),"")</f>
        <v>1</v>
      </c>
      <c r="E464" s="14" t="str">
        <f>IFERROR((VLOOKUP($A464,'[1]import success seats course'!$A:S,HLOOKUP('[1]Course Totals'!E$4,'[1]import success seats course'!$1:$2,2,FALSE),FALSE)/(VLOOKUP($A464,'[1]import graded seats course pivo'!$A:AC,HLOOKUP('[1]Course Totals'!E$4,'[1]import graded seats course pivo'!$1:$2,2,FALSE),FALSE))),"")</f>
        <v/>
      </c>
      <c r="F464" s="14" t="str">
        <f>IFERROR((VLOOKUP($A464,'[1]import success seats course'!$A:T,HLOOKUP('[1]Course Totals'!F$4,'[1]import success seats course'!$1:$2,2,FALSE),FALSE)/(VLOOKUP($A464,'[1]import graded seats course pivo'!$A:AD,HLOOKUP('[1]Course Totals'!F$4,'[1]import graded seats course pivo'!$1:$2,2,FALSE),FALSE))),"")</f>
        <v/>
      </c>
      <c r="G464" s="14" t="str">
        <f>IFERROR((VLOOKUP($A464,'[1]import success seats course'!$A:U,HLOOKUP('[1]Course Totals'!G$4,'[1]import success seats course'!$1:$2,2,FALSE),FALSE)/(VLOOKUP($A464,'[1]import graded seats course pivo'!$A:AE,HLOOKUP('[1]Course Totals'!G$4,'[1]import graded seats course pivo'!$1:$2,2,FALSE),FALSE))),"")</f>
        <v/>
      </c>
      <c r="H464" s="14" t="str">
        <f>IFERROR((VLOOKUP($A464,'[1]import success seats course'!$A:V,HLOOKUP('[1]Course Totals'!H$4,'[1]import success seats course'!$1:$2,2,FALSE),FALSE)/(VLOOKUP($A464,'[1]import graded seats course pivo'!$A:AF,HLOOKUP('[1]Course Totals'!H$4,'[1]import graded seats course pivo'!$1:$2,2,FALSE),FALSE))),"")</f>
        <v/>
      </c>
      <c r="I464" s="14" t="str">
        <f>IFERROR((VLOOKUP($A464,'[1]import success seats course'!$A:W,HLOOKUP('[1]Course Totals'!I$4,'[1]import success seats course'!$1:$2,2,FALSE),FALSE)/(VLOOKUP($A464,'[1]import graded seats course pivo'!$A:AG,HLOOKUP('[1]Course Totals'!I$4,'[1]import graded seats course pivo'!$1:$2,2,FALSE),FALSE))),"")</f>
        <v/>
      </c>
      <c r="J464" s="14" t="str">
        <f>IFERROR((VLOOKUP($A464,'[1]import success seats course'!$A:X,HLOOKUP('[1]Course Totals'!J$4,'[1]import success seats course'!$1:$2,2,FALSE),FALSE)/(VLOOKUP($A464,'[1]import graded seats course pivo'!$A:AH,HLOOKUP('[1]Course Totals'!J$4,'[1]import graded seats course pivo'!$1:$2,2,FALSE),FALSE))),"")</f>
        <v/>
      </c>
      <c r="K464" s="14" t="str">
        <f>IFERROR((VLOOKUP($A464,'[1]import success seats course'!$A:Y,HLOOKUP('[1]Course Totals'!K$4,'[1]import success seats course'!$1:$2,2,FALSE),FALSE)/(VLOOKUP($A464,'[1]import graded seats course pivo'!$A:AI,HLOOKUP('[1]Course Totals'!K$4,'[1]import graded seats course pivo'!$1:$2,2,FALSE),FALSE))),"")</f>
        <v/>
      </c>
      <c r="L464" s="14" t="str">
        <f>IFERROR((VLOOKUP($A464,'[1]import success seats course'!$A:Z,HLOOKUP('[1]Course Totals'!L$4,'[1]import success seats course'!$1:$2,2,FALSE),FALSE)/(VLOOKUP($A464,'[1]import graded seats course pivo'!$A:AJ,HLOOKUP('[1]Course Totals'!L$4,'[1]import graded seats course pivo'!$1:$2,2,FALSE),FALSE))),"")</f>
        <v/>
      </c>
      <c r="M464" s="14" t="str">
        <f>IFERROR((VLOOKUP($A464,'[1]import success seats course'!$A:AA,HLOOKUP('[1]Course Totals'!M$4,'[1]import success seats course'!$1:$2,2,FALSE),FALSE)/(VLOOKUP($A464,'[1]import graded seats course pivo'!$A:AK,HLOOKUP('[1]Course Totals'!M$4,'[1]import graded seats course pivo'!$1:$2,2,FALSE),FALSE))),"")</f>
        <v/>
      </c>
      <c r="N464" s="14" t="str">
        <f>IFERROR((VLOOKUP($A464,'[1]import success seats course'!$A:AB,HLOOKUP('[1]Course Totals'!N$4,'[1]import success seats course'!$1:$2,2,FALSE),FALSE)/(VLOOKUP($A464,'[1]import graded seats course pivo'!$A:AL,HLOOKUP('[1]Course Totals'!N$4,'[1]import graded seats course pivo'!$1:$2,2,FALSE),FALSE))),"")</f>
        <v/>
      </c>
      <c r="O464" s="14" t="str">
        <f>IFERROR((VLOOKUP($A464,'[1]import success seats course'!$A:AC,HLOOKUP('[1]Course Totals'!O$4,'[1]import success seats course'!$1:$2,2,FALSE),FALSE)/(VLOOKUP($A464,'[1]import graded seats course pivo'!$A:AM,HLOOKUP('[1]Course Totals'!O$4,'[1]import graded seats course pivo'!$1:$2,2,FALSE),FALSE))),"")</f>
        <v/>
      </c>
      <c r="P464" s="14" t="str">
        <f>IFERROR((VLOOKUP($A464,'[1]import success seats course'!$A:AD,HLOOKUP('[1]Course Totals'!P$4,'[1]import success seats course'!$1:$2,2,FALSE),FALSE)/(VLOOKUP($A464,'[1]import graded seats course pivo'!$A:AN,HLOOKUP('[1]Course Totals'!P$4,'[1]import graded seats course pivo'!$1:$2,2,FALSE),FALSE))),"")</f>
        <v/>
      </c>
      <c r="Q464" s="14" t="str">
        <f>IFERROR((VLOOKUP($A464,'[1]import success seats course'!$A:AE,HLOOKUP('[1]Course Totals'!Q$4,'[1]import success seats course'!$1:$2,2,FALSE),FALSE)/(VLOOKUP($A464,'[1]import graded seats course pivo'!$A:AO,HLOOKUP('[1]Course Totals'!Q$4,'[1]import graded seats course pivo'!$1:$2,2,FALSE),FALSE))),"")</f>
        <v/>
      </c>
      <c r="R464" s="14" t="str">
        <f>IFERROR((VLOOKUP($A464,'[1]import success seats course'!$A:AF,HLOOKUP('[1]Course Totals'!R$4,'[1]import success seats course'!$1:$2,2,FALSE),FALSE)/(VLOOKUP($A464,'[1]import graded seats course pivo'!$A:AP,HLOOKUP('[1]Course Totals'!R$4,'[1]import graded seats course pivo'!$1:$2,2,FALSE),FALSE))),"")</f>
        <v/>
      </c>
      <c r="S464" s="14" t="str">
        <f>IFERROR((VLOOKUP($A464,'[1]import success seats course'!$A:AG,HLOOKUP('[1]Course Totals'!S$4,'[1]import success seats course'!$1:$2,2,FALSE),FALSE)/(VLOOKUP($A464,'[1]import graded seats course pivo'!$A:AQ,HLOOKUP('[1]Course Totals'!S$4,'[1]import graded seats course pivo'!$1:$2,2,FALSE),FALSE))),"")</f>
        <v/>
      </c>
      <c r="Z464" s="7"/>
      <c r="AA464" s="7"/>
      <c r="AB464" s="7"/>
      <c r="AC464" s="7"/>
    </row>
    <row r="465" spans="1:29" ht="15.75" customHeight="1" thickBot="1" x14ac:dyDescent="0.3">
      <c r="A465" s="8" t="str">
        <f>'[1]SUBJECTS BASE'!H24</f>
        <v>English</v>
      </c>
      <c r="B465" s="38" t="s">
        <v>1046</v>
      </c>
      <c r="C465" s="39" t="s">
        <v>0</v>
      </c>
      <c r="D465" s="40" t="s">
        <v>868</v>
      </c>
      <c r="E465" s="41" t="s">
        <v>1052</v>
      </c>
      <c r="F465" s="42" t="s">
        <v>546</v>
      </c>
      <c r="G465" s="43" t="s">
        <v>959</v>
      </c>
      <c r="H465" s="44" t="s">
        <v>1060</v>
      </c>
      <c r="I465" s="39" t="s">
        <v>675</v>
      </c>
      <c r="J465" s="45" t="s">
        <v>1006</v>
      </c>
      <c r="K465" s="46" t="s">
        <v>1062</v>
      </c>
      <c r="L465" s="42" t="s">
        <v>762</v>
      </c>
      <c r="M465" s="43" t="s">
        <v>1022</v>
      </c>
      <c r="N465" s="44" t="s">
        <v>1063</v>
      </c>
      <c r="O465" s="39" t="s">
        <v>822</v>
      </c>
      <c r="P465" s="40" t="s">
        <v>1042</v>
      </c>
      <c r="Q465" s="46" t="s">
        <v>1153</v>
      </c>
      <c r="R465" s="42" t="s">
        <v>1154</v>
      </c>
      <c r="S465" s="43" t="s">
        <v>1155</v>
      </c>
      <c r="Z465" s="7"/>
      <c r="AA465" s="7"/>
      <c r="AB465" s="7"/>
      <c r="AC465" s="7"/>
    </row>
    <row r="466" spans="1:29" ht="15.75" customHeight="1" x14ac:dyDescent="0.25">
      <c r="A466" s="12" t="s">
        <v>225</v>
      </c>
      <c r="B466" s="14" t="str">
        <f>IFERROR((VLOOKUP($A466,'[1]import success seats course'!$A:P,HLOOKUP('[1]Course Totals'!B$4,'[1]import success seats course'!$1:$2,2,FALSE),FALSE)/(VLOOKUP($A466,'[1]import graded seats course pivo'!$A:Z,HLOOKUP('[1]Course Totals'!B$4,'[1]import graded seats course pivo'!$1:$2,2,FALSE),FALSE))),"")</f>
        <v/>
      </c>
      <c r="C466" s="14">
        <f>IFERROR((VLOOKUP($A466,'[1]import success seats course'!$A:Q,HLOOKUP('[1]Course Totals'!C$4,'[1]import success seats course'!$1:$2,2,FALSE),FALSE)/(VLOOKUP($A466,'[1]import graded seats course pivo'!$A:AA,HLOOKUP('[1]Course Totals'!C$4,'[1]import graded seats course pivo'!$1:$2,2,FALSE),FALSE))),"")</f>
        <v>0.7142857142857143</v>
      </c>
      <c r="D466" s="14">
        <f>IFERROR((VLOOKUP($A466,'[1]import success seats course'!$A:R,HLOOKUP('[1]Course Totals'!D$4,'[1]import success seats course'!$1:$2,2,FALSE),FALSE)/(VLOOKUP($A466,'[1]import graded seats course pivo'!$A:AB,HLOOKUP('[1]Course Totals'!D$4,'[1]import graded seats course pivo'!$1:$2,2,FALSE),FALSE))),"")</f>
        <v>1</v>
      </c>
      <c r="E466" s="14" t="str">
        <f>IFERROR((VLOOKUP($A466,'[1]import success seats course'!$A:S,HLOOKUP('[1]Course Totals'!E$4,'[1]import success seats course'!$1:$2,2,FALSE),FALSE)/(VLOOKUP($A466,'[1]import graded seats course pivo'!$A:AC,HLOOKUP('[1]Course Totals'!E$4,'[1]import graded seats course pivo'!$1:$2,2,FALSE),FALSE))),"")</f>
        <v/>
      </c>
      <c r="F466" s="14">
        <f>IFERROR((VLOOKUP($A466,'[1]import success seats course'!$A:T,HLOOKUP('[1]Course Totals'!F$4,'[1]import success seats course'!$1:$2,2,FALSE),FALSE)/(VLOOKUP($A466,'[1]import graded seats course pivo'!$A:AD,HLOOKUP('[1]Course Totals'!F$4,'[1]import graded seats course pivo'!$1:$2,2,FALSE),FALSE))),"")</f>
        <v>1</v>
      </c>
      <c r="G466" s="14">
        <f>IFERROR((VLOOKUP($A466,'[1]import success seats course'!$A:U,HLOOKUP('[1]Course Totals'!G$4,'[1]import success seats course'!$1:$2,2,FALSE),FALSE)/(VLOOKUP($A466,'[1]import graded seats course pivo'!$A:AE,HLOOKUP('[1]Course Totals'!G$4,'[1]import graded seats course pivo'!$1:$2,2,FALSE),FALSE))),"")</f>
        <v>1</v>
      </c>
      <c r="H466" s="14" t="str">
        <f>IFERROR((VLOOKUP($A466,'[1]import success seats course'!$A:V,HLOOKUP('[1]Course Totals'!H$4,'[1]import success seats course'!$1:$2,2,FALSE),FALSE)/(VLOOKUP($A466,'[1]import graded seats course pivo'!$A:AF,HLOOKUP('[1]Course Totals'!H$4,'[1]import graded seats course pivo'!$1:$2,2,FALSE),FALSE))),"")</f>
        <v/>
      </c>
      <c r="I466" s="14">
        <f>IFERROR((VLOOKUP($A466,'[1]import success seats course'!$A:W,HLOOKUP('[1]Course Totals'!I$4,'[1]import success seats course'!$1:$2,2,FALSE),FALSE)/(VLOOKUP($A466,'[1]import graded seats course pivo'!$A:AG,HLOOKUP('[1]Course Totals'!I$4,'[1]import graded seats course pivo'!$1:$2,2,FALSE),FALSE))),"")</f>
        <v>0.66666666666666663</v>
      </c>
      <c r="J466" s="14">
        <f>IFERROR((VLOOKUP($A466,'[1]import success seats course'!$A:X,HLOOKUP('[1]Course Totals'!J$4,'[1]import success seats course'!$1:$2,2,FALSE),FALSE)/(VLOOKUP($A466,'[1]import graded seats course pivo'!$A:AH,HLOOKUP('[1]Course Totals'!J$4,'[1]import graded seats course pivo'!$1:$2,2,FALSE),FALSE))),"")</f>
        <v>1</v>
      </c>
      <c r="K466" s="14" t="str">
        <f>IFERROR((VLOOKUP($A466,'[1]import success seats course'!$A:Y,HLOOKUP('[1]Course Totals'!K$4,'[1]import success seats course'!$1:$2,2,FALSE),FALSE)/(VLOOKUP($A466,'[1]import graded seats course pivo'!$A:AI,HLOOKUP('[1]Course Totals'!K$4,'[1]import graded seats course pivo'!$1:$2,2,FALSE),FALSE))),"")</f>
        <v/>
      </c>
      <c r="L466" s="14">
        <f>IFERROR((VLOOKUP($A466,'[1]import success seats course'!$A:Z,HLOOKUP('[1]Course Totals'!L$4,'[1]import success seats course'!$1:$2,2,FALSE),FALSE)/(VLOOKUP($A466,'[1]import graded seats course pivo'!$A:AJ,HLOOKUP('[1]Course Totals'!L$4,'[1]import graded seats course pivo'!$1:$2,2,FALSE),FALSE))),"")</f>
        <v>0.8</v>
      </c>
      <c r="M466" s="14" t="str">
        <f>IFERROR((VLOOKUP($A466,'[1]import success seats course'!$A:AA,HLOOKUP('[1]Course Totals'!M$4,'[1]import success seats course'!$1:$2,2,FALSE),FALSE)/(VLOOKUP($A466,'[1]import graded seats course pivo'!$A:AK,HLOOKUP('[1]Course Totals'!M$4,'[1]import graded seats course pivo'!$1:$2,2,FALSE),FALSE))),"")</f>
        <v/>
      </c>
      <c r="N466" s="14" t="str">
        <f>IFERROR((VLOOKUP($A466,'[1]import success seats course'!$A:AB,HLOOKUP('[1]Course Totals'!N$4,'[1]import success seats course'!$1:$2,2,FALSE),FALSE)/(VLOOKUP($A466,'[1]import graded seats course pivo'!$A:AL,HLOOKUP('[1]Course Totals'!N$4,'[1]import graded seats course pivo'!$1:$2,2,FALSE),FALSE))),"")</f>
        <v/>
      </c>
      <c r="O466" s="14" t="str">
        <f>IFERROR((VLOOKUP($A466,'[1]import success seats course'!$A:AC,HLOOKUP('[1]Course Totals'!O$4,'[1]import success seats course'!$1:$2,2,FALSE),FALSE)/(VLOOKUP($A466,'[1]import graded seats course pivo'!$A:AM,HLOOKUP('[1]Course Totals'!O$4,'[1]import graded seats course pivo'!$1:$2,2,FALSE),FALSE))),"")</f>
        <v/>
      </c>
      <c r="P466" s="14" t="str">
        <f>IFERROR((VLOOKUP($A466,'[1]import success seats course'!$A:AD,HLOOKUP('[1]Course Totals'!P$4,'[1]import success seats course'!$1:$2,2,FALSE),FALSE)/(VLOOKUP($A466,'[1]import graded seats course pivo'!$A:AN,HLOOKUP('[1]Course Totals'!P$4,'[1]import graded seats course pivo'!$1:$2,2,FALSE),FALSE))),"")</f>
        <v/>
      </c>
      <c r="Q466" s="14" t="str">
        <f>IFERROR((VLOOKUP($A466,'[1]import success seats course'!$A:AE,HLOOKUP('[1]Course Totals'!Q$4,'[1]import success seats course'!$1:$2,2,FALSE),FALSE)/(VLOOKUP($A466,'[1]import graded seats course pivo'!$A:AO,HLOOKUP('[1]Course Totals'!Q$4,'[1]import graded seats course pivo'!$1:$2,2,FALSE),FALSE))),"")</f>
        <v/>
      </c>
      <c r="R466" s="14" t="str">
        <f>IFERROR((VLOOKUP($A466,'[1]import success seats course'!$A:AF,HLOOKUP('[1]Course Totals'!R$4,'[1]import success seats course'!$1:$2,2,FALSE),FALSE)/(VLOOKUP($A466,'[1]import graded seats course pivo'!$A:AP,HLOOKUP('[1]Course Totals'!R$4,'[1]import graded seats course pivo'!$1:$2,2,FALSE),FALSE))),"")</f>
        <v/>
      </c>
      <c r="S466" s="14" t="str">
        <f>IFERROR((VLOOKUP($A466,'[1]import success seats course'!$A:AG,HLOOKUP('[1]Course Totals'!S$4,'[1]import success seats course'!$1:$2,2,FALSE),FALSE)/(VLOOKUP($A466,'[1]import graded seats course pivo'!$A:AQ,HLOOKUP('[1]Course Totals'!S$4,'[1]import graded seats course pivo'!$1:$2,2,FALSE),FALSE))),"")</f>
        <v/>
      </c>
      <c r="Z466" s="7"/>
      <c r="AA466" s="7"/>
      <c r="AB466" s="7"/>
      <c r="AC466" s="7"/>
    </row>
    <row r="467" spans="1:29" ht="15.75" customHeight="1" x14ac:dyDescent="0.25">
      <c r="A467" s="12" t="s">
        <v>226</v>
      </c>
      <c r="B467" s="14" t="str">
        <f>IFERROR((VLOOKUP($A467,'[1]import success seats course'!$A:P,HLOOKUP('[1]Course Totals'!B$4,'[1]import success seats course'!$1:$2,2,FALSE),FALSE)/(VLOOKUP($A467,'[1]import graded seats course pivo'!$A:Z,HLOOKUP('[1]Course Totals'!B$4,'[1]import graded seats course pivo'!$1:$2,2,FALSE),FALSE))),"")</f>
        <v/>
      </c>
      <c r="C467" s="14">
        <f>IFERROR((VLOOKUP($A467,'[1]import success seats course'!$A:Q,HLOOKUP('[1]Course Totals'!C$4,'[1]import success seats course'!$1:$2,2,FALSE),FALSE)/(VLOOKUP($A467,'[1]import graded seats course pivo'!$A:AA,HLOOKUP('[1]Course Totals'!C$4,'[1]import graded seats course pivo'!$1:$2,2,FALSE),FALSE))),"")</f>
        <v>1</v>
      </c>
      <c r="D467" s="14" t="str">
        <f>IFERROR((VLOOKUP($A467,'[1]import success seats course'!$A:R,HLOOKUP('[1]Course Totals'!D$4,'[1]import success seats course'!$1:$2,2,FALSE),FALSE)/(VLOOKUP($A467,'[1]import graded seats course pivo'!$A:AB,HLOOKUP('[1]Course Totals'!D$4,'[1]import graded seats course pivo'!$1:$2,2,FALSE),FALSE))),"")</f>
        <v/>
      </c>
      <c r="E467" s="14" t="str">
        <f>IFERROR((VLOOKUP($A467,'[1]import success seats course'!$A:S,HLOOKUP('[1]Course Totals'!E$4,'[1]import success seats course'!$1:$2,2,FALSE),FALSE)/(VLOOKUP($A467,'[1]import graded seats course pivo'!$A:AC,HLOOKUP('[1]Course Totals'!E$4,'[1]import graded seats course pivo'!$1:$2,2,FALSE),FALSE))),"")</f>
        <v/>
      </c>
      <c r="F467" s="14">
        <f>IFERROR((VLOOKUP($A467,'[1]import success seats course'!$A:T,HLOOKUP('[1]Course Totals'!F$4,'[1]import success seats course'!$1:$2,2,FALSE),FALSE)/(VLOOKUP($A467,'[1]import graded seats course pivo'!$A:AD,HLOOKUP('[1]Course Totals'!F$4,'[1]import graded seats course pivo'!$1:$2,2,FALSE),FALSE))),"")</f>
        <v>1</v>
      </c>
      <c r="G467" s="14" t="str">
        <f>IFERROR((VLOOKUP($A467,'[1]import success seats course'!$A:U,HLOOKUP('[1]Course Totals'!G$4,'[1]import success seats course'!$1:$2,2,FALSE),FALSE)/(VLOOKUP($A467,'[1]import graded seats course pivo'!$A:AE,HLOOKUP('[1]Course Totals'!G$4,'[1]import graded seats course pivo'!$1:$2,2,FALSE),FALSE))),"")</f>
        <v/>
      </c>
      <c r="H467" s="14" t="str">
        <f>IFERROR((VLOOKUP($A467,'[1]import success seats course'!$A:V,HLOOKUP('[1]Course Totals'!H$4,'[1]import success seats course'!$1:$2,2,FALSE),FALSE)/(VLOOKUP($A467,'[1]import graded seats course pivo'!$A:AF,HLOOKUP('[1]Course Totals'!H$4,'[1]import graded seats course pivo'!$1:$2,2,FALSE),FALSE))),"")</f>
        <v/>
      </c>
      <c r="I467" s="14" t="str">
        <f>IFERROR((VLOOKUP($A467,'[1]import success seats course'!$A:W,HLOOKUP('[1]Course Totals'!I$4,'[1]import success seats course'!$1:$2,2,FALSE),FALSE)/(VLOOKUP($A467,'[1]import graded seats course pivo'!$A:AG,HLOOKUP('[1]Course Totals'!I$4,'[1]import graded seats course pivo'!$1:$2,2,FALSE),FALSE))),"")</f>
        <v/>
      </c>
      <c r="J467" s="14">
        <f>IFERROR((VLOOKUP($A467,'[1]import success seats course'!$A:X,HLOOKUP('[1]Course Totals'!J$4,'[1]import success seats course'!$1:$2,2,FALSE),FALSE)/(VLOOKUP($A467,'[1]import graded seats course pivo'!$A:AH,HLOOKUP('[1]Course Totals'!J$4,'[1]import graded seats course pivo'!$1:$2,2,FALSE),FALSE))),"")</f>
        <v>0.5</v>
      </c>
      <c r="K467" s="14" t="str">
        <f>IFERROR((VLOOKUP($A467,'[1]import success seats course'!$A:Y,HLOOKUP('[1]Course Totals'!K$4,'[1]import success seats course'!$1:$2,2,FALSE),FALSE)/(VLOOKUP($A467,'[1]import graded seats course pivo'!$A:AI,HLOOKUP('[1]Course Totals'!K$4,'[1]import graded seats course pivo'!$1:$2,2,FALSE),FALSE))),"")</f>
        <v/>
      </c>
      <c r="L467" s="14">
        <f>IFERROR((VLOOKUP($A467,'[1]import success seats course'!$A:Z,HLOOKUP('[1]Course Totals'!L$4,'[1]import success seats course'!$1:$2,2,FALSE),FALSE)/(VLOOKUP($A467,'[1]import graded seats course pivo'!$A:AJ,HLOOKUP('[1]Course Totals'!L$4,'[1]import graded seats course pivo'!$1:$2,2,FALSE),FALSE))),"")</f>
        <v>0.5</v>
      </c>
      <c r="M467" s="14" t="str">
        <f>IFERROR((VLOOKUP($A467,'[1]import success seats course'!$A:AA,HLOOKUP('[1]Course Totals'!M$4,'[1]import success seats course'!$1:$2,2,FALSE),FALSE)/(VLOOKUP($A467,'[1]import graded seats course pivo'!$A:AK,HLOOKUP('[1]Course Totals'!M$4,'[1]import graded seats course pivo'!$1:$2,2,FALSE),FALSE))),"")</f>
        <v/>
      </c>
      <c r="N467" s="14" t="str">
        <f>IFERROR((VLOOKUP($A467,'[1]import success seats course'!$A:AB,HLOOKUP('[1]Course Totals'!N$4,'[1]import success seats course'!$1:$2,2,FALSE),FALSE)/(VLOOKUP($A467,'[1]import graded seats course pivo'!$A:AL,HLOOKUP('[1]Course Totals'!N$4,'[1]import graded seats course pivo'!$1:$2,2,FALSE),FALSE))),"")</f>
        <v/>
      </c>
      <c r="O467" s="14" t="str">
        <f>IFERROR((VLOOKUP($A467,'[1]import success seats course'!$A:AC,HLOOKUP('[1]Course Totals'!O$4,'[1]import success seats course'!$1:$2,2,FALSE),FALSE)/(VLOOKUP($A467,'[1]import graded seats course pivo'!$A:AM,HLOOKUP('[1]Course Totals'!O$4,'[1]import graded seats course pivo'!$1:$2,2,FALSE),FALSE))),"")</f>
        <v/>
      </c>
      <c r="P467" s="14" t="str">
        <f>IFERROR((VLOOKUP($A467,'[1]import success seats course'!$A:AD,HLOOKUP('[1]Course Totals'!P$4,'[1]import success seats course'!$1:$2,2,FALSE),FALSE)/(VLOOKUP($A467,'[1]import graded seats course pivo'!$A:AN,HLOOKUP('[1]Course Totals'!P$4,'[1]import graded seats course pivo'!$1:$2,2,FALSE),FALSE))),"")</f>
        <v/>
      </c>
      <c r="Q467" s="14" t="str">
        <f>IFERROR((VLOOKUP($A467,'[1]import success seats course'!$A:AE,HLOOKUP('[1]Course Totals'!Q$4,'[1]import success seats course'!$1:$2,2,FALSE),FALSE)/(VLOOKUP($A467,'[1]import graded seats course pivo'!$A:AO,HLOOKUP('[1]Course Totals'!Q$4,'[1]import graded seats course pivo'!$1:$2,2,FALSE),FALSE))),"")</f>
        <v/>
      </c>
      <c r="R467" s="14" t="str">
        <f>IFERROR((VLOOKUP($A467,'[1]import success seats course'!$A:AF,HLOOKUP('[1]Course Totals'!R$4,'[1]import success seats course'!$1:$2,2,FALSE),FALSE)/(VLOOKUP($A467,'[1]import graded seats course pivo'!$A:AP,HLOOKUP('[1]Course Totals'!R$4,'[1]import graded seats course pivo'!$1:$2,2,FALSE),FALSE))),"")</f>
        <v/>
      </c>
      <c r="S467" s="14" t="str">
        <f>IFERROR((VLOOKUP($A467,'[1]import success seats course'!$A:AG,HLOOKUP('[1]Course Totals'!S$4,'[1]import success seats course'!$1:$2,2,FALSE),FALSE)/(VLOOKUP($A467,'[1]import graded seats course pivo'!$A:AQ,HLOOKUP('[1]Course Totals'!S$4,'[1]import graded seats course pivo'!$1:$2,2,FALSE),FALSE))),"")</f>
        <v/>
      </c>
      <c r="Z467" s="7"/>
      <c r="AA467" s="7"/>
      <c r="AB467" s="7"/>
      <c r="AC467" s="7"/>
    </row>
    <row r="468" spans="1:29" ht="15.75" customHeight="1" x14ac:dyDescent="0.25">
      <c r="A468" s="12" t="s">
        <v>227</v>
      </c>
      <c r="B468" s="14">
        <f>IFERROR((VLOOKUP($A468,'[1]import success seats course'!$A:P,HLOOKUP('[1]Course Totals'!B$4,'[1]import success seats course'!$1:$2,2,FALSE),FALSE)/(VLOOKUP($A468,'[1]import graded seats course pivo'!$A:Z,HLOOKUP('[1]Course Totals'!B$4,'[1]import graded seats course pivo'!$1:$2,2,FALSE),FALSE))),"")</f>
        <v>1</v>
      </c>
      <c r="C468" s="14">
        <f>IFERROR((VLOOKUP($A468,'[1]import success seats course'!$A:Q,HLOOKUP('[1]Course Totals'!C$4,'[1]import success seats course'!$1:$2,2,FALSE),FALSE)/(VLOOKUP($A468,'[1]import graded seats course pivo'!$A:AA,HLOOKUP('[1]Course Totals'!C$4,'[1]import graded seats course pivo'!$1:$2,2,FALSE),FALSE))),"")</f>
        <v>1</v>
      </c>
      <c r="D468" s="14">
        <f>IFERROR((VLOOKUP($A468,'[1]import success seats course'!$A:R,HLOOKUP('[1]Course Totals'!D$4,'[1]import success seats course'!$1:$2,2,FALSE),FALSE)/(VLOOKUP($A468,'[1]import graded seats course pivo'!$A:AB,HLOOKUP('[1]Course Totals'!D$4,'[1]import graded seats course pivo'!$1:$2,2,FALSE),FALSE))),"")</f>
        <v>1</v>
      </c>
      <c r="E468" s="14">
        <f>IFERROR((VLOOKUP($A468,'[1]import success seats course'!$A:S,HLOOKUP('[1]Course Totals'!E$4,'[1]import success seats course'!$1:$2,2,FALSE),FALSE)/(VLOOKUP($A468,'[1]import graded seats course pivo'!$A:AC,HLOOKUP('[1]Course Totals'!E$4,'[1]import graded seats course pivo'!$1:$2,2,FALSE),FALSE))),"")</f>
        <v>0.92307692307692313</v>
      </c>
      <c r="F468" s="14">
        <f>IFERROR((VLOOKUP($A468,'[1]import success seats course'!$A:T,HLOOKUP('[1]Course Totals'!F$4,'[1]import success seats course'!$1:$2,2,FALSE),FALSE)/(VLOOKUP($A468,'[1]import graded seats course pivo'!$A:AD,HLOOKUP('[1]Course Totals'!F$4,'[1]import graded seats course pivo'!$1:$2,2,FALSE),FALSE))),"")</f>
        <v>1</v>
      </c>
      <c r="G468" s="14" t="str">
        <f>IFERROR((VLOOKUP($A468,'[1]import success seats course'!$A:U,HLOOKUP('[1]Course Totals'!G$4,'[1]import success seats course'!$1:$2,2,FALSE),FALSE)/(VLOOKUP($A468,'[1]import graded seats course pivo'!$A:AE,HLOOKUP('[1]Course Totals'!G$4,'[1]import graded seats course pivo'!$1:$2,2,FALSE),FALSE))),"")</f>
        <v/>
      </c>
      <c r="H468" s="14" t="str">
        <f>IFERROR((VLOOKUP($A468,'[1]import success seats course'!$A:V,HLOOKUP('[1]Course Totals'!H$4,'[1]import success seats course'!$1:$2,2,FALSE),FALSE)/(VLOOKUP($A468,'[1]import graded seats course pivo'!$A:AF,HLOOKUP('[1]Course Totals'!H$4,'[1]import graded seats course pivo'!$1:$2,2,FALSE),FALSE))),"")</f>
        <v/>
      </c>
      <c r="I468" s="14" t="str">
        <f>IFERROR((VLOOKUP($A468,'[1]import success seats course'!$A:W,HLOOKUP('[1]Course Totals'!I$4,'[1]import success seats course'!$1:$2,2,FALSE),FALSE)/(VLOOKUP($A468,'[1]import graded seats course pivo'!$A:AG,HLOOKUP('[1]Course Totals'!I$4,'[1]import graded seats course pivo'!$1:$2,2,FALSE),FALSE))),"")</f>
        <v/>
      </c>
      <c r="J468" s="14" t="str">
        <f>IFERROR((VLOOKUP($A468,'[1]import success seats course'!$A:X,HLOOKUP('[1]Course Totals'!J$4,'[1]import success seats course'!$1:$2,2,FALSE),FALSE)/(VLOOKUP($A468,'[1]import graded seats course pivo'!$A:AH,HLOOKUP('[1]Course Totals'!J$4,'[1]import graded seats course pivo'!$1:$2,2,FALSE),FALSE))),"")</f>
        <v/>
      </c>
      <c r="K468" s="14" t="str">
        <f>IFERROR((VLOOKUP($A468,'[1]import success seats course'!$A:Y,HLOOKUP('[1]Course Totals'!K$4,'[1]import success seats course'!$1:$2,2,FALSE),FALSE)/(VLOOKUP($A468,'[1]import graded seats course pivo'!$A:AI,HLOOKUP('[1]Course Totals'!K$4,'[1]import graded seats course pivo'!$1:$2,2,FALSE),FALSE))),"")</f>
        <v/>
      </c>
      <c r="L468" s="14" t="str">
        <f>IFERROR((VLOOKUP($A468,'[1]import success seats course'!$A:Z,HLOOKUP('[1]Course Totals'!L$4,'[1]import success seats course'!$1:$2,2,FALSE),FALSE)/(VLOOKUP($A468,'[1]import graded seats course pivo'!$A:AJ,HLOOKUP('[1]Course Totals'!L$4,'[1]import graded seats course pivo'!$1:$2,2,FALSE),FALSE))),"")</f>
        <v/>
      </c>
      <c r="M468" s="14" t="str">
        <f>IFERROR((VLOOKUP($A468,'[1]import success seats course'!$A:AA,HLOOKUP('[1]Course Totals'!M$4,'[1]import success seats course'!$1:$2,2,FALSE),FALSE)/(VLOOKUP($A468,'[1]import graded seats course pivo'!$A:AK,HLOOKUP('[1]Course Totals'!M$4,'[1]import graded seats course pivo'!$1:$2,2,FALSE),FALSE))),"")</f>
        <v/>
      </c>
      <c r="N468" s="14" t="str">
        <f>IFERROR((VLOOKUP($A468,'[1]import success seats course'!$A:AB,HLOOKUP('[1]Course Totals'!N$4,'[1]import success seats course'!$1:$2,2,FALSE),FALSE)/(VLOOKUP($A468,'[1]import graded seats course pivo'!$A:AL,HLOOKUP('[1]Course Totals'!N$4,'[1]import graded seats course pivo'!$1:$2,2,FALSE),FALSE))),"")</f>
        <v/>
      </c>
      <c r="O468" s="14" t="str">
        <f>IFERROR((VLOOKUP($A468,'[1]import success seats course'!$A:AC,HLOOKUP('[1]Course Totals'!O$4,'[1]import success seats course'!$1:$2,2,FALSE),FALSE)/(VLOOKUP($A468,'[1]import graded seats course pivo'!$A:AM,HLOOKUP('[1]Course Totals'!O$4,'[1]import graded seats course pivo'!$1:$2,2,FALSE),FALSE))),"")</f>
        <v/>
      </c>
      <c r="P468" s="14" t="str">
        <f>IFERROR((VLOOKUP($A468,'[1]import success seats course'!$A:AD,HLOOKUP('[1]Course Totals'!P$4,'[1]import success seats course'!$1:$2,2,FALSE),FALSE)/(VLOOKUP($A468,'[1]import graded seats course pivo'!$A:AN,HLOOKUP('[1]Course Totals'!P$4,'[1]import graded seats course pivo'!$1:$2,2,FALSE),FALSE))),"")</f>
        <v/>
      </c>
      <c r="Q468" s="14" t="str">
        <f>IFERROR((VLOOKUP($A468,'[1]import success seats course'!$A:AE,HLOOKUP('[1]Course Totals'!Q$4,'[1]import success seats course'!$1:$2,2,FALSE),FALSE)/(VLOOKUP($A468,'[1]import graded seats course pivo'!$A:AO,HLOOKUP('[1]Course Totals'!Q$4,'[1]import graded seats course pivo'!$1:$2,2,FALSE),FALSE))),"")</f>
        <v/>
      </c>
      <c r="R468" s="14" t="str">
        <f>IFERROR((VLOOKUP($A468,'[1]import success seats course'!$A:AF,HLOOKUP('[1]Course Totals'!R$4,'[1]import success seats course'!$1:$2,2,FALSE),FALSE)/(VLOOKUP($A468,'[1]import graded seats course pivo'!$A:AP,HLOOKUP('[1]Course Totals'!R$4,'[1]import graded seats course pivo'!$1:$2,2,FALSE),FALSE))),"")</f>
        <v/>
      </c>
      <c r="S468" s="14" t="str">
        <f>IFERROR((VLOOKUP($A468,'[1]import success seats course'!$A:AG,HLOOKUP('[1]Course Totals'!S$4,'[1]import success seats course'!$1:$2,2,FALSE),FALSE)/(VLOOKUP($A468,'[1]import graded seats course pivo'!$A:AQ,HLOOKUP('[1]Course Totals'!S$4,'[1]import graded seats course pivo'!$1:$2,2,FALSE),FALSE))),"")</f>
        <v/>
      </c>
      <c r="Z468" s="7"/>
      <c r="AA468" s="7"/>
      <c r="AB468" s="7"/>
      <c r="AC468" s="7"/>
    </row>
    <row r="469" spans="1:29" ht="15.75" customHeight="1" x14ac:dyDescent="0.25">
      <c r="A469" s="12" t="s">
        <v>228</v>
      </c>
      <c r="B469" s="14" t="str">
        <f>IFERROR((VLOOKUP($A469,'[1]import success seats course'!$A:P,HLOOKUP('[1]Course Totals'!B$4,'[1]import success seats course'!$1:$2,2,FALSE),FALSE)/(VLOOKUP($A469,'[1]import graded seats course pivo'!$A:Z,HLOOKUP('[1]Course Totals'!B$4,'[1]import graded seats course pivo'!$1:$2,2,FALSE),FALSE))),"")</f>
        <v/>
      </c>
      <c r="C469" s="14">
        <f>IFERROR((VLOOKUP($A469,'[1]import success seats course'!$A:Q,HLOOKUP('[1]Course Totals'!C$4,'[1]import success seats course'!$1:$2,2,FALSE),FALSE)/(VLOOKUP($A469,'[1]import graded seats course pivo'!$A:AA,HLOOKUP('[1]Course Totals'!C$4,'[1]import graded seats course pivo'!$1:$2,2,FALSE),FALSE))),"")</f>
        <v>1</v>
      </c>
      <c r="D469" s="14">
        <f>IFERROR((VLOOKUP($A469,'[1]import success seats course'!$A:R,HLOOKUP('[1]Course Totals'!D$4,'[1]import success seats course'!$1:$2,2,FALSE),FALSE)/(VLOOKUP($A469,'[1]import graded seats course pivo'!$A:AB,HLOOKUP('[1]Course Totals'!D$4,'[1]import graded seats course pivo'!$1:$2,2,FALSE),FALSE))),"")</f>
        <v>1</v>
      </c>
      <c r="E469" s="14" t="str">
        <f>IFERROR((VLOOKUP($A469,'[1]import success seats course'!$A:S,HLOOKUP('[1]Course Totals'!E$4,'[1]import success seats course'!$1:$2,2,FALSE),FALSE)/(VLOOKUP($A469,'[1]import graded seats course pivo'!$A:AC,HLOOKUP('[1]Course Totals'!E$4,'[1]import graded seats course pivo'!$1:$2,2,FALSE),FALSE))),"")</f>
        <v/>
      </c>
      <c r="F469" s="14">
        <f>IFERROR((VLOOKUP($A469,'[1]import success seats course'!$A:T,HLOOKUP('[1]Course Totals'!F$4,'[1]import success seats course'!$1:$2,2,FALSE),FALSE)/(VLOOKUP($A469,'[1]import graded seats course pivo'!$A:AD,HLOOKUP('[1]Course Totals'!F$4,'[1]import graded seats course pivo'!$1:$2,2,FALSE),FALSE))),"")</f>
        <v>1</v>
      </c>
      <c r="G469" s="14" t="str">
        <f>IFERROR((VLOOKUP($A469,'[1]import success seats course'!$A:U,HLOOKUP('[1]Course Totals'!G$4,'[1]import success seats course'!$1:$2,2,FALSE),FALSE)/(VLOOKUP($A469,'[1]import graded seats course pivo'!$A:AE,HLOOKUP('[1]Course Totals'!G$4,'[1]import graded seats course pivo'!$1:$2,2,FALSE),FALSE))),"")</f>
        <v/>
      </c>
      <c r="H469" s="14" t="str">
        <f>IFERROR((VLOOKUP($A469,'[1]import success seats course'!$A:V,HLOOKUP('[1]Course Totals'!H$4,'[1]import success seats course'!$1:$2,2,FALSE),FALSE)/(VLOOKUP($A469,'[1]import graded seats course pivo'!$A:AF,HLOOKUP('[1]Course Totals'!H$4,'[1]import graded seats course pivo'!$1:$2,2,FALSE),FALSE))),"")</f>
        <v/>
      </c>
      <c r="I469" s="14" t="str">
        <f>IFERROR((VLOOKUP($A469,'[1]import success seats course'!$A:W,HLOOKUP('[1]Course Totals'!I$4,'[1]import success seats course'!$1:$2,2,FALSE),FALSE)/(VLOOKUP($A469,'[1]import graded seats course pivo'!$A:AG,HLOOKUP('[1]Course Totals'!I$4,'[1]import graded seats course pivo'!$1:$2,2,FALSE),FALSE))),"")</f>
        <v/>
      </c>
      <c r="J469" s="14" t="str">
        <f>IFERROR((VLOOKUP($A469,'[1]import success seats course'!$A:X,HLOOKUP('[1]Course Totals'!J$4,'[1]import success seats course'!$1:$2,2,FALSE),FALSE)/(VLOOKUP($A469,'[1]import graded seats course pivo'!$A:AH,HLOOKUP('[1]Course Totals'!J$4,'[1]import graded seats course pivo'!$1:$2,2,FALSE),FALSE))),"")</f>
        <v/>
      </c>
      <c r="K469" s="14" t="str">
        <f>IFERROR((VLOOKUP($A469,'[1]import success seats course'!$A:Y,HLOOKUP('[1]Course Totals'!K$4,'[1]import success seats course'!$1:$2,2,FALSE),FALSE)/(VLOOKUP($A469,'[1]import graded seats course pivo'!$A:AI,HLOOKUP('[1]Course Totals'!K$4,'[1]import graded seats course pivo'!$1:$2,2,FALSE),FALSE))),"")</f>
        <v/>
      </c>
      <c r="L469" s="14" t="str">
        <f>IFERROR((VLOOKUP($A469,'[1]import success seats course'!$A:Z,HLOOKUP('[1]Course Totals'!L$4,'[1]import success seats course'!$1:$2,2,FALSE),FALSE)/(VLOOKUP($A469,'[1]import graded seats course pivo'!$A:AJ,HLOOKUP('[1]Course Totals'!L$4,'[1]import graded seats course pivo'!$1:$2,2,FALSE),FALSE))),"")</f>
        <v/>
      </c>
      <c r="M469" s="14" t="str">
        <f>IFERROR((VLOOKUP($A469,'[1]import success seats course'!$A:AA,HLOOKUP('[1]Course Totals'!M$4,'[1]import success seats course'!$1:$2,2,FALSE),FALSE)/(VLOOKUP($A469,'[1]import graded seats course pivo'!$A:AK,HLOOKUP('[1]Course Totals'!M$4,'[1]import graded seats course pivo'!$1:$2,2,FALSE),FALSE))),"")</f>
        <v/>
      </c>
      <c r="N469" s="14" t="str">
        <f>IFERROR((VLOOKUP($A469,'[1]import success seats course'!$A:AB,HLOOKUP('[1]Course Totals'!N$4,'[1]import success seats course'!$1:$2,2,FALSE),FALSE)/(VLOOKUP($A469,'[1]import graded seats course pivo'!$A:AL,HLOOKUP('[1]Course Totals'!N$4,'[1]import graded seats course pivo'!$1:$2,2,FALSE),FALSE))),"")</f>
        <v/>
      </c>
      <c r="O469" s="14" t="str">
        <f>IFERROR((VLOOKUP($A469,'[1]import success seats course'!$A:AC,HLOOKUP('[1]Course Totals'!O$4,'[1]import success seats course'!$1:$2,2,FALSE),FALSE)/(VLOOKUP($A469,'[1]import graded seats course pivo'!$A:AM,HLOOKUP('[1]Course Totals'!O$4,'[1]import graded seats course pivo'!$1:$2,2,FALSE),FALSE))),"")</f>
        <v/>
      </c>
      <c r="P469" s="14" t="str">
        <f>IFERROR((VLOOKUP($A469,'[1]import success seats course'!$A:AD,HLOOKUP('[1]Course Totals'!P$4,'[1]import success seats course'!$1:$2,2,FALSE),FALSE)/(VLOOKUP($A469,'[1]import graded seats course pivo'!$A:AN,HLOOKUP('[1]Course Totals'!P$4,'[1]import graded seats course pivo'!$1:$2,2,FALSE),FALSE))),"")</f>
        <v/>
      </c>
      <c r="Q469" s="14" t="str">
        <f>IFERROR((VLOOKUP($A469,'[1]import success seats course'!$A:AE,HLOOKUP('[1]Course Totals'!Q$4,'[1]import success seats course'!$1:$2,2,FALSE),FALSE)/(VLOOKUP($A469,'[1]import graded seats course pivo'!$A:AO,HLOOKUP('[1]Course Totals'!Q$4,'[1]import graded seats course pivo'!$1:$2,2,FALSE),FALSE))),"")</f>
        <v/>
      </c>
      <c r="R469" s="14" t="str">
        <f>IFERROR((VLOOKUP($A469,'[1]import success seats course'!$A:AF,HLOOKUP('[1]Course Totals'!R$4,'[1]import success seats course'!$1:$2,2,FALSE),FALSE)/(VLOOKUP($A469,'[1]import graded seats course pivo'!$A:AP,HLOOKUP('[1]Course Totals'!R$4,'[1]import graded seats course pivo'!$1:$2,2,FALSE),FALSE))),"")</f>
        <v/>
      </c>
      <c r="S469" s="14" t="str">
        <f>IFERROR((VLOOKUP($A469,'[1]import success seats course'!$A:AG,HLOOKUP('[1]Course Totals'!S$4,'[1]import success seats course'!$1:$2,2,FALSE),FALSE)/(VLOOKUP($A469,'[1]import graded seats course pivo'!$A:AQ,HLOOKUP('[1]Course Totals'!S$4,'[1]import graded seats course pivo'!$1:$2,2,FALSE),FALSE))),"")</f>
        <v/>
      </c>
      <c r="Z469" s="7"/>
      <c r="AA469" s="7"/>
      <c r="AB469" s="7"/>
      <c r="AC469" s="7"/>
    </row>
    <row r="470" spans="1:29" ht="15.75" customHeight="1" x14ac:dyDescent="0.25">
      <c r="A470" s="12" t="s">
        <v>229</v>
      </c>
      <c r="B470" s="14" t="str">
        <f>IFERROR((VLOOKUP($A470,'[1]import success seats course'!$A:P,HLOOKUP('[1]Course Totals'!B$4,'[1]import success seats course'!$1:$2,2,FALSE),FALSE)/(VLOOKUP($A470,'[1]import graded seats course pivo'!$A:Z,HLOOKUP('[1]Course Totals'!B$4,'[1]import graded seats course pivo'!$1:$2,2,FALSE),FALSE))),"")</f>
        <v/>
      </c>
      <c r="C470" s="14">
        <f>IFERROR((VLOOKUP($A470,'[1]import success seats course'!$A:Q,HLOOKUP('[1]Course Totals'!C$4,'[1]import success seats course'!$1:$2,2,FALSE),FALSE)/(VLOOKUP($A470,'[1]import graded seats course pivo'!$A:AA,HLOOKUP('[1]Course Totals'!C$4,'[1]import graded seats course pivo'!$1:$2,2,FALSE),FALSE))),"")</f>
        <v>1</v>
      </c>
      <c r="D470" s="14">
        <f>IFERROR((VLOOKUP($A470,'[1]import success seats course'!$A:R,HLOOKUP('[1]Course Totals'!D$4,'[1]import success seats course'!$1:$2,2,FALSE),FALSE)/(VLOOKUP($A470,'[1]import graded seats course pivo'!$A:AB,HLOOKUP('[1]Course Totals'!D$4,'[1]import graded seats course pivo'!$1:$2,2,FALSE),FALSE))),"")</f>
        <v>1</v>
      </c>
      <c r="E470" s="14">
        <f>IFERROR((VLOOKUP($A470,'[1]import success seats course'!$A:S,HLOOKUP('[1]Course Totals'!E$4,'[1]import success seats course'!$1:$2,2,FALSE),FALSE)/(VLOOKUP($A470,'[1]import graded seats course pivo'!$A:AC,HLOOKUP('[1]Course Totals'!E$4,'[1]import graded seats course pivo'!$1:$2,2,FALSE),FALSE))),"")</f>
        <v>0.625</v>
      </c>
      <c r="F470" s="14">
        <f>IFERROR((VLOOKUP($A470,'[1]import success seats course'!$A:T,HLOOKUP('[1]Course Totals'!F$4,'[1]import success seats course'!$1:$2,2,FALSE),FALSE)/(VLOOKUP($A470,'[1]import graded seats course pivo'!$A:AD,HLOOKUP('[1]Course Totals'!F$4,'[1]import graded seats course pivo'!$1:$2,2,FALSE),FALSE))),"")</f>
        <v>0.9285714285714286</v>
      </c>
      <c r="G470" s="14" t="str">
        <f>IFERROR((VLOOKUP($A470,'[1]import success seats course'!$A:U,HLOOKUP('[1]Course Totals'!G$4,'[1]import success seats course'!$1:$2,2,FALSE),FALSE)/(VLOOKUP($A470,'[1]import graded seats course pivo'!$A:AE,HLOOKUP('[1]Course Totals'!G$4,'[1]import graded seats course pivo'!$1:$2,2,FALSE),FALSE))),"")</f>
        <v/>
      </c>
      <c r="H470" s="14" t="str">
        <f>IFERROR((VLOOKUP($A470,'[1]import success seats course'!$A:V,HLOOKUP('[1]Course Totals'!H$4,'[1]import success seats course'!$1:$2,2,FALSE),FALSE)/(VLOOKUP($A470,'[1]import graded seats course pivo'!$A:AF,HLOOKUP('[1]Course Totals'!H$4,'[1]import graded seats course pivo'!$1:$2,2,FALSE),FALSE))),"")</f>
        <v/>
      </c>
      <c r="I470" s="14" t="str">
        <f>IFERROR((VLOOKUP($A470,'[1]import success seats course'!$A:W,HLOOKUP('[1]Course Totals'!I$4,'[1]import success seats course'!$1:$2,2,FALSE),FALSE)/(VLOOKUP($A470,'[1]import graded seats course pivo'!$A:AG,HLOOKUP('[1]Course Totals'!I$4,'[1]import graded seats course pivo'!$1:$2,2,FALSE),FALSE))),"")</f>
        <v/>
      </c>
      <c r="J470" s="14" t="str">
        <f>IFERROR((VLOOKUP($A470,'[1]import success seats course'!$A:X,HLOOKUP('[1]Course Totals'!J$4,'[1]import success seats course'!$1:$2,2,FALSE),FALSE)/(VLOOKUP($A470,'[1]import graded seats course pivo'!$A:AH,HLOOKUP('[1]Course Totals'!J$4,'[1]import graded seats course pivo'!$1:$2,2,FALSE),FALSE))),"")</f>
        <v/>
      </c>
      <c r="K470" s="14" t="str">
        <f>IFERROR((VLOOKUP($A470,'[1]import success seats course'!$A:Y,HLOOKUP('[1]Course Totals'!K$4,'[1]import success seats course'!$1:$2,2,FALSE),FALSE)/(VLOOKUP($A470,'[1]import graded seats course pivo'!$A:AI,HLOOKUP('[1]Course Totals'!K$4,'[1]import graded seats course pivo'!$1:$2,2,FALSE),FALSE))),"")</f>
        <v/>
      </c>
      <c r="L470" s="14" t="str">
        <f>IFERROR((VLOOKUP($A470,'[1]import success seats course'!$A:Z,HLOOKUP('[1]Course Totals'!L$4,'[1]import success seats course'!$1:$2,2,FALSE),FALSE)/(VLOOKUP($A470,'[1]import graded seats course pivo'!$A:AJ,HLOOKUP('[1]Course Totals'!L$4,'[1]import graded seats course pivo'!$1:$2,2,FALSE),FALSE))),"")</f>
        <v/>
      </c>
      <c r="M470" s="14" t="str">
        <f>IFERROR((VLOOKUP($A470,'[1]import success seats course'!$A:AA,HLOOKUP('[1]Course Totals'!M$4,'[1]import success seats course'!$1:$2,2,FALSE),FALSE)/(VLOOKUP($A470,'[1]import graded seats course pivo'!$A:AK,HLOOKUP('[1]Course Totals'!M$4,'[1]import graded seats course pivo'!$1:$2,2,FALSE),FALSE))),"")</f>
        <v/>
      </c>
      <c r="N470" s="14" t="str">
        <f>IFERROR((VLOOKUP($A470,'[1]import success seats course'!$A:AB,HLOOKUP('[1]Course Totals'!N$4,'[1]import success seats course'!$1:$2,2,FALSE),FALSE)/(VLOOKUP($A470,'[1]import graded seats course pivo'!$A:AL,HLOOKUP('[1]Course Totals'!N$4,'[1]import graded seats course pivo'!$1:$2,2,FALSE),FALSE))),"")</f>
        <v/>
      </c>
      <c r="O470" s="14" t="str">
        <f>IFERROR((VLOOKUP($A470,'[1]import success seats course'!$A:AC,HLOOKUP('[1]Course Totals'!O$4,'[1]import success seats course'!$1:$2,2,FALSE),FALSE)/(VLOOKUP($A470,'[1]import graded seats course pivo'!$A:AM,HLOOKUP('[1]Course Totals'!O$4,'[1]import graded seats course pivo'!$1:$2,2,FALSE),FALSE))),"")</f>
        <v/>
      </c>
      <c r="P470" s="14" t="str">
        <f>IFERROR((VLOOKUP($A470,'[1]import success seats course'!$A:AD,HLOOKUP('[1]Course Totals'!P$4,'[1]import success seats course'!$1:$2,2,FALSE),FALSE)/(VLOOKUP($A470,'[1]import graded seats course pivo'!$A:AN,HLOOKUP('[1]Course Totals'!P$4,'[1]import graded seats course pivo'!$1:$2,2,FALSE),FALSE))),"")</f>
        <v/>
      </c>
      <c r="Q470" s="14" t="str">
        <f>IFERROR((VLOOKUP($A470,'[1]import success seats course'!$A:AE,HLOOKUP('[1]Course Totals'!Q$4,'[1]import success seats course'!$1:$2,2,FALSE),FALSE)/(VLOOKUP($A470,'[1]import graded seats course pivo'!$A:AO,HLOOKUP('[1]Course Totals'!Q$4,'[1]import graded seats course pivo'!$1:$2,2,FALSE),FALSE))),"")</f>
        <v/>
      </c>
      <c r="R470" s="14" t="str">
        <f>IFERROR((VLOOKUP($A470,'[1]import success seats course'!$A:AF,HLOOKUP('[1]Course Totals'!R$4,'[1]import success seats course'!$1:$2,2,FALSE),FALSE)/(VLOOKUP($A470,'[1]import graded seats course pivo'!$A:AP,HLOOKUP('[1]Course Totals'!R$4,'[1]import graded seats course pivo'!$1:$2,2,FALSE),FALSE))),"")</f>
        <v/>
      </c>
      <c r="S470" s="14" t="str">
        <f>IFERROR((VLOOKUP($A470,'[1]import success seats course'!$A:AG,HLOOKUP('[1]Course Totals'!S$4,'[1]import success seats course'!$1:$2,2,FALSE),FALSE)/(VLOOKUP($A470,'[1]import graded seats course pivo'!$A:AQ,HLOOKUP('[1]Course Totals'!S$4,'[1]import graded seats course pivo'!$1:$2,2,FALSE),FALSE))),"")</f>
        <v/>
      </c>
      <c r="Z470" s="7"/>
      <c r="AA470" s="7"/>
      <c r="AB470" s="7"/>
      <c r="AC470" s="7"/>
    </row>
    <row r="471" spans="1:29" ht="15.75" customHeight="1" x14ac:dyDescent="0.25">
      <c r="A471" s="12" t="s">
        <v>602</v>
      </c>
      <c r="B471" s="14" t="str">
        <f>IFERROR((VLOOKUP($A471,'[1]import success seats course'!$A:P,HLOOKUP('[1]Course Totals'!B$4,'[1]import success seats course'!$1:$2,2,FALSE),FALSE)/(VLOOKUP($A471,'[1]import graded seats course pivo'!$A:Z,HLOOKUP('[1]Course Totals'!B$4,'[1]import graded seats course pivo'!$1:$2,2,FALSE),FALSE))),"")</f>
        <v/>
      </c>
      <c r="C471" s="14" t="str">
        <f>IFERROR((VLOOKUP($A471,'[1]import success seats course'!$A:Q,HLOOKUP('[1]Course Totals'!C$4,'[1]import success seats course'!$1:$2,2,FALSE),FALSE)/(VLOOKUP($A471,'[1]import graded seats course pivo'!$A:AA,HLOOKUP('[1]Course Totals'!C$4,'[1]import graded seats course pivo'!$1:$2,2,FALSE),FALSE))),"")</f>
        <v/>
      </c>
      <c r="D471" s="14" t="str">
        <f>IFERROR((VLOOKUP($A471,'[1]import success seats course'!$A:R,HLOOKUP('[1]Course Totals'!D$4,'[1]import success seats course'!$1:$2,2,FALSE),FALSE)/(VLOOKUP($A471,'[1]import graded seats course pivo'!$A:AB,HLOOKUP('[1]Course Totals'!D$4,'[1]import graded seats course pivo'!$1:$2,2,FALSE),FALSE))),"")</f>
        <v/>
      </c>
      <c r="E471" s="14" t="str">
        <f>IFERROR((VLOOKUP($A471,'[1]import success seats course'!$A:S,HLOOKUP('[1]Course Totals'!E$4,'[1]import success seats course'!$1:$2,2,FALSE),FALSE)/(VLOOKUP($A471,'[1]import graded seats course pivo'!$A:AC,HLOOKUP('[1]Course Totals'!E$4,'[1]import graded seats course pivo'!$1:$2,2,FALSE),FALSE))),"")</f>
        <v/>
      </c>
      <c r="F471" s="14">
        <f>IFERROR((VLOOKUP($A471,'[1]import success seats course'!$A:T,HLOOKUP('[1]Course Totals'!F$4,'[1]import success seats course'!$1:$2,2,FALSE),FALSE)/(VLOOKUP($A471,'[1]import graded seats course pivo'!$A:AD,HLOOKUP('[1]Course Totals'!F$4,'[1]import graded seats course pivo'!$1:$2,2,FALSE),FALSE))),"")</f>
        <v>1</v>
      </c>
      <c r="G471" s="14" t="str">
        <f>IFERROR((VLOOKUP($A471,'[1]import success seats course'!$A:U,HLOOKUP('[1]Course Totals'!G$4,'[1]import success seats course'!$1:$2,2,FALSE),FALSE)/(VLOOKUP($A471,'[1]import graded seats course pivo'!$A:AE,HLOOKUP('[1]Course Totals'!G$4,'[1]import graded seats course pivo'!$1:$2,2,FALSE),FALSE))),"")</f>
        <v/>
      </c>
      <c r="H471" s="14" t="str">
        <f>IFERROR((VLOOKUP($A471,'[1]import success seats course'!$A:V,HLOOKUP('[1]Course Totals'!H$4,'[1]import success seats course'!$1:$2,2,FALSE),FALSE)/(VLOOKUP($A471,'[1]import graded seats course pivo'!$A:AF,HLOOKUP('[1]Course Totals'!H$4,'[1]import graded seats course pivo'!$1:$2,2,FALSE),FALSE))),"")</f>
        <v/>
      </c>
      <c r="I471" s="14" t="str">
        <f>IFERROR((VLOOKUP($A471,'[1]import success seats course'!$A:W,HLOOKUP('[1]Course Totals'!I$4,'[1]import success seats course'!$1:$2,2,FALSE),FALSE)/(VLOOKUP($A471,'[1]import graded seats course pivo'!$A:AG,HLOOKUP('[1]Course Totals'!I$4,'[1]import graded seats course pivo'!$1:$2,2,FALSE),FALSE))),"")</f>
        <v/>
      </c>
      <c r="J471" s="14" t="str">
        <f>IFERROR((VLOOKUP($A471,'[1]import success seats course'!$A:X,HLOOKUP('[1]Course Totals'!J$4,'[1]import success seats course'!$1:$2,2,FALSE),FALSE)/(VLOOKUP($A471,'[1]import graded seats course pivo'!$A:AH,HLOOKUP('[1]Course Totals'!J$4,'[1]import graded seats course pivo'!$1:$2,2,FALSE),FALSE))),"")</f>
        <v/>
      </c>
      <c r="K471" s="14" t="str">
        <f>IFERROR((VLOOKUP($A471,'[1]import success seats course'!$A:Y,HLOOKUP('[1]Course Totals'!K$4,'[1]import success seats course'!$1:$2,2,FALSE),FALSE)/(VLOOKUP($A471,'[1]import graded seats course pivo'!$A:AI,HLOOKUP('[1]Course Totals'!K$4,'[1]import graded seats course pivo'!$1:$2,2,FALSE),FALSE))),"")</f>
        <v/>
      </c>
      <c r="L471" s="14" t="str">
        <f>IFERROR((VLOOKUP($A471,'[1]import success seats course'!$A:Z,HLOOKUP('[1]Course Totals'!L$4,'[1]import success seats course'!$1:$2,2,FALSE),FALSE)/(VLOOKUP($A471,'[1]import graded seats course pivo'!$A:AJ,HLOOKUP('[1]Course Totals'!L$4,'[1]import graded seats course pivo'!$1:$2,2,FALSE),FALSE))),"")</f>
        <v/>
      </c>
      <c r="M471" s="14" t="str">
        <f>IFERROR((VLOOKUP($A471,'[1]import success seats course'!$A:AA,HLOOKUP('[1]Course Totals'!M$4,'[1]import success seats course'!$1:$2,2,FALSE),FALSE)/(VLOOKUP($A471,'[1]import graded seats course pivo'!$A:AK,HLOOKUP('[1]Course Totals'!M$4,'[1]import graded seats course pivo'!$1:$2,2,FALSE),FALSE))),"")</f>
        <v/>
      </c>
      <c r="N471" s="14" t="str">
        <f>IFERROR((VLOOKUP($A471,'[1]import success seats course'!$A:AB,HLOOKUP('[1]Course Totals'!N$4,'[1]import success seats course'!$1:$2,2,FALSE),FALSE)/(VLOOKUP($A471,'[1]import graded seats course pivo'!$A:AL,HLOOKUP('[1]Course Totals'!N$4,'[1]import graded seats course pivo'!$1:$2,2,FALSE),FALSE))),"")</f>
        <v/>
      </c>
      <c r="O471" s="14" t="str">
        <f>IFERROR((VLOOKUP($A471,'[1]import success seats course'!$A:AC,HLOOKUP('[1]Course Totals'!O$4,'[1]import success seats course'!$1:$2,2,FALSE),FALSE)/(VLOOKUP($A471,'[1]import graded seats course pivo'!$A:AM,HLOOKUP('[1]Course Totals'!O$4,'[1]import graded seats course pivo'!$1:$2,2,FALSE),FALSE))),"")</f>
        <v/>
      </c>
      <c r="P471" s="14" t="str">
        <f>IFERROR((VLOOKUP($A471,'[1]import success seats course'!$A:AD,HLOOKUP('[1]Course Totals'!P$4,'[1]import success seats course'!$1:$2,2,FALSE),FALSE)/(VLOOKUP($A471,'[1]import graded seats course pivo'!$A:AN,HLOOKUP('[1]Course Totals'!P$4,'[1]import graded seats course pivo'!$1:$2,2,FALSE),FALSE))),"")</f>
        <v/>
      </c>
      <c r="Q471" s="14" t="str">
        <f>IFERROR((VLOOKUP($A471,'[1]import success seats course'!$A:AE,HLOOKUP('[1]Course Totals'!Q$4,'[1]import success seats course'!$1:$2,2,FALSE),FALSE)/(VLOOKUP($A471,'[1]import graded seats course pivo'!$A:AO,HLOOKUP('[1]Course Totals'!Q$4,'[1]import graded seats course pivo'!$1:$2,2,FALSE),FALSE))),"")</f>
        <v/>
      </c>
      <c r="R471" s="14" t="str">
        <f>IFERROR((VLOOKUP($A471,'[1]import success seats course'!$A:AF,HLOOKUP('[1]Course Totals'!R$4,'[1]import success seats course'!$1:$2,2,FALSE),FALSE)/(VLOOKUP($A471,'[1]import graded seats course pivo'!$A:AP,HLOOKUP('[1]Course Totals'!R$4,'[1]import graded seats course pivo'!$1:$2,2,FALSE),FALSE))),"")</f>
        <v/>
      </c>
      <c r="S471" s="14" t="str">
        <f>IFERROR((VLOOKUP($A471,'[1]import success seats course'!$A:AG,HLOOKUP('[1]Course Totals'!S$4,'[1]import success seats course'!$1:$2,2,FALSE),FALSE)/(VLOOKUP($A471,'[1]import graded seats course pivo'!$A:AQ,HLOOKUP('[1]Course Totals'!S$4,'[1]import graded seats course pivo'!$1:$2,2,FALSE),FALSE))),"")</f>
        <v/>
      </c>
      <c r="Z471" s="7"/>
      <c r="AA471" s="7"/>
      <c r="AB471" s="7"/>
      <c r="AC471" s="7"/>
    </row>
    <row r="472" spans="1:29" ht="15.75" customHeight="1" x14ac:dyDescent="0.25">
      <c r="A472" s="12" t="s">
        <v>1049</v>
      </c>
      <c r="B472" s="14">
        <f>IFERROR((VLOOKUP($A472,'[1]import success seats course'!$A:P,HLOOKUP('[1]Course Totals'!B$4,'[1]import success seats course'!$1:$2,2,FALSE),FALSE)/(VLOOKUP($A472,'[1]import graded seats course pivo'!$A:Z,HLOOKUP('[1]Course Totals'!B$4,'[1]import graded seats course pivo'!$1:$2,2,FALSE),FALSE))),"")</f>
        <v>0.81818181818181823</v>
      </c>
      <c r="C472" s="14" t="str">
        <f>IFERROR((VLOOKUP($A472,'[1]import success seats course'!$A:Q,HLOOKUP('[1]Course Totals'!C$4,'[1]import success seats course'!$1:$2,2,FALSE),FALSE)/(VLOOKUP($A472,'[1]import graded seats course pivo'!$A:AA,HLOOKUP('[1]Course Totals'!C$4,'[1]import graded seats course pivo'!$1:$2,2,FALSE),FALSE))),"")</f>
        <v/>
      </c>
      <c r="D472" s="14" t="str">
        <f>IFERROR((VLOOKUP($A472,'[1]import success seats course'!$A:R,HLOOKUP('[1]Course Totals'!D$4,'[1]import success seats course'!$1:$2,2,FALSE),FALSE)/(VLOOKUP($A472,'[1]import graded seats course pivo'!$A:AB,HLOOKUP('[1]Course Totals'!D$4,'[1]import graded seats course pivo'!$1:$2,2,FALSE),FALSE))),"")</f>
        <v/>
      </c>
      <c r="E472" s="14" t="str">
        <f>IFERROR((VLOOKUP($A472,'[1]import success seats course'!$A:S,HLOOKUP('[1]Course Totals'!E$4,'[1]import success seats course'!$1:$2,2,FALSE),FALSE)/(VLOOKUP($A472,'[1]import graded seats course pivo'!$A:AC,HLOOKUP('[1]Course Totals'!E$4,'[1]import graded seats course pivo'!$1:$2,2,FALSE),FALSE))),"")</f>
        <v/>
      </c>
      <c r="F472" s="14" t="str">
        <f>IFERROR((VLOOKUP($A472,'[1]import success seats course'!$A:T,HLOOKUP('[1]Course Totals'!F$4,'[1]import success seats course'!$1:$2,2,FALSE),FALSE)/(VLOOKUP($A472,'[1]import graded seats course pivo'!$A:AD,HLOOKUP('[1]Course Totals'!F$4,'[1]import graded seats course pivo'!$1:$2,2,FALSE),FALSE))),"")</f>
        <v/>
      </c>
      <c r="G472" s="14" t="str">
        <f>IFERROR((VLOOKUP($A472,'[1]import success seats course'!$A:U,HLOOKUP('[1]Course Totals'!G$4,'[1]import success seats course'!$1:$2,2,FALSE),FALSE)/(VLOOKUP($A472,'[1]import graded seats course pivo'!$A:AE,HLOOKUP('[1]Course Totals'!G$4,'[1]import graded seats course pivo'!$1:$2,2,FALSE),FALSE))),"")</f>
        <v/>
      </c>
      <c r="H472" s="14" t="str">
        <f>IFERROR((VLOOKUP($A472,'[1]import success seats course'!$A:V,HLOOKUP('[1]Course Totals'!H$4,'[1]import success seats course'!$1:$2,2,FALSE),FALSE)/(VLOOKUP($A472,'[1]import graded seats course pivo'!$A:AF,HLOOKUP('[1]Course Totals'!H$4,'[1]import graded seats course pivo'!$1:$2,2,FALSE),FALSE))),"")</f>
        <v/>
      </c>
      <c r="I472" s="14" t="str">
        <f>IFERROR((VLOOKUP($A472,'[1]import success seats course'!$A:W,HLOOKUP('[1]Course Totals'!I$4,'[1]import success seats course'!$1:$2,2,FALSE),FALSE)/(VLOOKUP($A472,'[1]import graded seats course pivo'!$A:AG,HLOOKUP('[1]Course Totals'!I$4,'[1]import graded seats course pivo'!$1:$2,2,FALSE),FALSE))),"")</f>
        <v/>
      </c>
      <c r="J472" s="14" t="str">
        <f>IFERROR((VLOOKUP($A472,'[1]import success seats course'!$A:X,HLOOKUP('[1]Course Totals'!J$4,'[1]import success seats course'!$1:$2,2,FALSE),FALSE)/(VLOOKUP($A472,'[1]import graded seats course pivo'!$A:AH,HLOOKUP('[1]Course Totals'!J$4,'[1]import graded seats course pivo'!$1:$2,2,FALSE),FALSE))),"")</f>
        <v/>
      </c>
      <c r="K472" s="14" t="str">
        <f>IFERROR((VLOOKUP($A472,'[1]import success seats course'!$A:Y,HLOOKUP('[1]Course Totals'!K$4,'[1]import success seats course'!$1:$2,2,FALSE),FALSE)/(VLOOKUP($A472,'[1]import graded seats course pivo'!$A:AI,HLOOKUP('[1]Course Totals'!K$4,'[1]import graded seats course pivo'!$1:$2,2,FALSE),FALSE))),"")</f>
        <v/>
      </c>
      <c r="L472" s="14" t="str">
        <f>IFERROR((VLOOKUP($A472,'[1]import success seats course'!$A:Z,HLOOKUP('[1]Course Totals'!L$4,'[1]import success seats course'!$1:$2,2,FALSE),FALSE)/(VLOOKUP($A472,'[1]import graded seats course pivo'!$A:AJ,HLOOKUP('[1]Course Totals'!L$4,'[1]import graded seats course pivo'!$1:$2,2,FALSE),FALSE))),"")</f>
        <v/>
      </c>
      <c r="M472" s="14" t="str">
        <f>IFERROR((VLOOKUP($A472,'[1]import success seats course'!$A:AA,HLOOKUP('[1]Course Totals'!M$4,'[1]import success seats course'!$1:$2,2,FALSE),FALSE)/(VLOOKUP($A472,'[1]import graded seats course pivo'!$A:AK,HLOOKUP('[1]Course Totals'!M$4,'[1]import graded seats course pivo'!$1:$2,2,FALSE),FALSE))),"")</f>
        <v/>
      </c>
      <c r="N472" s="14" t="str">
        <f>IFERROR((VLOOKUP($A472,'[1]import success seats course'!$A:AB,HLOOKUP('[1]Course Totals'!N$4,'[1]import success seats course'!$1:$2,2,FALSE),FALSE)/(VLOOKUP($A472,'[1]import graded seats course pivo'!$A:AL,HLOOKUP('[1]Course Totals'!N$4,'[1]import graded seats course pivo'!$1:$2,2,FALSE),FALSE))),"")</f>
        <v/>
      </c>
      <c r="O472" s="14" t="str">
        <f>IFERROR((VLOOKUP($A472,'[1]import success seats course'!$A:AC,HLOOKUP('[1]Course Totals'!O$4,'[1]import success seats course'!$1:$2,2,FALSE),FALSE)/(VLOOKUP($A472,'[1]import graded seats course pivo'!$A:AM,HLOOKUP('[1]Course Totals'!O$4,'[1]import graded seats course pivo'!$1:$2,2,FALSE),FALSE))),"")</f>
        <v/>
      </c>
      <c r="P472" s="14" t="str">
        <f>IFERROR((VLOOKUP($A472,'[1]import success seats course'!$A:AD,HLOOKUP('[1]Course Totals'!P$4,'[1]import success seats course'!$1:$2,2,FALSE),FALSE)/(VLOOKUP($A472,'[1]import graded seats course pivo'!$A:AN,HLOOKUP('[1]Course Totals'!P$4,'[1]import graded seats course pivo'!$1:$2,2,FALSE),FALSE))),"")</f>
        <v/>
      </c>
      <c r="Q472" s="14" t="str">
        <f>IFERROR((VLOOKUP($A472,'[1]import success seats course'!$A:AE,HLOOKUP('[1]Course Totals'!Q$4,'[1]import success seats course'!$1:$2,2,FALSE),FALSE)/(VLOOKUP($A472,'[1]import graded seats course pivo'!$A:AO,HLOOKUP('[1]Course Totals'!Q$4,'[1]import graded seats course pivo'!$1:$2,2,FALSE),FALSE))),"")</f>
        <v/>
      </c>
      <c r="R472" s="14" t="str">
        <f>IFERROR((VLOOKUP($A472,'[1]import success seats course'!$A:AF,HLOOKUP('[1]Course Totals'!R$4,'[1]import success seats course'!$1:$2,2,FALSE),FALSE)/(VLOOKUP($A472,'[1]import graded seats course pivo'!$A:AP,HLOOKUP('[1]Course Totals'!R$4,'[1]import graded seats course pivo'!$1:$2,2,FALSE),FALSE))),"")</f>
        <v/>
      </c>
      <c r="S472" s="14" t="str">
        <f>IFERROR((VLOOKUP($A472,'[1]import success seats course'!$A:AG,HLOOKUP('[1]Course Totals'!S$4,'[1]import success seats course'!$1:$2,2,FALSE),FALSE)/(VLOOKUP($A472,'[1]import graded seats course pivo'!$A:AQ,HLOOKUP('[1]Course Totals'!S$4,'[1]import graded seats course pivo'!$1:$2,2,FALSE),FALSE))),"")</f>
        <v/>
      </c>
      <c r="Z472" s="7"/>
      <c r="AA472" s="7"/>
      <c r="AB472" s="7"/>
      <c r="AC472" s="7"/>
    </row>
    <row r="473" spans="1:29" ht="15.75" customHeight="1" x14ac:dyDescent="0.25">
      <c r="A473" s="12" t="s">
        <v>230</v>
      </c>
      <c r="B473" s="14">
        <f>IFERROR((VLOOKUP($A473,'[1]import success seats course'!$A:P,HLOOKUP('[1]Course Totals'!B$4,'[1]import success seats course'!$1:$2,2,FALSE),FALSE)/(VLOOKUP($A473,'[1]import graded seats course pivo'!$A:Z,HLOOKUP('[1]Course Totals'!B$4,'[1]import graded seats course pivo'!$1:$2,2,FALSE),FALSE))),"")</f>
        <v>0.5</v>
      </c>
      <c r="C473" s="14">
        <f>IFERROR((VLOOKUP($A473,'[1]import success seats course'!$A:Q,HLOOKUP('[1]Course Totals'!C$4,'[1]import success seats course'!$1:$2,2,FALSE),FALSE)/(VLOOKUP($A473,'[1]import graded seats course pivo'!$A:AA,HLOOKUP('[1]Course Totals'!C$4,'[1]import graded seats course pivo'!$1:$2,2,FALSE),FALSE))),"")</f>
        <v>0.95</v>
      </c>
      <c r="D473" s="14">
        <f>IFERROR((VLOOKUP($A473,'[1]import success seats course'!$A:R,HLOOKUP('[1]Course Totals'!D$4,'[1]import success seats course'!$1:$2,2,FALSE),FALSE)/(VLOOKUP($A473,'[1]import graded seats course pivo'!$A:AB,HLOOKUP('[1]Course Totals'!D$4,'[1]import graded seats course pivo'!$1:$2,2,FALSE),FALSE))),"")</f>
        <v>0.90909090909090906</v>
      </c>
      <c r="E473" s="14">
        <f>IFERROR((VLOOKUP($A473,'[1]import success seats course'!$A:S,HLOOKUP('[1]Course Totals'!E$4,'[1]import success seats course'!$1:$2,2,FALSE),FALSE)/(VLOOKUP($A473,'[1]import graded seats course pivo'!$A:AC,HLOOKUP('[1]Course Totals'!E$4,'[1]import graded seats course pivo'!$1:$2,2,FALSE),FALSE))),"")</f>
        <v>0.95833333333333337</v>
      </c>
      <c r="F473" s="14">
        <f>IFERROR((VLOOKUP($A473,'[1]import success seats course'!$A:T,HLOOKUP('[1]Course Totals'!F$4,'[1]import success seats course'!$1:$2,2,FALSE),FALSE)/(VLOOKUP($A473,'[1]import graded seats course pivo'!$A:AD,HLOOKUP('[1]Course Totals'!F$4,'[1]import graded seats course pivo'!$1:$2,2,FALSE),FALSE))),"")</f>
        <v>0.91304347826086951</v>
      </c>
      <c r="G473" s="14" t="str">
        <f>IFERROR((VLOOKUP($A473,'[1]import success seats course'!$A:U,HLOOKUP('[1]Course Totals'!G$4,'[1]import success seats course'!$1:$2,2,FALSE),FALSE)/(VLOOKUP($A473,'[1]import graded seats course pivo'!$A:AE,HLOOKUP('[1]Course Totals'!G$4,'[1]import graded seats course pivo'!$1:$2,2,FALSE),FALSE))),"")</f>
        <v/>
      </c>
      <c r="H473" s="14" t="str">
        <f>IFERROR((VLOOKUP($A473,'[1]import success seats course'!$A:V,HLOOKUP('[1]Course Totals'!H$4,'[1]import success seats course'!$1:$2,2,FALSE),FALSE)/(VLOOKUP($A473,'[1]import graded seats course pivo'!$A:AF,HLOOKUP('[1]Course Totals'!H$4,'[1]import graded seats course pivo'!$1:$2,2,FALSE),FALSE))),"")</f>
        <v/>
      </c>
      <c r="I473" s="14" t="str">
        <f>IFERROR((VLOOKUP($A473,'[1]import success seats course'!$A:W,HLOOKUP('[1]Course Totals'!I$4,'[1]import success seats course'!$1:$2,2,FALSE),FALSE)/(VLOOKUP($A473,'[1]import graded seats course pivo'!$A:AG,HLOOKUP('[1]Course Totals'!I$4,'[1]import graded seats course pivo'!$1:$2,2,FALSE),FALSE))),"")</f>
        <v/>
      </c>
      <c r="J473" s="14" t="str">
        <f>IFERROR((VLOOKUP($A473,'[1]import success seats course'!$A:X,HLOOKUP('[1]Course Totals'!J$4,'[1]import success seats course'!$1:$2,2,FALSE),FALSE)/(VLOOKUP($A473,'[1]import graded seats course pivo'!$A:AH,HLOOKUP('[1]Course Totals'!J$4,'[1]import graded seats course pivo'!$1:$2,2,FALSE),FALSE))),"")</f>
        <v/>
      </c>
      <c r="K473" s="14" t="str">
        <f>IFERROR((VLOOKUP($A473,'[1]import success seats course'!$A:Y,HLOOKUP('[1]Course Totals'!K$4,'[1]import success seats course'!$1:$2,2,FALSE),FALSE)/(VLOOKUP($A473,'[1]import graded seats course pivo'!$A:AI,HLOOKUP('[1]Course Totals'!K$4,'[1]import graded seats course pivo'!$1:$2,2,FALSE),FALSE))),"")</f>
        <v/>
      </c>
      <c r="L473" s="14" t="str">
        <f>IFERROR((VLOOKUP($A473,'[1]import success seats course'!$A:Z,HLOOKUP('[1]Course Totals'!L$4,'[1]import success seats course'!$1:$2,2,FALSE),FALSE)/(VLOOKUP($A473,'[1]import graded seats course pivo'!$A:AJ,HLOOKUP('[1]Course Totals'!L$4,'[1]import graded seats course pivo'!$1:$2,2,FALSE),FALSE))),"")</f>
        <v/>
      </c>
      <c r="M473" s="14" t="str">
        <f>IFERROR((VLOOKUP($A473,'[1]import success seats course'!$A:AA,HLOOKUP('[1]Course Totals'!M$4,'[1]import success seats course'!$1:$2,2,FALSE),FALSE)/(VLOOKUP($A473,'[1]import graded seats course pivo'!$A:AK,HLOOKUP('[1]Course Totals'!M$4,'[1]import graded seats course pivo'!$1:$2,2,FALSE),FALSE))),"")</f>
        <v/>
      </c>
      <c r="N473" s="14" t="str">
        <f>IFERROR((VLOOKUP($A473,'[1]import success seats course'!$A:AB,HLOOKUP('[1]Course Totals'!N$4,'[1]import success seats course'!$1:$2,2,FALSE),FALSE)/(VLOOKUP($A473,'[1]import graded seats course pivo'!$A:AL,HLOOKUP('[1]Course Totals'!N$4,'[1]import graded seats course pivo'!$1:$2,2,FALSE),FALSE))),"")</f>
        <v/>
      </c>
      <c r="O473" s="14" t="str">
        <f>IFERROR((VLOOKUP($A473,'[1]import success seats course'!$A:AC,HLOOKUP('[1]Course Totals'!O$4,'[1]import success seats course'!$1:$2,2,FALSE),FALSE)/(VLOOKUP($A473,'[1]import graded seats course pivo'!$A:AM,HLOOKUP('[1]Course Totals'!O$4,'[1]import graded seats course pivo'!$1:$2,2,FALSE),FALSE))),"")</f>
        <v/>
      </c>
      <c r="P473" s="14" t="str">
        <f>IFERROR((VLOOKUP($A473,'[1]import success seats course'!$A:AD,HLOOKUP('[1]Course Totals'!P$4,'[1]import success seats course'!$1:$2,2,FALSE),FALSE)/(VLOOKUP($A473,'[1]import graded seats course pivo'!$A:AN,HLOOKUP('[1]Course Totals'!P$4,'[1]import graded seats course pivo'!$1:$2,2,FALSE),FALSE))),"")</f>
        <v/>
      </c>
      <c r="Q473" s="14" t="str">
        <f>IFERROR((VLOOKUP($A473,'[1]import success seats course'!$A:AE,HLOOKUP('[1]Course Totals'!Q$4,'[1]import success seats course'!$1:$2,2,FALSE),FALSE)/(VLOOKUP($A473,'[1]import graded seats course pivo'!$A:AO,HLOOKUP('[1]Course Totals'!Q$4,'[1]import graded seats course pivo'!$1:$2,2,FALSE),FALSE))),"")</f>
        <v/>
      </c>
      <c r="R473" s="14" t="str">
        <f>IFERROR((VLOOKUP($A473,'[1]import success seats course'!$A:AF,HLOOKUP('[1]Course Totals'!R$4,'[1]import success seats course'!$1:$2,2,FALSE),FALSE)/(VLOOKUP($A473,'[1]import graded seats course pivo'!$A:AP,HLOOKUP('[1]Course Totals'!R$4,'[1]import graded seats course pivo'!$1:$2,2,FALSE),FALSE))),"")</f>
        <v/>
      </c>
      <c r="S473" s="14" t="str">
        <f>IFERROR((VLOOKUP($A473,'[1]import success seats course'!$A:AG,HLOOKUP('[1]Course Totals'!S$4,'[1]import success seats course'!$1:$2,2,FALSE),FALSE)/(VLOOKUP($A473,'[1]import graded seats course pivo'!$A:AQ,HLOOKUP('[1]Course Totals'!S$4,'[1]import graded seats course pivo'!$1:$2,2,FALSE),FALSE))),"")</f>
        <v/>
      </c>
      <c r="Z473" s="7"/>
      <c r="AA473" s="7"/>
      <c r="AB473" s="7"/>
      <c r="AC473" s="7"/>
    </row>
    <row r="474" spans="1:29" ht="15.75" customHeight="1" x14ac:dyDescent="0.25">
      <c r="A474" s="12" t="s">
        <v>231</v>
      </c>
      <c r="B474" s="14">
        <f>IFERROR((VLOOKUP($A474,'[1]import success seats course'!$A:P,HLOOKUP('[1]Course Totals'!B$4,'[1]import success seats course'!$1:$2,2,FALSE),FALSE)/(VLOOKUP($A474,'[1]import graded seats course pivo'!$A:Z,HLOOKUP('[1]Course Totals'!B$4,'[1]import graded seats course pivo'!$1:$2,2,FALSE),FALSE))),"")</f>
        <v>0.83783783783783783</v>
      </c>
      <c r="C474" s="14">
        <f>IFERROR((VLOOKUP($A474,'[1]import success seats course'!$A:Q,HLOOKUP('[1]Course Totals'!C$4,'[1]import success seats course'!$1:$2,2,FALSE),FALSE)/(VLOOKUP($A474,'[1]import graded seats course pivo'!$A:AA,HLOOKUP('[1]Course Totals'!C$4,'[1]import graded seats course pivo'!$1:$2,2,FALSE),FALSE))),"")</f>
        <v>0.8571428571428571</v>
      </c>
      <c r="D474" s="14">
        <f>IFERROR((VLOOKUP($A474,'[1]import success seats course'!$A:R,HLOOKUP('[1]Course Totals'!D$4,'[1]import success seats course'!$1:$2,2,FALSE),FALSE)/(VLOOKUP($A474,'[1]import graded seats course pivo'!$A:AB,HLOOKUP('[1]Course Totals'!D$4,'[1]import graded seats course pivo'!$1:$2,2,FALSE),FALSE))),"")</f>
        <v>0.80275229357798161</v>
      </c>
      <c r="E474" s="14">
        <f>IFERROR((VLOOKUP($A474,'[1]import success seats course'!$A:S,HLOOKUP('[1]Course Totals'!E$4,'[1]import success seats course'!$1:$2,2,FALSE),FALSE)/(VLOOKUP($A474,'[1]import graded seats course pivo'!$A:AC,HLOOKUP('[1]Course Totals'!E$4,'[1]import graded seats course pivo'!$1:$2,2,FALSE),FALSE))),"")</f>
        <v>0.75862068965517238</v>
      </c>
      <c r="F474" s="14">
        <f>IFERROR((VLOOKUP($A474,'[1]import success seats course'!$A:T,HLOOKUP('[1]Course Totals'!F$4,'[1]import success seats course'!$1:$2,2,FALSE),FALSE)/(VLOOKUP($A474,'[1]import graded seats course pivo'!$A:AD,HLOOKUP('[1]Course Totals'!F$4,'[1]import graded seats course pivo'!$1:$2,2,FALSE),FALSE))),"")</f>
        <v>0.82758620689655171</v>
      </c>
      <c r="G474" s="14">
        <f>IFERROR((VLOOKUP($A474,'[1]import success seats course'!$A:U,HLOOKUP('[1]Course Totals'!G$4,'[1]import success seats course'!$1:$2,2,FALSE),FALSE)/(VLOOKUP($A474,'[1]import graded seats course pivo'!$A:AE,HLOOKUP('[1]Course Totals'!G$4,'[1]import graded seats course pivo'!$1:$2,2,FALSE),FALSE))),"")</f>
        <v>0.91588785046728971</v>
      </c>
      <c r="H474" s="14">
        <f>IFERROR((VLOOKUP($A474,'[1]import success seats course'!$A:V,HLOOKUP('[1]Course Totals'!H$4,'[1]import success seats course'!$1:$2,2,FALSE),FALSE)/(VLOOKUP($A474,'[1]import graded seats course pivo'!$A:AF,HLOOKUP('[1]Course Totals'!H$4,'[1]import graded seats course pivo'!$1:$2,2,FALSE),FALSE))),"")</f>
        <v>0.87755102040816324</v>
      </c>
      <c r="I474" s="14">
        <f>IFERROR((VLOOKUP($A474,'[1]import success seats course'!$A:W,HLOOKUP('[1]Course Totals'!I$4,'[1]import success seats course'!$1:$2,2,FALSE),FALSE)/(VLOOKUP($A474,'[1]import graded seats course pivo'!$A:AG,HLOOKUP('[1]Course Totals'!I$4,'[1]import graded seats course pivo'!$1:$2,2,FALSE),FALSE))),"")</f>
        <v>0.88461538461538458</v>
      </c>
      <c r="J474" s="14">
        <f>IFERROR((VLOOKUP($A474,'[1]import success seats course'!$A:X,HLOOKUP('[1]Course Totals'!J$4,'[1]import success seats course'!$1:$2,2,FALSE),FALSE)/(VLOOKUP($A474,'[1]import graded seats course pivo'!$A:AH,HLOOKUP('[1]Course Totals'!J$4,'[1]import graded seats course pivo'!$1:$2,2,FALSE),FALSE))),"")</f>
        <v>0.81212121212121213</v>
      </c>
      <c r="K474" s="14" t="str">
        <f>IFERROR((VLOOKUP($A474,'[1]import success seats course'!$A:Y,HLOOKUP('[1]Course Totals'!K$4,'[1]import success seats course'!$1:$2,2,FALSE),FALSE)/(VLOOKUP($A474,'[1]import graded seats course pivo'!$A:AI,HLOOKUP('[1]Course Totals'!K$4,'[1]import graded seats course pivo'!$1:$2,2,FALSE),FALSE))),"")</f>
        <v/>
      </c>
      <c r="L474" s="14">
        <f>IFERROR((VLOOKUP($A474,'[1]import success seats course'!$A:Z,HLOOKUP('[1]Course Totals'!L$4,'[1]import success seats course'!$1:$2,2,FALSE),FALSE)/(VLOOKUP($A474,'[1]import graded seats course pivo'!$A:AJ,HLOOKUP('[1]Course Totals'!L$4,'[1]import graded seats course pivo'!$1:$2,2,FALSE),FALSE))),"")</f>
        <v>0.76373626373626369</v>
      </c>
      <c r="M474" s="14">
        <f>IFERROR((VLOOKUP($A474,'[1]import success seats course'!$A:AA,HLOOKUP('[1]Course Totals'!M$4,'[1]import success seats course'!$1:$2,2,FALSE),FALSE)/(VLOOKUP($A474,'[1]import graded seats course pivo'!$A:AK,HLOOKUP('[1]Course Totals'!M$4,'[1]import graded seats course pivo'!$1:$2,2,FALSE),FALSE))),"")</f>
        <v>0.87150837988826813</v>
      </c>
      <c r="N474" s="14" t="str">
        <f>IFERROR((VLOOKUP($A474,'[1]import success seats course'!$A:AB,HLOOKUP('[1]Course Totals'!N$4,'[1]import success seats course'!$1:$2,2,FALSE),FALSE)/(VLOOKUP($A474,'[1]import graded seats course pivo'!$A:AL,HLOOKUP('[1]Course Totals'!N$4,'[1]import graded seats course pivo'!$1:$2,2,FALSE),FALSE))),"")</f>
        <v/>
      </c>
      <c r="O474" s="14">
        <f>IFERROR((VLOOKUP($A474,'[1]import success seats course'!$A:AC,HLOOKUP('[1]Course Totals'!O$4,'[1]import success seats course'!$1:$2,2,FALSE),FALSE)/(VLOOKUP($A474,'[1]import graded seats course pivo'!$A:AM,HLOOKUP('[1]Course Totals'!O$4,'[1]import graded seats course pivo'!$1:$2,2,FALSE),FALSE))),"")</f>
        <v>0.8764044943820225</v>
      </c>
      <c r="P474" s="14">
        <f>IFERROR((VLOOKUP($A474,'[1]import success seats course'!$A:AD,HLOOKUP('[1]Course Totals'!P$4,'[1]import success seats course'!$1:$2,2,FALSE),FALSE)/(VLOOKUP($A474,'[1]import graded seats course pivo'!$A:AN,HLOOKUP('[1]Course Totals'!P$4,'[1]import graded seats course pivo'!$1:$2,2,FALSE),FALSE))),"")</f>
        <v>0.87096774193548387</v>
      </c>
      <c r="Q474" s="14" t="str">
        <f>IFERROR((VLOOKUP($A474,'[1]import success seats course'!$A:AE,HLOOKUP('[1]Course Totals'!Q$4,'[1]import success seats course'!$1:$2,2,FALSE),FALSE)/(VLOOKUP($A474,'[1]import graded seats course pivo'!$A:AO,HLOOKUP('[1]Course Totals'!Q$4,'[1]import graded seats course pivo'!$1:$2,2,FALSE),FALSE))),"")</f>
        <v/>
      </c>
      <c r="R474" s="14">
        <f>IFERROR((VLOOKUP($A474,'[1]import success seats course'!$A:AF,HLOOKUP('[1]Course Totals'!R$4,'[1]import success seats course'!$1:$2,2,FALSE),FALSE)/(VLOOKUP($A474,'[1]import graded seats course pivo'!$A:AP,HLOOKUP('[1]Course Totals'!R$4,'[1]import graded seats course pivo'!$1:$2,2,FALSE),FALSE))),"")</f>
        <v>0.90109890109890112</v>
      </c>
      <c r="S474" s="14">
        <f>IFERROR((VLOOKUP($A474,'[1]import success seats course'!$A:AG,HLOOKUP('[1]Course Totals'!S$4,'[1]import success seats course'!$1:$2,2,FALSE),FALSE)/(VLOOKUP($A474,'[1]import graded seats course pivo'!$A:AQ,HLOOKUP('[1]Course Totals'!S$4,'[1]import graded seats course pivo'!$1:$2,2,FALSE),FALSE))),"")</f>
        <v>0.85483870967741937</v>
      </c>
      <c r="Z474" s="7"/>
      <c r="AA474" s="7"/>
      <c r="AB474" s="7"/>
      <c r="AC474" s="7"/>
    </row>
    <row r="475" spans="1:29" ht="15.75" customHeight="1" x14ac:dyDescent="0.25">
      <c r="A475" s="12" t="s">
        <v>232</v>
      </c>
      <c r="B475" s="14">
        <f>IFERROR((VLOOKUP($A475,'[1]import success seats course'!$A:P,HLOOKUP('[1]Course Totals'!B$4,'[1]import success seats course'!$1:$2,2,FALSE),FALSE)/(VLOOKUP($A475,'[1]import graded seats course pivo'!$A:Z,HLOOKUP('[1]Course Totals'!B$4,'[1]import graded seats course pivo'!$1:$2,2,FALSE),FALSE))),"")</f>
        <v>0.93055555555555558</v>
      </c>
      <c r="C475" s="14">
        <f>IFERROR((VLOOKUP($A475,'[1]import success seats course'!$A:Q,HLOOKUP('[1]Course Totals'!C$4,'[1]import success seats course'!$1:$2,2,FALSE),FALSE)/(VLOOKUP($A475,'[1]import graded seats course pivo'!$A:AA,HLOOKUP('[1]Course Totals'!C$4,'[1]import graded seats course pivo'!$1:$2,2,FALSE),FALSE))),"")</f>
        <v>0.8666666666666667</v>
      </c>
      <c r="D475" s="14">
        <f>IFERROR((VLOOKUP($A475,'[1]import success seats course'!$A:R,HLOOKUP('[1]Course Totals'!D$4,'[1]import success seats course'!$1:$2,2,FALSE),FALSE)/(VLOOKUP($A475,'[1]import graded seats course pivo'!$A:AB,HLOOKUP('[1]Course Totals'!D$4,'[1]import graded seats course pivo'!$1:$2,2,FALSE),FALSE))),"")</f>
        <v>0.91695501730103801</v>
      </c>
      <c r="E475" s="14">
        <f>IFERROR((VLOOKUP($A475,'[1]import success seats course'!$A:S,HLOOKUP('[1]Course Totals'!E$4,'[1]import success seats course'!$1:$2,2,FALSE),FALSE)/(VLOOKUP($A475,'[1]import graded seats course pivo'!$A:AC,HLOOKUP('[1]Course Totals'!E$4,'[1]import graded seats course pivo'!$1:$2,2,FALSE),FALSE))),"")</f>
        <v>0.92727272727272725</v>
      </c>
      <c r="F475" s="14">
        <f>IFERROR((VLOOKUP($A475,'[1]import success seats course'!$A:T,HLOOKUP('[1]Course Totals'!F$4,'[1]import success seats course'!$1:$2,2,FALSE),FALSE)/(VLOOKUP($A475,'[1]import graded seats course pivo'!$A:AD,HLOOKUP('[1]Course Totals'!F$4,'[1]import graded seats course pivo'!$1:$2,2,FALSE),FALSE))),"")</f>
        <v>0.88086642599277976</v>
      </c>
      <c r="G475" s="14">
        <f>IFERROR((VLOOKUP($A475,'[1]import success seats course'!$A:U,HLOOKUP('[1]Course Totals'!G$4,'[1]import success seats course'!$1:$2,2,FALSE),FALSE)/(VLOOKUP($A475,'[1]import graded seats course pivo'!$A:AE,HLOOKUP('[1]Course Totals'!G$4,'[1]import graded seats course pivo'!$1:$2,2,FALSE),FALSE))),"")</f>
        <v>0.87567567567567572</v>
      </c>
      <c r="H475" s="14">
        <f>IFERROR((VLOOKUP($A475,'[1]import success seats course'!$A:V,HLOOKUP('[1]Course Totals'!H$4,'[1]import success seats course'!$1:$2,2,FALSE),FALSE)/(VLOOKUP($A475,'[1]import graded seats course pivo'!$A:AF,HLOOKUP('[1]Course Totals'!H$4,'[1]import graded seats course pivo'!$1:$2,2,FALSE),FALSE))),"")</f>
        <v>0.95918367346938771</v>
      </c>
      <c r="I475" s="14">
        <f>IFERROR((VLOOKUP($A475,'[1]import success seats course'!$A:W,HLOOKUP('[1]Course Totals'!I$4,'[1]import success seats course'!$1:$2,2,FALSE),FALSE)/(VLOOKUP($A475,'[1]import graded seats course pivo'!$A:AG,HLOOKUP('[1]Course Totals'!I$4,'[1]import graded seats course pivo'!$1:$2,2,FALSE),FALSE))),"")</f>
        <v>0.9233449477351916</v>
      </c>
      <c r="J475" s="14">
        <f>IFERROR((VLOOKUP($A475,'[1]import success seats course'!$A:X,HLOOKUP('[1]Course Totals'!J$4,'[1]import success seats course'!$1:$2,2,FALSE),FALSE)/(VLOOKUP($A475,'[1]import graded seats course pivo'!$A:AH,HLOOKUP('[1]Course Totals'!J$4,'[1]import graded seats course pivo'!$1:$2,2,FALSE),FALSE))),"")</f>
        <v>0.92045454545454541</v>
      </c>
      <c r="K475" s="14" t="str">
        <f>IFERROR((VLOOKUP($A475,'[1]import success seats course'!$A:Y,HLOOKUP('[1]Course Totals'!K$4,'[1]import success seats course'!$1:$2,2,FALSE),FALSE)/(VLOOKUP($A475,'[1]import graded seats course pivo'!$A:AI,HLOOKUP('[1]Course Totals'!K$4,'[1]import graded seats course pivo'!$1:$2,2,FALSE),FALSE))),"")</f>
        <v/>
      </c>
      <c r="L475" s="14">
        <f>IFERROR((VLOOKUP($A475,'[1]import success seats course'!$A:Z,HLOOKUP('[1]Course Totals'!L$4,'[1]import success seats course'!$1:$2,2,FALSE),FALSE)/(VLOOKUP($A475,'[1]import graded seats course pivo'!$A:AJ,HLOOKUP('[1]Course Totals'!L$4,'[1]import graded seats course pivo'!$1:$2,2,FALSE),FALSE))),"")</f>
        <v>0.89068825910931171</v>
      </c>
      <c r="M475" s="14">
        <f>IFERROR((VLOOKUP($A475,'[1]import success seats course'!$A:AA,HLOOKUP('[1]Course Totals'!M$4,'[1]import success seats course'!$1:$2,2,FALSE),FALSE)/(VLOOKUP($A475,'[1]import graded seats course pivo'!$A:AK,HLOOKUP('[1]Course Totals'!M$4,'[1]import graded seats course pivo'!$1:$2,2,FALSE),FALSE))),"")</f>
        <v>0.90295358649789026</v>
      </c>
      <c r="N475" s="14" t="str">
        <f>IFERROR((VLOOKUP($A475,'[1]import success seats course'!$A:AB,HLOOKUP('[1]Course Totals'!N$4,'[1]import success seats course'!$1:$2,2,FALSE),FALSE)/(VLOOKUP($A475,'[1]import graded seats course pivo'!$A:AL,HLOOKUP('[1]Course Totals'!N$4,'[1]import graded seats course pivo'!$1:$2,2,FALSE),FALSE))),"")</f>
        <v/>
      </c>
      <c r="O475" s="14">
        <f>IFERROR((VLOOKUP($A475,'[1]import success seats course'!$A:AC,HLOOKUP('[1]Course Totals'!O$4,'[1]import success seats course'!$1:$2,2,FALSE),FALSE)/(VLOOKUP($A475,'[1]import graded seats course pivo'!$A:AM,HLOOKUP('[1]Course Totals'!O$4,'[1]import graded seats course pivo'!$1:$2,2,FALSE),FALSE))),"")</f>
        <v>0.84518828451882844</v>
      </c>
      <c r="P475" s="14">
        <f>IFERROR((VLOOKUP($A475,'[1]import success seats course'!$A:AD,HLOOKUP('[1]Course Totals'!P$4,'[1]import success seats course'!$1:$2,2,FALSE),FALSE)/(VLOOKUP($A475,'[1]import graded seats course pivo'!$A:AN,HLOOKUP('[1]Course Totals'!P$4,'[1]import graded seats course pivo'!$1:$2,2,FALSE),FALSE))),"")</f>
        <v>0.91397849462365588</v>
      </c>
      <c r="Q475" s="14" t="str">
        <f>IFERROR((VLOOKUP($A475,'[1]import success seats course'!$A:AE,HLOOKUP('[1]Course Totals'!Q$4,'[1]import success seats course'!$1:$2,2,FALSE),FALSE)/(VLOOKUP($A475,'[1]import graded seats course pivo'!$A:AO,HLOOKUP('[1]Course Totals'!Q$4,'[1]import graded seats course pivo'!$1:$2,2,FALSE),FALSE))),"")</f>
        <v/>
      </c>
      <c r="R475" s="14">
        <f>IFERROR((VLOOKUP($A475,'[1]import success seats course'!$A:AF,HLOOKUP('[1]Course Totals'!R$4,'[1]import success seats course'!$1:$2,2,FALSE),FALSE)/(VLOOKUP($A475,'[1]import graded seats course pivo'!$A:AP,HLOOKUP('[1]Course Totals'!R$4,'[1]import graded seats course pivo'!$1:$2,2,FALSE),FALSE))),"")</f>
        <v>0.93835616438356162</v>
      </c>
      <c r="S475" s="14">
        <f>IFERROR((VLOOKUP($A475,'[1]import success seats course'!$A:AG,HLOOKUP('[1]Course Totals'!S$4,'[1]import success seats course'!$1:$2,2,FALSE),FALSE)/(VLOOKUP($A475,'[1]import graded seats course pivo'!$A:AQ,HLOOKUP('[1]Course Totals'!S$4,'[1]import graded seats course pivo'!$1:$2,2,FALSE),FALSE))),"")</f>
        <v>0.96363636363636362</v>
      </c>
      <c r="Z475" s="7"/>
      <c r="AA475" s="7"/>
      <c r="AB475" s="7"/>
      <c r="AC475" s="7"/>
    </row>
    <row r="476" spans="1:29" ht="15.75" customHeight="1" x14ac:dyDescent="0.25">
      <c r="A476" s="12" t="s">
        <v>233</v>
      </c>
      <c r="B476" s="14" t="str">
        <f>IFERROR((VLOOKUP($A476,'[1]import success seats course'!$A:P,HLOOKUP('[1]Course Totals'!B$4,'[1]import success seats course'!$1:$2,2,FALSE),FALSE)/(VLOOKUP($A476,'[1]import graded seats course pivo'!$A:Z,HLOOKUP('[1]Course Totals'!B$4,'[1]import graded seats course pivo'!$1:$2,2,FALSE),FALSE))),"")</f>
        <v/>
      </c>
      <c r="C476" s="14">
        <f>IFERROR((VLOOKUP($A476,'[1]import success seats course'!$A:Q,HLOOKUP('[1]Course Totals'!C$4,'[1]import success seats course'!$1:$2,2,FALSE),FALSE)/(VLOOKUP($A476,'[1]import graded seats course pivo'!$A:AA,HLOOKUP('[1]Course Totals'!C$4,'[1]import graded seats course pivo'!$1:$2,2,FALSE),FALSE))),"")</f>
        <v>0.77777777777777779</v>
      </c>
      <c r="D476" s="14" t="str">
        <f>IFERROR((VLOOKUP($A476,'[1]import success seats course'!$A:R,HLOOKUP('[1]Course Totals'!D$4,'[1]import success seats course'!$1:$2,2,FALSE),FALSE)/(VLOOKUP($A476,'[1]import graded seats course pivo'!$A:AB,HLOOKUP('[1]Course Totals'!D$4,'[1]import graded seats course pivo'!$1:$2,2,FALSE),FALSE))),"")</f>
        <v/>
      </c>
      <c r="E476" s="14" t="str">
        <f>IFERROR((VLOOKUP($A476,'[1]import success seats course'!$A:S,HLOOKUP('[1]Course Totals'!E$4,'[1]import success seats course'!$1:$2,2,FALSE),FALSE)/(VLOOKUP($A476,'[1]import graded seats course pivo'!$A:AC,HLOOKUP('[1]Course Totals'!E$4,'[1]import graded seats course pivo'!$1:$2,2,FALSE),FALSE))),"")</f>
        <v/>
      </c>
      <c r="F476" s="14" t="str">
        <f>IFERROR((VLOOKUP($A476,'[1]import success seats course'!$A:T,HLOOKUP('[1]Course Totals'!F$4,'[1]import success seats course'!$1:$2,2,FALSE),FALSE)/(VLOOKUP($A476,'[1]import graded seats course pivo'!$A:AD,HLOOKUP('[1]Course Totals'!F$4,'[1]import graded seats course pivo'!$1:$2,2,FALSE),FALSE))),"")</f>
        <v/>
      </c>
      <c r="G476" s="14" t="str">
        <f>IFERROR((VLOOKUP($A476,'[1]import success seats course'!$A:U,HLOOKUP('[1]Course Totals'!G$4,'[1]import success seats course'!$1:$2,2,FALSE),FALSE)/(VLOOKUP($A476,'[1]import graded seats course pivo'!$A:AE,HLOOKUP('[1]Course Totals'!G$4,'[1]import graded seats course pivo'!$1:$2,2,FALSE),FALSE))),"")</f>
        <v/>
      </c>
      <c r="H476" s="14" t="str">
        <f>IFERROR((VLOOKUP($A476,'[1]import success seats course'!$A:V,HLOOKUP('[1]Course Totals'!H$4,'[1]import success seats course'!$1:$2,2,FALSE),FALSE)/(VLOOKUP($A476,'[1]import graded seats course pivo'!$A:AF,HLOOKUP('[1]Course Totals'!H$4,'[1]import graded seats course pivo'!$1:$2,2,FALSE),FALSE))),"")</f>
        <v/>
      </c>
      <c r="I476" s="14">
        <f>IFERROR((VLOOKUP($A476,'[1]import success seats course'!$A:W,HLOOKUP('[1]Course Totals'!I$4,'[1]import success seats course'!$1:$2,2,FALSE),FALSE)/(VLOOKUP($A476,'[1]import graded seats course pivo'!$A:AG,HLOOKUP('[1]Course Totals'!I$4,'[1]import graded seats course pivo'!$1:$2,2,FALSE),FALSE))),"")</f>
        <v>0.84210526315789469</v>
      </c>
      <c r="J476" s="14" t="str">
        <f>IFERROR((VLOOKUP($A476,'[1]import success seats course'!$A:X,HLOOKUP('[1]Course Totals'!J$4,'[1]import success seats course'!$1:$2,2,FALSE),FALSE)/(VLOOKUP($A476,'[1]import graded seats course pivo'!$A:AH,HLOOKUP('[1]Course Totals'!J$4,'[1]import graded seats course pivo'!$1:$2,2,FALSE),FALSE))),"")</f>
        <v/>
      </c>
      <c r="K476" s="14" t="str">
        <f>IFERROR((VLOOKUP($A476,'[1]import success seats course'!$A:Y,HLOOKUP('[1]Course Totals'!K$4,'[1]import success seats course'!$1:$2,2,FALSE),FALSE)/(VLOOKUP($A476,'[1]import graded seats course pivo'!$A:AI,HLOOKUP('[1]Course Totals'!K$4,'[1]import graded seats course pivo'!$1:$2,2,FALSE),FALSE))),"")</f>
        <v/>
      </c>
      <c r="L476" s="14" t="str">
        <f>IFERROR((VLOOKUP($A476,'[1]import success seats course'!$A:Z,HLOOKUP('[1]Course Totals'!L$4,'[1]import success seats course'!$1:$2,2,FALSE),FALSE)/(VLOOKUP($A476,'[1]import graded seats course pivo'!$A:AJ,HLOOKUP('[1]Course Totals'!L$4,'[1]import graded seats course pivo'!$1:$2,2,FALSE),FALSE))),"")</f>
        <v/>
      </c>
      <c r="M476" s="14" t="str">
        <f>IFERROR((VLOOKUP($A476,'[1]import success seats course'!$A:AA,HLOOKUP('[1]Course Totals'!M$4,'[1]import success seats course'!$1:$2,2,FALSE),FALSE)/(VLOOKUP($A476,'[1]import graded seats course pivo'!$A:AK,HLOOKUP('[1]Course Totals'!M$4,'[1]import graded seats course pivo'!$1:$2,2,FALSE),FALSE))),"")</f>
        <v/>
      </c>
      <c r="N476" s="14" t="str">
        <f>IFERROR((VLOOKUP($A476,'[1]import success seats course'!$A:AB,HLOOKUP('[1]Course Totals'!N$4,'[1]import success seats course'!$1:$2,2,FALSE),FALSE)/(VLOOKUP($A476,'[1]import graded seats course pivo'!$A:AL,HLOOKUP('[1]Course Totals'!N$4,'[1]import graded seats course pivo'!$1:$2,2,FALSE),FALSE))),"")</f>
        <v/>
      </c>
      <c r="O476" s="14" t="str">
        <f>IFERROR((VLOOKUP($A476,'[1]import success seats course'!$A:AC,HLOOKUP('[1]Course Totals'!O$4,'[1]import success seats course'!$1:$2,2,FALSE),FALSE)/(VLOOKUP($A476,'[1]import graded seats course pivo'!$A:AM,HLOOKUP('[1]Course Totals'!O$4,'[1]import graded seats course pivo'!$1:$2,2,FALSE),FALSE))),"")</f>
        <v/>
      </c>
      <c r="P476" s="14" t="str">
        <f>IFERROR((VLOOKUP($A476,'[1]import success seats course'!$A:AD,HLOOKUP('[1]Course Totals'!P$4,'[1]import success seats course'!$1:$2,2,FALSE),FALSE)/(VLOOKUP($A476,'[1]import graded seats course pivo'!$A:AN,HLOOKUP('[1]Course Totals'!P$4,'[1]import graded seats course pivo'!$1:$2,2,FALSE),FALSE))),"")</f>
        <v/>
      </c>
      <c r="Q476" s="14" t="str">
        <f>IFERROR((VLOOKUP($A476,'[1]import success seats course'!$A:AE,HLOOKUP('[1]Course Totals'!Q$4,'[1]import success seats course'!$1:$2,2,FALSE),FALSE)/(VLOOKUP($A476,'[1]import graded seats course pivo'!$A:AO,HLOOKUP('[1]Course Totals'!Q$4,'[1]import graded seats course pivo'!$1:$2,2,FALSE),FALSE))),"")</f>
        <v/>
      </c>
      <c r="R476" s="14" t="str">
        <f>IFERROR((VLOOKUP($A476,'[1]import success seats course'!$A:AF,HLOOKUP('[1]Course Totals'!R$4,'[1]import success seats course'!$1:$2,2,FALSE),FALSE)/(VLOOKUP($A476,'[1]import graded seats course pivo'!$A:AP,HLOOKUP('[1]Course Totals'!R$4,'[1]import graded seats course pivo'!$1:$2,2,FALSE),FALSE))),"")</f>
        <v/>
      </c>
      <c r="S476" s="14" t="str">
        <f>IFERROR((VLOOKUP($A476,'[1]import success seats course'!$A:AG,HLOOKUP('[1]Course Totals'!S$4,'[1]import success seats course'!$1:$2,2,FALSE),FALSE)/(VLOOKUP($A476,'[1]import graded seats course pivo'!$A:AQ,HLOOKUP('[1]Course Totals'!S$4,'[1]import graded seats course pivo'!$1:$2,2,FALSE),FALSE))),"")</f>
        <v/>
      </c>
      <c r="Z476" s="7"/>
      <c r="AA476" s="7"/>
      <c r="AB476" s="7"/>
      <c r="AC476" s="7"/>
    </row>
    <row r="477" spans="1:29" ht="15.75" customHeight="1" x14ac:dyDescent="0.25">
      <c r="A477" s="12" t="s">
        <v>234</v>
      </c>
      <c r="B477" s="14" t="str">
        <f>IFERROR((VLOOKUP($A477,'[1]import success seats course'!$A:P,HLOOKUP('[1]Course Totals'!B$4,'[1]import success seats course'!$1:$2,2,FALSE),FALSE)/(VLOOKUP($A477,'[1]import graded seats course pivo'!$A:Z,HLOOKUP('[1]Course Totals'!B$4,'[1]import graded seats course pivo'!$1:$2,2,FALSE),FALSE))),"")</f>
        <v/>
      </c>
      <c r="C477" s="14">
        <f>IFERROR((VLOOKUP($A477,'[1]import success seats course'!$A:Q,HLOOKUP('[1]Course Totals'!C$4,'[1]import success seats course'!$1:$2,2,FALSE),FALSE)/(VLOOKUP($A477,'[1]import graded seats course pivo'!$A:AA,HLOOKUP('[1]Course Totals'!C$4,'[1]import graded seats course pivo'!$1:$2,2,FALSE),FALSE))),"")</f>
        <v>0.5714285714285714</v>
      </c>
      <c r="D477" s="14" t="str">
        <f>IFERROR((VLOOKUP($A477,'[1]import success seats course'!$A:R,HLOOKUP('[1]Course Totals'!D$4,'[1]import success seats course'!$1:$2,2,FALSE),FALSE)/(VLOOKUP($A477,'[1]import graded seats course pivo'!$A:AB,HLOOKUP('[1]Course Totals'!D$4,'[1]import graded seats course pivo'!$1:$2,2,FALSE),FALSE))),"")</f>
        <v/>
      </c>
      <c r="E477" s="14" t="str">
        <f>IFERROR((VLOOKUP($A477,'[1]import success seats course'!$A:S,HLOOKUP('[1]Course Totals'!E$4,'[1]import success seats course'!$1:$2,2,FALSE),FALSE)/(VLOOKUP($A477,'[1]import graded seats course pivo'!$A:AC,HLOOKUP('[1]Course Totals'!E$4,'[1]import graded seats course pivo'!$1:$2,2,FALSE),FALSE))),"")</f>
        <v/>
      </c>
      <c r="F477" s="14" t="str">
        <f>IFERROR((VLOOKUP($A477,'[1]import success seats course'!$A:T,HLOOKUP('[1]Course Totals'!F$4,'[1]import success seats course'!$1:$2,2,FALSE),FALSE)/(VLOOKUP($A477,'[1]import graded seats course pivo'!$A:AD,HLOOKUP('[1]Course Totals'!F$4,'[1]import graded seats course pivo'!$1:$2,2,FALSE),FALSE))),"")</f>
        <v/>
      </c>
      <c r="G477" s="14" t="str">
        <f>IFERROR((VLOOKUP($A477,'[1]import success seats course'!$A:U,HLOOKUP('[1]Course Totals'!G$4,'[1]import success seats course'!$1:$2,2,FALSE),FALSE)/(VLOOKUP($A477,'[1]import graded seats course pivo'!$A:AE,HLOOKUP('[1]Course Totals'!G$4,'[1]import graded seats course pivo'!$1:$2,2,FALSE),FALSE))),"")</f>
        <v/>
      </c>
      <c r="H477" s="14" t="str">
        <f>IFERROR((VLOOKUP($A477,'[1]import success seats course'!$A:V,HLOOKUP('[1]Course Totals'!H$4,'[1]import success seats course'!$1:$2,2,FALSE),FALSE)/(VLOOKUP($A477,'[1]import graded seats course pivo'!$A:AF,HLOOKUP('[1]Course Totals'!H$4,'[1]import graded seats course pivo'!$1:$2,2,FALSE),FALSE))),"")</f>
        <v/>
      </c>
      <c r="I477" s="14" t="str">
        <f>IFERROR((VLOOKUP($A477,'[1]import success seats course'!$A:W,HLOOKUP('[1]Course Totals'!I$4,'[1]import success seats course'!$1:$2,2,FALSE),FALSE)/(VLOOKUP($A477,'[1]import graded seats course pivo'!$A:AG,HLOOKUP('[1]Course Totals'!I$4,'[1]import graded seats course pivo'!$1:$2,2,FALSE),FALSE))),"")</f>
        <v/>
      </c>
      <c r="J477" s="14" t="str">
        <f>IFERROR((VLOOKUP($A477,'[1]import success seats course'!$A:X,HLOOKUP('[1]Course Totals'!J$4,'[1]import success seats course'!$1:$2,2,FALSE),FALSE)/(VLOOKUP($A477,'[1]import graded seats course pivo'!$A:AH,HLOOKUP('[1]Course Totals'!J$4,'[1]import graded seats course pivo'!$1:$2,2,FALSE),FALSE))),"")</f>
        <v/>
      </c>
      <c r="K477" s="14" t="str">
        <f>IFERROR((VLOOKUP($A477,'[1]import success seats course'!$A:Y,HLOOKUP('[1]Course Totals'!K$4,'[1]import success seats course'!$1:$2,2,FALSE),FALSE)/(VLOOKUP($A477,'[1]import graded seats course pivo'!$A:AI,HLOOKUP('[1]Course Totals'!K$4,'[1]import graded seats course pivo'!$1:$2,2,FALSE),FALSE))),"")</f>
        <v/>
      </c>
      <c r="L477" s="14" t="str">
        <f>IFERROR((VLOOKUP($A477,'[1]import success seats course'!$A:Z,HLOOKUP('[1]Course Totals'!L$4,'[1]import success seats course'!$1:$2,2,FALSE),FALSE)/(VLOOKUP($A477,'[1]import graded seats course pivo'!$A:AJ,HLOOKUP('[1]Course Totals'!L$4,'[1]import graded seats course pivo'!$1:$2,2,FALSE),FALSE))),"")</f>
        <v/>
      </c>
      <c r="M477" s="14" t="str">
        <f>IFERROR((VLOOKUP($A477,'[1]import success seats course'!$A:AA,HLOOKUP('[1]Course Totals'!M$4,'[1]import success seats course'!$1:$2,2,FALSE),FALSE)/(VLOOKUP($A477,'[1]import graded seats course pivo'!$A:AK,HLOOKUP('[1]Course Totals'!M$4,'[1]import graded seats course pivo'!$1:$2,2,FALSE),FALSE))),"")</f>
        <v/>
      </c>
      <c r="N477" s="14" t="str">
        <f>IFERROR((VLOOKUP($A477,'[1]import success seats course'!$A:AB,HLOOKUP('[1]Course Totals'!N$4,'[1]import success seats course'!$1:$2,2,FALSE),FALSE)/(VLOOKUP($A477,'[1]import graded seats course pivo'!$A:AL,HLOOKUP('[1]Course Totals'!N$4,'[1]import graded seats course pivo'!$1:$2,2,FALSE),FALSE))),"")</f>
        <v/>
      </c>
      <c r="O477" s="14" t="str">
        <f>IFERROR((VLOOKUP($A477,'[1]import success seats course'!$A:AC,HLOOKUP('[1]Course Totals'!O$4,'[1]import success seats course'!$1:$2,2,FALSE),FALSE)/(VLOOKUP($A477,'[1]import graded seats course pivo'!$A:AM,HLOOKUP('[1]Course Totals'!O$4,'[1]import graded seats course pivo'!$1:$2,2,FALSE),FALSE))),"")</f>
        <v/>
      </c>
      <c r="P477" s="14" t="str">
        <f>IFERROR((VLOOKUP($A477,'[1]import success seats course'!$A:AD,HLOOKUP('[1]Course Totals'!P$4,'[1]import success seats course'!$1:$2,2,FALSE),FALSE)/(VLOOKUP($A477,'[1]import graded seats course pivo'!$A:AN,HLOOKUP('[1]Course Totals'!P$4,'[1]import graded seats course pivo'!$1:$2,2,FALSE),FALSE))),"")</f>
        <v/>
      </c>
      <c r="Q477" s="14" t="str">
        <f>IFERROR((VLOOKUP($A477,'[1]import success seats course'!$A:AE,HLOOKUP('[1]Course Totals'!Q$4,'[1]import success seats course'!$1:$2,2,FALSE),FALSE)/(VLOOKUP($A477,'[1]import graded seats course pivo'!$A:AO,HLOOKUP('[1]Course Totals'!Q$4,'[1]import graded seats course pivo'!$1:$2,2,FALSE),FALSE))),"")</f>
        <v/>
      </c>
      <c r="R477" s="14" t="str">
        <f>IFERROR((VLOOKUP($A477,'[1]import success seats course'!$A:AF,HLOOKUP('[1]Course Totals'!R$4,'[1]import success seats course'!$1:$2,2,FALSE),FALSE)/(VLOOKUP($A477,'[1]import graded seats course pivo'!$A:AP,HLOOKUP('[1]Course Totals'!R$4,'[1]import graded seats course pivo'!$1:$2,2,FALSE),FALSE))),"")</f>
        <v/>
      </c>
      <c r="S477" s="14" t="str">
        <f>IFERROR((VLOOKUP($A477,'[1]import success seats course'!$A:AG,HLOOKUP('[1]Course Totals'!S$4,'[1]import success seats course'!$1:$2,2,FALSE),FALSE)/(VLOOKUP($A477,'[1]import graded seats course pivo'!$A:AQ,HLOOKUP('[1]Course Totals'!S$4,'[1]import graded seats course pivo'!$1:$2,2,FALSE),FALSE))),"")</f>
        <v/>
      </c>
      <c r="Z477" s="7"/>
      <c r="AA477" s="7"/>
      <c r="AB477" s="7"/>
      <c r="AC477" s="7"/>
    </row>
    <row r="478" spans="1:29" ht="15.75" customHeight="1" x14ac:dyDescent="0.25">
      <c r="A478" s="12" t="s">
        <v>235</v>
      </c>
      <c r="B478" s="14">
        <f>IFERROR((VLOOKUP($A478,'[1]import success seats course'!$A:P,HLOOKUP('[1]Course Totals'!B$4,'[1]import success seats course'!$1:$2,2,FALSE),FALSE)/(VLOOKUP($A478,'[1]import graded seats course pivo'!$A:Z,HLOOKUP('[1]Course Totals'!B$4,'[1]import graded seats course pivo'!$1:$2,2,FALSE),FALSE))),"")</f>
        <v>0.93548387096774188</v>
      </c>
      <c r="C478" s="14">
        <f>IFERROR((VLOOKUP($A478,'[1]import success seats course'!$A:Q,HLOOKUP('[1]Course Totals'!C$4,'[1]import success seats course'!$1:$2,2,FALSE),FALSE)/(VLOOKUP($A478,'[1]import graded seats course pivo'!$A:AA,HLOOKUP('[1]Course Totals'!C$4,'[1]import graded seats course pivo'!$1:$2,2,FALSE),FALSE))),"")</f>
        <v>0.8559670781893004</v>
      </c>
      <c r="D478" s="14">
        <f>IFERROR((VLOOKUP($A478,'[1]import success seats course'!$A:R,HLOOKUP('[1]Course Totals'!D$4,'[1]import success seats course'!$1:$2,2,FALSE),FALSE)/(VLOOKUP($A478,'[1]import graded seats course pivo'!$A:AB,HLOOKUP('[1]Course Totals'!D$4,'[1]import graded seats course pivo'!$1:$2,2,FALSE),FALSE))),"")</f>
        <v>0.86121673003802279</v>
      </c>
      <c r="E478" s="14">
        <f>IFERROR((VLOOKUP($A478,'[1]import success seats course'!$A:S,HLOOKUP('[1]Course Totals'!E$4,'[1]import success seats course'!$1:$2,2,FALSE),FALSE)/(VLOOKUP($A478,'[1]import graded seats course pivo'!$A:AC,HLOOKUP('[1]Course Totals'!E$4,'[1]import graded seats course pivo'!$1:$2,2,FALSE),FALSE))),"")</f>
        <v>0.91489361702127658</v>
      </c>
      <c r="F478" s="14">
        <f>IFERROR((VLOOKUP($A478,'[1]import success seats course'!$A:T,HLOOKUP('[1]Course Totals'!F$4,'[1]import success seats course'!$1:$2,2,FALSE),FALSE)/(VLOOKUP($A478,'[1]import graded seats course pivo'!$A:AD,HLOOKUP('[1]Course Totals'!F$4,'[1]import graded seats course pivo'!$1:$2,2,FALSE),FALSE))),"")</f>
        <v>0.8435672514619883</v>
      </c>
      <c r="G478" s="14">
        <f>IFERROR((VLOOKUP($A478,'[1]import success seats course'!$A:U,HLOOKUP('[1]Course Totals'!G$4,'[1]import success seats course'!$1:$2,2,FALSE),FALSE)/(VLOOKUP($A478,'[1]import graded seats course pivo'!$A:AE,HLOOKUP('[1]Course Totals'!G$4,'[1]import graded seats course pivo'!$1:$2,2,FALSE),FALSE))),"")</f>
        <v>0.85550082101806235</v>
      </c>
      <c r="H478" s="14">
        <f>IFERROR((VLOOKUP($A478,'[1]import success seats course'!$A:V,HLOOKUP('[1]Course Totals'!H$4,'[1]import success seats course'!$1:$2,2,FALSE),FALSE)/(VLOOKUP($A478,'[1]import graded seats course pivo'!$A:AF,HLOOKUP('[1]Course Totals'!H$4,'[1]import graded seats course pivo'!$1:$2,2,FALSE),FALSE))),"")</f>
        <v>0.92647058823529416</v>
      </c>
      <c r="I478" s="14">
        <f>IFERROR((VLOOKUP($A478,'[1]import success seats course'!$A:W,HLOOKUP('[1]Course Totals'!I$4,'[1]import success seats course'!$1:$2,2,FALSE),FALSE)/(VLOOKUP($A478,'[1]import graded seats course pivo'!$A:AG,HLOOKUP('[1]Course Totals'!I$4,'[1]import graded seats course pivo'!$1:$2,2,FALSE),FALSE))),"")</f>
        <v>0.85663082437275984</v>
      </c>
      <c r="J478" s="14">
        <f>IFERROR((VLOOKUP($A478,'[1]import success seats course'!$A:X,HLOOKUP('[1]Course Totals'!J$4,'[1]import success seats course'!$1:$2,2,FALSE),FALSE)/(VLOOKUP($A478,'[1]import graded seats course pivo'!$A:AH,HLOOKUP('[1]Course Totals'!J$4,'[1]import graded seats course pivo'!$1:$2,2,FALSE),FALSE))),"")</f>
        <v>0.87385740402193779</v>
      </c>
      <c r="K478" s="14" t="str">
        <f>IFERROR((VLOOKUP($A478,'[1]import success seats course'!$A:Y,HLOOKUP('[1]Course Totals'!K$4,'[1]import success seats course'!$1:$2,2,FALSE),FALSE)/(VLOOKUP($A478,'[1]import graded seats course pivo'!$A:AI,HLOOKUP('[1]Course Totals'!K$4,'[1]import graded seats course pivo'!$1:$2,2,FALSE),FALSE))),"")</f>
        <v/>
      </c>
      <c r="L478" s="14">
        <f>IFERROR((VLOOKUP($A478,'[1]import success seats course'!$A:Z,HLOOKUP('[1]Course Totals'!L$4,'[1]import success seats course'!$1:$2,2,FALSE),FALSE)/(VLOOKUP($A478,'[1]import graded seats course pivo'!$A:AJ,HLOOKUP('[1]Course Totals'!L$4,'[1]import graded seats course pivo'!$1:$2,2,FALSE),FALSE))),"")</f>
        <v>0.87927565392354123</v>
      </c>
      <c r="M478" s="14">
        <f>IFERROR((VLOOKUP($A478,'[1]import success seats course'!$A:AA,HLOOKUP('[1]Course Totals'!M$4,'[1]import success seats course'!$1:$2,2,FALSE),FALSE)/(VLOOKUP($A478,'[1]import graded seats course pivo'!$A:AK,HLOOKUP('[1]Course Totals'!M$4,'[1]import graded seats course pivo'!$1:$2,2,FALSE),FALSE))),"")</f>
        <v>0.89306930693069309</v>
      </c>
      <c r="N478" s="14" t="str">
        <f>IFERROR((VLOOKUP($A478,'[1]import success seats course'!$A:AB,HLOOKUP('[1]Course Totals'!N$4,'[1]import success seats course'!$1:$2,2,FALSE),FALSE)/(VLOOKUP($A478,'[1]import graded seats course pivo'!$A:AL,HLOOKUP('[1]Course Totals'!N$4,'[1]import graded seats course pivo'!$1:$2,2,FALSE),FALSE))),"")</f>
        <v/>
      </c>
      <c r="O478" s="14">
        <f>IFERROR((VLOOKUP($A478,'[1]import success seats course'!$A:AC,HLOOKUP('[1]Course Totals'!O$4,'[1]import success seats course'!$1:$2,2,FALSE),FALSE)/(VLOOKUP($A478,'[1]import graded seats course pivo'!$A:AM,HLOOKUP('[1]Course Totals'!O$4,'[1]import graded seats course pivo'!$1:$2,2,FALSE),FALSE))),"")</f>
        <v>0.92017738359201773</v>
      </c>
      <c r="P478" s="14">
        <f>IFERROR((VLOOKUP($A478,'[1]import success seats course'!$A:AD,HLOOKUP('[1]Course Totals'!P$4,'[1]import success seats course'!$1:$2,2,FALSE),FALSE)/(VLOOKUP($A478,'[1]import graded seats course pivo'!$A:AN,HLOOKUP('[1]Course Totals'!P$4,'[1]import graded seats course pivo'!$1:$2,2,FALSE),FALSE))),"")</f>
        <v>0.89372822299651566</v>
      </c>
      <c r="Q478" s="14" t="str">
        <f>IFERROR((VLOOKUP($A478,'[1]import success seats course'!$A:AE,HLOOKUP('[1]Course Totals'!Q$4,'[1]import success seats course'!$1:$2,2,FALSE),FALSE)/(VLOOKUP($A478,'[1]import graded seats course pivo'!$A:AO,HLOOKUP('[1]Course Totals'!Q$4,'[1]import graded seats course pivo'!$1:$2,2,FALSE),FALSE))),"")</f>
        <v/>
      </c>
      <c r="R478" s="14">
        <f>IFERROR((VLOOKUP($A478,'[1]import success seats course'!$A:AF,HLOOKUP('[1]Course Totals'!R$4,'[1]import success seats course'!$1:$2,2,FALSE),FALSE)/(VLOOKUP($A478,'[1]import graded seats course pivo'!$A:AP,HLOOKUP('[1]Course Totals'!R$4,'[1]import graded seats course pivo'!$1:$2,2,FALSE),FALSE))),"")</f>
        <v>0.93220338983050843</v>
      </c>
      <c r="S478" s="14">
        <f>IFERROR((VLOOKUP($A478,'[1]import success seats course'!$A:AG,HLOOKUP('[1]Course Totals'!S$4,'[1]import success seats course'!$1:$2,2,FALSE),FALSE)/(VLOOKUP($A478,'[1]import graded seats course pivo'!$A:AQ,HLOOKUP('[1]Course Totals'!S$4,'[1]import graded seats course pivo'!$1:$2,2,FALSE),FALSE))),"")</f>
        <v>0.89583333333333337</v>
      </c>
      <c r="Z478" s="7"/>
      <c r="AA478" s="7"/>
      <c r="AB478" s="7"/>
      <c r="AC478" s="7"/>
    </row>
    <row r="479" spans="1:29" ht="15.75" customHeight="1" x14ac:dyDescent="0.25">
      <c r="A479" s="12" t="s">
        <v>236</v>
      </c>
      <c r="B479" s="14">
        <f>IFERROR((VLOOKUP($A479,'[1]import success seats course'!$A:P,HLOOKUP('[1]Course Totals'!B$4,'[1]import success seats course'!$1:$2,2,FALSE),FALSE)/(VLOOKUP($A479,'[1]import graded seats course pivo'!$A:Z,HLOOKUP('[1]Course Totals'!B$4,'[1]import graded seats course pivo'!$1:$2,2,FALSE),FALSE))),"")</f>
        <v>0.88888888888888884</v>
      </c>
      <c r="C479" s="14">
        <f>IFERROR((VLOOKUP($A479,'[1]import success seats course'!$A:Q,HLOOKUP('[1]Course Totals'!C$4,'[1]import success seats course'!$1:$2,2,FALSE),FALSE)/(VLOOKUP($A479,'[1]import graded seats course pivo'!$A:AA,HLOOKUP('[1]Course Totals'!C$4,'[1]import graded seats course pivo'!$1:$2,2,FALSE),FALSE))),"")</f>
        <v>0.85013623978201636</v>
      </c>
      <c r="D479" s="14">
        <f>IFERROR((VLOOKUP($A479,'[1]import success seats course'!$A:R,HLOOKUP('[1]Course Totals'!D$4,'[1]import success seats course'!$1:$2,2,FALSE),FALSE)/(VLOOKUP($A479,'[1]import graded seats course pivo'!$A:AB,HLOOKUP('[1]Course Totals'!D$4,'[1]import graded seats course pivo'!$1:$2,2,FALSE),FALSE))),"")</f>
        <v>0.81218274111675126</v>
      </c>
      <c r="E479" s="14">
        <f>IFERROR((VLOOKUP($A479,'[1]import success seats course'!$A:S,HLOOKUP('[1]Course Totals'!E$4,'[1]import success seats course'!$1:$2,2,FALSE),FALSE)/(VLOOKUP($A479,'[1]import graded seats course pivo'!$A:AC,HLOOKUP('[1]Course Totals'!E$4,'[1]import graded seats course pivo'!$1:$2,2,FALSE),FALSE))),"")</f>
        <v>0.93076923076923079</v>
      </c>
      <c r="F479" s="14">
        <f>IFERROR((VLOOKUP($A479,'[1]import success seats course'!$A:T,HLOOKUP('[1]Course Totals'!F$4,'[1]import success seats course'!$1:$2,2,FALSE),FALSE)/(VLOOKUP($A479,'[1]import graded seats course pivo'!$A:AD,HLOOKUP('[1]Course Totals'!F$4,'[1]import graded seats course pivo'!$1:$2,2,FALSE),FALSE))),"")</f>
        <v>0.82521489971346706</v>
      </c>
      <c r="G479" s="14">
        <f>IFERROR((VLOOKUP($A479,'[1]import success seats course'!$A:U,HLOOKUP('[1]Course Totals'!G$4,'[1]import success seats course'!$1:$2,2,FALSE),FALSE)/(VLOOKUP($A479,'[1]import graded seats course pivo'!$A:AE,HLOOKUP('[1]Course Totals'!G$4,'[1]import graded seats course pivo'!$1:$2,2,FALSE),FALSE))),"")</f>
        <v>0.87063953488372092</v>
      </c>
      <c r="H479" s="14">
        <f>IFERROR((VLOOKUP($A479,'[1]import success seats course'!$A:V,HLOOKUP('[1]Course Totals'!H$4,'[1]import success seats course'!$1:$2,2,FALSE),FALSE)/(VLOOKUP($A479,'[1]import graded seats course pivo'!$A:AF,HLOOKUP('[1]Course Totals'!H$4,'[1]import graded seats course pivo'!$1:$2,2,FALSE),FALSE))),"")</f>
        <v>0.93814432989690721</v>
      </c>
      <c r="I479" s="14">
        <f>IFERROR((VLOOKUP($A479,'[1]import success seats course'!$A:W,HLOOKUP('[1]Course Totals'!I$4,'[1]import success seats course'!$1:$2,2,FALSE),FALSE)/(VLOOKUP($A479,'[1]import graded seats course pivo'!$A:AG,HLOOKUP('[1]Course Totals'!I$4,'[1]import graded seats course pivo'!$1:$2,2,FALSE),FALSE))),"")</f>
        <v>0.86676427525622257</v>
      </c>
      <c r="J479" s="14">
        <f>IFERROR((VLOOKUP($A479,'[1]import success seats course'!$A:X,HLOOKUP('[1]Course Totals'!J$4,'[1]import success seats course'!$1:$2,2,FALSE),FALSE)/(VLOOKUP($A479,'[1]import graded seats course pivo'!$A:AH,HLOOKUP('[1]Course Totals'!J$4,'[1]import graded seats course pivo'!$1:$2,2,FALSE),FALSE))),"")</f>
        <v>0.84018987341772156</v>
      </c>
      <c r="K479" s="14" t="str">
        <f>IFERROR((VLOOKUP($A479,'[1]import success seats course'!$A:Y,HLOOKUP('[1]Course Totals'!K$4,'[1]import success seats course'!$1:$2,2,FALSE),FALSE)/(VLOOKUP($A479,'[1]import graded seats course pivo'!$A:AI,HLOOKUP('[1]Course Totals'!K$4,'[1]import graded seats course pivo'!$1:$2,2,FALSE),FALSE))),"")</f>
        <v/>
      </c>
      <c r="L479" s="14">
        <f>IFERROR((VLOOKUP($A479,'[1]import success seats course'!$A:Z,HLOOKUP('[1]Course Totals'!L$4,'[1]import success seats course'!$1:$2,2,FALSE),FALSE)/(VLOOKUP($A479,'[1]import graded seats course pivo'!$A:AJ,HLOOKUP('[1]Course Totals'!L$4,'[1]import graded seats course pivo'!$1:$2,2,FALSE),FALSE))),"")</f>
        <v>0.84814216478190629</v>
      </c>
      <c r="M479" s="14">
        <f>IFERROR((VLOOKUP($A479,'[1]import success seats course'!$A:AA,HLOOKUP('[1]Course Totals'!M$4,'[1]import success seats course'!$1:$2,2,FALSE),FALSE)/(VLOOKUP($A479,'[1]import graded seats course pivo'!$A:AK,HLOOKUP('[1]Course Totals'!M$4,'[1]import graded seats course pivo'!$1:$2,2,FALSE),FALSE))),"")</f>
        <v>0.84347826086956523</v>
      </c>
      <c r="N479" s="14" t="str">
        <f>IFERROR((VLOOKUP($A479,'[1]import success seats course'!$A:AB,HLOOKUP('[1]Course Totals'!N$4,'[1]import success seats course'!$1:$2,2,FALSE),FALSE)/(VLOOKUP($A479,'[1]import graded seats course pivo'!$A:AL,HLOOKUP('[1]Course Totals'!N$4,'[1]import graded seats course pivo'!$1:$2,2,FALSE),FALSE))),"")</f>
        <v/>
      </c>
      <c r="O479" s="14">
        <f>IFERROR((VLOOKUP($A479,'[1]import success seats course'!$A:AC,HLOOKUP('[1]Course Totals'!O$4,'[1]import success seats course'!$1:$2,2,FALSE),FALSE)/(VLOOKUP($A479,'[1]import graded seats course pivo'!$A:AM,HLOOKUP('[1]Course Totals'!O$4,'[1]import graded seats course pivo'!$1:$2,2,FALSE),FALSE))),"")</f>
        <v>0.8623188405797102</v>
      </c>
      <c r="P479" s="14">
        <f>IFERROR((VLOOKUP($A479,'[1]import success seats course'!$A:AD,HLOOKUP('[1]Course Totals'!P$4,'[1]import success seats course'!$1:$2,2,FALSE),FALSE)/(VLOOKUP($A479,'[1]import graded seats course pivo'!$A:AN,HLOOKUP('[1]Course Totals'!P$4,'[1]import graded seats course pivo'!$1:$2,2,FALSE),FALSE))),"")</f>
        <v>0.86290322580645162</v>
      </c>
      <c r="Q479" s="14">
        <f>IFERROR((VLOOKUP($A479,'[1]import success seats course'!$A:AE,HLOOKUP('[1]Course Totals'!Q$4,'[1]import success seats course'!$1:$2,2,FALSE),FALSE)/(VLOOKUP($A479,'[1]import graded seats course pivo'!$A:AO,HLOOKUP('[1]Course Totals'!Q$4,'[1]import graded seats course pivo'!$1:$2,2,FALSE),FALSE))),"")</f>
        <v>0.87234042553191493</v>
      </c>
      <c r="R479" s="14">
        <f>IFERROR((VLOOKUP($A479,'[1]import success seats course'!$A:AF,HLOOKUP('[1]Course Totals'!R$4,'[1]import success seats course'!$1:$2,2,FALSE),FALSE)/(VLOOKUP($A479,'[1]import graded seats course pivo'!$A:AP,HLOOKUP('[1]Course Totals'!R$4,'[1]import graded seats course pivo'!$1:$2,2,FALSE),FALSE))),"")</f>
        <v>0.87192982456140355</v>
      </c>
      <c r="S479" s="14">
        <f>IFERROR((VLOOKUP($A479,'[1]import success seats course'!$A:AG,HLOOKUP('[1]Course Totals'!S$4,'[1]import success seats course'!$1:$2,2,FALSE),FALSE)/(VLOOKUP($A479,'[1]import graded seats course pivo'!$A:AQ,HLOOKUP('[1]Course Totals'!S$4,'[1]import graded seats course pivo'!$1:$2,2,FALSE),FALSE))),"")</f>
        <v>0.85432473444613055</v>
      </c>
      <c r="Z479" s="7"/>
      <c r="AA479" s="7"/>
      <c r="AB479" s="7"/>
      <c r="AC479" s="7"/>
    </row>
    <row r="480" spans="1:29" ht="15.75" customHeight="1" x14ac:dyDescent="0.25">
      <c r="A480" s="12" t="s">
        <v>237</v>
      </c>
      <c r="B480" s="14" t="str">
        <f>IFERROR((VLOOKUP($A480,'[1]import success seats course'!$A:P,HLOOKUP('[1]Course Totals'!B$4,'[1]import success seats course'!$1:$2,2,FALSE),FALSE)/(VLOOKUP($A480,'[1]import graded seats course pivo'!$A:Z,HLOOKUP('[1]Course Totals'!B$4,'[1]import graded seats course pivo'!$1:$2,2,FALSE),FALSE))),"")</f>
        <v/>
      </c>
      <c r="C480" s="14">
        <f>IFERROR((VLOOKUP($A480,'[1]import success seats course'!$A:Q,HLOOKUP('[1]Course Totals'!C$4,'[1]import success seats course'!$1:$2,2,FALSE),FALSE)/(VLOOKUP($A480,'[1]import graded seats course pivo'!$A:AA,HLOOKUP('[1]Course Totals'!C$4,'[1]import graded seats course pivo'!$1:$2,2,FALSE),FALSE))),"")</f>
        <v>0.75</v>
      </c>
      <c r="D480" s="14">
        <f>IFERROR((VLOOKUP($A480,'[1]import success seats course'!$A:R,HLOOKUP('[1]Course Totals'!D$4,'[1]import success seats course'!$1:$2,2,FALSE),FALSE)/(VLOOKUP($A480,'[1]import graded seats course pivo'!$A:AB,HLOOKUP('[1]Course Totals'!D$4,'[1]import graded seats course pivo'!$1:$2,2,FALSE),FALSE))),"")</f>
        <v>0.83333333333333337</v>
      </c>
      <c r="E480" s="14">
        <f>IFERROR((VLOOKUP($A480,'[1]import success seats course'!$A:S,HLOOKUP('[1]Course Totals'!E$4,'[1]import success seats course'!$1:$2,2,FALSE),FALSE)/(VLOOKUP($A480,'[1]import graded seats course pivo'!$A:AC,HLOOKUP('[1]Course Totals'!E$4,'[1]import graded seats course pivo'!$1:$2,2,FALSE),FALSE))),"")</f>
        <v>1</v>
      </c>
      <c r="F480" s="14">
        <f>IFERROR((VLOOKUP($A480,'[1]import success seats course'!$A:T,HLOOKUP('[1]Course Totals'!F$4,'[1]import success seats course'!$1:$2,2,FALSE),FALSE)/(VLOOKUP($A480,'[1]import graded seats course pivo'!$A:AD,HLOOKUP('[1]Course Totals'!F$4,'[1]import graded seats course pivo'!$1:$2,2,FALSE),FALSE))),"")</f>
        <v>1</v>
      </c>
      <c r="G480" s="14">
        <f>IFERROR((VLOOKUP($A480,'[1]import success seats course'!$A:U,HLOOKUP('[1]Course Totals'!G$4,'[1]import success seats course'!$1:$2,2,FALSE),FALSE)/(VLOOKUP($A480,'[1]import graded seats course pivo'!$A:AE,HLOOKUP('[1]Course Totals'!G$4,'[1]import graded seats course pivo'!$1:$2,2,FALSE),FALSE))),"")</f>
        <v>1</v>
      </c>
      <c r="H480" s="14" t="str">
        <f>IFERROR((VLOOKUP($A480,'[1]import success seats course'!$A:V,HLOOKUP('[1]Course Totals'!H$4,'[1]import success seats course'!$1:$2,2,FALSE),FALSE)/(VLOOKUP($A480,'[1]import graded seats course pivo'!$A:AF,HLOOKUP('[1]Course Totals'!H$4,'[1]import graded seats course pivo'!$1:$2,2,FALSE),FALSE))),"")</f>
        <v/>
      </c>
      <c r="I480" s="14">
        <f>IFERROR((VLOOKUP($A480,'[1]import success seats course'!$A:W,HLOOKUP('[1]Course Totals'!I$4,'[1]import success seats course'!$1:$2,2,FALSE),FALSE)/(VLOOKUP($A480,'[1]import graded seats course pivo'!$A:AG,HLOOKUP('[1]Course Totals'!I$4,'[1]import graded seats course pivo'!$1:$2,2,FALSE),FALSE))),"")</f>
        <v>1</v>
      </c>
      <c r="J480" s="14">
        <f>IFERROR((VLOOKUP($A480,'[1]import success seats course'!$A:X,HLOOKUP('[1]Course Totals'!J$4,'[1]import success seats course'!$1:$2,2,FALSE),FALSE)/(VLOOKUP($A480,'[1]import graded seats course pivo'!$A:AH,HLOOKUP('[1]Course Totals'!J$4,'[1]import graded seats course pivo'!$1:$2,2,FALSE),FALSE))),"")</f>
        <v>0.5</v>
      </c>
      <c r="K480" s="14" t="str">
        <f>IFERROR((VLOOKUP($A480,'[1]import success seats course'!$A:Y,HLOOKUP('[1]Course Totals'!K$4,'[1]import success seats course'!$1:$2,2,FALSE),FALSE)/(VLOOKUP($A480,'[1]import graded seats course pivo'!$A:AI,HLOOKUP('[1]Course Totals'!K$4,'[1]import graded seats course pivo'!$1:$2,2,FALSE),FALSE))),"")</f>
        <v/>
      </c>
      <c r="L480" s="14">
        <f>IFERROR((VLOOKUP($A480,'[1]import success seats course'!$A:Z,HLOOKUP('[1]Course Totals'!L$4,'[1]import success seats course'!$1:$2,2,FALSE),FALSE)/(VLOOKUP($A480,'[1]import graded seats course pivo'!$A:AJ,HLOOKUP('[1]Course Totals'!L$4,'[1]import graded seats course pivo'!$1:$2,2,FALSE),FALSE))),"")</f>
        <v>1</v>
      </c>
      <c r="M480" s="14">
        <f>IFERROR((VLOOKUP($A480,'[1]import success seats course'!$A:AA,HLOOKUP('[1]Course Totals'!M$4,'[1]import success seats course'!$1:$2,2,FALSE),FALSE)/(VLOOKUP($A480,'[1]import graded seats course pivo'!$A:AK,HLOOKUP('[1]Course Totals'!M$4,'[1]import graded seats course pivo'!$1:$2,2,FALSE),FALSE))),"")</f>
        <v>1</v>
      </c>
      <c r="N480" s="14" t="str">
        <f>IFERROR((VLOOKUP($A480,'[1]import success seats course'!$A:AB,HLOOKUP('[1]Course Totals'!N$4,'[1]import success seats course'!$1:$2,2,FALSE),FALSE)/(VLOOKUP($A480,'[1]import graded seats course pivo'!$A:AL,HLOOKUP('[1]Course Totals'!N$4,'[1]import graded seats course pivo'!$1:$2,2,FALSE),FALSE))),"")</f>
        <v/>
      </c>
      <c r="O480" s="14">
        <f>IFERROR((VLOOKUP($A480,'[1]import success seats course'!$A:AC,HLOOKUP('[1]Course Totals'!O$4,'[1]import success seats course'!$1:$2,2,FALSE),FALSE)/(VLOOKUP($A480,'[1]import graded seats course pivo'!$A:AM,HLOOKUP('[1]Course Totals'!O$4,'[1]import graded seats course pivo'!$1:$2,2,FALSE),FALSE))),"")</f>
        <v>1</v>
      </c>
      <c r="P480" s="14">
        <f>IFERROR((VLOOKUP($A480,'[1]import success seats course'!$A:AD,HLOOKUP('[1]Course Totals'!P$4,'[1]import success seats course'!$1:$2,2,FALSE),FALSE)/(VLOOKUP($A480,'[1]import graded seats course pivo'!$A:AN,HLOOKUP('[1]Course Totals'!P$4,'[1]import graded seats course pivo'!$1:$2,2,FALSE),FALSE))),"")</f>
        <v>1</v>
      </c>
      <c r="Q480" s="14" t="str">
        <f>IFERROR((VLOOKUP($A480,'[1]import success seats course'!$A:AE,HLOOKUP('[1]Course Totals'!Q$4,'[1]import success seats course'!$1:$2,2,FALSE),FALSE)/(VLOOKUP($A480,'[1]import graded seats course pivo'!$A:AO,HLOOKUP('[1]Course Totals'!Q$4,'[1]import graded seats course pivo'!$1:$2,2,FALSE),FALSE))),"")</f>
        <v/>
      </c>
      <c r="R480" s="14">
        <f>IFERROR((VLOOKUP($A480,'[1]import success seats course'!$A:AF,HLOOKUP('[1]Course Totals'!R$4,'[1]import success seats course'!$1:$2,2,FALSE),FALSE)/(VLOOKUP($A480,'[1]import graded seats course pivo'!$A:AP,HLOOKUP('[1]Course Totals'!R$4,'[1]import graded seats course pivo'!$1:$2,2,FALSE),FALSE))),"")</f>
        <v>1</v>
      </c>
      <c r="S480" s="14">
        <f>IFERROR((VLOOKUP($A480,'[1]import success seats course'!$A:AG,HLOOKUP('[1]Course Totals'!S$4,'[1]import success seats course'!$1:$2,2,FALSE),FALSE)/(VLOOKUP($A480,'[1]import graded seats course pivo'!$A:AQ,HLOOKUP('[1]Course Totals'!S$4,'[1]import graded seats course pivo'!$1:$2,2,FALSE),FALSE))),"")</f>
        <v>1</v>
      </c>
      <c r="Z480" s="7"/>
      <c r="AA480" s="7"/>
      <c r="AB480" s="7"/>
      <c r="AC480" s="7"/>
    </row>
    <row r="481" spans="1:29" ht="15.75" customHeight="1" x14ac:dyDescent="0.25">
      <c r="A481" s="12" t="s">
        <v>238</v>
      </c>
      <c r="B481" s="14">
        <f>IFERROR((VLOOKUP($A481,'[1]import success seats course'!$A:P,HLOOKUP('[1]Course Totals'!B$4,'[1]import success seats course'!$1:$2,2,FALSE),FALSE)/(VLOOKUP($A481,'[1]import graded seats course pivo'!$A:Z,HLOOKUP('[1]Course Totals'!B$4,'[1]import graded seats course pivo'!$1:$2,2,FALSE),FALSE))),"")</f>
        <v>0.94029850746268662</v>
      </c>
      <c r="C481" s="14">
        <f>IFERROR((VLOOKUP($A481,'[1]import success seats course'!$A:Q,HLOOKUP('[1]Course Totals'!C$4,'[1]import success seats course'!$1:$2,2,FALSE),FALSE)/(VLOOKUP($A481,'[1]import graded seats course pivo'!$A:AA,HLOOKUP('[1]Course Totals'!C$4,'[1]import graded seats course pivo'!$1:$2,2,FALSE),FALSE))),"")</f>
        <v>0.84453781512605042</v>
      </c>
      <c r="D481" s="14">
        <f>IFERROR((VLOOKUP($A481,'[1]import success seats course'!$A:R,HLOOKUP('[1]Course Totals'!D$4,'[1]import success seats course'!$1:$2,2,FALSE),FALSE)/(VLOOKUP($A481,'[1]import graded seats course pivo'!$A:AB,HLOOKUP('[1]Course Totals'!D$4,'[1]import graded seats course pivo'!$1:$2,2,FALSE),FALSE))),"")</f>
        <v>0.84025559105431313</v>
      </c>
      <c r="E481" s="14">
        <f>IFERROR((VLOOKUP($A481,'[1]import success seats course'!$A:S,HLOOKUP('[1]Course Totals'!E$4,'[1]import success seats course'!$1:$2,2,FALSE),FALSE)/(VLOOKUP($A481,'[1]import graded seats course pivo'!$A:AC,HLOOKUP('[1]Course Totals'!E$4,'[1]import graded seats course pivo'!$1:$2,2,FALSE),FALSE))),"")</f>
        <v>0.87804878048780488</v>
      </c>
      <c r="F481" s="14">
        <f>IFERROR((VLOOKUP($A481,'[1]import success seats course'!$A:T,HLOOKUP('[1]Course Totals'!F$4,'[1]import success seats course'!$1:$2,2,FALSE),FALSE)/(VLOOKUP($A481,'[1]import graded seats course pivo'!$A:AD,HLOOKUP('[1]Course Totals'!F$4,'[1]import graded seats course pivo'!$1:$2,2,FALSE),FALSE))),"")</f>
        <v>0.86754966887417218</v>
      </c>
      <c r="G481" s="14">
        <f>IFERROR((VLOOKUP($A481,'[1]import success seats course'!$A:U,HLOOKUP('[1]Course Totals'!G$4,'[1]import success seats course'!$1:$2,2,FALSE),FALSE)/(VLOOKUP($A481,'[1]import graded seats course pivo'!$A:AE,HLOOKUP('[1]Course Totals'!G$4,'[1]import graded seats course pivo'!$1:$2,2,FALSE),FALSE))),"")</f>
        <v>0.89436619718309862</v>
      </c>
      <c r="H481" s="14" t="str">
        <f>IFERROR((VLOOKUP($A481,'[1]import success seats course'!$A:V,HLOOKUP('[1]Course Totals'!H$4,'[1]import success seats course'!$1:$2,2,FALSE),FALSE)/(VLOOKUP($A481,'[1]import graded seats course pivo'!$A:AF,HLOOKUP('[1]Course Totals'!H$4,'[1]import graded seats course pivo'!$1:$2,2,FALSE),FALSE))),"")</f>
        <v/>
      </c>
      <c r="I481" s="14">
        <f>IFERROR((VLOOKUP($A481,'[1]import success seats course'!$A:W,HLOOKUP('[1]Course Totals'!I$4,'[1]import success seats course'!$1:$2,2,FALSE),FALSE)/(VLOOKUP($A481,'[1]import graded seats course pivo'!$A:AG,HLOOKUP('[1]Course Totals'!I$4,'[1]import graded seats course pivo'!$1:$2,2,FALSE),FALSE))),"")</f>
        <v>0.88702928870292885</v>
      </c>
      <c r="J481" s="14">
        <f>IFERROR((VLOOKUP($A481,'[1]import success seats course'!$A:X,HLOOKUP('[1]Course Totals'!J$4,'[1]import success seats course'!$1:$2,2,FALSE),FALSE)/(VLOOKUP($A481,'[1]import graded seats course pivo'!$A:AH,HLOOKUP('[1]Course Totals'!J$4,'[1]import graded seats course pivo'!$1:$2,2,FALSE),FALSE))),"")</f>
        <v>0.86644951140065152</v>
      </c>
      <c r="K481" s="14">
        <f>IFERROR((VLOOKUP($A481,'[1]import success seats course'!$A:Y,HLOOKUP('[1]Course Totals'!K$4,'[1]import success seats course'!$1:$2,2,FALSE),FALSE)/(VLOOKUP($A481,'[1]import graded seats course pivo'!$A:AI,HLOOKUP('[1]Course Totals'!K$4,'[1]import graded seats course pivo'!$1:$2,2,FALSE),FALSE))),"")</f>
        <v>0.95652173913043481</v>
      </c>
      <c r="L481" s="14">
        <f>IFERROR((VLOOKUP($A481,'[1]import success seats course'!$A:Z,HLOOKUP('[1]Course Totals'!L$4,'[1]import success seats course'!$1:$2,2,FALSE),FALSE)/(VLOOKUP($A481,'[1]import graded seats course pivo'!$A:AJ,HLOOKUP('[1]Course Totals'!L$4,'[1]import graded seats course pivo'!$1:$2,2,FALSE),FALSE))),"")</f>
        <v>0.86220472440944884</v>
      </c>
      <c r="M481" s="14">
        <f>IFERROR((VLOOKUP($A481,'[1]import success seats course'!$A:AA,HLOOKUP('[1]Course Totals'!M$4,'[1]import success seats course'!$1:$2,2,FALSE),FALSE)/(VLOOKUP($A481,'[1]import graded seats course pivo'!$A:AK,HLOOKUP('[1]Course Totals'!M$4,'[1]import graded seats course pivo'!$1:$2,2,FALSE),FALSE))),"")</f>
        <v>0.91139240506329111</v>
      </c>
      <c r="N481" s="14" t="str">
        <f>IFERROR((VLOOKUP($A481,'[1]import success seats course'!$A:AB,HLOOKUP('[1]Course Totals'!N$4,'[1]import success seats course'!$1:$2,2,FALSE),FALSE)/(VLOOKUP($A481,'[1]import graded seats course pivo'!$A:AL,HLOOKUP('[1]Course Totals'!N$4,'[1]import graded seats course pivo'!$1:$2,2,FALSE),FALSE))),"")</f>
        <v/>
      </c>
      <c r="O481" s="14">
        <f>IFERROR((VLOOKUP($A481,'[1]import success seats course'!$A:AC,HLOOKUP('[1]Course Totals'!O$4,'[1]import success seats course'!$1:$2,2,FALSE),FALSE)/(VLOOKUP($A481,'[1]import graded seats course pivo'!$A:AM,HLOOKUP('[1]Course Totals'!O$4,'[1]import graded seats course pivo'!$1:$2,2,FALSE),FALSE))),"")</f>
        <v>0.8482142857142857</v>
      </c>
      <c r="P481" s="14">
        <f>IFERROR((VLOOKUP($A481,'[1]import success seats course'!$A:AD,HLOOKUP('[1]Course Totals'!P$4,'[1]import success seats course'!$1:$2,2,FALSE),FALSE)/(VLOOKUP($A481,'[1]import graded seats course pivo'!$A:AN,HLOOKUP('[1]Course Totals'!P$4,'[1]import graded seats course pivo'!$1:$2,2,FALSE),FALSE))),"")</f>
        <v>0.85283018867924532</v>
      </c>
      <c r="Q481" s="14">
        <f>IFERROR((VLOOKUP($A481,'[1]import success seats course'!$A:AE,HLOOKUP('[1]Course Totals'!Q$4,'[1]import success seats course'!$1:$2,2,FALSE),FALSE)/(VLOOKUP($A481,'[1]import graded seats course pivo'!$A:AO,HLOOKUP('[1]Course Totals'!Q$4,'[1]import graded seats course pivo'!$1:$2,2,FALSE),FALSE))),"")</f>
        <v>0.96363636363636362</v>
      </c>
      <c r="R481" s="14">
        <f>IFERROR((VLOOKUP($A481,'[1]import success seats course'!$A:AF,HLOOKUP('[1]Course Totals'!R$4,'[1]import success seats course'!$1:$2,2,FALSE),FALSE)/(VLOOKUP($A481,'[1]import graded seats course pivo'!$A:AP,HLOOKUP('[1]Course Totals'!R$4,'[1]import graded seats course pivo'!$1:$2,2,FALSE),FALSE))),"")</f>
        <v>0.87878787878787878</v>
      </c>
      <c r="S481" s="14">
        <f>IFERROR((VLOOKUP($A481,'[1]import success seats course'!$A:AG,HLOOKUP('[1]Course Totals'!S$4,'[1]import success seats course'!$1:$2,2,FALSE),FALSE)/(VLOOKUP($A481,'[1]import graded seats course pivo'!$A:AQ,HLOOKUP('[1]Course Totals'!S$4,'[1]import graded seats course pivo'!$1:$2,2,FALSE),FALSE))),"")</f>
        <v>0.85119047619047616</v>
      </c>
      <c r="Z481" s="7"/>
      <c r="AA481" s="7"/>
      <c r="AB481" s="7"/>
      <c r="AC481" s="7"/>
    </row>
    <row r="482" spans="1:29" ht="15.75" customHeight="1" x14ac:dyDescent="0.25">
      <c r="A482" s="12" t="s">
        <v>239</v>
      </c>
      <c r="B482" s="14">
        <f>IFERROR((VLOOKUP($A482,'[1]import success seats course'!$A:P,HLOOKUP('[1]Course Totals'!B$4,'[1]import success seats course'!$1:$2,2,FALSE),FALSE)/(VLOOKUP($A482,'[1]import graded seats course pivo'!$A:Z,HLOOKUP('[1]Course Totals'!B$4,'[1]import graded seats course pivo'!$1:$2,2,FALSE),FALSE))),"")</f>
        <v>0.5</v>
      </c>
      <c r="C482" s="14">
        <f>IFERROR((VLOOKUP($A482,'[1]import success seats course'!$A:Q,HLOOKUP('[1]Course Totals'!C$4,'[1]import success seats course'!$1:$2,2,FALSE),FALSE)/(VLOOKUP($A482,'[1]import graded seats course pivo'!$A:AA,HLOOKUP('[1]Course Totals'!C$4,'[1]import graded seats course pivo'!$1:$2,2,FALSE),FALSE))),"")</f>
        <v>1</v>
      </c>
      <c r="D482" s="14">
        <f>IFERROR((VLOOKUP($A482,'[1]import success seats course'!$A:R,HLOOKUP('[1]Course Totals'!D$4,'[1]import success seats course'!$1:$2,2,FALSE),FALSE)/(VLOOKUP($A482,'[1]import graded seats course pivo'!$A:AB,HLOOKUP('[1]Course Totals'!D$4,'[1]import graded seats course pivo'!$1:$2,2,FALSE),FALSE))),"")</f>
        <v>1</v>
      </c>
      <c r="E482" s="14">
        <f>IFERROR((VLOOKUP($A482,'[1]import success seats course'!$A:S,HLOOKUP('[1]Course Totals'!E$4,'[1]import success seats course'!$1:$2,2,FALSE),FALSE)/(VLOOKUP($A482,'[1]import graded seats course pivo'!$A:AC,HLOOKUP('[1]Course Totals'!E$4,'[1]import graded seats course pivo'!$1:$2,2,FALSE),FALSE))),"")</f>
        <v>1</v>
      </c>
      <c r="F482" s="14">
        <f>IFERROR((VLOOKUP($A482,'[1]import success seats course'!$A:T,HLOOKUP('[1]Course Totals'!F$4,'[1]import success seats course'!$1:$2,2,FALSE),FALSE)/(VLOOKUP($A482,'[1]import graded seats course pivo'!$A:AD,HLOOKUP('[1]Course Totals'!F$4,'[1]import graded seats course pivo'!$1:$2,2,FALSE),FALSE))),"")</f>
        <v>0.90909090909090906</v>
      </c>
      <c r="G482" s="14">
        <f>IFERROR((VLOOKUP($A482,'[1]import success seats course'!$A:U,HLOOKUP('[1]Course Totals'!G$4,'[1]import success seats course'!$1:$2,2,FALSE),FALSE)/(VLOOKUP($A482,'[1]import graded seats course pivo'!$A:AE,HLOOKUP('[1]Course Totals'!G$4,'[1]import graded seats course pivo'!$1:$2,2,FALSE),FALSE))),"")</f>
        <v>0.91666666666666663</v>
      </c>
      <c r="H482" s="14" t="str">
        <f>IFERROR((VLOOKUP($A482,'[1]import success seats course'!$A:V,HLOOKUP('[1]Course Totals'!H$4,'[1]import success seats course'!$1:$2,2,FALSE),FALSE)/(VLOOKUP($A482,'[1]import graded seats course pivo'!$A:AF,HLOOKUP('[1]Course Totals'!H$4,'[1]import graded seats course pivo'!$1:$2,2,FALSE),FALSE))),"")</f>
        <v/>
      </c>
      <c r="I482" s="14">
        <f>IFERROR((VLOOKUP($A482,'[1]import success seats course'!$A:W,HLOOKUP('[1]Course Totals'!I$4,'[1]import success seats course'!$1:$2,2,FALSE),FALSE)/(VLOOKUP($A482,'[1]import graded seats course pivo'!$A:AG,HLOOKUP('[1]Course Totals'!I$4,'[1]import graded seats course pivo'!$1:$2,2,FALSE),FALSE))),"")</f>
        <v>0.8571428571428571</v>
      </c>
      <c r="J482" s="14">
        <f>IFERROR((VLOOKUP($A482,'[1]import success seats course'!$A:X,HLOOKUP('[1]Course Totals'!J$4,'[1]import success seats course'!$1:$2,2,FALSE),FALSE)/(VLOOKUP($A482,'[1]import graded seats course pivo'!$A:AH,HLOOKUP('[1]Course Totals'!J$4,'[1]import graded seats course pivo'!$1:$2,2,FALSE),FALSE))),"")</f>
        <v>0.88888888888888884</v>
      </c>
      <c r="K482" s="14" t="str">
        <f>IFERROR((VLOOKUP($A482,'[1]import success seats course'!$A:Y,HLOOKUP('[1]Course Totals'!K$4,'[1]import success seats course'!$1:$2,2,FALSE),FALSE)/(VLOOKUP($A482,'[1]import graded seats course pivo'!$A:AI,HLOOKUP('[1]Course Totals'!K$4,'[1]import graded seats course pivo'!$1:$2,2,FALSE),FALSE))),"")</f>
        <v/>
      </c>
      <c r="L482" s="14">
        <f>IFERROR((VLOOKUP($A482,'[1]import success seats course'!$A:Z,HLOOKUP('[1]Course Totals'!L$4,'[1]import success seats course'!$1:$2,2,FALSE),FALSE)/(VLOOKUP($A482,'[1]import graded seats course pivo'!$A:AJ,HLOOKUP('[1]Course Totals'!L$4,'[1]import graded seats course pivo'!$1:$2,2,FALSE),FALSE))),"")</f>
        <v>1</v>
      </c>
      <c r="M482" s="14">
        <f>IFERROR((VLOOKUP($A482,'[1]import success seats course'!$A:AA,HLOOKUP('[1]Course Totals'!M$4,'[1]import success seats course'!$1:$2,2,FALSE),FALSE)/(VLOOKUP($A482,'[1]import graded seats course pivo'!$A:AK,HLOOKUP('[1]Course Totals'!M$4,'[1]import graded seats course pivo'!$1:$2,2,FALSE),FALSE))),"")</f>
        <v>0.91666666666666663</v>
      </c>
      <c r="N482" s="14" t="str">
        <f>IFERROR((VLOOKUP($A482,'[1]import success seats course'!$A:AB,HLOOKUP('[1]Course Totals'!N$4,'[1]import success seats course'!$1:$2,2,FALSE),FALSE)/(VLOOKUP($A482,'[1]import graded seats course pivo'!$A:AL,HLOOKUP('[1]Course Totals'!N$4,'[1]import graded seats course pivo'!$1:$2,2,FALSE),FALSE))),"")</f>
        <v/>
      </c>
      <c r="O482" s="14">
        <f>IFERROR((VLOOKUP($A482,'[1]import success seats course'!$A:AC,HLOOKUP('[1]Course Totals'!O$4,'[1]import success seats course'!$1:$2,2,FALSE),FALSE)/(VLOOKUP($A482,'[1]import graded seats course pivo'!$A:AM,HLOOKUP('[1]Course Totals'!O$4,'[1]import graded seats course pivo'!$1:$2,2,FALSE),FALSE))),"")</f>
        <v>0.75</v>
      </c>
      <c r="P482" s="14">
        <f>IFERROR((VLOOKUP($A482,'[1]import success seats course'!$A:AD,HLOOKUP('[1]Course Totals'!P$4,'[1]import success seats course'!$1:$2,2,FALSE),FALSE)/(VLOOKUP($A482,'[1]import graded seats course pivo'!$A:AN,HLOOKUP('[1]Course Totals'!P$4,'[1]import graded seats course pivo'!$1:$2,2,FALSE),FALSE))),"")</f>
        <v>1</v>
      </c>
      <c r="Q482" s="14" t="str">
        <f>IFERROR((VLOOKUP($A482,'[1]import success seats course'!$A:AE,HLOOKUP('[1]Course Totals'!Q$4,'[1]import success seats course'!$1:$2,2,FALSE),FALSE)/(VLOOKUP($A482,'[1]import graded seats course pivo'!$A:AO,HLOOKUP('[1]Course Totals'!Q$4,'[1]import graded seats course pivo'!$1:$2,2,FALSE),FALSE))),"")</f>
        <v/>
      </c>
      <c r="R482" s="14">
        <f>IFERROR((VLOOKUP($A482,'[1]import success seats course'!$A:AF,HLOOKUP('[1]Course Totals'!R$4,'[1]import success seats course'!$1:$2,2,FALSE),FALSE)/(VLOOKUP($A482,'[1]import graded seats course pivo'!$A:AP,HLOOKUP('[1]Course Totals'!R$4,'[1]import graded seats course pivo'!$1:$2,2,FALSE),FALSE))),"")</f>
        <v>0.9</v>
      </c>
      <c r="S482" s="14">
        <f>IFERROR((VLOOKUP($A482,'[1]import success seats course'!$A:AG,HLOOKUP('[1]Course Totals'!S$4,'[1]import success seats course'!$1:$2,2,FALSE),FALSE)/(VLOOKUP($A482,'[1]import graded seats course pivo'!$A:AQ,HLOOKUP('[1]Course Totals'!S$4,'[1]import graded seats course pivo'!$1:$2,2,FALSE),FALSE))),"")</f>
        <v>1</v>
      </c>
      <c r="Z482" s="7"/>
      <c r="AA482" s="7"/>
      <c r="AB482" s="7"/>
      <c r="AC482" s="7"/>
    </row>
    <row r="483" spans="1:29" ht="15.75" customHeight="1" x14ac:dyDescent="0.25">
      <c r="A483" s="12" t="s">
        <v>240</v>
      </c>
      <c r="B483" s="14" t="str">
        <f>IFERROR((VLOOKUP($A483,'[1]import success seats course'!$A:P,HLOOKUP('[1]Course Totals'!B$4,'[1]import success seats course'!$1:$2,2,FALSE),FALSE)/(VLOOKUP($A483,'[1]import graded seats course pivo'!$A:Z,HLOOKUP('[1]Course Totals'!B$4,'[1]import graded seats course pivo'!$1:$2,2,FALSE),FALSE))),"")</f>
        <v/>
      </c>
      <c r="C483" s="14">
        <f>IFERROR((VLOOKUP($A483,'[1]import success seats course'!$A:Q,HLOOKUP('[1]Course Totals'!C$4,'[1]import success seats course'!$1:$2,2,FALSE),FALSE)/(VLOOKUP($A483,'[1]import graded seats course pivo'!$A:AA,HLOOKUP('[1]Course Totals'!C$4,'[1]import graded seats course pivo'!$1:$2,2,FALSE),FALSE))),"")</f>
        <v>1</v>
      </c>
      <c r="D483" s="14">
        <f>IFERROR((VLOOKUP($A483,'[1]import success seats course'!$A:R,HLOOKUP('[1]Course Totals'!D$4,'[1]import success seats course'!$1:$2,2,FALSE),FALSE)/(VLOOKUP($A483,'[1]import graded seats course pivo'!$A:AB,HLOOKUP('[1]Course Totals'!D$4,'[1]import graded seats course pivo'!$1:$2,2,FALSE),FALSE))),"")</f>
        <v>0.75</v>
      </c>
      <c r="E483" s="14" t="str">
        <f>IFERROR((VLOOKUP($A483,'[1]import success seats course'!$A:S,HLOOKUP('[1]Course Totals'!E$4,'[1]import success seats course'!$1:$2,2,FALSE),FALSE)/(VLOOKUP($A483,'[1]import graded seats course pivo'!$A:AC,HLOOKUP('[1]Course Totals'!E$4,'[1]import graded seats course pivo'!$1:$2,2,FALSE),FALSE))),"")</f>
        <v/>
      </c>
      <c r="F483" s="14">
        <f>IFERROR((VLOOKUP($A483,'[1]import success seats course'!$A:T,HLOOKUP('[1]Course Totals'!F$4,'[1]import success seats course'!$1:$2,2,FALSE),FALSE)/(VLOOKUP($A483,'[1]import graded seats course pivo'!$A:AD,HLOOKUP('[1]Course Totals'!F$4,'[1]import graded seats course pivo'!$1:$2,2,FALSE),FALSE))),"")</f>
        <v>1</v>
      </c>
      <c r="G483" s="14">
        <f>IFERROR((VLOOKUP($A483,'[1]import success seats course'!$A:U,HLOOKUP('[1]Course Totals'!G$4,'[1]import success seats course'!$1:$2,2,FALSE),FALSE)/(VLOOKUP($A483,'[1]import graded seats course pivo'!$A:AE,HLOOKUP('[1]Course Totals'!G$4,'[1]import graded seats course pivo'!$1:$2,2,FALSE),FALSE))),"")</f>
        <v>0.6</v>
      </c>
      <c r="H483" s="14" t="str">
        <f>IFERROR((VLOOKUP($A483,'[1]import success seats course'!$A:V,HLOOKUP('[1]Course Totals'!H$4,'[1]import success seats course'!$1:$2,2,FALSE),FALSE)/(VLOOKUP($A483,'[1]import graded seats course pivo'!$A:AF,HLOOKUP('[1]Course Totals'!H$4,'[1]import graded seats course pivo'!$1:$2,2,FALSE),FALSE))),"")</f>
        <v/>
      </c>
      <c r="I483" s="14">
        <f>IFERROR((VLOOKUP($A483,'[1]import success seats course'!$A:W,HLOOKUP('[1]Course Totals'!I$4,'[1]import success seats course'!$1:$2,2,FALSE),FALSE)/(VLOOKUP($A483,'[1]import graded seats course pivo'!$A:AG,HLOOKUP('[1]Course Totals'!I$4,'[1]import graded seats course pivo'!$1:$2,2,FALSE),FALSE))),"")</f>
        <v>0.8571428571428571</v>
      </c>
      <c r="J483" s="14">
        <f>IFERROR((VLOOKUP($A483,'[1]import success seats course'!$A:X,HLOOKUP('[1]Course Totals'!J$4,'[1]import success seats course'!$1:$2,2,FALSE),FALSE)/(VLOOKUP($A483,'[1]import graded seats course pivo'!$A:AH,HLOOKUP('[1]Course Totals'!J$4,'[1]import graded seats course pivo'!$1:$2,2,FALSE),FALSE))),"")</f>
        <v>0.8666666666666667</v>
      </c>
      <c r="K483" s="14" t="str">
        <f>IFERROR((VLOOKUP($A483,'[1]import success seats course'!$A:Y,HLOOKUP('[1]Course Totals'!K$4,'[1]import success seats course'!$1:$2,2,FALSE),FALSE)/(VLOOKUP($A483,'[1]import graded seats course pivo'!$A:AI,HLOOKUP('[1]Course Totals'!K$4,'[1]import graded seats course pivo'!$1:$2,2,FALSE),FALSE))),"")</f>
        <v/>
      </c>
      <c r="L483" s="14">
        <f>IFERROR((VLOOKUP($A483,'[1]import success seats course'!$A:Z,HLOOKUP('[1]Course Totals'!L$4,'[1]import success seats course'!$1:$2,2,FALSE),FALSE)/(VLOOKUP($A483,'[1]import graded seats course pivo'!$A:AJ,HLOOKUP('[1]Course Totals'!L$4,'[1]import graded seats course pivo'!$1:$2,2,FALSE),FALSE))),"")</f>
        <v>0.7</v>
      </c>
      <c r="M483" s="14">
        <f>IFERROR((VLOOKUP($A483,'[1]import success seats course'!$A:AA,HLOOKUP('[1]Course Totals'!M$4,'[1]import success seats course'!$1:$2,2,FALSE),FALSE)/(VLOOKUP($A483,'[1]import graded seats course pivo'!$A:AK,HLOOKUP('[1]Course Totals'!M$4,'[1]import graded seats course pivo'!$1:$2,2,FALSE),FALSE))),"")</f>
        <v>0.66666666666666663</v>
      </c>
      <c r="N483" s="14" t="str">
        <f>IFERROR((VLOOKUP($A483,'[1]import success seats course'!$A:AB,HLOOKUP('[1]Course Totals'!N$4,'[1]import success seats course'!$1:$2,2,FALSE),FALSE)/(VLOOKUP($A483,'[1]import graded seats course pivo'!$A:AL,HLOOKUP('[1]Course Totals'!N$4,'[1]import graded seats course pivo'!$1:$2,2,FALSE),FALSE))),"")</f>
        <v/>
      </c>
      <c r="O483" s="14">
        <f>IFERROR((VLOOKUP($A483,'[1]import success seats course'!$A:AC,HLOOKUP('[1]Course Totals'!O$4,'[1]import success seats course'!$1:$2,2,FALSE),FALSE)/(VLOOKUP($A483,'[1]import graded seats course pivo'!$A:AM,HLOOKUP('[1]Course Totals'!O$4,'[1]import graded seats course pivo'!$1:$2,2,FALSE),FALSE))),"")</f>
        <v>0.91666666666666663</v>
      </c>
      <c r="P483" s="14">
        <f>IFERROR((VLOOKUP($A483,'[1]import success seats course'!$A:AD,HLOOKUP('[1]Course Totals'!P$4,'[1]import success seats course'!$1:$2,2,FALSE),FALSE)/(VLOOKUP($A483,'[1]import graded seats course pivo'!$A:AN,HLOOKUP('[1]Course Totals'!P$4,'[1]import graded seats course pivo'!$1:$2,2,FALSE),FALSE))),"")</f>
        <v>0.8</v>
      </c>
      <c r="Q483" s="14" t="str">
        <f>IFERROR((VLOOKUP($A483,'[1]import success seats course'!$A:AE,HLOOKUP('[1]Course Totals'!Q$4,'[1]import success seats course'!$1:$2,2,FALSE),FALSE)/(VLOOKUP($A483,'[1]import graded seats course pivo'!$A:AO,HLOOKUP('[1]Course Totals'!Q$4,'[1]import graded seats course pivo'!$1:$2,2,FALSE),FALSE))),"")</f>
        <v/>
      </c>
      <c r="R483" s="14">
        <f>IFERROR((VLOOKUP($A483,'[1]import success seats course'!$A:AF,HLOOKUP('[1]Course Totals'!R$4,'[1]import success seats course'!$1:$2,2,FALSE),FALSE)/(VLOOKUP($A483,'[1]import graded seats course pivo'!$A:AP,HLOOKUP('[1]Course Totals'!R$4,'[1]import graded seats course pivo'!$1:$2,2,FALSE),FALSE))),"")</f>
        <v>0.8571428571428571</v>
      </c>
      <c r="S483" s="14">
        <f>IFERROR((VLOOKUP($A483,'[1]import success seats course'!$A:AG,HLOOKUP('[1]Course Totals'!S$4,'[1]import success seats course'!$1:$2,2,FALSE),FALSE)/(VLOOKUP($A483,'[1]import graded seats course pivo'!$A:AQ,HLOOKUP('[1]Course Totals'!S$4,'[1]import graded seats course pivo'!$1:$2,2,FALSE),FALSE))),"")</f>
        <v>0.875</v>
      </c>
      <c r="Z483" s="7"/>
      <c r="AA483" s="7"/>
      <c r="AB483" s="7"/>
      <c r="AC483" s="7"/>
    </row>
    <row r="484" spans="1:29" ht="15.75" customHeight="1" x14ac:dyDescent="0.25">
      <c r="A484" s="12" t="s">
        <v>782</v>
      </c>
      <c r="B484" s="14" t="str">
        <f>IFERROR((VLOOKUP($A484,'[1]import success seats course'!$A:P,HLOOKUP('[1]Course Totals'!B$4,'[1]import success seats course'!$1:$2,2,FALSE),FALSE)/(VLOOKUP($A484,'[1]import graded seats course pivo'!$A:Z,HLOOKUP('[1]Course Totals'!B$4,'[1]import graded seats course pivo'!$1:$2,2,FALSE),FALSE))),"")</f>
        <v/>
      </c>
      <c r="C484" s="14" t="str">
        <f>IFERROR((VLOOKUP($A484,'[1]import success seats course'!$A:Q,HLOOKUP('[1]Course Totals'!C$4,'[1]import success seats course'!$1:$2,2,FALSE),FALSE)/(VLOOKUP($A484,'[1]import graded seats course pivo'!$A:AA,HLOOKUP('[1]Course Totals'!C$4,'[1]import graded seats course pivo'!$1:$2,2,FALSE),FALSE))),"")</f>
        <v/>
      </c>
      <c r="D484" s="14" t="str">
        <f>IFERROR((VLOOKUP($A484,'[1]import success seats course'!$A:R,HLOOKUP('[1]Course Totals'!D$4,'[1]import success seats course'!$1:$2,2,FALSE),FALSE)/(VLOOKUP($A484,'[1]import graded seats course pivo'!$A:AB,HLOOKUP('[1]Course Totals'!D$4,'[1]import graded seats course pivo'!$1:$2,2,FALSE),FALSE))),"")</f>
        <v/>
      </c>
      <c r="E484" s="14" t="str">
        <f>IFERROR((VLOOKUP($A484,'[1]import success seats course'!$A:S,HLOOKUP('[1]Course Totals'!E$4,'[1]import success seats course'!$1:$2,2,FALSE),FALSE)/(VLOOKUP($A484,'[1]import graded seats course pivo'!$A:AC,HLOOKUP('[1]Course Totals'!E$4,'[1]import graded seats course pivo'!$1:$2,2,FALSE),FALSE))),"")</f>
        <v/>
      </c>
      <c r="F484" s="14" t="str">
        <f>IFERROR((VLOOKUP($A484,'[1]import success seats course'!$A:T,HLOOKUP('[1]Course Totals'!F$4,'[1]import success seats course'!$1:$2,2,FALSE),FALSE)/(VLOOKUP($A484,'[1]import graded seats course pivo'!$A:AD,HLOOKUP('[1]Course Totals'!F$4,'[1]import graded seats course pivo'!$1:$2,2,FALSE),FALSE))),"")</f>
        <v/>
      </c>
      <c r="G484" s="14">
        <f>IFERROR((VLOOKUP($A484,'[1]import success seats course'!$A:U,HLOOKUP('[1]Course Totals'!G$4,'[1]import success seats course'!$1:$2,2,FALSE),FALSE)/(VLOOKUP($A484,'[1]import graded seats course pivo'!$A:AE,HLOOKUP('[1]Course Totals'!G$4,'[1]import graded seats course pivo'!$1:$2,2,FALSE),FALSE))),"")</f>
        <v>1</v>
      </c>
      <c r="H484" s="14" t="str">
        <f>IFERROR((VLOOKUP($A484,'[1]import success seats course'!$A:V,HLOOKUP('[1]Course Totals'!H$4,'[1]import success seats course'!$1:$2,2,FALSE),FALSE)/(VLOOKUP($A484,'[1]import graded seats course pivo'!$A:AF,HLOOKUP('[1]Course Totals'!H$4,'[1]import graded seats course pivo'!$1:$2,2,FALSE),FALSE))),"")</f>
        <v/>
      </c>
      <c r="I484" s="14" t="str">
        <f>IFERROR((VLOOKUP($A484,'[1]import success seats course'!$A:W,HLOOKUP('[1]Course Totals'!I$4,'[1]import success seats course'!$1:$2,2,FALSE),FALSE)/(VLOOKUP($A484,'[1]import graded seats course pivo'!$A:AG,HLOOKUP('[1]Course Totals'!I$4,'[1]import graded seats course pivo'!$1:$2,2,FALSE),FALSE))),"")</f>
        <v/>
      </c>
      <c r="J484" s="14" t="str">
        <f>IFERROR((VLOOKUP($A484,'[1]import success seats course'!$A:X,HLOOKUP('[1]Course Totals'!J$4,'[1]import success seats course'!$1:$2,2,FALSE),FALSE)/(VLOOKUP($A484,'[1]import graded seats course pivo'!$A:AH,HLOOKUP('[1]Course Totals'!J$4,'[1]import graded seats course pivo'!$1:$2,2,FALSE),FALSE))),"")</f>
        <v/>
      </c>
      <c r="K484" s="14" t="str">
        <f>IFERROR((VLOOKUP($A484,'[1]import success seats course'!$A:Y,HLOOKUP('[1]Course Totals'!K$4,'[1]import success seats course'!$1:$2,2,FALSE),FALSE)/(VLOOKUP($A484,'[1]import graded seats course pivo'!$A:AI,HLOOKUP('[1]Course Totals'!K$4,'[1]import graded seats course pivo'!$1:$2,2,FALSE),FALSE))),"")</f>
        <v/>
      </c>
      <c r="L484" s="14">
        <f>IFERROR((VLOOKUP($A484,'[1]import success seats course'!$A:Z,HLOOKUP('[1]Course Totals'!L$4,'[1]import success seats course'!$1:$2,2,FALSE),FALSE)/(VLOOKUP($A484,'[1]import graded seats course pivo'!$A:AJ,HLOOKUP('[1]Course Totals'!L$4,'[1]import graded seats course pivo'!$1:$2,2,FALSE),FALSE))),"")</f>
        <v>1</v>
      </c>
      <c r="M484" s="14" t="str">
        <f>IFERROR((VLOOKUP($A484,'[1]import success seats course'!$A:AA,HLOOKUP('[1]Course Totals'!M$4,'[1]import success seats course'!$1:$2,2,FALSE),FALSE)/(VLOOKUP($A484,'[1]import graded seats course pivo'!$A:AK,HLOOKUP('[1]Course Totals'!M$4,'[1]import graded seats course pivo'!$1:$2,2,FALSE),FALSE))),"")</f>
        <v/>
      </c>
      <c r="N484" s="14" t="str">
        <f>IFERROR((VLOOKUP($A484,'[1]import success seats course'!$A:AB,HLOOKUP('[1]Course Totals'!N$4,'[1]import success seats course'!$1:$2,2,FALSE),FALSE)/(VLOOKUP($A484,'[1]import graded seats course pivo'!$A:AL,HLOOKUP('[1]Course Totals'!N$4,'[1]import graded seats course pivo'!$1:$2,2,FALSE),FALSE))),"")</f>
        <v/>
      </c>
      <c r="O484" s="14" t="str">
        <f>IFERROR((VLOOKUP($A484,'[1]import success seats course'!$A:AC,HLOOKUP('[1]Course Totals'!O$4,'[1]import success seats course'!$1:$2,2,FALSE),FALSE)/(VLOOKUP($A484,'[1]import graded seats course pivo'!$A:AM,HLOOKUP('[1]Course Totals'!O$4,'[1]import graded seats course pivo'!$1:$2,2,FALSE),FALSE))),"")</f>
        <v/>
      </c>
      <c r="P484" s="14" t="str">
        <f>IFERROR((VLOOKUP($A484,'[1]import success seats course'!$A:AD,HLOOKUP('[1]Course Totals'!P$4,'[1]import success seats course'!$1:$2,2,FALSE),FALSE)/(VLOOKUP($A484,'[1]import graded seats course pivo'!$A:AN,HLOOKUP('[1]Course Totals'!P$4,'[1]import graded seats course pivo'!$1:$2,2,FALSE),FALSE))),"")</f>
        <v/>
      </c>
      <c r="Q484" s="14" t="str">
        <f>IFERROR((VLOOKUP($A484,'[1]import success seats course'!$A:AE,HLOOKUP('[1]Course Totals'!Q$4,'[1]import success seats course'!$1:$2,2,FALSE),FALSE)/(VLOOKUP($A484,'[1]import graded seats course pivo'!$A:AO,HLOOKUP('[1]Course Totals'!Q$4,'[1]import graded seats course pivo'!$1:$2,2,FALSE),FALSE))),"")</f>
        <v/>
      </c>
      <c r="R484" s="14" t="str">
        <f>IFERROR((VLOOKUP($A484,'[1]import success seats course'!$A:AF,HLOOKUP('[1]Course Totals'!R$4,'[1]import success seats course'!$1:$2,2,FALSE),FALSE)/(VLOOKUP($A484,'[1]import graded seats course pivo'!$A:AP,HLOOKUP('[1]Course Totals'!R$4,'[1]import graded seats course pivo'!$1:$2,2,FALSE),FALSE))),"")</f>
        <v/>
      </c>
      <c r="S484" s="14" t="str">
        <f>IFERROR((VLOOKUP($A484,'[1]import success seats course'!$A:AG,HLOOKUP('[1]Course Totals'!S$4,'[1]import success seats course'!$1:$2,2,FALSE),FALSE)/(VLOOKUP($A484,'[1]import graded seats course pivo'!$A:AQ,HLOOKUP('[1]Course Totals'!S$4,'[1]import graded seats course pivo'!$1:$2,2,FALSE),FALSE))),"")</f>
        <v/>
      </c>
      <c r="Z484" s="7"/>
      <c r="AA484" s="7"/>
      <c r="AB484" s="7"/>
      <c r="AC484" s="7"/>
    </row>
    <row r="485" spans="1:29" ht="15.75" customHeight="1" x14ac:dyDescent="0.25">
      <c r="A485" s="12" t="s">
        <v>241</v>
      </c>
      <c r="B485" s="14">
        <f>IFERROR((VLOOKUP($A485,'[1]import success seats course'!$A:P,HLOOKUP('[1]Course Totals'!B$4,'[1]import success seats course'!$1:$2,2,FALSE),FALSE)/(VLOOKUP($A485,'[1]import graded seats course pivo'!$A:Z,HLOOKUP('[1]Course Totals'!B$4,'[1]import graded seats course pivo'!$1:$2,2,FALSE),FALSE))),"")</f>
        <v>1</v>
      </c>
      <c r="C485" s="14">
        <f>IFERROR((VLOOKUP($A485,'[1]import success seats course'!$A:Q,HLOOKUP('[1]Course Totals'!C$4,'[1]import success seats course'!$1:$2,2,FALSE),FALSE)/(VLOOKUP($A485,'[1]import graded seats course pivo'!$A:AA,HLOOKUP('[1]Course Totals'!C$4,'[1]import graded seats course pivo'!$1:$2,2,FALSE),FALSE))),"")</f>
        <v>0.83720930232558144</v>
      </c>
      <c r="D485" s="14">
        <f>IFERROR((VLOOKUP($A485,'[1]import success seats course'!$A:R,HLOOKUP('[1]Course Totals'!D$4,'[1]import success seats course'!$1:$2,2,FALSE),FALSE)/(VLOOKUP($A485,'[1]import graded seats course pivo'!$A:AB,HLOOKUP('[1]Course Totals'!D$4,'[1]import graded seats course pivo'!$1:$2,2,FALSE),FALSE))),"")</f>
        <v>0.78947368421052633</v>
      </c>
      <c r="E485" s="14">
        <f>IFERROR((VLOOKUP($A485,'[1]import success seats course'!$A:S,HLOOKUP('[1]Course Totals'!E$4,'[1]import success seats course'!$1:$2,2,FALSE),FALSE)/(VLOOKUP($A485,'[1]import graded seats course pivo'!$A:AC,HLOOKUP('[1]Course Totals'!E$4,'[1]import graded seats course pivo'!$1:$2,2,FALSE),FALSE))),"")</f>
        <v>1</v>
      </c>
      <c r="F485" s="14">
        <f>IFERROR((VLOOKUP($A485,'[1]import success seats course'!$A:T,HLOOKUP('[1]Course Totals'!F$4,'[1]import success seats course'!$1:$2,2,FALSE),FALSE)/(VLOOKUP($A485,'[1]import graded seats course pivo'!$A:AD,HLOOKUP('[1]Course Totals'!F$4,'[1]import graded seats course pivo'!$1:$2,2,FALSE),FALSE))),"")</f>
        <v>0.82539682539682535</v>
      </c>
      <c r="G485" s="14">
        <f>IFERROR((VLOOKUP($A485,'[1]import success seats course'!$A:U,HLOOKUP('[1]Course Totals'!G$4,'[1]import success seats course'!$1:$2,2,FALSE),FALSE)/(VLOOKUP($A485,'[1]import graded seats course pivo'!$A:AE,HLOOKUP('[1]Course Totals'!G$4,'[1]import graded seats course pivo'!$1:$2,2,FALSE),FALSE))),"")</f>
        <v>0.85507246376811596</v>
      </c>
      <c r="H485" s="14" t="str">
        <f>IFERROR((VLOOKUP($A485,'[1]import success seats course'!$A:V,HLOOKUP('[1]Course Totals'!H$4,'[1]import success seats course'!$1:$2,2,FALSE),FALSE)/(VLOOKUP($A485,'[1]import graded seats course pivo'!$A:AF,HLOOKUP('[1]Course Totals'!H$4,'[1]import graded seats course pivo'!$1:$2,2,FALSE),FALSE))),"")</f>
        <v/>
      </c>
      <c r="I485" s="14">
        <f>IFERROR((VLOOKUP($A485,'[1]import success seats course'!$A:W,HLOOKUP('[1]Course Totals'!I$4,'[1]import success seats course'!$1:$2,2,FALSE),FALSE)/(VLOOKUP($A485,'[1]import graded seats course pivo'!$A:AG,HLOOKUP('[1]Course Totals'!I$4,'[1]import graded seats course pivo'!$1:$2,2,FALSE),FALSE))),"")</f>
        <v>0.93478260869565222</v>
      </c>
      <c r="J485" s="14">
        <f>IFERROR((VLOOKUP($A485,'[1]import success seats course'!$A:X,HLOOKUP('[1]Course Totals'!J$4,'[1]import success seats course'!$1:$2,2,FALSE),FALSE)/(VLOOKUP($A485,'[1]import graded seats course pivo'!$A:AH,HLOOKUP('[1]Course Totals'!J$4,'[1]import graded seats course pivo'!$1:$2,2,FALSE),FALSE))),"")</f>
        <v>0.92982456140350878</v>
      </c>
      <c r="K485" s="14" t="str">
        <f>IFERROR((VLOOKUP($A485,'[1]import success seats course'!$A:Y,HLOOKUP('[1]Course Totals'!K$4,'[1]import success seats course'!$1:$2,2,FALSE),FALSE)/(VLOOKUP($A485,'[1]import graded seats course pivo'!$A:AI,HLOOKUP('[1]Course Totals'!K$4,'[1]import graded seats course pivo'!$1:$2,2,FALSE),FALSE))),"")</f>
        <v/>
      </c>
      <c r="L485" s="14">
        <f>IFERROR((VLOOKUP($A485,'[1]import success seats course'!$A:Z,HLOOKUP('[1]Course Totals'!L$4,'[1]import success seats course'!$1:$2,2,FALSE),FALSE)/(VLOOKUP($A485,'[1]import graded seats course pivo'!$A:AJ,HLOOKUP('[1]Course Totals'!L$4,'[1]import graded seats course pivo'!$1:$2,2,FALSE),FALSE))),"")</f>
        <v>0.8571428571428571</v>
      </c>
      <c r="M485" s="14">
        <f>IFERROR((VLOOKUP($A485,'[1]import success seats course'!$A:AA,HLOOKUP('[1]Course Totals'!M$4,'[1]import success seats course'!$1:$2,2,FALSE),FALSE)/(VLOOKUP($A485,'[1]import graded seats course pivo'!$A:AK,HLOOKUP('[1]Course Totals'!M$4,'[1]import graded seats course pivo'!$1:$2,2,FALSE),FALSE))),"")</f>
        <v>0.81481481481481477</v>
      </c>
      <c r="N485" s="14" t="str">
        <f>IFERROR((VLOOKUP($A485,'[1]import success seats course'!$A:AB,HLOOKUP('[1]Course Totals'!N$4,'[1]import success seats course'!$1:$2,2,FALSE),FALSE)/(VLOOKUP($A485,'[1]import graded seats course pivo'!$A:AL,HLOOKUP('[1]Course Totals'!N$4,'[1]import graded seats course pivo'!$1:$2,2,FALSE),FALSE))),"")</f>
        <v/>
      </c>
      <c r="O485" s="14">
        <f>IFERROR((VLOOKUP($A485,'[1]import success seats course'!$A:AC,HLOOKUP('[1]Course Totals'!O$4,'[1]import success seats course'!$1:$2,2,FALSE),FALSE)/(VLOOKUP($A485,'[1]import graded seats course pivo'!$A:AM,HLOOKUP('[1]Course Totals'!O$4,'[1]import graded seats course pivo'!$1:$2,2,FALSE),FALSE))),"")</f>
        <v>0.96153846153846156</v>
      </c>
      <c r="P485" s="14">
        <f>IFERROR((VLOOKUP($A485,'[1]import success seats course'!$A:AD,HLOOKUP('[1]Course Totals'!P$4,'[1]import success seats course'!$1:$2,2,FALSE),FALSE)/(VLOOKUP($A485,'[1]import graded seats course pivo'!$A:AN,HLOOKUP('[1]Course Totals'!P$4,'[1]import graded seats course pivo'!$1:$2,2,FALSE),FALSE))),"")</f>
        <v>0.89473684210526316</v>
      </c>
      <c r="Q485" s="14" t="str">
        <f>IFERROR((VLOOKUP($A485,'[1]import success seats course'!$A:AE,HLOOKUP('[1]Course Totals'!Q$4,'[1]import success seats course'!$1:$2,2,FALSE),FALSE)/(VLOOKUP($A485,'[1]import graded seats course pivo'!$A:AO,HLOOKUP('[1]Course Totals'!Q$4,'[1]import graded seats course pivo'!$1:$2,2,FALSE),FALSE))),"")</f>
        <v/>
      </c>
      <c r="R485" s="14">
        <f>IFERROR((VLOOKUP($A485,'[1]import success seats course'!$A:AF,HLOOKUP('[1]Course Totals'!R$4,'[1]import success seats course'!$1:$2,2,FALSE),FALSE)/(VLOOKUP($A485,'[1]import graded seats course pivo'!$A:AP,HLOOKUP('[1]Course Totals'!R$4,'[1]import graded seats course pivo'!$1:$2,2,FALSE),FALSE))),"")</f>
        <v>0.9</v>
      </c>
      <c r="S485" s="14">
        <f>IFERROR((VLOOKUP($A485,'[1]import success seats course'!$A:AG,HLOOKUP('[1]Course Totals'!S$4,'[1]import success seats course'!$1:$2,2,FALSE),FALSE)/(VLOOKUP($A485,'[1]import graded seats course pivo'!$A:AQ,HLOOKUP('[1]Course Totals'!S$4,'[1]import graded seats course pivo'!$1:$2,2,FALSE),FALSE))),"")</f>
        <v>0.93617021276595747</v>
      </c>
      <c r="Z485" s="7"/>
      <c r="AA485" s="7"/>
      <c r="AB485" s="7"/>
      <c r="AC485" s="7"/>
    </row>
    <row r="486" spans="1:29" ht="15.75" customHeight="1" x14ac:dyDescent="0.25">
      <c r="A486" s="12" t="s">
        <v>242</v>
      </c>
      <c r="B486" s="14" t="str">
        <f>IFERROR((VLOOKUP($A486,'[1]import success seats course'!$A:P,HLOOKUP('[1]Course Totals'!B$4,'[1]import success seats course'!$1:$2,2,FALSE),FALSE)/(VLOOKUP($A486,'[1]import graded seats course pivo'!$A:Z,HLOOKUP('[1]Course Totals'!B$4,'[1]import graded seats course pivo'!$1:$2,2,FALSE),FALSE))),"")</f>
        <v/>
      </c>
      <c r="C486" s="14">
        <f>IFERROR((VLOOKUP($A486,'[1]import success seats course'!$A:Q,HLOOKUP('[1]Course Totals'!C$4,'[1]import success seats course'!$1:$2,2,FALSE),FALSE)/(VLOOKUP($A486,'[1]import graded seats course pivo'!$A:AA,HLOOKUP('[1]Course Totals'!C$4,'[1]import graded seats course pivo'!$1:$2,2,FALSE),FALSE))),"")</f>
        <v>1</v>
      </c>
      <c r="D486" s="14">
        <f>IFERROR((VLOOKUP($A486,'[1]import success seats course'!$A:R,HLOOKUP('[1]Course Totals'!D$4,'[1]import success seats course'!$1:$2,2,FALSE),FALSE)/(VLOOKUP($A486,'[1]import graded seats course pivo'!$A:AB,HLOOKUP('[1]Course Totals'!D$4,'[1]import graded seats course pivo'!$1:$2,2,FALSE),FALSE))),"")</f>
        <v>1</v>
      </c>
      <c r="E486" s="14" t="str">
        <f>IFERROR((VLOOKUP($A486,'[1]import success seats course'!$A:S,HLOOKUP('[1]Course Totals'!E$4,'[1]import success seats course'!$1:$2,2,FALSE),FALSE)/(VLOOKUP($A486,'[1]import graded seats course pivo'!$A:AC,HLOOKUP('[1]Course Totals'!E$4,'[1]import graded seats course pivo'!$1:$2,2,FALSE),FALSE))),"")</f>
        <v/>
      </c>
      <c r="F486" s="14">
        <f>IFERROR((VLOOKUP($A486,'[1]import success seats course'!$A:T,HLOOKUP('[1]Course Totals'!F$4,'[1]import success seats course'!$1:$2,2,FALSE),FALSE)/(VLOOKUP($A486,'[1]import graded seats course pivo'!$A:AD,HLOOKUP('[1]Course Totals'!F$4,'[1]import graded seats course pivo'!$1:$2,2,FALSE),FALSE))),"")</f>
        <v>1</v>
      </c>
      <c r="G486" s="14">
        <f>IFERROR((VLOOKUP($A486,'[1]import success seats course'!$A:U,HLOOKUP('[1]Course Totals'!G$4,'[1]import success seats course'!$1:$2,2,FALSE),FALSE)/(VLOOKUP($A486,'[1]import graded seats course pivo'!$A:AE,HLOOKUP('[1]Course Totals'!G$4,'[1]import graded seats course pivo'!$1:$2,2,FALSE),FALSE))),"")</f>
        <v>1</v>
      </c>
      <c r="H486" s="14" t="str">
        <f>IFERROR((VLOOKUP($A486,'[1]import success seats course'!$A:V,HLOOKUP('[1]Course Totals'!H$4,'[1]import success seats course'!$1:$2,2,FALSE),FALSE)/(VLOOKUP($A486,'[1]import graded seats course pivo'!$A:AF,HLOOKUP('[1]Course Totals'!H$4,'[1]import graded seats course pivo'!$1:$2,2,FALSE),FALSE))),"")</f>
        <v/>
      </c>
      <c r="I486" s="14" t="str">
        <f>IFERROR((VLOOKUP($A486,'[1]import success seats course'!$A:W,HLOOKUP('[1]Course Totals'!I$4,'[1]import success seats course'!$1:$2,2,FALSE),FALSE)/(VLOOKUP($A486,'[1]import graded seats course pivo'!$A:AG,HLOOKUP('[1]Course Totals'!I$4,'[1]import graded seats course pivo'!$1:$2,2,FALSE),FALSE))),"")</f>
        <v/>
      </c>
      <c r="J486" s="14">
        <f>IFERROR((VLOOKUP($A486,'[1]import success seats course'!$A:X,HLOOKUP('[1]Course Totals'!J$4,'[1]import success seats course'!$1:$2,2,FALSE),FALSE)/(VLOOKUP($A486,'[1]import graded seats course pivo'!$A:AH,HLOOKUP('[1]Course Totals'!J$4,'[1]import graded seats course pivo'!$1:$2,2,FALSE),FALSE))),"")</f>
        <v>1</v>
      </c>
      <c r="K486" s="14" t="str">
        <f>IFERROR((VLOOKUP($A486,'[1]import success seats course'!$A:Y,HLOOKUP('[1]Course Totals'!K$4,'[1]import success seats course'!$1:$2,2,FALSE),FALSE)/(VLOOKUP($A486,'[1]import graded seats course pivo'!$A:AI,HLOOKUP('[1]Course Totals'!K$4,'[1]import graded seats course pivo'!$1:$2,2,FALSE),FALSE))),"")</f>
        <v/>
      </c>
      <c r="L486" s="14">
        <f>IFERROR((VLOOKUP($A486,'[1]import success seats course'!$A:Z,HLOOKUP('[1]Course Totals'!L$4,'[1]import success seats course'!$1:$2,2,FALSE),FALSE)/(VLOOKUP($A486,'[1]import graded seats course pivo'!$A:AJ,HLOOKUP('[1]Course Totals'!L$4,'[1]import graded seats course pivo'!$1:$2,2,FALSE),FALSE))),"")</f>
        <v>1</v>
      </c>
      <c r="M486" s="14" t="str">
        <f>IFERROR((VLOOKUP($A486,'[1]import success seats course'!$A:AA,HLOOKUP('[1]Course Totals'!M$4,'[1]import success seats course'!$1:$2,2,FALSE),FALSE)/(VLOOKUP($A486,'[1]import graded seats course pivo'!$A:AK,HLOOKUP('[1]Course Totals'!M$4,'[1]import graded seats course pivo'!$1:$2,2,FALSE),FALSE))),"")</f>
        <v/>
      </c>
      <c r="N486" s="14" t="str">
        <f>IFERROR((VLOOKUP($A486,'[1]import success seats course'!$A:AB,HLOOKUP('[1]Course Totals'!N$4,'[1]import success seats course'!$1:$2,2,FALSE),FALSE)/(VLOOKUP($A486,'[1]import graded seats course pivo'!$A:AL,HLOOKUP('[1]Course Totals'!N$4,'[1]import graded seats course pivo'!$1:$2,2,FALSE),FALSE))),"")</f>
        <v/>
      </c>
      <c r="O486" s="14">
        <f>IFERROR((VLOOKUP($A486,'[1]import success seats course'!$A:AC,HLOOKUP('[1]Course Totals'!O$4,'[1]import success seats course'!$1:$2,2,FALSE),FALSE)/(VLOOKUP($A486,'[1]import graded seats course pivo'!$A:AM,HLOOKUP('[1]Course Totals'!O$4,'[1]import graded seats course pivo'!$1:$2,2,FALSE),FALSE))),"")</f>
        <v>1</v>
      </c>
      <c r="P486" s="14" t="str">
        <f>IFERROR((VLOOKUP($A486,'[1]import success seats course'!$A:AD,HLOOKUP('[1]Course Totals'!P$4,'[1]import success seats course'!$1:$2,2,FALSE),FALSE)/(VLOOKUP($A486,'[1]import graded seats course pivo'!$A:AN,HLOOKUP('[1]Course Totals'!P$4,'[1]import graded seats course pivo'!$1:$2,2,FALSE),FALSE))),"")</f>
        <v/>
      </c>
      <c r="Q486" s="14" t="str">
        <f>IFERROR((VLOOKUP($A486,'[1]import success seats course'!$A:AE,HLOOKUP('[1]Course Totals'!Q$4,'[1]import success seats course'!$1:$2,2,FALSE),FALSE)/(VLOOKUP($A486,'[1]import graded seats course pivo'!$A:AO,HLOOKUP('[1]Course Totals'!Q$4,'[1]import graded seats course pivo'!$1:$2,2,FALSE),FALSE))),"")</f>
        <v/>
      </c>
      <c r="R486" s="14">
        <f>IFERROR((VLOOKUP($A486,'[1]import success seats course'!$A:AF,HLOOKUP('[1]Course Totals'!R$4,'[1]import success seats course'!$1:$2,2,FALSE),FALSE)/(VLOOKUP($A486,'[1]import graded seats course pivo'!$A:AP,HLOOKUP('[1]Course Totals'!R$4,'[1]import graded seats course pivo'!$1:$2,2,FALSE),FALSE))),"")</f>
        <v>1</v>
      </c>
      <c r="S486" s="14">
        <f>IFERROR((VLOOKUP($A486,'[1]import success seats course'!$A:AG,HLOOKUP('[1]Course Totals'!S$4,'[1]import success seats course'!$1:$2,2,FALSE),FALSE)/(VLOOKUP($A486,'[1]import graded seats course pivo'!$A:AQ,HLOOKUP('[1]Course Totals'!S$4,'[1]import graded seats course pivo'!$1:$2,2,FALSE),FALSE))),"")</f>
        <v>1</v>
      </c>
      <c r="Z486" s="7"/>
      <c r="AA486" s="7"/>
      <c r="AB486" s="7"/>
      <c r="AC486" s="7"/>
    </row>
    <row r="487" spans="1:29" ht="15.75" customHeight="1" x14ac:dyDescent="0.25">
      <c r="A487" s="12" t="s">
        <v>243</v>
      </c>
      <c r="B487" s="14" t="str">
        <f>IFERROR((VLOOKUP($A487,'[1]import success seats course'!$A:P,HLOOKUP('[1]Course Totals'!B$4,'[1]import success seats course'!$1:$2,2,FALSE),FALSE)/(VLOOKUP($A487,'[1]import graded seats course pivo'!$A:Z,HLOOKUP('[1]Course Totals'!B$4,'[1]import graded seats course pivo'!$1:$2,2,FALSE),FALSE))),"")</f>
        <v/>
      </c>
      <c r="C487" s="14">
        <f>IFERROR((VLOOKUP($A487,'[1]import success seats course'!$A:Q,HLOOKUP('[1]Course Totals'!C$4,'[1]import success seats course'!$1:$2,2,FALSE),FALSE)/(VLOOKUP($A487,'[1]import graded seats course pivo'!$A:AA,HLOOKUP('[1]Course Totals'!C$4,'[1]import graded seats course pivo'!$1:$2,2,FALSE),FALSE))),"")</f>
        <v>0.57894736842105265</v>
      </c>
      <c r="D487" s="14">
        <f>IFERROR((VLOOKUP($A487,'[1]import success seats course'!$A:R,HLOOKUP('[1]Course Totals'!D$4,'[1]import success seats course'!$1:$2,2,FALSE),FALSE)/(VLOOKUP($A487,'[1]import graded seats course pivo'!$A:AB,HLOOKUP('[1]Course Totals'!D$4,'[1]import graded seats course pivo'!$1:$2,2,FALSE),FALSE))),"")</f>
        <v>0.85</v>
      </c>
      <c r="E487" s="14" t="str">
        <f>IFERROR((VLOOKUP($A487,'[1]import success seats course'!$A:S,HLOOKUP('[1]Course Totals'!E$4,'[1]import success seats course'!$1:$2,2,FALSE),FALSE)/(VLOOKUP($A487,'[1]import graded seats course pivo'!$A:AC,HLOOKUP('[1]Course Totals'!E$4,'[1]import graded seats course pivo'!$1:$2,2,FALSE),FALSE))),"")</f>
        <v/>
      </c>
      <c r="F487" s="14">
        <f>IFERROR((VLOOKUP($A487,'[1]import success seats course'!$A:T,HLOOKUP('[1]Course Totals'!F$4,'[1]import success seats course'!$1:$2,2,FALSE),FALSE)/(VLOOKUP($A487,'[1]import graded seats course pivo'!$A:AD,HLOOKUP('[1]Course Totals'!F$4,'[1]import graded seats course pivo'!$1:$2,2,FALSE),FALSE))),"")</f>
        <v>0.8666666666666667</v>
      </c>
      <c r="G487" s="14">
        <f>IFERROR((VLOOKUP($A487,'[1]import success seats course'!$A:U,HLOOKUP('[1]Course Totals'!G$4,'[1]import success seats course'!$1:$2,2,FALSE),FALSE)/(VLOOKUP($A487,'[1]import graded seats course pivo'!$A:AE,HLOOKUP('[1]Course Totals'!G$4,'[1]import graded seats course pivo'!$1:$2,2,FALSE),FALSE))),"")</f>
        <v>0.95652173913043481</v>
      </c>
      <c r="H487" s="14" t="str">
        <f>IFERROR((VLOOKUP($A487,'[1]import success seats course'!$A:V,HLOOKUP('[1]Course Totals'!H$4,'[1]import success seats course'!$1:$2,2,FALSE),FALSE)/(VLOOKUP($A487,'[1]import graded seats course pivo'!$A:AF,HLOOKUP('[1]Course Totals'!H$4,'[1]import graded seats course pivo'!$1:$2,2,FALSE),FALSE))),"")</f>
        <v/>
      </c>
      <c r="I487" s="14">
        <f>IFERROR((VLOOKUP($A487,'[1]import success seats course'!$A:W,HLOOKUP('[1]Course Totals'!I$4,'[1]import success seats course'!$1:$2,2,FALSE),FALSE)/(VLOOKUP($A487,'[1]import graded seats course pivo'!$A:AG,HLOOKUP('[1]Course Totals'!I$4,'[1]import graded seats course pivo'!$1:$2,2,FALSE),FALSE))),"")</f>
        <v>0.83333333333333337</v>
      </c>
      <c r="J487" s="14" t="str">
        <f>IFERROR((VLOOKUP($A487,'[1]import success seats course'!$A:X,HLOOKUP('[1]Course Totals'!J$4,'[1]import success seats course'!$1:$2,2,FALSE),FALSE)/(VLOOKUP($A487,'[1]import graded seats course pivo'!$A:AH,HLOOKUP('[1]Course Totals'!J$4,'[1]import graded seats course pivo'!$1:$2,2,FALSE),FALSE))),"")</f>
        <v/>
      </c>
      <c r="K487" s="14" t="str">
        <f>IFERROR((VLOOKUP($A487,'[1]import success seats course'!$A:Y,HLOOKUP('[1]Course Totals'!K$4,'[1]import success seats course'!$1:$2,2,FALSE),FALSE)/(VLOOKUP($A487,'[1]import graded seats course pivo'!$A:AI,HLOOKUP('[1]Course Totals'!K$4,'[1]import graded seats course pivo'!$1:$2,2,FALSE),FALSE))),"")</f>
        <v/>
      </c>
      <c r="L487" s="14">
        <f>IFERROR((VLOOKUP($A487,'[1]import success seats course'!$A:Z,HLOOKUP('[1]Course Totals'!L$4,'[1]import success seats course'!$1:$2,2,FALSE),FALSE)/(VLOOKUP($A487,'[1]import graded seats course pivo'!$A:AJ,HLOOKUP('[1]Course Totals'!L$4,'[1]import graded seats course pivo'!$1:$2,2,FALSE),FALSE))),"")</f>
        <v>0.81481481481481477</v>
      </c>
      <c r="M487" s="14">
        <f>IFERROR((VLOOKUP($A487,'[1]import success seats course'!$A:AA,HLOOKUP('[1]Course Totals'!M$4,'[1]import success seats course'!$1:$2,2,FALSE),FALSE)/(VLOOKUP($A487,'[1]import graded seats course pivo'!$A:AK,HLOOKUP('[1]Course Totals'!M$4,'[1]import graded seats course pivo'!$1:$2,2,FALSE),FALSE))),"")</f>
        <v>0.76923076923076927</v>
      </c>
      <c r="N487" s="14" t="str">
        <f>IFERROR((VLOOKUP($A487,'[1]import success seats course'!$A:AB,HLOOKUP('[1]Course Totals'!N$4,'[1]import success seats course'!$1:$2,2,FALSE),FALSE)/(VLOOKUP($A487,'[1]import graded seats course pivo'!$A:AL,HLOOKUP('[1]Course Totals'!N$4,'[1]import graded seats course pivo'!$1:$2,2,FALSE),FALSE))),"")</f>
        <v/>
      </c>
      <c r="O487" s="14">
        <f>IFERROR((VLOOKUP($A487,'[1]import success seats course'!$A:AC,HLOOKUP('[1]Course Totals'!O$4,'[1]import success seats course'!$1:$2,2,FALSE),FALSE)/(VLOOKUP($A487,'[1]import graded seats course pivo'!$A:AM,HLOOKUP('[1]Course Totals'!O$4,'[1]import graded seats course pivo'!$1:$2,2,FALSE),FALSE))),"")</f>
        <v>0.7407407407407407</v>
      </c>
      <c r="P487" s="14">
        <f>IFERROR((VLOOKUP($A487,'[1]import success seats course'!$A:AD,HLOOKUP('[1]Course Totals'!P$4,'[1]import success seats course'!$1:$2,2,FALSE),FALSE)/(VLOOKUP($A487,'[1]import graded seats course pivo'!$A:AN,HLOOKUP('[1]Course Totals'!P$4,'[1]import graded seats course pivo'!$1:$2,2,FALSE),FALSE))),"")</f>
        <v>0.76923076923076927</v>
      </c>
      <c r="Q487" s="14" t="str">
        <f>IFERROR((VLOOKUP($A487,'[1]import success seats course'!$A:AE,HLOOKUP('[1]Course Totals'!Q$4,'[1]import success seats course'!$1:$2,2,FALSE),FALSE)/(VLOOKUP($A487,'[1]import graded seats course pivo'!$A:AO,HLOOKUP('[1]Course Totals'!Q$4,'[1]import graded seats course pivo'!$1:$2,2,FALSE),FALSE))),"")</f>
        <v/>
      </c>
      <c r="R487" s="14">
        <f>IFERROR((VLOOKUP($A487,'[1]import success seats course'!$A:AF,HLOOKUP('[1]Course Totals'!R$4,'[1]import success seats course'!$1:$2,2,FALSE),FALSE)/(VLOOKUP($A487,'[1]import graded seats course pivo'!$A:AP,HLOOKUP('[1]Course Totals'!R$4,'[1]import graded seats course pivo'!$1:$2,2,FALSE),FALSE))),"")</f>
        <v>0.73076923076923073</v>
      </c>
      <c r="S487" s="14" t="str">
        <f>IFERROR((VLOOKUP($A487,'[1]import success seats course'!$A:AG,HLOOKUP('[1]Course Totals'!S$4,'[1]import success seats course'!$1:$2,2,FALSE),FALSE)/(VLOOKUP($A487,'[1]import graded seats course pivo'!$A:AQ,HLOOKUP('[1]Course Totals'!S$4,'[1]import graded seats course pivo'!$1:$2,2,FALSE),FALSE))),"")</f>
        <v/>
      </c>
      <c r="Z487" s="7"/>
      <c r="AA487" s="7"/>
      <c r="AB487" s="7"/>
      <c r="AC487" s="7"/>
    </row>
    <row r="488" spans="1:29" ht="15.75" customHeight="1" x14ac:dyDescent="0.25">
      <c r="A488" s="12" t="s">
        <v>603</v>
      </c>
      <c r="B488" s="14" t="str">
        <f>IFERROR((VLOOKUP($A488,'[1]import success seats course'!$A:P,HLOOKUP('[1]Course Totals'!B$4,'[1]import success seats course'!$1:$2,2,FALSE),FALSE)/(VLOOKUP($A488,'[1]import graded seats course pivo'!$A:Z,HLOOKUP('[1]Course Totals'!B$4,'[1]import graded seats course pivo'!$1:$2,2,FALSE),FALSE))),"")</f>
        <v/>
      </c>
      <c r="C488" s="14" t="str">
        <f>IFERROR((VLOOKUP($A488,'[1]import success seats course'!$A:Q,HLOOKUP('[1]Course Totals'!C$4,'[1]import success seats course'!$1:$2,2,FALSE),FALSE)/(VLOOKUP($A488,'[1]import graded seats course pivo'!$A:AA,HLOOKUP('[1]Course Totals'!C$4,'[1]import graded seats course pivo'!$1:$2,2,FALSE),FALSE))),"")</f>
        <v/>
      </c>
      <c r="D488" s="14" t="str">
        <f>IFERROR((VLOOKUP($A488,'[1]import success seats course'!$A:R,HLOOKUP('[1]Course Totals'!D$4,'[1]import success seats course'!$1:$2,2,FALSE),FALSE)/(VLOOKUP($A488,'[1]import graded seats course pivo'!$A:AB,HLOOKUP('[1]Course Totals'!D$4,'[1]import graded seats course pivo'!$1:$2,2,FALSE),FALSE))),"")</f>
        <v/>
      </c>
      <c r="E488" s="14" t="str">
        <f>IFERROR((VLOOKUP($A488,'[1]import success seats course'!$A:S,HLOOKUP('[1]Course Totals'!E$4,'[1]import success seats course'!$1:$2,2,FALSE),FALSE)/(VLOOKUP($A488,'[1]import graded seats course pivo'!$A:AC,HLOOKUP('[1]Course Totals'!E$4,'[1]import graded seats course pivo'!$1:$2,2,FALSE),FALSE))),"")</f>
        <v/>
      </c>
      <c r="F488" s="14">
        <f>IFERROR((VLOOKUP($A488,'[1]import success seats course'!$A:T,HLOOKUP('[1]Course Totals'!F$4,'[1]import success seats course'!$1:$2,2,FALSE),FALSE)/(VLOOKUP($A488,'[1]import graded seats course pivo'!$A:AD,HLOOKUP('[1]Course Totals'!F$4,'[1]import graded seats course pivo'!$1:$2,2,FALSE),FALSE))),"")</f>
        <v>1</v>
      </c>
      <c r="G488" s="14" t="str">
        <f>IFERROR((VLOOKUP($A488,'[1]import success seats course'!$A:U,HLOOKUP('[1]Course Totals'!G$4,'[1]import success seats course'!$1:$2,2,FALSE),FALSE)/(VLOOKUP($A488,'[1]import graded seats course pivo'!$A:AE,HLOOKUP('[1]Course Totals'!G$4,'[1]import graded seats course pivo'!$1:$2,2,FALSE),FALSE))),"")</f>
        <v/>
      </c>
      <c r="H488" s="14" t="str">
        <f>IFERROR((VLOOKUP($A488,'[1]import success seats course'!$A:V,HLOOKUP('[1]Course Totals'!H$4,'[1]import success seats course'!$1:$2,2,FALSE),FALSE)/(VLOOKUP($A488,'[1]import graded seats course pivo'!$A:AF,HLOOKUP('[1]Course Totals'!H$4,'[1]import graded seats course pivo'!$1:$2,2,FALSE),FALSE))),"")</f>
        <v/>
      </c>
      <c r="I488" s="14">
        <f>IFERROR((VLOOKUP($A488,'[1]import success seats course'!$A:W,HLOOKUP('[1]Course Totals'!I$4,'[1]import success seats course'!$1:$2,2,FALSE),FALSE)/(VLOOKUP($A488,'[1]import graded seats course pivo'!$A:AG,HLOOKUP('[1]Course Totals'!I$4,'[1]import graded seats course pivo'!$1:$2,2,FALSE),FALSE))),"")</f>
        <v>1</v>
      </c>
      <c r="J488" s="14" t="str">
        <f>IFERROR((VLOOKUP($A488,'[1]import success seats course'!$A:X,HLOOKUP('[1]Course Totals'!J$4,'[1]import success seats course'!$1:$2,2,FALSE),FALSE)/(VLOOKUP($A488,'[1]import graded seats course pivo'!$A:AH,HLOOKUP('[1]Course Totals'!J$4,'[1]import graded seats course pivo'!$1:$2,2,FALSE),FALSE))),"")</f>
        <v/>
      </c>
      <c r="K488" s="14" t="str">
        <f>IFERROR((VLOOKUP($A488,'[1]import success seats course'!$A:Y,HLOOKUP('[1]Course Totals'!K$4,'[1]import success seats course'!$1:$2,2,FALSE),FALSE)/(VLOOKUP($A488,'[1]import graded seats course pivo'!$A:AI,HLOOKUP('[1]Course Totals'!K$4,'[1]import graded seats course pivo'!$1:$2,2,FALSE),FALSE))),"")</f>
        <v/>
      </c>
      <c r="L488" s="14" t="str">
        <f>IFERROR((VLOOKUP($A488,'[1]import success seats course'!$A:Z,HLOOKUP('[1]Course Totals'!L$4,'[1]import success seats course'!$1:$2,2,FALSE),FALSE)/(VLOOKUP($A488,'[1]import graded seats course pivo'!$A:AJ,HLOOKUP('[1]Course Totals'!L$4,'[1]import graded seats course pivo'!$1:$2,2,FALSE),FALSE))),"")</f>
        <v/>
      </c>
      <c r="M488" s="14" t="str">
        <f>IFERROR((VLOOKUP($A488,'[1]import success seats course'!$A:AA,HLOOKUP('[1]Course Totals'!M$4,'[1]import success seats course'!$1:$2,2,FALSE),FALSE)/(VLOOKUP($A488,'[1]import graded seats course pivo'!$A:AK,HLOOKUP('[1]Course Totals'!M$4,'[1]import graded seats course pivo'!$1:$2,2,FALSE),FALSE))),"")</f>
        <v/>
      </c>
      <c r="N488" s="14" t="str">
        <f>IFERROR((VLOOKUP($A488,'[1]import success seats course'!$A:AB,HLOOKUP('[1]Course Totals'!N$4,'[1]import success seats course'!$1:$2,2,FALSE),FALSE)/(VLOOKUP($A488,'[1]import graded seats course pivo'!$A:AL,HLOOKUP('[1]Course Totals'!N$4,'[1]import graded seats course pivo'!$1:$2,2,FALSE),FALSE))),"")</f>
        <v/>
      </c>
      <c r="O488" s="14" t="str">
        <f>IFERROR((VLOOKUP($A488,'[1]import success seats course'!$A:AC,HLOOKUP('[1]Course Totals'!O$4,'[1]import success seats course'!$1:$2,2,FALSE),FALSE)/(VLOOKUP($A488,'[1]import graded seats course pivo'!$A:AM,HLOOKUP('[1]Course Totals'!O$4,'[1]import graded seats course pivo'!$1:$2,2,FALSE),FALSE))),"")</f>
        <v/>
      </c>
      <c r="P488" s="14">
        <f>IFERROR((VLOOKUP($A488,'[1]import success seats course'!$A:AD,HLOOKUP('[1]Course Totals'!P$4,'[1]import success seats course'!$1:$2,2,FALSE),FALSE)/(VLOOKUP($A488,'[1]import graded seats course pivo'!$A:AN,HLOOKUP('[1]Course Totals'!P$4,'[1]import graded seats course pivo'!$1:$2,2,FALSE),FALSE))),"")</f>
        <v>0.33333333333333331</v>
      </c>
      <c r="Q488" s="14" t="str">
        <f>IFERROR((VLOOKUP($A488,'[1]import success seats course'!$A:AE,HLOOKUP('[1]Course Totals'!Q$4,'[1]import success seats course'!$1:$2,2,FALSE),FALSE)/(VLOOKUP($A488,'[1]import graded seats course pivo'!$A:AO,HLOOKUP('[1]Course Totals'!Q$4,'[1]import graded seats course pivo'!$1:$2,2,FALSE),FALSE))),"")</f>
        <v/>
      </c>
      <c r="R488" s="14" t="str">
        <f>IFERROR((VLOOKUP($A488,'[1]import success seats course'!$A:AF,HLOOKUP('[1]Course Totals'!R$4,'[1]import success seats course'!$1:$2,2,FALSE),FALSE)/(VLOOKUP($A488,'[1]import graded seats course pivo'!$A:AP,HLOOKUP('[1]Course Totals'!R$4,'[1]import graded seats course pivo'!$1:$2,2,FALSE),FALSE))),"")</f>
        <v/>
      </c>
      <c r="S488" s="14" t="str">
        <f>IFERROR((VLOOKUP($A488,'[1]import success seats course'!$A:AG,HLOOKUP('[1]Course Totals'!S$4,'[1]import success seats course'!$1:$2,2,FALSE),FALSE)/(VLOOKUP($A488,'[1]import graded seats course pivo'!$A:AQ,HLOOKUP('[1]Course Totals'!S$4,'[1]import graded seats course pivo'!$1:$2,2,FALSE),FALSE))),"")</f>
        <v/>
      </c>
      <c r="Z488" s="7"/>
      <c r="AA488" s="7"/>
      <c r="AB488" s="7"/>
      <c r="AC488" s="7"/>
    </row>
    <row r="489" spans="1:29" ht="15.75" customHeight="1" x14ac:dyDescent="0.25">
      <c r="A489" s="12" t="s">
        <v>244</v>
      </c>
      <c r="B489" s="14" t="str">
        <f>IFERROR((VLOOKUP($A489,'[1]import success seats course'!$A:P,HLOOKUP('[1]Course Totals'!B$4,'[1]import success seats course'!$1:$2,2,FALSE),FALSE)/(VLOOKUP($A489,'[1]import graded seats course pivo'!$A:Z,HLOOKUP('[1]Course Totals'!B$4,'[1]import graded seats course pivo'!$1:$2,2,FALSE),FALSE))),"")</f>
        <v/>
      </c>
      <c r="C489" s="14">
        <f>IFERROR((VLOOKUP($A489,'[1]import success seats course'!$A:Q,HLOOKUP('[1]Course Totals'!C$4,'[1]import success seats course'!$1:$2,2,FALSE),FALSE)/(VLOOKUP($A489,'[1]import graded seats course pivo'!$A:AA,HLOOKUP('[1]Course Totals'!C$4,'[1]import graded seats course pivo'!$1:$2,2,FALSE),FALSE))),"")</f>
        <v>0.7857142857142857</v>
      </c>
      <c r="D489" s="14">
        <f>IFERROR((VLOOKUP($A489,'[1]import success seats course'!$A:R,HLOOKUP('[1]Course Totals'!D$4,'[1]import success seats course'!$1:$2,2,FALSE),FALSE)/(VLOOKUP($A489,'[1]import graded seats course pivo'!$A:AB,HLOOKUP('[1]Course Totals'!D$4,'[1]import graded seats course pivo'!$1:$2,2,FALSE),FALSE))),"")</f>
        <v>0.81818181818181823</v>
      </c>
      <c r="E489" s="14" t="str">
        <f>IFERROR((VLOOKUP($A489,'[1]import success seats course'!$A:S,HLOOKUP('[1]Course Totals'!E$4,'[1]import success seats course'!$1:$2,2,FALSE),FALSE)/(VLOOKUP($A489,'[1]import graded seats course pivo'!$A:AC,HLOOKUP('[1]Course Totals'!E$4,'[1]import graded seats course pivo'!$1:$2,2,FALSE),FALSE))),"")</f>
        <v/>
      </c>
      <c r="F489" s="14">
        <f>IFERROR((VLOOKUP($A489,'[1]import success seats course'!$A:T,HLOOKUP('[1]Course Totals'!F$4,'[1]import success seats course'!$1:$2,2,FALSE),FALSE)/(VLOOKUP($A489,'[1]import graded seats course pivo'!$A:AD,HLOOKUP('[1]Course Totals'!F$4,'[1]import graded seats course pivo'!$1:$2,2,FALSE),FALSE))),"")</f>
        <v>0.91666666666666663</v>
      </c>
      <c r="G489" s="14" t="str">
        <f>IFERROR((VLOOKUP($A489,'[1]import success seats course'!$A:U,HLOOKUP('[1]Course Totals'!G$4,'[1]import success seats course'!$1:$2,2,FALSE),FALSE)/(VLOOKUP($A489,'[1]import graded seats course pivo'!$A:AE,HLOOKUP('[1]Course Totals'!G$4,'[1]import graded seats course pivo'!$1:$2,2,FALSE),FALSE))),"")</f>
        <v/>
      </c>
      <c r="H489" s="14" t="str">
        <f>IFERROR((VLOOKUP($A489,'[1]import success seats course'!$A:V,HLOOKUP('[1]Course Totals'!H$4,'[1]import success seats course'!$1:$2,2,FALSE),FALSE)/(VLOOKUP($A489,'[1]import graded seats course pivo'!$A:AF,HLOOKUP('[1]Course Totals'!H$4,'[1]import graded seats course pivo'!$1:$2,2,FALSE),FALSE))),"")</f>
        <v/>
      </c>
      <c r="I489" s="14">
        <f>IFERROR((VLOOKUP($A489,'[1]import success seats course'!$A:W,HLOOKUP('[1]Course Totals'!I$4,'[1]import success seats course'!$1:$2,2,FALSE),FALSE)/(VLOOKUP($A489,'[1]import graded seats course pivo'!$A:AG,HLOOKUP('[1]Course Totals'!I$4,'[1]import graded seats course pivo'!$1:$2,2,FALSE),FALSE))),"")</f>
        <v>0.9</v>
      </c>
      <c r="J489" s="14">
        <f>IFERROR((VLOOKUP($A489,'[1]import success seats course'!$A:X,HLOOKUP('[1]Course Totals'!J$4,'[1]import success seats course'!$1:$2,2,FALSE),FALSE)/(VLOOKUP($A489,'[1]import graded seats course pivo'!$A:AH,HLOOKUP('[1]Course Totals'!J$4,'[1]import graded seats course pivo'!$1:$2,2,FALSE),FALSE))),"")</f>
        <v>0.7</v>
      </c>
      <c r="K489" s="14" t="str">
        <f>IFERROR((VLOOKUP($A489,'[1]import success seats course'!$A:Y,HLOOKUP('[1]Course Totals'!K$4,'[1]import success seats course'!$1:$2,2,FALSE),FALSE)/(VLOOKUP($A489,'[1]import graded seats course pivo'!$A:AI,HLOOKUP('[1]Course Totals'!K$4,'[1]import graded seats course pivo'!$1:$2,2,FALSE),FALSE))),"")</f>
        <v/>
      </c>
      <c r="L489" s="14">
        <f>IFERROR((VLOOKUP($A489,'[1]import success seats course'!$A:Z,HLOOKUP('[1]Course Totals'!L$4,'[1]import success seats course'!$1:$2,2,FALSE),FALSE)/(VLOOKUP($A489,'[1]import graded seats course pivo'!$A:AJ,HLOOKUP('[1]Course Totals'!L$4,'[1]import graded seats course pivo'!$1:$2,2,FALSE),FALSE))),"")</f>
        <v>0.94117647058823528</v>
      </c>
      <c r="M489" s="14">
        <f>IFERROR((VLOOKUP($A489,'[1]import success seats course'!$A:AA,HLOOKUP('[1]Course Totals'!M$4,'[1]import success seats course'!$1:$2,2,FALSE),FALSE)/(VLOOKUP($A489,'[1]import graded seats course pivo'!$A:AK,HLOOKUP('[1]Course Totals'!M$4,'[1]import graded seats course pivo'!$1:$2,2,FALSE),FALSE))),"")</f>
        <v>1</v>
      </c>
      <c r="N489" s="14" t="str">
        <f>IFERROR((VLOOKUP($A489,'[1]import success seats course'!$A:AB,HLOOKUP('[1]Course Totals'!N$4,'[1]import success seats course'!$1:$2,2,FALSE),FALSE)/(VLOOKUP($A489,'[1]import graded seats course pivo'!$A:AL,HLOOKUP('[1]Course Totals'!N$4,'[1]import graded seats course pivo'!$1:$2,2,FALSE),FALSE))),"")</f>
        <v/>
      </c>
      <c r="O489" s="14">
        <f>IFERROR((VLOOKUP($A489,'[1]import success seats course'!$A:AC,HLOOKUP('[1]Course Totals'!O$4,'[1]import success seats course'!$1:$2,2,FALSE),FALSE)/(VLOOKUP($A489,'[1]import graded seats course pivo'!$A:AM,HLOOKUP('[1]Course Totals'!O$4,'[1]import graded seats course pivo'!$1:$2,2,FALSE),FALSE))),"")</f>
        <v>0.77777777777777779</v>
      </c>
      <c r="P489" s="14" t="str">
        <f>IFERROR((VLOOKUP($A489,'[1]import success seats course'!$A:AD,HLOOKUP('[1]Course Totals'!P$4,'[1]import success seats course'!$1:$2,2,FALSE),FALSE)/(VLOOKUP($A489,'[1]import graded seats course pivo'!$A:AN,HLOOKUP('[1]Course Totals'!P$4,'[1]import graded seats course pivo'!$1:$2,2,FALSE),FALSE))),"")</f>
        <v/>
      </c>
      <c r="Q489" s="14" t="str">
        <f>IFERROR((VLOOKUP($A489,'[1]import success seats course'!$A:AE,HLOOKUP('[1]Course Totals'!Q$4,'[1]import success seats course'!$1:$2,2,FALSE),FALSE)/(VLOOKUP($A489,'[1]import graded seats course pivo'!$A:AO,HLOOKUP('[1]Course Totals'!Q$4,'[1]import graded seats course pivo'!$1:$2,2,FALSE),FALSE))),"")</f>
        <v/>
      </c>
      <c r="R489" s="14">
        <f>IFERROR((VLOOKUP($A489,'[1]import success seats course'!$A:AF,HLOOKUP('[1]Course Totals'!R$4,'[1]import success seats course'!$1:$2,2,FALSE),FALSE)/(VLOOKUP($A489,'[1]import graded seats course pivo'!$A:AP,HLOOKUP('[1]Course Totals'!R$4,'[1]import graded seats course pivo'!$1:$2,2,FALSE),FALSE))),"")</f>
        <v>0.77777777777777779</v>
      </c>
      <c r="S489" s="14" t="str">
        <f>IFERROR((VLOOKUP($A489,'[1]import success seats course'!$A:AG,HLOOKUP('[1]Course Totals'!S$4,'[1]import success seats course'!$1:$2,2,FALSE),FALSE)/(VLOOKUP($A489,'[1]import graded seats course pivo'!$A:AQ,HLOOKUP('[1]Course Totals'!S$4,'[1]import graded seats course pivo'!$1:$2,2,FALSE),FALSE))),"")</f>
        <v/>
      </c>
      <c r="Z489" s="7"/>
      <c r="AA489" s="7"/>
      <c r="AB489" s="7"/>
      <c r="AC489" s="7"/>
    </row>
    <row r="490" spans="1:29" ht="15.75" customHeight="1" x14ac:dyDescent="0.25">
      <c r="A490" s="12" t="s">
        <v>716</v>
      </c>
      <c r="B490" s="14" t="str">
        <f>IFERROR((VLOOKUP($A490,'[1]import success seats course'!$A:P,HLOOKUP('[1]Course Totals'!B$4,'[1]import success seats course'!$1:$2,2,FALSE),FALSE)/(VLOOKUP($A490,'[1]import graded seats course pivo'!$A:Z,HLOOKUP('[1]Course Totals'!B$4,'[1]import graded seats course pivo'!$1:$2,2,FALSE),FALSE))),"")</f>
        <v/>
      </c>
      <c r="C490" s="14" t="str">
        <f>IFERROR((VLOOKUP($A490,'[1]import success seats course'!$A:Q,HLOOKUP('[1]Course Totals'!C$4,'[1]import success seats course'!$1:$2,2,FALSE),FALSE)/(VLOOKUP($A490,'[1]import graded seats course pivo'!$A:AA,HLOOKUP('[1]Course Totals'!C$4,'[1]import graded seats course pivo'!$1:$2,2,FALSE),FALSE))),"")</f>
        <v/>
      </c>
      <c r="D490" s="14">
        <f>IFERROR((VLOOKUP($A490,'[1]import success seats course'!$A:R,HLOOKUP('[1]Course Totals'!D$4,'[1]import success seats course'!$1:$2,2,FALSE),FALSE)/(VLOOKUP($A490,'[1]import graded seats course pivo'!$A:AB,HLOOKUP('[1]Course Totals'!D$4,'[1]import graded seats course pivo'!$1:$2,2,FALSE),FALSE))),"")</f>
        <v>1</v>
      </c>
      <c r="E490" s="14" t="str">
        <f>IFERROR((VLOOKUP($A490,'[1]import success seats course'!$A:S,HLOOKUP('[1]Course Totals'!E$4,'[1]import success seats course'!$1:$2,2,FALSE),FALSE)/(VLOOKUP($A490,'[1]import graded seats course pivo'!$A:AC,HLOOKUP('[1]Course Totals'!E$4,'[1]import graded seats course pivo'!$1:$2,2,FALSE),FALSE))),"")</f>
        <v/>
      </c>
      <c r="F490" s="14" t="str">
        <f>IFERROR((VLOOKUP($A490,'[1]import success seats course'!$A:T,HLOOKUP('[1]Course Totals'!F$4,'[1]import success seats course'!$1:$2,2,FALSE),FALSE)/(VLOOKUP($A490,'[1]import graded seats course pivo'!$A:AD,HLOOKUP('[1]Course Totals'!F$4,'[1]import graded seats course pivo'!$1:$2,2,FALSE),FALSE))),"")</f>
        <v/>
      </c>
      <c r="G490" s="14" t="str">
        <f>IFERROR((VLOOKUP($A490,'[1]import success seats course'!$A:U,HLOOKUP('[1]Course Totals'!G$4,'[1]import success seats course'!$1:$2,2,FALSE),FALSE)/(VLOOKUP($A490,'[1]import graded seats course pivo'!$A:AE,HLOOKUP('[1]Course Totals'!G$4,'[1]import graded seats course pivo'!$1:$2,2,FALSE),FALSE))),"")</f>
        <v/>
      </c>
      <c r="H490" s="14" t="str">
        <f>IFERROR((VLOOKUP($A490,'[1]import success seats course'!$A:V,HLOOKUP('[1]Course Totals'!H$4,'[1]import success seats course'!$1:$2,2,FALSE),FALSE)/(VLOOKUP($A490,'[1]import graded seats course pivo'!$A:AF,HLOOKUP('[1]Course Totals'!H$4,'[1]import graded seats course pivo'!$1:$2,2,FALSE),FALSE))),"")</f>
        <v/>
      </c>
      <c r="I490" s="14" t="str">
        <f>IFERROR((VLOOKUP($A490,'[1]import success seats course'!$A:W,HLOOKUP('[1]Course Totals'!I$4,'[1]import success seats course'!$1:$2,2,FALSE),FALSE)/(VLOOKUP($A490,'[1]import graded seats course pivo'!$A:AG,HLOOKUP('[1]Course Totals'!I$4,'[1]import graded seats course pivo'!$1:$2,2,FALSE),FALSE))),"")</f>
        <v/>
      </c>
      <c r="J490" s="14">
        <f>IFERROR((VLOOKUP($A490,'[1]import success seats course'!$A:X,HLOOKUP('[1]Course Totals'!J$4,'[1]import success seats course'!$1:$2,2,FALSE),FALSE)/(VLOOKUP($A490,'[1]import graded seats course pivo'!$A:AH,HLOOKUP('[1]Course Totals'!J$4,'[1]import graded seats course pivo'!$1:$2,2,FALSE),FALSE))),"")</f>
        <v>0.66666666666666663</v>
      </c>
      <c r="K490" s="14" t="str">
        <f>IFERROR((VLOOKUP($A490,'[1]import success seats course'!$A:Y,HLOOKUP('[1]Course Totals'!K$4,'[1]import success seats course'!$1:$2,2,FALSE),FALSE)/(VLOOKUP($A490,'[1]import graded seats course pivo'!$A:AI,HLOOKUP('[1]Course Totals'!K$4,'[1]import graded seats course pivo'!$1:$2,2,FALSE),FALSE))),"")</f>
        <v/>
      </c>
      <c r="L490" s="14" t="str">
        <f>IFERROR((VLOOKUP($A490,'[1]import success seats course'!$A:Z,HLOOKUP('[1]Course Totals'!L$4,'[1]import success seats course'!$1:$2,2,FALSE),FALSE)/(VLOOKUP($A490,'[1]import graded seats course pivo'!$A:AJ,HLOOKUP('[1]Course Totals'!L$4,'[1]import graded seats course pivo'!$1:$2,2,FALSE),FALSE))),"")</f>
        <v/>
      </c>
      <c r="M490" s="14">
        <f>IFERROR((VLOOKUP($A490,'[1]import success seats course'!$A:AA,HLOOKUP('[1]Course Totals'!M$4,'[1]import success seats course'!$1:$2,2,FALSE),FALSE)/(VLOOKUP($A490,'[1]import graded seats course pivo'!$A:AK,HLOOKUP('[1]Course Totals'!M$4,'[1]import graded seats course pivo'!$1:$2,2,FALSE),FALSE))),"")</f>
        <v>1</v>
      </c>
      <c r="N490" s="14" t="str">
        <f>IFERROR((VLOOKUP($A490,'[1]import success seats course'!$A:AB,HLOOKUP('[1]Course Totals'!N$4,'[1]import success seats course'!$1:$2,2,FALSE),FALSE)/(VLOOKUP($A490,'[1]import graded seats course pivo'!$A:AL,HLOOKUP('[1]Course Totals'!N$4,'[1]import graded seats course pivo'!$1:$2,2,FALSE),FALSE))),"")</f>
        <v/>
      </c>
      <c r="O490" s="14" t="str">
        <f>IFERROR((VLOOKUP($A490,'[1]import success seats course'!$A:AC,HLOOKUP('[1]Course Totals'!O$4,'[1]import success seats course'!$1:$2,2,FALSE),FALSE)/(VLOOKUP($A490,'[1]import graded seats course pivo'!$A:AM,HLOOKUP('[1]Course Totals'!O$4,'[1]import graded seats course pivo'!$1:$2,2,FALSE),FALSE))),"")</f>
        <v/>
      </c>
      <c r="P490" s="14" t="str">
        <f>IFERROR((VLOOKUP($A490,'[1]import success seats course'!$A:AD,HLOOKUP('[1]Course Totals'!P$4,'[1]import success seats course'!$1:$2,2,FALSE),FALSE)/(VLOOKUP($A490,'[1]import graded seats course pivo'!$A:AN,HLOOKUP('[1]Course Totals'!P$4,'[1]import graded seats course pivo'!$1:$2,2,FALSE),FALSE))),"")</f>
        <v/>
      </c>
      <c r="Q490" s="14" t="str">
        <f>IFERROR((VLOOKUP($A490,'[1]import success seats course'!$A:AE,HLOOKUP('[1]Course Totals'!Q$4,'[1]import success seats course'!$1:$2,2,FALSE),FALSE)/(VLOOKUP($A490,'[1]import graded seats course pivo'!$A:AO,HLOOKUP('[1]Course Totals'!Q$4,'[1]import graded seats course pivo'!$1:$2,2,FALSE),FALSE))),"")</f>
        <v/>
      </c>
      <c r="R490" s="14">
        <f>IFERROR((VLOOKUP($A490,'[1]import success seats course'!$A:AF,HLOOKUP('[1]Course Totals'!R$4,'[1]import success seats course'!$1:$2,2,FALSE),FALSE)/(VLOOKUP($A490,'[1]import graded seats course pivo'!$A:AP,HLOOKUP('[1]Course Totals'!R$4,'[1]import graded seats course pivo'!$1:$2,2,FALSE),FALSE))),"")</f>
        <v>0</v>
      </c>
      <c r="S490" s="14" t="str">
        <f>IFERROR((VLOOKUP($A490,'[1]import success seats course'!$A:AG,HLOOKUP('[1]Course Totals'!S$4,'[1]import success seats course'!$1:$2,2,FALSE),FALSE)/(VLOOKUP($A490,'[1]import graded seats course pivo'!$A:AQ,HLOOKUP('[1]Course Totals'!S$4,'[1]import graded seats course pivo'!$1:$2,2,FALSE),FALSE))),"")</f>
        <v/>
      </c>
      <c r="Z490" s="7"/>
      <c r="AA490" s="7"/>
      <c r="AB490" s="7"/>
      <c r="AC490" s="7"/>
    </row>
    <row r="491" spans="1:29" ht="15.75" customHeight="1" x14ac:dyDescent="0.25">
      <c r="A491" s="12" t="s">
        <v>978</v>
      </c>
      <c r="B491" s="14" t="str">
        <f>IFERROR((VLOOKUP($A491,'[1]import success seats course'!$A:P,HLOOKUP('[1]Course Totals'!B$4,'[1]import success seats course'!$1:$2,2,FALSE),FALSE)/(VLOOKUP($A491,'[1]import graded seats course pivo'!$A:Z,HLOOKUP('[1]Course Totals'!B$4,'[1]import graded seats course pivo'!$1:$2,2,FALSE),FALSE))),"")</f>
        <v/>
      </c>
      <c r="C491" s="14" t="str">
        <f>IFERROR((VLOOKUP($A491,'[1]import success seats course'!$A:Q,HLOOKUP('[1]Course Totals'!C$4,'[1]import success seats course'!$1:$2,2,FALSE),FALSE)/(VLOOKUP($A491,'[1]import graded seats course pivo'!$A:AA,HLOOKUP('[1]Course Totals'!C$4,'[1]import graded seats course pivo'!$1:$2,2,FALSE),FALSE))),"")</f>
        <v/>
      </c>
      <c r="D491" s="14" t="str">
        <f>IFERROR((VLOOKUP($A491,'[1]import success seats course'!$A:R,HLOOKUP('[1]Course Totals'!D$4,'[1]import success seats course'!$1:$2,2,FALSE),FALSE)/(VLOOKUP($A491,'[1]import graded seats course pivo'!$A:AB,HLOOKUP('[1]Course Totals'!D$4,'[1]import graded seats course pivo'!$1:$2,2,FALSE),FALSE))),"")</f>
        <v/>
      </c>
      <c r="E491" s="14" t="str">
        <f>IFERROR((VLOOKUP($A491,'[1]import success seats course'!$A:S,HLOOKUP('[1]Course Totals'!E$4,'[1]import success seats course'!$1:$2,2,FALSE),FALSE)/(VLOOKUP($A491,'[1]import graded seats course pivo'!$A:AC,HLOOKUP('[1]Course Totals'!E$4,'[1]import graded seats course pivo'!$1:$2,2,FALSE),FALSE))),"")</f>
        <v/>
      </c>
      <c r="F491" s="14" t="str">
        <f>IFERROR((VLOOKUP($A491,'[1]import success seats course'!$A:T,HLOOKUP('[1]Course Totals'!F$4,'[1]import success seats course'!$1:$2,2,FALSE),FALSE)/(VLOOKUP($A491,'[1]import graded seats course pivo'!$A:AD,HLOOKUP('[1]Course Totals'!F$4,'[1]import graded seats course pivo'!$1:$2,2,FALSE),FALSE))),"")</f>
        <v/>
      </c>
      <c r="G491" s="14">
        <f>IFERROR((VLOOKUP($A491,'[1]import success seats course'!$A:U,HLOOKUP('[1]Course Totals'!G$4,'[1]import success seats course'!$1:$2,2,FALSE),FALSE)/(VLOOKUP($A491,'[1]import graded seats course pivo'!$A:AE,HLOOKUP('[1]Course Totals'!G$4,'[1]import graded seats course pivo'!$1:$2,2,FALSE),FALSE))),"")</f>
        <v>0.8125</v>
      </c>
      <c r="H491" s="14" t="str">
        <f>IFERROR((VLOOKUP($A491,'[1]import success seats course'!$A:V,HLOOKUP('[1]Course Totals'!H$4,'[1]import success seats course'!$1:$2,2,FALSE),FALSE)/(VLOOKUP($A491,'[1]import graded seats course pivo'!$A:AF,HLOOKUP('[1]Course Totals'!H$4,'[1]import graded seats course pivo'!$1:$2,2,FALSE),FALSE))),"")</f>
        <v/>
      </c>
      <c r="I491" s="14" t="str">
        <f>IFERROR((VLOOKUP($A491,'[1]import success seats course'!$A:W,HLOOKUP('[1]Course Totals'!I$4,'[1]import success seats course'!$1:$2,2,FALSE),FALSE)/(VLOOKUP($A491,'[1]import graded seats course pivo'!$A:AG,HLOOKUP('[1]Course Totals'!I$4,'[1]import graded seats course pivo'!$1:$2,2,FALSE),FALSE))),"")</f>
        <v/>
      </c>
      <c r="J491" s="14">
        <f>IFERROR((VLOOKUP($A491,'[1]import success seats course'!$A:X,HLOOKUP('[1]Course Totals'!J$4,'[1]import success seats course'!$1:$2,2,FALSE),FALSE)/(VLOOKUP($A491,'[1]import graded seats course pivo'!$A:AH,HLOOKUP('[1]Course Totals'!J$4,'[1]import graded seats course pivo'!$1:$2,2,FALSE),FALSE))),"")</f>
        <v>0.82352941176470584</v>
      </c>
      <c r="K491" s="14" t="str">
        <f>IFERROR((VLOOKUP($A491,'[1]import success seats course'!$A:Y,HLOOKUP('[1]Course Totals'!K$4,'[1]import success seats course'!$1:$2,2,FALSE),FALSE)/(VLOOKUP($A491,'[1]import graded seats course pivo'!$A:AI,HLOOKUP('[1]Course Totals'!K$4,'[1]import graded seats course pivo'!$1:$2,2,FALSE),FALSE))),"")</f>
        <v/>
      </c>
      <c r="L491" s="14" t="str">
        <f>IFERROR((VLOOKUP($A491,'[1]import success seats course'!$A:Z,HLOOKUP('[1]Course Totals'!L$4,'[1]import success seats course'!$1:$2,2,FALSE),FALSE)/(VLOOKUP($A491,'[1]import graded seats course pivo'!$A:AJ,HLOOKUP('[1]Course Totals'!L$4,'[1]import graded seats course pivo'!$1:$2,2,FALSE),FALSE))),"")</f>
        <v/>
      </c>
      <c r="M491" s="14">
        <f>IFERROR((VLOOKUP($A491,'[1]import success seats course'!$A:AA,HLOOKUP('[1]Course Totals'!M$4,'[1]import success seats course'!$1:$2,2,FALSE),FALSE)/(VLOOKUP($A491,'[1]import graded seats course pivo'!$A:AK,HLOOKUP('[1]Course Totals'!M$4,'[1]import graded seats course pivo'!$1:$2,2,FALSE),FALSE))),"")</f>
        <v>0.76470588235294112</v>
      </c>
      <c r="N491" s="14" t="str">
        <f>IFERROR((VLOOKUP($A491,'[1]import success seats course'!$A:AB,HLOOKUP('[1]Course Totals'!N$4,'[1]import success seats course'!$1:$2,2,FALSE),FALSE)/(VLOOKUP($A491,'[1]import graded seats course pivo'!$A:AL,HLOOKUP('[1]Course Totals'!N$4,'[1]import graded seats course pivo'!$1:$2,2,FALSE),FALSE))),"")</f>
        <v/>
      </c>
      <c r="O491" s="14" t="str">
        <f>IFERROR((VLOOKUP($A491,'[1]import success seats course'!$A:AC,HLOOKUP('[1]Course Totals'!O$4,'[1]import success seats course'!$1:$2,2,FALSE),FALSE)/(VLOOKUP($A491,'[1]import graded seats course pivo'!$A:AM,HLOOKUP('[1]Course Totals'!O$4,'[1]import graded seats course pivo'!$1:$2,2,FALSE),FALSE))),"")</f>
        <v/>
      </c>
      <c r="P491" s="14" t="str">
        <f>IFERROR((VLOOKUP($A491,'[1]import success seats course'!$A:AD,HLOOKUP('[1]Course Totals'!P$4,'[1]import success seats course'!$1:$2,2,FALSE),FALSE)/(VLOOKUP($A491,'[1]import graded seats course pivo'!$A:AN,HLOOKUP('[1]Course Totals'!P$4,'[1]import graded seats course pivo'!$1:$2,2,FALSE),FALSE))),"")</f>
        <v/>
      </c>
      <c r="Q491" s="14" t="str">
        <f>IFERROR((VLOOKUP($A491,'[1]import success seats course'!$A:AE,HLOOKUP('[1]Course Totals'!Q$4,'[1]import success seats course'!$1:$2,2,FALSE),FALSE)/(VLOOKUP($A491,'[1]import graded seats course pivo'!$A:AO,HLOOKUP('[1]Course Totals'!Q$4,'[1]import graded seats course pivo'!$1:$2,2,FALSE),FALSE))),"")</f>
        <v/>
      </c>
      <c r="R491" s="14" t="str">
        <f>IFERROR((VLOOKUP($A491,'[1]import success seats course'!$A:AF,HLOOKUP('[1]Course Totals'!R$4,'[1]import success seats course'!$1:$2,2,FALSE),FALSE)/(VLOOKUP($A491,'[1]import graded seats course pivo'!$A:AP,HLOOKUP('[1]Course Totals'!R$4,'[1]import graded seats course pivo'!$1:$2,2,FALSE),FALSE))),"")</f>
        <v/>
      </c>
      <c r="S491" s="14">
        <f>IFERROR((VLOOKUP($A491,'[1]import success seats course'!$A:AG,HLOOKUP('[1]Course Totals'!S$4,'[1]import success seats course'!$1:$2,2,FALSE),FALSE)/(VLOOKUP($A491,'[1]import graded seats course pivo'!$A:AQ,HLOOKUP('[1]Course Totals'!S$4,'[1]import graded seats course pivo'!$1:$2,2,FALSE),FALSE))),"")</f>
        <v>0.96</v>
      </c>
      <c r="Z491" s="7"/>
      <c r="AA491" s="7"/>
      <c r="AB491" s="7"/>
      <c r="AC491" s="7"/>
    </row>
    <row r="492" spans="1:29" ht="15.75" customHeight="1" x14ac:dyDescent="0.25">
      <c r="A492" s="12" t="s">
        <v>979</v>
      </c>
      <c r="B492" s="14" t="str">
        <f>IFERROR((VLOOKUP($A492,'[1]import success seats course'!$A:P,HLOOKUP('[1]Course Totals'!B$4,'[1]import success seats course'!$1:$2,2,FALSE),FALSE)/(VLOOKUP($A492,'[1]import graded seats course pivo'!$A:Z,HLOOKUP('[1]Course Totals'!B$4,'[1]import graded seats course pivo'!$1:$2,2,FALSE),FALSE))),"")</f>
        <v/>
      </c>
      <c r="C492" s="14" t="str">
        <f>IFERROR((VLOOKUP($A492,'[1]import success seats course'!$A:Q,HLOOKUP('[1]Course Totals'!C$4,'[1]import success seats course'!$1:$2,2,FALSE),FALSE)/(VLOOKUP($A492,'[1]import graded seats course pivo'!$A:AA,HLOOKUP('[1]Course Totals'!C$4,'[1]import graded seats course pivo'!$1:$2,2,FALSE),FALSE))),"")</f>
        <v/>
      </c>
      <c r="D492" s="14" t="str">
        <f>IFERROR((VLOOKUP($A492,'[1]import success seats course'!$A:R,HLOOKUP('[1]Course Totals'!D$4,'[1]import success seats course'!$1:$2,2,FALSE),FALSE)/(VLOOKUP($A492,'[1]import graded seats course pivo'!$A:AB,HLOOKUP('[1]Course Totals'!D$4,'[1]import graded seats course pivo'!$1:$2,2,FALSE),FALSE))),"")</f>
        <v/>
      </c>
      <c r="E492" s="14" t="str">
        <f>IFERROR((VLOOKUP($A492,'[1]import success seats course'!$A:S,HLOOKUP('[1]Course Totals'!E$4,'[1]import success seats course'!$1:$2,2,FALSE),FALSE)/(VLOOKUP($A492,'[1]import graded seats course pivo'!$A:AC,HLOOKUP('[1]Course Totals'!E$4,'[1]import graded seats course pivo'!$1:$2,2,FALSE),FALSE))),"")</f>
        <v/>
      </c>
      <c r="F492" s="14" t="str">
        <f>IFERROR((VLOOKUP($A492,'[1]import success seats course'!$A:T,HLOOKUP('[1]Course Totals'!F$4,'[1]import success seats course'!$1:$2,2,FALSE),FALSE)/(VLOOKUP($A492,'[1]import graded seats course pivo'!$A:AD,HLOOKUP('[1]Course Totals'!F$4,'[1]import graded seats course pivo'!$1:$2,2,FALSE),FALSE))),"")</f>
        <v/>
      </c>
      <c r="G492" s="14">
        <f>IFERROR((VLOOKUP($A492,'[1]import success seats course'!$A:U,HLOOKUP('[1]Course Totals'!G$4,'[1]import success seats course'!$1:$2,2,FALSE),FALSE)/(VLOOKUP($A492,'[1]import graded seats course pivo'!$A:AE,HLOOKUP('[1]Course Totals'!G$4,'[1]import graded seats course pivo'!$1:$2,2,FALSE),FALSE))),"")</f>
        <v>0.8</v>
      </c>
      <c r="H492" s="14" t="str">
        <f>IFERROR((VLOOKUP($A492,'[1]import success seats course'!$A:V,HLOOKUP('[1]Course Totals'!H$4,'[1]import success seats course'!$1:$2,2,FALSE),FALSE)/(VLOOKUP($A492,'[1]import graded seats course pivo'!$A:AF,HLOOKUP('[1]Course Totals'!H$4,'[1]import graded seats course pivo'!$1:$2,2,FALSE),FALSE))),"")</f>
        <v/>
      </c>
      <c r="I492" s="14" t="str">
        <f>IFERROR((VLOOKUP($A492,'[1]import success seats course'!$A:W,HLOOKUP('[1]Course Totals'!I$4,'[1]import success seats course'!$1:$2,2,FALSE),FALSE)/(VLOOKUP($A492,'[1]import graded seats course pivo'!$A:AG,HLOOKUP('[1]Course Totals'!I$4,'[1]import graded seats course pivo'!$1:$2,2,FALSE),FALSE))),"")</f>
        <v/>
      </c>
      <c r="J492" s="14">
        <f>IFERROR((VLOOKUP($A492,'[1]import success seats course'!$A:X,HLOOKUP('[1]Course Totals'!J$4,'[1]import success seats course'!$1:$2,2,FALSE),FALSE)/(VLOOKUP($A492,'[1]import graded seats course pivo'!$A:AH,HLOOKUP('[1]Course Totals'!J$4,'[1]import graded seats course pivo'!$1:$2,2,FALSE),FALSE))),"")</f>
        <v>1</v>
      </c>
      <c r="K492" s="14" t="str">
        <f>IFERROR((VLOOKUP($A492,'[1]import success seats course'!$A:Y,HLOOKUP('[1]Course Totals'!K$4,'[1]import success seats course'!$1:$2,2,FALSE),FALSE)/(VLOOKUP($A492,'[1]import graded seats course pivo'!$A:AI,HLOOKUP('[1]Course Totals'!K$4,'[1]import graded seats course pivo'!$1:$2,2,FALSE),FALSE))),"")</f>
        <v/>
      </c>
      <c r="L492" s="14" t="str">
        <f>IFERROR((VLOOKUP($A492,'[1]import success seats course'!$A:Z,HLOOKUP('[1]Course Totals'!L$4,'[1]import success seats course'!$1:$2,2,FALSE),FALSE)/(VLOOKUP($A492,'[1]import graded seats course pivo'!$A:AJ,HLOOKUP('[1]Course Totals'!L$4,'[1]import graded seats course pivo'!$1:$2,2,FALSE),FALSE))),"")</f>
        <v/>
      </c>
      <c r="M492" s="14">
        <f>IFERROR((VLOOKUP($A492,'[1]import success seats course'!$A:AA,HLOOKUP('[1]Course Totals'!M$4,'[1]import success seats course'!$1:$2,2,FALSE),FALSE)/(VLOOKUP($A492,'[1]import graded seats course pivo'!$A:AK,HLOOKUP('[1]Course Totals'!M$4,'[1]import graded seats course pivo'!$1:$2,2,FALSE),FALSE))),"")</f>
        <v>1</v>
      </c>
      <c r="N492" s="14" t="str">
        <f>IFERROR((VLOOKUP($A492,'[1]import success seats course'!$A:AB,HLOOKUP('[1]Course Totals'!N$4,'[1]import success seats course'!$1:$2,2,FALSE),FALSE)/(VLOOKUP($A492,'[1]import graded seats course pivo'!$A:AL,HLOOKUP('[1]Course Totals'!N$4,'[1]import graded seats course pivo'!$1:$2,2,FALSE),FALSE))),"")</f>
        <v/>
      </c>
      <c r="O492" s="14" t="str">
        <f>IFERROR((VLOOKUP($A492,'[1]import success seats course'!$A:AC,HLOOKUP('[1]Course Totals'!O$4,'[1]import success seats course'!$1:$2,2,FALSE),FALSE)/(VLOOKUP($A492,'[1]import graded seats course pivo'!$A:AM,HLOOKUP('[1]Course Totals'!O$4,'[1]import graded seats course pivo'!$1:$2,2,FALSE),FALSE))),"")</f>
        <v/>
      </c>
      <c r="P492" s="14" t="str">
        <f>IFERROR((VLOOKUP($A492,'[1]import success seats course'!$A:AD,HLOOKUP('[1]Course Totals'!P$4,'[1]import success seats course'!$1:$2,2,FALSE),FALSE)/(VLOOKUP($A492,'[1]import graded seats course pivo'!$A:AN,HLOOKUP('[1]Course Totals'!P$4,'[1]import graded seats course pivo'!$1:$2,2,FALSE),FALSE))),"")</f>
        <v/>
      </c>
      <c r="Q492" s="14" t="str">
        <f>IFERROR((VLOOKUP($A492,'[1]import success seats course'!$A:AE,HLOOKUP('[1]Course Totals'!Q$4,'[1]import success seats course'!$1:$2,2,FALSE),FALSE)/(VLOOKUP($A492,'[1]import graded seats course pivo'!$A:AO,HLOOKUP('[1]Course Totals'!Q$4,'[1]import graded seats course pivo'!$1:$2,2,FALSE),FALSE))),"")</f>
        <v/>
      </c>
      <c r="R492" s="14" t="str">
        <f>IFERROR((VLOOKUP($A492,'[1]import success seats course'!$A:AF,HLOOKUP('[1]Course Totals'!R$4,'[1]import success seats course'!$1:$2,2,FALSE),FALSE)/(VLOOKUP($A492,'[1]import graded seats course pivo'!$A:AP,HLOOKUP('[1]Course Totals'!R$4,'[1]import graded seats course pivo'!$1:$2,2,FALSE),FALSE))),"")</f>
        <v/>
      </c>
      <c r="S492" s="14">
        <f>IFERROR((VLOOKUP($A492,'[1]import success seats course'!$A:AG,HLOOKUP('[1]Course Totals'!S$4,'[1]import success seats course'!$1:$2,2,FALSE),FALSE)/(VLOOKUP($A492,'[1]import graded seats course pivo'!$A:AQ,HLOOKUP('[1]Course Totals'!S$4,'[1]import graded seats course pivo'!$1:$2,2,FALSE),FALSE))),"")</f>
        <v>1</v>
      </c>
      <c r="Z492" s="7"/>
      <c r="AA492" s="7"/>
      <c r="AB492" s="7"/>
      <c r="AC492" s="7"/>
    </row>
    <row r="493" spans="1:29" ht="15.75" customHeight="1" x14ac:dyDescent="0.25">
      <c r="A493" s="12" t="s">
        <v>980</v>
      </c>
      <c r="B493" s="14" t="str">
        <f>IFERROR((VLOOKUP($A493,'[1]import success seats course'!$A:P,HLOOKUP('[1]Course Totals'!B$4,'[1]import success seats course'!$1:$2,2,FALSE),FALSE)/(VLOOKUP($A493,'[1]import graded seats course pivo'!$A:Z,HLOOKUP('[1]Course Totals'!B$4,'[1]import graded seats course pivo'!$1:$2,2,FALSE),FALSE))),"")</f>
        <v/>
      </c>
      <c r="C493" s="14" t="str">
        <f>IFERROR((VLOOKUP($A493,'[1]import success seats course'!$A:Q,HLOOKUP('[1]Course Totals'!C$4,'[1]import success seats course'!$1:$2,2,FALSE),FALSE)/(VLOOKUP($A493,'[1]import graded seats course pivo'!$A:AA,HLOOKUP('[1]Course Totals'!C$4,'[1]import graded seats course pivo'!$1:$2,2,FALSE),FALSE))),"")</f>
        <v/>
      </c>
      <c r="D493" s="14" t="str">
        <f>IFERROR((VLOOKUP($A493,'[1]import success seats course'!$A:R,HLOOKUP('[1]Course Totals'!D$4,'[1]import success seats course'!$1:$2,2,FALSE),FALSE)/(VLOOKUP($A493,'[1]import graded seats course pivo'!$A:AB,HLOOKUP('[1]Course Totals'!D$4,'[1]import graded seats course pivo'!$1:$2,2,FALSE),FALSE))),"")</f>
        <v/>
      </c>
      <c r="E493" s="14" t="str">
        <f>IFERROR((VLOOKUP($A493,'[1]import success seats course'!$A:S,HLOOKUP('[1]Course Totals'!E$4,'[1]import success seats course'!$1:$2,2,FALSE),FALSE)/(VLOOKUP($A493,'[1]import graded seats course pivo'!$A:AC,HLOOKUP('[1]Course Totals'!E$4,'[1]import graded seats course pivo'!$1:$2,2,FALSE),FALSE))),"")</f>
        <v/>
      </c>
      <c r="F493" s="14" t="str">
        <f>IFERROR((VLOOKUP($A493,'[1]import success seats course'!$A:T,HLOOKUP('[1]Course Totals'!F$4,'[1]import success seats course'!$1:$2,2,FALSE),FALSE)/(VLOOKUP($A493,'[1]import graded seats course pivo'!$A:AD,HLOOKUP('[1]Course Totals'!F$4,'[1]import graded seats course pivo'!$1:$2,2,FALSE),FALSE))),"")</f>
        <v/>
      </c>
      <c r="G493" s="14" t="str">
        <f>IFERROR((VLOOKUP($A493,'[1]import success seats course'!$A:U,HLOOKUP('[1]Course Totals'!G$4,'[1]import success seats course'!$1:$2,2,FALSE),FALSE)/(VLOOKUP($A493,'[1]import graded seats course pivo'!$A:AE,HLOOKUP('[1]Course Totals'!G$4,'[1]import graded seats course pivo'!$1:$2,2,FALSE),FALSE))),"")</f>
        <v/>
      </c>
      <c r="H493" s="14" t="str">
        <f>IFERROR((VLOOKUP($A493,'[1]import success seats course'!$A:V,HLOOKUP('[1]Course Totals'!H$4,'[1]import success seats course'!$1:$2,2,FALSE),FALSE)/(VLOOKUP($A493,'[1]import graded seats course pivo'!$A:AF,HLOOKUP('[1]Course Totals'!H$4,'[1]import graded seats course pivo'!$1:$2,2,FALSE),FALSE))),"")</f>
        <v/>
      </c>
      <c r="I493" s="14" t="str">
        <f>IFERROR((VLOOKUP($A493,'[1]import success seats course'!$A:W,HLOOKUP('[1]Course Totals'!I$4,'[1]import success seats course'!$1:$2,2,FALSE),FALSE)/(VLOOKUP($A493,'[1]import graded seats course pivo'!$A:AG,HLOOKUP('[1]Course Totals'!I$4,'[1]import graded seats course pivo'!$1:$2,2,FALSE),FALSE))),"")</f>
        <v/>
      </c>
      <c r="J493" s="14" t="str">
        <f>IFERROR((VLOOKUP($A493,'[1]import success seats course'!$A:X,HLOOKUP('[1]Course Totals'!J$4,'[1]import success seats course'!$1:$2,2,FALSE),FALSE)/(VLOOKUP($A493,'[1]import graded seats course pivo'!$A:AH,HLOOKUP('[1]Course Totals'!J$4,'[1]import graded seats course pivo'!$1:$2,2,FALSE),FALSE))),"")</f>
        <v/>
      </c>
      <c r="K493" s="14" t="str">
        <f>IFERROR((VLOOKUP($A493,'[1]import success seats course'!$A:Y,HLOOKUP('[1]Course Totals'!K$4,'[1]import success seats course'!$1:$2,2,FALSE),FALSE)/(VLOOKUP($A493,'[1]import graded seats course pivo'!$A:AI,HLOOKUP('[1]Course Totals'!K$4,'[1]import graded seats course pivo'!$1:$2,2,FALSE),FALSE))),"")</f>
        <v/>
      </c>
      <c r="L493" s="14" t="str">
        <f>IFERROR((VLOOKUP($A493,'[1]import success seats course'!$A:Z,HLOOKUP('[1]Course Totals'!L$4,'[1]import success seats course'!$1:$2,2,FALSE),FALSE)/(VLOOKUP($A493,'[1]import graded seats course pivo'!$A:AJ,HLOOKUP('[1]Course Totals'!L$4,'[1]import graded seats course pivo'!$1:$2,2,FALSE),FALSE))),"")</f>
        <v/>
      </c>
      <c r="M493" s="14" t="str">
        <f>IFERROR((VLOOKUP($A493,'[1]import success seats course'!$A:AA,HLOOKUP('[1]Course Totals'!M$4,'[1]import success seats course'!$1:$2,2,FALSE),FALSE)/(VLOOKUP($A493,'[1]import graded seats course pivo'!$A:AK,HLOOKUP('[1]Course Totals'!M$4,'[1]import graded seats course pivo'!$1:$2,2,FALSE),FALSE))),"")</f>
        <v/>
      </c>
      <c r="N493" s="14" t="str">
        <f>IFERROR((VLOOKUP($A493,'[1]import success seats course'!$A:AB,HLOOKUP('[1]Course Totals'!N$4,'[1]import success seats course'!$1:$2,2,FALSE),FALSE)/(VLOOKUP($A493,'[1]import graded seats course pivo'!$A:AL,HLOOKUP('[1]Course Totals'!N$4,'[1]import graded seats course pivo'!$1:$2,2,FALSE),FALSE))),"")</f>
        <v/>
      </c>
      <c r="O493" s="14" t="str">
        <f>IFERROR((VLOOKUP($A493,'[1]import success seats course'!$A:AC,HLOOKUP('[1]Course Totals'!O$4,'[1]import success seats course'!$1:$2,2,FALSE),FALSE)/(VLOOKUP($A493,'[1]import graded seats course pivo'!$A:AM,HLOOKUP('[1]Course Totals'!O$4,'[1]import graded seats course pivo'!$1:$2,2,FALSE),FALSE))),"")</f>
        <v/>
      </c>
      <c r="P493" s="14">
        <f>IFERROR((VLOOKUP($A493,'[1]import success seats course'!$A:AD,HLOOKUP('[1]Course Totals'!P$4,'[1]import success seats course'!$1:$2,2,FALSE),FALSE)/(VLOOKUP($A493,'[1]import graded seats course pivo'!$A:AN,HLOOKUP('[1]Course Totals'!P$4,'[1]import graded seats course pivo'!$1:$2,2,FALSE),FALSE))),"")</f>
        <v>1</v>
      </c>
      <c r="Q493" s="14" t="str">
        <f>IFERROR((VLOOKUP($A493,'[1]import success seats course'!$A:AE,HLOOKUP('[1]Course Totals'!Q$4,'[1]import success seats course'!$1:$2,2,FALSE),FALSE)/(VLOOKUP($A493,'[1]import graded seats course pivo'!$A:AO,HLOOKUP('[1]Course Totals'!Q$4,'[1]import graded seats course pivo'!$1:$2,2,FALSE),FALSE))),"")</f>
        <v/>
      </c>
      <c r="R493" s="14" t="str">
        <f>IFERROR((VLOOKUP($A493,'[1]import success seats course'!$A:AF,HLOOKUP('[1]Course Totals'!R$4,'[1]import success seats course'!$1:$2,2,FALSE),FALSE)/(VLOOKUP($A493,'[1]import graded seats course pivo'!$A:AP,HLOOKUP('[1]Course Totals'!R$4,'[1]import graded seats course pivo'!$1:$2,2,FALSE),FALSE))),"")</f>
        <v/>
      </c>
      <c r="S493" s="14" t="str">
        <f>IFERROR((VLOOKUP($A493,'[1]import success seats course'!$A:AG,HLOOKUP('[1]Course Totals'!S$4,'[1]import success seats course'!$1:$2,2,FALSE),FALSE)/(VLOOKUP($A493,'[1]import graded seats course pivo'!$A:AQ,HLOOKUP('[1]Course Totals'!S$4,'[1]import graded seats course pivo'!$1:$2,2,FALSE),FALSE))),"")</f>
        <v/>
      </c>
      <c r="Z493" s="7"/>
      <c r="AA493" s="7"/>
      <c r="AB493" s="7"/>
      <c r="AC493" s="7"/>
    </row>
    <row r="494" spans="1:29" ht="15.75" hidden="1" customHeight="1" x14ac:dyDescent="0.25">
      <c r="A494" s="12" t="s">
        <v>1013</v>
      </c>
      <c r="B494" s="14" t="str">
        <f>IFERROR((VLOOKUP($A494,'[1]import success seats course'!$A:P,HLOOKUP('[1]Course Totals'!B$4,'[1]import success seats course'!$1:$2,2,FALSE),FALSE)/(VLOOKUP($A494,'[1]import graded seats course pivo'!$A:Z,HLOOKUP('[1]Course Totals'!B$4,'[1]import graded seats course pivo'!$1:$2,2,FALSE),FALSE))),"")</f>
        <v/>
      </c>
      <c r="C494" s="14" t="str">
        <f>IFERROR((VLOOKUP($A494,'[1]import success seats course'!$A:Q,HLOOKUP('[1]Course Totals'!C$4,'[1]import success seats course'!$1:$2,2,FALSE),FALSE)/(VLOOKUP($A494,'[1]import graded seats course pivo'!$A:AA,HLOOKUP('[1]Course Totals'!C$4,'[1]import graded seats course pivo'!$1:$2,2,FALSE),FALSE))),"")</f>
        <v/>
      </c>
      <c r="D494" s="14" t="str">
        <f>IFERROR((VLOOKUP($A494,'[1]import success seats course'!$A:R,HLOOKUP('[1]Course Totals'!D$4,'[1]import success seats course'!$1:$2,2,FALSE),FALSE)/(VLOOKUP($A494,'[1]import graded seats course pivo'!$A:AB,HLOOKUP('[1]Course Totals'!D$4,'[1]import graded seats course pivo'!$1:$2,2,FALSE),FALSE))),"")</f>
        <v/>
      </c>
      <c r="E494" s="14" t="str">
        <f>IFERROR((VLOOKUP($A494,'[1]import success seats course'!$A:S,HLOOKUP('[1]Course Totals'!E$4,'[1]import success seats course'!$1:$2,2,FALSE),FALSE)/(VLOOKUP($A494,'[1]import graded seats course pivo'!$A:AC,HLOOKUP('[1]Course Totals'!E$4,'[1]import graded seats course pivo'!$1:$2,2,FALSE),FALSE))),"")</f>
        <v/>
      </c>
      <c r="F494" s="14" t="str">
        <f>IFERROR((VLOOKUP($A494,'[1]import success seats course'!$A:T,HLOOKUP('[1]Course Totals'!F$4,'[1]import success seats course'!$1:$2,2,FALSE),FALSE)/(VLOOKUP($A494,'[1]import graded seats course pivo'!$A:AD,HLOOKUP('[1]Course Totals'!F$4,'[1]import graded seats course pivo'!$1:$2,2,FALSE),FALSE))),"")</f>
        <v/>
      </c>
      <c r="G494" s="14" t="str">
        <f>IFERROR((VLOOKUP($A494,'[1]import success seats course'!$A:U,HLOOKUP('[1]Course Totals'!G$4,'[1]import success seats course'!$1:$2,2,FALSE),FALSE)/(VLOOKUP($A494,'[1]import graded seats course pivo'!$A:AE,HLOOKUP('[1]Course Totals'!G$4,'[1]import graded seats course pivo'!$1:$2,2,FALSE),FALSE))),"")</f>
        <v/>
      </c>
      <c r="H494" s="14" t="str">
        <f>IFERROR((VLOOKUP($A494,'[1]import success seats course'!$A:V,HLOOKUP('[1]Course Totals'!H$4,'[1]import success seats course'!$1:$2,2,FALSE),FALSE)/(VLOOKUP($A494,'[1]import graded seats course pivo'!$A:AF,HLOOKUP('[1]Course Totals'!H$4,'[1]import graded seats course pivo'!$1:$2,2,FALSE),FALSE))),"")</f>
        <v/>
      </c>
      <c r="I494" s="14" t="str">
        <f>IFERROR((VLOOKUP($A494,'[1]import success seats course'!$A:W,HLOOKUP('[1]Course Totals'!I$4,'[1]import success seats course'!$1:$2,2,FALSE),FALSE)/(VLOOKUP($A494,'[1]import graded seats course pivo'!$A:AG,HLOOKUP('[1]Course Totals'!I$4,'[1]import graded seats course pivo'!$1:$2,2,FALSE),FALSE))),"")</f>
        <v/>
      </c>
      <c r="J494" s="14" t="str">
        <f>IFERROR((VLOOKUP($A494,'[1]import success seats course'!$A:X,HLOOKUP('[1]Course Totals'!J$4,'[1]import success seats course'!$1:$2,2,FALSE),FALSE)/(VLOOKUP($A494,'[1]import graded seats course pivo'!$A:AH,HLOOKUP('[1]Course Totals'!J$4,'[1]import graded seats course pivo'!$1:$2,2,FALSE),FALSE))),"")</f>
        <v/>
      </c>
      <c r="K494" s="14" t="str">
        <f>IFERROR((VLOOKUP($A494,'[1]import success seats course'!$A:Y,HLOOKUP('[1]Course Totals'!K$4,'[1]import success seats course'!$1:$2,2,FALSE),FALSE)/(VLOOKUP($A494,'[1]import graded seats course pivo'!$A:AI,HLOOKUP('[1]Course Totals'!K$4,'[1]import graded seats course pivo'!$1:$2,2,FALSE),FALSE))),"")</f>
        <v/>
      </c>
      <c r="L494" s="14" t="str">
        <f>IFERROR((VLOOKUP($A494,'[1]import success seats course'!$A:Z,HLOOKUP('[1]Course Totals'!L$4,'[1]import success seats course'!$1:$2,2,FALSE),FALSE)/(VLOOKUP($A494,'[1]import graded seats course pivo'!$A:AJ,HLOOKUP('[1]Course Totals'!L$4,'[1]import graded seats course pivo'!$1:$2,2,FALSE),FALSE))),"")</f>
        <v/>
      </c>
      <c r="M494" s="14" t="str">
        <f>IFERROR((VLOOKUP($A494,'[1]import success seats course'!$A:AA,HLOOKUP('[1]Course Totals'!M$4,'[1]import success seats course'!$1:$2,2,FALSE),FALSE)/(VLOOKUP($A494,'[1]import graded seats course pivo'!$A:AK,HLOOKUP('[1]Course Totals'!M$4,'[1]import graded seats course pivo'!$1:$2,2,FALSE),FALSE))),"")</f>
        <v/>
      </c>
      <c r="N494" s="14" t="str">
        <f>IFERROR((VLOOKUP($A494,'[1]import success seats course'!$A:AB,HLOOKUP('[1]Course Totals'!N$4,'[1]import success seats course'!$1:$2,2,FALSE),FALSE)/(VLOOKUP($A494,'[1]import graded seats course pivo'!$A:AL,HLOOKUP('[1]Course Totals'!N$4,'[1]import graded seats course pivo'!$1:$2,2,FALSE),FALSE))),"")</f>
        <v/>
      </c>
      <c r="O494" s="14" t="str">
        <f>IFERROR((VLOOKUP($A494,'[1]import success seats course'!$A:AC,HLOOKUP('[1]Course Totals'!O$4,'[1]import success seats course'!$1:$2,2,FALSE),FALSE)/(VLOOKUP($A494,'[1]import graded seats course pivo'!$A:AM,HLOOKUP('[1]Course Totals'!O$4,'[1]import graded seats course pivo'!$1:$2,2,FALSE),FALSE))),"")</f>
        <v/>
      </c>
      <c r="P494" s="14" t="str">
        <f>IFERROR((VLOOKUP($A494,'[1]import success seats course'!$A:AD,HLOOKUP('[1]Course Totals'!P$4,'[1]import success seats course'!$1:$2,2,FALSE),FALSE)/(VLOOKUP($A494,'[1]import graded seats course pivo'!$A:AN,HLOOKUP('[1]Course Totals'!P$4,'[1]import graded seats course pivo'!$1:$2,2,FALSE),FALSE))),"")</f>
        <v/>
      </c>
      <c r="Q494" s="14" t="str">
        <f>IFERROR((VLOOKUP($A494,'[1]import success seats course'!$A:AE,HLOOKUP('[1]Course Totals'!Q$4,'[1]import success seats course'!$1:$2,2,FALSE),FALSE)/(VLOOKUP($A494,'[1]import graded seats course pivo'!$A:AO,HLOOKUP('[1]Course Totals'!Q$4,'[1]import graded seats course pivo'!$1:$2,2,FALSE),FALSE))),"")</f>
        <v/>
      </c>
      <c r="R494" s="14" t="str">
        <f>IFERROR((VLOOKUP($A494,'[1]import success seats course'!$A:AF,HLOOKUP('[1]Course Totals'!R$4,'[1]import success seats course'!$1:$2,2,FALSE),FALSE)/(VLOOKUP($A494,'[1]import graded seats course pivo'!$A:AP,HLOOKUP('[1]Course Totals'!R$4,'[1]import graded seats course pivo'!$1:$2,2,FALSE),FALSE))),"")</f>
        <v/>
      </c>
      <c r="S494" s="14" t="str">
        <f>IFERROR((VLOOKUP($A494,'[1]import success seats course'!$A:AG,HLOOKUP('[1]Course Totals'!S$4,'[1]import success seats course'!$1:$2,2,FALSE),FALSE)/(VLOOKUP($A494,'[1]import graded seats course pivo'!$A:AQ,HLOOKUP('[1]Course Totals'!S$4,'[1]import graded seats course pivo'!$1:$2,2,FALSE),FALSE))),"")</f>
        <v/>
      </c>
      <c r="Z494" s="7"/>
      <c r="AA494" s="7"/>
      <c r="AB494" s="7"/>
      <c r="AC494" s="7"/>
    </row>
    <row r="495" spans="1:29" ht="15.75" hidden="1" customHeight="1" x14ac:dyDescent="0.25">
      <c r="A495" s="12" t="s">
        <v>783</v>
      </c>
      <c r="B495" s="14" t="str">
        <f>IFERROR((VLOOKUP($A495,'[1]import success seats course'!$A:P,HLOOKUP('[1]Course Totals'!B$4,'[1]import success seats course'!$1:$2,2,FALSE),FALSE)/(VLOOKUP($A495,'[1]import graded seats course pivo'!$A:Z,HLOOKUP('[1]Course Totals'!B$4,'[1]import graded seats course pivo'!$1:$2,2,FALSE),FALSE))),"")</f>
        <v/>
      </c>
      <c r="C495" s="14" t="str">
        <f>IFERROR((VLOOKUP($A495,'[1]import success seats course'!$A:Q,HLOOKUP('[1]Course Totals'!C$4,'[1]import success seats course'!$1:$2,2,FALSE),FALSE)/(VLOOKUP($A495,'[1]import graded seats course pivo'!$A:AA,HLOOKUP('[1]Course Totals'!C$4,'[1]import graded seats course pivo'!$1:$2,2,FALSE),FALSE))),"")</f>
        <v/>
      </c>
      <c r="D495" s="14" t="str">
        <f>IFERROR((VLOOKUP($A495,'[1]import success seats course'!$A:R,HLOOKUP('[1]Course Totals'!D$4,'[1]import success seats course'!$1:$2,2,FALSE),FALSE)/(VLOOKUP($A495,'[1]import graded seats course pivo'!$A:AB,HLOOKUP('[1]Course Totals'!D$4,'[1]import graded seats course pivo'!$1:$2,2,FALSE),FALSE))),"")</f>
        <v/>
      </c>
      <c r="E495" s="14" t="str">
        <f>IFERROR((VLOOKUP($A495,'[1]import success seats course'!$A:S,HLOOKUP('[1]Course Totals'!E$4,'[1]import success seats course'!$1:$2,2,FALSE),FALSE)/(VLOOKUP($A495,'[1]import graded seats course pivo'!$A:AC,HLOOKUP('[1]Course Totals'!E$4,'[1]import graded seats course pivo'!$1:$2,2,FALSE),FALSE))),"")</f>
        <v/>
      </c>
      <c r="F495" s="14" t="str">
        <f>IFERROR((VLOOKUP($A495,'[1]import success seats course'!$A:T,HLOOKUP('[1]Course Totals'!F$4,'[1]import success seats course'!$1:$2,2,FALSE),FALSE)/(VLOOKUP($A495,'[1]import graded seats course pivo'!$A:AD,HLOOKUP('[1]Course Totals'!F$4,'[1]import graded seats course pivo'!$1:$2,2,FALSE),FALSE))),"")</f>
        <v/>
      </c>
      <c r="G495" s="14" t="str">
        <f>IFERROR((VLOOKUP($A495,'[1]import success seats course'!$A:U,HLOOKUP('[1]Course Totals'!G$4,'[1]import success seats course'!$1:$2,2,FALSE),FALSE)/(VLOOKUP($A495,'[1]import graded seats course pivo'!$A:AE,HLOOKUP('[1]Course Totals'!G$4,'[1]import graded seats course pivo'!$1:$2,2,FALSE),FALSE))),"")</f>
        <v/>
      </c>
      <c r="H495" s="14" t="str">
        <f>IFERROR((VLOOKUP($A495,'[1]import success seats course'!$A:V,HLOOKUP('[1]Course Totals'!H$4,'[1]import success seats course'!$1:$2,2,FALSE),FALSE)/(VLOOKUP($A495,'[1]import graded seats course pivo'!$A:AF,HLOOKUP('[1]Course Totals'!H$4,'[1]import graded seats course pivo'!$1:$2,2,FALSE),FALSE))),"")</f>
        <v/>
      </c>
      <c r="I495" s="14" t="str">
        <f>IFERROR((VLOOKUP($A495,'[1]import success seats course'!$A:W,HLOOKUP('[1]Course Totals'!I$4,'[1]import success seats course'!$1:$2,2,FALSE),FALSE)/(VLOOKUP($A495,'[1]import graded seats course pivo'!$A:AG,HLOOKUP('[1]Course Totals'!I$4,'[1]import graded seats course pivo'!$1:$2,2,FALSE),FALSE))),"")</f>
        <v/>
      </c>
      <c r="J495" s="14" t="str">
        <f>IFERROR((VLOOKUP($A495,'[1]import success seats course'!$A:X,HLOOKUP('[1]Course Totals'!J$4,'[1]import success seats course'!$1:$2,2,FALSE),FALSE)/(VLOOKUP($A495,'[1]import graded seats course pivo'!$A:AH,HLOOKUP('[1]Course Totals'!J$4,'[1]import graded seats course pivo'!$1:$2,2,FALSE),FALSE))),"")</f>
        <v/>
      </c>
      <c r="K495" s="14" t="str">
        <f>IFERROR((VLOOKUP($A495,'[1]import success seats course'!$A:Y,HLOOKUP('[1]Course Totals'!K$4,'[1]import success seats course'!$1:$2,2,FALSE),FALSE)/(VLOOKUP($A495,'[1]import graded seats course pivo'!$A:AI,HLOOKUP('[1]Course Totals'!K$4,'[1]import graded seats course pivo'!$1:$2,2,FALSE),FALSE))),"")</f>
        <v/>
      </c>
      <c r="L495" s="14" t="str">
        <f>IFERROR((VLOOKUP($A495,'[1]import success seats course'!$A:Z,HLOOKUP('[1]Course Totals'!L$4,'[1]import success seats course'!$1:$2,2,FALSE),FALSE)/(VLOOKUP($A495,'[1]import graded seats course pivo'!$A:AJ,HLOOKUP('[1]Course Totals'!L$4,'[1]import graded seats course pivo'!$1:$2,2,FALSE),FALSE))),"")</f>
        <v/>
      </c>
      <c r="M495" s="14" t="str">
        <f>IFERROR((VLOOKUP($A495,'[1]import success seats course'!$A:AA,HLOOKUP('[1]Course Totals'!M$4,'[1]import success seats course'!$1:$2,2,FALSE),FALSE)/(VLOOKUP($A495,'[1]import graded seats course pivo'!$A:AK,HLOOKUP('[1]Course Totals'!M$4,'[1]import graded seats course pivo'!$1:$2,2,FALSE),FALSE))),"")</f>
        <v/>
      </c>
      <c r="N495" s="14" t="str">
        <f>IFERROR((VLOOKUP($A495,'[1]import success seats course'!$A:AB,HLOOKUP('[1]Course Totals'!N$4,'[1]import success seats course'!$1:$2,2,FALSE),FALSE)/(VLOOKUP($A495,'[1]import graded seats course pivo'!$A:AL,HLOOKUP('[1]Course Totals'!N$4,'[1]import graded seats course pivo'!$1:$2,2,FALSE),FALSE))),"")</f>
        <v/>
      </c>
      <c r="O495" s="14" t="str">
        <f>IFERROR((VLOOKUP($A495,'[1]import success seats course'!$A:AC,HLOOKUP('[1]Course Totals'!O$4,'[1]import success seats course'!$1:$2,2,FALSE),FALSE)/(VLOOKUP($A495,'[1]import graded seats course pivo'!$A:AM,HLOOKUP('[1]Course Totals'!O$4,'[1]import graded seats course pivo'!$1:$2,2,FALSE),FALSE))),"")</f>
        <v/>
      </c>
      <c r="P495" s="14" t="str">
        <f>IFERROR((VLOOKUP($A495,'[1]import success seats course'!$A:AD,HLOOKUP('[1]Course Totals'!P$4,'[1]import success seats course'!$1:$2,2,FALSE),FALSE)/(VLOOKUP($A495,'[1]import graded seats course pivo'!$A:AN,HLOOKUP('[1]Course Totals'!P$4,'[1]import graded seats course pivo'!$1:$2,2,FALSE),FALSE))),"")</f>
        <v/>
      </c>
      <c r="Q495" s="14" t="str">
        <f>IFERROR((VLOOKUP($A495,'[1]import success seats course'!$A:AE,HLOOKUP('[1]Course Totals'!Q$4,'[1]import success seats course'!$1:$2,2,FALSE),FALSE)/(VLOOKUP($A495,'[1]import graded seats course pivo'!$A:AO,HLOOKUP('[1]Course Totals'!Q$4,'[1]import graded seats course pivo'!$1:$2,2,FALSE),FALSE))),"")</f>
        <v/>
      </c>
      <c r="R495" s="14" t="str">
        <f>IFERROR((VLOOKUP($A495,'[1]import success seats course'!$A:AF,HLOOKUP('[1]Course Totals'!R$4,'[1]import success seats course'!$1:$2,2,FALSE),FALSE)/(VLOOKUP($A495,'[1]import graded seats course pivo'!$A:AP,HLOOKUP('[1]Course Totals'!R$4,'[1]import graded seats course pivo'!$1:$2,2,FALSE),FALSE))),"")</f>
        <v/>
      </c>
      <c r="S495" s="14" t="str">
        <f>IFERROR((VLOOKUP($A495,'[1]import success seats course'!$A:AG,HLOOKUP('[1]Course Totals'!S$4,'[1]import success seats course'!$1:$2,2,FALSE),FALSE)/(VLOOKUP($A495,'[1]import graded seats course pivo'!$A:AQ,HLOOKUP('[1]Course Totals'!S$4,'[1]import graded seats course pivo'!$1:$2,2,FALSE),FALSE))),"")</f>
        <v/>
      </c>
      <c r="Z495" s="7"/>
      <c r="AA495" s="7"/>
      <c r="AB495" s="7"/>
      <c r="AC495" s="7"/>
    </row>
    <row r="496" spans="1:29" ht="15.75" customHeight="1" x14ac:dyDescent="0.25">
      <c r="A496" s="12" t="s">
        <v>245</v>
      </c>
      <c r="B496" s="14" t="str">
        <f>IFERROR((VLOOKUP($A496,'[1]import success seats course'!$A:P,HLOOKUP('[1]Course Totals'!B$4,'[1]import success seats course'!$1:$2,2,FALSE),FALSE)/(VLOOKUP($A496,'[1]import graded seats course pivo'!$A:Z,HLOOKUP('[1]Course Totals'!B$4,'[1]import graded seats course pivo'!$1:$2,2,FALSE),FALSE))),"")</f>
        <v/>
      </c>
      <c r="C496" s="14">
        <f>IFERROR((VLOOKUP($A496,'[1]import success seats course'!$A:Q,HLOOKUP('[1]Course Totals'!C$4,'[1]import success seats course'!$1:$2,2,FALSE),FALSE)/(VLOOKUP($A496,'[1]import graded seats course pivo'!$A:AA,HLOOKUP('[1]Course Totals'!C$4,'[1]import graded seats course pivo'!$1:$2,2,FALSE),FALSE))),"")</f>
        <v>1</v>
      </c>
      <c r="D496" s="14">
        <f>IFERROR((VLOOKUP($A496,'[1]import success seats course'!$A:R,HLOOKUP('[1]Course Totals'!D$4,'[1]import success seats course'!$1:$2,2,FALSE),FALSE)/(VLOOKUP($A496,'[1]import graded seats course pivo'!$A:AB,HLOOKUP('[1]Course Totals'!D$4,'[1]import graded seats course pivo'!$1:$2,2,FALSE),FALSE))),"")</f>
        <v>1</v>
      </c>
      <c r="E496" s="14" t="str">
        <f>IFERROR((VLOOKUP($A496,'[1]import success seats course'!$A:S,HLOOKUP('[1]Course Totals'!E$4,'[1]import success seats course'!$1:$2,2,FALSE),FALSE)/(VLOOKUP($A496,'[1]import graded seats course pivo'!$A:AC,HLOOKUP('[1]Course Totals'!E$4,'[1]import graded seats course pivo'!$1:$2,2,FALSE),FALSE))),"")</f>
        <v/>
      </c>
      <c r="F496" s="14">
        <f>IFERROR((VLOOKUP($A496,'[1]import success seats course'!$A:T,HLOOKUP('[1]Course Totals'!F$4,'[1]import success seats course'!$1:$2,2,FALSE),FALSE)/(VLOOKUP($A496,'[1]import graded seats course pivo'!$A:AD,HLOOKUP('[1]Course Totals'!F$4,'[1]import graded seats course pivo'!$1:$2,2,FALSE),FALSE))),"")</f>
        <v>1</v>
      </c>
      <c r="G496" s="14" t="str">
        <f>IFERROR((VLOOKUP($A496,'[1]import success seats course'!$A:U,HLOOKUP('[1]Course Totals'!G$4,'[1]import success seats course'!$1:$2,2,FALSE),FALSE)/(VLOOKUP($A496,'[1]import graded seats course pivo'!$A:AE,HLOOKUP('[1]Course Totals'!G$4,'[1]import graded seats course pivo'!$1:$2,2,FALSE),FALSE))),"")</f>
        <v/>
      </c>
      <c r="H496" s="14" t="str">
        <f>IFERROR((VLOOKUP($A496,'[1]import success seats course'!$A:V,HLOOKUP('[1]Course Totals'!H$4,'[1]import success seats course'!$1:$2,2,FALSE),FALSE)/(VLOOKUP($A496,'[1]import graded seats course pivo'!$A:AF,HLOOKUP('[1]Course Totals'!H$4,'[1]import graded seats course pivo'!$1:$2,2,FALSE),FALSE))),"")</f>
        <v/>
      </c>
      <c r="I496" s="14">
        <f>IFERROR((VLOOKUP($A496,'[1]import success seats course'!$A:W,HLOOKUP('[1]Course Totals'!I$4,'[1]import success seats course'!$1:$2,2,FALSE),FALSE)/(VLOOKUP($A496,'[1]import graded seats course pivo'!$A:AG,HLOOKUP('[1]Course Totals'!I$4,'[1]import graded seats course pivo'!$1:$2,2,FALSE),FALSE))),"")</f>
        <v>1</v>
      </c>
      <c r="J496" s="14">
        <f>IFERROR((VLOOKUP($A496,'[1]import success seats course'!$A:X,HLOOKUP('[1]Course Totals'!J$4,'[1]import success seats course'!$1:$2,2,FALSE),FALSE)/(VLOOKUP($A496,'[1]import graded seats course pivo'!$A:AH,HLOOKUP('[1]Course Totals'!J$4,'[1]import graded seats course pivo'!$1:$2,2,FALSE),FALSE))),"")</f>
        <v>1</v>
      </c>
      <c r="K496" s="14" t="str">
        <f>IFERROR((VLOOKUP($A496,'[1]import success seats course'!$A:Y,HLOOKUP('[1]Course Totals'!K$4,'[1]import success seats course'!$1:$2,2,FALSE),FALSE)/(VLOOKUP($A496,'[1]import graded seats course pivo'!$A:AI,HLOOKUP('[1]Course Totals'!K$4,'[1]import graded seats course pivo'!$1:$2,2,FALSE),FALSE))),"")</f>
        <v/>
      </c>
      <c r="L496" s="14" t="str">
        <f>IFERROR((VLOOKUP($A496,'[1]import success seats course'!$A:Z,HLOOKUP('[1]Course Totals'!L$4,'[1]import success seats course'!$1:$2,2,FALSE),FALSE)/(VLOOKUP($A496,'[1]import graded seats course pivo'!$A:AJ,HLOOKUP('[1]Course Totals'!L$4,'[1]import graded seats course pivo'!$1:$2,2,FALSE),FALSE))),"")</f>
        <v/>
      </c>
      <c r="M496" s="14">
        <f>IFERROR((VLOOKUP($A496,'[1]import success seats course'!$A:AA,HLOOKUP('[1]Course Totals'!M$4,'[1]import success seats course'!$1:$2,2,FALSE),FALSE)/(VLOOKUP($A496,'[1]import graded seats course pivo'!$A:AK,HLOOKUP('[1]Course Totals'!M$4,'[1]import graded seats course pivo'!$1:$2,2,FALSE),FALSE))),"")</f>
        <v>1</v>
      </c>
      <c r="N496" s="14" t="str">
        <f>IFERROR((VLOOKUP($A496,'[1]import success seats course'!$A:AB,HLOOKUP('[1]Course Totals'!N$4,'[1]import success seats course'!$1:$2,2,FALSE),FALSE)/(VLOOKUP($A496,'[1]import graded seats course pivo'!$A:AL,HLOOKUP('[1]Course Totals'!N$4,'[1]import graded seats course pivo'!$1:$2,2,FALSE),FALSE))),"")</f>
        <v/>
      </c>
      <c r="O496" s="14" t="str">
        <f>IFERROR((VLOOKUP($A496,'[1]import success seats course'!$A:AC,HLOOKUP('[1]Course Totals'!O$4,'[1]import success seats course'!$1:$2,2,FALSE),FALSE)/(VLOOKUP($A496,'[1]import graded seats course pivo'!$A:AM,HLOOKUP('[1]Course Totals'!O$4,'[1]import graded seats course pivo'!$1:$2,2,FALSE),FALSE))),"")</f>
        <v/>
      </c>
      <c r="P496" s="14" t="str">
        <f>IFERROR((VLOOKUP($A496,'[1]import success seats course'!$A:AD,HLOOKUP('[1]Course Totals'!P$4,'[1]import success seats course'!$1:$2,2,FALSE),FALSE)/(VLOOKUP($A496,'[1]import graded seats course pivo'!$A:AN,HLOOKUP('[1]Course Totals'!P$4,'[1]import graded seats course pivo'!$1:$2,2,FALSE),FALSE))),"")</f>
        <v/>
      </c>
      <c r="Q496" s="14" t="str">
        <f>IFERROR((VLOOKUP($A496,'[1]import success seats course'!$A:AE,HLOOKUP('[1]Course Totals'!Q$4,'[1]import success seats course'!$1:$2,2,FALSE),FALSE)/(VLOOKUP($A496,'[1]import graded seats course pivo'!$A:AO,HLOOKUP('[1]Course Totals'!Q$4,'[1]import graded seats course pivo'!$1:$2,2,FALSE),FALSE))),"")</f>
        <v/>
      </c>
      <c r="R496" s="14" t="str">
        <f>IFERROR((VLOOKUP($A496,'[1]import success seats course'!$A:AF,HLOOKUP('[1]Course Totals'!R$4,'[1]import success seats course'!$1:$2,2,FALSE),FALSE)/(VLOOKUP($A496,'[1]import graded seats course pivo'!$A:AP,HLOOKUP('[1]Course Totals'!R$4,'[1]import graded seats course pivo'!$1:$2,2,FALSE),FALSE))),"")</f>
        <v/>
      </c>
      <c r="S496" s="14" t="str">
        <f>IFERROR((VLOOKUP($A496,'[1]import success seats course'!$A:AG,HLOOKUP('[1]Course Totals'!S$4,'[1]import success seats course'!$1:$2,2,FALSE),FALSE)/(VLOOKUP($A496,'[1]import graded seats course pivo'!$A:AQ,HLOOKUP('[1]Course Totals'!S$4,'[1]import graded seats course pivo'!$1:$2,2,FALSE),FALSE))),"")</f>
        <v/>
      </c>
      <c r="Z496" s="7"/>
      <c r="AA496" s="7"/>
      <c r="AB496" s="7"/>
      <c r="AC496" s="7"/>
    </row>
    <row r="497" spans="1:29" ht="15.75" customHeight="1" x14ac:dyDescent="0.25">
      <c r="A497" s="12" t="s">
        <v>784</v>
      </c>
      <c r="B497" s="14" t="str">
        <f>IFERROR((VLOOKUP($A497,'[1]import success seats course'!$A:P,HLOOKUP('[1]Course Totals'!B$4,'[1]import success seats course'!$1:$2,2,FALSE),FALSE)/(VLOOKUP($A497,'[1]import graded seats course pivo'!$A:Z,HLOOKUP('[1]Course Totals'!B$4,'[1]import graded seats course pivo'!$1:$2,2,FALSE),FALSE))),"")</f>
        <v/>
      </c>
      <c r="C497" s="14" t="str">
        <f>IFERROR((VLOOKUP($A497,'[1]import success seats course'!$A:Q,HLOOKUP('[1]Course Totals'!C$4,'[1]import success seats course'!$1:$2,2,FALSE),FALSE)/(VLOOKUP($A497,'[1]import graded seats course pivo'!$A:AA,HLOOKUP('[1]Course Totals'!C$4,'[1]import graded seats course pivo'!$1:$2,2,FALSE),FALSE))),"")</f>
        <v/>
      </c>
      <c r="D497" s="14" t="str">
        <f>IFERROR((VLOOKUP($A497,'[1]import success seats course'!$A:R,HLOOKUP('[1]Course Totals'!D$4,'[1]import success seats course'!$1:$2,2,FALSE),FALSE)/(VLOOKUP($A497,'[1]import graded seats course pivo'!$A:AB,HLOOKUP('[1]Course Totals'!D$4,'[1]import graded seats course pivo'!$1:$2,2,FALSE),FALSE))),"")</f>
        <v/>
      </c>
      <c r="E497" s="14" t="str">
        <f>IFERROR((VLOOKUP($A497,'[1]import success seats course'!$A:S,HLOOKUP('[1]Course Totals'!E$4,'[1]import success seats course'!$1:$2,2,FALSE),FALSE)/(VLOOKUP($A497,'[1]import graded seats course pivo'!$A:AC,HLOOKUP('[1]Course Totals'!E$4,'[1]import graded seats course pivo'!$1:$2,2,FALSE),FALSE))),"")</f>
        <v/>
      </c>
      <c r="F497" s="14" t="str">
        <f>IFERROR((VLOOKUP($A497,'[1]import success seats course'!$A:T,HLOOKUP('[1]Course Totals'!F$4,'[1]import success seats course'!$1:$2,2,FALSE),FALSE)/(VLOOKUP($A497,'[1]import graded seats course pivo'!$A:AD,HLOOKUP('[1]Course Totals'!F$4,'[1]import graded seats course pivo'!$1:$2,2,FALSE),FALSE))),"")</f>
        <v/>
      </c>
      <c r="G497" s="14" t="str">
        <f>IFERROR((VLOOKUP($A497,'[1]import success seats course'!$A:U,HLOOKUP('[1]Course Totals'!G$4,'[1]import success seats course'!$1:$2,2,FALSE),FALSE)/(VLOOKUP($A497,'[1]import graded seats course pivo'!$A:AE,HLOOKUP('[1]Course Totals'!G$4,'[1]import graded seats course pivo'!$1:$2,2,FALSE),FALSE))),"")</f>
        <v/>
      </c>
      <c r="H497" s="14" t="str">
        <f>IFERROR((VLOOKUP($A497,'[1]import success seats course'!$A:V,HLOOKUP('[1]Course Totals'!H$4,'[1]import success seats course'!$1:$2,2,FALSE),FALSE)/(VLOOKUP($A497,'[1]import graded seats course pivo'!$A:AF,HLOOKUP('[1]Course Totals'!H$4,'[1]import graded seats course pivo'!$1:$2,2,FALSE),FALSE))),"")</f>
        <v/>
      </c>
      <c r="I497" s="14" t="str">
        <f>IFERROR((VLOOKUP($A497,'[1]import success seats course'!$A:W,HLOOKUP('[1]Course Totals'!I$4,'[1]import success seats course'!$1:$2,2,FALSE),FALSE)/(VLOOKUP($A497,'[1]import graded seats course pivo'!$A:AG,HLOOKUP('[1]Course Totals'!I$4,'[1]import graded seats course pivo'!$1:$2,2,FALSE),FALSE))),"")</f>
        <v/>
      </c>
      <c r="J497" s="14" t="str">
        <f>IFERROR((VLOOKUP($A497,'[1]import success seats course'!$A:X,HLOOKUP('[1]Course Totals'!J$4,'[1]import success seats course'!$1:$2,2,FALSE),FALSE)/(VLOOKUP($A497,'[1]import graded seats course pivo'!$A:AH,HLOOKUP('[1]Course Totals'!J$4,'[1]import graded seats course pivo'!$1:$2,2,FALSE),FALSE))),"")</f>
        <v/>
      </c>
      <c r="K497" s="14" t="str">
        <f>IFERROR((VLOOKUP($A497,'[1]import success seats course'!$A:Y,HLOOKUP('[1]Course Totals'!K$4,'[1]import success seats course'!$1:$2,2,FALSE),FALSE)/(VLOOKUP($A497,'[1]import graded seats course pivo'!$A:AI,HLOOKUP('[1]Course Totals'!K$4,'[1]import graded seats course pivo'!$1:$2,2,FALSE),FALSE))),"")</f>
        <v/>
      </c>
      <c r="L497" s="14">
        <f>IFERROR((VLOOKUP($A497,'[1]import success seats course'!$A:Z,HLOOKUP('[1]Course Totals'!L$4,'[1]import success seats course'!$1:$2,2,FALSE),FALSE)/(VLOOKUP($A497,'[1]import graded seats course pivo'!$A:AJ,HLOOKUP('[1]Course Totals'!L$4,'[1]import graded seats course pivo'!$1:$2,2,FALSE),FALSE))),"")</f>
        <v>0.84210526315789469</v>
      </c>
      <c r="M497" s="14" t="str">
        <f>IFERROR((VLOOKUP($A497,'[1]import success seats course'!$A:AA,HLOOKUP('[1]Course Totals'!M$4,'[1]import success seats course'!$1:$2,2,FALSE),FALSE)/(VLOOKUP($A497,'[1]import graded seats course pivo'!$A:AK,HLOOKUP('[1]Course Totals'!M$4,'[1]import graded seats course pivo'!$1:$2,2,FALSE),FALSE))),"")</f>
        <v/>
      </c>
      <c r="N497" s="14" t="str">
        <f>IFERROR((VLOOKUP($A497,'[1]import success seats course'!$A:AB,HLOOKUP('[1]Course Totals'!N$4,'[1]import success seats course'!$1:$2,2,FALSE),FALSE)/(VLOOKUP($A497,'[1]import graded seats course pivo'!$A:AL,HLOOKUP('[1]Course Totals'!N$4,'[1]import graded seats course pivo'!$1:$2,2,FALSE),FALSE))),"")</f>
        <v/>
      </c>
      <c r="O497" s="14">
        <f>IFERROR((VLOOKUP($A497,'[1]import success seats course'!$A:AC,HLOOKUP('[1]Course Totals'!O$4,'[1]import success seats course'!$1:$2,2,FALSE),FALSE)/(VLOOKUP($A497,'[1]import graded seats course pivo'!$A:AM,HLOOKUP('[1]Course Totals'!O$4,'[1]import graded seats course pivo'!$1:$2,2,FALSE),FALSE))),"")</f>
        <v>0.93333333333333335</v>
      </c>
      <c r="P497" s="14" t="str">
        <f>IFERROR((VLOOKUP($A497,'[1]import success seats course'!$A:AD,HLOOKUP('[1]Course Totals'!P$4,'[1]import success seats course'!$1:$2,2,FALSE),FALSE)/(VLOOKUP($A497,'[1]import graded seats course pivo'!$A:AN,HLOOKUP('[1]Course Totals'!P$4,'[1]import graded seats course pivo'!$1:$2,2,FALSE),FALSE))),"")</f>
        <v/>
      </c>
      <c r="Q497" s="14" t="str">
        <f>IFERROR((VLOOKUP($A497,'[1]import success seats course'!$A:AE,HLOOKUP('[1]Course Totals'!Q$4,'[1]import success seats course'!$1:$2,2,FALSE),FALSE)/(VLOOKUP($A497,'[1]import graded seats course pivo'!$A:AO,HLOOKUP('[1]Course Totals'!Q$4,'[1]import graded seats course pivo'!$1:$2,2,FALSE),FALSE))),"")</f>
        <v/>
      </c>
      <c r="R497" s="14">
        <f>IFERROR((VLOOKUP($A497,'[1]import success seats course'!$A:AF,HLOOKUP('[1]Course Totals'!R$4,'[1]import success seats course'!$1:$2,2,FALSE),FALSE)/(VLOOKUP($A497,'[1]import graded seats course pivo'!$A:AP,HLOOKUP('[1]Course Totals'!R$4,'[1]import graded seats course pivo'!$1:$2,2,FALSE),FALSE))),"")</f>
        <v>0.7</v>
      </c>
      <c r="S497" s="14">
        <f>IFERROR((VLOOKUP($A497,'[1]import success seats course'!$A:AG,HLOOKUP('[1]Course Totals'!S$4,'[1]import success seats course'!$1:$2,2,FALSE),FALSE)/(VLOOKUP($A497,'[1]import graded seats course pivo'!$A:AQ,HLOOKUP('[1]Course Totals'!S$4,'[1]import graded seats course pivo'!$1:$2,2,FALSE),FALSE))),"")</f>
        <v>0.76923076923076927</v>
      </c>
      <c r="Z497" s="7"/>
      <c r="AA497" s="7"/>
      <c r="AB497" s="7"/>
      <c r="AC497" s="7"/>
    </row>
    <row r="498" spans="1:29" ht="15.75" customHeight="1" x14ac:dyDescent="0.25">
      <c r="A498" s="12" t="s">
        <v>246</v>
      </c>
      <c r="B498" s="14" t="str">
        <f>IFERROR((VLOOKUP($A498,'[1]import success seats course'!$A:P,HLOOKUP('[1]Course Totals'!B$4,'[1]import success seats course'!$1:$2,2,FALSE),FALSE)/(VLOOKUP($A498,'[1]import graded seats course pivo'!$A:Z,HLOOKUP('[1]Course Totals'!B$4,'[1]import graded seats course pivo'!$1:$2,2,FALSE),FALSE))),"")</f>
        <v/>
      </c>
      <c r="C498" s="14">
        <f>IFERROR((VLOOKUP($A498,'[1]import success seats course'!$A:Q,HLOOKUP('[1]Course Totals'!C$4,'[1]import success seats course'!$1:$2,2,FALSE),FALSE)/(VLOOKUP($A498,'[1]import graded seats course pivo'!$A:AA,HLOOKUP('[1]Course Totals'!C$4,'[1]import graded seats course pivo'!$1:$2,2,FALSE),FALSE))),"")</f>
        <v>0.72727272727272729</v>
      </c>
      <c r="D498" s="14" t="str">
        <f>IFERROR((VLOOKUP($A498,'[1]import success seats course'!$A:R,HLOOKUP('[1]Course Totals'!D$4,'[1]import success seats course'!$1:$2,2,FALSE),FALSE)/(VLOOKUP($A498,'[1]import graded seats course pivo'!$A:AB,HLOOKUP('[1]Course Totals'!D$4,'[1]import graded seats course pivo'!$1:$2,2,FALSE),FALSE))),"")</f>
        <v/>
      </c>
      <c r="E498" s="14" t="str">
        <f>IFERROR((VLOOKUP($A498,'[1]import success seats course'!$A:S,HLOOKUP('[1]Course Totals'!E$4,'[1]import success seats course'!$1:$2,2,FALSE),FALSE)/(VLOOKUP($A498,'[1]import graded seats course pivo'!$A:AC,HLOOKUP('[1]Course Totals'!E$4,'[1]import graded seats course pivo'!$1:$2,2,FALSE),FALSE))),"")</f>
        <v/>
      </c>
      <c r="F498" s="14">
        <f>IFERROR((VLOOKUP($A498,'[1]import success seats course'!$A:T,HLOOKUP('[1]Course Totals'!F$4,'[1]import success seats course'!$1:$2,2,FALSE),FALSE)/(VLOOKUP($A498,'[1]import graded seats course pivo'!$A:AD,HLOOKUP('[1]Course Totals'!F$4,'[1]import graded seats course pivo'!$1:$2,2,FALSE),FALSE))),"")</f>
        <v>1</v>
      </c>
      <c r="G498" s="14" t="str">
        <f>IFERROR((VLOOKUP($A498,'[1]import success seats course'!$A:U,HLOOKUP('[1]Course Totals'!G$4,'[1]import success seats course'!$1:$2,2,FALSE),FALSE)/(VLOOKUP($A498,'[1]import graded seats course pivo'!$A:AE,HLOOKUP('[1]Course Totals'!G$4,'[1]import graded seats course pivo'!$1:$2,2,FALSE),FALSE))),"")</f>
        <v/>
      </c>
      <c r="H498" s="14" t="str">
        <f>IFERROR((VLOOKUP($A498,'[1]import success seats course'!$A:V,HLOOKUP('[1]Course Totals'!H$4,'[1]import success seats course'!$1:$2,2,FALSE),FALSE)/(VLOOKUP($A498,'[1]import graded seats course pivo'!$A:AF,HLOOKUP('[1]Course Totals'!H$4,'[1]import graded seats course pivo'!$1:$2,2,FALSE),FALSE))),"")</f>
        <v/>
      </c>
      <c r="I498" s="14">
        <f>IFERROR((VLOOKUP($A498,'[1]import success seats course'!$A:W,HLOOKUP('[1]Course Totals'!I$4,'[1]import success seats course'!$1:$2,2,FALSE),FALSE)/(VLOOKUP($A498,'[1]import graded seats course pivo'!$A:AG,HLOOKUP('[1]Course Totals'!I$4,'[1]import graded seats course pivo'!$1:$2,2,FALSE),FALSE))),"")</f>
        <v>0.7</v>
      </c>
      <c r="J498" s="14" t="str">
        <f>IFERROR((VLOOKUP($A498,'[1]import success seats course'!$A:X,HLOOKUP('[1]Course Totals'!J$4,'[1]import success seats course'!$1:$2,2,FALSE),FALSE)/(VLOOKUP($A498,'[1]import graded seats course pivo'!$A:AH,HLOOKUP('[1]Course Totals'!J$4,'[1]import graded seats course pivo'!$1:$2,2,FALSE),FALSE))),"")</f>
        <v/>
      </c>
      <c r="K498" s="14" t="str">
        <f>IFERROR((VLOOKUP($A498,'[1]import success seats course'!$A:Y,HLOOKUP('[1]Course Totals'!K$4,'[1]import success seats course'!$1:$2,2,FALSE),FALSE)/(VLOOKUP($A498,'[1]import graded seats course pivo'!$A:AI,HLOOKUP('[1]Course Totals'!K$4,'[1]import graded seats course pivo'!$1:$2,2,FALSE),FALSE))),"")</f>
        <v/>
      </c>
      <c r="L498" s="14">
        <f>IFERROR((VLOOKUP($A498,'[1]import success seats course'!$A:Z,HLOOKUP('[1]Course Totals'!L$4,'[1]import success seats course'!$1:$2,2,FALSE),FALSE)/(VLOOKUP($A498,'[1]import graded seats course pivo'!$A:AJ,HLOOKUP('[1]Course Totals'!L$4,'[1]import graded seats course pivo'!$1:$2,2,FALSE),FALSE))),"")</f>
        <v>0.93333333333333335</v>
      </c>
      <c r="M498" s="14" t="str">
        <f>IFERROR((VLOOKUP($A498,'[1]import success seats course'!$A:AA,HLOOKUP('[1]Course Totals'!M$4,'[1]import success seats course'!$1:$2,2,FALSE),FALSE)/(VLOOKUP($A498,'[1]import graded seats course pivo'!$A:AK,HLOOKUP('[1]Course Totals'!M$4,'[1]import graded seats course pivo'!$1:$2,2,FALSE),FALSE))),"")</f>
        <v/>
      </c>
      <c r="N498" s="14" t="str">
        <f>IFERROR((VLOOKUP($A498,'[1]import success seats course'!$A:AB,HLOOKUP('[1]Course Totals'!N$4,'[1]import success seats course'!$1:$2,2,FALSE),FALSE)/(VLOOKUP($A498,'[1]import graded seats course pivo'!$A:AL,HLOOKUP('[1]Course Totals'!N$4,'[1]import graded seats course pivo'!$1:$2,2,FALSE),FALSE))),"")</f>
        <v/>
      </c>
      <c r="O498" s="14" t="str">
        <f>IFERROR((VLOOKUP($A498,'[1]import success seats course'!$A:AC,HLOOKUP('[1]Course Totals'!O$4,'[1]import success seats course'!$1:$2,2,FALSE),FALSE)/(VLOOKUP($A498,'[1]import graded seats course pivo'!$A:AM,HLOOKUP('[1]Course Totals'!O$4,'[1]import graded seats course pivo'!$1:$2,2,FALSE),FALSE))),"")</f>
        <v/>
      </c>
      <c r="P498" s="14" t="str">
        <f>IFERROR((VLOOKUP($A498,'[1]import success seats course'!$A:AD,HLOOKUP('[1]Course Totals'!P$4,'[1]import success seats course'!$1:$2,2,FALSE),FALSE)/(VLOOKUP($A498,'[1]import graded seats course pivo'!$A:AN,HLOOKUP('[1]Course Totals'!P$4,'[1]import graded seats course pivo'!$1:$2,2,FALSE),FALSE))),"")</f>
        <v/>
      </c>
      <c r="Q498" s="14" t="str">
        <f>IFERROR((VLOOKUP($A498,'[1]import success seats course'!$A:AE,HLOOKUP('[1]Course Totals'!Q$4,'[1]import success seats course'!$1:$2,2,FALSE),FALSE)/(VLOOKUP($A498,'[1]import graded seats course pivo'!$A:AO,HLOOKUP('[1]Course Totals'!Q$4,'[1]import graded seats course pivo'!$1:$2,2,FALSE),FALSE))),"")</f>
        <v/>
      </c>
      <c r="R498" s="14" t="str">
        <f>IFERROR((VLOOKUP($A498,'[1]import success seats course'!$A:AF,HLOOKUP('[1]Course Totals'!R$4,'[1]import success seats course'!$1:$2,2,FALSE),FALSE)/(VLOOKUP($A498,'[1]import graded seats course pivo'!$A:AP,HLOOKUP('[1]Course Totals'!R$4,'[1]import graded seats course pivo'!$1:$2,2,FALSE),FALSE))),"")</f>
        <v/>
      </c>
      <c r="S498" s="14" t="str">
        <f>IFERROR((VLOOKUP($A498,'[1]import success seats course'!$A:AG,HLOOKUP('[1]Course Totals'!S$4,'[1]import success seats course'!$1:$2,2,FALSE),FALSE)/(VLOOKUP($A498,'[1]import graded seats course pivo'!$A:AQ,HLOOKUP('[1]Course Totals'!S$4,'[1]import graded seats course pivo'!$1:$2,2,FALSE),FALSE))),"")</f>
        <v/>
      </c>
      <c r="Z498" s="7"/>
      <c r="AA498" s="7"/>
      <c r="AB498" s="7"/>
      <c r="AC498" s="7"/>
    </row>
    <row r="499" spans="1:29" ht="15.75" customHeight="1" x14ac:dyDescent="0.25">
      <c r="A499" s="12" t="s">
        <v>247</v>
      </c>
      <c r="B499" s="14" t="str">
        <f>IFERROR((VLOOKUP($A499,'[1]import success seats course'!$A:P,HLOOKUP('[1]Course Totals'!B$4,'[1]import success seats course'!$1:$2,2,FALSE),FALSE)/(VLOOKUP($A499,'[1]import graded seats course pivo'!$A:Z,HLOOKUP('[1]Course Totals'!B$4,'[1]import graded seats course pivo'!$1:$2,2,FALSE),FALSE))),"")</f>
        <v/>
      </c>
      <c r="C499" s="14">
        <f>IFERROR((VLOOKUP($A499,'[1]import success seats course'!$A:Q,HLOOKUP('[1]Course Totals'!C$4,'[1]import success seats course'!$1:$2,2,FALSE),FALSE)/(VLOOKUP($A499,'[1]import graded seats course pivo'!$A:AA,HLOOKUP('[1]Course Totals'!C$4,'[1]import graded seats course pivo'!$1:$2,2,FALSE),FALSE))),"")</f>
        <v>1</v>
      </c>
      <c r="D499" s="14" t="str">
        <f>IFERROR((VLOOKUP($A499,'[1]import success seats course'!$A:R,HLOOKUP('[1]Course Totals'!D$4,'[1]import success seats course'!$1:$2,2,FALSE),FALSE)/(VLOOKUP($A499,'[1]import graded seats course pivo'!$A:AB,HLOOKUP('[1]Course Totals'!D$4,'[1]import graded seats course pivo'!$1:$2,2,FALSE),FALSE))),"")</f>
        <v/>
      </c>
      <c r="E499" s="14" t="str">
        <f>IFERROR((VLOOKUP($A499,'[1]import success seats course'!$A:S,HLOOKUP('[1]Course Totals'!E$4,'[1]import success seats course'!$1:$2,2,FALSE),FALSE)/(VLOOKUP($A499,'[1]import graded seats course pivo'!$A:AC,HLOOKUP('[1]Course Totals'!E$4,'[1]import graded seats course pivo'!$1:$2,2,FALSE),FALSE))),"")</f>
        <v/>
      </c>
      <c r="F499" s="14" t="str">
        <f>IFERROR((VLOOKUP($A499,'[1]import success seats course'!$A:T,HLOOKUP('[1]Course Totals'!F$4,'[1]import success seats course'!$1:$2,2,FALSE),FALSE)/(VLOOKUP($A499,'[1]import graded seats course pivo'!$A:AD,HLOOKUP('[1]Course Totals'!F$4,'[1]import graded seats course pivo'!$1:$2,2,FALSE),FALSE))),"")</f>
        <v/>
      </c>
      <c r="G499" s="14" t="str">
        <f>IFERROR((VLOOKUP($A499,'[1]import success seats course'!$A:U,HLOOKUP('[1]Course Totals'!G$4,'[1]import success seats course'!$1:$2,2,FALSE),FALSE)/(VLOOKUP($A499,'[1]import graded seats course pivo'!$A:AE,HLOOKUP('[1]Course Totals'!G$4,'[1]import graded seats course pivo'!$1:$2,2,FALSE),FALSE))),"")</f>
        <v/>
      </c>
      <c r="H499" s="14" t="str">
        <f>IFERROR((VLOOKUP($A499,'[1]import success seats course'!$A:V,HLOOKUP('[1]Course Totals'!H$4,'[1]import success seats course'!$1:$2,2,FALSE),FALSE)/(VLOOKUP($A499,'[1]import graded seats course pivo'!$A:AF,HLOOKUP('[1]Course Totals'!H$4,'[1]import graded seats course pivo'!$1:$2,2,FALSE),FALSE))),"")</f>
        <v/>
      </c>
      <c r="I499" s="14">
        <f>IFERROR((VLOOKUP($A499,'[1]import success seats course'!$A:W,HLOOKUP('[1]Course Totals'!I$4,'[1]import success seats course'!$1:$2,2,FALSE),FALSE)/(VLOOKUP($A499,'[1]import graded seats course pivo'!$A:AG,HLOOKUP('[1]Course Totals'!I$4,'[1]import graded seats course pivo'!$1:$2,2,FALSE),FALSE))),"")</f>
        <v>1</v>
      </c>
      <c r="J499" s="14" t="str">
        <f>IFERROR((VLOOKUP($A499,'[1]import success seats course'!$A:X,HLOOKUP('[1]Course Totals'!J$4,'[1]import success seats course'!$1:$2,2,FALSE),FALSE)/(VLOOKUP($A499,'[1]import graded seats course pivo'!$A:AH,HLOOKUP('[1]Course Totals'!J$4,'[1]import graded seats course pivo'!$1:$2,2,FALSE),FALSE))),"")</f>
        <v/>
      </c>
      <c r="K499" s="14" t="str">
        <f>IFERROR((VLOOKUP($A499,'[1]import success seats course'!$A:Y,HLOOKUP('[1]Course Totals'!K$4,'[1]import success seats course'!$1:$2,2,FALSE),FALSE)/(VLOOKUP($A499,'[1]import graded seats course pivo'!$A:AI,HLOOKUP('[1]Course Totals'!K$4,'[1]import graded seats course pivo'!$1:$2,2,FALSE),FALSE))),"")</f>
        <v/>
      </c>
      <c r="L499" s="14">
        <f>IFERROR((VLOOKUP($A499,'[1]import success seats course'!$A:Z,HLOOKUP('[1]Course Totals'!L$4,'[1]import success seats course'!$1:$2,2,FALSE),FALSE)/(VLOOKUP($A499,'[1]import graded seats course pivo'!$A:AJ,HLOOKUP('[1]Course Totals'!L$4,'[1]import graded seats course pivo'!$1:$2,2,FALSE),FALSE))),"")</f>
        <v>1</v>
      </c>
      <c r="M499" s="14" t="str">
        <f>IFERROR((VLOOKUP($A499,'[1]import success seats course'!$A:AA,HLOOKUP('[1]Course Totals'!M$4,'[1]import success seats course'!$1:$2,2,FALSE),FALSE)/(VLOOKUP($A499,'[1]import graded seats course pivo'!$A:AK,HLOOKUP('[1]Course Totals'!M$4,'[1]import graded seats course pivo'!$1:$2,2,FALSE),FALSE))),"")</f>
        <v/>
      </c>
      <c r="N499" s="14" t="str">
        <f>IFERROR((VLOOKUP($A499,'[1]import success seats course'!$A:AB,HLOOKUP('[1]Course Totals'!N$4,'[1]import success seats course'!$1:$2,2,FALSE),FALSE)/(VLOOKUP($A499,'[1]import graded seats course pivo'!$A:AL,HLOOKUP('[1]Course Totals'!N$4,'[1]import graded seats course pivo'!$1:$2,2,FALSE),FALSE))),"")</f>
        <v/>
      </c>
      <c r="O499" s="14" t="str">
        <f>IFERROR((VLOOKUP($A499,'[1]import success seats course'!$A:AC,HLOOKUP('[1]Course Totals'!O$4,'[1]import success seats course'!$1:$2,2,FALSE),FALSE)/(VLOOKUP($A499,'[1]import graded seats course pivo'!$A:AM,HLOOKUP('[1]Course Totals'!O$4,'[1]import graded seats course pivo'!$1:$2,2,FALSE),FALSE))),"")</f>
        <v/>
      </c>
      <c r="P499" s="14" t="str">
        <f>IFERROR((VLOOKUP($A499,'[1]import success seats course'!$A:AD,HLOOKUP('[1]Course Totals'!P$4,'[1]import success seats course'!$1:$2,2,FALSE),FALSE)/(VLOOKUP($A499,'[1]import graded seats course pivo'!$A:AN,HLOOKUP('[1]Course Totals'!P$4,'[1]import graded seats course pivo'!$1:$2,2,FALSE),FALSE))),"")</f>
        <v/>
      </c>
      <c r="Q499" s="14" t="str">
        <f>IFERROR((VLOOKUP($A499,'[1]import success seats course'!$A:AE,HLOOKUP('[1]Course Totals'!Q$4,'[1]import success seats course'!$1:$2,2,FALSE),FALSE)/(VLOOKUP($A499,'[1]import graded seats course pivo'!$A:AO,HLOOKUP('[1]Course Totals'!Q$4,'[1]import graded seats course pivo'!$1:$2,2,FALSE),FALSE))),"")</f>
        <v/>
      </c>
      <c r="R499" s="14" t="str">
        <f>IFERROR((VLOOKUP($A499,'[1]import success seats course'!$A:AF,HLOOKUP('[1]Course Totals'!R$4,'[1]import success seats course'!$1:$2,2,FALSE),FALSE)/(VLOOKUP($A499,'[1]import graded seats course pivo'!$A:AP,HLOOKUP('[1]Course Totals'!R$4,'[1]import graded seats course pivo'!$1:$2,2,FALSE),FALSE))),"")</f>
        <v/>
      </c>
      <c r="S499" s="14" t="str">
        <f>IFERROR((VLOOKUP($A499,'[1]import success seats course'!$A:AG,HLOOKUP('[1]Course Totals'!S$4,'[1]import success seats course'!$1:$2,2,FALSE),FALSE)/(VLOOKUP($A499,'[1]import graded seats course pivo'!$A:AQ,HLOOKUP('[1]Course Totals'!S$4,'[1]import graded seats course pivo'!$1:$2,2,FALSE),FALSE))),"")</f>
        <v/>
      </c>
      <c r="Z499" s="7"/>
      <c r="AA499" s="7"/>
      <c r="AB499" s="7"/>
      <c r="AC499" s="7"/>
    </row>
    <row r="500" spans="1:29" ht="15.75" customHeight="1" x14ac:dyDescent="0.25">
      <c r="A500" s="12" t="s">
        <v>604</v>
      </c>
      <c r="B500" s="14" t="str">
        <f>IFERROR((VLOOKUP($A500,'[1]import success seats course'!$A:P,HLOOKUP('[1]Course Totals'!B$4,'[1]import success seats course'!$1:$2,2,FALSE),FALSE)/(VLOOKUP($A500,'[1]import graded seats course pivo'!$A:Z,HLOOKUP('[1]Course Totals'!B$4,'[1]import graded seats course pivo'!$1:$2,2,FALSE),FALSE))),"")</f>
        <v/>
      </c>
      <c r="C500" s="14" t="str">
        <f>IFERROR((VLOOKUP($A500,'[1]import success seats course'!$A:Q,HLOOKUP('[1]Course Totals'!C$4,'[1]import success seats course'!$1:$2,2,FALSE),FALSE)/(VLOOKUP($A500,'[1]import graded seats course pivo'!$A:AA,HLOOKUP('[1]Course Totals'!C$4,'[1]import graded seats course pivo'!$1:$2,2,FALSE),FALSE))),"")</f>
        <v/>
      </c>
      <c r="D500" s="14">
        <f>IFERROR((VLOOKUP($A500,'[1]import success seats course'!$A:R,HLOOKUP('[1]Course Totals'!D$4,'[1]import success seats course'!$1:$2,2,FALSE),FALSE)/(VLOOKUP($A500,'[1]import graded seats course pivo'!$A:AB,HLOOKUP('[1]Course Totals'!D$4,'[1]import graded seats course pivo'!$1:$2,2,FALSE),FALSE))),"")</f>
        <v>0.82352941176470584</v>
      </c>
      <c r="E500" s="14" t="str">
        <f>IFERROR((VLOOKUP($A500,'[1]import success seats course'!$A:S,HLOOKUP('[1]Course Totals'!E$4,'[1]import success seats course'!$1:$2,2,FALSE),FALSE)/(VLOOKUP($A500,'[1]import graded seats course pivo'!$A:AC,HLOOKUP('[1]Course Totals'!E$4,'[1]import graded seats course pivo'!$1:$2,2,FALSE),FALSE))),"")</f>
        <v/>
      </c>
      <c r="F500" s="14" t="str">
        <f>IFERROR((VLOOKUP($A500,'[1]import success seats course'!$A:T,HLOOKUP('[1]Course Totals'!F$4,'[1]import success seats course'!$1:$2,2,FALSE),FALSE)/(VLOOKUP($A500,'[1]import graded seats course pivo'!$A:AD,HLOOKUP('[1]Course Totals'!F$4,'[1]import graded seats course pivo'!$1:$2,2,FALSE),FALSE))),"")</f>
        <v/>
      </c>
      <c r="G500" s="14">
        <f>IFERROR((VLOOKUP($A500,'[1]import success seats course'!$A:U,HLOOKUP('[1]Course Totals'!G$4,'[1]import success seats course'!$1:$2,2,FALSE),FALSE)/(VLOOKUP($A500,'[1]import graded seats course pivo'!$A:AE,HLOOKUP('[1]Course Totals'!G$4,'[1]import graded seats course pivo'!$1:$2,2,FALSE),FALSE))),"")</f>
        <v>0.89473684210526316</v>
      </c>
      <c r="H500" s="14" t="str">
        <f>IFERROR((VLOOKUP($A500,'[1]import success seats course'!$A:V,HLOOKUP('[1]Course Totals'!H$4,'[1]import success seats course'!$1:$2,2,FALSE),FALSE)/(VLOOKUP($A500,'[1]import graded seats course pivo'!$A:AF,HLOOKUP('[1]Course Totals'!H$4,'[1]import graded seats course pivo'!$1:$2,2,FALSE),FALSE))),"")</f>
        <v/>
      </c>
      <c r="I500" s="14">
        <f>IFERROR((VLOOKUP($A500,'[1]import success seats course'!$A:W,HLOOKUP('[1]Course Totals'!I$4,'[1]import success seats course'!$1:$2,2,FALSE),FALSE)/(VLOOKUP($A500,'[1]import graded seats course pivo'!$A:AG,HLOOKUP('[1]Course Totals'!I$4,'[1]import graded seats course pivo'!$1:$2,2,FALSE),FALSE))),"")</f>
        <v>0.83870967741935487</v>
      </c>
      <c r="J500" s="14">
        <f>IFERROR((VLOOKUP($A500,'[1]import success seats course'!$A:X,HLOOKUP('[1]Course Totals'!J$4,'[1]import success seats course'!$1:$2,2,FALSE),FALSE)/(VLOOKUP($A500,'[1]import graded seats course pivo'!$A:AH,HLOOKUP('[1]Course Totals'!J$4,'[1]import graded seats course pivo'!$1:$2,2,FALSE),FALSE))),"")</f>
        <v>0.79166666666666663</v>
      </c>
      <c r="K500" s="14" t="str">
        <f>IFERROR((VLOOKUP($A500,'[1]import success seats course'!$A:Y,HLOOKUP('[1]Course Totals'!K$4,'[1]import success seats course'!$1:$2,2,FALSE),FALSE)/(VLOOKUP($A500,'[1]import graded seats course pivo'!$A:AI,HLOOKUP('[1]Course Totals'!K$4,'[1]import graded seats course pivo'!$1:$2,2,FALSE),FALSE))),"")</f>
        <v/>
      </c>
      <c r="L500" s="14">
        <f>IFERROR((VLOOKUP($A500,'[1]import success seats course'!$A:Z,HLOOKUP('[1]Course Totals'!L$4,'[1]import success seats course'!$1:$2,2,FALSE),FALSE)/(VLOOKUP($A500,'[1]import graded seats course pivo'!$A:AJ,HLOOKUP('[1]Course Totals'!L$4,'[1]import graded seats course pivo'!$1:$2,2,FALSE),FALSE))),"")</f>
        <v>0.9</v>
      </c>
      <c r="M500" s="14">
        <f>IFERROR((VLOOKUP($A500,'[1]import success seats course'!$A:AA,HLOOKUP('[1]Course Totals'!M$4,'[1]import success seats course'!$1:$2,2,FALSE),FALSE)/(VLOOKUP($A500,'[1]import graded seats course pivo'!$A:AK,HLOOKUP('[1]Course Totals'!M$4,'[1]import graded seats course pivo'!$1:$2,2,FALSE),FALSE))),"")</f>
        <v>0.92</v>
      </c>
      <c r="N500" s="14" t="str">
        <f>IFERROR((VLOOKUP($A500,'[1]import success seats course'!$A:AB,HLOOKUP('[1]Course Totals'!N$4,'[1]import success seats course'!$1:$2,2,FALSE),FALSE)/(VLOOKUP($A500,'[1]import graded seats course pivo'!$A:AL,HLOOKUP('[1]Course Totals'!N$4,'[1]import graded seats course pivo'!$1:$2,2,FALSE),FALSE))),"")</f>
        <v/>
      </c>
      <c r="O500" s="14">
        <f>IFERROR((VLOOKUP($A500,'[1]import success seats course'!$A:AC,HLOOKUP('[1]Course Totals'!O$4,'[1]import success seats course'!$1:$2,2,FALSE),FALSE)/(VLOOKUP($A500,'[1]import graded seats course pivo'!$A:AM,HLOOKUP('[1]Course Totals'!O$4,'[1]import graded seats course pivo'!$1:$2,2,FALSE),FALSE))),"")</f>
        <v>0.91304347826086951</v>
      </c>
      <c r="P500" s="14">
        <f>IFERROR((VLOOKUP($A500,'[1]import success seats course'!$A:AD,HLOOKUP('[1]Course Totals'!P$4,'[1]import success seats course'!$1:$2,2,FALSE),FALSE)/(VLOOKUP($A500,'[1]import graded seats course pivo'!$A:AN,HLOOKUP('[1]Course Totals'!P$4,'[1]import graded seats course pivo'!$1:$2,2,FALSE),FALSE))),"")</f>
        <v>0.88</v>
      </c>
      <c r="Q500" s="14" t="str">
        <f>IFERROR((VLOOKUP($A500,'[1]import success seats course'!$A:AE,HLOOKUP('[1]Course Totals'!Q$4,'[1]import success seats course'!$1:$2,2,FALSE),FALSE)/(VLOOKUP($A500,'[1]import graded seats course pivo'!$A:AO,HLOOKUP('[1]Course Totals'!Q$4,'[1]import graded seats course pivo'!$1:$2,2,FALSE),FALSE))),"")</f>
        <v/>
      </c>
      <c r="R500" s="14" t="str">
        <f>IFERROR((VLOOKUP($A500,'[1]import success seats course'!$A:AF,HLOOKUP('[1]Course Totals'!R$4,'[1]import success seats course'!$1:$2,2,FALSE),FALSE)/(VLOOKUP($A500,'[1]import graded seats course pivo'!$A:AP,HLOOKUP('[1]Course Totals'!R$4,'[1]import graded seats course pivo'!$1:$2,2,FALSE),FALSE))),"")</f>
        <v/>
      </c>
      <c r="S500" s="14">
        <f>IFERROR((VLOOKUP($A500,'[1]import success seats course'!$A:AG,HLOOKUP('[1]Course Totals'!S$4,'[1]import success seats course'!$1:$2,2,FALSE),FALSE)/(VLOOKUP($A500,'[1]import graded seats course pivo'!$A:AQ,HLOOKUP('[1]Course Totals'!S$4,'[1]import graded seats course pivo'!$1:$2,2,FALSE),FALSE))),"")</f>
        <v>0.7857142857142857</v>
      </c>
      <c r="Z500" s="7"/>
      <c r="AA500" s="7"/>
      <c r="AB500" s="7"/>
      <c r="AC500" s="7"/>
    </row>
    <row r="501" spans="1:29" ht="15.75" customHeight="1" x14ac:dyDescent="0.25">
      <c r="A501" s="12" t="s">
        <v>717</v>
      </c>
      <c r="B501" s="14" t="str">
        <f>IFERROR((VLOOKUP($A501,'[1]import success seats course'!$A:P,HLOOKUP('[1]Course Totals'!B$4,'[1]import success seats course'!$1:$2,2,FALSE),FALSE)/(VLOOKUP($A501,'[1]import graded seats course pivo'!$A:Z,HLOOKUP('[1]Course Totals'!B$4,'[1]import graded seats course pivo'!$1:$2,2,FALSE),FALSE))),"")</f>
        <v/>
      </c>
      <c r="C501" s="14" t="str">
        <f>IFERROR((VLOOKUP($A501,'[1]import success seats course'!$A:Q,HLOOKUP('[1]Course Totals'!C$4,'[1]import success seats course'!$1:$2,2,FALSE),FALSE)/(VLOOKUP($A501,'[1]import graded seats course pivo'!$A:AA,HLOOKUP('[1]Course Totals'!C$4,'[1]import graded seats course pivo'!$1:$2,2,FALSE),FALSE))),"")</f>
        <v/>
      </c>
      <c r="D501" s="14">
        <f>IFERROR((VLOOKUP($A501,'[1]import success seats course'!$A:R,HLOOKUP('[1]Course Totals'!D$4,'[1]import success seats course'!$1:$2,2,FALSE),FALSE)/(VLOOKUP($A501,'[1]import graded seats course pivo'!$A:AB,HLOOKUP('[1]Course Totals'!D$4,'[1]import graded seats course pivo'!$1:$2,2,FALSE),FALSE))),"")</f>
        <v>1</v>
      </c>
      <c r="E501" s="14" t="str">
        <f>IFERROR((VLOOKUP($A501,'[1]import success seats course'!$A:S,HLOOKUP('[1]Course Totals'!E$4,'[1]import success seats course'!$1:$2,2,FALSE),FALSE)/(VLOOKUP($A501,'[1]import graded seats course pivo'!$A:AC,HLOOKUP('[1]Course Totals'!E$4,'[1]import graded seats course pivo'!$1:$2,2,FALSE),FALSE))),"")</f>
        <v/>
      </c>
      <c r="F501" s="14" t="str">
        <f>IFERROR((VLOOKUP($A501,'[1]import success seats course'!$A:T,HLOOKUP('[1]Course Totals'!F$4,'[1]import success seats course'!$1:$2,2,FALSE),FALSE)/(VLOOKUP($A501,'[1]import graded seats course pivo'!$A:AD,HLOOKUP('[1]Course Totals'!F$4,'[1]import graded seats course pivo'!$1:$2,2,FALSE),FALSE))),"")</f>
        <v/>
      </c>
      <c r="G501" s="14">
        <f>IFERROR((VLOOKUP($A501,'[1]import success seats course'!$A:U,HLOOKUP('[1]Course Totals'!G$4,'[1]import success seats course'!$1:$2,2,FALSE),FALSE)/(VLOOKUP($A501,'[1]import graded seats course pivo'!$A:AE,HLOOKUP('[1]Course Totals'!G$4,'[1]import graded seats course pivo'!$1:$2,2,FALSE),FALSE))),"")</f>
        <v>1</v>
      </c>
      <c r="H501" s="14" t="str">
        <f>IFERROR((VLOOKUP($A501,'[1]import success seats course'!$A:V,HLOOKUP('[1]Course Totals'!H$4,'[1]import success seats course'!$1:$2,2,FALSE),FALSE)/(VLOOKUP($A501,'[1]import graded seats course pivo'!$A:AF,HLOOKUP('[1]Course Totals'!H$4,'[1]import graded seats course pivo'!$1:$2,2,FALSE),FALSE))),"")</f>
        <v/>
      </c>
      <c r="I501" s="14">
        <f>IFERROR((VLOOKUP($A501,'[1]import success seats course'!$A:W,HLOOKUP('[1]Course Totals'!I$4,'[1]import success seats course'!$1:$2,2,FALSE),FALSE)/(VLOOKUP($A501,'[1]import graded seats course pivo'!$A:AG,HLOOKUP('[1]Course Totals'!I$4,'[1]import graded seats course pivo'!$1:$2,2,FALSE),FALSE))),"")</f>
        <v>1</v>
      </c>
      <c r="J501" s="14">
        <f>IFERROR((VLOOKUP($A501,'[1]import success seats course'!$A:X,HLOOKUP('[1]Course Totals'!J$4,'[1]import success seats course'!$1:$2,2,FALSE),FALSE)/(VLOOKUP($A501,'[1]import graded seats course pivo'!$A:AH,HLOOKUP('[1]Course Totals'!J$4,'[1]import graded seats course pivo'!$1:$2,2,FALSE),FALSE))),"")</f>
        <v>1</v>
      </c>
      <c r="K501" s="14" t="str">
        <f>IFERROR((VLOOKUP($A501,'[1]import success seats course'!$A:Y,HLOOKUP('[1]Course Totals'!K$4,'[1]import success seats course'!$1:$2,2,FALSE),FALSE)/(VLOOKUP($A501,'[1]import graded seats course pivo'!$A:AI,HLOOKUP('[1]Course Totals'!K$4,'[1]import graded seats course pivo'!$1:$2,2,FALSE),FALSE))),"")</f>
        <v/>
      </c>
      <c r="L501" s="14" t="str">
        <f>IFERROR((VLOOKUP($A501,'[1]import success seats course'!$A:Z,HLOOKUP('[1]Course Totals'!L$4,'[1]import success seats course'!$1:$2,2,FALSE),FALSE)/(VLOOKUP($A501,'[1]import graded seats course pivo'!$A:AJ,HLOOKUP('[1]Course Totals'!L$4,'[1]import graded seats course pivo'!$1:$2,2,FALSE),FALSE))),"")</f>
        <v/>
      </c>
      <c r="M501" s="14">
        <f>IFERROR((VLOOKUP($A501,'[1]import success seats course'!$A:AA,HLOOKUP('[1]Course Totals'!M$4,'[1]import success seats course'!$1:$2,2,FALSE),FALSE)/(VLOOKUP($A501,'[1]import graded seats course pivo'!$A:AK,HLOOKUP('[1]Course Totals'!M$4,'[1]import graded seats course pivo'!$1:$2,2,FALSE),FALSE))),"")</f>
        <v>1</v>
      </c>
      <c r="N501" s="14" t="str">
        <f>IFERROR((VLOOKUP($A501,'[1]import success seats course'!$A:AB,HLOOKUP('[1]Course Totals'!N$4,'[1]import success seats course'!$1:$2,2,FALSE),FALSE)/(VLOOKUP($A501,'[1]import graded seats course pivo'!$A:AL,HLOOKUP('[1]Course Totals'!N$4,'[1]import graded seats course pivo'!$1:$2,2,FALSE),FALSE))),"")</f>
        <v/>
      </c>
      <c r="O501" s="14">
        <f>IFERROR((VLOOKUP($A501,'[1]import success seats course'!$A:AC,HLOOKUP('[1]Course Totals'!O$4,'[1]import success seats course'!$1:$2,2,FALSE),FALSE)/(VLOOKUP($A501,'[1]import graded seats course pivo'!$A:AM,HLOOKUP('[1]Course Totals'!O$4,'[1]import graded seats course pivo'!$1:$2,2,FALSE),FALSE))),"")</f>
        <v>1</v>
      </c>
      <c r="P501" s="14" t="str">
        <f>IFERROR((VLOOKUP($A501,'[1]import success seats course'!$A:AD,HLOOKUP('[1]Course Totals'!P$4,'[1]import success seats course'!$1:$2,2,FALSE),FALSE)/(VLOOKUP($A501,'[1]import graded seats course pivo'!$A:AN,HLOOKUP('[1]Course Totals'!P$4,'[1]import graded seats course pivo'!$1:$2,2,FALSE),FALSE))),"")</f>
        <v/>
      </c>
      <c r="Q501" s="14" t="str">
        <f>IFERROR((VLOOKUP($A501,'[1]import success seats course'!$A:AE,HLOOKUP('[1]Course Totals'!Q$4,'[1]import success seats course'!$1:$2,2,FALSE),FALSE)/(VLOOKUP($A501,'[1]import graded seats course pivo'!$A:AO,HLOOKUP('[1]Course Totals'!Q$4,'[1]import graded seats course pivo'!$1:$2,2,FALSE),FALSE))),"")</f>
        <v/>
      </c>
      <c r="R501" s="14" t="str">
        <f>IFERROR((VLOOKUP($A501,'[1]import success seats course'!$A:AF,HLOOKUP('[1]Course Totals'!R$4,'[1]import success seats course'!$1:$2,2,FALSE),FALSE)/(VLOOKUP($A501,'[1]import graded seats course pivo'!$A:AP,HLOOKUP('[1]Course Totals'!R$4,'[1]import graded seats course pivo'!$1:$2,2,FALSE),FALSE))),"")</f>
        <v/>
      </c>
      <c r="S501" s="14">
        <f>IFERROR((VLOOKUP($A501,'[1]import success seats course'!$A:AG,HLOOKUP('[1]Course Totals'!S$4,'[1]import success seats course'!$1:$2,2,FALSE),FALSE)/(VLOOKUP($A501,'[1]import graded seats course pivo'!$A:AQ,HLOOKUP('[1]Course Totals'!S$4,'[1]import graded seats course pivo'!$1:$2,2,FALSE),FALSE))),"")</f>
        <v>1</v>
      </c>
      <c r="Z501" s="7"/>
      <c r="AA501" s="7"/>
      <c r="AB501" s="7"/>
      <c r="AC501" s="7"/>
    </row>
    <row r="502" spans="1:29" ht="15.75" customHeight="1" x14ac:dyDescent="0.25">
      <c r="A502" s="12" t="s">
        <v>248</v>
      </c>
      <c r="B502" s="14" t="str">
        <f>IFERROR((VLOOKUP($A502,'[1]import success seats course'!$A:P,HLOOKUP('[1]Course Totals'!B$4,'[1]import success seats course'!$1:$2,2,FALSE),FALSE)/(VLOOKUP($A502,'[1]import graded seats course pivo'!$A:Z,HLOOKUP('[1]Course Totals'!B$4,'[1]import graded seats course pivo'!$1:$2,2,FALSE),FALSE))),"")</f>
        <v/>
      </c>
      <c r="C502" s="14">
        <f>IFERROR((VLOOKUP($A502,'[1]import success seats course'!$A:Q,HLOOKUP('[1]Course Totals'!C$4,'[1]import success seats course'!$1:$2,2,FALSE),FALSE)/(VLOOKUP($A502,'[1]import graded seats course pivo'!$A:AA,HLOOKUP('[1]Course Totals'!C$4,'[1]import graded seats course pivo'!$1:$2,2,FALSE),FALSE))),"")</f>
        <v>0.9</v>
      </c>
      <c r="D502" s="14" t="str">
        <f>IFERROR((VLOOKUP($A502,'[1]import success seats course'!$A:R,HLOOKUP('[1]Course Totals'!D$4,'[1]import success seats course'!$1:$2,2,FALSE),FALSE)/(VLOOKUP($A502,'[1]import graded seats course pivo'!$A:AB,HLOOKUP('[1]Course Totals'!D$4,'[1]import graded seats course pivo'!$1:$2,2,FALSE),FALSE))),"")</f>
        <v/>
      </c>
      <c r="E502" s="14" t="str">
        <f>IFERROR((VLOOKUP($A502,'[1]import success seats course'!$A:S,HLOOKUP('[1]Course Totals'!E$4,'[1]import success seats course'!$1:$2,2,FALSE),FALSE)/(VLOOKUP($A502,'[1]import graded seats course pivo'!$A:AC,HLOOKUP('[1]Course Totals'!E$4,'[1]import graded seats course pivo'!$1:$2,2,FALSE),FALSE))),"")</f>
        <v/>
      </c>
      <c r="F502" s="14" t="str">
        <f>IFERROR((VLOOKUP($A502,'[1]import success seats course'!$A:T,HLOOKUP('[1]Course Totals'!F$4,'[1]import success seats course'!$1:$2,2,FALSE),FALSE)/(VLOOKUP($A502,'[1]import graded seats course pivo'!$A:AD,HLOOKUP('[1]Course Totals'!F$4,'[1]import graded seats course pivo'!$1:$2,2,FALSE),FALSE))),"")</f>
        <v/>
      </c>
      <c r="G502" s="14" t="str">
        <f>IFERROR((VLOOKUP($A502,'[1]import success seats course'!$A:U,HLOOKUP('[1]Course Totals'!G$4,'[1]import success seats course'!$1:$2,2,FALSE),FALSE)/(VLOOKUP($A502,'[1]import graded seats course pivo'!$A:AE,HLOOKUP('[1]Course Totals'!G$4,'[1]import graded seats course pivo'!$1:$2,2,FALSE),FALSE))),"")</f>
        <v/>
      </c>
      <c r="H502" s="14" t="str">
        <f>IFERROR((VLOOKUP($A502,'[1]import success seats course'!$A:V,HLOOKUP('[1]Course Totals'!H$4,'[1]import success seats course'!$1:$2,2,FALSE),FALSE)/(VLOOKUP($A502,'[1]import graded seats course pivo'!$A:AF,HLOOKUP('[1]Course Totals'!H$4,'[1]import graded seats course pivo'!$1:$2,2,FALSE),FALSE))),"")</f>
        <v/>
      </c>
      <c r="I502" s="14">
        <f>IFERROR((VLOOKUP($A502,'[1]import success seats course'!$A:W,HLOOKUP('[1]Course Totals'!I$4,'[1]import success seats course'!$1:$2,2,FALSE),FALSE)/(VLOOKUP($A502,'[1]import graded seats course pivo'!$A:AG,HLOOKUP('[1]Course Totals'!I$4,'[1]import graded seats course pivo'!$1:$2,2,FALSE),FALSE))),"")</f>
        <v>0.88461538461538458</v>
      </c>
      <c r="J502" s="14" t="str">
        <f>IFERROR((VLOOKUP($A502,'[1]import success seats course'!$A:X,HLOOKUP('[1]Course Totals'!J$4,'[1]import success seats course'!$1:$2,2,FALSE),FALSE)/(VLOOKUP($A502,'[1]import graded seats course pivo'!$A:AH,HLOOKUP('[1]Course Totals'!J$4,'[1]import graded seats course pivo'!$1:$2,2,FALSE),FALSE))),"")</f>
        <v/>
      </c>
      <c r="K502" s="14" t="str">
        <f>IFERROR((VLOOKUP($A502,'[1]import success seats course'!$A:Y,HLOOKUP('[1]Course Totals'!K$4,'[1]import success seats course'!$1:$2,2,FALSE),FALSE)/(VLOOKUP($A502,'[1]import graded seats course pivo'!$A:AI,HLOOKUP('[1]Course Totals'!K$4,'[1]import graded seats course pivo'!$1:$2,2,FALSE),FALSE))),"")</f>
        <v/>
      </c>
      <c r="L502" s="14" t="str">
        <f>IFERROR((VLOOKUP($A502,'[1]import success seats course'!$A:Z,HLOOKUP('[1]Course Totals'!L$4,'[1]import success seats course'!$1:$2,2,FALSE),FALSE)/(VLOOKUP($A502,'[1]import graded seats course pivo'!$A:AJ,HLOOKUP('[1]Course Totals'!L$4,'[1]import graded seats course pivo'!$1:$2,2,FALSE),FALSE))),"")</f>
        <v/>
      </c>
      <c r="M502" s="14" t="str">
        <f>IFERROR((VLOOKUP($A502,'[1]import success seats course'!$A:AA,HLOOKUP('[1]Course Totals'!M$4,'[1]import success seats course'!$1:$2,2,FALSE),FALSE)/(VLOOKUP($A502,'[1]import graded seats course pivo'!$A:AK,HLOOKUP('[1]Course Totals'!M$4,'[1]import graded seats course pivo'!$1:$2,2,FALSE),FALSE))),"")</f>
        <v/>
      </c>
      <c r="N502" s="14" t="str">
        <f>IFERROR((VLOOKUP($A502,'[1]import success seats course'!$A:AB,HLOOKUP('[1]Course Totals'!N$4,'[1]import success seats course'!$1:$2,2,FALSE),FALSE)/(VLOOKUP($A502,'[1]import graded seats course pivo'!$A:AL,HLOOKUP('[1]Course Totals'!N$4,'[1]import graded seats course pivo'!$1:$2,2,FALSE),FALSE))),"")</f>
        <v/>
      </c>
      <c r="O502" s="14">
        <f>IFERROR((VLOOKUP($A502,'[1]import success seats course'!$A:AC,HLOOKUP('[1]Course Totals'!O$4,'[1]import success seats course'!$1:$2,2,FALSE),FALSE)/(VLOOKUP($A502,'[1]import graded seats course pivo'!$A:AM,HLOOKUP('[1]Course Totals'!O$4,'[1]import graded seats course pivo'!$1:$2,2,FALSE),FALSE))),"")</f>
        <v>0.88888888888888884</v>
      </c>
      <c r="P502" s="14" t="str">
        <f>IFERROR((VLOOKUP($A502,'[1]import success seats course'!$A:AD,HLOOKUP('[1]Course Totals'!P$4,'[1]import success seats course'!$1:$2,2,FALSE),FALSE)/(VLOOKUP($A502,'[1]import graded seats course pivo'!$A:AN,HLOOKUP('[1]Course Totals'!P$4,'[1]import graded seats course pivo'!$1:$2,2,FALSE),FALSE))),"")</f>
        <v/>
      </c>
      <c r="Q502" s="14" t="str">
        <f>IFERROR((VLOOKUP($A502,'[1]import success seats course'!$A:AE,HLOOKUP('[1]Course Totals'!Q$4,'[1]import success seats course'!$1:$2,2,FALSE),FALSE)/(VLOOKUP($A502,'[1]import graded seats course pivo'!$A:AO,HLOOKUP('[1]Course Totals'!Q$4,'[1]import graded seats course pivo'!$1:$2,2,FALSE),FALSE))),"")</f>
        <v/>
      </c>
      <c r="R502" s="14" t="str">
        <f>IFERROR((VLOOKUP($A502,'[1]import success seats course'!$A:AF,HLOOKUP('[1]Course Totals'!R$4,'[1]import success seats course'!$1:$2,2,FALSE),FALSE)/(VLOOKUP($A502,'[1]import graded seats course pivo'!$A:AP,HLOOKUP('[1]Course Totals'!R$4,'[1]import graded seats course pivo'!$1:$2,2,FALSE),FALSE))),"")</f>
        <v/>
      </c>
      <c r="S502" s="14" t="str">
        <f>IFERROR((VLOOKUP($A502,'[1]import success seats course'!$A:AG,HLOOKUP('[1]Course Totals'!S$4,'[1]import success seats course'!$1:$2,2,FALSE),FALSE)/(VLOOKUP($A502,'[1]import graded seats course pivo'!$A:AQ,HLOOKUP('[1]Course Totals'!S$4,'[1]import graded seats course pivo'!$1:$2,2,FALSE),FALSE))),"")</f>
        <v/>
      </c>
      <c r="Z502" s="7"/>
      <c r="AA502" s="7"/>
      <c r="AB502" s="7"/>
      <c r="AC502" s="7"/>
    </row>
    <row r="503" spans="1:29" ht="15.75" customHeight="1" x14ac:dyDescent="0.25">
      <c r="A503" s="12" t="s">
        <v>249</v>
      </c>
      <c r="B503" s="14" t="str">
        <f>IFERROR((VLOOKUP($A503,'[1]import success seats course'!$A:P,HLOOKUP('[1]Course Totals'!B$4,'[1]import success seats course'!$1:$2,2,FALSE),FALSE)/(VLOOKUP($A503,'[1]import graded seats course pivo'!$A:Z,HLOOKUP('[1]Course Totals'!B$4,'[1]import graded seats course pivo'!$1:$2,2,FALSE),FALSE))),"")</f>
        <v/>
      </c>
      <c r="C503" s="14">
        <f>IFERROR((VLOOKUP($A503,'[1]import success seats course'!$A:Q,HLOOKUP('[1]Course Totals'!C$4,'[1]import success seats course'!$1:$2,2,FALSE),FALSE)/(VLOOKUP($A503,'[1]import graded seats course pivo'!$A:AA,HLOOKUP('[1]Course Totals'!C$4,'[1]import graded seats course pivo'!$1:$2,2,FALSE),FALSE))),"")</f>
        <v>1</v>
      </c>
      <c r="D503" s="14" t="str">
        <f>IFERROR((VLOOKUP($A503,'[1]import success seats course'!$A:R,HLOOKUP('[1]Course Totals'!D$4,'[1]import success seats course'!$1:$2,2,FALSE),FALSE)/(VLOOKUP($A503,'[1]import graded seats course pivo'!$A:AB,HLOOKUP('[1]Course Totals'!D$4,'[1]import graded seats course pivo'!$1:$2,2,FALSE),FALSE))),"")</f>
        <v/>
      </c>
      <c r="E503" s="14" t="str">
        <f>IFERROR((VLOOKUP($A503,'[1]import success seats course'!$A:S,HLOOKUP('[1]Course Totals'!E$4,'[1]import success seats course'!$1:$2,2,FALSE),FALSE)/(VLOOKUP($A503,'[1]import graded seats course pivo'!$A:AC,HLOOKUP('[1]Course Totals'!E$4,'[1]import graded seats course pivo'!$1:$2,2,FALSE),FALSE))),"")</f>
        <v/>
      </c>
      <c r="F503" s="14" t="str">
        <f>IFERROR((VLOOKUP($A503,'[1]import success seats course'!$A:T,HLOOKUP('[1]Course Totals'!F$4,'[1]import success seats course'!$1:$2,2,FALSE),FALSE)/(VLOOKUP($A503,'[1]import graded seats course pivo'!$A:AD,HLOOKUP('[1]Course Totals'!F$4,'[1]import graded seats course pivo'!$1:$2,2,FALSE),FALSE))),"")</f>
        <v/>
      </c>
      <c r="G503" s="14" t="str">
        <f>IFERROR((VLOOKUP($A503,'[1]import success seats course'!$A:U,HLOOKUP('[1]Course Totals'!G$4,'[1]import success seats course'!$1:$2,2,FALSE),FALSE)/(VLOOKUP($A503,'[1]import graded seats course pivo'!$A:AE,HLOOKUP('[1]Course Totals'!G$4,'[1]import graded seats course pivo'!$1:$2,2,FALSE),FALSE))),"")</f>
        <v/>
      </c>
      <c r="H503" s="14" t="str">
        <f>IFERROR((VLOOKUP($A503,'[1]import success seats course'!$A:V,HLOOKUP('[1]Course Totals'!H$4,'[1]import success seats course'!$1:$2,2,FALSE),FALSE)/(VLOOKUP($A503,'[1]import graded seats course pivo'!$A:AF,HLOOKUP('[1]Course Totals'!H$4,'[1]import graded seats course pivo'!$1:$2,2,FALSE),FALSE))),"")</f>
        <v/>
      </c>
      <c r="I503" s="14">
        <f>IFERROR((VLOOKUP($A503,'[1]import success seats course'!$A:W,HLOOKUP('[1]Course Totals'!I$4,'[1]import success seats course'!$1:$2,2,FALSE),FALSE)/(VLOOKUP($A503,'[1]import graded seats course pivo'!$A:AG,HLOOKUP('[1]Course Totals'!I$4,'[1]import graded seats course pivo'!$1:$2,2,FALSE),FALSE))),"")</f>
        <v>1</v>
      </c>
      <c r="J503" s="14" t="str">
        <f>IFERROR((VLOOKUP($A503,'[1]import success seats course'!$A:X,HLOOKUP('[1]Course Totals'!J$4,'[1]import success seats course'!$1:$2,2,FALSE),FALSE)/(VLOOKUP($A503,'[1]import graded seats course pivo'!$A:AH,HLOOKUP('[1]Course Totals'!J$4,'[1]import graded seats course pivo'!$1:$2,2,FALSE),FALSE))),"")</f>
        <v/>
      </c>
      <c r="K503" s="14" t="str">
        <f>IFERROR((VLOOKUP($A503,'[1]import success seats course'!$A:Y,HLOOKUP('[1]Course Totals'!K$4,'[1]import success seats course'!$1:$2,2,FALSE),FALSE)/(VLOOKUP($A503,'[1]import graded seats course pivo'!$A:AI,HLOOKUP('[1]Course Totals'!K$4,'[1]import graded seats course pivo'!$1:$2,2,FALSE),FALSE))),"")</f>
        <v/>
      </c>
      <c r="L503" s="14" t="str">
        <f>IFERROR((VLOOKUP($A503,'[1]import success seats course'!$A:Z,HLOOKUP('[1]Course Totals'!L$4,'[1]import success seats course'!$1:$2,2,FALSE),FALSE)/(VLOOKUP($A503,'[1]import graded seats course pivo'!$A:AJ,HLOOKUP('[1]Course Totals'!L$4,'[1]import graded seats course pivo'!$1:$2,2,FALSE),FALSE))),"")</f>
        <v/>
      </c>
      <c r="M503" s="14" t="str">
        <f>IFERROR((VLOOKUP($A503,'[1]import success seats course'!$A:AA,HLOOKUP('[1]Course Totals'!M$4,'[1]import success seats course'!$1:$2,2,FALSE),FALSE)/(VLOOKUP($A503,'[1]import graded seats course pivo'!$A:AK,HLOOKUP('[1]Course Totals'!M$4,'[1]import graded seats course pivo'!$1:$2,2,FALSE),FALSE))),"")</f>
        <v/>
      </c>
      <c r="N503" s="14" t="str">
        <f>IFERROR((VLOOKUP($A503,'[1]import success seats course'!$A:AB,HLOOKUP('[1]Course Totals'!N$4,'[1]import success seats course'!$1:$2,2,FALSE),FALSE)/(VLOOKUP($A503,'[1]import graded seats course pivo'!$A:AL,HLOOKUP('[1]Course Totals'!N$4,'[1]import graded seats course pivo'!$1:$2,2,FALSE),FALSE))),"")</f>
        <v/>
      </c>
      <c r="O503" s="14">
        <f>IFERROR((VLOOKUP($A503,'[1]import success seats course'!$A:AC,HLOOKUP('[1]Course Totals'!O$4,'[1]import success seats course'!$1:$2,2,FALSE),FALSE)/(VLOOKUP($A503,'[1]import graded seats course pivo'!$A:AM,HLOOKUP('[1]Course Totals'!O$4,'[1]import graded seats course pivo'!$1:$2,2,FALSE),FALSE))),"")</f>
        <v>1</v>
      </c>
      <c r="P503" s="14" t="str">
        <f>IFERROR((VLOOKUP($A503,'[1]import success seats course'!$A:AD,HLOOKUP('[1]Course Totals'!P$4,'[1]import success seats course'!$1:$2,2,FALSE),FALSE)/(VLOOKUP($A503,'[1]import graded seats course pivo'!$A:AN,HLOOKUP('[1]Course Totals'!P$4,'[1]import graded seats course pivo'!$1:$2,2,FALSE),FALSE))),"")</f>
        <v/>
      </c>
      <c r="Q503" s="14" t="str">
        <f>IFERROR((VLOOKUP($A503,'[1]import success seats course'!$A:AE,HLOOKUP('[1]Course Totals'!Q$4,'[1]import success seats course'!$1:$2,2,FALSE),FALSE)/(VLOOKUP($A503,'[1]import graded seats course pivo'!$A:AO,HLOOKUP('[1]Course Totals'!Q$4,'[1]import graded seats course pivo'!$1:$2,2,FALSE),FALSE))),"")</f>
        <v/>
      </c>
      <c r="R503" s="14" t="str">
        <f>IFERROR((VLOOKUP($A503,'[1]import success seats course'!$A:AF,HLOOKUP('[1]Course Totals'!R$4,'[1]import success seats course'!$1:$2,2,FALSE),FALSE)/(VLOOKUP($A503,'[1]import graded seats course pivo'!$A:AP,HLOOKUP('[1]Course Totals'!R$4,'[1]import graded seats course pivo'!$1:$2,2,FALSE),FALSE))),"")</f>
        <v/>
      </c>
      <c r="S503" s="14" t="str">
        <f>IFERROR((VLOOKUP($A503,'[1]import success seats course'!$A:AG,HLOOKUP('[1]Course Totals'!S$4,'[1]import success seats course'!$1:$2,2,FALSE),FALSE)/(VLOOKUP($A503,'[1]import graded seats course pivo'!$A:AQ,HLOOKUP('[1]Course Totals'!S$4,'[1]import graded seats course pivo'!$1:$2,2,FALSE),FALSE))),"")</f>
        <v/>
      </c>
      <c r="Z503" s="7"/>
      <c r="AA503" s="7"/>
      <c r="AB503" s="7"/>
      <c r="AC503" s="7"/>
    </row>
    <row r="504" spans="1:29" ht="15.75" customHeight="1" x14ac:dyDescent="0.25">
      <c r="A504" s="12" t="s">
        <v>907</v>
      </c>
      <c r="B504" s="14" t="str">
        <f>IFERROR((VLOOKUP($A504,'[1]import success seats course'!$A:P,HLOOKUP('[1]Course Totals'!B$4,'[1]import success seats course'!$1:$2,2,FALSE),FALSE)/(VLOOKUP($A504,'[1]import graded seats course pivo'!$A:Z,HLOOKUP('[1]Course Totals'!B$4,'[1]import graded seats course pivo'!$1:$2,2,FALSE),FALSE))),"")</f>
        <v/>
      </c>
      <c r="C504" s="14" t="str">
        <f>IFERROR((VLOOKUP($A504,'[1]import success seats course'!$A:Q,HLOOKUP('[1]Course Totals'!C$4,'[1]import success seats course'!$1:$2,2,FALSE),FALSE)/(VLOOKUP($A504,'[1]import graded seats course pivo'!$A:AA,HLOOKUP('[1]Course Totals'!C$4,'[1]import graded seats course pivo'!$1:$2,2,FALSE),FALSE))),"")</f>
        <v/>
      </c>
      <c r="D504" s="14">
        <f>IFERROR((VLOOKUP($A504,'[1]import success seats course'!$A:R,HLOOKUP('[1]Course Totals'!D$4,'[1]import success seats course'!$1:$2,2,FALSE),FALSE)/(VLOOKUP($A504,'[1]import graded seats course pivo'!$A:AB,HLOOKUP('[1]Course Totals'!D$4,'[1]import graded seats course pivo'!$1:$2,2,FALSE),FALSE))),"")</f>
        <v>0.93333333333333335</v>
      </c>
      <c r="E504" s="14" t="str">
        <f>IFERROR((VLOOKUP($A504,'[1]import success seats course'!$A:S,HLOOKUP('[1]Course Totals'!E$4,'[1]import success seats course'!$1:$2,2,FALSE),FALSE)/(VLOOKUP($A504,'[1]import graded seats course pivo'!$A:AC,HLOOKUP('[1]Course Totals'!E$4,'[1]import graded seats course pivo'!$1:$2,2,FALSE),FALSE))),"")</f>
        <v/>
      </c>
      <c r="F504" s="14" t="str">
        <f>IFERROR((VLOOKUP($A504,'[1]import success seats course'!$A:T,HLOOKUP('[1]Course Totals'!F$4,'[1]import success seats course'!$1:$2,2,FALSE),FALSE)/(VLOOKUP($A504,'[1]import graded seats course pivo'!$A:AD,HLOOKUP('[1]Course Totals'!F$4,'[1]import graded seats course pivo'!$1:$2,2,FALSE),FALSE))),"")</f>
        <v/>
      </c>
      <c r="G504" s="14" t="str">
        <f>IFERROR((VLOOKUP($A504,'[1]import success seats course'!$A:U,HLOOKUP('[1]Course Totals'!G$4,'[1]import success seats course'!$1:$2,2,FALSE),FALSE)/(VLOOKUP($A504,'[1]import graded seats course pivo'!$A:AE,HLOOKUP('[1]Course Totals'!G$4,'[1]import graded seats course pivo'!$1:$2,2,FALSE),FALSE))),"")</f>
        <v/>
      </c>
      <c r="H504" s="14" t="str">
        <f>IFERROR((VLOOKUP($A504,'[1]import success seats course'!$A:V,HLOOKUP('[1]Course Totals'!H$4,'[1]import success seats course'!$1:$2,2,FALSE),FALSE)/(VLOOKUP($A504,'[1]import graded seats course pivo'!$A:AF,HLOOKUP('[1]Course Totals'!H$4,'[1]import graded seats course pivo'!$1:$2,2,FALSE),FALSE))),"")</f>
        <v/>
      </c>
      <c r="I504" s="14" t="str">
        <f>IFERROR((VLOOKUP($A504,'[1]import success seats course'!$A:W,HLOOKUP('[1]Course Totals'!I$4,'[1]import success seats course'!$1:$2,2,FALSE),FALSE)/(VLOOKUP($A504,'[1]import graded seats course pivo'!$A:AG,HLOOKUP('[1]Course Totals'!I$4,'[1]import graded seats course pivo'!$1:$2,2,FALSE),FALSE))),"")</f>
        <v/>
      </c>
      <c r="J504" s="14">
        <f>IFERROR((VLOOKUP($A504,'[1]import success seats course'!$A:X,HLOOKUP('[1]Course Totals'!J$4,'[1]import success seats course'!$1:$2,2,FALSE),FALSE)/(VLOOKUP($A504,'[1]import graded seats course pivo'!$A:AH,HLOOKUP('[1]Course Totals'!J$4,'[1]import graded seats course pivo'!$1:$2,2,FALSE),FALSE))),"")</f>
        <v>0.95652173913043481</v>
      </c>
      <c r="K504" s="14" t="str">
        <f>IFERROR((VLOOKUP($A504,'[1]import success seats course'!$A:Y,HLOOKUP('[1]Course Totals'!K$4,'[1]import success seats course'!$1:$2,2,FALSE),FALSE)/(VLOOKUP($A504,'[1]import graded seats course pivo'!$A:AI,HLOOKUP('[1]Course Totals'!K$4,'[1]import graded seats course pivo'!$1:$2,2,FALSE),FALSE))),"")</f>
        <v/>
      </c>
      <c r="L504" s="14" t="str">
        <f>IFERROR((VLOOKUP($A504,'[1]import success seats course'!$A:Z,HLOOKUP('[1]Course Totals'!L$4,'[1]import success seats course'!$1:$2,2,FALSE),FALSE)/(VLOOKUP($A504,'[1]import graded seats course pivo'!$A:AJ,HLOOKUP('[1]Course Totals'!L$4,'[1]import graded seats course pivo'!$1:$2,2,FALSE),FALSE))),"")</f>
        <v/>
      </c>
      <c r="M504" s="14">
        <f>IFERROR((VLOOKUP($A504,'[1]import success seats course'!$A:AA,HLOOKUP('[1]Course Totals'!M$4,'[1]import success seats course'!$1:$2,2,FALSE),FALSE)/(VLOOKUP($A504,'[1]import graded seats course pivo'!$A:AK,HLOOKUP('[1]Course Totals'!M$4,'[1]import graded seats course pivo'!$1:$2,2,FALSE),FALSE))),"")</f>
        <v>0.95833333333333337</v>
      </c>
      <c r="N504" s="14" t="str">
        <f>IFERROR((VLOOKUP($A504,'[1]import success seats course'!$A:AB,HLOOKUP('[1]Course Totals'!N$4,'[1]import success seats course'!$1:$2,2,FALSE),FALSE)/(VLOOKUP($A504,'[1]import graded seats course pivo'!$A:AL,HLOOKUP('[1]Course Totals'!N$4,'[1]import graded seats course pivo'!$1:$2,2,FALSE),FALSE))),"")</f>
        <v/>
      </c>
      <c r="O504" s="14" t="str">
        <f>IFERROR((VLOOKUP($A504,'[1]import success seats course'!$A:AC,HLOOKUP('[1]Course Totals'!O$4,'[1]import success seats course'!$1:$2,2,FALSE),FALSE)/(VLOOKUP($A504,'[1]import graded seats course pivo'!$A:AM,HLOOKUP('[1]Course Totals'!O$4,'[1]import graded seats course pivo'!$1:$2,2,FALSE),FALSE))),"")</f>
        <v/>
      </c>
      <c r="P504" s="14">
        <f>IFERROR((VLOOKUP($A504,'[1]import success seats course'!$A:AD,HLOOKUP('[1]Course Totals'!P$4,'[1]import success seats course'!$1:$2,2,FALSE),FALSE)/(VLOOKUP($A504,'[1]import graded seats course pivo'!$A:AN,HLOOKUP('[1]Course Totals'!P$4,'[1]import graded seats course pivo'!$1:$2,2,FALSE),FALSE))),"")</f>
        <v>0.7857142857142857</v>
      </c>
      <c r="Q504" s="14" t="str">
        <f>IFERROR((VLOOKUP($A504,'[1]import success seats course'!$A:AE,HLOOKUP('[1]Course Totals'!Q$4,'[1]import success seats course'!$1:$2,2,FALSE),FALSE)/(VLOOKUP($A504,'[1]import graded seats course pivo'!$A:AO,HLOOKUP('[1]Course Totals'!Q$4,'[1]import graded seats course pivo'!$1:$2,2,FALSE),FALSE))),"")</f>
        <v/>
      </c>
      <c r="R504" s="14" t="str">
        <f>IFERROR((VLOOKUP($A504,'[1]import success seats course'!$A:AF,HLOOKUP('[1]Course Totals'!R$4,'[1]import success seats course'!$1:$2,2,FALSE),FALSE)/(VLOOKUP($A504,'[1]import graded seats course pivo'!$A:AP,HLOOKUP('[1]Course Totals'!R$4,'[1]import graded seats course pivo'!$1:$2,2,FALSE),FALSE))),"")</f>
        <v/>
      </c>
      <c r="S504" s="14" t="str">
        <f>IFERROR((VLOOKUP($A504,'[1]import success seats course'!$A:AG,HLOOKUP('[1]Course Totals'!S$4,'[1]import success seats course'!$1:$2,2,FALSE),FALSE)/(VLOOKUP($A504,'[1]import graded seats course pivo'!$A:AQ,HLOOKUP('[1]Course Totals'!S$4,'[1]import graded seats course pivo'!$1:$2,2,FALSE),FALSE))),"")</f>
        <v/>
      </c>
      <c r="Z504" s="7"/>
      <c r="AA504" s="7"/>
      <c r="AB504" s="7"/>
      <c r="AC504" s="7"/>
    </row>
    <row r="505" spans="1:29" ht="15.75" customHeight="1" x14ac:dyDescent="0.25">
      <c r="A505" s="12" t="s">
        <v>908</v>
      </c>
      <c r="B505" s="14" t="str">
        <f>IFERROR((VLOOKUP($A505,'[1]import success seats course'!$A:P,HLOOKUP('[1]Course Totals'!B$4,'[1]import success seats course'!$1:$2,2,FALSE),FALSE)/(VLOOKUP($A505,'[1]import graded seats course pivo'!$A:Z,HLOOKUP('[1]Course Totals'!B$4,'[1]import graded seats course pivo'!$1:$2,2,FALSE),FALSE))),"")</f>
        <v/>
      </c>
      <c r="C505" s="14" t="str">
        <f>IFERROR((VLOOKUP($A505,'[1]import success seats course'!$A:Q,HLOOKUP('[1]Course Totals'!C$4,'[1]import success seats course'!$1:$2,2,FALSE),FALSE)/(VLOOKUP($A505,'[1]import graded seats course pivo'!$A:AA,HLOOKUP('[1]Course Totals'!C$4,'[1]import graded seats course pivo'!$1:$2,2,FALSE),FALSE))),"")</f>
        <v/>
      </c>
      <c r="D505" s="14">
        <f>IFERROR((VLOOKUP($A505,'[1]import success seats course'!$A:R,HLOOKUP('[1]Course Totals'!D$4,'[1]import success seats course'!$1:$2,2,FALSE),FALSE)/(VLOOKUP($A505,'[1]import graded seats course pivo'!$A:AB,HLOOKUP('[1]Course Totals'!D$4,'[1]import graded seats course pivo'!$1:$2,2,FALSE),FALSE))),"")</f>
        <v>1</v>
      </c>
      <c r="E505" s="14" t="str">
        <f>IFERROR((VLOOKUP($A505,'[1]import success seats course'!$A:S,HLOOKUP('[1]Course Totals'!E$4,'[1]import success seats course'!$1:$2,2,FALSE),FALSE)/(VLOOKUP($A505,'[1]import graded seats course pivo'!$A:AC,HLOOKUP('[1]Course Totals'!E$4,'[1]import graded seats course pivo'!$1:$2,2,FALSE),FALSE))),"")</f>
        <v/>
      </c>
      <c r="F505" s="14" t="str">
        <f>IFERROR((VLOOKUP($A505,'[1]import success seats course'!$A:T,HLOOKUP('[1]Course Totals'!F$4,'[1]import success seats course'!$1:$2,2,FALSE),FALSE)/(VLOOKUP($A505,'[1]import graded seats course pivo'!$A:AD,HLOOKUP('[1]Course Totals'!F$4,'[1]import graded seats course pivo'!$1:$2,2,FALSE),FALSE))),"")</f>
        <v/>
      </c>
      <c r="G505" s="14" t="str">
        <f>IFERROR((VLOOKUP($A505,'[1]import success seats course'!$A:U,HLOOKUP('[1]Course Totals'!G$4,'[1]import success seats course'!$1:$2,2,FALSE),FALSE)/(VLOOKUP($A505,'[1]import graded seats course pivo'!$A:AE,HLOOKUP('[1]Course Totals'!G$4,'[1]import graded seats course pivo'!$1:$2,2,FALSE),FALSE))),"")</f>
        <v/>
      </c>
      <c r="H505" s="14" t="str">
        <f>IFERROR((VLOOKUP($A505,'[1]import success seats course'!$A:V,HLOOKUP('[1]Course Totals'!H$4,'[1]import success seats course'!$1:$2,2,FALSE),FALSE)/(VLOOKUP($A505,'[1]import graded seats course pivo'!$A:AF,HLOOKUP('[1]Course Totals'!H$4,'[1]import graded seats course pivo'!$1:$2,2,FALSE),FALSE))),"")</f>
        <v/>
      </c>
      <c r="I505" s="14" t="str">
        <f>IFERROR((VLOOKUP($A505,'[1]import success seats course'!$A:W,HLOOKUP('[1]Course Totals'!I$4,'[1]import success seats course'!$1:$2,2,FALSE),FALSE)/(VLOOKUP($A505,'[1]import graded seats course pivo'!$A:AG,HLOOKUP('[1]Course Totals'!I$4,'[1]import graded seats course pivo'!$1:$2,2,FALSE),FALSE))),"")</f>
        <v/>
      </c>
      <c r="J505" s="14">
        <f>IFERROR((VLOOKUP($A505,'[1]import success seats course'!$A:X,HLOOKUP('[1]Course Totals'!J$4,'[1]import success seats course'!$1:$2,2,FALSE),FALSE)/(VLOOKUP($A505,'[1]import graded seats course pivo'!$A:AH,HLOOKUP('[1]Course Totals'!J$4,'[1]import graded seats course pivo'!$1:$2,2,FALSE),FALSE))),"")</f>
        <v>1</v>
      </c>
      <c r="K505" s="14" t="str">
        <f>IFERROR((VLOOKUP($A505,'[1]import success seats course'!$A:Y,HLOOKUP('[1]Course Totals'!K$4,'[1]import success seats course'!$1:$2,2,FALSE),FALSE)/(VLOOKUP($A505,'[1]import graded seats course pivo'!$A:AI,HLOOKUP('[1]Course Totals'!K$4,'[1]import graded seats course pivo'!$1:$2,2,FALSE),FALSE))),"")</f>
        <v/>
      </c>
      <c r="L505" s="14" t="str">
        <f>IFERROR((VLOOKUP($A505,'[1]import success seats course'!$A:Z,HLOOKUP('[1]Course Totals'!L$4,'[1]import success seats course'!$1:$2,2,FALSE),FALSE)/(VLOOKUP($A505,'[1]import graded seats course pivo'!$A:AJ,HLOOKUP('[1]Course Totals'!L$4,'[1]import graded seats course pivo'!$1:$2,2,FALSE),FALSE))),"")</f>
        <v/>
      </c>
      <c r="M505" s="14" t="str">
        <f>IFERROR((VLOOKUP($A505,'[1]import success seats course'!$A:AA,HLOOKUP('[1]Course Totals'!M$4,'[1]import success seats course'!$1:$2,2,FALSE),FALSE)/(VLOOKUP($A505,'[1]import graded seats course pivo'!$A:AK,HLOOKUP('[1]Course Totals'!M$4,'[1]import graded seats course pivo'!$1:$2,2,FALSE),FALSE))),"")</f>
        <v/>
      </c>
      <c r="N505" s="14" t="str">
        <f>IFERROR((VLOOKUP($A505,'[1]import success seats course'!$A:AB,HLOOKUP('[1]Course Totals'!N$4,'[1]import success seats course'!$1:$2,2,FALSE),FALSE)/(VLOOKUP($A505,'[1]import graded seats course pivo'!$A:AL,HLOOKUP('[1]Course Totals'!N$4,'[1]import graded seats course pivo'!$1:$2,2,FALSE),FALSE))),"")</f>
        <v/>
      </c>
      <c r="O505" s="14" t="str">
        <f>IFERROR((VLOOKUP($A505,'[1]import success seats course'!$A:AC,HLOOKUP('[1]Course Totals'!O$4,'[1]import success seats course'!$1:$2,2,FALSE),FALSE)/(VLOOKUP($A505,'[1]import graded seats course pivo'!$A:AM,HLOOKUP('[1]Course Totals'!O$4,'[1]import graded seats course pivo'!$1:$2,2,FALSE),FALSE))),"")</f>
        <v/>
      </c>
      <c r="P505" s="14">
        <f>IFERROR((VLOOKUP($A505,'[1]import success seats course'!$A:AD,HLOOKUP('[1]Course Totals'!P$4,'[1]import success seats course'!$1:$2,2,FALSE),FALSE)/(VLOOKUP($A505,'[1]import graded seats course pivo'!$A:AN,HLOOKUP('[1]Course Totals'!P$4,'[1]import graded seats course pivo'!$1:$2,2,FALSE),FALSE))),"")</f>
        <v>1</v>
      </c>
      <c r="Q505" s="14" t="str">
        <f>IFERROR((VLOOKUP($A505,'[1]import success seats course'!$A:AE,HLOOKUP('[1]Course Totals'!Q$4,'[1]import success seats course'!$1:$2,2,FALSE),FALSE)/(VLOOKUP($A505,'[1]import graded seats course pivo'!$A:AO,HLOOKUP('[1]Course Totals'!Q$4,'[1]import graded seats course pivo'!$1:$2,2,FALSE),FALSE))),"")</f>
        <v/>
      </c>
      <c r="R505" s="14" t="str">
        <f>IFERROR((VLOOKUP($A505,'[1]import success seats course'!$A:AF,HLOOKUP('[1]Course Totals'!R$4,'[1]import success seats course'!$1:$2,2,FALSE),FALSE)/(VLOOKUP($A505,'[1]import graded seats course pivo'!$A:AP,HLOOKUP('[1]Course Totals'!R$4,'[1]import graded seats course pivo'!$1:$2,2,FALSE),FALSE))),"")</f>
        <v/>
      </c>
      <c r="S505" s="14" t="str">
        <f>IFERROR((VLOOKUP($A505,'[1]import success seats course'!$A:AG,HLOOKUP('[1]Course Totals'!S$4,'[1]import success seats course'!$1:$2,2,FALSE),FALSE)/(VLOOKUP($A505,'[1]import graded seats course pivo'!$A:AQ,HLOOKUP('[1]Course Totals'!S$4,'[1]import graded seats course pivo'!$1:$2,2,FALSE),FALSE))),"")</f>
        <v/>
      </c>
      <c r="Z505" s="7"/>
      <c r="AA505" s="7"/>
      <c r="AB505" s="7"/>
      <c r="AC505" s="7"/>
    </row>
    <row r="506" spans="1:29" ht="15.75" customHeight="1" x14ac:dyDescent="0.25">
      <c r="A506" s="12" t="s">
        <v>250</v>
      </c>
      <c r="B506" s="14" t="str">
        <f>IFERROR((VLOOKUP($A506,'[1]import success seats course'!$A:P,HLOOKUP('[1]Course Totals'!B$4,'[1]import success seats course'!$1:$2,2,FALSE),FALSE)/(VLOOKUP($A506,'[1]import graded seats course pivo'!$A:Z,HLOOKUP('[1]Course Totals'!B$4,'[1]import graded seats course pivo'!$1:$2,2,FALSE),FALSE))),"")</f>
        <v/>
      </c>
      <c r="C506" s="14">
        <f>IFERROR((VLOOKUP($A506,'[1]import success seats course'!$A:Q,HLOOKUP('[1]Course Totals'!C$4,'[1]import success seats course'!$1:$2,2,FALSE),FALSE)/(VLOOKUP($A506,'[1]import graded seats course pivo'!$A:AA,HLOOKUP('[1]Course Totals'!C$4,'[1]import graded seats course pivo'!$1:$2,2,FALSE),FALSE))),"")</f>
        <v>0.83333333333333337</v>
      </c>
      <c r="D506" s="14" t="str">
        <f>IFERROR((VLOOKUP($A506,'[1]import success seats course'!$A:R,HLOOKUP('[1]Course Totals'!D$4,'[1]import success seats course'!$1:$2,2,FALSE),FALSE)/(VLOOKUP($A506,'[1]import graded seats course pivo'!$A:AB,HLOOKUP('[1]Course Totals'!D$4,'[1]import graded seats course pivo'!$1:$2,2,FALSE),FALSE))),"")</f>
        <v/>
      </c>
      <c r="E506" s="14" t="str">
        <f>IFERROR((VLOOKUP($A506,'[1]import success seats course'!$A:S,HLOOKUP('[1]Course Totals'!E$4,'[1]import success seats course'!$1:$2,2,FALSE),FALSE)/(VLOOKUP($A506,'[1]import graded seats course pivo'!$A:AC,HLOOKUP('[1]Course Totals'!E$4,'[1]import graded seats course pivo'!$1:$2,2,FALSE),FALSE))),"")</f>
        <v/>
      </c>
      <c r="F506" s="14" t="str">
        <f>IFERROR((VLOOKUP($A506,'[1]import success seats course'!$A:T,HLOOKUP('[1]Course Totals'!F$4,'[1]import success seats course'!$1:$2,2,FALSE),FALSE)/(VLOOKUP($A506,'[1]import graded seats course pivo'!$A:AD,HLOOKUP('[1]Course Totals'!F$4,'[1]import graded seats course pivo'!$1:$2,2,FALSE),FALSE))),"")</f>
        <v/>
      </c>
      <c r="G506" s="14" t="str">
        <f>IFERROR((VLOOKUP($A506,'[1]import success seats course'!$A:U,HLOOKUP('[1]Course Totals'!G$4,'[1]import success seats course'!$1:$2,2,FALSE),FALSE)/(VLOOKUP($A506,'[1]import graded seats course pivo'!$A:AE,HLOOKUP('[1]Course Totals'!G$4,'[1]import graded seats course pivo'!$1:$2,2,FALSE),FALSE))),"")</f>
        <v/>
      </c>
      <c r="H506" s="14" t="str">
        <f>IFERROR((VLOOKUP($A506,'[1]import success seats course'!$A:V,HLOOKUP('[1]Course Totals'!H$4,'[1]import success seats course'!$1:$2,2,FALSE),FALSE)/(VLOOKUP($A506,'[1]import graded seats course pivo'!$A:AF,HLOOKUP('[1]Course Totals'!H$4,'[1]import graded seats course pivo'!$1:$2,2,FALSE),FALSE))),"")</f>
        <v/>
      </c>
      <c r="I506" s="14">
        <f>IFERROR((VLOOKUP($A506,'[1]import success seats course'!$A:W,HLOOKUP('[1]Course Totals'!I$4,'[1]import success seats course'!$1:$2,2,FALSE),FALSE)/(VLOOKUP($A506,'[1]import graded seats course pivo'!$A:AG,HLOOKUP('[1]Course Totals'!I$4,'[1]import graded seats course pivo'!$1:$2,2,FALSE),FALSE))),"")</f>
        <v>0.96</v>
      </c>
      <c r="J506" s="14" t="str">
        <f>IFERROR((VLOOKUP($A506,'[1]import success seats course'!$A:X,HLOOKUP('[1]Course Totals'!J$4,'[1]import success seats course'!$1:$2,2,FALSE),FALSE)/(VLOOKUP($A506,'[1]import graded seats course pivo'!$A:AH,HLOOKUP('[1]Course Totals'!J$4,'[1]import graded seats course pivo'!$1:$2,2,FALSE),FALSE))),"")</f>
        <v/>
      </c>
      <c r="K506" s="14" t="str">
        <f>IFERROR((VLOOKUP($A506,'[1]import success seats course'!$A:Y,HLOOKUP('[1]Course Totals'!K$4,'[1]import success seats course'!$1:$2,2,FALSE),FALSE)/(VLOOKUP($A506,'[1]import graded seats course pivo'!$A:AI,HLOOKUP('[1]Course Totals'!K$4,'[1]import graded seats course pivo'!$1:$2,2,FALSE),FALSE))),"")</f>
        <v/>
      </c>
      <c r="L506" s="14" t="str">
        <f>IFERROR((VLOOKUP($A506,'[1]import success seats course'!$A:Z,HLOOKUP('[1]Course Totals'!L$4,'[1]import success seats course'!$1:$2,2,FALSE),FALSE)/(VLOOKUP($A506,'[1]import graded seats course pivo'!$A:AJ,HLOOKUP('[1]Course Totals'!L$4,'[1]import graded seats course pivo'!$1:$2,2,FALSE),FALSE))),"")</f>
        <v/>
      </c>
      <c r="M506" s="14" t="str">
        <f>IFERROR((VLOOKUP($A506,'[1]import success seats course'!$A:AA,HLOOKUP('[1]Course Totals'!M$4,'[1]import success seats course'!$1:$2,2,FALSE),FALSE)/(VLOOKUP($A506,'[1]import graded seats course pivo'!$A:AK,HLOOKUP('[1]Course Totals'!M$4,'[1]import graded seats course pivo'!$1:$2,2,FALSE),FALSE))),"")</f>
        <v/>
      </c>
      <c r="N506" s="14" t="str">
        <f>IFERROR((VLOOKUP($A506,'[1]import success seats course'!$A:AB,HLOOKUP('[1]Course Totals'!N$4,'[1]import success seats course'!$1:$2,2,FALSE),FALSE)/(VLOOKUP($A506,'[1]import graded seats course pivo'!$A:AL,HLOOKUP('[1]Course Totals'!N$4,'[1]import graded seats course pivo'!$1:$2,2,FALSE),FALSE))),"")</f>
        <v/>
      </c>
      <c r="O506" s="14" t="str">
        <f>IFERROR((VLOOKUP($A506,'[1]import success seats course'!$A:AC,HLOOKUP('[1]Course Totals'!O$4,'[1]import success seats course'!$1:$2,2,FALSE),FALSE)/(VLOOKUP($A506,'[1]import graded seats course pivo'!$A:AM,HLOOKUP('[1]Course Totals'!O$4,'[1]import graded seats course pivo'!$1:$2,2,FALSE),FALSE))),"")</f>
        <v/>
      </c>
      <c r="P506" s="14" t="str">
        <f>IFERROR((VLOOKUP($A506,'[1]import success seats course'!$A:AD,HLOOKUP('[1]Course Totals'!P$4,'[1]import success seats course'!$1:$2,2,FALSE),FALSE)/(VLOOKUP($A506,'[1]import graded seats course pivo'!$A:AN,HLOOKUP('[1]Course Totals'!P$4,'[1]import graded seats course pivo'!$1:$2,2,FALSE),FALSE))),"")</f>
        <v/>
      </c>
      <c r="Q506" s="14" t="str">
        <f>IFERROR((VLOOKUP($A506,'[1]import success seats course'!$A:AE,HLOOKUP('[1]Course Totals'!Q$4,'[1]import success seats course'!$1:$2,2,FALSE),FALSE)/(VLOOKUP($A506,'[1]import graded seats course pivo'!$A:AO,HLOOKUP('[1]Course Totals'!Q$4,'[1]import graded seats course pivo'!$1:$2,2,FALSE),FALSE))),"")</f>
        <v/>
      </c>
      <c r="R506" s="14" t="str">
        <f>IFERROR((VLOOKUP($A506,'[1]import success seats course'!$A:AF,HLOOKUP('[1]Course Totals'!R$4,'[1]import success seats course'!$1:$2,2,FALSE),FALSE)/(VLOOKUP($A506,'[1]import graded seats course pivo'!$A:AP,HLOOKUP('[1]Course Totals'!R$4,'[1]import graded seats course pivo'!$1:$2,2,FALSE),FALSE))),"")</f>
        <v/>
      </c>
      <c r="S506" s="14" t="str">
        <f>IFERROR((VLOOKUP($A506,'[1]import success seats course'!$A:AG,HLOOKUP('[1]Course Totals'!S$4,'[1]import success seats course'!$1:$2,2,FALSE),FALSE)/(VLOOKUP($A506,'[1]import graded seats course pivo'!$A:AQ,HLOOKUP('[1]Course Totals'!S$4,'[1]import graded seats course pivo'!$1:$2,2,FALSE),FALSE))),"")</f>
        <v/>
      </c>
      <c r="Z506" s="7"/>
      <c r="AA506" s="7"/>
      <c r="AB506" s="7"/>
      <c r="AC506" s="7"/>
    </row>
    <row r="507" spans="1:29" ht="15.75" customHeight="1" x14ac:dyDescent="0.25">
      <c r="A507" s="12" t="s">
        <v>251</v>
      </c>
      <c r="B507" s="14" t="str">
        <f>IFERROR((VLOOKUP($A507,'[1]import success seats course'!$A:P,HLOOKUP('[1]Course Totals'!B$4,'[1]import success seats course'!$1:$2,2,FALSE),FALSE)/(VLOOKUP($A507,'[1]import graded seats course pivo'!$A:Z,HLOOKUP('[1]Course Totals'!B$4,'[1]import graded seats course pivo'!$1:$2,2,FALSE),FALSE))),"")</f>
        <v/>
      </c>
      <c r="C507" s="14">
        <f>IFERROR((VLOOKUP($A507,'[1]import success seats course'!$A:Q,HLOOKUP('[1]Course Totals'!C$4,'[1]import success seats course'!$1:$2,2,FALSE),FALSE)/(VLOOKUP($A507,'[1]import graded seats course pivo'!$A:AA,HLOOKUP('[1]Course Totals'!C$4,'[1]import graded seats course pivo'!$1:$2,2,FALSE),FALSE))),"")</f>
        <v>1</v>
      </c>
      <c r="D507" s="14" t="str">
        <f>IFERROR((VLOOKUP($A507,'[1]import success seats course'!$A:R,HLOOKUP('[1]Course Totals'!D$4,'[1]import success seats course'!$1:$2,2,FALSE),FALSE)/(VLOOKUP($A507,'[1]import graded seats course pivo'!$A:AB,HLOOKUP('[1]Course Totals'!D$4,'[1]import graded seats course pivo'!$1:$2,2,FALSE),FALSE))),"")</f>
        <v/>
      </c>
      <c r="E507" s="14" t="str">
        <f>IFERROR((VLOOKUP($A507,'[1]import success seats course'!$A:S,HLOOKUP('[1]Course Totals'!E$4,'[1]import success seats course'!$1:$2,2,FALSE),FALSE)/(VLOOKUP($A507,'[1]import graded seats course pivo'!$A:AC,HLOOKUP('[1]Course Totals'!E$4,'[1]import graded seats course pivo'!$1:$2,2,FALSE),FALSE))),"")</f>
        <v/>
      </c>
      <c r="F507" s="14" t="str">
        <f>IFERROR((VLOOKUP($A507,'[1]import success seats course'!$A:T,HLOOKUP('[1]Course Totals'!F$4,'[1]import success seats course'!$1:$2,2,FALSE),FALSE)/(VLOOKUP($A507,'[1]import graded seats course pivo'!$A:AD,HLOOKUP('[1]Course Totals'!F$4,'[1]import graded seats course pivo'!$1:$2,2,FALSE),FALSE))),"")</f>
        <v/>
      </c>
      <c r="G507" s="14" t="str">
        <f>IFERROR((VLOOKUP($A507,'[1]import success seats course'!$A:U,HLOOKUP('[1]Course Totals'!G$4,'[1]import success seats course'!$1:$2,2,FALSE),FALSE)/(VLOOKUP($A507,'[1]import graded seats course pivo'!$A:AE,HLOOKUP('[1]Course Totals'!G$4,'[1]import graded seats course pivo'!$1:$2,2,FALSE),FALSE))),"")</f>
        <v/>
      </c>
      <c r="H507" s="14" t="str">
        <f>IFERROR((VLOOKUP($A507,'[1]import success seats course'!$A:V,HLOOKUP('[1]Course Totals'!H$4,'[1]import success seats course'!$1:$2,2,FALSE),FALSE)/(VLOOKUP($A507,'[1]import graded seats course pivo'!$A:AF,HLOOKUP('[1]Course Totals'!H$4,'[1]import graded seats course pivo'!$1:$2,2,FALSE),FALSE))),"")</f>
        <v/>
      </c>
      <c r="I507" s="14">
        <f>IFERROR((VLOOKUP($A507,'[1]import success seats course'!$A:W,HLOOKUP('[1]Course Totals'!I$4,'[1]import success seats course'!$1:$2,2,FALSE),FALSE)/(VLOOKUP($A507,'[1]import graded seats course pivo'!$A:AG,HLOOKUP('[1]Course Totals'!I$4,'[1]import graded seats course pivo'!$1:$2,2,FALSE),FALSE))),"")</f>
        <v>1</v>
      </c>
      <c r="J507" s="14" t="str">
        <f>IFERROR((VLOOKUP($A507,'[1]import success seats course'!$A:X,HLOOKUP('[1]Course Totals'!J$4,'[1]import success seats course'!$1:$2,2,FALSE),FALSE)/(VLOOKUP($A507,'[1]import graded seats course pivo'!$A:AH,HLOOKUP('[1]Course Totals'!J$4,'[1]import graded seats course pivo'!$1:$2,2,FALSE),FALSE))),"")</f>
        <v/>
      </c>
      <c r="K507" s="14" t="str">
        <f>IFERROR((VLOOKUP($A507,'[1]import success seats course'!$A:Y,HLOOKUP('[1]Course Totals'!K$4,'[1]import success seats course'!$1:$2,2,FALSE),FALSE)/(VLOOKUP($A507,'[1]import graded seats course pivo'!$A:AI,HLOOKUP('[1]Course Totals'!K$4,'[1]import graded seats course pivo'!$1:$2,2,FALSE),FALSE))),"")</f>
        <v/>
      </c>
      <c r="L507" s="14" t="str">
        <f>IFERROR((VLOOKUP($A507,'[1]import success seats course'!$A:Z,HLOOKUP('[1]Course Totals'!L$4,'[1]import success seats course'!$1:$2,2,FALSE),FALSE)/(VLOOKUP($A507,'[1]import graded seats course pivo'!$A:AJ,HLOOKUP('[1]Course Totals'!L$4,'[1]import graded seats course pivo'!$1:$2,2,FALSE),FALSE))),"")</f>
        <v/>
      </c>
      <c r="M507" s="14" t="str">
        <f>IFERROR((VLOOKUP($A507,'[1]import success seats course'!$A:AA,HLOOKUP('[1]Course Totals'!M$4,'[1]import success seats course'!$1:$2,2,FALSE),FALSE)/(VLOOKUP($A507,'[1]import graded seats course pivo'!$A:AK,HLOOKUP('[1]Course Totals'!M$4,'[1]import graded seats course pivo'!$1:$2,2,FALSE),FALSE))),"")</f>
        <v/>
      </c>
      <c r="N507" s="14" t="str">
        <f>IFERROR((VLOOKUP($A507,'[1]import success seats course'!$A:AB,HLOOKUP('[1]Course Totals'!N$4,'[1]import success seats course'!$1:$2,2,FALSE),FALSE)/(VLOOKUP($A507,'[1]import graded seats course pivo'!$A:AL,HLOOKUP('[1]Course Totals'!N$4,'[1]import graded seats course pivo'!$1:$2,2,FALSE),FALSE))),"")</f>
        <v/>
      </c>
      <c r="O507" s="14" t="str">
        <f>IFERROR((VLOOKUP($A507,'[1]import success seats course'!$A:AC,HLOOKUP('[1]Course Totals'!O$4,'[1]import success seats course'!$1:$2,2,FALSE),FALSE)/(VLOOKUP($A507,'[1]import graded seats course pivo'!$A:AM,HLOOKUP('[1]Course Totals'!O$4,'[1]import graded seats course pivo'!$1:$2,2,FALSE),FALSE))),"")</f>
        <v/>
      </c>
      <c r="P507" s="14" t="str">
        <f>IFERROR((VLOOKUP($A507,'[1]import success seats course'!$A:AD,HLOOKUP('[1]Course Totals'!P$4,'[1]import success seats course'!$1:$2,2,FALSE),FALSE)/(VLOOKUP($A507,'[1]import graded seats course pivo'!$A:AN,HLOOKUP('[1]Course Totals'!P$4,'[1]import graded seats course pivo'!$1:$2,2,FALSE),FALSE))),"")</f>
        <v/>
      </c>
      <c r="Q507" s="14" t="str">
        <f>IFERROR((VLOOKUP($A507,'[1]import success seats course'!$A:AE,HLOOKUP('[1]Course Totals'!Q$4,'[1]import success seats course'!$1:$2,2,FALSE),FALSE)/(VLOOKUP($A507,'[1]import graded seats course pivo'!$A:AO,HLOOKUP('[1]Course Totals'!Q$4,'[1]import graded seats course pivo'!$1:$2,2,FALSE),FALSE))),"")</f>
        <v/>
      </c>
      <c r="R507" s="14" t="str">
        <f>IFERROR((VLOOKUP($A507,'[1]import success seats course'!$A:AF,HLOOKUP('[1]Course Totals'!R$4,'[1]import success seats course'!$1:$2,2,FALSE),FALSE)/(VLOOKUP($A507,'[1]import graded seats course pivo'!$A:AP,HLOOKUP('[1]Course Totals'!R$4,'[1]import graded seats course pivo'!$1:$2,2,FALSE),FALSE))),"")</f>
        <v/>
      </c>
      <c r="S507" s="14" t="str">
        <f>IFERROR((VLOOKUP($A507,'[1]import success seats course'!$A:AG,HLOOKUP('[1]Course Totals'!S$4,'[1]import success seats course'!$1:$2,2,FALSE),FALSE)/(VLOOKUP($A507,'[1]import graded seats course pivo'!$A:AQ,HLOOKUP('[1]Course Totals'!S$4,'[1]import graded seats course pivo'!$1:$2,2,FALSE),FALSE))),"")</f>
        <v/>
      </c>
      <c r="Z507" s="7"/>
      <c r="AA507" s="7"/>
      <c r="AB507" s="7"/>
      <c r="AC507" s="7"/>
    </row>
    <row r="508" spans="1:29" ht="15.75" customHeight="1" x14ac:dyDescent="0.25">
      <c r="A508" s="12" t="s">
        <v>252</v>
      </c>
      <c r="B508" s="14" t="str">
        <f>IFERROR((VLOOKUP($A508,'[1]import success seats course'!$A:P,HLOOKUP('[1]Course Totals'!B$4,'[1]import success seats course'!$1:$2,2,FALSE),FALSE)/(VLOOKUP($A508,'[1]import graded seats course pivo'!$A:Z,HLOOKUP('[1]Course Totals'!B$4,'[1]import graded seats course pivo'!$1:$2,2,FALSE),FALSE))),"")</f>
        <v/>
      </c>
      <c r="C508" s="14">
        <f>IFERROR((VLOOKUP($A508,'[1]import success seats course'!$A:Q,HLOOKUP('[1]Course Totals'!C$4,'[1]import success seats course'!$1:$2,2,FALSE),FALSE)/(VLOOKUP($A508,'[1]import graded seats course pivo'!$A:AA,HLOOKUP('[1]Course Totals'!C$4,'[1]import graded seats course pivo'!$1:$2,2,FALSE),FALSE))),"")</f>
        <v>0.72727272727272729</v>
      </c>
      <c r="D508" s="14">
        <f>IFERROR((VLOOKUP($A508,'[1]import success seats course'!$A:R,HLOOKUP('[1]Course Totals'!D$4,'[1]import success seats course'!$1:$2,2,FALSE),FALSE)/(VLOOKUP($A508,'[1]import graded seats course pivo'!$A:AB,HLOOKUP('[1]Course Totals'!D$4,'[1]import graded seats course pivo'!$1:$2,2,FALSE),FALSE))),"")</f>
        <v>0.76470588235294112</v>
      </c>
      <c r="E508" s="14" t="str">
        <f>IFERROR((VLOOKUP($A508,'[1]import success seats course'!$A:S,HLOOKUP('[1]Course Totals'!E$4,'[1]import success seats course'!$1:$2,2,FALSE),FALSE)/(VLOOKUP($A508,'[1]import graded seats course pivo'!$A:AC,HLOOKUP('[1]Course Totals'!E$4,'[1]import graded seats course pivo'!$1:$2,2,FALSE),FALSE))),"")</f>
        <v/>
      </c>
      <c r="F508" s="14">
        <f>IFERROR((VLOOKUP($A508,'[1]import success seats course'!$A:T,HLOOKUP('[1]Course Totals'!F$4,'[1]import success seats course'!$1:$2,2,FALSE),FALSE)/(VLOOKUP($A508,'[1]import graded seats course pivo'!$A:AD,HLOOKUP('[1]Course Totals'!F$4,'[1]import graded seats course pivo'!$1:$2,2,FALSE),FALSE))),"")</f>
        <v>0.83333333333333337</v>
      </c>
      <c r="G508" s="14">
        <f>IFERROR((VLOOKUP($A508,'[1]import success seats course'!$A:U,HLOOKUP('[1]Course Totals'!G$4,'[1]import success seats course'!$1:$2,2,FALSE),FALSE)/(VLOOKUP($A508,'[1]import graded seats course pivo'!$A:AE,HLOOKUP('[1]Course Totals'!G$4,'[1]import graded seats course pivo'!$1:$2,2,FALSE),FALSE))),"")</f>
        <v>0.875</v>
      </c>
      <c r="H508" s="14" t="str">
        <f>IFERROR((VLOOKUP($A508,'[1]import success seats course'!$A:V,HLOOKUP('[1]Course Totals'!H$4,'[1]import success seats course'!$1:$2,2,FALSE),FALSE)/(VLOOKUP($A508,'[1]import graded seats course pivo'!$A:AF,HLOOKUP('[1]Course Totals'!H$4,'[1]import graded seats course pivo'!$1:$2,2,FALSE),FALSE))),"")</f>
        <v/>
      </c>
      <c r="I508" s="14" t="str">
        <f>IFERROR((VLOOKUP($A508,'[1]import success seats course'!$A:W,HLOOKUP('[1]Course Totals'!I$4,'[1]import success seats course'!$1:$2,2,FALSE),FALSE)/(VLOOKUP($A508,'[1]import graded seats course pivo'!$A:AG,HLOOKUP('[1]Course Totals'!I$4,'[1]import graded seats course pivo'!$1:$2,2,FALSE),FALSE))),"")</f>
        <v/>
      </c>
      <c r="J508" s="14" t="str">
        <f>IFERROR((VLOOKUP($A508,'[1]import success seats course'!$A:X,HLOOKUP('[1]Course Totals'!J$4,'[1]import success seats course'!$1:$2,2,FALSE),FALSE)/(VLOOKUP($A508,'[1]import graded seats course pivo'!$A:AH,HLOOKUP('[1]Course Totals'!J$4,'[1]import graded seats course pivo'!$1:$2,2,FALSE),FALSE))),"")</f>
        <v/>
      </c>
      <c r="K508" s="14" t="str">
        <f>IFERROR((VLOOKUP($A508,'[1]import success seats course'!$A:Y,HLOOKUP('[1]Course Totals'!K$4,'[1]import success seats course'!$1:$2,2,FALSE),FALSE)/(VLOOKUP($A508,'[1]import graded seats course pivo'!$A:AI,HLOOKUP('[1]Course Totals'!K$4,'[1]import graded seats course pivo'!$1:$2,2,FALSE),FALSE))),"")</f>
        <v/>
      </c>
      <c r="L508" s="14">
        <f>IFERROR((VLOOKUP($A508,'[1]import success seats course'!$A:Z,HLOOKUP('[1]Course Totals'!L$4,'[1]import success seats course'!$1:$2,2,FALSE),FALSE)/(VLOOKUP($A508,'[1]import graded seats course pivo'!$A:AJ,HLOOKUP('[1]Course Totals'!L$4,'[1]import graded seats course pivo'!$1:$2,2,FALSE),FALSE))),"")</f>
        <v>0.80645161290322576</v>
      </c>
      <c r="M508" s="14" t="str">
        <f>IFERROR((VLOOKUP($A508,'[1]import success seats course'!$A:AA,HLOOKUP('[1]Course Totals'!M$4,'[1]import success seats course'!$1:$2,2,FALSE),FALSE)/(VLOOKUP($A508,'[1]import graded seats course pivo'!$A:AK,HLOOKUP('[1]Course Totals'!M$4,'[1]import graded seats course pivo'!$1:$2,2,FALSE),FALSE))),"")</f>
        <v/>
      </c>
      <c r="N508" s="14" t="str">
        <f>IFERROR((VLOOKUP($A508,'[1]import success seats course'!$A:AB,HLOOKUP('[1]Course Totals'!N$4,'[1]import success seats course'!$1:$2,2,FALSE),FALSE)/(VLOOKUP($A508,'[1]import graded seats course pivo'!$A:AL,HLOOKUP('[1]Course Totals'!N$4,'[1]import graded seats course pivo'!$1:$2,2,FALSE),FALSE))),"")</f>
        <v/>
      </c>
      <c r="O508" s="14" t="str">
        <f>IFERROR((VLOOKUP($A508,'[1]import success seats course'!$A:AC,HLOOKUP('[1]Course Totals'!O$4,'[1]import success seats course'!$1:$2,2,FALSE),FALSE)/(VLOOKUP($A508,'[1]import graded seats course pivo'!$A:AM,HLOOKUP('[1]Course Totals'!O$4,'[1]import graded seats course pivo'!$1:$2,2,FALSE),FALSE))),"")</f>
        <v/>
      </c>
      <c r="P508" s="14" t="str">
        <f>IFERROR((VLOOKUP($A508,'[1]import success seats course'!$A:AD,HLOOKUP('[1]Course Totals'!P$4,'[1]import success seats course'!$1:$2,2,FALSE),FALSE)/(VLOOKUP($A508,'[1]import graded seats course pivo'!$A:AN,HLOOKUP('[1]Course Totals'!P$4,'[1]import graded seats course pivo'!$1:$2,2,FALSE),FALSE))),"")</f>
        <v/>
      </c>
      <c r="Q508" s="14" t="str">
        <f>IFERROR((VLOOKUP($A508,'[1]import success seats course'!$A:AE,HLOOKUP('[1]Course Totals'!Q$4,'[1]import success seats course'!$1:$2,2,FALSE),FALSE)/(VLOOKUP($A508,'[1]import graded seats course pivo'!$A:AO,HLOOKUP('[1]Course Totals'!Q$4,'[1]import graded seats course pivo'!$1:$2,2,FALSE),FALSE))),"")</f>
        <v/>
      </c>
      <c r="R508" s="14" t="str">
        <f>IFERROR((VLOOKUP($A508,'[1]import success seats course'!$A:AF,HLOOKUP('[1]Course Totals'!R$4,'[1]import success seats course'!$1:$2,2,FALSE),FALSE)/(VLOOKUP($A508,'[1]import graded seats course pivo'!$A:AP,HLOOKUP('[1]Course Totals'!R$4,'[1]import graded seats course pivo'!$1:$2,2,FALSE),FALSE))),"")</f>
        <v/>
      </c>
      <c r="S508" s="14" t="str">
        <f>IFERROR((VLOOKUP($A508,'[1]import success seats course'!$A:AG,HLOOKUP('[1]Course Totals'!S$4,'[1]import success seats course'!$1:$2,2,FALSE),FALSE)/(VLOOKUP($A508,'[1]import graded seats course pivo'!$A:AQ,HLOOKUP('[1]Course Totals'!S$4,'[1]import graded seats course pivo'!$1:$2,2,FALSE),FALSE))),"")</f>
        <v/>
      </c>
      <c r="Z508" s="7"/>
      <c r="AA508" s="7"/>
      <c r="AB508" s="7"/>
      <c r="AC508" s="7"/>
    </row>
    <row r="509" spans="1:29" ht="15.75" customHeight="1" x14ac:dyDescent="0.25">
      <c r="A509" s="12" t="s">
        <v>605</v>
      </c>
      <c r="B509" s="14" t="str">
        <f>IFERROR((VLOOKUP($A509,'[1]import success seats course'!$A:P,HLOOKUP('[1]Course Totals'!B$4,'[1]import success seats course'!$1:$2,2,FALSE),FALSE)/(VLOOKUP($A509,'[1]import graded seats course pivo'!$A:Z,HLOOKUP('[1]Course Totals'!B$4,'[1]import graded seats course pivo'!$1:$2,2,FALSE),FALSE))),"")</f>
        <v/>
      </c>
      <c r="C509" s="14" t="str">
        <f>IFERROR((VLOOKUP($A509,'[1]import success seats course'!$A:Q,HLOOKUP('[1]Course Totals'!C$4,'[1]import success seats course'!$1:$2,2,FALSE),FALSE)/(VLOOKUP($A509,'[1]import graded seats course pivo'!$A:AA,HLOOKUP('[1]Course Totals'!C$4,'[1]import graded seats course pivo'!$1:$2,2,FALSE),FALSE))),"")</f>
        <v/>
      </c>
      <c r="D509" s="14" t="str">
        <f>IFERROR((VLOOKUP($A509,'[1]import success seats course'!$A:R,HLOOKUP('[1]Course Totals'!D$4,'[1]import success seats course'!$1:$2,2,FALSE),FALSE)/(VLOOKUP($A509,'[1]import graded seats course pivo'!$A:AB,HLOOKUP('[1]Course Totals'!D$4,'[1]import graded seats course pivo'!$1:$2,2,FALSE),FALSE))),"")</f>
        <v/>
      </c>
      <c r="E509" s="14" t="str">
        <f>IFERROR((VLOOKUP($A509,'[1]import success seats course'!$A:S,HLOOKUP('[1]Course Totals'!E$4,'[1]import success seats course'!$1:$2,2,FALSE),FALSE)/(VLOOKUP($A509,'[1]import graded seats course pivo'!$A:AC,HLOOKUP('[1]Course Totals'!E$4,'[1]import graded seats course pivo'!$1:$2,2,FALSE),FALSE))),"")</f>
        <v/>
      </c>
      <c r="F509" s="14">
        <f>IFERROR((VLOOKUP($A509,'[1]import success seats course'!$A:T,HLOOKUP('[1]Course Totals'!F$4,'[1]import success seats course'!$1:$2,2,FALSE),FALSE)/(VLOOKUP($A509,'[1]import graded seats course pivo'!$A:AD,HLOOKUP('[1]Course Totals'!F$4,'[1]import graded seats course pivo'!$1:$2,2,FALSE),FALSE))),"")</f>
        <v>0.8666666666666667</v>
      </c>
      <c r="G509" s="14" t="str">
        <f>IFERROR((VLOOKUP($A509,'[1]import success seats course'!$A:U,HLOOKUP('[1]Course Totals'!G$4,'[1]import success seats course'!$1:$2,2,FALSE),FALSE)/(VLOOKUP($A509,'[1]import graded seats course pivo'!$A:AE,HLOOKUP('[1]Course Totals'!G$4,'[1]import graded seats course pivo'!$1:$2,2,FALSE),FALSE))),"")</f>
        <v/>
      </c>
      <c r="H509" s="14" t="str">
        <f>IFERROR((VLOOKUP($A509,'[1]import success seats course'!$A:V,HLOOKUP('[1]Course Totals'!H$4,'[1]import success seats course'!$1:$2,2,FALSE),FALSE)/(VLOOKUP($A509,'[1]import graded seats course pivo'!$A:AF,HLOOKUP('[1]Course Totals'!H$4,'[1]import graded seats course pivo'!$1:$2,2,FALSE),FALSE))),"")</f>
        <v/>
      </c>
      <c r="I509" s="14">
        <f>IFERROR((VLOOKUP($A509,'[1]import success seats course'!$A:W,HLOOKUP('[1]Course Totals'!I$4,'[1]import success seats course'!$1:$2,2,FALSE),FALSE)/(VLOOKUP($A509,'[1]import graded seats course pivo'!$A:AG,HLOOKUP('[1]Course Totals'!I$4,'[1]import graded seats course pivo'!$1:$2,2,FALSE),FALSE))),"")</f>
        <v>0.86956521739130432</v>
      </c>
      <c r="J509" s="14" t="str">
        <f>IFERROR((VLOOKUP($A509,'[1]import success seats course'!$A:X,HLOOKUP('[1]Course Totals'!J$4,'[1]import success seats course'!$1:$2,2,FALSE),FALSE)/(VLOOKUP($A509,'[1]import graded seats course pivo'!$A:AH,HLOOKUP('[1]Course Totals'!J$4,'[1]import graded seats course pivo'!$1:$2,2,FALSE),FALSE))),"")</f>
        <v/>
      </c>
      <c r="K509" s="14" t="str">
        <f>IFERROR((VLOOKUP($A509,'[1]import success seats course'!$A:Y,HLOOKUP('[1]Course Totals'!K$4,'[1]import success seats course'!$1:$2,2,FALSE),FALSE)/(VLOOKUP($A509,'[1]import graded seats course pivo'!$A:AI,HLOOKUP('[1]Course Totals'!K$4,'[1]import graded seats course pivo'!$1:$2,2,FALSE),FALSE))),"")</f>
        <v/>
      </c>
      <c r="L509" s="14">
        <f>IFERROR((VLOOKUP($A509,'[1]import success seats course'!$A:Z,HLOOKUP('[1]Course Totals'!L$4,'[1]import success seats course'!$1:$2,2,FALSE),FALSE)/(VLOOKUP($A509,'[1]import graded seats course pivo'!$A:AJ,HLOOKUP('[1]Course Totals'!L$4,'[1]import graded seats course pivo'!$1:$2,2,FALSE),FALSE))),"")</f>
        <v>0.96</v>
      </c>
      <c r="M509" s="14" t="str">
        <f>IFERROR((VLOOKUP($A509,'[1]import success seats course'!$A:AA,HLOOKUP('[1]Course Totals'!M$4,'[1]import success seats course'!$1:$2,2,FALSE),FALSE)/(VLOOKUP($A509,'[1]import graded seats course pivo'!$A:AK,HLOOKUP('[1]Course Totals'!M$4,'[1]import graded seats course pivo'!$1:$2,2,FALSE),FALSE))),"")</f>
        <v/>
      </c>
      <c r="N509" s="14" t="str">
        <f>IFERROR((VLOOKUP($A509,'[1]import success seats course'!$A:AB,HLOOKUP('[1]Course Totals'!N$4,'[1]import success seats course'!$1:$2,2,FALSE),FALSE)/(VLOOKUP($A509,'[1]import graded seats course pivo'!$A:AL,HLOOKUP('[1]Course Totals'!N$4,'[1]import graded seats course pivo'!$1:$2,2,FALSE),FALSE))),"")</f>
        <v/>
      </c>
      <c r="O509" s="14">
        <f>IFERROR((VLOOKUP($A509,'[1]import success seats course'!$A:AC,HLOOKUP('[1]Course Totals'!O$4,'[1]import success seats course'!$1:$2,2,FALSE),FALSE)/(VLOOKUP($A509,'[1]import graded seats course pivo'!$A:AM,HLOOKUP('[1]Course Totals'!O$4,'[1]import graded seats course pivo'!$1:$2,2,FALSE),FALSE))),"")</f>
        <v>0.9642857142857143</v>
      </c>
      <c r="P509" s="14" t="str">
        <f>IFERROR((VLOOKUP($A509,'[1]import success seats course'!$A:AD,HLOOKUP('[1]Course Totals'!P$4,'[1]import success seats course'!$1:$2,2,FALSE),FALSE)/(VLOOKUP($A509,'[1]import graded seats course pivo'!$A:AN,HLOOKUP('[1]Course Totals'!P$4,'[1]import graded seats course pivo'!$1:$2,2,FALSE),FALSE))),"")</f>
        <v/>
      </c>
      <c r="Q509" s="14" t="str">
        <f>IFERROR((VLOOKUP($A509,'[1]import success seats course'!$A:AE,HLOOKUP('[1]Course Totals'!Q$4,'[1]import success seats course'!$1:$2,2,FALSE),FALSE)/(VLOOKUP($A509,'[1]import graded seats course pivo'!$A:AO,HLOOKUP('[1]Course Totals'!Q$4,'[1]import graded seats course pivo'!$1:$2,2,FALSE),FALSE))),"")</f>
        <v/>
      </c>
      <c r="R509" s="14">
        <f>IFERROR((VLOOKUP($A509,'[1]import success seats course'!$A:AF,HLOOKUP('[1]Course Totals'!R$4,'[1]import success seats course'!$1:$2,2,FALSE),FALSE)/(VLOOKUP($A509,'[1]import graded seats course pivo'!$A:AP,HLOOKUP('[1]Course Totals'!R$4,'[1]import graded seats course pivo'!$1:$2,2,FALSE),FALSE))),"")</f>
        <v>0.82758620689655171</v>
      </c>
      <c r="S509" s="14" t="str">
        <f>IFERROR((VLOOKUP($A509,'[1]import success seats course'!$A:AG,HLOOKUP('[1]Course Totals'!S$4,'[1]import success seats course'!$1:$2,2,FALSE),FALSE)/(VLOOKUP($A509,'[1]import graded seats course pivo'!$A:AQ,HLOOKUP('[1]Course Totals'!S$4,'[1]import graded seats course pivo'!$1:$2,2,FALSE),FALSE))),"")</f>
        <v/>
      </c>
      <c r="Z509" s="7"/>
      <c r="AA509" s="7"/>
      <c r="AB509" s="7"/>
      <c r="AC509" s="7"/>
    </row>
    <row r="510" spans="1:29" ht="15.75" customHeight="1" x14ac:dyDescent="0.25">
      <c r="A510" s="12" t="s">
        <v>839</v>
      </c>
      <c r="B510" s="14" t="str">
        <f>IFERROR((VLOOKUP($A510,'[1]import success seats course'!$A:P,HLOOKUP('[1]Course Totals'!B$4,'[1]import success seats course'!$1:$2,2,FALSE),FALSE)/(VLOOKUP($A510,'[1]import graded seats course pivo'!$A:Z,HLOOKUP('[1]Course Totals'!B$4,'[1]import graded seats course pivo'!$1:$2,2,FALSE),FALSE))),"")</f>
        <v/>
      </c>
      <c r="C510" s="14" t="str">
        <f>IFERROR((VLOOKUP($A510,'[1]import success seats course'!$A:Q,HLOOKUP('[1]Course Totals'!C$4,'[1]import success seats course'!$1:$2,2,FALSE),FALSE)/(VLOOKUP($A510,'[1]import graded seats course pivo'!$A:AA,HLOOKUP('[1]Course Totals'!C$4,'[1]import graded seats course pivo'!$1:$2,2,FALSE),FALSE))),"")</f>
        <v/>
      </c>
      <c r="D510" s="14" t="str">
        <f>IFERROR((VLOOKUP($A510,'[1]import success seats course'!$A:R,HLOOKUP('[1]Course Totals'!D$4,'[1]import success seats course'!$1:$2,2,FALSE),FALSE)/(VLOOKUP($A510,'[1]import graded seats course pivo'!$A:AB,HLOOKUP('[1]Course Totals'!D$4,'[1]import graded seats course pivo'!$1:$2,2,FALSE),FALSE))),"")</f>
        <v/>
      </c>
      <c r="E510" s="14" t="str">
        <f>IFERROR((VLOOKUP($A510,'[1]import success seats course'!$A:S,HLOOKUP('[1]Course Totals'!E$4,'[1]import success seats course'!$1:$2,2,FALSE),FALSE)/(VLOOKUP($A510,'[1]import graded seats course pivo'!$A:AC,HLOOKUP('[1]Course Totals'!E$4,'[1]import graded seats course pivo'!$1:$2,2,FALSE),FALSE))),"")</f>
        <v/>
      </c>
      <c r="F510" s="14" t="str">
        <f>IFERROR((VLOOKUP($A510,'[1]import success seats course'!$A:T,HLOOKUP('[1]Course Totals'!F$4,'[1]import success seats course'!$1:$2,2,FALSE),FALSE)/(VLOOKUP($A510,'[1]import graded seats course pivo'!$A:AD,HLOOKUP('[1]Course Totals'!F$4,'[1]import graded seats course pivo'!$1:$2,2,FALSE),FALSE))),"")</f>
        <v/>
      </c>
      <c r="G510" s="14" t="str">
        <f>IFERROR((VLOOKUP($A510,'[1]import success seats course'!$A:U,HLOOKUP('[1]Course Totals'!G$4,'[1]import success seats course'!$1:$2,2,FALSE),FALSE)/(VLOOKUP($A510,'[1]import graded seats course pivo'!$A:AE,HLOOKUP('[1]Course Totals'!G$4,'[1]import graded seats course pivo'!$1:$2,2,FALSE),FALSE))),"")</f>
        <v/>
      </c>
      <c r="H510" s="14" t="str">
        <f>IFERROR((VLOOKUP($A510,'[1]import success seats course'!$A:V,HLOOKUP('[1]Course Totals'!H$4,'[1]import success seats course'!$1:$2,2,FALSE),FALSE)/(VLOOKUP($A510,'[1]import graded seats course pivo'!$A:AF,HLOOKUP('[1]Course Totals'!H$4,'[1]import graded seats course pivo'!$1:$2,2,FALSE),FALSE))),"")</f>
        <v/>
      </c>
      <c r="I510" s="14" t="str">
        <f>IFERROR((VLOOKUP($A510,'[1]import success seats course'!$A:W,HLOOKUP('[1]Course Totals'!I$4,'[1]import success seats course'!$1:$2,2,FALSE),FALSE)/(VLOOKUP($A510,'[1]import graded seats course pivo'!$A:AG,HLOOKUP('[1]Course Totals'!I$4,'[1]import graded seats course pivo'!$1:$2,2,FALSE),FALSE))),"")</f>
        <v/>
      </c>
      <c r="J510" s="14" t="str">
        <f>IFERROR((VLOOKUP($A510,'[1]import success seats course'!$A:X,HLOOKUP('[1]Course Totals'!J$4,'[1]import success seats course'!$1:$2,2,FALSE),FALSE)/(VLOOKUP($A510,'[1]import graded seats course pivo'!$A:AH,HLOOKUP('[1]Course Totals'!J$4,'[1]import graded seats course pivo'!$1:$2,2,FALSE),FALSE))),"")</f>
        <v/>
      </c>
      <c r="K510" s="14" t="str">
        <f>IFERROR((VLOOKUP($A510,'[1]import success seats course'!$A:Y,HLOOKUP('[1]Course Totals'!K$4,'[1]import success seats course'!$1:$2,2,FALSE),FALSE)/(VLOOKUP($A510,'[1]import graded seats course pivo'!$A:AI,HLOOKUP('[1]Course Totals'!K$4,'[1]import graded seats course pivo'!$1:$2,2,FALSE),FALSE))),"")</f>
        <v/>
      </c>
      <c r="L510" s="14" t="str">
        <f>IFERROR((VLOOKUP($A510,'[1]import success seats course'!$A:Z,HLOOKUP('[1]Course Totals'!L$4,'[1]import success seats course'!$1:$2,2,FALSE),FALSE)/(VLOOKUP($A510,'[1]import graded seats course pivo'!$A:AJ,HLOOKUP('[1]Course Totals'!L$4,'[1]import graded seats course pivo'!$1:$2,2,FALSE),FALSE))),"")</f>
        <v/>
      </c>
      <c r="M510" s="14" t="str">
        <f>IFERROR((VLOOKUP($A510,'[1]import success seats course'!$A:AA,HLOOKUP('[1]Course Totals'!M$4,'[1]import success seats course'!$1:$2,2,FALSE),FALSE)/(VLOOKUP($A510,'[1]import graded seats course pivo'!$A:AK,HLOOKUP('[1]Course Totals'!M$4,'[1]import graded seats course pivo'!$1:$2,2,FALSE),FALSE))),"")</f>
        <v/>
      </c>
      <c r="N510" s="14" t="str">
        <f>IFERROR((VLOOKUP($A510,'[1]import success seats course'!$A:AB,HLOOKUP('[1]Course Totals'!N$4,'[1]import success seats course'!$1:$2,2,FALSE),FALSE)/(VLOOKUP($A510,'[1]import graded seats course pivo'!$A:AL,HLOOKUP('[1]Course Totals'!N$4,'[1]import graded seats course pivo'!$1:$2,2,FALSE),FALSE))),"")</f>
        <v/>
      </c>
      <c r="O510" s="14">
        <f>IFERROR((VLOOKUP($A510,'[1]import success seats course'!$A:AC,HLOOKUP('[1]Course Totals'!O$4,'[1]import success seats course'!$1:$2,2,FALSE),FALSE)/(VLOOKUP($A510,'[1]import graded seats course pivo'!$A:AM,HLOOKUP('[1]Course Totals'!O$4,'[1]import graded seats course pivo'!$1:$2,2,FALSE),FALSE))),"")</f>
        <v>1</v>
      </c>
      <c r="P510" s="14" t="str">
        <f>IFERROR((VLOOKUP($A510,'[1]import success seats course'!$A:AD,HLOOKUP('[1]Course Totals'!P$4,'[1]import success seats course'!$1:$2,2,FALSE),FALSE)/(VLOOKUP($A510,'[1]import graded seats course pivo'!$A:AN,HLOOKUP('[1]Course Totals'!P$4,'[1]import graded seats course pivo'!$1:$2,2,FALSE),FALSE))),"")</f>
        <v/>
      </c>
      <c r="Q510" s="14" t="str">
        <f>IFERROR((VLOOKUP($A510,'[1]import success seats course'!$A:AE,HLOOKUP('[1]Course Totals'!Q$4,'[1]import success seats course'!$1:$2,2,FALSE),FALSE)/(VLOOKUP($A510,'[1]import graded seats course pivo'!$A:AO,HLOOKUP('[1]Course Totals'!Q$4,'[1]import graded seats course pivo'!$1:$2,2,FALSE),FALSE))),"")</f>
        <v/>
      </c>
      <c r="R510" s="14">
        <f>IFERROR((VLOOKUP($A510,'[1]import success seats course'!$A:AF,HLOOKUP('[1]Course Totals'!R$4,'[1]import success seats course'!$1:$2,2,FALSE),FALSE)/(VLOOKUP($A510,'[1]import graded seats course pivo'!$A:AP,HLOOKUP('[1]Course Totals'!R$4,'[1]import graded seats course pivo'!$1:$2,2,FALSE),FALSE))),"")</f>
        <v>1</v>
      </c>
      <c r="S510" s="14" t="str">
        <f>IFERROR((VLOOKUP($A510,'[1]import success seats course'!$A:AG,HLOOKUP('[1]Course Totals'!S$4,'[1]import success seats course'!$1:$2,2,FALSE),FALSE)/(VLOOKUP($A510,'[1]import graded seats course pivo'!$A:AQ,HLOOKUP('[1]Course Totals'!S$4,'[1]import graded seats course pivo'!$1:$2,2,FALSE),FALSE))),"")</f>
        <v/>
      </c>
      <c r="Z510" s="7"/>
      <c r="AA510" s="7"/>
      <c r="AB510" s="7"/>
      <c r="AC510" s="7"/>
    </row>
    <row r="511" spans="1:29" ht="15.75" customHeight="1" x14ac:dyDescent="0.25">
      <c r="A511" s="12" t="s">
        <v>981</v>
      </c>
      <c r="B511" s="14" t="str">
        <f>IFERROR((VLOOKUP($A511,'[1]import success seats course'!$A:P,HLOOKUP('[1]Course Totals'!B$4,'[1]import success seats course'!$1:$2,2,FALSE),FALSE)/(VLOOKUP($A511,'[1]import graded seats course pivo'!$A:Z,HLOOKUP('[1]Course Totals'!B$4,'[1]import graded seats course pivo'!$1:$2,2,FALSE),FALSE))),"")</f>
        <v/>
      </c>
      <c r="C511" s="14" t="str">
        <f>IFERROR((VLOOKUP($A511,'[1]import success seats course'!$A:Q,HLOOKUP('[1]Course Totals'!C$4,'[1]import success seats course'!$1:$2,2,FALSE),FALSE)/(VLOOKUP($A511,'[1]import graded seats course pivo'!$A:AA,HLOOKUP('[1]Course Totals'!C$4,'[1]import graded seats course pivo'!$1:$2,2,FALSE),FALSE))),"")</f>
        <v/>
      </c>
      <c r="D511" s="14" t="str">
        <f>IFERROR((VLOOKUP($A511,'[1]import success seats course'!$A:R,HLOOKUP('[1]Course Totals'!D$4,'[1]import success seats course'!$1:$2,2,FALSE),FALSE)/(VLOOKUP($A511,'[1]import graded seats course pivo'!$A:AB,HLOOKUP('[1]Course Totals'!D$4,'[1]import graded seats course pivo'!$1:$2,2,FALSE),FALSE))),"")</f>
        <v/>
      </c>
      <c r="E511" s="14" t="str">
        <f>IFERROR((VLOOKUP($A511,'[1]import success seats course'!$A:S,HLOOKUP('[1]Course Totals'!E$4,'[1]import success seats course'!$1:$2,2,FALSE),FALSE)/(VLOOKUP($A511,'[1]import graded seats course pivo'!$A:AC,HLOOKUP('[1]Course Totals'!E$4,'[1]import graded seats course pivo'!$1:$2,2,FALSE),FALSE))),"")</f>
        <v/>
      </c>
      <c r="F511" s="14" t="str">
        <f>IFERROR((VLOOKUP($A511,'[1]import success seats course'!$A:T,HLOOKUP('[1]Course Totals'!F$4,'[1]import success seats course'!$1:$2,2,FALSE),FALSE)/(VLOOKUP($A511,'[1]import graded seats course pivo'!$A:AD,HLOOKUP('[1]Course Totals'!F$4,'[1]import graded seats course pivo'!$1:$2,2,FALSE),FALSE))),"")</f>
        <v/>
      </c>
      <c r="G511" s="14">
        <f>IFERROR((VLOOKUP($A511,'[1]import success seats course'!$A:U,HLOOKUP('[1]Course Totals'!G$4,'[1]import success seats course'!$1:$2,2,FALSE),FALSE)/(VLOOKUP($A511,'[1]import graded seats course pivo'!$A:AE,HLOOKUP('[1]Course Totals'!G$4,'[1]import graded seats course pivo'!$1:$2,2,FALSE),FALSE))),"")</f>
        <v>1</v>
      </c>
      <c r="H511" s="14" t="str">
        <f>IFERROR((VLOOKUP($A511,'[1]import success seats course'!$A:V,HLOOKUP('[1]Course Totals'!H$4,'[1]import success seats course'!$1:$2,2,FALSE),FALSE)/(VLOOKUP($A511,'[1]import graded seats course pivo'!$A:AF,HLOOKUP('[1]Course Totals'!H$4,'[1]import graded seats course pivo'!$1:$2,2,FALSE),FALSE))),"")</f>
        <v/>
      </c>
      <c r="I511" s="14" t="str">
        <f>IFERROR((VLOOKUP($A511,'[1]import success seats course'!$A:W,HLOOKUP('[1]Course Totals'!I$4,'[1]import success seats course'!$1:$2,2,FALSE),FALSE)/(VLOOKUP($A511,'[1]import graded seats course pivo'!$A:AG,HLOOKUP('[1]Course Totals'!I$4,'[1]import graded seats course pivo'!$1:$2,2,FALSE),FALSE))),"")</f>
        <v/>
      </c>
      <c r="J511" s="14">
        <f>IFERROR((VLOOKUP($A511,'[1]import success seats course'!$A:X,HLOOKUP('[1]Course Totals'!J$4,'[1]import success seats course'!$1:$2,2,FALSE),FALSE)/(VLOOKUP($A511,'[1]import graded seats course pivo'!$A:AH,HLOOKUP('[1]Course Totals'!J$4,'[1]import graded seats course pivo'!$1:$2,2,FALSE),FALSE))),"")</f>
        <v>0.83333333333333337</v>
      </c>
      <c r="K511" s="14" t="str">
        <f>IFERROR((VLOOKUP($A511,'[1]import success seats course'!$A:Y,HLOOKUP('[1]Course Totals'!K$4,'[1]import success seats course'!$1:$2,2,FALSE),FALSE)/(VLOOKUP($A511,'[1]import graded seats course pivo'!$A:AI,HLOOKUP('[1]Course Totals'!K$4,'[1]import graded seats course pivo'!$1:$2,2,FALSE),FALSE))),"")</f>
        <v/>
      </c>
      <c r="L511" s="14" t="str">
        <f>IFERROR((VLOOKUP($A511,'[1]import success seats course'!$A:Z,HLOOKUP('[1]Course Totals'!L$4,'[1]import success seats course'!$1:$2,2,FALSE),FALSE)/(VLOOKUP($A511,'[1]import graded seats course pivo'!$A:AJ,HLOOKUP('[1]Course Totals'!L$4,'[1]import graded seats course pivo'!$1:$2,2,FALSE),FALSE))),"")</f>
        <v/>
      </c>
      <c r="M511" s="14">
        <f>IFERROR((VLOOKUP($A511,'[1]import success seats course'!$A:AA,HLOOKUP('[1]Course Totals'!M$4,'[1]import success seats course'!$1:$2,2,FALSE),FALSE)/(VLOOKUP($A511,'[1]import graded seats course pivo'!$A:AK,HLOOKUP('[1]Course Totals'!M$4,'[1]import graded seats course pivo'!$1:$2,2,FALSE),FALSE))),"")</f>
        <v>0.96551724137931039</v>
      </c>
      <c r="N511" s="14" t="str">
        <f>IFERROR((VLOOKUP($A511,'[1]import success seats course'!$A:AB,HLOOKUP('[1]Course Totals'!N$4,'[1]import success seats course'!$1:$2,2,FALSE),FALSE)/(VLOOKUP($A511,'[1]import graded seats course pivo'!$A:AL,HLOOKUP('[1]Course Totals'!N$4,'[1]import graded seats course pivo'!$1:$2,2,FALSE),FALSE))),"")</f>
        <v/>
      </c>
      <c r="O511" s="14" t="str">
        <f>IFERROR((VLOOKUP($A511,'[1]import success seats course'!$A:AC,HLOOKUP('[1]Course Totals'!O$4,'[1]import success seats course'!$1:$2,2,FALSE),FALSE)/(VLOOKUP($A511,'[1]import graded seats course pivo'!$A:AM,HLOOKUP('[1]Course Totals'!O$4,'[1]import graded seats course pivo'!$1:$2,2,FALSE),FALSE))),"")</f>
        <v/>
      </c>
      <c r="P511" s="14">
        <f>IFERROR((VLOOKUP($A511,'[1]import success seats course'!$A:AD,HLOOKUP('[1]Course Totals'!P$4,'[1]import success seats course'!$1:$2,2,FALSE),FALSE)/(VLOOKUP($A511,'[1]import graded seats course pivo'!$A:AN,HLOOKUP('[1]Course Totals'!P$4,'[1]import graded seats course pivo'!$1:$2,2,FALSE),FALSE))),"")</f>
        <v>0.85185185185185186</v>
      </c>
      <c r="Q511" s="14" t="str">
        <f>IFERROR((VLOOKUP($A511,'[1]import success seats course'!$A:AE,HLOOKUP('[1]Course Totals'!Q$4,'[1]import success seats course'!$1:$2,2,FALSE),FALSE)/(VLOOKUP($A511,'[1]import graded seats course pivo'!$A:AO,HLOOKUP('[1]Course Totals'!Q$4,'[1]import graded seats course pivo'!$1:$2,2,FALSE),FALSE))),"")</f>
        <v/>
      </c>
      <c r="R511" s="14" t="str">
        <f>IFERROR((VLOOKUP($A511,'[1]import success seats course'!$A:AF,HLOOKUP('[1]Course Totals'!R$4,'[1]import success seats course'!$1:$2,2,FALSE),FALSE)/(VLOOKUP($A511,'[1]import graded seats course pivo'!$A:AP,HLOOKUP('[1]Course Totals'!R$4,'[1]import graded seats course pivo'!$1:$2,2,FALSE),FALSE))),"")</f>
        <v/>
      </c>
      <c r="S511" s="14">
        <f>IFERROR((VLOOKUP($A511,'[1]import success seats course'!$A:AG,HLOOKUP('[1]Course Totals'!S$4,'[1]import success seats course'!$1:$2,2,FALSE),FALSE)/(VLOOKUP($A511,'[1]import graded seats course pivo'!$A:AQ,HLOOKUP('[1]Course Totals'!S$4,'[1]import graded seats course pivo'!$1:$2,2,FALSE),FALSE))),"")</f>
        <v>0.875</v>
      </c>
      <c r="Z511" s="7"/>
      <c r="AA511" s="7"/>
      <c r="AB511" s="7"/>
      <c r="AC511" s="7"/>
    </row>
    <row r="512" spans="1:29" ht="15.75" customHeight="1" x14ac:dyDescent="0.25">
      <c r="A512" s="12" t="s">
        <v>982</v>
      </c>
      <c r="B512" s="14" t="str">
        <f>IFERROR((VLOOKUP($A512,'[1]import success seats course'!$A:P,HLOOKUP('[1]Course Totals'!B$4,'[1]import success seats course'!$1:$2,2,FALSE),FALSE)/(VLOOKUP($A512,'[1]import graded seats course pivo'!$A:Z,HLOOKUP('[1]Course Totals'!B$4,'[1]import graded seats course pivo'!$1:$2,2,FALSE),FALSE))),"")</f>
        <v/>
      </c>
      <c r="C512" s="14" t="str">
        <f>IFERROR((VLOOKUP($A512,'[1]import success seats course'!$A:Q,HLOOKUP('[1]Course Totals'!C$4,'[1]import success seats course'!$1:$2,2,FALSE),FALSE)/(VLOOKUP($A512,'[1]import graded seats course pivo'!$A:AA,HLOOKUP('[1]Course Totals'!C$4,'[1]import graded seats course pivo'!$1:$2,2,FALSE),FALSE))),"")</f>
        <v/>
      </c>
      <c r="D512" s="14" t="str">
        <f>IFERROR((VLOOKUP($A512,'[1]import success seats course'!$A:R,HLOOKUP('[1]Course Totals'!D$4,'[1]import success seats course'!$1:$2,2,FALSE),FALSE)/(VLOOKUP($A512,'[1]import graded seats course pivo'!$A:AB,HLOOKUP('[1]Course Totals'!D$4,'[1]import graded seats course pivo'!$1:$2,2,FALSE),FALSE))),"")</f>
        <v/>
      </c>
      <c r="E512" s="14" t="str">
        <f>IFERROR((VLOOKUP($A512,'[1]import success seats course'!$A:S,HLOOKUP('[1]Course Totals'!E$4,'[1]import success seats course'!$1:$2,2,FALSE),FALSE)/(VLOOKUP($A512,'[1]import graded seats course pivo'!$A:AC,HLOOKUP('[1]Course Totals'!E$4,'[1]import graded seats course pivo'!$1:$2,2,FALSE),FALSE))),"")</f>
        <v/>
      </c>
      <c r="F512" s="14" t="str">
        <f>IFERROR((VLOOKUP($A512,'[1]import success seats course'!$A:T,HLOOKUP('[1]Course Totals'!F$4,'[1]import success seats course'!$1:$2,2,FALSE),FALSE)/(VLOOKUP($A512,'[1]import graded seats course pivo'!$A:AD,HLOOKUP('[1]Course Totals'!F$4,'[1]import graded seats course pivo'!$1:$2,2,FALSE),FALSE))),"")</f>
        <v/>
      </c>
      <c r="G512" s="14">
        <f>IFERROR((VLOOKUP($A512,'[1]import success seats course'!$A:U,HLOOKUP('[1]Course Totals'!G$4,'[1]import success seats course'!$1:$2,2,FALSE),FALSE)/(VLOOKUP($A512,'[1]import graded seats course pivo'!$A:AE,HLOOKUP('[1]Course Totals'!G$4,'[1]import graded seats course pivo'!$1:$2,2,FALSE),FALSE))),"")</f>
        <v>1</v>
      </c>
      <c r="H512" s="14" t="str">
        <f>IFERROR((VLOOKUP($A512,'[1]import success seats course'!$A:V,HLOOKUP('[1]Course Totals'!H$4,'[1]import success seats course'!$1:$2,2,FALSE),FALSE)/(VLOOKUP($A512,'[1]import graded seats course pivo'!$A:AF,HLOOKUP('[1]Course Totals'!H$4,'[1]import graded seats course pivo'!$1:$2,2,FALSE),FALSE))),"")</f>
        <v/>
      </c>
      <c r="I512" s="14" t="str">
        <f>IFERROR((VLOOKUP($A512,'[1]import success seats course'!$A:W,HLOOKUP('[1]Course Totals'!I$4,'[1]import success seats course'!$1:$2,2,FALSE),FALSE)/(VLOOKUP($A512,'[1]import graded seats course pivo'!$A:AG,HLOOKUP('[1]Course Totals'!I$4,'[1]import graded seats course pivo'!$1:$2,2,FALSE),FALSE))),"")</f>
        <v/>
      </c>
      <c r="J512" s="14">
        <f>IFERROR((VLOOKUP($A512,'[1]import success seats course'!$A:X,HLOOKUP('[1]Course Totals'!J$4,'[1]import success seats course'!$1:$2,2,FALSE),FALSE)/(VLOOKUP($A512,'[1]import graded seats course pivo'!$A:AH,HLOOKUP('[1]Course Totals'!J$4,'[1]import graded seats course pivo'!$1:$2,2,FALSE),FALSE))),"")</f>
        <v>1</v>
      </c>
      <c r="K512" s="14" t="str">
        <f>IFERROR((VLOOKUP($A512,'[1]import success seats course'!$A:Y,HLOOKUP('[1]Course Totals'!K$4,'[1]import success seats course'!$1:$2,2,FALSE),FALSE)/(VLOOKUP($A512,'[1]import graded seats course pivo'!$A:AI,HLOOKUP('[1]Course Totals'!K$4,'[1]import graded seats course pivo'!$1:$2,2,FALSE),FALSE))),"")</f>
        <v/>
      </c>
      <c r="L512" s="14" t="str">
        <f>IFERROR((VLOOKUP($A512,'[1]import success seats course'!$A:Z,HLOOKUP('[1]Course Totals'!L$4,'[1]import success seats course'!$1:$2,2,FALSE),FALSE)/(VLOOKUP($A512,'[1]import graded seats course pivo'!$A:AJ,HLOOKUP('[1]Course Totals'!L$4,'[1]import graded seats course pivo'!$1:$2,2,FALSE),FALSE))),"")</f>
        <v/>
      </c>
      <c r="M512" s="14">
        <f>IFERROR((VLOOKUP($A512,'[1]import success seats course'!$A:AA,HLOOKUP('[1]Course Totals'!M$4,'[1]import success seats course'!$1:$2,2,FALSE),FALSE)/(VLOOKUP($A512,'[1]import graded seats course pivo'!$A:AK,HLOOKUP('[1]Course Totals'!M$4,'[1]import graded seats course pivo'!$1:$2,2,FALSE),FALSE))),"")</f>
        <v>1</v>
      </c>
      <c r="N512" s="14" t="str">
        <f>IFERROR((VLOOKUP($A512,'[1]import success seats course'!$A:AB,HLOOKUP('[1]Course Totals'!N$4,'[1]import success seats course'!$1:$2,2,FALSE),FALSE)/(VLOOKUP($A512,'[1]import graded seats course pivo'!$A:AL,HLOOKUP('[1]Course Totals'!N$4,'[1]import graded seats course pivo'!$1:$2,2,FALSE),FALSE))),"")</f>
        <v/>
      </c>
      <c r="O512" s="14" t="str">
        <f>IFERROR((VLOOKUP($A512,'[1]import success seats course'!$A:AC,HLOOKUP('[1]Course Totals'!O$4,'[1]import success seats course'!$1:$2,2,FALSE),FALSE)/(VLOOKUP($A512,'[1]import graded seats course pivo'!$A:AM,HLOOKUP('[1]Course Totals'!O$4,'[1]import graded seats course pivo'!$1:$2,2,FALSE),FALSE))),"")</f>
        <v/>
      </c>
      <c r="P512" s="14">
        <f>IFERROR((VLOOKUP($A512,'[1]import success seats course'!$A:AD,HLOOKUP('[1]Course Totals'!P$4,'[1]import success seats course'!$1:$2,2,FALSE),FALSE)/(VLOOKUP($A512,'[1]import graded seats course pivo'!$A:AN,HLOOKUP('[1]Course Totals'!P$4,'[1]import graded seats course pivo'!$1:$2,2,FALSE),FALSE))),"")</f>
        <v>1</v>
      </c>
      <c r="Q512" s="14" t="str">
        <f>IFERROR((VLOOKUP($A512,'[1]import success seats course'!$A:AE,HLOOKUP('[1]Course Totals'!Q$4,'[1]import success seats course'!$1:$2,2,FALSE),FALSE)/(VLOOKUP($A512,'[1]import graded seats course pivo'!$A:AO,HLOOKUP('[1]Course Totals'!Q$4,'[1]import graded seats course pivo'!$1:$2,2,FALSE),FALSE))),"")</f>
        <v/>
      </c>
      <c r="R512" s="14" t="str">
        <f>IFERROR((VLOOKUP($A512,'[1]import success seats course'!$A:AF,HLOOKUP('[1]Course Totals'!R$4,'[1]import success seats course'!$1:$2,2,FALSE),FALSE)/(VLOOKUP($A512,'[1]import graded seats course pivo'!$A:AP,HLOOKUP('[1]Course Totals'!R$4,'[1]import graded seats course pivo'!$1:$2,2,FALSE),FALSE))),"")</f>
        <v/>
      </c>
      <c r="S512" s="14">
        <f>IFERROR((VLOOKUP($A512,'[1]import success seats course'!$A:AG,HLOOKUP('[1]Course Totals'!S$4,'[1]import success seats course'!$1:$2,2,FALSE),FALSE)/(VLOOKUP($A512,'[1]import graded seats course pivo'!$A:AQ,HLOOKUP('[1]Course Totals'!S$4,'[1]import graded seats course pivo'!$1:$2,2,FALSE),FALSE))),"")</f>
        <v>1</v>
      </c>
      <c r="Z512" s="7"/>
      <c r="AA512" s="7"/>
      <c r="AB512" s="7"/>
      <c r="AC512" s="7"/>
    </row>
    <row r="513" spans="1:29" ht="15.75" customHeight="1" x14ac:dyDescent="0.25">
      <c r="A513" s="12" t="s">
        <v>606</v>
      </c>
      <c r="B513" s="14" t="str">
        <f>IFERROR((VLOOKUP($A513,'[1]import success seats course'!$A:P,HLOOKUP('[1]Course Totals'!B$4,'[1]import success seats course'!$1:$2,2,FALSE),FALSE)/(VLOOKUP($A513,'[1]import graded seats course pivo'!$A:Z,HLOOKUP('[1]Course Totals'!B$4,'[1]import graded seats course pivo'!$1:$2,2,FALSE),FALSE))),"")</f>
        <v/>
      </c>
      <c r="C513" s="14" t="str">
        <f>IFERROR((VLOOKUP($A513,'[1]import success seats course'!$A:Q,HLOOKUP('[1]Course Totals'!C$4,'[1]import success seats course'!$1:$2,2,FALSE),FALSE)/(VLOOKUP($A513,'[1]import graded seats course pivo'!$A:AA,HLOOKUP('[1]Course Totals'!C$4,'[1]import graded seats course pivo'!$1:$2,2,FALSE),FALSE))),"")</f>
        <v/>
      </c>
      <c r="D513" s="14" t="str">
        <f>IFERROR((VLOOKUP($A513,'[1]import success seats course'!$A:R,HLOOKUP('[1]Course Totals'!D$4,'[1]import success seats course'!$1:$2,2,FALSE),FALSE)/(VLOOKUP($A513,'[1]import graded seats course pivo'!$A:AB,HLOOKUP('[1]Course Totals'!D$4,'[1]import graded seats course pivo'!$1:$2,2,FALSE),FALSE))),"")</f>
        <v/>
      </c>
      <c r="E513" s="14" t="str">
        <f>IFERROR((VLOOKUP($A513,'[1]import success seats course'!$A:S,HLOOKUP('[1]Course Totals'!E$4,'[1]import success seats course'!$1:$2,2,FALSE),FALSE)/(VLOOKUP($A513,'[1]import graded seats course pivo'!$A:AC,HLOOKUP('[1]Course Totals'!E$4,'[1]import graded seats course pivo'!$1:$2,2,FALSE),FALSE))),"")</f>
        <v/>
      </c>
      <c r="F513" s="14">
        <f>IFERROR((VLOOKUP($A513,'[1]import success seats course'!$A:T,HLOOKUP('[1]Course Totals'!F$4,'[1]import success seats course'!$1:$2,2,FALSE),FALSE)/(VLOOKUP($A513,'[1]import graded seats course pivo'!$A:AD,HLOOKUP('[1]Course Totals'!F$4,'[1]import graded seats course pivo'!$1:$2,2,FALSE),FALSE))),"")</f>
        <v>1</v>
      </c>
      <c r="G513" s="14" t="str">
        <f>IFERROR((VLOOKUP($A513,'[1]import success seats course'!$A:U,HLOOKUP('[1]Course Totals'!G$4,'[1]import success seats course'!$1:$2,2,FALSE),FALSE)/(VLOOKUP($A513,'[1]import graded seats course pivo'!$A:AE,HLOOKUP('[1]Course Totals'!G$4,'[1]import graded seats course pivo'!$1:$2,2,FALSE),FALSE))),"")</f>
        <v/>
      </c>
      <c r="H513" s="14" t="str">
        <f>IFERROR((VLOOKUP($A513,'[1]import success seats course'!$A:V,HLOOKUP('[1]Course Totals'!H$4,'[1]import success seats course'!$1:$2,2,FALSE),FALSE)/(VLOOKUP($A513,'[1]import graded seats course pivo'!$A:AF,HLOOKUP('[1]Course Totals'!H$4,'[1]import graded seats course pivo'!$1:$2,2,FALSE),FALSE))),"")</f>
        <v/>
      </c>
      <c r="I513" s="14" t="str">
        <f>IFERROR((VLOOKUP($A513,'[1]import success seats course'!$A:W,HLOOKUP('[1]Course Totals'!I$4,'[1]import success seats course'!$1:$2,2,FALSE),FALSE)/(VLOOKUP($A513,'[1]import graded seats course pivo'!$A:AG,HLOOKUP('[1]Course Totals'!I$4,'[1]import graded seats course pivo'!$1:$2,2,FALSE),FALSE))),"")</f>
        <v/>
      </c>
      <c r="J513" s="14">
        <f>IFERROR((VLOOKUP($A513,'[1]import success seats course'!$A:X,HLOOKUP('[1]Course Totals'!J$4,'[1]import success seats course'!$1:$2,2,FALSE),FALSE)/(VLOOKUP($A513,'[1]import graded seats course pivo'!$A:AH,HLOOKUP('[1]Course Totals'!J$4,'[1]import graded seats course pivo'!$1:$2,2,FALSE),FALSE))),"")</f>
        <v>0.9285714285714286</v>
      </c>
      <c r="K513" s="14" t="str">
        <f>IFERROR((VLOOKUP($A513,'[1]import success seats course'!$A:Y,HLOOKUP('[1]Course Totals'!K$4,'[1]import success seats course'!$1:$2,2,FALSE),FALSE)/(VLOOKUP($A513,'[1]import graded seats course pivo'!$A:AI,HLOOKUP('[1]Course Totals'!K$4,'[1]import graded seats course pivo'!$1:$2,2,FALSE),FALSE))),"")</f>
        <v/>
      </c>
      <c r="L513" s="14" t="str">
        <f>IFERROR((VLOOKUP($A513,'[1]import success seats course'!$A:Z,HLOOKUP('[1]Course Totals'!L$4,'[1]import success seats course'!$1:$2,2,FALSE),FALSE)/(VLOOKUP($A513,'[1]import graded seats course pivo'!$A:AJ,HLOOKUP('[1]Course Totals'!L$4,'[1]import graded seats course pivo'!$1:$2,2,FALSE),FALSE))),"")</f>
        <v/>
      </c>
      <c r="M513" s="14" t="str">
        <f>IFERROR((VLOOKUP($A513,'[1]import success seats course'!$A:AA,HLOOKUP('[1]Course Totals'!M$4,'[1]import success seats course'!$1:$2,2,FALSE),FALSE)/(VLOOKUP($A513,'[1]import graded seats course pivo'!$A:AK,HLOOKUP('[1]Course Totals'!M$4,'[1]import graded seats course pivo'!$1:$2,2,FALSE),FALSE))),"")</f>
        <v/>
      </c>
      <c r="N513" s="14" t="str">
        <f>IFERROR((VLOOKUP($A513,'[1]import success seats course'!$A:AB,HLOOKUP('[1]Course Totals'!N$4,'[1]import success seats course'!$1:$2,2,FALSE),FALSE)/(VLOOKUP($A513,'[1]import graded seats course pivo'!$A:AL,HLOOKUP('[1]Course Totals'!N$4,'[1]import graded seats course pivo'!$1:$2,2,FALSE),FALSE))),"")</f>
        <v/>
      </c>
      <c r="O513" s="14" t="str">
        <f>IFERROR((VLOOKUP($A513,'[1]import success seats course'!$A:AC,HLOOKUP('[1]Course Totals'!O$4,'[1]import success seats course'!$1:$2,2,FALSE),FALSE)/(VLOOKUP($A513,'[1]import graded seats course pivo'!$A:AM,HLOOKUP('[1]Course Totals'!O$4,'[1]import graded seats course pivo'!$1:$2,2,FALSE),FALSE))),"")</f>
        <v/>
      </c>
      <c r="P513" s="14" t="str">
        <f>IFERROR((VLOOKUP($A513,'[1]import success seats course'!$A:AD,HLOOKUP('[1]Course Totals'!P$4,'[1]import success seats course'!$1:$2,2,FALSE),FALSE)/(VLOOKUP($A513,'[1]import graded seats course pivo'!$A:AN,HLOOKUP('[1]Course Totals'!P$4,'[1]import graded seats course pivo'!$1:$2,2,FALSE),FALSE))),"")</f>
        <v/>
      </c>
      <c r="Q513" s="14" t="str">
        <f>IFERROR((VLOOKUP($A513,'[1]import success seats course'!$A:AE,HLOOKUP('[1]Course Totals'!Q$4,'[1]import success seats course'!$1:$2,2,FALSE),FALSE)/(VLOOKUP($A513,'[1]import graded seats course pivo'!$A:AO,HLOOKUP('[1]Course Totals'!Q$4,'[1]import graded seats course pivo'!$1:$2,2,FALSE),FALSE))),"")</f>
        <v/>
      </c>
      <c r="R513" s="14" t="str">
        <f>IFERROR((VLOOKUP($A513,'[1]import success seats course'!$A:AF,HLOOKUP('[1]Course Totals'!R$4,'[1]import success seats course'!$1:$2,2,FALSE),FALSE)/(VLOOKUP($A513,'[1]import graded seats course pivo'!$A:AP,HLOOKUP('[1]Course Totals'!R$4,'[1]import graded seats course pivo'!$1:$2,2,FALSE),FALSE))),"")</f>
        <v/>
      </c>
      <c r="S513" s="14" t="str">
        <f>IFERROR((VLOOKUP($A513,'[1]import success seats course'!$A:AG,HLOOKUP('[1]Course Totals'!S$4,'[1]import success seats course'!$1:$2,2,FALSE),FALSE)/(VLOOKUP($A513,'[1]import graded seats course pivo'!$A:AQ,HLOOKUP('[1]Course Totals'!S$4,'[1]import graded seats course pivo'!$1:$2,2,FALSE),FALSE))),"")</f>
        <v/>
      </c>
      <c r="Z513" s="7"/>
      <c r="AA513" s="7"/>
      <c r="AB513" s="7"/>
      <c r="AC513" s="7"/>
    </row>
    <row r="514" spans="1:29" ht="15.75" customHeight="1" x14ac:dyDescent="0.25">
      <c r="A514" s="12" t="s">
        <v>607</v>
      </c>
      <c r="B514" s="14" t="str">
        <f>IFERROR((VLOOKUP($A514,'[1]import success seats course'!$A:P,HLOOKUP('[1]Course Totals'!B$4,'[1]import success seats course'!$1:$2,2,FALSE),FALSE)/(VLOOKUP($A514,'[1]import graded seats course pivo'!$A:Z,HLOOKUP('[1]Course Totals'!B$4,'[1]import graded seats course pivo'!$1:$2,2,FALSE),FALSE))),"")</f>
        <v/>
      </c>
      <c r="C514" s="14" t="str">
        <f>IFERROR((VLOOKUP($A514,'[1]import success seats course'!$A:Q,HLOOKUP('[1]Course Totals'!C$4,'[1]import success seats course'!$1:$2,2,FALSE),FALSE)/(VLOOKUP($A514,'[1]import graded seats course pivo'!$A:AA,HLOOKUP('[1]Course Totals'!C$4,'[1]import graded seats course pivo'!$1:$2,2,FALSE),FALSE))),"")</f>
        <v/>
      </c>
      <c r="D514" s="14" t="str">
        <f>IFERROR((VLOOKUP($A514,'[1]import success seats course'!$A:R,HLOOKUP('[1]Course Totals'!D$4,'[1]import success seats course'!$1:$2,2,FALSE),FALSE)/(VLOOKUP($A514,'[1]import graded seats course pivo'!$A:AB,HLOOKUP('[1]Course Totals'!D$4,'[1]import graded seats course pivo'!$1:$2,2,FALSE),FALSE))),"")</f>
        <v/>
      </c>
      <c r="E514" s="14" t="str">
        <f>IFERROR((VLOOKUP($A514,'[1]import success seats course'!$A:S,HLOOKUP('[1]Course Totals'!E$4,'[1]import success seats course'!$1:$2,2,FALSE),FALSE)/(VLOOKUP($A514,'[1]import graded seats course pivo'!$A:AC,HLOOKUP('[1]Course Totals'!E$4,'[1]import graded seats course pivo'!$1:$2,2,FALSE),FALSE))),"")</f>
        <v/>
      </c>
      <c r="F514" s="14">
        <f>IFERROR((VLOOKUP($A514,'[1]import success seats course'!$A:T,HLOOKUP('[1]Course Totals'!F$4,'[1]import success seats course'!$1:$2,2,FALSE),FALSE)/(VLOOKUP($A514,'[1]import graded seats course pivo'!$A:AD,HLOOKUP('[1]Course Totals'!F$4,'[1]import graded seats course pivo'!$1:$2,2,FALSE),FALSE))),"")</f>
        <v>0.90909090909090906</v>
      </c>
      <c r="G514" s="14" t="str">
        <f>IFERROR((VLOOKUP($A514,'[1]import success seats course'!$A:U,HLOOKUP('[1]Course Totals'!G$4,'[1]import success seats course'!$1:$2,2,FALSE),FALSE)/(VLOOKUP($A514,'[1]import graded seats course pivo'!$A:AE,HLOOKUP('[1]Course Totals'!G$4,'[1]import graded seats course pivo'!$1:$2,2,FALSE),FALSE))),"")</f>
        <v/>
      </c>
      <c r="H514" s="14" t="str">
        <f>IFERROR((VLOOKUP($A514,'[1]import success seats course'!$A:V,HLOOKUP('[1]Course Totals'!H$4,'[1]import success seats course'!$1:$2,2,FALSE),FALSE)/(VLOOKUP($A514,'[1]import graded seats course pivo'!$A:AF,HLOOKUP('[1]Course Totals'!H$4,'[1]import graded seats course pivo'!$1:$2,2,FALSE),FALSE))),"")</f>
        <v/>
      </c>
      <c r="I514" s="14" t="str">
        <f>IFERROR((VLOOKUP($A514,'[1]import success seats course'!$A:W,HLOOKUP('[1]Course Totals'!I$4,'[1]import success seats course'!$1:$2,2,FALSE),FALSE)/(VLOOKUP($A514,'[1]import graded seats course pivo'!$A:AG,HLOOKUP('[1]Course Totals'!I$4,'[1]import graded seats course pivo'!$1:$2,2,FALSE),FALSE))),"")</f>
        <v/>
      </c>
      <c r="J514" s="14" t="str">
        <f>IFERROR((VLOOKUP($A514,'[1]import success seats course'!$A:X,HLOOKUP('[1]Course Totals'!J$4,'[1]import success seats course'!$1:$2,2,FALSE),FALSE)/(VLOOKUP($A514,'[1]import graded seats course pivo'!$A:AH,HLOOKUP('[1]Course Totals'!J$4,'[1]import graded seats course pivo'!$1:$2,2,FALSE),FALSE))),"")</f>
        <v/>
      </c>
      <c r="K514" s="14" t="str">
        <f>IFERROR((VLOOKUP($A514,'[1]import success seats course'!$A:Y,HLOOKUP('[1]Course Totals'!K$4,'[1]import success seats course'!$1:$2,2,FALSE),FALSE)/(VLOOKUP($A514,'[1]import graded seats course pivo'!$A:AI,HLOOKUP('[1]Course Totals'!K$4,'[1]import graded seats course pivo'!$1:$2,2,FALSE),FALSE))),"")</f>
        <v/>
      </c>
      <c r="L514" s="14" t="str">
        <f>IFERROR((VLOOKUP($A514,'[1]import success seats course'!$A:Z,HLOOKUP('[1]Course Totals'!L$4,'[1]import success seats course'!$1:$2,2,FALSE),FALSE)/(VLOOKUP($A514,'[1]import graded seats course pivo'!$A:AJ,HLOOKUP('[1]Course Totals'!L$4,'[1]import graded seats course pivo'!$1:$2,2,FALSE),FALSE))),"")</f>
        <v/>
      </c>
      <c r="M514" s="14">
        <f>IFERROR((VLOOKUP($A514,'[1]import success seats course'!$A:AA,HLOOKUP('[1]Course Totals'!M$4,'[1]import success seats course'!$1:$2,2,FALSE),FALSE)/(VLOOKUP($A514,'[1]import graded seats course pivo'!$A:AK,HLOOKUP('[1]Course Totals'!M$4,'[1]import graded seats course pivo'!$1:$2,2,FALSE),FALSE))),"")</f>
        <v>0.89473684210526316</v>
      </c>
      <c r="N514" s="14" t="str">
        <f>IFERROR((VLOOKUP($A514,'[1]import success seats course'!$A:AB,HLOOKUP('[1]Course Totals'!N$4,'[1]import success seats course'!$1:$2,2,FALSE),FALSE)/(VLOOKUP($A514,'[1]import graded seats course pivo'!$A:AL,HLOOKUP('[1]Course Totals'!N$4,'[1]import graded seats course pivo'!$1:$2,2,FALSE),FALSE))),"")</f>
        <v/>
      </c>
      <c r="O514" s="14" t="str">
        <f>IFERROR((VLOOKUP($A514,'[1]import success seats course'!$A:AC,HLOOKUP('[1]Course Totals'!O$4,'[1]import success seats course'!$1:$2,2,FALSE),FALSE)/(VLOOKUP($A514,'[1]import graded seats course pivo'!$A:AM,HLOOKUP('[1]Course Totals'!O$4,'[1]import graded seats course pivo'!$1:$2,2,FALSE),FALSE))),"")</f>
        <v/>
      </c>
      <c r="P514" s="14">
        <f>IFERROR((VLOOKUP($A514,'[1]import success seats course'!$A:AD,HLOOKUP('[1]Course Totals'!P$4,'[1]import success seats course'!$1:$2,2,FALSE),FALSE)/(VLOOKUP($A514,'[1]import graded seats course pivo'!$A:AN,HLOOKUP('[1]Course Totals'!P$4,'[1]import graded seats course pivo'!$1:$2,2,FALSE),FALSE))),"")</f>
        <v>0.75</v>
      </c>
      <c r="Q514" s="14" t="str">
        <f>IFERROR((VLOOKUP($A514,'[1]import success seats course'!$A:AE,HLOOKUP('[1]Course Totals'!Q$4,'[1]import success seats course'!$1:$2,2,FALSE),FALSE)/(VLOOKUP($A514,'[1]import graded seats course pivo'!$A:AO,HLOOKUP('[1]Course Totals'!Q$4,'[1]import graded seats course pivo'!$1:$2,2,FALSE),FALSE))),"")</f>
        <v/>
      </c>
      <c r="R514" s="14" t="str">
        <f>IFERROR((VLOOKUP($A514,'[1]import success seats course'!$A:AF,HLOOKUP('[1]Course Totals'!R$4,'[1]import success seats course'!$1:$2,2,FALSE),FALSE)/(VLOOKUP($A514,'[1]import graded seats course pivo'!$A:AP,HLOOKUP('[1]Course Totals'!R$4,'[1]import graded seats course pivo'!$1:$2,2,FALSE),FALSE))),"")</f>
        <v/>
      </c>
      <c r="S514" s="14" t="str">
        <f>IFERROR((VLOOKUP($A514,'[1]import success seats course'!$A:AG,HLOOKUP('[1]Course Totals'!S$4,'[1]import success seats course'!$1:$2,2,FALSE),FALSE)/(VLOOKUP($A514,'[1]import graded seats course pivo'!$A:AQ,HLOOKUP('[1]Course Totals'!S$4,'[1]import graded seats course pivo'!$1:$2,2,FALSE),FALSE))),"")</f>
        <v/>
      </c>
      <c r="Z514" s="7"/>
      <c r="AA514" s="7"/>
      <c r="AB514" s="7"/>
      <c r="AC514" s="7"/>
    </row>
    <row r="515" spans="1:29" ht="15.75" customHeight="1" x14ac:dyDescent="0.25">
      <c r="A515" s="12" t="s">
        <v>608</v>
      </c>
      <c r="B515" s="14" t="str">
        <f>IFERROR((VLOOKUP($A515,'[1]import success seats course'!$A:P,HLOOKUP('[1]Course Totals'!B$4,'[1]import success seats course'!$1:$2,2,FALSE),FALSE)/(VLOOKUP($A515,'[1]import graded seats course pivo'!$A:Z,HLOOKUP('[1]Course Totals'!B$4,'[1]import graded seats course pivo'!$1:$2,2,FALSE),FALSE))),"")</f>
        <v/>
      </c>
      <c r="C515" s="14" t="str">
        <f>IFERROR((VLOOKUP($A515,'[1]import success seats course'!$A:Q,HLOOKUP('[1]Course Totals'!C$4,'[1]import success seats course'!$1:$2,2,FALSE),FALSE)/(VLOOKUP($A515,'[1]import graded seats course pivo'!$A:AA,HLOOKUP('[1]Course Totals'!C$4,'[1]import graded seats course pivo'!$1:$2,2,FALSE),FALSE))),"")</f>
        <v/>
      </c>
      <c r="D515" s="14" t="str">
        <f>IFERROR((VLOOKUP($A515,'[1]import success seats course'!$A:R,HLOOKUP('[1]Course Totals'!D$4,'[1]import success seats course'!$1:$2,2,FALSE),FALSE)/(VLOOKUP($A515,'[1]import graded seats course pivo'!$A:AB,HLOOKUP('[1]Course Totals'!D$4,'[1]import graded seats course pivo'!$1:$2,2,FALSE),FALSE))),"")</f>
        <v/>
      </c>
      <c r="E515" s="14" t="str">
        <f>IFERROR((VLOOKUP($A515,'[1]import success seats course'!$A:S,HLOOKUP('[1]Course Totals'!E$4,'[1]import success seats course'!$1:$2,2,FALSE),FALSE)/(VLOOKUP($A515,'[1]import graded seats course pivo'!$A:AC,HLOOKUP('[1]Course Totals'!E$4,'[1]import graded seats course pivo'!$1:$2,2,FALSE),FALSE))),"")</f>
        <v/>
      </c>
      <c r="F515" s="14">
        <f>IFERROR((VLOOKUP($A515,'[1]import success seats course'!$A:T,HLOOKUP('[1]Course Totals'!F$4,'[1]import success seats course'!$1:$2,2,FALSE),FALSE)/(VLOOKUP($A515,'[1]import graded seats course pivo'!$A:AD,HLOOKUP('[1]Course Totals'!F$4,'[1]import graded seats course pivo'!$1:$2,2,FALSE),FALSE))),"")</f>
        <v>0.9</v>
      </c>
      <c r="G515" s="14" t="str">
        <f>IFERROR((VLOOKUP($A515,'[1]import success seats course'!$A:U,HLOOKUP('[1]Course Totals'!G$4,'[1]import success seats course'!$1:$2,2,FALSE),FALSE)/(VLOOKUP($A515,'[1]import graded seats course pivo'!$A:AE,HLOOKUP('[1]Course Totals'!G$4,'[1]import graded seats course pivo'!$1:$2,2,FALSE),FALSE))),"")</f>
        <v/>
      </c>
      <c r="H515" s="14" t="str">
        <f>IFERROR((VLOOKUP($A515,'[1]import success seats course'!$A:V,HLOOKUP('[1]Course Totals'!H$4,'[1]import success seats course'!$1:$2,2,FALSE),FALSE)/(VLOOKUP($A515,'[1]import graded seats course pivo'!$A:AF,HLOOKUP('[1]Course Totals'!H$4,'[1]import graded seats course pivo'!$1:$2,2,FALSE),FALSE))),"")</f>
        <v/>
      </c>
      <c r="I515" s="14" t="str">
        <f>IFERROR((VLOOKUP($A515,'[1]import success seats course'!$A:W,HLOOKUP('[1]Course Totals'!I$4,'[1]import success seats course'!$1:$2,2,FALSE),FALSE)/(VLOOKUP($A515,'[1]import graded seats course pivo'!$A:AG,HLOOKUP('[1]Course Totals'!I$4,'[1]import graded seats course pivo'!$1:$2,2,FALSE),FALSE))),"")</f>
        <v/>
      </c>
      <c r="J515" s="14" t="str">
        <f>IFERROR((VLOOKUP($A515,'[1]import success seats course'!$A:X,HLOOKUP('[1]Course Totals'!J$4,'[1]import success seats course'!$1:$2,2,FALSE),FALSE)/(VLOOKUP($A515,'[1]import graded seats course pivo'!$A:AH,HLOOKUP('[1]Course Totals'!J$4,'[1]import graded seats course pivo'!$1:$2,2,FALSE),FALSE))),"")</f>
        <v/>
      </c>
      <c r="K515" s="14" t="str">
        <f>IFERROR((VLOOKUP($A515,'[1]import success seats course'!$A:Y,HLOOKUP('[1]Course Totals'!K$4,'[1]import success seats course'!$1:$2,2,FALSE),FALSE)/(VLOOKUP($A515,'[1]import graded seats course pivo'!$A:AI,HLOOKUP('[1]Course Totals'!K$4,'[1]import graded seats course pivo'!$1:$2,2,FALSE),FALSE))),"")</f>
        <v/>
      </c>
      <c r="L515" s="14" t="str">
        <f>IFERROR((VLOOKUP($A515,'[1]import success seats course'!$A:Z,HLOOKUP('[1]Course Totals'!L$4,'[1]import success seats course'!$1:$2,2,FALSE),FALSE)/(VLOOKUP($A515,'[1]import graded seats course pivo'!$A:AJ,HLOOKUP('[1]Course Totals'!L$4,'[1]import graded seats course pivo'!$1:$2,2,FALSE),FALSE))),"")</f>
        <v/>
      </c>
      <c r="M515" s="14" t="str">
        <f>IFERROR((VLOOKUP($A515,'[1]import success seats course'!$A:AA,HLOOKUP('[1]Course Totals'!M$4,'[1]import success seats course'!$1:$2,2,FALSE),FALSE)/(VLOOKUP($A515,'[1]import graded seats course pivo'!$A:AK,HLOOKUP('[1]Course Totals'!M$4,'[1]import graded seats course pivo'!$1:$2,2,FALSE),FALSE))),"")</f>
        <v/>
      </c>
      <c r="N515" s="14" t="str">
        <f>IFERROR((VLOOKUP($A515,'[1]import success seats course'!$A:AB,HLOOKUP('[1]Course Totals'!N$4,'[1]import success seats course'!$1:$2,2,FALSE),FALSE)/(VLOOKUP($A515,'[1]import graded seats course pivo'!$A:AL,HLOOKUP('[1]Course Totals'!N$4,'[1]import graded seats course pivo'!$1:$2,2,FALSE),FALSE))),"")</f>
        <v/>
      </c>
      <c r="O515" s="14" t="str">
        <f>IFERROR((VLOOKUP($A515,'[1]import success seats course'!$A:AC,HLOOKUP('[1]Course Totals'!O$4,'[1]import success seats course'!$1:$2,2,FALSE),FALSE)/(VLOOKUP($A515,'[1]import graded seats course pivo'!$A:AM,HLOOKUP('[1]Course Totals'!O$4,'[1]import graded seats course pivo'!$1:$2,2,FALSE),FALSE))),"")</f>
        <v/>
      </c>
      <c r="P515" s="14" t="str">
        <f>IFERROR((VLOOKUP($A515,'[1]import success seats course'!$A:AD,HLOOKUP('[1]Course Totals'!P$4,'[1]import success seats course'!$1:$2,2,FALSE),FALSE)/(VLOOKUP($A515,'[1]import graded seats course pivo'!$A:AN,HLOOKUP('[1]Course Totals'!P$4,'[1]import graded seats course pivo'!$1:$2,2,FALSE),FALSE))),"")</f>
        <v/>
      </c>
      <c r="Q515" s="14" t="str">
        <f>IFERROR((VLOOKUP($A515,'[1]import success seats course'!$A:AE,HLOOKUP('[1]Course Totals'!Q$4,'[1]import success seats course'!$1:$2,2,FALSE),FALSE)/(VLOOKUP($A515,'[1]import graded seats course pivo'!$A:AO,HLOOKUP('[1]Course Totals'!Q$4,'[1]import graded seats course pivo'!$1:$2,2,FALSE),FALSE))),"")</f>
        <v/>
      </c>
      <c r="R515" s="14" t="str">
        <f>IFERROR((VLOOKUP($A515,'[1]import success seats course'!$A:AF,HLOOKUP('[1]Course Totals'!R$4,'[1]import success seats course'!$1:$2,2,FALSE),FALSE)/(VLOOKUP($A515,'[1]import graded seats course pivo'!$A:AP,HLOOKUP('[1]Course Totals'!R$4,'[1]import graded seats course pivo'!$1:$2,2,FALSE),FALSE))),"")</f>
        <v/>
      </c>
      <c r="S515" s="14" t="str">
        <f>IFERROR((VLOOKUP($A515,'[1]import success seats course'!$A:AG,HLOOKUP('[1]Course Totals'!S$4,'[1]import success seats course'!$1:$2,2,FALSE),FALSE)/(VLOOKUP($A515,'[1]import graded seats course pivo'!$A:AQ,HLOOKUP('[1]Course Totals'!S$4,'[1]import graded seats course pivo'!$1:$2,2,FALSE),FALSE))),"")</f>
        <v/>
      </c>
      <c r="Z515" s="7"/>
      <c r="AA515" s="7"/>
      <c r="AB515" s="7"/>
      <c r="AC515" s="7"/>
    </row>
    <row r="516" spans="1:29" ht="15.75" customHeight="1" x14ac:dyDescent="0.25">
      <c r="A516" s="12" t="s">
        <v>785</v>
      </c>
      <c r="B516" s="14" t="str">
        <f>IFERROR((VLOOKUP($A516,'[1]import success seats course'!$A:P,HLOOKUP('[1]Course Totals'!B$4,'[1]import success seats course'!$1:$2,2,FALSE),FALSE)/(VLOOKUP($A516,'[1]import graded seats course pivo'!$A:Z,HLOOKUP('[1]Course Totals'!B$4,'[1]import graded seats course pivo'!$1:$2,2,FALSE),FALSE))),"")</f>
        <v/>
      </c>
      <c r="C516" s="14" t="str">
        <f>IFERROR((VLOOKUP($A516,'[1]import success seats course'!$A:Q,HLOOKUP('[1]Course Totals'!C$4,'[1]import success seats course'!$1:$2,2,FALSE),FALSE)/(VLOOKUP($A516,'[1]import graded seats course pivo'!$A:AA,HLOOKUP('[1]Course Totals'!C$4,'[1]import graded seats course pivo'!$1:$2,2,FALSE),FALSE))),"")</f>
        <v/>
      </c>
      <c r="D516" s="14" t="str">
        <f>IFERROR((VLOOKUP($A516,'[1]import success seats course'!$A:R,HLOOKUP('[1]Course Totals'!D$4,'[1]import success seats course'!$1:$2,2,FALSE),FALSE)/(VLOOKUP($A516,'[1]import graded seats course pivo'!$A:AB,HLOOKUP('[1]Course Totals'!D$4,'[1]import graded seats course pivo'!$1:$2,2,FALSE),FALSE))),"")</f>
        <v/>
      </c>
      <c r="E516" s="14" t="str">
        <f>IFERROR((VLOOKUP($A516,'[1]import success seats course'!$A:S,HLOOKUP('[1]Course Totals'!E$4,'[1]import success seats course'!$1:$2,2,FALSE),FALSE)/(VLOOKUP($A516,'[1]import graded seats course pivo'!$A:AC,HLOOKUP('[1]Course Totals'!E$4,'[1]import graded seats course pivo'!$1:$2,2,FALSE),FALSE))),"")</f>
        <v/>
      </c>
      <c r="F516" s="14" t="str">
        <f>IFERROR((VLOOKUP($A516,'[1]import success seats course'!$A:T,HLOOKUP('[1]Course Totals'!F$4,'[1]import success seats course'!$1:$2,2,FALSE),FALSE)/(VLOOKUP($A516,'[1]import graded seats course pivo'!$A:AD,HLOOKUP('[1]Course Totals'!F$4,'[1]import graded seats course pivo'!$1:$2,2,FALSE),FALSE))),"")</f>
        <v/>
      </c>
      <c r="G516" s="14">
        <f>IFERROR((VLOOKUP($A516,'[1]import success seats course'!$A:U,HLOOKUP('[1]Course Totals'!G$4,'[1]import success seats course'!$1:$2,2,FALSE),FALSE)/(VLOOKUP($A516,'[1]import graded seats course pivo'!$A:AE,HLOOKUP('[1]Course Totals'!G$4,'[1]import graded seats course pivo'!$1:$2,2,FALSE),FALSE))),"")</f>
        <v>0.94736842105263153</v>
      </c>
      <c r="H516" s="14" t="str">
        <f>IFERROR((VLOOKUP($A516,'[1]import success seats course'!$A:V,HLOOKUP('[1]Course Totals'!H$4,'[1]import success seats course'!$1:$2,2,FALSE),FALSE)/(VLOOKUP($A516,'[1]import graded seats course pivo'!$A:AF,HLOOKUP('[1]Course Totals'!H$4,'[1]import graded seats course pivo'!$1:$2,2,FALSE),FALSE))),"")</f>
        <v/>
      </c>
      <c r="I516" s="14" t="str">
        <f>IFERROR((VLOOKUP($A516,'[1]import success seats course'!$A:W,HLOOKUP('[1]Course Totals'!I$4,'[1]import success seats course'!$1:$2,2,FALSE),FALSE)/(VLOOKUP($A516,'[1]import graded seats course pivo'!$A:AG,HLOOKUP('[1]Course Totals'!I$4,'[1]import graded seats course pivo'!$1:$2,2,FALSE),FALSE))),"")</f>
        <v/>
      </c>
      <c r="J516" s="14" t="str">
        <f>IFERROR((VLOOKUP($A516,'[1]import success seats course'!$A:X,HLOOKUP('[1]Course Totals'!J$4,'[1]import success seats course'!$1:$2,2,FALSE),FALSE)/(VLOOKUP($A516,'[1]import graded seats course pivo'!$A:AH,HLOOKUP('[1]Course Totals'!J$4,'[1]import graded seats course pivo'!$1:$2,2,FALSE),FALSE))),"")</f>
        <v/>
      </c>
      <c r="K516" s="14" t="str">
        <f>IFERROR((VLOOKUP($A516,'[1]import success seats course'!$A:Y,HLOOKUP('[1]Course Totals'!K$4,'[1]import success seats course'!$1:$2,2,FALSE),FALSE)/(VLOOKUP($A516,'[1]import graded seats course pivo'!$A:AI,HLOOKUP('[1]Course Totals'!K$4,'[1]import graded seats course pivo'!$1:$2,2,FALSE),FALSE))),"")</f>
        <v/>
      </c>
      <c r="L516" s="14">
        <f>IFERROR((VLOOKUP($A516,'[1]import success seats course'!$A:Z,HLOOKUP('[1]Course Totals'!L$4,'[1]import success seats course'!$1:$2,2,FALSE),FALSE)/(VLOOKUP($A516,'[1]import graded seats course pivo'!$A:AJ,HLOOKUP('[1]Course Totals'!L$4,'[1]import graded seats course pivo'!$1:$2,2,FALSE),FALSE))),"")</f>
        <v>1</v>
      </c>
      <c r="M516" s="14" t="str">
        <f>IFERROR((VLOOKUP($A516,'[1]import success seats course'!$A:AA,HLOOKUP('[1]Course Totals'!M$4,'[1]import success seats course'!$1:$2,2,FALSE),FALSE)/(VLOOKUP($A516,'[1]import graded seats course pivo'!$A:AK,HLOOKUP('[1]Course Totals'!M$4,'[1]import graded seats course pivo'!$1:$2,2,FALSE),FALSE))),"")</f>
        <v/>
      </c>
      <c r="N516" s="14" t="str">
        <f>IFERROR((VLOOKUP($A516,'[1]import success seats course'!$A:AB,HLOOKUP('[1]Course Totals'!N$4,'[1]import success seats course'!$1:$2,2,FALSE),FALSE)/(VLOOKUP($A516,'[1]import graded seats course pivo'!$A:AL,HLOOKUP('[1]Course Totals'!N$4,'[1]import graded seats course pivo'!$1:$2,2,FALSE),FALSE))),"")</f>
        <v/>
      </c>
      <c r="O516" s="14" t="str">
        <f>IFERROR((VLOOKUP($A516,'[1]import success seats course'!$A:AC,HLOOKUP('[1]Course Totals'!O$4,'[1]import success seats course'!$1:$2,2,FALSE),FALSE)/(VLOOKUP($A516,'[1]import graded seats course pivo'!$A:AM,HLOOKUP('[1]Course Totals'!O$4,'[1]import graded seats course pivo'!$1:$2,2,FALSE),FALSE))),"")</f>
        <v/>
      </c>
      <c r="P516" s="14" t="str">
        <f>IFERROR((VLOOKUP($A516,'[1]import success seats course'!$A:AD,HLOOKUP('[1]Course Totals'!P$4,'[1]import success seats course'!$1:$2,2,FALSE),FALSE)/(VLOOKUP($A516,'[1]import graded seats course pivo'!$A:AN,HLOOKUP('[1]Course Totals'!P$4,'[1]import graded seats course pivo'!$1:$2,2,FALSE),FALSE))),"")</f>
        <v/>
      </c>
      <c r="Q516" s="14" t="str">
        <f>IFERROR((VLOOKUP($A516,'[1]import success seats course'!$A:AE,HLOOKUP('[1]Course Totals'!Q$4,'[1]import success seats course'!$1:$2,2,FALSE),FALSE)/(VLOOKUP($A516,'[1]import graded seats course pivo'!$A:AO,HLOOKUP('[1]Course Totals'!Q$4,'[1]import graded seats course pivo'!$1:$2,2,FALSE),FALSE))),"")</f>
        <v/>
      </c>
      <c r="R516" s="14" t="str">
        <f>IFERROR((VLOOKUP($A516,'[1]import success seats course'!$A:AF,HLOOKUP('[1]Course Totals'!R$4,'[1]import success seats course'!$1:$2,2,FALSE),FALSE)/(VLOOKUP($A516,'[1]import graded seats course pivo'!$A:AP,HLOOKUP('[1]Course Totals'!R$4,'[1]import graded seats course pivo'!$1:$2,2,FALSE),FALSE))),"")</f>
        <v/>
      </c>
      <c r="S516" s="14" t="str">
        <f>IFERROR((VLOOKUP($A516,'[1]import success seats course'!$A:AG,HLOOKUP('[1]Course Totals'!S$4,'[1]import success seats course'!$1:$2,2,FALSE),FALSE)/(VLOOKUP($A516,'[1]import graded seats course pivo'!$A:AQ,HLOOKUP('[1]Course Totals'!S$4,'[1]import graded seats course pivo'!$1:$2,2,FALSE),FALSE))),"")</f>
        <v/>
      </c>
      <c r="Z516" s="7"/>
      <c r="AA516" s="7"/>
      <c r="AB516" s="7"/>
      <c r="AC516" s="7"/>
    </row>
    <row r="517" spans="1:29" ht="15.75" customHeight="1" x14ac:dyDescent="0.25">
      <c r="A517" s="12" t="s">
        <v>909</v>
      </c>
      <c r="B517" s="14" t="str">
        <f>IFERROR((VLOOKUP($A517,'[1]import success seats course'!$A:P,HLOOKUP('[1]Course Totals'!B$4,'[1]import success seats course'!$1:$2,2,FALSE),FALSE)/(VLOOKUP($A517,'[1]import graded seats course pivo'!$A:Z,HLOOKUP('[1]Course Totals'!B$4,'[1]import graded seats course pivo'!$1:$2,2,FALSE),FALSE))),"")</f>
        <v/>
      </c>
      <c r="C517" s="14" t="str">
        <f>IFERROR((VLOOKUP($A517,'[1]import success seats course'!$A:Q,HLOOKUP('[1]Course Totals'!C$4,'[1]import success seats course'!$1:$2,2,FALSE),FALSE)/(VLOOKUP($A517,'[1]import graded seats course pivo'!$A:AA,HLOOKUP('[1]Course Totals'!C$4,'[1]import graded seats course pivo'!$1:$2,2,FALSE),FALSE))),"")</f>
        <v/>
      </c>
      <c r="D517" s="14">
        <f>IFERROR((VLOOKUP($A517,'[1]import success seats course'!$A:R,HLOOKUP('[1]Course Totals'!D$4,'[1]import success seats course'!$1:$2,2,FALSE),FALSE)/(VLOOKUP($A517,'[1]import graded seats course pivo'!$A:AB,HLOOKUP('[1]Course Totals'!D$4,'[1]import graded seats course pivo'!$1:$2,2,FALSE),FALSE))),"")</f>
        <v>0.5714285714285714</v>
      </c>
      <c r="E517" s="14" t="str">
        <f>IFERROR((VLOOKUP($A517,'[1]import success seats course'!$A:S,HLOOKUP('[1]Course Totals'!E$4,'[1]import success seats course'!$1:$2,2,FALSE),FALSE)/(VLOOKUP($A517,'[1]import graded seats course pivo'!$A:AC,HLOOKUP('[1]Course Totals'!E$4,'[1]import graded seats course pivo'!$1:$2,2,FALSE),FALSE))),"")</f>
        <v/>
      </c>
      <c r="F517" s="14" t="str">
        <f>IFERROR((VLOOKUP($A517,'[1]import success seats course'!$A:T,HLOOKUP('[1]Course Totals'!F$4,'[1]import success seats course'!$1:$2,2,FALSE),FALSE)/(VLOOKUP($A517,'[1]import graded seats course pivo'!$A:AD,HLOOKUP('[1]Course Totals'!F$4,'[1]import graded seats course pivo'!$1:$2,2,FALSE),FALSE))),"")</f>
        <v/>
      </c>
      <c r="G517" s="14">
        <f>IFERROR((VLOOKUP($A517,'[1]import success seats course'!$A:U,HLOOKUP('[1]Course Totals'!G$4,'[1]import success seats course'!$1:$2,2,FALSE),FALSE)/(VLOOKUP($A517,'[1]import graded seats course pivo'!$A:AE,HLOOKUP('[1]Course Totals'!G$4,'[1]import graded seats course pivo'!$1:$2,2,FALSE),FALSE))),"")</f>
        <v>0.66666666666666663</v>
      </c>
      <c r="H517" s="14" t="str">
        <f>IFERROR((VLOOKUP($A517,'[1]import success seats course'!$A:V,HLOOKUP('[1]Course Totals'!H$4,'[1]import success seats course'!$1:$2,2,FALSE),FALSE)/(VLOOKUP($A517,'[1]import graded seats course pivo'!$A:AF,HLOOKUP('[1]Course Totals'!H$4,'[1]import graded seats course pivo'!$1:$2,2,FALSE),FALSE))),"")</f>
        <v/>
      </c>
      <c r="I517" s="14" t="str">
        <f>IFERROR((VLOOKUP($A517,'[1]import success seats course'!$A:W,HLOOKUP('[1]Course Totals'!I$4,'[1]import success seats course'!$1:$2,2,FALSE),FALSE)/(VLOOKUP($A517,'[1]import graded seats course pivo'!$A:AG,HLOOKUP('[1]Course Totals'!I$4,'[1]import graded seats course pivo'!$1:$2,2,FALSE),FALSE))),"")</f>
        <v/>
      </c>
      <c r="J517" s="14">
        <f>IFERROR((VLOOKUP($A517,'[1]import success seats course'!$A:X,HLOOKUP('[1]Course Totals'!J$4,'[1]import success seats course'!$1:$2,2,FALSE),FALSE)/(VLOOKUP($A517,'[1]import graded seats course pivo'!$A:AH,HLOOKUP('[1]Course Totals'!J$4,'[1]import graded seats course pivo'!$1:$2,2,FALSE),FALSE))),"")</f>
        <v>0.6</v>
      </c>
      <c r="K517" s="14" t="str">
        <f>IFERROR((VLOOKUP($A517,'[1]import success seats course'!$A:Y,HLOOKUP('[1]Course Totals'!K$4,'[1]import success seats course'!$1:$2,2,FALSE),FALSE)/(VLOOKUP($A517,'[1]import graded seats course pivo'!$A:AI,HLOOKUP('[1]Course Totals'!K$4,'[1]import graded seats course pivo'!$1:$2,2,FALSE),FALSE))),"")</f>
        <v/>
      </c>
      <c r="L517" s="14" t="str">
        <f>IFERROR((VLOOKUP($A517,'[1]import success seats course'!$A:Z,HLOOKUP('[1]Course Totals'!L$4,'[1]import success seats course'!$1:$2,2,FALSE),FALSE)/(VLOOKUP($A517,'[1]import graded seats course pivo'!$A:AJ,HLOOKUP('[1]Course Totals'!L$4,'[1]import graded seats course pivo'!$1:$2,2,FALSE),FALSE))),"")</f>
        <v/>
      </c>
      <c r="M517" s="14">
        <f>IFERROR((VLOOKUP($A517,'[1]import success seats course'!$A:AA,HLOOKUP('[1]Course Totals'!M$4,'[1]import success seats course'!$1:$2,2,FALSE),FALSE)/(VLOOKUP($A517,'[1]import graded seats course pivo'!$A:AK,HLOOKUP('[1]Course Totals'!M$4,'[1]import graded seats course pivo'!$1:$2,2,FALSE),FALSE))),"")</f>
        <v>0.875</v>
      </c>
      <c r="N517" s="14" t="str">
        <f>IFERROR((VLOOKUP($A517,'[1]import success seats course'!$A:AB,HLOOKUP('[1]Course Totals'!N$4,'[1]import success seats course'!$1:$2,2,FALSE),FALSE)/(VLOOKUP($A517,'[1]import graded seats course pivo'!$A:AL,HLOOKUP('[1]Course Totals'!N$4,'[1]import graded seats course pivo'!$1:$2,2,FALSE),FALSE))),"")</f>
        <v/>
      </c>
      <c r="O517" s="14" t="str">
        <f>IFERROR((VLOOKUP($A517,'[1]import success seats course'!$A:AC,HLOOKUP('[1]Course Totals'!O$4,'[1]import success seats course'!$1:$2,2,FALSE),FALSE)/(VLOOKUP($A517,'[1]import graded seats course pivo'!$A:AM,HLOOKUP('[1]Course Totals'!O$4,'[1]import graded seats course pivo'!$1:$2,2,FALSE),FALSE))),"")</f>
        <v/>
      </c>
      <c r="P517" s="14" t="str">
        <f>IFERROR((VLOOKUP($A517,'[1]import success seats course'!$A:AD,HLOOKUP('[1]Course Totals'!P$4,'[1]import success seats course'!$1:$2,2,FALSE),FALSE)/(VLOOKUP($A517,'[1]import graded seats course pivo'!$A:AN,HLOOKUP('[1]Course Totals'!P$4,'[1]import graded seats course pivo'!$1:$2,2,FALSE),FALSE))),"")</f>
        <v/>
      </c>
      <c r="Q517" s="14" t="str">
        <f>IFERROR((VLOOKUP($A517,'[1]import success seats course'!$A:AE,HLOOKUP('[1]Course Totals'!Q$4,'[1]import success seats course'!$1:$2,2,FALSE),FALSE)/(VLOOKUP($A517,'[1]import graded seats course pivo'!$A:AO,HLOOKUP('[1]Course Totals'!Q$4,'[1]import graded seats course pivo'!$1:$2,2,FALSE),FALSE))),"")</f>
        <v/>
      </c>
      <c r="R517" s="14" t="str">
        <f>IFERROR((VLOOKUP($A517,'[1]import success seats course'!$A:AF,HLOOKUP('[1]Course Totals'!R$4,'[1]import success seats course'!$1:$2,2,FALSE),FALSE)/(VLOOKUP($A517,'[1]import graded seats course pivo'!$A:AP,HLOOKUP('[1]Course Totals'!R$4,'[1]import graded seats course pivo'!$1:$2,2,FALSE),FALSE))),"")</f>
        <v/>
      </c>
      <c r="S517" s="14" t="str">
        <f>IFERROR((VLOOKUP($A517,'[1]import success seats course'!$A:AG,HLOOKUP('[1]Course Totals'!S$4,'[1]import success seats course'!$1:$2,2,FALSE),FALSE)/(VLOOKUP($A517,'[1]import graded seats course pivo'!$A:AQ,HLOOKUP('[1]Course Totals'!S$4,'[1]import graded seats course pivo'!$1:$2,2,FALSE),FALSE))),"")</f>
        <v/>
      </c>
      <c r="Z517" s="7"/>
      <c r="AA517" s="7"/>
      <c r="AB517" s="7"/>
      <c r="AC517" s="7"/>
    </row>
    <row r="518" spans="1:29" ht="15.75" customHeight="1" x14ac:dyDescent="0.25">
      <c r="A518" s="12" t="s">
        <v>840</v>
      </c>
      <c r="B518" s="14" t="str">
        <f>IFERROR((VLOOKUP($A518,'[1]import success seats course'!$A:P,HLOOKUP('[1]Course Totals'!B$4,'[1]import success seats course'!$1:$2,2,FALSE),FALSE)/(VLOOKUP($A518,'[1]import graded seats course pivo'!$A:Z,HLOOKUP('[1]Course Totals'!B$4,'[1]import graded seats course pivo'!$1:$2,2,FALSE),FALSE))),"")</f>
        <v/>
      </c>
      <c r="C518" s="14" t="str">
        <f>IFERROR((VLOOKUP($A518,'[1]import success seats course'!$A:Q,HLOOKUP('[1]Course Totals'!C$4,'[1]import success seats course'!$1:$2,2,FALSE),FALSE)/(VLOOKUP($A518,'[1]import graded seats course pivo'!$A:AA,HLOOKUP('[1]Course Totals'!C$4,'[1]import graded seats course pivo'!$1:$2,2,FALSE),FALSE))),"")</f>
        <v/>
      </c>
      <c r="D518" s="14" t="str">
        <f>IFERROR((VLOOKUP($A518,'[1]import success seats course'!$A:R,HLOOKUP('[1]Course Totals'!D$4,'[1]import success seats course'!$1:$2,2,FALSE),FALSE)/(VLOOKUP($A518,'[1]import graded seats course pivo'!$A:AB,HLOOKUP('[1]Course Totals'!D$4,'[1]import graded seats course pivo'!$1:$2,2,FALSE),FALSE))),"")</f>
        <v/>
      </c>
      <c r="E518" s="14" t="str">
        <f>IFERROR((VLOOKUP($A518,'[1]import success seats course'!$A:S,HLOOKUP('[1]Course Totals'!E$4,'[1]import success seats course'!$1:$2,2,FALSE),FALSE)/(VLOOKUP($A518,'[1]import graded seats course pivo'!$A:AC,HLOOKUP('[1]Course Totals'!E$4,'[1]import graded seats course pivo'!$1:$2,2,FALSE),FALSE))),"")</f>
        <v/>
      </c>
      <c r="F518" s="14" t="str">
        <f>IFERROR((VLOOKUP($A518,'[1]import success seats course'!$A:T,HLOOKUP('[1]Course Totals'!F$4,'[1]import success seats course'!$1:$2,2,FALSE),FALSE)/(VLOOKUP($A518,'[1]import graded seats course pivo'!$A:AD,HLOOKUP('[1]Course Totals'!F$4,'[1]import graded seats course pivo'!$1:$2,2,FALSE),FALSE))),"")</f>
        <v/>
      </c>
      <c r="G518" s="14" t="str">
        <f>IFERROR((VLOOKUP($A518,'[1]import success seats course'!$A:U,HLOOKUP('[1]Course Totals'!G$4,'[1]import success seats course'!$1:$2,2,FALSE),FALSE)/(VLOOKUP($A518,'[1]import graded seats course pivo'!$A:AE,HLOOKUP('[1]Course Totals'!G$4,'[1]import graded seats course pivo'!$1:$2,2,FALSE),FALSE))),"")</f>
        <v/>
      </c>
      <c r="H518" s="14" t="str">
        <f>IFERROR((VLOOKUP($A518,'[1]import success seats course'!$A:V,HLOOKUP('[1]Course Totals'!H$4,'[1]import success seats course'!$1:$2,2,FALSE),FALSE)/(VLOOKUP($A518,'[1]import graded seats course pivo'!$A:AF,HLOOKUP('[1]Course Totals'!H$4,'[1]import graded seats course pivo'!$1:$2,2,FALSE),FALSE))),"")</f>
        <v/>
      </c>
      <c r="I518" s="14" t="str">
        <f>IFERROR((VLOOKUP($A518,'[1]import success seats course'!$A:W,HLOOKUP('[1]Course Totals'!I$4,'[1]import success seats course'!$1:$2,2,FALSE),FALSE)/(VLOOKUP($A518,'[1]import graded seats course pivo'!$A:AG,HLOOKUP('[1]Course Totals'!I$4,'[1]import graded seats course pivo'!$1:$2,2,FALSE),FALSE))),"")</f>
        <v/>
      </c>
      <c r="J518" s="14">
        <f>IFERROR((VLOOKUP($A518,'[1]import success seats course'!$A:X,HLOOKUP('[1]Course Totals'!J$4,'[1]import success seats course'!$1:$2,2,FALSE),FALSE)/(VLOOKUP($A518,'[1]import graded seats course pivo'!$A:AH,HLOOKUP('[1]Course Totals'!J$4,'[1]import graded seats course pivo'!$1:$2,2,FALSE),FALSE))),"")</f>
        <v>0.8928571428571429</v>
      </c>
      <c r="K518" s="14" t="str">
        <f>IFERROR((VLOOKUP($A518,'[1]import success seats course'!$A:Y,HLOOKUP('[1]Course Totals'!K$4,'[1]import success seats course'!$1:$2,2,FALSE),FALSE)/(VLOOKUP($A518,'[1]import graded seats course pivo'!$A:AI,HLOOKUP('[1]Course Totals'!K$4,'[1]import graded seats course pivo'!$1:$2,2,FALSE),FALSE))),"")</f>
        <v/>
      </c>
      <c r="L518" s="14" t="str">
        <f>IFERROR((VLOOKUP($A518,'[1]import success seats course'!$A:Z,HLOOKUP('[1]Course Totals'!L$4,'[1]import success seats course'!$1:$2,2,FALSE),FALSE)/(VLOOKUP($A518,'[1]import graded seats course pivo'!$A:AJ,HLOOKUP('[1]Course Totals'!L$4,'[1]import graded seats course pivo'!$1:$2,2,FALSE),FALSE))),"")</f>
        <v/>
      </c>
      <c r="M518" s="14" t="str">
        <f>IFERROR((VLOOKUP($A518,'[1]import success seats course'!$A:AA,HLOOKUP('[1]Course Totals'!M$4,'[1]import success seats course'!$1:$2,2,FALSE),FALSE)/(VLOOKUP($A518,'[1]import graded seats course pivo'!$A:AK,HLOOKUP('[1]Course Totals'!M$4,'[1]import graded seats course pivo'!$1:$2,2,FALSE),FALSE))),"")</f>
        <v/>
      </c>
      <c r="N518" s="14" t="str">
        <f>IFERROR((VLOOKUP($A518,'[1]import success seats course'!$A:AB,HLOOKUP('[1]Course Totals'!N$4,'[1]import success seats course'!$1:$2,2,FALSE),FALSE)/(VLOOKUP($A518,'[1]import graded seats course pivo'!$A:AL,HLOOKUP('[1]Course Totals'!N$4,'[1]import graded seats course pivo'!$1:$2,2,FALSE),FALSE))),"")</f>
        <v/>
      </c>
      <c r="O518" s="14" t="str">
        <f>IFERROR((VLOOKUP($A518,'[1]import success seats course'!$A:AC,HLOOKUP('[1]Course Totals'!O$4,'[1]import success seats course'!$1:$2,2,FALSE),FALSE)/(VLOOKUP($A518,'[1]import graded seats course pivo'!$A:AM,HLOOKUP('[1]Course Totals'!O$4,'[1]import graded seats course pivo'!$1:$2,2,FALSE),FALSE))),"")</f>
        <v/>
      </c>
      <c r="P518" s="14" t="str">
        <f>IFERROR((VLOOKUP($A518,'[1]import success seats course'!$A:AD,HLOOKUP('[1]Course Totals'!P$4,'[1]import success seats course'!$1:$2,2,FALSE),FALSE)/(VLOOKUP($A518,'[1]import graded seats course pivo'!$A:AN,HLOOKUP('[1]Course Totals'!P$4,'[1]import graded seats course pivo'!$1:$2,2,FALSE),FALSE))),"")</f>
        <v/>
      </c>
      <c r="Q518" s="14" t="str">
        <f>IFERROR((VLOOKUP($A518,'[1]import success seats course'!$A:AE,HLOOKUP('[1]Course Totals'!Q$4,'[1]import success seats course'!$1:$2,2,FALSE),FALSE)/(VLOOKUP($A518,'[1]import graded seats course pivo'!$A:AO,HLOOKUP('[1]Course Totals'!Q$4,'[1]import graded seats course pivo'!$1:$2,2,FALSE),FALSE))),"")</f>
        <v/>
      </c>
      <c r="R518" s="14" t="str">
        <f>IFERROR((VLOOKUP($A518,'[1]import success seats course'!$A:AF,HLOOKUP('[1]Course Totals'!R$4,'[1]import success seats course'!$1:$2,2,FALSE),FALSE)/(VLOOKUP($A518,'[1]import graded seats course pivo'!$A:AP,HLOOKUP('[1]Course Totals'!R$4,'[1]import graded seats course pivo'!$1:$2,2,FALSE),FALSE))),"")</f>
        <v/>
      </c>
      <c r="S518" s="14" t="str">
        <f>IFERROR((VLOOKUP($A518,'[1]import success seats course'!$A:AG,HLOOKUP('[1]Course Totals'!S$4,'[1]import success seats course'!$1:$2,2,FALSE),FALSE)/(VLOOKUP($A518,'[1]import graded seats course pivo'!$A:AQ,HLOOKUP('[1]Course Totals'!S$4,'[1]import graded seats course pivo'!$1:$2,2,FALSE),FALSE))),"")</f>
        <v/>
      </c>
      <c r="Z518" s="7"/>
      <c r="AA518" s="7"/>
      <c r="AB518" s="7"/>
      <c r="AC518" s="7"/>
    </row>
    <row r="519" spans="1:29" ht="15.75" customHeight="1" x14ac:dyDescent="0.25">
      <c r="A519" s="12" t="s">
        <v>1014</v>
      </c>
      <c r="B519" s="14" t="str">
        <f>IFERROR((VLOOKUP($A519,'[1]import success seats course'!$A:P,HLOOKUP('[1]Course Totals'!B$4,'[1]import success seats course'!$1:$2,2,FALSE),FALSE)/(VLOOKUP($A519,'[1]import graded seats course pivo'!$A:Z,HLOOKUP('[1]Course Totals'!B$4,'[1]import graded seats course pivo'!$1:$2,2,FALSE),FALSE))),"")</f>
        <v/>
      </c>
      <c r="C519" s="14" t="str">
        <f>IFERROR((VLOOKUP($A519,'[1]import success seats course'!$A:Q,HLOOKUP('[1]Course Totals'!C$4,'[1]import success seats course'!$1:$2,2,FALSE),FALSE)/(VLOOKUP($A519,'[1]import graded seats course pivo'!$A:AA,HLOOKUP('[1]Course Totals'!C$4,'[1]import graded seats course pivo'!$1:$2,2,FALSE),FALSE))),"")</f>
        <v/>
      </c>
      <c r="D519" s="14" t="str">
        <f>IFERROR((VLOOKUP($A519,'[1]import success seats course'!$A:R,HLOOKUP('[1]Course Totals'!D$4,'[1]import success seats course'!$1:$2,2,FALSE),FALSE)/(VLOOKUP($A519,'[1]import graded seats course pivo'!$A:AB,HLOOKUP('[1]Course Totals'!D$4,'[1]import graded seats course pivo'!$1:$2,2,FALSE),FALSE))),"")</f>
        <v/>
      </c>
      <c r="E519" s="14" t="str">
        <f>IFERROR((VLOOKUP($A519,'[1]import success seats course'!$A:S,HLOOKUP('[1]Course Totals'!E$4,'[1]import success seats course'!$1:$2,2,FALSE),FALSE)/(VLOOKUP($A519,'[1]import graded seats course pivo'!$A:AC,HLOOKUP('[1]Course Totals'!E$4,'[1]import graded seats course pivo'!$1:$2,2,FALSE),FALSE))),"")</f>
        <v/>
      </c>
      <c r="F519" s="14" t="str">
        <f>IFERROR((VLOOKUP($A519,'[1]import success seats course'!$A:T,HLOOKUP('[1]Course Totals'!F$4,'[1]import success seats course'!$1:$2,2,FALSE),FALSE)/(VLOOKUP($A519,'[1]import graded seats course pivo'!$A:AD,HLOOKUP('[1]Course Totals'!F$4,'[1]import graded seats course pivo'!$1:$2,2,FALSE),FALSE))),"")</f>
        <v/>
      </c>
      <c r="G519" s="14" t="str">
        <f>IFERROR((VLOOKUP($A519,'[1]import success seats course'!$A:U,HLOOKUP('[1]Course Totals'!G$4,'[1]import success seats course'!$1:$2,2,FALSE),FALSE)/(VLOOKUP($A519,'[1]import graded seats course pivo'!$A:AE,HLOOKUP('[1]Course Totals'!G$4,'[1]import graded seats course pivo'!$1:$2,2,FALSE),FALSE))),"")</f>
        <v/>
      </c>
      <c r="H519" s="14" t="str">
        <f>IFERROR((VLOOKUP($A519,'[1]import success seats course'!$A:V,HLOOKUP('[1]Course Totals'!H$4,'[1]import success seats course'!$1:$2,2,FALSE),FALSE)/(VLOOKUP($A519,'[1]import graded seats course pivo'!$A:AF,HLOOKUP('[1]Course Totals'!H$4,'[1]import graded seats course pivo'!$1:$2,2,FALSE),FALSE))),"")</f>
        <v/>
      </c>
      <c r="I519" s="14" t="str">
        <f>IFERROR((VLOOKUP($A519,'[1]import success seats course'!$A:W,HLOOKUP('[1]Course Totals'!I$4,'[1]import success seats course'!$1:$2,2,FALSE),FALSE)/(VLOOKUP($A519,'[1]import graded seats course pivo'!$A:AG,HLOOKUP('[1]Course Totals'!I$4,'[1]import graded seats course pivo'!$1:$2,2,FALSE),FALSE))),"")</f>
        <v/>
      </c>
      <c r="J519" s="14">
        <f>IFERROR((VLOOKUP($A519,'[1]import success seats course'!$A:X,HLOOKUP('[1]Course Totals'!J$4,'[1]import success seats course'!$1:$2,2,FALSE),FALSE)/(VLOOKUP($A519,'[1]import graded seats course pivo'!$A:AH,HLOOKUP('[1]Course Totals'!J$4,'[1]import graded seats course pivo'!$1:$2,2,FALSE),FALSE))),"")</f>
        <v>1</v>
      </c>
      <c r="K519" s="14" t="str">
        <f>IFERROR((VLOOKUP($A519,'[1]import success seats course'!$A:Y,HLOOKUP('[1]Course Totals'!K$4,'[1]import success seats course'!$1:$2,2,FALSE),FALSE)/(VLOOKUP($A519,'[1]import graded seats course pivo'!$A:AI,HLOOKUP('[1]Course Totals'!K$4,'[1]import graded seats course pivo'!$1:$2,2,FALSE),FALSE))),"")</f>
        <v/>
      </c>
      <c r="L519" s="14" t="str">
        <f>IFERROR((VLOOKUP($A519,'[1]import success seats course'!$A:Z,HLOOKUP('[1]Course Totals'!L$4,'[1]import success seats course'!$1:$2,2,FALSE),FALSE)/(VLOOKUP($A519,'[1]import graded seats course pivo'!$A:AJ,HLOOKUP('[1]Course Totals'!L$4,'[1]import graded seats course pivo'!$1:$2,2,FALSE),FALSE))),"")</f>
        <v/>
      </c>
      <c r="M519" s="14" t="str">
        <f>IFERROR((VLOOKUP($A519,'[1]import success seats course'!$A:AA,HLOOKUP('[1]Course Totals'!M$4,'[1]import success seats course'!$1:$2,2,FALSE),FALSE)/(VLOOKUP($A519,'[1]import graded seats course pivo'!$A:AK,HLOOKUP('[1]Course Totals'!M$4,'[1]import graded seats course pivo'!$1:$2,2,FALSE),FALSE))),"")</f>
        <v/>
      </c>
      <c r="N519" s="14" t="str">
        <f>IFERROR((VLOOKUP($A519,'[1]import success seats course'!$A:AB,HLOOKUP('[1]Course Totals'!N$4,'[1]import success seats course'!$1:$2,2,FALSE),FALSE)/(VLOOKUP($A519,'[1]import graded seats course pivo'!$A:AL,HLOOKUP('[1]Course Totals'!N$4,'[1]import graded seats course pivo'!$1:$2,2,FALSE),FALSE))),"")</f>
        <v/>
      </c>
      <c r="O519" s="14" t="str">
        <f>IFERROR((VLOOKUP($A519,'[1]import success seats course'!$A:AC,HLOOKUP('[1]Course Totals'!O$4,'[1]import success seats course'!$1:$2,2,FALSE),FALSE)/(VLOOKUP($A519,'[1]import graded seats course pivo'!$A:AM,HLOOKUP('[1]Course Totals'!O$4,'[1]import graded seats course pivo'!$1:$2,2,FALSE),FALSE))),"")</f>
        <v/>
      </c>
      <c r="P519" s="14" t="str">
        <f>IFERROR((VLOOKUP($A519,'[1]import success seats course'!$A:AD,HLOOKUP('[1]Course Totals'!P$4,'[1]import success seats course'!$1:$2,2,FALSE),FALSE)/(VLOOKUP($A519,'[1]import graded seats course pivo'!$A:AN,HLOOKUP('[1]Course Totals'!P$4,'[1]import graded seats course pivo'!$1:$2,2,FALSE),FALSE))),"")</f>
        <v/>
      </c>
      <c r="Q519" s="14" t="str">
        <f>IFERROR((VLOOKUP($A519,'[1]import success seats course'!$A:AE,HLOOKUP('[1]Course Totals'!Q$4,'[1]import success seats course'!$1:$2,2,FALSE),FALSE)/(VLOOKUP($A519,'[1]import graded seats course pivo'!$A:AO,HLOOKUP('[1]Course Totals'!Q$4,'[1]import graded seats course pivo'!$1:$2,2,FALSE),FALSE))),"")</f>
        <v/>
      </c>
      <c r="R519" s="14" t="str">
        <f>IFERROR((VLOOKUP($A519,'[1]import success seats course'!$A:AF,HLOOKUP('[1]Course Totals'!R$4,'[1]import success seats course'!$1:$2,2,FALSE),FALSE)/(VLOOKUP($A519,'[1]import graded seats course pivo'!$A:AP,HLOOKUP('[1]Course Totals'!R$4,'[1]import graded seats course pivo'!$1:$2,2,FALSE),FALSE))),"")</f>
        <v/>
      </c>
      <c r="S519" s="14" t="str">
        <f>IFERROR((VLOOKUP($A519,'[1]import success seats course'!$A:AG,HLOOKUP('[1]Course Totals'!S$4,'[1]import success seats course'!$1:$2,2,FALSE),FALSE)/(VLOOKUP($A519,'[1]import graded seats course pivo'!$A:AQ,HLOOKUP('[1]Course Totals'!S$4,'[1]import graded seats course pivo'!$1:$2,2,FALSE),FALSE))),"")</f>
        <v/>
      </c>
      <c r="Z519" s="7"/>
      <c r="AA519" s="7"/>
      <c r="AB519" s="7"/>
      <c r="AC519" s="7"/>
    </row>
    <row r="520" spans="1:29" ht="15.75" customHeight="1" x14ac:dyDescent="0.25">
      <c r="A520" s="12" t="s">
        <v>983</v>
      </c>
      <c r="B520" s="14" t="str">
        <f>IFERROR((VLOOKUP($A520,'[1]import success seats course'!$A:P,HLOOKUP('[1]Course Totals'!B$4,'[1]import success seats course'!$1:$2,2,FALSE),FALSE)/(VLOOKUP($A520,'[1]import graded seats course pivo'!$A:Z,HLOOKUP('[1]Course Totals'!B$4,'[1]import graded seats course pivo'!$1:$2,2,FALSE),FALSE))),"")</f>
        <v/>
      </c>
      <c r="C520" s="14" t="str">
        <f>IFERROR((VLOOKUP($A520,'[1]import success seats course'!$A:Q,HLOOKUP('[1]Course Totals'!C$4,'[1]import success seats course'!$1:$2,2,FALSE),FALSE)/(VLOOKUP($A520,'[1]import graded seats course pivo'!$A:AA,HLOOKUP('[1]Course Totals'!C$4,'[1]import graded seats course pivo'!$1:$2,2,FALSE),FALSE))),"")</f>
        <v/>
      </c>
      <c r="D520" s="14" t="str">
        <f>IFERROR((VLOOKUP($A520,'[1]import success seats course'!$A:R,HLOOKUP('[1]Course Totals'!D$4,'[1]import success seats course'!$1:$2,2,FALSE),FALSE)/(VLOOKUP($A520,'[1]import graded seats course pivo'!$A:AB,HLOOKUP('[1]Course Totals'!D$4,'[1]import graded seats course pivo'!$1:$2,2,FALSE),FALSE))),"")</f>
        <v/>
      </c>
      <c r="E520" s="14" t="str">
        <f>IFERROR((VLOOKUP($A520,'[1]import success seats course'!$A:S,HLOOKUP('[1]Course Totals'!E$4,'[1]import success seats course'!$1:$2,2,FALSE),FALSE)/(VLOOKUP($A520,'[1]import graded seats course pivo'!$A:AC,HLOOKUP('[1]Course Totals'!E$4,'[1]import graded seats course pivo'!$1:$2,2,FALSE),FALSE))),"")</f>
        <v/>
      </c>
      <c r="F520" s="14" t="str">
        <f>IFERROR((VLOOKUP($A520,'[1]import success seats course'!$A:T,HLOOKUP('[1]Course Totals'!F$4,'[1]import success seats course'!$1:$2,2,FALSE),FALSE)/(VLOOKUP($A520,'[1]import graded seats course pivo'!$A:AD,HLOOKUP('[1]Course Totals'!F$4,'[1]import graded seats course pivo'!$1:$2,2,FALSE),FALSE))),"")</f>
        <v/>
      </c>
      <c r="G520" s="14">
        <f>IFERROR((VLOOKUP($A520,'[1]import success seats course'!$A:U,HLOOKUP('[1]Course Totals'!G$4,'[1]import success seats course'!$1:$2,2,FALSE),FALSE)/(VLOOKUP($A520,'[1]import graded seats course pivo'!$A:AE,HLOOKUP('[1]Course Totals'!G$4,'[1]import graded seats course pivo'!$1:$2,2,FALSE),FALSE))),"")</f>
        <v>0.90909090909090906</v>
      </c>
      <c r="H520" s="14" t="str">
        <f>IFERROR((VLOOKUP($A520,'[1]import success seats course'!$A:V,HLOOKUP('[1]Course Totals'!H$4,'[1]import success seats course'!$1:$2,2,FALSE),FALSE)/(VLOOKUP($A520,'[1]import graded seats course pivo'!$A:AF,HLOOKUP('[1]Course Totals'!H$4,'[1]import graded seats course pivo'!$1:$2,2,FALSE),FALSE))),"")</f>
        <v/>
      </c>
      <c r="I520" s="14" t="str">
        <f>IFERROR((VLOOKUP($A520,'[1]import success seats course'!$A:W,HLOOKUP('[1]Course Totals'!I$4,'[1]import success seats course'!$1:$2,2,FALSE),FALSE)/(VLOOKUP($A520,'[1]import graded seats course pivo'!$A:AG,HLOOKUP('[1]Course Totals'!I$4,'[1]import graded seats course pivo'!$1:$2,2,FALSE),FALSE))),"")</f>
        <v/>
      </c>
      <c r="J520" s="14" t="str">
        <f>IFERROR((VLOOKUP($A520,'[1]import success seats course'!$A:X,HLOOKUP('[1]Course Totals'!J$4,'[1]import success seats course'!$1:$2,2,FALSE),FALSE)/(VLOOKUP($A520,'[1]import graded seats course pivo'!$A:AH,HLOOKUP('[1]Course Totals'!J$4,'[1]import graded seats course pivo'!$1:$2,2,FALSE),FALSE))),"")</f>
        <v/>
      </c>
      <c r="K520" s="14" t="str">
        <f>IFERROR((VLOOKUP($A520,'[1]import success seats course'!$A:Y,HLOOKUP('[1]Course Totals'!K$4,'[1]import success seats course'!$1:$2,2,FALSE),FALSE)/(VLOOKUP($A520,'[1]import graded seats course pivo'!$A:AI,HLOOKUP('[1]Course Totals'!K$4,'[1]import graded seats course pivo'!$1:$2,2,FALSE),FALSE))),"")</f>
        <v/>
      </c>
      <c r="L520" s="14" t="str">
        <f>IFERROR((VLOOKUP($A520,'[1]import success seats course'!$A:Z,HLOOKUP('[1]Course Totals'!L$4,'[1]import success seats course'!$1:$2,2,FALSE),FALSE)/(VLOOKUP($A520,'[1]import graded seats course pivo'!$A:AJ,HLOOKUP('[1]Course Totals'!L$4,'[1]import graded seats course pivo'!$1:$2,2,FALSE),FALSE))),"")</f>
        <v/>
      </c>
      <c r="M520" s="14" t="str">
        <f>IFERROR((VLOOKUP($A520,'[1]import success seats course'!$A:AA,HLOOKUP('[1]Course Totals'!M$4,'[1]import success seats course'!$1:$2,2,FALSE),FALSE)/(VLOOKUP($A520,'[1]import graded seats course pivo'!$A:AK,HLOOKUP('[1]Course Totals'!M$4,'[1]import graded seats course pivo'!$1:$2,2,FALSE),FALSE))),"")</f>
        <v/>
      </c>
      <c r="N520" s="14" t="str">
        <f>IFERROR((VLOOKUP($A520,'[1]import success seats course'!$A:AB,HLOOKUP('[1]Course Totals'!N$4,'[1]import success seats course'!$1:$2,2,FALSE),FALSE)/(VLOOKUP($A520,'[1]import graded seats course pivo'!$A:AL,HLOOKUP('[1]Course Totals'!N$4,'[1]import graded seats course pivo'!$1:$2,2,FALSE),FALSE))),"")</f>
        <v/>
      </c>
      <c r="O520" s="14" t="str">
        <f>IFERROR((VLOOKUP($A520,'[1]import success seats course'!$A:AC,HLOOKUP('[1]Course Totals'!O$4,'[1]import success seats course'!$1:$2,2,FALSE),FALSE)/(VLOOKUP($A520,'[1]import graded seats course pivo'!$A:AM,HLOOKUP('[1]Course Totals'!O$4,'[1]import graded seats course pivo'!$1:$2,2,FALSE),FALSE))),"")</f>
        <v/>
      </c>
      <c r="P520" s="14" t="str">
        <f>IFERROR((VLOOKUP($A520,'[1]import success seats course'!$A:AD,HLOOKUP('[1]Course Totals'!P$4,'[1]import success seats course'!$1:$2,2,FALSE),FALSE)/(VLOOKUP($A520,'[1]import graded seats course pivo'!$A:AN,HLOOKUP('[1]Course Totals'!P$4,'[1]import graded seats course pivo'!$1:$2,2,FALSE),FALSE))),"")</f>
        <v/>
      </c>
      <c r="Q520" s="14" t="str">
        <f>IFERROR((VLOOKUP($A520,'[1]import success seats course'!$A:AE,HLOOKUP('[1]Course Totals'!Q$4,'[1]import success seats course'!$1:$2,2,FALSE),FALSE)/(VLOOKUP($A520,'[1]import graded seats course pivo'!$A:AO,HLOOKUP('[1]Course Totals'!Q$4,'[1]import graded seats course pivo'!$1:$2,2,FALSE),FALSE))),"")</f>
        <v/>
      </c>
      <c r="R520" s="14" t="str">
        <f>IFERROR((VLOOKUP($A520,'[1]import success seats course'!$A:AF,HLOOKUP('[1]Course Totals'!R$4,'[1]import success seats course'!$1:$2,2,FALSE),FALSE)/(VLOOKUP($A520,'[1]import graded seats course pivo'!$A:AP,HLOOKUP('[1]Course Totals'!R$4,'[1]import graded seats course pivo'!$1:$2,2,FALSE),FALSE))),"")</f>
        <v/>
      </c>
      <c r="S520" s="14" t="str">
        <f>IFERROR((VLOOKUP($A520,'[1]import success seats course'!$A:AG,HLOOKUP('[1]Course Totals'!S$4,'[1]import success seats course'!$1:$2,2,FALSE),FALSE)/(VLOOKUP($A520,'[1]import graded seats course pivo'!$A:AQ,HLOOKUP('[1]Course Totals'!S$4,'[1]import graded seats course pivo'!$1:$2,2,FALSE),FALSE))),"")</f>
        <v/>
      </c>
      <c r="Z520" s="7"/>
      <c r="AA520" s="7"/>
      <c r="AB520" s="7"/>
      <c r="AC520" s="7"/>
    </row>
    <row r="521" spans="1:29" ht="15.75" customHeight="1" x14ac:dyDescent="0.25">
      <c r="A521" s="12" t="s">
        <v>984</v>
      </c>
      <c r="B521" s="14" t="str">
        <f>IFERROR((VLOOKUP($A521,'[1]import success seats course'!$A:P,HLOOKUP('[1]Course Totals'!B$4,'[1]import success seats course'!$1:$2,2,FALSE),FALSE)/(VLOOKUP($A521,'[1]import graded seats course pivo'!$A:Z,HLOOKUP('[1]Course Totals'!B$4,'[1]import graded seats course pivo'!$1:$2,2,FALSE),FALSE))),"")</f>
        <v/>
      </c>
      <c r="C521" s="14" t="str">
        <f>IFERROR((VLOOKUP($A521,'[1]import success seats course'!$A:Q,HLOOKUP('[1]Course Totals'!C$4,'[1]import success seats course'!$1:$2,2,FALSE),FALSE)/(VLOOKUP($A521,'[1]import graded seats course pivo'!$A:AA,HLOOKUP('[1]Course Totals'!C$4,'[1]import graded seats course pivo'!$1:$2,2,FALSE),FALSE))),"")</f>
        <v/>
      </c>
      <c r="D521" s="14" t="str">
        <f>IFERROR((VLOOKUP($A521,'[1]import success seats course'!$A:R,HLOOKUP('[1]Course Totals'!D$4,'[1]import success seats course'!$1:$2,2,FALSE),FALSE)/(VLOOKUP($A521,'[1]import graded seats course pivo'!$A:AB,HLOOKUP('[1]Course Totals'!D$4,'[1]import graded seats course pivo'!$1:$2,2,FALSE),FALSE))),"")</f>
        <v/>
      </c>
      <c r="E521" s="14" t="str">
        <f>IFERROR((VLOOKUP($A521,'[1]import success seats course'!$A:S,HLOOKUP('[1]Course Totals'!E$4,'[1]import success seats course'!$1:$2,2,FALSE),FALSE)/(VLOOKUP($A521,'[1]import graded seats course pivo'!$A:AC,HLOOKUP('[1]Course Totals'!E$4,'[1]import graded seats course pivo'!$1:$2,2,FALSE),FALSE))),"")</f>
        <v/>
      </c>
      <c r="F521" s="14" t="str">
        <f>IFERROR((VLOOKUP($A521,'[1]import success seats course'!$A:T,HLOOKUP('[1]Course Totals'!F$4,'[1]import success seats course'!$1:$2,2,FALSE),FALSE)/(VLOOKUP($A521,'[1]import graded seats course pivo'!$A:AD,HLOOKUP('[1]Course Totals'!F$4,'[1]import graded seats course pivo'!$1:$2,2,FALSE),FALSE))),"")</f>
        <v/>
      </c>
      <c r="G521" s="14">
        <f>IFERROR((VLOOKUP($A521,'[1]import success seats course'!$A:U,HLOOKUP('[1]Course Totals'!G$4,'[1]import success seats course'!$1:$2,2,FALSE),FALSE)/(VLOOKUP($A521,'[1]import graded seats course pivo'!$A:AE,HLOOKUP('[1]Course Totals'!G$4,'[1]import graded seats course pivo'!$1:$2,2,FALSE),FALSE))),"")</f>
        <v>1</v>
      </c>
      <c r="H521" s="14" t="str">
        <f>IFERROR((VLOOKUP($A521,'[1]import success seats course'!$A:V,HLOOKUP('[1]Course Totals'!H$4,'[1]import success seats course'!$1:$2,2,FALSE),FALSE)/(VLOOKUP($A521,'[1]import graded seats course pivo'!$A:AF,HLOOKUP('[1]Course Totals'!H$4,'[1]import graded seats course pivo'!$1:$2,2,FALSE),FALSE))),"")</f>
        <v/>
      </c>
      <c r="I521" s="14" t="str">
        <f>IFERROR((VLOOKUP($A521,'[1]import success seats course'!$A:W,HLOOKUP('[1]Course Totals'!I$4,'[1]import success seats course'!$1:$2,2,FALSE),FALSE)/(VLOOKUP($A521,'[1]import graded seats course pivo'!$A:AG,HLOOKUP('[1]Course Totals'!I$4,'[1]import graded seats course pivo'!$1:$2,2,FALSE),FALSE))),"")</f>
        <v/>
      </c>
      <c r="J521" s="14" t="str">
        <f>IFERROR((VLOOKUP($A521,'[1]import success seats course'!$A:X,HLOOKUP('[1]Course Totals'!J$4,'[1]import success seats course'!$1:$2,2,FALSE),FALSE)/(VLOOKUP($A521,'[1]import graded seats course pivo'!$A:AH,HLOOKUP('[1]Course Totals'!J$4,'[1]import graded seats course pivo'!$1:$2,2,FALSE),FALSE))),"")</f>
        <v/>
      </c>
      <c r="K521" s="14" t="str">
        <f>IFERROR((VLOOKUP($A521,'[1]import success seats course'!$A:Y,HLOOKUP('[1]Course Totals'!K$4,'[1]import success seats course'!$1:$2,2,FALSE),FALSE)/(VLOOKUP($A521,'[1]import graded seats course pivo'!$A:AI,HLOOKUP('[1]Course Totals'!K$4,'[1]import graded seats course pivo'!$1:$2,2,FALSE),FALSE))),"")</f>
        <v/>
      </c>
      <c r="L521" s="14" t="str">
        <f>IFERROR((VLOOKUP($A521,'[1]import success seats course'!$A:Z,HLOOKUP('[1]Course Totals'!L$4,'[1]import success seats course'!$1:$2,2,FALSE),FALSE)/(VLOOKUP($A521,'[1]import graded seats course pivo'!$A:AJ,HLOOKUP('[1]Course Totals'!L$4,'[1]import graded seats course pivo'!$1:$2,2,FALSE),FALSE))),"")</f>
        <v/>
      </c>
      <c r="M521" s="14" t="str">
        <f>IFERROR((VLOOKUP($A521,'[1]import success seats course'!$A:AA,HLOOKUP('[1]Course Totals'!M$4,'[1]import success seats course'!$1:$2,2,FALSE),FALSE)/(VLOOKUP($A521,'[1]import graded seats course pivo'!$A:AK,HLOOKUP('[1]Course Totals'!M$4,'[1]import graded seats course pivo'!$1:$2,2,FALSE),FALSE))),"")</f>
        <v/>
      </c>
      <c r="N521" s="14" t="str">
        <f>IFERROR((VLOOKUP($A521,'[1]import success seats course'!$A:AB,HLOOKUP('[1]Course Totals'!N$4,'[1]import success seats course'!$1:$2,2,FALSE),FALSE)/(VLOOKUP($A521,'[1]import graded seats course pivo'!$A:AL,HLOOKUP('[1]Course Totals'!N$4,'[1]import graded seats course pivo'!$1:$2,2,FALSE),FALSE))),"")</f>
        <v/>
      </c>
      <c r="O521" s="14" t="str">
        <f>IFERROR((VLOOKUP($A521,'[1]import success seats course'!$A:AC,HLOOKUP('[1]Course Totals'!O$4,'[1]import success seats course'!$1:$2,2,FALSE),FALSE)/(VLOOKUP($A521,'[1]import graded seats course pivo'!$A:AM,HLOOKUP('[1]Course Totals'!O$4,'[1]import graded seats course pivo'!$1:$2,2,FALSE),FALSE))),"")</f>
        <v/>
      </c>
      <c r="P521" s="14" t="str">
        <f>IFERROR((VLOOKUP($A521,'[1]import success seats course'!$A:AD,HLOOKUP('[1]Course Totals'!P$4,'[1]import success seats course'!$1:$2,2,FALSE),FALSE)/(VLOOKUP($A521,'[1]import graded seats course pivo'!$A:AN,HLOOKUP('[1]Course Totals'!P$4,'[1]import graded seats course pivo'!$1:$2,2,FALSE),FALSE))),"")</f>
        <v/>
      </c>
      <c r="Q521" s="14" t="str">
        <f>IFERROR((VLOOKUP($A521,'[1]import success seats course'!$A:AE,HLOOKUP('[1]Course Totals'!Q$4,'[1]import success seats course'!$1:$2,2,FALSE),FALSE)/(VLOOKUP($A521,'[1]import graded seats course pivo'!$A:AO,HLOOKUP('[1]Course Totals'!Q$4,'[1]import graded seats course pivo'!$1:$2,2,FALSE),FALSE))),"")</f>
        <v/>
      </c>
      <c r="R521" s="14" t="str">
        <f>IFERROR((VLOOKUP($A521,'[1]import success seats course'!$A:AF,HLOOKUP('[1]Course Totals'!R$4,'[1]import success seats course'!$1:$2,2,FALSE),FALSE)/(VLOOKUP($A521,'[1]import graded seats course pivo'!$A:AP,HLOOKUP('[1]Course Totals'!R$4,'[1]import graded seats course pivo'!$1:$2,2,FALSE),FALSE))),"")</f>
        <v/>
      </c>
      <c r="S521" s="14" t="str">
        <f>IFERROR((VLOOKUP($A521,'[1]import success seats course'!$A:AG,HLOOKUP('[1]Course Totals'!S$4,'[1]import success seats course'!$1:$2,2,FALSE),FALSE)/(VLOOKUP($A521,'[1]import graded seats course pivo'!$A:AQ,HLOOKUP('[1]Course Totals'!S$4,'[1]import graded seats course pivo'!$1:$2,2,FALSE),FALSE))),"")</f>
        <v/>
      </c>
      <c r="Z521" s="7"/>
      <c r="AA521" s="7"/>
      <c r="AB521" s="7"/>
      <c r="AC521" s="7"/>
    </row>
    <row r="522" spans="1:29" ht="15.75" customHeight="1" x14ac:dyDescent="0.25">
      <c r="A522" s="12" t="s">
        <v>718</v>
      </c>
      <c r="B522" s="14" t="str">
        <f>IFERROR((VLOOKUP($A522,'[1]import success seats course'!$A:P,HLOOKUP('[1]Course Totals'!B$4,'[1]import success seats course'!$1:$2,2,FALSE),FALSE)/(VLOOKUP($A522,'[1]import graded seats course pivo'!$A:Z,HLOOKUP('[1]Course Totals'!B$4,'[1]import graded seats course pivo'!$1:$2,2,FALSE),FALSE))),"")</f>
        <v/>
      </c>
      <c r="C522" s="14" t="str">
        <f>IFERROR((VLOOKUP($A522,'[1]import success seats course'!$A:Q,HLOOKUP('[1]Course Totals'!C$4,'[1]import success seats course'!$1:$2,2,FALSE),FALSE)/(VLOOKUP($A522,'[1]import graded seats course pivo'!$A:AA,HLOOKUP('[1]Course Totals'!C$4,'[1]import graded seats course pivo'!$1:$2,2,FALSE),FALSE))),"")</f>
        <v/>
      </c>
      <c r="D522" s="14" t="str">
        <f>IFERROR((VLOOKUP($A522,'[1]import success seats course'!$A:R,HLOOKUP('[1]Course Totals'!D$4,'[1]import success seats course'!$1:$2,2,FALSE),FALSE)/(VLOOKUP($A522,'[1]import graded seats course pivo'!$A:AB,HLOOKUP('[1]Course Totals'!D$4,'[1]import graded seats course pivo'!$1:$2,2,FALSE),FALSE))),"")</f>
        <v/>
      </c>
      <c r="E522" s="14" t="str">
        <f>IFERROR((VLOOKUP($A522,'[1]import success seats course'!$A:S,HLOOKUP('[1]Course Totals'!E$4,'[1]import success seats course'!$1:$2,2,FALSE),FALSE)/(VLOOKUP($A522,'[1]import graded seats course pivo'!$A:AC,HLOOKUP('[1]Course Totals'!E$4,'[1]import graded seats course pivo'!$1:$2,2,FALSE),FALSE))),"")</f>
        <v/>
      </c>
      <c r="F522" s="14" t="str">
        <f>IFERROR((VLOOKUP($A522,'[1]import success seats course'!$A:T,HLOOKUP('[1]Course Totals'!F$4,'[1]import success seats course'!$1:$2,2,FALSE),FALSE)/(VLOOKUP($A522,'[1]import graded seats course pivo'!$A:AD,HLOOKUP('[1]Course Totals'!F$4,'[1]import graded seats course pivo'!$1:$2,2,FALSE),FALSE))),"")</f>
        <v/>
      </c>
      <c r="G522" s="14" t="str">
        <f>IFERROR((VLOOKUP($A522,'[1]import success seats course'!$A:U,HLOOKUP('[1]Course Totals'!G$4,'[1]import success seats course'!$1:$2,2,FALSE),FALSE)/(VLOOKUP($A522,'[1]import graded seats course pivo'!$A:AE,HLOOKUP('[1]Course Totals'!G$4,'[1]import graded seats course pivo'!$1:$2,2,FALSE),FALSE))),"")</f>
        <v/>
      </c>
      <c r="H522" s="14" t="str">
        <f>IFERROR((VLOOKUP($A522,'[1]import success seats course'!$A:V,HLOOKUP('[1]Course Totals'!H$4,'[1]import success seats course'!$1:$2,2,FALSE),FALSE)/(VLOOKUP($A522,'[1]import graded seats course pivo'!$A:AF,HLOOKUP('[1]Course Totals'!H$4,'[1]import graded seats course pivo'!$1:$2,2,FALSE),FALSE))),"")</f>
        <v/>
      </c>
      <c r="I522" s="14">
        <f>IFERROR((VLOOKUP($A522,'[1]import success seats course'!$A:W,HLOOKUP('[1]Course Totals'!I$4,'[1]import success seats course'!$1:$2,2,FALSE),FALSE)/(VLOOKUP($A522,'[1]import graded seats course pivo'!$A:AG,HLOOKUP('[1]Course Totals'!I$4,'[1]import graded seats course pivo'!$1:$2,2,FALSE),FALSE))),"")</f>
        <v>0.73913043478260865</v>
      </c>
      <c r="J522" s="14" t="str">
        <f>IFERROR((VLOOKUP($A522,'[1]import success seats course'!$A:X,HLOOKUP('[1]Course Totals'!J$4,'[1]import success seats course'!$1:$2,2,FALSE),FALSE)/(VLOOKUP($A522,'[1]import graded seats course pivo'!$A:AH,HLOOKUP('[1]Course Totals'!J$4,'[1]import graded seats course pivo'!$1:$2,2,FALSE),FALSE))),"")</f>
        <v/>
      </c>
      <c r="K522" s="14" t="str">
        <f>IFERROR((VLOOKUP($A522,'[1]import success seats course'!$A:Y,HLOOKUP('[1]Course Totals'!K$4,'[1]import success seats course'!$1:$2,2,FALSE),FALSE)/(VLOOKUP($A522,'[1]import graded seats course pivo'!$A:AI,HLOOKUP('[1]Course Totals'!K$4,'[1]import graded seats course pivo'!$1:$2,2,FALSE),FALSE))),"")</f>
        <v/>
      </c>
      <c r="L522" s="14" t="str">
        <f>IFERROR((VLOOKUP($A522,'[1]import success seats course'!$A:Z,HLOOKUP('[1]Course Totals'!L$4,'[1]import success seats course'!$1:$2,2,FALSE),FALSE)/(VLOOKUP($A522,'[1]import graded seats course pivo'!$A:AJ,HLOOKUP('[1]Course Totals'!L$4,'[1]import graded seats course pivo'!$1:$2,2,FALSE),FALSE))),"")</f>
        <v/>
      </c>
      <c r="M522" s="14" t="str">
        <f>IFERROR((VLOOKUP($A522,'[1]import success seats course'!$A:AA,HLOOKUP('[1]Course Totals'!M$4,'[1]import success seats course'!$1:$2,2,FALSE),FALSE)/(VLOOKUP($A522,'[1]import graded seats course pivo'!$A:AK,HLOOKUP('[1]Course Totals'!M$4,'[1]import graded seats course pivo'!$1:$2,2,FALSE),FALSE))),"")</f>
        <v/>
      </c>
      <c r="N522" s="14" t="str">
        <f>IFERROR((VLOOKUP($A522,'[1]import success seats course'!$A:AB,HLOOKUP('[1]Course Totals'!N$4,'[1]import success seats course'!$1:$2,2,FALSE),FALSE)/(VLOOKUP($A522,'[1]import graded seats course pivo'!$A:AL,HLOOKUP('[1]Course Totals'!N$4,'[1]import graded seats course pivo'!$1:$2,2,FALSE),FALSE))),"")</f>
        <v/>
      </c>
      <c r="O522" s="14" t="str">
        <f>IFERROR((VLOOKUP($A522,'[1]import success seats course'!$A:AC,HLOOKUP('[1]Course Totals'!O$4,'[1]import success seats course'!$1:$2,2,FALSE),FALSE)/(VLOOKUP($A522,'[1]import graded seats course pivo'!$A:AM,HLOOKUP('[1]Course Totals'!O$4,'[1]import graded seats course pivo'!$1:$2,2,FALSE),FALSE))),"")</f>
        <v/>
      </c>
      <c r="P522" s="14" t="str">
        <f>IFERROR((VLOOKUP($A522,'[1]import success seats course'!$A:AD,HLOOKUP('[1]Course Totals'!P$4,'[1]import success seats course'!$1:$2,2,FALSE),FALSE)/(VLOOKUP($A522,'[1]import graded seats course pivo'!$A:AN,HLOOKUP('[1]Course Totals'!P$4,'[1]import graded seats course pivo'!$1:$2,2,FALSE),FALSE))),"")</f>
        <v/>
      </c>
      <c r="Q522" s="14" t="str">
        <f>IFERROR((VLOOKUP($A522,'[1]import success seats course'!$A:AE,HLOOKUP('[1]Course Totals'!Q$4,'[1]import success seats course'!$1:$2,2,FALSE),FALSE)/(VLOOKUP($A522,'[1]import graded seats course pivo'!$A:AO,HLOOKUP('[1]Course Totals'!Q$4,'[1]import graded seats course pivo'!$1:$2,2,FALSE),FALSE))),"")</f>
        <v/>
      </c>
      <c r="R522" s="14" t="str">
        <f>IFERROR((VLOOKUP($A522,'[1]import success seats course'!$A:AF,HLOOKUP('[1]Course Totals'!R$4,'[1]import success seats course'!$1:$2,2,FALSE),FALSE)/(VLOOKUP($A522,'[1]import graded seats course pivo'!$A:AP,HLOOKUP('[1]Course Totals'!R$4,'[1]import graded seats course pivo'!$1:$2,2,FALSE),FALSE))),"")</f>
        <v/>
      </c>
      <c r="S522" s="14" t="str">
        <f>IFERROR((VLOOKUP($A522,'[1]import success seats course'!$A:AG,HLOOKUP('[1]Course Totals'!S$4,'[1]import success seats course'!$1:$2,2,FALSE),FALSE)/(VLOOKUP($A522,'[1]import graded seats course pivo'!$A:AQ,HLOOKUP('[1]Course Totals'!S$4,'[1]import graded seats course pivo'!$1:$2,2,FALSE),FALSE))),"")</f>
        <v/>
      </c>
      <c r="Z522" s="7"/>
      <c r="AA522" s="7"/>
      <c r="AB522" s="7"/>
      <c r="AC522" s="7"/>
    </row>
    <row r="523" spans="1:29" ht="15.75" customHeight="1" x14ac:dyDescent="0.25">
      <c r="A523" s="12" t="s">
        <v>719</v>
      </c>
      <c r="B523" s="14" t="str">
        <f>IFERROR((VLOOKUP($A523,'[1]import success seats course'!$A:P,HLOOKUP('[1]Course Totals'!B$4,'[1]import success seats course'!$1:$2,2,FALSE),FALSE)/(VLOOKUP($A523,'[1]import graded seats course pivo'!$A:Z,HLOOKUP('[1]Course Totals'!B$4,'[1]import graded seats course pivo'!$1:$2,2,FALSE),FALSE))),"")</f>
        <v/>
      </c>
      <c r="C523" s="14" t="str">
        <f>IFERROR((VLOOKUP($A523,'[1]import success seats course'!$A:Q,HLOOKUP('[1]Course Totals'!C$4,'[1]import success seats course'!$1:$2,2,FALSE),FALSE)/(VLOOKUP($A523,'[1]import graded seats course pivo'!$A:AA,HLOOKUP('[1]Course Totals'!C$4,'[1]import graded seats course pivo'!$1:$2,2,FALSE),FALSE))),"")</f>
        <v/>
      </c>
      <c r="D523" s="14" t="str">
        <f>IFERROR((VLOOKUP($A523,'[1]import success seats course'!$A:R,HLOOKUP('[1]Course Totals'!D$4,'[1]import success seats course'!$1:$2,2,FALSE),FALSE)/(VLOOKUP($A523,'[1]import graded seats course pivo'!$A:AB,HLOOKUP('[1]Course Totals'!D$4,'[1]import graded seats course pivo'!$1:$2,2,FALSE),FALSE))),"")</f>
        <v/>
      </c>
      <c r="E523" s="14" t="str">
        <f>IFERROR((VLOOKUP($A523,'[1]import success seats course'!$A:S,HLOOKUP('[1]Course Totals'!E$4,'[1]import success seats course'!$1:$2,2,FALSE),FALSE)/(VLOOKUP($A523,'[1]import graded seats course pivo'!$A:AC,HLOOKUP('[1]Course Totals'!E$4,'[1]import graded seats course pivo'!$1:$2,2,FALSE),FALSE))),"")</f>
        <v/>
      </c>
      <c r="F523" s="14" t="str">
        <f>IFERROR((VLOOKUP($A523,'[1]import success seats course'!$A:T,HLOOKUP('[1]Course Totals'!F$4,'[1]import success seats course'!$1:$2,2,FALSE),FALSE)/(VLOOKUP($A523,'[1]import graded seats course pivo'!$A:AD,HLOOKUP('[1]Course Totals'!F$4,'[1]import graded seats course pivo'!$1:$2,2,FALSE),FALSE))),"")</f>
        <v/>
      </c>
      <c r="G523" s="14" t="str">
        <f>IFERROR((VLOOKUP($A523,'[1]import success seats course'!$A:U,HLOOKUP('[1]Course Totals'!G$4,'[1]import success seats course'!$1:$2,2,FALSE),FALSE)/(VLOOKUP($A523,'[1]import graded seats course pivo'!$A:AE,HLOOKUP('[1]Course Totals'!G$4,'[1]import graded seats course pivo'!$1:$2,2,FALSE),FALSE))),"")</f>
        <v/>
      </c>
      <c r="H523" s="14" t="str">
        <f>IFERROR((VLOOKUP($A523,'[1]import success seats course'!$A:V,HLOOKUP('[1]Course Totals'!H$4,'[1]import success seats course'!$1:$2,2,FALSE),FALSE)/(VLOOKUP($A523,'[1]import graded seats course pivo'!$A:AF,HLOOKUP('[1]Course Totals'!H$4,'[1]import graded seats course pivo'!$1:$2,2,FALSE),FALSE))),"")</f>
        <v/>
      </c>
      <c r="I523" s="14">
        <f>IFERROR((VLOOKUP($A523,'[1]import success seats course'!$A:W,HLOOKUP('[1]Course Totals'!I$4,'[1]import success seats course'!$1:$2,2,FALSE),FALSE)/(VLOOKUP($A523,'[1]import graded seats course pivo'!$A:AG,HLOOKUP('[1]Course Totals'!I$4,'[1]import graded seats course pivo'!$1:$2,2,FALSE),FALSE))),"")</f>
        <v>1</v>
      </c>
      <c r="J523" s="14" t="str">
        <f>IFERROR((VLOOKUP($A523,'[1]import success seats course'!$A:X,HLOOKUP('[1]Course Totals'!J$4,'[1]import success seats course'!$1:$2,2,FALSE),FALSE)/(VLOOKUP($A523,'[1]import graded seats course pivo'!$A:AH,HLOOKUP('[1]Course Totals'!J$4,'[1]import graded seats course pivo'!$1:$2,2,FALSE),FALSE))),"")</f>
        <v/>
      </c>
      <c r="K523" s="14" t="str">
        <f>IFERROR((VLOOKUP($A523,'[1]import success seats course'!$A:Y,HLOOKUP('[1]Course Totals'!K$4,'[1]import success seats course'!$1:$2,2,FALSE),FALSE)/(VLOOKUP($A523,'[1]import graded seats course pivo'!$A:AI,HLOOKUP('[1]Course Totals'!K$4,'[1]import graded seats course pivo'!$1:$2,2,FALSE),FALSE))),"")</f>
        <v/>
      </c>
      <c r="L523" s="14" t="str">
        <f>IFERROR((VLOOKUP($A523,'[1]import success seats course'!$A:Z,HLOOKUP('[1]Course Totals'!L$4,'[1]import success seats course'!$1:$2,2,FALSE),FALSE)/(VLOOKUP($A523,'[1]import graded seats course pivo'!$A:AJ,HLOOKUP('[1]Course Totals'!L$4,'[1]import graded seats course pivo'!$1:$2,2,FALSE),FALSE))),"")</f>
        <v/>
      </c>
      <c r="M523" s="14" t="str">
        <f>IFERROR((VLOOKUP($A523,'[1]import success seats course'!$A:AA,HLOOKUP('[1]Course Totals'!M$4,'[1]import success seats course'!$1:$2,2,FALSE),FALSE)/(VLOOKUP($A523,'[1]import graded seats course pivo'!$A:AK,HLOOKUP('[1]Course Totals'!M$4,'[1]import graded seats course pivo'!$1:$2,2,FALSE),FALSE))),"")</f>
        <v/>
      </c>
      <c r="N523" s="14" t="str">
        <f>IFERROR((VLOOKUP($A523,'[1]import success seats course'!$A:AB,HLOOKUP('[1]Course Totals'!N$4,'[1]import success seats course'!$1:$2,2,FALSE),FALSE)/(VLOOKUP($A523,'[1]import graded seats course pivo'!$A:AL,HLOOKUP('[1]Course Totals'!N$4,'[1]import graded seats course pivo'!$1:$2,2,FALSE),FALSE))),"")</f>
        <v/>
      </c>
      <c r="O523" s="14" t="str">
        <f>IFERROR((VLOOKUP($A523,'[1]import success seats course'!$A:AC,HLOOKUP('[1]Course Totals'!O$4,'[1]import success seats course'!$1:$2,2,FALSE),FALSE)/(VLOOKUP($A523,'[1]import graded seats course pivo'!$A:AM,HLOOKUP('[1]Course Totals'!O$4,'[1]import graded seats course pivo'!$1:$2,2,FALSE),FALSE))),"")</f>
        <v/>
      </c>
      <c r="P523" s="14" t="str">
        <f>IFERROR((VLOOKUP($A523,'[1]import success seats course'!$A:AD,HLOOKUP('[1]Course Totals'!P$4,'[1]import success seats course'!$1:$2,2,FALSE),FALSE)/(VLOOKUP($A523,'[1]import graded seats course pivo'!$A:AN,HLOOKUP('[1]Course Totals'!P$4,'[1]import graded seats course pivo'!$1:$2,2,FALSE),FALSE))),"")</f>
        <v/>
      </c>
      <c r="Q523" s="14" t="str">
        <f>IFERROR((VLOOKUP($A523,'[1]import success seats course'!$A:AE,HLOOKUP('[1]Course Totals'!Q$4,'[1]import success seats course'!$1:$2,2,FALSE),FALSE)/(VLOOKUP($A523,'[1]import graded seats course pivo'!$A:AO,HLOOKUP('[1]Course Totals'!Q$4,'[1]import graded seats course pivo'!$1:$2,2,FALSE),FALSE))),"")</f>
        <v/>
      </c>
      <c r="R523" s="14" t="str">
        <f>IFERROR((VLOOKUP($A523,'[1]import success seats course'!$A:AF,HLOOKUP('[1]Course Totals'!R$4,'[1]import success seats course'!$1:$2,2,FALSE),FALSE)/(VLOOKUP($A523,'[1]import graded seats course pivo'!$A:AP,HLOOKUP('[1]Course Totals'!R$4,'[1]import graded seats course pivo'!$1:$2,2,FALSE),FALSE))),"")</f>
        <v/>
      </c>
      <c r="S523" s="14" t="str">
        <f>IFERROR((VLOOKUP($A523,'[1]import success seats course'!$A:AG,HLOOKUP('[1]Course Totals'!S$4,'[1]import success seats course'!$1:$2,2,FALSE),FALSE)/(VLOOKUP($A523,'[1]import graded seats course pivo'!$A:AQ,HLOOKUP('[1]Course Totals'!S$4,'[1]import graded seats course pivo'!$1:$2,2,FALSE),FALSE))),"")</f>
        <v/>
      </c>
      <c r="Z523" s="7"/>
      <c r="AA523" s="7"/>
      <c r="AB523" s="7"/>
      <c r="AC523" s="7"/>
    </row>
    <row r="524" spans="1:29" ht="15.75" customHeight="1" x14ac:dyDescent="0.25">
      <c r="A524" s="12" t="s">
        <v>253</v>
      </c>
      <c r="B524" s="14" t="str">
        <f>IFERROR((VLOOKUP($A524,'[1]import success seats course'!$A:P,HLOOKUP('[1]Course Totals'!B$4,'[1]import success seats course'!$1:$2,2,FALSE),FALSE)/(VLOOKUP($A524,'[1]import graded seats course pivo'!$A:Z,HLOOKUP('[1]Course Totals'!B$4,'[1]import graded seats course pivo'!$1:$2,2,FALSE),FALSE))),"")</f>
        <v/>
      </c>
      <c r="C524" s="14">
        <f>IFERROR((VLOOKUP($A524,'[1]import success seats course'!$A:Q,HLOOKUP('[1]Course Totals'!C$4,'[1]import success seats course'!$1:$2,2,FALSE),FALSE)/(VLOOKUP($A524,'[1]import graded seats course pivo'!$A:AA,HLOOKUP('[1]Course Totals'!C$4,'[1]import graded seats course pivo'!$1:$2,2,FALSE),FALSE))),"")</f>
        <v>0.8571428571428571</v>
      </c>
      <c r="D524" s="14">
        <f>IFERROR((VLOOKUP($A524,'[1]import success seats course'!$A:R,HLOOKUP('[1]Course Totals'!D$4,'[1]import success seats course'!$1:$2,2,FALSE),FALSE)/(VLOOKUP($A524,'[1]import graded seats course pivo'!$A:AB,HLOOKUP('[1]Course Totals'!D$4,'[1]import graded seats course pivo'!$1:$2,2,FALSE),FALSE))),"")</f>
        <v>1</v>
      </c>
      <c r="E524" s="14" t="str">
        <f>IFERROR((VLOOKUP($A524,'[1]import success seats course'!$A:S,HLOOKUP('[1]Course Totals'!E$4,'[1]import success seats course'!$1:$2,2,FALSE),FALSE)/(VLOOKUP($A524,'[1]import graded seats course pivo'!$A:AC,HLOOKUP('[1]Course Totals'!E$4,'[1]import graded seats course pivo'!$1:$2,2,FALSE),FALSE))),"")</f>
        <v/>
      </c>
      <c r="F524" s="14">
        <f>IFERROR((VLOOKUP($A524,'[1]import success seats course'!$A:T,HLOOKUP('[1]Course Totals'!F$4,'[1]import success seats course'!$1:$2,2,FALSE),FALSE)/(VLOOKUP($A524,'[1]import graded seats course pivo'!$A:AD,HLOOKUP('[1]Course Totals'!F$4,'[1]import graded seats course pivo'!$1:$2,2,FALSE),FALSE))),"")</f>
        <v>1</v>
      </c>
      <c r="G524" s="14">
        <f>IFERROR((VLOOKUP($A524,'[1]import success seats course'!$A:U,HLOOKUP('[1]Course Totals'!G$4,'[1]import success seats course'!$1:$2,2,FALSE),FALSE)/(VLOOKUP($A524,'[1]import graded seats course pivo'!$A:AE,HLOOKUP('[1]Course Totals'!G$4,'[1]import graded seats course pivo'!$1:$2,2,FALSE),FALSE))),"")</f>
        <v>1</v>
      </c>
      <c r="H524" s="14" t="str">
        <f>IFERROR((VLOOKUP($A524,'[1]import success seats course'!$A:V,HLOOKUP('[1]Course Totals'!H$4,'[1]import success seats course'!$1:$2,2,FALSE),FALSE)/(VLOOKUP($A524,'[1]import graded seats course pivo'!$A:AF,HLOOKUP('[1]Course Totals'!H$4,'[1]import graded seats course pivo'!$1:$2,2,FALSE),FALSE))),"")</f>
        <v/>
      </c>
      <c r="I524" s="14">
        <f>IFERROR((VLOOKUP($A524,'[1]import success seats course'!$A:W,HLOOKUP('[1]Course Totals'!I$4,'[1]import success seats course'!$1:$2,2,FALSE),FALSE)/(VLOOKUP($A524,'[1]import graded seats course pivo'!$A:AG,HLOOKUP('[1]Course Totals'!I$4,'[1]import graded seats course pivo'!$1:$2,2,FALSE),FALSE))),"")</f>
        <v>1</v>
      </c>
      <c r="J524" s="14">
        <f>IFERROR((VLOOKUP($A524,'[1]import success seats course'!$A:X,HLOOKUP('[1]Course Totals'!J$4,'[1]import success seats course'!$1:$2,2,FALSE),FALSE)/(VLOOKUP($A524,'[1]import graded seats course pivo'!$A:AH,HLOOKUP('[1]Course Totals'!J$4,'[1]import graded seats course pivo'!$1:$2,2,FALSE),FALSE))),"")</f>
        <v>1</v>
      </c>
      <c r="K524" s="14" t="str">
        <f>IFERROR((VLOOKUP($A524,'[1]import success seats course'!$A:Y,HLOOKUP('[1]Course Totals'!K$4,'[1]import success seats course'!$1:$2,2,FALSE),FALSE)/(VLOOKUP($A524,'[1]import graded seats course pivo'!$A:AI,HLOOKUP('[1]Course Totals'!K$4,'[1]import graded seats course pivo'!$1:$2,2,FALSE),FALSE))),"")</f>
        <v/>
      </c>
      <c r="L524" s="14" t="str">
        <f>IFERROR((VLOOKUP($A524,'[1]import success seats course'!$A:Z,HLOOKUP('[1]Course Totals'!L$4,'[1]import success seats course'!$1:$2,2,FALSE),FALSE)/(VLOOKUP($A524,'[1]import graded seats course pivo'!$A:AJ,HLOOKUP('[1]Course Totals'!L$4,'[1]import graded seats course pivo'!$1:$2,2,FALSE),FALSE))),"")</f>
        <v/>
      </c>
      <c r="M524" s="14" t="str">
        <f>IFERROR((VLOOKUP($A524,'[1]import success seats course'!$A:AA,HLOOKUP('[1]Course Totals'!M$4,'[1]import success seats course'!$1:$2,2,FALSE),FALSE)/(VLOOKUP($A524,'[1]import graded seats course pivo'!$A:AK,HLOOKUP('[1]Course Totals'!M$4,'[1]import graded seats course pivo'!$1:$2,2,FALSE),FALSE))),"")</f>
        <v/>
      </c>
      <c r="N524" s="14" t="str">
        <f>IFERROR((VLOOKUP($A524,'[1]import success seats course'!$A:AB,HLOOKUP('[1]Course Totals'!N$4,'[1]import success seats course'!$1:$2,2,FALSE),FALSE)/(VLOOKUP($A524,'[1]import graded seats course pivo'!$A:AL,HLOOKUP('[1]Course Totals'!N$4,'[1]import graded seats course pivo'!$1:$2,2,FALSE),FALSE))),"")</f>
        <v/>
      </c>
      <c r="O524" s="14">
        <f>IFERROR((VLOOKUP($A524,'[1]import success seats course'!$A:AC,HLOOKUP('[1]Course Totals'!O$4,'[1]import success seats course'!$1:$2,2,FALSE),FALSE)/(VLOOKUP($A524,'[1]import graded seats course pivo'!$A:AM,HLOOKUP('[1]Course Totals'!O$4,'[1]import graded seats course pivo'!$1:$2,2,FALSE),FALSE))),"")</f>
        <v>1</v>
      </c>
      <c r="P524" s="14" t="str">
        <f>IFERROR((VLOOKUP($A524,'[1]import success seats course'!$A:AD,HLOOKUP('[1]Course Totals'!P$4,'[1]import success seats course'!$1:$2,2,FALSE),FALSE)/(VLOOKUP($A524,'[1]import graded seats course pivo'!$A:AN,HLOOKUP('[1]Course Totals'!P$4,'[1]import graded seats course pivo'!$1:$2,2,FALSE),FALSE))),"")</f>
        <v/>
      </c>
      <c r="Q524" s="14" t="str">
        <f>IFERROR((VLOOKUP($A524,'[1]import success seats course'!$A:AE,HLOOKUP('[1]Course Totals'!Q$4,'[1]import success seats course'!$1:$2,2,FALSE),FALSE)/(VLOOKUP($A524,'[1]import graded seats course pivo'!$A:AO,HLOOKUP('[1]Course Totals'!Q$4,'[1]import graded seats course pivo'!$1:$2,2,FALSE),FALSE))),"")</f>
        <v/>
      </c>
      <c r="R524" s="14" t="str">
        <f>IFERROR((VLOOKUP($A524,'[1]import success seats course'!$A:AF,HLOOKUP('[1]Course Totals'!R$4,'[1]import success seats course'!$1:$2,2,FALSE),FALSE)/(VLOOKUP($A524,'[1]import graded seats course pivo'!$A:AP,HLOOKUP('[1]Course Totals'!R$4,'[1]import graded seats course pivo'!$1:$2,2,FALSE),FALSE))),"")</f>
        <v/>
      </c>
      <c r="S524" s="14" t="str">
        <f>IFERROR((VLOOKUP($A524,'[1]import success seats course'!$A:AG,HLOOKUP('[1]Course Totals'!S$4,'[1]import success seats course'!$1:$2,2,FALSE),FALSE)/(VLOOKUP($A524,'[1]import graded seats course pivo'!$A:AQ,HLOOKUP('[1]Course Totals'!S$4,'[1]import graded seats course pivo'!$1:$2,2,FALSE),FALSE))),"")</f>
        <v/>
      </c>
      <c r="Z524" s="7"/>
      <c r="AA524" s="7"/>
      <c r="AB524" s="7"/>
      <c r="AC524" s="7"/>
    </row>
    <row r="525" spans="1:29" ht="15.75" x14ac:dyDescent="0.25">
      <c r="A525" s="9" t="s">
        <v>1139</v>
      </c>
      <c r="B525" s="67" t="str">
        <f>'[1]Subject TOTALS'!$B$1:$P$1</f>
        <v xml:space="preserve">MVC Retention Rates </v>
      </c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Z525" s="7"/>
      <c r="AA525" s="7"/>
      <c r="AB525" s="7"/>
      <c r="AC525" s="7"/>
    </row>
    <row r="526" spans="1:29" ht="15.75" customHeight="1" thickBot="1" x14ac:dyDescent="0.3">
      <c r="A526" s="8" t="str">
        <f>'[1]SUBJECTS BASE'!H25</f>
        <v>Engineering</v>
      </c>
      <c r="B526" s="38" t="s">
        <v>1046</v>
      </c>
      <c r="C526" s="39" t="s">
        <v>0</v>
      </c>
      <c r="D526" s="40" t="s">
        <v>868</v>
      </c>
      <c r="E526" s="41" t="s">
        <v>1052</v>
      </c>
      <c r="F526" s="42" t="s">
        <v>546</v>
      </c>
      <c r="G526" s="43" t="s">
        <v>959</v>
      </c>
      <c r="H526" s="44" t="s">
        <v>1060</v>
      </c>
      <c r="I526" s="39" t="s">
        <v>675</v>
      </c>
      <c r="J526" s="45" t="s">
        <v>1006</v>
      </c>
      <c r="K526" s="46" t="s">
        <v>1062</v>
      </c>
      <c r="L526" s="42" t="s">
        <v>762</v>
      </c>
      <c r="M526" s="43" t="s">
        <v>1022</v>
      </c>
      <c r="N526" s="44" t="s">
        <v>1063</v>
      </c>
      <c r="O526" s="39" t="s">
        <v>822</v>
      </c>
      <c r="P526" s="40" t="s">
        <v>1042</v>
      </c>
      <c r="Q526" s="46" t="s">
        <v>1153</v>
      </c>
      <c r="R526" s="42" t="s">
        <v>1154</v>
      </c>
      <c r="S526" s="43" t="s">
        <v>1155</v>
      </c>
      <c r="Z526" s="7"/>
      <c r="AA526" s="7"/>
      <c r="AB526" s="7"/>
      <c r="AC526" s="7"/>
    </row>
    <row r="527" spans="1:29" ht="15.75" hidden="1" customHeight="1" x14ac:dyDescent="0.25">
      <c r="A527" s="12" t="s">
        <v>1030</v>
      </c>
      <c r="B527" s="14" t="str">
        <f>IFERROR((VLOOKUP($A527,'[1]import success seats course'!$A:P,HLOOKUP('[1]Course Totals'!B$4,'[1]import success seats course'!$1:$2,2,FALSE),FALSE)/(VLOOKUP($A527,'[1]import graded seats course pivo'!$A:Z,HLOOKUP('[1]Course Totals'!B$4,'[1]import graded seats course pivo'!$1:$2,2,FALSE),FALSE))),"")</f>
        <v/>
      </c>
      <c r="C527" s="14" t="str">
        <f>IFERROR((VLOOKUP($A527,'[1]import success seats course'!$A:Q,HLOOKUP('[1]Course Totals'!C$4,'[1]import success seats course'!$1:$2,2,FALSE),FALSE)/(VLOOKUP($A527,'[1]import graded seats course pivo'!$A:AA,HLOOKUP('[1]Course Totals'!C$4,'[1]import graded seats course pivo'!$1:$2,2,FALSE),FALSE))),"")</f>
        <v/>
      </c>
      <c r="D527" s="14" t="str">
        <f>IFERROR((VLOOKUP($A527,'[1]import success seats course'!$A:R,HLOOKUP('[1]Course Totals'!D$4,'[1]import success seats course'!$1:$2,2,FALSE),FALSE)/(VLOOKUP($A527,'[1]import graded seats course pivo'!$A:AB,HLOOKUP('[1]Course Totals'!D$4,'[1]import graded seats course pivo'!$1:$2,2,FALSE),FALSE))),"")</f>
        <v/>
      </c>
      <c r="E527" s="14" t="str">
        <f>IFERROR((VLOOKUP($A527,'[1]import success seats course'!$A:S,HLOOKUP('[1]Course Totals'!E$4,'[1]import success seats course'!$1:$2,2,FALSE),FALSE)/(VLOOKUP($A527,'[1]import graded seats course pivo'!$A:AC,HLOOKUP('[1]Course Totals'!E$4,'[1]import graded seats course pivo'!$1:$2,2,FALSE),FALSE))),"")</f>
        <v/>
      </c>
      <c r="F527" s="14" t="str">
        <f>IFERROR((VLOOKUP($A527,'[1]import success seats course'!$A:T,HLOOKUP('[1]Course Totals'!F$4,'[1]import success seats course'!$1:$2,2,FALSE),FALSE)/(VLOOKUP($A527,'[1]import graded seats course pivo'!$A:AD,HLOOKUP('[1]Course Totals'!F$4,'[1]import graded seats course pivo'!$1:$2,2,FALSE),FALSE))),"")</f>
        <v/>
      </c>
      <c r="G527" s="14" t="str">
        <f>IFERROR((VLOOKUP($A527,'[1]import success seats course'!$A:U,HLOOKUP('[1]Course Totals'!G$4,'[1]import success seats course'!$1:$2,2,FALSE),FALSE)/(VLOOKUP($A527,'[1]import graded seats course pivo'!$A:AE,HLOOKUP('[1]Course Totals'!G$4,'[1]import graded seats course pivo'!$1:$2,2,FALSE),FALSE))),"")</f>
        <v/>
      </c>
      <c r="H527" s="14" t="str">
        <f>IFERROR((VLOOKUP($A527,'[1]import success seats course'!$A:V,HLOOKUP('[1]Course Totals'!H$4,'[1]import success seats course'!$1:$2,2,FALSE),FALSE)/(VLOOKUP($A527,'[1]import graded seats course pivo'!$A:AF,HLOOKUP('[1]Course Totals'!H$4,'[1]import graded seats course pivo'!$1:$2,2,FALSE),FALSE))),"")</f>
        <v/>
      </c>
      <c r="I527" s="14" t="str">
        <f>IFERROR((VLOOKUP($A527,'[1]import success seats course'!$A:W,HLOOKUP('[1]Course Totals'!I$4,'[1]import success seats course'!$1:$2,2,FALSE),FALSE)/(VLOOKUP($A527,'[1]import graded seats course pivo'!$A:AG,HLOOKUP('[1]Course Totals'!I$4,'[1]import graded seats course pivo'!$1:$2,2,FALSE),FALSE))),"")</f>
        <v/>
      </c>
      <c r="J527" s="14" t="str">
        <f>IFERROR((VLOOKUP($A527,'[1]import success seats course'!$A:X,HLOOKUP('[1]Course Totals'!J$4,'[1]import success seats course'!$1:$2,2,FALSE),FALSE)/(VLOOKUP($A527,'[1]import graded seats course pivo'!$A:AH,HLOOKUP('[1]Course Totals'!J$4,'[1]import graded seats course pivo'!$1:$2,2,FALSE),FALSE))),"")</f>
        <v/>
      </c>
      <c r="K527" s="14" t="str">
        <f>IFERROR((VLOOKUP($A527,'[1]import success seats course'!$A:Y,HLOOKUP('[1]Course Totals'!K$4,'[1]import success seats course'!$1:$2,2,FALSE),FALSE)/(VLOOKUP($A527,'[1]import graded seats course pivo'!$A:AI,HLOOKUP('[1]Course Totals'!K$4,'[1]import graded seats course pivo'!$1:$2,2,FALSE),FALSE))),"")</f>
        <v/>
      </c>
      <c r="L527" s="14" t="str">
        <f>IFERROR((VLOOKUP($A527,'[1]import success seats course'!$A:Z,HLOOKUP('[1]Course Totals'!L$4,'[1]import success seats course'!$1:$2,2,FALSE),FALSE)/(VLOOKUP($A527,'[1]import graded seats course pivo'!$A:AJ,HLOOKUP('[1]Course Totals'!L$4,'[1]import graded seats course pivo'!$1:$2,2,FALSE),FALSE))),"")</f>
        <v/>
      </c>
      <c r="M527" s="14" t="str">
        <f>IFERROR((VLOOKUP($A527,'[1]import success seats course'!$A:AA,HLOOKUP('[1]Course Totals'!M$4,'[1]import success seats course'!$1:$2,2,FALSE),FALSE)/(VLOOKUP($A527,'[1]import graded seats course pivo'!$A:AK,HLOOKUP('[1]Course Totals'!M$4,'[1]import graded seats course pivo'!$1:$2,2,FALSE),FALSE))),"")</f>
        <v/>
      </c>
      <c r="N527" s="14" t="str">
        <f>IFERROR((VLOOKUP($A527,'[1]import success seats course'!$A:AB,HLOOKUP('[1]Course Totals'!N$4,'[1]import success seats course'!$1:$2,2,FALSE),FALSE)/(VLOOKUP($A527,'[1]import graded seats course pivo'!$A:AL,HLOOKUP('[1]Course Totals'!N$4,'[1]import graded seats course pivo'!$1:$2,2,FALSE),FALSE))),"")</f>
        <v/>
      </c>
      <c r="O527" s="14" t="str">
        <f>IFERROR((VLOOKUP($A527,'[1]import success seats course'!$A:AC,HLOOKUP('[1]Course Totals'!O$4,'[1]import success seats course'!$1:$2,2,FALSE),FALSE)/(VLOOKUP($A527,'[1]import graded seats course pivo'!$A:AM,HLOOKUP('[1]Course Totals'!O$4,'[1]import graded seats course pivo'!$1:$2,2,FALSE),FALSE))),"")</f>
        <v/>
      </c>
      <c r="P527" s="14" t="str">
        <f>IFERROR((VLOOKUP($A527,'[1]import success seats course'!$A:AD,HLOOKUP('[1]Course Totals'!P$4,'[1]import success seats course'!$1:$2,2,FALSE),FALSE)/(VLOOKUP($A527,'[1]import graded seats course pivo'!$A:AN,HLOOKUP('[1]Course Totals'!P$4,'[1]import graded seats course pivo'!$1:$2,2,FALSE),FALSE))),"")</f>
        <v/>
      </c>
      <c r="Q527" s="14" t="str">
        <f>IFERROR((VLOOKUP($A527,'[1]import success seats course'!$A:AE,HLOOKUP('[1]Course Totals'!Q$4,'[1]import success seats course'!$1:$2,2,FALSE),FALSE)/(VLOOKUP($A527,'[1]import graded seats course pivo'!$A:AO,HLOOKUP('[1]Course Totals'!Q$4,'[1]import graded seats course pivo'!$1:$2,2,FALSE),FALSE))),"")</f>
        <v/>
      </c>
      <c r="R527" s="14" t="str">
        <f>IFERROR((VLOOKUP($A527,'[1]import success seats course'!$A:AF,HLOOKUP('[1]Course Totals'!R$4,'[1]import success seats course'!$1:$2,2,FALSE),FALSE)/(VLOOKUP($A527,'[1]import graded seats course pivo'!$A:AP,HLOOKUP('[1]Course Totals'!R$4,'[1]import graded seats course pivo'!$1:$2,2,FALSE),FALSE))),"")</f>
        <v/>
      </c>
      <c r="S527" s="14" t="str">
        <f>IFERROR((VLOOKUP($A527,'[1]import success seats course'!$A:AG,HLOOKUP('[1]Course Totals'!S$4,'[1]import success seats course'!$1:$2,2,FALSE),FALSE)/(VLOOKUP($A527,'[1]import graded seats course pivo'!$A:AQ,HLOOKUP('[1]Course Totals'!S$4,'[1]import graded seats course pivo'!$1:$2,2,FALSE),FALSE))),"")</f>
        <v/>
      </c>
      <c r="Z527" s="7"/>
      <c r="AA527" s="7"/>
      <c r="AB527" s="7"/>
      <c r="AC527" s="7"/>
    </row>
    <row r="528" spans="1:29" ht="15.75" customHeight="1" x14ac:dyDescent="0.25">
      <c r="A528" s="12" t="s">
        <v>841</v>
      </c>
      <c r="B528" s="14" t="str">
        <f>IFERROR((VLOOKUP($A528,'[1]import success seats course'!$A:P,HLOOKUP('[1]Course Totals'!B$4,'[1]import success seats course'!$1:$2,2,FALSE),FALSE)/(VLOOKUP($A528,'[1]import graded seats course pivo'!$A:Z,HLOOKUP('[1]Course Totals'!B$4,'[1]import graded seats course pivo'!$1:$2,2,FALSE),FALSE))),"")</f>
        <v/>
      </c>
      <c r="C528" s="14" t="str">
        <f>IFERROR((VLOOKUP($A528,'[1]import success seats course'!$A:Q,HLOOKUP('[1]Course Totals'!C$4,'[1]import success seats course'!$1:$2,2,FALSE),FALSE)/(VLOOKUP($A528,'[1]import graded seats course pivo'!$A:AA,HLOOKUP('[1]Course Totals'!C$4,'[1]import graded seats course pivo'!$1:$2,2,FALSE),FALSE))),"")</f>
        <v/>
      </c>
      <c r="D528" s="14" t="str">
        <f>IFERROR((VLOOKUP($A528,'[1]import success seats course'!$A:R,HLOOKUP('[1]Course Totals'!D$4,'[1]import success seats course'!$1:$2,2,FALSE),FALSE)/(VLOOKUP($A528,'[1]import graded seats course pivo'!$A:AB,HLOOKUP('[1]Course Totals'!D$4,'[1]import graded seats course pivo'!$1:$2,2,FALSE),FALSE))),"")</f>
        <v/>
      </c>
      <c r="E528" s="14" t="str">
        <f>IFERROR((VLOOKUP($A528,'[1]import success seats course'!$A:S,HLOOKUP('[1]Course Totals'!E$4,'[1]import success seats course'!$1:$2,2,FALSE),FALSE)/(VLOOKUP($A528,'[1]import graded seats course pivo'!$A:AC,HLOOKUP('[1]Course Totals'!E$4,'[1]import graded seats course pivo'!$1:$2,2,FALSE),FALSE))),"")</f>
        <v/>
      </c>
      <c r="F528" s="14" t="str">
        <f>IFERROR((VLOOKUP($A528,'[1]import success seats course'!$A:T,HLOOKUP('[1]Course Totals'!F$4,'[1]import success seats course'!$1:$2,2,FALSE),FALSE)/(VLOOKUP($A528,'[1]import graded seats course pivo'!$A:AD,HLOOKUP('[1]Course Totals'!F$4,'[1]import graded seats course pivo'!$1:$2,2,FALSE),FALSE))),"")</f>
        <v/>
      </c>
      <c r="G528" s="14" t="str">
        <f>IFERROR((VLOOKUP($A528,'[1]import success seats course'!$A:U,HLOOKUP('[1]Course Totals'!G$4,'[1]import success seats course'!$1:$2,2,FALSE),FALSE)/(VLOOKUP($A528,'[1]import graded seats course pivo'!$A:AE,HLOOKUP('[1]Course Totals'!G$4,'[1]import graded seats course pivo'!$1:$2,2,FALSE),FALSE))),"")</f>
        <v/>
      </c>
      <c r="H528" s="14" t="str">
        <f>IFERROR((VLOOKUP($A528,'[1]import success seats course'!$A:V,HLOOKUP('[1]Course Totals'!H$4,'[1]import success seats course'!$1:$2,2,FALSE),FALSE)/(VLOOKUP($A528,'[1]import graded seats course pivo'!$A:AF,HLOOKUP('[1]Course Totals'!H$4,'[1]import graded seats course pivo'!$1:$2,2,FALSE),FALSE))),"")</f>
        <v/>
      </c>
      <c r="I528" s="14" t="str">
        <f>IFERROR((VLOOKUP($A528,'[1]import success seats course'!$A:W,HLOOKUP('[1]Course Totals'!I$4,'[1]import success seats course'!$1:$2,2,FALSE),FALSE)/(VLOOKUP($A528,'[1]import graded seats course pivo'!$A:AG,HLOOKUP('[1]Course Totals'!I$4,'[1]import graded seats course pivo'!$1:$2,2,FALSE),FALSE))),"")</f>
        <v/>
      </c>
      <c r="J528" s="14" t="str">
        <f>IFERROR((VLOOKUP($A528,'[1]import success seats course'!$A:X,HLOOKUP('[1]Course Totals'!J$4,'[1]import success seats course'!$1:$2,2,FALSE),FALSE)/(VLOOKUP($A528,'[1]import graded seats course pivo'!$A:AH,HLOOKUP('[1]Course Totals'!J$4,'[1]import graded seats course pivo'!$1:$2,2,FALSE),FALSE))),"")</f>
        <v/>
      </c>
      <c r="K528" s="14" t="str">
        <f>IFERROR((VLOOKUP($A528,'[1]import success seats course'!$A:Y,HLOOKUP('[1]Course Totals'!K$4,'[1]import success seats course'!$1:$2,2,FALSE),FALSE)/(VLOOKUP($A528,'[1]import graded seats course pivo'!$A:AI,HLOOKUP('[1]Course Totals'!K$4,'[1]import graded seats course pivo'!$1:$2,2,FALSE),FALSE))),"")</f>
        <v/>
      </c>
      <c r="L528" s="14" t="str">
        <f>IFERROR((VLOOKUP($A528,'[1]import success seats course'!$A:Z,HLOOKUP('[1]Course Totals'!L$4,'[1]import success seats course'!$1:$2,2,FALSE),FALSE)/(VLOOKUP($A528,'[1]import graded seats course pivo'!$A:AJ,HLOOKUP('[1]Course Totals'!L$4,'[1]import graded seats course pivo'!$1:$2,2,FALSE),FALSE))),"")</f>
        <v/>
      </c>
      <c r="M528" s="14" t="str">
        <f>IFERROR((VLOOKUP($A528,'[1]import success seats course'!$A:AA,HLOOKUP('[1]Course Totals'!M$4,'[1]import success seats course'!$1:$2,2,FALSE),FALSE)/(VLOOKUP($A528,'[1]import graded seats course pivo'!$A:AK,HLOOKUP('[1]Course Totals'!M$4,'[1]import graded seats course pivo'!$1:$2,2,FALSE),FALSE))),"")</f>
        <v/>
      </c>
      <c r="N528" s="14" t="str">
        <f>IFERROR((VLOOKUP($A528,'[1]import success seats course'!$A:AB,HLOOKUP('[1]Course Totals'!N$4,'[1]import success seats course'!$1:$2,2,FALSE),FALSE)/(VLOOKUP($A528,'[1]import graded seats course pivo'!$A:AL,HLOOKUP('[1]Course Totals'!N$4,'[1]import graded seats course pivo'!$1:$2,2,FALSE),FALSE))),"")</f>
        <v/>
      </c>
      <c r="O528" s="14" t="str">
        <f>IFERROR((VLOOKUP($A528,'[1]import success seats course'!$A:AC,HLOOKUP('[1]Course Totals'!O$4,'[1]import success seats course'!$1:$2,2,FALSE),FALSE)/(VLOOKUP($A528,'[1]import graded seats course pivo'!$A:AM,HLOOKUP('[1]Course Totals'!O$4,'[1]import graded seats course pivo'!$1:$2,2,FALSE),FALSE))),"")</f>
        <v/>
      </c>
      <c r="P528" s="14">
        <f>IFERROR((VLOOKUP($A528,'[1]import success seats course'!$A:AD,HLOOKUP('[1]Course Totals'!P$4,'[1]import success seats course'!$1:$2,2,FALSE),FALSE)/(VLOOKUP($A528,'[1]import graded seats course pivo'!$A:AN,HLOOKUP('[1]Course Totals'!P$4,'[1]import graded seats course pivo'!$1:$2,2,FALSE),FALSE))),"")</f>
        <v>0.66666666666666663</v>
      </c>
      <c r="Q528" s="14" t="str">
        <f>IFERROR((VLOOKUP($A528,'[1]import success seats course'!$A:AE,HLOOKUP('[1]Course Totals'!Q$4,'[1]import success seats course'!$1:$2,2,FALSE),FALSE)/(VLOOKUP($A528,'[1]import graded seats course pivo'!$A:AO,HLOOKUP('[1]Course Totals'!Q$4,'[1]import graded seats course pivo'!$1:$2,2,FALSE),FALSE))),"")</f>
        <v/>
      </c>
      <c r="R528" s="14">
        <f>IFERROR((VLOOKUP($A528,'[1]import success seats course'!$A:AF,HLOOKUP('[1]Course Totals'!R$4,'[1]import success seats course'!$1:$2,2,FALSE),FALSE)/(VLOOKUP($A528,'[1]import graded seats course pivo'!$A:AP,HLOOKUP('[1]Course Totals'!R$4,'[1]import graded seats course pivo'!$1:$2,2,FALSE),FALSE))),"")</f>
        <v>0.9285714285714286</v>
      </c>
      <c r="S528" s="14">
        <f>IFERROR((VLOOKUP($A528,'[1]import success seats course'!$A:AG,HLOOKUP('[1]Course Totals'!S$4,'[1]import success seats course'!$1:$2,2,FALSE),FALSE)/(VLOOKUP($A528,'[1]import graded seats course pivo'!$A:AQ,HLOOKUP('[1]Course Totals'!S$4,'[1]import graded seats course pivo'!$1:$2,2,FALSE),FALSE))),"")</f>
        <v>0.93333333333333335</v>
      </c>
      <c r="Z528" s="7"/>
      <c r="AA528" s="7"/>
      <c r="AB528" s="7"/>
      <c r="AC528" s="7"/>
    </row>
    <row r="529" spans="1:29" ht="15.75" hidden="1" customHeight="1" x14ac:dyDescent="0.25">
      <c r="A529" s="12" t="s">
        <v>786</v>
      </c>
      <c r="B529" s="14" t="str">
        <f>IFERROR((VLOOKUP($A529,'[1]import success seats course'!$A:P,HLOOKUP('[1]Course Totals'!B$4,'[1]import success seats course'!$1:$2,2,FALSE),FALSE)/(VLOOKUP($A529,'[1]import graded seats course pivo'!$A:Z,HLOOKUP('[1]Course Totals'!B$4,'[1]import graded seats course pivo'!$1:$2,2,FALSE),FALSE))),"")</f>
        <v/>
      </c>
      <c r="C529" s="14" t="str">
        <f>IFERROR((VLOOKUP($A529,'[1]import success seats course'!$A:Q,HLOOKUP('[1]Course Totals'!C$4,'[1]import success seats course'!$1:$2,2,FALSE),FALSE)/(VLOOKUP($A529,'[1]import graded seats course pivo'!$A:AA,HLOOKUP('[1]Course Totals'!C$4,'[1]import graded seats course pivo'!$1:$2,2,FALSE),FALSE))),"")</f>
        <v/>
      </c>
      <c r="D529" s="14" t="str">
        <f>IFERROR((VLOOKUP($A529,'[1]import success seats course'!$A:R,HLOOKUP('[1]Course Totals'!D$4,'[1]import success seats course'!$1:$2,2,FALSE),FALSE)/(VLOOKUP($A529,'[1]import graded seats course pivo'!$A:AB,HLOOKUP('[1]Course Totals'!D$4,'[1]import graded seats course pivo'!$1:$2,2,FALSE),FALSE))),"")</f>
        <v/>
      </c>
      <c r="E529" s="14" t="str">
        <f>IFERROR((VLOOKUP($A529,'[1]import success seats course'!$A:S,HLOOKUP('[1]Course Totals'!E$4,'[1]import success seats course'!$1:$2,2,FALSE),FALSE)/(VLOOKUP($A529,'[1]import graded seats course pivo'!$A:AC,HLOOKUP('[1]Course Totals'!E$4,'[1]import graded seats course pivo'!$1:$2,2,FALSE),FALSE))),"")</f>
        <v/>
      </c>
      <c r="F529" s="14" t="str">
        <f>IFERROR((VLOOKUP($A529,'[1]import success seats course'!$A:T,HLOOKUP('[1]Course Totals'!F$4,'[1]import success seats course'!$1:$2,2,FALSE),FALSE)/(VLOOKUP($A529,'[1]import graded seats course pivo'!$A:AD,HLOOKUP('[1]Course Totals'!F$4,'[1]import graded seats course pivo'!$1:$2,2,FALSE),FALSE))),"")</f>
        <v/>
      </c>
      <c r="G529" s="14" t="str">
        <f>IFERROR((VLOOKUP($A529,'[1]import success seats course'!$A:U,HLOOKUP('[1]Course Totals'!G$4,'[1]import success seats course'!$1:$2,2,FALSE),FALSE)/(VLOOKUP($A529,'[1]import graded seats course pivo'!$A:AE,HLOOKUP('[1]Course Totals'!G$4,'[1]import graded seats course pivo'!$1:$2,2,FALSE),FALSE))),"")</f>
        <v/>
      </c>
      <c r="H529" s="14" t="str">
        <f>IFERROR((VLOOKUP($A529,'[1]import success seats course'!$A:V,HLOOKUP('[1]Course Totals'!H$4,'[1]import success seats course'!$1:$2,2,FALSE),FALSE)/(VLOOKUP($A529,'[1]import graded seats course pivo'!$A:AF,HLOOKUP('[1]Course Totals'!H$4,'[1]import graded seats course pivo'!$1:$2,2,FALSE),FALSE))),"")</f>
        <v/>
      </c>
      <c r="I529" s="14" t="str">
        <f>IFERROR((VLOOKUP($A529,'[1]import success seats course'!$A:W,HLOOKUP('[1]Course Totals'!I$4,'[1]import success seats course'!$1:$2,2,FALSE),FALSE)/(VLOOKUP($A529,'[1]import graded seats course pivo'!$A:AG,HLOOKUP('[1]Course Totals'!I$4,'[1]import graded seats course pivo'!$1:$2,2,FALSE),FALSE))),"")</f>
        <v/>
      </c>
      <c r="J529" s="14" t="str">
        <f>IFERROR((VLOOKUP($A529,'[1]import success seats course'!$A:X,HLOOKUP('[1]Course Totals'!J$4,'[1]import success seats course'!$1:$2,2,FALSE),FALSE)/(VLOOKUP($A529,'[1]import graded seats course pivo'!$A:AH,HLOOKUP('[1]Course Totals'!J$4,'[1]import graded seats course pivo'!$1:$2,2,FALSE),FALSE))),"")</f>
        <v/>
      </c>
      <c r="K529" s="14" t="str">
        <f>IFERROR((VLOOKUP($A529,'[1]import success seats course'!$A:Y,HLOOKUP('[1]Course Totals'!K$4,'[1]import success seats course'!$1:$2,2,FALSE),FALSE)/(VLOOKUP($A529,'[1]import graded seats course pivo'!$A:AI,HLOOKUP('[1]Course Totals'!K$4,'[1]import graded seats course pivo'!$1:$2,2,FALSE),FALSE))),"")</f>
        <v/>
      </c>
      <c r="L529" s="14" t="str">
        <f>IFERROR((VLOOKUP($A529,'[1]import success seats course'!$A:Z,HLOOKUP('[1]Course Totals'!L$4,'[1]import success seats course'!$1:$2,2,FALSE),FALSE)/(VLOOKUP($A529,'[1]import graded seats course pivo'!$A:AJ,HLOOKUP('[1]Course Totals'!L$4,'[1]import graded seats course pivo'!$1:$2,2,FALSE),FALSE))),"")</f>
        <v/>
      </c>
      <c r="M529" s="14" t="str">
        <f>IFERROR((VLOOKUP($A529,'[1]import success seats course'!$A:AA,HLOOKUP('[1]Course Totals'!M$4,'[1]import success seats course'!$1:$2,2,FALSE),FALSE)/(VLOOKUP($A529,'[1]import graded seats course pivo'!$A:AK,HLOOKUP('[1]Course Totals'!M$4,'[1]import graded seats course pivo'!$1:$2,2,FALSE),FALSE))),"")</f>
        <v/>
      </c>
      <c r="N529" s="14" t="str">
        <f>IFERROR((VLOOKUP($A529,'[1]import success seats course'!$A:AB,HLOOKUP('[1]Course Totals'!N$4,'[1]import success seats course'!$1:$2,2,FALSE),FALSE)/(VLOOKUP($A529,'[1]import graded seats course pivo'!$A:AL,HLOOKUP('[1]Course Totals'!N$4,'[1]import graded seats course pivo'!$1:$2,2,FALSE),FALSE))),"")</f>
        <v/>
      </c>
      <c r="O529" s="14" t="str">
        <f>IFERROR((VLOOKUP($A529,'[1]import success seats course'!$A:AC,HLOOKUP('[1]Course Totals'!O$4,'[1]import success seats course'!$1:$2,2,FALSE),FALSE)/(VLOOKUP($A529,'[1]import graded seats course pivo'!$A:AM,HLOOKUP('[1]Course Totals'!O$4,'[1]import graded seats course pivo'!$1:$2,2,FALSE),FALSE))),"")</f>
        <v/>
      </c>
      <c r="P529" s="14" t="str">
        <f>IFERROR((VLOOKUP($A529,'[1]import success seats course'!$A:AD,HLOOKUP('[1]Course Totals'!P$4,'[1]import success seats course'!$1:$2,2,FALSE),FALSE)/(VLOOKUP($A529,'[1]import graded seats course pivo'!$A:AN,HLOOKUP('[1]Course Totals'!P$4,'[1]import graded seats course pivo'!$1:$2,2,FALSE),FALSE))),"")</f>
        <v/>
      </c>
      <c r="Q529" s="14" t="str">
        <f>IFERROR((VLOOKUP($A529,'[1]import success seats course'!$A:AE,HLOOKUP('[1]Course Totals'!Q$4,'[1]import success seats course'!$1:$2,2,FALSE),FALSE)/(VLOOKUP($A529,'[1]import graded seats course pivo'!$A:AO,HLOOKUP('[1]Course Totals'!Q$4,'[1]import graded seats course pivo'!$1:$2,2,FALSE),FALSE))),"")</f>
        <v/>
      </c>
      <c r="R529" s="14" t="str">
        <f>IFERROR((VLOOKUP($A529,'[1]import success seats course'!$A:AF,HLOOKUP('[1]Course Totals'!R$4,'[1]import success seats course'!$1:$2,2,FALSE),FALSE)/(VLOOKUP($A529,'[1]import graded seats course pivo'!$A:AP,HLOOKUP('[1]Course Totals'!R$4,'[1]import graded seats course pivo'!$1:$2,2,FALSE),FALSE))),"")</f>
        <v/>
      </c>
      <c r="S529" s="14" t="str">
        <f>IFERROR((VLOOKUP($A529,'[1]import success seats course'!$A:AG,HLOOKUP('[1]Course Totals'!S$4,'[1]import success seats course'!$1:$2,2,FALSE),FALSE)/(VLOOKUP($A529,'[1]import graded seats course pivo'!$A:AQ,HLOOKUP('[1]Course Totals'!S$4,'[1]import graded seats course pivo'!$1:$2,2,FALSE),FALSE))),"")</f>
        <v/>
      </c>
      <c r="Z529" s="7"/>
      <c r="AA529" s="7"/>
      <c r="AB529" s="7"/>
      <c r="AC529" s="7"/>
    </row>
    <row r="530" spans="1:29" ht="15.75" customHeight="1" x14ac:dyDescent="0.25">
      <c r="A530" s="12" t="s">
        <v>842</v>
      </c>
      <c r="B530" s="14" t="str">
        <f>IFERROR((VLOOKUP($A530,'[1]import success seats course'!$A:P,HLOOKUP('[1]Course Totals'!B$4,'[1]import success seats course'!$1:$2,2,FALSE),FALSE)/(VLOOKUP($A530,'[1]import graded seats course pivo'!$A:Z,HLOOKUP('[1]Course Totals'!B$4,'[1]import graded seats course pivo'!$1:$2,2,FALSE),FALSE))),"")</f>
        <v/>
      </c>
      <c r="C530" s="14" t="str">
        <f>IFERROR((VLOOKUP($A530,'[1]import success seats course'!$A:Q,HLOOKUP('[1]Course Totals'!C$4,'[1]import success seats course'!$1:$2,2,FALSE),FALSE)/(VLOOKUP($A530,'[1]import graded seats course pivo'!$A:AA,HLOOKUP('[1]Course Totals'!C$4,'[1]import graded seats course pivo'!$1:$2,2,FALSE),FALSE))),"")</f>
        <v/>
      </c>
      <c r="D530" s="14" t="str">
        <f>IFERROR((VLOOKUP($A530,'[1]import success seats course'!$A:R,HLOOKUP('[1]Course Totals'!D$4,'[1]import success seats course'!$1:$2,2,FALSE),FALSE)/(VLOOKUP($A530,'[1]import graded seats course pivo'!$A:AB,HLOOKUP('[1]Course Totals'!D$4,'[1]import graded seats course pivo'!$1:$2,2,FALSE),FALSE))),"")</f>
        <v/>
      </c>
      <c r="E530" s="14" t="str">
        <f>IFERROR((VLOOKUP($A530,'[1]import success seats course'!$A:S,HLOOKUP('[1]Course Totals'!E$4,'[1]import success seats course'!$1:$2,2,FALSE),FALSE)/(VLOOKUP($A530,'[1]import graded seats course pivo'!$A:AC,HLOOKUP('[1]Course Totals'!E$4,'[1]import graded seats course pivo'!$1:$2,2,FALSE),FALSE))),"")</f>
        <v/>
      </c>
      <c r="F530" s="14" t="str">
        <f>IFERROR((VLOOKUP($A530,'[1]import success seats course'!$A:T,HLOOKUP('[1]Course Totals'!F$4,'[1]import success seats course'!$1:$2,2,FALSE),FALSE)/(VLOOKUP($A530,'[1]import graded seats course pivo'!$A:AD,HLOOKUP('[1]Course Totals'!F$4,'[1]import graded seats course pivo'!$1:$2,2,FALSE),FALSE))),"")</f>
        <v/>
      </c>
      <c r="G530" s="14" t="str">
        <f>IFERROR((VLOOKUP($A530,'[1]import success seats course'!$A:U,HLOOKUP('[1]Course Totals'!G$4,'[1]import success seats course'!$1:$2,2,FALSE),FALSE)/(VLOOKUP($A530,'[1]import graded seats course pivo'!$A:AE,HLOOKUP('[1]Course Totals'!G$4,'[1]import graded seats course pivo'!$1:$2,2,FALSE),FALSE))),"")</f>
        <v/>
      </c>
      <c r="H530" s="14" t="str">
        <f>IFERROR((VLOOKUP($A530,'[1]import success seats course'!$A:V,HLOOKUP('[1]Course Totals'!H$4,'[1]import success seats course'!$1:$2,2,FALSE),FALSE)/(VLOOKUP($A530,'[1]import graded seats course pivo'!$A:AF,HLOOKUP('[1]Course Totals'!H$4,'[1]import graded seats course pivo'!$1:$2,2,FALSE),FALSE))),"")</f>
        <v/>
      </c>
      <c r="I530" s="14" t="str">
        <f>IFERROR((VLOOKUP($A530,'[1]import success seats course'!$A:W,HLOOKUP('[1]Course Totals'!I$4,'[1]import success seats course'!$1:$2,2,FALSE),FALSE)/(VLOOKUP($A530,'[1]import graded seats course pivo'!$A:AG,HLOOKUP('[1]Course Totals'!I$4,'[1]import graded seats course pivo'!$1:$2,2,FALSE),FALSE))),"")</f>
        <v/>
      </c>
      <c r="J530" s="14" t="str">
        <f>IFERROR((VLOOKUP($A530,'[1]import success seats course'!$A:X,HLOOKUP('[1]Course Totals'!J$4,'[1]import success seats course'!$1:$2,2,FALSE),FALSE)/(VLOOKUP($A530,'[1]import graded seats course pivo'!$A:AH,HLOOKUP('[1]Course Totals'!J$4,'[1]import graded seats course pivo'!$1:$2,2,FALSE),FALSE))),"")</f>
        <v/>
      </c>
      <c r="K530" s="14" t="str">
        <f>IFERROR((VLOOKUP($A530,'[1]import success seats course'!$A:Y,HLOOKUP('[1]Course Totals'!K$4,'[1]import success seats course'!$1:$2,2,FALSE),FALSE)/(VLOOKUP($A530,'[1]import graded seats course pivo'!$A:AI,HLOOKUP('[1]Course Totals'!K$4,'[1]import graded seats course pivo'!$1:$2,2,FALSE),FALSE))),"")</f>
        <v/>
      </c>
      <c r="L530" s="14" t="str">
        <f>IFERROR((VLOOKUP($A530,'[1]import success seats course'!$A:Z,HLOOKUP('[1]Course Totals'!L$4,'[1]import success seats course'!$1:$2,2,FALSE),FALSE)/(VLOOKUP($A530,'[1]import graded seats course pivo'!$A:AJ,HLOOKUP('[1]Course Totals'!L$4,'[1]import graded seats course pivo'!$1:$2,2,FALSE),FALSE))),"")</f>
        <v/>
      </c>
      <c r="M530" s="14" t="str">
        <f>IFERROR((VLOOKUP($A530,'[1]import success seats course'!$A:AA,HLOOKUP('[1]Course Totals'!M$4,'[1]import success seats course'!$1:$2,2,FALSE),FALSE)/(VLOOKUP($A530,'[1]import graded seats course pivo'!$A:AK,HLOOKUP('[1]Course Totals'!M$4,'[1]import graded seats course pivo'!$1:$2,2,FALSE),FALSE))),"")</f>
        <v/>
      </c>
      <c r="N530" s="14" t="str">
        <f>IFERROR((VLOOKUP($A530,'[1]import success seats course'!$A:AB,HLOOKUP('[1]Course Totals'!N$4,'[1]import success seats course'!$1:$2,2,FALSE),FALSE)/(VLOOKUP($A530,'[1]import graded seats course pivo'!$A:AL,HLOOKUP('[1]Course Totals'!N$4,'[1]import graded seats course pivo'!$1:$2,2,FALSE),FALSE))),"")</f>
        <v/>
      </c>
      <c r="O530" s="14">
        <f>IFERROR((VLOOKUP($A530,'[1]import success seats course'!$A:AC,HLOOKUP('[1]Course Totals'!O$4,'[1]import success seats course'!$1:$2,2,FALSE),FALSE)/(VLOOKUP($A530,'[1]import graded seats course pivo'!$A:AM,HLOOKUP('[1]Course Totals'!O$4,'[1]import graded seats course pivo'!$1:$2,2,FALSE),FALSE))),"")</f>
        <v>1</v>
      </c>
      <c r="P530" s="14" t="str">
        <f>IFERROR((VLOOKUP($A530,'[1]import success seats course'!$A:AD,HLOOKUP('[1]Course Totals'!P$4,'[1]import success seats course'!$1:$2,2,FALSE),FALSE)/(VLOOKUP($A530,'[1]import graded seats course pivo'!$A:AN,HLOOKUP('[1]Course Totals'!P$4,'[1]import graded seats course pivo'!$1:$2,2,FALSE),FALSE))),"")</f>
        <v/>
      </c>
      <c r="Q530" s="14" t="str">
        <f>IFERROR((VLOOKUP($A530,'[1]import success seats course'!$A:AE,HLOOKUP('[1]Course Totals'!Q$4,'[1]import success seats course'!$1:$2,2,FALSE),FALSE)/(VLOOKUP($A530,'[1]import graded seats course pivo'!$A:AO,HLOOKUP('[1]Course Totals'!Q$4,'[1]import graded seats course pivo'!$1:$2,2,FALSE),FALSE))),"")</f>
        <v/>
      </c>
      <c r="R530" s="14">
        <f>IFERROR((VLOOKUP($A530,'[1]import success seats course'!$A:AF,HLOOKUP('[1]Course Totals'!R$4,'[1]import success seats course'!$1:$2,2,FALSE),FALSE)/(VLOOKUP($A530,'[1]import graded seats course pivo'!$A:AP,HLOOKUP('[1]Course Totals'!R$4,'[1]import graded seats course pivo'!$1:$2,2,FALSE),FALSE))),"")</f>
        <v>1</v>
      </c>
      <c r="S530" s="14" t="str">
        <f>IFERROR((VLOOKUP($A530,'[1]import success seats course'!$A:AG,HLOOKUP('[1]Course Totals'!S$4,'[1]import success seats course'!$1:$2,2,FALSE),FALSE)/(VLOOKUP($A530,'[1]import graded seats course pivo'!$A:AQ,HLOOKUP('[1]Course Totals'!S$4,'[1]import graded seats course pivo'!$1:$2,2,FALSE),FALSE))),"")</f>
        <v/>
      </c>
      <c r="Z530" s="7"/>
      <c r="AA530" s="7"/>
      <c r="AB530" s="7"/>
      <c r="AC530" s="7"/>
    </row>
    <row r="531" spans="1:29" ht="15.75" hidden="1" customHeight="1" x14ac:dyDescent="0.25">
      <c r="A531" s="12" t="s">
        <v>254</v>
      </c>
      <c r="B531" s="14" t="str">
        <f>IFERROR((VLOOKUP($A531,'[1]import success seats course'!$A:P,HLOOKUP('[1]Course Totals'!B$4,'[1]import success seats course'!$1:$2,2,FALSE),FALSE)/(VLOOKUP($A531,'[1]import graded seats course pivo'!$A:Z,HLOOKUP('[1]Course Totals'!B$4,'[1]import graded seats course pivo'!$1:$2,2,FALSE),FALSE))),"")</f>
        <v/>
      </c>
      <c r="C531" s="14" t="str">
        <f>IFERROR((VLOOKUP($A531,'[1]import success seats course'!$A:Q,HLOOKUP('[1]Course Totals'!C$4,'[1]import success seats course'!$1:$2,2,FALSE),FALSE)/(VLOOKUP($A531,'[1]import graded seats course pivo'!$A:AA,HLOOKUP('[1]Course Totals'!C$4,'[1]import graded seats course pivo'!$1:$2,2,FALSE),FALSE))),"")</f>
        <v/>
      </c>
      <c r="D531" s="14" t="str">
        <f>IFERROR((VLOOKUP($A531,'[1]import success seats course'!$A:R,HLOOKUP('[1]Course Totals'!D$4,'[1]import success seats course'!$1:$2,2,FALSE),FALSE)/(VLOOKUP($A531,'[1]import graded seats course pivo'!$A:AB,HLOOKUP('[1]Course Totals'!D$4,'[1]import graded seats course pivo'!$1:$2,2,FALSE),FALSE))),"")</f>
        <v/>
      </c>
      <c r="E531" s="14" t="str">
        <f>IFERROR((VLOOKUP($A531,'[1]import success seats course'!$A:S,HLOOKUP('[1]Course Totals'!E$4,'[1]import success seats course'!$1:$2,2,FALSE),FALSE)/(VLOOKUP($A531,'[1]import graded seats course pivo'!$A:AC,HLOOKUP('[1]Course Totals'!E$4,'[1]import graded seats course pivo'!$1:$2,2,FALSE),FALSE))),"")</f>
        <v/>
      </c>
      <c r="F531" s="14" t="str">
        <f>IFERROR((VLOOKUP($A531,'[1]import success seats course'!$A:T,HLOOKUP('[1]Course Totals'!F$4,'[1]import success seats course'!$1:$2,2,FALSE),FALSE)/(VLOOKUP($A531,'[1]import graded seats course pivo'!$A:AD,HLOOKUP('[1]Course Totals'!F$4,'[1]import graded seats course pivo'!$1:$2,2,FALSE),FALSE))),"")</f>
        <v/>
      </c>
      <c r="G531" s="14" t="str">
        <f>IFERROR((VLOOKUP($A531,'[1]import success seats course'!$A:U,HLOOKUP('[1]Course Totals'!G$4,'[1]import success seats course'!$1:$2,2,FALSE),FALSE)/(VLOOKUP($A531,'[1]import graded seats course pivo'!$A:AE,HLOOKUP('[1]Course Totals'!G$4,'[1]import graded seats course pivo'!$1:$2,2,FALSE),FALSE))),"")</f>
        <v/>
      </c>
      <c r="H531" s="14" t="str">
        <f>IFERROR((VLOOKUP($A531,'[1]import success seats course'!$A:V,HLOOKUP('[1]Course Totals'!H$4,'[1]import success seats course'!$1:$2,2,FALSE),FALSE)/(VLOOKUP($A531,'[1]import graded seats course pivo'!$A:AF,HLOOKUP('[1]Course Totals'!H$4,'[1]import graded seats course pivo'!$1:$2,2,FALSE),FALSE))),"")</f>
        <v/>
      </c>
      <c r="I531" s="14" t="str">
        <f>IFERROR((VLOOKUP($A531,'[1]import success seats course'!$A:W,HLOOKUP('[1]Course Totals'!I$4,'[1]import success seats course'!$1:$2,2,FALSE),FALSE)/(VLOOKUP($A531,'[1]import graded seats course pivo'!$A:AG,HLOOKUP('[1]Course Totals'!I$4,'[1]import graded seats course pivo'!$1:$2,2,FALSE),FALSE))),"")</f>
        <v/>
      </c>
      <c r="J531" s="14" t="str">
        <f>IFERROR((VLOOKUP($A531,'[1]import success seats course'!$A:X,HLOOKUP('[1]Course Totals'!J$4,'[1]import success seats course'!$1:$2,2,FALSE),FALSE)/(VLOOKUP($A531,'[1]import graded seats course pivo'!$A:AH,HLOOKUP('[1]Course Totals'!J$4,'[1]import graded seats course pivo'!$1:$2,2,FALSE),FALSE))),"")</f>
        <v/>
      </c>
      <c r="K531" s="14" t="str">
        <f>IFERROR((VLOOKUP($A531,'[1]import success seats course'!$A:Y,HLOOKUP('[1]Course Totals'!K$4,'[1]import success seats course'!$1:$2,2,FALSE),FALSE)/(VLOOKUP($A531,'[1]import graded seats course pivo'!$A:AI,HLOOKUP('[1]Course Totals'!K$4,'[1]import graded seats course pivo'!$1:$2,2,FALSE),FALSE))),"")</f>
        <v/>
      </c>
      <c r="L531" s="14" t="str">
        <f>IFERROR((VLOOKUP($A531,'[1]import success seats course'!$A:Z,HLOOKUP('[1]Course Totals'!L$4,'[1]import success seats course'!$1:$2,2,FALSE),FALSE)/(VLOOKUP($A531,'[1]import graded seats course pivo'!$A:AJ,HLOOKUP('[1]Course Totals'!L$4,'[1]import graded seats course pivo'!$1:$2,2,FALSE),FALSE))),"")</f>
        <v/>
      </c>
      <c r="M531" s="14" t="str">
        <f>IFERROR((VLOOKUP($A531,'[1]import success seats course'!$A:AA,HLOOKUP('[1]Course Totals'!M$4,'[1]import success seats course'!$1:$2,2,FALSE),FALSE)/(VLOOKUP($A531,'[1]import graded seats course pivo'!$A:AK,HLOOKUP('[1]Course Totals'!M$4,'[1]import graded seats course pivo'!$1:$2,2,FALSE),FALSE))),"")</f>
        <v/>
      </c>
      <c r="N531" s="14" t="str">
        <f>IFERROR((VLOOKUP($A531,'[1]import success seats course'!$A:AB,HLOOKUP('[1]Course Totals'!N$4,'[1]import success seats course'!$1:$2,2,FALSE),FALSE)/(VLOOKUP($A531,'[1]import graded seats course pivo'!$A:AL,HLOOKUP('[1]Course Totals'!N$4,'[1]import graded seats course pivo'!$1:$2,2,FALSE),FALSE))),"")</f>
        <v/>
      </c>
      <c r="O531" s="14" t="str">
        <f>IFERROR((VLOOKUP($A531,'[1]import success seats course'!$A:AC,HLOOKUP('[1]Course Totals'!O$4,'[1]import success seats course'!$1:$2,2,FALSE),FALSE)/(VLOOKUP($A531,'[1]import graded seats course pivo'!$A:AM,HLOOKUP('[1]Course Totals'!O$4,'[1]import graded seats course pivo'!$1:$2,2,FALSE),FALSE))),"")</f>
        <v/>
      </c>
      <c r="P531" s="14" t="str">
        <f>IFERROR((VLOOKUP($A531,'[1]import success seats course'!$A:AD,HLOOKUP('[1]Course Totals'!P$4,'[1]import success seats course'!$1:$2,2,FALSE),FALSE)/(VLOOKUP($A531,'[1]import graded seats course pivo'!$A:AN,HLOOKUP('[1]Course Totals'!P$4,'[1]import graded seats course pivo'!$1:$2,2,FALSE),FALSE))),"")</f>
        <v/>
      </c>
      <c r="Q531" s="14" t="str">
        <f>IFERROR((VLOOKUP($A531,'[1]import success seats course'!$A:AE,HLOOKUP('[1]Course Totals'!Q$4,'[1]import success seats course'!$1:$2,2,FALSE),FALSE)/(VLOOKUP($A531,'[1]import graded seats course pivo'!$A:AO,HLOOKUP('[1]Course Totals'!Q$4,'[1]import graded seats course pivo'!$1:$2,2,FALSE),FALSE))),"")</f>
        <v/>
      </c>
      <c r="R531" s="14" t="str">
        <f>IFERROR((VLOOKUP($A531,'[1]import success seats course'!$A:AF,HLOOKUP('[1]Course Totals'!R$4,'[1]import success seats course'!$1:$2,2,FALSE),FALSE)/(VLOOKUP($A531,'[1]import graded seats course pivo'!$A:AP,HLOOKUP('[1]Course Totals'!R$4,'[1]import graded seats course pivo'!$1:$2,2,FALSE),FALSE))),"")</f>
        <v/>
      </c>
      <c r="S531" s="14" t="str">
        <f>IFERROR((VLOOKUP($A531,'[1]import success seats course'!$A:AG,HLOOKUP('[1]Course Totals'!S$4,'[1]import success seats course'!$1:$2,2,FALSE),FALSE)/(VLOOKUP($A531,'[1]import graded seats course pivo'!$A:AQ,HLOOKUP('[1]Course Totals'!S$4,'[1]import graded seats course pivo'!$1:$2,2,FALSE),FALSE))),"")</f>
        <v/>
      </c>
      <c r="Z531" s="7"/>
      <c r="AA531" s="7"/>
      <c r="AB531" s="7"/>
      <c r="AC531" s="7"/>
    </row>
    <row r="532" spans="1:29" ht="15.75" hidden="1" customHeight="1" x14ac:dyDescent="0.25">
      <c r="A532" s="12" t="s">
        <v>255</v>
      </c>
      <c r="B532" s="14" t="str">
        <f>IFERROR((VLOOKUP($A532,'[1]import success seats course'!$A:P,HLOOKUP('[1]Course Totals'!B$4,'[1]import success seats course'!$1:$2,2,FALSE),FALSE)/(VLOOKUP($A532,'[1]import graded seats course pivo'!$A:Z,HLOOKUP('[1]Course Totals'!B$4,'[1]import graded seats course pivo'!$1:$2,2,FALSE),FALSE))),"")</f>
        <v/>
      </c>
      <c r="C532" s="14" t="str">
        <f>IFERROR((VLOOKUP($A532,'[1]import success seats course'!$A:Q,HLOOKUP('[1]Course Totals'!C$4,'[1]import success seats course'!$1:$2,2,FALSE),FALSE)/(VLOOKUP($A532,'[1]import graded seats course pivo'!$A:AA,HLOOKUP('[1]Course Totals'!C$4,'[1]import graded seats course pivo'!$1:$2,2,FALSE),FALSE))),"")</f>
        <v/>
      </c>
      <c r="D532" s="14" t="str">
        <f>IFERROR((VLOOKUP($A532,'[1]import success seats course'!$A:R,HLOOKUP('[1]Course Totals'!D$4,'[1]import success seats course'!$1:$2,2,FALSE),FALSE)/(VLOOKUP($A532,'[1]import graded seats course pivo'!$A:AB,HLOOKUP('[1]Course Totals'!D$4,'[1]import graded seats course pivo'!$1:$2,2,FALSE),FALSE))),"")</f>
        <v/>
      </c>
      <c r="E532" s="14" t="str">
        <f>IFERROR((VLOOKUP($A532,'[1]import success seats course'!$A:S,HLOOKUP('[1]Course Totals'!E$4,'[1]import success seats course'!$1:$2,2,FALSE),FALSE)/(VLOOKUP($A532,'[1]import graded seats course pivo'!$A:AC,HLOOKUP('[1]Course Totals'!E$4,'[1]import graded seats course pivo'!$1:$2,2,FALSE),FALSE))),"")</f>
        <v/>
      </c>
      <c r="F532" s="14" t="str">
        <f>IFERROR((VLOOKUP($A532,'[1]import success seats course'!$A:T,HLOOKUP('[1]Course Totals'!F$4,'[1]import success seats course'!$1:$2,2,FALSE),FALSE)/(VLOOKUP($A532,'[1]import graded seats course pivo'!$A:AD,HLOOKUP('[1]Course Totals'!F$4,'[1]import graded seats course pivo'!$1:$2,2,FALSE),FALSE))),"")</f>
        <v/>
      </c>
      <c r="G532" s="14" t="str">
        <f>IFERROR((VLOOKUP($A532,'[1]import success seats course'!$A:U,HLOOKUP('[1]Course Totals'!G$4,'[1]import success seats course'!$1:$2,2,FALSE),FALSE)/(VLOOKUP($A532,'[1]import graded seats course pivo'!$A:AE,HLOOKUP('[1]Course Totals'!G$4,'[1]import graded seats course pivo'!$1:$2,2,FALSE),FALSE))),"")</f>
        <v/>
      </c>
      <c r="H532" s="14" t="str">
        <f>IFERROR((VLOOKUP($A532,'[1]import success seats course'!$A:V,HLOOKUP('[1]Course Totals'!H$4,'[1]import success seats course'!$1:$2,2,FALSE),FALSE)/(VLOOKUP($A532,'[1]import graded seats course pivo'!$A:AF,HLOOKUP('[1]Course Totals'!H$4,'[1]import graded seats course pivo'!$1:$2,2,FALSE),FALSE))),"")</f>
        <v/>
      </c>
      <c r="I532" s="14" t="str">
        <f>IFERROR((VLOOKUP($A532,'[1]import success seats course'!$A:W,HLOOKUP('[1]Course Totals'!I$4,'[1]import success seats course'!$1:$2,2,FALSE),FALSE)/(VLOOKUP($A532,'[1]import graded seats course pivo'!$A:AG,HLOOKUP('[1]Course Totals'!I$4,'[1]import graded seats course pivo'!$1:$2,2,FALSE),FALSE))),"")</f>
        <v/>
      </c>
      <c r="J532" s="14" t="str">
        <f>IFERROR((VLOOKUP($A532,'[1]import success seats course'!$A:X,HLOOKUP('[1]Course Totals'!J$4,'[1]import success seats course'!$1:$2,2,FALSE),FALSE)/(VLOOKUP($A532,'[1]import graded seats course pivo'!$A:AH,HLOOKUP('[1]Course Totals'!J$4,'[1]import graded seats course pivo'!$1:$2,2,FALSE),FALSE))),"")</f>
        <v/>
      </c>
      <c r="K532" s="14" t="str">
        <f>IFERROR((VLOOKUP($A532,'[1]import success seats course'!$A:Y,HLOOKUP('[1]Course Totals'!K$4,'[1]import success seats course'!$1:$2,2,FALSE),FALSE)/(VLOOKUP($A532,'[1]import graded seats course pivo'!$A:AI,HLOOKUP('[1]Course Totals'!K$4,'[1]import graded seats course pivo'!$1:$2,2,FALSE),FALSE))),"")</f>
        <v/>
      </c>
      <c r="L532" s="14" t="str">
        <f>IFERROR((VLOOKUP($A532,'[1]import success seats course'!$A:Z,HLOOKUP('[1]Course Totals'!L$4,'[1]import success seats course'!$1:$2,2,FALSE),FALSE)/(VLOOKUP($A532,'[1]import graded seats course pivo'!$A:AJ,HLOOKUP('[1]Course Totals'!L$4,'[1]import graded seats course pivo'!$1:$2,2,FALSE),FALSE))),"")</f>
        <v/>
      </c>
      <c r="M532" s="14" t="str">
        <f>IFERROR((VLOOKUP($A532,'[1]import success seats course'!$A:AA,HLOOKUP('[1]Course Totals'!M$4,'[1]import success seats course'!$1:$2,2,FALSE),FALSE)/(VLOOKUP($A532,'[1]import graded seats course pivo'!$A:AK,HLOOKUP('[1]Course Totals'!M$4,'[1]import graded seats course pivo'!$1:$2,2,FALSE),FALSE))),"")</f>
        <v/>
      </c>
      <c r="N532" s="14" t="str">
        <f>IFERROR((VLOOKUP($A532,'[1]import success seats course'!$A:AB,HLOOKUP('[1]Course Totals'!N$4,'[1]import success seats course'!$1:$2,2,FALSE),FALSE)/(VLOOKUP($A532,'[1]import graded seats course pivo'!$A:AL,HLOOKUP('[1]Course Totals'!N$4,'[1]import graded seats course pivo'!$1:$2,2,FALSE),FALSE))),"")</f>
        <v/>
      </c>
      <c r="O532" s="14" t="str">
        <f>IFERROR((VLOOKUP($A532,'[1]import success seats course'!$A:AC,HLOOKUP('[1]Course Totals'!O$4,'[1]import success seats course'!$1:$2,2,FALSE),FALSE)/(VLOOKUP($A532,'[1]import graded seats course pivo'!$A:AM,HLOOKUP('[1]Course Totals'!O$4,'[1]import graded seats course pivo'!$1:$2,2,FALSE),FALSE))),"")</f>
        <v/>
      </c>
      <c r="P532" s="14" t="str">
        <f>IFERROR((VLOOKUP($A532,'[1]import success seats course'!$A:AD,HLOOKUP('[1]Course Totals'!P$4,'[1]import success seats course'!$1:$2,2,FALSE),FALSE)/(VLOOKUP($A532,'[1]import graded seats course pivo'!$A:AN,HLOOKUP('[1]Course Totals'!P$4,'[1]import graded seats course pivo'!$1:$2,2,FALSE),FALSE))),"")</f>
        <v/>
      </c>
      <c r="Q532" s="14" t="str">
        <f>IFERROR((VLOOKUP($A532,'[1]import success seats course'!$A:AE,HLOOKUP('[1]Course Totals'!Q$4,'[1]import success seats course'!$1:$2,2,FALSE),FALSE)/(VLOOKUP($A532,'[1]import graded seats course pivo'!$A:AO,HLOOKUP('[1]Course Totals'!Q$4,'[1]import graded seats course pivo'!$1:$2,2,FALSE),FALSE))),"")</f>
        <v/>
      </c>
      <c r="R532" s="14" t="str">
        <f>IFERROR((VLOOKUP($A532,'[1]import success seats course'!$A:AF,HLOOKUP('[1]Course Totals'!R$4,'[1]import success seats course'!$1:$2,2,FALSE),FALSE)/(VLOOKUP($A532,'[1]import graded seats course pivo'!$A:AP,HLOOKUP('[1]Course Totals'!R$4,'[1]import graded seats course pivo'!$1:$2,2,FALSE),FALSE))),"")</f>
        <v/>
      </c>
      <c r="S532" s="14" t="str">
        <f>IFERROR((VLOOKUP($A532,'[1]import success seats course'!$A:AG,HLOOKUP('[1]Course Totals'!S$4,'[1]import success seats course'!$1:$2,2,FALSE),FALSE)/(VLOOKUP($A532,'[1]import graded seats course pivo'!$A:AQ,HLOOKUP('[1]Course Totals'!S$4,'[1]import graded seats course pivo'!$1:$2,2,FALSE),FALSE))),"")</f>
        <v/>
      </c>
      <c r="Z532" s="7"/>
      <c r="AA532" s="7"/>
      <c r="AB532" s="7"/>
      <c r="AC532" s="7"/>
    </row>
    <row r="533" spans="1:29" ht="15.75" hidden="1" customHeight="1" x14ac:dyDescent="0.25">
      <c r="A533" s="12" t="s">
        <v>256</v>
      </c>
      <c r="B533" s="14" t="str">
        <f>IFERROR((VLOOKUP($A533,'[1]import success seats course'!$A:P,HLOOKUP('[1]Course Totals'!B$4,'[1]import success seats course'!$1:$2,2,FALSE),FALSE)/(VLOOKUP($A533,'[1]import graded seats course pivo'!$A:Z,HLOOKUP('[1]Course Totals'!B$4,'[1]import graded seats course pivo'!$1:$2,2,FALSE),FALSE))),"")</f>
        <v/>
      </c>
      <c r="C533" s="14" t="str">
        <f>IFERROR((VLOOKUP($A533,'[1]import success seats course'!$A:Q,HLOOKUP('[1]Course Totals'!C$4,'[1]import success seats course'!$1:$2,2,FALSE),FALSE)/(VLOOKUP($A533,'[1]import graded seats course pivo'!$A:AA,HLOOKUP('[1]Course Totals'!C$4,'[1]import graded seats course pivo'!$1:$2,2,FALSE),FALSE))),"")</f>
        <v/>
      </c>
      <c r="D533" s="14" t="str">
        <f>IFERROR((VLOOKUP($A533,'[1]import success seats course'!$A:R,HLOOKUP('[1]Course Totals'!D$4,'[1]import success seats course'!$1:$2,2,FALSE),FALSE)/(VLOOKUP($A533,'[1]import graded seats course pivo'!$A:AB,HLOOKUP('[1]Course Totals'!D$4,'[1]import graded seats course pivo'!$1:$2,2,FALSE),FALSE))),"")</f>
        <v/>
      </c>
      <c r="E533" s="14" t="str">
        <f>IFERROR((VLOOKUP($A533,'[1]import success seats course'!$A:S,HLOOKUP('[1]Course Totals'!E$4,'[1]import success seats course'!$1:$2,2,FALSE),FALSE)/(VLOOKUP($A533,'[1]import graded seats course pivo'!$A:AC,HLOOKUP('[1]Course Totals'!E$4,'[1]import graded seats course pivo'!$1:$2,2,FALSE),FALSE))),"")</f>
        <v/>
      </c>
      <c r="F533" s="14" t="str">
        <f>IFERROR((VLOOKUP($A533,'[1]import success seats course'!$A:T,HLOOKUP('[1]Course Totals'!F$4,'[1]import success seats course'!$1:$2,2,FALSE),FALSE)/(VLOOKUP($A533,'[1]import graded seats course pivo'!$A:AD,HLOOKUP('[1]Course Totals'!F$4,'[1]import graded seats course pivo'!$1:$2,2,FALSE),FALSE))),"")</f>
        <v/>
      </c>
      <c r="G533" s="14" t="str">
        <f>IFERROR((VLOOKUP($A533,'[1]import success seats course'!$A:U,HLOOKUP('[1]Course Totals'!G$4,'[1]import success seats course'!$1:$2,2,FALSE),FALSE)/(VLOOKUP($A533,'[1]import graded seats course pivo'!$A:AE,HLOOKUP('[1]Course Totals'!G$4,'[1]import graded seats course pivo'!$1:$2,2,FALSE),FALSE))),"")</f>
        <v/>
      </c>
      <c r="H533" s="14" t="str">
        <f>IFERROR((VLOOKUP($A533,'[1]import success seats course'!$A:V,HLOOKUP('[1]Course Totals'!H$4,'[1]import success seats course'!$1:$2,2,FALSE),FALSE)/(VLOOKUP($A533,'[1]import graded seats course pivo'!$A:AF,HLOOKUP('[1]Course Totals'!H$4,'[1]import graded seats course pivo'!$1:$2,2,FALSE),FALSE))),"")</f>
        <v/>
      </c>
      <c r="I533" s="14" t="str">
        <f>IFERROR((VLOOKUP($A533,'[1]import success seats course'!$A:W,HLOOKUP('[1]Course Totals'!I$4,'[1]import success seats course'!$1:$2,2,FALSE),FALSE)/(VLOOKUP($A533,'[1]import graded seats course pivo'!$A:AG,HLOOKUP('[1]Course Totals'!I$4,'[1]import graded seats course pivo'!$1:$2,2,FALSE),FALSE))),"")</f>
        <v/>
      </c>
      <c r="J533" s="14" t="str">
        <f>IFERROR((VLOOKUP($A533,'[1]import success seats course'!$A:X,HLOOKUP('[1]Course Totals'!J$4,'[1]import success seats course'!$1:$2,2,FALSE),FALSE)/(VLOOKUP($A533,'[1]import graded seats course pivo'!$A:AH,HLOOKUP('[1]Course Totals'!J$4,'[1]import graded seats course pivo'!$1:$2,2,FALSE),FALSE))),"")</f>
        <v/>
      </c>
      <c r="K533" s="14" t="str">
        <f>IFERROR((VLOOKUP($A533,'[1]import success seats course'!$A:Y,HLOOKUP('[1]Course Totals'!K$4,'[1]import success seats course'!$1:$2,2,FALSE),FALSE)/(VLOOKUP($A533,'[1]import graded seats course pivo'!$A:AI,HLOOKUP('[1]Course Totals'!K$4,'[1]import graded seats course pivo'!$1:$2,2,FALSE),FALSE))),"")</f>
        <v/>
      </c>
      <c r="L533" s="14" t="str">
        <f>IFERROR((VLOOKUP($A533,'[1]import success seats course'!$A:Z,HLOOKUP('[1]Course Totals'!L$4,'[1]import success seats course'!$1:$2,2,FALSE),FALSE)/(VLOOKUP($A533,'[1]import graded seats course pivo'!$A:AJ,HLOOKUP('[1]Course Totals'!L$4,'[1]import graded seats course pivo'!$1:$2,2,FALSE),FALSE))),"")</f>
        <v/>
      </c>
      <c r="M533" s="14" t="str">
        <f>IFERROR((VLOOKUP($A533,'[1]import success seats course'!$A:AA,HLOOKUP('[1]Course Totals'!M$4,'[1]import success seats course'!$1:$2,2,FALSE),FALSE)/(VLOOKUP($A533,'[1]import graded seats course pivo'!$A:AK,HLOOKUP('[1]Course Totals'!M$4,'[1]import graded seats course pivo'!$1:$2,2,FALSE),FALSE))),"")</f>
        <v/>
      </c>
      <c r="N533" s="14" t="str">
        <f>IFERROR((VLOOKUP($A533,'[1]import success seats course'!$A:AB,HLOOKUP('[1]Course Totals'!N$4,'[1]import success seats course'!$1:$2,2,FALSE),FALSE)/(VLOOKUP($A533,'[1]import graded seats course pivo'!$A:AL,HLOOKUP('[1]Course Totals'!N$4,'[1]import graded seats course pivo'!$1:$2,2,FALSE),FALSE))),"")</f>
        <v/>
      </c>
      <c r="O533" s="14" t="str">
        <f>IFERROR((VLOOKUP($A533,'[1]import success seats course'!$A:AC,HLOOKUP('[1]Course Totals'!O$4,'[1]import success seats course'!$1:$2,2,FALSE),FALSE)/(VLOOKUP($A533,'[1]import graded seats course pivo'!$A:AM,HLOOKUP('[1]Course Totals'!O$4,'[1]import graded seats course pivo'!$1:$2,2,FALSE),FALSE))),"")</f>
        <v/>
      </c>
      <c r="P533" s="14" t="str">
        <f>IFERROR((VLOOKUP($A533,'[1]import success seats course'!$A:AD,HLOOKUP('[1]Course Totals'!P$4,'[1]import success seats course'!$1:$2,2,FALSE),FALSE)/(VLOOKUP($A533,'[1]import graded seats course pivo'!$A:AN,HLOOKUP('[1]Course Totals'!P$4,'[1]import graded seats course pivo'!$1:$2,2,FALSE),FALSE))),"")</f>
        <v/>
      </c>
      <c r="Q533" s="14" t="str">
        <f>IFERROR((VLOOKUP($A533,'[1]import success seats course'!$A:AE,HLOOKUP('[1]Course Totals'!Q$4,'[1]import success seats course'!$1:$2,2,FALSE),FALSE)/(VLOOKUP($A533,'[1]import graded seats course pivo'!$A:AO,HLOOKUP('[1]Course Totals'!Q$4,'[1]import graded seats course pivo'!$1:$2,2,FALSE),FALSE))),"")</f>
        <v/>
      </c>
      <c r="R533" s="14" t="str">
        <f>IFERROR((VLOOKUP($A533,'[1]import success seats course'!$A:AF,HLOOKUP('[1]Course Totals'!R$4,'[1]import success seats course'!$1:$2,2,FALSE),FALSE)/(VLOOKUP($A533,'[1]import graded seats course pivo'!$A:AP,HLOOKUP('[1]Course Totals'!R$4,'[1]import graded seats course pivo'!$1:$2,2,FALSE),FALSE))),"")</f>
        <v/>
      </c>
      <c r="S533" s="14" t="str">
        <f>IFERROR((VLOOKUP($A533,'[1]import success seats course'!$A:AG,HLOOKUP('[1]Course Totals'!S$4,'[1]import success seats course'!$1:$2,2,FALSE),FALSE)/(VLOOKUP($A533,'[1]import graded seats course pivo'!$A:AQ,HLOOKUP('[1]Course Totals'!S$4,'[1]import graded seats course pivo'!$1:$2,2,FALSE),FALSE))),"")</f>
        <v/>
      </c>
      <c r="Z533" s="7"/>
      <c r="AA533" s="7"/>
      <c r="AB533" s="7"/>
      <c r="AC533" s="7"/>
    </row>
    <row r="534" spans="1:29" ht="15.75" hidden="1" customHeight="1" x14ac:dyDescent="0.25">
      <c r="A534" s="12" t="s">
        <v>910</v>
      </c>
      <c r="B534" s="14" t="str">
        <f>IFERROR((VLOOKUP($A534,'[1]import success seats course'!$A:P,HLOOKUP('[1]Course Totals'!B$4,'[1]import success seats course'!$1:$2,2,FALSE),FALSE)/(VLOOKUP($A534,'[1]import graded seats course pivo'!$A:Z,HLOOKUP('[1]Course Totals'!B$4,'[1]import graded seats course pivo'!$1:$2,2,FALSE),FALSE))),"")</f>
        <v/>
      </c>
      <c r="C534" s="14" t="str">
        <f>IFERROR((VLOOKUP($A534,'[1]import success seats course'!$A:Q,HLOOKUP('[1]Course Totals'!C$4,'[1]import success seats course'!$1:$2,2,FALSE),FALSE)/(VLOOKUP($A534,'[1]import graded seats course pivo'!$A:AA,HLOOKUP('[1]Course Totals'!C$4,'[1]import graded seats course pivo'!$1:$2,2,FALSE),FALSE))),"")</f>
        <v/>
      </c>
      <c r="D534" s="14" t="str">
        <f>IFERROR((VLOOKUP($A534,'[1]import success seats course'!$A:R,HLOOKUP('[1]Course Totals'!D$4,'[1]import success seats course'!$1:$2,2,FALSE),FALSE)/(VLOOKUP($A534,'[1]import graded seats course pivo'!$A:AB,HLOOKUP('[1]Course Totals'!D$4,'[1]import graded seats course pivo'!$1:$2,2,FALSE),FALSE))),"")</f>
        <v/>
      </c>
      <c r="E534" s="14" t="str">
        <f>IFERROR((VLOOKUP($A534,'[1]import success seats course'!$A:S,HLOOKUP('[1]Course Totals'!E$4,'[1]import success seats course'!$1:$2,2,FALSE),FALSE)/(VLOOKUP($A534,'[1]import graded seats course pivo'!$A:AC,HLOOKUP('[1]Course Totals'!E$4,'[1]import graded seats course pivo'!$1:$2,2,FALSE),FALSE))),"")</f>
        <v/>
      </c>
      <c r="F534" s="14" t="str">
        <f>IFERROR((VLOOKUP($A534,'[1]import success seats course'!$A:T,HLOOKUP('[1]Course Totals'!F$4,'[1]import success seats course'!$1:$2,2,FALSE),FALSE)/(VLOOKUP($A534,'[1]import graded seats course pivo'!$A:AD,HLOOKUP('[1]Course Totals'!F$4,'[1]import graded seats course pivo'!$1:$2,2,FALSE),FALSE))),"")</f>
        <v/>
      </c>
      <c r="G534" s="14" t="str">
        <f>IFERROR((VLOOKUP($A534,'[1]import success seats course'!$A:U,HLOOKUP('[1]Course Totals'!G$4,'[1]import success seats course'!$1:$2,2,FALSE),FALSE)/(VLOOKUP($A534,'[1]import graded seats course pivo'!$A:AE,HLOOKUP('[1]Course Totals'!G$4,'[1]import graded seats course pivo'!$1:$2,2,FALSE),FALSE))),"")</f>
        <v/>
      </c>
      <c r="H534" s="14" t="str">
        <f>IFERROR((VLOOKUP($A534,'[1]import success seats course'!$A:V,HLOOKUP('[1]Course Totals'!H$4,'[1]import success seats course'!$1:$2,2,FALSE),FALSE)/(VLOOKUP($A534,'[1]import graded seats course pivo'!$A:AF,HLOOKUP('[1]Course Totals'!H$4,'[1]import graded seats course pivo'!$1:$2,2,FALSE),FALSE))),"")</f>
        <v/>
      </c>
      <c r="I534" s="14" t="str">
        <f>IFERROR((VLOOKUP($A534,'[1]import success seats course'!$A:W,HLOOKUP('[1]Course Totals'!I$4,'[1]import success seats course'!$1:$2,2,FALSE),FALSE)/(VLOOKUP($A534,'[1]import graded seats course pivo'!$A:AG,HLOOKUP('[1]Course Totals'!I$4,'[1]import graded seats course pivo'!$1:$2,2,FALSE),FALSE))),"")</f>
        <v/>
      </c>
      <c r="J534" s="14" t="str">
        <f>IFERROR((VLOOKUP($A534,'[1]import success seats course'!$A:X,HLOOKUP('[1]Course Totals'!J$4,'[1]import success seats course'!$1:$2,2,FALSE),FALSE)/(VLOOKUP($A534,'[1]import graded seats course pivo'!$A:AH,HLOOKUP('[1]Course Totals'!J$4,'[1]import graded seats course pivo'!$1:$2,2,FALSE),FALSE))),"")</f>
        <v/>
      </c>
      <c r="K534" s="14" t="str">
        <f>IFERROR((VLOOKUP($A534,'[1]import success seats course'!$A:Y,HLOOKUP('[1]Course Totals'!K$4,'[1]import success seats course'!$1:$2,2,FALSE),FALSE)/(VLOOKUP($A534,'[1]import graded seats course pivo'!$A:AI,HLOOKUP('[1]Course Totals'!K$4,'[1]import graded seats course pivo'!$1:$2,2,FALSE),FALSE))),"")</f>
        <v/>
      </c>
      <c r="L534" s="14" t="str">
        <f>IFERROR((VLOOKUP($A534,'[1]import success seats course'!$A:Z,HLOOKUP('[1]Course Totals'!L$4,'[1]import success seats course'!$1:$2,2,FALSE),FALSE)/(VLOOKUP($A534,'[1]import graded seats course pivo'!$A:AJ,HLOOKUP('[1]Course Totals'!L$4,'[1]import graded seats course pivo'!$1:$2,2,FALSE),FALSE))),"")</f>
        <v/>
      </c>
      <c r="M534" s="14" t="str">
        <f>IFERROR((VLOOKUP($A534,'[1]import success seats course'!$A:AA,HLOOKUP('[1]Course Totals'!M$4,'[1]import success seats course'!$1:$2,2,FALSE),FALSE)/(VLOOKUP($A534,'[1]import graded seats course pivo'!$A:AK,HLOOKUP('[1]Course Totals'!M$4,'[1]import graded seats course pivo'!$1:$2,2,FALSE),FALSE))),"")</f>
        <v/>
      </c>
      <c r="N534" s="14" t="str">
        <f>IFERROR((VLOOKUP($A534,'[1]import success seats course'!$A:AB,HLOOKUP('[1]Course Totals'!N$4,'[1]import success seats course'!$1:$2,2,FALSE),FALSE)/(VLOOKUP($A534,'[1]import graded seats course pivo'!$A:AL,HLOOKUP('[1]Course Totals'!N$4,'[1]import graded seats course pivo'!$1:$2,2,FALSE),FALSE))),"")</f>
        <v/>
      </c>
      <c r="O534" s="14" t="str">
        <f>IFERROR((VLOOKUP($A534,'[1]import success seats course'!$A:AC,HLOOKUP('[1]Course Totals'!O$4,'[1]import success seats course'!$1:$2,2,FALSE),FALSE)/(VLOOKUP($A534,'[1]import graded seats course pivo'!$A:AM,HLOOKUP('[1]Course Totals'!O$4,'[1]import graded seats course pivo'!$1:$2,2,FALSE),FALSE))),"")</f>
        <v/>
      </c>
      <c r="P534" s="14" t="str">
        <f>IFERROR((VLOOKUP($A534,'[1]import success seats course'!$A:AD,HLOOKUP('[1]Course Totals'!P$4,'[1]import success seats course'!$1:$2,2,FALSE),FALSE)/(VLOOKUP($A534,'[1]import graded seats course pivo'!$A:AN,HLOOKUP('[1]Course Totals'!P$4,'[1]import graded seats course pivo'!$1:$2,2,FALSE),FALSE))),"")</f>
        <v/>
      </c>
      <c r="Q534" s="14" t="str">
        <f>IFERROR((VLOOKUP($A534,'[1]import success seats course'!$A:AE,HLOOKUP('[1]Course Totals'!Q$4,'[1]import success seats course'!$1:$2,2,FALSE),FALSE)/(VLOOKUP($A534,'[1]import graded seats course pivo'!$A:AO,HLOOKUP('[1]Course Totals'!Q$4,'[1]import graded seats course pivo'!$1:$2,2,FALSE),FALSE))),"")</f>
        <v/>
      </c>
      <c r="R534" s="14" t="str">
        <f>IFERROR((VLOOKUP($A534,'[1]import success seats course'!$A:AF,HLOOKUP('[1]Course Totals'!R$4,'[1]import success seats course'!$1:$2,2,FALSE),FALSE)/(VLOOKUP($A534,'[1]import graded seats course pivo'!$A:AP,HLOOKUP('[1]Course Totals'!R$4,'[1]import graded seats course pivo'!$1:$2,2,FALSE),FALSE))),"")</f>
        <v/>
      </c>
      <c r="S534" s="14" t="str">
        <f>IFERROR((VLOOKUP($A534,'[1]import success seats course'!$A:AG,HLOOKUP('[1]Course Totals'!S$4,'[1]import success seats course'!$1:$2,2,FALSE),FALSE)/(VLOOKUP($A534,'[1]import graded seats course pivo'!$A:AQ,HLOOKUP('[1]Course Totals'!S$4,'[1]import graded seats course pivo'!$1:$2,2,FALSE),FALSE))),"")</f>
        <v/>
      </c>
      <c r="Z534" s="7"/>
      <c r="AA534" s="7"/>
      <c r="AB534" s="7"/>
      <c r="AC534" s="7"/>
    </row>
    <row r="535" spans="1:29" ht="15.75" hidden="1" customHeight="1" x14ac:dyDescent="0.25">
      <c r="A535" s="12" t="s">
        <v>720</v>
      </c>
      <c r="B535" s="14" t="str">
        <f>IFERROR((VLOOKUP($A535,'[1]import success seats course'!$A:P,HLOOKUP('[1]Course Totals'!B$4,'[1]import success seats course'!$1:$2,2,FALSE),FALSE)/(VLOOKUP($A535,'[1]import graded seats course pivo'!$A:Z,HLOOKUP('[1]Course Totals'!B$4,'[1]import graded seats course pivo'!$1:$2,2,FALSE),FALSE))),"")</f>
        <v/>
      </c>
      <c r="C535" s="14" t="str">
        <f>IFERROR((VLOOKUP($A535,'[1]import success seats course'!$A:Q,HLOOKUP('[1]Course Totals'!C$4,'[1]import success seats course'!$1:$2,2,FALSE),FALSE)/(VLOOKUP($A535,'[1]import graded seats course pivo'!$A:AA,HLOOKUP('[1]Course Totals'!C$4,'[1]import graded seats course pivo'!$1:$2,2,FALSE),FALSE))),"")</f>
        <v/>
      </c>
      <c r="D535" s="14" t="str">
        <f>IFERROR((VLOOKUP($A535,'[1]import success seats course'!$A:R,HLOOKUP('[1]Course Totals'!D$4,'[1]import success seats course'!$1:$2,2,FALSE),FALSE)/(VLOOKUP($A535,'[1]import graded seats course pivo'!$A:AB,HLOOKUP('[1]Course Totals'!D$4,'[1]import graded seats course pivo'!$1:$2,2,FALSE),FALSE))),"")</f>
        <v/>
      </c>
      <c r="E535" s="14" t="str">
        <f>IFERROR((VLOOKUP($A535,'[1]import success seats course'!$A:S,HLOOKUP('[1]Course Totals'!E$4,'[1]import success seats course'!$1:$2,2,FALSE),FALSE)/(VLOOKUP($A535,'[1]import graded seats course pivo'!$A:AC,HLOOKUP('[1]Course Totals'!E$4,'[1]import graded seats course pivo'!$1:$2,2,FALSE),FALSE))),"")</f>
        <v/>
      </c>
      <c r="F535" s="14" t="str">
        <f>IFERROR((VLOOKUP($A535,'[1]import success seats course'!$A:T,HLOOKUP('[1]Course Totals'!F$4,'[1]import success seats course'!$1:$2,2,FALSE),FALSE)/(VLOOKUP($A535,'[1]import graded seats course pivo'!$A:AD,HLOOKUP('[1]Course Totals'!F$4,'[1]import graded seats course pivo'!$1:$2,2,FALSE),FALSE))),"")</f>
        <v/>
      </c>
      <c r="G535" s="14" t="str">
        <f>IFERROR((VLOOKUP($A535,'[1]import success seats course'!$A:U,HLOOKUP('[1]Course Totals'!G$4,'[1]import success seats course'!$1:$2,2,FALSE),FALSE)/(VLOOKUP($A535,'[1]import graded seats course pivo'!$A:AE,HLOOKUP('[1]Course Totals'!G$4,'[1]import graded seats course pivo'!$1:$2,2,FALSE),FALSE))),"")</f>
        <v/>
      </c>
      <c r="H535" s="14" t="str">
        <f>IFERROR((VLOOKUP($A535,'[1]import success seats course'!$A:V,HLOOKUP('[1]Course Totals'!H$4,'[1]import success seats course'!$1:$2,2,FALSE),FALSE)/(VLOOKUP($A535,'[1]import graded seats course pivo'!$A:AF,HLOOKUP('[1]Course Totals'!H$4,'[1]import graded seats course pivo'!$1:$2,2,FALSE),FALSE))),"")</f>
        <v/>
      </c>
      <c r="I535" s="14" t="str">
        <f>IFERROR((VLOOKUP($A535,'[1]import success seats course'!$A:W,HLOOKUP('[1]Course Totals'!I$4,'[1]import success seats course'!$1:$2,2,FALSE),FALSE)/(VLOOKUP($A535,'[1]import graded seats course pivo'!$A:AG,HLOOKUP('[1]Course Totals'!I$4,'[1]import graded seats course pivo'!$1:$2,2,FALSE),FALSE))),"")</f>
        <v/>
      </c>
      <c r="J535" s="14" t="str">
        <f>IFERROR((VLOOKUP($A535,'[1]import success seats course'!$A:X,HLOOKUP('[1]Course Totals'!J$4,'[1]import success seats course'!$1:$2,2,FALSE),FALSE)/(VLOOKUP($A535,'[1]import graded seats course pivo'!$A:AH,HLOOKUP('[1]Course Totals'!J$4,'[1]import graded seats course pivo'!$1:$2,2,FALSE),FALSE))),"")</f>
        <v/>
      </c>
      <c r="K535" s="14" t="str">
        <f>IFERROR((VLOOKUP($A535,'[1]import success seats course'!$A:Y,HLOOKUP('[1]Course Totals'!K$4,'[1]import success seats course'!$1:$2,2,FALSE),FALSE)/(VLOOKUP($A535,'[1]import graded seats course pivo'!$A:AI,HLOOKUP('[1]Course Totals'!K$4,'[1]import graded seats course pivo'!$1:$2,2,FALSE),FALSE))),"")</f>
        <v/>
      </c>
      <c r="L535" s="14" t="str">
        <f>IFERROR((VLOOKUP($A535,'[1]import success seats course'!$A:Z,HLOOKUP('[1]Course Totals'!L$4,'[1]import success seats course'!$1:$2,2,FALSE),FALSE)/(VLOOKUP($A535,'[1]import graded seats course pivo'!$A:AJ,HLOOKUP('[1]Course Totals'!L$4,'[1]import graded seats course pivo'!$1:$2,2,FALSE),FALSE))),"")</f>
        <v/>
      </c>
      <c r="M535" s="14" t="str">
        <f>IFERROR((VLOOKUP($A535,'[1]import success seats course'!$A:AA,HLOOKUP('[1]Course Totals'!M$4,'[1]import success seats course'!$1:$2,2,FALSE),FALSE)/(VLOOKUP($A535,'[1]import graded seats course pivo'!$A:AK,HLOOKUP('[1]Course Totals'!M$4,'[1]import graded seats course pivo'!$1:$2,2,FALSE),FALSE))),"")</f>
        <v/>
      </c>
      <c r="N535" s="14" t="str">
        <f>IFERROR((VLOOKUP($A535,'[1]import success seats course'!$A:AB,HLOOKUP('[1]Course Totals'!N$4,'[1]import success seats course'!$1:$2,2,FALSE),FALSE)/(VLOOKUP($A535,'[1]import graded seats course pivo'!$A:AL,HLOOKUP('[1]Course Totals'!N$4,'[1]import graded seats course pivo'!$1:$2,2,FALSE),FALSE))),"")</f>
        <v/>
      </c>
      <c r="O535" s="14" t="str">
        <f>IFERROR((VLOOKUP($A535,'[1]import success seats course'!$A:AC,HLOOKUP('[1]Course Totals'!O$4,'[1]import success seats course'!$1:$2,2,FALSE),FALSE)/(VLOOKUP($A535,'[1]import graded seats course pivo'!$A:AM,HLOOKUP('[1]Course Totals'!O$4,'[1]import graded seats course pivo'!$1:$2,2,FALSE),FALSE))),"")</f>
        <v/>
      </c>
      <c r="P535" s="14" t="str">
        <f>IFERROR((VLOOKUP($A535,'[1]import success seats course'!$A:AD,HLOOKUP('[1]Course Totals'!P$4,'[1]import success seats course'!$1:$2,2,FALSE),FALSE)/(VLOOKUP($A535,'[1]import graded seats course pivo'!$A:AN,HLOOKUP('[1]Course Totals'!P$4,'[1]import graded seats course pivo'!$1:$2,2,FALSE),FALSE))),"")</f>
        <v/>
      </c>
      <c r="Q535" s="14" t="str">
        <f>IFERROR((VLOOKUP($A535,'[1]import success seats course'!$A:AE,HLOOKUP('[1]Course Totals'!Q$4,'[1]import success seats course'!$1:$2,2,FALSE),FALSE)/(VLOOKUP($A535,'[1]import graded seats course pivo'!$A:AO,HLOOKUP('[1]Course Totals'!Q$4,'[1]import graded seats course pivo'!$1:$2,2,FALSE),FALSE))),"")</f>
        <v/>
      </c>
      <c r="R535" s="14" t="str">
        <f>IFERROR((VLOOKUP($A535,'[1]import success seats course'!$A:AF,HLOOKUP('[1]Course Totals'!R$4,'[1]import success seats course'!$1:$2,2,FALSE),FALSE)/(VLOOKUP($A535,'[1]import graded seats course pivo'!$A:AP,HLOOKUP('[1]Course Totals'!R$4,'[1]import graded seats course pivo'!$1:$2,2,FALSE),FALSE))),"")</f>
        <v/>
      </c>
      <c r="S535" s="14" t="str">
        <f>IFERROR((VLOOKUP($A535,'[1]import success seats course'!$A:AG,HLOOKUP('[1]Course Totals'!S$4,'[1]import success seats course'!$1:$2,2,FALSE),FALSE)/(VLOOKUP($A535,'[1]import graded seats course pivo'!$A:AQ,HLOOKUP('[1]Course Totals'!S$4,'[1]import graded seats course pivo'!$1:$2,2,FALSE),FALSE))),"")</f>
        <v/>
      </c>
      <c r="Z535" s="7"/>
      <c r="AA535" s="7"/>
      <c r="AB535" s="7"/>
      <c r="AC535" s="7"/>
    </row>
    <row r="536" spans="1:29" ht="15.75" hidden="1" customHeight="1" x14ac:dyDescent="0.25">
      <c r="A536" s="12" t="s">
        <v>721</v>
      </c>
      <c r="B536" s="14" t="str">
        <f>IFERROR((VLOOKUP($A536,'[1]import success seats course'!$A:P,HLOOKUP('[1]Course Totals'!B$4,'[1]import success seats course'!$1:$2,2,FALSE),FALSE)/(VLOOKUP($A536,'[1]import graded seats course pivo'!$A:Z,HLOOKUP('[1]Course Totals'!B$4,'[1]import graded seats course pivo'!$1:$2,2,FALSE),FALSE))),"")</f>
        <v/>
      </c>
      <c r="C536" s="14" t="str">
        <f>IFERROR((VLOOKUP($A536,'[1]import success seats course'!$A:Q,HLOOKUP('[1]Course Totals'!C$4,'[1]import success seats course'!$1:$2,2,FALSE),FALSE)/(VLOOKUP($A536,'[1]import graded seats course pivo'!$A:AA,HLOOKUP('[1]Course Totals'!C$4,'[1]import graded seats course pivo'!$1:$2,2,FALSE),FALSE))),"")</f>
        <v/>
      </c>
      <c r="D536" s="14" t="str">
        <f>IFERROR((VLOOKUP($A536,'[1]import success seats course'!$A:R,HLOOKUP('[1]Course Totals'!D$4,'[1]import success seats course'!$1:$2,2,FALSE),FALSE)/(VLOOKUP($A536,'[1]import graded seats course pivo'!$A:AB,HLOOKUP('[1]Course Totals'!D$4,'[1]import graded seats course pivo'!$1:$2,2,FALSE),FALSE))),"")</f>
        <v/>
      </c>
      <c r="E536" s="14" t="str">
        <f>IFERROR((VLOOKUP($A536,'[1]import success seats course'!$A:S,HLOOKUP('[1]Course Totals'!E$4,'[1]import success seats course'!$1:$2,2,FALSE),FALSE)/(VLOOKUP($A536,'[1]import graded seats course pivo'!$A:AC,HLOOKUP('[1]Course Totals'!E$4,'[1]import graded seats course pivo'!$1:$2,2,FALSE),FALSE))),"")</f>
        <v/>
      </c>
      <c r="F536" s="14" t="str">
        <f>IFERROR((VLOOKUP($A536,'[1]import success seats course'!$A:T,HLOOKUP('[1]Course Totals'!F$4,'[1]import success seats course'!$1:$2,2,FALSE),FALSE)/(VLOOKUP($A536,'[1]import graded seats course pivo'!$A:AD,HLOOKUP('[1]Course Totals'!F$4,'[1]import graded seats course pivo'!$1:$2,2,FALSE),FALSE))),"")</f>
        <v/>
      </c>
      <c r="G536" s="14" t="str">
        <f>IFERROR((VLOOKUP($A536,'[1]import success seats course'!$A:U,HLOOKUP('[1]Course Totals'!G$4,'[1]import success seats course'!$1:$2,2,FALSE),FALSE)/(VLOOKUP($A536,'[1]import graded seats course pivo'!$A:AE,HLOOKUP('[1]Course Totals'!G$4,'[1]import graded seats course pivo'!$1:$2,2,FALSE),FALSE))),"")</f>
        <v/>
      </c>
      <c r="H536" s="14" t="str">
        <f>IFERROR((VLOOKUP($A536,'[1]import success seats course'!$A:V,HLOOKUP('[1]Course Totals'!H$4,'[1]import success seats course'!$1:$2,2,FALSE),FALSE)/(VLOOKUP($A536,'[1]import graded seats course pivo'!$A:AF,HLOOKUP('[1]Course Totals'!H$4,'[1]import graded seats course pivo'!$1:$2,2,FALSE),FALSE))),"")</f>
        <v/>
      </c>
      <c r="I536" s="14" t="str">
        <f>IFERROR((VLOOKUP($A536,'[1]import success seats course'!$A:W,HLOOKUP('[1]Course Totals'!I$4,'[1]import success seats course'!$1:$2,2,FALSE),FALSE)/(VLOOKUP($A536,'[1]import graded seats course pivo'!$A:AG,HLOOKUP('[1]Course Totals'!I$4,'[1]import graded seats course pivo'!$1:$2,2,FALSE),FALSE))),"")</f>
        <v/>
      </c>
      <c r="J536" s="14" t="str">
        <f>IFERROR((VLOOKUP($A536,'[1]import success seats course'!$A:X,HLOOKUP('[1]Course Totals'!J$4,'[1]import success seats course'!$1:$2,2,FALSE),FALSE)/(VLOOKUP($A536,'[1]import graded seats course pivo'!$A:AH,HLOOKUP('[1]Course Totals'!J$4,'[1]import graded seats course pivo'!$1:$2,2,FALSE),FALSE))),"")</f>
        <v/>
      </c>
      <c r="K536" s="14" t="str">
        <f>IFERROR((VLOOKUP($A536,'[1]import success seats course'!$A:Y,HLOOKUP('[1]Course Totals'!K$4,'[1]import success seats course'!$1:$2,2,FALSE),FALSE)/(VLOOKUP($A536,'[1]import graded seats course pivo'!$A:AI,HLOOKUP('[1]Course Totals'!K$4,'[1]import graded seats course pivo'!$1:$2,2,FALSE),FALSE))),"")</f>
        <v/>
      </c>
      <c r="L536" s="14" t="str">
        <f>IFERROR((VLOOKUP($A536,'[1]import success seats course'!$A:Z,HLOOKUP('[1]Course Totals'!L$4,'[1]import success seats course'!$1:$2,2,FALSE),FALSE)/(VLOOKUP($A536,'[1]import graded seats course pivo'!$A:AJ,HLOOKUP('[1]Course Totals'!L$4,'[1]import graded seats course pivo'!$1:$2,2,FALSE),FALSE))),"")</f>
        <v/>
      </c>
      <c r="M536" s="14" t="str">
        <f>IFERROR((VLOOKUP($A536,'[1]import success seats course'!$A:AA,HLOOKUP('[1]Course Totals'!M$4,'[1]import success seats course'!$1:$2,2,FALSE),FALSE)/(VLOOKUP($A536,'[1]import graded seats course pivo'!$A:AK,HLOOKUP('[1]Course Totals'!M$4,'[1]import graded seats course pivo'!$1:$2,2,FALSE),FALSE))),"")</f>
        <v/>
      </c>
      <c r="N536" s="14" t="str">
        <f>IFERROR((VLOOKUP($A536,'[1]import success seats course'!$A:AB,HLOOKUP('[1]Course Totals'!N$4,'[1]import success seats course'!$1:$2,2,FALSE),FALSE)/(VLOOKUP($A536,'[1]import graded seats course pivo'!$A:AL,HLOOKUP('[1]Course Totals'!N$4,'[1]import graded seats course pivo'!$1:$2,2,FALSE),FALSE))),"")</f>
        <v/>
      </c>
      <c r="O536" s="14" t="str">
        <f>IFERROR((VLOOKUP($A536,'[1]import success seats course'!$A:AC,HLOOKUP('[1]Course Totals'!O$4,'[1]import success seats course'!$1:$2,2,FALSE),FALSE)/(VLOOKUP($A536,'[1]import graded seats course pivo'!$A:AM,HLOOKUP('[1]Course Totals'!O$4,'[1]import graded seats course pivo'!$1:$2,2,FALSE),FALSE))),"")</f>
        <v/>
      </c>
      <c r="P536" s="14" t="str">
        <f>IFERROR((VLOOKUP($A536,'[1]import success seats course'!$A:AD,HLOOKUP('[1]Course Totals'!P$4,'[1]import success seats course'!$1:$2,2,FALSE),FALSE)/(VLOOKUP($A536,'[1]import graded seats course pivo'!$A:AN,HLOOKUP('[1]Course Totals'!P$4,'[1]import graded seats course pivo'!$1:$2,2,FALSE),FALSE))),"")</f>
        <v/>
      </c>
      <c r="Q536" s="14" t="str">
        <f>IFERROR((VLOOKUP($A536,'[1]import success seats course'!$A:AE,HLOOKUP('[1]Course Totals'!Q$4,'[1]import success seats course'!$1:$2,2,FALSE),FALSE)/(VLOOKUP($A536,'[1]import graded seats course pivo'!$A:AO,HLOOKUP('[1]Course Totals'!Q$4,'[1]import graded seats course pivo'!$1:$2,2,FALSE),FALSE))),"")</f>
        <v/>
      </c>
      <c r="R536" s="14" t="str">
        <f>IFERROR((VLOOKUP($A536,'[1]import success seats course'!$A:AF,HLOOKUP('[1]Course Totals'!R$4,'[1]import success seats course'!$1:$2,2,FALSE),FALSE)/(VLOOKUP($A536,'[1]import graded seats course pivo'!$A:AP,HLOOKUP('[1]Course Totals'!R$4,'[1]import graded seats course pivo'!$1:$2,2,FALSE),FALSE))),"")</f>
        <v/>
      </c>
      <c r="S536" s="14" t="str">
        <f>IFERROR((VLOOKUP($A536,'[1]import success seats course'!$A:AG,HLOOKUP('[1]Course Totals'!S$4,'[1]import success seats course'!$1:$2,2,FALSE),FALSE)/(VLOOKUP($A536,'[1]import graded seats course pivo'!$A:AQ,HLOOKUP('[1]Course Totals'!S$4,'[1]import graded seats course pivo'!$1:$2,2,FALSE),FALSE))),"")</f>
        <v/>
      </c>
      <c r="Z536" s="7"/>
      <c r="AA536" s="7"/>
      <c r="AB536" s="7"/>
      <c r="AC536" s="7"/>
    </row>
    <row r="537" spans="1:29" ht="15.75" hidden="1" customHeight="1" x14ac:dyDescent="0.25">
      <c r="A537" s="12" t="s">
        <v>985</v>
      </c>
      <c r="B537" s="14" t="str">
        <f>IFERROR((VLOOKUP($A537,'[1]import success seats course'!$A:P,HLOOKUP('[1]Course Totals'!B$4,'[1]import success seats course'!$1:$2,2,FALSE),FALSE)/(VLOOKUP($A537,'[1]import graded seats course pivo'!$A:Z,HLOOKUP('[1]Course Totals'!B$4,'[1]import graded seats course pivo'!$1:$2,2,FALSE),FALSE))),"")</f>
        <v/>
      </c>
      <c r="C537" s="14" t="str">
        <f>IFERROR((VLOOKUP($A537,'[1]import success seats course'!$A:Q,HLOOKUP('[1]Course Totals'!C$4,'[1]import success seats course'!$1:$2,2,FALSE),FALSE)/(VLOOKUP($A537,'[1]import graded seats course pivo'!$A:AA,HLOOKUP('[1]Course Totals'!C$4,'[1]import graded seats course pivo'!$1:$2,2,FALSE),FALSE))),"")</f>
        <v/>
      </c>
      <c r="D537" s="14" t="str">
        <f>IFERROR((VLOOKUP($A537,'[1]import success seats course'!$A:R,HLOOKUP('[1]Course Totals'!D$4,'[1]import success seats course'!$1:$2,2,FALSE),FALSE)/(VLOOKUP($A537,'[1]import graded seats course pivo'!$A:AB,HLOOKUP('[1]Course Totals'!D$4,'[1]import graded seats course pivo'!$1:$2,2,FALSE),FALSE))),"")</f>
        <v/>
      </c>
      <c r="E537" s="14" t="str">
        <f>IFERROR((VLOOKUP($A537,'[1]import success seats course'!$A:S,HLOOKUP('[1]Course Totals'!E$4,'[1]import success seats course'!$1:$2,2,FALSE),FALSE)/(VLOOKUP($A537,'[1]import graded seats course pivo'!$A:AC,HLOOKUP('[1]Course Totals'!E$4,'[1]import graded seats course pivo'!$1:$2,2,FALSE),FALSE))),"")</f>
        <v/>
      </c>
      <c r="F537" s="14" t="str">
        <f>IFERROR((VLOOKUP($A537,'[1]import success seats course'!$A:T,HLOOKUP('[1]Course Totals'!F$4,'[1]import success seats course'!$1:$2,2,FALSE),FALSE)/(VLOOKUP($A537,'[1]import graded seats course pivo'!$A:AD,HLOOKUP('[1]Course Totals'!F$4,'[1]import graded seats course pivo'!$1:$2,2,FALSE),FALSE))),"")</f>
        <v/>
      </c>
      <c r="G537" s="14" t="str">
        <f>IFERROR((VLOOKUP($A537,'[1]import success seats course'!$A:U,HLOOKUP('[1]Course Totals'!G$4,'[1]import success seats course'!$1:$2,2,FALSE),FALSE)/(VLOOKUP($A537,'[1]import graded seats course pivo'!$A:AE,HLOOKUP('[1]Course Totals'!G$4,'[1]import graded seats course pivo'!$1:$2,2,FALSE),FALSE))),"")</f>
        <v/>
      </c>
      <c r="H537" s="14" t="str">
        <f>IFERROR((VLOOKUP($A537,'[1]import success seats course'!$A:V,HLOOKUP('[1]Course Totals'!H$4,'[1]import success seats course'!$1:$2,2,FALSE),FALSE)/(VLOOKUP($A537,'[1]import graded seats course pivo'!$A:AF,HLOOKUP('[1]Course Totals'!H$4,'[1]import graded seats course pivo'!$1:$2,2,FALSE),FALSE))),"")</f>
        <v/>
      </c>
      <c r="I537" s="14" t="str">
        <f>IFERROR((VLOOKUP($A537,'[1]import success seats course'!$A:W,HLOOKUP('[1]Course Totals'!I$4,'[1]import success seats course'!$1:$2,2,FALSE),FALSE)/(VLOOKUP($A537,'[1]import graded seats course pivo'!$A:AG,HLOOKUP('[1]Course Totals'!I$4,'[1]import graded seats course pivo'!$1:$2,2,FALSE),FALSE))),"")</f>
        <v/>
      </c>
      <c r="J537" s="14" t="str">
        <f>IFERROR((VLOOKUP($A537,'[1]import success seats course'!$A:X,HLOOKUP('[1]Course Totals'!J$4,'[1]import success seats course'!$1:$2,2,FALSE),FALSE)/(VLOOKUP($A537,'[1]import graded seats course pivo'!$A:AH,HLOOKUP('[1]Course Totals'!J$4,'[1]import graded seats course pivo'!$1:$2,2,FALSE),FALSE))),"")</f>
        <v/>
      </c>
      <c r="K537" s="14" t="str">
        <f>IFERROR((VLOOKUP($A537,'[1]import success seats course'!$A:Y,HLOOKUP('[1]Course Totals'!K$4,'[1]import success seats course'!$1:$2,2,FALSE),FALSE)/(VLOOKUP($A537,'[1]import graded seats course pivo'!$A:AI,HLOOKUP('[1]Course Totals'!K$4,'[1]import graded seats course pivo'!$1:$2,2,FALSE),FALSE))),"")</f>
        <v/>
      </c>
      <c r="L537" s="14" t="str">
        <f>IFERROR((VLOOKUP($A537,'[1]import success seats course'!$A:Z,HLOOKUP('[1]Course Totals'!L$4,'[1]import success seats course'!$1:$2,2,FALSE),FALSE)/(VLOOKUP($A537,'[1]import graded seats course pivo'!$A:AJ,HLOOKUP('[1]Course Totals'!L$4,'[1]import graded seats course pivo'!$1:$2,2,FALSE),FALSE))),"")</f>
        <v/>
      </c>
      <c r="M537" s="14" t="str">
        <f>IFERROR((VLOOKUP($A537,'[1]import success seats course'!$A:AA,HLOOKUP('[1]Course Totals'!M$4,'[1]import success seats course'!$1:$2,2,FALSE),FALSE)/(VLOOKUP($A537,'[1]import graded seats course pivo'!$A:AK,HLOOKUP('[1]Course Totals'!M$4,'[1]import graded seats course pivo'!$1:$2,2,FALSE),FALSE))),"")</f>
        <v/>
      </c>
      <c r="N537" s="14" t="str">
        <f>IFERROR((VLOOKUP($A537,'[1]import success seats course'!$A:AB,HLOOKUP('[1]Course Totals'!N$4,'[1]import success seats course'!$1:$2,2,FALSE),FALSE)/(VLOOKUP($A537,'[1]import graded seats course pivo'!$A:AL,HLOOKUP('[1]Course Totals'!N$4,'[1]import graded seats course pivo'!$1:$2,2,FALSE),FALSE))),"")</f>
        <v/>
      </c>
      <c r="O537" s="14" t="str">
        <f>IFERROR((VLOOKUP($A537,'[1]import success seats course'!$A:AC,HLOOKUP('[1]Course Totals'!O$4,'[1]import success seats course'!$1:$2,2,FALSE),FALSE)/(VLOOKUP($A537,'[1]import graded seats course pivo'!$A:AM,HLOOKUP('[1]Course Totals'!O$4,'[1]import graded seats course pivo'!$1:$2,2,FALSE),FALSE))),"")</f>
        <v/>
      </c>
      <c r="P537" s="14" t="str">
        <f>IFERROR((VLOOKUP($A537,'[1]import success seats course'!$A:AD,HLOOKUP('[1]Course Totals'!P$4,'[1]import success seats course'!$1:$2,2,FALSE),FALSE)/(VLOOKUP($A537,'[1]import graded seats course pivo'!$A:AN,HLOOKUP('[1]Course Totals'!P$4,'[1]import graded seats course pivo'!$1:$2,2,FALSE),FALSE))),"")</f>
        <v/>
      </c>
      <c r="Q537" s="14" t="str">
        <f>IFERROR((VLOOKUP($A537,'[1]import success seats course'!$A:AE,HLOOKUP('[1]Course Totals'!Q$4,'[1]import success seats course'!$1:$2,2,FALSE),FALSE)/(VLOOKUP($A537,'[1]import graded seats course pivo'!$A:AO,HLOOKUP('[1]Course Totals'!Q$4,'[1]import graded seats course pivo'!$1:$2,2,FALSE),FALSE))),"")</f>
        <v/>
      </c>
      <c r="R537" s="14" t="str">
        <f>IFERROR((VLOOKUP($A537,'[1]import success seats course'!$A:AF,HLOOKUP('[1]Course Totals'!R$4,'[1]import success seats course'!$1:$2,2,FALSE),FALSE)/(VLOOKUP($A537,'[1]import graded seats course pivo'!$A:AP,HLOOKUP('[1]Course Totals'!R$4,'[1]import graded seats course pivo'!$1:$2,2,FALSE),FALSE))),"")</f>
        <v/>
      </c>
      <c r="S537" s="14" t="str">
        <f>IFERROR((VLOOKUP($A537,'[1]import success seats course'!$A:AG,HLOOKUP('[1]Course Totals'!S$4,'[1]import success seats course'!$1:$2,2,FALSE),FALSE)/(VLOOKUP($A537,'[1]import graded seats course pivo'!$A:AQ,HLOOKUP('[1]Course Totals'!S$4,'[1]import graded seats course pivo'!$1:$2,2,FALSE),FALSE))),"")</f>
        <v/>
      </c>
      <c r="Z537" s="7"/>
      <c r="AA537" s="7"/>
      <c r="AB537" s="7"/>
      <c r="AC537" s="7"/>
    </row>
    <row r="538" spans="1:29" ht="15.75" customHeight="1" thickBot="1" x14ac:dyDescent="0.3">
      <c r="A538" s="8" t="str">
        <f>'[1]SUBJECTS BASE'!H26</f>
        <v>Environment Science</v>
      </c>
      <c r="B538" s="38" t="s">
        <v>1046</v>
      </c>
      <c r="C538" s="39" t="s">
        <v>0</v>
      </c>
      <c r="D538" s="40" t="s">
        <v>868</v>
      </c>
      <c r="E538" s="41" t="s">
        <v>1052</v>
      </c>
      <c r="F538" s="42" t="s">
        <v>546</v>
      </c>
      <c r="G538" s="43" t="s">
        <v>959</v>
      </c>
      <c r="H538" s="44" t="s">
        <v>1060</v>
      </c>
      <c r="I538" s="39" t="s">
        <v>675</v>
      </c>
      <c r="J538" s="45" t="s">
        <v>1006</v>
      </c>
      <c r="K538" s="46" t="s">
        <v>1062</v>
      </c>
      <c r="L538" s="42" t="s">
        <v>762</v>
      </c>
      <c r="M538" s="43" t="s">
        <v>1022</v>
      </c>
      <c r="N538" s="44" t="s">
        <v>1063</v>
      </c>
      <c r="O538" s="39" t="s">
        <v>822</v>
      </c>
      <c r="P538" s="40" t="s">
        <v>1042</v>
      </c>
      <c r="Q538" s="46" t="s">
        <v>1153</v>
      </c>
      <c r="R538" s="42" t="s">
        <v>1154</v>
      </c>
      <c r="S538" s="43" t="s">
        <v>1155</v>
      </c>
      <c r="Z538" s="7"/>
      <c r="AA538" s="7"/>
      <c r="AB538" s="7"/>
      <c r="AC538" s="7"/>
    </row>
    <row r="539" spans="1:29" ht="15.75" customHeight="1" x14ac:dyDescent="0.25">
      <c r="A539" s="12" t="s">
        <v>257</v>
      </c>
      <c r="B539" s="14" t="str">
        <f>IFERROR((VLOOKUP($A539,'[1]import success seats course'!$A:P,HLOOKUP('[1]Course Totals'!B$4,'[1]import success seats course'!$1:$2,2,FALSE),FALSE)/(VLOOKUP($A539,'[1]import graded seats course pivo'!$A:Z,HLOOKUP('[1]Course Totals'!B$4,'[1]import graded seats course pivo'!$1:$2,2,FALSE),FALSE))),"")</f>
        <v/>
      </c>
      <c r="C539" s="14">
        <f>IFERROR((VLOOKUP($A539,'[1]import success seats course'!$A:Q,HLOOKUP('[1]Course Totals'!C$4,'[1]import success seats course'!$1:$2,2,FALSE),FALSE)/(VLOOKUP($A539,'[1]import graded seats course pivo'!$A:AA,HLOOKUP('[1]Course Totals'!C$4,'[1]import graded seats course pivo'!$1:$2,2,FALSE),FALSE))),"")</f>
        <v>0.94594594594594594</v>
      </c>
      <c r="D539" s="14">
        <f>IFERROR((VLOOKUP($A539,'[1]import success seats course'!$A:R,HLOOKUP('[1]Course Totals'!D$4,'[1]import success seats course'!$1:$2,2,FALSE),FALSE)/(VLOOKUP($A539,'[1]import graded seats course pivo'!$A:AB,HLOOKUP('[1]Course Totals'!D$4,'[1]import graded seats course pivo'!$1:$2,2,FALSE),FALSE))),"")</f>
        <v>0.875</v>
      </c>
      <c r="E539" s="14" t="str">
        <f>IFERROR((VLOOKUP($A539,'[1]import success seats course'!$A:S,HLOOKUP('[1]Course Totals'!E$4,'[1]import success seats course'!$1:$2,2,FALSE),FALSE)/(VLOOKUP($A539,'[1]import graded seats course pivo'!$A:AC,HLOOKUP('[1]Course Totals'!E$4,'[1]import graded seats course pivo'!$1:$2,2,FALSE),FALSE))),"")</f>
        <v/>
      </c>
      <c r="F539" s="14">
        <f>IFERROR((VLOOKUP($A539,'[1]import success seats course'!$A:T,HLOOKUP('[1]Course Totals'!F$4,'[1]import success seats course'!$1:$2,2,FALSE),FALSE)/(VLOOKUP($A539,'[1]import graded seats course pivo'!$A:AD,HLOOKUP('[1]Course Totals'!F$4,'[1]import graded seats course pivo'!$1:$2,2,FALSE),FALSE))),"")</f>
        <v>0.81081081081081086</v>
      </c>
      <c r="G539" s="14">
        <f>IFERROR((VLOOKUP($A539,'[1]import success seats course'!$A:U,HLOOKUP('[1]Course Totals'!G$4,'[1]import success seats course'!$1:$2,2,FALSE),FALSE)/(VLOOKUP($A539,'[1]import graded seats course pivo'!$A:AE,HLOOKUP('[1]Course Totals'!G$4,'[1]import graded seats course pivo'!$1:$2,2,FALSE),FALSE))),"")</f>
        <v>0.80645161290322576</v>
      </c>
      <c r="H539" s="14" t="str">
        <f>IFERROR((VLOOKUP($A539,'[1]import success seats course'!$A:V,HLOOKUP('[1]Course Totals'!H$4,'[1]import success seats course'!$1:$2,2,FALSE),FALSE)/(VLOOKUP($A539,'[1]import graded seats course pivo'!$A:AF,HLOOKUP('[1]Course Totals'!H$4,'[1]import graded seats course pivo'!$1:$2,2,FALSE),FALSE))),"")</f>
        <v/>
      </c>
      <c r="I539" s="14">
        <f>IFERROR((VLOOKUP($A539,'[1]import success seats course'!$A:W,HLOOKUP('[1]Course Totals'!I$4,'[1]import success seats course'!$1:$2,2,FALSE),FALSE)/(VLOOKUP($A539,'[1]import graded seats course pivo'!$A:AG,HLOOKUP('[1]Course Totals'!I$4,'[1]import graded seats course pivo'!$1:$2,2,FALSE),FALSE))),"")</f>
        <v>1</v>
      </c>
      <c r="J539" s="14">
        <f>IFERROR((VLOOKUP($A539,'[1]import success seats course'!$A:X,HLOOKUP('[1]Course Totals'!J$4,'[1]import success seats course'!$1:$2,2,FALSE),FALSE)/(VLOOKUP($A539,'[1]import graded seats course pivo'!$A:AH,HLOOKUP('[1]Course Totals'!J$4,'[1]import graded seats course pivo'!$1:$2,2,FALSE),FALSE))),"")</f>
        <v>0.94</v>
      </c>
      <c r="K539" s="14" t="str">
        <f>IFERROR((VLOOKUP($A539,'[1]import success seats course'!$A:Y,HLOOKUP('[1]Course Totals'!K$4,'[1]import success seats course'!$1:$2,2,FALSE),FALSE)/(VLOOKUP($A539,'[1]import graded seats course pivo'!$A:AI,HLOOKUP('[1]Course Totals'!K$4,'[1]import graded seats course pivo'!$1:$2,2,FALSE),FALSE))),"")</f>
        <v/>
      </c>
      <c r="L539" s="14">
        <f>IFERROR((VLOOKUP($A539,'[1]import success seats course'!$A:Z,HLOOKUP('[1]Course Totals'!L$4,'[1]import success seats course'!$1:$2,2,FALSE),FALSE)/(VLOOKUP($A539,'[1]import graded seats course pivo'!$A:AJ,HLOOKUP('[1]Course Totals'!L$4,'[1]import graded seats course pivo'!$1:$2,2,FALSE),FALSE))),"")</f>
        <v>0.97619047619047616</v>
      </c>
      <c r="M539" s="14">
        <f>IFERROR((VLOOKUP($A539,'[1]import success seats course'!$A:AA,HLOOKUP('[1]Course Totals'!M$4,'[1]import success seats course'!$1:$2,2,FALSE),FALSE)/(VLOOKUP($A539,'[1]import graded seats course pivo'!$A:AK,HLOOKUP('[1]Course Totals'!M$4,'[1]import graded seats course pivo'!$1:$2,2,FALSE),FALSE))),"")</f>
        <v>0.875</v>
      </c>
      <c r="N539" s="14" t="str">
        <f>IFERROR((VLOOKUP($A539,'[1]import success seats course'!$A:AB,HLOOKUP('[1]Course Totals'!N$4,'[1]import success seats course'!$1:$2,2,FALSE),FALSE)/(VLOOKUP($A539,'[1]import graded seats course pivo'!$A:AL,HLOOKUP('[1]Course Totals'!N$4,'[1]import graded seats course pivo'!$1:$2,2,FALSE),FALSE))),"")</f>
        <v/>
      </c>
      <c r="O539" s="14">
        <f>IFERROR((VLOOKUP($A539,'[1]import success seats course'!$A:AC,HLOOKUP('[1]Course Totals'!O$4,'[1]import success seats course'!$1:$2,2,FALSE),FALSE)/(VLOOKUP($A539,'[1]import graded seats course pivo'!$A:AM,HLOOKUP('[1]Course Totals'!O$4,'[1]import graded seats course pivo'!$1:$2,2,FALSE),FALSE))),"")</f>
        <v>0.92105263157894735</v>
      </c>
      <c r="P539" s="14">
        <f>IFERROR((VLOOKUP($A539,'[1]import success seats course'!$A:AD,HLOOKUP('[1]Course Totals'!P$4,'[1]import success seats course'!$1:$2,2,FALSE),FALSE)/(VLOOKUP($A539,'[1]import graded seats course pivo'!$A:AN,HLOOKUP('[1]Course Totals'!P$4,'[1]import graded seats course pivo'!$1:$2,2,FALSE),FALSE))),"")</f>
        <v>0.86956521739130432</v>
      </c>
      <c r="Q539" s="14" t="str">
        <f>IFERROR((VLOOKUP($A539,'[1]import success seats course'!$A:AE,HLOOKUP('[1]Course Totals'!Q$4,'[1]import success seats course'!$1:$2,2,FALSE),FALSE)/(VLOOKUP($A539,'[1]import graded seats course pivo'!$A:AO,HLOOKUP('[1]Course Totals'!Q$4,'[1]import graded seats course pivo'!$1:$2,2,FALSE),FALSE))),"")</f>
        <v/>
      </c>
      <c r="R539" s="14">
        <f>IFERROR((VLOOKUP($A539,'[1]import success seats course'!$A:AF,HLOOKUP('[1]Course Totals'!R$4,'[1]import success seats course'!$1:$2,2,FALSE),FALSE)/(VLOOKUP($A539,'[1]import graded seats course pivo'!$A:AP,HLOOKUP('[1]Course Totals'!R$4,'[1]import graded seats course pivo'!$1:$2,2,FALSE),FALSE))),"")</f>
        <v>1</v>
      </c>
      <c r="S539" s="14">
        <f>IFERROR((VLOOKUP($A539,'[1]import success seats course'!$A:AG,HLOOKUP('[1]Course Totals'!S$4,'[1]import success seats course'!$1:$2,2,FALSE),FALSE)/(VLOOKUP($A539,'[1]import graded seats course pivo'!$A:AQ,HLOOKUP('[1]Course Totals'!S$4,'[1]import graded seats course pivo'!$1:$2,2,FALSE),FALSE))),"")</f>
        <v>0.96969696969696972</v>
      </c>
      <c r="Z539" s="7"/>
      <c r="AA539" s="7"/>
      <c r="AB539" s="7"/>
      <c r="AC539" s="7"/>
    </row>
    <row r="540" spans="1:29" ht="15.75" customHeight="1" x14ac:dyDescent="0.25">
      <c r="A540" s="12" t="s">
        <v>258</v>
      </c>
      <c r="B540" s="14">
        <f>IFERROR((VLOOKUP($A540,'[1]import success seats course'!$A:P,HLOOKUP('[1]Course Totals'!B$4,'[1]import success seats course'!$1:$2,2,FALSE),FALSE)/(VLOOKUP($A540,'[1]import graded seats course pivo'!$A:Z,HLOOKUP('[1]Course Totals'!B$4,'[1]import graded seats course pivo'!$1:$2,2,FALSE),FALSE))),"")</f>
        <v>0.88888888888888884</v>
      </c>
      <c r="C540" s="14">
        <f>IFERROR((VLOOKUP($A540,'[1]import success seats course'!$A:Q,HLOOKUP('[1]Course Totals'!C$4,'[1]import success seats course'!$1:$2,2,FALSE),FALSE)/(VLOOKUP($A540,'[1]import graded seats course pivo'!$A:AA,HLOOKUP('[1]Course Totals'!C$4,'[1]import graded seats course pivo'!$1:$2,2,FALSE),FALSE))),"")</f>
        <v>0.78</v>
      </c>
      <c r="D540" s="14">
        <f>IFERROR((VLOOKUP($A540,'[1]import success seats course'!$A:R,HLOOKUP('[1]Course Totals'!D$4,'[1]import success seats course'!$1:$2,2,FALSE),FALSE)/(VLOOKUP($A540,'[1]import graded seats course pivo'!$A:AB,HLOOKUP('[1]Course Totals'!D$4,'[1]import graded seats course pivo'!$1:$2,2,FALSE),FALSE))),"")</f>
        <v>0.879746835443038</v>
      </c>
      <c r="E540" s="14">
        <f>IFERROR((VLOOKUP($A540,'[1]import success seats course'!$A:S,HLOOKUP('[1]Course Totals'!E$4,'[1]import success seats course'!$1:$2,2,FALSE),FALSE)/(VLOOKUP($A540,'[1]import graded seats course pivo'!$A:AC,HLOOKUP('[1]Course Totals'!E$4,'[1]import graded seats course pivo'!$1:$2,2,FALSE),FALSE))),"")</f>
        <v>0.94444444444444442</v>
      </c>
      <c r="F540" s="14">
        <f>IFERROR((VLOOKUP($A540,'[1]import success seats course'!$A:T,HLOOKUP('[1]Course Totals'!F$4,'[1]import success seats course'!$1:$2,2,FALSE),FALSE)/(VLOOKUP($A540,'[1]import graded seats course pivo'!$A:AD,HLOOKUP('[1]Course Totals'!F$4,'[1]import graded seats course pivo'!$1:$2,2,FALSE),FALSE))),"")</f>
        <v>0.89603960396039606</v>
      </c>
      <c r="G540" s="14">
        <f>IFERROR((VLOOKUP($A540,'[1]import success seats course'!$A:U,HLOOKUP('[1]Course Totals'!G$4,'[1]import success seats course'!$1:$2,2,FALSE),FALSE)/(VLOOKUP($A540,'[1]import graded seats course pivo'!$A:AE,HLOOKUP('[1]Course Totals'!G$4,'[1]import graded seats course pivo'!$1:$2,2,FALSE),FALSE))),"")</f>
        <v>0.86021505376344087</v>
      </c>
      <c r="H540" s="14" t="str">
        <f>IFERROR((VLOOKUP($A540,'[1]import success seats course'!$A:V,HLOOKUP('[1]Course Totals'!H$4,'[1]import success seats course'!$1:$2,2,FALSE),FALSE)/(VLOOKUP($A540,'[1]import graded seats course pivo'!$A:AF,HLOOKUP('[1]Course Totals'!H$4,'[1]import graded seats course pivo'!$1:$2,2,FALSE),FALSE))),"")</f>
        <v/>
      </c>
      <c r="I540" s="14">
        <f>IFERROR((VLOOKUP($A540,'[1]import success seats course'!$A:W,HLOOKUP('[1]Course Totals'!I$4,'[1]import success seats course'!$1:$2,2,FALSE),FALSE)/(VLOOKUP($A540,'[1]import graded seats course pivo'!$A:AG,HLOOKUP('[1]Course Totals'!I$4,'[1]import graded seats course pivo'!$1:$2,2,FALSE),FALSE))),"")</f>
        <v>0.87628865979381443</v>
      </c>
      <c r="J540" s="14">
        <f>IFERROR((VLOOKUP($A540,'[1]import success seats course'!$A:X,HLOOKUP('[1]Course Totals'!J$4,'[1]import success seats course'!$1:$2,2,FALSE),FALSE)/(VLOOKUP($A540,'[1]import graded seats course pivo'!$A:AH,HLOOKUP('[1]Course Totals'!J$4,'[1]import graded seats course pivo'!$1:$2,2,FALSE),FALSE))),"")</f>
        <v>0.87951807228915657</v>
      </c>
      <c r="K540" s="14" t="str">
        <f>IFERROR((VLOOKUP($A540,'[1]import success seats course'!$A:Y,HLOOKUP('[1]Course Totals'!K$4,'[1]import success seats course'!$1:$2,2,FALSE),FALSE)/(VLOOKUP($A540,'[1]import graded seats course pivo'!$A:AI,HLOOKUP('[1]Course Totals'!K$4,'[1]import graded seats course pivo'!$1:$2,2,FALSE),FALSE))),"")</f>
        <v/>
      </c>
      <c r="L540" s="14">
        <f>IFERROR((VLOOKUP($A540,'[1]import success seats course'!$A:Z,HLOOKUP('[1]Course Totals'!L$4,'[1]import success seats course'!$1:$2,2,FALSE),FALSE)/(VLOOKUP($A540,'[1]import graded seats course pivo'!$A:AJ,HLOOKUP('[1]Course Totals'!L$4,'[1]import graded seats course pivo'!$1:$2,2,FALSE),FALSE))),"")</f>
        <v>0.88957055214723924</v>
      </c>
      <c r="M540" s="14">
        <f>IFERROR((VLOOKUP($A540,'[1]import success seats course'!$A:AA,HLOOKUP('[1]Course Totals'!M$4,'[1]import success seats course'!$1:$2,2,FALSE),FALSE)/(VLOOKUP($A540,'[1]import graded seats course pivo'!$A:AK,HLOOKUP('[1]Course Totals'!M$4,'[1]import graded seats course pivo'!$1:$2,2,FALSE),FALSE))),"")</f>
        <v>0.91724137931034477</v>
      </c>
      <c r="N540" s="14" t="str">
        <f>IFERROR((VLOOKUP($A540,'[1]import success seats course'!$A:AB,HLOOKUP('[1]Course Totals'!N$4,'[1]import success seats course'!$1:$2,2,FALSE),FALSE)/(VLOOKUP($A540,'[1]import graded seats course pivo'!$A:AL,HLOOKUP('[1]Course Totals'!N$4,'[1]import graded seats course pivo'!$1:$2,2,FALSE),FALSE))),"")</f>
        <v/>
      </c>
      <c r="O540" s="14">
        <f>IFERROR((VLOOKUP($A540,'[1]import success seats course'!$A:AC,HLOOKUP('[1]Course Totals'!O$4,'[1]import success seats course'!$1:$2,2,FALSE),FALSE)/(VLOOKUP($A540,'[1]import graded seats course pivo'!$A:AM,HLOOKUP('[1]Course Totals'!O$4,'[1]import graded seats course pivo'!$1:$2,2,FALSE),FALSE))),"")</f>
        <v>0.8896551724137931</v>
      </c>
      <c r="P540" s="14">
        <f>IFERROR((VLOOKUP($A540,'[1]import success seats course'!$A:AD,HLOOKUP('[1]Course Totals'!P$4,'[1]import success seats course'!$1:$2,2,FALSE),FALSE)/(VLOOKUP($A540,'[1]import graded seats course pivo'!$A:AN,HLOOKUP('[1]Course Totals'!P$4,'[1]import graded seats course pivo'!$1:$2,2,FALSE),FALSE))),"")</f>
        <v>0.92638036809815949</v>
      </c>
      <c r="Q540" s="14" t="str">
        <f>IFERROR((VLOOKUP($A540,'[1]import success seats course'!$A:AE,HLOOKUP('[1]Course Totals'!Q$4,'[1]import success seats course'!$1:$2,2,FALSE),FALSE)/(VLOOKUP($A540,'[1]import graded seats course pivo'!$A:AO,HLOOKUP('[1]Course Totals'!Q$4,'[1]import graded seats course pivo'!$1:$2,2,FALSE),FALSE))),"")</f>
        <v/>
      </c>
      <c r="R540" s="14">
        <f>IFERROR((VLOOKUP($A540,'[1]import success seats course'!$A:AF,HLOOKUP('[1]Course Totals'!R$4,'[1]import success seats course'!$1:$2,2,FALSE),FALSE)/(VLOOKUP($A540,'[1]import graded seats course pivo'!$A:AP,HLOOKUP('[1]Course Totals'!R$4,'[1]import graded seats course pivo'!$1:$2,2,FALSE),FALSE))),"")</f>
        <v>0.88888888888888884</v>
      </c>
      <c r="S540" s="14">
        <f>IFERROR((VLOOKUP($A540,'[1]import success seats course'!$A:AG,HLOOKUP('[1]Course Totals'!S$4,'[1]import success seats course'!$1:$2,2,FALSE),FALSE)/(VLOOKUP($A540,'[1]import graded seats course pivo'!$A:AQ,HLOOKUP('[1]Course Totals'!S$4,'[1]import graded seats course pivo'!$1:$2,2,FALSE),FALSE))),"")</f>
        <v>0.9173553719008265</v>
      </c>
      <c r="Z540" s="7"/>
      <c r="AA540" s="7"/>
      <c r="AB540" s="7"/>
      <c r="AC540" s="7"/>
    </row>
    <row r="541" spans="1:29" ht="15.75" customHeight="1" x14ac:dyDescent="0.25">
      <c r="A541" s="12" t="s">
        <v>259</v>
      </c>
      <c r="B541" s="14" t="str">
        <f>IFERROR((VLOOKUP($A541,'[1]import success seats course'!$A:P,HLOOKUP('[1]Course Totals'!B$4,'[1]import success seats course'!$1:$2,2,FALSE),FALSE)/(VLOOKUP($A541,'[1]import graded seats course pivo'!$A:Z,HLOOKUP('[1]Course Totals'!B$4,'[1]import graded seats course pivo'!$1:$2,2,FALSE),FALSE))),"")</f>
        <v/>
      </c>
      <c r="C541" s="14">
        <f>IFERROR((VLOOKUP($A541,'[1]import success seats course'!$A:Q,HLOOKUP('[1]Course Totals'!C$4,'[1]import success seats course'!$1:$2,2,FALSE),FALSE)/(VLOOKUP($A541,'[1]import graded seats course pivo'!$A:AA,HLOOKUP('[1]Course Totals'!C$4,'[1]import graded seats course pivo'!$1:$2,2,FALSE),FALSE))),"")</f>
        <v>1</v>
      </c>
      <c r="D541" s="14">
        <f>IFERROR((VLOOKUP($A541,'[1]import success seats course'!$A:R,HLOOKUP('[1]Course Totals'!D$4,'[1]import success seats course'!$1:$2,2,FALSE),FALSE)/(VLOOKUP($A541,'[1]import graded seats course pivo'!$A:AB,HLOOKUP('[1]Course Totals'!D$4,'[1]import graded seats course pivo'!$1:$2,2,FALSE),FALSE))),"")</f>
        <v>1</v>
      </c>
      <c r="E541" s="14" t="str">
        <f>IFERROR((VLOOKUP($A541,'[1]import success seats course'!$A:S,HLOOKUP('[1]Course Totals'!E$4,'[1]import success seats course'!$1:$2,2,FALSE),FALSE)/(VLOOKUP($A541,'[1]import graded seats course pivo'!$A:AC,HLOOKUP('[1]Course Totals'!E$4,'[1]import graded seats course pivo'!$1:$2,2,FALSE),FALSE))),"")</f>
        <v/>
      </c>
      <c r="F541" s="14">
        <f>IFERROR((VLOOKUP($A541,'[1]import success seats course'!$A:T,HLOOKUP('[1]Course Totals'!F$4,'[1]import success seats course'!$1:$2,2,FALSE),FALSE)/(VLOOKUP($A541,'[1]import graded seats course pivo'!$A:AD,HLOOKUP('[1]Course Totals'!F$4,'[1]import graded seats course pivo'!$1:$2,2,FALSE),FALSE))),"")</f>
        <v>0.8</v>
      </c>
      <c r="G541" s="14">
        <f>IFERROR((VLOOKUP($A541,'[1]import success seats course'!$A:U,HLOOKUP('[1]Course Totals'!G$4,'[1]import success seats course'!$1:$2,2,FALSE),FALSE)/(VLOOKUP($A541,'[1]import graded seats course pivo'!$A:AE,HLOOKUP('[1]Course Totals'!G$4,'[1]import graded seats course pivo'!$1:$2,2,FALSE),FALSE))),"")</f>
        <v>0.6</v>
      </c>
      <c r="H541" s="14" t="str">
        <f>IFERROR((VLOOKUP($A541,'[1]import success seats course'!$A:V,HLOOKUP('[1]Course Totals'!H$4,'[1]import success seats course'!$1:$2,2,FALSE),FALSE)/(VLOOKUP($A541,'[1]import graded seats course pivo'!$A:AF,HLOOKUP('[1]Course Totals'!H$4,'[1]import graded seats course pivo'!$1:$2,2,FALSE),FALSE))),"")</f>
        <v/>
      </c>
      <c r="I541" s="14">
        <f>IFERROR((VLOOKUP($A541,'[1]import success seats course'!$A:W,HLOOKUP('[1]Course Totals'!I$4,'[1]import success seats course'!$1:$2,2,FALSE),FALSE)/(VLOOKUP($A541,'[1]import graded seats course pivo'!$A:AG,HLOOKUP('[1]Course Totals'!I$4,'[1]import graded seats course pivo'!$1:$2,2,FALSE),FALSE))),"")</f>
        <v>0.5</v>
      </c>
      <c r="J541" s="14">
        <f>IFERROR((VLOOKUP($A541,'[1]import success seats course'!$A:X,HLOOKUP('[1]Course Totals'!J$4,'[1]import success seats course'!$1:$2,2,FALSE),FALSE)/(VLOOKUP($A541,'[1]import graded seats course pivo'!$A:AH,HLOOKUP('[1]Course Totals'!J$4,'[1]import graded seats course pivo'!$1:$2,2,FALSE),FALSE))),"")</f>
        <v>1</v>
      </c>
      <c r="K541" s="14" t="str">
        <f>IFERROR((VLOOKUP($A541,'[1]import success seats course'!$A:Y,HLOOKUP('[1]Course Totals'!K$4,'[1]import success seats course'!$1:$2,2,FALSE),FALSE)/(VLOOKUP($A541,'[1]import graded seats course pivo'!$A:AI,HLOOKUP('[1]Course Totals'!K$4,'[1]import graded seats course pivo'!$1:$2,2,FALSE),FALSE))),"")</f>
        <v/>
      </c>
      <c r="L541" s="14">
        <f>IFERROR((VLOOKUP($A541,'[1]import success seats course'!$A:Z,HLOOKUP('[1]Course Totals'!L$4,'[1]import success seats course'!$1:$2,2,FALSE),FALSE)/(VLOOKUP($A541,'[1]import graded seats course pivo'!$A:AJ,HLOOKUP('[1]Course Totals'!L$4,'[1]import graded seats course pivo'!$1:$2,2,FALSE),FALSE))),"")</f>
        <v>1</v>
      </c>
      <c r="M541" s="14" t="str">
        <f>IFERROR((VLOOKUP($A541,'[1]import success seats course'!$A:AA,HLOOKUP('[1]Course Totals'!M$4,'[1]import success seats course'!$1:$2,2,FALSE),FALSE)/(VLOOKUP($A541,'[1]import graded seats course pivo'!$A:AK,HLOOKUP('[1]Course Totals'!M$4,'[1]import graded seats course pivo'!$1:$2,2,FALSE),FALSE))),"")</f>
        <v/>
      </c>
      <c r="N541" s="14" t="str">
        <f>IFERROR((VLOOKUP($A541,'[1]import success seats course'!$A:AB,HLOOKUP('[1]Course Totals'!N$4,'[1]import success seats course'!$1:$2,2,FALSE),FALSE)/(VLOOKUP($A541,'[1]import graded seats course pivo'!$A:AL,HLOOKUP('[1]Course Totals'!N$4,'[1]import graded seats course pivo'!$1:$2,2,FALSE),FALSE))),"")</f>
        <v/>
      </c>
      <c r="O541" s="14" t="str">
        <f>IFERROR((VLOOKUP($A541,'[1]import success seats course'!$A:AC,HLOOKUP('[1]Course Totals'!O$4,'[1]import success seats course'!$1:$2,2,FALSE),FALSE)/(VLOOKUP($A541,'[1]import graded seats course pivo'!$A:AM,HLOOKUP('[1]Course Totals'!O$4,'[1]import graded seats course pivo'!$1:$2,2,FALSE),FALSE))),"")</f>
        <v/>
      </c>
      <c r="P541" s="14">
        <f>IFERROR((VLOOKUP($A541,'[1]import success seats course'!$A:AD,HLOOKUP('[1]Course Totals'!P$4,'[1]import success seats course'!$1:$2,2,FALSE),FALSE)/(VLOOKUP($A541,'[1]import graded seats course pivo'!$A:AN,HLOOKUP('[1]Course Totals'!P$4,'[1]import graded seats course pivo'!$1:$2,2,FALSE),FALSE))),"")</f>
        <v>1</v>
      </c>
      <c r="Q541" s="14" t="str">
        <f>IFERROR((VLOOKUP($A541,'[1]import success seats course'!$A:AE,HLOOKUP('[1]Course Totals'!Q$4,'[1]import success seats course'!$1:$2,2,FALSE),FALSE)/(VLOOKUP($A541,'[1]import graded seats course pivo'!$A:AO,HLOOKUP('[1]Course Totals'!Q$4,'[1]import graded seats course pivo'!$1:$2,2,FALSE),FALSE))),"")</f>
        <v/>
      </c>
      <c r="R541" s="14">
        <f>IFERROR((VLOOKUP($A541,'[1]import success seats course'!$A:AF,HLOOKUP('[1]Course Totals'!R$4,'[1]import success seats course'!$1:$2,2,FALSE),FALSE)/(VLOOKUP($A541,'[1]import graded seats course pivo'!$A:AP,HLOOKUP('[1]Course Totals'!R$4,'[1]import graded seats course pivo'!$1:$2,2,FALSE),FALSE))),"")</f>
        <v>1</v>
      </c>
      <c r="S541" s="14">
        <f>IFERROR((VLOOKUP($A541,'[1]import success seats course'!$A:AG,HLOOKUP('[1]Course Totals'!S$4,'[1]import success seats course'!$1:$2,2,FALSE),FALSE)/(VLOOKUP($A541,'[1]import graded seats course pivo'!$A:AQ,HLOOKUP('[1]Course Totals'!S$4,'[1]import graded seats course pivo'!$1:$2,2,FALSE),FALSE))),"")</f>
        <v>1</v>
      </c>
      <c r="Z541" s="7"/>
      <c r="AA541" s="7"/>
      <c r="AB541" s="7"/>
      <c r="AC541" s="7"/>
    </row>
    <row r="542" spans="1:29" ht="15.75" customHeight="1" x14ac:dyDescent="0.25">
      <c r="A542" s="12" t="s">
        <v>260</v>
      </c>
      <c r="B542" s="14" t="str">
        <f>IFERROR((VLOOKUP($A542,'[1]import success seats course'!$A:P,HLOOKUP('[1]Course Totals'!B$4,'[1]import success seats course'!$1:$2,2,FALSE),FALSE)/(VLOOKUP($A542,'[1]import graded seats course pivo'!$A:Z,HLOOKUP('[1]Course Totals'!B$4,'[1]import graded seats course pivo'!$1:$2,2,FALSE),FALSE))),"")</f>
        <v/>
      </c>
      <c r="C542" s="14">
        <f>IFERROR((VLOOKUP($A542,'[1]import success seats course'!$A:Q,HLOOKUP('[1]Course Totals'!C$4,'[1]import success seats course'!$1:$2,2,FALSE),FALSE)/(VLOOKUP($A542,'[1]import graded seats course pivo'!$A:AA,HLOOKUP('[1]Course Totals'!C$4,'[1]import graded seats course pivo'!$1:$2,2,FALSE),FALSE))),"")</f>
        <v>1</v>
      </c>
      <c r="D542" s="14">
        <f>IFERROR((VLOOKUP($A542,'[1]import success seats course'!$A:R,HLOOKUP('[1]Course Totals'!D$4,'[1]import success seats course'!$1:$2,2,FALSE),FALSE)/(VLOOKUP($A542,'[1]import graded seats course pivo'!$A:AB,HLOOKUP('[1]Course Totals'!D$4,'[1]import graded seats course pivo'!$1:$2,2,FALSE),FALSE))),"")</f>
        <v>0.92592592592592593</v>
      </c>
      <c r="E542" s="14" t="str">
        <f>IFERROR((VLOOKUP($A542,'[1]import success seats course'!$A:S,HLOOKUP('[1]Course Totals'!E$4,'[1]import success seats course'!$1:$2,2,FALSE),FALSE)/(VLOOKUP($A542,'[1]import graded seats course pivo'!$A:AC,HLOOKUP('[1]Course Totals'!E$4,'[1]import graded seats course pivo'!$1:$2,2,FALSE),FALSE))),"")</f>
        <v/>
      </c>
      <c r="F542" s="14">
        <f>IFERROR((VLOOKUP($A542,'[1]import success seats course'!$A:T,HLOOKUP('[1]Course Totals'!F$4,'[1]import success seats course'!$1:$2,2,FALSE),FALSE)/(VLOOKUP($A542,'[1]import graded seats course pivo'!$A:AD,HLOOKUP('[1]Course Totals'!F$4,'[1]import graded seats course pivo'!$1:$2,2,FALSE),FALSE))),"")</f>
        <v>0.91666666666666663</v>
      </c>
      <c r="G542" s="14">
        <f>IFERROR((VLOOKUP($A542,'[1]import success seats course'!$A:U,HLOOKUP('[1]Course Totals'!G$4,'[1]import success seats course'!$1:$2,2,FALSE),FALSE)/(VLOOKUP($A542,'[1]import graded seats course pivo'!$A:AE,HLOOKUP('[1]Course Totals'!G$4,'[1]import graded seats course pivo'!$1:$2,2,FALSE),FALSE))),"")</f>
        <v>1</v>
      </c>
      <c r="H542" s="14" t="str">
        <f>IFERROR((VLOOKUP($A542,'[1]import success seats course'!$A:V,HLOOKUP('[1]Course Totals'!H$4,'[1]import success seats course'!$1:$2,2,FALSE),FALSE)/(VLOOKUP($A542,'[1]import graded seats course pivo'!$A:AF,HLOOKUP('[1]Course Totals'!H$4,'[1]import graded seats course pivo'!$1:$2,2,FALSE),FALSE))),"")</f>
        <v/>
      </c>
      <c r="I542" s="14">
        <f>IFERROR((VLOOKUP($A542,'[1]import success seats course'!$A:W,HLOOKUP('[1]Course Totals'!I$4,'[1]import success seats course'!$1:$2,2,FALSE),FALSE)/(VLOOKUP($A542,'[1]import graded seats course pivo'!$A:AG,HLOOKUP('[1]Course Totals'!I$4,'[1]import graded seats course pivo'!$1:$2,2,FALSE),FALSE))),"")</f>
        <v>0.96</v>
      </c>
      <c r="J542" s="14">
        <f>IFERROR((VLOOKUP($A542,'[1]import success seats course'!$A:X,HLOOKUP('[1]Course Totals'!J$4,'[1]import success seats course'!$1:$2,2,FALSE),FALSE)/(VLOOKUP($A542,'[1]import graded seats course pivo'!$A:AH,HLOOKUP('[1]Course Totals'!J$4,'[1]import graded seats course pivo'!$1:$2,2,FALSE),FALSE))),"")</f>
        <v>0.96153846153846156</v>
      </c>
      <c r="K542" s="14" t="str">
        <f>IFERROR((VLOOKUP($A542,'[1]import success seats course'!$A:Y,HLOOKUP('[1]Course Totals'!K$4,'[1]import success seats course'!$1:$2,2,FALSE),FALSE)/(VLOOKUP($A542,'[1]import graded seats course pivo'!$A:AI,HLOOKUP('[1]Course Totals'!K$4,'[1]import graded seats course pivo'!$1:$2,2,FALSE),FALSE))),"")</f>
        <v/>
      </c>
      <c r="L542" s="14">
        <f>IFERROR((VLOOKUP($A542,'[1]import success seats course'!$A:Z,HLOOKUP('[1]Course Totals'!L$4,'[1]import success seats course'!$1:$2,2,FALSE),FALSE)/(VLOOKUP($A542,'[1]import graded seats course pivo'!$A:AJ,HLOOKUP('[1]Course Totals'!L$4,'[1]import graded seats course pivo'!$1:$2,2,FALSE),FALSE))),"")</f>
        <v>0.92307692307692313</v>
      </c>
      <c r="M542" s="14">
        <f>IFERROR((VLOOKUP($A542,'[1]import success seats course'!$A:AA,HLOOKUP('[1]Course Totals'!M$4,'[1]import success seats course'!$1:$2,2,FALSE),FALSE)/(VLOOKUP($A542,'[1]import graded seats course pivo'!$A:AK,HLOOKUP('[1]Course Totals'!M$4,'[1]import graded seats course pivo'!$1:$2,2,FALSE),FALSE))),"")</f>
        <v>0.967741935483871</v>
      </c>
      <c r="N542" s="14" t="str">
        <f>IFERROR((VLOOKUP($A542,'[1]import success seats course'!$A:AB,HLOOKUP('[1]Course Totals'!N$4,'[1]import success seats course'!$1:$2,2,FALSE),FALSE)/(VLOOKUP($A542,'[1]import graded seats course pivo'!$A:AL,HLOOKUP('[1]Course Totals'!N$4,'[1]import graded seats course pivo'!$1:$2,2,FALSE),FALSE))),"")</f>
        <v/>
      </c>
      <c r="O542" s="14">
        <f>IFERROR((VLOOKUP($A542,'[1]import success seats course'!$A:AC,HLOOKUP('[1]Course Totals'!O$4,'[1]import success seats course'!$1:$2,2,FALSE),FALSE)/(VLOOKUP($A542,'[1]import graded seats course pivo'!$A:AM,HLOOKUP('[1]Course Totals'!O$4,'[1]import graded seats course pivo'!$1:$2,2,FALSE),FALSE))),"")</f>
        <v>0.8928571428571429</v>
      </c>
      <c r="P542" s="14">
        <f>IFERROR((VLOOKUP($A542,'[1]import success seats course'!$A:AD,HLOOKUP('[1]Course Totals'!P$4,'[1]import success seats course'!$1:$2,2,FALSE),FALSE)/(VLOOKUP($A542,'[1]import graded seats course pivo'!$A:AN,HLOOKUP('[1]Course Totals'!P$4,'[1]import graded seats course pivo'!$1:$2,2,FALSE),FALSE))),"")</f>
        <v>0.967741935483871</v>
      </c>
      <c r="Q542" s="14" t="str">
        <f>IFERROR((VLOOKUP($A542,'[1]import success seats course'!$A:AE,HLOOKUP('[1]Course Totals'!Q$4,'[1]import success seats course'!$1:$2,2,FALSE),FALSE)/(VLOOKUP($A542,'[1]import graded seats course pivo'!$A:AO,HLOOKUP('[1]Course Totals'!Q$4,'[1]import graded seats course pivo'!$1:$2,2,FALSE),FALSE))),"")</f>
        <v/>
      </c>
      <c r="R542" s="14">
        <f>IFERROR((VLOOKUP($A542,'[1]import success seats course'!$A:AF,HLOOKUP('[1]Course Totals'!R$4,'[1]import success seats course'!$1:$2,2,FALSE),FALSE)/(VLOOKUP($A542,'[1]import graded seats course pivo'!$A:AP,HLOOKUP('[1]Course Totals'!R$4,'[1]import graded seats course pivo'!$1:$2,2,FALSE),FALSE))),"")</f>
        <v>0.96666666666666667</v>
      </c>
      <c r="S542" s="14">
        <f>IFERROR((VLOOKUP($A542,'[1]import success seats course'!$A:AG,HLOOKUP('[1]Course Totals'!S$4,'[1]import success seats course'!$1:$2,2,FALSE),FALSE)/(VLOOKUP($A542,'[1]import graded seats course pivo'!$A:AQ,HLOOKUP('[1]Course Totals'!S$4,'[1]import graded seats course pivo'!$1:$2,2,FALSE),FALSE))),"")</f>
        <v>1</v>
      </c>
      <c r="Z542" s="7"/>
      <c r="AA542" s="7"/>
      <c r="AB542" s="7"/>
      <c r="AC542" s="7"/>
    </row>
    <row r="543" spans="1:29" ht="15.75" customHeight="1" x14ac:dyDescent="0.25">
      <c r="A543" s="12" t="s">
        <v>722</v>
      </c>
      <c r="B543" s="14" t="str">
        <f>IFERROR((VLOOKUP($A543,'[1]import success seats course'!$A:P,HLOOKUP('[1]Course Totals'!B$4,'[1]import success seats course'!$1:$2,2,FALSE),FALSE)/(VLOOKUP($A543,'[1]import graded seats course pivo'!$A:Z,HLOOKUP('[1]Course Totals'!B$4,'[1]import graded seats course pivo'!$1:$2,2,FALSE),FALSE))),"")</f>
        <v/>
      </c>
      <c r="C543" s="14" t="str">
        <f>IFERROR((VLOOKUP($A543,'[1]import success seats course'!$A:Q,HLOOKUP('[1]Course Totals'!C$4,'[1]import success seats course'!$1:$2,2,FALSE),FALSE)/(VLOOKUP($A543,'[1]import graded seats course pivo'!$A:AA,HLOOKUP('[1]Course Totals'!C$4,'[1]import graded seats course pivo'!$1:$2,2,FALSE),FALSE))),"")</f>
        <v/>
      </c>
      <c r="D543" s="14">
        <f>IFERROR((VLOOKUP($A543,'[1]import success seats course'!$A:R,HLOOKUP('[1]Course Totals'!D$4,'[1]import success seats course'!$1:$2,2,FALSE),FALSE)/(VLOOKUP($A543,'[1]import graded seats course pivo'!$A:AB,HLOOKUP('[1]Course Totals'!D$4,'[1]import graded seats course pivo'!$1:$2,2,FALSE),FALSE))),"")</f>
        <v>1</v>
      </c>
      <c r="E543" s="14" t="str">
        <f>IFERROR((VLOOKUP($A543,'[1]import success seats course'!$A:S,HLOOKUP('[1]Course Totals'!E$4,'[1]import success seats course'!$1:$2,2,FALSE),FALSE)/(VLOOKUP($A543,'[1]import graded seats course pivo'!$A:AC,HLOOKUP('[1]Course Totals'!E$4,'[1]import graded seats course pivo'!$1:$2,2,FALSE),FALSE))),"")</f>
        <v/>
      </c>
      <c r="F543" s="14" t="str">
        <f>IFERROR((VLOOKUP($A543,'[1]import success seats course'!$A:T,HLOOKUP('[1]Course Totals'!F$4,'[1]import success seats course'!$1:$2,2,FALSE),FALSE)/(VLOOKUP($A543,'[1]import graded seats course pivo'!$A:AD,HLOOKUP('[1]Course Totals'!F$4,'[1]import graded seats course pivo'!$1:$2,2,FALSE),FALSE))),"")</f>
        <v/>
      </c>
      <c r="G543" s="14">
        <f>IFERROR((VLOOKUP($A543,'[1]import success seats course'!$A:U,HLOOKUP('[1]Course Totals'!G$4,'[1]import success seats course'!$1:$2,2,FALSE),FALSE)/(VLOOKUP($A543,'[1]import graded seats course pivo'!$A:AE,HLOOKUP('[1]Course Totals'!G$4,'[1]import graded seats course pivo'!$1:$2,2,FALSE),FALSE))),"")</f>
        <v>1</v>
      </c>
      <c r="H543" s="14" t="str">
        <f>IFERROR((VLOOKUP($A543,'[1]import success seats course'!$A:V,HLOOKUP('[1]Course Totals'!H$4,'[1]import success seats course'!$1:$2,2,FALSE),FALSE)/(VLOOKUP($A543,'[1]import graded seats course pivo'!$A:AF,HLOOKUP('[1]Course Totals'!H$4,'[1]import graded seats course pivo'!$1:$2,2,FALSE),FALSE))),"")</f>
        <v/>
      </c>
      <c r="I543" s="14">
        <f>IFERROR((VLOOKUP($A543,'[1]import success seats course'!$A:W,HLOOKUP('[1]Course Totals'!I$4,'[1]import success seats course'!$1:$2,2,FALSE),FALSE)/(VLOOKUP($A543,'[1]import graded seats course pivo'!$A:AG,HLOOKUP('[1]Course Totals'!I$4,'[1]import graded seats course pivo'!$1:$2,2,FALSE),FALSE))),"")</f>
        <v>1</v>
      </c>
      <c r="J543" s="14">
        <f>IFERROR((VLOOKUP($A543,'[1]import success seats course'!$A:X,HLOOKUP('[1]Course Totals'!J$4,'[1]import success seats course'!$1:$2,2,FALSE),FALSE)/(VLOOKUP($A543,'[1]import graded seats course pivo'!$A:AH,HLOOKUP('[1]Course Totals'!J$4,'[1]import graded seats course pivo'!$1:$2,2,FALSE),FALSE))),"")</f>
        <v>1</v>
      </c>
      <c r="K543" s="14" t="str">
        <f>IFERROR((VLOOKUP($A543,'[1]import success seats course'!$A:Y,HLOOKUP('[1]Course Totals'!K$4,'[1]import success seats course'!$1:$2,2,FALSE),FALSE)/(VLOOKUP($A543,'[1]import graded seats course pivo'!$A:AI,HLOOKUP('[1]Course Totals'!K$4,'[1]import graded seats course pivo'!$1:$2,2,FALSE),FALSE))),"")</f>
        <v/>
      </c>
      <c r="L543" s="14" t="str">
        <f>IFERROR((VLOOKUP($A543,'[1]import success seats course'!$A:Z,HLOOKUP('[1]Course Totals'!L$4,'[1]import success seats course'!$1:$2,2,FALSE),FALSE)/(VLOOKUP($A543,'[1]import graded seats course pivo'!$A:AJ,HLOOKUP('[1]Course Totals'!L$4,'[1]import graded seats course pivo'!$1:$2,2,FALSE),FALSE))),"")</f>
        <v/>
      </c>
      <c r="M543" s="14">
        <f>IFERROR((VLOOKUP($A543,'[1]import success seats course'!$A:AA,HLOOKUP('[1]Course Totals'!M$4,'[1]import success seats course'!$1:$2,2,FALSE),FALSE)/(VLOOKUP($A543,'[1]import graded seats course pivo'!$A:AK,HLOOKUP('[1]Course Totals'!M$4,'[1]import graded seats course pivo'!$1:$2,2,FALSE),FALSE))),"")</f>
        <v>1</v>
      </c>
      <c r="N543" s="14" t="str">
        <f>IFERROR((VLOOKUP($A543,'[1]import success seats course'!$A:AB,HLOOKUP('[1]Course Totals'!N$4,'[1]import success seats course'!$1:$2,2,FALSE),FALSE)/(VLOOKUP($A543,'[1]import graded seats course pivo'!$A:AL,HLOOKUP('[1]Course Totals'!N$4,'[1]import graded seats course pivo'!$1:$2,2,FALSE),FALSE))),"")</f>
        <v/>
      </c>
      <c r="O543" s="14" t="str">
        <f>IFERROR((VLOOKUP($A543,'[1]import success seats course'!$A:AC,HLOOKUP('[1]Course Totals'!O$4,'[1]import success seats course'!$1:$2,2,FALSE),FALSE)/(VLOOKUP($A543,'[1]import graded seats course pivo'!$A:AM,HLOOKUP('[1]Course Totals'!O$4,'[1]import graded seats course pivo'!$1:$2,2,FALSE),FALSE))),"")</f>
        <v/>
      </c>
      <c r="P543" s="14" t="str">
        <f>IFERROR((VLOOKUP($A543,'[1]import success seats course'!$A:AD,HLOOKUP('[1]Course Totals'!P$4,'[1]import success seats course'!$1:$2,2,FALSE),FALSE)/(VLOOKUP($A543,'[1]import graded seats course pivo'!$A:AN,HLOOKUP('[1]Course Totals'!P$4,'[1]import graded seats course pivo'!$1:$2,2,FALSE),FALSE))),"")</f>
        <v/>
      </c>
      <c r="Q543" s="14" t="str">
        <f>IFERROR((VLOOKUP($A543,'[1]import success seats course'!$A:AE,HLOOKUP('[1]Course Totals'!Q$4,'[1]import success seats course'!$1:$2,2,FALSE),FALSE)/(VLOOKUP($A543,'[1]import graded seats course pivo'!$A:AO,HLOOKUP('[1]Course Totals'!Q$4,'[1]import graded seats course pivo'!$1:$2,2,FALSE),FALSE))),"")</f>
        <v/>
      </c>
      <c r="R543" s="14" t="str">
        <f>IFERROR((VLOOKUP($A543,'[1]import success seats course'!$A:AF,HLOOKUP('[1]Course Totals'!R$4,'[1]import success seats course'!$1:$2,2,FALSE),FALSE)/(VLOOKUP($A543,'[1]import graded seats course pivo'!$A:AP,HLOOKUP('[1]Course Totals'!R$4,'[1]import graded seats course pivo'!$1:$2,2,FALSE),FALSE))),"")</f>
        <v/>
      </c>
      <c r="S543" s="14" t="str">
        <f>IFERROR((VLOOKUP($A543,'[1]import success seats course'!$A:AG,HLOOKUP('[1]Course Totals'!S$4,'[1]import success seats course'!$1:$2,2,FALSE),FALSE)/(VLOOKUP($A543,'[1]import graded seats course pivo'!$A:AQ,HLOOKUP('[1]Course Totals'!S$4,'[1]import graded seats course pivo'!$1:$2,2,FALSE),FALSE))),"")</f>
        <v/>
      </c>
      <c r="Z543" s="7"/>
      <c r="AA543" s="7"/>
      <c r="AB543" s="7"/>
      <c r="AC543" s="7"/>
    </row>
    <row r="544" spans="1:29" ht="15.75" customHeight="1" x14ac:dyDescent="0.25">
      <c r="A544" s="12" t="s">
        <v>1055</v>
      </c>
      <c r="B544" s="14" t="str">
        <f>IFERROR((VLOOKUP($A544,'[1]import success seats course'!$A:P,HLOOKUP('[1]Course Totals'!B$4,'[1]import success seats course'!$1:$2,2,FALSE),FALSE)/(VLOOKUP($A544,'[1]import graded seats course pivo'!$A:Z,HLOOKUP('[1]Course Totals'!B$4,'[1]import graded seats course pivo'!$1:$2,2,FALSE),FALSE))),"")</f>
        <v/>
      </c>
      <c r="C544" s="14" t="str">
        <f>IFERROR((VLOOKUP($A544,'[1]import success seats course'!$A:Q,HLOOKUP('[1]Course Totals'!C$4,'[1]import success seats course'!$1:$2,2,FALSE),FALSE)/(VLOOKUP($A544,'[1]import graded seats course pivo'!$A:AA,HLOOKUP('[1]Course Totals'!C$4,'[1]import graded seats course pivo'!$1:$2,2,FALSE),FALSE))),"")</f>
        <v/>
      </c>
      <c r="D544" s="14" t="str">
        <f>IFERROR((VLOOKUP($A544,'[1]import success seats course'!$A:R,HLOOKUP('[1]Course Totals'!D$4,'[1]import success seats course'!$1:$2,2,FALSE),FALSE)/(VLOOKUP($A544,'[1]import graded seats course pivo'!$A:AB,HLOOKUP('[1]Course Totals'!D$4,'[1]import graded seats course pivo'!$1:$2,2,FALSE),FALSE))),"")</f>
        <v/>
      </c>
      <c r="E544" s="14">
        <f>IFERROR((VLOOKUP($A544,'[1]import success seats course'!$A:S,HLOOKUP('[1]Course Totals'!E$4,'[1]import success seats course'!$1:$2,2,FALSE),FALSE)/(VLOOKUP($A544,'[1]import graded seats course pivo'!$A:AC,HLOOKUP('[1]Course Totals'!E$4,'[1]import graded seats course pivo'!$1:$2,2,FALSE),FALSE))),"")</f>
        <v>1</v>
      </c>
      <c r="F544" s="14" t="str">
        <f>IFERROR((VLOOKUP($A544,'[1]import success seats course'!$A:T,HLOOKUP('[1]Course Totals'!F$4,'[1]import success seats course'!$1:$2,2,FALSE),FALSE)/(VLOOKUP($A544,'[1]import graded seats course pivo'!$A:AD,HLOOKUP('[1]Course Totals'!F$4,'[1]import graded seats course pivo'!$1:$2,2,FALSE),FALSE))),"")</f>
        <v/>
      </c>
      <c r="G544" s="14" t="str">
        <f>IFERROR((VLOOKUP($A544,'[1]import success seats course'!$A:U,HLOOKUP('[1]Course Totals'!G$4,'[1]import success seats course'!$1:$2,2,FALSE),FALSE)/(VLOOKUP($A544,'[1]import graded seats course pivo'!$A:AE,HLOOKUP('[1]Course Totals'!G$4,'[1]import graded seats course pivo'!$1:$2,2,FALSE),FALSE))),"")</f>
        <v/>
      </c>
      <c r="H544" s="14">
        <f>IFERROR((VLOOKUP($A544,'[1]import success seats course'!$A:V,HLOOKUP('[1]Course Totals'!H$4,'[1]import success seats course'!$1:$2,2,FALSE),FALSE)/(VLOOKUP($A544,'[1]import graded seats course pivo'!$A:AF,HLOOKUP('[1]Course Totals'!H$4,'[1]import graded seats course pivo'!$1:$2,2,FALSE),FALSE))),"")</f>
        <v>0.70370370370370372</v>
      </c>
      <c r="I544" s="14" t="str">
        <f>IFERROR((VLOOKUP($A544,'[1]import success seats course'!$A:W,HLOOKUP('[1]Course Totals'!I$4,'[1]import success seats course'!$1:$2,2,FALSE),FALSE)/(VLOOKUP($A544,'[1]import graded seats course pivo'!$A:AG,HLOOKUP('[1]Course Totals'!I$4,'[1]import graded seats course pivo'!$1:$2,2,FALSE),FALSE))),"")</f>
        <v/>
      </c>
      <c r="J544" s="14" t="str">
        <f>IFERROR((VLOOKUP($A544,'[1]import success seats course'!$A:X,HLOOKUP('[1]Course Totals'!J$4,'[1]import success seats course'!$1:$2,2,FALSE),FALSE)/(VLOOKUP($A544,'[1]import graded seats course pivo'!$A:AH,HLOOKUP('[1]Course Totals'!J$4,'[1]import graded seats course pivo'!$1:$2,2,FALSE),FALSE))),"")</f>
        <v/>
      </c>
      <c r="K544" s="14" t="str">
        <f>IFERROR((VLOOKUP($A544,'[1]import success seats course'!$A:Y,HLOOKUP('[1]Course Totals'!K$4,'[1]import success seats course'!$1:$2,2,FALSE),FALSE)/(VLOOKUP($A544,'[1]import graded seats course pivo'!$A:AI,HLOOKUP('[1]Course Totals'!K$4,'[1]import graded seats course pivo'!$1:$2,2,FALSE),FALSE))),"")</f>
        <v/>
      </c>
      <c r="L544" s="14" t="str">
        <f>IFERROR((VLOOKUP($A544,'[1]import success seats course'!$A:Z,HLOOKUP('[1]Course Totals'!L$4,'[1]import success seats course'!$1:$2,2,FALSE),FALSE)/(VLOOKUP($A544,'[1]import graded seats course pivo'!$A:AJ,HLOOKUP('[1]Course Totals'!L$4,'[1]import graded seats course pivo'!$1:$2,2,FALSE),FALSE))),"")</f>
        <v/>
      </c>
      <c r="M544" s="14" t="str">
        <f>IFERROR((VLOOKUP($A544,'[1]import success seats course'!$A:AA,HLOOKUP('[1]Course Totals'!M$4,'[1]import success seats course'!$1:$2,2,FALSE),FALSE)/(VLOOKUP($A544,'[1]import graded seats course pivo'!$A:AK,HLOOKUP('[1]Course Totals'!M$4,'[1]import graded seats course pivo'!$1:$2,2,FALSE),FALSE))),"")</f>
        <v/>
      </c>
      <c r="N544" s="14" t="str">
        <f>IFERROR((VLOOKUP($A544,'[1]import success seats course'!$A:AB,HLOOKUP('[1]Course Totals'!N$4,'[1]import success seats course'!$1:$2,2,FALSE),FALSE)/(VLOOKUP($A544,'[1]import graded seats course pivo'!$A:AL,HLOOKUP('[1]Course Totals'!N$4,'[1]import graded seats course pivo'!$1:$2,2,FALSE),FALSE))),"")</f>
        <v/>
      </c>
      <c r="O544" s="14" t="str">
        <f>IFERROR((VLOOKUP($A544,'[1]import success seats course'!$A:AC,HLOOKUP('[1]Course Totals'!O$4,'[1]import success seats course'!$1:$2,2,FALSE),FALSE)/(VLOOKUP($A544,'[1]import graded seats course pivo'!$A:AM,HLOOKUP('[1]Course Totals'!O$4,'[1]import graded seats course pivo'!$1:$2,2,FALSE),FALSE))),"")</f>
        <v/>
      </c>
      <c r="P544" s="14" t="str">
        <f>IFERROR((VLOOKUP($A544,'[1]import success seats course'!$A:AD,HLOOKUP('[1]Course Totals'!P$4,'[1]import success seats course'!$1:$2,2,FALSE),FALSE)/(VLOOKUP($A544,'[1]import graded seats course pivo'!$A:AN,HLOOKUP('[1]Course Totals'!P$4,'[1]import graded seats course pivo'!$1:$2,2,FALSE),FALSE))),"")</f>
        <v/>
      </c>
      <c r="Q544" s="14" t="str">
        <f>IFERROR((VLOOKUP($A544,'[1]import success seats course'!$A:AE,HLOOKUP('[1]Course Totals'!Q$4,'[1]import success seats course'!$1:$2,2,FALSE),FALSE)/(VLOOKUP($A544,'[1]import graded seats course pivo'!$A:AO,HLOOKUP('[1]Course Totals'!Q$4,'[1]import graded seats course pivo'!$1:$2,2,FALSE),FALSE))),"")</f>
        <v/>
      </c>
      <c r="R544" s="14" t="str">
        <f>IFERROR((VLOOKUP($A544,'[1]import success seats course'!$A:AF,HLOOKUP('[1]Course Totals'!R$4,'[1]import success seats course'!$1:$2,2,FALSE),FALSE)/(VLOOKUP($A544,'[1]import graded seats course pivo'!$A:AP,HLOOKUP('[1]Course Totals'!R$4,'[1]import graded seats course pivo'!$1:$2,2,FALSE),FALSE))),"")</f>
        <v/>
      </c>
      <c r="S544" s="14" t="str">
        <f>IFERROR((VLOOKUP($A544,'[1]import success seats course'!$A:AG,HLOOKUP('[1]Course Totals'!S$4,'[1]import success seats course'!$1:$2,2,FALSE),FALSE)/(VLOOKUP($A544,'[1]import graded seats course pivo'!$A:AQ,HLOOKUP('[1]Course Totals'!S$4,'[1]import graded seats course pivo'!$1:$2,2,FALSE),FALSE))),"")</f>
        <v/>
      </c>
      <c r="Z544" s="7"/>
      <c r="AA544" s="7"/>
      <c r="AB544" s="7"/>
      <c r="AC544" s="7"/>
    </row>
    <row r="545" spans="1:29" ht="15.75" customHeight="1" x14ac:dyDescent="0.25">
      <c r="A545" s="12" t="s">
        <v>1031</v>
      </c>
      <c r="B545" s="14" t="str">
        <f>IFERROR((VLOOKUP($A545,'[1]import success seats course'!$A:P,HLOOKUP('[1]Course Totals'!B$4,'[1]import success seats course'!$1:$2,2,FALSE),FALSE)/(VLOOKUP($A545,'[1]import graded seats course pivo'!$A:Z,HLOOKUP('[1]Course Totals'!B$4,'[1]import graded seats course pivo'!$1:$2,2,FALSE),FALSE))),"")</f>
        <v/>
      </c>
      <c r="C545" s="14" t="str">
        <f>IFERROR((VLOOKUP($A545,'[1]import success seats course'!$A:Q,HLOOKUP('[1]Course Totals'!C$4,'[1]import success seats course'!$1:$2,2,FALSE),FALSE)/(VLOOKUP($A545,'[1]import graded seats course pivo'!$A:AA,HLOOKUP('[1]Course Totals'!C$4,'[1]import graded seats course pivo'!$1:$2,2,FALSE),FALSE))),"")</f>
        <v/>
      </c>
      <c r="D545" s="14" t="str">
        <f>IFERROR((VLOOKUP($A545,'[1]import success seats course'!$A:R,HLOOKUP('[1]Course Totals'!D$4,'[1]import success seats course'!$1:$2,2,FALSE),FALSE)/(VLOOKUP($A545,'[1]import graded seats course pivo'!$A:AB,HLOOKUP('[1]Course Totals'!D$4,'[1]import graded seats course pivo'!$1:$2,2,FALSE),FALSE))),"")</f>
        <v/>
      </c>
      <c r="E545" s="14" t="str">
        <f>IFERROR((VLOOKUP($A545,'[1]import success seats course'!$A:S,HLOOKUP('[1]Course Totals'!E$4,'[1]import success seats course'!$1:$2,2,FALSE),FALSE)/(VLOOKUP($A545,'[1]import graded seats course pivo'!$A:AC,HLOOKUP('[1]Course Totals'!E$4,'[1]import graded seats course pivo'!$1:$2,2,FALSE),FALSE))),"")</f>
        <v/>
      </c>
      <c r="F545" s="14" t="str">
        <f>IFERROR((VLOOKUP($A545,'[1]import success seats course'!$A:T,HLOOKUP('[1]Course Totals'!F$4,'[1]import success seats course'!$1:$2,2,FALSE),FALSE)/(VLOOKUP($A545,'[1]import graded seats course pivo'!$A:AD,HLOOKUP('[1]Course Totals'!F$4,'[1]import graded seats course pivo'!$1:$2,2,FALSE),FALSE))),"")</f>
        <v/>
      </c>
      <c r="G545" s="14" t="str">
        <f>IFERROR((VLOOKUP($A545,'[1]import success seats course'!$A:U,HLOOKUP('[1]Course Totals'!G$4,'[1]import success seats course'!$1:$2,2,FALSE),FALSE)/(VLOOKUP($A545,'[1]import graded seats course pivo'!$A:AE,HLOOKUP('[1]Course Totals'!G$4,'[1]import graded seats course pivo'!$1:$2,2,FALSE),FALSE))),"")</f>
        <v/>
      </c>
      <c r="H545" s="14" t="str">
        <f>IFERROR((VLOOKUP($A545,'[1]import success seats course'!$A:V,HLOOKUP('[1]Course Totals'!H$4,'[1]import success seats course'!$1:$2,2,FALSE),FALSE)/(VLOOKUP($A545,'[1]import graded seats course pivo'!$A:AF,HLOOKUP('[1]Course Totals'!H$4,'[1]import graded seats course pivo'!$1:$2,2,FALSE),FALSE))),"")</f>
        <v/>
      </c>
      <c r="I545" s="14" t="str">
        <f>IFERROR((VLOOKUP($A545,'[1]import success seats course'!$A:W,HLOOKUP('[1]Course Totals'!I$4,'[1]import success seats course'!$1:$2,2,FALSE),FALSE)/(VLOOKUP($A545,'[1]import graded seats course pivo'!$A:AG,HLOOKUP('[1]Course Totals'!I$4,'[1]import graded seats course pivo'!$1:$2,2,FALSE),FALSE))),"")</f>
        <v/>
      </c>
      <c r="J545" s="14" t="str">
        <f>IFERROR((VLOOKUP($A545,'[1]import success seats course'!$A:X,HLOOKUP('[1]Course Totals'!J$4,'[1]import success seats course'!$1:$2,2,FALSE),FALSE)/(VLOOKUP($A545,'[1]import graded seats course pivo'!$A:AH,HLOOKUP('[1]Course Totals'!J$4,'[1]import graded seats course pivo'!$1:$2,2,FALSE),FALSE))),"")</f>
        <v/>
      </c>
      <c r="K545" s="14" t="str">
        <f>IFERROR((VLOOKUP($A545,'[1]import success seats course'!$A:Y,HLOOKUP('[1]Course Totals'!K$4,'[1]import success seats course'!$1:$2,2,FALSE),FALSE)/(VLOOKUP($A545,'[1]import graded seats course pivo'!$A:AI,HLOOKUP('[1]Course Totals'!K$4,'[1]import graded seats course pivo'!$1:$2,2,FALSE),FALSE))),"")</f>
        <v/>
      </c>
      <c r="L545" s="14" t="str">
        <f>IFERROR((VLOOKUP($A545,'[1]import success seats course'!$A:Z,HLOOKUP('[1]Course Totals'!L$4,'[1]import success seats course'!$1:$2,2,FALSE),FALSE)/(VLOOKUP($A545,'[1]import graded seats course pivo'!$A:AJ,HLOOKUP('[1]Course Totals'!L$4,'[1]import graded seats course pivo'!$1:$2,2,FALSE),FALSE))),"")</f>
        <v/>
      </c>
      <c r="M545" s="14">
        <f>IFERROR((VLOOKUP($A545,'[1]import success seats course'!$A:AA,HLOOKUP('[1]Course Totals'!M$4,'[1]import success seats course'!$1:$2,2,FALSE),FALSE)/(VLOOKUP($A545,'[1]import graded seats course pivo'!$A:AK,HLOOKUP('[1]Course Totals'!M$4,'[1]import graded seats course pivo'!$1:$2,2,FALSE),FALSE))),"")</f>
        <v>1</v>
      </c>
      <c r="N545" s="14" t="str">
        <f>IFERROR((VLOOKUP($A545,'[1]import success seats course'!$A:AB,HLOOKUP('[1]Course Totals'!N$4,'[1]import success seats course'!$1:$2,2,FALSE),FALSE)/(VLOOKUP($A545,'[1]import graded seats course pivo'!$A:AL,HLOOKUP('[1]Course Totals'!N$4,'[1]import graded seats course pivo'!$1:$2,2,FALSE),FALSE))),"")</f>
        <v/>
      </c>
      <c r="O545" s="14" t="str">
        <f>IFERROR((VLOOKUP($A545,'[1]import success seats course'!$A:AC,HLOOKUP('[1]Course Totals'!O$4,'[1]import success seats course'!$1:$2,2,FALSE),FALSE)/(VLOOKUP($A545,'[1]import graded seats course pivo'!$A:AM,HLOOKUP('[1]Course Totals'!O$4,'[1]import graded seats course pivo'!$1:$2,2,FALSE),FALSE))),"")</f>
        <v/>
      </c>
      <c r="P545" s="14" t="str">
        <f>IFERROR((VLOOKUP($A545,'[1]import success seats course'!$A:AD,HLOOKUP('[1]Course Totals'!P$4,'[1]import success seats course'!$1:$2,2,FALSE),FALSE)/(VLOOKUP($A545,'[1]import graded seats course pivo'!$A:AN,HLOOKUP('[1]Course Totals'!P$4,'[1]import graded seats course pivo'!$1:$2,2,FALSE),FALSE))),"")</f>
        <v/>
      </c>
      <c r="Q545" s="14" t="str">
        <f>IFERROR((VLOOKUP($A545,'[1]import success seats course'!$A:AE,HLOOKUP('[1]Course Totals'!Q$4,'[1]import success seats course'!$1:$2,2,FALSE),FALSE)/(VLOOKUP($A545,'[1]import graded seats course pivo'!$A:AO,HLOOKUP('[1]Course Totals'!Q$4,'[1]import graded seats course pivo'!$1:$2,2,FALSE),FALSE))),"")</f>
        <v/>
      </c>
      <c r="R545" s="14" t="str">
        <f>IFERROR((VLOOKUP($A545,'[1]import success seats course'!$A:AF,HLOOKUP('[1]Course Totals'!R$4,'[1]import success seats course'!$1:$2,2,FALSE),FALSE)/(VLOOKUP($A545,'[1]import graded seats course pivo'!$A:AP,HLOOKUP('[1]Course Totals'!R$4,'[1]import graded seats course pivo'!$1:$2,2,FALSE),FALSE))),"")</f>
        <v/>
      </c>
      <c r="S545" s="14" t="str">
        <f>IFERROR((VLOOKUP($A545,'[1]import success seats course'!$A:AG,HLOOKUP('[1]Course Totals'!S$4,'[1]import success seats course'!$1:$2,2,FALSE),FALSE)/(VLOOKUP($A545,'[1]import graded seats course pivo'!$A:AQ,HLOOKUP('[1]Course Totals'!S$4,'[1]import graded seats course pivo'!$1:$2,2,FALSE),FALSE))),"")</f>
        <v/>
      </c>
      <c r="Z545" s="7"/>
      <c r="AA545" s="7"/>
      <c r="AB545" s="7"/>
      <c r="AC545" s="7"/>
    </row>
    <row r="546" spans="1:29" ht="15.75" customHeight="1" thickBot="1" x14ac:dyDescent="0.3">
      <c r="A546" s="8" t="str">
        <f>'[1]SUBJECTS BASE'!H27</f>
        <v>Earth Science</v>
      </c>
      <c r="B546" s="38" t="s">
        <v>1046</v>
      </c>
      <c r="C546" s="39" t="s">
        <v>0</v>
      </c>
      <c r="D546" s="40" t="s">
        <v>868</v>
      </c>
      <c r="E546" s="41" t="s">
        <v>1052</v>
      </c>
      <c r="F546" s="42" t="s">
        <v>546</v>
      </c>
      <c r="G546" s="43" t="s">
        <v>959</v>
      </c>
      <c r="H546" s="44" t="s">
        <v>1060</v>
      </c>
      <c r="I546" s="39" t="s">
        <v>675</v>
      </c>
      <c r="J546" s="45" t="s">
        <v>1006</v>
      </c>
      <c r="K546" s="46" t="s">
        <v>1062</v>
      </c>
      <c r="L546" s="42" t="s">
        <v>762</v>
      </c>
      <c r="M546" s="43" t="s">
        <v>1022</v>
      </c>
      <c r="N546" s="44" t="s">
        <v>1063</v>
      </c>
      <c r="O546" s="39" t="s">
        <v>822</v>
      </c>
      <c r="P546" s="40" t="s">
        <v>1042</v>
      </c>
      <c r="Q546" s="46" t="s">
        <v>1153</v>
      </c>
      <c r="R546" s="42" t="s">
        <v>1154</v>
      </c>
      <c r="S546" s="43" t="s">
        <v>1155</v>
      </c>
      <c r="Z546" s="7"/>
      <c r="AA546" s="7"/>
      <c r="AB546" s="7"/>
      <c r="AC546" s="7"/>
    </row>
    <row r="547" spans="1:29" ht="15.75" hidden="1" customHeight="1" x14ac:dyDescent="0.25">
      <c r="A547" s="12" t="s">
        <v>261</v>
      </c>
      <c r="B547" s="14" t="str">
        <f>IFERROR((VLOOKUP($A547,'[1]import success seats course'!$A:P,HLOOKUP('[1]Course Totals'!B$4,'[1]import success seats course'!$1:$2,2,FALSE),FALSE)/(VLOOKUP($A547,'[1]import graded seats course pivo'!$A:Z,HLOOKUP('[1]Course Totals'!B$4,'[1]import graded seats course pivo'!$1:$2,2,FALSE),FALSE))),"")</f>
        <v/>
      </c>
      <c r="C547" s="14" t="str">
        <f>IFERROR((VLOOKUP($A547,'[1]import success seats course'!$A:Q,HLOOKUP('[1]Course Totals'!C$4,'[1]import success seats course'!$1:$2,2,FALSE),FALSE)/(VLOOKUP($A547,'[1]import graded seats course pivo'!$A:AA,HLOOKUP('[1]Course Totals'!C$4,'[1]import graded seats course pivo'!$1:$2,2,FALSE),FALSE))),"")</f>
        <v/>
      </c>
      <c r="D547" s="14" t="str">
        <f>IFERROR((VLOOKUP($A547,'[1]import success seats course'!$A:R,HLOOKUP('[1]Course Totals'!D$4,'[1]import success seats course'!$1:$2,2,FALSE),FALSE)/(VLOOKUP($A547,'[1]import graded seats course pivo'!$A:AB,HLOOKUP('[1]Course Totals'!D$4,'[1]import graded seats course pivo'!$1:$2,2,FALSE),FALSE))),"")</f>
        <v/>
      </c>
      <c r="E547" s="14" t="str">
        <f>IFERROR((VLOOKUP($A547,'[1]import success seats course'!$A:S,HLOOKUP('[1]Course Totals'!E$4,'[1]import success seats course'!$1:$2,2,FALSE),FALSE)/(VLOOKUP($A547,'[1]import graded seats course pivo'!$A:AC,HLOOKUP('[1]Course Totals'!E$4,'[1]import graded seats course pivo'!$1:$2,2,FALSE),FALSE))),"")</f>
        <v/>
      </c>
      <c r="F547" s="14" t="str">
        <f>IFERROR((VLOOKUP($A547,'[1]import success seats course'!$A:T,HLOOKUP('[1]Course Totals'!F$4,'[1]import success seats course'!$1:$2,2,FALSE),FALSE)/(VLOOKUP($A547,'[1]import graded seats course pivo'!$A:AD,HLOOKUP('[1]Course Totals'!F$4,'[1]import graded seats course pivo'!$1:$2,2,FALSE),FALSE))),"")</f>
        <v/>
      </c>
      <c r="G547" s="14" t="str">
        <f>IFERROR((VLOOKUP($A547,'[1]import success seats course'!$A:U,HLOOKUP('[1]Course Totals'!G$4,'[1]import success seats course'!$1:$2,2,FALSE),FALSE)/(VLOOKUP($A547,'[1]import graded seats course pivo'!$A:AE,HLOOKUP('[1]Course Totals'!G$4,'[1]import graded seats course pivo'!$1:$2,2,FALSE),FALSE))),"")</f>
        <v/>
      </c>
      <c r="H547" s="14" t="str">
        <f>IFERROR((VLOOKUP($A547,'[1]import success seats course'!$A:V,HLOOKUP('[1]Course Totals'!H$4,'[1]import success seats course'!$1:$2,2,FALSE),FALSE)/(VLOOKUP($A547,'[1]import graded seats course pivo'!$A:AF,HLOOKUP('[1]Course Totals'!H$4,'[1]import graded seats course pivo'!$1:$2,2,FALSE),FALSE))),"")</f>
        <v/>
      </c>
      <c r="I547" s="14" t="str">
        <f>IFERROR((VLOOKUP($A547,'[1]import success seats course'!$A:W,HLOOKUP('[1]Course Totals'!I$4,'[1]import success seats course'!$1:$2,2,FALSE),FALSE)/(VLOOKUP($A547,'[1]import graded seats course pivo'!$A:AG,HLOOKUP('[1]Course Totals'!I$4,'[1]import graded seats course pivo'!$1:$2,2,FALSE),FALSE))),"")</f>
        <v/>
      </c>
      <c r="J547" s="14" t="str">
        <f>IFERROR((VLOOKUP($A547,'[1]import success seats course'!$A:X,HLOOKUP('[1]Course Totals'!J$4,'[1]import success seats course'!$1:$2,2,FALSE),FALSE)/(VLOOKUP($A547,'[1]import graded seats course pivo'!$A:AH,HLOOKUP('[1]Course Totals'!J$4,'[1]import graded seats course pivo'!$1:$2,2,FALSE),FALSE))),"")</f>
        <v/>
      </c>
      <c r="K547" s="14" t="str">
        <f>IFERROR((VLOOKUP($A547,'[1]import success seats course'!$A:Y,HLOOKUP('[1]Course Totals'!K$4,'[1]import success seats course'!$1:$2,2,FALSE),FALSE)/(VLOOKUP($A547,'[1]import graded seats course pivo'!$A:AI,HLOOKUP('[1]Course Totals'!K$4,'[1]import graded seats course pivo'!$1:$2,2,FALSE),FALSE))),"")</f>
        <v/>
      </c>
      <c r="L547" s="14" t="str">
        <f>IFERROR((VLOOKUP($A547,'[1]import success seats course'!$A:Z,HLOOKUP('[1]Course Totals'!L$4,'[1]import success seats course'!$1:$2,2,FALSE),FALSE)/(VLOOKUP($A547,'[1]import graded seats course pivo'!$A:AJ,HLOOKUP('[1]Course Totals'!L$4,'[1]import graded seats course pivo'!$1:$2,2,FALSE),FALSE))),"")</f>
        <v/>
      </c>
      <c r="M547" s="14" t="str">
        <f>IFERROR((VLOOKUP($A547,'[1]import success seats course'!$A:AA,HLOOKUP('[1]Course Totals'!M$4,'[1]import success seats course'!$1:$2,2,FALSE),FALSE)/(VLOOKUP($A547,'[1]import graded seats course pivo'!$A:AK,HLOOKUP('[1]Course Totals'!M$4,'[1]import graded seats course pivo'!$1:$2,2,FALSE),FALSE))),"")</f>
        <v/>
      </c>
      <c r="N547" s="14" t="str">
        <f>IFERROR((VLOOKUP($A547,'[1]import success seats course'!$A:AB,HLOOKUP('[1]Course Totals'!N$4,'[1]import success seats course'!$1:$2,2,FALSE),FALSE)/(VLOOKUP($A547,'[1]import graded seats course pivo'!$A:AL,HLOOKUP('[1]Course Totals'!N$4,'[1]import graded seats course pivo'!$1:$2,2,FALSE),FALSE))),"")</f>
        <v/>
      </c>
      <c r="O547" s="14" t="str">
        <f>IFERROR((VLOOKUP($A547,'[1]import success seats course'!$A:AC,HLOOKUP('[1]Course Totals'!O$4,'[1]import success seats course'!$1:$2,2,FALSE),FALSE)/(VLOOKUP($A547,'[1]import graded seats course pivo'!$A:AM,HLOOKUP('[1]Course Totals'!O$4,'[1]import graded seats course pivo'!$1:$2,2,FALSE),FALSE))),"")</f>
        <v/>
      </c>
      <c r="P547" s="14" t="str">
        <f>IFERROR((VLOOKUP($A547,'[1]import success seats course'!$A:AD,HLOOKUP('[1]Course Totals'!P$4,'[1]import success seats course'!$1:$2,2,FALSE),FALSE)/(VLOOKUP($A547,'[1]import graded seats course pivo'!$A:AN,HLOOKUP('[1]Course Totals'!P$4,'[1]import graded seats course pivo'!$1:$2,2,FALSE),FALSE))),"")</f>
        <v/>
      </c>
      <c r="Q547" s="14" t="str">
        <f>IFERROR((VLOOKUP($A547,'[1]import success seats course'!$A:AE,HLOOKUP('[1]Course Totals'!Q$4,'[1]import success seats course'!$1:$2,2,FALSE),FALSE)/(VLOOKUP($A547,'[1]import graded seats course pivo'!$A:AO,HLOOKUP('[1]Course Totals'!Q$4,'[1]import graded seats course pivo'!$1:$2,2,FALSE),FALSE))),"")</f>
        <v/>
      </c>
      <c r="R547" s="14" t="str">
        <f>IFERROR((VLOOKUP($A547,'[1]import success seats course'!$A:AF,HLOOKUP('[1]Course Totals'!R$4,'[1]import success seats course'!$1:$2,2,FALSE),FALSE)/(VLOOKUP($A547,'[1]import graded seats course pivo'!$A:AP,HLOOKUP('[1]Course Totals'!R$4,'[1]import graded seats course pivo'!$1:$2,2,FALSE),FALSE))),"")</f>
        <v/>
      </c>
      <c r="S547" s="14" t="str">
        <f>IFERROR((VLOOKUP($A547,'[1]import success seats course'!$A:AG,HLOOKUP('[1]Course Totals'!S$4,'[1]import success seats course'!$1:$2,2,FALSE),FALSE)/(VLOOKUP($A547,'[1]import graded seats course pivo'!$A:AQ,HLOOKUP('[1]Course Totals'!S$4,'[1]import graded seats course pivo'!$1:$2,2,FALSE),FALSE))),"")</f>
        <v/>
      </c>
      <c r="Z547" s="7"/>
      <c r="AA547" s="7"/>
      <c r="AB547" s="7"/>
      <c r="AC547" s="7"/>
    </row>
    <row r="548" spans="1:29" ht="15.75" x14ac:dyDescent="0.25">
      <c r="A548" s="9" t="s">
        <v>1139</v>
      </c>
      <c r="B548" s="67" t="str">
        <f>'[1]Subject TOTALS'!$B$1:$P$1</f>
        <v xml:space="preserve">MVC Retention Rates </v>
      </c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Z548" s="7"/>
      <c r="AA548" s="7"/>
      <c r="AB548" s="7"/>
      <c r="AC548" s="7"/>
    </row>
    <row r="549" spans="1:29" ht="15.75" customHeight="1" thickBot="1" x14ac:dyDescent="0.3">
      <c r="A549" s="8" t="str">
        <f>'[1]SUBJECTS BASE'!H28</f>
        <v>English as a Second Language</v>
      </c>
      <c r="B549" s="38" t="s">
        <v>1046</v>
      </c>
      <c r="C549" s="39" t="s">
        <v>0</v>
      </c>
      <c r="D549" s="40" t="s">
        <v>868</v>
      </c>
      <c r="E549" s="41" t="s">
        <v>1052</v>
      </c>
      <c r="F549" s="42" t="s">
        <v>546</v>
      </c>
      <c r="G549" s="43" t="s">
        <v>959</v>
      </c>
      <c r="H549" s="44" t="s">
        <v>1060</v>
      </c>
      <c r="I549" s="39" t="s">
        <v>675</v>
      </c>
      <c r="J549" s="45" t="s">
        <v>1006</v>
      </c>
      <c r="K549" s="46" t="s">
        <v>1062</v>
      </c>
      <c r="L549" s="42" t="s">
        <v>762</v>
      </c>
      <c r="M549" s="43" t="s">
        <v>1022</v>
      </c>
      <c r="N549" s="44" t="s">
        <v>1063</v>
      </c>
      <c r="O549" s="39" t="s">
        <v>822</v>
      </c>
      <c r="P549" s="40" t="s">
        <v>1042</v>
      </c>
      <c r="Q549" s="46" t="s">
        <v>1153</v>
      </c>
      <c r="R549" s="42" t="s">
        <v>1154</v>
      </c>
      <c r="S549" s="43" t="s">
        <v>1155</v>
      </c>
      <c r="Z549" s="7"/>
      <c r="AA549" s="7"/>
      <c r="AB549" s="7"/>
      <c r="AC549" s="7"/>
    </row>
    <row r="550" spans="1:29" ht="15.75" customHeight="1" x14ac:dyDescent="0.25">
      <c r="A550" s="12" t="s">
        <v>723</v>
      </c>
      <c r="B550" s="14" t="str">
        <f>IFERROR((VLOOKUP($A550,'[1]import success seats course'!$A:P,HLOOKUP('[1]Course Totals'!B$4,'[1]import success seats course'!$1:$2,2,FALSE),FALSE)/(VLOOKUP($A550,'[1]import graded seats course pivo'!$A:Z,HLOOKUP('[1]Course Totals'!B$4,'[1]import graded seats course pivo'!$1:$2,2,FALSE),FALSE))),"")</f>
        <v/>
      </c>
      <c r="C550" s="14" t="str">
        <f>IFERROR((VLOOKUP($A550,'[1]import success seats course'!$A:Q,HLOOKUP('[1]Course Totals'!C$4,'[1]import success seats course'!$1:$2,2,FALSE),FALSE)/(VLOOKUP($A550,'[1]import graded seats course pivo'!$A:AA,HLOOKUP('[1]Course Totals'!C$4,'[1]import graded seats course pivo'!$1:$2,2,FALSE),FALSE))),"")</f>
        <v/>
      </c>
      <c r="D550" s="14" t="str">
        <f>IFERROR((VLOOKUP($A550,'[1]import success seats course'!$A:R,HLOOKUP('[1]Course Totals'!D$4,'[1]import success seats course'!$1:$2,2,FALSE),FALSE)/(VLOOKUP($A550,'[1]import graded seats course pivo'!$A:AB,HLOOKUP('[1]Course Totals'!D$4,'[1]import graded seats course pivo'!$1:$2,2,FALSE),FALSE))),"")</f>
        <v/>
      </c>
      <c r="E550" s="14" t="str">
        <f>IFERROR((VLOOKUP($A550,'[1]import success seats course'!$A:S,HLOOKUP('[1]Course Totals'!E$4,'[1]import success seats course'!$1:$2,2,FALSE),FALSE)/(VLOOKUP($A550,'[1]import graded seats course pivo'!$A:AC,HLOOKUP('[1]Course Totals'!E$4,'[1]import graded seats course pivo'!$1:$2,2,FALSE),FALSE))),"")</f>
        <v/>
      </c>
      <c r="F550" s="14" t="str">
        <f>IFERROR((VLOOKUP($A550,'[1]import success seats course'!$A:T,HLOOKUP('[1]Course Totals'!F$4,'[1]import success seats course'!$1:$2,2,FALSE),FALSE)/(VLOOKUP($A550,'[1]import graded seats course pivo'!$A:AD,HLOOKUP('[1]Course Totals'!F$4,'[1]import graded seats course pivo'!$1:$2,2,FALSE),FALSE))),"")</f>
        <v/>
      </c>
      <c r="G550" s="14" t="str">
        <f>IFERROR((VLOOKUP($A550,'[1]import success seats course'!$A:U,HLOOKUP('[1]Course Totals'!G$4,'[1]import success seats course'!$1:$2,2,FALSE),FALSE)/(VLOOKUP($A550,'[1]import graded seats course pivo'!$A:AE,HLOOKUP('[1]Course Totals'!G$4,'[1]import graded seats course pivo'!$1:$2,2,FALSE),FALSE))),"")</f>
        <v/>
      </c>
      <c r="H550" s="14" t="str">
        <f>IFERROR((VLOOKUP($A550,'[1]import success seats course'!$A:V,HLOOKUP('[1]Course Totals'!H$4,'[1]import success seats course'!$1:$2,2,FALSE),FALSE)/(VLOOKUP($A550,'[1]import graded seats course pivo'!$A:AF,HLOOKUP('[1]Course Totals'!H$4,'[1]import graded seats course pivo'!$1:$2,2,FALSE),FALSE))),"")</f>
        <v/>
      </c>
      <c r="I550" s="14">
        <f>IFERROR((VLOOKUP($A550,'[1]import success seats course'!$A:W,HLOOKUP('[1]Course Totals'!I$4,'[1]import success seats course'!$1:$2,2,FALSE),FALSE)/(VLOOKUP($A550,'[1]import graded seats course pivo'!$A:AG,HLOOKUP('[1]Course Totals'!I$4,'[1]import graded seats course pivo'!$1:$2,2,FALSE),FALSE))),"")</f>
        <v>1</v>
      </c>
      <c r="J550" s="14">
        <f>IFERROR((VLOOKUP($A550,'[1]import success seats course'!$A:X,HLOOKUP('[1]Course Totals'!J$4,'[1]import success seats course'!$1:$2,2,FALSE),FALSE)/(VLOOKUP($A550,'[1]import graded seats course pivo'!$A:AH,HLOOKUP('[1]Course Totals'!J$4,'[1]import graded seats course pivo'!$1:$2,2,FALSE),FALSE))),"")</f>
        <v>0.88</v>
      </c>
      <c r="K550" s="14" t="str">
        <f>IFERROR((VLOOKUP($A550,'[1]import success seats course'!$A:Y,HLOOKUP('[1]Course Totals'!K$4,'[1]import success seats course'!$1:$2,2,FALSE),FALSE)/(VLOOKUP($A550,'[1]import graded seats course pivo'!$A:AI,HLOOKUP('[1]Course Totals'!K$4,'[1]import graded seats course pivo'!$1:$2,2,FALSE),FALSE))),"")</f>
        <v/>
      </c>
      <c r="L550" s="14">
        <f>IFERROR((VLOOKUP($A550,'[1]import success seats course'!$A:Z,HLOOKUP('[1]Course Totals'!L$4,'[1]import success seats course'!$1:$2,2,FALSE),FALSE)/(VLOOKUP($A550,'[1]import graded seats course pivo'!$A:AJ,HLOOKUP('[1]Course Totals'!L$4,'[1]import graded seats course pivo'!$1:$2,2,FALSE),FALSE))),"")</f>
        <v>0.73333333333333328</v>
      </c>
      <c r="M550" s="14">
        <f>IFERROR((VLOOKUP($A550,'[1]import success seats course'!$A:AA,HLOOKUP('[1]Course Totals'!M$4,'[1]import success seats course'!$1:$2,2,FALSE),FALSE)/(VLOOKUP($A550,'[1]import graded seats course pivo'!$A:AK,HLOOKUP('[1]Course Totals'!M$4,'[1]import graded seats course pivo'!$1:$2,2,FALSE),FALSE))),"")</f>
        <v>0.94736842105263153</v>
      </c>
      <c r="N550" s="14" t="str">
        <f>IFERROR((VLOOKUP($A550,'[1]import success seats course'!$A:AB,HLOOKUP('[1]Course Totals'!N$4,'[1]import success seats course'!$1:$2,2,FALSE),FALSE)/(VLOOKUP($A550,'[1]import graded seats course pivo'!$A:AL,HLOOKUP('[1]Course Totals'!N$4,'[1]import graded seats course pivo'!$1:$2,2,FALSE),FALSE))),"")</f>
        <v/>
      </c>
      <c r="O550" s="14">
        <f>IFERROR((VLOOKUP($A550,'[1]import success seats course'!$A:AC,HLOOKUP('[1]Course Totals'!O$4,'[1]import success seats course'!$1:$2,2,FALSE),FALSE)/(VLOOKUP($A550,'[1]import graded seats course pivo'!$A:AM,HLOOKUP('[1]Course Totals'!O$4,'[1]import graded seats course pivo'!$1:$2,2,FALSE),FALSE))),"")</f>
        <v>0.88888888888888884</v>
      </c>
      <c r="P550" s="14">
        <f>IFERROR((VLOOKUP($A550,'[1]import success seats course'!$A:AD,HLOOKUP('[1]Course Totals'!P$4,'[1]import success seats course'!$1:$2,2,FALSE),FALSE)/(VLOOKUP($A550,'[1]import graded seats course pivo'!$A:AN,HLOOKUP('[1]Course Totals'!P$4,'[1]import graded seats course pivo'!$1:$2,2,FALSE),FALSE))),"")</f>
        <v>0.88235294117647056</v>
      </c>
      <c r="Q550" s="14" t="str">
        <f>IFERROR((VLOOKUP($A550,'[1]import success seats course'!$A:AE,HLOOKUP('[1]Course Totals'!Q$4,'[1]import success seats course'!$1:$2,2,FALSE),FALSE)/(VLOOKUP($A550,'[1]import graded seats course pivo'!$A:AO,HLOOKUP('[1]Course Totals'!Q$4,'[1]import graded seats course pivo'!$1:$2,2,FALSE),FALSE))),"")</f>
        <v/>
      </c>
      <c r="R550" s="14">
        <f>IFERROR((VLOOKUP($A550,'[1]import success seats course'!$A:AF,HLOOKUP('[1]Course Totals'!R$4,'[1]import success seats course'!$1:$2,2,FALSE),FALSE)/(VLOOKUP($A550,'[1]import graded seats course pivo'!$A:AP,HLOOKUP('[1]Course Totals'!R$4,'[1]import graded seats course pivo'!$1:$2,2,FALSE),FALSE))),"")</f>
        <v>0.8571428571428571</v>
      </c>
      <c r="S550" s="14">
        <f>IFERROR((VLOOKUP($A550,'[1]import success seats course'!$A:AG,HLOOKUP('[1]Course Totals'!S$4,'[1]import success seats course'!$1:$2,2,FALSE),FALSE)/(VLOOKUP($A550,'[1]import graded seats course pivo'!$A:AQ,HLOOKUP('[1]Course Totals'!S$4,'[1]import graded seats course pivo'!$1:$2,2,FALSE),FALSE))),"")</f>
        <v>1</v>
      </c>
      <c r="Z550" s="7"/>
      <c r="AA550" s="7"/>
      <c r="AB550" s="7"/>
      <c r="AC550" s="7"/>
    </row>
    <row r="551" spans="1:29" ht="15.75" customHeight="1" x14ac:dyDescent="0.25">
      <c r="A551" s="12" t="s">
        <v>986</v>
      </c>
      <c r="B551" s="14" t="str">
        <f>IFERROR((VLOOKUP($A551,'[1]import success seats course'!$A:P,HLOOKUP('[1]Course Totals'!B$4,'[1]import success seats course'!$1:$2,2,FALSE),FALSE)/(VLOOKUP($A551,'[1]import graded seats course pivo'!$A:Z,HLOOKUP('[1]Course Totals'!B$4,'[1]import graded seats course pivo'!$1:$2,2,FALSE),FALSE))),"")</f>
        <v/>
      </c>
      <c r="C551" s="14" t="str">
        <f>IFERROR((VLOOKUP($A551,'[1]import success seats course'!$A:Q,HLOOKUP('[1]Course Totals'!C$4,'[1]import success seats course'!$1:$2,2,FALSE),FALSE)/(VLOOKUP($A551,'[1]import graded seats course pivo'!$A:AA,HLOOKUP('[1]Course Totals'!C$4,'[1]import graded seats course pivo'!$1:$2,2,FALSE),FALSE))),"")</f>
        <v/>
      </c>
      <c r="D551" s="14" t="str">
        <f>IFERROR((VLOOKUP($A551,'[1]import success seats course'!$A:R,HLOOKUP('[1]Course Totals'!D$4,'[1]import success seats course'!$1:$2,2,FALSE),FALSE)/(VLOOKUP($A551,'[1]import graded seats course pivo'!$A:AB,HLOOKUP('[1]Course Totals'!D$4,'[1]import graded seats course pivo'!$1:$2,2,FALSE),FALSE))),"")</f>
        <v/>
      </c>
      <c r="E551" s="14" t="str">
        <f>IFERROR((VLOOKUP($A551,'[1]import success seats course'!$A:S,HLOOKUP('[1]Course Totals'!E$4,'[1]import success seats course'!$1:$2,2,FALSE),FALSE)/(VLOOKUP($A551,'[1]import graded seats course pivo'!$A:AC,HLOOKUP('[1]Course Totals'!E$4,'[1]import graded seats course pivo'!$1:$2,2,FALSE),FALSE))),"")</f>
        <v/>
      </c>
      <c r="F551" s="14" t="str">
        <f>IFERROR((VLOOKUP($A551,'[1]import success seats course'!$A:T,HLOOKUP('[1]Course Totals'!F$4,'[1]import success seats course'!$1:$2,2,FALSE),FALSE)/(VLOOKUP($A551,'[1]import graded seats course pivo'!$A:AD,HLOOKUP('[1]Course Totals'!F$4,'[1]import graded seats course pivo'!$1:$2,2,FALSE),FALSE))),"")</f>
        <v/>
      </c>
      <c r="G551" s="14">
        <f>IFERROR((VLOOKUP($A551,'[1]import success seats course'!$A:U,HLOOKUP('[1]Course Totals'!G$4,'[1]import success seats course'!$1:$2,2,FALSE),FALSE)/(VLOOKUP($A551,'[1]import graded seats course pivo'!$A:AE,HLOOKUP('[1]Course Totals'!G$4,'[1]import graded seats course pivo'!$1:$2,2,FALSE),FALSE))),"")</f>
        <v>1</v>
      </c>
      <c r="H551" s="14" t="str">
        <f>IFERROR((VLOOKUP($A551,'[1]import success seats course'!$A:V,HLOOKUP('[1]Course Totals'!H$4,'[1]import success seats course'!$1:$2,2,FALSE),FALSE)/(VLOOKUP($A551,'[1]import graded seats course pivo'!$A:AF,HLOOKUP('[1]Course Totals'!H$4,'[1]import graded seats course pivo'!$1:$2,2,FALSE),FALSE))),"")</f>
        <v/>
      </c>
      <c r="I551" s="14" t="str">
        <f>IFERROR((VLOOKUP($A551,'[1]import success seats course'!$A:W,HLOOKUP('[1]Course Totals'!I$4,'[1]import success seats course'!$1:$2,2,FALSE),FALSE)/(VLOOKUP($A551,'[1]import graded seats course pivo'!$A:AG,HLOOKUP('[1]Course Totals'!I$4,'[1]import graded seats course pivo'!$1:$2,2,FALSE),FALSE))),"")</f>
        <v/>
      </c>
      <c r="J551" s="14" t="str">
        <f>IFERROR((VLOOKUP($A551,'[1]import success seats course'!$A:X,HLOOKUP('[1]Course Totals'!J$4,'[1]import success seats course'!$1:$2,2,FALSE),FALSE)/(VLOOKUP($A551,'[1]import graded seats course pivo'!$A:AH,HLOOKUP('[1]Course Totals'!J$4,'[1]import graded seats course pivo'!$1:$2,2,FALSE),FALSE))),"")</f>
        <v/>
      </c>
      <c r="K551" s="14" t="str">
        <f>IFERROR((VLOOKUP($A551,'[1]import success seats course'!$A:Y,HLOOKUP('[1]Course Totals'!K$4,'[1]import success seats course'!$1:$2,2,FALSE),FALSE)/(VLOOKUP($A551,'[1]import graded seats course pivo'!$A:AI,HLOOKUP('[1]Course Totals'!K$4,'[1]import graded seats course pivo'!$1:$2,2,FALSE),FALSE))),"")</f>
        <v/>
      </c>
      <c r="L551" s="14" t="str">
        <f>IFERROR((VLOOKUP($A551,'[1]import success seats course'!$A:Z,HLOOKUP('[1]Course Totals'!L$4,'[1]import success seats course'!$1:$2,2,FALSE),FALSE)/(VLOOKUP($A551,'[1]import graded seats course pivo'!$A:AJ,HLOOKUP('[1]Course Totals'!L$4,'[1]import graded seats course pivo'!$1:$2,2,FALSE),FALSE))),"")</f>
        <v/>
      </c>
      <c r="M551" s="14" t="str">
        <f>IFERROR((VLOOKUP($A551,'[1]import success seats course'!$A:AA,HLOOKUP('[1]Course Totals'!M$4,'[1]import success seats course'!$1:$2,2,FALSE),FALSE)/(VLOOKUP($A551,'[1]import graded seats course pivo'!$A:AK,HLOOKUP('[1]Course Totals'!M$4,'[1]import graded seats course pivo'!$1:$2,2,FALSE),FALSE))),"")</f>
        <v/>
      </c>
      <c r="N551" s="14" t="str">
        <f>IFERROR((VLOOKUP($A551,'[1]import success seats course'!$A:AB,HLOOKUP('[1]Course Totals'!N$4,'[1]import success seats course'!$1:$2,2,FALSE),FALSE)/(VLOOKUP($A551,'[1]import graded seats course pivo'!$A:AL,HLOOKUP('[1]Course Totals'!N$4,'[1]import graded seats course pivo'!$1:$2,2,FALSE),FALSE))),"")</f>
        <v/>
      </c>
      <c r="O551" s="14" t="str">
        <f>IFERROR((VLOOKUP($A551,'[1]import success seats course'!$A:AC,HLOOKUP('[1]Course Totals'!O$4,'[1]import success seats course'!$1:$2,2,FALSE),FALSE)/(VLOOKUP($A551,'[1]import graded seats course pivo'!$A:AM,HLOOKUP('[1]Course Totals'!O$4,'[1]import graded seats course pivo'!$1:$2,2,FALSE),FALSE))),"")</f>
        <v/>
      </c>
      <c r="P551" s="14" t="str">
        <f>IFERROR((VLOOKUP($A551,'[1]import success seats course'!$A:AD,HLOOKUP('[1]Course Totals'!P$4,'[1]import success seats course'!$1:$2,2,FALSE),FALSE)/(VLOOKUP($A551,'[1]import graded seats course pivo'!$A:AN,HLOOKUP('[1]Course Totals'!P$4,'[1]import graded seats course pivo'!$1:$2,2,FALSE),FALSE))),"")</f>
        <v/>
      </c>
      <c r="Q551" s="14" t="str">
        <f>IFERROR((VLOOKUP($A551,'[1]import success seats course'!$A:AE,HLOOKUP('[1]Course Totals'!Q$4,'[1]import success seats course'!$1:$2,2,FALSE),FALSE)/(VLOOKUP($A551,'[1]import graded seats course pivo'!$A:AO,HLOOKUP('[1]Course Totals'!Q$4,'[1]import graded seats course pivo'!$1:$2,2,FALSE),FALSE))),"")</f>
        <v/>
      </c>
      <c r="R551" s="14" t="str">
        <f>IFERROR((VLOOKUP($A551,'[1]import success seats course'!$A:AF,HLOOKUP('[1]Course Totals'!R$4,'[1]import success seats course'!$1:$2,2,FALSE),FALSE)/(VLOOKUP($A551,'[1]import graded seats course pivo'!$A:AP,HLOOKUP('[1]Course Totals'!R$4,'[1]import graded seats course pivo'!$1:$2,2,FALSE),FALSE))),"")</f>
        <v/>
      </c>
      <c r="S551" s="14" t="str">
        <f>IFERROR((VLOOKUP($A551,'[1]import success seats course'!$A:AG,HLOOKUP('[1]Course Totals'!S$4,'[1]import success seats course'!$1:$2,2,FALSE),FALSE)/(VLOOKUP($A551,'[1]import graded seats course pivo'!$A:AQ,HLOOKUP('[1]Course Totals'!S$4,'[1]import graded seats course pivo'!$1:$2,2,FALSE),FALSE))),"")</f>
        <v/>
      </c>
      <c r="Z551" s="7"/>
      <c r="AA551" s="7"/>
      <c r="AB551" s="7"/>
      <c r="AC551" s="7"/>
    </row>
    <row r="552" spans="1:29" ht="15.75" customHeight="1" x14ac:dyDescent="0.25">
      <c r="A552" s="12" t="s">
        <v>724</v>
      </c>
      <c r="B552" s="14" t="str">
        <f>IFERROR((VLOOKUP($A552,'[1]import success seats course'!$A:P,HLOOKUP('[1]Course Totals'!B$4,'[1]import success seats course'!$1:$2,2,FALSE),FALSE)/(VLOOKUP($A552,'[1]import graded seats course pivo'!$A:Z,HLOOKUP('[1]Course Totals'!B$4,'[1]import graded seats course pivo'!$1:$2,2,FALSE),FALSE))),"")</f>
        <v/>
      </c>
      <c r="C552" s="14" t="str">
        <f>IFERROR((VLOOKUP($A552,'[1]import success seats course'!$A:Q,HLOOKUP('[1]Course Totals'!C$4,'[1]import success seats course'!$1:$2,2,FALSE),FALSE)/(VLOOKUP($A552,'[1]import graded seats course pivo'!$A:AA,HLOOKUP('[1]Course Totals'!C$4,'[1]import graded seats course pivo'!$1:$2,2,FALSE),FALSE))),"")</f>
        <v/>
      </c>
      <c r="D552" s="14" t="str">
        <f>IFERROR((VLOOKUP($A552,'[1]import success seats course'!$A:R,HLOOKUP('[1]Course Totals'!D$4,'[1]import success seats course'!$1:$2,2,FALSE),FALSE)/(VLOOKUP($A552,'[1]import graded seats course pivo'!$A:AB,HLOOKUP('[1]Course Totals'!D$4,'[1]import graded seats course pivo'!$1:$2,2,FALSE),FALSE))),"")</f>
        <v/>
      </c>
      <c r="E552" s="14" t="str">
        <f>IFERROR((VLOOKUP($A552,'[1]import success seats course'!$A:S,HLOOKUP('[1]Course Totals'!E$4,'[1]import success seats course'!$1:$2,2,FALSE),FALSE)/(VLOOKUP($A552,'[1]import graded seats course pivo'!$A:AC,HLOOKUP('[1]Course Totals'!E$4,'[1]import graded seats course pivo'!$1:$2,2,FALSE),FALSE))),"")</f>
        <v/>
      </c>
      <c r="F552" s="14" t="str">
        <f>IFERROR((VLOOKUP($A552,'[1]import success seats course'!$A:T,HLOOKUP('[1]Course Totals'!F$4,'[1]import success seats course'!$1:$2,2,FALSE),FALSE)/(VLOOKUP($A552,'[1]import graded seats course pivo'!$A:AD,HLOOKUP('[1]Course Totals'!F$4,'[1]import graded seats course pivo'!$1:$2,2,FALSE),FALSE))),"")</f>
        <v/>
      </c>
      <c r="G552" s="14" t="str">
        <f>IFERROR((VLOOKUP($A552,'[1]import success seats course'!$A:U,HLOOKUP('[1]Course Totals'!G$4,'[1]import success seats course'!$1:$2,2,FALSE),FALSE)/(VLOOKUP($A552,'[1]import graded seats course pivo'!$A:AE,HLOOKUP('[1]Course Totals'!G$4,'[1]import graded seats course pivo'!$1:$2,2,FALSE),FALSE))),"")</f>
        <v/>
      </c>
      <c r="H552" s="14" t="str">
        <f>IFERROR((VLOOKUP($A552,'[1]import success seats course'!$A:V,HLOOKUP('[1]Course Totals'!H$4,'[1]import success seats course'!$1:$2,2,FALSE),FALSE)/(VLOOKUP($A552,'[1]import graded seats course pivo'!$A:AF,HLOOKUP('[1]Course Totals'!H$4,'[1]import graded seats course pivo'!$1:$2,2,FALSE),FALSE))),"")</f>
        <v/>
      </c>
      <c r="I552" s="14">
        <f>IFERROR((VLOOKUP($A552,'[1]import success seats course'!$A:W,HLOOKUP('[1]Course Totals'!I$4,'[1]import success seats course'!$1:$2,2,FALSE),FALSE)/(VLOOKUP($A552,'[1]import graded seats course pivo'!$A:AG,HLOOKUP('[1]Course Totals'!I$4,'[1]import graded seats course pivo'!$1:$2,2,FALSE),FALSE))),"")</f>
        <v>1</v>
      </c>
      <c r="J552" s="14">
        <f>IFERROR((VLOOKUP($A552,'[1]import success seats course'!$A:X,HLOOKUP('[1]Course Totals'!J$4,'[1]import success seats course'!$1:$2,2,FALSE),FALSE)/(VLOOKUP($A552,'[1]import graded seats course pivo'!$A:AH,HLOOKUP('[1]Course Totals'!J$4,'[1]import graded seats course pivo'!$1:$2,2,FALSE),FALSE))),"")</f>
        <v>0.95454545454545459</v>
      </c>
      <c r="K552" s="14" t="str">
        <f>IFERROR((VLOOKUP($A552,'[1]import success seats course'!$A:Y,HLOOKUP('[1]Course Totals'!K$4,'[1]import success seats course'!$1:$2,2,FALSE),FALSE)/(VLOOKUP($A552,'[1]import graded seats course pivo'!$A:AI,HLOOKUP('[1]Course Totals'!K$4,'[1]import graded seats course pivo'!$1:$2,2,FALSE),FALSE))),"")</f>
        <v/>
      </c>
      <c r="L552" s="14">
        <f>IFERROR((VLOOKUP($A552,'[1]import success seats course'!$A:Z,HLOOKUP('[1]Course Totals'!L$4,'[1]import success seats course'!$1:$2,2,FALSE),FALSE)/(VLOOKUP($A552,'[1]import graded seats course pivo'!$A:AJ,HLOOKUP('[1]Course Totals'!L$4,'[1]import graded seats course pivo'!$1:$2,2,FALSE),FALSE))),"")</f>
        <v>0.93333333333333335</v>
      </c>
      <c r="M552" s="14">
        <f>IFERROR((VLOOKUP($A552,'[1]import success seats course'!$A:AA,HLOOKUP('[1]Course Totals'!M$4,'[1]import success seats course'!$1:$2,2,FALSE),FALSE)/(VLOOKUP($A552,'[1]import graded seats course pivo'!$A:AK,HLOOKUP('[1]Course Totals'!M$4,'[1]import graded seats course pivo'!$1:$2,2,FALSE),FALSE))),"")</f>
        <v>0.92105263157894735</v>
      </c>
      <c r="N552" s="14" t="str">
        <f>IFERROR((VLOOKUP($A552,'[1]import success seats course'!$A:AB,HLOOKUP('[1]Course Totals'!N$4,'[1]import success seats course'!$1:$2,2,FALSE),FALSE)/(VLOOKUP($A552,'[1]import graded seats course pivo'!$A:AL,HLOOKUP('[1]Course Totals'!N$4,'[1]import graded seats course pivo'!$1:$2,2,FALSE),FALSE))),"")</f>
        <v/>
      </c>
      <c r="O552" s="14">
        <f>IFERROR((VLOOKUP($A552,'[1]import success seats course'!$A:AC,HLOOKUP('[1]Course Totals'!O$4,'[1]import success seats course'!$1:$2,2,FALSE),FALSE)/(VLOOKUP($A552,'[1]import graded seats course pivo'!$A:AM,HLOOKUP('[1]Course Totals'!O$4,'[1]import graded seats course pivo'!$1:$2,2,FALSE),FALSE))),"")</f>
        <v>0.88</v>
      </c>
      <c r="P552" s="14">
        <f>IFERROR((VLOOKUP($A552,'[1]import success seats course'!$A:AD,HLOOKUP('[1]Course Totals'!P$4,'[1]import success seats course'!$1:$2,2,FALSE),FALSE)/(VLOOKUP($A552,'[1]import graded seats course pivo'!$A:AN,HLOOKUP('[1]Course Totals'!P$4,'[1]import graded seats course pivo'!$1:$2,2,FALSE),FALSE))),"")</f>
        <v>0.8928571428571429</v>
      </c>
      <c r="Q552" s="14" t="str">
        <f>IFERROR((VLOOKUP($A552,'[1]import success seats course'!$A:AE,HLOOKUP('[1]Course Totals'!Q$4,'[1]import success seats course'!$1:$2,2,FALSE),FALSE)/(VLOOKUP($A552,'[1]import graded seats course pivo'!$A:AO,HLOOKUP('[1]Course Totals'!Q$4,'[1]import graded seats course pivo'!$1:$2,2,FALSE),FALSE))),"")</f>
        <v/>
      </c>
      <c r="R552" s="14">
        <f>IFERROR((VLOOKUP($A552,'[1]import success seats course'!$A:AF,HLOOKUP('[1]Course Totals'!R$4,'[1]import success seats course'!$1:$2,2,FALSE),FALSE)/(VLOOKUP($A552,'[1]import graded seats course pivo'!$A:AP,HLOOKUP('[1]Course Totals'!R$4,'[1]import graded seats course pivo'!$1:$2,2,FALSE),FALSE))),"")</f>
        <v>0.9285714285714286</v>
      </c>
      <c r="S552" s="14">
        <f>IFERROR((VLOOKUP($A552,'[1]import success seats course'!$A:AG,HLOOKUP('[1]Course Totals'!S$4,'[1]import success seats course'!$1:$2,2,FALSE),FALSE)/(VLOOKUP($A552,'[1]import graded seats course pivo'!$A:AQ,HLOOKUP('[1]Course Totals'!S$4,'[1]import graded seats course pivo'!$1:$2,2,FALSE),FALSE))),"")</f>
        <v>1</v>
      </c>
      <c r="Z552" s="7"/>
      <c r="AA552" s="7"/>
      <c r="AB552" s="7"/>
      <c r="AC552" s="7"/>
    </row>
    <row r="553" spans="1:29" ht="15.75" customHeight="1" x14ac:dyDescent="0.25">
      <c r="A553" s="12" t="s">
        <v>987</v>
      </c>
      <c r="B553" s="14" t="str">
        <f>IFERROR((VLOOKUP($A553,'[1]import success seats course'!$A:P,HLOOKUP('[1]Course Totals'!B$4,'[1]import success seats course'!$1:$2,2,FALSE),FALSE)/(VLOOKUP($A553,'[1]import graded seats course pivo'!$A:Z,HLOOKUP('[1]Course Totals'!B$4,'[1]import graded seats course pivo'!$1:$2,2,FALSE),FALSE))),"")</f>
        <v/>
      </c>
      <c r="C553" s="14" t="str">
        <f>IFERROR((VLOOKUP($A553,'[1]import success seats course'!$A:Q,HLOOKUP('[1]Course Totals'!C$4,'[1]import success seats course'!$1:$2,2,FALSE),FALSE)/(VLOOKUP($A553,'[1]import graded seats course pivo'!$A:AA,HLOOKUP('[1]Course Totals'!C$4,'[1]import graded seats course pivo'!$1:$2,2,FALSE),FALSE))),"")</f>
        <v/>
      </c>
      <c r="D553" s="14" t="str">
        <f>IFERROR((VLOOKUP($A553,'[1]import success seats course'!$A:R,HLOOKUP('[1]Course Totals'!D$4,'[1]import success seats course'!$1:$2,2,FALSE),FALSE)/(VLOOKUP($A553,'[1]import graded seats course pivo'!$A:AB,HLOOKUP('[1]Course Totals'!D$4,'[1]import graded seats course pivo'!$1:$2,2,FALSE),FALSE))),"")</f>
        <v/>
      </c>
      <c r="E553" s="14" t="str">
        <f>IFERROR((VLOOKUP($A553,'[1]import success seats course'!$A:S,HLOOKUP('[1]Course Totals'!E$4,'[1]import success seats course'!$1:$2,2,FALSE),FALSE)/(VLOOKUP($A553,'[1]import graded seats course pivo'!$A:AC,HLOOKUP('[1]Course Totals'!E$4,'[1]import graded seats course pivo'!$1:$2,2,FALSE),FALSE))),"")</f>
        <v/>
      </c>
      <c r="F553" s="14" t="str">
        <f>IFERROR((VLOOKUP($A553,'[1]import success seats course'!$A:T,HLOOKUP('[1]Course Totals'!F$4,'[1]import success seats course'!$1:$2,2,FALSE),FALSE)/(VLOOKUP($A553,'[1]import graded seats course pivo'!$A:AD,HLOOKUP('[1]Course Totals'!F$4,'[1]import graded seats course pivo'!$1:$2,2,FALSE),FALSE))),"")</f>
        <v/>
      </c>
      <c r="G553" s="14">
        <f>IFERROR((VLOOKUP($A553,'[1]import success seats course'!$A:U,HLOOKUP('[1]Course Totals'!G$4,'[1]import success seats course'!$1:$2,2,FALSE),FALSE)/(VLOOKUP($A553,'[1]import graded seats course pivo'!$A:AE,HLOOKUP('[1]Course Totals'!G$4,'[1]import graded seats course pivo'!$1:$2,2,FALSE),FALSE))),"")</f>
        <v>0.90909090909090906</v>
      </c>
      <c r="H553" s="14" t="str">
        <f>IFERROR((VLOOKUP($A553,'[1]import success seats course'!$A:V,HLOOKUP('[1]Course Totals'!H$4,'[1]import success seats course'!$1:$2,2,FALSE),FALSE)/(VLOOKUP($A553,'[1]import graded seats course pivo'!$A:AF,HLOOKUP('[1]Course Totals'!H$4,'[1]import graded seats course pivo'!$1:$2,2,FALSE),FALSE))),"")</f>
        <v/>
      </c>
      <c r="I553" s="14" t="str">
        <f>IFERROR((VLOOKUP($A553,'[1]import success seats course'!$A:W,HLOOKUP('[1]Course Totals'!I$4,'[1]import success seats course'!$1:$2,2,FALSE),FALSE)/(VLOOKUP($A553,'[1]import graded seats course pivo'!$A:AG,HLOOKUP('[1]Course Totals'!I$4,'[1]import graded seats course pivo'!$1:$2,2,FALSE),FALSE))),"")</f>
        <v/>
      </c>
      <c r="J553" s="14" t="str">
        <f>IFERROR((VLOOKUP($A553,'[1]import success seats course'!$A:X,HLOOKUP('[1]Course Totals'!J$4,'[1]import success seats course'!$1:$2,2,FALSE),FALSE)/(VLOOKUP($A553,'[1]import graded seats course pivo'!$A:AH,HLOOKUP('[1]Course Totals'!J$4,'[1]import graded seats course pivo'!$1:$2,2,FALSE),FALSE))),"")</f>
        <v/>
      </c>
      <c r="K553" s="14" t="str">
        <f>IFERROR((VLOOKUP($A553,'[1]import success seats course'!$A:Y,HLOOKUP('[1]Course Totals'!K$4,'[1]import success seats course'!$1:$2,2,FALSE),FALSE)/(VLOOKUP($A553,'[1]import graded seats course pivo'!$A:AI,HLOOKUP('[1]Course Totals'!K$4,'[1]import graded seats course pivo'!$1:$2,2,FALSE),FALSE))),"")</f>
        <v/>
      </c>
      <c r="L553" s="14" t="str">
        <f>IFERROR((VLOOKUP($A553,'[1]import success seats course'!$A:Z,HLOOKUP('[1]Course Totals'!L$4,'[1]import success seats course'!$1:$2,2,FALSE),FALSE)/(VLOOKUP($A553,'[1]import graded seats course pivo'!$A:AJ,HLOOKUP('[1]Course Totals'!L$4,'[1]import graded seats course pivo'!$1:$2,2,FALSE),FALSE))),"")</f>
        <v/>
      </c>
      <c r="M553" s="14" t="str">
        <f>IFERROR((VLOOKUP($A553,'[1]import success seats course'!$A:AA,HLOOKUP('[1]Course Totals'!M$4,'[1]import success seats course'!$1:$2,2,FALSE),FALSE)/(VLOOKUP($A553,'[1]import graded seats course pivo'!$A:AK,HLOOKUP('[1]Course Totals'!M$4,'[1]import graded seats course pivo'!$1:$2,2,FALSE),FALSE))),"")</f>
        <v/>
      </c>
      <c r="N553" s="14" t="str">
        <f>IFERROR((VLOOKUP($A553,'[1]import success seats course'!$A:AB,HLOOKUP('[1]Course Totals'!N$4,'[1]import success seats course'!$1:$2,2,FALSE),FALSE)/(VLOOKUP($A553,'[1]import graded seats course pivo'!$A:AL,HLOOKUP('[1]Course Totals'!N$4,'[1]import graded seats course pivo'!$1:$2,2,FALSE),FALSE))),"")</f>
        <v/>
      </c>
      <c r="O553" s="14" t="str">
        <f>IFERROR((VLOOKUP($A553,'[1]import success seats course'!$A:AC,HLOOKUP('[1]Course Totals'!O$4,'[1]import success seats course'!$1:$2,2,FALSE),FALSE)/(VLOOKUP($A553,'[1]import graded seats course pivo'!$A:AM,HLOOKUP('[1]Course Totals'!O$4,'[1]import graded seats course pivo'!$1:$2,2,FALSE),FALSE))),"")</f>
        <v/>
      </c>
      <c r="P553" s="14" t="str">
        <f>IFERROR((VLOOKUP($A553,'[1]import success seats course'!$A:AD,HLOOKUP('[1]Course Totals'!P$4,'[1]import success seats course'!$1:$2,2,FALSE),FALSE)/(VLOOKUP($A553,'[1]import graded seats course pivo'!$A:AN,HLOOKUP('[1]Course Totals'!P$4,'[1]import graded seats course pivo'!$1:$2,2,FALSE),FALSE))),"")</f>
        <v/>
      </c>
      <c r="Q553" s="14" t="str">
        <f>IFERROR((VLOOKUP($A553,'[1]import success seats course'!$A:AE,HLOOKUP('[1]Course Totals'!Q$4,'[1]import success seats course'!$1:$2,2,FALSE),FALSE)/(VLOOKUP($A553,'[1]import graded seats course pivo'!$A:AO,HLOOKUP('[1]Course Totals'!Q$4,'[1]import graded seats course pivo'!$1:$2,2,FALSE),FALSE))),"")</f>
        <v/>
      </c>
      <c r="R553" s="14" t="str">
        <f>IFERROR((VLOOKUP($A553,'[1]import success seats course'!$A:AF,HLOOKUP('[1]Course Totals'!R$4,'[1]import success seats course'!$1:$2,2,FALSE),FALSE)/(VLOOKUP($A553,'[1]import graded seats course pivo'!$A:AP,HLOOKUP('[1]Course Totals'!R$4,'[1]import graded seats course pivo'!$1:$2,2,FALSE),FALSE))),"")</f>
        <v/>
      </c>
      <c r="S553" s="14" t="str">
        <f>IFERROR((VLOOKUP($A553,'[1]import success seats course'!$A:AG,HLOOKUP('[1]Course Totals'!S$4,'[1]import success seats course'!$1:$2,2,FALSE),FALSE)/(VLOOKUP($A553,'[1]import graded seats course pivo'!$A:AQ,HLOOKUP('[1]Course Totals'!S$4,'[1]import graded seats course pivo'!$1:$2,2,FALSE),FALSE))),"")</f>
        <v/>
      </c>
      <c r="Z553" s="7"/>
      <c r="AA553" s="7"/>
      <c r="AB553" s="7"/>
      <c r="AC553" s="7"/>
    </row>
    <row r="554" spans="1:29" ht="15.75" customHeight="1" x14ac:dyDescent="0.25">
      <c r="A554" s="12" t="s">
        <v>988</v>
      </c>
      <c r="B554" s="14" t="str">
        <f>IFERROR((VLOOKUP($A554,'[1]import success seats course'!$A:P,HLOOKUP('[1]Course Totals'!B$4,'[1]import success seats course'!$1:$2,2,FALSE),FALSE)/(VLOOKUP($A554,'[1]import graded seats course pivo'!$A:Z,HLOOKUP('[1]Course Totals'!B$4,'[1]import graded seats course pivo'!$1:$2,2,FALSE),FALSE))),"")</f>
        <v/>
      </c>
      <c r="C554" s="14" t="str">
        <f>IFERROR((VLOOKUP($A554,'[1]import success seats course'!$A:Q,HLOOKUP('[1]Course Totals'!C$4,'[1]import success seats course'!$1:$2,2,FALSE),FALSE)/(VLOOKUP($A554,'[1]import graded seats course pivo'!$A:AA,HLOOKUP('[1]Course Totals'!C$4,'[1]import graded seats course pivo'!$1:$2,2,FALSE),FALSE))),"")</f>
        <v/>
      </c>
      <c r="D554" s="14" t="str">
        <f>IFERROR((VLOOKUP($A554,'[1]import success seats course'!$A:R,HLOOKUP('[1]Course Totals'!D$4,'[1]import success seats course'!$1:$2,2,FALSE),FALSE)/(VLOOKUP($A554,'[1]import graded seats course pivo'!$A:AB,HLOOKUP('[1]Course Totals'!D$4,'[1]import graded seats course pivo'!$1:$2,2,FALSE),FALSE))),"")</f>
        <v/>
      </c>
      <c r="E554" s="14" t="str">
        <f>IFERROR((VLOOKUP($A554,'[1]import success seats course'!$A:S,HLOOKUP('[1]Course Totals'!E$4,'[1]import success seats course'!$1:$2,2,FALSE),FALSE)/(VLOOKUP($A554,'[1]import graded seats course pivo'!$A:AC,HLOOKUP('[1]Course Totals'!E$4,'[1]import graded seats course pivo'!$1:$2,2,FALSE),FALSE))),"")</f>
        <v/>
      </c>
      <c r="F554" s="14" t="str">
        <f>IFERROR((VLOOKUP($A554,'[1]import success seats course'!$A:T,HLOOKUP('[1]Course Totals'!F$4,'[1]import success seats course'!$1:$2,2,FALSE),FALSE)/(VLOOKUP($A554,'[1]import graded seats course pivo'!$A:AD,HLOOKUP('[1]Course Totals'!F$4,'[1]import graded seats course pivo'!$1:$2,2,FALSE),FALSE))),"")</f>
        <v/>
      </c>
      <c r="G554" s="14">
        <f>IFERROR((VLOOKUP($A554,'[1]import success seats course'!$A:U,HLOOKUP('[1]Course Totals'!G$4,'[1]import success seats course'!$1:$2,2,FALSE),FALSE)/(VLOOKUP($A554,'[1]import graded seats course pivo'!$A:AE,HLOOKUP('[1]Course Totals'!G$4,'[1]import graded seats course pivo'!$1:$2,2,FALSE),FALSE))),"")</f>
        <v>1</v>
      </c>
      <c r="H554" s="14" t="str">
        <f>IFERROR((VLOOKUP($A554,'[1]import success seats course'!$A:V,HLOOKUP('[1]Course Totals'!H$4,'[1]import success seats course'!$1:$2,2,FALSE),FALSE)/(VLOOKUP($A554,'[1]import graded seats course pivo'!$A:AF,HLOOKUP('[1]Course Totals'!H$4,'[1]import graded seats course pivo'!$1:$2,2,FALSE),FALSE))),"")</f>
        <v/>
      </c>
      <c r="I554" s="14" t="str">
        <f>IFERROR((VLOOKUP($A554,'[1]import success seats course'!$A:W,HLOOKUP('[1]Course Totals'!I$4,'[1]import success seats course'!$1:$2,2,FALSE),FALSE)/(VLOOKUP($A554,'[1]import graded seats course pivo'!$A:AG,HLOOKUP('[1]Course Totals'!I$4,'[1]import graded seats course pivo'!$1:$2,2,FALSE),FALSE))),"")</f>
        <v/>
      </c>
      <c r="J554" s="14" t="str">
        <f>IFERROR((VLOOKUP($A554,'[1]import success seats course'!$A:X,HLOOKUP('[1]Course Totals'!J$4,'[1]import success seats course'!$1:$2,2,FALSE),FALSE)/(VLOOKUP($A554,'[1]import graded seats course pivo'!$A:AH,HLOOKUP('[1]Course Totals'!J$4,'[1]import graded seats course pivo'!$1:$2,2,FALSE),FALSE))),"")</f>
        <v/>
      </c>
      <c r="K554" s="14" t="str">
        <f>IFERROR((VLOOKUP($A554,'[1]import success seats course'!$A:Y,HLOOKUP('[1]Course Totals'!K$4,'[1]import success seats course'!$1:$2,2,FALSE),FALSE)/(VLOOKUP($A554,'[1]import graded seats course pivo'!$A:AI,HLOOKUP('[1]Course Totals'!K$4,'[1]import graded seats course pivo'!$1:$2,2,FALSE),FALSE))),"")</f>
        <v/>
      </c>
      <c r="L554" s="14" t="str">
        <f>IFERROR((VLOOKUP($A554,'[1]import success seats course'!$A:Z,HLOOKUP('[1]Course Totals'!L$4,'[1]import success seats course'!$1:$2,2,FALSE),FALSE)/(VLOOKUP($A554,'[1]import graded seats course pivo'!$A:AJ,HLOOKUP('[1]Course Totals'!L$4,'[1]import graded seats course pivo'!$1:$2,2,FALSE),FALSE))),"")</f>
        <v/>
      </c>
      <c r="M554" s="14" t="str">
        <f>IFERROR((VLOOKUP($A554,'[1]import success seats course'!$A:AA,HLOOKUP('[1]Course Totals'!M$4,'[1]import success seats course'!$1:$2,2,FALSE),FALSE)/(VLOOKUP($A554,'[1]import graded seats course pivo'!$A:AK,HLOOKUP('[1]Course Totals'!M$4,'[1]import graded seats course pivo'!$1:$2,2,FALSE),FALSE))),"")</f>
        <v/>
      </c>
      <c r="N554" s="14" t="str">
        <f>IFERROR((VLOOKUP($A554,'[1]import success seats course'!$A:AB,HLOOKUP('[1]Course Totals'!N$4,'[1]import success seats course'!$1:$2,2,FALSE),FALSE)/(VLOOKUP($A554,'[1]import graded seats course pivo'!$A:AL,HLOOKUP('[1]Course Totals'!N$4,'[1]import graded seats course pivo'!$1:$2,2,FALSE),FALSE))),"")</f>
        <v/>
      </c>
      <c r="O554" s="14" t="str">
        <f>IFERROR((VLOOKUP($A554,'[1]import success seats course'!$A:AC,HLOOKUP('[1]Course Totals'!O$4,'[1]import success seats course'!$1:$2,2,FALSE),FALSE)/(VLOOKUP($A554,'[1]import graded seats course pivo'!$A:AM,HLOOKUP('[1]Course Totals'!O$4,'[1]import graded seats course pivo'!$1:$2,2,FALSE),FALSE))),"")</f>
        <v/>
      </c>
      <c r="P554" s="14" t="str">
        <f>IFERROR((VLOOKUP($A554,'[1]import success seats course'!$A:AD,HLOOKUP('[1]Course Totals'!P$4,'[1]import success seats course'!$1:$2,2,FALSE),FALSE)/(VLOOKUP($A554,'[1]import graded seats course pivo'!$A:AN,HLOOKUP('[1]Course Totals'!P$4,'[1]import graded seats course pivo'!$1:$2,2,FALSE),FALSE))),"")</f>
        <v/>
      </c>
      <c r="Q554" s="14" t="str">
        <f>IFERROR((VLOOKUP($A554,'[1]import success seats course'!$A:AE,HLOOKUP('[1]Course Totals'!Q$4,'[1]import success seats course'!$1:$2,2,FALSE),FALSE)/(VLOOKUP($A554,'[1]import graded seats course pivo'!$A:AO,HLOOKUP('[1]Course Totals'!Q$4,'[1]import graded seats course pivo'!$1:$2,2,FALSE),FALSE))),"")</f>
        <v/>
      </c>
      <c r="R554" s="14" t="str">
        <f>IFERROR((VLOOKUP($A554,'[1]import success seats course'!$A:AF,HLOOKUP('[1]Course Totals'!R$4,'[1]import success seats course'!$1:$2,2,FALSE),FALSE)/(VLOOKUP($A554,'[1]import graded seats course pivo'!$A:AP,HLOOKUP('[1]Course Totals'!R$4,'[1]import graded seats course pivo'!$1:$2,2,FALSE),FALSE))),"")</f>
        <v/>
      </c>
      <c r="S554" s="14" t="str">
        <f>IFERROR((VLOOKUP($A554,'[1]import success seats course'!$A:AG,HLOOKUP('[1]Course Totals'!S$4,'[1]import success seats course'!$1:$2,2,FALSE),FALSE)/(VLOOKUP($A554,'[1]import graded seats course pivo'!$A:AQ,HLOOKUP('[1]Course Totals'!S$4,'[1]import graded seats course pivo'!$1:$2,2,FALSE),FALSE))),"")</f>
        <v/>
      </c>
      <c r="Z554" s="7"/>
      <c r="AA554" s="7"/>
      <c r="AB554" s="7"/>
      <c r="AC554" s="7"/>
    </row>
    <row r="555" spans="1:29" ht="15.75" customHeight="1" x14ac:dyDescent="0.25">
      <c r="A555" s="12" t="s">
        <v>989</v>
      </c>
      <c r="B555" s="14" t="str">
        <f>IFERROR((VLOOKUP($A555,'[1]import success seats course'!$A:P,HLOOKUP('[1]Course Totals'!B$4,'[1]import success seats course'!$1:$2,2,FALSE),FALSE)/(VLOOKUP($A555,'[1]import graded seats course pivo'!$A:Z,HLOOKUP('[1]Course Totals'!B$4,'[1]import graded seats course pivo'!$1:$2,2,FALSE),FALSE))),"")</f>
        <v/>
      </c>
      <c r="C555" s="14" t="str">
        <f>IFERROR((VLOOKUP($A555,'[1]import success seats course'!$A:Q,HLOOKUP('[1]Course Totals'!C$4,'[1]import success seats course'!$1:$2,2,FALSE),FALSE)/(VLOOKUP($A555,'[1]import graded seats course pivo'!$A:AA,HLOOKUP('[1]Course Totals'!C$4,'[1]import graded seats course pivo'!$1:$2,2,FALSE),FALSE))),"")</f>
        <v/>
      </c>
      <c r="D555" s="14" t="str">
        <f>IFERROR((VLOOKUP($A555,'[1]import success seats course'!$A:R,HLOOKUP('[1]Course Totals'!D$4,'[1]import success seats course'!$1:$2,2,FALSE),FALSE)/(VLOOKUP($A555,'[1]import graded seats course pivo'!$A:AB,HLOOKUP('[1]Course Totals'!D$4,'[1]import graded seats course pivo'!$1:$2,2,FALSE),FALSE))),"")</f>
        <v/>
      </c>
      <c r="E555" s="14" t="str">
        <f>IFERROR((VLOOKUP($A555,'[1]import success seats course'!$A:S,HLOOKUP('[1]Course Totals'!E$4,'[1]import success seats course'!$1:$2,2,FALSE),FALSE)/(VLOOKUP($A555,'[1]import graded seats course pivo'!$A:AC,HLOOKUP('[1]Course Totals'!E$4,'[1]import graded seats course pivo'!$1:$2,2,FALSE),FALSE))),"")</f>
        <v/>
      </c>
      <c r="F555" s="14" t="str">
        <f>IFERROR((VLOOKUP($A555,'[1]import success seats course'!$A:T,HLOOKUP('[1]Course Totals'!F$4,'[1]import success seats course'!$1:$2,2,FALSE),FALSE)/(VLOOKUP($A555,'[1]import graded seats course pivo'!$A:AD,HLOOKUP('[1]Course Totals'!F$4,'[1]import graded seats course pivo'!$1:$2,2,FALSE),FALSE))),"")</f>
        <v/>
      </c>
      <c r="G555" s="14">
        <f>IFERROR((VLOOKUP($A555,'[1]import success seats course'!$A:U,HLOOKUP('[1]Course Totals'!G$4,'[1]import success seats course'!$1:$2,2,FALSE),FALSE)/(VLOOKUP($A555,'[1]import graded seats course pivo'!$A:AE,HLOOKUP('[1]Course Totals'!G$4,'[1]import graded seats course pivo'!$1:$2,2,FALSE),FALSE))),"")</f>
        <v>1</v>
      </c>
      <c r="H555" s="14" t="str">
        <f>IFERROR((VLOOKUP($A555,'[1]import success seats course'!$A:V,HLOOKUP('[1]Course Totals'!H$4,'[1]import success seats course'!$1:$2,2,FALSE),FALSE)/(VLOOKUP($A555,'[1]import graded seats course pivo'!$A:AF,HLOOKUP('[1]Course Totals'!H$4,'[1]import graded seats course pivo'!$1:$2,2,FALSE),FALSE))),"")</f>
        <v/>
      </c>
      <c r="I555" s="14" t="str">
        <f>IFERROR((VLOOKUP($A555,'[1]import success seats course'!$A:W,HLOOKUP('[1]Course Totals'!I$4,'[1]import success seats course'!$1:$2,2,FALSE),FALSE)/(VLOOKUP($A555,'[1]import graded seats course pivo'!$A:AG,HLOOKUP('[1]Course Totals'!I$4,'[1]import graded seats course pivo'!$1:$2,2,FALSE),FALSE))),"")</f>
        <v/>
      </c>
      <c r="J555" s="14" t="str">
        <f>IFERROR((VLOOKUP($A555,'[1]import success seats course'!$A:X,HLOOKUP('[1]Course Totals'!J$4,'[1]import success seats course'!$1:$2,2,FALSE),FALSE)/(VLOOKUP($A555,'[1]import graded seats course pivo'!$A:AH,HLOOKUP('[1]Course Totals'!J$4,'[1]import graded seats course pivo'!$1:$2,2,FALSE),FALSE))),"")</f>
        <v/>
      </c>
      <c r="K555" s="14" t="str">
        <f>IFERROR((VLOOKUP($A555,'[1]import success seats course'!$A:Y,HLOOKUP('[1]Course Totals'!K$4,'[1]import success seats course'!$1:$2,2,FALSE),FALSE)/(VLOOKUP($A555,'[1]import graded seats course pivo'!$A:AI,HLOOKUP('[1]Course Totals'!K$4,'[1]import graded seats course pivo'!$1:$2,2,FALSE),FALSE))),"")</f>
        <v/>
      </c>
      <c r="L555" s="14" t="str">
        <f>IFERROR((VLOOKUP($A555,'[1]import success seats course'!$A:Z,HLOOKUP('[1]Course Totals'!L$4,'[1]import success seats course'!$1:$2,2,FALSE),FALSE)/(VLOOKUP($A555,'[1]import graded seats course pivo'!$A:AJ,HLOOKUP('[1]Course Totals'!L$4,'[1]import graded seats course pivo'!$1:$2,2,FALSE),FALSE))),"")</f>
        <v/>
      </c>
      <c r="M555" s="14" t="str">
        <f>IFERROR((VLOOKUP($A555,'[1]import success seats course'!$A:AA,HLOOKUP('[1]Course Totals'!M$4,'[1]import success seats course'!$1:$2,2,FALSE),FALSE)/(VLOOKUP($A555,'[1]import graded seats course pivo'!$A:AK,HLOOKUP('[1]Course Totals'!M$4,'[1]import graded seats course pivo'!$1:$2,2,FALSE),FALSE))),"")</f>
        <v/>
      </c>
      <c r="N555" s="14" t="str">
        <f>IFERROR((VLOOKUP($A555,'[1]import success seats course'!$A:AB,HLOOKUP('[1]Course Totals'!N$4,'[1]import success seats course'!$1:$2,2,FALSE),FALSE)/(VLOOKUP($A555,'[1]import graded seats course pivo'!$A:AL,HLOOKUP('[1]Course Totals'!N$4,'[1]import graded seats course pivo'!$1:$2,2,FALSE),FALSE))),"")</f>
        <v/>
      </c>
      <c r="O555" s="14" t="str">
        <f>IFERROR((VLOOKUP($A555,'[1]import success seats course'!$A:AC,HLOOKUP('[1]Course Totals'!O$4,'[1]import success seats course'!$1:$2,2,FALSE),FALSE)/(VLOOKUP($A555,'[1]import graded seats course pivo'!$A:AM,HLOOKUP('[1]Course Totals'!O$4,'[1]import graded seats course pivo'!$1:$2,2,FALSE),FALSE))),"")</f>
        <v/>
      </c>
      <c r="P555" s="14" t="str">
        <f>IFERROR((VLOOKUP($A555,'[1]import success seats course'!$A:AD,HLOOKUP('[1]Course Totals'!P$4,'[1]import success seats course'!$1:$2,2,FALSE),FALSE)/(VLOOKUP($A555,'[1]import graded seats course pivo'!$A:AN,HLOOKUP('[1]Course Totals'!P$4,'[1]import graded seats course pivo'!$1:$2,2,FALSE),FALSE))),"")</f>
        <v/>
      </c>
      <c r="Q555" s="14" t="str">
        <f>IFERROR((VLOOKUP($A555,'[1]import success seats course'!$A:AE,HLOOKUP('[1]Course Totals'!Q$4,'[1]import success seats course'!$1:$2,2,FALSE),FALSE)/(VLOOKUP($A555,'[1]import graded seats course pivo'!$A:AO,HLOOKUP('[1]Course Totals'!Q$4,'[1]import graded seats course pivo'!$1:$2,2,FALSE),FALSE))),"")</f>
        <v/>
      </c>
      <c r="R555" s="14" t="str">
        <f>IFERROR((VLOOKUP($A555,'[1]import success seats course'!$A:AF,HLOOKUP('[1]Course Totals'!R$4,'[1]import success seats course'!$1:$2,2,FALSE),FALSE)/(VLOOKUP($A555,'[1]import graded seats course pivo'!$A:AP,HLOOKUP('[1]Course Totals'!R$4,'[1]import graded seats course pivo'!$1:$2,2,FALSE),FALSE))),"")</f>
        <v/>
      </c>
      <c r="S555" s="14" t="str">
        <f>IFERROR((VLOOKUP($A555,'[1]import success seats course'!$A:AG,HLOOKUP('[1]Course Totals'!S$4,'[1]import success seats course'!$1:$2,2,FALSE),FALSE)/(VLOOKUP($A555,'[1]import graded seats course pivo'!$A:AQ,HLOOKUP('[1]Course Totals'!S$4,'[1]import graded seats course pivo'!$1:$2,2,FALSE),FALSE))),"")</f>
        <v/>
      </c>
      <c r="Z555" s="7"/>
      <c r="AA555" s="7"/>
      <c r="AB555" s="7"/>
      <c r="AC555" s="7"/>
    </row>
    <row r="556" spans="1:29" ht="15.75" customHeight="1" x14ac:dyDescent="0.25">
      <c r="A556" s="12" t="s">
        <v>1032</v>
      </c>
      <c r="B556" s="14" t="str">
        <f>IFERROR((VLOOKUP($A556,'[1]import success seats course'!$A:P,HLOOKUP('[1]Course Totals'!B$4,'[1]import success seats course'!$1:$2,2,FALSE),FALSE)/(VLOOKUP($A556,'[1]import graded seats course pivo'!$A:Z,HLOOKUP('[1]Course Totals'!B$4,'[1]import graded seats course pivo'!$1:$2,2,FALSE),FALSE))),"")</f>
        <v/>
      </c>
      <c r="C556" s="14" t="str">
        <f>IFERROR((VLOOKUP($A556,'[1]import success seats course'!$A:Q,HLOOKUP('[1]Course Totals'!C$4,'[1]import success seats course'!$1:$2,2,FALSE),FALSE)/(VLOOKUP($A556,'[1]import graded seats course pivo'!$A:AA,HLOOKUP('[1]Course Totals'!C$4,'[1]import graded seats course pivo'!$1:$2,2,FALSE),FALSE))),"")</f>
        <v/>
      </c>
      <c r="D556" s="14" t="str">
        <f>IFERROR((VLOOKUP($A556,'[1]import success seats course'!$A:R,HLOOKUP('[1]Course Totals'!D$4,'[1]import success seats course'!$1:$2,2,FALSE),FALSE)/(VLOOKUP($A556,'[1]import graded seats course pivo'!$A:AB,HLOOKUP('[1]Course Totals'!D$4,'[1]import graded seats course pivo'!$1:$2,2,FALSE),FALSE))),"")</f>
        <v/>
      </c>
      <c r="E556" s="14" t="str">
        <f>IFERROR((VLOOKUP($A556,'[1]import success seats course'!$A:S,HLOOKUP('[1]Course Totals'!E$4,'[1]import success seats course'!$1:$2,2,FALSE),FALSE)/(VLOOKUP($A556,'[1]import graded seats course pivo'!$A:AC,HLOOKUP('[1]Course Totals'!E$4,'[1]import graded seats course pivo'!$1:$2,2,FALSE),FALSE))),"")</f>
        <v/>
      </c>
      <c r="F556" s="14" t="str">
        <f>IFERROR((VLOOKUP($A556,'[1]import success seats course'!$A:T,HLOOKUP('[1]Course Totals'!F$4,'[1]import success seats course'!$1:$2,2,FALSE),FALSE)/(VLOOKUP($A556,'[1]import graded seats course pivo'!$A:AD,HLOOKUP('[1]Course Totals'!F$4,'[1]import graded seats course pivo'!$1:$2,2,FALSE),FALSE))),"")</f>
        <v/>
      </c>
      <c r="G556" s="14" t="str">
        <f>IFERROR((VLOOKUP($A556,'[1]import success seats course'!$A:U,HLOOKUP('[1]Course Totals'!G$4,'[1]import success seats course'!$1:$2,2,FALSE),FALSE)/(VLOOKUP($A556,'[1]import graded seats course pivo'!$A:AE,HLOOKUP('[1]Course Totals'!G$4,'[1]import graded seats course pivo'!$1:$2,2,FALSE),FALSE))),"")</f>
        <v/>
      </c>
      <c r="H556" s="14" t="str">
        <f>IFERROR((VLOOKUP($A556,'[1]import success seats course'!$A:V,HLOOKUP('[1]Course Totals'!H$4,'[1]import success seats course'!$1:$2,2,FALSE),FALSE)/(VLOOKUP($A556,'[1]import graded seats course pivo'!$A:AF,HLOOKUP('[1]Course Totals'!H$4,'[1]import graded seats course pivo'!$1:$2,2,FALSE),FALSE))),"")</f>
        <v/>
      </c>
      <c r="I556" s="14" t="str">
        <f>IFERROR((VLOOKUP($A556,'[1]import success seats course'!$A:W,HLOOKUP('[1]Course Totals'!I$4,'[1]import success seats course'!$1:$2,2,FALSE),FALSE)/(VLOOKUP($A556,'[1]import graded seats course pivo'!$A:AG,HLOOKUP('[1]Course Totals'!I$4,'[1]import graded seats course pivo'!$1:$2,2,FALSE),FALSE))),"")</f>
        <v/>
      </c>
      <c r="J556" s="14" t="str">
        <f>IFERROR((VLOOKUP($A556,'[1]import success seats course'!$A:X,HLOOKUP('[1]Course Totals'!J$4,'[1]import success seats course'!$1:$2,2,FALSE),FALSE)/(VLOOKUP($A556,'[1]import graded seats course pivo'!$A:AH,HLOOKUP('[1]Course Totals'!J$4,'[1]import graded seats course pivo'!$1:$2,2,FALSE),FALSE))),"")</f>
        <v/>
      </c>
      <c r="K556" s="14" t="str">
        <f>IFERROR((VLOOKUP($A556,'[1]import success seats course'!$A:Y,HLOOKUP('[1]Course Totals'!K$4,'[1]import success seats course'!$1:$2,2,FALSE),FALSE)/(VLOOKUP($A556,'[1]import graded seats course pivo'!$A:AI,HLOOKUP('[1]Course Totals'!K$4,'[1]import graded seats course pivo'!$1:$2,2,FALSE),FALSE))),"")</f>
        <v/>
      </c>
      <c r="L556" s="14" t="str">
        <f>IFERROR((VLOOKUP($A556,'[1]import success seats course'!$A:Z,HLOOKUP('[1]Course Totals'!L$4,'[1]import success seats course'!$1:$2,2,FALSE),FALSE)/(VLOOKUP($A556,'[1]import graded seats course pivo'!$A:AJ,HLOOKUP('[1]Course Totals'!L$4,'[1]import graded seats course pivo'!$1:$2,2,FALSE),FALSE))),"")</f>
        <v/>
      </c>
      <c r="M556" s="14">
        <f>IFERROR((VLOOKUP($A556,'[1]import success seats course'!$A:AA,HLOOKUP('[1]Course Totals'!M$4,'[1]import success seats course'!$1:$2,2,FALSE),FALSE)/(VLOOKUP($A556,'[1]import graded seats course pivo'!$A:AK,HLOOKUP('[1]Course Totals'!M$4,'[1]import graded seats course pivo'!$1:$2,2,FALSE),FALSE))),"")</f>
        <v>0.96666666666666667</v>
      </c>
      <c r="N556" s="14" t="str">
        <f>IFERROR((VLOOKUP($A556,'[1]import success seats course'!$A:AB,HLOOKUP('[1]Course Totals'!N$4,'[1]import success seats course'!$1:$2,2,FALSE),FALSE)/(VLOOKUP($A556,'[1]import graded seats course pivo'!$A:AL,HLOOKUP('[1]Course Totals'!N$4,'[1]import graded seats course pivo'!$1:$2,2,FALSE),FALSE))),"")</f>
        <v/>
      </c>
      <c r="O556" s="14" t="str">
        <f>IFERROR((VLOOKUP($A556,'[1]import success seats course'!$A:AC,HLOOKUP('[1]Course Totals'!O$4,'[1]import success seats course'!$1:$2,2,FALSE),FALSE)/(VLOOKUP($A556,'[1]import graded seats course pivo'!$A:AM,HLOOKUP('[1]Course Totals'!O$4,'[1]import graded seats course pivo'!$1:$2,2,FALSE),FALSE))),"")</f>
        <v/>
      </c>
      <c r="P556" s="14" t="str">
        <f>IFERROR((VLOOKUP($A556,'[1]import success seats course'!$A:AD,HLOOKUP('[1]Course Totals'!P$4,'[1]import success seats course'!$1:$2,2,FALSE),FALSE)/(VLOOKUP($A556,'[1]import graded seats course pivo'!$A:AN,HLOOKUP('[1]Course Totals'!P$4,'[1]import graded seats course pivo'!$1:$2,2,FALSE),FALSE))),"")</f>
        <v/>
      </c>
      <c r="Q556" s="14" t="str">
        <f>IFERROR((VLOOKUP($A556,'[1]import success seats course'!$A:AE,HLOOKUP('[1]Course Totals'!Q$4,'[1]import success seats course'!$1:$2,2,FALSE),FALSE)/(VLOOKUP($A556,'[1]import graded seats course pivo'!$A:AO,HLOOKUP('[1]Course Totals'!Q$4,'[1]import graded seats course pivo'!$1:$2,2,FALSE),FALSE))),"")</f>
        <v/>
      </c>
      <c r="R556" s="14" t="str">
        <f>IFERROR((VLOOKUP($A556,'[1]import success seats course'!$A:AF,HLOOKUP('[1]Course Totals'!R$4,'[1]import success seats course'!$1:$2,2,FALSE),FALSE)/(VLOOKUP($A556,'[1]import graded seats course pivo'!$A:AP,HLOOKUP('[1]Course Totals'!R$4,'[1]import graded seats course pivo'!$1:$2,2,FALSE),FALSE))),"")</f>
        <v/>
      </c>
      <c r="S556" s="14" t="str">
        <f>IFERROR((VLOOKUP($A556,'[1]import success seats course'!$A:AG,HLOOKUP('[1]Course Totals'!S$4,'[1]import success seats course'!$1:$2,2,FALSE),FALSE)/(VLOOKUP($A556,'[1]import graded seats course pivo'!$A:AQ,HLOOKUP('[1]Course Totals'!S$4,'[1]import graded seats course pivo'!$1:$2,2,FALSE),FALSE))),"")</f>
        <v/>
      </c>
      <c r="Z556" s="7"/>
      <c r="AA556" s="7"/>
      <c r="AB556" s="7"/>
      <c r="AC556" s="7"/>
    </row>
    <row r="557" spans="1:29" ht="15.75" customHeight="1" x14ac:dyDescent="0.25">
      <c r="A557" s="12" t="s">
        <v>725</v>
      </c>
      <c r="B557" s="14" t="str">
        <f>IFERROR((VLOOKUP($A557,'[1]import success seats course'!$A:P,HLOOKUP('[1]Course Totals'!B$4,'[1]import success seats course'!$1:$2,2,FALSE),FALSE)/(VLOOKUP($A557,'[1]import graded seats course pivo'!$A:Z,HLOOKUP('[1]Course Totals'!B$4,'[1]import graded seats course pivo'!$1:$2,2,FALSE),FALSE))),"")</f>
        <v/>
      </c>
      <c r="C557" s="14" t="str">
        <f>IFERROR((VLOOKUP($A557,'[1]import success seats course'!$A:Q,HLOOKUP('[1]Course Totals'!C$4,'[1]import success seats course'!$1:$2,2,FALSE),FALSE)/(VLOOKUP($A557,'[1]import graded seats course pivo'!$A:AA,HLOOKUP('[1]Course Totals'!C$4,'[1]import graded seats course pivo'!$1:$2,2,FALSE),FALSE))),"")</f>
        <v/>
      </c>
      <c r="D557" s="14" t="str">
        <f>IFERROR((VLOOKUP($A557,'[1]import success seats course'!$A:R,HLOOKUP('[1]Course Totals'!D$4,'[1]import success seats course'!$1:$2,2,FALSE),FALSE)/(VLOOKUP($A557,'[1]import graded seats course pivo'!$A:AB,HLOOKUP('[1]Course Totals'!D$4,'[1]import graded seats course pivo'!$1:$2,2,FALSE),FALSE))),"")</f>
        <v/>
      </c>
      <c r="E557" s="14" t="str">
        <f>IFERROR((VLOOKUP($A557,'[1]import success seats course'!$A:S,HLOOKUP('[1]Course Totals'!E$4,'[1]import success seats course'!$1:$2,2,FALSE),FALSE)/(VLOOKUP($A557,'[1]import graded seats course pivo'!$A:AC,HLOOKUP('[1]Course Totals'!E$4,'[1]import graded seats course pivo'!$1:$2,2,FALSE),FALSE))),"")</f>
        <v/>
      </c>
      <c r="F557" s="14" t="str">
        <f>IFERROR((VLOOKUP($A557,'[1]import success seats course'!$A:T,HLOOKUP('[1]Course Totals'!F$4,'[1]import success seats course'!$1:$2,2,FALSE),FALSE)/(VLOOKUP($A557,'[1]import graded seats course pivo'!$A:AD,HLOOKUP('[1]Course Totals'!F$4,'[1]import graded seats course pivo'!$1:$2,2,FALSE),FALSE))),"")</f>
        <v/>
      </c>
      <c r="G557" s="14">
        <f>IFERROR((VLOOKUP($A557,'[1]import success seats course'!$A:U,HLOOKUP('[1]Course Totals'!G$4,'[1]import success seats course'!$1:$2,2,FALSE),FALSE)/(VLOOKUP($A557,'[1]import graded seats course pivo'!$A:AE,HLOOKUP('[1]Course Totals'!G$4,'[1]import graded seats course pivo'!$1:$2,2,FALSE),FALSE))),"")</f>
        <v>1</v>
      </c>
      <c r="H557" s="14">
        <f>IFERROR((VLOOKUP($A557,'[1]import success seats course'!$A:V,HLOOKUP('[1]Course Totals'!H$4,'[1]import success seats course'!$1:$2,2,FALSE),FALSE)/(VLOOKUP($A557,'[1]import graded seats course pivo'!$A:AF,HLOOKUP('[1]Course Totals'!H$4,'[1]import graded seats course pivo'!$1:$2,2,FALSE),FALSE))),"")</f>
        <v>0.875</v>
      </c>
      <c r="I557" s="14">
        <f>IFERROR((VLOOKUP($A557,'[1]import success seats course'!$A:W,HLOOKUP('[1]Course Totals'!I$4,'[1]import success seats course'!$1:$2,2,FALSE),FALSE)/(VLOOKUP($A557,'[1]import graded seats course pivo'!$A:AG,HLOOKUP('[1]Course Totals'!I$4,'[1]import graded seats course pivo'!$1:$2,2,FALSE),FALSE))),"")</f>
        <v>0.88888888888888884</v>
      </c>
      <c r="J557" s="14">
        <f>IFERROR((VLOOKUP($A557,'[1]import success seats course'!$A:X,HLOOKUP('[1]Course Totals'!J$4,'[1]import success seats course'!$1:$2,2,FALSE),FALSE)/(VLOOKUP($A557,'[1]import graded seats course pivo'!$A:AH,HLOOKUP('[1]Course Totals'!J$4,'[1]import graded seats course pivo'!$1:$2,2,FALSE),FALSE))),"")</f>
        <v>1</v>
      </c>
      <c r="K557" s="14" t="str">
        <f>IFERROR((VLOOKUP($A557,'[1]import success seats course'!$A:Y,HLOOKUP('[1]Course Totals'!K$4,'[1]import success seats course'!$1:$2,2,FALSE),FALSE)/(VLOOKUP($A557,'[1]import graded seats course pivo'!$A:AI,HLOOKUP('[1]Course Totals'!K$4,'[1]import graded seats course pivo'!$1:$2,2,FALSE),FALSE))),"")</f>
        <v/>
      </c>
      <c r="L557" s="14">
        <f>IFERROR((VLOOKUP($A557,'[1]import success seats course'!$A:Z,HLOOKUP('[1]Course Totals'!L$4,'[1]import success seats course'!$1:$2,2,FALSE),FALSE)/(VLOOKUP($A557,'[1]import graded seats course pivo'!$A:AJ,HLOOKUP('[1]Course Totals'!L$4,'[1]import graded seats course pivo'!$1:$2,2,FALSE),FALSE))),"")</f>
        <v>0.88235294117647056</v>
      </c>
      <c r="M557" s="14" t="str">
        <f>IFERROR((VLOOKUP($A557,'[1]import success seats course'!$A:AA,HLOOKUP('[1]Course Totals'!M$4,'[1]import success seats course'!$1:$2,2,FALSE),FALSE)/(VLOOKUP($A557,'[1]import graded seats course pivo'!$A:AK,HLOOKUP('[1]Course Totals'!M$4,'[1]import graded seats course pivo'!$1:$2,2,FALSE),FALSE))),"")</f>
        <v/>
      </c>
      <c r="N557" s="14" t="str">
        <f>IFERROR((VLOOKUP($A557,'[1]import success seats course'!$A:AB,HLOOKUP('[1]Course Totals'!N$4,'[1]import success seats course'!$1:$2,2,FALSE),FALSE)/(VLOOKUP($A557,'[1]import graded seats course pivo'!$A:AL,HLOOKUP('[1]Course Totals'!N$4,'[1]import graded seats course pivo'!$1:$2,2,FALSE),FALSE))),"")</f>
        <v/>
      </c>
      <c r="O557" s="14">
        <f>IFERROR((VLOOKUP($A557,'[1]import success seats course'!$A:AC,HLOOKUP('[1]Course Totals'!O$4,'[1]import success seats course'!$1:$2,2,FALSE),FALSE)/(VLOOKUP($A557,'[1]import graded seats course pivo'!$A:AM,HLOOKUP('[1]Course Totals'!O$4,'[1]import graded seats course pivo'!$1:$2,2,FALSE),FALSE))),"")</f>
        <v>0.92307692307692313</v>
      </c>
      <c r="P557" s="14">
        <f>IFERROR((VLOOKUP($A557,'[1]import success seats course'!$A:AD,HLOOKUP('[1]Course Totals'!P$4,'[1]import success seats course'!$1:$2,2,FALSE),FALSE)/(VLOOKUP($A557,'[1]import graded seats course pivo'!$A:AN,HLOOKUP('[1]Course Totals'!P$4,'[1]import graded seats course pivo'!$1:$2,2,FALSE),FALSE))),"")</f>
        <v>0.85</v>
      </c>
      <c r="Q557" s="14" t="str">
        <f>IFERROR((VLOOKUP($A557,'[1]import success seats course'!$A:AE,HLOOKUP('[1]Course Totals'!Q$4,'[1]import success seats course'!$1:$2,2,FALSE),FALSE)/(VLOOKUP($A557,'[1]import graded seats course pivo'!$A:AO,HLOOKUP('[1]Course Totals'!Q$4,'[1]import graded seats course pivo'!$1:$2,2,FALSE),FALSE))),"")</f>
        <v/>
      </c>
      <c r="R557" s="14">
        <f>IFERROR((VLOOKUP($A557,'[1]import success seats course'!$A:AF,HLOOKUP('[1]Course Totals'!R$4,'[1]import success seats course'!$1:$2,2,FALSE),FALSE)/(VLOOKUP($A557,'[1]import graded seats course pivo'!$A:AP,HLOOKUP('[1]Course Totals'!R$4,'[1]import graded seats course pivo'!$1:$2,2,FALSE),FALSE))),"")</f>
        <v>0.75</v>
      </c>
      <c r="S557" s="14" t="str">
        <f>IFERROR((VLOOKUP($A557,'[1]import success seats course'!$A:AG,HLOOKUP('[1]Course Totals'!S$4,'[1]import success seats course'!$1:$2,2,FALSE),FALSE)/(VLOOKUP($A557,'[1]import graded seats course pivo'!$A:AQ,HLOOKUP('[1]Course Totals'!S$4,'[1]import graded seats course pivo'!$1:$2,2,FALSE),FALSE))),"")</f>
        <v/>
      </c>
      <c r="Z557" s="7"/>
      <c r="AA557" s="7"/>
      <c r="AB557" s="7"/>
      <c r="AC557" s="7"/>
    </row>
    <row r="558" spans="1:29" ht="15.75" customHeight="1" x14ac:dyDescent="0.25">
      <c r="A558" s="12" t="s">
        <v>726</v>
      </c>
      <c r="B558" s="14" t="str">
        <f>IFERROR((VLOOKUP($A558,'[1]import success seats course'!$A:P,HLOOKUP('[1]Course Totals'!B$4,'[1]import success seats course'!$1:$2,2,FALSE),FALSE)/(VLOOKUP($A558,'[1]import graded seats course pivo'!$A:Z,HLOOKUP('[1]Course Totals'!B$4,'[1]import graded seats course pivo'!$1:$2,2,FALSE),FALSE))),"")</f>
        <v/>
      </c>
      <c r="C558" s="14" t="str">
        <f>IFERROR((VLOOKUP($A558,'[1]import success seats course'!$A:Q,HLOOKUP('[1]Course Totals'!C$4,'[1]import success seats course'!$1:$2,2,FALSE),FALSE)/(VLOOKUP($A558,'[1]import graded seats course pivo'!$A:AA,HLOOKUP('[1]Course Totals'!C$4,'[1]import graded seats course pivo'!$1:$2,2,FALSE),FALSE))),"")</f>
        <v/>
      </c>
      <c r="D558" s="14" t="str">
        <f>IFERROR((VLOOKUP($A558,'[1]import success seats course'!$A:R,HLOOKUP('[1]Course Totals'!D$4,'[1]import success seats course'!$1:$2,2,FALSE),FALSE)/(VLOOKUP($A558,'[1]import graded seats course pivo'!$A:AB,HLOOKUP('[1]Course Totals'!D$4,'[1]import graded seats course pivo'!$1:$2,2,FALSE),FALSE))),"")</f>
        <v/>
      </c>
      <c r="E558" s="14" t="str">
        <f>IFERROR((VLOOKUP($A558,'[1]import success seats course'!$A:S,HLOOKUP('[1]Course Totals'!E$4,'[1]import success seats course'!$1:$2,2,FALSE),FALSE)/(VLOOKUP($A558,'[1]import graded seats course pivo'!$A:AC,HLOOKUP('[1]Course Totals'!E$4,'[1]import graded seats course pivo'!$1:$2,2,FALSE),FALSE))),"")</f>
        <v/>
      </c>
      <c r="F558" s="14" t="str">
        <f>IFERROR((VLOOKUP($A558,'[1]import success seats course'!$A:T,HLOOKUP('[1]Course Totals'!F$4,'[1]import success seats course'!$1:$2,2,FALSE),FALSE)/(VLOOKUP($A558,'[1]import graded seats course pivo'!$A:AD,HLOOKUP('[1]Course Totals'!F$4,'[1]import graded seats course pivo'!$1:$2,2,FALSE),FALSE))),"")</f>
        <v/>
      </c>
      <c r="G558" s="14" t="str">
        <f>IFERROR((VLOOKUP($A558,'[1]import success seats course'!$A:U,HLOOKUP('[1]Course Totals'!G$4,'[1]import success seats course'!$1:$2,2,FALSE),FALSE)/(VLOOKUP($A558,'[1]import graded seats course pivo'!$A:AE,HLOOKUP('[1]Course Totals'!G$4,'[1]import graded seats course pivo'!$1:$2,2,FALSE),FALSE))),"")</f>
        <v/>
      </c>
      <c r="H558" s="14" t="str">
        <f>IFERROR((VLOOKUP($A558,'[1]import success seats course'!$A:V,HLOOKUP('[1]Course Totals'!H$4,'[1]import success seats course'!$1:$2,2,FALSE),FALSE)/(VLOOKUP($A558,'[1]import graded seats course pivo'!$A:AF,HLOOKUP('[1]Course Totals'!H$4,'[1]import graded seats course pivo'!$1:$2,2,FALSE),FALSE))),"")</f>
        <v/>
      </c>
      <c r="I558" s="14">
        <f>IFERROR((VLOOKUP($A558,'[1]import success seats course'!$A:W,HLOOKUP('[1]Course Totals'!I$4,'[1]import success seats course'!$1:$2,2,FALSE),FALSE)/(VLOOKUP($A558,'[1]import graded seats course pivo'!$A:AG,HLOOKUP('[1]Course Totals'!I$4,'[1]import graded seats course pivo'!$1:$2,2,FALSE),FALSE))),"")</f>
        <v>0.92</v>
      </c>
      <c r="J558" s="14">
        <f>IFERROR((VLOOKUP($A558,'[1]import success seats course'!$A:X,HLOOKUP('[1]Course Totals'!J$4,'[1]import success seats course'!$1:$2,2,FALSE),FALSE)/(VLOOKUP($A558,'[1]import graded seats course pivo'!$A:AH,HLOOKUP('[1]Course Totals'!J$4,'[1]import graded seats course pivo'!$1:$2,2,FALSE),FALSE))),"")</f>
        <v>0.875</v>
      </c>
      <c r="K558" s="14" t="str">
        <f>IFERROR((VLOOKUP($A558,'[1]import success seats course'!$A:Y,HLOOKUP('[1]Course Totals'!K$4,'[1]import success seats course'!$1:$2,2,FALSE),FALSE)/(VLOOKUP($A558,'[1]import graded seats course pivo'!$A:AI,HLOOKUP('[1]Course Totals'!K$4,'[1]import graded seats course pivo'!$1:$2,2,FALSE),FALSE))),"")</f>
        <v/>
      </c>
      <c r="L558" s="14">
        <f>IFERROR((VLOOKUP($A558,'[1]import success seats course'!$A:Z,HLOOKUP('[1]Course Totals'!L$4,'[1]import success seats course'!$1:$2,2,FALSE),FALSE)/(VLOOKUP($A558,'[1]import graded seats course pivo'!$A:AJ,HLOOKUP('[1]Course Totals'!L$4,'[1]import graded seats course pivo'!$1:$2,2,FALSE),FALSE))),"")</f>
        <v>0.7142857142857143</v>
      </c>
      <c r="M558" s="14">
        <f>IFERROR((VLOOKUP($A558,'[1]import success seats course'!$A:AA,HLOOKUP('[1]Course Totals'!M$4,'[1]import success seats course'!$1:$2,2,FALSE),FALSE)/(VLOOKUP($A558,'[1]import graded seats course pivo'!$A:AK,HLOOKUP('[1]Course Totals'!M$4,'[1]import graded seats course pivo'!$1:$2,2,FALSE),FALSE))),"")</f>
        <v>0.94871794871794868</v>
      </c>
      <c r="N558" s="14" t="str">
        <f>IFERROR((VLOOKUP($A558,'[1]import success seats course'!$A:AB,HLOOKUP('[1]Course Totals'!N$4,'[1]import success seats course'!$1:$2,2,FALSE),FALSE)/(VLOOKUP($A558,'[1]import graded seats course pivo'!$A:AL,HLOOKUP('[1]Course Totals'!N$4,'[1]import graded seats course pivo'!$1:$2,2,FALSE),FALSE))),"")</f>
        <v/>
      </c>
      <c r="O558" s="14">
        <f>IFERROR((VLOOKUP($A558,'[1]import success seats course'!$A:AC,HLOOKUP('[1]Course Totals'!O$4,'[1]import success seats course'!$1:$2,2,FALSE),FALSE)/(VLOOKUP($A558,'[1]import graded seats course pivo'!$A:AM,HLOOKUP('[1]Course Totals'!O$4,'[1]import graded seats course pivo'!$1:$2,2,FALSE),FALSE))),"")</f>
        <v>0.875</v>
      </c>
      <c r="P558" s="14">
        <f>IFERROR((VLOOKUP($A558,'[1]import success seats course'!$A:AD,HLOOKUP('[1]Course Totals'!P$4,'[1]import success seats course'!$1:$2,2,FALSE),FALSE)/(VLOOKUP($A558,'[1]import graded seats course pivo'!$A:AN,HLOOKUP('[1]Course Totals'!P$4,'[1]import graded seats course pivo'!$1:$2,2,FALSE),FALSE))),"")</f>
        <v>0.8125</v>
      </c>
      <c r="Q558" s="14" t="str">
        <f>IFERROR((VLOOKUP($A558,'[1]import success seats course'!$A:AE,HLOOKUP('[1]Course Totals'!Q$4,'[1]import success seats course'!$1:$2,2,FALSE),FALSE)/(VLOOKUP($A558,'[1]import graded seats course pivo'!$A:AO,HLOOKUP('[1]Course Totals'!Q$4,'[1]import graded seats course pivo'!$1:$2,2,FALSE),FALSE))),"")</f>
        <v/>
      </c>
      <c r="R558" s="14">
        <f>IFERROR((VLOOKUP($A558,'[1]import success seats course'!$A:AF,HLOOKUP('[1]Course Totals'!R$4,'[1]import success seats course'!$1:$2,2,FALSE),FALSE)/(VLOOKUP($A558,'[1]import graded seats course pivo'!$A:AP,HLOOKUP('[1]Course Totals'!R$4,'[1]import graded seats course pivo'!$1:$2,2,FALSE),FALSE))),"")</f>
        <v>0.86363636363636365</v>
      </c>
      <c r="S558" s="14">
        <f>IFERROR((VLOOKUP($A558,'[1]import success seats course'!$A:AG,HLOOKUP('[1]Course Totals'!S$4,'[1]import success seats course'!$1:$2,2,FALSE),FALSE)/(VLOOKUP($A558,'[1]import graded seats course pivo'!$A:AQ,HLOOKUP('[1]Course Totals'!S$4,'[1]import graded seats course pivo'!$1:$2,2,FALSE),FALSE))),"")</f>
        <v>0.92</v>
      </c>
      <c r="Z558" s="7"/>
      <c r="AA558" s="7"/>
      <c r="AB558" s="7"/>
      <c r="AC558" s="7"/>
    </row>
    <row r="559" spans="1:29" ht="15.75" customHeight="1" x14ac:dyDescent="0.25">
      <c r="A559" s="12" t="s">
        <v>727</v>
      </c>
      <c r="B559" s="14" t="str">
        <f>IFERROR((VLOOKUP($A559,'[1]import success seats course'!$A:P,HLOOKUP('[1]Course Totals'!B$4,'[1]import success seats course'!$1:$2,2,FALSE),FALSE)/(VLOOKUP($A559,'[1]import graded seats course pivo'!$A:Z,HLOOKUP('[1]Course Totals'!B$4,'[1]import graded seats course pivo'!$1:$2,2,FALSE),FALSE))),"")</f>
        <v/>
      </c>
      <c r="C559" s="14" t="str">
        <f>IFERROR((VLOOKUP($A559,'[1]import success seats course'!$A:Q,HLOOKUP('[1]Course Totals'!C$4,'[1]import success seats course'!$1:$2,2,FALSE),FALSE)/(VLOOKUP($A559,'[1]import graded seats course pivo'!$A:AA,HLOOKUP('[1]Course Totals'!C$4,'[1]import graded seats course pivo'!$1:$2,2,FALSE),FALSE))),"")</f>
        <v/>
      </c>
      <c r="D559" s="14" t="str">
        <f>IFERROR((VLOOKUP($A559,'[1]import success seats course'!$A:R,HLOOKUP('[1]Course Totals'!D$4,'[1]import success seats course'!$1:$2,2,FALSE),FALSE)/(VLOOKUP($A559,'[1]import graded seats course pivo'!$A:AB,HLOOKUP('[1]Course Totals'!D$4,'[1]import graded seats course pivo'!$1:$2,2,FALSE),FALSE))),"")</f>
        <v/>
      </c>
      <c r="E559" s="14" t="str">
        <f>IFERROR((VLOOKUP($A559,'[1]import success seats course'!$A:S,HLOOKUP('[1]Course Totals'!E$4,'[1]import success seats course'!$1:$2,2,FALSE),FALSE)/(VLOOKUP($A559,'[1]import graded seats course pivo'!$A:AC,HLOOKUP('[1]Course Totals'!E$4,'[1]import graded seats course pivo'!$1:$2,2,FALSE),FALSE))),"")</f>
        <v/>
      </c>
      <c r="F559" s="14" t="str">
        <f>IFERROR((VLOOKUP($A559,'[1]import success seats course'!$A:T,HLOOKUP('[1]Course Totals'!F$4,'[1]import success seats course'!$1:$2,2,FALSE),FALSE)/(VLOOKUP($A559,'[1]import graded seats course pivo'!$A:AD,HLOOKUP('[1]Course Totals'!F$4,'[1]import graded seats course pivo'!$1:$2,2,FALSE),FALSE))),"")</f>
        <v/>
      </c>
      <c r="G559" s="14" t="str">
        <f>IFERROR((VLOOKUP($A559,'[1]import success seats course'!$A:U,HLOOKUP('[1]Course Totals'!G$4,'[1]import success seats course'!$1:$2,2,FALSE),FALSE)/(VLOOKUP($A559,'[1]import graded seats course pivo'!$A:AE,HLOOKUP('[1]Course Totals'!G$4,'[1]import graded seats course pivo'!$1:$2,2,FALSE),FALSE))),"")</f>
        <v/>
      </c>
      <c r="H559" s="14" t="str">
        <f>IFERROR((VLOOKUP($A559,'[1]import success seats course'!$A:V,HLOOKUP('[1]Course Totals'!H$4,'[1]import success seats course'!$1:$2,2,FALSE),FALSE)/(VLOOKUP($A559,'[1]import graded seats course pivo'!$A:AF,HLOOKUP('[1]Course Totals'!H$4,'[1]import graded seats course pivo'!$1:$2,2,FALSE),FALSE))),"")</f>
        <v/>
      </c>
      <c r="I559" s="14">
        <f>IFERROR((VLOOKUP($A559,'[1]import success seats course'!$A:W,HLOOKUP('[1]Course Totals'!I$4,'[1]import success seats course'!$1:$2,2,FALSE),FALSE)/(VLOOKUP($A559,'[1]import graded seats course pivo'!$A:AG,HLOOKUP('[1]Course Totals'!I$4,'[1]import graded seats course pivo'!$1:$2,2,FALSE),FALSE))),"")</f>
        <v>0.88461538461538458</v>
      </c>
      <c r="J559" s="14">
        <f>IFERROR((VLOOKUP($A559,'[1]import success seats course'!$A:X,HLOOKUP('[1]Course Totals'!J$4,'[1]import success seats course'!$1:$2,2,FALSE),FALSE)/(VLOOKUP($A559,'[1]import graded seats course pivo'!$A:AH,HLOOKUP('[1]Course Totals'!J$4,'[1]import graded seats course pivo'!$1:$2,2,FALSE),FALSE))),"")</f>
        <v>0.7</v>
      </c>
      <c r="K559" s="14" t="str">
        <f>IFERROR((VLOOKUP($A559,'[1]import success seats course'!$A:Y,HLOOKUP('[1]Course Totals'!K$4,'[1]import success seats course'!$1:$2,2,FALSE),FALSE)/(VLOOKUP($A559,'[1]import graded seats course pivo'!$A:AI,HLOOKUP('[1]Course Totals'!K$4,'[1]import graded seats course pivo'!$1:$2,2,FALSE),FALSE))),"")</f>
        <v/>
      </c>
      <c r="L559" s="14">
        <f>IFERROR((VLOOKUP($A559,'[1]import success seats course'!$A:Z,HLOOKUP('[1]Course Totals'!L$4,'[1]import success seats course'!$1:$2,2,FALSE),FALSE)/(VLOOKUP($A559,'[1]import graded seats course pivo'!$A:AJ,HLOOKUP('[1]Course Totals'!L$4,'[1]import graded seats course pivo'!$1:$2,2,FALSE),FALSE))),"")</f>
        <v>0.84</v>
      </c>
      <c r="M559" s="14">
        <f>IFERROR((VLOOKUP($A559,'[1]import success seats course'!$A:AA,HLOOKUP('[1]Course Totals'!M$4,'[1]import success seats course'!$1:$2,2,FALSE),FALSE)/(VLOOKUP($A559,'[1]import graded seats course pivo'!$A:AK,HLOOKUP('[1]Course Totals'!M$4,'[1]import graded seats course pivo'!$1:$2,2,FALSE),FALSE))),"")</f>
        <v>0.81818181818181823</v>
      </c>
      <c r="N559" s="14" t="str">
        <f>IFERROR((VLOOKUP($A559,'[1]import success seats course'!$A:AB,HLOOKUP('[1]Course Totals'!N$4,'[1]import success seats course'!$1:$2,2,FALSE),FALSE)/(VLOOKUP($A559,'[1]import graded seats course pivo'!$A:AL,HLOOKUP('[1]Course Totals'!N$4,'[1]import graded seats course pivo'!$1:$2,2,FALSE),FALSE))),"")</f>
        <v/>
      </c>
      <c r="O559" s="14">
        <f>IFERROR((VLOOKUP($A559,'[1]import success seats course'!$A:AC,HLOOKUP('[1]Course Totals'!O$4,'[1]import success seats course'!$1:$2,2,FALSE),FALSE)/(VLOOKUP($A559,'[1]import graded seats course pivo'!$A:AM,HLOOKUP('[1]Course Totals'!O$4,'[1]import graded seats course pivo'!$1:$2,2,FALSE),FALSE))),"")</f>
        <v>0.90909090909090906</v>
      </c>
      <c r="P559" s="14">
        <f>IFERROR((VLOOKUP($A559,'[1]import success seats course'!$A:AD,HLOOKUP('[1]Course Totals'!P$4,'[1]import success seats course'!$1:$2,2,FALSE),FALSE)/(VLOOKUP($A559,'[1]import graded seats course pivo'!$A:AN,HLOOKUP('[1]Course Totals'!P$4,'[1]import graded seats course pivo'!$1:$2,2,FALSE),FALSE))),"")</f>
        <v>0.92307692307692313</v>
      </c>
      <c r="Q559" s="14" t="str">
        <f>IFERROR((VLOOKUP($A559,'[1]import success seats course'!$A:AE,HLOOKUP('[1]Course Totals'!Q$4,'[1]import success seats course'!$1:$2,2,FALSE),FALSE)/(VLOOKUP($A559,'[1]import graded seats course pivo'!$A:AO,HLOOKUP('[1]Course Totals'!Q$4,'[1]import graded seats course pivo'!$1:$2,2,FALSE),FALSE))),"")</f>
        <v/>
      </c>
      <c r="R559" s="14">
        <f>IFERROR((VLOOKUP($A559,'[1]import success seats course'!$A:AF,HLOOKUP('[1]Course Totals'!R$4,'[1]import success seats course'!$1:$2,2,FALSE),FALSE)/(VLOOKUP($A559,'[1]import graded seats course pivo'!$A:AP,HLOOKUP('[1]Course Totals'!R$4,'[1]import graded seats course pivo'!$1:$2,2,FALSE),FALSE))),"")</f>
        <v>0.88235294117647056</v>
      </c>
      <c r="S559" s="14">
        <f>IFERROR((VLOOKUP($A559,'[1]import success seats course'!$A:AG,HLOOKUP('[1]Course Totals'!S$4,'[1]import success seats course'!$1:$2,2,FALSE),FALSE)/(VLOOKUP($A559,'[1]import graded seats course pivo'!$A:AQ,HLOOKUP('[1]Course Totals'!S$4,'[1]import graded seats course pivo'!$1:$2,2,FALSE),FALSE))),"")</f>
        <v>0.84615384615384615</v>
      </c>
      <c r="Z559" s="7"/>
      <c r="AA559" s="7"/>
      <c r="AB559" s="7"/>
      <c r="AC559" s="7"/>
    </row>
    <row r="560" spans="1:29" ht="15.75" customHeight="1" x14ac:dyDescent="0.25">
      <c r="A560" s="12" t="s">
        <v>843</v>
      </c>
      <c r="B560" s="14" t="str">
        <f>IFERROR((VLOOKUP($A560,'[1]import success seats course'!$A:P,HLOOKUP('[1]Course Totals'!B$4,'[1]import success seats course'!$1:$2,2,FALSE),FALSE)/(VLOOKUP($A560,'[1]import graded seats course pivo'!$A:Z,HLOOKUP('[1]Course Totals'!B$4,'[1]import graded seats course pivo'!$1:$2,2,FALSE),FALSE))),"")</f>
        <v/>
      </c>
      <c r="C560" s="14" t="str">
        <f>IFERROR((VLOOKUP($A560,'[1]import success seats course'!$A:Q,HLOOKUP('[1]Course Totals'!C$4,'[1]import success seats course'!$1:$2,2,FALSE),FALSE)/(VLOOKUP($A560,'[1]import graded seats course pivo'!$A:AA,HLOOKUP('[1]Course Totals'!C$4,'[1]import graded seats course pivo'!$1:$2,2,FALSE),FALSE))),"")</f>
        <v/>
      </c>
      <c r="D560" s="14" t="str">
        <f>IFERROR((VLOOKUP($A560,'[1]import success seats course'!$A:R,HLOOKUP('[1]Course Totals'!D$4,'[1]import success seats course'!$1:$2,2,FALSE),FALSE)/(VLOOKUP($A560,'[1]import graded seats course pivo'!$A:AB,HLOOKUP('[1]Course Totals'!D$4,'[1]import graded seats course pivo'!$1:$2,2,FALSE),FALSE))),"")</f>
        <v/>
      </c>
      <c r="E560" s="14" t="str">
        <f>IFERROR((VLOOKUP($A560,'[1]import success seats course'!$A:S,HLOOKUP('[1]Course Totals'!E$4,'[1]import success seats course'!$1:$2,2,FALSE),FALSE)/(VLOOKUP($A560,'[1]import graded seats course pivo'!$A:AC,HLOOKUP('[1]Course Totals'!E$4,'[1]import graded seats course pivo'!$1:$2,2,FALSE),FALSE))),"")</f>
        <v/>
      </c>
      <c r="F560" s="14" t="str">
        <f>IFERROR((VLOOKUP($A560,'[1]import success seats course'!$A:T,HLOOKUP('[1]Course Totals'!F$4,'[1]import success seats course'!$1:$2,2,FALSE),FALSE)/(VLOOKUP($A560,'[1]import graded seats course pivo'!$A:AD,HLOOKUP('[1]Course Totals'!F$4,'[1]import graded seats course pivo'!$1:$2,2,FALSE),FALSE))),"")</f>
        <v/>
      </c>
      <c r="G560" s="14" t="str">
        <f>IFERROR((VLOOKUP($A560,'[1]import success seats course'!$A:U,HLOOKUP('[1]Course Totals'!G$4,'[1]import success seats course'!$1:$2,2,FALSE),FALSE)/(VLOOKUP($A560,'[1]import graded seats course pivo'!$A:AE,HLOOKUP('[1]Course Totals'!G$4,'[1]import graded seats course pivo'!$1:$2,2,FALSE),FALSE))),"")</f>
        <v/>
      </c>
      <c r="H560" s="14" t="str">
        <f>IFERROR((VLOOKUP($A560,'[1]import success seats course'!$A:V,HLOOKUP('[1]Course Totals'!H$4,'[1]import success seats course'!$1:$2,2,FALSE),FALSE)/(VLOOKUP($A560,'[1]import graded seats course pivo'!$A:AF,HLOOKUP('[1]Course Totals'!H$4,'[1]import graded seats course pivo'!$1:$2,2,FALSE),FALSE))),"")</f>
        <v/>
      </c>
      <c r="I560" s="14" t="str">
        <f>IFERROR((VLOOKUP($A560,'[1]import success seats course'!$A:W,HLOOKUP('[1]Course Totals'!I$4,'[1]import success seats course'!$1:$2,2,FALSE),FALSE)/(VLOOKUP($A560,'[1]import graded seats course pivo'!$A:AG,HLOOKUP('[1]Course Totals'!I$4,'[1]import graded seats course pivo'!$1:$2,2,FALSE),FALSE))),"")</f>
        <v/>
      </c>
      <c r="J560" s="14" t="str">
        <f>IFERROR((VLOOKUP($A560,'[1]import success seats course'!$A:X,HLOOKUP('[1]Course Totals'!J$4,'[1]import success seats course'!$1:$2,2,FALSE),FALSE)/(VLOOKUP($A560,'[1]import graded seats course pivo'!$A:AH,HLOOKUP('[1]Course Totals'!J$4,'[1]import graded seats course pivo'!$1:$2,2,FALSE),FALSE))),"")</f>
        <v/>
      </c>
      <c r="K560" s="14" t="str">
        <f>IFERROR((VLOOKUP($A560,'[1]import success seats course'!$A:Y,HLOOKUP('[1]Course Totals'!K$4,'[1]import success seats course'!$1:$2,2,FALSE),FALSE)/(VLOOKUP($A560,'[1]import graded seats course pivo'!$A:AI,HLOOKUP('[1]Course Totals'!K$4,'[1]import graded seats course pivo'!$1:$2,2,FALSE),FALSE))),"")</f>
        <v/>
      </c>
      <c r="L560" s="14" t="str">
        <f>IFERROR((VLOOKUP($A560,'[1]import success seats course'!$A:Z,HLOOKUP('[1]Course Totals'!L$4,'[1]import success seats course'!$1:$2,2,FALSE),FALSE)/(VLOOKUP($A560,'[1]import graded seats course pivo'!$A:AJ,HLOOKUP('[1]Course Totals'!L$4,'[1]import graded seats course pivo'!$1:$2,2,FALSE),FALSE))),"")</f>
        <v/>
      </c>
      <c r="M560" s="14">
        <f>IFERROR((VLOOKUP($A560,'[1]import success seats course'!$A:AA,HLOOKUP('[1]Course Totals'!M$4,'[1]import success seats course'!$1:$2,2,FALSE),FALSE)/(VLOOKUP($A560,'[1]import graded seats course pivo'!$A:AK,HLOOKUP('[1]Course Totals'!M$4,'[1]import graded seats course pivo'!$1:$2,2,FALSE),FALSE))),"")</f>
        <v>0.91304347826086951</v>
      </c>
      <c r="N560" s="14" t="str">
        <f>IFERROR((VLOOKUP($A560,'[1]import success seats course'!$A:AB,HLOOKUP('[1]Course Totals'!N$4,'[1]import success seats course'!$1:$2,2,FALSE),FALSE)/(VLOOKUP($A560,'[1]import graded seats course pivo'!$A:AL,HLOOKUP('[1]Course Totals'!N$4,'[1]import graded seats course pivo'!$1:$2,2,FALSE),FALSE))),"")</f>
        <v/>
      </c>
      <c r="O560" s="14">
        <f>IFERROR((VLOOKUP($A560,'[1]import success seats course'!$A:AC,HLOOKUP('[1]Course Totals'!O$4,'[1]import success seats course'!$1:$2,2,FALSE),FALSE)/(VLOOKUP($A560,'[1]import graded seats course pivo'!$A:AM,HLOOKUP('[1]Course Totals'!O$4,'[1]import graded seats course pivo'!$1:$2,2,FALSE),FALSE))),"")</f>
        <v>0.95652173913043481</v>
      </c>
      <c r="P560" s="14">
        <f>IFERROR((VLOOKUP($A560,'[1]import success seats course'!$A:AD,HLOOKUP('[1]Course Totals'!P$4,'[1]import success seats course'!$1:$2,2,FALSE),FALSE)/(VLOOKUP($A560,'[1]import graded seats course pivo'!$A:AN,HLOOKUP('[1]Course Totals'!P$4,'[1]import graded seats course pivo'!$1:$2,2,FALSE),FALSE))),"")</f>
        <v>0.9285714285714286</v>
      </c>
      <c r="Q560" s="14" t="str">
        <f>IFERROR((VLOOKUP($A560,'[1]import success seats course'!$A:AE,HLOOKUP('[1]Course Totals'!Q$4,'[1]import success seats course'!$1:$2,2,FALSE),FALSE)/(VLOOKUP($A560,'[1]import graded seats course pivo'!$A:AO,HLOOKUP('[1]Course Totals'!Q$4,'[1]import graded seats course pivo'!$1:$2,2,FALSE),FALSE))),"")</f>
        <v/>
      </c>
      <c r="R560" s="14">
        <f>IFERROR((VLOOKUP($A560,'[1]import success seats course'!$A:AF,HLOOKUP('[1]Course Totals'!R$4,'[1]import success seats course'!$1:$2,2,FALSE),FALSE)/(VLOOKUP($A560,'[1]import graded seats course pivo'!$A:AP,HLOOKUP('[1]Course Totals'!R$4,'[1]import graded seats course pivo'!$1:$2,2,FALSE),FALSE))),"")</f>
        <v>0.91304347826086951</v>
      </c>
      <c r="S560" s="14">
        <f>IFERROR((VLOOKUP($A560,'[1]import success seats course'!$A:AG,HLOOKUP('[1]Course Totals'!S$4,'[1]import success seats course'!$1:$2,2,FALSE),FALSE)/(VLOOKUP($A560,'[1]import graded seats course pivo'!$A:AQ,HLOOKUP('[1]Course Totals'!S$4,'[1]import graded seats course pivo'!$1:$2,2,FALSE),FALSE))),"")</f>
        <v>1</v>
      </c>
      <c r="Z560" s="7"/>
      <c r="AA560" s="7"/>
      <c r="AB560" s="7"/>
      <c r="AC560" s="7"/>
    </row>
    <row r="561" spans="1:29" ht="15.75" customHeight="1" x14ac:dyDescent="0.25">
      <c r="A561" s="12" t="s">
        <v>728</v>
      </c>
      <c r="B561" s="14" t="str">
        <f>IFERROR((VLOOKUP($A561,'[1]import success seats course'!$A:P,HLOOKUP('[1]Course Totals'!B$4,'[1]import success seats course'!$1:$2,2,FALSE),FALSE)/(VLOOKUP($A561,'[1]import graded seats course pivo'!$A:Z,HLOOKUP('[1]Course Totals'!B$4,'[1]import graded seats course pivo'!$1:$2,2,FALSE),FALSE))),"")</f>
        <v/>
      </c>
      <c r="C561" s="14" t="str">
        <f>IFERROR((VLOOKUP($A561,'[1]import success seats course'!$A:Q,HLOOKUP('[1]Course Totals'!C$4,'[1]import success seats course'!$1:$2,2,FALSE),FALSE)/(VLOOKUP($A561,'[1]import graded seats course pivo'!$A:AA,HLOOKUP('[1]Course Totals'!C$4,'[1]import graded seats course pivo'!$1:$2,2,FALSE),FALSE))),"")</f>
        <v/>
      </c>
      <c r="D561" s="14" t="str">
        <f>IFERROR((VLOOKUP($A561,'[1]import success seats course'!$A:R,HLOOKUP('[1]Course Totals'!D$4,'[1]import success seats course'!$1:$2,2,FALSE),FALSE)/(VLOOKUP($A561,'[1]import graded seats course pivo'!$A:AB,HLOOKUP('[1]Course Totals'!D$4,'[1]import graded seats course pivo'!$1:$2,2,FALSE),FALSE))),"")</f>
        <v/>
      </c>
      <c r="E561" s="14" t="str">
        <f>IFERROR((VLOOKUP($A561,'[1]import success seats course'!$A:S,HLOOKUP('[1]Course Totals'!E$4,'[1]import success seats course'!$1:$2,2,FALSE),FALSE)/(VLOOKUP($A561,'[1]import graded seats course pivo'!$A:AC,HLOOKUP('[1]Course Totals'!E$4,'[1]import graded seats course pivo'!$1:$2,2,FALSE),FALSE))),"")</f>
        <v/>
      </c>
      <c r="F561" s="14" t="str">
        <f>IFERROR((VLOOKUP($A561,'[1]import success seats course'!$A:T,HLOOKUP('[1]Course Totals'!F$4,'[1]import success seats course'!$1:$2,2,FALSE),FALSE)/(VLOOKUP($A561,'[1]import graded seats course pivo'!$A:AD,HLOOKUP('[1]Course Totals'!F$4,'[1]import graded seats course pivo'!$1:$2,2,FALSE),FALSE))),"")</f>
        <v/>
      </c>
      <c r="G561" s="14" t="str">
        <f>IFERROR((VLOOKUP($A561,'[1]import success seats course'!$A:U,HLOOKUP('[1]Course Totals'!G$4,'[1]import success seats course'!$1:$2,2,FALSE),FALSE)/(VLOOKUP($A561,'[1]import graded seats course pivo'!$A:AE,HLOOKUP('[1]Course Totals'!G$4,'[1]import graded seats course pivo'!$1:$2,2,FALSE),FALSE))),"")</f>
        <v/>
      </c>
      <c r="H561" s="14" t="str">
        <f>IFERROR((VLOOKUP($A561,'[1]import success seats course'!$A:V,HLOOKUP('[1]Course Totals'!H$4,'[1]import success seats course'!$1:$2,2,FALSE),FALSE)/(VLOOKUP($A561,'[1]import graded seats course pivo'!$A:AF,HLOOKUP('[1]Course Totals'!H$4,'[1]import graded seats course pivo'!$1:$2,2,FALSE),FALSE))),"")</f>
        <v/>
      </c>
      <c r="I561" s="14">
        <f>IFERROR((VLOOKUP($A561,'[1]import success seats course'!$A:W,HLOOKUP('[1]Course Totals'!I$4,'[1]import success seats course'!$1:$2,2,FALSE),FALSE)/(VLOOKUP($A561,'[1]import graded seats course pivo'!$A:AG,HLOOKUP('[1]Course Totals'!I$4,'[1]import graded seats course pivo'!$1:$2,2,FALSE),FALSE))),"")</f>
        <v>0.88461538461538458</v>
      </c>
      <c r="J561" s="14">
        <f>IFERROR((VLOOKUP($A561,'[1]import success seats course'!$A:X,HLOOKUP('[1]Course Totals'!J$4,'[1]import success seats course'!$1:$2,2,FALSE),FALSE)/(VLOOKUP($A561,'[1]import graded seats course pivo'!$A:AH,HLOOKUP('[1]Course Totals'!J$4,'[1]import graded seats course pivo'!$1:$2,2,FALSE),FALSE))),"")</f>
        <v>0.9642857142857143</v>
      </c>
      <c r="K561" s="14" t="str">
        <f>IFERROR((VLOOKUP($A561,'[1]import success seats course'!$A:Y,HLOOKUP('[1]Course Totals'!K$4,'[1]import success seats course'!$1:$2,2,FALSE),FALSE)/(VLOOKUP($A561,'[1]import graded seats course pivo'!$A:AI,HLOOKUP('[1]Course Totals'!K$4,'[1]import graded seats course pivo'!$1:$2,2,FALSE),FALSE))),"")</f>
        <v/>
      </c>
      <c r="L561" s="14">
        <f>IFERROR((VLOOKUP($A561,'[1]import success seats course'!$A:Z,HLOOKUP('[1]Course Totals'!L$4,'[1]import success seats course'!$1:$2,2,FALSE),FALSE)/(VLOOKUP($A561,'[1]import graded seats course pivo'!$A:AJ,HLOOKUP('[1]Course Totals'!L$4,'[1]import graded seats course pivo'!$1:$2,2,FALSE),FALSE))),"")</f>
        <v>0.95833333333333337</v>
      </c>
      <c r="M561" s="14">
        <f>IFERROR((VLOOKUP($A561,'[1]import success seats course'!$A:AA,HLOOKUP('[1]Course Totals'!M$4,'[1]import success seats course'!$1:$2,2,FALSE),FALSE)/(VLOOKUP($A561,'[1]import graded seats course pivo'!$A:AK,HLOOKUP('[1]Course Totals'!M$4,'[1]import graded seats course pivo'!$1:$2,2,FALSE),FALSE))),"")</f>
        <v>0.8928571428571429</v>
      </c>
      <c r="N561" s="14" t="str">
        <f>IFERROR((VLOOKUP($A561,'[1]import success seats course'!$A:AB,HLOOKUP('[1]Course Totals'!N$4,'[1]import success seats course'!$1:$2,2,FALSE),FALSE)/(VLOOKUP($A561,'[1]import graded seats course pivo'!$A:AL,HLOOKUP('[1]Course Totals'!N$4,'[1]import graded seats course pivo'!$1:$2,2,FALSE),FALSE))),"")</f>
        <v/>
      </c>
      <c r="O561" s="14">
        <f>IFERROR((VLOOKUP($A561,'[1]import success seats course'!$A:AC,HLOOKUP('[1]Course Totals'!O$4,'[1]import success seats course'!$1:$2,2,FALSE),FALSE)/(VLOOKUP($A561,'[1]import graded seats course pivo'!$A:AM,HLOOKUP('[1]Course Totals'!O$4,'[1]import graded seats course pivo'!$1:$2,2,FALSE),FALSE))),"")</f>
        <v>0.93617021276595747</v>
      </c>
      <c r="P561" s="14">
        <f>IFERROR((VLOOKUP($A561,'[1]import success seats course'!$A:AD,HLOOKUP('[1]Course Totals'!P$4,'[1]import success seats course'!$1:$2,2,FALSE),FALSE)/(VLOOKUP($A561,'[1]import graded seats course pivo'!$A:AN,HLOOKUP('[1]Course Totals'!P$4,'[1]import graded seats course pivo'!$1:$2,2,FALSE),FALSE))),"")</f>
        <v>0.875</v>
      </c>
      <c r="Q561" s="14" t="str">
        <f>IFERROR((VLOOKUP($A561,'[1]import success seats course'!$A:AE,HLOOKUP('[1]Course Totals'!Q$4,'[1]import success seats course'!$1:$2,2,FALSE),FALSE)/(VLOOKUP($A561,'[1]import graded seats course pivo'!$A:AO,HLOOKUP('[1]Course Totals'!Q$4,'[1]import graded seats course pivo'!$1:$2,2,FALSE),FALSE))),"")</f>
        <v/>
      </c>
      <c r="R561" s="14">
        <f>IFERROR((VLOOKUP($A561,'[1]import success seats course'!$A:AF,HLOOKUP('[1]Course Totals'!R$4,'[1]import success seats course'!$1:$2,2,FALSE),FALSE)/(VLOOKUP($A561,'[1]import graded seats course pivo'!$A:AP,HLOOKUP('[1]Course Totals'!R$4,'[1]import graded seats course pivo'!$1:$2,2,FALSE),FALSE))),"")</f>
        <v>1</v>
      </c>
      <c r="S561" s="14">
        <f>IFERROR((VLOOKUP($A561,'[1]import success seats course'!$A:AG,HLOOKUP('[1]Course Totals'!S$4,'[1]import success seats course'!$1:$2,2,FALSE),FALSE)/(VLOOKUP($A561,'[1]import graded seats course pivo'!$A:AQ,HLOOKUP('[1]Course Totals'!S$4,'[1]import graded seats course pivo'!$1:$2,2,FALSE),FALSE))),"")</f>
        <v>0.92500000000000004</v>
      </c>
      <c r="Z561" s="7"/>
      <c r="AA561" s="7"/>
      <c r="AB561" s="7"/>
      <c r="AC561" s="7"/>
    </row>
    <row r="562" spans="1:29" ht="15.75" customHeight="1" thickBot="1" x14ac:dyDescent="0.3">
      <c r="A562" s="8" t="str">
        <f>'[1]SUBJECTS BASE'!H29</f>
        <v>Fire Technology</v>
      </c>
      <c r="B562" s="38" t="s">
        <v>1046</v>
      </c>
      <c r="C562" s="39" t="s">
        <v>0</v>
      </c>
      <c r="D562" s="40" t="s">
        <v>868</v>
      </c>
      <c r="E562" s="41" t="s">
        <v>1052</v>
      </c>
      <c r="F562" s="42" t="s">
        <v>546</v>
      </c>
      <c r="G562" s="43" t="s">
        <v>959</v>
      </c>
      <c r="H562" s="44" t="s">
        <v>1060</v>
      </c>
      <c r="I562" s="39" t="s">
        <v>675</v>
      </c>
      <c r="J562" s="45" t="s">
        <v>1006</v>
      </c>
      <c r="K562" s="46" t="s">
        <v>1062</v>
      </c>
      <c r="L562" s="42" t="s">
        <v>762</v>
      </c>
      <c r="M562" s="43" t="s">
        <v>1022</v>
      </c>
      <c r="N562" s="44" t="s">
        <v>1063</v>
      </c>
      <c r="O562" s="39" t="s">
        <v>822</v>
      </c>
      <c r="P562" s="40" t="s">
        <v>1042</v>
      </c>
      <c r="Q562" s="46" t="s">
        <v>1153</v>
      </c>
      <c r="R562" s="42" t="s">
        <v>1154</v>
      </c>
      <c r="S562" s="43" t="s">
        <v>1155</v>
      </c>
      <c r="Z562" s="7"/>
      <c r="AA562" s="7"/>
      <c r="AB562" s="7"/>
      <c r="AC562" s="7"/>
    </row>
    <row r="563" spans="1:29" ht="15.75" customHeight="1" x14ac:dyDescent="0.25">
      <c r="A563" s="12" t="s">
        <v>262</v>
      </c>
      <c r="B563" s="14">
        <f>IFERROR((VLOOKUP($A563,'[1]import success seats course'!$A:P,HLOOKUP('[1]Course Totals'!B$4,'[1]import success seats course'!$1:$2,2,FALSE),FALSE)/(VLOOKUP($A563,'[1]import graded seats course pivo'!$A:Z,HLOOKUP('[1]Course Totals'!B$4,'[1]import graded seats course pivo'!$1:$2,2,FALSE),FALSE))),"")</f>
        <v>1</v>
      </c>
      <c r="C563" s="14">
        <f>IFERROR((VLOOKUP($A563,'[1]import success seats course'!$A:Q,HLOOKUP('[1]Course Totals'!C$4,'[1]import success seats course'!$1:$2,2,FALSE),FALSE)/(VLOOKUP($A563,'[1]import graded seats course pivo'!$A:AA,HLOOKUP('[1]Course Totals'!C$4,'[1]import graded seats course pivo'!$1:$2,2,FALSE),FALSE))),"")</f>
        <v>0.94915254237288138</v>
      </c>
      <c r="D563" s="14">
        <f>IFERROR((VLOOKUP($A563,'[1]import success seats course'!$A:R,HLOOKUP('[1]Course Totals'!D$4,'[1]import success seats course'!$1:$2,2,FALSE),FALSE)/(VLOOKUP($A563,'[1]import graded seats course pivo'!$A:AB,HLOOKUP('[1]Course Totals'!D$4,'[1]import graded seats course pivo'!$1:$2,2,FALSE),FALSE))),"")</f>
        <v>0.85185185185185186</v>
      </c>
      <c r="E563" s="14">
        <f>IFERROR((VLOOKUP($A563,'[1]import success seats course'!$A:S,HLOOKUP('[1]Course Totals'!E$4,'[1]import success seats course'!$1:$2,2,FALSE),FALSE)/(VLOOKUP($A563,'[1]import graded seats course pivo'!$A:AC,HLOOKUP('[1]Course Totals'!E$4,'[1]import graded seats course pivo'!$1:$2,2,FALSE),FALSE))),"")</f>
        <v>0.97222222222222221</v>
      </c>
      <c r="F563" s="14">
        <f>IFERROR((VLOOKUP($A563,'[1]import success seats course'!$A:T,HLOOKUP('[1]Course Totals'!F$4,'[1]import success seats course'!$1:$2,2,FALSE),FALSE)/(VLOOKUP($A563,'[1]import graded seats course pivo'!$A:AD,HLOOKUP('[1]Course Totals'!F$4,'[1]import graded seats course pivo'!$1:$2,2,FALSE),FALSE))),"")</f>
        <v>0.97222222222222221</v>
      </c>
      <c r="G563" s="14">
        <f>IFERROR((VLOOKUP($A563,'[1]import success seats course'!$A:U,HLOOKUP('[1]Course Totals'!G$4,'[1]import success seats course'!$1:$2,2,FALSE),FALSE)/(VLOOKUP($A563,'[1]import graded seats course pivo'!$A:AE,HLOOKUP('[1]Course Totals'!G$4,'[1]import graded seats course pivo'!$1:$2,2,FALSE),FALSE))),"")</f>
        <v>0.88732394366197187</v>
      </c>
      <c r="H563" s="14" t="str">
        <f>IFERROR((VLOOKUP($A563,'[1]import success seats course'!$A:V,HLOOKUP('[1]Course Totals'!H$4,'[1]import success seats course'!$1:$2,2,FALSE),FALSE)/(VLOOKUP($A563,'[1]import graded seats course pivo'!$A:AF,HLOOKUP('[1]Course Totals'!H$4,'[1]import graded seats course pivo'!$1:$2,2,FALSE),FALSE))),"")</f>
        <v/>
      </c>
      <c r="I563" s="14">
        <f>IFERROR((VLOOKUP($A563,'[1]import success seats course'!$A:W,HLOOKUP('[1]Course Totals'!I$4,'[1]import success seats course'!$1:$2,2,FALSE),FALSE)/(VLOOKUP($A563,'[1]import graded seats course pivo'!$A:AG,HLOOKUP('[1]Course Totals'!I$4,'[1]import graded seats course pivo'!$1:$2,2,FALSE),FALSE))),"")</f>
        <v>0.8529411764705882</v>
      </c>
      <c r="J563" s="14">
        <f>IFERROR((VLOOKUP($A563,'[1]import success seats course'!$A:X,HLOOKUP('[1]Course Totals'!J$4,'[1]import success seats course'!$1:$2,2,FALSE),FALSE)/(VLOOKUP($A563,'[1]import graded seats course pivo'!$A:AH,HLOOKUP('[1]Course Totals'!J$4,'[1]import graded seats course pivo'!$1:$2,2,FALSE),FALSE))),"")</f>
        <v>0.91919191919191923</v>
      </c>
      <c r="K563" s="14" t="str">
        <f>IFERROR((VLOOKUP($A563,'[1]import success seats course'!$A:Y,HLOOKUP('[1]Course Totals'!K$4,'[1]import success seats course'!$1:$2,2,FALSE),FALSE)/(VLOOKUP($A563,'[1]import graded seats course pivo'!$A:AI,HLOOKUP('[1]Course Totals'!K$4,'[1]import graded seats course pivo'!$1:$2,2,FALSE),FALSE))),"")</f>
        <v/>
      </c>
      <c r="L563" s="14">
        <f>IFERROR((VLOOKUP($A563,'[1]import success seats course'!$A:Z,HLOOKUP('[1]Course Totals'!L$4,'[1]import success seats course'!$1:$2,2,FALSE),FALSE)/(VLOOKUP($A563,'[1]import graded seats course pivo'!$A:AJ,HLOOKUP('[1]Course Totals'!L$4,'[1]import graded seats course pivo'!$1:$2,2,FALSE),FALSE))),"")</f>
        <v>0.94736842105263153</v>
      </c>
      <c r="M563" s="14">
        <f>IFERROR((VLOOKUP($A563,'[1]import success seats course'!$A:AA,HLOOKUP('[1]Course Totals'!M$4,'[1]import success seats course'!$1:$2,2,FALSE),FALSE)/(VLOOKUP($A563,'[1]import graded seats course pivo'!$A:AK,HLOOKUP('[1]Course Totals'!M$4,'[1]import graded seats course pivo'!$1:$2,2,FALSE),FALSE))),"")</f>
        <v>0.96923076923076923</v>
      </c>
      <c r="N563" s="14" t="str">
        <f>IFERROR((VLOOKUP($A563,'[1]import success seats course'!$A:AB,HLOOKUP('[1]Course Totals'!N$4,'[1]import success seats course'!$1:$2,2,FALSE),FALSE)/(VLOOKUP($A563,'[1]import graded seats course pivo'!$A:AL,HLOOKUP('[1]Course Totals'!N$4,'[1]import graded seats course pivo'!$1:$2,2,FALSE),FALSE))),"")</f>
        <v/>
      </c>
      <c r="O563" s="14">
        <f>IFERROR((VLOOKUP($A563,'[1]import success seats course'!$A:AC,HLOOKUP('[1]Course Totals'!O$4,'[1]import success seats course'!$1:$2,2,FALSE),FALSE)/(VLOOKUP($A563,'[1]import graded seats course pivo'!$A:AM,HLOOKUP('[1]Course Totals'!O$4,'[1]import graded seats course pivo'!$1:$2,2,FALSE),FALSE))),"")</f>
        <v>0.85185185185185186</v>
      </c>
      <c r="P563" s="14">
        <f>IFERROR((VLOOKUP($A563,'[1]import success seats course'!$A:AD,HLOOKUP('[1]Course Totals'!P$4,'[1]import success seats course'!$1:$2,2,FALSE),FALSE)/(VLOOKUP($A563,'[1]import graded seats course pivo'!$A:AN,HLOOKUP('[1]Course Totals'!P$4,'[1]import graded seats course pivo'!$1:$2,2,FALSE),FALSE))),"")</f>
        <v>0.89655172413793105</v>
      </c>
      <c r="Q563" s="14" t="str">
        <f>IFERROR((VLOOKUP($A563,'[1]import success seats course'!$A:AE,HLOOKUP('[1]Course Totals'!Q$4,'[1]import success seats course'!$1:$2,2,FALSE),FALSE)/(VLOOKUP($A563,'[1]import graded seats course pivo'!$A:AO,HLOOKUP('[1]Course Totals'!Q$4,'[1]import graded seats course pivo'!$1:$2,2,FALSE),FALSE))),"")</f>
        <v/>
      </c>
      <c r="R563" s="14">
        <f>IFERROR((VLOOKUP($A563,'[1]import success seats course'!$A:AF,HLOOKUP('[1]Course Totals'!R$4,'[1]import success seats course'!$1:$2,2,FALSE),FALSE)/(VLOOKUP($A563,'[1]import graded seats course pivo'!$A:AP,HLOOKUP('[1]Course Totals'!R$4,'[1]import graded seats course pivo'!$1:$2,2,FALSE),FALSE))),"")</f>
        <v>0.8771929824561403</v>
      </c>
      <c r="S563" s="14">
        <f>IFERROR((VLOOKUP($A563,'[1]import success seats course'!$A:AG,HLOOKUP('[1]Course Totals'!S$4,'[1]import success seats course'!$1:$2,2,FALSE),FALSE)/(VLOOKUP($A563,'[1]import graded seats course pivo'!$A:AQ,HLOOKUP('[1]Course Totals'!S$4,'[1]import graded seats course pivo'!$1:$2,2,FALSE),FALSE))),"")</f>
        <v>0.85263157894736841</v>
      </c>
      <c r="Z563" s="7"/>
      <c r="AA563" s="7"/>
      <c r="AB563" s="7"/>
      <c r="AC563" s="7"/>
    </row>
    <row r="564" spans="1:29" ht="15.75" customHeight="1" x14ac:dyDescent="0.25">
      <c r="A564" s="12" t="s">
        <v>263</v>
      </c>
      <c r="B564" s="14" t="str">
        <f>IFERROR((VLOOKUP($A564,'[1]import success seats course'!$A:P,HLOOKUP('[1]Course Totals'!B$4,'[1]import success seats course'!$1:$2,2,FALSE),FALSE)/(VLOOKUP($A564,'[1]import graded seats course pivo'!$A:Z,HLOOKUP('[1]Course Totals'!B$4,'[1]import graded seats course pivo'!$1:$2,2,FALSE),FALSE))),"")</f>
        <v/>
      </c>
      <c r="C564" s="14">
        <f>IFERROR((VLOOKUP($A564,'[1]import success seats course'!$A:Q,HLOOKUP('[1]Course Totals'!C$4,'[1]import success seats course'!$1:$2,2,FALSE),FALSE)/(VLOOKUP($A564,'[1]import graded seats course pivo'!$A:AA,HLOOKUP('[1]Course Totals'!C$4,'[1]import graded seats course pivo'!$1:$2,2,FALSE),FALSE))),"")</f>
        <v>0.97297297297297303</v>
      </c>
      <c r="D564" s="14" t="str">
        <f>IFERROR((VLOOKUP($A564,'[1]import success seats course'!$A:R,HLOOKUP('[1]Course Totals'!D$4,'[1]import success seats course'!$1:$2,2,FALSE),FALSE)/(VLOOKUP($A564,'[1]import graded seats course pivo'!$A:AB,HLOOKUP('[1]Course Totals'!D$4,'[1]import graded seats course pivo'!$1:$2,2,FALSE),FALSE))),"")</f>
        <v/>
      </c>
      <c r="E564" s="14" t="str">
        <f>IFERROR((VLOOKUP($A564,'[1]import success seats course'!$A:S,HLOOKUP('[1]Course Totals'!E$4,'[1]import success seats course'!$1:$2,2,FALSE),FALSE)/(VLOOKUP($A564,'[1]import graded seats course pivo'!$A:AC,HLOOKUP('[1]Course Totals'!E$4,'[1]import graded seats course pivo'!$1:$2,2,FALSE),FALSE))),"")</f>
        <v/>
      </c>
      <c r="F564" s="14">
        <f>IFERROR((VLOOKUP($A564,'[1]import success seats course'!$A:T,HLOOKUP('[1]Course Totals'!F$4,'[1]import success seats course'!$1:$2,2,FALSE),FALSE)/(VLOOKUP($A564,'[1]import graded seats course pivo'!$A:AD,HLOOKUP('[1]Course Totals'!F$4,'[1]import graded seats course pivo'!$1:$2,2,FALSE),FALSE))),"")</f>
        <v>0.94871794871794868</v>
      </c>
      <c r="G564" s="14" t="str">
        <f>IFERROR((VLOOKUP($A564,'[1]import success seats course'!$A:U,HLOOKUP('[1]Course Totals'!G$4,'[1]import success seats course'!$1:$2,2,FALSE),FALSE)/(VLOOKUP($A564,'[1]import graded seats course pivo'!$A:AE,HLOOKUP('[1]Course Totals'!G$4,'[1]import graded seats course pivo'!$1:$2,2,FALSE),FALSE))),"")</f>
        <v/>
      </c>
      <c r="H564" s="14" t="str">
        <f>IFERROR((VLOOKUP($A564,'[1]import success seats course'!$A:V,HLOOKUP('[1]Course Totals'!H$4,'[1]import success seats course'!$1:$2,2,FALSE),FALSE)/(VLOOKUP($A564,'[1]import graded seats course pivo'!$A:AF,HLOOKUP('[1]Course Totals'!H$4,'[1]import graded seats course pivo'!$1:$2,2,FALSE),FALSE))),"")</f>
        <v/>
      </c>
      <c r="I564" s="14">
        <f>IFERROR((VLOOKUP($A564,'[1]import success seats course'!$A:W,HLOOKUP('[1]Course Totals'!I$4,'[1]import success seats course'!$1:$2,2,FALSE),FALSE)/(VLOOKUP($A564,'[1]import graded seats course pivo'!$A:AG,HLOOKUP('[1]Course Totals'!I$4,'[1]import graded seats course pivo'!$1:$2,2,FALSE),FALSE))),"")</f>
        <v>0.91111111111111109</v>
      </c>
      <c r="J564" s="14" t="str">
        <f>IFERROR((VLOOKUP($A564,'[1]import success seats course'!$A:X,HLOOKUP('[1]Course Totals'!J$4,'[1]import success seats course'!$1:$2,2,FALSE),FALSE)/(VLOOKUP($A564,'[1]import graded seats course pivo'!$A:AH,HLOOKUP('[1]Course Totals'!J$4,'[1]import graded seats course pivo'!$1:$2,2,FALSE),FALSE))),"")</f>
        <v/>
      </c>
      <c r="K564" s="14" t="str">
        <f>IFERROR((VLOOKUP($A564,'[1]import success seats course'!$A:Y,HLOOKUP('[1]Course Totals'!K$4,'[1]import success seats course'!$1:$2,2,FALSE),FALSE)/(VLOOKUP($A564,'[1]import graded seats course pivo'!$A:AI,HLOOKUP('[1]Course Totals'!K$4,'[1]import graded seats course pivo'!$1:$2,2,FALSE),FALSE))),"")</f>
        <v/>
      </c>
      <c r="L564" s="14">
        <f>IFERROR((VLOOKUP($A564,'[1]import success seats course'!$A:Z,HLOOKUP('[1]Course Totals'!L$4,'[1]import success seats course'!$1:$2,2,FALSE),FALSE)/(VLOOKUP($A564,'[1]import graded seats course pivo'!$A:AJ,HLOOKUP('[1]Course Totals'!L$4,'[1]import graded seats course pivo'!$1:$2,2,FALSE),FALSE))),"")</f>
        <v>0.97499999999999998</v>
      </c>
      <c r="M564" s="14" t="str">
        <f>IFERROR((VLOOKUP($A564,'[1]import success seats course'!$A:AA,HLOOKUP('[1]Course Totals'!M$4,'[1]import success seats course'!$1:$2,2,FALSE),FALSE)/(VLOOKUP($A564,'[1]import graded seats course pivo'!$A:AK,HLOOKUP('[1]Course Totals'!M$4,'[1]import graded seats course pivo'!$1:$2,2,FALSE),FALSE))),"")</f>
        <v/>
      </c>
      <c r="N564" s="14" t="str">
        <f>IFERROR((VLOOKUP($A564,'[1]import success seats course'!$A:AB,HLOOKUP('[1]Course Totals'!N$4,'[1]import success seats course'!$1:$2,2,FALSE),FALSE)/(VLOOKUP($A564,'[1]import graded seats course pivo'!$A:AL,HLOOKUP('[1]Course Totals'!N$4,'[1]import graded seats course pivo'!$1:$2,2,FALSE),FALSE))),"")</f>
        <v/>
      </c>
      <c r="O564" s="14">
        <f>IFERROR((VLOOKUP($A564,'[1]import success seats course'!$A:AC,HLOOKUP('[1]Course Totals'!O$4,'[1]import success seats course'!$1:$2,2,FALSE),FALSE)/(VLOOKUP($A564,'[1]import graded seats course pivo'!$A:AM,HLOOKUP('[1]Course Totals'!O$4,'[1]import graded seats course pivo'!$1:$2,2,FALSE),FALSE))),"")</f>
        <v>0.97826086956521741</v>
      </c>
      <c r="P564" s="14" t="str">
        <f>IFERROR((VLOOKUP($A564,'[1]import success seats course'!$A:AD,HLOOKUP('[1]Course Totals'!P$4,'[1]import success seats course'!$1:$2,2,FALSE),FALSE)/(VLOOKUP($A564,'[1]import graded seats course pivo'!$A:AN,HLOOKUP('[1]Course Totals'!P$4,'[1]import graded seats course pivo'!$1:$2,2,FALSE),FALSE))),"")</f>
        <v/>
      </c>
      <c r="Q564" s="14" t="str">
        <f>IFERROR((VLOOKUP($A564,'[1]import success seats course'!$A:AE,HLOOKUP('[1]Course Totals'!Q$4,'[1]import success seats course'!$1:$2,2,FALSE),FALSE)/(VLOOKUP($A564,'[1]import graded seats course pivo'!$A:AO,HLOOKUP('[1]Course Totals'!Q$4,'[1]import graded seats course pivo'!$1:$2,2,FALSE),FALSE))),"")</f>
        <v/>
      </c>
      <c r="R564" s="14">
        <f>IFERROR((VLOOKUP($A564,'[1]import success seats course'!$A:AF,HLOOKUP('[1]Course Totals'!R$4,'[1]import success seats course'!$1:$2,2,FALSE),FALSE)/(VLOOKUP($A564,'[1]import graded seats course pivo'!$A:AP,HLOOKUP('[1]Course Totals'!R$4,'[1]import graded seats course pivo'!$1:$2,2,FALSE),FALSE))),"")</f>
        <v>0.95744680851063835</v>
      </c>
      <c r="S564" s="14" t="str">
        <f>IFERROR((VLOOKUP($A564,'[1]import success seats course'!$A:AG,HLOOKUP('[1]Course Totals'!S$4,'[1]import success seats course'!$1:$2,2,FALSE),FALSE)/(VLOOKUP($A564,'[1]import graded seats course pivo'!$A:AQ,HLOOKUP('[1]Course Totals'!S$4,'[1]import graded seats course pivo'!$1:$2,2,FALSE),FALSE))),"")</f>
        <v/>
      </c>
      <c r="Z564" s="7"/>
      <c r="AA564" s="7"/>
      <c r="AB564" s="7"/>
      <c r="AC564" s="7"/>
    </row>
    <row r="565" spans="1:29" ht="15.75" customHeight="1" x14ac:dyDescent="0.25">
      <c r="A565" s="12" t="s">
        <v>264</v>
      </c>
      <c r="B565" s="14" t="str">
        <f>IFERROR((VLOOKUP($A565,'[1]import success seats course'!$A:P,HLOOKUP('[1]Course Totals'!B$4,'[1]import success seats course'!$1:$2,2,FALSE),FALSE)/(VLOOKUP($A565,'[1]import graded seats course pivo'!$A:Z,HLOOKUP('[1]Course Totals'!B$4,'[1]import graded seats course pivo'!$1:$2,2,FALSE),FALSE))),"")</f>
        <v/>
      </c>
      <c r="C565" s="14" t="str">
        <f>IFERROR((VLOOKUP($A565,'[1]import success seats course'!$A:Q,HLOOKUP('[1]Course Totals'!C$4,'[1]import success seats course'!$1:$2,2,FALSE),FALSE)/(VLOOKUP($A565,'[1]import graded seats course pivo'!$A:AA,HLOOKUP('[1]Course Totals'!C$4,'[1]import graded seats course pivo'!$1:$2,2,FALSE),FALSE))),"")</f>
        <v/>
      </c>
      <c r="D565" s="14" t="str">
        <f>IFERROR((VLOOKUP($A565,'[1]import success seats course'!$A:R,HLOOKUP('[1]Course Totals'!D$4,'[1]import success seats course'!$1:$2,2,FALSE),FALSE)/(VLOOKUP($A565,'[1]import graded seats course pivo'!$A:AB,HLOOKUP('[1]Course Totals'!D$4,'[1]import graded seats course pivo'!$1:$2,2,FALSE),FALSE))),"")</f>
        <v/>
      </c>
      <c r="E565" s="14" t="str">
        <f>IFERROR((VLOOKUP($A565,'[1]import success seats course'!$A:S,HLOOKUP('[1]Course Totals'!E$4,'[1]import success seats course'!$1:$2,2,FALSE),FALSE)/(VLOOKUP($A565,'[1]import graded seats course pivo'!$A:AC,HLOOKUP('[1]Course Totals'!E$4,'[1]import graded seats course pivo'!$1:$2,2,FALSE),FALSE))),"")</f>
        <v/>
      </c>
      <c r="F565" s="14">
        <f>IFERROR((VLOOKUP($A565,'[1]import success seats course'!$A:T,HLOOKUP('[1]Course Totals'!F$4,'[1]import success seats course'!$1:$2,2,FALSE),FALSE)/(VLOOKUP($A565,'[1]import graded seats course pivo'!$A:AD,HLOOKUP('[1]Course Totals'!F$4,'[1]import graded seats course pivo'!$1:$2,2,FALSE),FALSE))),"")</f>
        <v>0.78378378378378377</v>
      </c>
      <c r="G565" s="14" t="str">
        <f>IFERROR((VLOOKUP($A565,'[1]import success seats course'!$A:U,HLOOKUP('[1]Course Totals'!G$4,'[1]import success seats course'!$1:$2,2,FALSE),FALSE)/(VLOOKUP($A565,'[1]import graded seats course pivo'!$A:AE,HLOOKUP('[1]Course Totals'!G$4,'[1]import graded seats course pivo'!$1:$2,2,FALSE),FALSE))),"")</f>
        <v/>
      </c>
      <c r="H565" s="14" t="str">
        <f>IFERROR((VLOOKUP($A565,'[1]import success seats course'!$A:V,HLOOKUP('[1]Course Totals'!H$4,'[1]import success seats course'!$1:$2,2,FALSE),FALSE)/(VLOOKUP($A565,'[1]import graded seats course pivo'!$A:AF,HLOOKUP('[1]Course Totals'!H$4,'[1]import graded seats course pivo'!$1:$2,2,FALSE),FALSE))),"")</f>
        <v/>
      </c>
      <c r="I565" s="14">
        <f>IFERROR((VLOOKUP($A565,'[1]import success seats course'!$A:W,HLOOKUP('[1]Course Totals'!I$4,'[1]import success seats course'!$1:$2,2,FALSE),FALSE)/(VLOOKUP($A565,'[1]import graded seats course pivo'!$A:AG,HLOOKUP('[1]Course Totals'!I$4,'[1]import graded seats course pivo'!$1:$2,2,FALSE),FALSE))),"")</f>
        <v>0.90625</v>
      </c>
      <c r="J565" s="14" t="str">
        <f>IFERROR((VLOOKUP($A565,'[1]import success seats course'!$A:X,HLOOKUP('[1]Course Totals'!J$4,'[1]import success seats course'!$1:$2,2,FALSE),FALSE)/(VLOOKUP($A565,'[1]import graded seats course pivo'!$A:AH,HLOOKUP('[1]Course Totals'!J$4,'[1]import graded seats course pivo'!$1:$2,2,FALSE),FALSE))),"")</f>
        <v/>
      </c>
      <c r="K565" s="14" t="str">
        <f>IFERROR((VLOOKUP($A565,'[1]import success seats course'!$A:Y,HLOOKUP('[1]Course Totals'!K$4,'[1]import success seats course'!$1:$2,2,FALSE),FALSE)/(VLOOKUP($A565,'[1]import graded seats course pivo'!$A:AI,HLOOKUP('[1]Course Totals'!K$4,'[1]import graded seats course pivo'!$1:$2,2,FALSE),FALSE))),"")</f>
        <v/>
      </c>
      <c r="L565" s="14">
        <f>IFERROR((VLOOKUP($A565,'[1]import success seats course'!$A:Z,HLOOKUP('[1]Course Totals'!L$4,'[1]import success seats course'!$1:$2,2,FALSE),FALSE)/(VLOOKUP($A565,'[1]import graded seats course pivo'!$A:AJ,HLOOKUP('[1]Course Totals'!L$4,'[1]import graded seats course pivo'!$1:$2,2,FALSE),FALSE))),"")</f>
        <v>0.64864864864864868</v>
      </c>
      <c r="M565" s="14" t="str">
        <f>IFERROR((VLOOKUP($A565,'[1]import success seats course'!$A:AA,HLOOKUP('[1]Course Totals'!M$4,'[1]import success seats course'!$1:$2,2,FALSE),FALSE)/(VLOOKUP($A565,'[1]import graded seats course pivo'!$A:AK,HLOOKUP('[1]Course Totals'!M$4,'[1]import graded seats course pivo'!$1:$2,2,FALSE),FALSE))),"")</f>
        <v/>
      </c>
      <c r="N565" s="14" t="str">
        <f>IFERROR((VLOOKUP($A565,'[1]import success seats course'!$A:AB,HLOOKUP('[1]Course Totals'!N$4,'[1]import success seats course'!$1:$2,2,FALSE),FALSE)/(VLOOKUP($A565,'[1]import graded seats course pivo'!$A:AL,HLOOKUP('[1]Course Totals'!N$4,'[1]import graded seats course pivo'!$1:$2,2,FALSE),FALSE))),"")</f>
        <v/>
      </c>
      <c r="O565" s="14">
        <f>IFERROR((VLOOKUP($A565,'[1]import success seats course'!$A:AC,HLOOKUP('[1]Course Totals'!O$4,'[1]import success seats course'!$1:$2,2,FALSE),FALSE)/(VLOOKUP($A565,'[1]import graded seats course pivo'!$A:AM,HLOOKUP('[1]Course Totals'!O$4,'[1]import graded seats course pivo'!$1:$2,2,FALSE),FALSE))),"")</f>
        <v>0.89655172413793105</v>
      </c>
      <c r="P565" s="14" t="str">
        <f>IFERROR((VLOOKUP($A565,'[1]import success seats course'!$A:AD,HLOOKUP('[1]Course Totals'!P$4,'[1]import success seats course'!$1:$2,2,FALSE),FALSE)/(VLOOKUP($A565,'[1]import graded seats course pivo'!$A:AN,HLOOKUP('[1]Course Totals'!P$4,'[1]import graded seats course pivo'!$1:$2,2,FALSE),FALSE))),"")</f>
        <v/>
      </c>
      <c r="Q565" s="14" t="str">
        <f>IFERROR((VLOOKUP($A565,'[1]import success seats course'!$A:AE,HLOOKUP('[1]Course Totals'!Q$4,'[1]import success seats course'!$1:$2,2,FALSE),FALSE)/(VLOOKUP($A565,'[1]import graded seats course pivo'!$A:AO,HLOOKUP('[1]Course Totals'!Q$4,'[1]import graded seats course pivo'!$1:$2,2,FALSE),FALSE))),"")</f>
        <v/>
      </c>
      <c r="R565" s="14">
        <f>IFERROR((VLOOKUP($A565,'[1]import success seats course'!$A:AF,HLOOKUP('[1]Course Totals'!R$4,'[1]import success seats course'!$1:$2,2,FALSE),FALSE)/(VLOOKUP($A565,'[1]import graded seats course pivo'!$A:AP,HLOOKUP('[1]Course Totals'!R$4,'[1]import graded seats course pivo'!$1:$2,2,FALSE),FALSE))),"")</f>
        <v>0.8</v>
      </c>
      <c r="S565" s="14" t="str">
        <f>IFERROR((VLOOKUP($A565,'[1]import success seats course'!$A:AG,HLOOKUP('[1]Course Totals'!S$4,'[1]import success seats course'!$1:$2,2,FALSE),FALSE)/(VLOOKUP($A565,'[1]import graded seats course pivo'!$A:AQ,HLOOKUP('[1]Course Totals'!S$4,'[1]import graded seats course pivo'!$1:$2,2,FALSE),FALSE))),"")</f>
        <v/>
      </c>
      <c r="Z565" s="7"/>
      <c r="AA565" s="7"/>
      <c r="AB565" s="7"/>
      <c r="AC565" s="7"/>
    </row>
    <row r="566" spans="1:29" ht="15.75" customHeight="1" x14ac:dyDescent="0.25">
      <c r="A566" s="12" t="s">
        <v>729</v>
      </c>
      <c r="B566" s="14" t="str">
        <f>IFERROR((VLOOKUP($A566,'[1]import success seats course'!$A:P,HLOOKUP('[1]Course Totals'!B$4,'[1]import success seats course'!$1:$2,2,FALSE),FALSE)/(VLOOKUP($A566,'[1]import graded seats course pivo'!$A:Z,HLOOKUP('[1]Course Totals'!B$4,'[1]import graded seats course pivo'!$1:$2,2,FALSE),FALSE))),"")</f>
        <v/>
      </c>
      <c r="C566" s="14" t="str">
        <f>IFERROR((VLOOKUP($A566,'[1]import success seats course'!$A:Q,HLOOKUP('[1]Course Totals'!C$4,'[1]import success seats course'!$1:$2,2,FALSE),FALSE)/(VLOOKUP($A566,'[1]import graded seats course pivo'!$A:AA,HLOOKUP('[1]Course Totals'!C$4,'[1]import graded seats course pivo'!$1:$2,2,FALSE),FALSE))),"")</f>
        <v/>
      </c>
      <c r="D566" s="14" t="str">
        <f>IFERROR((VLOOKUP($A566,'[1]import success seats course'!$A:R,HLOOKUP('[1]Course Totals'!D$4,'[1]import success seats course'!$1:$2,2,FALSE),FALSE)/(VLOOKUP($A566,'[1]import graded seats course pivo'!$A:AB,HLOOKUP('[1]Course Totals'!D$4,'[1]import graded seats course pivo'!$1:$2,2,FALSE),FALSE))),"")</f>
        <v/>
      </c>
      <c r="E566" s="14" t="str">
        <f>IFERROR((VLOOKUP($A566,'[1]import success seats course'!$A:S,HLOOKUP('[1]Course Totals'!E$4,'[1]import success seats course'!$1:$2,2,FALSE),FALSE)/(VLOOKUP($A566,'[1]import graded seats course pivo'!$A:AC,HLOOKUP('[1]Course Totals'!E$4,'[1]import graded seats course pivo'!$1:$2,2,FALSE),FALSE))),"")</f>
        <v/>
      </c>
      <c r="F566" s="14" t="str">
        <f>IFERROR((VLOOKUP($A566,'[1]import success seats course'!$A:T,HLOOKUP('[1]Course Totals'!F$4,'[1]import success seats course'!$1:$2,2,FALSE),FALSE)/(VLOOKUP($A566,'[1]import graded seats course pivo'!$A:AD,HLOOKUP('[1]Course Totals'!F$4,'[1]import graded seats course pivo'!$1:$2,2,FALSE),FALSE))),"")</f>
        <v/>
      </c>
      <c r="G566" s="14" t="str">
        <f>IFERROR((VLOOKUP($A566,'[1]import success seats course'!$A:U,HLOOKUP('[1]Course Totals'!G$4,'[1]import success seats course'!$1:$2,2,FALSE),FALSE)/(VLOOKUP($A566,'[1]import graded seats course pivo'!$A:AE,HLOOKUP('[1]Course Totals'!G$4,'[1]import graded seats course pivo'!$1:$2,2,FALSE),FALSE))),"")</f>
        <v/>
      </c>
      <c r="H566" s="14" t="str">
        <f>IFERROR((VLOOKUP($A566,'[1]import success seats course'!$A:V,HLOOKUP('[1]Course Totals'!H$4,'[1]import success seats course'!$1:$2,2,FALSE),FALSE)/(VLOOKUP($A566,'[1]import graded seats course pivo'!$A:AF,HLOOKUP('[1]Course Totals'!H$4,'[1]import graded seats course pivo'!$1:$2,2,FALSE),FALSE))),"")</f>
        <v/>
      </c>
      <c r="I566" s="14">
        <f>IFERROR((VLOOKUP($A566,'[1]import success seats course'!$A:W,HLOOKUP('[1]Course Totals'!I$4,'[1]import success seats course'!$1:$2,2,FALSE),FALSE)/(VLOOKUP($A566,'[1]import graded seats course pivo'!$A:AG,HLOOKUP('[1]Course Totals'!I$4,'[1]import graded seats course pivo'!$1:$2,2,FALSE),FALSE))),"")</f>
        <v>1</v>
      </c>
      <c r="J566" s="14" t="str">
        <f>IFERROR((VLOOKUP($A566,'[1]import success seats course'!$A:X,HLOOKUP('[1]Course Totals'!J$4,'[1]import success seats course'!$1:$2,2,FALSE),FALSE)/(VLOOKUP($A566,'[1]import graded seats course pivo'!$A:AH,HLOOKUP('[1]Course Totals'!J$4,'[1]import graded seats course pivo'!$1:$2,2,FALSE),FALSE))),"")</f>
        <v/>
      </c>
      <c r="K566" s="14" t="str">
        <f>IFERROR((VLOOKUP($A566,'[1]import success seats course'!$A:Y,HLOOKUP('[1]Course Totals'!K$4,'[1]import success seats course'!$1:$2,2,FALSE),FALSE)/(VLOOKUP($A566,'[1]import graded seats course pivo'!$A:AI,HLOOKUP('[1]Course Totals'!K$4,'[1]import graded seats course pivo'!$1:$2,2,FALSE),FALSE))),"")</f>
        <v/>
      </c>
      <c r="L566" s="14" t="str">
        <f>IFERROR((VLOOKUP($A566,'[1]import success seats course'!$A:Z,HLOOKUP('[1]Course Totals'!L$4,'[1]import success seats course'!$1:$2,2,FALSE),FALSE)/(VLOOKUP($A566,'[1]import graded seats course pivo'!$A:AJ,HLOOKUP('[1]Course Totals'!L$4,'[1]import graded seats course pivo'!$1:$2,2,FALSE),FALSE))),"")</f>
        <v/>
      </c>
      <c r="M566" s="14" t="str">
        <f>IFERROR((VLOOKUP($A566,'[1]import success seats course'!$A:AA,HLOOKUP('[1]Course Totals'!M$4,'[1]import success seats course'!$1:$2,2,FALSE),FALSE)/(VLOOKUP($A566,'[1]import graded seats course pivo'!$A:AK,HLOOKUP('[1]Course Totals'!M$4,'[1]import graded seats course pivo'!$1:$2,2,FALSE),FALSE))),"")</f>
        <v/>
      </c>
      <c r="N566" s="14" t="str">
        <f>IFERROR((VLOOKUP($A566,'[1]import success seats course'!$A:AB,HLOOKUP('[1]Course Totals'!N$4,'[1]import success seats course'!$1:$2,2,FALSE),FALSE)/(VLOOKUP($A566,'[1]import graded seats course pivo'!$A:AL,HLOOKUP('[1]Course Totals'!N$4,'[1]import graded seats course pivo'!$1:$2,2,FALSE),FALSE))),"")</f>
        <v/>
      </c>
      <c r="O566" s="14" t="str">
        <f>IFERROR((VLOOKUP($A566,'[1]import success seats course'!$A:AC,HLOOKUP('[1]Course Totals'!O$4,'[1]import success seats course'!$1:$2,2,FALSE),FALSE)/(VLOOKUP($A566,'[1]import graded seats course pivo'!$A:AM,HLOOKUP('[1]Course Totals'!O$4,'[1]import graded seats course pivo'!$1:$2,2,FALSE),FALSE))),"")</f>
        <v/>
      </c>
      <c r="P566" s="14" t="str">
        <f>IFERROR((VLOOKUP($A566,'[1]import success seats course'!$A:AD,HLOOKUP('[1]Course Totals'!P$4,'[1]import success seats course'!$1:$2,2,FALSE),FALSE)/(VLOOKUP($A566,'[1]import graded seats course pivo'!$A:AN,HLOOKUP('[1]Course Totals'!P$4,'[1]import graded seats course pivo'!$1:$2,2,FALSE),FALSE))),"")</f>
        <v/>
      </c>
      <c r="Q566" s="14" t="str">
        <f>IFERROR((VLOOKUP($A566,'[1]import success seats course'!$A:AE,HLOOKUP('[1]Course Totals'!Q$4,'[1]import success seats course'!$1:$2,2,FALSE),FALSE)/(VLOOKUP($A566,'[1]import graded seats course pivo'!$A:AO,HLOOKUP('[1]Course Totals'!Q$4,'[1]import graded seats course pivo'!$1:$2,2,FALSE),FALSE))),"")</f>
        <v/>
      </c>
      <c r="R566" s="14" t="str">
        <f>IFERROR((VLOOKUP($A566,'[1]import success seats course'!$A:AF,HLOOKUP('[1]Course Totals'!R$4,'[1]import success seats course'!$1:$2,2,FALSE),FALSE)/(VLOOKUP($A566,'[1]import graded seats course pivo'!$A:AP,HLOOKUP('[1]Course Totals'!R$4,'[1]import graded seats course pivo'!$1:$2,2,FALSE),FALSE))),"")</f>
        <v/>
      </c>
      <c r="S566" s="14" t="str">
        <f>IFERROR((VLOOKUP($A566,'[1]import success seats course'!$A:AG,HLOOKUP('[1]Course Totals'!S$4,'[1]import success seats course'!$1:$2,2,FALSE),FALSE)/(VLOOKUP($A566,'[1]import graded seats course pivo'!$A:AQ,HLOOKUP('[1]Course Totals'!S$4,'[1]import graded seats course pivo'!$1:$2,2,FALSE),FALSE))),"")</f>
        <v/>
      </c>
      <c r="Z566" s="7"/>
      <c r="AA566" s="7"/>
      <c r="AB566" s="7"/>
      <c r="AC566" s="7"/>
    </row>
    <row r="567" spans="1:29" ht="15.75" customHeight="1" x14ac:dyDescent="0.25">
      <c r="A567" s="12" t="s">
        <v>911</v>
      </c>
      <c r="B567" s="14" t="str">
        <f>IFERROR((VLOOKUP($A567,'[1]import success seats course'!$A:P,HLOOKUP('[1]Course Totals'!B$4,'[1]import success seats course'!$1:$2,2,FALSE),FALSE)/(VLOOKUP($A567,'[1]import graded seats course pivo'!$A:Z,HLOOKUP('[1]Course Totals'!B$4,'[1]import graded seats course pivo'!$1:$2,2,FALSE),FALSE))),"")</f>
        <v/>
      </c>
      <c r="C567" s="14" t="str">
        <f>IFERROR((VLOOKUP($A567,'[1]import success seats course'!$A:Q,HLOOKUP('[1]Course Totals'!C$4,'[1]import success seats course'!$1:$2,2,FALSE),FALSE)/(VLOOKUP($A567,'[1]import graded seats course pivo'!$A:AA,HLOOKUP('[1]Course Totals'!C$4,'[1]import graded seats course pivo'!$1:$2,2,FALSE),FALSE))),"")</f>
        <v/>
      </c>
      <c r="D567" s="14" t="str">
        <f>IFERROR((VLOOKUP($A567,'[1]import success seats course'!$A:R,HLOOKUP('[1]Course Totals'!D$4,'[1]import success seats course'!$1:$2,2,FALSE),FALSE)/(VLOOKUP($A567,'[1]import graded seats course pivo'!$A:AB,HLOOKUP('[1]Course Totals'!D$4,'[1]import graded seats course pivo'!$1:$2,2,FALSE),FALSE))),"")</f>
        <v/>
      </c>
      <c r="E567" s="14" t="str">
        <f>IFERROR((VLOOKUP($A567,'[1]import success seats course'!$A:S,HLOOKUP('[1]Course Totals'!E$4,'[1]import success seats course'!$1:$2,2,FALSE),FALSE)/(VLOOKUP($A567,'[1]import graded seats course pivo'!$A:AC,HLOOKUP('[1]Course Totals'!E$4,'[1]import graded seats course pivo'!$1:$2,2,FALSE),FALSE))),"")</f>
        <v/>
      </c>
      <c r="F567" s="14" t="str">
        <f>IFERROR((VLOOKUP($A567,'[1]import success seats course'!$A:T,HLOOKUP('[1]Course Totals'!F$4,'[1]import success seats course'!$1:$2,2,FALSE),FALSE)/(VLOOKUP($A567,'[1]import graded seats course pivo'!$A:AD,HLOOKUP('[1]Course Totals'!F$4,'[1]import graded seats course pivo'!$1:$2,2,FALSE),FALSE))),"")</f>
        <v/>
      </c>
      <c r="G567" s="14" t="str">
        <f>IFERROR((VLOOKUP($A567,'[1]import success seats course'!$A:U,HLOOKUP('[1]Course Totals'!G$4,'[1]import success seats course'!$1:$2,2,FALSE),FALSE)/(VLOOKUP($A567,'[1]import graded seats course pivo'!$A:AE,HLOOKUP('[1]Course Totals'!G$4,'[1]import graded seats course pivo'!$1:$2,2,FALSE),FALSE))),"")</f>
        <v/>
      </c>
      <c r="H567" s="14" t="str">
        <f>IFERROR((VLOOKUP($A567,'[1]import success seats course'!$A:V,HLOOKUP('[1]Course Totals'!H$4,'[1]import success seats course'!$1:$2,2,FALSE),FALSE)/(VLOOKUP($A567,'[1]import graded seats course pivo'!$A:AF,HLOOKUP('[1]Course Totals'!H$4,'[1]import graded seats course pivo'!$1:$2,2,FALSE),FALSE))),"")</f>
        <v/>
      </c>
      <c r="I567" s="14" t="str">
        <f>IFERROR((VLOOKUP($A567,'[1]import success seats course'!$A:W,HLOOKUP('[1]Course Totals'!I$4,'[1]import success seats course'!$1:$2,2,FALSE),FALSE)/(VLOOKUP($A567,'[1]import graded seats course pivo'!$A:AG,HLOOKUP('[1]Course Totals'!I$4,'[1]import graded seats course pivo'!$1:$2,2,FALSE),FALSE))),"")</f>
        <v/>
      </c>
      <c r="J567" s="14" t="str">
        <f>IFERROR((VLOOKUP($A567,'[1]import success seats course'!$A:X,HLOOKUP('[1]Course Totals'!J$4,'[1]import success seats course'!$1:$2,2,FALSE),FALSE)/(VLOOKUP($A567,'[1]import graded seats course pivo'!$A:AH,HLOOKUP('[1]Course Totals'!J$4,'[1]import graded seats course pivo'!$1:$2,2,FALSE),FALSE))),"")</f>
        <v/>
      </c>
      <c r="K567" s="14" t="str">
        <f>IFERROR((VLOOKUP($A567,'[1]import success seats course'!$A:Y,HLOOKUP('[1]Course Totals'!K$4,'[1]import success seats course'!$1:$2,2,FALSE),FALSE)/(VLOOKUP($A567,'[1]import graded seats course pivo'!$A:AI,HLOOKUP('[1]Course Totals'!K$4,'[1]import graded seats course pivo'!$1:$2,2,FALSE),FALSE))),"")</f>
        <v/>
      </c>
      <c r="L567" s="14" t="str">
        <f>IFERROR((VLOOKUP($A567,'[1]import success seats course'!$A:Z,HLOOKUP('[1]Course Totals'!L$4,'[1]import success seats course'!$1:$2,2,FALSE),FALSE)/(VLOOKUP($A567,'[1]import graded seats course pivo'!$A:AJ,HLOOKUP('[1]Course Totals'!L$4,'[1]import graded seats course pivo'!$1:$2,2,FALSE),FALSE))),"")</f>
        <v/>
      </c>
      <c r="M567" s="14">
        <f>IFERROR((VLOOKUP($A567,'[1]import success seats course'!$A:AA,HLOOKUP('[1]Course Totals'!M$4,'[1]import success seats course'!$1:$2,2,FALSE),FALSE)/(VLOOKUP($A567,'[1]import graded seats course pivo'!$A:AK,HLOOKUP('[1]Course Totals'!M$4,'[1]import graded seats course pivo'!$1:$2,2,FALSE),FALSE))),"")</f>
        <v>0.97058823529411764</v>
      </c>
      <c r="N567" s="14" t="str">
        <f>IFERROR((VLOOKUP($A567,'[1]import success seats course'!$A:AB,HLOOKUP('[1]Course Totals'!N$4,'[1]import success seats course'!$1:$2,2,FALSE),FALSE)/(VLOOKUP($A567,'[1]import graded seats course pivo'!$A:AL,HLOOKUP('[1]Course Totals'!N$4,'[1]import graded seats course pivo'!$1:$2,2,FALSE),FALSE))),"")</f>
        <v/>
      </c>
      <c r="O567" s="14" t="str">
        <f>IFERROR((VLOOKUP($A567,'[1]import success seats course'!$A:AC,HLOOKUP('[1]Course Totals'!O$4,'[1]import success seats course'!$1:$2,2,FALSE),FALSE)/(VLOOKUP($A567,'[1]import graded seats course pivo'!$A:AM,HLOOKUP('[1]Course Totals'!O$4,'[1]import graded seats course pivo'!$1:$2,2,FALSE),FALSE))),"")</f>
        <v/>
      </c>
      <c r="P567" s="14" t="str">
        <f>IFERROR((VLOOKUP($A567,'[1]import success seats course'!$A:AD,HLOOKUP('[1]Course Totals'!P$4,'[1]import success seats course'!$1:$2,2,FALSE),FALSE)/(VLOOKUP($A567,'[1]import graded seats course pivo'!$A:AN,HLOOKUP('[1]Course Totals'!P$4,'[1]import graded seats course pivo'!$1:$2,2,FALSE),FALSE))),"")</f>
        <v/>
      </c>
      <c r="Q567" s="14" t="str">
        <f>IFERROR((VLOOKUP($A567,'[1]import success seats course'!$A:AE,HLOOKUP('[1]Course Totals'!Q$4,'[1]import success seats course'!$1:$2,2,FALSE),FALSE)/(VLOOKUP($A567,'[1]import graded seats course pivo'!$A:AO,HLOOKUP('[1]Course Totals'!Q$4,'[1]import graded seats course pivo'!$1:$2,2,FALSE),FALSE))),"")</f>
        <v/>
      </c>
      <c r="R567" s="14" t="str">
        <f>IFERROR((VLOOKUP($A567,'[1]import success seats course'!$A:AF,HLOOKUP('[1]Course Totals'!R$4,'[1]import success seats course'!$1:$2,2,FALSE),FALSE)/(VLOOKUP($A567,'[1]import graded seats course pivo'!$A:AP,HLOOKUP('[1]Course Totals'!R$4,'[1]import graded seats course pivo'!$1:$2,2,FALSE),FALSE))),"")</f>
        <v/>
      </c>
      <c r="S567" s="14" t="str">
        <f>IFERROR((VLOOKUP($A567,'[1]import success seats course'!$A:AG,HLOOKUP('[1]Course Totals'!S$4,'[1]import success seats course'!$1:$2,2,FALSE),FALSE)/(VLOOKUP($A567,'[1]import graded seats course pivo'!$A:AQ,HLOOKUP('[1]Course Totals'!S$4,'[1]import graded seats course pivo'!$1:$2,2,FALSE),FALSE))),"")</f>
        <v/>
      </c>
      <c r="Z567" s="7"/>
      <c r="AA567" s="7"/>
      <c r="AB567" s="7"/>
      <c r="AC567" s="7"/>
    </row>
    <row r="568" spans="1:29" ht="15.75" hidden="1" customHeight="1" x14ac:dyDescent="0.25">
      <c r="A568" s="12" t="s">
        <v>787</v>
      </c>
      <c r="B568" s="14" t="str">
        <f>IFERROR((VLOOKUP($A568,'[1]import success seats course'!$A:P,HLOOKUP('[1]Course Totals'!B$4,'[1]import success seats course'!$1:$2,2,FALSE),FALSE)/(VLOOKUP($A568,'[1]import graded seats course pivo'!$A:Z,HLOOKUP('[1]Course Totals'!B$4,'[1]import graded seats course pivo'!$1:$2,2,FALSE),FALSE))),"")</f>
        <v/>
      </c>
      <c r="C568" s="14" t="str">
        <f>IFERROR((VLOOKUP($A568,'[1]import success seats course'!$A:Q,HLOOKUP('[1]Course Totals'!C$4,'[1]import success seats course'!$1:$2,2,FALSE),FALSE)/(VLOOKUP($A568,'[1]import graded seats course pivo'!$A:AA,HLOOKUP('[1]Course Totals'!C$4,'[1]import graded seats course pivo'!$1:$2,2,FALSE),FALSE))),"")</f>
        <v/>
      </c>
      <c r="D568" s="14" t="str">
        <f>IFERROR((VLOOKUP($A568,'[1]import success seats course'!$A:R,HLOOKUP('[1]Course Totals'!D$4,'[1]import success seats course'!$1:$2,2,FALSE),FALSE)/(VLOOKUP($A568,'[1]import graded seats course pivo'!$A:AB,HLOOKUP('[1]Course Totals'!D$4,'[1]import graded seats course pivo'!$1:$2,2,FALSE),FALSE))),"")</f>
        <v/>
      </c>
      <c r="E568" s="14" t="str">
        <f>IFERROR((VLOOKUP($A568,'[1]import success seats course'!$A:S,HLOOKUP('[1]Course Totals'!E$4,'[1]import success seats course'!$1:$2,2,FALSE),FALSE)/(VLOOKUP($A568,'[1]import graded seats course pivo'!$A:AC,HLOOKUP('[1]Course Totals'!E$4,'[1]import graded seats course pivo'!$1:$2,2,FALSE),FALSE))),"")</f>
        <v/>
      </c>
      <c r="F568" s="14" t="str">
        <f>IFERROR((VLOOKUP($A568,'[1]import success seats course'!$A:T,HLOOKUP('[1]Course Totals'!F$4,'[1]import success seats course'!$1:$2,2,FALSE),FALSE)/(VLOOKUP($A568,'[1]import graded seats course pivo'!$A:AD,HLOOKUP('[1]Course Totals'!F$4,'[1]import graded seats course pivo'!$1:$2,2,FALSE),FALSE))),"")</f>
        <v/>
      </c>
      <c r="G568" s="14" t="str">
        <f>IFERROR((VLOOKUP($A568,'[1]import success seats course'!$A:U,HLOOKUP('[1]Course Totals'!G$4,'[1]import success seats course'!$1:$2,2,FALSE),FALSE)/(VLOOKUP($A568,'[1]import graded seats course pivo'!$A:AE,HLOOKUP('[1]Course Totals'!G$4,'[1]import graded seats course pivo'!$1:$2,2,FALSE),FALSE))),"")</f>
        <v/>
      </c>
      <c r="H568" s="14" t="str">
        <f>IFERROR((VLOOKUP($A568,'[1]import success seats course'!$A:V,HLOOKUP('[1]Course Totals'!H$4,'[1]import success seats course'!$1:$2,2,FALSE),FALSE)/(VLOOKUP($A568,'[1]import graded seats course pivo'!$A:AF,HLOOKUP('[1]Course Totals'!H$4,'[1]import graded seats course pivo'!$1:$2,2,FALSE),FALSE))),"")</f>
        <v/>
      </c>
      <c r="I568" s="14" t="str">
        <f>IFERROR((VLOOKUP($A568,'[1]import success seats course'!$A:W,HLOOKUP('[1]Course Totals'!I$4,'[1]import success seats course'!$1:$2,2,FALSE),FALSE)/(VLOOKUP($A568,'[1]import graded seats course pivo'!$A:AG,HLOOKUP('[1]Course Totals'!I$4,'[1]import graded seats course pivo'!$1:$2,2,FALSE),FALSE))),"")</f>
        <v/>
      </c>
      <c r="J568" s="14" t="str">
        <f>IFERROR((VLOOKUP($A568,'[1]import success seats course'!$A:X,HLOOKUP('[1]Course Totals'!J$4,'[1]import success seats course'!$1:$2,2,FALSE),FALSE)/(VLOOKUP($A568,'[1]import graded seats course pivo'!$A:AH,HLOOKUP('[1]Course Totals'!J$4,'[1]import graded seats course pivo'!$1:$2,2,FALSE),FALSE))),"")</f>
        <v/>
      </c>
      <c r="K568" s="14" t="str">
        <f>IFERROR((VLOOKUP($A568,'[1]import success seats course'!$A:Y,HLOOKUP('[1]Course Totals'!K$4,'[1]import success seats course'!$1:$2,2,FALSE),FALSE)/(VLOOKUP($A568,'[1]import graded seats course pivo'!$A:AI,HLOOKUP('[1]Course Totals'!K$4,'[1]import graded seats course pivo'!$1:$2,2,FALSE),FALSE))),"")</f>
        <v/>
      </c>
      <c r="L568" s="14" t="str">
        <f>IFERROR((VLOOKUP($A568,'[1]import success seats course'!$A:Z,HLOOKUP('[1]Course Totals'!L$4,'[1]import success seats course'!$1:$2,2,FALSE),FALSE)/(VLOOKUP($A568,'[1]import graded seats course pivo'!$A:AJ,HLOOKUP('[1]Course Totals'!L$4,'[1]import graded seats course pivo'!$1:$2,2,FALSE),FALSE))),"")</f>
        <v/>
      </c>
      <c r="M568" s="14" t="str">
        <f>IFERROR((VLOOKUP($A568,'[1]import success seats course'!$A:AA,HLOOKUP('[1]Course Totals'!M$4,'[1]import success seats course'!$1:$2,2,FALSE),FALSE)/(VLOOKUP($A568,'[1]import graded seats course pivo'!$A:AK,HLOOKUP('[1]Course Totals'!M$4,'[1]import graded seats course pivo'!$1:$2,2,FALSE),FALSE))),"")</f>
        <v/>
      </c>
      <c r="N568" s="14" t="str">
        <f>IFERROR((VLOOKUP($A568,'[1]import success seats course'!$A:AB,HLOOKUP('[1]Course Totals'!N$4,'[1]import success seats course'!$1:$2,2,FALSE),FALSE)/(VLOOKUP($A568,'[1]import graded seats course pivo'!$A:AL,HLOOKUP('[1]Course Totals'!N$4,'[1]import graded seats course pivo'!$1:$2,2,FALSE),FALSE))),"")</f>
        <v/>
      </c>
      <c r="O568" s="14" t="str">
        <f>IFERROR((VLOOKUP($A568,'[1]import success seats course'!$A:AC,HLOOKUP('[1]Course Totals'!O$4,'[1]import success seats course'!$1:$2,2,FALSE),FALSE)/(VLOOKUP($A568,'[1]import graded seats course pivo'!$A:AM,HLOOKUP('[1]Course Totals'!O$4,'[1]import graded seats course pivo'!$1:$2,2,FALSE),FALSE))),"")</f>
        <v/>
      </c>
      <c r="P568" s="14" t="str">
        <f>IFERROR((VLOOKUP($A568,'[1]import success seats course'!$A:AD,HLOOKUP('[1]Course Totals'!P$4,'[1]import success seats course'!$1:$2,2,FALSE),FALSE)/(VLOOKUP($A568,'[1]import graded seats course pivo'!$A:AN,HLOOKUP('[1]Course Totals'!P$4,'[1]import graded seats course pivo'!$1:$2,2,FALSE),FALSE))),"")</f>
        <v/>
      </c>
      <c r="Q568" s="14" t="str">
        <f>IFERROR((VLOOKUP($A568,'[1]import success seats course'!$A:AE,HLOOKUP('[1]Course Totals'!Q$4,'[1]import success seats course'!$1:$2,2,FALSE),FALSE)/(VLOOKUP($A568,'[1]import graded seats course pivo'!$A:AO,HLOOKUP('[1]Course Totals'!Q$4,'[1]import graded seats course pivo'!$1:$2,2,FALSE),FALSE))),"")</f>
        <v/>
      </c>
      <c r="R568" s="14" t="str">
        <f>IFERROR((VLOOKUP($A568,'[1]import success seats course'!$A:AF,HLOOKUP('[1]Course Totals'!R$4,'[1]import success seats course'!$1:$2,2,FALSE),FALSE)/(VLOOKUP($A568,'[1]import graded seats course pivo'!$A:AP,HLOOKUP('[1]Course Totals'!R$4,'[1]import graded seats course pivo'!$1:$2,2,FALSE),FALSE))),"")</f>
        <v/>
      </c>
      <c r="S568" s="14" t="str">
        <f>IFERROR((VLOOKUP($A568,'[1]import success seats course'!$A:AG,HLOOKUP('[1]Course Totals'!S$4,'[1]import success seats course'!$1:$2,2,FALSE),FALSE)/(VLOOKUP($A568,'[1]import graded seats course pivo'!$A:AQ,HLOOKUP('[1]Course Totals'!S$4,'[1]import graded seats course pivo'!$1:$2,2,FALSE),FALSE))),"")</f>
        <v/>
      </c>
      <c r="Z568" s="7"/>
      <c r="AA568" s="7"/>
      <c r="AB568" s="7"/>
      <c r="AC568" s="7"/>
    </row>
    <row r="569" spans="1:29" ht="15.75" hidden="1" customHeight="1" x14ac:dyDescent="0.25">
      <c r="A569" s="12" t="s">
        <v>912</v>
      </c>
      <c r="B569" s="14" t="str">
        <f>IFERROR((VLOOKUP($A569,'[1]import success seats course'!$A:P,HLOOKUP('[1]Course Totals'!B$4,'[1]import success seats course'!$1:$2,2,FALSE),FALSE)/(VLOOKUP($A569,'[1]import graded seats course pivo'!$A:Z,HLOOKUP('[1]Course Totals'!B$4,'[1]import graded seats course pivo'!$1:$2,2,FALSE),FALSE))),"")</f>
        <v/>
      </c>
      <c r="C569" s="14" t="str">
        <f>IFERROR((VLOOKUP($A569,'[1]import success seats course'!$A:Q,HLOOKUP('[1]Course Totals'!C$4,'[1]import success seats course'!$1:$2,2,FALSE),FALSE)/(VLOOKUP($A569,'[1]import graded seats course pivo'!$A:AA,HLOOKUP('[1]Course Totals'!C$4,'[1]import graded seats course pivo'!$1:$2,2,FALSE),FALSE))),"")</f>
        <v/>
      </c>
      <c r="D569" s="14" t="str">
        <f>IFERROR((VLOOKUP($A569,'[1]import success seats course'!$A:R,HLOOKUP('[1]Course Totals'!D$4,'[1]import success seats course'!$1:$2,2,FALSE),FALSE)/(VLOOKUP($A569,'[1]import graded seats course pivo'!$A:AB,HLOOKUP('[1]Course Totals'!D$4,'[1]import graded seats course pivo'!$1:$2,2,FALSE),FALSE))),"")</f>
        <v/>
      </c>
      <c r="E569" s="14" t="str">
        <f>IFERROR((VLOOKUP($A569,'[1]import success seats course'!$A:S,HLOOKUP('[1]Course Totals'!E$4,'[1]import success seats course'!$1:$2,2,FALSE),FALSE)/(VLOOKUP($A569,'[1]import graded seats course pivo'!$A:AC,HLOOKUP('[1]Course Totals'!E$4,'[1]import graded seats course pivo'!$1:$2,2,FALSE),FALSE))),"")</f>
        <v/>
      </c>
      <c r="F569" s="14" t="str">
        <f>IFERROR((VLOOKUP($A569,'[1]import success seats course'!$A:T,HLOOKUP('[1]Course Totals'!F$4,'[1]import success seats course'!$1:$2,2,FALSE),FALSE)/(VLOOKUP($A569,'[1]import graded seats course pivo'!$A:AD,HLOOKUP('[1]Course Totals'!F$4,'[1]import graded seats course pivo'!$1:$2,2,FALSE),FALSE))),"")</f>
        <v/>
      </c>
      <c r="G569" s="14" t="str">
        <f>IFERROR((VLOOKUP($A569,'[1]import success seats course'!$A:U,HLOOKUP('[1]Course Totals'!G$4,'[1]import success seats course'!$1:$2,2,FALSE),FALSE)/(VLOOKUP($A569,'[1]import graded seats course pivo'!$A:AE,HLOOKUP('[1]Course Totals'!G$4,'[1]import graded seats course pivo'!$1:$2,2,FALSE),FALSE))),"")</f>
        <v/>
      </c>
      <c r="H569" s="14" t="str">
        <f>IFERROR((VLOOKUP($A569,'[1]import success seats course'!$A:V,HLOOKUP('[1]Course Totals'!H$4,'[1]import success seats course'!$1:$2,2,FALSE),FALSE)/(VLOOKUP($A569,'[1]import graded seats course pivo'!$A:AF,HLOOKUP('[1]Course Totals'!H$4,'[1]import graded seats course pivo'!$1:$2,2,FALSE),FALSE))),"")</f>
        <v/>
      </c>
      <c r="I569" s="14" t="str">
        <f>IFERROR((VLOOKUP($A569,'[1]import success seats course'!$A:W,HLOOKUP('[1]Course Totals'!I$4,'[1]import success seats course'!$1:$2,2,FALSE),FALSE)/(VLOOKUP($A569,'[1]import graded seats course pivo'!$A:AG,HLOOKUP('[1]Course Totals'!I$4,'[1]import graded seats course pivo'!$1:$2,2,FALSE),FALSE))),"")</f>
        <v/>
      </c>
      <c r="J569" s="14" t="str">
        <f>IFERROR((VLOOKUP($A569,'[1]import success seats course'!$A:X,HLOOKUP('[1]Course Totals'!J$4,'[1]import success seats course'!$1:$2,2,FALSE),FALSE)/(VLOOKUP($A569,'[1]import graded seats course pivo'!$A:AH,HLOOKUP('[1]Course Totals'!J$4,'[1]import graded seats course pivo'!$1:$2,2,FALSE),FALSE))),"")</f>
        <v/>
      </c>
      <c r="K569" s="14" t="str">
        <f>IFERROR((VLOOKUP($A569,'[1]import success seats course'!$A:Y,HLOOKUP('[1]Course Totals'!K$4,'[1]import success seats course'!$1:$2,2,FALSE),FALSE)/(VLOOKUP($A569,'[1]import graded seats course pivo'!$A:AI,HLOOKUP('[1]Course Totals'!K$4,'[1]import graded seats course pivo'!$1:$2,2,FALSE),FALSE))),"")</f>
        <v/>
      </c>
      <c r="L569" s="14" t="str">
        <f>IFERROR((VLOOKUP($A569,'[1]import success seats course'!$A:Z,HLOOKUP('[1]Course Totals'!L$4,'[1]import success seats course'!$1:$2,2,FALSE),FALSE)/(VLOOKUP($A569,'[1]import graded seats course pivo'!$A:AJ,HLOOKUP('[1]Course Totals'!L$4,'[1]import graded seats course pivo'!$1:$2,2,FALSE),FALSE))),"")</f>
        <v/>
      </c>
      <c r="M569" s="14" t="str">
        <f>IFERROR((VLOOKUP($A569,'[1]import success seats course'!$A:AA,HLOOKUP('[1]Course Totals'!M$4,'[1]import success seats course'!$1:$2,2,FALSE),FALSE)/(VLOOKUP($A569,'[1]import graded seats course pivo'!$A:AK,HLOOKUP('[1]Course Totals'!M$4,'[1]import graded seats course pivo'!$1:$2,2,FALSE),FALSE))),"")</f>
        <v/>
      </c>
      <c r="N569" s="14" t="str">
        <f>IFERROR((VLOOKUP($A569,'[1]import success seats course'!$A:AB,HLOOKUP('[1]Course Totals'!N$4,'[1]import success seats course'!$1:$2,2,FALSE),FALSE)/(VLOOKUP($A569,'[1]import graded seats course pivo'!$A:AL,HLOOKUP('[1]Course Totals'!N$4,'[1]import graded seats course pivo'!$1:$2,2,FALSE),FALSE))),"")</f>
        <v/>
      </c>
      <c r="O569" s="14" t="str">
        <f>IFERROR((VLOOKUP($A569,'[1]import success seats course'!$A:AC,HLOOKUP('[1]Course Totals'!O$4,'[1]import success seats course'!$1:$2,2,FALSE),FALSE)/(VLOOKUP($A569,'[1]import graded seats course pivo'!$A:AM,HLOOKUP('[1]Course Totals'!O$4,'[1]import graded seats course pivo'!$1:$2,2,FALSE),FALSE))),"")</f>
        <v/>
      </c>
      <c r="P569" s="14" t="str">
        <f>IFERROR((VLOOKUP($A569,'[1]import success seats course'!$A:AD,HLOOKUP('[1]Course Totals'!P$4,'[1]import success seats course'!$1:$2,2,FALSE),FALSE)/(VLOOKUP($A569,'[1]import graded seats course pivo'!$A:AN,HLOOKUP('[1]Course Totals'!P$4,'[1]import graded seats course pivo'!$1:$2,2,FALSE),FALSE))),"")</f>
        <v/>
      </c>
      <c r="Q569" s="14" t="str">
        <f>IFERROR((VLOOKUP($A569,'[1]import success seats course'!$A:AE,HLOOKUP('[1]Course Totals'!Q$4,'[1]import success seats course'!$1:$2,2,FALSE),FALSE)/(VLOOKUP($A569,'[1]import graded seats course pivo'!$A:AO,HLOOKUP('[1]Course Totals'!Q$4,'[1]import graded seats course pivo'!$1:$2,2,FALSE),FALSE))),"")</f>
        <v/>
      </c>
      <c r="R569" s="14" t="str">
        <f>IFERROR((VLOOKUP($A569,'[1]import success seats course'!$A:AF,HLOOKUP('[1]Course Totals'!R$4,'[1]import success seats course'!$1:$2,2,FALSE),FALSE)/(VLOOKUP($A569,'[1]import graded seats course pivo'!$A:AP,HLOOKUP('[1]Course Totals'!R$4,'[1]import graded seats course pivo'!$1:$2,2,FALSE),FALSE))),"")</f>
        <v/>
      </c>
      <c r="S569" s="14" t="str">
        <f>IFERROR((VLOOKUP($A569,'[1]import success seats course'!$A:AG,HLOOKUP('[1]Course Totals'!S$4,'[1]import success seats course'!$1:$2,2,FALSE),FALSE)/(VLOOKUP($A569,'[1]import graded seats course pivo'!$A:AQ,HLOOKUP('[1]Course Totals'!S$4,'[1]import graded seats course pivo'!$1:$2,2,FALSE),FALSE))),"")</f>
        <v/>
      </c>
      <c r="Z569" s="7"/>
      <c r="AA569" s="7"/>
      <c r="AB569" s="7"/>
      <c r="AC569" s="7"/>
    </row>
    <row r="570" spans="1:29" ht="15.75" customHeight="1" x14ac:dyDescent="0.25">
      <c r="A570" s="12" t="s">
        <v>913</v>
      </c>
      <c r="B570" s="14" t="str">
        <f>IFERROR((VLOOKUP($A570,'[1]import success seats course'!$A:P,HLOOKUP('[1]Course Totals'!B$4,'[1]import success seats course'!$1:$2,2,FALSE),FALSE)/(VLOOKUP($A570,'[1]import graded seats course pivo'!$A:Z,HLOOKUP('[1]Course Totals'!B$4,'[1]import graded seats course pivo'!$1:$2,2,FALSE),FALSE))),"")</f>
        <v/>
      </c>
      <c r="C570" s="14" t="str">
        <f>IFERROR((VLOOKUP($A570,'[1]import success seats course'!$A:Q,HLOOKUP('[1]Course Totals'!C$4,'[1]import success seats course'!$1:$2,2,FALSE),FALSE)/(VLOOKUP($A570,'[1]import graded seats course pivo'!$A:AA,HLOOKUP('[1]Course Totals'!C$4,'[1]import graded seats course pivo'!$1:$2,2,FALSE),FALSE))),"")</f>
        <v/>
      </c>
      <c r="D570" s="14">
        <f>IFERROR((VLOOKUP($A570,'[1]import success seats course'!$A:R,HLOOKUP('[1]Course Totals'!D$4,'[1]import success seats course'!$1:$2,2,FALSE),FALSE)/(VLOOKUP($A570,'[1]import graded seats course pivo'!$A:AB,HLOOKUP('[1]Course Totals'!D$4,'[1]import graded seats course pivo'!$1:$2,2,FALSE),FALSE))),"")</f>
        <v>0.90625</v>
      </c>
      <c r="E570" s="14" t="str">
        <f>IFERROR((VLOOKUP($A570,'[1]import success seats course'!$A:S,HLOOKUP('[1]Course Totals'!E$4,'[1]import success seats course'!$1:$2,2,FALSE),FALSE)/(VLOOKUP($A570,'[1]import graded seats course pivo'!$A:AC,HLOOKUP('[1]Course Totals'!E$4,'[1]import graded seats course pivo'!$1:$2,2,FALSE),FALSE))),"")</f>
        <v/>
      </c>
      <c r="F570" s="14" t="str">
        <f>IFERROR((VLOOKUP($A570,'[1]import success seats course'!$A:T,HLOOKUP('[1]Course Totals'!F$4,'[1]import success seats course'!$1:$2,2,FALSE),FALSE)/(VLOOKUP($A570,'[1]import graded seats course pivo'!$A:AD,HLOOKUP('[1]Course Totals'!F$4,'[1]import graded seats course pivo'!$1:$2,2,FALSE),FALSE))),"")</f>
        <v/>
      </c>
      <c r="G570" s="14">
        <f>IFERROR((VLOOKUP($A570,'[1]import success seats course'!$A:U,HLOOKUP('[1]Course Totals'!G$4,'[1]import success seats course'!$1:$2,2,FALSE),FALSE)/(VLOOKUP($A570,'[1]import graded seats course pivo'!$A:AE,HLOOKUP('[1]Course Totals'!G$4,'[1]import graded seats course pivo'!$1:$2,2,FALSE),FALSE))),"")</f>
        <v>0.81355932203389836</v>
      </c>
      <c r="H570" s="14" t="str">
        <f>IFERROR((VLOOKUP($A570,'[1]import success seats course'!$A:V,HLOOKUP('[1]Course Totals'!H$4,'[1]import success seats course'!$1:$2,2,FALSE),FALSE)/(VLOOKUP($A570,'[1]import graded seats course pivo'!$A:AF,HLOOKUP('[1]Course Totals'!H$4,'[1]import graded seats course pivo'!$1:$2,2,FALSE),FALSE))),"")</f>
        <v/>
      </c>
      <c r="I570" s="14" t="str">
        <f>IFERROR((VLOOKUP($A570,'[1]import success seats course'!$A:W,HLOOKUP('[1]Course Totals'!I$4,'[1]import success seats course'!$1:$2,2,FALSE),FALSE)/(VLOOKUP($A570,'[1]import graded seats course pivo'!$A:AG,HLOOKUP('[1]Course Totals'!I$4,'[1]import graded seats course pivo'!$1:$2,2,FALSE),FALSE))),"")</f>
        <v/>
      </c>
      <c r="J570" s="14">
        <f>IFERROR((VLOOKUP($A570,'[1]import success seats course'!$A:X,HLOOKUP('[1]Course Totals'!J$4,'[1]import success seats course'!$1:$2,2,FALSE),FALSE)/(VLOOKUP($A570,'[1]import graded seats course pivo'!$A:AH,HLOOKUP('[1]Course Totals'!J$4,'[1]import graded seats course pivo'!$1:$2,2,FALSE),FALSE))),"")</f>
        <v>0.90909090909090906</v>
      </c>
      <c r="K570" s="14" t="str">
        <f>IFERROR((VLOOKUP($A570,'[1]import success seats course'!$A:Y,HLOOKUP('[1]Course Totals'!K$4,'[1]import success seats course'!$1:$2,2,FALSE),FALSE)/(VLOOKUP($A570,'[1]import graded seats course pivo'!$A:AI,HLOOKUP('[1]Course Totals'!K$4,'[1]import graded seats course pivo'!$1:$2,2,FALSE),FALSE))),"")</f>
        <v/>
      </c>
      <c r="L570" s="14" t="str">
        <f>IFERROR((VLOOKUP($A570,'[1]import success seats course'!$A:Z,HLOOKUP('[1]Course Totals'!L$4,'[1]import success seats course'!$1:$2,2,FALSE),FALSE)/(VLOOKUP($A570,'[1]import graded seats course pivo'!$A:AJ,HLOOKUP('[1]Course Totals'!L$4,'[1]import graded seats course pivo'!$1:$2,2,FALSE),FALSE))),"")</f>
        <v/>
      </c>
      <c r="M570" s="14">
        <f>IFERROR((VLOOKUP($A570,'[1]import success seats course'!$A:AA,HLOOKUP('[1]Course Totals'!M$4,'[1]import success seats course'!$1:$2,2,FALSE),FALSE)/(VLOOKUP($A570,'[1]import graded seats course pivo'!$A:AK,HLOOKUP('[1]Course Totals'!M$4,'[1]import graded seats course pivo'!$1:$2,2,FALSE),FALSE))),"")</f>
        <v>0.9375</v>
      </c>
      <c r="N570" s="14" t="str">
        <f>IFERROR((VLOOKUP($A570,'[1]import success seats course'!$A:AB,HLOOKUP('[1]Course Totals'!N$4,'[1]import success seats course'!$1:$2,2,FALSE),FALSE)/(VLOOKUP($A570,'[1]import graded seats course pivo'!$A:AL,HLOOKUP('[1]Course Totals'!N$4,'[1]import graded seats course pivo'!$1:$2,2,FALSE),FALSE))),"")</f>
        <v/>
      </c>
      <c r="O570" s="14" t="str">
        <f>IFERROR((VLOOKUP($A570,'[1]import success seats course'!$A:AC,HLOOKUP('[1]Course Totals'!O$4,'[1]import success seats course'!$1:$2,2,FALSE),FALSE)/(VLOOKUP($A570,'[1]import graded seats course pivo'!$A:AM,HLOOKUP('[1]Course Totals'!O$4,'[1]import graded seats course pivo'!$1:$2,2,FALSE),FALSE))),"")</f>
        <v/>
      </c>
      <c r="P570" s="14">
        <f>IFERROR((VLOOKUP($A570,'[1]import success seats course'!$A:AD,HLOOKUP('[1]Course Totals'!P$4,'[1]import success seats course'!$1:$2,2,FALSE),FALSE)/(VLOOKUP($A570,'[1]import graded seats course pivo'!$A:AN,HLOOKUP('[1]Course Totals'!P$4,'[1]import graded seats course pivo'!$1:$2,2,FALSE),FALSE))),"")</f>
        <v>0.97222222222222221</v>
      </c>
      <c r="Q570" s="14" t="str">
        <f>IFERROR((VLOOKUP($A570,'[1]import success seats course'!$A:AE,HLOOKUP('[1]Course Totals'!Q$4,'[1]import success seats course'!$1:$2,2,FALSE),FALSE)/(VLOOKUP($A570,'[1]import graded seats course pivo'!$A:AO,HLOOKUP('[1]Course Totals'!Q$4,'[1]import graded seats course pivo'!$1:$2,2,FALSE),FALSE))),"")</f>
        <v/>
      </c>
      <c r="R570" s="14" t="str">
        <f>IFERROR((VLOOKUP($A570,'[1]import success seats course'!$A:AF,HLOOKUP('[1]Course Totals'!R$4,'[1]import success seats course'!$1:$2,2,FALSE),FALSE)/(VLOOKUP($A570,'[1]import graded seats course pivo'!$A:AP,HLOOKUP('[1]Course Totals'!R$4,'[1]import graded seats course pivo'!$1:$2,2,FALSE),FALSE))),"")</f>
        <v/>
      </c>
      <c r="S570" s="14">
        <f>IFERROR((VLOOKUP($A570,'[1]import success seats course'!$A:AG,HLOOKUP('[1]Course Totals'!S$4,'[1]import success seats course'!$1:$2,2,FALSE),FALSE)/(VLOOKUP($A570,'[1]import graded seats course pivo'!$A:AQ,HLOOKUP('[1]Course Totals'!S$4,'[1]import graded seats course pivo'!$1:$2,2,FALSE),FALSE))),"")</f>
        <v>0.78125</v>
      </c>
      <c r="Z570" s="7"/>
      <c r="AA570" s="7"/>
      <c r="AB570" s="7"/>
      <c r="AC570" s="7"/>
    </row>
    <row r="571" spans="1:29" ht="15.75" hidden="1" customHeight="1" x14ac:dyDescent="0.25">
      <c r="A571" s="12" t="s">
        <v>265</v>
      </c>
      <c r="B571" s="14" t="str">
        <f>IFERROR((VLOOKUP($A571,'[1]import success seats course'!$A:P,HLOOKUP('[1]Course Totals'!B$4,'[1]import success seats course'!$1:$2,2,FALSE),FALSE)/(VLOOKUP($A571,'[1]import graded seats course pivo'!$A:Z,HLOOKUP('[1]Course Totals'!B$4,'[1]import graded seats course pivo'!$1:$2,2,FALSE),FALSE))),"")</f>
        <v/>
      </c>
      <c r="C571" s="14" t="str">
        <f>IFERROR((VLOOKUP($A571,'[1]import success seats course'!$A:Q,HLOOKUP('[1]Course Totals'!C$4,'[1]import success seats course'!$1:$2,2,FALSE),FALSE)/(VLOOKUP($A571,'[1]import graded seats course pivo'!$A:AA,HLOOKUP('[1]Course Totals'!C$4,'[1]import graded seats course pivo'!$1:$2,2,FALSE),FALSE))),"")</f>
        <v/>
      </c>
      <c r="D571" s="14" t="str">
        <f>IFERROR((VLOOKUP($A571,'[1]import success seats course'!$A:R,HLOOKUP('[1]Course Totals'!D$4,'[1]import success seats course'!$1:$2,2,FALSE),FALSE)/(VLOOKUP($A571,'[1]import graded seats course pivo'!$A:AB,HLOOKUP('[1]Course Totals'!D$4,'[1]import graded seats course pivo'!$1:$2,2,FALSE),FALSE))),"")</f>
        <v/>
      </c>
      <c r="E571" s="14" t="str">
        <f>IFERROR((VLOOKUP($A571,'[1]import success seats course'!$A:S,HLOOKUP('[1]Course Totals'!E$4,'[1]import success seats course'!$1:$2,2,FALSE),FALSE)/(VLOOKUP($A571,'[1]import graded seats course pivo'!$A:AC,HLOOKUP('[1]Course Totals'!E$4,'[1]import graded seats course pivo'!$1:$2,2,FALSE),FALSE))),"")</f>
        <v/>
      </c>
      <c r="F571" s="14" t="str">
        <f>IFERROR((VLOOKUP($A571,'[1]import success seats course'!$A:T,HLOOKUP('[1]Course Totals'!F$4,'[1]import success seats course'!$1:$2,2,FALSE),FALSE)/(VLOOKUP($A571,'[1]import graded seats course pivo'!$A:AD,HLOOKUP('[1]Course Totals'!F$4,'[1]import graded seats course pivo'!$1:$2,2,FALSE),FALSE))),"")</f>
        <v/>
      </c>
      <c r="G571" s="14" t="str">
        <f>IFERROR((VLOOKUP($A571,'[1]import success seats course'!$A:U,HLOOKUP('[1]Course Totals'!G$4,'[1]import success seats course'!$1:$2,2,FALSE),FALSE)/(VLOOKUP($A571,'[1]import graded seats course pivo'!$A:AE,HLOOKUP('[1]Course Totals'!G$4,'[1]import graded seats course pivo'!$1:$2,2,FALSE),FALSE))),"")</f>
        <v/>
      </c>
      <c r="H571" s="14" t="str">
        <f>IFERROR((VLOOKUP($A571,'[1]import success seats course'!$A:V,HLOOKUP('[1]Course Totals'!H$4,'[1]import success seats course'!$1:$2,2,FALSE),FALSE)/(VLOOKUP($A571,'[1]import graded seats course pivo'!$A:AF,HLOOKUP('[1]Course Totals'!H$4,'[1]import graded seats course pivo'!$1:$2,2,FALSE),FALSE))),"")</f>
        <v/>
      </c>
      <c r="I571" s="14" t="str">
        <f>IFERROR((VLOOKUP($A571,'[1]import success seats course'!$A:W,HLOOKUP('[1]Course Totals'!I$4,'[1]import success seats course'!$1:$2,2,FALSE),FALSE)/(VLOOKUP($A571,'[1]import graded seats course pivo'!$A:AG,HLOOKUP('[1]Course Totals'!I$4,'[1]import graded seats course pivo'!$1:$2,2,FALSE),FALSE))),"")</f>
        <v/>
      </c>
      <c r="J571" s="14" t="str">
        <f>IFERROR((VLOOKUP($A571,'[1]import success seats course'!$A:X,HLOOKUP('[1]Course Totals'!J$4,'[1]import success seats course'!$1:$2,2,FALSE),FALSE)/(VLOOKUP($A571,'[1]import graded seats course pivo'!$A:AH,HLOOKUP('[1]Course Totals'!J$4,'[1]import graded seats course pivo'!$1:$2,2,FALSE),FALSE))),"")</f>
        <v/>
      </c>
      <c r="K571" s="14" t="str">
        <f>IFERROR((VLOOKUP($A571,'[1]import success seats course'!$A:Y,HLOOKUP('[1]Course Totals'!K$4,'[1]import success seats course'!$1:$2,2,FALSE),FALSE)/(VLOOKUP($A571,'[1]import graded seats course pivo'!$A:AI,HLOOKUP('[1]Course Totals'!K$4,'[1]import graded seats course pivo'!$1:$2,2,FALSE),FALSE))),"")</f>
        <v/>
      </c>
      <c r="L571" s="14" t="str">
        <f>IFERROR((VLOOKUP($A571,'[1]import success seats course'!$A:Z,HLOOKUP('[1]Course Totals'!L$4,'[1]import success seats course'!$1:$2,2,FALSE),FALSE)/(VLOOKUP($A571,'[1]import graded seats course pivo'!$A:AJ,HLOOKUP('[1]Course Totals'!L$4,'[1]import graded seats course pivo'!$1:$2,2,FALSE),FALSE))),"")</f>
        <v/>
      </c>
      <c r="M571" s="14" t="str">
        <f>IFERROR((VLOOKUP($A571,'[1]import success seats course'!$A:AA,HLOOKUP('[1]Course Totals'!M$4,'[1]import success seats course'!$1:$2,2,FALSE),FALSE)/(VLOOKUP($A571,'[1]import graded seats course pivo'!$A:AK,HLOOKUP('[1]Course Totals'!M$4,'[1]import graded seats course pivo'!$1:$2,2,FALSE),FALSE))),"")</f>
        <v/>
      </c>
      <c r="N571" s="14" t="str">
        <f>IFERROR((VLOOKUP($A571,'[1]import success seats course'!$A:AB,HLOOKUP('[1]Course Totals'!N$4,'[1]import success seats course'!$1:$2,2,FALSE),FALSE)/(VLOOKUP($A571,'[1]import graded seats course pivo'!$A:AL,HLOOKUP('[1]Course Totals'!N$4,'[1]import graded seats course pivo'!$1:$2,2,FALSE),FALSE))),"")</f>
        <v/>
      </c>
      <c r="O571" s="14" t="str">
        <f>IFERROR((VLOOKUP($A571,'[1]import success seats course'!$A:AC,HLOOKUP('[1]Course Totals'!O$4,'[1]import success seats course'!$1:$2,2,FALSE),FALSE)/(VLOOKUP($A571,'[1]import graded seats course pivo'!$A:AM,HLOOKUP('[1]Course Totals'!O$4,'[1]import graded seats course pivo'!$1:$2,2,FALSE),FALSE))),"")</f>
        <v/>
      </c>
      <c r="P571" s="14" t="str">
        <f>IFERROR((VLOOKUP($A571,'[1]import success seats course'!$A:AD,HLOOKUP('[1]Course Totals'!P$4,'[1]import success seats course'!$1:$2,2,FALSE),FALSE)/(VLOOKUP($A571,'[1]import graded seats course pivo'!$A:AN,HLOOKUP('[1]Course Totals'!P$4,'[1]import graded seats course pivo'!$1:$2,2,FALSE),FALSE))),"")</f>
        <v/>
      </c>
      <c r="Q571" s="14" t="str">
        <f>IFERROR((VLOOKUP($A571,'[1]import success seats course'!$A:AE,HLOOKUP('[1]Course Totals'!Q$4,'[1]import success seats course'!$1:$2,2,FALSE),FALSE)/(VLOOKUP($A571,'[1]import graded seats course pivo'!$A:AO,HLOOKUP('[1]Course Totals'!Q$4,'[1]import graded seats course pivo'!$1:$2,2,FALSE),FALSE))),"")</f>
        <v/>
      </c>
      <c r="R571" s="14" t="str">
        <f>IFERROR((VLOOKUP($A571,'[1]import success seats course'!$A:AF,HLOOKUP('[1]Course Totals'!R$4,'[1]import success seats course'!$1:$2,2,FALSE),FALSE)/(VLOOKUP($A571,'[1]import graded seats course pivo'!$A:AP,HLOOKUP('[1]Course Totals'!R$4,'[1]import graded seats course pivo'!$1:$2,2,FALSE),FALSE))),"")</f>
        <v/>
      </c>
      <c r="S571" s="14">
        <f>IFERROR((VLOOKUP($A571,'[1]import success seats course'!$A:AG,HLOOKUP('[1]Course Totals'!S$4,'[1]import success seats course'!$1:$2,2,FALSE),FALSE)/(VLOOKUP($A571,'[1]import graded seats course pivo'!$A:AQ,HLOOKUP('[1]Course Totals'!S$4,'[1]import graded seats course pivo'!$1:$2,2,FALSE),FALSE))),"")</f>
        <v>1</v>
      </c>
      <c r="Z571" s="7"/>
      <c r="AA571" s="7"/>
      <c r="AB571" s="7"/>
      <c r="AC571" s="7"/>
    </row>
    <row r="572" spans="1:29" ht="15.75" customHeight="1" x14ac:dyDescent="0.25">
      <c r="A572" s="12" t="s">
        <v>266</v>
      </c>
      <c r="B572" s="14" t="str">
        <f>IFERROR((VLOOKUP($A572,'[1]import success seats course'!$A:P,HLOOKUP('[1]Course Totals'!B$4,'[1]import success seats course'!$1:$2,2,FALSE),FALSE)/(VLOOKUP($A572,'[1]import graded seats course pivo'!$A:Z,HLOOKUP('[1]Course Totals'!B$4,'[1]import graded seats course pivo'!$1:$2,2,FALSE),FALSE))),"")</f>
        <v/>
      </c>
      <c r="C572" s="14">
        <f>IFERROR((VLOOKUP($A572,'[1]import success seats course'!$A:Q,HLOOKUP('[1]Course Totals'!C$4,'[1]import success seats course'!$1:$2,2,FALSE),FALSE)/(VLOOKUP($A572,'[1]import graded seats course pivo'!$A:AA,HLOOKUP('[1]Course Totals'!C$4,'[1]import graded seats course pivo'!$1:$2,2,FALSE),FALSE))),"")</f>
        <v>0.90909090909090906</v>
      </c>
      <c r="D572" s="14" t="str">
        <f>IFERROR((VLOOKUP($A572,'[1]import success seats course'!$A:R,HLOOKUP('[1]Course Totals'!D$4,'[1]import success seats course'!$1:$2,2,FALSE),FALSE)/(VLOOKUP($A572,'[1]import graded seats course pivo'!$A:AB,HLOOKUP('[1]Course Totals'!D$4,'[1]import graded seats course pivo'!$1:$2,2,FALSE),FALSE))),"")</f>
        <v/>
      </c>
      <c r="E572" s="14" t="str">
        <f>IFERROR((VLOOKUP($A572,'[1]import success seats course'!$A:S,HLOOKUP('[1]Course Totals'!E$4,'[1]import success seats course'!$1:$2,2,FALSE),FALSE)/(VLOOKUP($A572,'[1]import graded seats course pivo'!$A:AC,HLOOKUP('[1]Course Totals'!E$4,'[1]import graded seats course pivo'!$1:$2,2,FALSE),FALSE))),"")</f>
        <v/>
      </c>
      <c r="F572" s="14">
        <f>IFERROR((VLOOKUP($A572,'[1]import success seats course'!$A:T,HLOOKUP('[1]Course Totals'!F$4,'[1]import success seats course'!$1:$2,2,FALSE),FALSE)/(VLOOKUP($A572,'[1]import graded seats course pivo'!$A:AD,HLOOKUP('[1]Course Totals'!F$4,'[1]import graded seats course pivo'!$1:$2,2,FALSE),FALSE))),"")</f>
        <v>0.75862068965517238</v>
      </c>
      <c r="G572" s="14" t="str">
        <f>IFERROR((VLOOKUP($A572,'[1]import success seats course'!$A:U,HLOOKUP('[1]Course Totals'!G$4,'[1]import success seats course'!$1:$2,2,FALSE),FALSE)/(VLOOKUP($A572,'[1]import graded seats course pivo'!$A:AE,HLOOKUP('[1]Course Totals'!G$4,'[1]import graded seats course pivo'!$1:$2,2,FALSE),FALSE))),"")</f>
        <v/>
      </c>
      <c r="H572" s="14" t="str">
        <f>IFERROR((VLOOKUP($A572,'[1]import success seats course'!$A:V,HLOOKUP('[1]Course Totals'!H$4,'[1]import success seats course'!$1:$2,2,FALSE),FALSE)/(VLOOKUP($A572,'[1]import graded seats course pivo'!$A:AF,HLOOKUP('[1]Course Totals'!H$4,'[1]import graded seats course pivo'!$1:$2,2,FALSE),FALSE))),"")</f>
        <v/>
      </c>
      <c r="I572" s="14">
        <f>IFERROR((VLOOKUP($A572,'[1]import success seats course'!$A:W,HLOOKUP('[1]Course Totals'!I$4,'[1]import success seats course'!$1:$2,2,FALSE),FALSE)/(VLOOKUP($A572,'[1]import graded seats course pivo'!$A:AG,HLOOKUP('[1]Course Totals'!I$4,'[1]import graded seats course pivo'!$1:$2,2,FALSE),FALSE))),"")</f>
        <v>0.82352941176470584</v>
      </c>
      <c r="J572" s="14" t="str">
        <f>IFERROR((VLOOKUP($A572,'[1]import success seats course'!$A:X,HLOOKUP('[1]Course Totals'!J$4,'[1]import success seats course'!$1:$2,2,FALSE),FALSE)/(VLOOKUP($A572,'[1]import graded seats course pivo'!$A:AH,HLOOKUP('[1]Course Totals'!J$4,'[1]import graded seats course pivo'!$1:$2,2,FALSE),FALSE))),"")</f>
        <v/>
      </c>
      <c r="K572" s="14" t="str">
        <f>IFERROR((VLOOKUP($A572,'[1]import success seats course'!$A:Y,HLOOKUP('[1]Course Totals'!K$4,'[1]import success seats course'!$1:$2,2,FALSE),FALSE)/(VLOOKUP($A572,'[1]import graded seats course pivo'!$A:AI,HLOOKUP('[1]Course Totals'!K$4,'[1]import graded seats course pivo'!$1:$2,2,FALSE),FALSE))),"")</f>
        <v/>
      </c>
      <c r="L572" s="14">
        <f>IFERROR((VLOOKUP($A572,'[1]import success seats course'!$A:Z,HLOOKUP('[1]Course Totals'!L$4,'[1]import success seats course'!$1:$2,2,FALSE),FALSE)/(VLOOKUP($A572,'[1]import graded seats course pivo'!$A:AJ,HLOOKUP('[1]Course Totals'!L$4,'[1]import graded seats course pivo'!$1:$2,2,FALSE),FALSE))),"")</f>
        <v>0.9</v>
      </c>
      <c r="M572" s="14" t="str">
        <f>IFERROR((VLOOKUP($A572,'[1]import success seats course'!$A:AA,HLOOKUP('[1]Course Totals'!M$4,'[1]import success seats course'!$1:$2,2,FALSE),FALSE)/(VLOOKUP($A572,'[1]import graded seats course pivo'!$A:AK,HLOOKUP('[1]Course Totals'!M$4,'[1]import graded seats course pivo'!$1:$2,2,FALSE),FALSE))),"")</f>
        <v/>
      </c>
      <c r="N572" s="14" t="str">
        <f>IFERROR((VLOOKUP($A572,'[1]import success seats course'!$A:AB,HLOOKUP('[1]Course Totals'!N$4,'[1]import success seats course'!$1:$2,2,FALSE),FALSE)/(VLOOKUP($A572,'[1]import graded seats course pivo'!$A:AL,HLOOKUP('[1]Course Totals'!N$4,'[1]import graded seats course pivo'!$1:$2,2,FALSE),FALSE))),"")</f>
        <v/>
      </c>
      <c r="O572" s="14">
        <f>IFERROR((VLOOKUP($A572,'[1]import success seats course'!$A:AC,HLOOKUP('[1]Course Totals'!O$4,'[1]import success seats course'!$1:$2,2,FALSE),FALSE)/(VLOOKUP($A572,'[1]import graded seats course pivo'!$A:AM,HLOOKUP('[1]Course Totals'!O$4,'[1]import graded seats course pivo'!$1:$2,2,FALSE),FALSE))),"")</f>
        <v>0.94285714285714284</v>
      </c>
      <c r="P572" s="14" t="str">
        <f>IFERROR((VLOOKUP($A572,'[1]import success seats course'!$A:AD,HLOOKUP('[1]Course Totals'!P$4,'[1]import success seats course'!$1:$2,2,FALSE),FALSE)/(VLOOKUP($A572,'[1]import graded seats course pivo'!$A:AN,HLOOKUP('[1]Course Totals'!P$4,'[1]import graded seats course pivo'!$1:$2,2,FALSE),FALSE))),"")</f>
        <v/>
      </c>
      <c r="Q572" s="14" t="str">
        <f>IFERROR((VLOOKUP($A572,'[1]import success seats course'!$A:AE,HLOOKUP('[1]Course Totals'!Q$4,'[1]import success seats course'!$1:$2,2,FALSE),FALSE)/(VLOOKUP($A572,'[1]import graded seats course pivo'!$A:AO,HLOOKUP('[1]Course Totals'!Q$4,'[1]import graded seats course pivo'!$1:$2,2,FALSE),FALSE))),"")</f>
        <v/>
      </c>
      <c r="R572" s="14" t="str">
        <f>IFERROR((VLOOKUP($A572,'[1]import success seats course'!$A:AF,HLOOKUP('[1]Course Totals'!R$4,'[1]import success seats course'!$1:$2,2,FALSE),FALSE)/(VLOOKUP($A572,'[1]import graded seats course pivo'!$A:AP,HLOOKUP('[1]Course Totals'!R$4,'[1]import graded seats course pivo'!$1:$2,2,FALSE),FALSE))),"")</f>
        <v/>
      </c>
      <c r="S572" s="14" t="str">
        <f>IFERROR((VLOOKUP($A572,'[1]import success seats course'!$A:AG,HLOOKUP('[1]Course Totals'!S$4,'[1]import success seats course'!$1:$2,2,FALSE),FALSE)/(VLOOKUP($A572,'[1]import graded seats course pivo'!$A:AQ,HLOOKUP('[1]Course Totals'!S$4,'[1]import graded seats course pivo'!$1:$2,2,FALSE),FALSE))),"")</f>
        <v/>
      </c>
      <c r="Z572" s="7"/>
      <c r="AA572" s="7"/>
      <c r="AB572" s="7"/>
      <c r="AC572" s="7"/>
    </row>
    <row r="573" spans="1:29" ht="15.75" customHeight="1" x14ac:dyDescent="0.25">
      <c r="A573" s="12" t="s">
        <v>788</v>
      </c>
      <c r="B573" s="14" t="str">
        <f>IFERROR((VLOOKUP($A573,'[1]import success seats course'!$A:P,HLOOKUP('[1]Course Totals'!B$4,'[1]import success seats course'!$1:$2,2,FALSE),FALSE)/(VLOOKUP($A573,'[1]import graded seats course pivo'!$A:Z,HLOOKUP('[1]Course Totals'!B$4,'[1]import graded seats course pivo'!$1:$2,2,FALSE),FALSE))),"")</f>
        <v/>
      </c>
      <c r="C573" s="14" t="str">
        <f>IFERROR((VLOOKUP($A573,'[1]import success seats course'!$A:Q,HLOOKUP('[1]Course Totals'!C$4,'[1]import success seats course'!$1:$2,2,FALSE),FALSE)/(VLOOKUP($A573,'[1]import graded seats course pivo'!$A:AA,HLOOKUP('[1]Course Totals'!C$4,'[1]import graded seats course pivo'!$1:$2,2,FALSE),FALSE))),"")</f>
        <v/>
      </c>
      <c r="D573" s="14" t="str">
        <f>IFERROR((VLOOKUP($A573,'[1]import success seats course'!$A:R,HLOOKUP('[1]Course Totals'!D$4,'[1]import success seats course'!$1:$2,2,FALSE),FALSE)/(VLOOKUP($A573,'[1]import graded seats course pivo'!$A:AB,HLOOKUP('[1]Course Totals'!D$4,'[1]import graded seats course pivo'!$1:$2,2,FALSE),FALSE))),"")</f>
        <v/>
      </c>
      <c r="E573" s="14" t="str">
        <f>IFERROR((VLOOKUP($A573,'[1]import success seats course'!$A:S,HLOOKUP('[1]Course Totals'!E$4,'[1]import success seats course'!$1:$2,2,FALSE),FALSE)/(VLOOKUP($A573,'[1]import graded seats course pivo'!$A:AC,HLOOKUP('[1]Course Totals'!E$4,'[1]import graded seats course pivo'!$1:$2,2,FALSE),FALSE))),"")</f>
        <v/>
      </c>
      <c r="F573" s="14" t="str">
        <f>IFERROR((VLOOKUP($A573,'[1]import success seats course'!$A:T,HLOOKUP('[1]Course Totals'!F$4,'[1]import success seats course'!$1:$2,2,FALSE),FALSE)/(VLOOKUP($A573,'[1]import graded seats course pivo'!$A:AD,HLOOKUP('[1]Course Totals'!F$4,'[1]import graded seats course pivo'!$1:$2,2,FALSE),FALSE))),"")</f>
        <v/>
      </c>
      <c r="G573" s="14" t="str">
        <f>IFERROR((VLOOKUP($A573,'[1]import success seats course'!$A:U,HLOOKUP('[1]Course Totals'!G$4,'[1]import success seats course'!$1:$2,2,FALSE),FALSE)/(VLOOKUP($A573,'[1]import graded seats course pivo'!$A:AE,HLOOKUP('[1]Course Totals'!G$4,'[1]import graded seats course pivo'!$1:$2,2,FALSE),FALSE))),"")</f>
        <v/>
      </c>
      <c r="H573" s="14" t="str">
        <f>IFERROR((VLOOKUP($A573,'[1]import success seats course'!$A:V,HLOOKUP('[1]Course Totals'!H$4,'[1]import success seats course'!$1:$2,2,FALSE),FALSE)/(VLOOKUP($A573,'[1]import graded seats course pivo'!$A:AF,HLOOKUP('[1]Course Totals'!H$4,'[1]import graded seats course pivo'!$1:$2,2,FALSE),FALSE))),"")</f>
        <v/>
      </c>
      <c r="I573" s="14" t="str">
        <f>IFERROR((VLOOKUP($A573,'[1]import success seats course'!$A:W,HLOOKUP('[1]Course Totals'!I$4,'[1]import success seats course'!$1:$2,2,FALSE),FALSE)/(VLOOKUP($A573,'[1]import graded seats course pivo'!$A:AG,HLOOKUP('[1]Course Totals'!I$4,'[1]import graded seats course pivo'!$1:$2,2,FALSE),FALSE))),"")</f>
        <v/>
      </c>
      <c r="J573" s="14" t="str">
        <f>IFERROR((VLOOKUP($A573,'[1]import success seats course'!$A:X,HLOOKUP('[1]Course Totals'!J$4,'[1]import success seats course'!$1:$2,2,FALSE),FALSE)/(VLOOKUP($A573,'[1]import graded seats course pivo'!$A:AH,HLOOKUP('[1]Course Totals'!J$4,'[1]import graded seats course pivo'!$1:$2,2,FALSE),FALSE))),"")</f>
        <v/>
      </c>
      <c r="K573" s="14" t="str">
        <f>IFERROR((VLOOKUP($A573,'[1]import success seats course'!$A:Y,HLOOKUP('[1]Course Totals'!K$4,'[1]import success seats course'!$1:$2,2,FALSE),FALSE)/(VLOOKUP($A573,'[1]import graded seats course pivo'!$A:AI,HLOOKUP('[1]Course Totals'!K$4,'[1]import graded seats course pivo'!$1:$2,2,FALSE),FALSE))),"")</f>
        <v/>
      </c>
      <c r="L573" s="14">
        <f>IFERROR((VLOOKUP($A573,'[1]import success seats course'!$A:Z,HLOOKUP('[1]Course Totals'!L$4,'[1]import success seats course'!$1:$2,2,FALSE),FALSE)/(VLOOKUP($A573,'[1]import graded seats course pivo'!$A:AJ,HLOOKUP('[1]Course Totals'!L$4,'[1]import graded seats course pivo'!$1:$2,2,FALSE),FALSE))),"")</f>
        <v>0.8928571428571429</v>
      </c>
      <c r="M573" s="14">
        <f>IFERROR((VLOOKUP($A573,'[1]import success seats course'!$A:AA,HLOOKUP('[1]Course Totals'!M$4,'[1]import success seats course'!$1:$2,2,FALSE),FALSE)/(VLOOKUP($A573,'[1]import graded seats course pivo'!$A:AK,HLOOKUP('[1]Course Totals'!M$4,'[1]import graded seats course pivo'!$1:$2,2,FALSE),FALSE))),"")</f>
        <v>0.97222222222222221</v>
      </c>
      <c r="N573" s="14" t="str">
        <f>IFERROR((VLOOKUP($A573,'[1]import success seats course'!$A:AB,HLOOKUP('[1]Course Totals'!N$4,'[1]import success seats course'!$1:$2,2,FALSE),FALSE)/(VLOOKUP($A573,'[1]import graded seats course pivo'!$A:AL,HLOOKUP('[1]Course Totals'!N$4,'[1]import graded seats course pivo'!$1:$2,2,FALSE),FALSE))),"")</f>
        <v/>
      </c>
      <c r="O573" s="14" t="str">
        <f>IFERROR((VLOOKUP($A573,'[1]import success seats course'!$A:AC,HLOOKUP('[1]Course Totals'!O$4,'[1]import success seats course'!$1:$2,2,FALSE),FALSE)/(VLOOKUP($A573,'[1]import graded seats course pivo'!$A:AM,HLOOKUP('[1]Course Totals'!O$4,'[1]import graded seats course pivo'!$1:$2,2,FALSE),FALSE))),"")</f>
        <v/>
      </c>
      <c r="P573" s="14">
        <f>IFERROR((VLOOKUP($A573,'[1]import success seats course'!$A:AD,HLOOKUP('[1]Course Totals'!P$4,'[1]import success seats course'!$1:$2,2,FALSE),FALSE)/(VLOOKUP($A573,'[1]import graded seats course pivo'!$A:AN,HLOOKUP('[1]Course Totals'!P$4,'[1]import graded seats course pivo'!$1:$2,2,FALSE),FALSE))),"")</f>
        <v>0.92500000000000004</v>
      </c>
      <c r="Q573" s="14" t="str">
        <f>IFERROR((VLOOKUP($A573,'[1]import success seats course'!$A:AE,HLOOKUP('[1]Course Totals'!Q$4,'[1]import success seats course'!$1:$2,2,FALSE),FALSE)/(VLOOKUP($A573,'[1]import graded seats course pivo'!$A:AO,HLOOKUP('[1]Course Totals'!Q$4,'[1]import graded seats course pivo'!$1:$2,2,FALSE),FALSE))),"")</f>
        <v/>
      </c>
      <c r="R573" s="14" t="str">
        <f>IFERROR((VLOOKUP($A573,'[1]import success seats course'!$A:AF,HLOOKUP('[1]Course Totals'!R$4,'[1]import success seats course'!$1:$2,2,FALSE),FALSE)/(VLOOKUP($A573,'[1]import graded seats course pivo'!$A:AP,HLOOKUP('[1]Course Totals'!R$4,'[1]import graded seats course pivo'!$1:$2,2,FALSE),FALSE))),"")</f>
        <v/>
      </c>
      <c r="S573" s="14">
        <f>IFERROR((VLOOKUP($A573,'[1]import success seats course'!$A:AG,HLOOKUP('[1]Course Totals'!S$4,'[1]import success seats course'!$1:$2,2,FALSE),FALSE)/(VLOOKUP($A573,'[1]import graded seats course pivo'!$A:AQ,HLOOKUP('[1]Course Totals'!S$4,'[1]import graded seats course pivo'!$1:$2,2,FALSE),FALSE))),"")</f>
        <v>0.94285714285714284</v>
      </c>
      <c r="Z573" s="7"/>
      <c r="AA573" s="7"/>
      <c r="AB573" s="7"/>
      <c r="AC573" s="7"/>
    </row>
    <row r="574" spans="1:29" ht="15.75" customHeight="1" x14ac:dyDescent="0.25">
      <c r="A574" s="12" t="s">
        <v>609</v>
      </c>
      <c r="B574" s="14" t="str">
        <f>IFERROR((VLOOKUP($A574,'[1]import success seats course'!$A:P,HLOOKUP('[1]Course Totals'!B$4,'[1]import success seats course'!$1:$2,2,FALSE),FALSE)/(VLOOKUP($A574,'[1]import graded seats course pivo'!$A:Z,HLOOKUP('[1]Course Totals'!B$4,'[1]import graded seats course pivo'!$1:$2,2,FALSE),FALSE))),"")</f>
        <v/>
      </c>
      <c r="C574" s="14" t="str">
        <f>IFERROR((VLOOKUP($A574,'[1]import success seats course'!$A:Q,HLOOKUP('[1]Course Totals'!C$4,'[1]import success seats course'!$1:$2,2,FALSE),FALSE)/(VLOOKUP($A574,'[1]import graded seats course pivo'!$A:AA,HLOOKUP('[1]Course Totals'!C$4,'[1]import graded seats course pivo'!$1:$2,2,FALSE),FALSE))),"")</f>
        <v/>
      </c>
      <c r="D574" s="14">
        <f>IFERROR((VLOOKUP($A574,'[1]import success seats course'!$A:R,HLOOKUP('[1]Course Totals'!D$4,'[1]import success seats course'!$1:$2,2,FALSE),FALSE)/(VLOOKUP($A574,'[1]import graded seats course pivo'!$A:AB,HLOOKUP('[1]Course Totals'!D$4,'[1]import graded seats course pivo'!$1:$2,2,FALSE),FALSE))),"")</f>
        <v>1</v>
      </c>
      <c r="E574" s="14" t="str">
        <f>IFERROR((VLOOKUP($A574,'[1]import success seats course'!$A:S,HLOOKUP('[1]Course Totals'!E$4,'[1]import success seats course'!$1:$2,2,FALSE),FALSE)/(VLOOKUP($A574,'[1]import graded seats course pivo'!$A:AC,HLOOKUP('[1]Course Totals'!E$4,'[1]import graded seats course pivo'!$1:$2,2,FALSE),FALSE))),"")</f>
        <v/>
      </c>
      <c r="F574" s="14">
        <f>IFERROR((VLOOKUP($A574,'[1]import success seats course'!$A:T,HLOOKUP('[1]Course Totals'!F$4,'[1]import success seats course'!$1:$2,2,FALSE),FALSE)/(VLOOKUP($A574,'[1]import graded seats course pivo'!$A:AD,HLOOKUP('[1]Course Totals'!F$4,'[1]import graded seats course pivo'!$1:$2,2,FALSE),FALSE))),"")</f>
        <v>0.25</v>
      </c>
      <c r="G574" s="14">
        <f>IFERROR((VLOOKUP($A574,'[1]import success seats course'!$A:U,HLOOKUP('[1]Course Totals'!G$4,'[1]import success seats course'!$1:$2,2,FALSE),FALSE)/(VLOOKUP($A574,'[1]import graded seats course pivo'!$A:AE,HLOOKUP('[1]Course Totals'!G$4,'[1]import graded seats course pivo'!$1:$2,2,FALSE),FALSE))),"")</f>
        <v>0.5</v>
      </c>
      <c r="H574" s="14" t="str">
        <f>IFERROR((VLOOKUP($A574,'[1]import success seats course'!$A:V,HLOOKUP('[1]Course Totals'!H$4,'[1]import success seats course'!$1:$2,2,FALSE),FALSE)/(VLOOKUP($A574,'[1]import graded seats course pivo'!$A:AF,HLOOKUP('[1]Course Totals'!H$4,'[1]import graded seats course pivo'!$1:$2,2,FALSE),FALSE))),"")</f>
        <v/>
      </c>
      <c r="I574" s="14" t="str">
        <f>IFERROR((VLOOKUP($A574,'[1]import success seats course'!$A:W,HLOOKUP('[1]Course Totals'!I$4,'[1]import success seats course'!$1:$2,2,FALSE),FALSE)/(VLOOKUP($A574,'[1]import graded seats course pivo'!$A:AG,HLOOKUP('[1]Course Totals'!I$4,'[1]import graded seats course pivo'!$1:$2,2,FALSE),FALSE))),"")</f>
        <v/>
      </c>
      <c r="J574" s="14" t="str">
        <f>IFERROR((VLOOKUP($A574,'[1]import success seats course'!$A:X,HLOOKUP('[1]Course Totals'!J$4,'[1]import success seats course'!$1:$2,2,FALSE),FALSE)/(VLOOKUP($A574,'[1]import graded seats course pivo'!$A:AH,HLOOKUP('[1]Course Totals'!J$4,'[1]import graded seats course pivo'!$1:$2,2,FALSE),FALSE))),"")</f>
        <v/>
      </c>
      <c r="K574" s="14" t="str">
        <f>IFERROR((VLOOKUP($A574,'[1]import success seats course'!$A:Y,HLOOKUP('[1]Course Totals'!K$4,'[1]import success seats course'!$1:$2,2,FALSE),FALSE)/(VLOOKUP($A574,'[1]import graded seats course pivo'!$A:AI,HLOOKUP('[1]Course Totals'!K$4,'[1]import graded seats course pivo'!$1:$2,2,FALSE),FALSE))),"")</f>
        <v/>
      </c>
      <c r="L574" s="14" t="str">
        <f>IFERROR((VLOOKUP($A574,'[1]import success seats course'!$A:Z,HLOOKUP('[1]Course Totals'!L$4,'[1]import success seats course'!$1:$2,2,FALSE),FALSE)/(VLOOKUP($A574,'[1]import graded seats course pivo'!$A:AJ,HLOOKUP('[1]Course Totals'!L$4,'[1]import graded seats course pivo'!$1:$2,2,FALSE),FALSE))),"")</f>
        <v/>
      </c>
      <c r="M574" s="14" t="str">
        <f>IFERROR((VLOOKUP($A574,'[1]import success seats course'!$A:AA,HLOOKUP('[1]Course Totals'!M$4,'[1]import success seats course'!$1:$2,2,FALSE),FALSE)/(VLOOKUP($A574,'[1]import graded seats course pivo'!$A:AK,HLOOKUP('[1]Course Totals'!M$4,'[1]import graded seats course pivo'!$1:$2,2,FALSE),FALSE))),"")</f>
        <v/>
      </c>
      <c r="N574" s="14" t="str">
        <f>IFERROR((VLOOKUP($A574,'[1]import success seats course'!$A:AB,HLOOKUP('[1]Course Totals'!N$4,'[1]import success seats course'!$1:$2,2,FALSE),FALSE)/(VLOOKUP($A574,'[1]import graded seats course pivo'!$A:AL,HLOOKUP('[1]Course Totals'!N$4,'[1]import graded seats course pivo'!$1:$2,2,FALSE),FALSE))),"")</f>
        <v/>
      </c>
      <c r="O574" s="14" t="str">
        <f>IFERROR((VLOOKUP($A574,'[1]import success seats course'!$A:AC,HLOOKUP('[1]Course Totals'!O$4,'[1]import success seats course'!$1:$2,2,FALSE),FALSE)/(VLOOKUP($A574,'[1]import graded seats course pivo'!$A:AM,HLOOKUP('[1]Course Totals'!O$4,'[1]import graded seats course pivo'!$1:$2,2,FALSE),FALSE))),"")</f>
        <v/>
      </c>
      <c r="P574" s="14" t="str">
        <f>IFERROR((VLOOKUP($A574,'[1]import success seats course'!$A:AD,HLOOKUP('[1]Course Totals'!P$4,'[1]import success seats course'!$1:$2,2,FALSE),FALSE)/(VLOOKUP($A574,'[1]import graded seats course pivo'!$A:AN,HLOOKUP('[1]Course Totals'!P$4,'[1]import graded seats course pivo'!$1:$2,2,FALSE),FALSE))),"")</f>
        <v/>
      </c>
      <c r="Q574" s="14" t="str">
        <f>IFERROR((VLOOKUP($A574,'[1]import success seats course'!$A:AE,HLOOKUP('[1]Course Totals'!Q$4,'[1]import success seats course'!$1:$2,2,FALSE),FALSE)/(VLOOKUP($A574,'[1]import graded seats course pivo'!$A:AO,HLOOKUP('[1]Course Totals'!Q$4,'[1]import graded seats course pivo'!$1:$2,2,FALSE),FALSE))),"")</f>
        <v/>
      </c>
      <c r="R574" s="14" t="str">
        <f>IFERROR((VLOOKUP($A574,'[1]import success seats course'!$A:AF,HLOOKUP('[1]Course Totals'!R$4,'[1]import success seats course'!$1:$2,2,FALSE),FALSE)/(VLOOKUP($A574,'[1]import graded seats course pivo'!$A:AP,HLOOKUP('[1]Course Totals'!R$4,'[1]import graded seats course pivo'!$1:$2,2,FALSE),FALSE))),"")</f>
        <v/>
      </c>
      <c r="S574" s="14" t="str">
        <f>IFERROR((VLOOKUP($A574,'[1]import success seats course'!$A:AG,HLOOKUP('[1]Course Totals'!S$4,'[1]import success seats course'!$1:$2,2,FALSE),FALSE)/(VLOOKUP($A574,'[1]import graded seats course pivo'!$A:AQ,HLOOKUP('[1]Course Totals'!S$4,'[1]import graded seats course pivo'!$1:$2,2,FALSE),FALSE))),"")</f>
        <v/>
      </c>
      <c r="Z574" s="7"/>
      <c r="AA574" s="7"/>
      <c r="AB574" s="7"/>
      <c r="AC574" s="7"/>
    </row>
    <row r="575" spans="1:29" ht="15.75" customHeight="1" x14ac:dyDescent="0.25">
      <c r="A575" s="12" t="s">
        <v>730</v>
      </c>
      <c r="B575" s="14">
        <f>IFERROR((VLOOKUP($A575,'[1]import success seats course'!$A:P,HLOOKUP('[1]Course Totals'!B$4,'[1]import success seats course'!$1:$2,2,FALSE),FALSE)/(VLOOKUP($A575,'[1]import graded seats course pivo'!$A:Z,HLOOKUP('[1]Course Totals'!B$4,'[1]import graded seats course pivo'!$1:$2,2,FALSE),FALSE))),"")</f>
        <v>1</v>
      </c>
      <c r="C575" s="14" t="str">
        <f>IFERROR((VLOOKUP($A575,'[1]import success seats course'!$A:Q,HLOOKUP('[1]Course Totals'!C$4,'[1]import success seats course'!$1:$2,2,FALSE),FALSE)/(VLOOKUP($A575,'[1]import graded seats course pivo'!$A:AA,HLOOKUP('[1]Course Totals'!C$4,'[1]import graded seats course pivo'!$1:$2,2,FALSE),FALSE))),"")</f>
        <v/>
      </c>
      <c r="D575" s="14" t="str">
        <f>IFERROR((VLOOKUP($A575,'[1]import success seats course'!$A:R,HLOOKUP('[1]Course Totals'!D$4,'[1]import success seats course'!$1:$2,2,FALSE),FALSE)/(VLOOKUP($A575,'[1]import graded seats course pivo'!$A:AB,HLOOKUP('[1]Course Totals'!D$4,'[1]import graded seats course pivo'!$1:$2,2,FALSE),FALSE))),"")</f>
        <v/>
      </c>
      <c r="E575" s="14">
        <f>IFERROR((VLOOKUP($A575,'[1]import success seats course'!$A:S,HLOOKUP('[1]Course Totals'!E$4,'[1]import success seats course'!$1:$2,2,FALSE),FALSE)/(VLOOKUP($A575,'[1]import graded seats course pivo'!$A:AC,HLOOKUP('[1]Course Totals'!E$4,'[1]import graded seats course pivo'!$1:$2,2,FALSE),FALSE))),"")</f>
        <v>1</v>
      </c>
      <c r="F575" s="14" t="str">
        <f>IFERROR((VLOOKUP($A575,'[1]import success seats course'!$A:T,HLOOKUP('[1]Course Totals'!F$4,'[1]import success seats course'!$1:$2,2,FALSE),FALSE)/(VLOOKUP($A575,'[1]import graded seats course pivo'!$A:AD,HLOOKUP('[1]Course Totals'!F$4,'[1]import graded seats course pivo'!$1:$2,2,FALSE),FALSE))),"")</f>
        <v/>
      </c>
      <c r="G575" s="14" t="str">
        <f>IFERROR((VLOOKUP($A575,'[1]import success seats course'!$A:U,HLOOKUP('[1]Course Totals'!G$4,'[1]import success seats course'!$1:$2,2,FALSE),FALSE)/(VLOOKUP($A575,'[1]import graded seats course pivo'!$A:AE,HLOOKUP('[1]Course Totals'!G$4,'[1]import graded seats course pivo'!$1:$2,2,FALSE),FALSE))),"")</f>
        <v/>
      </c>
      <c r="H575" s="14" t="str">
        <f>IFERROR((VLOOKUP($A575,'[1]import success seats course'!$A:V,HLOOKUP('[1]Course Totals'!H$4,'[1]import success seats course'!$1:$2,2,FALSE),FALSE)/(VLOOKUP($A575,'[1]import graded seats course pivo'!$A:AF,HLOOKUP('[1]Course Totals'!H$4,'[1]import graded seats course pivo'!$1:$2,2,FALSE),FALSE))),"")</f>
        <v/>
      </c>
      <c r="I575" s="14">
        <f>IFERROR((VLOOKUP($A575,'[1]import success seats course'!$A:W,HLOOKUP('[1]Course Totals'!I$4,'[1]import success seats course'!$1:$2,2,FALSE),FALSE)/(VLOOKUP($A575,'[1]import graded seats course pivo'!$A:AG,HLOOKUP('[1]Course Totals'!I$4,'[1]import graded seats course pivo'!$1:$2,2,FALSE),FALSE))),"")</f>
        <v>1</v>
      </c>
      <c r="J575" s="14" t="str">
        <f>IFERROR((VLOOKUP($A575,'[1]import success seats course'!$A:X,HLOOKUP('[1]Course Totals'!J$4,'[1]import success seats course'!$1:$2,2,FALSE),FALSE)/(VLOOKUP($A575,'[1]import graded seats course pivo'!$A:AH,HLOOKUP('[1]Course Totals'!J$4,'[1]import graded seats course pivo'!$1:$2,2,FALSE),FALSE))),"")</f>
        <v/>
      </c>
      <c r="K575" s="14" t="str">
        <f>IFERROR((VLOOKUP($A575,'[1]import success seats course'!$A:Y,HLOOKUP('[1]Course Totals'!K$4,'[1]import success seats course'!$1:$2,2,FALSE),FALSE)/(VLOOKUP($A575,'[1]import graded seats course pivo'!$A:AI,HLOOKUP('[1]Course Totals'!K$4,'[1]import graded seats course pivo'!$1:$2,2,FALSE),FALSE))),"")</f>
        <v/>
      </c>
      <c r="L575" s="14" t="str">
        <f>IFERROR((VLOOKUP($A575,'[1]import success seats course'!$A:Z,HLOOKUP('[1]Course Totals'!L$4,'[1]import success seats course'!$1:$2,2,FALSE),FALSE)/(VLOOKUP($A575,'[1]import graded seats course pivo'!$A:AJ,HLOOKUP('[1]Course Totals'!L$4,'[1]import graded seats course pivo'!$1:$2,2,FALSE),FALSE))),"")</f>
        <v/>
      </c>
      <c r="M575" s="14" t="str">
        <f>IFERROR((VLOOKUP($A575,'[1]import success seats course'!$A:AA,HLOOKUP('[1]Course Totals'!M$4,'[1]import success seats course'!$1:$2,2,FALSE),FALSE)/(VLOOKUP($A575,'[1]import graded seats course pivo'!$A:AK,HLOOKUP('[1]Course Totals'!M$4,'[1]import graded seats course pivo'!$1:$2,2,FALSE),FALSE))),"")</f>
        <v/>
      </c>
      <c r="N575" s="14" t="str">
        <f>IFERROR((VLOOKUP($A575,'[1]import success seats course'!$A:AB,HLOOKUP('[1]Course Totals'!N$4,'[1]import success seats course'!$1:$2,2,FALSE),FALSE)/(VLOOKUP($A575,'[1]import graded seats course pivo'!$A:AL,HLOOKUP('[1]Course Totals'!N$4,'[1]import graded seats course pivo'!$1:$2,2,FALSE),FALSE))),"")</f>
        <v/>
      </c>
      <c r="O575" s="14" t="str">
        <f>IFERROR((VLOOKUP($A575,'[1]import success seats course'!$A:AC,HLOOKUP('[1]Course Totals'!O$4,'[1]import success seats course'!$1:$2,2,FALSE),FALSE)/(VLOOKUP($A575,'[1]import graded seats course pivo'!$A:AM,HLOOKUP('[1]Course Totals'!O$4,'[1]import graded seats course pivo'!$1:$2,2,FALSE),FALSE))),"")</f>
        <v/>
      </c>
      <c r="P575" s="14" t="str">
        <f>IFERROR((VLOOKUP($A575,'[1]import success seats course'!$A:AD,HLOOKUP('[1]Course Totals'!P$4,'[1]import success seats course'!$1:$2,2,FALSE),FALSE)/(VLOOKUP($A575,'[1]import graded seats course pivo'!$A:AN,HLOOKUP('[1]Course Totals'!P$4,'[1]import graded seats course pivo'!$1:$2,2,FALSE),FALSE))),"")</f>
        <v/>
      </c>
      <c r="Q575" s="14" t="str">
        <f>IFERROR((VLOOKUP($A575,'[1]import success seats course'!$A:AE,HLOOKUP('[1]Course Totals'!Q$4,'[1]import success seats course'!$1:$2,2,FALSE),FALSE)/(VLOOKUP($A575,'[1]import graded seats course pivo'!$A:AO,HLOOKUP('[1]Course Totals'!Q$4,'[1]import graded seats course pivo'!$1:$2,2,FALSE),FALSE))),"")</f>
        <v/>
      </c>
      <c r="R575" s="14" t="str">
        <f>IFERROR((VLOOKUP($A575,'[1]import success seats course'!$A:AF,HLOOKUP('[1]Course Totals'!R$4,'[1]import success seats course'!$1:$2,2,FALSE),FALSE)/(VLOOKUP($A575,'[1]import graded seats course pivo'!$A:AP,HLOOKUP('[1]Course Totals'!R$4,'[1]import graded seats course pivo'!$1:$2,2,FALSE),FALSE))),"")</f>
        <v/>
      </c>
      <c r="S575" s="14" t="str">
        <f>IFERROR((VLOOKUP($A575,'[1]import success seats course'!$A:AG,HLOOKUP('[1]Course Totals'!S$4,'[1]import success seats course'!$1:$2,2,FALSE),FALSE)/(VLOOKUP($A575,'[1]import graded seats course pivo'!$A:AQ,HLOOKUP('[1]Course Totals'!S$4,'[1]import graded seats course pivo'!$1:$2,2,FALSE),FALSE))),"")</f>
        <v/>
      </c>
      <c r="Z575" s="7"/>
      <c r="AA575" s="7"/>
      <c r="AB575" s="7"/>
      <c r="AC575" s="7"/>
    </row>
    <row r="576" spans="1:29" ht="15.75" customHeight="1" thickBot="1" x14ac:dyDescent="0.3">
      <c r="A576" s="8" t="str">
        <f>'[1]SUBJECTS BASE'!H30</f>
        <v>French</v>
      </c>
      <c r="B576" s="38" t="s">
        <v>1046</v>
      </c>
      <c r="C576" s="39" t="s">
        <v>0</v>
      </c>
      <c r="D576" s="40" t="s">
        <v>868</v>
      </c>
      <c r="E576" s="41" t="s">
        <v>1052</v>
      </c>
      <c r="F576" s="42" t="s">
        <v>546</v>
      </c>
      <c r="G576" s="43" t="s">
        <v>959</v>
      </c>
      <c r="H576" s="44" t="s">
        <v>1060</v>
      </c>
      <c r="I576" s="39" t="s">
        <v>675</v>
      </c>
      <c r="J576" s="45" t="s">
        <v>1006</v>
      </c>
      <c r="K576" s="46" t="s">
        <v>1062</v>
      </c>
      <c r="L576" s="42" t="s">
        <v>762</v>
      </c>
      <c r="M576" s="43" t="s">
        <v>1022</v>
      </c>
      <c r="N576" s="44" t="s">
        <v>1063</v>
      </c>
      <c r="O576" s="39" t="s">
        <v>822</v>
      </c>
      <c r="P576" s="40" t="s">
        <v>1042</v>
      </c>
      <c r="Q576" s="46" t="s">
        <v>1153</v>
      </c>
      <c r="R576" s="42" t="s">
        <v>1154</v>
      </c>
      <c r="S576" s="43" t="s">
        <v>1155</v>
      </c>
      <c r="Z576" s="7"/>
      <c r="AA576" s="7"/>
      <c r="AB576" s="7"/>
      <c r="AC576" s="7"/>
    </row>
    <row r="577" spans="1:29" ht="15.75" hidden="1" customHeight="1" x14ac:dyDescent="0.25">
      <c r="A577" s="12" t="s">
        <v>267</v>
      </c>
      <c r="B577" s="14" t="str">
        <f>IFERROR((VLOOKUP($A577,'[1]import success seats course'!$A:P,HLOOKUP('[1]Course Totals'!B$4,'[1]import success seats course'!$1:$2,2,FALSE),FALSE)/(VLOOKUP($A577,'[1]import graded seats course pivo'!$A:Z,HLOOKUP('[1]Course Totals'!B$4,'[1]import graded seats course pivo'!$1:$2,2,FALSE),FALSE))),"")</f>
        <v/>
      </c>
      <c r="C577" s="14" t="str">
        <f>IFERROR((VLOOKUP($A577,'[1]import success seats course'!$A:Q,HLOOKUP('[1]Course Totals'!C$4,'[1]import success seats course'!$1:$2,2,FALSE),FALSE)/(VLOOKUP($A577,'[1]import graded seats course pivo'!$A:AA,HLOOKUP('[1]Course Totals'!C$4,'[1]import graded seats course pivo'!$1:$2,2,FALSE),FALSE))),"")</f>
        <v/>
      </c>
      <c r="D577" s="14" t="str">
        <f>IFERROR((VLOOKUP($A577,'[1]import success seats course'!$A:R,HLOOKUP('[1]Course Totals'!D$4,'[1]import success seats course'!$1:$2,2,FALSE),FALSE)/(VLOOKUP($A577,'[1]import graded seats course pivo'!$A:AB,HLOOKUP('[1]Course Totals'!D$4,'[1]import graded seats course pivo'!$1:$2,2,FALSE),FALSE))),"")</f>
        <v/>
      </c>
      <c r="E577" s="14" t="str">
        <f>IFERROR((VLOOKUP($A577,'[1]import success seats course'!$A:S,HLOOKUP('[1]Course Totals'!E$4,'[1]import success seats course'!$1:$2,2,FALSE),FALSE)/(VLOOKUP($A577,'[1]import graded seats course pivo'!$A:AC,HLOOKUP('[1]Course Totals'!E$4,'[1]import graded seats course pivo'!$1:$2,2,FALSE),FALSE))),"")</f>
        <v/>
      </c>
      <c r="F577" s="14" t="str">
        <f>IFERROR((VLOOKUP($A577,'[1]import success seats course'!$A:T,HLOOKUP('[1]Course Totals'!F$4,'[1]import success seats course'!$1:$2,2,FALSE),FALSE)/(VLOOKUP($A577,'[1]import graded seats course pivo'!$A:AD,HLOOKUP('[1]Course Totals'!F$4,'[1]import graded seats course pivo'!$1:$2,2,FALSE),FALSE))),"")</f>
        <v/>
      </c>
      <c r="G577" s="14" t="str">
        <f>IFERROR((VLOOKUP($A577,'[1]import success seats course'!$A:U,HLOOKUP('[1]Course Totals'!G$4,'[1]import success seats course'!$1:$2,2,FALSE),FALSE)/(VLOOKUP($A577,'[1]import graded seats course pivo'!$A:AE,HLOOKUP('[1]Course Totals'!G$4,'[1]import graded seats course pivo'!$1:$2,2,FALSE),FALSE))),"")</f>
        <v/>
      </c>
      <c r="H577" s="14" t="str">
        <f>IFERROR((VLOOKUP($A577,'[1]import success seats course'!$A:V,HLOOKUP('[1]Course Totals'!H$4,'[1]import success seats course'!$1:$2,2,FALSE),FALSE)/(VLOOKUP($A577,'[1]import graded seats course pivo'!$A:AF,HLOOKUP('[1]Course Totals'!H$4,'[1]import graded seats course pivo'!$1:$2,2,FALSE),FALSE))),"")</f>
        <v/>
      </c>
      <c r="I577" s="14" t="str">
        <f>IFERROR((VLOOKUP($A577,'[1]import success seats course'!$A:W,HLOOKUP('[1]Course Totals'!I$4,'[1]import success seats course'!$1:$2,2,FALSE),FALSE)/(VLOOKUP($A577,'[1]import graded seats course pivo'!$A:AG,HLOOKUP('[1]Course Totals'!I$4,'[1]import graded seats course pivo'!$1:$2,2,FALSE),FALSE))),"")</f>
        <v/>
      </c>
      <c r="J577" s="14" t="str">
        <f>IFERROR((VLOOKUP($A577,'[1]import success seats course'!$A:X,HLOOKUP('[1]Course Totals'!J$4,'[1]import success seats course'!$1:$2,2,FALSE),FALSE)/(VLOOKUP($A577,'[1]import graded seats course pivo'!$A:AH,HLOOKUP('[1]Course Totals'!J$4,'[1]import graded seats course pivo'!$1:$2,2,FALSE),FALSE))),"")</f>
        <v/>
      </c>
      <c r="K577" s="14" t="str">
        <f>IFERROR((VLOOKUP($A577,'[1]import success seats course'!$A:Y,HLOOKUP('[1]Course Totals'!K$4,'[1]import success seats course'!$1:$2,2,FALSE),FALSE)/(VLOOKUP($A577,'[1]import graded seats course pivo'!$A:AI,HLOOKUP('[1]Course Totals'!K$4,'[1]import graded seats course pivo'!$1:$2,2,FALSE),FALSE))),"")</f>
        <v/>
      </c>
      <c r="L577" s="14" t="str">
        <f>IFERROR((VLOOKUP($A577,'[1]import success seats course'!$A:Z,HLOOKUP('[1]Course Totals'!L$4,'[1]import success seats course'!$1:$2,2,FALSE),FALSE)/(VLOOKUP($A577,'[1]import graded seats course pivo'!$A:AJ,HLOOKUP('[1]Course Totals'!L$4,'[1]import graded seats course pivo'!$1:$2,2,FALSE),FALSE))),"")</f>
        <v/>
      </c>
      <c r="M577" s="14" t="str">
        <f>IFERROR((VLOOKUP($A577,'[1]import success seats course'!$A:AA,HLOOKUP('[1]Course Totals'!M$4,'[1]import success seats course'!$1:$2,2,FALSE),FALSE)/(VLOOKUP($A577,'[1]import graded seats course pivo'!$A:AK,HLOOKUP('[1]Course Totals'!M$4,'[1]import graded seats course pivo'!$1:$2,2,FALSE),FALSE))),"")</f>
        <v/>
      </c>
      <c r="N577" s="14" t="str">
        <f>IFERROR((VLOOKUP($A577,'[1]import success seats course'!$A:AB,HLOOKUP('[1]Course Totals'!N$4,'[1]import success seats course'!$1:$2,2,FALSE),FALSE)/(VLOOKUP($A577,'[1]import graded seats course pivo'!$A:AL,HLOOKUP('[1]Course Totals'!N$4,'[1]import graded seats course pivo'!$1:$2,2,FALSE),FALSE))),"")</f>
        <v/>
      </c>
      <c r="O577" s="14" t="str">
        <f>IFERROR((VLOOKUP($A577,'[1]import success seats course'!$A:AC,HLOOKUP('[1]Course Totals'!O$4,'[1]import success seats course'!$1:$2,2,FALSE),FALSE)/(VLOOKUP($A577,'[1]import graded seats course pivo'!$A:AM,HLOOKUP('[1]Course Totals'!O$4,'[1]import graded seats course pivo'!$1:$2,2,FALSE),FALSE))),"")</f>
        <v/>
      </c>
      <c r="P577" s="14" t="str">
        <f>IFERROR((VLOOKUP($A577,'[1]import success seats course'!$A:AD,HLOOKUP('[1]Course Totals'!P$4,'[1]import success seats course'!$1:$2,2,FALSE),FALSE)/(VLOOKUP($A577,'[1]import graded seats course pivo'!$A:AN,HLOOKUP('[1]Course Totals'!P$4,'[1]import graded seats course pivo'!$1:$2,2,FALSE),FALSE))),"")</f>
        <v/>
      </c>
      <c r="Q577" s="14" t="str">
        <f>IFERROR((VLOOKUP($A577,'[1]import success seats course'!$A:AE,HLOOKUP('[1]Course Totals'!Q$4,'[1]import success seats course'!$1:$2,2,FALSE),FALSE)/(VLOOKUP($A577,'[1]import graded seats course pivo'!$A:AO,HLOOKUP('[1]Course Totals'!Q$4,'[1]import graded seats course pivo'!$1:$2,2,FALSE),FALSE))),"")</f>
        <v/>
      </c>
      <c r="R577" s="14" t="str">
        <f>IFERROR((VLOOKUP($A577,'[1]import success seats course'!$A:AF,HLOOKUP('[1]Course Totals'!R$4,'[1]import success seats course'!$1:$2,2,FALSE),FALSE)/(VLOOKUP($A577,'[1]import graded seats course pivo'!$A:AP,HLOOKUP('[1]Course Totals'!R$4,'[1]import graded seats course pivo'!$1:$2,2,FALSE),FALSE))),"")</f>
        <v/>
      </c>
      <c r="S577" s="14" t="str">
        <f>IFERROR((VLOOKUP($A577,'[1]import success seats course'!$A:AG,HLOOKUP('[1]Course Totals'!S$4,'[1]import success seats course'!$1:$2,2,FALSE),FALSE)/(VLOOKUP($A577,'[1]import graded seats course pivo'!$A:AQ,HLOOKUP('[1]Course Totals'!S$4,'[1]import graded seats course pivo'!$1:$2,2,FALSE),FALSE))),"")</f>
        <v/>
      </c>
      <c r="Z577" s="7"/>
      <c r="AA577" s="7"/>
      <c r="AB577" s="7"/>
      <c r="AC577" s="7"/>
    </row>
    <row r="578" spans="1:29" ht="15.75" customHeight="1" x14ac:dyDescent="0.25">
      <c r="A578" s="12" t="s">
        <v>268</v>
      </c>
      <c r="B578" s="14" t="str">
        <f>IFERROR((VLOOKUP($A578,'[1]import success seats course'!$A:P,HLOOKUP('[1]Course Totals'!B$4,'[1]import success seats course'!$1:$2,2,FALSE),FALSE)/(VLOOKUP($A578,'[1]import graded seats course pivo'!$A:Z,HLOOKUP('[1]Course Totals'!B$4,'[1]import graded seats course pivo'!$1:$2,2,FALSE),FALSE))),"")</f>
        <v/>
      </c>
      <c r="C578" s="14">
        <f>IFERROR((VLOOKUP($A578,'[1]import success seats course'!$A:Q,HLOOKUP('[1]Course Totals'!C$4,'[1]import success seats course'!$1:$2,2,FALSE),FALSE)/(VLOOKUP($A578,'[1]import graded seats course pivo'!$A:AA,HLOOKUP('[1]Course Totals'!C$4,'[1]import graded seats course pivo'!$1:$2,2,FALSE),FALSE))),"")</f>
        <v>0.80303030303030298</v>
      </c>
      <c r="D578" s="14">
        <f>IFERROR((VLOOKUP($A578,'[1]import success seats course'!$A:R,HLOOKUP('[1]Course Totals'!D$4,'[1]import success seats course'!$1:$2,2,FALSE),FALSE)/(VLOOKUP($A578,'[1]import graded seats course pivo'!$A:AB,HLOOKUP('[1]Course Totals'!D$4,'[1]import graded seats course pivo'!$1:$2,2,FALSE),FALSE))),"")</f>
        <v>0.87804878048780488</v>
      </c>
      <c r="E578" s="14">
        <f>IFERROR((VLOOKUP($A578,'[1]import success seats course'!$A:S,HLOOKUP('[1]Course Totals'!E$4,'[1]import success seats course'!$1:$2,2,FALSE),FALSE)/(VLOOKUP($A578,'[1]import graded seats course pivo'!$A:AC,HLOOKUP('[1]Course Totals'!E$4,'[1]import graded seats course pivo'!$1:$2,2,FALSE),FALSE))),"")</f>
        <v>1</v>
      </c>
      <c r="F578" s="14">
        <f>IFERROR((VLOOKUP($A578,'[1]import success seats course'!$A:T,HLOOKUP('[1]Course Totals'!F$4,'[1]import success seats course'!$1:$2,2,FALSE),FALSE)/(VLOOKUP($A578,'[1]import graded seats course pivo'!$A:AD,HLOOKUP('[1]Course Totals'!F$4,'[1]import graded seats course pivo'!$1:$2,2,FALSE),FALSE))),"")</f>
        <v>0.7558139534883721</v>
      </c>
      <c r="G578" s="14">
        <f>IFERROR((VLOOKUP($A578,'[1]import success seats course'!$A:U,HLOOKUP('[1]Course Totals'!G$4,'[1]import success seats course'!$1:$2,2,FALSE),FALSE)/(VLOOKUP($A578,'[1]import graded seats course pivo'!$A:AE,HLOOKUP('[1]Course Totals'!G$4,'[1]import graded seats course pivo'!$1:$2,2,FALSE),FALSE))),"")</f>
        <v>0.76</v>
      </c>
      <c r="H578" s="14" t="str">
        <f>IFERROR((VLOOKUP($A578,'[1]import success seats course'!$A:V,HLOOKUP('[1]Course Totals'!H$4,'[1]import success seats course'!$1:$2,2,FALSE),FALSE)/(VLOOKUP($A578,'[1]import graded seats course pivo'!$A:AF,HLOOKUP('[1]Course Totals'!H$4,'[1]import graded seats course pivo'!$1:$2,2,FALSE),FALSE))),"")</f>
        <v/>
      </c>
      <c r="I578" s="14">
        <f>IFERROR((VLOOKUP($A578,'[1]import success seats course'!$A:W,HLOOKUP('[1]Course Totals'!I$4,'[1]import success seats course'!$1:$2,2,FALSE),FALSE)/(VLOOKUP($A578,'[1]import graded seats course pivo'!$A:AG,HLOOKUP('[1]Course Totals'!I$4,'[1]import graded seats course pivo'!$1:$2,2,FALSE),FALSE))),"")</f>
        <v>0.79629629629629628</v>
      </c>
      <c r="J578" s="14">
        <f>IFERROR((VLOOKUP($A578,'[1]import success seats course'!$A:X,HLOOKUP('[1]Course Totals'!J$4,'[1]import success seats course'!$1:$2,2,FALSE),FALSE)/(VLOOKUP($A578,'[1]import graded seats course pivo'!$A:AH,HLOOKUP('[1]Course Totals'!J$4,'[1]import graded seats course pivo'!$1:$2,2,FALSE),FALSE))),"")</f>
        <v>0.78048780487804881</v>
      </c>
      <c r="K578" s="14" t="str">
        <f>IFERROR((VLOOKUP($A578,'[1]import success seats course'!$A:Y,HLOOKUP('[1]Course Totals'!K$4,'[1]import success seats course'!$1:$2,2,FALSE),FALSE)/(VLOOKUP($A578,'[1]import graded seats course pivo'!$A:AI,HLOOKUP('[1]Course Totals'!K$4,'[1]import graded seats course pivo'!$1:$2,2,FALSE),FALSE))),"")</f>
        <v/>
      </c>
      <c r="L578" s="14">
        <f>IFERROR((VLOOKUP($A578,'[1]import success seats course'!$A:Z,HLOOKUP('[1]Course Totals'!L$4,'[1]import success seats course'!$1:$2,2,FALSE),FALSE)/(VLOOKUP($A578,'[1]import graded seats course pivo'!$A:AJ,HLOOKUP('[1]Course Totals'!L$4,'[1]import graded seats course pivo'!$1:$2,2,FALSE),FALSE))),"")</f>
        <v>0.79439252336448596</v>
      </c>
      <c r="M578" s="14">
        <f>IFERROR((VLOOKUP($A578,'[1]import success seats course'!$A:AA,HLOOKUP('[1]Course Totals'!M$4,'[1]import success seats course'!$1:$2,2,FALSE),FALSE)/(VLOOKUP($A578,'[1]import graded seats course pivo'!$A:AK,HLOOKUP('[1]Course Totals'!M$4,'[1]import graded seats course pivo'!$1:$2,2,FALSE),FALSE))),"")</f>
        <v>0.86138613861386137</v>
      </c>
      <c r="N578" s="14" t="str">
        <f>IFERROR((VLOOKUP($A578,'[1]import success seats course'!$A:AB,HLOOKUP('[1]Course Totals'!N$4,'[1]import success seats course'!$1:$2,2,FALSE),FALSE)/(VLOOKUP($A578,'[1]import graded seats course pivo'!$A:AL,HLOOKUP('[1]Course Totals'!N$4,'[1]import graded seats course pivo'!$1:$2,2,FALSE),FALSE))),"")</f>
        <v/>
      </c>
      <c r="O578" s="14">
        <f>IFERROR((VLOOKUP($A578,'[1]import success seats course'!$A:AC,HLOOKUP('[1]Course Totals'!O$4,'[1]import success seats course'!$1:$2,2,FALSE),FALSE)/(VLOOKUP($A578,'[1]import graded seats course pivo'!$A:AM,HLOOKUP('[1]Course Totals'!O$4,'[1]import graded seats course pivo'!$1:$2,2,FALSE),FALSE))),"")</f>
        <v>0.85263157894736841</v>
      </c>
      <c r="P578" s="14">
        <f>IFERROR((VLOOKUP($A578,'[1]import success seats course'!$A:AD,HLOOKUP('[1]Course Totals'!P$4,'[1]import success seats course'!$1:$2,2,FALSE),FALSE)/(VLOOKUP($A578,'[1]import graded seats course pivo'!$A:AN,HLOOKUP('[1]Course Totals'!P$4,'[1]import graded seats course pivo'!$1:$2,2,FALSE),FALSE))),"")</f>
        <v>0.82352941176470584</v>
      </c>
      <c r="Q578" s="14" t="str">
        <f>IFERROR((VLOOKUP($A578,'[1]import success seats course'!$A:AE,HLOOKUP('[1]Course Totals'!Q$4,'[1]import success seats course'!$1:$2,2,FALSE),FALSE)/(VLOOKUP($A578,'[1]import graded seats course pivo'!$A:AO,HLOOKUP('[1]Course Totals'!Q$4,'[1]import graded seats course pivo'!$1:$2,2,FALSE),FALSE))),"")</f>
        <v/>
      </c>
      <c r="R578" s="14">
        <f>IFERROR((VLOOKUP($A578,'[1]import success seats course'!$A:AF,HLOOKUP('[1]Course Totals'!R$4,'[1]import success seats course'!$1:$2,2,FALSE),FALSE)/(VLOOKUP($A578,'[1]import graded seats course pivo'!$A:AP,HLOOKUP('[1]Course Totals'!R$4,'[1]import graded seats course pivo'!$1:$2,2,FALSE),FALSE))),"")</f>
        <v>0.78947368421052633</v>
      </c>
      <c r="S578" s="14">
        <f>IFERROR((VLOOKUP($A578,'[1]import success seats course'!$A:AG,HLOOKUP('[1]Course Totals'!S$4,'[1]import success seats course'!$1:$2,2,FALSE),FALSE)/(VLOOKUP($A578,'[1]import graded seats course pivo'!$A:AQ,HLOOKUP('[1]Course Totals'!S$4,'[1]import graded seats course pivo'!$1:$2,2,FALSE),FALSE))),"")</f>
        <v>0.73863636363636365</v>
      </c>
      <c r="Z578" s="7"/>
      <c r="AA578" s="7"/>
      <c r="AB578" s="7"/>
      <c r="AC578" s="7"/>
    </row>
    <row r="579" spans="1:29" ht="15.75" customHeight="1" x14ac:dyDescent="0.25">
      <c r="A579" s="12" t="s">
        <v>269</v>
      </c>
      <c r="B579" s="14">
        <f>IFERROR((VLOOKUP($A579,'[1]import success seats course'!$A:P,HLOOKUP('[1]Course Totals'!B$4,'[1]import success seats course'!$1:$2,2,FALSE),FALSE)/(VLOOKUP($A579,'[1]import graded seats course pivo'!$A:Z,HLOOKUP('[1]Course Totals'!B$4,'[1]import graded seats course pivo'!$1:$2,2,FALSE),FALSE))),"")</f>
        <v>1</v>
      </c>
      <c r="C579" s="14">
        <f>IFERROR((VLOOKUP($A579,'[1]import success seats course'!$A:Q,HLOOKUP('[1]Course Totals'!C$4,'[1]import success seats course'!$1:$2,2,FALSE),FALSE)/(VLOOKUP($A579,'[1]import graded seats course pivo'!$A:AA,HLOOKUP('[1]Course Totals'!C$4,'[1]import graded seats course pivo'!$1:$2,2,FALSE),FALSE))),"")</f>
        <v>0.88235294117647056</v>
      </c>
      <c r="D579" s="14">
        <f>IFERROR((VLOOKUP($A579,'[1]import success seats course'!$A:R,HLOOKUP('[1]Course Totals'!D$4,'[1]import success seats course'!$1:$2,2,FALSE),FALSE)/(VLOOKUP($A579,'[1]import graded seats course pivo'!$A:AB,HLOOKUP('[1]Course Totals'!D$4,'[1]import graded seats course pivo'!$1:$2,2,FALSE),FALSE))),"")</f>
        <v>0.80952380952380953</v>
      </c>
      <c r="E579" s="14" t="str">
        <f>IFERROR((VLOOKUP($A579,'[1]import success seats course'!$A:S,HLOOKUP('[1]Course Totals'!E$4,'[1]import success seats course'!$1:$2,2,FALSE),FALSE)/(VLOOKUP($A579,'[1]import graded seats course pivo'!$A:AC,HLOOKUP('[1]Course Totals'!E$4,'[1]import graded seats course pivo'!$1:$2,2,FALSE),FALSE))),"")</f>
        <v/>
      </c>
      <c r="F579" s="14">
        <f>IFERROR((VLOOKUP($A579,'[1]import success seats course'!$A:T,HLOOKUP('[1]Course Totals'!F$4,'[1]import success seats course'!$1:$2,2,FALSE),FALSE)/(VLOOKUP($A579,'[1]import graded seats course pivo'!$A:AD,HLOOKUP('[1]Course Totals'!F$4,'[1]import graded seats course pivo'!$1:$2,2,FALSE),FALSE))),"")</f>
        <v>0.91666666666666663</v>
      </c>
      <c r="G579" s="14">
        <f>IFERROR((VLOOKUP($A579,'[1]import success seats course'!$A:U,HLOOKUP('[1]Course Totals'!G$4,'[1]import success seats course'!$1:$2,2,FALSE),FALSE)/(VLOOKUP($A579,'[1]import graded seats course pivo'!$A:AE,HLOOKUP('[1]Course Totals'!G$4,'[1]import graded seats course pivo'!$1:$2,2,FALSE),FALSE))),"")</f>
        <v>0.86363636363636365</v>
      </c>
      <c r="H579" s="14" t="str">
        <f>IFERROR((VLOOKUP($A579,'[1]import success seats course'!$A:V,HLOOKUP('[1]Course Totals'!H$4,'[1]import success seats course'!$1:$2,2,FALSE),FALSE)/(VLOOKUP($A579,'[1]import graded seats course pivo'!$A:AF,HLOOKUP('[1]Course Totals'!H$4,'[1]import graded seats course pivo'!$1:$2,2,FALSE),FALSE))),"")</f>
        <v/>
      </c>
      <c r="I579" s="14">
        <f>IFERROR((VLOOKUP($A579,'[1]import success seats course'!$A:W,HLOOKUP('[1]Course Totals'!I$4,'[1]import success seats course'!$1:$2,2,FALSE),FALSE)/(VLOOKUP($A579,'[1]import graded seats course pivo'!$A:AG,HLOOKUP('[1]Course Totals'!I$4,'[1]import graded seats course pivo'!$1:$2,2,FALSE),FALSE))),"")</f>
        <v>0.7142857142857143</v>
      </c>
      <c r="J579" s="14">
        <f>IFERROR((VLOOKUP($A579,'[1]import success seats course'!$A:X,HLOOKUP('[1]Course Totals'!J$4,'[1]import success seats course'!$1:$2,2,FALSE),FALSE)/(VLOOKUP($A579,'[1]import graded seats course pivo'!$A:AH,HLOOKUP('[1]Course Totals'!J$4,'[1]import graded seats course pivo'!$1:$2,2,FALSE),FALSE))),"")</f>
        <v>0.86956521739130432</v>
      </c>
      <c r="K579" s="14" t="str">
        <f>IFERROR((VLOOKUP($A579,'[1]import success seats course'!$A:Y,HLOOKUP('[1]Course Totals'!K$4,'[1]import success seats course'!$1:$2,2,FALSE),FALSE)/(VLOOKUP($A579,'[1]import graded seats course pivo'!$A:AI,HLOOKUP('[1]Course Totals'!K$4,'[1]import graded seats course pivo'!$1:$2,2,FALSE),FALSE))),"")</f>
        <v/>
      </c>
      <c r="L579" s="14">
        <f>IFERROR((VLOOKUP($A579,'[1]import success seats course'!$A:Z,HLOOKUP('[1]Course Totals'!L$4,'[1]import success seats course'!$1:$2,2,FALSE),FALSE)/(VLOOKUP($A579,'[1]import graded seats course pivo'!$A:AJ,HLOOKUP('[1]Course Totals'!L$4,'[1]import graded seats course pivo'!$1:$2,2,FALSE),FALSE))),"")</f>
        <v>0.9375</v>
      </c>
      <c r="M579" s="14">
        <f>IFERROR((VLOOKUP($A579,'[1]import success seats course'!$A:AA,HLOOKUP('[1]Course Totals'!M$4,'[1]import success seats course'!$1:$2,2,FALSE),FALSE)/(VLOOKUP($A579,'[1]import graded seats course pivo'!$A:AK,HLOOKUP('[1]Course Totals'!M$4,'[1]import graded seats course pivo'!$1:$2,2,FALSE),FALSE))),"")</f>
        <v>1</v>
      </c>
      <c r="N579" s="14" t="str">
        <f>IFERROR((VLOOKUP($A579,'[1]import success seats course'!$A:AB,HLOOKUP('[1]Course Totals'!N$4,'[1]import success seats course'!$1:$2,2,FALSE),FALSE)/(VLOOKUP($A579,'[1]import graded seats course pivo'!$A:AL,HLOOKUP('[1]Course Totals'!N$4,'[1]import graded seats course pivo'!$1:$2,2,FALSE),FALSE))),"")</f>
        <v/>
      </c>
      <c r="O579" s="14">
        <f>IFERROR((VLOOKUP($A579,'[1]import success seats course'!$A:AC,HLOOKUP('[1]Course Totals'!O$4,'[1]import success seats course'!$1:$2,2,FALSE),FALSE)/(VLOOKUP($A579,'[1]import graded seats course pivo'!$A:AM,HLOOKUP('[1]Course Totals'!O$4,'[1]import graded seats course pivo'!$1:$2,2,FALSE),FALSE))),"")</f>
        <v>0.72</v>
      </c>
      <c r="P579" s="14">
        <f>IFERROR((VLOOKUP($A579,'[1]import success seats course'!$A:AD,HLOOKUP('[1]Course Totals'!P$4,'[1]import success seats course'!$1:$2,2,FALSE),FALSE)/(VLOOKUP($A579,'[1]import graded seats course pivo'!$A:AN,HLOOKUP('[1]Course Totals'!P$4,'[1]import graded seats course pivo'!$1:$2,2,FALSE),FALSE))),"")</f>
        <v>0.89473684210526316</v>
      </c>
      <c r="Q579" s="14" t="str">
        <f>IFERROR((VLOOKUP($A579,'[1]import success seats course'!$A:AE,HLOOKUP('[1]Course Totals'!Q$4,'[1]import success seats course'!$1:$2,2,FALSE),FALSE)/(VLOOKUP($A579,'[1]import graded seats course pivo'!$A:AO,HLOOKUP('[1]Course Totals'!Q$4,'[1]import graded seats course pivo'!$1:$2,2,FALSE),FALSE))),"")</f>
        <v/>
      </c>
      <c r="R579" s="14">
        <f>IFERROR((VLOOKUP($A579,'[1]import success seats course'!$A:AF,HLOOKUP('[1]Course Totals'!R$4,'[1]import success seats course'!$1:$2,2,FALSE),FALSE)/(VLOOKUP($A579,'[1]import graded seats course pivo'!$A:AP,HLOOKUP('[1]Course Totals'!R$4,'[1]import graded seats course pivo'!$1:$2,2,FALSE),FALSE))),"")</f>
        <v>0.79166666666666663</v>
      </c>
      <c r="S579" s="14">
        <f>IFERROR((VLOOKUP($A579,'[1]import success seats course'!$A:AG,HLOOKUP('[1]Course Totals'!S$4,'[1]import success seats course'!$1:$2,2,FALSE),FALSE)/(VLOOKUP($A579,'[1]import graded seats course pivo'!$A:AQ,HLOOKUP('[1]Course Totals'!S$4,'[1]import graded seats course pivo'!$1:$2,2,FALSE),FALSE))),"")</f>
        <v>0.83333333333333337</v>
      </c>
      <c r="Z579" s="7"/>
      <c r="AA579" s="7"/>
      <c r="AB579" s="7"/>
      <c r="AC579" s="7"/>
    </row>
    <row r="580" spans="1:29" ht="15.75" customHeight="1" x14ac:dyDescent="0.25">
      <c r="A580" s="12" t="s">
        <v>270</v>
      </c>
      <c r="B580" s="14" t="str">
        <f>IFERROR((VLOOKUP($A580,'[1]import success seats course'!$A:P,HLOOKUP('[1]Course Totals'!B$4,'[1]import success seats course'!$1:$2,2,FALSE),FALSE)/(VLOOKUP($A580,'[1]import graded seats course pivo'!$A:Z,HLOOKUP('[1]Course Totals'!B$4,'[1]import graded seats course pivo'!$1:$2,2,FALSE),FALSE))),"")</f>
        <v/>
      </c>
      <c r="C580" s="14">
        <f>IFERROR((VLOOKUP($A580,'[1]import success seats course'!$A:Q,HLOOKUP('[1]Course Totals'!C$4,'[1]import success seats course'!$1:$2,2,FALSE),FALSE)/(VLOOKUP($A580,'[1]import graded seats course pivo'!$A:AA,HLOOKUP('[1]Course Totals'!C$4,'[1]import graded seats course pivo'!$1:$2,2,FALSE),FALSE))),"")</f>
        <v>1</v>
      </c>
      <c r="D580" s="14">
        <f>IFERROR((VLOOKUP($A580,'[1]import success seats course'!$A:R,HLOOKUP('[1]Course Totals'!D$4,'[1]import success seats course'!$1:$2,2,FALSE),FALSE)/(VLOOKUP($A580,'[1]import graded seats course pivo'!$A:AB,HLOOKUP('[1]Course Totals'!D$4,'[1]import graded seats course pivo'!$1:$2,2,FALSE),FALSE))),"")</f>
        <v>1</v>
      </c>
      <c r="E580" s="14" t="str">
        <f>IFERROR((VLOOKUP($A580,'[1]import success seats course'!$A:S,HLOOKUP('[1]Course Totals'!E$4,'[1]import success seats course'!$1:$2,2,FALSE),FALSE)/(VLOOKUP($A580,'[1]import graded seats course pivo'!$A:AC,HLOOKUP('[1]Course Totals'!E$4,'[1]import graded seats course pivo'!$1:$2,2,FALSE),FALSE))),"")</f>
        <v/>
      </c>
      <c r="F580" s="14">
        <f>IFERROR((VLOOKUP($A580,'[1]import success seats course'!$A:T,HLOOKUP('[1]Course Totals'!F$4,'[1]import success seats course'!$1:$2,2,FALSE),FALSE)/(VLOOKUP($A580,'[1]import graded seats course pivo'!$A:AD,HLOOKUP('[1]Course Totals'!F$4,'[1]import graded seats course pivo'!$1:$2,2,FALSE),FALSE))),"")</f>
        <v>0.91666666666666663</v>
      </c>
      <c r="G580" s="14">
        <f>IFERROR((VLOOKUP($A580,'[1]import success seats course'!$A:U,HLOOKUP('[1]Course Totals'!G$4,'[1]import success seats course'!$1:$2,2,FALSE),FALSE)/(VLOOKUP($A580,'[1]import graded seats course pivo'!$A:AE,HLOOKUP('[1]Course Totals'!G$4,'[1]import graded seats course pivo'!$1:$2,2,FALSE),FALSE))),"")</f>
        <v>1</v>
      </c>
      <c r="H580" s="14" t="str">
        <f>IFERROR((VLOOKUP($A580,'[1]import success seats course'!$A:V,HLOOKUP('[1]Course Totals'!H$4,'[1]import success seats course'!$1:$2,2,FALSE),FALSE)/(VLOOKUP($A580,'[1]import graded seats course pivo'!$A:AF,HLOOKUP('[1]Course Totals'!H$4,'[1]import graded seats course pivo'!$1:$2,2,FALSE),FALSE))),"")</f>
        <v/>
      </c>
      <c r="I580" s="14">
        <f>IFERROR((VLOOKUP($A580,'[1]import success seats course'!$A:W,HLOOKUP('[1]Course Totals'!I$4,'[1]import success seats course'!$1:$2,2,FALSE),FALSE)/(VLOOKUP($A580,'[1]import graded seats course pivo'!$A:AG,HLOOKUP('[1]Course Totals'!I$4,'[1]import graded seats course pivo'!$1:$2,2,FALSE),FALSE))),"")</f>
        <v>0.83333333333333337</v>
      </c>
      <c r="J580" s="14">
        <f>IFERROR((VLOOKUP($A580,'[1]import success seats course'!$A:X,HLOOKUP('[1]Course Totals'!J$4,'[1]import success seats course'!$1:$2,2,FALSE),FALSE)/(VLOOKUP($A580,'[1]import graded seats course pivo'!$A:AH,HLOOKUP('[1]Course Totals'!J$4,'[1]import graded seats course pivo'!$1:$2,2,FALSE),FALSE))),"")</f>
        <v>0.7857142857142857</v>
      </c>
      <c r="K580" s="14" t="str">
        <f>IFERROR((VLOOKUP($A580,'[1]import success seats course'!$A:Y,HLOOKUP('[1]Course Totals'!K$4,'[1]import success seats course'!$1:$2,2,FALSE),FALSE)/(VLOOKUP($A580,'[1]import graded seats course pivo'!$A:AI,HLOOKUP('[1]Course Totals'!K$4,'[1]import graded seats course pivo'!$1:$2,2,FALSE),FALSE))),"")</f>
        <v/>
      </c>
      <c r="L580" s="14">
        <f>IFERROR((VLOOKUP($A580,'[1]import success seats course'!$A:Z,HLOOKUP('[1]Course Totals'!L$4,'[1]import success seats course'!$1:$2,2,FALSE),FALSE)/(VLOOKUP($A580,'[1]import graded seats course pivo'!$A:AJ,HLOOKUP('[1]Course Totals'!L$4,'[1]import graded seats course pivo'!$1:$2,2,FALSE),FALSE))),"")</f>
        <v>1</v>
      </c>
      <c r="M580" s="14">
        <f>IFERROR((VLOOKUP($A580,'[1]import success seats course'!$A:AA,HLOOKUP('[1]Course Totals'!M$4,'[1]import success seats course'!$1:$2,2,FALSE),FALSE)/(VLOOKUP($A580,'[1]import graded seats course pivo'!$A:AK,HLOOKUP('[1]Course Totals'!M$4,'[1]import graded seats course pivo'!$1:$2,2,FALSE),FALSE))),"")</f>
        <v>0.8</v>
      </c>
      <c r="N580" s="14" t="str">
        <f>IFERROR((VLOOKUP($A580,'[1]import success seats course'!$A:AB,HLOOKUP('[1]Course Totals'!N$4,'[1]import success seats course'!$1:$2,2,FALSE),FALSE)/(VLOOKUP($A580,'[1]import graded seats course pivo'!$A:AL,HLOOKUP('[1]Course Totals'!N$4,'[1]import graded seats course pivo'!$1:$2,2,FALSE),FALSE))),"")</f>
        <v/>
      </c>
      <c r="O580" s="14">
        <f>IFERROR((VLOOKUP($A580,'[1]import success seats course'!$A:AC,HLOOKUP('[1]Course Totals'!O$4,'[1]import success seats course'!$1:$2,2,FALSE),FALSE)/(VLOOKUP($A580,'[1]import graded seats course pivo'!$A:AM,HLOOKUP('[1]Course Totals'!O$4,'[1]import graded seats course pivo'!$1:$2,2,FALSE),FALSE))),"")</f>
        <v>1</v>
      </c>
      <c r="P580" s="14">
        <f>IFERROR((VLOOKUP($A580,'[1]import success seats course'!$A:AD,HLOOKUP('[1]Course Totals'!P$4,'[1]import success seats course'!$1:$2,2,FALSE),FALSE)/(VLOOKUP($A580,'[1]import graded seats course pivo'!$A:AN,HLOOKUP('[1]Course Totals'!P$4,'[1]import graded seats course pivo'!$1:$2,2,FALSE),FALSE))),"")</f>
        <v>0.77777777777777779</v>
      </c>
      <c r="Q580" s="14" t="str">
        <f>IFERROR((VLOOKUP($A580,'[1]import success seats course'!$A:AE,HLOOKUP('[1]Course Totals'!Q$4,'[1]import success seats course'!$1:$2,2,FALSE),FALSE)/(VLOOKUP($A580,'[1]import graded seats course pivo'!$A:AO,HLOOKUP('[1]Course Totals'!Q$4,'[1]import graded seats course pivo'!$1:$2,2,FALSE),FALSE))),"")</f>
        <v/>
      </c>
      <c r="R580" s="14">
        <f>IFERROR((VLOOKUP($A580,'[1]import success seats course'!$A:AF,HLOOKUP('[1]Course Totals'!R$4,'[1]import success seats course'!$1:$2,2,FALSE),FALSE)/(VLOOKUP($A580,'[1]import graded seats course pivo'!$A:AP,HLOOKUP('[1]Course Totals'!R$4,'[1]import graded seats course pivo'!$1:$2,2,FALSE),FALSE))),"")</f>
        <v>0.8666666666666667</v>
      </c>
      <c r="S580" s="14">
        <f>IFERROR((VLOOKUP($A580,'[1]import success seats course'!$A:AG,HLOOKUP('[1]Course Totals'!S$4,'[1]import success seats course'!$1:$2,2,FALSE),FALSE)/(VLOOKUP($A580,'[1]import graded seats course pivo'!$A:AQ,HLOOKUP('[1]Course Totals'!S$4,'[1]import graded seats course pivo'!$1:$2,2,FALSE),FALSE))),"")</f>
        <v>0.9285714285714286</v>
      </c>
      <c r="Z580" s="7"/>
      <c r="AA580" s="7"/>
      <c r="AB580" s="7"/>
      <c r="AC580" s="7"/>
    </row>
    <row r="581" spans="1:29" ht="15.75" customHeight="1" x14ac:dyDescent="0.25">
      <c r="A581" s="12" t="s">
        <v>610</v>
      </c>
      <c r="B581" s="14" t="str">
        <f>IFERROR((VLOOKUP($A581,'[1]import success seats course'!$A:P,HLOOKUP('[1]Course Totals'!B$4,'[1]import success seats course'!$1:$2,2,FALSE),FALSE)/(VLOOKUP($A581,'[1]import graded seats course pivo'!$A:Z,HLOOKUP('[1]Course Totals'!B$4,'[1]import graded seats course pivo'!$1:$2,2,FALSE),FALSE))),"")</f>
        <v/>
      </c>
      <c r="C581" s="14" t="str">
        <f>IFERROR((VLOOKUP($A581,'[1]import success seats course'!$A:Q,HLOOKUP('[1]Course Totals'!C$4,'[1]import success seats course'!$1:$2,2,FALSE),FALSE)/(VLOOKUP($A581,'[1]import graded seats course pivo'!$A:AA,HLOOKUP('[1]Course Totals'!C$4,'[1]import graded seats course pivo'!$1:$2,2,FALSE),FALSE))),"")</f>
        <v/>
      </c>
      <c r="D581" s="14">
        <f>IFERROR((VLOOKUP($A581,'[1]import success seats course'!$A:R,HLOOKUP('[1]Course Totals'!D$4,'[1]import success seats course'!$1:$2,2,FALSE),FALSE)/(VLOOKUP($A581,'[1]import graded seats course pivo'!$A:AB,HLOOKUP('[1]Course Totals'!D$4,'[1]import graded seats course pivo'!$1:$2,2,FALSE),FALSE))),"")</f>
        <v>1</v>
      </c>
      <c r="E581" s="14" t="str">
        <f>IFERROR((VLOOKUP($A581,'[1]import success seats course'!$A:S,HLOOKUP('[1]Course Totals'!E$4,'[1]import success seats course'!$1:$2,2,FALSE),FALSE)/(VLOOKUP($A581,'[1]import graded seats course pivo'!$A:AC,HLOOKUP('[1]Course Totals'!E$4,'[1]import graded seats course pivo'!$1:$2,2,FALSE),FALSE))),"")</f>
        <v/>
      </c>
      <c r="F581" s="14">
        <f>IFERROR((VLOOKUP($A581,'[1]import success seats course'!$A:T,HLOOKUP('[1]Course Totals'!F$4,'[1]import success seats course'!$1:$2,2,FALSE),FALSE)/(VLOOKUP($A581,'[1]import graded seats course pivo'!$A:AD,HLOOKUP('[1]Course Totals'!F$4,'[1]import graded seats course pivo'!$1:$2,2,FALSE),FALSE))),"")</f>
        <v>1</v>
      </c>
      <c r="G581" s="14" t="str">
        <f>IFERROR((VLOOKUP($A581,'[1]import success seats course'!$A:U,HLOOKUP('[1]Course Totals'!G$4,'[1]import success seats course'!$1:$2,2,FALSE),FALSE)/(VLOOKUP($A581,'[1]import graded seats course pivo'!$A:AE,HLOOKUP('[1]Course Totals'!G$4,'[1]import graded seats course pivo'!$1:$2,2,FALSE),FALSE))),"")</f>
        <v/>
      </c>
      <c r="H581" s="14" t="str">
        <f>IFERROR((VLOOKUP($A581,'[1]import success seats course'!$A:V,HLOOKUP('[1]Course Totals'!H$4,'[1]import success seats course'!$1:$2,2,FALSE),FALSE)/(VLOOKUP($A581,'[1]import graded seats course pivo'!$A:AF,HLOOKUP('[1]Course Totals'!H$4,'[1]import graded seats course pivo'!$1:$2,2,FALSE),FALSE))),"")</f>
        <v/>
      </c>
      <c r="I581" s="14" t="str">
        <f>IFERROR((VLOOKUP($A581,'[1]import success seats course'!$A:W,HLOOKUP('[1]Course Totals'!I$4,'[1]import success seats course'!$1:$2,2,FALSE),FALSE)/(VLOOKUP($A581,'[1]import graded seats course pivo'!$A:AG,HLOOKUP('[1]Course Totals'!I$4,'[1]import graded seats course pivo'!$1:$2,2,FALSE),FALSE))),"")</f>
        <v/>
      </c>
      <c r="J581" s="14" t="str">
        <f>IFERROR((VLOOKUP($A581,'[1]import success seats course'!$A:X,HLOOKUP('[1]Course Totals'!J$4,'[1]import success seats course'!$1:$2,2,FALSE),FALSE)/(VLOOKUP($A581,'[1]import graded seats course pivo'!$A:AH,HLOOKUP('[1]Course Totals'!J$4,'[1]import graded seats course pivo'!$1:$2,2,FALSE),FALSE))),"")</f>
        <v/>
      </c>
      <c r="K581" s="14" t="str">
        <f>IFERROR((VLOOKUP($A581,'[1]import success seats course'!$A:Y,HLOOKUP('[1]Course Totals'!K$4,'[1]import success seats course'!$1:$2,2,FALSE),FALSE)/(VLOOKUP($A581,'[1]import graded seats course pivo'!$A:AI,HLOOKUP('[1]Course Totals'!K$4,'[1]import graded seats course pivo'!$1:$2,2,FALSE),FALSE))),"")</f>
        <v/>
      </c>
      <c r="L581" s="14">
        <f>IFERROR((VLOOKUP($A581,'[1]import success seats course'!$A:Z,HLOOKUP('[1]Course Totals'!L$4,'[1]import success seats course'!$1:$2,2,FALSE),FALSE)/(VLOOKUP($A581,'[1]import graded seats course pivo'!$A:AJ,HLOOKUP('[1]Course Totals'!L$4,'[1]import graded seats course pivo'!$1:$2,2,FALSE),FALSE))),"")</f>
        <v>1</v>
      </c>
      <c r="M581" s="14">
        <f>IFERROR((VLOOKUP($A581,'[1]import success seats course'!$A:AA,HLOOKUP('[1]Course Totals'!M$4,'[1]import success seats course'!$1:$2,2,FALSE),FALSE)/(VLOOKUP($A581,'[1]import graded seats course pivo'!$A:AK,HLOOKUP('[1]Course Totals'!M$4,'[1]import graded seats course pivo'!$1:$2,2,FALSE),FALSE))),"")</f>
        <v>0.75</v>
      </c>
      <c r="N581" s="14" t="str">
        <f>IFERROR((VLOOKUP($A581,'[1]import success seats course'!$A:AB,HLOOKUP('[1]Course Totals'!N$4,'[1]import success seats course'!$1:$2,2,FALSE),FALSE)/(VLOOKUP($A581,'[1]import graded seats course pivo'!$A:AL,HLOOKUP('[1]Course Totals'!N$4,'[1]import graded seats course pivo'!$1:$2,2,FALSE),FALSE))),"")</f>
        <v/>
      </c>
      <c r="O581" s="14" t="str">
        <f>IFERROR((VLOOKUP($A581,'[1]import success seats course'!$A:AC,HLOOKUP('[1]Course Totals'!O$4,'[1]import success seats course'!$1:$2,2,FALSE),FALSE)/(VLOOKUP($A581,'[1]import graded seats course pivo'!$A:AM,HLOOKUP('[1]Course Totals'!O$4,'[1]import graded seats course pivo'!$1:$2,2,FALSE),FALSE))),"")</f>
        <v/>
      </c>
      <c r="P581" s="14">
        <f>IFERROR((VLOOKUP($A581,'[1]import success seats course'!$A:AD,HLOOKUP('[1]Course Totals'!P$4,'[1]import success seats course'!$1:$2,2,FALSE),FALSE)/(VLOOKUP($A581,'[1]import graded seats course pivo'!$A:AN,HLOOKUP('[1]Course Totals'!P$4,'[1]import graded seats course pivo'!$1:$2,2,FALSE),FALSE))),"")</f>
        <v>1</v>
      </c>
      <c r="Q581" s="14" t="str">
        <f>IFERROR((VLOOKUP($A581,'[1]import success seats course'!$A:AE,HLOOKUP('[1]Course Totals'!Q$4,'[1]import success seats course'!$1:$2,2,FALSE),FALSE)/(VLOOKUP($A581,'[1]import graded seats course pivo'!$A:AO,HLOOKUP('[1]Course Totals'!Q$4,'[1]import graded seats course pivo'!$1:$2,2,FALSE),FALSE))),"")</f>
        <v/>
      </c>
      <c r="R581" s="14">
        <f>IFERROR((VLOOKUP($A581,'[1]import success seats course'!$A:AF,HLOOKUP('[1]Course Totals'!R$4,'[1]import success seats course'!$1:$2,2,FALSE),FALSE)/(VLOOKUP($A581,'[1]import graded seats course pivo'!$A:AP,HLOOKUP('[1]Course Totals'!R$4,'[1]import graded seats course pivo'!$1:$2,2,FALSE),FALSE))),"")</f>
        <v>0.8</v>
      </c>
      <c r="S581" s="14">
        <f>IFERROR((VLOOKUP($A581,'[1]import success seats course'!$A:AG,HLOOKUP('[1]Course Totals'!S$4,'[1]import success seats course'!$1:$2,2,FALSE),FALSE)/(VLOOKUP($A581,'[1]import graded seats course pivo'!$A:AQ,HLOOKUP('[1]Course Totals'!S$4,'[1]import graded seats course pivo'!$1:$2,2,FALSE),FALSE))),"")</f>
        <v>1</v>
      </c>
      <c r="Z581" s="7"/>
      <c r="AA581" s="7"/>
      <c r="AB581" s="7"/>
      <c r="AC581" s="7"/>
    </row>
    <row r="582" spans="1:29" ht="15.75" x14ac:dyDescent="0.25">
      <c r="A582" s="9" t="s">
        <v>1139</v>
      </c>
      <c r="B582" s="67" t="str">
        <f>'[1]Subject TOTALS'!$B$1:$P$1</f>
        <v xml:space="preserve">MVC Retention Rates </v>
      </c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Z582" s="7"/>
      <c r="AA582" s="7"/>
      <c r="AB582" s="7"/>
      <c r="AC582" s="7"/>
    </row>
    <row r="583" spans="1:29" ht="15.75" customHeight="1" thickBot="1" x14ac:dyDescent="0.3">
      <c r="A583" s="8" t="str">
        <f>'[1]SUBJECTS BASE'!H31</f>
        <v>Geography</v>
      </c>
      <c r="B583" s="38" t="s">
        <v>1046</v>
      </c>
      <c r="C583" s="39" t="s">
        <v>0</v>
      </c>
      <c r="D583" s="40" t="s">
        <v>868</v>
      </c>
      <c r="E583" s="41" t="s">
        <v>1052</v>
      </c>
      <c r="F583" s="42" t="s">
        <v>546</v>
      </c>
      <c r="G583" s="43" t="s">
        <v>959</v>
      </c>
      <c r="H583" s="44" t="s">
        <v>1060</v>
      </c>
      <c r="I583" s="39" t="s">
        <v>675</v>
      </c>
      <c r="J583" s="45" t="s">
        <v>1006</v>
      </c>
      <c r="K583" s="46" t="s">
        <v>1062</v>
      </c>
      <c r="L583" s="42" t="s">
        <v>762</v>
      </c>
      <c r="M583" s="43" t="s">
        <v>1022</v>
      </c>
      <c r="N583" s="44" t="s">
        <v>1063</v>
      </c>
      <c r="O583" s="39" t="s">
        <v>822</v>
      </c>
      <c r="P583" s="40" t="s">
        <v>1042</v>
      </c>
      <c r="Q583" s="46" t="s">
        <v>1153</v>
      </c>
      <c r="R583" s="42" t="s">
        <v>1154</v>
      </c>
      <c r="S583" s="43" t="s">
        <v>1155</v>
      </c>
      <c r="Z583" s="7"/>
      <c r="AA583" s="7"/>
      <c r="AB583" s="7"/>
      <c r="AC583" s="7"/>
    </row>
    <row r="584" spans="1:29" ht="15.75" customHeight="1" x14ac:dyDescent="0.25">
      <c r="A584" s="12" t="s">
        <v>271</v>
      </c>
      <c r="B584" s="14" t="str">
        <f>IFERROR((VLOOKUP($A584,'[1]import success seats course'!$A:P,HLOOKUP('[1]Course Totals'!B$4,'[1]import success seats course'!$1:$2,2,FALSE),FALSE)/(VLOOKUP($A584,'[1]import graded seats course pivo'!$A:Z,HLOOKUP('[1]Course Totals'!B$4,'[1]import graded seats course pivo'!$1:$2,2,FALSE),FALSE))),"")</f>
        <v/>
      </c>
      <c r="C584" s="14">
        <f>IFERROR((VLOOKUP($A584,'[1]import success seats course'!$A:Q,HLOOKUP('[1]Course Totals'!C$4,'[1]import success seats course'!$1:$2,2,FALSE),FALSE)/(VLOOKUP($A584,'[1]import graded seats course pivo'!$A:AA,HLOOKUP('[1]Course Totals'!C$4,'[1]import graded seats course pivo'!$1:$2,2,FALSE),FALSE))),"")</f>
        <v>1</v>
      </c>
      <c r="D584" s="14">
        <f>IFERROR((VLOOKUP($A584,'[1]import success seats course'!$A:R,HLOOKUP('[1]Course Totals'!D$4,'[1]import success seats course'!$1:$2,2,FALSE),FALSE)/(VLOOKUP($A584,'[1]import graded seats course pivo'!$A:AB,HLOOKUP('[1]Course Totals'!D$4,'[1]import graded seats course pivo'!$1:$2,2,FALSE),FALSE))),"")</f>
        <v>0.66666666666666663</v>
      </c>
      <c r="E584" s="14" t="str">
        <f>IFERROR((VLOOKUP($A584,'[1]import success seats course'!$A:S,HLOOKUP('[1]Course Totals'!E$4,'[1]import success seats course'!$1:$2,2,FALSE),FALSE)/(VLOOKUP($A584,'[1]import graded seats course pivo'!$A:AC,HLOOKUP('[1]Course Totals'!E$4,'[1]import graded seats course pivo'!$1:$2,2,FALSE),FALSE))),"")</f>
        <v/>
      </c>
      <c r="F584" s="14" t="str">
        <f>IFERROR((VLOOKUP($A584,'[1]import success seats course'!$A:T,HLOOKUP('[1]Course Totals'!F$4,'[1]import success seats course'!$1:$2,2,FALSE),FALSE)/(VLOOKUP($A584,'[1]import graded seats course pivo'!$A:AD,HLOOKUP('[1]Course Totals'!F$4,'[1]import graded seats course pivo'!$1:$2,2,FALSE),FALSE))),"")</f>
        <v/>
      </c>
      <c r="G584" s="14">
        <f>IFERROR((VLOOKUP($A584,'[1]import success seats course'!$A:U,HLOOKUP('[1]Course Totals'!G$4,'[1]import success seats course'!$1:$2,2,FALSE),FALSE)/(VLOOKUP($A584,'[1]import graded seats course pivo'!$A:AE,HLOOKUP('[1]Course Totals'!G$4,'[1]import graded seats course pivo'!$1:$2,2,FALSE),FALSE))),"")</f>
        <v>1</v>
      </c>
      <c r="H584" s="14" t="str">
        <f>IFERROR((VLOOKUP($A584,'[1]import success seats course'!$A:V,HLOOKUP('[1]Course Totals'!H$4,'[1]import success seats course'!$1:$2,2,FALSE),FALSE)/(VLOOKUP($A584,'[1]import graded seats course pivo'!$A:AF,HLOOKUP('[1]Course Totals'!H$4,'[1]import graded seats course pivo'!$1:$2,2,FALSE),FALSE))),"")</f>
        <v/>
      </c>
      <c r="I584" s="14">
        <f>IFERROR((VLOOKUP($A584,'[1]import success seats course'!$A:W,HLOOKUP('[1]Course Totals'!I$4,'[1]import success seats course'!$1:$2,2,FALSE),FALSE)/(VLOOKUP($A584,'[1]import graded seats course pivo'!$A:AG,HLOOKUP('[1]Course Totals'!I$4,'[1]import graded seats course pivo'!$1:$2,2,FALSE),FALSE))),"")</f>
        <v>0.75</v>
      </c>
      <c r="J584" s="14" t="str">
        <f>IFERROR((VLOOKUP($A584,'[1]import success seats course'!$A:X,HLOOKUP('[1]Course Totals'!J$4,'[1]import success seats course'!$1:$2,2,FALSE),FALSE)/(VLOOKUP($A584,'[1]import graded seats course pivo'!$A:AH,HLOOKUP('[1]Course Totals'!J$4,'[1]import graded seats course pivo'!$1:$2,2,FALSE),FALSE))),"")</f>
        <v/>
      </c>
      <c r="K584" s="14" t="str">
        <f>IFERROR((VLOOKUP($A584,'[1]import success seats course'!$A:Y,HLOOKUP('[1]Course Totals'!K$4,'[1]import success seats course'!$1:$2,2,FALSE),FALSE)/(VLOOKUP($A584,'[1]import graded seats course pivo'!$A:AI,HLOOKUP('[1]Course Totals'!K$4,'[1]import graded seats course pivo'!$1:$2,2,FALSE),FALSE))),"")</f>
        <v/>
      </c>
      <c r="L584" s="14">
        <f>IFERROR((VLOOKUP($A584,'[1]import success seats course'!$A:Z,HLOOKUP('[1]Course Totals'!L$4,'[1]import success seats course'!$1:$2,2,FALSE),FALSE)/(VLOOKUP($A584,'[1]import graded seats course pivo'!$A:AJ,HLOOKUP('[1]Course Totals'!L$4,'[1]import graded seats course pivo'!$1:$2,2,FALSE),FALSE))),"")</f>
        <v>0.66666666666666663</v>
      </c>
      <c r="M584" s="14">
        <f>IFERROR((VLOOKUP($A584,'[1]import success seats course'!$A:AA,HLOOKUP('[1]Course Totals'!M$4,'[1]import success seats course'!$1:$2,2,FALSE),FALSE)/(VLOOKUP($A584,'[1]import graded seats course pivo'!$A:AK,HLOOKUP('[1]Course Totals'!M$4,'[1]import graded seats course pivo'!$1:$2,2,FALSE),FALSE))),"")</f>
        <v>0.8</v>
      </c>
      <c r="N584" s="14" t="str">
        <f>IFERROR((VLOOKUP($A584,'[1]import success seats course'!$A:AB,HLOOKUP('[1]Course Totals'!N$4,'[1]import success seats course'!$1:$2,2,FALSE),FALSE)/(VLOOKUP($A584,'[1]import graded seats course pivo'!$A:AL,HLOOKUP('[1]Course Totals'!N$4,'[1]import graded seats course pivo'!$1:$2,2,FALSE),FALSE))),"")</f>
        <v/>
      </c>
      <c r="O584" s="14" t="str">
        <f>IFERROR((VLOOKUP($A584,'[1]import success seats course'!$A:AC,HLOOKUP('[1]Course Totals'!O$4,'[1]import success seats course'!$1:$2,2,FALSE),FALSE)/(VLOOKUP($A584,'[1]import graded seats course pivo'!$A:AM,HLOOKUP('[1]Course Totals'!O$4,'[1]import graded seats course pivo'!$1:$2,2,FALSE),FALSE))),"")</f>
        <v/>
      </c>
      <c r="P584" s="14" t="str">
        <f>IFERROR((VLOOKUP($A584,'[1]import success seats course'!$A:AD,HLOOKUP('[1]Course Totals'!P$4,'[1]import success seats course'!$1:$2,2,FALSE),FALSE)/(VLOOKUP($A584,'[1]import graded seats course pivo'!$A:AN,HLOOKUP('[1]Course Totals'!P$4,'[1]import graded seats course pivo'!$1:$2,2,FALSE),FALSE))),"")</f>
        <v/>
      </c>
      <c r="Q584" s="14" t="str">
        <f>IFERROR((VLOOKUP($A584,'[1]import success seats course'!$A:AE,HLOOKUP('[1]Course Totals'!Q$4,'[1]import success seats course'!$1:$2,2,FALSE),FALSE)/(VLOOKUP($A584,'[1]import graded seats course pivo'!$A:AO,HLOOKUP('[1]Course Totals'!Q$4,'[1]import graded seats course pivo'!$1:$2,2,FALSE),FALSE))),"")</f>
        <v/>
      </c>
      <c r="R584" s="14" t="str">
        <f>IFERROR((VLOOKUP($A584,'[1]import success seats course'!$A:AF,HLOOKUP('[1]Course Totals'!R$4,'[1]import success seats course'!$1:$2,2,FALSE),FALSE)/(VLOOKUP($A584,'[1]import graded seats course pivo'!$A:AP,HLOOKUP('[1]Course Totals'!R$4,'[1]import graded seats course pivo'!$1:$2,2,FALSE),FALSE))),"")</f>
        <v/>
      </c>
      <c r="S584" s="14" t="str">
        <f>IFERROR((VLOOKUP($A584,'[1]import success seats course'!$A:AG,HLOOKUP('[1]Course Totals'!S$4,'[1]import success seats course'!$1:$2,2,FALSE),FALSE)/(VLOOKUP($A584,'[1]import graded seats course pivo'!$A:AQ,HLOOKUP('[1]Course Totals'!S$4,'[1]import graded seats course pivo'!$1:$2,2,FALSE),FALSE))),"")</f>
        <v/>
      </c>
      <c r="Z584" s="7"/>
      <c r="AA584" s="7"/>
      <c r="AB584" s="7"/>
      <c r="AC584" s="7"/>
    </row>
    <row r="585" spans="1:29" ht="15.75" customHeight="1" x14ac:dyDescent="0.25">
      <c r="A585" s="12" t="s">
        <v>272</v>
      </c>
      <c r="B585" s="14">
        <f>IFERROR((VLOOKUP($A585,'[1]import success seats course'!$A:P,HLOOKUP('[1]Course Totals'!B$4,'[1]import success seats course'!$1:$2,2,FALSE),FALSE)/(VLOOKUP($A585,'[1]import graded seats course pivo'!$A:Z,HLOOKUP('[1]Course Totals'!B$4,'[1]import graded seats course pivo'!$1:$2,2,FALSE),FALSE))),"")</f>
        <v>0.77777777777777779</v>
      </c>
      <c r="C585" s="14">
        <f>IFERROR((VLOOKUP($A585,'[1]import success seats course'!$A:Q,HLOOKUP('[1]Course Totals'!C$4,'[1]import success seats course'!$1:$2,2,FALSE),FALSE)/(VLOOKUP($A585,'[1]import graded seats course pivo'!$A:AA,HLOOKUP('[1]Course Totals'!C$4,'[1]import graded seats course pivo'!$1:$2,2,FALSE),FALSE))),"")</f>
        <v>0.89940828402366868</v>
      </c>
      <c r="D585" s="14">
        <f>IFERROR((VLOOKUP($A585,'[1]import success seats course'!$A:R,HLOOKUP('[1]Course Totals'!D$4,'[1]import success seats course'!$1:$2,2,FALSE),FALSE)/(VLOOKUP($A585,'[1]import graded seats course pivo'!$A:AB,HLOOKUP('[1]Course Totals'!D$4,'[1]import graded seats course pivo'!$1:$2,2,FALSE),FALSE))),"")</f>
        <v>0.91578947368421049</v>
      </c>
      <c r="E585" s="14" t="str">
        <f>IFERROR((VLOOKUP($A585,'[1]import success seats course'!$A:S,HLOOKUP('[1]Course Totals'!E$4,'[1]import success seats course'!$1:$2,2,FALSE),FALSE)/(VLOOKUP($A585,'[1]import graded seats course pivo'!$A:AC,HLOOKUP('[1]Course Totals'!E$4,'[1]import graded seats course pivo'!$1:$2,2,FALSE),FALSE))),"")</f>
        <v/>
      </c>
      <c r="F585" s="14">
        <f>IFERROR((VLOOKUP($A585,'[1]import success seats course'!$A:T,HLOOKUP('[1]Course Totals'!F$4,'[1]import success seats course'!$1:$2,2,FALSE),FALSE)/(VLOOKUP($A585,'[1]import graded seats course pivo'!$A:AD,HLOOKUP('[1]Course Totals'!F$4,'[1]import graded seats course pivo'!$1:$2,2,FALSE),FALSE))),"")</f>
        <v>0.93548387096774188</v>
      </c>
      <c r="G585" s="14">
        <f>IFERROR((VLOOKUP($A585,'[1]import success seats course'!$A:U,HLOOKUP('[1]Course Totals'!G$4,'[1]import success seats course'!$1:$2,2,FALSE),FALSE)/(VLOOKUP($A585,'[1]import graded seats course pivo'!$A:AE,HLOOKUP('[1]Course Totals'!G$4,'[1]import graded seats course pivo'!$1:$2,2,FALSE),FALSE))),"")</f>
        <v>0.86363636363636365</v>
      </c>
      <c r="H585" s="14" t="str">
        <f>IFERROR((VLOOKUP($A585,'[1]import success seats course'!$A:V,HLOOKUP('[1]Course Totals'!H$4,'[1]import success seats course'!$1:$2,2,FALSE),FALSE)/(VLOOKUP($A585,'[1]import graded seats course pivo'!$A:AF,HLOOKUP('[1]Course Totals'!H$4,'[1]import graded seats course pivo'!$1:$2,2,FALSE),FALSE))),"")</f>
        <v/>
      </c>
      <c r="I585" s="14">
        <f>IFERROR((VLOOKUP($A585,'[1]import success seats course'!$A:W,HLOOKUP('[1]Course Totals'!I$4,'[1]import success seats course'!$1:$2,2,FALSE),FALSE)/(VLOOKUP($A585,'[1]import graded seats course pivo'!$A:AG,HLOOKUP('[1]Course Totals'!I$4,'[1]import graded seats course pivo'!$1:$2,2,FALSE),FALSE))),"")</f>
        <v>0.86206896551724133</v>
      </c>
      <c r="J585" s="14">
        <f>IFERROR((VLOOKUP($A585,'[1]import success seats course'!$A:X,HLOOKUP('[1]Course Totals'!J$4,'[1]import success seats course'!$1:$2,2,FALSE),FALSE)/(VLOOKUP($A585,'[1]import graded seats course pivo'!$A:AH,HLOOKUP('[1]Course Totals'!J$4,'[1]import graded seats course pivo'!$1:$2,2,FALSE),FALSE))),"")</f>
        <v>0.8571428571428571</v>
      </c>
      <c r="K585" s="14" t="str">
        <f>IFERROR((VLOOKUP($A585,'[1]import success seats course'!$A:Y,HLOOKUP('[1]Course Totals'!K$4,'[1]import success seats course'!$1:$2,2,FALSE),FALSE)/(VLOOKUP($A585,'[1]import graded seats course pivo'!$A:AI,HLOOKUP('[1]Course Totals'!K$4,'[1]import graded seats course pivo'!$1:$2,2,FALSE),FALSE))),"")</f>
        <v/>
      </c>
      <c r="L585" s="14">
        <f>IFERROR((VLOOKUP($A585,'[1]import success seats course'!$A:Z,HLOOKUP('[1]Course Totals'!L$4,'[1]import success seats course'!$1:$2,2,FALSE),FALSE)/(VLOOKUP($A585,'[1]import graded seats course pivo'!$A:AJ,HLOOKUP('[1]Course Totals'!L$4,'[1]import graded seats course pivo'!$1:$2,2,FALSE),FALSE))),"")</f>
        <v>0.83720930232558144</v>
      </c>
      <c r="M585" s="14">
        <f>IFERROR((VLOOKUP($A585,'[1]import success seats course'!$A:AA,HLOOKUP('[1]Course Totals'!M$4,'[1]import success seats course'!$1:$2,2,FALSE),FALSE)/(VLOOKUP($A585,'[1]import graded seats course pivo'!$A:AK,HLOOKUP('[1]Course Totals'!M$4,'[1]import graded seats course pivo'!$1:$2,2,FALSE),FALSE))),"")</f>
        <v>0.8</v>
      </c>
      <c r="N585" s="14" t="str">
        <f>IFERROR((VLOOKUP($A585,'[1]import success seats course'!$A:AB,HLOOKUP('[1]Course Totals'!N$4,'[1]import success seats course'!$1:$2,2,FALSE),FALSE)/(VLOOKUP($A585,'[1]import graded seats course pivo'!$A:AL,HLOOKUP('[1]Course Totals'!N$4,'[1]import graded seats course pivo'!$1:$2,2,FALSE),FALSE))),"")</f>
        <v/>
      </c>
      <c r="O585" s="14">
        <f>IFERROR((VLOOKUP($A585,'[1]import success seats course'!$A:AC,HLOOKUP('[1]Course Totals'!O$4,'[1]import success seats course'!$1:$2,2,FALSE),FALSE)/(VLOOKUP($A585,'[1]import graded seats course pivo'!$A:AM,HLOOKUP('[1]Course Totals'!O$4,'[1]import graded seats course pivo'!$1:$2,2,FALSE),FALSE))),"")</f>
        <v>0.83823529411764708</v>
      </c>
      <c r="P585" s="14">
        <f>IFERROR((VLOOKUP($A585,'[1]import success seats course'!$A:AD,HLOOKUP('[1]Course Totals'!P$4,'[1]import success seats course'!$1:$2,2,FALSE),FALSE)/(VLOOKUP($A585,'[1]import graded seats course pivo'!$A:AN,HLOOKUP('[1]Course Totals'!P$4,'[1]import graded seats course pivo'!$1:$2,2,FALSE),FALSE))),"")</f>
        <v>0.8202247191011236</v>
      </c>
      <c r="Q585" s="14" t="str">
        <f>IFERROR((VLOOKUP($A585,'[1]import success seats course'!$A:AE,HLOOKUP('[1]Course Totals'!Q$4,'[1]import success seats course'!$1:$2,2,FALSE),FALSE)/(VLOOKUP($A585,'[1]import graded seats course pivo'!$A:AO,HLOOKUP('[1]Course Totals'!Q$4,'[1]import graded seats course pivo'!$1:$2,2,FALSE),FALSE))),"")</f>
        <v/>
      </c>
      <c r="R585" s="14">
        <f>IFERROR((VLOOKUP($A585,'[1]import success seats course'!$A:AF,HLOOKUP('[1]Course Totals'!R$4,'[1]import success seats course'!$1:$2,2,FALSE),FALSE)/(VLOOKUP($A585,'[1]import graded seats course pivo'!$A:AP,HLOOKUP('[1]Course Totals'!R$4,'[1]import graded seats course pivo'!$1:$2,2,FALSE),FALSE))),"")</f>
        <v>0.79069767441860461</v>
      </c>
      <c r="S585" s="14">
        <f>IFERROR((VLOOKUP($A585,'[1]import success seats course'!$A:AG,HLOOKUP('[1]Course Totals'!S$4,'[1]import success seats course'!$1:$2,2,FALSE),FALSE)/(VLOOKUP($A585,'[1]import graded seats course pivo'!$A:AQ,HLOOKUP('[1]Course Totals'!S$4,'[1]import graded seats course pivo'!$1:$2,2,FALSE),FALSE))),"")</f>
        <v>0.96153846153846156</v>
      </c>
      <c r="Z585" s="7"/>
      <c r="AA585" s="7"/>
      <c r="AB585" s="7"/>
      <c r="AC585" s="7"/>
    </row>
    <row r="586" spans="1:29" ht="15.75" customHeight="1" x14ac:dyDescent="0.25">
      <c r="A586" s="12" t="s">
        <v>273</v>
      </c>
      <c r="B586" s="14">
        <f>IFERROR((VLOOKUP($A586,'[1]import success seats course'!$A:P,HLOOKUP('[1]Course Totals'!B$4,'[1]import success seats course'!$1:$2,2,FALSE),FALSE)/(VLOOKUP($A586,'[1]import graded seats course pivo'!$A:Z,HLOOKUP('[1]Course Totals'!B$4,'[1]import graded seats course pivo'!$1:$2,2,FALSE),FALSE))),"")</f>
        <v>1</v>
      </c>
      <c r="C586" s="14">
        <f>IFERROR((VLOOKUP($A586,'[1]import success seats course'!$A:Q,HLOOKUP('[1]Course Totals'!C$4,'[1]import success seats course'!$1:$2,2,FALSE),FALSE)/(VLOOKUP($A586,'[1]import graded seats course pivo'!$A:AA,HLOOKUP('[1]Course Totals'!C$4,'[1]import graded seats course pivo'!$1:$2,2,FALSE),FALSE))),"")</f>
        <v>0.7407407407407407</v>
      </c>
      <c r="D586" s="14" t="str">
        <f>IFERROR((VLOOKUP($A586,'[1]import success seats course'!$A:R,HLOOKUP('[1]Course Totals'!D$4,'[1]import success seats course'!$1:$2,2,FALSE),FALSE)/(VLOOKUP($A586,'[1]import graded seats course pivo'!$A:AB,HLOOKUP('[1]Course Totals'!D$4,'[1]import graded seats course pivo'!$1:$2,2,FALSE),FALSE))),"")</f>
        <v/>
      </c>
      <c r="E586" s="14">
        <f>IFERROR((VLOOKUP($A586,'[1]import success seats course'!$A:S,HLOOKUP('[1]Course Totals'!E$4,'[1]import success seats course'!$1:$2,2,FALSE),FALSE)/(VLOOKUP($A586,'[1]import graded seats course pivo'!$A:AC,HLOOKUP('[1]Course Totals'!E$4,'[1]import graded seats course pivo'!$1:$2,2,FALSE),FALSE))),"")</f>
        <v>0.8</v>
      </c>
      <c r="F586" s="14">
        <f>IFERROR((VLOOKUP($A586,'[1]import success seats course'!$A:T,HLOOKUP('[1]Course Totals'!F$4,'[1]import success seats course'!$1:$2,2,FALSE),FALSE)/(VLOOKUP($A586,'[1]import graded seats course pivo'!$A:AD,HLOOKUP('[1]Course Totals'!F$4,'[1]import graded seats course pivo'!$1:$2,2,FALSE),FALSE))),"")</f>
        <v>0.95833333333333337</v>
      </c>
      <c r="G586" s="14">
        <f>IFERROR((VLOOKUP($A586,'[1]import success seats course'!$A:U,HLOOKUP('[1]Course Totals'!G$4,'[1]import success seats course'!$1:$2,2,FALSE),FALSE)/(VLOOKUP($A586,'[1]import graded seats course pivo'!$A:AE,HLOOKUP('[1]Course Totals'!G$4,'[1]import graded seats course pivo'!$1:$2,2,FALSE),FALSE))),"")</f>
        <v>0.93103448275862066</v>
      </c>
      <c r="H586" s="14" t="str">
        <f>IFERROR((VLOOKUP($A586,'[1]import success seats course'!$A:V,HLOOKUP('[1]Course Totals'!H$4,'[1]import success seats course'!$1:$2,2,FALSE),FALSE)/(VLOOKUP($A586,'[1]import graded seats course pivo'!$A:AF,HLOOKUP('[1]Course Totals'!H$4,'[1]import graded seats course pivo'!$1:$2,2,FALSE),FALSE))),"")</f>
        <v/>
      </c>
      <c r="I586" s="14">
        <f>IFERROR((VLOOKUP($A586,'[1]import success seats course'!$A:W,HLOOKUP('[1]Course Totals'!I$4,'[1]import success seats course'!$1:$2,2,FALSE),FALSE)/(VLOOKUP($A586,'[1]import graded seats course pivo'!$A:AG,HLOOKUP('[1]Course Totals'!I$4,'[1]import graded seats course pivo'!$1:$2,2,FALSE),FALSE))),"")</f>
        <v>0.93478260869565222</v>
      </c>
      <c r="J586" s="14" t="str">
        <f>IFERROR((VLOOKUP($A586,'[1]import success seats course'!$A:X,HLOOKUP('[1]Course Totals'!J$4,'[1]import success seats course'!$1:$2,2,FALSE),FALSE)/(VLOOKUP($A586,'[1]import graded seats course pivo'!$A:AH,HLOOKUP('[1]Course Totals'!J$4,'[1]import graded seats course pivo'!$1:$2,2,FALSE),FALSE))),"")</f>
        <v/>
      </c>
      <c r="K586" s="14" t="str">
        <f>IFERROR((VLOOKUP($A586,'[1]import success seats course'!$A:Y,HLOOKUP('[1]Course Totals'!K$4,'[1]import success seats course'!$1:$2,2,FALSE),FALSE)/(VLOOKUP($A586,'[1]import graded seats course pivo'!$A:AI,HLOOKUP('[1]Course Totals'!K$4,'[1]import graded seats course pivo'!$1:$2,2,FALSE),FALSE))),"")</f>
        <v/>
      </c>
      <c r="L586" s="14" t="str">
        <f>IFERROR((VLOOKUP($A586,'[1]import success seats course'!$A:Z,HLOOKUP('[1]Course Totals'!L$4,'[1]import success seats course'!$1:$2,2,FALSE),FALSE)/(VLOOKUP($A586,'[1]import graded seats course pivo'!$A:AJ,HLOOKUP('[1]Course Totals'!L$4,'[1]import graded seats course pivo'!$1:$2,2,FALSE),FALSE))),"")</f>
        <v/>
      </c>
      <c r="M586" s="14" t="str">
        <f>IFERROR((VLOOKUP($A586,'[1]import success seats course'!$A:AA,HLOOKUP('[1]Course Totals'!M$4,'[1]import success seats course'!$1:$2,2,FALSE),FALSE)/(VLOOKUP($A586,'[1]import graded seats course pivo'!$A:AK,HLOOKUP('[1]Course Totals'!M$4,'[1]import graded seats course pivo'!$1:$2,2,FALSE),FALSE))),"")</f>
        <v/>
      </c>
      <c r="N586" s="14" t="str">
        <f>IFERROR((VLOOKUP($A586,'[1]import success seats course'!$A:AB,HLOOKUP('[1]Course Totals'!N$4,'[1]import success seats course'!$1:$2,2,FALSE),FALSE)/(VLOOKUP($A586,'[1]import graded seats course pivo'!$A:AL,HLOOKUP('[1]Course Totals'!N$4,'[1]import graded seats course pivo'!$1:$2,2,FALSE),FALSE))),"")</f>
        <v/>
      </c>
      <c r="O586" s="14" t="str">
        <f>IFERROR((VLOOKUP($A586,'[1]import success seats course'!$A:AC,HLOOKUP('[1]Course Totals'!O$4,'[1]import success seats course'!$1:$2,2,FALSE),FALSE)/(VLOOKUP($A586,'[1]import graded seats course pivo'!$A:AM,HLOOKUP('[1]Course Totals'!O$4,'[1]import graded seats course pivo'!$1:$2,2,FALSE),FALSE))),"")</f>
        <v/>
      </c>
      <c r="P586" s="14" t="str">
        <f>IFERROR((VLOOKUP($A586,'[1]import success seats course'!$A:AD,HLOOKUP('[1]Course Totals'!P$4,'[1]import success seats course'!$1:$2,2,FALSE),FALSE)/(VLOOKUP($A586,'[1]import graded seats course pivo'!$A:AN,HLOOKUP('[1]Course Totals'!P$4,'[1]import graded seats course pivo'!$1:$2,2,FALSE),FALSE))),"")</f>
        <v/>
      </c>
      <c r="Q586" s="14" t="str">
        <f>IFERROR((VLOOKUP($A586,'[1]import success seats course'!$A:AE,HLOOKUP('[1]Course Totals'!Q$4,'[1]import success seats course'!$1:$2,2,FALSE),FALSE)/(VLOOKUP($A586,'[1]import graded seats course pivo'!$A:AO,HLOOKUP('[1]Course Totals'!Q$4,'[1]import graded seats course pivo'!$1:$2,2,FALSE),FALSE))),"")</f>
        <v/>
      </c>
      <c r="R586" s="14" t="str">
        <f>IFERROR((VLOOKUP($A586,'[1]import success seats course'!$A:AF,HLOOKUP('[1]Course Totals'!R$4,'[1]import success seats course'!$1:$2,2,FALSE),FALSE)/(VLOOKUP($A586,'[1]import graded seats course pivo'!$A:AP,HLOOKUP('[1]Course Totals'!R$4,'[1]import graded seats course pivo'!$1:$2,2,FALSE),FALSE))),"")</f>
        <v/>
      </c>
      <c r="S586" s="14" t="str">
        <f>IFERROR((VLOOKUP($A586,'[1]import success seats course'!$A:AG,HLOOKUP('[1]Course Totals'!S$4,'[1]import success seats course'!$1:$2,2,FALSE),FALSE)/(VLOOKUP($A586,'[1]import graded seats course pivo'!$A:AQ,HLOOKUP('[1]Course Totals'!S$4,'[1]import graded seats course pivo'!$1:$2,2,FALSE),FALSE))),"")</f>
        <v/>
      </c>
      <c r="Z586" s="7"/>
      <c r="AA586" s="7"/>
      <c r="AB586" s="7"/>
      <c r="AC586" s="7"/>
    </row>
    <row r="587" spans="1:29" ht="15.75" customHeight="1" x14ac:dyDescent="0.25">
      <c r="A587" s="12" t="s">
        <v>274</v>
      </c>
      <c r="B587" s="14" t="str">
        <f>IFERROR((VLOOKUP($A587,'[1]import success seats course'!$A:P,HLOOKUP('[1]Course Totals'!B$4,'[1]import success seats course'!$1:$2,2,FALSE),FALSE)/(VLOOKUP($A587,'[1]import graded seats course pivo'!$A:Z,HLOOKUP('[1]Course Totals'!B$4,'[1]import graded seats course pivo'!$1:$2,2,FALSE),FALSE))),"")</f>
        <v/>
      </c>
      <c r="C587" s="14" t="str">
        <f>IFERROR((VLOOKUP($A587,'[1]import success seats course'!$A:Q,HLOOKUP('[1]Course Totals'!C$4,'[1]import success seats course'!$1:$2,2,FALSE),FALSE)/(VLOOKUP($A587,'[1]import graded seats course pivo'!$A:AA,HLOOKUP('[1]Course Totals'!C$4,'[1]import graded seats course pivo'!$1:$2,2,FALSE),FALSE))),"")</f>
        <v/>
      </c>
      <c r="D587" s="14" t="str">
        <f>IFERROR((VLOOKUP($A587,'[1]import success seats course'!$A:R,HLOOKUP('[1]Course Totals'!D$4,'[1]import success seats course'!$1:$2,2,FALSE),FALSE)/(VLOOKUP($A587,'[1]import graded seats course pivo'!$A:AB,HLOOKUP('[1]Course Totals'!D$4,'[1]import graded seats course pivo'!$1:$2,2,FALSE),FALSE))),"")</f>
        <v/>
      </c>
      <c r="E587" s="14" t="str">
        <f>IFERROR((VLOOKUP($A587,'[1]import success seats course'!$A:S,HLOOKUP('[1]Course Totals'!E$4,'[1]import success seats course'!$1:$2,2,FALSE),FALSE)/(VLOOKUP($A587,'[1]import graded seats course pivo'!$A:AC,HLOOKUP('[1]Course Totals'!E$4,'[1]import graded seats course pivo'!$1:$2,2,FALSE),FALSE))),"")</f>
        <v/>
      </c>
      <c r="F587" s="14" t="str">
        <f>IFERROR((VLOOKUP($A587,'[1]import success seats course'!$A:T,HLOOKUP('[1]Course Totals'!F$4,'[1]import success seats course'!$1:$2,2,FALSE),FALSE)/(VLOOKUP($A587,'[1]import graded seats course pivo'!$A:AD,HLOOKUP('[1]Course Totals'!F$4,'[1]import graded seats course pivo'!$1:$2,2,FALSE),FALSE))),"")</f>
        <v/>
      </c>
      <c r="G587" s="14" t="str">
        <f>IFERROR((VLOOKUP($A587,'[1]import success seats course'!$A:U,HLOOKUP('[1]Course Totals'!G$4,'[1]import success seats course'!$1:$2,2,FALSE),FALSE)/(VLOOKUP($A587,'[1]import graded seats course pivo'!$A:AE,HLOOKUP('[1]Course Totals'!G$4,'[1]import graded seats course pivo'!$1:$2,2,FALSE),FALSE))),"")</f>
        <v/>
      </c>
      <c r="H587" s="14" t="str">
        <f>IFERROR((VLOOKUP($A587,'[1]import success seats course'!$A:V,HLOOKUP('[1]Course Totals'!H$4,'[1]import success seats course'!$1:$2,2,FALSE),FALSE)/(VLOOKUP($A587,'[1]import graded seats course pivo'!$A:AF,HLOOKUP('[1]Course Totals'!H$4,'[1]import graded seats course pivo'!$1:$2,2,FALSE),FALSE))),"")</f>
        <v/>
      </c>
      <c r="I587" s="14" t="str">
        <f>IFERROR((VLOOKUP($A587,'[1]import success seats course'!$A:W,HLOOKUP('[1]Course Totals'!I$4,'[1]import success seats course'!$1:$2,2,FALSE),FALSE)/(VLOOKUP($A587,'[1]import graded seats course pivo'!$A:AG,HLOOKUP('[1]Course Totals'!I$4,'[1]import graded seats course pivo'!$1:$2,2,FALSE),FALSE))),"")</f>
        <v/>
      </c>
      <c r="J587" s="14" t="str">
        <f>IFERROR((VLOOKUP($A587,'[1]import success seats course'!$A:X,HLOOKUP('[1]Course Totals'!J$4,'[1]import success seats course'!$1:$2,2,FALSE),FALSE)/(VLOOKUP($A587,'[1]import graded seats course pivo'!$A:AH,HLOOKUP('[1]Course Totals'!J$4,'[1]import graded seats course pivo'!$1:$2,2,FALSE),FALSE))),"")</f>
        <v/>
      </c>
      <c r="K587" s="14" t="str">
        <f>IFERROR((VLOOKUP($A587,'[1]import success seats course'!$A:Y,HLOOKUP('[1]Course Totals'!K$4,'[1]import success seats course'!$1:$2,2,FALSE),FALSE)/(VLOOKUP($A587,'[1]import graded seats course pivo'!$A:AI,HLOOKUP('[1]Course Totals'!K$4,'[1]import graded seats course pivo'!$1:$2,2,FALSE),FALSE))),"")</f>
        <v/>
      </c>
      <c r="L587" s="14" t="str">
        <f>IFERROR((VLOOKUP($A587,'[1]import success seats course'!$A:Z,HLOOKUP('[1]Course Totals'!L$4,'[1]import success seats course'!$1:$2,2,FALSE),FALSE)/(VLOOKUP($A587,'[1]import graded seats course pivo'!$A:AJ,HLOOKUP('[1]Course Totals'!L$4,'[1]import graded seats course pivo'!$1:$2,2,FALSE),FALSE))),"")</f>
        <v/>
      </c>
      <c r="M587" s="14" t="str">
        <f>IFERROR((VLOOKUP($A587,'[1]import success seats course'!$A:AA,HLOOKUP('[1]Course Totals'!M$4,'[1]import success seats course'!$1:$2,2,FALSE),FALSE)/(VLOOKUP($A587,'[1]import graded seats course pivo'!$A:AK,HLOOKUP('[1]Course Totals'!M$4,'[1]import graded seats course pivo'!$1:$2,2,FALSE),FALSE))),"")</f>
        <v/>
      </c>
      <c r="N587" s="14" t="str">
        <f>IFERROR((VLOOKUP($A587,'[1]import success seats course'!$A:AB,HLOOKUP('[1]Course Totals'!N$4,'[1]import success seats course'!$1:$2,2,FALSE),FALSE)/(VLOOKUP($A587,'[1]import graded seats course pivo'!$A:AL,HLOOKUP('[1]Course Totals'!N$4,'[1]import graded seats course pivo'!$1:$2,2,FALSE),FALSE))),"")</f>
        <v/>
      </c>
      <c r="O587" s="14" t="str">
        <f>IFERROR((VLOOKUP($A587,'[1]import success seats course'!$A:AC,HLOOKUP('[1]Course Totals'!O$4,'[1]import success seats course'!$1:$2,2,FALSE),FALSE)/(VLOOKUP($A587,'[1]import graded seats course pivo'!$A:AM,HLOOKUP('[1]Course Totals'!O$4,'[1]import graded seats course pivo'!$1:$2,2,FALSE),FALSE))),"")</f>
        <v/>
      </c>
      <c r="P587" s="14" t="str">
        <f>IFERROR((VLOOKUP($A587,'[1]import success seats course'!$A:AD,HLOOKUP('[1]Course Totals'!P$4,'[1]import success seats course'!$1:$2,2,FALSE),FALSE)/(VLOOKUP($A587,'[1]import graded seats course pivo'!$A:AN,HLOOKUP('[1]Course Totals'!P$4,'[1]import graded seats course pivo'!$1:$2,2,FALSE),FALSE))),"")</f>
        <v/>
      </c>
      <c r="Q587" s="14" t="str">
        <f>IFERROR((VLOOKUP($A587,'[1]import success seats course'!$A:AE,HLOOKUP('[1]Course Totals'!Q$4,'[1]import success seats course'!$1:$2,2,FALSE),FALSE)/(VLOOKUP($A587,'[1]import graded seats course pivo'!$A:AO,HLOOKUP('[1]Course Totals'!Q$4,'[1]import graded seats course pivo'!$1:$2,2,FALSE),FALSE))),"")</f>
        <v/>
      </c>
      <c r="R587" s="14">
        <f>IFERROR((VLOOKUP($A587,'[1]import success seats course'!$A:AF,HLOOKUP('[1]Course Totals'!R$4,'[1]import success seats course'!$1:$2,2,FALSE),FALSE)/(VLOOKUP($A587,'[1]import graded seats course pivo'!$A:AP,HLOOKUP('[1]Course Totals'!R$4,'[1]import graded seats course pivo'!$1:$2,2,FALSE),FALSE))),"")</f>
        <v>0.46153846153846156</v>
      </c>
      <c r="S587" s="14" t="str">
        <f>IFERROR((VLOOKUP($A587,'[1]import success seats course'!$A:AG,HLOOKUP('[1]Course Totals'!S$4,'[1]import success seats course'!$1:$2,2,FALSE),FALSE)/(VLOOKUP($A587,'[1]import graded seats course pivo'!$A:AQ,HLOOKUP('[1]Course Totals'!S$4,'[1]import graded seats course pivo'!$1:$2,2,FALSE),FALSE))),"")</f>
        <v/>
      </c>
      <c r="Z587" s="7"/>
      <c r="AA587" s="7"/>
      <c r="AB587" s="7"/>
      <c r="AC587" s="7"/>
    </row>
    <row r="588" spans="1:29" ht="15.75" customHeight="1" x14ac:dyDescent="0.25">
      <c r="A588" s="12" t="s">
        <v>275</v>
      </c>
      <c r="B588" s="14" t="str">
        <f>IFERROR((VLOOKUP($A588,'[1]import success seats course'!$A:P,HLOOKUP('[1]Course Totals'!B$4,'[1]import success seats course'!$1:$2,2,FALSE),FALSE)/(VLOOKUP($A588,'[1]import graded seats course pivo'!$A:Z,HLOOKUP('[1]Course Totals'!B$4,'[1]import graded seats course pivo'!$1:$2,2,FALSE),FALSE))),"")</f>
        <v/>
      </c>
      <c r="C588" s="14">
        <f>IFERROR((VLOOKUP($A588,'[1]import success seats course'!$A:Q,HLOOKUP('[1]Course Totals'!C$4,'[1]import success seats course'!$1:$2,2,FALSE),FALSE)/(VLOOKUP($A588,'[1]import graded seats course pivo'!$A:AA,HLOOKUP('[1]Course Totals'!C$4,'[1]import graded seats course pivo'!$1:$2,2,FALSE),FALSE))),"")</f>
        <v>0.75</v>
      </c>
      <c r="D588" s="14">
        <f>IFERROR((VLOOKUP($A588,'[1]import success seats course'!$A:R,HLOOKUP('[1]Course Totals'!D$4,'[1]import success seats course'!$1:$2,2,FALSE),FALSE)/(VLOOKUP($A588,'[1]import graded seats course pivo'!$A:AB,HLOOKUP('[1]Course Totals'!D$4,'[1]import graded seats course pivo'!$1:$2,2,FALSE),FALSE))),"")</f>
        <v>0.66666666666666663</v>
      </c>
      <c r="E588" s="14" t="str">
        <f>IFERROR((VLOOKUP($A588,'[1]import success seats course'!$A:S,HLOOKUP('[1]Course Totals'!E$4,'[1]import success seats course'!$1:$2,2,FALSE),FALSE)/(VLOOKUP($A588,'[1]import graded seats course pivo'!$A:AC,HLOOKUP('[1]Course Totals'!E$4,'[1]import graded seats course pivo'!$1:$2,2,FALSE),FALSE))),"")</f>
        <v/>
      </c>
      <c r="F588" s="14">
        <f>IFERROR((VLOOKUP($A588,'[1]import success seats course'!$A:T,HLOOKUP('[1]Course Totals'!F$4,'[1]import success seats course'!$1:$2,2,FALSE),FALSE)/(VLOOKUP($A588,'[1]import graded seats course pivo'!$A:AD,HLOOKUP('[1]Course Totals'!F$4,'[1]import graded seats course pivo'!$1:$2,2,FALSE),FALSE))),"")</f>
        <v>0.90909090909090906</v>
      </c>
      <c r="G588" s="14">
        <f>IFERROR((VLOOKUP($A588,'[1]import success seats course'!$A:U,HLOOKUP('[1]Course Totals'!G$4,'[1]import success seats course'!$1:$2,2,FALSE),FALSE)/(VLOOKUP($A588,'[1]import graded seats course pivo'!$A:AE,HLOOKUP('[1]Course Totals'!G$4,'[1]import graded seats course pivo'!$1:$2,2,FALSE),FALSE))),"")</f>
        <v>0.90476190476190477</v>
      </c>
      <c r="H588" s="14" t="str">
        <f>IFERROR((VLOOKUP($A588,'[1]import success seats course'!$A:V,HLOOKUP('[1]Course Totals'!H$4,'[1]import success seats course'!$1:$2,2,FALSE),FALSE)/(VLOOKUP($A588,'[1]import graded seats course pivo'!$A:AF,HLOOKUP('[1]Course Totals'!H$4,'[1]import graded seats course pivo'!$1:$2,2,FALSE),FALSE))),"")</f>
        <v/>
      </c>
      <c r="I588" s="14">
        <f>IFERROR((VLOOKUP($A588,'[1]import success seats course'!$A:W,HLOOKUP('[1]Course Totals'!I$4,'[1]import success seats course'!$1:$2,2,FALSE),FALSE)/(VLOOKUP($A588,'[1]import graded seats course pivo'!$A:AG,HLOOKUP('[1]Course Totals'!I$4,'[1]import graded seats course pivo'!$1:$2,2,FALSE),FALSE))),"")</f>
        <v>0.70833333333333337</v>
      </c>
      <c r="J588" s="14">
        <f>IFERROR((VLOOKUP($A588,'[1]import success seats course'!$A:X,HLOOKUP('[1]Course Totals'!J$4,'[1]import success seats course'!$1:$2,2,FALSE),FALSE)/(VLOOKUP($A588,'[1]import graded seats course pivo'!$A:AH,HLOOKUP('[1]Course Totals'!J$4,'[1]import graded seats course pivo'!$1:$2,2,FALSE),FALSE))),"")</f>
        <v>0.7142857142857143</v>
      </c>
      <c r="K588" s="14" t="str">
        <f>IFERROR((VLOOKUP($A588,'[1]import success seats course'!$A:Y,HLOOKUP('[1]Course Totals'!K$4,'[1]import success seats course'!$1:$2,2,FALSE),FALSE)/(VLOOKUP($A588,'[1]import graded seats course pivo'!$A:AI,HLOOKUP('[1]Course Totals'!K$4,'[1]import graded seats course pivo'!$1:$2,2,FALSE),FALSE))),"")</f>
        <v/>
      </c>
      <c r="L588" s="14">
        <f>IFERROR((VLOOKUP($A588,'[1]import success seats course'!$A:Z,HLOOKUP('[1]Course Totals'!L$4,'[1]import success seats course'!$1:$2,2,FALSE),FALSE)/(VLOOKUP($A588,'[1]import graded seats course pivo'!$A:AJ,HLOOKUP('[1]Course Totals'!L$4,'[1]import graded seats course pivo'!$1:$2,2,FALSE),FALSE))),"")</f>
        <v>0.57894736842105265</v>
      </c>
      <c r="M588" s="14">
        <f>IFERROR((VLOOKUP($A588,'[1]import success seats course'!$A:AA,HLOOKUP('[1]Course Totals'!M$4,'[1]import success seats course'!$1:$2,2,FALSE),FALSE)/(VLOOKUP($A588,'[1]import graded seats course pivo'!$A:AK,HLOOKUP('[1]Course Totals'!M$4,'[1]import graded seats course pivo'!$1:$2,2,FALSE),FALSE))),"")</f>
        <v>0.8571428571428571</v>
      </c>
      <c r="N588" s="14" t="str">
        <f>IFERROR((VLOOKUP($A588,'[1]import success seats course'!$A:AB,HLOOKUP('[1]Course Totals'!N$4,'[1]import success seats course'!$1:$2,2,FALSE),FALSE)/(VLOOKUP($A588,'[1]import graded seats course pivo'!$A:AL,HLOOKUP('[1]Course Totals'!N$4,'[1]import graded seats course pivo'!$1:$2,2,FALSE),FALSE))),"")</f>
        <v/>
      </c>
      <c r="O588" s="14">
        <f>IFERROR((VLOOKUP($A588,'[1]import success seats course'!$A:AC,HLOOKUP('[1]Course Totals'!O$4,'[1]import success seats course'!$1:$2,2,FALSE),FALSE)/(VLOOKUP($A588,'[1]import graded seats course pivo'!$A:AM,HLOOKUP('[1]Course Totals'!O$4,'[1]import graded seats course pivo'!$1:$2,2,FALSE),FALSE))),"")</f>
        <v>0.7857142857142857</v>
      </c>
      <c r="P588" s="14">
        <f>IFERROR((VLOOKUP($A588,'[1]import success seats course'!$A:AD,HLOOKUP('[1]Course Totals'!P$4,'[1]import success seats course'!$1:$2,2,FALSE),FALSE)/(VLOOKUP($A588,'[1]import graded seats course pivo'!$A:AN,HLOOKUP('[1]Course Totals'!P$4,'[1]import graded seats course pivo'!$1:$2,2,FALSE),FALSE))),"")</f>
        <v>0.5</v>
      </c>
      <c r="Q588" s="14" t="str">
        <f>IFERROR((VLOOKUP($A588,'[1]import success seats course'!$A:AE,HLOOKUP('[1]Course Totals'!Q$4,'[1]import success seats course'!$1:$2,2,FALSE),FALSE)/(VLOOKUP($A588,'[1]import graded seats course pivo'!$A:AO,HLOOKUP('[1]Course Totals'!Q$4,'[1]import graded seats course pivo'!$1:$2,2,FALSE),FALSE))),"")</f>
        <v/>
      </c>
      <c r="R588" s="14">
        <f>IFERROR((VLOOKUP($A588,'[1]import success seats course'!$A:AF,HLOOKUP('[1]Course Totals'!R$4,'[1]import success seats course'!$1:$2,2,FALSE),FALSE)/(VLOOKUP($A588,'[1]import graded seats course pivo'!$A:AP,HLOOKUP('[1]Course Totals'!R$4,'[1]import graded seats course pivo'!$1:$2,2,FALSE),FALSE))),"")</f>
        <v>0.6428571428571429</v>
      </c>
      <c r="S588" s="14">
        <f>IFERROR((VLOOKUP($A588,'[1]import success seats course'!$A:AG,HLOOKUP('[1]Course Totals'!S$4,'[1]import success seats course'!$1:$2,2,FALSE),FALSE)/(VLOOKUP($A588,'[1]import graded seats course pivo'!$A:AQ,HLOOKUP('[1]Course Totals'!S$4,'[1]import graded seats course pivo'!$1:$2,2,FALSE),FALSE))),"")</f>
        <v>0.46666666666666667</v>
      </c>
      <c r="Z588" s="7"/>
      <c r="AA588" s="7"/>
      <c r="AB588" s="7"/>
      <c r="AC588" s="7"/>
    </row>
    <row r="589" spans="1:29" ht="15.75" customHeight="1" x14ac:dyDescent="0.25">
      <c r="A589" s="12" t="s">
        <v>1015</v>
      </c>
      <c r="B589" s="14" t="str">
        <f>IFERROR((VLOOKUP($A589,'[1]import success seats course'!$A:P,HLOOKUP('[1]Course Totals'!B$4,'[1]import success seats course'!$1:$2,2,FALSE),FALSE)/(VLOOKUP($A589,'[1]import graded seats course pivo'!$A:Z,HLOOKUP('[1]Course Totals'!B$4,'[1]import graded seats course pivo'!$1:$2,2,FALSE),FALSE))),"")</f>
        <v/>
      </c>
      <c r="C589" s="14" t="str">
        <f>IFERROR((VLOOKUP($A589,'[1]import success seats course'!$A:Q,HLOOKUP('[1]Course Totals'!C$4,'[1]import success seats course'!$1:$2,2,FALSE),FALSE)/(VLOOKUP($A589,'[1]import graded seats course pivo'!$A:AA,HLOOKUP('[1]Course Totals'!C$4,'[1]import graded seats course pivo'!$1:$2,2,FALSE),FALSE))),"")</f>
        <v/>
      </c>
      <c r="D589" s="14" t="str">
        <f>IFERROR((VLOOKUP($A589,'[1]import success seats course'!$A:R,HLOOKUP('[1]Course Totals'!D$4,'[1]import success seats course'!$1:$2,2,FALSE),FALSE)/(VLOOKUP($A589,'[1]import graded seats course pivo'!$A:AB,HLOOKUP('[1]Course Totals'!D$4,'[1]import graded seats course pivo'!$1:$2,2,FALSE),FALSE))),"")</f>
        <v/>
      </c>
      <c r="E589" s="14" t="str">
        <f>IFERROR((VLOOKUP($A589,'[1]import success seats course'!$A:S,HLOOKUP('[1]Course Totals'!E$4,'[1]import success seats course'!$1:$2,2,FALSE),FALSE)/(VLOOKUP($A589,'[1]import graded seats course pivo'!$A:AC,HLOOKUP('[1]Course Totals'!E$4,'[1]import graded seats course pivo'!$1:$2,2,FALSE),FALSE))),"")</f>
        <v/>
      </c>
      <c r="F589" s="14" t="str">
        <f>IFERROR((VLOOKUP($A589,'[1]import success seats course'!$A:T,HLOOKUP('[1]Course Totals'!F$4,'[1]import success seats course'!$1:$2,2,FALSE),FALSE)/(VLOOKUP($A589,'[1]import graded seats course pivo'!$A:AD,HLOOKUP('[1]Course Totals'!F$4,'[1]import graded seats course pivo'!$1:$2,2,FALSE),FALSE))),"")</f>
        <v/>
      </c>
      <c r="G589" s="14" t="str">
        <f>IFERROR((VLOOKUP($A589,'[1]import success seats course'!$A:U,HLOOKUP('[1]Course Totals'!G$4,'[1]import success seats course'!$1:$2,2,FALSE),FALSE)/(VLOOKUP($A589,'[1]import graded seats course pivo'!$A:AE,HLOOKUP('[1]Course Totals'!G$4,'[1]import graded seats course pivo'!$1:$2,2,FALSE),FALSE))),"")</f>
        <v/>
      </c>
      <c r="H589" s="14" t="str">
        <f>IFERROR((VLOOKUP($A589,'[1]import success seats course'!$A:V,HLOOKUP('[1]Course Totals'!H$4,'[1]import success seats course'!$1:$2,2,FALSE),FALSE)/(VLOOKUP($A589,'[1]import graded seats course pivo'!$A:AF,HLOOKUP('[1]Course Totals'!H$4,'[1]import graded seats course pivo'!$1:$2,2,FALSE),FALSE))),"")</f>
        <v/>
      </c>
      <c r="I589" s="14" t="str">
        <f>IFERROR((VLOOKUP($A589,'[1]import success seats course'!$A:W,HLOOKUP('[1]Course Totals'!I$4,'[1]import success seats course'!$1:$2,2,FALSE),FALSE)/(VLOOKUP($A589,'[1]import graded seats course pivo'!$A:AG,HLOOKUP('[1]Course Totals'!I$4,'[1]import graded seats course pivo'!$1:$2,2,FALSE),FALSE))),"")</f>
        <v/>
      </c>
      <c r="J589" s="14">
        <f>IFERROR((VLOOKUP($A589,'[1]import success seats course'!$A:X,HLOOKUP('[1]Course Totals'!J$4,'[1]import success seats course'!$1:$2,2,FALSE),FALSE)/(VLOOKUP($A589,'[1]import graded seats course pivo'!$A:AH,HLOOKUP('[1]Course Totals'!J$4,'[1]import graded seats course pivo'!$1:$2,2,FALSE),FALSE))),"")</f>
        <v>0.91891891891891897</v>
      </c>
      <c r="K589" s="14" t="str">
        <f>IFERROR((VLOOKUP($A589,'[1]import success seats course'!$A:Y,HLOOKUP('[1]Course Totals'!K$4,'[1]import success seats course'!$1:$2,2,FALSE),FALSE)/(VLOOKUP($A589,'[1]import graded seats course pivo'!$A:AI,HLOOKUP('[1]Course Totals'!K$4,'[1]import graded seats course pivo'!$1:$2,2,FALSE),FALSE))),"")</f>
        <v/>
      </c>
      <c r="L589" s="14" t="str">
        <f>IFERROR((VLOOKUP($A589,'[1]import success seats course'!$A:Z,HLOOKUP('[1]Course Totals'!L$4,'[1]import success seats course'!$1:$2,2,FALSE),FALSE)/(VLOOKUP($A589,'[1]import graded seats course pivo'!$A:AJ,HLOOKUP('[1]Course Totals'!L$4,'[1]import graded seats course pivo'!$1:$2,2,FALSE),FALSE))),"")</f>
        <v/>
      </c>
      <c r="M589" s="14">
        <f>IFERROR((VLOOKUP($A589,'[1]import success seats course'!$A:AA,HLOOKUP('[1]Course Totals'!M$4,'[1]import success seats course'!$1:$2,2,FALSE),FALSE)/(VLOOKUP($A589,'[1]import graded seats course pivo'!$A:AK,HLOOKUP('[1]Course Totals'!M$4,'[1]import graded seats course pivo'!$1:$2,2,FALSE),FALSE))),"")</f>
        <v>0.86363636363636365</v>
      </c>
      <c r="N589" s="14" t="str">
        <f>IFERROR((VLOOKUP($A589,'[1]import success seats course'!$A:AB,HLOOKUP('[1]Course Totals'!N$4,'[1]import success seats course'!$1:$2,2,FALSE),FALSE)/(VLOOKUP($A589,'[1]import graded seats course pivo'!$A:AL,HLOOKUP('[1]Course Totals'!N$4,'[1]import graded seats course pivo'!$1:$2,2,FALSE),FALSE))),"")</f>
        <v/>
      </c>
      <c r="O589" s="14" t="str">
        <f>IFERROR((VLOOKUP($A589,'[1]import success seats course'!$A:AC,HLOOKUP('[1]Course Totals'!O$4,'[1]import success seats course'!$1:$2,2,FALSE),FALSE)/(VLOOKUP($A589,'[1]import graded seats course pivo'!$A:AM,HLOOKUP('[1]Course Totals'!O$4,'[1]import graded seats course pivo'!$1:$2,2,FALSE),FALSE))),"")</f>
        <v/>
      </c>
      <c r="P589" s="14" t="str">
        <f>IFERROR((VLOOKUP($A589,'[1]import success seats course'!$A:AD,HLOOKUP('[1]Course Totals'!P$4,'[1]import success seats course'!$1:$2,2,FALSE),FALSE)/(VLOOKUP($A589,'[1]import graded seats course pivo'!$A:AN,HLOOKUP('[1]Course Totals'!P$4,'[1]import graded seats course pivo'!$1:$2,2,FALSE),FALSE))),"")</f>
        <v/>
      </c>
      <c r="Q589" s="14" t="str">
        <f>IFERROR((VLOOKUP($A589,'[1]import success seats course'!$A:AE,HLOOKUP('[1]Course Totals'!Q$4,'[1]import success seats course'!$1:$2,2,FALSE),FALSE)/(VLOOKUP($A589,'[1]import graded seats course pivo'!$A:AO,HLOOKUP('[1]Course Totals'!Q$4,'[1]import graded seats course pivo'!$1:$2,2,FALSE),FALSE))),"")</f>
        <v/>
      </c>
      <c r="R589" s="14" t="str">
        <f>IFERROR((VLOOKUP($A589,'[1]import success seats course'!$A:AF,HLOOKUP('[1]Course Totals'!R$4,'[1]import success seats course'!$1:$2,2,FALSE),FALSE)/(VLOOKUP($A589,'[1]import graded seats course pivo'!$A:AP,HLOOKUP('[1]Course Totals'!R$4,'[1]import graded seats course pivo'!$1:$2,2,FALSE),FALSE))),"")</f>
        <v/>
      </c>
      <c r="S589" s="14" t="str">
        <f>IFERROR((VLOOKUP($A589,'[1]import success seats course'!$A:AG,HLOOKUP('[1]Course Totals'!S$4,'[1]import success seats course'!$1:$2,2,FALSE),FALSE)/(VLOOKUP($A589,'[1]import graded seats course pivo'!$A:AQ,HLOOKUP('[1]Course Totals'!S$4,'[1]import graded seats course pivo'!$1:$2,2,FALSE),FALSE))),"")</f>
        <v/>
      </c>
      <c r="Z589" s="7"/>
      <c r="AA589" s="7"/>
      <c r="AB589" s="7"/>
      <c r="AC589" s="7"/>
    </row>
    <row r="590" spans="1:29" ht="15.75" customHeight="1" x14ac:dyDescent="0.25">
      <c r="A590" s="12" t="s">
        <v>276</v>
      </c>
      <c r="B590" s="14" t="str">
        <f>IFERROR((VLOOKUP($A590,'[1]import success seats course'!$A:P,HLOOKUP('[1]Course Totals'!B$4,'[1]import success seats course'!$1:$2,2,FALSE),FALSE)/(VLOOKUP($A590,'[1]import graded seats course pivo'!$A:Z,HLOOKUP('[1]Course Totals'!B$4,'[1]import graded seats course pivo'!$1:$2,2,FALSE),FALSE))),"")</f>
        <v/>
      </c>
      <c r="C590" s="14" t="str">
        <f>IFERROR((VLOOKUP($A590,'[1]import success seats course'!$A:Q,HLOOKUP('[1]Course Totals'!C$4,'[1]import success seats course'!$1:$2,2,FALSE),FALSE)/(VLOOKUP($A590,'[1]import graded seats course pivo'!$A:AA,HLOOKUP('[1]Course Totals'!C$4,'[1]import graded seats course pivo'!$1:$2,2,FALSE),FALSE))),"")</f>
        <v/>
      </c>
      <c r="D590" s="14" t="str">
        <f>IFERROR((VLOOKUP($A590,'[1]import success seats course'!$A:R,HLOOKUP('[1]Course Totals'!D$4,'[1]import success seats course'!$1:$2,2,FALSE),FALSE)/(VLOOKUP($A590,'[1]import graded seats course pivo'!$A:AB,HLOOKUP('[1]Course Totals'!D$4,'[1]import graded seats course pivo'!$1:$2,2,FALSE),FALSE))),"")</f>
        <v/>
      </c>
      <c r="E590" s="14" t="str">
        <f>IFERROR((VLOOKUP($A590,'[1]import success seats course'!$A:S,HLOOKUP('[1]Course Totals'!E$4,'[1]import success seats course'!$1:$2,2,FALSE),FALSE)/(VLOOKUP($A590,'[1]import graded seats course pivo'!$A:AC,HLOOKUP('[1]Course Totals'!E$4,'[1]import graded seats course pivo'!$1:$2,2,FALSE),FALSE))),"")</f>
        <v/>
      </c>
      <c r="F590" s="14" t="str">
        <f>IFERROR((VLOOKUP($A590,'[1]import success seats course'!$A:T,HLOOKUP('[1]Course Totals'!F$4,'[1]import success seats course'!$1:$2,2,FALSE),FALSE)/(VLOOKUP($A590,'[1]import graded seats course pivo'!$A:AD,HLOOKUP('[1]Course Totals'!F$4,'[1]import graded seats course pivo'!$1:$2,2,FALSE),FALSE))),"")</f>
        <v/>
      </c>
      <c r="G590" s="14" t="str">
        <f>IFERROR((VLOOKUP($A590,'[1]import success seats course'!$A:U,HLOOKUP('[1]Course Totals'!G$4,'[1]import success seats course'!$1:$2,2,FALSE),FALSE)/(VLOOKUP($A590,'[1]import graded seats course pivo'!$A:AE,HLOOKUP('[1]Course Totals'!G$4,'[1]import graded seats course pivo'!$1:$2,2,FALSE),FALSE))),"")</f>
        <v/>
      </c>
      <c r="H590" s="14" t="str">
        <f>IFERROR((VLOOKUP($A590,'[1]import success seats course'!$A:V,HLOOKUP('[1]Course Totals'!H$4,'[1]import success seats course'!$1:$2,2,FALSE),FALSE)/(VLOOKUP($A590,'[1]import graded seats course pivo'!$A:AF,HLOOKUP('[1]Course Totals'!H$4,'[1]import graded seats course pivo'!$1:$2,2,FALSE),FALSE))),"")</f>
        <v/>
      </c>
      <c r="I590" s="14" t="str">
        <f>IFERROR((VLOOKUP($A590,'[1]import success seats course'!$A:W,HLOOKUP('[1]Course Totals'!I$4,'[1]import success seats course'!$1:$2,2,FALSE),FALSE)/(VLOOKUP($A590,'[1]import graded seats course pivo'!$A:AG,HLOOKUP('[1]Course Totals'!I$4,'[1]import graded seats course pivo'!$1:$2,2,FALSE),FALSE))),"")</f>
        <v/>
      </c>
      <c r="J590" s="14" t="str">
        <f>IFERROR((VLOOKUP($A590,'[1]import success seats course'!$A:X,HLOOKUP('[1]Course Totals'!J$4,'[1]import success seats course'!$1:$2,2,FALSE),FALSE)/(VLOOKUP($A590,'[1]import graded seats course pivo'!$A:AH,HLOOKUP('[1]Course Totals'!J$4,'[1]import graded seats course pivo'!$1:$2,2,FALSE),FALSE))),"")</f>
        <v/>
      </c>
      <c r="K590" s="14" t="str">
        <f>IFERROR((VLOOKUP($A590,'[1]import success seats course'!$A:Y,HLOOKUP('[1]Course Totals'!K$4,'[1]import success seats course'!$1:$2,2,FALSE),FALSE)/(VLOOKUP($A590,'[1]import graded seats course pivo'!$A:AI,HLOOKUP('[1]Course Totals'!K$4,'[1]import graded seats course pivo'!$1:$2,2,FALSE),FALSE))),"")</f>
        <v/>
      </c>
      <c r="L590" s="14" t="str">
        <f>IFERROR((VLOOKUP($A590,'[1]import success seats course'!$A:Z,HLOOKUP('[1]Course Totals'!L$4,'[1]import success seats course'!$1:$2,2,FALSE),FALSE)/(VLOOKUP($A590,'[1]import graded seats course pivo'!$A:AJ,HLOOKUP('[1]Course Totals'!L$4,'[1]import graded seats course pivo'!$1:$2,2,FALSE),FALSE))),"")</f>
        <v/>
      </c>
      <c r="M590" s="14" t="str">
        <f>IFERROR((VLOOKUP($A590,'[1]import success seats course'!$A:AA,HLOOKUP('[1]Course Totals'!M$4,'[1]import success seats course'!$1:$2,2,FALSE),FALSE)/(VLOOKUP($A590,'[1]import graded seats course pivo'!$A:AK,HLOOKUP('[1]Course Totals'!M$4,'[1]import graded seats course pivo'!$1:$2,2,FALSE),FALSE))),"")</f>
        <v/>
      </c>
      <c r="N590" s="14" t="str">
        <f>IFERROR((VLOOKUP($A590,'[1]import success seats course'!$A:AB,HLOOKUP('[1]Course Totals'!N$4,'[1]import success seats course'!$1:$2,2,FALSE),FALSE)/(VLOOKUP($A590,'[1]import graded seats course pivo'!$A:AL,HLOOKUP('[1]Course Totals'!N$4,'[1]import graded seats course pivo'!$1:$2,2,FALSE),FALSE))),"")</f>
        <v/>
      </c>
      <c r="O590" s="14">
        <f>IFERROR((VLOOKUP($A590,'[1]import success seats course'!$A:AC,HLOOKUP('[1]Course Totals'!O$4,'[1]import success seats course'!$1:$2,2,FALSE),FALSE)/(VLOOKUP($A590,'[1]import graded seats course pivo'!$A:AM,HLOOKUP('[1]Course Totals'!O$4,'[1]import graded seats course pivo'!$1:$2,2,FALSE),FALSE))),"")</f>
        <v>0.93181818181818177</v>
      </c>
      <c r="P590" s="14">
        <f>IFERROR((VLOOKUP($A590,'[1]import success seats course'!$A:AD,HLOOKUP('[1]Course Totals'!P$4,'[1]import success seats course'!$1:$2,2,FALSE),FALSE)/(VLOOKUP($A590,'[1]import graded seats course pivo'!$A:AN,HLOOKUP('[1]Course Totals'!P$4,'[1]import graded seats course pivo'!$1:$2,2,FALSE),FALSE))),"")</f>
        <v>0.76190476190476186</v>
      </c>
      <c r="Q590" s="14" t="str">
        <f>IFERROR((VLOOKUP($A590,'[1]import success seats course'!$A:AE,HLOOKUP('[1]Course Totals'!Q$4,'[1]import success seats course'!$1:$2,2,FALSE),FALSE)/(VLOOKUP($A590,'[1]import graded seats course pivo'!$A:AO,HLOOKUP('[1]Course Totals'!Q$4,'[1]import graded seats course pivo'!$1:$2,2,FALSE),FALSE))),"")</f>
        <v/>
      </c>
      <c r="R590" s="14" t="str">
        <f>IFERROR((VLOOKUP($A590,'[1]import success seats course'!$A:AF,HLOOKUP('[1]Course Totals'!R$4,'[1]import success seats course'!$1:$2,2,FALSE),FALSE)/(VLOOKUP($A590,'[1]import graded seats course pivo'!$A:AP,HLOOKUP('[1]Course Totals'!R$4,'[1]import graded seats course pivo'!$1:$2,2,FALSE),FALSE))),"")</f>
        <v/>
      </c>
      <c r="S590" s="14" t="str">
        <f>IFERROR((VLOOKUP($A590,'[1]import success seats course'!$A:AG,HLOOKUP('[1]Course Totals'!S$4,'[1]import success seats course'!$1:$2,2,FALSE),FALSE)/(VLOOKUP($A590,'[1]import graded seats course pivo'!$A:AQ,HLOOKUP('[1]Course Totals'!S$4,'[1]import graded seats course pivo'!$1:$2,2,FALSE),FALSE))),"")</f>
        <v/>
      </c>
      <c r="Z590" s="7"/>
      <c r="AA590" s="7"/>
      <c r="AB590" s="7"/>
      <c r="AC590" s="7"/>
    </row>
    <row r="591" spans="1:29" ht="15.75" customHeight="1" x14ac:dyDescent="0.25">
      <c r="A591" s="12" t="s">
        <v>611</v>
      </c>
      <c r="B591" s="14" t="str">
        <f>IFERROR((VLOOKUP($A591,'[1]import success seats course'!$A:P,HLOOKUP('[1]Course Totals'!B$4,'[1]import success seats course'!$1:$2,2,FALSE),FALSE)/(VLOOKUP($A591,'[1]import graded seats course pivo'!$A:Z,HLOOKUP('[1]Course Totals'!B$4,'[1]import graded seats course pivo'!$1:$2,2,FALSE),FALSE))),"")</f>
        <v/>
      </c>
      <c r="C591" s="14" t="str">
        <f>IFERROR((VLOOKUP($A591,'[1]import success seats course'!$A:Q,HLOOKUP('[1]Course Totals'!C$4,'[1]import success seats course'!$1:$2,2,FALSE),FALSE)/(VLOOKUP($A591,'[1]import graded seats course pivo'!$A:AA,HLOOKUP('[1]Course Totals'!C$4,'[1]import graded seats course pivo'!$1:$2,2,FALSE),FALSE))),"")</f>
        <v/>
      </c>
      <c r="D591" s="14" t="str">
        <f>IFERROR((VLOOKUP($A591,'[1]import success seats course'!$A:R,HLOOKUP('[1]Course Totals'!D$4,'[1]import success seats course'!$1:$2,2,FALSE),FALSE)/(VLOOKUP($A591,'[1]import graded seats course pivo'!$A:AB,HLOOKUP('[1]Course Totals'!D$4,'[1]import graded seats course pivo'!$1:$2,2,FALSE),FALSE))),"")</f>
        <v/>
      </c>
      <c r="E591" s="14" t="str">
        <f>IFERROR((VLOOKUP($A591,'[1]import success seats course'!$A:S,HLOOKUP('[1]Course Totals'!E$4,'[1]import success seats course'!$1:$2,2,FALSE),FALSE)/(VLOOKUP($A591,'[1]import graded seats course pivo'!$A:AC,HLOOKUP('[1]Course Totals'!E$4,'[1]import graded seats course pivo'!$1:$2,2,FALSE),FALSE))),"")</f>
        <v/>
      </c>
      <c r="F591" s="14">
        <f>IFERROR((VLOOKUP($A591,'[1]import success seats course'!$A:T,HLOOKUP('[1]Course Totals'!F$4,'[1]import success seats course'!$1:$2,2,FALSE),FALSE)/(VLOOKUP($A591,'[1]import graded seats course pivo'!$A:AD,HLOOKUP('[1]Course Totals'!F$4,'[1]import graded seats course pivo'!$1:$2,2,FALSE),FALSE))),"")</f>
        <v>0.76190476190476186</v>
      </c>
      <c r="G591" s="14">
        <f>IFERROR((VLOOKUP($A591,'[1]import success seats course'!$A:U,HLOOKUP('[1]Course Totals'!G$4,'[1]import success seats course'!$1:$2,2,FALSE),FALSE)/(VLOOKUP($A591,'[1]import graded seats course pivo'!$A:AE,HLOOKUP('[1]Course Totals'!G$4,'[1]import graded seats course pivo'!$1:$2,2,FALSE),FALSE))),"")</f>
        <v>0.97058823529411764</v>
      </c>
      <c r="H591" s="14" t="str">
        <f>IFERROR((VLOOKUP($A591,'[1]import success seats course'!$A:V,HLOOKUP('[1]Course Totals'!H$4,'[1]import success seats course'!$1:$2,2,FALSE),FALSE)/(VLOOKUP($A591,'[1]import graded seats course pivo'!$A:AF,HLOOKUP('[1]Course Totals'!H$4,'[1]import graded seats course pivo'!$1:$2,2,FALSE),FALSE))),"")</f>
        <v/>
      </c>
      <c r="I591" s="14">
        <f>IFERROR((VLOOKUP($A591,'[1]import success seats course'!$A:W,HLOOKUP('[1]Course Totals'!I$4,'[1]import success seats course'!$1:$2,2,FALSE),FALSE)/(VLOOKUP($A591,'[1]import graded seats course pivo'!$A:AG,HLOOKUP('[1]Course Totals'!I$4,'[1]import graded seats course pivo'!$1:$2,2,FALSE),FALSE))),"")</f>
        <v>0.88461538461538458</v>
      </c>
      <c r="J591" s="14" t="str">
        <f>IFERROR((VLOOKUP($A591,'[1]import success seats course'!$A:X,HLOOKUP('[1]Course Totals'!J$4,'[1]import success seats course'!$1:$2,2,FALSE),FALSE)/(VLOOKUP($A591,'[1]import graded seats course pivo'!$A:AH,HLOOKUP('[1]Course Totals'!J$4,'[1]import graded seats course pivo'!$1:$2,2,FALSE),FALSE))),"")</f>
        <v/>
      </c>
      <c r="K591" s="14" t="str">
        <f>IFERROR((VLOOKUP($A591,'[1]import success seats course'!$A:Y,HLOOKUP('[1]Course Totals'!K$4,'[1]import success seats course'!$1:$2,2,FALSE),FALSE)/(VLOOKUP($A591,'[1]import graded seats course pivo'!$A:AI,HLOOKUP('[1]Course Totals'!K$4,'[1]import graded seats course pivo'!$1:$2,2,FALSE),FALSE))),"")</f>
        <v/>
      </c>
      <c r="L591" s="14">
        <f>IFERROR((VLOOKUP($A591,'[1]import success seats course'!$A:Z,HLOOKUP('[1]Course Totals'!L$4,'[1]import success seats course'!$1:$2,2,FALSE),FALSE)/(VLOOKUP($A591,'[1]import graded seats course pivo'!$A:AJ,HLOOKUP('[1]Course Totals'!L$4,'[1]import graded seats course pivo'!$1:$2,2,FALSE),FALSE))),"")</f>
        <v>0.95</v>
      </c>
      <c r="M591" s="14" t="str">
        <f>IFERROR((VLOOKUP($A591,'[1]import success seats course'!$A:AA,HLOOKUP('[1]Course Totals'!M$4,'[1]import success seats course'!$1:$2,2,FALSE),FALSE)/(VLOOKUP($A591,'[1]import graded seats course pivo'!$A:AK,HLOOKUP('[1]Course Totals'!M$4,'[1]import graded seats course pivo'!$1:$2,2,FALSE),FALSE))),"")</f>
        <v/>
      </c>
      <c r="N591" s="14" t="str">
        <f>IFERROR((VLOOKUP($A591,'[1]import success seats course'!$A:AB,HLOOKUP('[1]Course Totals'!N$4,'[1]import success seats course'!$1:$2,2,FALSE),FALSE)/(VLOOKUP($A591,'[1]import graded seats course pivo'!$A:AL,HLOOKUP('[1]Course Totals'!N$4,'[1]import graded seats course pivo'!$1:$2,2,FALSE),FALSE))),"")</f>
        <v/>
      </c>
      <c r="O591" s="14" t="str">
        <f>IFERROR((VLOOKUP($A591,'[1]import success seats course'!$A:AC,HLOOKUP('[1]Course Totals'!O$4,'[1]import success seats course'!$1:$2,2,FALSE),FALSE)/(VLOOKUP($A591,'[1]import graded seats course pivo'!$A:AM,HLOOKUP('[1]Course Totals'!O$4,'[1]import graded seats course pivo'!$1:$2,2,FALSE),FALSE))),"")</f>
        <v/>
      </c>
      <c r="P591" s="14">
        <f>IFERROR((VLOOKUP($A591,'[1]import success seats course'!$A:AD,HLOOKUP('[1]Course Totals'!P$4,'[1]import success seats course'!$1:$2,2,FALSE),FALSE)/(VLOOKUP($A591,'[1]import graded seats course pivo'!$A:AN,HLOOKUP('[1]Course Totals'!P$4,'[1]import graded seats course pivo'!$1:$2,2,FALSE),FALSE))),"")</f>
        <v>0.93023255813953487</v>
      </c>
      <c r="Q591" s="14" t="str">
        <f>IFERROR((VLOOKUP($A591,'[1]import success seats course'!$A:AE,HLOOKUP('[1]Course Totals'!Q$4,'[1]import success seats course'!$1:$2,2,FALSE),FALSE)/(VLOOKUP($A591,'[1]import graded seats course pivo'!$A:AO,HLOOKUP('[1]Course Totals'!Q$4,'[1]import graded seats course pivo'!$1:$2,2,FALSE),FALSE))),"")</f>
        <v/>
      </c>
      <c r="R591" s="14" t="str">
        <f>IFERROR((VLOOKUP($A591,'[1]import success seats course'!$A:AF,HLOOKUP('[1]Course Totals'!R$4,'[1]import success seats course'!$1:$2,2,FALSE),FALSE)/(VLOOKUP($A591,'[1]import graded seats course pivo'!$A:AP,HLOOKUP('[1]Course Totals'!R$4,'[1]import graded seats course pivo'!$1:$2,2,FALSE),FALSE))),"")</f>
        <v/>
      </c>
      <c r="S591" s="14" t="str">
        <f>IFERROR((VLOOKUP($A591,'[1]import success seats course'!$A:AG,HLOOKUP('[1]Course Totals'!S$4,'[1]import success seats course'!$1:$2,2,FALSE),FALSE)/(VLOOKUP($A591,'[1]import graded seats course pivo'!$A:AQ,HLOOKUP('[1]Course Totals'!S$4,'[1]import graded seats course pivo'!$1:$2,2,FALSE),FALSE))),"")</f>
        <v/>
      </c>
      <c r="Z591" s="7"/>
      <c r="AA591" s="7"/>
      <c r="AB591" s="7"/>
      <c r="AC591" s="7"/>
    </row>
    <row r="592" spans="1:29" ht="15.75" customHeight="1" x14ac:dyDescent="0.25">
      <c r="A592" s="12" t="s">
        <v>277</v>
      </c>
      <c r="B592" s="14" t="str">
        <f>IFERROR((VLOOKUP($A592,'[1]import success seats course'!$A:P,HLOOKUP('[1]Course Totals'!B$4,'[1]import success seats course'!$1:$2,2,FALSE),FALSE)/(VLOOKUP($A592,'[1]import graded seats course pivo'!$A:Z,HLOOKUP('[1]Course Totals'!B$4,'[1]import graded seats course pivo'!$1:$2,2,FALSE),FALSE))),"")</f>
        <v/>
      </c>
      <c r="C592" s="14">
        <f>IFERROR((VLOOKUP($A592,'[1]import success seats course'!$A:Q,HLOOKUP('[1]Course Totals'!C$4,'[1]import success seats course'!$1:$2,2,FALSE),FALSE)/(VLOOKUP($A592,'[1]import graded seats course pivo'!$A:AA,HLOOKUP('[1]Course Totals'!C$4,'[1]import graded seats course pivo'!$1:$2,2,FALSE),FALSE))),"")</f>
        <v>0.5</v>
      </c>
      <c r="D592" s="14">
        <f>IFERROR((VLOOKUP($A592,'[1]import success seats course'!$A:R,HLOOKUP('[1]Course Totals'!D$4,'[1]import success seats course'!$1:$2,2,FALSE),FALSE)/(VLOOKUP($A592,'[1]import graded seats course pivo'!$A:AB,HLOOKUP('[1]Course Totals'!D$4,'[1]import graded seats course pivo'!$1:$2,2,FALSE),FALSE))),"")</f>
        <v>0.46153846153846156</v>
      </c>
      <c r="E592" s="14" t="str">
        <f>IFERROR((VLOOKUP($A592,'[1]import success seats course'!$A:S,HLOOKUP('[1]Course Totals'!E$4,'[1]import success seats course'!$1:$2,2,FALSE),FALSE)/(VLOOKUP($A592,'[1]import graded seats course pivo'!$A:AC,HLOOKUP('[1]Course Totals'!E$4,'[1]import graded seats course pivo'!$1:$2,2,FALSE),FALSE))),"")</f>
        <v/>
      </c>
      <c r="F592" s="14">
        <f>IFERROR((VLOOKUP($A592,'[1]import success seats course'!$A:T,HLOOKUP('[1]Course Totals'!F$4,'[1]import success seats course'!$1:$2,2,FALSE),FALSE)/(VLOOKUP($A592,'[1]import graded seats course pivo'!$A:AD,HLOOKUP('[1]Course Totals'!F$4,'[1]import graded seats course pivo'!$1:$2,2,FALSE),FALSE))),"")</f>
        <v>0.91666666666666663</v>
      </c>
      <c r="G592" s="14">
        <f>IFERROR((VLOOKUP($A592,'[1]import success seats course'!$A:U,HLOOKUP('[1]Course Totals'!G$4,'[1]import success seats course'!$1:$2,2,FALSE),FALSE)/(VLOOKUP($A592,'[1]import graded seats course pivo'!$A:AE,HLOOKUP('[1]Course Totals'!G$4,'[1]import graded seats course pivo'!$1:$2,2,FALSE),FALSE))),"")</f>
        <v>0.84</v>
      </c>
      <c r="H592" s="14" t="str">
        <f>IFERROR((VLOOKUP($A592,'[1]import success seats course'!$A:V,HLOOKUP('[1]Course Totals'!H$4,'[1]import success seats course'!$1:$2,2,FALSE),FALSE)/(VLOOKUP($A592,'[1]import graded seats course pivo'!$A:AF,HLOOKUP('[1]Course Totals'!H$4,'[1]import graded seats course pivo'!$1:$2,2,FALSE),FALSE))),"")</f>
        <v/>
      </c>
      <c r="I592" s="14">
        <f>IFERROR((VLOOKUP($A592,'[1]import success seats course'!$A:W,HLOOKUP('[1]Course Totals'!I$4,'[1]import success seats course'!$1:$2,2,FALSE),FALSE)/(VLOOKUP($A592,'[1]import graded seats course pivo'!$A:AG,HLOOKUP('[1]Course Totals'!I$4,'[1]import graded seats course pivo'!$1:$2,2,FALSE),FALSE))),"")</f>
        <v>0.81818181818181823</v>
      </c>
      <c r="J592" s="14">
        <f>IFERROR((VLOOKUP($A592,'[1]import success seats course'!$A:X,HLOOKUP('[1]Course Totals'!J$4,'[1]import success seats course'!$1:$2,2,FALSE),FALSE)/(VLOOKUP($A592,'[1]import graded seats course pivo'!$A:AH,HLOOKUP('[1]Course Totals'!J$4,'[1]import graded seats course pivo'!$1:$2,2,FALSE),FALSE))),"")</f>
        <v>0.6</v>
      </c>
      <c r="K592" s="14" t="str">
        <f>IFERROR((VLOOKUP($A592,'[1]import success seats course'!$A:Y,HLOOKUP('[1]Course Totals'!K$4,'[1]import success seats course'!$1:$2,2,FALSE),FALSE)/(VLOOKUP($A592,'[1]import graded seats course pivo'!$A:AI,HLOOKUP('[1]Course Totals'!K$4,'[1]import graded seats course pivo'!$1:$2,2,FALSE),FALSE))),"")</f>
        <v/>
      </c>
      <c r="L592" s="14">
        <f>IFERROR((VLOOKUP($A592,'[1]import success seats course'!$A:Z,HLOOKUP('[1]Course Totals'!L$4,'[1]import success seats course'!$1:$2,2,FALSE),FALSE)/(VLOOKUP($A592,'[1]import graded seats course pivo'!$A:AJ,HLOOKUP('[1]Course Totals'!L$4,'[1]import graded seats course pivo'!$1:$2,2,FALSE),FALSE))),"")</f>
        <v>0.9375</v>
      </c>
      <c r="M592" s="14">
        <f>IFERROR((VLOOKUP($A592,'[1]import success seats course'!$A:AA,HLOOKUP('[1]Course Totals'!M$4,'[1]import success seats course'!$1:$2,2,FALSE),FALSE)/(VLOOKUP($A592,'[1]import graded seats course pivo'!$A:AK,HLOOKUP('[1]Course Totals'!M$4,'[1]import graded seats course pivo'!$1:$2,2,FALSE),FALSE))),"")</f>
        <v>0.88888888888888884</v>
      </c>
      <c r="N592" s="14" t="str">
        <f>IFERROR((VLOOKUP($A592,'[1]import success seats course'!$A:AB,HLOOKUP('[1]Course Totals'!N$4,'[1]import success seats course'!$1:$2,2,FALSE),FALSE)/(VLOOKUP($A592,'[1]import graded seats course pivo'!$A:AL,HLOOKUP('[1]Course Totals'!N$4,'[1]import graded seats course pivo'!$1:$2,2,FALSE),FALSE))),"")</f>
        <v/>
      </c>
      <c r="O592" s="14">
        <f>IFERROR((VLOOKUP($A592,'[1]import success seats course'!$A:AC,HLOOKUP('[1]Course Totals'!O$4,'[1]import success seats course'!$1:$2,2,FALSE),FALSE)/(VLOOKUP($A592,'[1]import graded seats course pivo'!$A:AM,HLOOKUP('[1]Course Totals'!O$4,'[1]import graded seats course pivo'!$1:$2,2,FALSE),FALSE))),"")</f>
        <v>0.77419354838709675</v>
      </c>
      <c r="P592" s="14">
        <f>IFERROR((VLOOKUP($A592,'[1]import success seats course'!$A:AD,HLOOKUP('[1]Course Totals'!P$4,'[1]import success seats course'!$1:$2,2,FALSE),FALSE)/(VLOOKUP($A592,'[1]import graded seats course pivo'!$A:AN,HLOOKUP('[1]Course Totals'!P$4,'[1]import graded seats course pivo'!$1:$2,2,FALSE),FALSE))),"")</f>
        <v>0.6875</v>
      </c>
      <c r="Q592" s="14" t="str">
        <f>IFERROR((VLOOKUP($A592,'[1]import success seats course'!$A:AE,HLOOKUP('[1]Course Totals'!Q$4,'[1]import success seats course'!$1:$2,2,FALSE),FALSE)/(VLOOKUP($A592,'[1]import graded seats course pivo'!$A:AO,HLOOKUP('[1]Course Totals'!Q$4,'[1]import graded seats course pivo'!$1:$2,2,FALSE),FALSE))),"")</f>
        <v/>
      </c>
      <c r="R592" s="14">
        <f>IFERROR((VLOOKUP($A592,'[1]import success seats course'!$A:AF,HLOOKUP('[1]Course Totals'!R$4,'[1]import success seats course'!$1:$2,2,FALSE),FALSE)/(VLOOKUP($A592,'[1]import graded seats course pivo'!$A:AP,HLOOKUP('[1]Course Totals'!R$4,'[1]import graded seats course pivo'!$1:$2,2,FALSE),FALSE))),"")</f>
        <v>0.88888888888888884</v>
      </c>
      <c r="S592" s="14">
        <f>IFERROR((VLOOKUP($A592,'[1]import success seats course'!$A:AG,HLOOKUP('[1]Course Totals'!S$4,'[1]import success seats course'!$1:$2,2,FALSE),FALSE)/(VLOOKUP($A592,'[1]import graded seats course pivo'!$A:AQ,HLOOKUP('[1]Course Totals'!S$4,'[1]import graded seats course pivo'!$1:$2,2,FALSE),FALSE))),"")</f>
        <v>1</v>
      </c>
      <c r="Z592" s="7"/>
      <c r="AA592" s="7"/>
      <c r="AB592" s="7"/>
      <c r="AC592" s="7"/>
    </row>
    <row r="593" spans="1:29" ht="15.75" hidden="1" customHeight="1" x14ac:dyDescent="0.25">
      <c r="A593" s="12" t="s">
        <v>914</v>
      </c>
      <c r="B593" s="14" t="str">
        <f>IFERROR((VLOOKUP($A593,'[1]import success seats course'!$A:P,HLOOKUP('[1]Course Totals'!B$4,'[1]import success seats course'!$1:$2,2,FALSE),FALSE)/(VLOOKUP($A593,'[1]import graded seats course pivo'!$A:Z,HLOOKUP('[1]Course Totals'!B$4,'[1]import graded seats course pivo'!$1:$2,2,FALSE),FALSE))),"")</f>
        <v/>
      </c>
      <c r="C593" s="14" t="str">
        <f>IFERROR((VLOOKUP($A593,'[1]import success seats course'!$A:Q,HLOOKUP('[1]Course Totals'!C$4,'[1]import success seats course'!$1:$2,2,FALSE),FALSE)/(VLOOKUP($A593,'[1]import graded seats course pivo'!$A:AA,HLOOKUP('[1]Course Totals'!C$4,'[1]import graded seats course pivo'!$1:$2,2,FALSE),FALSE))),"")</f>
        <v/>
      </c>
      <c r="D593" s="14" t="str">
        <f>IFERROR((VLOOKUP($A593,'[1]import success seats course'!$A:R,HLOOKUP('[1]Course Totals'!D$4,'[1]import success seats course'!$1:$2,2,FALSE),FALSE)/(VLOOKUP($A593,'[1]import graded seats course pivo'!$A:AB,HLOOKUP('[1]Course Totals'!D$4,'[1]import graded seats course pivo'!$1:$2,2,FALSE),FALSE))),"")</f>
        <v/>
      </c>
      <c r="E593" s="14" t="str">
        <f>IFERROR((VLOOKUP($A593,'[1]import success seats course'!$A:S,HLOOKUP('[1]Course Totals'!E$4,'[1]import success seats course'!$1:$2,2,FALSE),FALSE)/(VLOOKUP($A593,'[1]import graded seats course pivo'!$A:AC,HLOOKUP('[1]Course Totals'!E$4,'[1]import graded seats course pivo'!$1:$2,2,FALSE),FALSE))),"")</f>
        <v/>
      </c>
      <c r="F593" s="14" t="str">
        <f>IFERROR((VLOOKUP($A593,'[1]import success seats course'!$A:T,HLOOKUP('[1]Course Totals'!F$4,'[1]import success seats course'!$1:$2,2,FALSE),FALSE)/(VLOOKUP($A593,'[1]import graded seats course pivo'!$A:AD,HLOOKUP('[1]Course Totals'!F$4,'[1]import graded seats course pivo'!$1:$2,2,FALSE),FALSE))),"")</f>
        <v/>
      </c>
      <c r="G593" s="14" t="str">
        <f>IFERROR((VLOOKUP($A593,'[1]import success seats course'!$A:U,HLOOKUP('[1]Course Totals'!G$4,'[1]import success seats course'!$1:$2,2,FALSE),FALSE)/(VLOOKUP($A593,'[1]import graded seats course pivo'!$A:AE,HLOOKUP('[1]Course Totals'!G$4,'[1]import graded seats course pivo'!$1:$2,2,FALSE),FALSE))),"")</f>
        <v/>
      </c>
      <c r="H593" s="14" t="str">
        <f>IFERROR((VLOOKUP($A593,'[1]import success seats course'!$A:V,HLOOKUP('[1]Course Totals'!H$4,'[1]import success seats course'!$1:$2,2,FALSE),FALSE)/(VLOOKUP($A593,'[1]import graded seats course pivo'!$A:AF,HLOOKUP('[1]Course Totals'!H$4,'[1]import graded seats course pivo'!$1:$2,2,FALSE),FALSE))),"")</f>
        <v/>
      </c>
      <c r="I593" s="14" t="str">
        <f>IFERROR((VLOOKUP($A593,'[1]import success seats course'!$A:W,HLOOKUP('[1]Course Totals'!I$4,'[1]import success seats course'!$1:$2,2,FALSE),FALSE)/(VLOOKUP($A593,'[1]import graded seats course pivo'!$A:AG,HLOOKUP('[1]Course Totals'!I$4,'[1]import graded seats course pivo'!$1:$2,2,FALSE),FALSE))),"")</f>
        <v/>
      </c>
      <c r="J593" s="14" t="str">
        <f>IFERROR((VLOOKUP($A593,'[1]import success seats course'!$A:X,HLOOKUP('[1]Course Totals'!J$4,'[1]import success seats course'!$1:$2,2,FALSE),FALSE)/(VLOOKUP($A593,'[1]import graded seats course pivo'!$A:AH,HLOOKUP('[1]Course Totals'!J$4,'[1]import graded seats course pivo'!$1:$2,2,FALSE),FALSE))),"")</f>
        <v/>
      </c>
      <c r="K593" s="14" t="str">
        <f>IFERROR((VLOOKUP($A593,'[1]import success seats course'!$A:Y,HLOOKUP('[1]Course Totals'!K$4,'[1]import success seats course'!$1:$2,2,FALSE),FALSE)/(VLOOKUP($A593,'[1]import graded seats course pivo'!$A:AI,HLOOKUP('[1]Course Totals'!K$4,'[1]import graded seats course pivo'!$1:$2,2,FALSE),FALSE))),"")</f>
        <v/>
      </c>
      <c r="L593" s="14" t="str">
        <f>IFERROR((VLOOKUP($A593,'[1]import success seats course'!$A:Z,HLOOKUP('[1]Course Totals'!L$4,'[1]import success seats course'!$1:$2,2,FALSE),FALSE)/(VLOOKUP($A593,'[1]import graded seats course pivo'!$A:AJ,HLOOKUP('[1]Course Totals'!L$4,'[1]import graded seats course pivo'!$1:$2,2,FALSE),FALSE))),"")</f>
        <v/>
      </c>
      <c r="M593" s="14" t="str">
        <f>IFERROR((VLOOKUP($A593,'[1]import success seats course'!$A:AA,HLOOKUP('[1]Course Totals'!M$4,'[1]import success seats course'!$1:$2,2,FALSE),FALSE)/(VLOOKUP($A593,'[1]import graded seats course pivo'!$A:AK,HLOOKUP('[1]Course Totals'!M$4,'[1]import graded seats course pivo'!$1:$2,2,FALSE),FALSE))),"")</f>
        <v/>
      </c>
      <c r="N593" s="14" t="str">
        <f>IFERROR((VLOOKUP($A593,'[1]import success seats course'!$A:AB,HLOOKUP('[1]Course Totals'!N$4,'[1]import success seats course'!$1:$2,2,FALSE),FALSE)/(VLOOKUP($A593,'[1]import graded seats course pivo'!$A:AL,HLOOKUP('[1]Course Totals'!N$4,'[1]import graded seats course pivo'!$1:$2,2,FALSE),FALSE))),"")</f>
        <v/>
      </c>
      <c r="O593" s="14" t="str">
        <f>IFERROR((VLOOKUP($A593,'[1]import success seats course'!$A:AC,HLOOKUP('[1]Course Totals'!O$4,'[1]import success seats course'!$1:$2,2,FALSE),FALSE)/(VLOOKUP($A593,'[1]import graded seats course pivo'!$A:AM,HLOOKUP('[1]Course Totals'!O$4,'[1]import graded seats course pivo'!$1:$2,2,FALSE),FALSE))),"")</f>
        <v/>
      </c>
      <c r="P593" s="14" t="str">
        <f>IFERROR((VLOOKUP($A593,'[1]import success seats course'!$A:AD,HLOOKUP('[1]Course Totals'!P$4,'[1]import success seats course'!$1:$2,2,FALSE),FALSE)/(VLOOKUP($A593,'[1]import graded seats course pivo'!$A:AN,HLOOKUP('[1]Course Totals'!P$4,'[1]import graded seats course pivo'!$1:$2,2,FALSE),FALSE))),"")</f>
        <v/>
      </c>
      <c r="Q593" s="14" t="str">
        <f>IFERROR((VLOOKUP($A593,'[1]import success seats course'!$A:AE,HLOOKUP('[1]Course Totals'!Q$4,'[1]import success seats course'!$1:$2,2,FALSE),FALSE)/(VLOOKUP($A593,'[1]import graded seats course pivo'!$A:AO,HLOOKUP('[1]Course Totals'!Q$4,'[1]import graded seats course pivo'!$1:$2,2,FALSE),FALSE))),"")</f>
        <v/>
      </c>
      <c r="R593" s="14" t="str">
        <f>IFERROR((VLOOKUP($A593,'[1]import success seats course'!$A:AF,HLOOKUP('[1]Course Totals'!R$4,'[1]import success seats course'!$1:$2,2,FALSE),FALSE)/(VLOOKUP($A593,'[1]import graded seats course pivo'!$A:AP,HLOOKUP('[1]Course Totals'!R$4,'[1]import graded seats course pivo'!$1:$2,2,FALSE),FALSE))),"")</f>
        <v/>
      </c>
      <c r="S593" s="14" t="str">
        <f>IFERROR((VLOOKUP($A593,'[1]import success seats course'!$A:AG,HLOOKUP('[1]Course Totals'!S$4,'[1]import success seats course'!$1:$2,2,FALSE),FALSE)/(VLOOKUP($A593,'[1]import graded seats course pivo'!$A:AQ,HLOOKUP('[1]Course Totals'!S$4,'[1]import graded seats course pivo'!$1:$2,2,FALSE),FALSE))),"")</f>
        <v/>
      </c>
      <c r="Z593" s="7"/>
      <c r="AA593" s="7"/>
      <c r="AB593" s="7"/>
      <c r="AC593" s="7"/>
    </row>
    <row r="594" spans="1:29" ht="15.75" customHeight="1" x14ac:dyDescent="0.25">
      <c r="A594" s="12" t="s">
        <v>278</v>
      </c>
      <c r="B594" s="14" t="str">
        <f>IFERROR((VLOOKUP($A594,'[1]import success seats course'!$A:P,HLOOKUP('[1]Course Totals'!B$4,'[1]import success seats course'!$1:$2,2,FALSE),FALSE)/(VLOOKUP($A594,'[1]import graded seats course pivo'!$A:Z,HLOOKUP('[1]Course Totals'!B$4,'[1]import graded seats course pivo'!$1:$2,2,FALSE),FALSE))),"")</f>
        <v/>
      </c>
      <c r="C594" s="14">
        <f>IFERROR((VLOOKUP($A594,'[1]import success seats course'!$A:Q,HLOOKUP('[1]Course Totals'!C$4,'[1]import success seats course'!$1:$2,2,FALSE),FALSE)/(VLOOKUP($A594,'[1]import graded seats course pivo'!$A:AA,HLOOKUP('[1]Course Totals'!C$4,'[1]import graded seats course pivo'!$1:$2,2,FALSE),FALSE))),"")</f>
        <v>0.66666666666666663</v>
      </c>
      <c r="D594" s="14" t="str">
        <f>IFERROR((VLOOKUP($A594,'[1]import success seats course'!$A:R,HLOOKUP('[1]Course Totals'!D$4,'[1]import success seats course'!$1:$2,2,FALSE),FALSE)/(VLOOKUP($A594,'[1]import graded seats course pivo'!$A:AB,HLOOKUP('[1]Course Totals'!D$4,'[1]import graded seats course pivo'!$1:$2,2,FALSE),FALSE))),"")</f>
        <v/>
      </c>
      <c r="E594" s="14" t="str">
        <f>IFERROR((VLOOKUP($A594,'[1]import success seats course'!$A:S,HLOOKUP('[1]Course Totals'!E$4,'[1]import success seats course'!$1:$2,2,FALSE),FALSE)/(VLOOKUP($A594,'[1]import graded seats course pivo'!$A:AC,HLOOKUP('[1]Course Totals'!E$4,'[1]import graded seats course pivo'!$1:$2,2,FALSE),FALSE))),"")</f>
        <v/>
      </c>
      <c r="F594" s="14">
        <f>IFERROR((VLOOKUP($A594,'[1]import success seats course'!$A:T,HLOOKUP('[1]Course Totals'!F$4,'[1]import success seats course'!$1:$2,2,FALSE),FALSE)/(VLOOKUP($A594,'[1]import graded seats course pivo'!$A:AD,HLOOKUP('[1]Course Totals'!F$4,'[1]import graded seats course pivo'!$1:$2,2,FALSE),FALSE))),"")</f>
        <v>0.875</v>
      </c>
      <c r="G594" s="14">
        <f>IFERROR((VLOOKUP($A594,'[1]import success seats course'!$A:U,HLOOKUP('[1]Course Totals'!G$4,'[1]import success seats course'!$1:$2,2,FALSE),FALSE)/(VLOOKUP($A594,'[1]import graded seats course pivo'!$A:AE,HLOOKUP('[1]Course Totals'!G$4,'[1]import graded seats course pivo'!$1:$2,2,FALSE),FALSE))),"")</f>
        <v>1</v>
      </c>
      <c r="H594" s="14" t="str">
        <f>IFERROR((VLOOKUP($A594,'[1]import success seats course'!$A:V,HLOOKUP('[1]Course Totals'!H$4,'[1]import success seats course'!$1:$2,2,FALSE),FALSE)/(VLOOKUP($A594,'[1]import graded seats course pivo'!$A:AF,HLOOKUP('[1]Course Totals'!H$4,'[1]import graded seats course pivo'!$1:$2,2,FALSE),FALSE))),"")</f>
        <v/>
      </c>
      <c r="I594" s="14">
        <f>IFERROR((VLOOKUP($A594,'[1]import success seats course'!$A:W,HLOOKUP('[1]Course Totals'!I$4,'[1]import success seats course'!$1:$2,2,FALSE),FALSE)/(VLOOKUP($A594,'[1]import graded seats course pivo'!$A:AG,HLOOKUP('[1]Course Totals'!I$4,'[1]import graded seats course pivo'!$1:$2,2,FALSE),FALSE))),"")</f>
        <v>0.5</v>
      </c>
      <c r="J594" s="14">
        <f>IFERROR((VLOOKUP($A594,'[1]import success seats course'!$A:X,HLOOKUP('[1]Course Totals'!J$4,'[1]import success seats course'!$1:$2,2,FALSE),FALSE)/(VLOOKUP($A594,'[1]import graded seats course pivo'!$A:AH,HLOOKUP('[1]Course Totals'!J$4,'[1]import graded seats course pivo'!$1:$2,2,FALSE),FALSE))),"")</f>
        <v>0.93333333333333335</v>
      </c>
      <c r="K594" s="14" t="str">
        <f>IFERROR((VLOOKUP($A594,'[1]import success seats course'!$A:Y,HLOOKUP('[1]Course Totals'!K$4,'[1]import success seats course'!$1:$2,2,FALSE),FALSE)/(VLOOKUP($A594,'[1]import graded seats course pivo'!$A:AI,HLOOKUP('[1]Course Totals'!K$4,'[1]import graded seats course pivo'!$1:$2,2,FALSE),FALSE))),"")</f>
        <v/>
      </c>
      <c r="L594" s="14">
        <f>IFERROR((VLOOKUP($A594,'[1]import success seats course'!$A:Z,HLOOKUP('[1]Course Totals'!L$4,'[1]import success seats course'!$1:$2,2,FALSE),FALSE)/(VLOOKUP($A594,'[1]import graded seats course pivo'!$A:AJ,HLOOKUP('[1]Course Totals'!L$4,'[1]import graded seats course pivo'!$1:$2,2,FALSE),FALSE))),"")</f>
        <v>0.61538461538461542</v>
      </c>
      <c r="M594" s="14">
        <f>IFERROR((VLOOKUP($A594,'[1]import success seats course'!$A:AA,HLOOKUP('[1]Course Totals'!M$4,'[1]import success seats course'!$1:$2,2,FALSE),FALSE)/(VLOOKUP($A594,'[1]import graded seats course pivo'!$A:AK,HLOOKUP('[1]Course Totals'!M$4,'[1]import graded seats course pivo'!$1:$2,2,FALSE),FALSE))),"")</f>
        <v>1</v>
      </c>
      <c r="N594" s="14" t="str">
        <f>IFERROR((VLOOKUP($A594,'[1]import success seats course'!$A:AB,HLOOKUP('[1]Course Totals'!N$4,'[1]import success seats course'!$1:$2,2,FALSE),FALSE)/(VLOOKUP($A594,'[1]import graded seats course pivo'!$A:AL,HLOOKUP('[1]Course Totals'!N$4,'[1]import graded seats course pivo'!$1:$2,2,FALSE),FALSE))),"")</f>
        <v/>
      </c>
      <c r="O594" s="14" t="str">
        <f>IFERROR((VLOOKUP($A594,'[1]import success seats course'!$A:AC,HLOOKUP('[1]Course Totals'!O$4,'[1]import success seats course'!$1:$2,2,FALSE),FALSE)/(VLOOKUP($A594,'[1]import graded seats course pivo'!$A:AM,HLOOKUP('[1]Course Totals'!O$4,'[1]import graded seats course pivo'!$1:$2,2,FALSE),FALSE))),"")</f>
        <v/>
      </c>
      <c r="P594" s="14">
        <f>IFERROR((VLOOKUP($A594,'[1]import success seats course'!$A:AD,HLOOKUP('[1]Course Totals'!P$4,'[1]import success seats course'!$1:$2,2,FALSE),FALSE)/(VLOOKUP($A594,'[1]import graded seats course pivo'!$A:AN,HLOOKUP('[1]Course Totals'!P$4,'[1]import graded seats course pivo'!$1:$2,2,FALSE),FALSE))),"")</f>
        <v>0.88235294117647056</v>
      </c>
      <c r="Q594" s="14" t="str">
        <f>IFERROR((VLOOKUP($A594,'[1]import success seats course'!$A:AE,HLOOKUP('[1]Course Totals'!Q$4,'[1]import success seats course'!$1:$2,2,FALSE),FALSE)/(VLOOKUP($A594,'[1]import graded seats course pivo'!$A:AO,HLOOKUP('[1]Course Totals'!Q$4,'[1]import graded seats course pivo'!$1:$2,2,FALSE),FALSE))),"")</f>
        <v/>
      </c>
      <c r="R594" s="14" t="str">
        <f>IFERROR((VLOOKUP($A594,'[1]import success seats course'!$A:AF,HLOOKUP('[1]Course Totals'!R$4,'[1]import success seats course'!$1:$2,2,FALSE),FALSE)/(VLOOKUP($A594,'[1]import graded seats course pivo'!$A:AP,HLOOKUP('[1]Course Totals'!R$4,'[1]import graded seats course pivo'!$1:$2,2,FALSE),FALSE))),"")</f>
        <v/>
      </c>
      <c r="S594" s="14">
        <f>IFERROR((VLOOKUP($A594,'[1]import success seats course'!$A:AG,HLOOKUP('[1]Course Totals'!S$4,'[1]import success seats course'!$1:$2,2,FALSE),FALSE)/(VLOOKUP($A594,'[1]import graded seats course pivo'!$A:AQ,HLOOKUP('[1]Course Totals'!S$4,'[1]import graded seats course pivo'!$1:$2,2,FALSE),FALSE))),"")</f>
        <v>0.91666666666666663</v>
      </c>
      <c r="Z594" s="7"/>
      <c r="AA594" s="7"/>
      <c r="AB594" s="7"/>
      <c r="AC594" s="7"/>
    </row>
    <row r="595" spans="1:29" ht="15.75" customHeight="1" x14ac:dyDescent="0.25">
      <c r="A595" s="12" t="s">
        <v>612</v>
      </c>
      <c r="B595" s="14" t="str">
        <f>IFERROR((VLOOKUP($A595,'[1]import success seats course'!$A:P,HLOOKUP('[1]Course Totals'!B$4,'[1]import success seats course'!$1:$2,2,FALSE),FALSE)/(VLOOKUP($A595,'[1]import graded seats course pivo'!$A:Z,HLOOKUP('[1]Course Totals'!B$4,'[1]import graded seats course pivo'!$1:$2,2,FALSE),FALSE))),"")</f>
        <v/>
      </c>
      <c r="C595" s="14" t="str">
        <f>IFERROR((VLOOKUP($A595,'[1]import success seats course'!$A:Q,HLOOKUP('[1]Course Totals'!C$4,'[1]import success seats course'!$1:$2,2,FALSE),FALSE)/(VLOOKUP($A595,'[1]import graded seats course pivo'!$A:AA,HLOOKUP('[1]Course Totals'!C$4,'[1]import graded seats course pivo'!$1:$2,2,FALSE),FALSE))),"")</f>
        <v/>
      </c>
      <c r="D595" s="14">
        <f>IFERROR((VLOOKUP($A595,'[1]import success seats course'!$A:R,HLOOKUP('[1]Course Totals'!D$4,'[1]import success seats course'!$1:$2,2,FALSE),FALSE)/(VLOOKUP($A595,'[1]import graded seats course pivo'!$A:AB,HLOOKUP('[1]Course Totals'!D$4,'[1]import graded seats course pivo'!$1:$2,2,FALSE),FALSE))),"")</f>
        <v>1</v>
      </c>
      <c r="E595" s="14" t="str">
        <f>IFERROR((VLOOKUP($A595,'[1]import success seats course'!$A:S,HLOOKUP('[1]Course Totals'!E$4,'[1]import success seats course'!$1:$2,2,FALSE),FALSE)/(VLOOKUP($A595,'[1]import graded seats course pivo'!$A:AC,HLOOKUP('[1]Course Totals'!E$4,'[1]import graded seats course pivo'!$1:$2,2,FALSE),FALSE))),"")</f>
        <v/>
      </c>
      <c r="F595" s="14">
        <f>IFERROR((VLOOKUP($A595,'[1]import success seats course'!$A:T,HLOOKUP('[1]Course Totals'!F$4,'[1]import success seats course'!$1:$2,2,FALSE),FALSE)/(VLOOKUP($A595,'[1]import graded seats course pivo'!$A:AD,HLOOKUP('[1]Course Totals'!F$4,'[1]import graded seats course pivo'!$1:$2,2,FALSE),FALSE))),"")</f>
        <v>1</v>
      </c>
      <c r="G595" s="14">
        <f>IFERROR((VLOOKUP($A595,'[1]import success seats course'!$A:U,HLOOKUP('[1]Course Totals'!G$4,'[1]import success seats course'!$1:$2,2,FALSE),FALSE)/(VLOOKUP($A595,'[1]import graded seats course pivo'!$A:AE,HLOOKUP('[1]Course Totals'!G$4,'[1]import graded seats course pivo'!$1:$2,2,FALSE),FALSE))),"")</f>
        <v>1</v>
      </c>
      <c r="H595" s="14" t="str">
        <f>IFERROR((VLOOKUP($A595,'[1]import success seats course'!$A:V,HLOOKUP('[1]Course Totals'!H$4,'[1]import success seats course'!$1:$2,2,FALSE),FALSE)/(VLOOKUP($A595,'[1]import graded seats course pivo'!$A:AF,HLOOKUP('[1]Course Totals'!H$4,'[1]import graded seats course pivo'!$1:$2,2,FALSE),FALSE))),"")</f>
        <v/>
      </c>
      <c r="I595" s="14">
        <f>IFERROR((VLOOKUP($A595,'[1]import success seats course'!$A:W,HLOOKUP('[1]Course Totals'!I$4,'[1]import success seats course'!$1:$2,2,FALSE),FALSE)/(VLOOKUP($A595,'[1]import graded seats course pivo'!$A:AG,HLOOKUP('[1]Course Totals'!I$4,'[1]import graded seats course pivo'!$1:$2,2,FALSE),FALSE))),"")</f>
        <v>1</v>
      </c>
      <c r="J595" s="14">
        <f>IFERROR((VLOOKUP($A595,'[1]import success seats course'!$A:X,HLOOKUP('[1]Course Totals'!J$4,'[1]import success seats course'!$1:$2,2,FALSE),FALSE)/(VLOOKUP($A595,'[1]import graded seats course pivo'!$A:AH,HLOOKUP('[1]Course Totals'!J$4,'[1]import graded seats course pivo'!$1:$2,2,FALSE),FALSE))),"")</f>
        <v>1</v>
      </c>
      <c r="K595" s="14" t="str">
        <f>IFERROR((VLOOKUP($A595,'[1]import success seats course'!$A:Y,HLOOKUP('[1]Course Totals'!K$4,'[1]import success seats course'!$1:$2,2,FALSE),FALSE)/(VLOOKUP($A595,'[1]import graded seats course pivo'!$A:AI,HLOOKUP('[1]Course Totals'!K$4,'[1]import graded seats course pivo'!$1:$2,2,FALSE),FALSE))),"")</f>
        <v/>
      </c>
      <c r="L595" s="14">
        <f>IFERROR((VLOOKUP($A595,'[1]import success seats course'!$A:Z,HLOOKUP('[1]Course Totals'!L$4,'[1]import success seats course'!$1:$2,2,FALSE),FALSE)/(VLOOKUP($A595,'[1]import graded seats course pivo'!$A:AJ,HLOOKUP('[1]Course Totals'!L$4,'[1]import graded seats course pivo'!$1:$2,2,FALSE),FALSE))),"")</f>
        <v>1</v>
      </c>
      <c r="M595" s="14" t="str">
        <f>IFERROR((VLOOKUP($A595,'[1]import success seats course'!$A:AA,HLOOKUP('[1]Course Totals'!M$4,'[1]import success seats course'!$1:$2,2,FALSE),FALSE)/(VLOOKUP($A595,'[1]import graded seats course pivo'!$A:AK,HLOOKUP('[1]Course Totals'!M$4,'[1]import graded seats course pivo'!$1:$2,2,FALSE),FALSE))),"")</f>
        <v/>
      </c>
      <c r="N595" s="14" t="str">
        <f>IFERROR((VLOOKUP($A595,'[1]import success seats course'!$A:AB,HLOOKUP('[1]Course Totals'!N$4,'[1]import success seats course'!$1:$2,2,FALSE),FALSE)/(VLOOKUP($A595,'[1]import graded seats course pivo'!$A:AL,HLOOKUP('[1]Course Totals'!N$4,'[1]import graded seats course pivo'!$1:$2,2,FALSE),FALSE))),"")</f>
        <v/>
      </c>
      <c r="O595" s="14" t="str">
        <f>IFERROR((VLOOKUP($A595,'[1]import success seats course'!$A:AC,HLOOKUP('[1]Course Totals'!O$4,'[1]import success seats course'!$1:$2,2,FALSE),FALSE)/(VLOOKUP($A595,'[1]import graded seats course pivo'!$A:AM,HLOOKUP('[1]Course Totals'!O$4,'[1]import graded seats course pivo'!$1:$2,2,FALSE),FALSE))),"")</f>
        <v/>
      </c>
      <c r="P595" s="14">
        <f>IFERROR((VLOOKUP($A595,'[1]import success seats course'!$A:AD,HLOOKUP('[1]Course Totals'!P$4,'[1]import success seats course'!$1:$2,2,FALSE),FALSE)/(VLOOKUP($A595,'[1]import graded seats course pivo'!$A:AN,HLOOKUP('[1]Course Totals'!P$4,'[1]import graded seats course pivo'!$1:$2,2,FALSE),FALSE))),"")</f>
        <v>1</v>
      </c>
      <c r="Q595" s="14" t="str">
        <f>IFERROR((VLOOKUP($A595,'[1]import success seats course'!$A:AE,HLOOKUP('[1]Course Totals'!Q$4,'[1]import success seats course'!$1:$2,2,FALSE),FALSE)/(VLOOKUP($A595,'[1]import graded seats course pivo'!$A:AO,HLOOKUP('[1]Course Totals'!Q$4,'[1]import graded seats course pivo'!$1:$2,2,FALSE),FALSE))),"")</f>
        <v/>
      </c>
      <c r="R595" s="14" t="str">
        <f>IFERROR((VLOOKUP($A595,'[1]import success seats course'!$A:AF,HLOOKUP('[1]Course Totals'!R$4,'[1]import success seats course'!$1:$2,2,FALSE),FALSE)/(VLOOKUP($A595,'[1]import graded seats course pivo'!$A:AP,HLOOKUP('[1]Course Totals'!R$4,'[1]import graded seats course pivo'!$1:$2,2,FALSE),FALSE))),"")</f>
        <v/>
      </c>
      <c r="S595" s="14">
        <f>IFERROR((VLOOKUP($A595,'[1]import success seats course'!$A:AG,HLOOKUP('[1]Course Totals'!S$4,'[1]import success seats course'!$1:$2,2,FALSE),FALSE)/(VLOOKUP($A595,'[1]import graded seats course pivo'!$A:AQ,HLOOKUP('[1]Course Totals'!S$4,'[1]import graded seats course pivo'!$1:$2,2,FALSE),FALSE))),"")</f>
        <v>1</v>
      </c>
      <c r="Z595" s="7"/>
      <c r="AA595" s="7"/>
      <c r="AB595" s="7"/>
      <c r="AC595" s="7"/>
    </row>
    <row r="596" spans="1:29" ht="15.75" customHeight="1" x14ac:dyDescent="0.25">
      <c r="A596" s="12" t="s">
        <v>990</v>
      </c>
      <c r="B596" s="14" t="str">
        <f>IFERROR((VLOOKUP($A596,'[1]import success seats course'!$A:P,HLOOKUP('[1]Course Totals'!B$4,'[1]import success seats course'!$1:$2,2,FALSE),FALSE)/(VLOOKUP($A596,'[1]import graded seats course pivo'!$A:Z,HLOOKUP('[1]Course Totals'!B$4,'[1]import graded seats course pivo'!$1:$2,2,FALSE),FALSE))),"")</f>
        <v/>
      </c>
      <c r="C596" s="14" t="str">
        <f>IFERROR((VLOOKUP($A596,'[1]import success seats course'!$A:Q,HLOOKUP('[1]Course Totals'!C$4,'[1]import success seats course'!$1:$2,2,FALSE),FALSE)/(VLOOKUP($A596,'[1]import graded seats course pivo'!$A:AA,HLOOKUP('[1]Course Totals'!C$4,'[1]import graded seats course pivo'!$1:$2,2,FALSE),FALSE))),"")</f>
        <v/>
      </c>
      <c r="D596" s="14" t="str">
        <f>IFERROR((VLOOKUP($A596,'[1]import success seats course'!$A:R,HLOOKUP('[1]Course Totals'!D$4,'[1]import success seats course'!$1:$2,2,FALSE),FALSE)/(VLOOKUP($A596,'[1]import graded seats course pivo'!$A:AB,HLOOKUP('[1]Course Totals'!D$4,'[1]import graded seats course pivo'!$1:$2,2,FALSE),FALSE))),"")</f>
        <v/>
      </c>
      <c r="E596" s="14" t="str">
        <f>IFERROR((VLOOKUP($A596,'[1]import success seats course'!$A:S,HLOOKUP('[1]Course Totals'!E$4,'[1]import success seats course'!$1:$2,2,FALSE),FALSE)/(VLOOKUP($A596,'[1]import graded seats course pivo'!$A:AC,HLOOKUP('[1]Course Totals'!E$4,'[1]import graded seats course pivo'!$1:$2,2,FALSE),FALSE))),"")</f>
        <v/>
      </c>
      <c r="F596" s="14" t="str">
        <f>IFERROR((VLOOKUP($A596,'[1]import success seats course'!$A:T,HLOOKUP('[1]Course Totals'!F$4,'[1]import success seats course'!$1:$2,2,FALSE),FALSE)/(VLOOKUP($A596,'[1]import graded seats course pivo'!$A:AD,HLOOKUP('[1]Course Totals'!F$4,'[1]import graded seats course pivo'!$1:$2,2,FALSE),FALSE))),"")</f>
        <v/>
      </c>
      <c r="G596" s="14">
        <f>IFERROR((VLOOKUP($A596,'[1]import success seats course'!$A:U,HLOOKUP('[1]Course Totals'!G$4,'[1]import success seats course'!$1:$2,2,FALSE),FALSE)/(VLOOKUP($A596,'[1]import graded seats course pivo'!$A:AE,HLOOKUP('[1]Course Totals'!G$4,'[1]import graded seats course pivo'!$1:$2,2,FALSE),FALSE))),"")</f>
        <v>0.92307692307692313</v>
      </c>
      <c r="H596" s="14" t="str">
        <f>IFERROR((VLOOKUP($A596,'[1]import success seats course'!$A:V,HLOOKUP('[1]Course Totals'!H$4,'[1]import success seats course'!$1:$2,2,FALSE),FALSE)/(VLOOKUP($A596,'[1]import graded seats course pivo'!$A:AF,HLOOKUP('[1]Course Totals'!H$4,'[1]import graded seats course pivo'!$1:$2,2,FALSE),FALSE))),"")</f>
        <v/>
      </c>
      <c r="I596" s="14" t="str">
        <f>IFERROR((VLOOKUP($A596,'[1]import success seats course'!$A:W,HLOOKUP('[1]Course Totals'!I$4,'[1]import success seats course'!$1:$2,2,FALSE),FALSE)/(VLOOKUP($A596,'[1]import graded seats course pivo'!$A:AG,HLOOKUP('[1]Course Totals'!I$4,'[1]import graded seats course pivo'!$1:$2,2,FALSE),FALSE))),"")</f>
        <v/>
      </c>
      <c r="J596" s="14">
        <f>IFERROR((VLOOKUP($A596,'[1]import success seats course'!$A:X,HLOOKUP('[1]Course Totals'!J$4,'[1]import success seats course'!$1:$2,2,FALSE),FALSE)/(VLOOKUP($A596,'[1]import graded seats course pivo'!$A:AH,HLOOKUP('[1]Course Totals'!J$4,'[1]import graded seats course pivo'!$1:$2,2,FALSE),FALSE))),"")</f>
        <v>0.7</v>
      </c>
      <c r="K596" s="14" t="str">
        <f>IFERROR((VLOOKUP($A596,'[1]import success seats course'!$A:Y,HLOOKUP('[1]Course Totals'!K$4,'[1]import success seats course'!$1:$2,2,FALSE),FALSE)/(VLOOKUP($A596,'[1]import graded seats course pivo'!$A:AI,HLOOKUP('[1]Course Totals'!K$4,'[1]import graded seats course pivo'!$1:$2,2,FALSE),FALSE))),"")</f>
        <v/>
      </c>
      <c r="L596" s="14" t="str">
        <f>IFERROR((VLOOKUP($A596,'[1]import success seats course'!$A:Z,HLOOKUP('[1]Course Totals'!L$4,'[1]import success seats course'!$1:$2,2,FALSE),FALSE)/(VLOOKUP($A596,'[1]import graded seats course pivo'!$A:AJ,HLOOKUP('[1]Course Totals'!L$4,'[1]import graded seats course pivo'!$1:$2,2,FALSE),FALSE))),"")</f>
        <v/>
      </c>
      <c r="M596" s="14">
        <f>IFERROR((VLOOKUP($A596,'[1]import success seats course'!$A:AA,HLOOKUP('[1]Course Totals'!M$4,'[1]import success seats course'!$1:$2,2,FALSE),FALSE)/(VLOOKUP($A596,'[1]import graded seats course pivo'!$A:AK,HLOOKUP('[1]Course Totals'!M$4,'[1]import graded seats course pivo'!$1:$2,2,FALSE),FALSE))),"")</f>
        <v>0.6428571428571429</v>
      </c>
      <c r="N596" s="14" t="str">
        <f>IFERROR((VLOOKUP($A596,'[1]import success seats course'!$A:AB,HLOOKUP('[1]Course Totals'!N$4,'[1]import success seats course'!$1:$2,2,FALSE),FALSE)/(VLOOKUP($A596,'[1]import graded seats course pivo'!$A:AL,HLOOKUP('[1]Course Totals'!N$4,'[1]import graded seats course pivo'!$1:$2,2,FALSE),FALSE))),"")</f>
        <v/>
      </c>
      <c r="O596" s="14" t="str">
        <f>IFERROR((VLOOKUP($A596,'[1]import success seats course'!$A:AC,HLOOKUP('[1]Course Totals'!O$4,'[1]import success seats course'!$1:$2,2,FALSE),FALSE)/(VLOOKUP($A596,'[1]import graded seats course pivo'!$A:AM,HLOOKUP('[1]Course Totals'!O$4,'[1]import graded seats course pivo'!$1:$2,2,FALSE),FALSE))),"")</f>
        <v/>
      </c>
      <c r="P596" s="14">
        <f>IFERROR((VLOOKUP($A596,'[1]import success seats course'!$A:AD,HLOOKUP('[1]Course Totals'!P$4,'[1]import success seats course'!$1:$2,2,FALSE),FALSE)/(VLOOKUP($A596,'[1]import graded seats course pivo'!$A:AN,HLOOKUP('[1]Course Totals'!P$4,'[1]import graded seats course pivo'!$1:$2,2,FALSE),FALSE))),"")</f>
        <v>0.84615384615384615</v>
      </c>
      <c r="Q596" s="14" t="str">
        <f>IFERROR((VLOOKUP($A596,'[1]import success seats course'!$A:AE,HLOOKUP('[1]Course Totals'!Q$4,'[1]import success seats course'!$1:$2,2,FALSE),FALSE)/(VLOOKUP($A596,'[1]import graded seats course pivo'!$A:AO,HLOOKUP('[1]Course Totals'!Q$4,'[1]import graded seats course pivo'!$1:$2,2,FALSE),FALSE))),"")</f>
        <v/>
      </c>
      <c r="R596" s="14" t="str">
        <f>IFERROR((VLOOKUP($A596,'[1]import success seats course'!$A:AF,HLOOKUP('[1]Course Totals'!R$4,'[1]import success seats course'!$1:$2,2,FALSE),FALSE)/(VLOOKUP($A596,'[1]import graded seats course pivo'!$A:AP,HLOOKUP('[1]Course Totals'!R$4,'[1]import graded seats course pivo'!$1:$2,2,FALSE),FALSE))),"")</f>
        <v/>
      </c>
      <c r="S596" s="14" t="str">
        <f>IFERROR((VLOOKUP($A596,'[1]import success seats course'!$A:AG,HLOOKUP('[1]Course Totals'!S$4,'[1]import success seats course'!$1:$2,2,FALSE),FALSE)/(VLOOKUP($A596,'[1]import graded seats course pivo'!$A:AQ,HLOOKUP('[1]Course Totals'!S$4,'[1]import graded seats course pivo'!$1:$2,2,FALSE),FALSE))),"")</f>
        <v/>
      </c>
      <c r="Z596" s="7"/>
      <c r="AA596" s="7"/>
      <c r="AB596" s="7"/>
      <c r="AC596" s="7"/>
    </row>
    <row r="597" spans="1:29" ht="15.75" customHeight="1" x14ac:dyDescent="0.25">
      <c r="A597" s="12" t="s">
        <v>844</v>
      </c>
      <c r="B597" s="14" t="str">
        <f>IFERROR((VLOOKUP($A597,'[1]import success seats course'!$A:P,HLOOKUP('[1]Course Totals'!B$4,'[1]import success seats course'!$1:$2,2,FALSE),FALSE)/(VLOOKUP($A597,'[1]import graded seats course pivo'!$A:Z,HLOOKUP('[1]Course Totals'!B$4,'[1]import graded seats course pivo'!$1:$2,2,FALSE),FALSE))),"")</f>
        <v/>
      </c>
      <c r="C597" s="14" t="str">
        <f>IFERROR((VLOOKUP($A597,'[1]import success seats course'!$A:Q,HLOOKUP('[1]Course Totals'!C$4,'[1]import success seats course'!$1:$2,2,FALSE),FALSE)/(VLOOKUP($A597,'[1]import graded seats course pivo'!$A:AA,HLOOKUP('[1]Course Totals'!C$4,'[1]import graded seats course pivo'!$1:$2,2,FALSE),FALSE))),"")</f>
        <v/>
      </c>
      <c r="D597" s="14">
        <f>IFERROR((VLOOKUP($A597,'[1]import success seats course'!$A:R,HLOOKUP('[1]Course Totals'!D$4,'[1]import success seats course'!$1:$2,2,FALSE),FALSE)/(VLOOKUP($A597,'[1]import graded seats course pivo'!$A:AB,HLOOKUP('[1]Course Totals'!D$4,'[1]import graded seats course pivo'!$1:$2,2,FALSE),FALSE))),"")</f>
        <v>0.83333333333333337</v>
      </c>
      <c r="E597" s="14" t="str">
        <f>IFERROR((VLOOKUP($A597,'[1]import success seats course'!$A:S,HLOOKUP('[1]Course Totals'!E$4,'[1]import success seats course'!$1:$2,2,FALSE),FALSE)/(VLOOKUP($A597,'[1]import graded seats course pivo'!$A:AC,HLOOKUP('[1]Course Totals'!E$4,'[1]import graded seats course pivo'!$1:$2,2,FALSE),FALSE))),"")</f>
        <v/>
      </c>
      <c r="F597" s="14" t="str">
        <f>IFERROR((VLOOKUP($A597,'[1]import success seats course'!$A:T,HLOOKUP('[1]Course Totals'!F$4,'[1]import success seats course'!$1:$2,2,FALSE),FALSE)/(VLOOKUP($A597,'[1]import graded seats course pivo'!$A:AD,HLOOKUP('[1]Course Totals'!F$4,'[1]import graded seats course pivo'!$1:$2,2,FALSE),FALSE))),"")</f>
        <v/>
      </c>
      <c r="G597" s="14" t="str">
        <f>IFERROR((VLOOKUP($A597,'[1]import success seats course'!$A:U,HLOOKUP('[1]Course Totals'!G$4,'[1]import success seats course'!$1:$2,2,FALSE),FALSE)/(VLOOKUP($A597,'[1]import graded seats course pivo'!$A:AE,HLOOKUP('[1]Course Totals'!G$4,'[1]import graded seats course pivo'!$1:$2,2,FALSE),FALSE))),"")</f>
        <v/>
      </c>
      <c r="H597" s="14" t="str">
        <f>IFERROR((VLOOKUP($A597,'[1]import success seats course'!$A:V,HLOOKUP('[1]Course Totals'!H$4,'[1]import success seats course'!$1:$2,2,FALSE),FALSE)/(VLOOKUP($A597,'[1]import graded seats course pivo'!$A:AF,HLOOKUP('[1]Course Totals'!H$4,'[1]import graded seats course pivo'!$1:$2,2,FALSE),FALSE))),"")</f>
        <v/>
      </c>
      <c r="I597" s="14" t="str">
        <f>IFERROR((VLOOKUP($A597,'[1]import success seats course'!$A:W,HLOOKUP('[1]Course Totals'!I$4,'[1]import success seats course'!$1:$2,2,FALSE),FALSE)/(VLOOKUP($A597,'[1]import graded seats course pivo'!$A:AG,HLOOKUP('[1]Course Totals'!I$4,'[1]import graded seats course pivo'!$1:$2,2,FALSE),FALSE))),"")</f>
        <v/>
      </c>
      <c r="J597" s="14">
        <f>IFERROR((VLOOKUP($A597,'[1]import success seats course'!$A:X,HLOOKUP('[1]Course Totals'!J$4,'[1]import success seats course'!$1:$2,2,FALSE),FALSE)/(VLOOKUP($A597,'[1]import graded seats course pivo'!$A:AH,HLOOKUP('[1]Course Totals'!J$4,'[1]import graded seats course pivo'!$1:$2,2,FALSE),FALSE))),"")</f>
        <v>0.72727272727272729</v>
      </c>
      <c r="K597" s="14" t="str">
        <f>IFERROR((VLOOKUP($A597,'[1]import success seats course'!$A:Y,HLOOKUP('[1]Course Totals'!K$4,'[1]import success seats course'!$1:$2,2,FALSE),FALSE)/(VLOOKUP($A597,'[1]import graded seats course pivo'!$A:AI,HLOOKUP('[1]Course Totals'!K$4,'[1]import graded seats course pivo'!$1:$2,2,FALSE),FALSE))),"")</f>
        <v/>
      </c>
      <c r="L597" s="14" t="str">
        <f>IFERROR((VLOOKUP($A597,'[1]import success seats course'!$A:Z,HLOOKUP('[1]Course Totals'!L$4,'[1]import success seats course'!$1:$2,2,FALSE),FALSE)/(VLOOKUP($A597,'[1]import graded seats course pivo'!$A:AJ,HLOOKUP('[1]Course Totals'!L$4,'[1]import graded seats course pivo'!$1:$2,2,FALSE),FALSE))),"")</f>
        <v/>
      </c>
      <c r="M597" s="14" t="str">
        <f>IFERROR((VLOOKUP($A597,'[1]import success seats course'!$A:AA,HLOOKUP('[1]Course Totals'!M$4,'[1]import success seats course'!$1:$2,2,FALSE),FALSE)/(VLOOKUP($A597,'[1]import graded seats course pivo'!$A:AK,HLOOKUP('[1]Course Totals'!M$4,'[1]import graded seats course pivo'!$1:$2,2,FALSE),FALSE))),"")</f>
        <v/>
      </c>
      <c r="N597" s="14" t="str">
        <f>IFERROR((VLOOKUP($A597,'[1]import success seats course'!$A:AB,HLOOKUP('[1]Course Totals'!N$4,'[1]import success seats course'!$1:$2,2,FALSE),FALSE)/(VLOOKUP($A597,'[1]import graded seats course pivo'!$A:AL,HLOOKUP('[1]Course Totals'!N$4,'[1]import graded seats course pivo'!$1:$2,2,FALSE),FALSE))),"")</f>
        <v/>
      </c>
      <c r="O597" s="14">
        <f>IFERROR((VLOOKUP($A597,'[1]import success seats course'!$A:AC,HLOOKUP('[1]Course Totals'!O$4,'[1]import success seats course'!$1:$2,2,FALSE),FALSE)/(VLOOKUP($A597,'[1]import graded seats course pivo'!$A:AM,HLOOKUP('[1]Course Totals'!O$4,'[1]import graded seats course pivo'!$1:$2,2,FALSE),FALSE))),"")</f>
        <v>0.75</v>
      </c>
      <c r="P597" s="14" t="str">
        <f>IFERROR((VLOOKUP($A597,'[1]import success seats course'!$A:AD,HLOOKUP('[1]Course Totals'!P$4,'[1]import success seats course'!$1:$2,2,FALSE),FALSE)/(VLOOKUP($A597,'[1]import graded seats course pivo'!$A:AN,HLOOKUP('[1]Course Totals'!P$4,'[1]import graded seats course pivo'!$1:$2,2,FALSE),FALSE))),"")</f>
        <v/>
      </c>
      <c r="Q597" s="14" t="str">
        <f>IFERROR((VLOOKUP($A597,'[1]import success seats course'!$A:AE,HLOOKUP('[1]Course Totals'!Q$4,'[1]import success seats course'!$1:$2,2,FALSE),FALSE)/(VLOOKUP($A597,'[1]import graded seats course pivo'!$A:AO,HLOOKUP('[1]Course Totals'!Q$4,'[1]import graded seats course pivo'!$1:$2,2,FALSE),FALSE))),"")</f>
        <v/>
      </c>
      <c r="R597" s="14" t="str">
        <f>IFERROR((VLOOKUP($A597,'[1]import success seats course'!$A:AF,HLOOKUP('[1]Course Totals'!R$4,'[1]import success seats course'!$1:$2,2,FALSE),FALSE)/(VLOOKUP($A597,'[1]import graded seats course pivo'!$A:AP,HLOOKUP('[1]Course Totals'!R$4,'[1]import graded seats course pivo'!$1:$2,2,FALSE),FALSE))),"")</f>
        <v/>
      </c>
      <c r="S597" s="14" t="str">
        <f>IFERROR((VLOOKUP($A597,'[1]import success seats course'!$A:AG,HLOOKUP('[1]Course Totals'!S$4,'[1]import success seats course'!$1:$2,2,FALSE),FALSE)/(VLOOKUP($A597,'[1]import graded seats course pivo'!$A:AQ,HLOOKUP('[1]Course Totals'!S$4,'[1]import graded seats course pivo'!$1:$2,2,FALSE),FALSE))),"")</f>
        <v/>
      </c>
      <c r="Z597" s="7"/>
      <c r="AA597" s="7"/>
      <c r="AB597" s="7"/>
      <c r="AC597" s="7"/>
    </row>
    <row r="598" spans="1:29" ht="15.75" customHeight="1" x14ac:dyDescent="0.25">
      <c r="A598" s="12" t="s">
        <v>613</v>
      </c>
      <c r="B598" s="14" t="str">
        <f>IFERROR((VLOOKUP($A598,'[1]import success seats course'!$A:P,HLOOKUP('[1]Course Totals'!B$4,'[1]import success seats course'!$1:$2,2,FALSE),FALSE)/(VLOOKUP($A598,'[1]import graded seats course pivo'!$A:Z,HLOOKUP('[1]Course Totals'!B$4,'[1]import graded seats course pivo'!$1:$2,2,FALSE),FALSE))),"")</f>
        <v/>
      </c>
      <c r="C598" s="14" t="str">
        <f>IFERROR((VLOOKUP($A598,'[1]import success seats course'!$A:Q,HLOOKUP('[1]Course Totals'!C$4,'[1]import success seats course'!$1:$2,2,FALSE),FALSE)/(VLOOKUP($A598,'[1]import graded seats course pivo'!$A:AA,HLOOKUP('[1]Course Totals'!C$4,'[1]import graded seats course pivo'!$1:$2,2,FALSE),FALSE))),"")</f>
        <v/>
      </c>
      <c r="D598" s="14" t="str">
        <f>IFERROR((VLOOKUP($A598,'[1]import success seats course'!$A:R,HLOOKUP('[1]Course Totals'!D$4,'[1]import success seats course'!$1:$2,2,FALSE),FALSE)/(VLOOKUP($A598,'[1]import graded seats course pivo'!$A:AB,HLOOKUP('[1]Course Totals'!D$4,'[1]import graded seats course pivo'!$1:$2,2,FALSE),FALSE))),"")</f>
        <v/>
      </c>
      <c r="E598" s="14" t="str">
        <f>IFERROR((VLOOKUP($A598,'[1]import success seats course'!$A:S,HLOOKUP('[1]Course Totals'!E$4,'[1]import success seats course'!$1:$2,2,FALSE),FALSE)/(VLOOKUP($A598,'[1]import graded seats course pivo'!$A:AC,HLOOKUP('[1]Course Totals'!E$4,'[1]import graded seats course pivo'!$1:$2,2,FALSE),FALSE))),"")</f>
        <v/>
      </c>
      <c r="F598" s="14">
        <f>IFERROR((VLOOKUP($A598,'[1]import success seats course'!$A:T,HLOOKUP('[1]Course Totals'!F$4,'[1]import success seats course'!$1:$2,2,FALSE),FALSE)/(VLOOKUP($A598,'[1]import graded seats course pivo'!$A:AD,HLOOKUP('[1]Course Totals'!F$4,'[1]import graded seats course pivo'!$1:$2,2,FALSE),FALSE))),"")</f>
        <v>1</v>
      </c>
      <c r="G598" s="14" t="str">
        <f>IFERROR((VLOOKUP($A598,'[1]import success seats course'!$A:U,HLOOKUP('[1]Course Totals'!G$4,'[1]import success seats course'!$1:$2,2,FALSE),FALSE)/(VLOOKUP($A598,'[1]import graded seats course pivo'!$A:AE,HLOOKUP('[1]Course Totals'!G$4,'[1]import graded seats course pivo'!$1:$2,2,FALSE),FALSE))),"")</f>
        <v/>
      </c>
      <c r="H598" s="14" t="str">
        <f>IFERROR((VLOOKUP($A598,'[1]import success seats course'!$A:V,HLOOKUP('[1]Course Totals'!H$4,'[1]import success seats course'!$1:$2,2,FALSE),FALSE)/(VLOOKUP($A598,'[1]import graded seats course pivo'!$A:AF,HLOOKUP('[1]Course Totals'!H$4,'[1]import graded seats course pivo'!$1:$2,2,FALSE),FALSE))),"")</f>
        <v/>
      </c>
      <c r="I598" s="14">
        <f>IFERROR((VLOOKUP($A598,'[1]import success seats course'!$A:W,HLOOKUP('[1]Course Totals'!I$4,'[1]import success seats course'!$1:$2,2,FALSE),FALSE)/(VLOOKUP($A598,'[1]import graded seats course pivo'!$A:AG,HLOOKUP('[1]Course Totals'!I$4,'[1]import graded seats course pivo'!$1:$2,2,FALSE),FALSE))),"")</f>
        <v>0.625</v>
      </c>
      <c r="J598" s="14" t="str">
        <f>IFERROR((VLOOKUP($A598,'[1]import success seats course'!$A:X,HLOOKUP('[1]Course Totals'!J$4,'[1]import success seats course'!$1:$2,2,FALSE),FALSE)/(VLOOKUP($A598,'[1]import graded seats course pivo'!$A:AH,HLOOKUP('[1]Course Totals'!J$4,'[1]import graded seats course pivo'!$1:$2,2,FALSE),FALSE))),"")</f>
        <v/>
      </c>
      <c r="K598" s="14" t="str">
        <f>IFERROR((VLOOKUP($A598,'[1]import success seats course'!$A:Y,HLOOKUP('[1]Course Totals'!K$4,'[1]import success seats course'!$1:$2,2,FALSE),FALSE)/(VLOOKUP($A598,'[1]import graded seats course pivo'!$A:AI,HLOOKUP('[1]Course Totals'!K$4,'[1]import graded seats course pivo'!$1:$2,2,FALSE),FALSE))),"")</f>
        <v/>
      </c>
      <c r="L598" s="14" t="str">
        <f>IFERROR((VLOOKUP($A598,'[1]import success seats course'!$A:Z,HLOOKUP('[1]Course Totals'!L$4,'[1]import success seats course'!$1:$2,2,FALSE),FALSE)/(VLOOKUP($A598,'[1]import graded seats course pivo'!$A:AJ,HLOOKUP('[1]Course Totals'!L$4,'[1]import graded seats course pivo'!$1:$2,2,FALSE),FALSE))),"")</f>
        <v/>
      </c>
      <c r="M598" s="14" t="str">
        <f>IFERROR((VLOOKUP($A598,'[1]import success seats course'!$A:AA,HLOOKUP('[1]Course Totals'!M$4,'[1]import success seats course'!$1:$2,2,FALSE),FALSE)/(VLOOKUP($A598,'[1]import graded seats course pivo'!$A:AK,HLOOKUP('[1]Course Totals'!M$4,'[1]import graded seats course pivo'!$1:$2,2,FALSE),FALSE))),"")</f>
        <v/>
      </c>
      <c r="N598" s="14" t="str">
        <f>IFERROR((VLOOKUP($A598,'[1]import success seats course'!$A:AB,HLOOKUP('[1]Course Totals'!N$4,'[1]import success seats course'!$1:$2,2,FALSE),FALSE)/(VLOOKUP($A598,'[1]import graded seats course pivo'!$A:AL,HLOOKUP('[1]Course Totals'!N$4,'[1]import graded seats course pivo'!$1:$2,2,FALSE),FALSE))),"")</f>
        <v/>
      </c>
      <c r="O598" s="14" t="str">
        <f>IFERROR((VLOOKUP($A598,'[1]import success seats course'!$A:AC,HLOOKUP('[1]Course Totals'!O$4,'[1]import success seats course'!$1:$2,2,FALSE),FALSE)/(VLOOKUP($A598,'[1]import graded seats course pivo'!$A:AM,HLOOKUP('[1]Course Totals'!O$4,'[1]import graded seats course pivo'!$1:$2,2,FALSE),FALSE))),"")</f>
        <v/>
      </c>
      <c r="P598" s="14" t="str">
        <f>IFERROR((VLOOKUP($A598,'[1]import success seats course'!$A:AD,HLOOKUP('[1]Course Totals'!P$4,'[1]import success seats course'!$1:$2,2,FALSE),FALSE)/(VLOOKUP($A598,'[1]import graded seats course pivo'!$A:AN,HLOOKUP('[1]Course Totals'!P$4,'[1]import graded seats course pivo'!$1:$2,2,FALSE),FALSE))),"")</f>
        <v/>
      </c>
      <c r="Q598" s="14" t="str">
        <f>IFERROR((VLOOKUP($A598,'[1]import success seats course'!$A:AE,HLOOKUP('[1]Course Totals'!Q$4,'[1]import success seats course'!$1:$2,2,FALSE),FALSE)/(VLOOKUP($A598,'[1]import graded seats course pivo'!$A:AO,HLOOKUP('[1]Course Totals'!Q$4,'[1]import graded seats course pivo'!$1:$2,2,FALSE),FALSE))),"")</f>
        <v/>
      </c>
      <c r="R598" s="14" t="str">
        <f>IFERROR((VLOOKUP($A598,'[1]import success seats course'!$A:AF,HLOOKUP('[1]Course Totals'!R$4,'[1]import success seats course'!$1:$2,2,FALSE),FALSE)/(VLOOKUP($A598,'[1]import graded seats course pivo'!$A:AP,HLOOKUP('[1]Course Totals'!R$4,'[1]import graded seats course pivo'!$1:$2,2,FALSE),FALSE))),"")</f>
        <v/>
      </c>
      <c r="S598" s="14" t="str">
        <f>IFERROR((VLOOKUP($A598,'[1]import success seats course'!$A:AG,HLOOKUP('[1]Course Totals'!S$4,'[1]import success seats course'!$1:$2,2,FALSE),FALSE)/(VLOOKUP($A598,'[1]import graded seats course pivo'!$A:AQ,HLOOKUP('[1]Course Totals'!S$4,'[1]import graded seats course pivo'!$1:$2,2,FALSE),FALSE))),"")</f>
        <v/>
      </c>
      <c r="Z598" s="7"/>
      <c r="AA598" s="7"/>
      <c r="AB598" s="7"/>
      <c r="AC598" s="7"/>
    </row>
    <row r="599" spans="1:29" ht="15.75" customHeight="1" x14ac:dyDescent="0.25">
      <c r="A599" s="12" t="s">
        <v>614</v>
      </c>
      <c r="B599" s="14" t="str">
        <f>IFERROR((VLOOKUP($A599,'[1]import success seats course'!$A:P,HLOOKUP('[1]Course Totals'!B$4,'[1]import success seats course'!$1:$2,2,FALSE),FALSE)/(VLOOKUP($A599,'[1]import graded seats course pivo'!$A:Z,HLOOKUP('[1]Course Totals'!B$4,'[1]import graded seats course pivo'!$1:$2,2,FALSE),FALSE))),"")</f>
        <v/>
      </c>
      <c r="C599" s="14" t="str">
        <f>IFERROR((VLOOKUP($A599,'[1]import success seats course'!$A:Q,HLOOKUP('[1]Course Totals'!C$4,'[1]import success seats course'!$1:$2,2,FALSE),FALSE)/(VLOOKUP($A599,'[1]import graded seats course pivo'!$A:AA,HLOOKUP('[1]Course Totals'!C$4,'[1]import graded seats course pivo'!$1:$2,2,FALSE),FALSE))),"")</f>
        <v/>
      </c>
      <c r="D599" s="14">
        <f>IFERROR((VLOOKUP($A599,'[1]import success seats course'!$A:R,HLOOKUP('[1]Course Totals'!D$4,'[1]import success seats course'!$1:$2,2,FALSE),FALSE)/(VLOOKUP($A599,'[1]import graded seats course pivo'!$A:AB,HLOOKUP('[1]Course Totals'!D$4,'[1]import graded seats course pivo'!$1:$2,2,FALSE),FALSE))),"")</f>
        <v>0.91666666666666663</v>
      </c>
      <c r="E599" s="14" t="str">
        <f>IFERROR((VLOOKUP($A599,'[1]import success seats course'!$A:S,HLOOKUP('[1]Course Totals'!E$4,'[1]import success seats course'!$1:$2,2,FALSE),FALSE)/(VLOOKUP($A599,'[1]import graded seats course pivo'!$A:AC,HLOOKUP('[1]Course Totals'!E$4,'[1]import graded seats course pivo'!$1:$2,2,FALSE),FALSE))),"")</f>
        <v/>
      </c>
      <c r="F599" s="14">
        <f>IFERROR((VLOOKUP($A599,'[1]import success seats course'!$A:T,HLOOKUP('[1]Course Totals'!F$4,'[1]import success seats course'!$1:$2,2,FALSE),FALSE)/(VLOOKUP($A599,'[1]import graded seats course pivo'!$A:AD,HLOOKUP('[1]Course Totals'!F$4,'[1]import graded seats course pivo'!$1:$2,2,FALSE),FALSE))),"")</f>
        <v>0.5714285714285714</v>
      </c>
      <c r="G599" s="14" t="str">
        <f>IFERROR((VLOOKUP($A599,'[1]import success seats course'!$A:U,HLOOKUP('[1]Course Totals'!G$4,'[1]import success seats course'!$1:$2,2,FALSE),FALSE)/(VLOOKUP($A599,'[1]import graded seats course pivo'!$A:AE,HLOOKUP('[1]Course Totals'!G$4,'[1]import graded seats course pivo'!$1:$2,2,FALSE),FALSE))),"")</f>
        <v/>
      </c>
      <c r="H599" s="14" t="str">
        <f>IFERROR((VLOOKUP($A599,'[1]import success seats course'!$A:V,HLOOKUP('[1]Course Totals'!H$4,'[1]import success seats course'!$1:$2,2,FALSE),FALSE)/(VLOOKUP($A599,'[1]import graded seats course pivo'!$A:AF,HLOOKUP('[1]Course Totals'!H$4,'[1]import graded seats course pivo'!$1:$2,2,FALSE),FALSE))),"")</f>
        <v/>
      </c>
      <c r="I599" s="14">
        <f>IFERROR((VLOOKUP($A599,'[1]import success seats course'!$A:W,HLOOKUP('[1]Course Totals'!I$4,'[1]import success seats course'!$1:$2,2,FALSE),FALSE)/(VLOOKUP($A599,'[1]import graded seats course pivo'!$A:AG,HLOOKUP('[1]Course Totals'!I$4,'[1]import graded seats course pivo'!$1:$2,2,FALSE),FALSE))),"")</f>
        <v>1</v>
      </c>
      <c r="J599" s="14" t="str">
        <f>IFERROR((VLOOKUP($A599,'[1]import success seats course'!$A:X,HLOOKUP('[1]Course Totals'!J$4,'[1]import success seats course'!$1:$2,2,FALSE),FALSE)/(VLOOKUP($A599,'[1]import graded seats course pivo'!$A:AH,HLOOKUP('[1]Course Totals'!J$4,'[1]import graded seats course pivo'!$1:$2,2,FALSE),FALSE))),"")</f>
        <v/>
      </c>
      <c r="K599" s="14" t="str">
        <f>IFERROR((VLOOKUP($A599,'[1]import success seats course'!$A:Y,HLOOKUP('[1]Course Totals'!K$4,'[1]import success seats course'!$1:$2,2,FALSE),FALSE)/(VLOOKUP($A599,'[1]import graded seats course pivo'!$A:AI,HLOOKUP('[1]Course Totals'!K$4,'[1]import graded seats course pivo'!$1:$2,2,FALSE),FALSE))),"")</f>
        <v/>
      </c>
      <c r="L599" s="14">
        <f>IFERROR((VLOOKUP($A599,'[1]import success seats course'!$A:Z,HLOOKUP('[1]Course Totals'!L$4,'[1]import success seats course'!$1:$2,2,FALSE),FALSE)/(VLOOKUP($A599,'[1]import graded seats course pivo'!$A:AJ,HLOOKUP('[1]Course Totals'!L$4,'[1]import graded seats course pivo'!$1:$2,2,FALSE),FALSE))),"")</f>
        <v>0.75</v>
      </c>
      <c r="M599" s="14" t="str">
        <f>IFERROR((VLOOKUP($A599,'[1]import success seats course'!$A:AA,HLOOKUP('[1]Course Totals'!M$4,'[1]import success seats course'!$1:$2,2,FALSE),FALSE)/(VLOOKUP($A599,'[1]import graded seats course pivo'!$A:AK,HLOOKUP('[1]Course Totals'!M$4,'[1]import graded seats course pivo'!$1:$2,2,FALSE),FALSE))),"")</f>
        <v/>
      </c>
      <c r="N599" s="14" t="str">
        <f>IFERROR((VLOOKUP($A599,'[1]import success seats course'!$A:AB,HLOOKUP('[1]Course Totals'!N$4,'[1]import success seats course'!$1:$2,2,FALSE),FALSE)/(VLOOKUP($A599,'[1]import graded seats course pivo'!$A:AL,HLOOKUP('[1]Course Totals'!N$4,'[1]import graded seats course pivo'!$1:$2,2,FALSE),FALSE))),"")</f>
        <v/>
      </c>
      <c r="O599" s="14" t="str">
        <f>IFERROR((VLOOKUP($A599,'[1]import success seats course'!$A:AC,HLOOKUP('[1]Course Totals'!O$4,'[1]import success seats course'!$1:$2,2,FALSE),FALSE)/(VLOOKUP($A599,'[1]import graded seats course pivo'!$A:AM,HLOOKUP('[1]Course Totals'!O$4,'[1]import graded seats course pivo'!$1:$2,2,FALSE),FALSE))),"")</f>
        <v/>
      </c>
      <c r="P599" s="14" t="str">
        <f>IFERROR((VLOOKUP($A599,'[1]import success seats course'!$A:AD,HLOOKUP('[1]Course Totals'!P$4,'[1]import success seats course'!$1:$2,2,FALSE),FALSE)/(VLOOKUP($A599,'[1]import graded seats course pivo'!$A:AN,HLOOKUP('[1]Course Totals'!P$4,'[1]import graded seats course pivo'!$1:$2,2,FALSE),FALSE))),"")</f>
        <v/>
      </c>
      <c r="Q599" s="14" t="str">
        <f>IFERROR((VLOOKUP($A599,'[1]import success seats course'!$A:AE,HLOOKUP('[1]Course Totals'!Q$4,'[1]import success seats course'!$1:$2,2,FALSE),FALSE)/(VLOOKUP($A599,'[1]import graded seats course pivo'!$A:AO,HLOOKUP('[1]Course Totals'!Q$4,'[1]import graded seats course pivo'!$1:$2,2,FALSE),FALSE))),"")</f>
        <v/>
      </c>
      <c r="R599" s="14">
        <f>IFERROR((VLOOKUP($A599,'[1]import success seats course'!$A:AF,HLOOKUP('[1]Course Totals'!R$4,'[1]import success seats course'!$1:$2,2,FALSE),FALSE)/(VLOOKUP($A599,'[1]import graded seats course pivo'!$A:AP,HLOOKUP('[1]Course Totals'!R$4,'[1]import graded seats course pivo'!$1:$2,2,FALSE),FALSE))),"")</f>
        <v>0</v>
      </c>
      <c r="S599" s="14" t="str">
        <f>IFERROR((VLOOKUP($A599,'[1]import success seats course'!$A:AG,HLOOKUP('[1]Course Totals'!S$4,'[1]import success seats course'!$1:$2,2,FALSE),FALSE)/(VLOOKUP($A599,'[1]import graded seats course pivo'!$A:AQ,HLOOKUP('[1]Course Totals'!S$4,'[1]import graded seats course pivo'!$1:$2,2,FALSE),FALSE))),"")</f>
        <v/>
      </c>
      <c r="Z599" s="7"/>
      <c r="AA599" s="7"/>
      <c r="AB599" s="7"/>
      <c r="AC599" s="7"/>
    </row>
    <row r="600" spans="1:29" ht="15.75" customHeight="1" x14ac:dyDescent="0.25">
      <c r="A600" s="12" t="s">
        <v>615</v>
      </c>
      <c r="B600" s="14" t="str">
        <f>IFERROR((VLOOKUP($A600,'[1]import success seats course'!$A:P,HLOOKUP('[1]Course Totals'!B$4,'[1]import success seats course'!$1:$2,2,FALSE),FALSE)/(VLOOKUP($A600,'[1]import graded seats course pivo'!$A:Z,HLOOKUP('[1]Course Totals'!B$4,'[1]import graded seats course pivo'!$1:$2,2,FALSE),FALSE))),"")</f>
        <v/>
      </c>
      <c r="C600" s="14" t="str">
        <f>IFERROR((VLOOKUP($A600,'[1]import success seats course'!$A:Q,HLOOKUP('[1]Course Totals'!C$4,'[1]import success seats course'!$1:$2,2,FALSE),FALSE)/(VLOOKUP($A600,'[1]import graded seats course pivo'!$A:AA,HLOOKUP('[1]Course Totals'!C$4,'[1]import graded seats course pivo'!$1:$2,2,FALSE),FALSE))),"")</f>
        <v/>
      </c>
      <c r="D600" s="14" t="str">
        <f>IFERROR((VLOOKUP($A600,'[1]import success seats course'!$A:R,HLOOKUP('[1]Course Totals'!D$4,'[1]import success seats course'!$1:$2,2,FALSE),FALSE)/(VLOOKUP($A600,'[1]import graded seats course pivo'!$A:AB,HLOOKUP('[1]Course Totals'!D$4,'[1]import graded seats course pivo'!$1:$2,2,FALSE),FALSE))),"")</f>
        <v/>
      </c>
      <c r="E600" s="14" t="str">
        <f>IFERROR((VLOOKUP($A600,'[1]import success seats course'!$A:S,HLOOKUP('[1]Course Totals'!E$4,'[1]import success seats course'!$1:$2,2,FALSE),FALSE)/(VLOOKUP($A600,'[1]import graded seats course pivo'!$A:AC,HLOOKUP('[1]Course Totals'!E$4,'[1]import graded seats course pivo'!$1:$2,2,FALSE),FALSE))),"")</f>
        <v/>
      </c>
      <c r="F600" s="14">
        <f>IFERROR((VLOOKUP($A600,'[1]import success seats course'!$A:T,HLOOKUP('[1]Course Totals'!F$4,'[1]import success seats course'!$1:$2,2,FALSE),FALSE)/(VLOOKUP($A600,'[1]import graded seats course pivo'!$A:AD,HLOOKUP('[1]Course Totals'!F$4,'[1]import graded seats course pivo'!$1:$2,2,FALSE),FALSE))),"")</f>
        <v>1</v>
      </c>
      <c r="G600" s="14" t="str">
        <f>IFERROR((VLOOKUP($A600,'[1]import success seats course'!$A:U,HLOOKUP('[1]Course Totals'!G$4,'[1]import success seats course'!$1:$2,2,FALSE),FALSE)/(VLOOKUP($A600,'[1]import graded seats course pivo'!$A:AE,HLOOKUP('[1]Course Totals'!G$4,'[1]import graded seats course pivo'!$1:$2,2,FALSE),FALSE))),"")</f>
        <v/>
      </c>
      <c r="H600" s="14" t="str">
        <f>IFERROR((VLOOKUP($A600,'[1]import success seats course'!$A:V,HLOOKUP('[1]Course Totals'!H$4,'[1]import success seats course'!$1:$2,2,FALSE),FALSE)/(VLOOKUP($A600,'[1]import graded seats course pivo'!$A:AF,HLOOKUP('[1]Course Totals'!H$4,'[1]import graded seats course pivo'!$1:$2,2,FALSE),FALSE))),"")</f>
        <v/>
      </c>
      <c r="I600" s="14" t="str">
        <f>IFERROR((VLOOKUP($A600,'[1]import success seats course'!$A:W,HLOOKUP('[1]Course Totals'!I$4,'[1]import success seats course'!$1:$2,2,FALSE),FALSE)/(VLOOKUP($A600,'[1]import graded seats course pivo'!$A:AG,HLOOKUP('[1]Course Totals'!I$4,'[1]import graded seats course pivo'!$1:$2,2,FALSE),FALSE))),"")</f>
        <v/>
      </c>
      <c r="J600" s="14" t="str">
        <f>IFERROR((VLOOKUP($A600,'[1]import success seats course'!$A:X,HLOOKUP('[1]Course Totals'!J$4,'[1]import success seats course'!$1:$2,2,FALSE),FALSE)/(VLOOKUP($A600,'[1]import graded seats course pivo'!$A:AH,HLOOKUP('[1]Course Totals'!J$4,'[1]import graded seats course pivo'!$1:$2,2,FALSE),FALSE))),"")</f>
        <v/>
      </c>
      <c r="K600" s="14" t="str">
        <f>IFERROR((VLOOKUP($A600,'[1]import success seats course'!$A:Y,HLOOKUP('[1]Course Totals'!K$4,'[1]import success seats course'!$1:$2,2,FALSE),FALSE)/(VLOOKUP($A600,'[1]import graded seats course pivo'!$A:AI,HLOOKUP('[1]Course Totals'!K$4,'[1]import graded seats course pivo'!$1:$2,2,FALSE),FALSE))),"")</f>
        <v/>
      </c>
      <c r="L600" s="14" t="str">
        <f>IFERROR((VLOOKUP($A600,'[1]import success seats course'!$A:Z,HLOOKUP('[1]Course Totals'!L$4,'[1]import success seats course'!$1:$2,2,FALSE),FALSE)/(VLOOKUP($A600,'[1]import graded seats course pivo'!$A:AJ,HLOOKUP('[1]Course Totals'!L$4,'[1]import graded seats course pivo'!$1:$2,2,FALSE),FALSE))),"")</f>
        <v/>
      </c>
      <c r="M600" s="14">
        <f>IFERROR((VLOOKUP($A600,'[1]import success seats course'!$A:AA,HLOOKUP('[1]Course Totals'!M$4,'[1]import success seats course'!$1:$2,2,FALSE),FALSE)/(VLOOKUP($A600,'[1]import graded seats course pivo'!$A:AK,HLOOKUP('[1]Course Totals'!M$4,'[1]import graded seats course pivo'!$1:$2,2,FALSE),FALSE))),"")</f>
        <v>0.53333333333333333</v>
      </c>
      <c r="N600" s="14" t="str">
        <f>IFERROR((VLOOKUP($A600,'[1]import success seats course'!$A:AB,HLOOKUP('[1]Course Totals'!N$4,'[1]import success seats course'!$1:$2,2,FALSE),FALSE)/(VLOOKUP($A600,'[1]import graded seats course pivo'!$A:AL,HLOOKUP('[1]Course Totals'!N$4,'[1]import graded seats course pivo'!$1:$2,2,FALSE),FALSE))),"")</f>
        <v/>
      </c>
      <c r="O600" s="14" t="str">
        <f>IFERROR((VLOOKUP($A600,'[1]import success seats course'!$A:AC,HLOOKUP('[1]Course Totals'!O$4,'[1]import success seats course'!$1:$2,2,FALSE),FALSE)/(VLOOKUP($A600,'[1]import graded seats course pivo'!$A:AM,HLOOKUP('[1]Course Totals'!O$4,'[1]import graded seats course pivo'!$1:$2,2,FALSE),FALSE))),"")</f>
        <v/>
      </c>
      <c r="P600" s="14">
        <f>IFERROR((VLOOKUP($A600,'[1]import success seats course'!$A:AD,HLOOKUP('[1]Course Totals'!P$4,'[1]import success seats course'!$1:$2,2,FALSE),FALSE)/(VLOOKUP($A600,'[1]import graded seats course pivo'!$A:AN,HLOOKUP('[1]Course Totals'!P$4,'[1]import graded seats course pivo'!$1:$2,2,FALSE),FALSE))),"")</f>
        <v>0.84210526315789469</v>
      </c>
      <c r="Q600" s="14" t="str">
        <f>IFERROR((VLOOKUP($A600,'[1]import success seats course'!$A:AE,HLOOKUP('[1]Course Totals'!Q$4,'[1]import success seats course'!$1:$2,2,FALSE),FALSE)/(VLOOKUP($A600,'[1]import graded seats course pivo'!$A:AO,HLOOKUP('[1]Course Totals'!Q$4,'[1]import graded seats course pivo'!$1:$2,2,FALSE),FALSE))),"")</f>
        <v/>
      </c>
      <c r="R600" s="14" t="str">
        <f>IFERROR((VLOOKUP($A600,'[1]import success seats course'!$A:AF,HLOOKUP('[1]Course Totals'!R$4,'[1]import success seats course'!$1:$2,2,FALSE),FALSE)/(VLOOKUP($A600,'[1]import graded seats course pivo'!$A:AP,HLOOKUP('[1]Course Totals'!R$4,'[1]import graded seats course pivo'!$1:$2,2,FALSE),FALSE))),"")</f>
        <v/>
      </c>
      <c r="S600" s="14" t="str">
        <f>IFERROR((VLOOKUP($A600,'[1]import success seats course'!$A:AG,HLOOKUP('[1]Course Totals'!S$4,'[1]import success seats course'!$1:$2,2,FALSE),FALSE)/(VLOOKUP($A600,'[1]import graded seats course pivo'!$A:AQ,HLOOKUP('[1]Course Totals'!S$4,'[1]import graded seats course pivo'!$1:$2,2,FALSE),FALSE))),"")</f>
        <v/>
      </c>
      <c r="Z600" s="7"/>
      <c r="AA600" s="7"/>
      <c r="AB600" s="7"/>
      <c r="AC600" s="7"/>
    </row>
    <row r="601" spans="1:29" ht="15.75" customHeight="1" x14ac:dyDescent="0.25">
      <c r="A601" s="12" t="s">
        <v>789</v>
      </c>
      <c r="B601" s="14" t="str">
        <f>IFERROR((VLOOKUP($A601,'[1]import success seats course'!$A:P,HLOOKUP('[1]Course Totals'!B$4,'[1]import success seats course'!$1:$2,2,FALSE),FALSE)/(VLOOKUP($A601,'[1]import graded seats course pivo'!$A:Z,HLOOKUP('[1]Course Totals'!B$4,'[1]import graded seats course pivo'!$1:$2,2,FALSE),FALSE))),"")</f>
        <v/>
      </c>
      <c r="C601" s="14" t="str">
        <f>IFERROR((VLOOKUP($A601,'[1]import success seats course'!$A:Q,HLOOKUP('[1]Course Totals'!C$4,'[1]import success seats course'!$1:$2,2,FALSE),FALSE)/(VLOOKUP($A601,'[1]import graded seats course pivo'!$A:AA,HLOOKUP('[1]Course Totals'!C$4,'[1]import graded seats course pivo'!$1:$2,2,FALSE),FALSE))),"")</f>
        <v/>
      </c>
      <c r="D601" s="14" t="str">
        <f>IFERROR((VLOOKUP($A601,'[1]import success seats course'!$A:R,HLOOKUP('[1]Course Totals'!D$4,'[1]import success seats course'!$1:$2,2,FALSE),FALSE)/(VLOOKUP($A601,'[1]import graded seats course pivo'!$A:AB,HLOOKUP('[1]Course Totals'!D$4,'[1]import graded seats course pivo'!$1:$2,2,FALSE),FALSE))),"")</f>
        <v/>
      </c>
      <c r="E601" s="14" t="str">
        <f>IFERROR((VLOOKUP($A601,'[1]import success seats course'!$A:S,HLOOKUP('[1]Course Totals'!E$4,'[1]import success seats course'!$1:$2,2,FALSE),FALSE)/(VLOOKUP($A601,'[1]import graded seats course pivo'!$A:AC,HLOOKUP('[1]Course Totals'!E$4,'[1]import graded seats course pivo'!$1:$2,2,FALSE),FALSE))),"")</f>
        <v/>
      </c>
      <c r="F601" s="14" t="str">
        <f>IFERROR((VLOOKUP($A601,'[1]import success seats course'!$A:T,HLOOKUP('[1]Course Totals'!F$4,'[1]import success seats course'!$1:$2,2,FALSE),FALSE)/(VLOOKUP($A601,'[1]import graded seats course pivo'!$A:AD,HLOOKUP('[1]Course Totals'!F$4,'[1]import graded seats course pivo'!$1:$2,2,FALSE),FALSE))),"")</f>
        <v/>
      </c>
      <c r="G601" s="14">
        <f>IFERROR((VLOOKUP($A601,'[1]import success seats course'!$A:U,HLOOKUP('[1]Course Totals'!G$4,'[1]import success seats course'!$1:$2,2,FALSE),FALSE)/(VLOOKUP($A601,'[1]import graded seats course pivo'!$A:AE,HLOOKUP('[1]Course Totals'!G$4,'[1]import graded seats course pivo'!$1:$2,2,FALSE),FALSE))),"")</f>
        <v>1</v>
      </c>
      <c r="H601" s="14" t="str">
        <f>IFERROR((VLOOKUP($A601,'[1]import success seats course'!$A:V,HLOOKUP('[1]Course Totals'!H$4,'[1]import success seats course'!$1:$2,2,FALSE),FALSE)/(VLOOKUP($A601,'[1]import graded seats course pivo'!$A:AF,HLOOKUP('[1]Course Totals'!H$4,'[1]import graded seats course pivo'!$1:$2,2,FALSE),FALSE))),"")</f>
        <v/>
      </c>
      <c r="I601" s="14" t="str">
        <f>IFERROR((VLOOKUP($A601,'[1]import success seats course'!$A:W,HLOOKUP('[1]Course Totals'!I$4,'[1]import success seats course'!$1:$2,2,FALSE),FALSE)/(VLOOKUP($A601,'[1]import graded seats course pivo'!$A:AG,HLOOKUP('[1]Course Totals'!I$4,'[1]import graded seats course pivo'!$1:$2,2,FALSE),FALSE))),"")</f>
        <v/>
      </c>
      <c r="J601" s="14" t="str">
        <f>IFERROR((VLOOKUP($A601,'[1]import success seats course'!$A:X,HLOOKUP('[1]Course Totals'!J$4,'[1]import success seats course'!$1:$2,2,FALSE),FALSE)/(VLOOKUP($A601,'[1]import graded seats course pivo'!$A:AH,HLOOKUP('[1]Course Totals'!J$4,'[1]import graded seats course pivo'!$1:$2,2,FALSE),FALSE))),"")</f>
        <v/>
      </c>
      <c r="K601" s="14" t="str">
        <f>IFERROR((VLOOKUP($A601,'[1]import success seats course'!$A:Y,HLOOKUP('[1]Course Totals'!K$4,'[1]import success seats course'!$1:$2,2,FALSE),FALSE)/(VLOOKUP($A601,'[1]import graded seats course pivo'!$A:AI,HLOOKUP('[1]Course Totals'!K$4,'[1]import graded seats course pivo'!$1:$2,2,FALSE),FALSE))),"")</f>
        <v/>
      </c>
      <c r="L601" s="14">
        <f>IFERROR((VLOOKUP($A601,'[1]import success seats course'!$A:Z,HLOOKUP('[1]Course Totals'!L$4,'[1]import success seats course'!$1:$2,2,FALSE),FALSE)/(VLOOKUP($A601,'[1]import graded seats course pivo'!$A:AJ,HLOOKUP('[1]Course Totals'!L$4,'[1]import graded seats course pivo'!$1:$2,2,FALSE),FALSE))),"")</f>
        <v>0.85</v>
      </c>
      <c r="M601" s="14" t="str">
        <f>IFERROR((VLOOKUP($A601,'[1]import success seats course'!$A:AA,HLOOKUP('[1]Course Totals'!M$4,'[1]import success seats course'!$1:$2,2,FALSE),FALSE)/(VLOOKUP($A601,'[1]import graded seats course pivo'!$A:AK,HLOOKUP('[1]Course Totals'!M$4,'[1]import graded seats course pivo'!$1:$2,2,FALSE),FALSE))),"")</f>
        <v/>
      </c>
      <c r="N601" s="14" t="str">
        <f>IFERROR((VLOOKUP($A601,'[1]import success seats course'!$A:AB,HLOOKUP('[1]Course Totals'!N$4,'[1]import success seats course'!$1:$2,2,FALSE),FALSE)/(VLOOKUP($A601,'[1]import graded seats course pivo'!$A:AL,HLOOKUP('[1]Course Totals'!N$4,'[1]import graded seats course pivo'!$1:$2,2,FALSE),FALSE))),"")</f>
        <v/>
      </c>
      <c r="O601" s="14" t="str">
        <f>IFERROR((VLOOKUP($A601,'[1]import success seats course'!$A:AC,HLOOKUP('[1]Course Totals'!O$4,'[1]import success seats course'!$1:$2,2,FALSE),FALSE)/(VLOOKUP($A601,'[1]import graded seats course pivo'!$A:AM,HLOOKUP('[1]Course Totals'!O$4,'[1]import graded seats course pivo'!$1:$2,2,FALSE),FALSE))),"")</f>
        <v/>
      </c>
      <c r="P601" s="14" t="str">
        <f>IFERROR((VLOOKUP($A601,'[1]import success seats course'!$A:AD,HLOOKUP('[1]Course Totals'!P$4,'[1]import success seats course'!$1:$2,2,FALSE),FALSE)/(VLOOKUP($A601,'[1]import graded seats course pivo'!$A:AN,HLOOKUP('[1]Course Totals'!P$4,'[1]import graded seats course pivo'!$1:$2,2,FALSE),FALSE))),"")</f>
        <v/>
      </c>
      <c r="Q601" s="14" t="str">
        <f>IFERROR((VLOOKUP($A601,'[1]import success seats course'!$A:AE,HLOOKUP('[1]Course Totals'!Q$4,'[1]import success seats course'!$1:$2,2,FALSE),FALSE)/(VLOOKUP($A601,'[1]import graded seats course pivo'!$A:AO,HLOOKUP('[1]Course Totals'!Q$4,'[1]import graded seats course pivo'!$1:$2,2,FALSE),FALSE))),"")</f>
        <v/>
      </c>
      <c r="R601" s="14" t="str">
        <f>IFERROR((VLOOKUP($A601,'[1]import success seats course'!$A:AF,HLOOKUP('[1]Course Totals'!R$4,'[1]import success seats course'!$1:$2,2,FALSE),FALSE)/(VLOOKUP($A601,'[1]import graded seats course pivo'!$A:AP,HLOOKUP('[1]Course Totals'!R$4,'[1]import graded seats course pivo'!$1:$2,2,FALSE),FALSE))),"")</f>
        <v/>
      </c>
      <c r="S601" s="14" t="str">
        <f>IFERROR((VLOOKUP($A601,'[1]import success seats course'!$A:AG,HLOOKUP('[1]Course Totals'!S$4,'[1]import success seats course'!$1:$2,2,FALSE),FALSE)/(VLOOKUP($A601,'[1]import graded seats course pivo'!$A:AQ,HLOOKUP('[1]Course Totals'!S$4,'[1]import graded seats course pivo'!$1:$2,2,FALSE),FALSE))),"")</f>
        <v/>
      </c>
      <c r="Z601" s="7"/>
      <c r="AA601" s="7"/>
      <c r="AB601" s="7"/>
      <c r="AC601" s="7"/>
    </row>
    <row r="602" spans="1:29" ht="15.75" customHeight="1" x14ac:dyDescent="0.25">
      <c r="A602" s="12" t="s">
        <v>915</v>
      </c>
      <c r="B602" s="14">
        <f>IFERROR((VLOOKUP($A602,'[1]import success seats course'!$A:P,HLOOKUP('[1]Course Totals'!B$4,'[1]import success seats course'!$1:$2,2,FALSE),FALSE)/(VLOOKUP($A602,'[1]import graded seats course pivo'!$A:Z,HLOOKUP('[1]Course Totals'!B$4,'[1]import graded seats course pivo'!$1:$2,2,FALSE),FALSE))),"")</f>
        <v>1</v>
      </c>
      <c r="C602" s="14" t="str">
        <f>IFERROR((VLOOKUP($A602,'[1]import success seats course'!$A:Q,HLOOKUP('[1]Course Totals'!C$4,'[1]import success seats course'!$1:$2,2,FALSE),FALSE)/(VLOOKUP($A602,'[1]import graded seats course pivo'!$A:AA,HLOOKUP('[1]Course Totals'!C$4,'[1]import graded seats course pivo'!$1:$2,2,FALSE),FALSE))),"")</f>
        <v/>
      </c>
      <c r="D602" s="14">
        <f>IFERROR((VLOOKUP($A602,'[1]import success seats course'!$A:R,HLOOKUP('[1]Course Totals'!D$4,'[1]import success seats course'!$1:$2,2,FALSE),FALSE)/(VLOOKUP($A602,'[1]import graded seats course pivo'!$A:AB,HLOOKUP('[1]Course Totals'!D$4,'[1]import graded seats course pivo'!$1:$2,2,FALSE),FALSE))),"")</f>
        <v>0.75</v>
      </c>
      <c r="E602" s="14" t="str">
        <f>IFERROR((VLOOKUP($A602,'[1]import success seats course'!$A:S,HLOOKUP('[1]Course Totals'!E$4,'[1]import success seats course'!$1:$2,2,FALSE),FALSE)/(VLOOKUP($A602,'[1]import graded seats course pivo'!$A:AC,HLOOKUP('[1]Course Totals'!E$4,'[1]import graded seats course pivo'!$1:$2,2,FALSE),FALSE))),"")</f>
        <v/>
      </c>
      <c r="F602" s="14" t="str">
        <f>IFERROR((VLOOKUP($A602,'[1]import success seats course'!$A:T,HLOOKUP('[1]Course Totals'!F$4,'[1]import success seats course'!$1:$2,2,FALSE),FALSE)/(VLOOKUP($A602,'[1]import graded seats course pivo'!$A:AD,HLOOKUP('[1]Course Totals'!F$4,'[1]import graded seats course pivo'!$1:$2,2,FALSE),FALSE))),"")</f>
        <v/>
      </c>
      <c r="G602" s="14" t="str">
        <f>IFERROR((VLOOKUP($A602,'[1]import success seats course'!$A:U,HLOOKUP('[1]Course Totals'!G$4,'[1]import success seats course'!$1:$2,2,FALSE),FALSE)/(VLOOKUP($A602,'[1]import graded seats course pivo'!$A:AE,HLOOKUP('[1]Course Totals'!G$4,'[1]import graded seats course pivo'!$1:$2,2,FALSE),FALSE))),"")</f>
        <v/>
      </c>
      <c r="H602" s="14">
        <f>IFERROR((VLOOKUP($A602,'[1]import success seats course'!$A:V,HLOOKUP('[1]Course Totals'!H$4,'[1]import success seats course'!$1:$2,2,FALSE),FALSE)/(VLOOKUP($A602,'[1]import graded seats course pivo'!$A:AF,HLOOKUP('[1]Course Totals'!H$4,'[1]import graded seats course pivo'!$1:$2,2,FALSE),FALSE))),"")</f>
        <v>1</v>
      </c>
      <c r="I602" s="14" t="str">
        <f>IFERROR((VLOOKUP($A602,'[1]import success seats course'!$A:W,HLOOKUP('[1]Course Totals'!I$4,'[1]import success seats course'!$1:$2,2,FALSE),FALSE)/(VLOOKUP($A602,'[1]import graded seats course pivo'!$A:AG,HLOOKUP('[1]Course Totals'!I$4,'[1]import graded seats course pivo'!$1:$2,2,FALSE),FALSE))),"")</f>
        <v/>
      </c>
      <c r="J602" s="14" t="str">
        <f>IFERROR((VLOOKUP($A602,'[1]import success seats course'!$A:X,HLOOKUP('[1]Course Totals'!J$4,'[1]import success seats course'!$1:$2,2,FALSE),FALSE)/(VLOOKUP($A602,'[1]import graded seats course pivo'!$A:AH,HLOOKUP('[1]Course Totals'!J$4,'[1]import graded seats course pivo'!$1:$2,2,FALSE),FALSE))),"")</f>
        <v/>
      </c>
      <c r="K602" s="14" t="str">
        <f>IFERROR((VLOOKUP($A602,'[1]import success seats course'!$A:Y,HLOOKUP('[1]Course Totals'!K$4,'[1]import success seats course'!$1:$2,2,FALSE),FALSE)/(VLOOKUP($A602,'[1]import graded seats course pivo'!$A:AI,HLOOKUP('[1]Course Totals'!K$4,'[1]import graded seats course pivo'!$1:$2,2,FALSE),FALSE))),"")</f>
        <v/>
      </c>
      <c r="L602" s="14" t="str">
        <f>IFERROR((VLOOKUP($A602,'[1]import success seats course'!$A:Z,HLOOKUP('[1]Course Totals'!L$4,'[1]import success seats course'!$1:$2,2,FALSE),FALSE)/(VLOOKUP($A602,'[1]import graded seats course pivo'!$A:AJ,HLOOKUP('[1]Course Totals'!L$4,'[1]import graded seats course pivo'!$1:$2,2,FALSE),FALSE))),"")</f>
        <v/>
      </c>
      <c r="M602" s="14" t="str">
        <f>IFERROR((VLOOKUP($A602,'[1]import success seats course'!$A:AA,HLOOKUP('[1]Course Totals'!M$4,'[1]import success seats course'!$1:$2,2,FALSE),FALSE)/(VLOOKUP($A602,'[1]import graded seats course pivo'!$A:AK,HLOOKUP('[1]Course Totals'!M$4,'[1]import graded seats course pivo'!$1:$2,2,FALSE),FALSE))),"")</f>
        <v/>
      </c>
      <c r="N602" s="14" t="str">
        <f>IFERROR((VLOOKUP($A602,'[1]import success seats course'!$A:AB,HLOOKUP('[1]Course Totals'!N$4,'[1]import success seats course'!$1:$2,2,FALSE),FALSE)/(VLOOKUP($A602,'[1]import graded seats course pivo'!$A:AL,HLOOKUP('[1]Course Totals'!N$4,'[1]import graded seats course pivo'!$1:$2,2,FALSE),FALSE))),"")</f>
        <v/>
      </c>
      <c r="O602" s="14" t="str">
        <f>IFERROR((VLOOKUP($A602,'[1]import success seats course'!$A:AC,HLOOKUP('[1]Course Totals'!O$4,'[1]import success seats course'!$1:$2,2,FALSE),FALSE)/(VLOOKUP($A602,'[1]import graded seats course pivo'!$A:AM,HLOOKUP('[1]Course Totals'!O$4,'[1]import graded seats course pivo'!$1:$2,2,FALSE),FALSE))),"")</f>
        <v/>
      </c>
      <c r="P602" s="14" t="str">
        <f>IFERROR((VLOOKUP($A602,'[1]import success seats course'!$A:AD,HLOOKUP('[1]Course Totals'!P$4,'[1]import success seats course'!$1:$2,2,FALSE),FALSE)/(VLOOKUP($A602,'[1]import graded seats course pivo'!$A:AN,HLOOKUP('[1]Course Totals'!P$4,'[1]import graded seats course pivo'!$1:$2,2,FALSE),FALSE))),"")</f>
        <v/>
      </c>
      <c r="Q602" s="14" t="str">
        <f>IFERROR((VLOOKUP($A602,'[1]import success seats course'!$A:AE,HLOOKUP('[1]Course Totals'!Q$4,'[1]import success seats course'!$1:$2,2,FALSE),FALSE)/(VLOOKUP($A602,'[1]import graded seats course pivo'!$A:AO,HLOOKUP('[1]Course Totals'!Q$4,'[1]import graded seats course pivo'!$1:$2,2,FALSE),FALSE))),"")</f>
        <v/>
      </c>
      <c r="R602" s="14" t="str">
        <f>IFERROR((VLOOKUP($A602,'[1]import success seats course'!$A:AF,HLOOKUP('[1]Course Totals'!R$4,'[1]import success seats course'!$1:$2,2,FALSE),FALSE)/(VLOOKUP($A602,'[1]import graded seats course pivo'!$A:AP,HLOOKUP('[1]Course Totals'!R$4,'[1]import graded seats course pivo'!$1:$2,2,FALSE),FALSE))),"")</f>
        <v/>
      </c>
      <c r="S602" s="14" t="str">
        <f>IFERROR((VLOOKUP($A602,'[1]import success seats course'!$A:AG,HLOOKUP('[1]Course Totals'!S$4,'[1]import success seats course'!$1:$2,2,FALSE),FALSE)/(VLOOKUP($A602,'[1]import graded seats course pivo'!$A:AQ,HLOOKUP('[1]Course Totals'!S$4,'[1]import graded seats course pivo'!$1:$2,2,FALSE),FALSE))),"")</f>
        <v/>
      </c>
      <c r="Z602" s="7"/>
      <c r="AA602" s="7"/>
      <c r="AB602" s="7"/>
      <c r="AC602" s="7"/>
    </row>
    <row r="603" spans="1:29" ht="15.75" customHeight="1" thickBot="1" x14ac:dyDescent="0.3">
      <c r="A603" s="8" t="str">
        <f>'[1]SUBJECTS BASE'!H32</f>
        <v>Geology</v>
      </c>
      <c r="B603" s="38" t="s">
        <v>1046</v>
      </c>
      <c r="C603" s="39" t="s">
        <v>0</v>
      </c>
      <c r="D603" s="40" t="s">
        <v>868</v>
      </c>
      <c r="E603" s="41" t="s">
        <v>1052</v>
      </c>
      <c r="F603" s="42" t="s">
        <v>546</v>
      </c>
      <c r="G603" s="43" t="s">
        <v>959</v>
      </c>
      <c r="H603" s="44" t="s">
        <v>1060</v>
      </c>
      <c r="I603" s="39" t="s">
        <v>675</v>
      </c>
      <c r="J603" s="45" t="s">
        <v>1006</v>
      </c>
      <c r="K603" s="46" t="s">
        <v>1062</v>
      </c>
      <c r="L603" s="42" t="s">
        <v>762</v>
      </c>
      <c r="M603" s="43" t="s">
        <v>1022</v>
      </c>
      <c r="N603" s="44" t="s">
        <v>1063</v>
      </c>
      <c r="O603" s="39" t="s">
        <v>822</v>
      </c>
      <c r="P603" s="40" t="s">
        <v>1042</v>
      </c>
      <c r="Q603" s="46" t="s">
        <v>1153</v>
      </c>
      <c r="R603" s="42" t="s">
        <v>1154</v>
      </c>
      <c r="S603" s="43" t="s">
        <v>1155</v>
      </c>
      <c r="Z603" s="7"/>
      <c r="AA603" s="7"/>
      <c r="AB603" s="7"/>
      <c r="AC603" s="7"/>
    </row>
    <row r="604" spans="1:29" ht="15.75" customHeight="1" x14ac:dyDescent="0.25">
      <c r="A604" s="12" t="s">
        <v>279</v>
      </c>
      <c r="B604" s="14" t="str">
        <f>IFERROR((VLOOKUP($A604,'[1]import success seats course'!$A:P,HLOOKUP('[1]Course Totals'!B$4,'[1]import success seats course'!$1:$2,2,FALSE),FALSE)/(VLOOKUP($A604,'[1]import graded seats course pivo'!$A:Z,HLOOKUP('[1]Course Totals'!B$4,'[1]import graded seats course pivo'!$1:$2,2,FALSE),FALSE))),"")</f>
        <v/>
      </c>
      <c r="C604" s="14">
        <f>IFERROR((VLOOKUP($A604,'[1]import success seats course'!$A:Q,HLOOKUP('[1]Course Totals'!C$4,'[1]import success seats course'!$1:$2,2,FALSE),FALSE)/(VLOOKUP($A604,'[1]import graded seats course pivo'!$A:AA,HLOOKUP('[1]Course Totals'!C$4,'[1]import graded seats course pivo'!$1:$2,2,FALSE),FALSE))),"")</f>
        <v>0.83333333333333337</v>
      </c>
      <c r="D604" s="14" t="str">
        <f>IFERROR((VLOOKUP($A604,'[1]import success seats course'!$A:R,HLOOKUP('[1]Course Totals'!D$4,'[1]import success seats course'!$1:$2,2,FALSE),FALSE)/(VLOOKUP($A604,'[1]import graded seats course pivo'!$A:AB,HLOOKUP('[1]Course Totals'!D$4,'[1]import graded seats course pivo'!$1:$2,2,FALSE),FALSE))),"")</f>
        <v/>
      </c>
      <c r="E604" s="14" t="str">
        <f>IFERROR((VLOOKUP($A604,'[1]import success seats course'!$A:S,HLOOKUP('[1]Course Totals'!E$4,'[1]import success seats course'!$1:$2,2,FALSE),FALSE)/(VLOOKUP($A604,'[1]import graded seats course pivo'!$A:AC,HLOOKUP('[1]Course Totals'!E$4,'[1]import graded seats course pivo'!$1:$2,2,FALSE),FALSE))),"")</f>
        <v/>
      </c>
      <c r="F604" s="14">
        <f>IFERROR((VLOOKUP($A604,'[1]import success seats course'!$A:T,HLOOKUP('[1]Course Totals'!F$4,'[1]import success seats course'!$1:$2,2,FALSE),FALSE)/(VLOOKUP($A604,'[1]import graded seats course pivo'!$A:AD,HLOOKUP('[1]Course Totals'!F$4,'[1]import graded seats course pivo'!$1:$2,2,FALSE),FALSE))),"")</f>
        <v>0.76271186440677963</v>
      </c>
      <c r="G604" s="14" t="str">
        <f>IFERROR((VLOOKUP($A604,'[1]import success seats course'!$A:U,HLOOKUP('[1]Course Totals'!G$4,'[1]import success seats course'!$1:$2,2,FALSE),FALSE)/(VLOOKUP($A604,'[1]import graded seats course pivo'!$A:AE,HLOOKUP('[1]Course Totals'!G$4,'[1]import graded seats course pivo'!$1:$2,2,FALSE),FALSE))),"")</f>
        <v/>
      </c>
      <c r="H604" s="14" t="str">
        <f>IFERROR((VLOOKUP($A604,'[1]import success seats course'!$A:V,HLOOKUP('[1]Course Totals'!H$4,'[1]import success seats course'!$1:$2,2,FALSE),FALSE)/(VLOOKUP($A604,'[1]import graded seats course pivo'!$A:AF,HLOOKUP('[1]Course Totals'!H$4,'[1]import graded seats course pivo'!$1:$2,2,FALSE),FALSE))),"")</f>
        <v/>
      </c>
      <c r="I604" s="14">
        <f>IFERROR((VLOOKUP($A604,'[1]import success seats course'!$A:W,HLOOKUP('[1]Course Totals'!I$4,'[1]import success seats course'!$1:$2,2,FALSE),FALSE)/(VLOOKUP($A604,'[1]import graded seats course pivo'!$A:AG,HLOOKUP('[1]Course Totals'!I$4,'[1]import graded seats course pivo'!$1:$2,2,FALSE),FALSE))),"")</f>
        <v>0.83582089552238803</v>
      </c>
      <c r="J604" s="14" t="str">
        <f>IFERROR((VLOOKUP($A604,'[1]import success seats course'!$A:X,HLOOKUP('[1]Course Totals'!J$4,'[1]import success seats course'!$1:$2,2,FALSE),FALSE)/(VLOOKUP($A604,'[1]import graded seats course pivo'!$A:AH,HLOOKUP('[1]Course Totals'!J$4,'[1]import graded seats course pivo'!$1:$2,2,FALSE),FALSE))),"")</f>
        <v/>
      </c>
      <c r="K604" s="14" t="str">
        <f>IFERROR((VLOOKUP($A604,'[1]import success seats course'!$A:Y,HLOOKUP('[1]Course Totals'!K$4,'[1]import success seats course'!$1:$2,2,FALSE),FALSE)/(VLOOKUP($A604,'[1]import graded seats course pivo'!$A:AI,HLOOKUP('[1]Course Totals'!K$4,'[1]import graded seats course pivo'!$1:$2,2,FALSE),FALSE))),"")</f>
        <v/>
      </c>
      <c r="L604" s="14">
        <f>IFERROR((VLOOKUP($A604,'[1]import success seats course'!$A:Z,HLOOKUP('[1]Course Totals'!L$4,'[1]import success seats course'!$1:$2,2,FALSE),FALSE)/(VLOOKUP($A604,'[1]import graded seats course pivo'!$A:AJ,HLOOKUP('[1]Course Totals'!L$4,'[1]import graded seats course pivo'!$1:$2,2,FALSE),FALSE))),"")</f>
        <v>0.68852459016393441</v>
      </c>
      <c r="M604" s="14" t="str">
        <f>IFERROR((VLOOKUP($A604,'[1]import success seats course'!$A:AA,HLOOKUP('[1]Course Totals'!M$4,'[1]import success seats course'!$1:$2,2,FALSE),FALSE)/(VLOOKUP($A604,'[1]import graded seats course pivo'!$A:AK,HLOOKUP('[1]Course Totals'!M$4,'[1]import graded seats course pivo'!$1:$2,2,FALSE),FALSE))),"")</f>
        <v/>
      </c>
      <c r="N604" s="14" t="str">
        <f>IFERROR((VLOOKUP($A604,'[1]import success seats course'!$A:AB,HLOOKUP('[1]Course Totals'!N$4,'[1]import success seats course'!$1:$2,2,FALSE),FALSE)/(VLOOKUP($A604,'[1]import graded seats course pivo'!$A:AL,HLOOKUP('[1]Course Totals'!N$4,'[1]import graded seats course pivo'!$1:$2,2,FALSE),FALSE))),"")</f>
        <v/>
      </c>
      <c r="O604" s="14">
        <f>IFERROR((VLOOKUP($A604,'[1]import success seats course'!$A:AC,HLOOKUP('[1]Course Totals'!O$4,'[1]import success seats course'!$1:$2,2,FALSE),FALSE)/(VLOOKUP($A604,'[1]import graded seats course pivo'!$A:AM,HLOOKUP('[1]Course Totals'!O$4,'[1]import graded seats course pivo'!$1:$2,2,FALSE),FALSE))),"")</f>
        <v>0.82089552238805974</v>
      </c>
      <c r="P604" s="14" t="str">
        <f>IFERROR((VLOOKUP($A604,'[1]import success seats course'!$A:AD,HLOOKUP('[1]Course Totals'!P$4,'[1]import success seats course'!$1:$2,2,FALSE),FALSE)/(VLOOKUP($A604,'[1]import graded seats course pivo'!$A:AN,HLOOKUP('[1]Course Totals'!P$4,'[1]import graded seats course pivo'!$1:$2,2,FALSE),FALSE))),"")</f>
        <v/>
      </c>
      <c r="Q604" s="14" t="str">
        <f>IFERROR((VLOOKUP($A604,'[1]import success seats course'!$A:AE,HLOOKUP('[1]Course Totals'!Q$4,'[1]import success seats course'!$1:$2,2,FALSE),FALSE)/(VLOOKUP($A604,'[1]import graded seats course pivo'!$A:AO,HLOOKUP('[1]Course Totals'!Q$4,'[1]import graded seats course pivo'!$1:$2,2,FALSE),FALSE))),"")</f>
        <v/>
      </c>
      <c r="R604" s="14">
        <f>IFERROR((VLOOKUP($A604,'[1]import success seats course'!$A:AF,HLOOKUP('[1]Course Totals'!R$4,'[1]import success seats course'!$1:$2,2,FALSE),FALSE)/(VLOOKUP($A604,'[1]import graded seats course pivo'!$A:AP,HLOOKUP('[1]Course Totals'!R$4,'[1]import graded seats course pivo'!$1:$2,2,FALSE),FALSE))),"")</f>
        <v>0.78787878787878785</v>
      </c>
      <c r="S604" s="14" t="str">
        <f>IFERROR((VLOOKUP($A604,'[1]import success seats course'!$A:AG,HLOOKUP('[1]Course Totals'!S$4,'[1]import success seats course'!$1:$2,2,FALSE),FALSE)/(VLOOKUP($A604,'[1]import graded seats course pivo'!$A:AQ,HLOOKUP('[1]Course Totals'!S$4,'[1]import graded seats course pivo'!$1:$2,2,FALSE),FALSE))),"")</f>
        <v/>
      </c>
      <c r="Z604" s="7"/>
      <c r="AA604" s="7"/>
      <c r="AB604" s="7"/>
      <c r="AC604" s="7"/>
    </row>
    <row r="605" spans="1:29" ht="15.75" customHeight="1" x14ac:dyDescent="0.25">
      <c r="A605" s="12" t="s">
        <v>731</v>
      </c>
      <c r="B605" s="14" t="str">
        <f>IFERROR((VLOOKUP($A605,'[1]import success seats course'!$A:P,HLOOKUP('[1]Course Totals'!B$4,'[1]import success seats course'!$1:$2,2,FALSE),FALSE)/(VLOOKUP($A605,'[1]import graded seats course pivo'!$A:Z,HLOOKUP('[1]Course Totals'!B$4,'[1]import graded seats course pivo'!$1:$2,2,FALSE),FALSE))),"")</f>
        <v/>
      </c>
      <c r="C605" s="14" t="str">
        <f>IFERROR((VLOOKUP($A605,'[1]import success seats course'!$A:Q,HLOOKUP('[1]Course Totals'!C$4,'[1]import success seats course'!$1:$2,2,FALSE),FALSE)/(VLOOKUP($A605,'[1]import graded seats course pivo'!$A:AA,HLOOKUP('[1]Course Totals'!C$4,'[1]import graded seats course pivo'!$1:$2,2,FALSE),FALSE))),"")</f>
        <v/>
      </c>
      <c r="D605" s="14" t="str">
        <f>IFERROR((VLOOKUP($A605,'[1]import success seats course'!$A:R,HLOOKUP('[1]Course Totals'!D$4,'[1]import success seats course'!$1:$2,2,FALSE),FALSE)/(VLOOKUP($A605,'[1]import graded seats course pivo'!$A:AB,HLOOKUP('[1]Course Totals'!D$4,'[1]import graded seats course pivo'!$1:$2,2,FALSE),FALSE))),"")</f>
        <v/>
      </c>
      <c r="E605" s="14" t="str">
        <f>IFERROR((VLOOKUP($A605,'[1]import success seats course'!$A:S,HLOOKUP('[1]Course Totals'!E$4,'[1]import success seats course'!$1:$2,2,FALSE),FALSE)/(VLOOKUP($A605,'[1]import graded seats course pivo'!$A:AC,HLOOKUP('[1]Course Totals'!E$4,'[1]import graded seats course pivo'!$1:$2,2,FALSE),FALSE))),"")</f>
        <v/>
      </c>
      <c r="F605" s="14" t="str">
        <f>IFERROR((VLOOKUP($A605,'[1]import success seats course'!$A:T,HLOOKUP('[1]Course Totals'!F$4,'[1]import success seats course'!$1:$2,2,FALSE),FALSE)/(VLOOKUP($A605,'[1]import graded seats course pivo'!$A:AD,HLOOKUP('[1]Course Totals'!F$4,'[1]import graded seats course pivo'!$1:$2,2,FALSE),FALSE))),"")</f>
        <v/>
      </c>
      <c r="G605" s="14" t="str">
        <f>IFERROR((VLOOKUP($A605,'[1]import success seats course'!$A:U,HLOOKUP('[1]Course Totals'!G$4,'[1]import success seats course'!$1:$2,2,FALSE),FALSE)/(VLOOKUP($A605,'[1]import graded seats course pivo'!$A:AE,HLOOKUP('[1]Course Totals'!G$4,'[1]import graded seats course pivo'!$1:$2,2,FALSE),FALSE))),"")</f>
        <v/>
      </c>
      <c r="H605" s="14" t="str">
        <f>IFERROR((VLOOKUP($A605,'[1]import success seats course'!$A:V,HLOOKUP('[1]Course Totals'!H$4,'[1]import success seats course'!$1:$2,2,FALSE),FALSE)/(VLOOKUP($A605,'[1]import graded seats course pivo'!$A:AF,HLOOKUP('[1]Course Totals'!H$4,'[1]import graded seats course pivo'!$1:$2,2,FALSE),FALSE))),"")</f>
        <v/>
      </c>
      <c r="I605" s="14">
        <f>IFERROR((VLOOKUP($A605,'[1]import success seats course'!$A:W,HLOOKUP('[1]Course Totals'!I$4,'[1]import success seats course'!$1:$2,2,FALSE),FALSE)/(VLOOKUP($A605,'[1]import graded seats course pivo'!$A:AG,HLOOKUP('[1]Course Totals'!I$4,'[1]import graded seats course pivo'!$1:$2,2,FALSE),FALSE))),"")</f>
        <v>0.87878787878787878</v>
      </c>
      <c r="J605" s="14" t="str">
        <f>IFERROR((VLOOKUP($A605,'[1]import success seats course'!$A:X,HLOOKUP('[1]Course Totals'!J$4,'[1]import success seats course'!$1:$2,2,FALSE),FALSE)/(VLOOKUP($A605,'[1]import graded seats course pivo'!$A:AH,HLOOKUP('[1]Course Totals'!J$4,'[1]import graded seats course pivo'!$1:$2,2,FALSE),FALSE))),"")</f>
        <v/>
      </c>
      <c r="K605" s="14" t="str">
        <f>IFERROR((VLOOKUP($A605,'[1]import success seats course'!$A:Y,HLOOKUP('[1]Course Totals'!K$4,'[1]import success seats course'!$1:$2,2,FALSE),FALSE)/(VLOOKUP($A605,'[1]import graded seats course pivo'!$A:AI,HLOOKUP('[1]Course Totals'!K$4,'[1]import graded seats course pivo'!$1:$2,2,FALSE),FALSE))),"")</f>
        <v/>
      </c>
      <c r="L605" s="14">
        <f>IFERROR((VLOOKUP($A605,'[1]import success seats course'!$A:Z,HLOOKUP('[1]Course Totals'!L$4,'[1]import success seats course'!$1:$2,2,FALSE),FALSE)/(VLOOKUP($A605,'[1]import graded seats course pivo'!$A:AJ,HLOOKUP('[1]Course Totals'!L$4,'[1]import graded seats course pivo'!$1:$2,2,FALSE),FALSE))),"")</f>
        <v>0.77419354838709675</v>
      </c>
      <c r="M605" s="14" t="str">
        <f>IFERROR((VLOOKUP($A605,'[1]import success seats course'!$A:AA,HLOOKUP('[1]Course Totals'!M$4,'[1]import success seats course'!$1:$2,2,FALSE),FALSE)/(VLOOKUP($A605,'[1]import graded seats course pivo'!$A:AK,HLOOKUP('[1]Course Totals'!M$4,'[1]import graded seats course pivo'!$1:$2,2,FALSE),FALSE))),"")</f>
        <v/>
      </c>
      <c r="N605" s="14" t="str">
        <f>IFERROR((VLOOKUP($A605,'[1]import success seats course'!$A:AB,HLOOKUP('[1]Course Totals'!N$4,'[1]import success seats course'!$1:$2,2,FALSE),FALSE)/(VLOOKUP($A605,'[1]import graded seats course pivo'!$A:AL,HLOOKUP('[1]Course Totals'!N$4,'[1]import graded seats course pivo'!$1:$2,2,FALSE),FALSE))),"")</f>
        <v/>
      </c>
      <c r="O605" s="14">
        <f>IFERROR((VLOOKUP($A605,'[1]import success seats course'!$A:AC,HLOOKUP('[1]Course Totals'!O$4,'[1]import success seats course'!$1:$2,2,FALSE),FALSE)/(VLOOKUP($A605,'[1]import graded seats course pivo'!$A:AM,HLOOKUP('[1]Course Totals'!O$4,'[1]import graded seats course pivo'!$1:$2,2,FALSE),FALSE))),"")</f>
        <v>0.7142857142857143</v>
      </c>
      <c r="P605" s="14" t="str">
        <f>IFERROR((VLOOKUP($A605,'[1]import success seats course'!$A:AD,HLOOKUP('[1]Course Totals'!P$4,'[1]import success seats course'!$1:$2,2,FALSE),FALSE)/(VLOOKUP($A605,'[1]import graded seats course pivo'!$A:AN,HLOOKUP('[1]Course Totals'!P$4,'[1]import graded seats course pivo'!$1:$2,2,FALSE),FALSE))),"")</f>
        <v/>
      </c>
      <c r="Q605" s="14" t="str">
        <f>IFERROR((VLOOKUP($A605,'[1]import success seats course'!$A:AE,HLOOKUP('[1]Course Totals'!Q$4,'[1]import success seats course'!$1:$2,2,FALSE),FALSE)/(VLOOKUP($A605,'[1]import graded seats course pivo'!$A:AO,HLOOKUP('[1]Course Totals'!Q$4,'[1]import graded seats course pivo'!$1:$2,2,FALSE),FALSE))),"")</f>
        <v/>
      </c>
      <c r="R605" s="14">
        <f>IFERROR((VLOOKUP($A605,'[1]import success seats course'!$A:AF,HLOOKUP('[1]Course Totals'!R$4,'[1]import success seats course'!$1:$2,2,FALSE),FALSE)/(VLOOKUP($A605,'[1]import graded seats course pivo'!$A:AP,HLOOKUP('[1]Course Totals'!R$4,'[1]import graded seats course pivo'!$1:$2,2,FALSE),FALSE))),"")</f>
        <v>0.75</v>
      </c>
      <c r="S605" s="14">
        <f>IFERROR((VLOOKUP($A605,'[1]import success seats course'!$A:AG,HLOOKUP('[1]Course Totals'!S$4,'[1]import success seats course'!$1:$2,2,FALSE),FALSE)/(VLOOKUP($A605,'[1]import graded seats course pivo'!$A:AQ,HLOOKUP('[1]Course Totals'!S$4,'[1]import graded seats course pivo'!$1:$2,2,FALSE),FALSE))),"")</f>
        <v>0.80645161290322576</v>
      </c>
      <c r="Z605" s="7"/>
      <c r="AA605" s="7"/>
      <c r="AB605" s="7"/>
      <c r="AC605" s="7"/>
    </row>
    <row r="606" spans="1:29" ht="15.75" customHeight="1" x14ac:dyDescent="0.25">
      <c r="A606" s="12" t="s">
        <v>916</v>
      </c>
      <c r="B606" s="14" t="str">
        <f>IFERROR((VLOOKUP($A606,'[1]import success seats course'!$A:P,HLOOKUP('[1]Course Totals'!B$4,'[1]import success seats course'!$1:$2,2,FALSE),FALSE)/(VLOOKUP($A606,'[1]import graded seats course pivo'!$A:Z,HLOOKUP('[1]Course Totals'!B$4,'[1]import graded seats course pivo'!$1:$2,2,FALSE),FALSE))),"")</f>
        <v/>
      </c>
      <c r="C606" s="14" t="str">
        <f>IFERROR((VLOOKUP($A606,'[1]import success seats course'!$A:Q,HLOOKUP('[1]Course Totals'!C$4,'[1]import success seats course'!$1:$2,2,FALSE),FALSE)/(VLOOKUP($A606,'[1]import graded seats course pivo'!$A:AA,HLOOKUP('[1]Course Totals'!C$4,'[1]import graded seats course pivo'!$1:$2,2,FALSE),FALSE))),"")</f>
        <v/>
      </c>
      <c r="D606" s="14">
        <f>IFERROR((VLOOKUP($A606,'[1]import success seats course'!$A:R,HLOOKUP('[1]Course Totals'!D$4,'[1]import success seats course'!$1:$2,2,FALSE),FALSE)/(VLOOKUP($A606,'[1]import graded seats course pivo'!$A:AB,HLOOKUP('[1]Course Totals'!D$4,'[1]import graded seats course pivo'!$1:$2,2,FALSE),FALSE))),"")</f>
        <v>0.83333333333333337</v>
      </c>
      <c r="E606" s="14" t="str">
        <f>IFERROR((VLOOKUP($A606,'[1]import success seats course'!$A:S,HLOOKUP('[1]Course Totals'!E$4,'[1]import success seats course'!$1:$2,2,FALSE),FALSE)/(VLOOKUP($A606,'[1]import graded seats course pivo'!$A:AC,HLOOKUP('[1]Course Totals'!E$4,'[1]import graded seats course pivo'!$1:$2,2,FALSE),FALSE))),"")</f>
        <v/>
      </c>
      <c r="F606" s="14" t="str">
        <f>IFERROR((VLOOKUP($A606,'[1]import success seats course'!$A:T,HLOOKUP('[1]Course Totals'!F$4,'[1]import success seats course'!$1:$2,2,FALSE),FALSE)/(VLOOKUP($A606,'[1]import graded seats course pivo'!$A:AD,HLOOKUP('[1]Course Totals'!F$4,'[1]import graded seats course pivo'!$1:$2,2,FALSE),FALSE))),"")</f>
        <v/>
      </c>
      <c r="G606" s="14">
        <f>IFERROR((VLOOKUP($A606,'[1]import success seats course'!$A:U,HLOOKUP('[1]Course Totals'!G$4,'[1]import success seats course'!$1:$2,2,FALSE),FALSE)/(VLOOKUP($A606,'[1]import graded seats course pivo'!$A:AE,HLOOKUP('[1]Course Totals'!G$4,'[1]import graded seats course pivo'!$1:$2,2,FALSE),FALSE))),"")</f>
        <v>0.8</v>
      </c>
      <c r="H606" s="14" t="str">
        <f>IFERROR((VLOOKUP($A606,'[1]import success seats course'!$A:V,HLOOKUP('[1]Course Totals'!H$4,'[1]import success seats course'!$1:$2,2,FALSE),FALSE)/(VLOOKUP($A606,'[1]import graded seats course pivo'!$A:AF,HLOOKUP('[1]Course Totals'!H$4,'[1]import graded seats course pivo'!$1:$2,2,FALSE),FALSE))),"")</f>
        <v/>
      </c>
      <c r="I606" s="14" t="str">
        <f>IFERROR((VLOOKUP($A606,'[1]import success seats course'!$A:W,HLOOKUP('[1]Course Totals'!I$4,'[1]import success seats course'!$1:$2,2,FALSE),FALSE)/(VLOOKUP($A606,'[1]import graded seats course pivo'!$A:AG,HLOOKUP('[1]Course Totals'!I$4,'[1]import graded seats course pivo'!$1:$2,2,FALSE),FALSE))),"")</f>
        <v/>
      </c>
      <c r="J606" s="14">
        <f>IFERROR((VLOOKUP($A606,'[1]import success seats course'!$A:X,HLOOKUP('[1]Course Totals'!J$4,'[1]import success seats course'!$1:$2,2,FALSE),FALSE)/(VLOOKUP($A606,'[1]import graded seats course pivo'!$A:AH,HLOOKUP('[1]Course Totals'!J$4,'[1]import graded seats course pivo'!$1:$2,2,FALSE),FALSE))),"")</f>
        <v>0.77419354838709675</v>
      </c>
      <c r="K606" s="14" t="str">
        <f>IFERROR((VLOOKUP($A606,'[1]import success seats course'!$A:Y,HLOOKUP('[1]Course Totals'!K$4,'[1]import success seats course'!$1:$2,2,FALSE),FALSE)/(VLOOKUP($A606,'[1]import graded seats course pivo'!$A:AI,HLOOKUP('[1]Course Totals'!K$4,'[1]import graded seats course pivo'!$1:$2,2,FALSE),FALSE))),"")</f>
        <v/>
      </c>
      <c r="L606" s="14" t="str">
        <f>IFERROR((VLOOKUP($A606,'[1]import success seats course'!$A:Z,HLOOKUP('[1]Course Totals'!L$4,'[1]import success seats course'!$1:$2,2,FALSE),FALSE)/(VLOOKUP($A606,'[1]import graded seats course pivo'!$A:AJ,HLOOKUP('[1]Course Totals'!L$4,'[1]import graded seats course pivo'!$1:$2,2,FALSE),FALSE))),"")</f>
        <v/>
      </c>
      <c r="M606" s="14">
        <f>IFERROR((VLOOKUP($A606,'[1]import success seats course'!$A:AA,HLOOKUP('[1]Course Totals'!M$4,'[1]import success seats course'!$1:$2,2,FALSE),FALSE)/(VLOOKUP($A606,'[1]import graded seats course pivo'!$A:AK,HLOOKUP('[1]Course Totals'!M$4,'[1]import graded seats course pivo'!$1:$2,2,FALSE),FALSE))),"")</f>
        <v>0.62962962962962965</v>
      </c>
      <c r="N606" s="14" t="str">
        <f>IFERROR((VLOOKUP($A606,'[1]import success seats course'!$A:AB,HLOOKUP('[1]Course Totals'!N$4,'[1]import success seats course'!$1:$2,2,FALSE),FALSE)/(VLOOKUP($A606,'[1]import graded seats course pivo'!$A:AL,HLOOKUP('[1]Course Totals'!N$4,'[1]import graded seats course pivo'!$1:$2,2,FALSE),FALSE))),"")</f>
        <v/>
      </c>
      <c r="O606" s="14" t="str">
        <f>IFERROR((VLOOKUP($A606,'[1]import success seats course'!$A:AC,HLOOKUP('[1]Course Totals'!O$4,'[1]import success seats course'!$1:$2,2,FALSE),FALSE)/(VLOOKUP($A606,'[1]import graded seats course pivo'!$A:AM,HLOOKUP('[1]Course Totals'!O$4,'[1]import graded seats course pivo'!$1:$2,2,FALSE),FALSE))),"")</f>
        <v/>
      </c>
      <c r="P606" s="14">
        <f>IFERROR((VLOOKUP($A606,'[1]import success seats course'!$A:AD,HLOOKUP('[1]Course Totals'!P$4,'[1]import success seats course'!$1:$2,2,FALSE),FALSE)/(VLOOKUP($A606,'[1]import graded seats course pivo'!$A:AN,HLOOKUP('[1]Course Totals'!P$4,'[1]import graded seats course pivo'!$1:$2,2,FALSE),FALSE))),"")</f>
        <v>0.64</v>
      </c>
      <c r="Q606" s="14" t="str">
        <f>IFERROR((VLOOKUP($A606,'[1]import success seats course'!$A:AE,HLOOKUP('[1]Course Totals'!Q$4,'[1]import success seats course'!$1:$2,2,FALSE),FALSE)/(VLOOKUP($A606,'[1]import graded seats course pivo'!$A:AO,HLOOKUP('[1]Course Totals'!Q$4,'[1]import graded seats course pivo'!$1:$2,2,FALSE),FALSE))),"")</f>
        <v/>
      </c>
      <c r="R606" s="14" t="str">
        <f>IFERROR((VLOOKUP($A606,'[1]import success seats course'!$A:AF,HLOOKUP('[1]Course Totals'!R$4,'[1]import success seats course'!$1:$2,2,FALSE),FALSE)/(VLOOKUP($A606,'[1]import graded seats course pivo'!$A:AP,HLOOKUP('[1]Course Totals'!R$4,'[1]import graded seats course pivo'!$1:$2,2,FALSE),FALSE))),"")</f>
        <v/>
      </c>
      <c r="S606" s="14">
        <f>IFERROR((VLOOKUP($A606,'[1]import success seats course'!$A:AG,HLOOKUP('[1]Course Totals'!S$4,'[1]import success seats course'!$1:$2,2,FALSE),FALSE)/(VLOOKUP($A606,'[1]import graded seats course pivo'!$A:AQ,HLOOKUP('[1]Course Totals'!S$4,'[1]import graded seats course pivo'!$1:$2,2,FALSE),FALSE))),"")</f>
        <v>0.77419354838709675</v>
      </c>
      <c r="Z606" s="7"/>
      <c r="AA606" s="7"/>
      <c r="AB606" s="7"/>
      <c r="AC606" s="7"/>
    </row>
    <row r="607" spans="1:29" ht="15.75" customHeight="1" x14ac:dyDescent="0.25">
      <c r="A607" s="12" t="s">
        <v>280</v>
      </c>
      <c r="B607" s="14" t="str">
        <f>IFERROR((VLOOKUP($A607,'[1]import success seats course'!$A:P,HLOOKUP('[1]Course Totals'!B$4,'[1]import success seats course'!$1:$2,2,FALSE),FALSE)/(VLOOKUP($A607,'[1]import graded seats course pivo'!$A:Z,HLOOKUP('[1]Course Totals'!B$4,'[1]import graded seats course pivo'!$1:$2,2,FALSE),FALSE))),"")</f>
        <v/>
      </c>
      <c r="C607" s="14">
        <f>IFERROR((VLOOKUP($A607,'[1]import success seats course'!$A:Q,HLOOKUP('[1]Course Totals'!C$4,'[1]import success seats course'!$1:$2,2,FALSE),FALSE)/(VLOOKUP($A607,'[1]import graded seats course pivo'!$A:AA,HLOOKUP('[1]Course Totals'!C$4,'[1]import graded seats course pivo'!$1:$2,2,FALSE),FALSE))),"")</f>
        <v>1</v>
      </c>
      <c r="D607" s="14">
        <f>IFERROR((VLOOKUP($A607,'[1]import success seats course'!$A:R,HLOOKUP('[1]Course Totals'!D$4,'[1]import success seats course'!$1:$2,2,FALSE),FALSE)/(VLOOKUP($A607,'[1]import graded seats course pivo'!$A:AB,HLOOKUP('[1]Course Totals'!D$4,'[1]import graded seats course pivo'!$1:$2,2,FALSE),FALSE))),"")</f>
        <v>1</v>
      </c>
      <c r="E607" s="14" t="str">
        <f>IFERROR((VLOOKUP($A607,'[1]import success seats course'!$A:S,HLOOKUP('[1]Course Totals'!E$4,'[1]import success seats course'!$1:$2,2,FALSE),FALSE)/(VLOOKUP($A607,'[1]import graded seats course pivo'!$A:AC,HLOOKUP('[1]Course Totals'!E$4,'[1]import graded seats course pivo'!$1:$2,2,FALSE),FALSE))),"")</f>
        <v/>
      </c>
      <c r="F607" s="14">
        <f>IFERROR((VLOOKUP($A607,'[1]import success seats course'!$A:T,HLOOKUP('[1]Course Totals'!F$4,'[1]import success seats course'!$1:$2,2,FALSE),FALSE)/(VLOOKUP($A607,'[1]import graded seats course pivo'!$A:AD,HLOOKUP('[1]Course Totals'!F$4,'[1]import graded seats course pivo'!$1:$2,2,FALSE),FALSE))),"")</f>
        <v>1</v>
      </c>
      <c r="G607" s="14">
        <f>IFERROR((VLOOKUP($A607,'[1]import success seats course'!$A:U,HLOOKUP('[1]Course Totals'!G$4,'[1]import success seats course'!$1:$2,2,FALSE),FALSE)/(VLOOKUP($A607,'[1]import graded seats course pivo'!$A:AE,HLOOKUP('[1]Course Totals'!G$4,'[1]import graded seats course pivo'!$1:$2,2,FALSE),FALSE))),"")</f>
        <v>0.93181818181818177</v>
      </c>
      <c r="H607" s="14" t="str">
        <f>IFERROR((VLOOKUP($A607,'[1]import success seats course'!$A:V,HLOOKUP('[1]Course Totals'!H$4,'[1]import success seats course'!$1:$2,2,FALSE),FALSE)/(VLOOKUP($A607,'[1]import graded seats course pivo'!$A:AF,HLOOKUP('[1]Course Totals'!H$4,'[1]import graded seats course pivo'!$1:$2,2,FALSE),FALSE))),"")</f>
        <v/>
      </c>
      <c r="I607" s="14">
        <f>IFERROR((VLOOKUP($A607,'[1]import success seats course'!$A:W,HLOOKUP('[1]Course Totals'!I$4,'[1]import success seats course'!$1:$2,2,FALSE),FALSE)/(VLOOKUP($A607,'[1]import graded seats course pivo'!$A:AG,HLOOKUP('[1]Course Totals'!I$4,'[1]import graded seats course pivo'!$1:$2,2,FALSE),FALSE))),"")</f>
        <v>0.96551724137931039</v>
      </c>
      <c r="J607" s="14">
        <f>IFERROR((VLOOKUP($A607,'[1]import success seats course'!$A:X,HLOOKUP('[1]Course Totals'!J$4,'[1]import success seats course'!$1:$2,2,FALSE),FALSE)/(VLOOKUP($A607,'[1]import graded seats course pivo'!$A:AH,HLOOKUP('[1]Course Totals'!J$4,'[1]import graded seats course pivo'!$1:$2,2,FALSE),FALSE))),"")</f>
        <v>0.9</v>
      </c>
      <c r="K607" s="14" t="str">
        <f>IFERROR((VLOOKUP($A607,'[1]import success seats course'!$A:Y,HLOOKUP('[1]Course Totals'!K$4,'[1]import success seats course'!$1:$2,2,FALSE),FALSE)/(VLOOKUP($A607,'[1]import graded seats course pivo'!$A:AI,HLOOKUP('[1]Course Totals'!K$4,'[1]import graded seats course pivo'!$1:$2,2,FALSE),FALSE))),"")</f>
        <v/>
      </c>
      <c r="L607" s="14">
        <f>IFERROR((VLOOKUP($A607,'[1]import success seats course'!$A:Z,HLOOKUP('[1]Course Totals'!L$4,'[1]import success seats course'!$1:$2,2,FALSE),FALSE)/(VLOOKUP($A607,'[1]import graded seats course pivo'!$A:AJ,HLOOKUP('[1]Course Totals'!L$4,'[1]import graded seats course pivo'!$1:$2,2,FALSE),FALSE))),"")</f>
        <v>1</v>
      </c>
      <c r="M607" s="14">
        <f>IFERROR((VLOOKUP($A607,'[1]import success seats course'!$A:AA,HLOOKUP('[1]Course Totals'!M$4,'[1]import success seats course'!$1:$2,2,FALSE),FALSE)/(VLOOKUP($A607,'[1]import graded seats course pivo'!$A:AK,HLOOKUP('[1]Course Totals'!M$4,'[1]import graded seats course pivo'!$1:$2,2,FALSE),FALSE))),"")</f>
        <v>0.91176470588235292</v>
      </c>
      <c r="N607" s="14" t="str">
        <f>IFERROR((VLOOKUP($A607,'[1]import success seats course'!$A:AB,HLOOKUP('[1]Course Totals'!N$4,'[1]import success seats course'!$1:$2,2,FALSE),FALSE)/(VLOOKUP($A607,'[1]import graded seats course pivo'!$A:AL,HLOOKUP('[1]Course Totals'!N$4,'[1]import graded seats course pivo'!$1:$2,2,FALSE),FALSE))),"")</f>
        <v/>
      </c>
      <c r="O607" s="14">
        <f>IFERROR((VLOOKUP($A607,'[1]import success seats course'!$A:AC,HLOOKUP('[1]Course Totals'!O$4,'[1]import success seats course'!$1:$2,2,FALSE),FALSE)/(VLOOKUP($A607,'[1]import graded seats course pivo'!$A:AM,HLOOKUP('[1]Course Totals'!O$4,'[1]import graded seats course pivo'!$1:$2,2,FALSE),FALSE))),"")</f>
        <v>0.95652173913043481</v>
      </c>
      <c r="P607" s="14">
        <f>IFERROR((VLOOKUP($A607,'[1]import success seats course'!$A:AD,HLOOKUP('[1]Course Totals'!P$4,'[1]import success seats course'!$1:$2,2,FALSE),FALSE)/(VLOOKUP($A607,'[1]import graded seats course pivo'!$A:AN,HLOOKUP('[1]Course Totals'!P$4,'[1]import graded seats course pivo'!$1:$2,2,FALSE),FALSE))),"")</f>
        <v>1</v>
      </c>
      <c r="Q607" s="14" t="str">
        <f>IFERROR((VLOOKUP($A607,'[1]import success seats course'!$A:AE,HLOOKUP('[1]Course Totals'!Q$4,'[1]import success seats course'!$1:$2,2,FALSE),FALSE)/(VLOOKUP($A607,'[1]import graded seats course pivo'!$A:AO,HLOOKUP('[1]Course Totals'!Q$4,'[1]import graded seats course pivo'!$1:$2,2,FALSE),FALSE))),"")</f>
        <v/>
      </c>
      <c r="R607" s="14">
        <f>IFERROR((VLOOKUP($A607,'[1]import success seats course'!$A:AF,HLOOKUP('[1]Course Totals'!R$4,'[1]import success seats course'!$1:$2,2,FALSE),FALSE)/(VLOOKUP($A607,'[1]import graded seats course pivo'!$A:AP,HLOOKUP('[1]Course Totals'!R$4,'[1]import graded seats course pivo'!$1:$2,2,FALSE),FALSE))),"")</f>
        <v>1</v>
      </c>
      <c r="S607" s="14">
        <f>IFERROR((VLOOKUP($A607,'[1]import success seats course'!$A:AG,HLOOKUP('[1]Course Totals'!S$4,'[1]import success seats course'!$1:$2,2,FALSE),FALSE)/(VLOOKUP($A607,'[1]import graded seats course pivo'!$A:AQ,HLOOKUP('[1]Course Totals'!S$4,'[1]import graded seats course pivo'!$1:$2,2,FALSE),FALSE))),"")</f>
        <v>1</v>
      </c>
      <c r="Z607" s="7"/>
      <c r="AA607" s="7"/>
      <c r="AB607" s="7"/>
      <c r="AC607" s="7"/>
    </row>
    <row r="608" spans="1:29" ht="15.75" customHeight="1" x14ac:dyDescent="0.25">
      <c r="A608" s="12" t="s">
        <v>917</v>
      </c>
      <c r="B608" s="14" t="str">
        <f>IFERROR((VLOOKUP($A608,'[1]import success seats course'!$A:P,HLOOKUP('[1]Course Totals'!B$4,'[1]import success seats course'!$1:$2,2,FALSE),FALSE)/(VLOOKUP($A608,'[1]import graded seats course pivo'!$A:Z,HLOOKUP('[1]Course Totals'!B$4,'[1]import graded seats course pivo'!$1:$2,2,FALSE),FALSE))),"")</f>
        <v/>
      </c>
      <c r="C608" s="14" t="str">
        <f>IFERROR((VLOOKUP($A608,'[1]import success seats course'!$A:Q,HLOOKUP('[1]Course Totals'!C$4,'[1]import success seats course'!$1:$2,2,FALSE),FALSE)/(VLOOKUP($A608,'[1]import graded seats course pivo'!$A:AA,HLOOKUP('[1]Course Totals'!C$4,'[1]import graded seats course pivo'!$1:$2,2,FALSE),FALSE))),"")</f>
        <v/>
      </c>
      <c r="D608" s="14">
        <f>IFERROR((VLOOKUP($A608,'[1]import success seats course'!$A:R,HLOOKUP('[1]Course Totals'!D$4,'[1]import success seats course'!$1:$2,2,FALSE),FALSE)/(VLOOKUP($A608,'[1]import graded seats course pivo'!$A:AB,HLOOKUP('[1]Course Totals'!D$4,'[1]import graded seats course pivo'!$1:$2,2,FALSE),FALSE))),"")</f>
        <v>0.82352941176470584</v>
      </c>
      <c r="E608" s="14" t="str">
        <f>IFERROR((VLOOKUP($A608,'[1]import success seats course'!$A:S,HLOOKUP('[1]Course Totals'!E$4,'[1]import success seats course'!$1:$2,2,FALSE),FALSE)/(VLOOKUP($A608,'[1]import graded seats course pivo'!$A:AC,HLOOKUP('[1]Course Totals'!E$4,'[1]import graded seats course pivo'!$1:$2,2,FALSE),FALSE))),"")</f>
        <v/>
      </c>
      <c r="F608" s="14" t="str">
        <f>IFERROR((VLOOKUP($A608,'[1]import success seats course'!$A:T,HLOOKUP('[1]Course Totals'!F$4,'[1]import success seats course'!$1:$2,2,FALSE),FALSE)/(VLOOKUP($A608,'[1]import graded seats course pivo'!$A:AD,HLOOKUP('[1]Course Totals'!F$4,'[1]import graded seats course pivo'!$1:$2,2,FALSE),FALSE))),"")</f>
        <v/>
      </c>
      <c r="G608" s="14">
        <f>IFERROR((VLOOKUP($A608,'[1]import success seats course'!$A:U,HLOOKUP('[1]Course Totals'!G$4,'[1]import success seats course'!$1:$2,2,FALSE),FALSE)/(VLOOKUP($A608,'[1]import graded seats course pivo'!$A:AE,HLOOKUP('[1]Course Totals'!G$4,'[1]import graded seats course pivo'!$1:$2,2,FALSE),FALSE))),"")</f>
        <v>0.75862068965517238</v>
      </c>
      <c r="H608" s="14" t="str">
        <f>IFERROR((VLOOKUP($A608,'[1]import success seats course'!$A:V,HLOOKUP('[1]Course Totals'!H$4,'[1]import success seats course'!$1:$2,2,FALSE),FALSE)/(VLOOKUP($A608,'[1]import graded seats course pivo'!$A:AF,HLOOKUP('[1]Course Totals'!H$4,'[1]import graded seats course pivo'!$1:$2,2,FALSE),FALSE))),"")</f>
        <v/>
      </c>
      <c r="I608" s="14" t="str">
        <f>IFERROR((VLOOKUP($A608,'[1]import success seats course'!$A:W,HLOOKUP('[1]Course Totals'!I$4,'[1]import success seats course'!$1:$2,2,FALSE),FALSE)/(VLOOKUP($A608,'[1]import graded seats course pivo'!$A:AG,HLOOKUP('[1]Course Totals'!I$4,'[1]import graded seats course pivo'!$1:$2,2,FALSE),FALSE))),"")</f>
        <v/>
      </c>
      <c r="J608" s="14">
        <f>IFERROR((VLOOKUP($A608,'[1]import success seats course'!$A:X,HLOOKUP('[1]Course Totals'!J$4,'[1]import success seats course'!$1:$2,2,FALSE),FALSE)/(VLOOKUP($A608,'[1]import graded seats course pivo'!$A:AH,HLOOKUP('[1]Course Totals'!J$4,'[1]import graded seats course pivo'!$1:$2,2,FALSE),FALSE))),"")</f>
        <v>0.69444444444444442</v>
      </c>
      <c r="K608" s="14" t="str">
        <f>IFERROR((VLOOKUP($A608,'[1]import success seats course'!$A:Y,HLOOKUP('[1]Course Totals'!K$4,'[1]import success seats course'!$1:$2,2,FALSE),FALSE)/(VLOOKUP($A608,'[1]import graded seats course pivo'!$A:AI,HLOOKUP('[1]Course Totals'!K$4,'[1]import graded seats course pivo'!$1:$2,2,FALSE),FALSE))),"")</f>
        <v/>
      </c>
      <c r="L608" s="14" t="str">
        <f>IFERROR((VLOOKUP($A608,'[1]import success seats course'!$A:Z,HLOOKUP('[1]Course Totals'!L$4,'[1]import success seats course'!$1:$2,2,FALSE),FALSE)/(VLOOKUP($A608,'[1]import graded seats course pivo'!$A:AJ,HLOOKUP('[1]Course Totals'!L$4,'[1]import graded seats course pivo'!$1:$2,2,FALSE),FALSE))),"")</f>
        <v/>
      </c>
      <c r="M608" s="14">
        <f>IFERROR((VLOOKUP($A608,'[1]import success seats course'!$A:AA,HLOOKUP('[1]Course Totals'!M$4,'[1]import success seats course'!$1:$2,2,FALSE),FALSE)/(VLOOKUP($A608,'[1]import graded seats course pivo'!$A:AK,HLOOKUP('[1]Course Totals'!M$4,'[1]import graded seats course pivo'!$1:$2,2,FALSE),FALSE))),"")</f>
        <v>0.74193548387096775</v>
      </c>
      <c r="N608" s="14" t="str">
        <f>IFERROR((VLOOKUP($A608,'[1]import success seats course'!$A:AB,HLOOKUP('[1]Course Totals'!N$4,'[1]import success seats course'!$1:$2,2,FALSE),FALSE)/(VLOOKUP($A608,'[1]import graded seats course pivo'!$A:AL,HLOOKUP('[1]Course Totals'!N$4,'[1]import graded seats course pivo'!$1:$2,2,FALSE),FALSE))),"")</f>
        <v/>
      </c>
      <c r="O608" s="14" t="str">
        <f>IFERROR((VLOOKUP($A608,'[1]import success seats course'!$A:AC,HLOOKUP('[1]Course Totals'!O$4,'[1]import success seats course'!$1:$2,2,FALSE),FALSE)/(VLOOKUP($A608,'[1]import graded seats course pivo'!$A:AM,HLOOKUP('[1]Course Totals'!O$4,'[1]import graded seats course pivo'!$1:$2,2,FALSE),FALSE))),"")</f>
        <v/>
      </c>
      <c r="P608" s="14">
        <f>IFERROR((VLOOKUP($A608,'[1]import success seats course'!$A:AD,HLOOKUP('[1]Course Totals'!P$4,'[1]import success seats course'!$1:$2,2,FALSE),FALSE)/(VLOOKUP($A608,'[1]import graded seats course pivo'!$A:AN,HLOOKUP('[1]Course Totals'!P$4,'[1]import graded seats course pivo'!$1:$2,2,FALSE),FALSE))),"")</f>
        <v>0.75757575757575757</v>
      </c>
      <c r="Q608" s="14" t="str">
        <f>IFERROR((VLOOKUP($A608,'[1]import success seats course'!$A:AE,HLOOKUP('[1]Course Totals'!Q$4,'[1]import success seats course'!$1:$2,2,FALSE),FALSE)/(VLOOKUP($A608,'[1]import graded seats course pivo'!$A:AO,HLOOKUP('[1]Course Totals'!Q$4,'[1]import graded seats course pivo'!$1:$2,2,FALSE),FALSE))),"")</f>
        <v/>
      </c>
      <c r="R608" s="14" t="str">
        <f>IFERROR((VLOOKUP($A608,'[1]import success seats course'!$A:AF,HLOOKUP('[1]Course Totals'!R$4,'[1]import success seats course'!$1:$2,2,FALSE),FALSE)/(VLOOKUP($A608,'[1]import graded seats course pivo'!$A:AP,HLOOKUP('[1]Course Totals'!R$4,'[1]import graded seats course pivo'!$1:$2,2,FALSE),FALSE))),"")</f>
        <v/>
      </c>
      <c r="S608" s="14">
        <f>IFERROR((VLOOKUP($A608,'[1]import success seats course'!$A:AG,HLOOKUP('[1]Course Totals'!S$4,'[1]import success seats course'!$1:$2,2,FALSE),FALSE)/(VLOOKUP($A608,'[1]import graded seats course pivo'!$A:AQ,HLOOKUP('[1]Course Totals'!S$4,'[1]import graded seats course pivo'!$1:$2,2,FALSE),FALSE))),"")</f>
        <v>0.70588235294117652</v>
      </c>
      <c r="Z608" s="7"/>
      <c r="AA608" s="7"/>
      <c r="AB608" s="7"/>
      <c r="AC608" s="7"/>
    </row>
    <row r="609" spans="1:29" ht="15.75" customHeight="1" x14ac:dyDescent="0.25">
      <c r="A609" s="12" t="s">
        <v>918</v>
      </c>
      <c r="B609" s="14" t="str">
        <f>IFERROR((VLOOKUP($A609,'[1]import success seats course'!$A:P,HLOOKUP('[1]Course Totals'!B$4,'[1]import success seats course'!$1:$2,2,FALSE),FALSE)/(VLOOKUP($A609,'[1]import graded seats course pivo'!$A:Z,HLOOKUP('[1]Course Totals'!B$4,'[1]import graded seats course pivo'!$1:$2,2,FALSE),FALSE))),"")</f>
        <v/>
      </c>
      <c r="C609" s="14" t="str">
        <f>IFERROR((VLOOKUP($A609,'[1]import success seats course'!$A:Q,HLOOKUP('[1]Course Totals'!C$4,'[1]import success seats course'!$1:$2,2,FALSE),FALSE)/(VLOOKUP($A609,'[1]import graded seats course pivo'!$A:AA,HLOOKUP('[1]Course Totals'!C$4,'[1]import graded seats course pivo'!$1:$2,2,FALSE),FALSE))),"")</f>
        <v/>
      </c>
      <c r="D609" s="14">
        <f>IFERROR((VLOOKUP($A609,'[1]import success seats course'!$A:R,HLOOKUP('[1]Course Totals'!D$4,'[1]import success seats course'!$1:$2,2,FALSE),FALSE)/(VLOOKUP($A609,'[1]import graded seats course pivo'!$A:AB,HLOOKUP('[1]Course Totals'!D$4,'[1]import graded seats course pivo'!$1:$2,2,FALSE),FALSE))),"")</f>
        <v>0.75</v>
      </c>
      <c r="E609" s="14" t="str">
        <f>IFERROR((VLOOKUP($A609,'[1]import success seats course'!$A:S,HLOOKUP('[1]Course Totals'!E$4,'[1]import success seats course'!$1:$2,2,FALSE),FALSE)/(VLOOKUP($A609,'[1]import graded seats course pivo'!$A:AC,HLOOKUP('[1]Course Totals'!E$4,'[1]import graded seats course pivo'!$1:$2,2,FALSE),FALSE))),"")</f>
        <v/>
      </c>
      <c r="F609" s="14" t="str">
        <f>IFERROR((VLOOKUP($A609,'[1]import success seats course'!$A:T,HLOOKUP('[1]Course Totals'!F$4,'[1]import success seats course'!$1:$2,2,FALSE),FALSE)/(VLOOKUP($A609,'[1]import graded seats course pivo'!$A:AD,HLOOKUP('[1]Course Totals'!F$4,'[1]import graded seats course pivo'!$1:$2,2,FALSE),FALSE))),"")</f>
        <v/>
      </c>
      <c r="G609" s="14">
        <f>IFERROR((VLOOKUP($A609,'[1]import success seats course'!$A:U,HLOOKUP('[1]Course Totals'!G$4,'[1]import success seats course'!$1:$2,2,FALSE),FALSE)/(VLOOKUP($A609,'[1]import graded seats course pivo'!$A:AE,HLOOKUP('[1]Course Totals'!G$4,'[1]import graded seats course pivo'!$1:$2,2,FALSE),FALSE))),"")</f>
        <v>0.75</v>
      </c>
      <c r="H609" s="14" t="str">
        <f>IFERROR((VLOOKUP($A609,'[1]import success seats course'!$A:V,HLOOKUP('[1]Course Totals'!H$4,'[1]import success seats course'!$1:$2,2,FALSE),FALSE)/(VLOOKUP($A609,'[1]import graded seats course pivo'!$A:AF,HLOOKUP('[1]Course Totals'!H$4,'[1]import graded seats course pivo'!$1:$2,2,FALSE),FALSE))),"")</f>
        <v/>
      </c>
      <c r="I609" s="14" t="str">
        <f>IFERROR((VLOOKUP($A609,'[1]import success seats course'!$A:W,HLOOKUP('[1]Course Totals'!I$4,'[1]import success seats course'!$1:$2,2,FALSE),FALSE)/(VLOOKUP($A609,'[1]import graded seats course pivo'!$A:AG,HLOOKUP('[1]Course Totals'!I$4,'[1]import graded seats course pivo'!$1:$2,2,FALSE),FALSE))),"")</f>
        <v/>
      </c>
      <c r="J609" s="14">
        <f>IFERROR((VLOOKUP($A609,'[1]import success seats course'!$A:X,HLOOKUP('[1]Course Totals'!J$4,'[1]import success seats course'!$1:$2,2,FALSE),FALSE)/(VLOOKUP($A609,'[1]import graded seats course pivo'!$A:AH,HLOOKUP('[1]Course Totals'!J$4,'[1]import graded seats course pivo'!$1:$2,2,FALSE),FALSE))),"")</f>
        <v>0.90909090909090906</v>
      </c>
      <c r="K609" s="14" t="str">
        <f>IFERROR((VLOOKUP($A609,'[1]import success seats course'!$A:Y,HLOOKUP('[1]Course Totals'!K$4,'[1]import success seats course'!$1:$2,2,FALSE),FALSE)/(VLOOKUP($A609,'[1]import graded seats course pivo'!$A:AI,HLOOKUP('[1]Course Totals'!K$4,'[1]import graded seats course pivo'!$1:$2,2,FALSE),FALSE))),"")</f>
        <v/>
      </c>
      <c r="L609" s="14" t="str">
        <f>IFERROR((VLOOKUP($A609,'[1]import success seats course'!$A:Z,HLOOKUP('[1]Course Totals'!L$4,'[1]import success seats course'!$1:$2,2,FALSE),FALSE)/(VLOOKUP($A609,'[1]import graded seats course pivo'!$A:AJ,HLOOKUP('[1]Course Totals'!L$4,'[1]import graded seats course pivo'!$1:$2,2,FALSE),FALSE))),"")</f>
        <v/>
      </c>
      <c r="M609" s="14">
        <f>IFERROR((VLOOKUP($A609,'[1]import success seats course'!$A:AA,HLOOKUP('[1]Course Totals'!M$4,'[1]import success seats course'!$1:$2,2,FALSE),FALSE)/(VLOOKUP($A609,'[1]import graded seats course pivo'!$A:AK,HLOOKUP('[1]Course Totals'!M$4,'[1]import graded seats course pivo'!$1:$2,2,FALSE),FALSE))),"")</f>
        <v>1</v>
      </c>
      <c r="N609" s="14" t="str">
        <f>IFERROR((VLOOKUP($A609,'[1]import success seats course'!$A:AB,HLOOKUP('[1]Course Totals'!N$4,'[1]import success seats course'!$1:$2,2,FALSE),FALSE)/(VLOOKUP($A609,'[1]import graded seats course pivo'!$A:AL,HLOOKUP('[1]Course Totals'!N$4,'[1]import graded seats course pivo'!$1:$2,2,FALSE),FALSE))),"")</f>
        <v/>
      </c>
      <c r="O609" s="14" t="str">
        <f>IFERROR((VLOOKUP($A609,'[1]import success seats course'!$A:AC,HLOOKUP('[1]Course Totals'!O$4,'[1]import success seats course'!$1:$2,2,FALSE),FALSE)/(VLOOKUP($A609,'[1]import graded seats course pivo'!$A:AM,HLOOKUP('[1]Course Totals'!O$4,'[1]import graded seats course pivo'!$1:$2,2,FALSE),FALSE))),"")</f>
        <v/>
      </c>
      <c r="P609" s="14">
        <f>IFERROR((VLOOKUP($A609,'[1]import success seats course'!$A:AD,HLOOKUP('[1]Course Totals'!P$4,'[1]import success seats course'!$1:$2,2,FALSE),FALSE)/(VLOOKUP($A609,'[1]import graded seats course pivo'!$A:AN,HLOOKUP('[1]Course Totals'!P$4,'[1]import graded seats course pivo'!$1:$2,2,FALSE),FALSE))),"")</f>
        <v>0.75</v>
      </c>
      <c r="Q609" s="14" t="str">
        <f>IFERROR((VLOOKUP($A609,'[1]import success seats course'!$A:AE,HLOOKUP('[1]Course Totals'!Q$4,'[1]import success seats course'!$1:$2,2,FALSE),FALSE)/(VLOOKUP($A609,'[1]import graded seats course pivo'!$A:AO,HLOOKUP('[1]Course Totals'!Q$4,'[1]import graded seats course pivo'!$1:$2,2,FALSE),FALSE))),"")</f>
        <v/>
      </c>
      <c r="R609" s="14" t="str">
        <f>IFERROR((VLOOKUP($A609,'[1]import success seats course'!$A:AF,HLOOKUP('[1]Course Totals'!R$4,'[1]import success seats course'!$1:$2,2,FALSE),FALSE)/(VLOOKUP($A609,'[1]import graded seats course pivo'!$A:AP,HLOOKUP('[1]Course Totals'!R$4,'[1]import graded seats course pivo'!$1:$2,2,FALSE),FALSE))),"")</f>
        <v/>
      </c>
      <c r="S609" s="14" t="str">
        <f>IFERROR((VLOOKUP($A609,'[1]import success seats course'!$A:AG,HLOOKUP('[1]Course Totals'!S$4,'[1]import success seats course'!$1:$2,2,FALSE),FALSE)/(VLOOKUP($A609,'[1]import graded seats course pivo'!$A:AQ,HLOOKUP('[1]Course Totals'!S$4,'[1]import graded seats course pivo'!$1:$2,2,FALSE),FALSE))),"")</f>
        <v/>
      </c>
      <c r="Z609" s="7"/>
      <c r="AA609" s="7"/>
      <c r="AB609" s="7"/>
      <c r="AC609" s="7"/>
    </row>
    <row r="610" spans="1:29" ht="15.75" customHeight="1" thickBot="1" x14ac:dyDescent="0.3">
      <c r="A610" s="8" t="str">
        <f>'[1]SUBJECTS BASE'!H33</f>
        <v>Gerontology</v>
      </c>
      <c r="B610" s="38" t="s">
        <v>1046</v>
      </c>
      <c r="C610" s="39" t="s">
        <v>0</v>
      </c>
      <c r="D610" s="40" t="s">
        <v>868</v>
      </c>
      <c r="E610" s="41" t="s">
        <v>1052</v>
      </c>
      <c r="F610" s="42" t="s">
        <v>546</v>
      </c>
      <c r="G610" s="43" t="s">
        <v>959</v>
      </c>
      <c r="H610" s="44" t="s">
        <v>1060</v>
      </c>
      <c r="I610" s="39" t="s">
        <v>675</v>
      </c>
      <c r="J610" s="45" t="s">
        <v>1006</v>
      </c>
      <c r="K610" s="46" t="s">
        <v>1062</v>
      </c>
      <c r="L610" s="42" t="s">
        <v>762</v>
      </c>
      <c r="M610" s="43" t="s">
        <v>1022</v>
      </c>
      <c r="N610" s="44" t="s">
        <v>1063</v>
      </c>
      <c r="O610" s="39" t="s">
        <v>822</v>
      </c>
      <c r="P610" s="40" t="s">
        <v>1042</v>
      </c>
      <c r="Q610" s="46" t="s">
        <v>1153</v>
      </c>
      <c r="R610" s="42" t="s">
        <v>1154</v>
      </c>
      <c r="S610" s="43" t="s">
        <v>1155</v>
      </c>
      <c r="Z610" s="7"/>
      <c r="AA610" s="7"/>
      <c r="AB610" s="7"/>
      <c r="AC610" s="7"/>
    </row>
    <row r="611" spans="1:29" ht="15.75" hidden="1" customHeight="1" x14ac:dyDescent="0.25">
      <c r="A611" s="12" t="s">
        <v>1033</v>
      </c>
      <c r="B611" s="14" t="str">
        <f>IFERROR((VLOOKUP($A611,'[1]import success seats course'!$A:P,HLOOKUP('[1]Course Totals'!B$4,'[1]import success seats course'!$1:$2,2,FALSE),FALSE)/(VLOOKUP($A611,'[1]import graded seats course pivo'!$A:Z,HLOOKUP('[1]Course Totals'!B$4,'[1]import graded seats course pivo'!$1:$2,2,FALSE),FALSE))),"")</f>
        <v/>
      </c>
      <c r="C611" s="14" t="str">
        <f>IFERROR((VLOOKUP($A611,'[1]import success seats course'!$A:Q,HLOOKUP('[1]Course Totals'!C$4,'[1]import success seats course'!$1:$2,2,FALSE),FALSE)/(VLOOKUP($A611,'[1]import graded seats course pivo'!$A:AA,HLOOKUP('[1]Course Totals'!C$4,'[1]import graded seats course pivo'!$1:$2,2,FALSE),FALSE))),"")</f>
        <v/>
      </c>
      <c r="D611" s="14" t="str">
        <f>IFERROR((VLOOKUP($A611,'[1]import success seats course'!$A:R,HLOOKUP('[1]Course Totals'!D$4,'[1]import success seats course'!$1:$2,2,FALSE),FALSE)/(VLOOKUP($A611,'[1]import graded seats course pivo'!$A:AB,HLOOKUP('[1]Course Totals'!D$4,'[1]import graded seats course pivo'!$1:$2,2,FALSE),FALSE))),"")</f>
        <v/>
      </c>
      <c r="E611" s="14" t="str">
        <f>IFERROR((VLOOKUP($A611,'[1]import success seats course'!$A:S,HLOOKUP('[1]Course Totals'!E$4,'[1]import success seats course'!$1:$2,2,FALSE),FALSE)/(VLOOKUP($A611,'[1]import graded seats course pivo'!$A:AC,HLOOKUP('[1]Course Totals'!E$4,'[1]import graded seats course pivo'!$1:$2,2,FALSE),FALSE))),"")</f>
        <v/>
      </c>
      <c r="F611" s="14" t="str">
        <f>IFERROR((VLOOKUP($A611,'[1]import success seats course'!$A:T,HLOOKUP('[1]Course Totals'!F$4,'[1]import success seats course'!$1:$2,2,FALSE),FALSE)/(VLOOKUP($A611,'[1]import graded seats course pivo'!$A:AD,HLOOKUP('[1]Course Totals'!F$4,'[1]import graded seats course pivo'!$1:$2,2,FALSE),FALSE))),"")</f>
        <v/>
      </c>
      <c r="G611" s="14" t="str">
        <f>IFERROR((VLOOKUP($A611,'[1]import success seats course'!$A:U,HLOOKUP('[1]Course Totals'!G$4,'[1]import success seats course'!$1:$2,2,FALSE),FALSE)/(VLOOKUP($A611,'[1]import graded seats course pivo'!$A:AE,HLOOKUP('[1]Course Totals'!G$4,'[1]import graded seats course pivo'!$1:$2,2,FALSE),FALSE))),"")</f>
        <v/>
      </c>
      <c r="H611" s="14" t="str">
        <f>IFERROR((VLOOKUP($A611,'[1]import success seats course'!$A:V,HLOOKUP('[1]Course Totals'!H$4,'[1]import success seats course'!$1:$2,2,FALSE),FALSE)/(VLOOKUP($A611,'[1]import graded seats course pivo'!$A:AF,HLOOKUP('[1]Course Totals'!H$4,'[1]import graded seats course pivo'!$1:$2,2,FALSE),FALSE))),"")</f>
        <v/>
      </c>
      <c r="I611" s="14" t="str">
        <f>IFERROR((VLOOKUP($A611,'[1]import success seats course'!$A:W,HLOOKUP('[1]Course Totals'!I$4,'[1]import success seats course'!$1:$2,2,FALSE),FALSE)/(VLOOKUP($A611,'[1]import graded seats course pivo'!$A:AG,HLOOKUP('[1]Course Totals'!I$4,'[1]import graded seats course pivo'!$1:$2,2,FALSE),FALSE))),"")</f>
        <v/>
      </c>
      <c r="J611" s="14" t="str">
        <f>IFERROR((VLOOKUP($A611,'[1]import success seats course'!$A:X,HLOOKUP('[1]Course Totals'!J$4,'[1]import success seats course'!$1:$2,2,FALSE),FALSE)/(VLOOKUP($A611,'[1]import graded seats course pivo'!$A:AH,HLOOKUP('[1]Course Totals'!J$4,'[1]import graded seats course pivo'!$1:$2,2,FALSE),FALSE))),"")</f>
        <v/>
      </c>
      <c r="K611" s="14" t="str">
        <f>IFERROR((VLOOKUP($A611,'[1]import success seats course'!$A:Y,HLOOKUP('[1]Course Totals'!K$4,'[1]import success seats course'!$1:$2,2,FALSE),FALSE)/(VLOOKUP($A611,'[1]import graded seats course pivo'!$A:AI,HLOOKUP('[1]Course Totals'!K$4,'[1]import graded seats course pivo'!$1:$2,2,FALSE),FALSE))),"")</f>
        <v/>
      </c>
      <c r="L611" s="14" t="str">
        <f>IFERROR((VLOOKUP($A611,'[1]import success seats course'!$A:Z,HLOOKUP('[1]Course Totals'!L$4,'[1]import success seats course'!$1:$2,2,FALSE),FALSE)/(VLOOKUP($A611,'[1]import graded seats course pivo'!$A:AJ,HLOOKUP('[1]Course Totals'!L$4,'[1]import graded seats course pivo'!$1:$2,2,FALSE),FALSE))),"")</f>
        <v/>
      </c>
      <c r="M611" s="14" t="str">
        <f>IFERROR((VLOOKUP($A611,'[1]import success seats course'!$A:AA,HLOOKUP('[1]Course Totals'!M$4,'[1]import success seats course'!$1:$2,2,FALSE),FALSE)/(VLOOKUP($A611,'[1]import graded seats course pivo'!$A:AK,HLOOKUP('[1]Course Totals'!M$4,'[1]import graded seats course pivo'!$1:$2,2,FALSE),FALSE))),"")</f>
        <v/>
      </c>
      <c r="N611" s="14" t="str">
        <f>IFERROR((VLOOKUP($A611,'[1]import success seats course'!$A:AB,HLOOKUP('[1]Course Totals'!N$4,'[1]import success seats course'!$1:$2,2,FALSE),FALSE)/(VLOOKUP($A611,'[1]import graded seats course pivo'!$A:AL,HLOOKUP('[1]Course Totals'!N$4,'[1]import graded seats course pivo'!$1:$2,2,FALSE),FALSE))),"")</f>
        <v/>
      </c>
      <c r="O611" s="14" t="str">
        <f>IFERROR((VLOOKUP($A611,'[1]import success seats course'!$A:AC,HLOOKUP('[1]Course Totals'!O$4,'[1]import success seats course'!$1:$2,2,FALSE),FALSE)/(VLOOKUP($A611,'[1]import graded seats course pivo'!$A:AM,HLOOKUP('[1]Course Totals'!O$4,'[1]import graded seats course pivo'!$1:$2,2,FALSE),FALSE))),"")</f>
        <v/>
      </c>
      <c r="P611" s="14" t="str">
        <f>IFERROR((VLOOKUP($A611,'[1]import success seats course'!$A:AD,HLOOKUP('[1]Course Totals'!P$4,'[1]import success seats course'!$1:$2,2,FALSE),FALSE)/(VLOOKUP($A611,'[1]import graded seats course pivo'!$A:AN,HLOOKUP('[1]Course Totals'!P$4,'[1]import graded seats course pivo'!$1:$2,2,FALSE),FALSE))),"")</f>
        <v/>
      </c>
      <c r="Q611" s="14" t="str">
        <f>IFERROR((VLOOKUP($A611,'[1]import success seats course'!$A:AE,HLOOKUP('[1]Course Totals'!Q$4,'[1]import success seats course'!$1:$2,2,FALSE),FALSE)/(VLOOKUP($A611,'[1]import graded seats course pivo'!$A:AO,HLOOKUP('[1]Course Totals'!Q$4,'[1]import graded seats course pivo'!$1:$2,2,FALSE),FALSE))),"")</f>
        <v/>
      </c>
      <c r="R611" s="14" t="str">
        <f>IFERROR((VLOOKUP($A611,'[1]import success seats course'!$A:AF,HLOOKUP('[1]Course Totals'!R$4,'[1]import success seats course'!$1:$2,2,FALSE),FALSE)/(VLOOKUP($A611,'[1]import graded seats course pivo'!$A:AP,HLOOKUP('[1]Course Totals'!R$4,'[1]import graded seats course pivo'!$1:$2,2,FALSE),FALSE))),"")</f>
        <v/>
      </c>
      <c r="S611" s="14" t="str">
        <f>IFERROR((VLOOKUP($A611,'[1]import success seats course'!$A:AG,HLOOKUP('[1]Course Totals'!S$4,'[1]import success seats course'!$1:$2,2,FALSE),FALSE)/(VLOOKUP($A611,'[1]import graded seats course pivo'!$A:AQ,HLOOKUP('[1]Course Totals'!S$4,'[1]import graded seats course pivo'!$1:$2,2,FALSE),FALSE))),"")</f>
        <v/>
      </c>
      <c r="Z611" s="7"/>
      <c r="AA611" s="7"/>
      <c r="AB611" s="7"/>
      <c r="AC611" s="7"/>
    </row>
    <row r="612" spans="1:29" ht="15.75" customHeight="1" x14ac:dyDescent="0.25">
      <c r="A612" s="12" t="s">
        <v>616</v>
      </c>
      <c r="B612" s="14" t="str">
        <f>IFERROR((VLOOKUP($A612,'[1]import success seats course'!$A:P,HLOOKUP('[1]Course Totals'!B$4,'[1]import success seats course'!$1:$2,2,FALSE),FALSE)/(VLOOKUP($A612,'[1]import graded seats course pivo'!$A:Z,HLOOKUP('[1]Course Totals'!B$4,'[1]import graded seats course pivo'!$1:$2,2,FALSE),FALSE))),"")</f>
        <v/>
      </c>
      <c r="C612" s="14" t="str">
        <f>IFERROR((VLOOKUP($A612,'[1]import success seats course'!$A:Q,HLOOKUP('[1]Course Totals'!C$4,'[1]import success seats course'!$1:$2,2,FALSE),FALSE)/(VLOOKUP($A612,'[1]import graded seats course pivo'!$A:AA,HLOOKUP('[1]Course Totals'!C$4,'[1]import graded seats course pivo'!$1:$2,2,FALSE),FALSE))),"")</f>
        <v/>
      </c>
      <c r="D612" s="14" t="str">
        <f>IFERROR((VLOOKUP($A612,'[1]import success seats course'!$A:R,HLOOKUP('[1]Course Totals'!D$4,'[1]import success seats course'!$1:$2,2,FALSE),FALSE)/(VLOOKUP($A612,'[1]import graded seats course pivo'!$A:AB,HLOOKUP('[1]Course Totals'!D$4,'[1]import graded seats course pivo'!$1:$2,2,FALSE),FALSE))),"")</f>
        <v/>
      </c>
      <c r="E612" s="14" t="str">
        <f>IFERROR((VLOOKUP($A612,'[1]import success seats course'!$A:S,HLOOKUP('[1]Course Totals'!E$4,'[1]import success seats course'!$1:$2,2,FALSE),FALSE)/(VLOOKUP($A612,'[1]import graded seats course pivo'!$A:AC,HLOOKUP('[1]Course Totals'!E$4,'[1]import graded seats course pivo'!$1:$2,2,FALSE),FALSE))),"")</f>
        <v/>
      </c>
      <c r="F612" s="14">
        <f>IFERROR((VLOOKUP($A612,'[1]import success seats course'!$A:T,HLOOKUP('[1]Course Totals'!F$4,'[1]import success seats course'!$1:$2,2,FALSE),FALSE)/(VLOOKUP($A612,'[1]import graded seats course pivo'!$A:AD,HLOOKUP('[1]Course Totals'!F$4,'[1]import graded seats course pivo'!$1:$2,2,FALSE),FALSE))),"")</f>
        <v>1</v>
      </c>
      <c r="G612" s="14" t="str">
        <f>IFERROR((VLOOKUP($A612,'[1]import success seats course'!$A:U,HLOOKUP('[1]Course Totals'!G$4,'[1]import success seats course'!$1:$2,2,FALSE),FALSE)/(VLOOKUP($A612,'[1]import graded seats course pivo'!$A:AE,HLOOKUP('[1]Course Totals'!G$4,'[1]import graded seats course pivo'!$1:$2,2,FALSE),FALSE))),"")</f>
        <v/>
      </c>
      <c r="H612" s="14" t="str">
        <f>IFERROR((VLOOKUP($A612,'[1]import success seats course'!$A:V,HLOOKUP('[1]Course Totals'!H$4,'[1]import success seats course'!$1:$2,2,FALSE),FALSE)/(VLOOKUP($A612,'[1]import graded seats course pivo'!$A:AF,HLOOKUP('[1]Course Totals'!H$4,'[1]import graded seats course pivo'!$1:$2,2,FALSE),FALSE))),"")</f>
        <v/>
      </c>
      <c r="I612" s="14" t="str">
        <f>IFERROR((VLOOKUP($A612,'[1]import success seats course'!$A:W,HLOOKUP('[1]Course Totals'!I$4,'[1]import success seats course'!$1:$2,2,FALSE),FALSE)/(VLOOKUP($A612,'[1]import graded seats course pivo'!$A:AG,HLOOKUP('[1]Course Totals'!I$4,'[1]import graded seats course pivo'!$1:$2,2,FALSE),FALSE))),"")</f>
        <v/>
      </c>
      <c r="J612" s="14" t="str">
        <f>IFERROR((VLOOKUP($A612,'[1]import success seats course'!$A:X,HLOOKUP('[1]Course Totals'!J$4,'[1]import success seats course'!$1:$2,2,FALSE),FALSE)/(VLOOKUP($A612,'[1]import graded seats course pivo'!$A:AH,HLOOKUP('[1]Course Totals'!J$4,'[1]import graded seats course pivo'!$1:$2,2,FALSE),FALSE))),"")</f>
        <v/>
      </c>
      <c r="K612" s="14" t="str">
        <f>IFERROR((VLOOKUP($A612,'[1]import success seats course'!$A:Y,HLOOKUP('[1]Course Totals'!K$4,'[1]import success seats course'!$1:$2,2,FALSE),FALSE)/(VLOOKUP($A612,'[1]import graded seats course pivo'!$A:AI,HLOOKUP('[1]Course Totals'!K$4,'[1]import graded seats course pivo'!$1:$2,2,FALSE),FALSE))),"")</f>
        <v/>
      </c>
      <c r="L612" s="14" t="str">
        <f>IFERROR((VLOOKUP($A612,'[1]import success seats course'!$A:Z,HLOOKUP('[1]Course Totals'!L$4,'[1]import success seats course'!$1:$2,2,FALSE),FALSE)/(VLOOKUP($A612,'[1]import graded seats course pivo'!$A:AJ,HLOOKUP('[1]Course Totals'!L$4,'[1]import graded seats course pivo'!$1:$2,2,FALSE),FALSE))),"")</f>
        <v/>
      </c>
      <c r="M612" s="14" t="str">
        <f>IFERROR((VLOOKUP($A612,'[1]import success seats course'!$A:AA,HLOOKUP('[1]Course Totals'!M$4,'[1]import success seats course'!$1:$2,2,FALSE),FALSE)/(VLOOKUP($A612,'[1]import graded seats course pivo'!$A:AK,HLOOKUP('[1]Course Totals'!M$4,'[1]import graded seats course pivo'!$1:$2,2,FALSE),FALSE))),"")</f>
        <v/>
      </c>
      <c r="N612" s="14" t="str">
        <f>IFERROR((VLOOKUP($A612,'[1]import success seats course'!$A:AB,HLOOKUP('[1]Course Totals'!N$4,'[1]import success seats course'!$1:$2,2,FALSE),FALSE)/(VLOOKUP($A612,'[1]import graded seats course pivo'!$A:AL,HLOOKUP('[1]Course Totals'!N$4,'[1]import graded seats course pivo'!$1:$2,2,FALSE),FALSE))),"")</f>
        <v/>
      </c>
      <c r="O612" s="14" t="str">
        <f>IFERROR((VLOOKUP($A612,'[1]import success seats course'!$A:AC,HLOOKUP('[1]Course Totals'!O$4,'[1]import success seats course'!$1:$2,2,FALSE),FALSE)/(VLOOKUP($A612,'[1]import graded seats course pivo'!$A:AM,HLOOKUP('[1]Course Totals'!O$4,'[1]import graded seats course pivo'!$1:$2,2,FALSE),FALSE))),"")</f>
        <v/>
      </c>
      <c r="P612" s="14" t="str">
        <f>IFERROR((VLOOKUP($A612,'[1]import success seats course'!$A:AD,HLOOKUP('[1]Course Totals'!P$4,'[1]import success seats course'!$1:$2,2,FALSE),FALSE)/(VLOOKUP($A612,'[1]import graded seats course pivo'!$A:AN,HLOOKUP('[1]Course Totals'!P$4,'[1]import graded seats course pivo'!$1:$2,2,FALSE),FALSE))),"")</f>
        <v/>
      </c>
      <c r="Q612" s="14" t="str">
        <f>IFERROR((VLOOKUP($A612,'[1]import success seats course'!$A:AE,HLOOKUP('[1]Course Totals'!Q$4,'[1]import success seats course'!$1:$2,2,FALSE),FALSE)/(VLOOKUP($A612,'[1]import graded seats course pivo'!$A:AO,HLOOKUP('[1]Course Totals'!Q$4,'[1]import graded seats course pivo'!$1:$2,2,FALSE),FALSE))),"")</f>
        <v/>
      </c>
      <c r="R612" s="14" t="str">
        <f>IFERROR((VLOOKUP($A612,'[1]import success seats course'!$A:AF,HLOOKUP('[1]Course Totals'!R$4,'[1]import success seats course'!$1:$2,2,FALSE),FALSE)/(VLOOKUP($A612,'[1]import graded seats course pivo'!$A:AP,HLOOKUP('[1]Course Totals'!R$4,'[1]import graded seats course pivo'!$1:$2,2,FALSE),FALSE))),"")</f>
        <v/>
      </c>
      <c r="S612" s="14" t="str">
        <f>IFERROR((VLOOKUP($A612,'[1]import success seats course'!$A:AG,HLOOKUP('[1]Course Totals'!S$4,'[1]import success seats course'!$1:$2,2,FALSE),FALSE)/(VLOOKUP($A612,'[1]import graded seats course pivo'!$A:AQ,HLOOKUP('[1]Course Totals'!S$4,'[1]import graded seats course pivo'!$1:$2,2,FALSE),FALSE))),"")</f>
        <v/>
      </c>
      <c r="Z612" s="7"/>
      <c r="AA612" s="7"/>
      <c r="AB612" s="7"/>
      <c r="AC612" s="7"/>
    </row>
    <row r="613" spans="1:29" ht="15.75" x14ac:dyDescent="0.25">
      <c r="A613" s="9" t="s">
        <v>1139</v>
      </c>
      <c r="B613" s="67" t="str">
        <f>'[1]Subject TOTALS'!$B$1:$P$1</f>
        <v xml:space="preserve">MVC Retention Rates </v>
      </c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Z613" s="7"/>
      <c r="AA613" s="7"/>
      <c r="AB613" s="7"/>
      <c r="AC613" s="7"/>
    </row>
    <row r="614" spans="1:29" ht="15.75" customHeight="1" thickBot="1" x14ac:dyDescent="0.3">
      <c r="A614" s="8" t="str">
        <f>'[1]SUBJECTS BASE'!H34</f>
        <v>Guidance</v>
      </c>
      <c r="B614" s="38" t="s">
        <v>1046</v>
      </c>
      <c r="C614" s="39" t="s">
        <v>0</v>
      </c>
      <c r="D614" s="40" t="s">
        <v>868</v>
      </c>
      <c r="E614" s="41" t="s">
        <v>1052</v>
      </c>
      <c r="F614" s="42" t="s">
        <v>546</v>
      </c>
      <c r="G614" s="43" t="s">
        <v>959</v>
      </c>
      <c r="H614" s="44" t="s">
        <v>1060</v>
      </c>
      <c r="I614" s="39" t="s">
        <v>675</v>
      </c>
      <c r="J614" s="45" t="s">
        <v>1006</v>
      </c>
      <c r="K614" s="46" t="s">
        <v>1062</v>
      </c>
      <c r="L614" s="42" t="s">
        <v>762</v>
      </c>
      <c r="M614" s="43" t="s">
        <v>1022</v>
      </c>
      <c r="N614" s="44" t="s">
        <v>1063</v>
      </c>
      <c r="O614" s="39" t="s">
        <v>822</v>
      </c>
      <c r="P614" s="40" t="s">
        <v>1042</v>
      </c>
      <c r="Q614" s="46" t="s">
        <v>1153</v>
      </c>
      <c r="R614" s="42" t="s">
        <v>1154</v>
      </c>
      <c r="S614" s="43" t="s">
        <v>1155</v>
      </c>
      <c r="Z614" s="7"/>
      <c r="AA614" s="7"/>
      <c r="AB614" s="7"/>
      <c r="AC614" s="7"/>
    </row>
    <row r="615" spans="1:29" ht="15.75" customHeight="1" x14ac:dyDescent="0.25">
      <c r="A615" s="12" t="s">
        <v>281</v>
      </c>
      <c r="B615" s="14" t="str">
        <f>IFERROR((VLOOKUP($A615,'[1]import success seats course'!$A:P,HLOOKUP('[1]Course Totals'!B$4,'[1]import success seats course'!$1:$2,2,FALSE),FALSE)/(VLOOKUP($A615,'[1]import graded seats course pivo'!$A:Z,HLOOKUP('[1]Course Totals'!B$4,'[1]import graded seats course pivo'!$1:$2,2,FALSE),FALSE))),"")</f>
        <v/>
      </c>
      <c r="C615" s="14">
        <f>IFERROR((VLOOKUP($A615,'[1]import success seats course'!$A:Q,HLOOKUP('[1]Course Totals'!C$4,'[1]import success seats course'!$1:$2,2,FALSE),FALSE)/(VLOOKUP($A615,'[1]import graded seats course pivo'!$A:AA,HLOOKUP('[1]Course Totals'!C$4,'[1]import graded seats course pivo'!$1:$2,2,FALSE),FALSE))),"")</f>
        <v>0.97499999999999998</v>
      </c>
      <c r="D615" s="14">
        <f>IFERROR((VLOOKUP($A615,'[1]import success seats course'!$A:R,HLOOKUP('[1]Course Totals'!D$4,'[1]import success seats course'!$1:$2,2,FALSE),FALSE)/(VLOOKUP($A615,'[1]import graded seats course pivo'!$A:AB,HLOOKUP('[1]Course Totals'!D$4,'[1]import graded seats course pivo'!$1:$2,2,FALSE),FALSE))),"")</f>
        <v>1</v>
      </c>
      <c r="E615" s="14" t="str">
        <f>IFERROR((VLOOKUP($A615,'[1]import success seats course'!$A:S,HLOOKUP('[1]Course Totals'!E$4,'[1]import success seats course'!$1:$2,2,FALSE),FALSE)/(VLOOKUP($A615,'[1]import graded seats course pivo'!$A:AC,HLOOKUP('[1]Course Totals'!E$4,'[1]import graded seats course pivo'!$1:$2,2,FALSE),FALSE))),"")</f>
        <v/>
      </c>
      <c r="F615" s="14">
        <f>IFERROR((VLOOKUP($A615,'[1]import success seats course'!$A:T,HLOOKUP('[1]Course Totals'!F$4,'[1]import success seats course'!$1:$2,2,FALSE),FALSE)/(VLOOKUP($A615,'[1]import graded seats course pivo'!$A:AD,HLOOKUP('[1]Course Totals'!F$4,'[1]import graded seats course pivo'!$1:$2,2,FALSE),FALSE))),"")</f>
        <v>0.96969696969696972</v>
      </c>
      <c r="G615" s="14">
        <f>IFERROR((VLOOKUP($A615,'[1]import success seats course'!$A:U,HLOOKUP('[1]Course Totals'!G$4,'[1]import success seats course'!$1:$2,2,FALSE),FALSE)/(VLOOKUP($A615,'[1]import graded seats course pivo'!$A:AE,HLOOKUP('[1]Course Totals'!G$4,'[1]import graded seats course pivo'!$1:$2,2,FALSE),FALSE))),"")</f>
        <v>0.75862068965517238</v>
      </c>
      <c r="H615" s="14" t="str">
        <f>IFERROR((VLOOKUP($A615,'[1]import success seats course'!$A:V,HLOOKUP('[1]Course Totals'!H$4,'[1]import success seats course'!$1:$2,2,FALSE),FALSE)/(VLOOKUP($A615,'[1]import graded seats course pivo'!$A:AF,HLOOKUP('[1]Course Totals'!H$4,'[1]import graded seats course pivo'!$1:$2,2,FALSE),FALSE))),"")</f>
        <v/>
      </c>
      <c r="I615" s="14">
        <f>IFERROR((VLOOKUP($A615,'[1]import success seats course'!$A:W,HLOOKUP('[1]Course Totals'!I$4,'[1]import success seats course'!$1:$2,2,FALSE),FALSE)/(VLOOKUP($A615,'[1]import graded seats course pivo'!$A:AG,HLOOKUP('[1]Course Totals'!I$4,'[1]import graded seats course pivo'!$1:$2,2,FALSE),FALSE))),"")</f>
        <v>1</v>
      </c>
      <c r="J615" s="14">
        <f>IFERROR((VLOOKUP($A615,'[1]import success seats course'!$A:X,HLOOKUP('[1]Course Totals'!J$4,'[1]import success seats course'!$1:$2,2,FALSE),FALSE)/(VLOOKUP($A615,'[1]import graded seats course pivo'!$A:AH,HLOOKUP('[1]Course Totals'!J$4,'[1]import graded seats course pivo'!$1:$2,2,FALSE),FALSE))),"")</f>
        <v>0.91666666666666663</v>
      </c>
      <c r="K615" s="14" t="str">
        <f>IFERROR((VLOOKUP($A615,'[1]import success seats course'!$A:Y,HLOOKUP('[1]Course Totals'!K$4,'[1]import success seats course'!$1:$2,2,FALSE),FALSE)/(VLOOKUP($A615,'[1]import graded seats course pivo'!$A:AI,HLOOKUP('[1]Course Totals'!K$4,'[1]import graded seats course pivo'!$1:$2,2,FALSE),FALSE))),"")</f>
        <v/>
      </c>
      <c r="L615" s="14">
        <f>IFERROR((VLOOKUP($A615,'[1]import success seats course'!$A:Z,HLOOKUP('[1]Course Totals'!L$4,'[1]import success seats course'!$1:$2,2,FALSE),FALSE)/(VLOOKUP($A615,'[1]import graded seats course pivo'!$A:AJ,HLOOKUP('[1]Course Totals'!L$4,'[1]import graded seats course pivo'!$1:$2,2,FALSE),FALSE))),"")</f>
        <v>0.88888888888888884</v>
      </c>
      <c r="M615" s="14">
        <f>IFERROR((VLOOKUP($A615,'[1]import success seats course'!$A:AA,HLOOKUP('[1]Course Totals'!M$4,'[1]import success seats course'!$1:$2,2,FALSE),FALSE)/(VLOOKUP($A615,'[1]import graded seats course pivo'!$A:AK,HLOOKUP('[1]Course Totals'!M$4,'[1]import graded seats course pivo'!$1:$2,2,FALSE),FALSE))),"")</f>
        <v>0.9285714285714286</v>
      </c>
      <c r="N615" s="14" t="str">
        <f>IFERROR((VLOOKUP($A615,'[1]import success seats course'!$A:AB,HLOOKUP('[1]Course Totals'!N$4,'[1]import success seats course'!$1:$2,2,FALSE),FALSE)/(VLOOKUP($A615,'[1]import graded seats course pivo'!$A:AL,HLOOKUP('[1]Course Totals'!N$4,'[1]import graded seats course pivo'!$1:$2,2,FALSE),FALSE))),"")</f>
        <v/>
      </c>
      <c r="O615" s="14">
        <f>IFERROR((VLOOKUP($A615,'[1]import success seats course'!$A:AC,HLOOKUP('[1]Course Totals'!O$4,'[1]import success seats course'!$1:$2,2,FALSE),FALSE)/(VLOOKUP($A615,'[1]import graded seats course pivo'!$A:AM,HLOOKUP('[1]Course Totals'!O$4,'[1]import graded seats course pivo'!$1:$2,2,FALSE),FALSE))),"")</f>
        <v>1</v>
      </c>
      <c r="P615" s="14">
        <f>IFERROR((VLOOKUP($A615,'[1]import success seats course'!$A:AD,HLOOKUP('[1]Course Totals'!P$4,'[1]import success seats course'!$1:$2,2,FALSE),FALSE)/(VLOOKUP($A615,'[1]import graded seats course pivo'!$A:AN,HLOOKUP('[1]Course Totals'!P$4,'[1]import graded seats course pivo'!$1:$2,2,FALSE),FALSE))),"")</f>
        <v>1</v>
      </c>
      <c r="Q615" s="14" t="str">
        <f>IFERROR((VLOOKUP($A615,'[1]import success seats course'!$A:AE,HLOOKUP('[1]Course Totals'!Q$4,'[1]import success seats course'!$1:$2,2,FALSE),FALSE)/(VLOOKUP($A615,'[1]import graded seats course pivo'!$A:AO,HLOOKUP('[1]Course Totals'!Q$4,'[1]import graded seats course pivo'!$1:$2,2,FALSE),FALSE))),"")</f>
        <v/>
      </c>
      <c r="R615" s="14" t="str">
        <f>IFERROR((VLOOKUP($A615,'[1]import success seats course'!$A:AF,HLOOKUP('[1]Course Totals'!R$4,'[1]import success seats course'!$1:$2,2,FALSE),FALSE)/(VLOOKUP($A615,'[1]import graded seats course pivo'!$A:AP,HLOOKUP('[1]Course Totals'!R$4,'[1]import graded seats course pivo'!$1:$2,2,FALSE),FALSE))),"")</f>
        <v/>
      </c>
      <c r="S615" s="14" t="str">
        <f>IFERROR((VLOOKUP($A615,'[1]import success seats course'!$A:AG,HLOOKUP('[1]Course Totals'!S$4,'[1]import success seats course'!$1:$2,2,FALSE),FALSE)/(VLOOKUP($A615,'[1]import graded seats course pivo'!$A:AQ,HLOOKUP('[1]Course Totals'!S$4,'[1]import graded seats course pivo'!$1:$2,2,FALSE),FALSE))),"")</f>
        <v/>
      </c>
      <c r="Z615" s="7"/>
      <c r="AA615" s="7"/>
      <c r="AB615" s="7"/>
      <c r="AC615" s="7"/>
    </row>
    <row r="616" spans="1:29" ht="15.75" customHeight="1" x14ac:dyDescent="0.25">
      <c r="A616" s="12" t="s">
        <v>282</v>
      </c>
      <c r="B616" s="14">
        <f>IFERROR((VLOOKUP($A616,'[1]import success seats course'!$A:P,HLOOKUP('[1]Course Totals'!B$4,'[1]import success seats course'!$1:$2,2,FALSE),FALSE)/(VLOOKUP($A616,'[1]import graded seats course pivo'!$A:Z,HLOOKUP('[1]Course Totals'!B$4,'[1]import graded seats course pivo'!$1:$2,2,FALSE),FALSE))),"")</f>
        <v>0.94736842105263153</v>
      </c>
      <c r="C616" s="14">
        <f>IFERROR((VLOOKUP($A616,'[1]import success seats course'!$A:Q,HLOOKUP('[1]Course Totals'!C$4,'[1]import success seats course'!$1:$2,2,FALSE),FALSE)/(VLOOKUP($A616,'[1]import graded seats course pivo'!$A:AA,HLOOKUP('[1]Course Totals'!C$4,'[1]import graded seats course pivo'!$1:$2,2,FALSE),FALSE))),"")</f>
        <v>0.97674418604651159</v>
      </c>
      <c r="D616" s="14">
        <f>IFERROR((VLOOKUP($A616,'[1]import success seats course'!$A:R,HLOOKUP('[1]Course Totals'!D$4,'[1]import success seats course'!$1:$2,2,FALSE),FALSE)/(VLOOKUP($A616,'[1]import graded seats course pivo'!$A:AB,HLOOKUP('[1]Course Totals'!D$4,'[1]import graded seats course pivo'!$1:$2,2,FALSE),FALSE))),"")</f>
        <v>0.7142857142857143</v>
      </c>
      <c r="E616" s="14">
        <f>IFERROR((VLOOKUP($A616,'[1]import success seats course'!$A:S,HLOOKUP('[1]Course Totals'!E$4,'[1]import success seats course'!$1:$2,2,FALSE),FALSE)/(VLOOKUP($A616,'[1]import graded seats course pivo'!$A:AC,HLOOKUP('[1]Course Totals'!E$4,'[1]import graded seats course pivo'!$1:$2,2,FALSE),FALSE))),"")</f>
        <v>1</v>
      </c>
      <c r="F616" s="14">
        <f>IFERROR((VLOOKUP($A616,'[1]import success seats course'!$A:T,HLOOKUP('[1]Course Totals'!F$4,'[1]import success seats course'!$1:$2,2,FALSE),FALSE)/(VLOOKUP($A616,'[1]import graded seats course pivo'!$A:AD,HLOOKUP('[1]Course Totals'!F$4,'[1]import graded seats course pivo'!$1:$2,2,FALSE),FALSE))),"")</f>
        <v>0.90140845070422537</v>
      </c>
      <c r="G616" s="14">
        <f>IFERROR((VLOOKUP($A616,'[1]import success seats course'!$A:U,HLOOKUP('[1]Course Totals'!G$4,'[1]import success seats course'!$1:$2,2,FALSE),FALSE)/(VLOOKUP($A616,'[1]import graded seats course pivo'!$A:AE,HLOOKUP('[1]Course Totals'!G$4,'[1]import graded seats course pivo'!$1:$2,2,FALSE),FALSE))),"")</f>
        <v>0.9</v>
      </c>
      <c r="H616" s="14">
        <f>IFERROR((VLOOKUP($A616,'[1]import success seats course'!$A:V,HLOOKUP('[1]Course Totals'!H$4,'[1]import success seats course'!$1:$2,2,FALSE),FALSE)/(VLOOKUP($A616,'[1]import graded seats course pivo'!$A:AF,HLOOKUP('[1]Course Totals'!H$4,'[1]import graded seats course pivo'!$1:$2,2,FALSE),FALSE))),"")</f>
        <v>1</v>
      </c>
      <c r="I616" s="14">
        <f>IFERROR((VLOOKUP($A616,'[1]import success seats course'!$A:W,HLOOKUP('[1]Course Totals'!I$4,'[1]import success seats course'!$1:$2,2,FALSE),FALSE)/(VLOOKUP($A616,'[1]import graded seats course pivo'!$A:AG,HLOOKUP('[1]Course Totals'!I$4,'[1]import graded seats course pivo'!$1:$2,2,FALSE),FALSE))),"")</f>
        <v>0.97916666666666663</v>
      </c>
      <c r="J616" s="14">
        <f>IFERROR((VLOOKUP($A616,'[1]import success seats course'!$A:X,HLOOKUP('[1]Course Totals'!J$4,'[1]import success seats course'!$1:$2,2,FALSE),FALSE)/(VLOOKUP($A616,'[1]import graded seats course pivo'!$A:AH,HLOOKUP('[1]Course Totals'!J$4,'[1]import graded seats course pivo'!$1:$2,2,FALSE),FALSE))),"")</f>
        <v>1</v>
      </c>
      <c r="K616" s="14" t="str">
        <f>IFERROR((VLOOKUP($A616,'[1]import success seats course'!$A:Y,HLOOKUP('[1]Course Totals'!K$4,'[1]import success seats course'!$1:$2,2,FALSE),FALSE)/(VLOOKUP($A616,'[1]import graded seats course pivo'!$A:AI,HLOOKUP('[1]Course Totals'!K$4,'[1]import graded seats course pivo'!$1:$2,2,FALSE),FALSE))),"")</f>
        <v/>
      </c>
      <c r="L616" s="14">
        <f>IFERROR((VLOOKUP($A616,'[1]import success seats course'!$A:Z,HLOOKUP('[1]Course Totals'!L$4,'[1]import success seats course'!$1:$2,2,FALSE),FALSE)/(VLOOKUP($A616,'[1]import graded seats course pivo'!$A:AJ,HLOOKUP('[1]Course Totals'!L$4,'[1]import graded seats course pivo'!$1:$2,2,FALSE),FALSE))),"")</f>
        <v>1</v>
      </c>
      <c r="M616" s="14">
        <f>IFERROR((VLOOKUP($A616,'[1]import success seats course'!$A:AA,HLOOKUP('[1]Course Totals'!M$4,'[1]import success seats course'!$1:$2,2,FALSE),FALSE)/(VLOOKUP($A616,'[1]import graded seats course pivo'!$A:AK,HLOOKUP('[1]Course Totals'!M$4,'[1]import graded seats course pivo'!$1:$2,2,FALSE),FALSE))),"")</f>
        <v>0.95918367346938771</v>
      </c>
      <c r="N616" s="14" t="str">
        <f>IFERROR((VLOOKUP($A616,'[1]import success seats course'!$A:AB,HLOOKUP('[1]Course Totals'!N$4,'[1]import success seats course'!$1:$2,2,FALSE),FALSE)/(VLOOKUP($A616,'[1]import graded seats course pivo'!$A:AL,HLOOKUP('[1]Course Totals'!N$4,'[1]import graded seats course pivo'!$1:$2,2,FALSE),FALSE))),"")</f>
        <v/>
      </c>
      <c r="O616" s="14">
        <f>IFERROR((VLOOKUP($A616,'[1]import success seats course'!$A:AC,HLOOKUP('[1]Course Totals'!O$4,'[1]import success seats course'!$1:$2,2,FALSE),FALSE)/(VLOOKUP($A616,'[1]import graded seats course pivo'!$A:AM,HLOOKUP('[1]Course Totals'!O$4,'[1]import graded seats course pivo'!$1:$2,2,FALSE),FALSE))),"")</f>
        <v>0.9538461538461539</v>
      </c>
      <c r="P616" s="14">
        <f>IFERROR((VLOOKUP($A616,'[1]import success seats course'!$A:AD,HLOOKUP('[1]Course Totals'!P$4,'[1]import success seats course'!$1:$2,2,FALSE),FALSE)/(VLOOKUP($A616,'[1]import graded seats course pivo'!$A:AN,HLOOKUP('[1]Course Totals'!P$4,'[1]import graded seats course pivo'!$1:$2,2,FALSE),FALSE))),"")</f>
        <v>0.96385542168674698</v>
      </c>
      <c r="Q616" s="14" t="str">
        <f>IFERROR((VLOOKUP($A616,'[1]import success seats course'!$A:AE,HLOOKUP('[1]Course Totals'!Q$4,'[1]import success seats course'!$1:$2,2,FALSE),FALSE)/(VLOOKUP($A616,'[1]import graded seats course pivo'!$A:AO,HLOOKUP('[1]Course Totals'!Q$4,'[1]import graded seats course pivo'!$1:$2,2,FALSE),FALSE))),"")</f>
        <v/>
      </c>
      <c r="R616" s="14">
        <f>IFERROR((VLOOKUP($A616,'[1]import success seats course'!$A:AF,HLOOKUP('[1]Course Totals'!R$4,'[1]import success seats course'!$1:$2,2,FALSE),FALSE)/(VLOOKUP($A616,'[1]import graded seats course pivo'!$A:AP,HLOOKUP('[1]Course Totals'!R$4,'[1]import graded seats course pivo'!$1:$2,2,FALSE),FALSE))),"")</f>
        <v>0.94186046511627908</v>
      </c>
      <c r="S616" s="14">
        <f>IFERROR((VLOOKUP($A616,'[1]import success seats course'!$A:AG,HLOOKUP('[1]Course Totals'!S$4,'[1]import success seats course'!$1:$2,2,FALSE),FALSE)/(VLOOKUP($A616,'[1]import graded seats course pivo'!$A:AQ,HLOOKUP('[1]Course Totals'!S$4,'[1]import graded seats course pivo'!$1:$2,2,FALSE),FALSE))),"")</f>
        <v>0.93506493506493504</v>
      </c>
      <c r="Z616" s="7"/>
      <c r="AA616" s="7"/>
      <c r="AB616" s="7"/>
      <c r="AC616" s="7"/>
    </row>
    <row r="617" spans="1:29" ht="15.75" customHeight="1" x14ac:dyDescent="0.25">
      <c r="A617" s="12" t="s">
        <v>732</v>
      </c>
      <c r="B617" s="14">
        <f>IFERROR((VLOOKUP($A617,'[1]import success seats course'!$A:P,HLOOKUP('[1]Course Totals'!B$4,'[1]import success seats course'!$1:$2,2,FALSE),FALSE)/(VLOOKUP($A617,'[1]import graded seats course pivo'!$A:Z,HLOOKUP('[1]Course Totals'!B$4,'[1]import graded seats course pivo'!$1:$2,2,FALSE),FALSE))),"")</f>
        <v>1</v>
      </c>
      <c r="C617" s="14" t="str">
        <f>IFERROR((VLOOKUP($A617,'[1]import success seats course'!$A:Q,HLOOKUP('[1]Course Totals'!C$4,'[1]import success seats course'!$1:$2,2,FALSE),FALSE)/(VLOOKUP($A617,'[1]import graded seats course pivo'!$A:AA,HLOOKUP('[1]Course Totals'!C$4,'[1]import graded seats course pivo'!$1:$2,2,FALSE),FALSE))),"")</f>
        <v/>
      </c>
      <c r="D617" s="14" t="str">
        <f>IFERROR((VLOOKUP($A617,'[1]import success seats course'!$A:R,HLOOKUP('[1]Course Totals'!D$4,'[1]import success seats course'!$1:$2,2,FALSE),FALSE)/(VLOOKUP($A617,'[1]import graded seats course pivo'!$A:AB,HLOOKUP('[1]Course Totals'!D$4,'[1]import graded seats course pivo'!$1:$2,2,FALSE),FALSE))),"")</f>
        <v/>
      </c>
      <c r="E617" s="14">
        <f>IFERROR((VLOOKUP($A617,'[1]import success seats course'!$A:S,HLOOKUP('[1]Course Totals'!E$4,'[1]import success seats course'!$1:$2,2,FALSE),FALSE)/(VLOOKUP($A617,'[1]import graded seats course pivo'!$A:AC,HLOOKUP('[1]Course Totals'!E$4,'[1]import graded seats course pivo'!$1:$2,2,FALSE),FALSE))),"")</f>
        <v>0.8</v>
      </c>
      <c r="F617" s="14" t="str">
        <f>IFERROR((VLOOKUP($A617,'[1]import success seats course'!$A:T,HLOOKUP('[1]Course Totals'!F$4,'[1]import success seats course'!$1:$2,2,FALSE),FALSE)/(VLOOKUP($A617,'[1]import graded seats course pivo'!$A:AD,HLOOKUP('[1]Course Totals'!F$4,'[1]import graded seats course pivo'!$1:$2,2,FALSE),FALSE))),"")</f>
        <v/>
      </c>
      <c r="G617" s="14" t="str">
        <f>IFERROR((VLOOKUP($A617,'[1]import success seats course'!$A:U,HLOOKUP('[1]Course Totals'!G$4,'[1]import success seats course'!$1:$2,2,FALSE),FALSE)/(VLOOKUP($A617,'[1]import graded seats course pivo'!$A:AE,HLOOKUP('[1]Course Totals'!G$4,'[1]import graded seats course pivo'!$1:$2,2,FALSE),FALSE))),"")</f>
        <v/>
      </c>
      <c r="H617" s="14">
        <f>IFERROR((VLOOKUP($A617,'[1]import success seats course'!$A:V,HLOOKUP('[1]Course Totals'!H$4,'[1]import success seats course'!$1:$2,2,FALSE),FALSE)/(VLOOKUP($A617,'[1]import graded seats course pivo'!$A:AF,HLOOKUP('[1]Course Totals'!H$4,'[1]import graded seats course pivo'!$1:$2,2,FALSE),FALSE))),"")</f>
        <v>1</v>
      </c>
      <c r="I617" s="14" t="str">
        <f>IFERROR((VLOOKUP($A617,'[1]import success seats course'!$A:W,HLOOKUP('[1]Course Totals'!I$4,'[1]import success seats course'!$1:$2,2,FALSE),FALSE)/(VLOOKUP($A617,'[1]import graded seats course pivo'!$A:AG,HLOOKUP('[1]Course Totals'!I$4,'[1]import graded seats course pivo'!$1:$2,2,FALSE),FALSE))),"")</f>
        <v/>
      </c>
      <c r="J617" s="14" t="str">
        <f>IFERROR((VLOOKUP($A617,'[1]import success seats course'!$A:X,HLOOKUP('[1]Course Totals'!J$4,'[1]import success seats course'!$1:$2,2,FALSE),FALSE)/(VLOOKUP($A617,'[1]import graded seats course pivo'!$A:AH,HLOOKUP('[1]Course Totals'!J$4,'[1]import graded seats course pivo'!$1:$2,2,FALSE),FALSE))),"")</f>
        <v/>
      </c>
      <c r="K617" s="14">
        <f>IFERROR((VLOOKUP($A617,'[1]import success seats course'!$A:Y,HLOOKUP('[1]Course Totals'!K$4,'[1]import success seats course'!$1:$2,2,FALSE),FALSE)/(VLOOKUP($A617,'[1]import graded seats course pivo'!$A:AI,HLOOKUP('[1]Course Totals'!K$4,'[1]import graded seats course pivo'!$1:$2,2,FALSE),FALSE))),"")</f>
        <v>1</v>
      </c>
      <c r="L617" s="14" t="str">
        <f>IFERROR((VLOOKUP($A617,'[1]import success seats course'!$A:Z,HLOOKUP('[1]Course Totals'!L$4,'[1]import success seats course'!$1:$2,2,FALSE),FALSE)/(VLOOKUP($A617,'[1]import graded seats course pivo'!$A:AJ,HLOOKUP('[1]Course Totals'!L$4,'[1]import graded seats course pivo'!$1:$2,2,FALSE),FALSE))),"")</f>
        <v/>
      </c>
      <c r="M617" s="14" t="str">
        <f>IFERROR((VLOOKUP($A617,'[1]import success seats course'!$A:AA,HLOOKUP('[1]Course Totals'!M$4,'[1]import success seats course'!$1:$2,2,FALSE),FALSE)/(VLOOKUP($A617,'[1]import graded seats course pivo'!$A:AK,HLOOKUP('[1]Course Totals'!M$4,'[1]import graded seats course pivo'!$1:$2,2,FALSE),FALSE))),"")</f>
        <v/>
      </c>
      <c r="N617" s="14" t="str">
        <f>IFERROR((VLOOKUP($A617,'[1]import success seats course'!$A:AB,HLOOKUP('[1]Course Totals'!N$4,'[1]import success seats course'!$1:$2,2,FALSE),FALSE)/(VLOOKUP($A617,'[1]import graded seats course pivo'!$A:AL,HLOOKUP('[1]Course Totals'!N$4,'[1]import graded seats course pivo'!$1:$2,2,FALSE),FALSE))),"")</f>
        <v/>
      </c>
      <c r="O617" s="14" t="str">
        <f>IFERROR((VLOOKUP($A617,'[1]import success seats course'!$A:AC,HLOOKUP('[1]Course Totals'!O$4,'[1]import success seats course'!$1:$2,2,FALSE),FALSE)/(VLOOKUP($A617,'[1]import graded seats course pivo'!$A:AM,HLOOKUP('[1]Course Totals'!O$4,'[1]import graded seats course pivo'!$1:$2,2,FALSE),FALSE))),"")</f>
        <v/>
      </c>
      <c r="P617" s="14" t="str">
        <f>IFERROR((VLOOKUP($A617,'[1]import success seats course'!$A:AD,HLOOKUP('[1]Course Totals'!P$4,'[1]import success seats course'!$1:$2,2,FALSE),FALSE)/(VLOOKUP($A617,'[1]import graded seats course pivo'!$A:AN,HLOOKUP('[1]Course Totals'!P$4,'[1]import graded seats course pivo'!$1:$2,2,FALSE),FALSE))),"")</f>
        <v/>
      </c>
      <c r="Q617" s="14" t="str">
        <f>IFERROR((VLOOKUP($A617,'[1]import success seats course'!$A:AE,HLOOKUP('[1]Course Totals'!Q$4,'[1]import success seats course'!$1:$2,2,FALSE),FALSE)/(VLOOKUP($A617,'[1]import graded seats course pivo'!$A:AO,HLOOKUP('[1]Course Totals'!Q$4,'[1]import graded seats course pivo'!$1:$2,2,FALSE),FALSE))),"")</f>
        <v/>
      </c>
      <c r="R617" s="14" t="str">
        <f>IFERROR((VLOOKUP($A617,'[1]import success seats course'!$A:AF,HLOOKUP('[1]Course Totals'!R$4,'[1]import success seats course'!$1:$2,2,FALSE),FALSE)/(VLOOKUP($A617,'[1]import graded seats course pivo'!$A:AP,HLOOKUP('[1]Course Totals'!R$4,'[1]import graded seats course pivo'!$1:$2,2,FALSE),FALSE))),"")</f>
        <v/>
      </c>
      <c r="S617" s="14" t="str">
        <f>IFERROR((VLOOKUP($A617,'[1]import success seats course'!$A:AG,HLOOKUP('[1]Course Totals'!S$4,'[1]import success seats course'!$1:$2,2,FALSE),FALSE)/(VLOOKUP($A617,'[1]import graded seats course pivo'!$A:AQ,HLOOKUP('[1]Course Totals'!S$4,'[1]import graded seats course pivo'!$1:$2,2,FALSE),FALSE))),"")</f>
        <v/>
      </c>
      <c r="Z617" s="7"/>
      <c r="AA617" s="7"/>
      <c r="AB617" s="7"/>
      <c r="AC617" s="7"/>
    </row>
    <row r="618" spans="1:29" ht="15.75" hidden="1" customHeight="1" x14ac:dyDescent="0.25">
      <c r="A618" s="12" t="s">
        <v>617</v>
      </c>
      <c r="B618" s="14" t="str">
        <f>IFERROR((VLOOKUP($A618,'[1]import success seats course'!$A:P,HLOOKUP('[1]Course Totals'!B$4,'[1]import success seats course'!$1:$2,2,FALSE),FALSE)/(VLOOKUP($A618,'[1]import graded seats course pivo'!$A:Z,HLOOKUP('[1]Course Totals'!B$4,'[1]import graded seats course pivo'!$1:$2,2,FALSE),FALSE))),"")</f>
        <v/>
      </c>
      <c r="C618" s="14" t="str">
        <f>IFERROR((VLOOKUP($A618,'[1]import success seats course'!$A:Q,HLOOKUP('[1]Course Totals'!C$4,'[1]import success seats course'!$1:$2,2,FALSE),FALSE)/(VLOOKUP($A618,'[1]import graded seats course pivo'!$A:AA,HLOOKUP('[1]Course Totals'!C$4,'[1]import graded seats course pivo'!$1:$2,2,FALSE),FALSE))),"")</f>
        <v/>
      </c>
      <c r="D618" s="14" t="str">
        <f>IFERROR((VLOOKUP($A618,'[1]import success seats course'!$A:R,HLOOKUP('[1]Course Totals'!D$4,'[1]import success seats course'!$1:$2,2,FALSE),FALSE)/(VLOOKUP($A618,'[1]import graded seats course pivo'!$A:AB,HLOOKUP('[1]Course Totals'!D$4,'[1]import graded seats course pivo'!$1:$2,2,FALSE),FALSE))),"")</f>
        <v/>
      </c>
      <c r="E618" s="14" t="str">
        <f>IFERROR((VLOOKUP($A618,'[1]import success seats course'!$A:S,HLOOKUP('[1]Course Totals'!E$4,'[1]import success seats course'!$1:$2,2,FALSE),FALSE)/(VLOOKUP($A618,'[1]import graded seats course pivo'!$A:AC,HLOOKUP('[1]Course Totals'!E$4,'[1]import graded seats course pivo'!$1:$2,2,FALSE),FALSE))),"")</f>
        <v/>
      </c>
      <c r="F618" s="14" t="str">
        <f>IFERROR((VLOOKUP($A618,'[1]import success seats course'!$A:T,HLOOKUP('[1]Course Totals'!F$4,'[1]import success seats course'!$1:$2,2,FALSE),FALSE)/(VLOOKUP($A618,'[1]import graded seats course pivo'!$A:AD,HLOOKUP('[1]Course Totals'!F$4,'[1]import graded seats course pivo'!$1:$2,2,FALSE),FALSE))),"")</f>
        <v/>
      </c>
      <c r="G618" s="14" t="str">
        <f>IFERROR((VLOOKUP($A618,'[1]import success seats course'!$A:U,HLOOKUP('[1]Course Totals'!G$4,'[1]import success seats course'!$1:$2,2,FALSE),FALSE)/(VLOOKUP($A618,'[1]import graded seats course pivo'!$A:AE,HLOOKUP('[1]Course Totals'!G$4,'[1]import graded seats course pivo'!$1:$2,2,FALSE),FALSE))),"")</f>
        <v/>
      </c>
      <c r="H618" s="14" t="str">
        <f>IFERROR((VLOOKUP($A618,'[1]import success seats course'!$A:V,HLOOKUP('[1]Course Totals'!H$4,'[1]import success seats course'!$1:$2,2,FALSE),FALSE)/(VLOOKUP($A618,'[1]import graded seats course pivo'!$A:AF,HLOOKUP('[1]Course Totals'!H$4,'[1]import graded seats course pivo'!$1:$2,2,FALSE),FALSE))),"")</f>
        <v/>
      </c>
      <c r="I618" s="14" t="str">
        <f>IFERROR((VLOOKUP($A618,'[1]import success seats course'!$A:W,HLOOKUP('[1]Course Totals'!I$4,'[1]import success seats course'!$1:$2,2,FALSE),FALSE)/(VLOOKUP($A618,'[1]import graded seats course pivo'!$A:AG,HLOOKUP('[1]Course Totals'!I$4,'[1]import graded seats course pivo'!$1:$2,2,FALSE),FALSE))),"")</f>
        <v/>
      </c>
      <c r="J618" s="14" t="str">
        <f>IFERROR((VLOOKUP($A618,'[1]import success seats course'!$A:X,HLOOKUP('[1]Course Totals'!J$4,'[1]import success seats course'!$1:$2,2,FALSE),FALSE)/(VLOOKUP($A618,'[1]import graded seats course pivo'!$A:AH,HLOOKUP('[1]Course Totals'!J$4,'[1]import graded seats course pivo'!$1:$2,2,FALSE),FALSE))),"")</f>
        <v/>
      </c>
      <c r="K618" s="14" t="str">
        <f>IFERROR((VLOOKUP($A618,'[1]import success seats course'!$A:Y,HLOOKUP('[1]Course Totals'!K$4,'[1]import success seats course'!$1:$2,2,FALSE),FALSE)/(VLOOKUP($A618,'[1]import graded seats course pivo'!$A:AI,HLOOKUP('[1]Course Totals'!K$4,'[1]import graded seats course pivo'!$1:$2,2,FALSE),FALSE))),"")</f>
        <v/>
      </c>
      <c r="L618" s="14" t="str">
        <f>IFERROR((VLOOKUP($A618,'[1]import success seats course'!$A:Z,HLOOKUP('[1]Course Totals'!L$4,'[1]import success seats course'!$1:$2,2,FALSE),FALSE)/(VLOOKUP($A618,'[1]import graded seats course pivo'!$A:AJ,HLOOKUP('[1]Course Totals'!L$4,'[1]import graded seats course pivo'!$1:$2,2,FALSE),FALSE))),"")</f>
        <v/>
      </c>
      <c r="M618" s="14" t="str">
        <f>IFERROR((VLOOKUP($A618,'[1]import success seats course'!$A:AA,HLOOKUP('[1]Course Totals'!M$4,'[1]import success seats course'!$1:$2,2,FALSE),FALSE)/(VLOOKUP($A618,'[1]import graded seats course pivo'!$A:AK,HLOOKUP('[1]Course Totals'!M$4,'[1]import graded seats course pivo'!$1:$2,2,FALSE),FALSE))),"")</f>
        <v/>
      </c>
      <c r="N618" s="14" t="str">
        <f>IFERROR((VLOOKUP($A618,'[1]import success seats course'!$A:AB,HLOOKUP('[1]Course Totals'!N$4,'[1]import success seats course'!$1:$2,2,FALSE),FALSE)/(VLOOKUP($A618,'[1]import graded seats course pivo'!$A:AL,HLOOKUP('[1]Course Totals'!N$4,'[1]import graded seats course pivo'!$1:$2,2,FALSE),FALSE))),"")</f>
        <v/>
      </c>
      <c r="O618" s="14" t="str">
        <f>IFERROR((VLOOKUP($A618,'[1]import success seats course'!$A:AC,HLOOKUP('[1]Course Totals'!O$4,'[1]import success seats course'!$1:$2,2,FALSE),FALSE)/(VLOOKUP($A618,'[1]import graded seats course pivo'!$A:AM,HLOOKUP('[1]Course Totals'!O$4,'[1]import graded seats course pivo'!$1:$2,2,FALSE),FALSE))),"")</f>
        <v/>
      </c>
      <c r="P618" s="14" t="str">
        <f>IFERROR((VLOOKUP($A618,'[1]import success seats course'!$A:AD,HLOOKUP('[1]Course Totals'!P$4,'[1]import success seats course'!$1:$2,2,FALSE),FALSE)/(VLOOKUP($A618,'[1]import graded seats course pivo'!$A:AN,HLOOKUP('[1]Course Totals'!P$4,'[1]import graded seats course pivo'!$1:$2,2,FALSE),FALSE))),"")</f>
        <v/>
      </c>
      <c r="Q618" s="14" t="str">
        <f>IFERROR((VLOOKUP($A618,'[1]import success seats course'!$A:AE,HLOOKUP('[1]Course Totals'!Q$4,'[1]import success seats course'!$1:$2,2,FALSE),FALSE)/(VLOOKUP($A618,'[1]import graded seats course pivo'!$A:AO,HLOOKUP('[1]Course Totals'!Q$4,'[1]import graded seats course pivo'!$1:$2,2,FALSE),FALSE))),"")</f>
        <v/>
      </c>
      <c r="R618" s="14" t="str">
        <f>IFERROR((VLOOKUP($A618,'[1]import success seats course'!$A:AF,HLOOKUP('[1]Course Totals'!R$4,'[1]import success seats course'!$1:$2,2,FALSE),FALSE)/(VLOOKUP($A618,'[1]import graded seats course pivo'!$A:AP,HLOOKUP('[1]Course Totals'!R$4,'[1]import graded seats course pivo'!$1:$2,2,FALSE),FALSE))),"")</f>
        <v/>
      </c>
      <c r="S618" s="14" t="str">
        <f>IFERROR((VLOOKUP($A618,'[1]import success seats course'!$A:AG,HLOOKUP('[1]Course Totals'!S$4,'[1]import success seats course'!$1:$2,2,FALSE),FALSE)/(VLOOKUP($A618,'[1]import graded seats course pivo'!$A:AQ,HLOOKUP('[1]Course Totals'!S$4,'[1]import graded seats course pivo'!$1:$2,2,FALSE),FALSE))),"")</f>
        <v/>
      </c>
      <c r="Z618" s="7"/>
      <c r="AA618" s="7"/>
      <c r="AB618" s="7"/>
      <c r="AC618" s="7"/>
    </row>
    <row r="619" spans="1:29" ht="15.75" customHeight="1" x14ac:dyDescent="0.25">
      <c r="A619" s="12" t="s">
        <v>283</v>
      </c>
      <c r="B619" s="14" t="str">
        <f>IFERROR((VLOOKUP($A619,'[1]import success seats course'!$A:P,HLOOKUP('[1]Course Totals'!B$4,'[1]import success seats course'!$1:$2,2,FALSE),FALSE)/(VLOOKUP($A619,'[1]import graded seats course pivo'!$A:Z,HLOOKUP('[1]Course Totals'!B$4,'[1]import graded seats course pivo'!$1:$2,2,FALSE),FALSE))),"")</f>
        <v/>
      </c>
      <c r="C619" s="14">
        <f>IFERROR((VLOOKUP($A619,'[1]import success seats course'!$A:Q,HLOOKUP('[1]Course Totals'!C$4,'[1]import success seats course'!$1:$2,2,FALSE),FALSE)/(VLOOKUP($A619,'[1]import graded seats course pivo'!$A:AA,HLOOKUP('[1]Course Totals'!C$4,'[1]import graded seats course pivo'!$1:$2,2,FALSE),FALSE))),"")</f>
        <v>0.86486486486486491</v>
      </c>
      <c r="D619" s="14">
        <f>IFERROR((VLOOKUP($A619,'[1]import success seats course'!$A:R,HLOOKUP('[1]Course Totals'!D$4,'[1]import success seats course'!$1:$2,2,FALSE),FALSE)/(VLOOKUP($A619,'[1]import graded seats course pivo'!$A:AB,HLOOKUP('[1]Course Totals'!D$4,'[1]import graded seats course pivo'!$1:$2,2,FALSE),FALSE))),"")</f>
        <v>0.95</v>
      </c>
      <c r="E619" s="14" t="str">
        <f>IFERROR((VLOOKUP($A619,'[1]import success seats course'!$A:S,HLOOKUP('[1]Course Totals'!E$4,'[1]import success seats course'!$1:$2,2,FALSE),FALSE)/(VLOOKUP($A619,'[1]import graded seats course pivo'!$A:AC,HLOOKUP('[1]Course Totals'!E$4,'[1]import graded seats course pivo'!$1:$2,2,FALSE),FALSE))),"")</f>
        <v/>
      </c>
      <c r="F619" s="14" t="str">
        <f>IFERROR((VLOOKUP($A619,'[1]import success seats course'!$A:T,HLOOKUP('[1]Course Totals'!F$4,'[1]import success seats course'!$1:$2,2,FALSE),FALSE)/(VLOOKUP($A619,'[1]import graded seats course pivo'!$A:AD,HLOOKUP('[1]Course Totals'!F$4,'[1]import graded seats course pivo'!$1:$2,2,FALSE),FALSE))),"")</f>
        <v/>
      </c>
      <c r="G619" s="14">
        <f>IFERROR((VLOOKUP($A619,'[1]import success seats course'!$A:U,HLOOKUP('[1]Course Totals'!G$4,'[1]import success seats course'!$1:$2,2,FALSE),FALSE)/(VLOOKUP($A619,'[1]import graded seats course pivo'!$A:AE,HLOOKUP('[1]Course Totals'!G$4,'[1]import graded seats course pivo'!$1:$2,2,FALSE),FALSE))),"")</f>
        <v>0.93333333333333335</v>
      </c>
      <c r="H619" s="14" t="str">
        <f>IFERROR((VLOOKUP($A619,'[1]import success seats course'!$A:V,HLOOKUP('[1]Course Totals'!H$4,'[1]import success seats course'!$1:$2,2,FALSE),FALSE)/(VLOOKUP($A619,'[1]import graded seats course pivo'!$A:AF,HLOOKUP('[1]Course Totals'!H$4,'[1]import graded seats course pivo'!$1:$2,2,FALSE),FALSE))),"")</f>
        <v/>
      </c>
      <c r="I619" s="14">
        <f>IFERROR((VLOOKUP($A619,'[1]import success seats course'!$A:W,HLOOKUP('[1]Course Totals'!I$4,'[1]import success seats course'!$1:$2,2,FALSE),FALSE)/(VLOOKUP($A619,'[1]import graded seats course pivo'!$A:AG,HLOOKUP('[1]Course Totals'!I$4,'[1]import graded seats course pivo'!$1:$2,2,FALSE),FALSE))),"")</f>
        <v>0.96</v>
      </c>
      <c r="J619" s="14" t="str">
        <f>IFERROR((VLOOKUP($A619,'[1]import success seats course'!$A:X,HLOOKUP('[1]Course Totals'!J$4,'[1]import success seats course'!$1:$2,2,FALSE),FALSE)/(VLOOKUP($A619,'[1]import graded seats course pivo'!$A:AH,HLOOKUP('[1]Course Totals'!J$4,'[1]import graded seats course pivo'!$1:$2,2,FALSE),FALSE))),"")</f>
        <v/>
      </c>
      <c r="K619" s="14" t="str">
        <f>IFERROR((VLOOKUP($A619,'[1]import success seats course'!$A:Y,HLOOKUP('[1]Course Totals'!K$4,'[1]import success seats course'!$1:$2,2,FALSE),FALSE)/(VLOOKUP($A619,'[1]import graded seats course pivo'!$A:AI,HLOOKUP('[1]Course Totals'!K$4,'[1]import graded seats course pivo'!$1:$2,2,FALSE),FALSE))),"")</f>
        <v/>
      </c>
      <c r="L619" s="14" t="str">
        <f>IFERROR((VLOOKUP($A619,'[1]import success seats course'!$A:Z,HLOOKUP('[1]Course Totals'!L$4,'[1]import success seats course'!$1:$2,2,FALSE),FALSE)/(VLOOKUP($A619,'[1]import graded seats course pivo'!$A:AJ,HLOOKUP('[1]Course Totals'!L$4,'[1]import graded seats course pivo'!$1:$2,2,FALSE),FALSE))),"")</f>
        <v/>
      </c>
      <c r="M619" s="14" t="str">
        <f>IFERROR((VLOOKUP($A619,'[1]import success seats course'!$A:AA,HLOOKUP('[1]Course Totals'!M$4,'[1]import success seats course'!$1:$2,2,FALSE),FALSE)/(VLOOKUP($A619,'[1]import graded seats course pivo'!$A:AK,HLOOKUP('[1]Course Totals'!M$4,'[1]import graded seats course pivo'!$1:$2,2,FALSE),FALSE))),"")</f>
        <v/>
      </c>
      <c r="N619" s="14" t="str">
        <f>IFERROR((VLOOKUP($A619,'[1]import success seats course'!$A:AB,HLOOKUP('[1]Course Totals'!N$4,'[1]import success seats course'!$1:$2,2,FALSE),FALSE)/(VLOOKUP($A619,'[1]import graded seats course pivo'!$A:AL,HLOOKUP('[1]Course Totals'!N$4,'[1]import graded seats course pivo'!$1:$2,2,FALSE),FALSE))),"")</f>
        <v/>
      </c>
      <c r="O619" s="14" t="str">
        <f>IFERROR((VLOOKUP($A619,'[1]import success seats course'!$A:AC,HLOOKUP('[1]Course Totals'!O$4,'[1]import success seats course'!$1:$2,2,FALSE),FALSE)/(VLOOKUP($A619,'[1]import graded seats course pivo'!$A:AM,HLOOKUP('[1]Course Totals'!O$4,'[1]import graded seats course pivo'!$1:$2,2,FALSE),FALSE))),"")</f>
        <v/>
      </c>
      <c r="P619" s="14" t="str">
        <f>IFERROR((VLOOKUP($A619,'[1]import success seats course'!$A:AD,HLOOKUP('[1]Course Totals'!P$4,'[1]import success seats course'!$1:$2,2,FALSE),FALSE)/(VLOOKUP($A619,'[1]import graded seats course pivo'!$A:AN,HLOOKUP('[1]Course Totals'!P$4,'[1]import graded seats course pivo'!$1:$2,2,FALSE),FALSE))),"")</f>
        <v/>
      </c>
      <c r="Q619" s="14" t="str">
        <f>IFERROR((VLOOKUP($A619,'[1]import success seats course'!$A:AE,HLOOKUP('[1]Course Totals'!Q$4,'[1]import success seats course'!$1:$2,2,FALSE),FALSE)/(VLOOKUP($A619,'[1]import graded seats course pivo'!$A:AO,HLOOKUP('[1]Course Totals'!Q$4,'[1]import graded seats course pivo'!$1:$2,2,FALSE),FALSE))),"")</f>
        <v/>
      </c>
      <c r="R619" s="14" t="str">
        <f>IFERROR((VLOOKUP($A619,'[1]import success seats course'!$A:AF,HLOOKUP('[1]Course Totals'!R$4,'[1]import success seats course'!$1:$2,2,FALSE),FALSE)/(VLOOKUP($A619,'[1]import graded seats course pivo'!$A:AP,HLOOKUP('[1]Course Totals'!R$4,'[1]import graded seats course pivo'!$1:$2,2,FALSE),FALSE))),"")</f>
        <v/>
      </c>
      <c r="S619" s="14" t="str">
        <f>IFERROR((VLOOKUP($A619,'[1]import success seats course'!$A:AG,HLOOKUP('[1]Course Totals'!S$4,'[1]import success seats course'!$1:$2,2,FALSE),FALSE)/(VLOOKUP($A619,'[1]import graded seats course pivo'!$A:AQ,HLOOKUP('[1]Course Totals'!S$4,'[1]import graded seats course pivo'!$1:$2,2,FALSE),FALSE))),"")</f>
        <v/>
      </c>
      <c r="Z619" s="7"/>
      <c r="AA619" s="7"/>
      <c r="AB619" s="7"/>
      <c r="AC619" s="7"/>
    </row>
    <row r="620" spans="1:29" ht="15.75" hidden="1" customHeight="1" x14ac:dyDescent="0.25">
      <c r="A620" s="12" t="s">
        <v>618</v>
      </c>
      <c r="B620" s="14" t="str">
        <f>IFERROR((VLOOKUP($A620,'[1]import success seats course'!$A:P,HLOOKUP('[1]Course Totals'!B$4,'[1]import success seats course'!$1:$2,2,FALSE),FALSE)/(VLOOKUP($A620,'[1]import graded seats course pivo'!$A:Z,HLOOKUP('[1]Course Totals'!B$4,'[1]import graded seats course pivo'!$1:$2,2,FALSE),FALSE))),"")</f>
        <v/>
      </c>
      <c r="C620" s="14" t="str">
        <f>IFERROR((VLOOKUP($A620,'[1]import success seats course'!$A:Q,HLOOKUP('[1]Course Totals'!C$4,'[1]import success seats course'!$1:$2,2,FALSE),FALSE)/(VLOOKUP($A620,'[1]import graded seats course pivo'!$A:AA,HLOOKUP('[1]Course Totals'!C$4,'[1]import graded seats course pivo'!$1:$2,2,FALSE),FALSE))),"")</f>
        <v/>
      </c>
      <c r="D620" s="14" t="str">
        <f>IFERROR((VLOOKUP($A620,'[1]import success seats course'!$A:R,HLOOKUP('[1]Course Totals'!D$4,'[1]import success seats course'!$1:$2,2,FALSE),FALSE)/(VLOOKUP($A620,'[1]import graded seats course pivo'!$A:AB,HLOOKUP('[1]Course Totals'!D$4,'[1]import graded seats course pivo'!$1:$2,2,FALSE),FALSE))),"")</f>
        <v/>
      </c>
      <c r="E620" s="14" t="str">
        <f>IFERROR((VLOOKUP($A620,'[1]import success seats course'!$A:S,HLOOKUP('[1]Course Totals'!E$4,'[1]import success seats course'!$1:$2,2,FALSE),FALSE)/(VLOOKUP($A620,'[1]import graded seats course pivo'!$A:AC,HLOOKUP('[1]Course Totals'!E$4,'[1]import graded seats course pivo'!$1:$2,2,FALSE),FALSE))),"")</f>
        <v/>
      </c>
      <c r="F620" s="14" t="str">
        <f>IFERROR((VLOOKUP($A620,'[1]import success seats course'!$A:T,HLOOKUP('[1]Course Totals'!F$4,'[1]import success seats course'!$1:$2,2,FALSE),FALSE)/(VLOOKUP($A620,'[1]import graded seats course pivo'!$A:AD,HLOOKUP('[1]Course Totals'!F$4,'[1]import graded seats course pivo'!$1:$2,2,FALSE),FALSE))),"")</f>
        <v/>
      </c>
      <c r="G620" s="14" t="str">
        <f>IFERROR((VLOOKUP($A620,'[1]import success seats course'!$A:U,HLOOKUP('[1]Course Totals'!G$4,'[1]import success seats course'!$1:$2,2,FALSE),FALSE)/(VLOOKUP($A620,'[1]import graded seats course pivo'!$A:AE,HLOOKUP('[1]Course Totals'!G$4,'[1]import graded seats course pivo'!$1:$2,2,FALSE),FALSE))),"")</f>
        <v/>
      </c>
      <c r="H620" s="14" t="str">
        <f>IFERROR((VLOOKUP($A620,'[1]import success seats course'!$A:V,HLOOKUP('[1]Course Totals'!H$4,'[1]import success seats course'!$1:$2,2,FALSE),FALSE)/(VLOOKUP($A620,'[1]import graded seats course pivo'!$A:AF,HLOOKUP('[1]Course Totals'!H$4,'[1]import graded seats course pivo'!$1:$2,2,FALSE),FALSE))),"")</f>
        <v/>
      </c>
      <c r="I620" s="14" t="str">
        <f>IFERROR((VLOOKUP($A620,'[1]import success seats course'!$A:W,HLOOKUP('[1]Course Totals'!I$4,'[1]import success seats course'!$1:$2,2,FALSE),FALSE)/(VLOOKUP($A620,'[1]import graded seats course pivo'!$A:AG,HLOOKUP('[1]Course Totals'!I$4,'[1]import graded seats course pivo'!$1:$2,2,FALSE),FALSE))),"")</f>
        <v/>
      </c>
      <c r="J620" s="14" t="str">
        <f>IFERROR((VLOOKUP($A620,'[1]import success seats course'!$A:X,HLOOKUP('[1]Course Totals'!J$4,'[1]import success seats course'!$1:$2,2,FALSE),FALSE)/(VLOOKUP($A620,'[1]import graded seats course pivo'!$A:AH,HLOOKUP('[1]Course Totals'!J$4,'[1]import graded seats course pivo'!$1:$2,2,FALSE),FALSE))),"")</f>
        <v/>
      </c>
      <c r="K620" s="14" t="str">
        <f>IFERROR((VLOOKUP($A620,'[1]import success seats course'!$A:Y,HLOOKUP('[1]Course Totals'!K$4,'[1]import success seats course'!$1:$2,2,FALSE),FALSE)/(VLOOKUP($A620,'[1]import graded seats course pivo'!$A:AI,HLOOKUP('[1]Course Totals'!K$4,'[1]import graded seats course pivo'!$1:$2,2,FALSE),FALSE))),"")</f>
        <v/>
      </c>
      <c r="L620" s="14" t="str">
        <f>IFERROR((VLOOKUP($A620,'[1]import success seats course'!$A:Z,HLOOKUP('[1]Course Totals'!L$4,'[1]import success seats course'!$1:$2,2,FALSE),FALSE)/(VLOOKUP($A620,'[1]import graded seats course pivo'!$A:AJ,HLOOKUP('[1]Course Totals'!L$4,'[1]import graded seats course pivo'!$1:$2,2,FALSE),FALSE))),"")</f>
        <v/>
      </c>
      <c r="M620" s="14" t="str">
        <f>IFERROR((VLOOKUP($A620,'[1]import success seats course'!$A:AA,HLOOKUP('[1]Course Totals'!M$4,'[1]import success seats course'!$1:$2,2,FALSE),FALSE)/(VLOOKUP($A620,'[1]import graded seats course pivo'!$A:AK,HLOOKUP('[1]Course Totals'!M$4,'[1]import graded seats course pivo'!$1:$2,2,FALSE),FALSE))),"")</f>
        <v/>
      </c>
      <c r="N620" s="14" t="str">
        <f>IFERROR((VLOOKUP($A620,'[1]import success seats course'!$A:AB,HLOOKUP('[1]Course Totals'!N$4,'[1]import success seats course'!$1:$2,2,FALSE),FALSE)/(VLOOKUP($A620,'[1]import graded seats course pivo'!$A:AL,HLOOKUP('[1]Course Totals'!N$4,'[1]import graded seats course pivo'!$1:$2,2,FALSE),FALSE))),"")</f>
        <v/>
      </c>
      <c r="O620" s="14" t="str">
        <f>IFERROR((VLOOKUP($A620,'[1]import success seats course'!$A:AC,HLOOKUP('[1]Course Totals'!O$4,'[1]import success seats course'!$1:$2,2,FALSE),FALSE)/(VLOOKUP($A620,'[1]import graded seats course pivo'!$A:AM,HLOOKUP('[1]Course Totals'!O$4,'[1]import graded seats course pivo'!$1:$2,2,FALSE),FALSE))),"")</f>
        <v/>
      </c>
      <c r="P620" s="14" t="str">
        <f>IFERROR((VLOOKUP($A620,'[1]import success seats course'!$A:AD,HLOOKUP('[1]Course Totals'!P$4,'[1]import success seats course'!$1:$2,2,FALSE),FALSE)/(VLOOKUP($A620,'[1]import graded seats course pivo'!$A:AN,HLOOKUP('[1]Course Totals'!P$4,'[1]import graded seats course pivo'!$1:$2,2,FALSE),FALSE))),"")</f>
        <v/>
      </c>
      <c r="Q620" s="14" t="str">
        <f>IFERROR((VLOOKUP($A620,'[1]import success seats course'!$A:AE,HLOOKUP('[1]Course Totals'!Q$4,'[1]import success seats course'!$1:$2,2,FALSE),FALSE)/(VLOOKUP($A620,'[1]import graded seats course pivo'!$A:AO,HLOOKUP('[1]Course Totals'!Q$4,'[1]import graded seats course pivo'!$1:$2,2,FALSE),FALSE))),"")</f>
        <v/>
      </c>
      <c r="R620" s="14" t="str">
        <f>IFERROR((VLOOKUP($A620,'[1]import success seats course'!$A:AF,HLOOKUP('[1]Course Totals'!R$4,'[1]import success seats course'!$1:$2,2,FALSE),FALSE)/(VLOOKUP($A620,'[1]import graded seats course pivo'!$A:AP,HLOOKUP('[1]Course Totals'!R$4,'[1]import graded seats course pivo'!$1:$2,2,FALSE),FALSE))),"")</f>
        <v/>
      </c>
      <c r="S620" s="14" t="str">
        <f>IFERROR((VLOOKUP($A620,'[1]import success seats course'!$A:AG,HLOOKUP('[1]Course Totals'!S$4,'[1]import success seats course'!$1:$2,2,FALSE),FALSE)/(VLOOKUP($A620,'[1]import graded seats course pivo'!$A:AQ,HLOOKUP('[1]Course Totals'!S$4,'[1]import graded seats course pivo'!$1:$2,2,FALSE),FALSE))),"")</f>
        <v/>
      </c>
      <c r="Z620" s="7"/>
      <c r="AA620" s="7"/>
      <c r="AB620" s="7"/>
      <c r="AC620" s="7"/>
    </row>
    <row r="621" spans="1:29" ht="15.75" hidden="1" customHeight="1" x14ac:dyDescent="0.25">
      <c r="A621" s="12" t="s">
        <v>284</v>
      </c>
      <c r="B621" s="14" t="str">
        <f>IFERROR((VLOOKUP($A621,'[1]import success seats course'!$A:P,HLOOKUP('[1]Course Totals'!B$4,'[1]import success seats course'!$1:$2,2,FALSE),FALSE)/(VLOOKUP($A621,'[1]import graded seats course pivo'!$A:Z,HLOOKUP('[1]Course Totals'!B$4,'[1]import graded seats course pivo'!$1:$2,2,FALSE),FALSE))),"")</f>
        <v/>
      </c>
      <c r="C621" s="14" t="str">
        <f>IFERROR((VLOOKUP($A621,'[1]import success seats course'!$A:Q,HLOOKUP('[1]Course Totals'!C$4,'[1]import success seats course'!$1:$2,2,FALSE),FALSE)/(VLOOKUP($A621,'[1]import graded seats course pivo'!$A:AA,HLOOKUP('[1]Course Totals'!C$4,'[1]import graded seats course pivo'!$1:$2,2,FALSE),FALSE))),"")</f>
        <v/>
      </c>
      <c r="D621" s="14" t="str">
        <f>IFERROR((VLOOKUP($A621,'[1]import success seats course'!$A:R,HLOOKUP('[1]Course Totals'!D$4,'[1]import success seats course'!$1:$2,2,FALSE),FALSE)/(VLOOKUP($A621,'[1]import graded seats course pivo'!$A:AB,HLOOKUP('[1]Course Totals'!D$4,'[1]import graded seats course pivo'!$1:$2,2,FALSE),FALSE))),"")</f>
        <v/>
      </c>
      <c r="E621" s="14" t="str">
        <f>IFERROR((VLOOKUP($A621,'[1]import success seats course'!$A:S,HLOOKUP('[1]Course Totals'!E$4,'[1]import success seats course'!$1:$2,2,FALSE),FALSE)/(VLOOKUP($A621,'[1]import graded seats course pivo'!$A:AC,HLOOKUP('[1]Course Totals'!E$4,'[1]import graded seats course pivo'!$1:$2,2,FALSE),FALSE))),"")</f>
        <v/>
      </c>
      <c r="F621" s="14" t="str">
        <f>IFERROR((VLOOKUP($A621,'[1]import success seats course'!$A:T,HLOOKUP('[1]Course Totals'!F$4,'[1]import success seats course'!$1:$2,2,FALSE),FALSE)/(VLOOKUP($A621,'[1]import graded seats course pivo'!$A:AD,HLOOKUP('[1]Course Totals'!F$4,'[1]import graded seats course pivo'!$1:$2,2,FALSE),FALSE))),"")</f>
        <v/>
      </c>
      <c r="G621" s="14" t="str">
        <f>IFERROR((VLOOKUP($A621,'[1]import success seats course'!$A:U,HLOOKUP('[1]Course Totals'!G$4,'[1]import success seats course'!$1:$2,2,FALSE),FALSE)/(VLOOKUP($A621,'[1]import graded seats course pivo'!$A:AE,HLOOKUP('[1]Course Totals'!G$4,'[1]import graded seats course pivo'!$1:$2,2,FALSE),FALSE))),"")</f>
        <v/>
      </c>
      <c r="H621" s="14" t="str">
        <f>IFERROR((VLOOKUP($A621,'[1]import success seats course'!$A:V,HLOOKUP('[1]Course Totals'!H$4,'[1]import success seats course'!$1:$2,2,FALSE),FALSE)/(VLOOKUP($A621,'[1]import graded seats course pivo'!$A:AF,HLOOKUP('[1]Course Totals'!H$4,'[1]import graded seats course pivo'!$1:$2,2,FALSE),FALSE))),"")</f>
        <v/>
      </c>
      <c r="I621" s="14" t="str">
        <f>IFERROR((VLOOKUP($A621,'[1]import success seats course'!$A:W,HLOOKUP('[1]Course Totals'!I$4,'[1]import success seats course'!$1:$2,2,FALSE),FALSE)/(VLOOKUP($A621,'[1]import graded seats course pivo'!$A:AG,HLOOKUP('[1]Course Totals'!I$4,'[1]import graded seats course pivo'!$1:$2,2,FALSE),FALSE))),"")</f>
        <v/>
      </c>
      <c r="J621" s="14" t="str">
        <f>IFERROR((VLOOKUP($A621,'[1]import success seats course'!$A:X,HLOOKUP('[1]Course Totals'!J$4,'[1]import success seats course'!$1:$2,2,FALSE),FALSE)/(VLOOKUP($A621,'[1]import graded seats course pivo'!$A:AH,HLOOKUP('[1]Course Totals'!J$4,'[1]import graded seats course pivo'!$1:$2,2,FALSE),FALSE))),"")</f>
        <v/>
      </c>
      <c r="K621" s="14" t="str">
        <f>IFERROR((VLOOKUP($A621,'[1]import success seats course'!$A:Y,HLOOKUP('[1]Course Totals'!K$4,'[1]import success seats course'!$1:$2,2,FALSE),FALSE)/(VLOOKUP($A621,'[1]import graded seats course pivo'!$A:AI,HLOOKUP('[1]Course Totals'!K$4,'[1]import graded seats course pivo'!$1:$2,2,FALSE),FALSE))),"")</f>
        <v/>
      </c>
      <c r="L621" s="14" t="str">
        <f>IFERROR((VLOOKUP($A621,'[1]import success seats course'!$A:Z,HLOOKUP('[1]Course Totals'!L$4,'[1]import success seats course'!$1:$2,2,FALSE),FALSE)/(VLOOKUP($A621,'[1]import graded seats course pivo'!$A:AJ,HLOOKUP('[1]Course Totals'!L$4,'[1]import graded seats course pivo'!$1:$2,2,FALSE),FALSE))),"")</f>
        <v/>
      </c>
      <c r="M621" s="14" t="str">
        <f>IFERROR((VLOOKUP($A621,'[1]import success seats course'!$A:AA,HLOOKUP('[1]Course Totals'!M$4,'[1]import success seats course'!$1:$2,2,FALSE),FALSE)/(VLOOKUP($A621,'[1]import graded seats course pivo'!$A:AK,HLOOKUP('[1]Course Totals'!M$4,'[1]import graded seats course pivo'!$1:$2,2,FALSE),FALSE))),"")</f>
        <v/>
      </c>
      <c r="N621" s="14" t="str">
        <f>IFERROR((VLOOKUP($A621,'[1]import success seats course'!$A:AB,HLOOKUP('[1]Course Totals'!N$4,'[1]import success seats course'!$1:$2,2,FALSE),FALSE)/(VLOOKUP($A621,'[1]import graded seats course pivo'!$A:AL,HLOOKUP('[1]Course Totals'!N$4,'[1]import graded seats course pivo'!$1:$2,2,FALSE),FALSE))),"")</f>
        <v/>
      </c>
      <c r="O621" s="14" t="str">
        <f>IFERROR((VLOOKUP($A621,'[1]import success seats course'!$A:AC,HLOOKUP('[1]Course Totals'!O$4,'[1]import success seats course'!$1:$2,2,FALSE),FALSE)/(VLOOKUP($A621,'[1]import graded seats course pivo'!$A:AM,HLOOKUP('[1]Course Totals'!O$4,'[1]import graded seats course pivo'!$1:$2,2,FALSE),FALSE))),"")</f>
        <v/>
      </c>
      <c r="P621" s="14" t="str">
        <f>IFERROR((VLOOKUP($A621,'[1]import success seats course'!$A:AD,HLOOKUP('[1]Course Totals'!P$4,'[1]import success seats course'!$1:$2,2,FALSE),FALSE)/(VLOOKUP($A621,'[1]import graded seats course pivo'!$A:AN,HLOOKUP('[1]Course Totals'!P$4,'[1]import graded seats course pivo'!$1:$2,2,FALSE),FALSE))),"")</f>
        <v/>
      </c>
      <c r="Q621" s="14" t="str">
        <f>IFERROR((VLOOKUP($A621,'[1]import success seats course'!$A:AE,HLOOKUP('[1]Course Totals'!Q$4,'[1]import success seats course'!$1:$2,2,FALSE),FALSE)/(VLOOKUP($A621,'[1]import graded seats course pivo'!$A:AO,HLOOKUP('[1]Course Totals'!Q$4,'[1]import graded seats course pivo'!$1:$2,2,FALSE),FALSE))),"")</f>
        <v/>
      </c>
      <c r="R621" s="14" t="str">
        <f>IFERROR((VLOOKUP($A621,'[1]import success seats course'!$A:AF,HLOOKUP('[1]Course Totals'!R$4,'[1]import success seats course'!$1:$2,2,FALSE),FALSE)/(VLOOKUP($A621,'[1]import graded seats course pivo'!$A:AP,HLOOKUP('[1]Course Totals'!R$4,'[1]import graded seats course pivo'!$1:$2,2,FALSE),FALSE))),"")</f>
        <v/>
      </c>
      <c r="S621" s="14" t="str">
        <f>IFERROR((VLOOKUP($A621,'[1]import success seats course'!$A:AG,HLOOKUP('[1]Course Totals'!S$4,'[1]import success seats course'!$1:$2,2,FALSE),FALSE)/(VLOOKUP($A621,'[1]import graded seats course pivo'!$A:AQ,HLOOKUP('[1]Course Totals'!S$4,'[1]import graded seats course pivo'!$1:$2,2,FALSE),FALSE))),"")</f>
        <v/>
      </c>
      <c r="Z621" s="7"/>
      <c r="AA621" s="7"/>
      <c r="AB621" s="7"/>
      <c r="AC621" s="7"/>
    </row>
    <row r="622" spans="1:29" ht="15.75" customHeight="1" x14ac:dyDescent="0.25">
      <c r="A622" s="12" t="s">
        <v>285</v>
      </c>
      <c r="B622" s="14">
        <f>IFERROR((VLOOKUP($A622,'[1]import success seats course'!$A:P,HLOOKUP('[1]Course Totals'!B$4,'[1]import success seats course'!$1:$2,2,FALSE),FALSE)/(VLOOKUP($A622,'[1]import graded seats course pivo'!$A:Z,HLOOKUP('[1]Course Totals'!B$4,'[1]import graded seats course pivo'!$1:$2,2,FALSE),FALSE))),"")</f>
        <v>0.83333333333333337</v>
      </c>
      <c r="C622" s="14">
        <f>IFERROR((VLOOKUP($A622,'[1]import success seats course'!$A:Q,HLOOKUP('[1]Course Totals'!C$4,'[1]import success seats course'!$1:$2,2,FALSE),FALSE)/(VLOOKUP($A622,'[1]import graded seats course pivo'!$A:AA,HLOOKUP('[1]Course Totals'!C$4,'[1]import graded seats course pivo'!$1:$2,2,FALSE),FALSE))),"")</f>
        <v>0.81512605042016806</v>
      </c>
      <c r="D622" s="14">
        <f>IFERROR((VLOOKUP($A622,'[1]import success seats course'!$A:R,HLOOKUP('[1]Course Totals'!D$4,'[1]import success seats course'!$1:$2,2,FALSE),FALSE)/(VLOOKUP($A622,'[1]import graded seats course pivo'!$A:AB,HLOOKUP('[1]Course Totals'!D$4,'[1]import graded seats course pivo'!$1:$2,2,FALSE),FALSE))),"")</f>
        <v>0.88541666666666663</v>
      </c>
      <c r="E622" s="14">
        <f>IFERROR((VLOOKUP($A622,'[1]import success seats course'!$A:S,HLOOKUP('[1]Course Totals'!E$4,'[1]import success seats course'!$1:$2,2,FALSE),FALSE)/(VLOOKUP($A622,'[1]import graded seats course pivo'!$A:AC,HLOOKUP('[1]Course Totals'!E$4,'[1]import graded seats course pivo'!$1:$2,2,FALSE),FALSE))),"")</f>
        <v>0.9285714285714286</v>
      </c>
      <c r="F622" s="14">
        <f>IFERROR((VLOOKUP($A622,'[1]import success seats course'!$A:T,HLOOKUP('[1]Course Totals'!F$4,'[1]import success seats course'!$1:$2,2,FALSE),FALSE)/(VLOOKUP($A622,'[1]import graded seats course pivo'!$A:AD,HLOOKUP('[1]Course Totals'!F$4,'[1]import graded seats course pivo'!$1:$2,2,FALSE),FALSE))),"")</f>
        <v>0.90825688073394495</v>
      </c>
      <c r="G622" s="14">
        <f>IFERROR((VLOOKUP($A622,'[1]import success seats course'!$A:U,HLOOKUP('[1]Course Totals'!G$4,'[1]import success seats course'!$1:$2,2,FALSE),FALSE)/(VLOOKUP($A622,'[1]import graded seats course pivo'!$A:AE,HLOOKUP('[1]Course Totals'!G$4,'[1]import graded seats course pivo'!$1:$2,2,FALSE),FALSE))),"")</f>
        <v>0.81395348837209303</v>
      </c>
      <c r="H622" s="14" t="str">
        <f>IFERROR((VLOOKUP($A622,'[1]import success seats course'!$A:V,HLOOKUP('[1]Course Totals'!H$4,'[1]import success seats course'!$1:$2,2,FALSE),FALSE)/(VLOOKUP($A622,'[1]import graded seats course pivo'!$A:AF,HLOOKUP('[1]Course Totals'!H$4,'[1]import graded seats course pivo'!$1:$2,2,FALSE),FALSE))),"")</f>
        <v/>
      </c>
      <c r="I622" s="14">
        <f>IFERROR((VLOOKUP($A622,'[1]import success seats course'!$A:W,HLOOKUP('[1]Course Totals'!I$4,'[1]import success seats course'!$1:$2,2,FALSE),FALSE)/(VLOOKUP($A622,'[1]import graded seats course pivo'!$A:AG,HLOOKUP('[1]Course Totals'!I$4,'[1]import graded seats course pivo'!$1:$2,2,FALSE),FALSE))),"")</f>
        <v>0.92682926829268297</v>
      </c>
      <c r="J622" s="14">
        <f>IFERROR((VLOOKUP($A622,'[1]import success seats course'!$A:X,HLOOKUP('[1]Course Totals'!J$4,'[1]import success seats course'!$1:$2,2,FALSE),FALSE)/(VLOOKUP($A622,'[1]import graded seats course pivo'!$A:AH,HLOOKUP('[1]Course Totals'!J$4,'[1]import graded seats course pivo'!$1:$2,2,FALSE),FALSE))),"")</f>
        <v>0.93406593406593408</v>
      </c>
      <c r="K622" s="14" t="str">
        <f>IFERROR((VLOOKUP($A622,'[1]import success seats course'!$A:Y,HLOOKUP('[1]Course Totals'!K$4,'[1]import success seats course'!$1:$2,2,FALSE),FALSE)/(VLOOKUP($A622,'[1]import graded seats course pivo'!$A:AI,HLOOKUP('[1]Course Totals'!K$4,'[1]import graded seats course pivo'!$1:$2,2,FALSE),FALSE))),"")</f>
        <v/>
      </c>
      <c r="L622" s="14">
        <f>IFERROR((VLOOKUP($A622,'[1]import success seats course'!$A:Z,HLOOKUP('[1]Course Totals'!L$4,'[1]import success seats course'!$1:$2,2,FALSE),FALSE)/(VLOOKUP($A622,'[1]import graded seats course pivo'!$A:AJ,HLOOKUP('[1]Course Totals'!L$4,'[1]import graded seats course pivo'!$1:$2,2,FALSE),FALSE))),"")</f>
        <v>0.90243902439024393</v>
      </c>
      <c r="M622" s="14">
        <f>IFERROR((VLOOKUP($A622,'[1]import success seats course'!$A:AA,HLOOKUP('[1]Course Totals'!M$4,'[1]import success seats course'!$1:$2,2,FALSE),FALSE)/(VLOOKUP($A622,'[1]import graded seats course pivo'!$A:AK,HLOOKUP('[1]Course Totals'!M$4,'[1]import graded seats course pivo'!$1:$2,2,FALSE),FALSE))),"")</f>
        <v>0.92941176470588238</v>
      </c>
      <c r="N622" s="14" t="str">
        <f>IFERROR((VLOOKUP($A622,'[1]import success seats course'!$A:AB,HLOOKUP('[1]Course Totals'!N$4,'[1]import success seats course'!$1:$2,2,FALSE),FALSE)/(VLOOKUP($A622,'[1]import graded seats course pivo'!$A:AL,HLOOKUP('[1]Course Totals'!N$4,'[1]import graded seats course pivo'!$1:$2,2,FALSE),FALSE))),"")</f>
        <v/>
      </c>
      <c r="O622" s="14">
        <f>IFERROR((VLOOKUP($A622,'[1]import success seats course'!$A:AC,HLOOKUP('[1]Course Totals'!O$4,'[1]import success seats course'!$1:$2,2,FALSE),FALSE)/(VLOOKUP($A622,'[1]import graded seats course pivo'!$A:AM,HLOOKUP('[1]Course Totals'!O$4,'[1]import graded seats course pivo'!$1:$2,2,FALSE),FALSE))),"")</f>
        <v>0.9642857142857143</v>
      </c>
      <c r="P622" s="14">
        <f>IFERROR((VLOOKUP($A622,'[1]import success seats course'!$A:AD,HLOOKUP('[1]Course Totals'!P$4,'[1]import success seats course'!$1:$2,2,FALSE),FALSE)/(VLOOKUP($A622,'[1]import graded seats course pivo'!$A:AN,HLOOKUP('[1]Course Totals'!P$4,'[1]import graded seats course pivo'!$1:$2,2,FALSE),FALSE))),"")</f>
        <v>0.89873417721518989</v>
      </c>
      <c r="Q622" s="14" t="str">
        <f>IFERROR((VLOOKUP($A622,'[1]import success seats course'!$A:AE,HLOOKUP('[1]Course Totals'!Q$4,'[1]import success seats course'!$1:$2,2,FALSE),FALSE)/(VLOOKUP($A622,'[1]import graded seats course pivo'!$A:AO,HLOOKUP('[1]Course Totals'!Q$4,'[1]import graded seats course pivo'!$1:$2,2,FALSE),FALSE))),"")</f>
        <v/>
      </c>
      <c r="R622" s="14">
        <f>IFERROR((VLOOKUP($A622,'[1]import success seats course'!$A:AF,HLOOKUP('[1]Course Totals'!R$4,'[1]import success seats course'!$1:$2,2,FALSE),FALSE)/(VLOOKUP($A622,'[1]import graded seats course pivo'!$A:AP,HLOOKUP('[1]Course Totals'!R$4,'[1]import graded seats course pivo'!$1:$2,2,FALSE),FALSE))),"")</f>
        <v>0.95121951219512191</v>
      </c>
      <c r="S622" s="14">
        <f>IFERROR((VLOOKUP($A622,'[1]import success seats course'!$A:AG,HLOOKUP('[1]Course Totals'!S$4,'[1]import success seats course'!$1:$2,2,FALSE),FALSE)/(VLOOKUP($A622,'[1]import graded seats course pivo'!$A:AQ,HLOOKUP('[1]Course Totals'!S$4,'[1]import graded seats course pivo'!$1:$2,2,FALSE),FALSE))),"")</f>
        <v>0.95192307692307687</v>
      </c>
      <c r="Z622" s="7"/>
      <c r="AA622" s="7"/>
      <c r="AB622" s="7"/>
      <c r="AC622" s="7"/>
    </row>
    <row r="623" spans="1:29" ht="15.75" hidden="1" customHeight="1" x14ac:dyDescent="0.25">
      <c r="A623" s="12" t="s">
        <v>619</v>
      </c>
      <c r="B623" s="14" t="str">
        <f>IFERROR((VLOOKUP($A623,'[1]import success seats course'!$A:P,HLOOKUP('[1]Course Totals'!B$4,'[1]import success seats course'!$1:$2,2,FALSE),FALSE)/(VLOOKUP($A623,'[1]import graded seats course pivo'!$A:Z,HLOOKUP('[1]Course Totals'!B$4,'[1]import graded seats course pivo'!$1:$2,2,FALSE),FALSE))),"")</f>
        <v/>
      </c>
      <c r="C623" s="14" t="str">
        <f>IFERROR((VLOOKUP($A623,'[1]import success seats course'!$A:Q,HLOOKUP('[1]Course Totals'!C$4,'[1]import success seats course'!$1:$2,2,FALSE),FALSE)/(VLOOKUP($A623,'[1]import graded seats course pivo'!$A:AA,HLOOKUP('[1]Course Totals'!C$4,'[1]import graded seats course pivo'!$1:$2,2,FALSE),FALSE))),"")</f>
        <v/>
      </c>
      <c r="D623" s="14" t="str">
        <f>IFERROR((VLOOKUP($A623,'[1]import success seats course'!$A:R,HLOOKUP('[1]Course Totals'!D$4,'[1]import success seats course'!$1:$2,2,FALSE),FALSE)/(VLOOKUP($A623,'[1]import graded seats course pivo'!$A:AB,HLOOKUP('[1]Course Totals'!D$4,'[1]import graded seats course pivo'!$1:$2,2,FALSE),FALSE))),"")</f>
        <v/>
      </c>
      <c r="E623" s="14" t="str">
        <f>IFERROR((VLOOKUP($A623,'[1]import success seats course'!$A:S,HLOOKUP('[1]Course Totals'!E$4,'[1]import success seats course'!$1:$2,2,FALSE),FALSE)/(VLOOKUP($A623,'[1]import graded seats course pivo'!$A:AC,HLOOKUP('[1]Course Totals'!E$4,'[1]import graded seats course pivo'!$1:$2,2,FALSE),FALSE))),"")</f>
        <v/>
      </c>
      <c r="F623" s="14" t="str">
        <f>IFERROR((VLOOKUP($A623,'[1]import success seats course'!$A:T,HLOOKUP('[1]Course Totals'!F$4,'[1]import success seats course'!$1:$2,2,FALSE),FALSE)/(VLOOKUP($A623,'[1]import graded seats course pivo'!$A:AD,HLOOKUP('[1]Course Totals'!F$4,'[1]import graded seats course pivo'!$1:$2,2,FALSE),FALSE))),"")</f>
        <v/>
      </c>
      <c r="G623" s="14" t="str">
        <f>IFERROR((VLOOKUP($A623,'[1]import success seats course'!$A:U,HLOOKUP('[1]Course Totals'!G$4,'[1]import success seats course'!$1:$2,2,FALSE),FALSE)/(VLOOKUP($A623,'[1]import graded seats course pivo'!$A:AE,HLOOKUP('[1]Course Totals'!G$4,'[1]import graded seats course pivo'!$1:$2,2,FALSE),FALSE))),"")</f>
        <v/>
      </c>
      <c r="H623" s="14" t="str">
        <f>IFERROR((VLOOKUP($A623,'[1]import success seats course'!$A:V,HLOOKUP('[1]Course Totals'!H$4,'[1]import success seats course'!$1:$2,2,FALSE),FALSE)/(VLOOKUP($A623,'[1]import graded seats course pivo'!$A:AF,HLOOKUP('[1]Course Totals'!H$4,'[1]import graded seats course pivo'!$1:$2,2,FALSE),FALSE))),"")</f>
        <v/>
      </c>
      <c r="I623" s="14" t="str">
        <f>IFERROR((VLOOKUP($A623,'[1]import success seats course'!$A:W,HLOOKUP('[1]Course Totals'!I$4,'[1]import success seats course'!$1:$2,2,FALSE),FALSE)/(VLOOKUP($A623,'[1]import graded seats course pivo'!$A:AG,HLOOKUP('[1]Course Totals'!I$4,'[1]import graded seats course pivo'!$1:$2,2,FALSE),FALSE))),"")</f>
        <v/>
      </c>
      <c r="J623" s="14" t="str">
        <f>IFERROR((VLOOKUP($A623,'[1]import success seats course'!$A:X,HLOOKUP('[1]Course Totals'!J$4,'[1]import success seats course'!$1:$2,2,FALSE),FALSE)/(VLOOKUP($A623,'[1]import graded seats course pivo'!$A:AH,HLOOKUP('[1]Course Totals'!J$4,'[1]import graded seats course pivo'!$1:$2,2,FALSE),FALSE))),"")</f>
        <v/>
      </c>
      <c r="K623" s="14" t="str">
        <f>IFERROR((VLOOKUP($A623,'[1]import success seats course'!$A:Y,HLOOKUP('[1]Course Totals'!K$4,'[1]import success seats course'!$1:$2,2,FALSE),FALSE)/(VLOOKUP($A623,'[1]import graded seats course pivo'!$A:AI,HLOOKUP('[1]Course Totals'!K$4,'[1]import graded seats course pivo'!$1:$2,2,FALSE),FALSE))),"")</f>
        <v/>
      </c>
      <c r="L623" s="14" t="str">
        <f>IFERROR((VLOOKUP($A623,'[1]import success seats course'!$A:Z,HLOOKUP('[1]Course Totals'!L$4,'[1]import success seats course'!$1:$2,2,FALSE),FALSE)/(VLOOKUP($A623,'[1]import graded seats course pivo'!$A:AJ,HLOOKUP('[1]Course Totals'!L$4,'[1]import graded seats course pivo'!$1:$2,2,FALSE),FALSE))),"")</f>
        <v/>
      </c>
      <c r="M623" s="14" t="str">
        <f>IFERROR((VLOOKUP($A623,'[1]import success seats course'!$A:AA,HLOOKUP('[1]Course Totals'!M$4,'[1]import success seats course'!$1:$2,2,FALSE),FALSE)/(VLOOKUP($A623,'[1]import graded seats course pivo'!$A:AK,HLOOKUP('[1]Course Totals'!M$4,'[1]import graded seats course pivo'!$1:$2,2,FALSE),FALSE))),"")</f>
        <v/>
      </c>
      <c r="N623" s="14" t="str">
        <f>IFERROR((VLOOKUP($A623,'[1]import success seats course'!$A:AB,HLOOKUP('[1]Course Totals'!N$4,'[1]import success seats course'!$1:$2,2,FALSE),FALSE)/(VLOOKUP($A623,'[1]import graded seats course pivo'!$A:AL,HLOOKUP('[1]Course Totals'!N$4,'[1]import graded seats course pivo'!$1:$2,2,FALSE),FALSE))),"")</f>
        <v/>
      </c>
      <c r="O623" s="14" t="str">
        <f>IFERROR((VLOOKUP($A623,'[1]import success seats course'!$A:AC,HLOOKUP('[1]Course Totals'!O$4,'[1]import success seats course'!$1:$2,2,FALSE),FALSE)/(VLOOKUP($A623,'[1]import graded seats course pivo'!$A:AM,HLOOKUP('[1]Course Totals'!O$4,'[1]import graded seats course pivo'!$1:$2,2,FALSE),FALSE))),"")</f>
        <v/>
      </c>
      <c r="P623" s="14" t="str">
        <f>IFERROR((VLOOKUP($A623,'[1]import success seats course'!$A:AD,HLOOKUP('[1]Course Totals'!P$4,'[1]import success seats course'!$1:$2,2,FALSE),FALSE)/(VLOOKUP($A623,'[1]import graded seats course pivo'!$A:AN,HLOOKUP('[1]Course Totals'!P$4,'[1]import graded seats course pivo'!$1:$2,2,FALSE),FALSE))),"")</f>
        <v/>
      </c>
      <c r="Q623" s="14" t="str">
        <f>IFERROR((VLOOKUP($A623,'[1]import success seats course'!$A:AE,HLOOKUP('[1]Course Totals'!Q$4,'[1]import success seats course'!$1:$2,2,FALSE),FALSE)/(VLOOKUP($A623,'[1]import graded seats course pivo'!$A:AO,HLOOKUP('[1]Course Totals'!Q$4,'[1]import graded seats course pivo'!$1:$2,2,FALSE),FALSE))),"")</f>
        <v/>
      </c>
      <c r="R623" s="14" t="str">
        <f>IFERROR((VLOOKUP($A623,'[1]import success seats course'!$A:AF,HLOOKUP('[1]Course Totals'!R$4,'[1]import success seats course'!$1:$2,2,FALSE),FALSE)/(VLOOKUP($A623,'[1]import graded seats course pivo'!$A:AP,HLOOKUP('[1]Course Totals'!R$4,'[1]import graded seats course pivo'!$1:$2,2,FALSE),FALSE))),"")</f>
        <v/>
      </c>
      <c r="S623" s="14" t="str">
        <f>IFERROR((VLOOKUP($A623,'[1]import success seats course'!$A:AG,HLOOKUP('[1]Course Totals'!S$4,'[1]import success seats course'!$1:$2,2,FALSE),FALSE)/(VLOOKUP($A623,'[1]import graded seats course pivo'!$A:AQ,HLOOKUP('[1]Course Totals'!S$4,'[1]import graded seats course pivo'!$1:$2,2,FALSE),FALSE))),"")</f>
        <v/>
      </c>
      <c r="Z623" s="7"/>
      <c r="AA623" s="7"/>
      <c r="AB623" s="7"/>
      <c r="AC623" s="7"/>
    </row>
    <row r="624" spans="1:29" ht="15.75" customHeight="1" x14ac:dyDescent="0.25">
      <c r="A624" s="12" t="s">
        <v>286</v>
      </c>
      <c r="B624" s="14" t="str">
        <f>IFERROR((VLOOKUP($A624,'[1]import success seats course'!$A:P,HLOOKUP('[1]Course Totals'!B$4,'[1]import success seats course'!$1:$2,2,FALSE),FALSE)/(VLOOKUP($A624,'[1]import graded seats course pivo'!$A:Z,HLOOKUP('[1]Course Totals'!B$4,'[1]import graded seats course pivo'!$1:$2,2,FALSE),FALSE))),"")</f>
        <v/>
      </c>
      <c r="C624" s="14">
        <f>IFERROR((VLOOKUP($A624,'[1]import success seats course'!$A:Q,HLOOKUP('[1]Course Totals'!C$4,'[1]import success seats course'!$1:$2,2,FALSE),FALSE)/(VLOOKUP($A624,'[1]import graded seats course pivo'!$A:AA,HLOOKUP('[1]Course Totals'!C$4,'[1]import graded seats course pivo'!$1:$2,2,FALSE),FALSE))),"")</f>
        <v>0.85185185185185186</v>
      </c>
      <c r="D624" s="14">
        <f>IFERROR((VLOOKUP($A624,'[1]import success seats course'!$A:R,HLOOKUP('[1]Course Totals'!D$4,'[1]import success seats course'!$1:$2,2,FALSE),FALSE)/(VLOOKUP($A624,'[1]import graded seats course pivo'!$A:AB,HLOOKUP('[1]Course Totals'!D$4,'[1]import graded seats course pivo'!$1:$2,2,FALSE),FALSE))),"")</f>
        <v>0.94117647058823528</v>
      </c>
      <c r="E624" s="14" t="str">
        <f>IFERROR((VLOOKUP($A624,'[1]import success seats course'!$A:S,HLOOKUP('[1]Course Totals'!E$4,'[1]import success seats course'!$1:$2,2,FALSE),FALSE)/(VLOOKUP($A624,'[1]import graded seats course pivo'!$A:AC,HLOOKUP('[1]Course Totals'!E$4,'[1]import graded seats course pivo'!$1:$2,2,FALSE),FALSE))),"")</f>
        <v/>
      </c>
      <c r="F624" s="14">
        <f>IFERROR((VLOOKUP($A624,'[1]import success seats course'!$A:T,HLOOKUP('[1]Course Totals'!F$4,'[1]import success seats course'!$1:$2,2,FALSE),FALSE)/(VLOOKUP($A624,'[1]import graded seats course pivo'!$A:AD,HLOOKUP('[1]Course Totals'!F$4,'[1]import graded seats course pivo'!$1:$2,2,FALSE),FALSE))),"")</f>
        <v>0.89655172413793105</v>
      </c>
      <c r="G624" s="14">
        <f>IFERROR((VLOOKUP($A624,'[1]import success seats course'!$A:U,HLOOKUP('[1]Course Totals'!G$4,'[1]import success seats course'!$1:$2,2,FALSE),FALSE)/(VLOOKUP($A624,'[1]import graded seats course pivo'!$A:AE,HLOOKUP('[1]Course Totals'!G$4,'[1]import graded seats course pivo'!$1:$2,2,FALSE),FALSE))),"")</f>
        <v>0.95833333333333337</v>
      </c>
      <c r="H624" s="14" t="str">
        <f>IFERROR((VLOOKUP($A624,'[1]import success seats course'!$A:V,HLOOKUP('[1]Course Totals'!H$4,'[1]import success seats course'!$1:$2,2,FALSE),FALSE)/(VLOOKUP($A624,'[1]import graded seats course pivo'!$A:AF,HLOOKUP('[1]Course Totals'!H$4,'[1]import graded seats course pivo'!$1:$2,2,FALSE),FALSE))),"")</f>
        <v/>
      </c>
      <c r="I624" s="14">
        <f>IFERROR((VLOOKUP($A624,'[1]import success seats course'!$A:W,HLOOKUP('[1]Course Totals'!I$4,'[1]import success seats course'!$1:$2,2,FALSE),FALSE)/(VLOOKUP($A624,'[1]import graded seats course pivo'!$A:AG,HLOOKUP('[1]Course Totals'!I$4,'[1]import graded seats course pivo'!$1:$2,2,FALSE),FALSE))),"")</f>
        <v>0.89090909090909087</v>
      </c>
      <c r="J624" s="14">
        <f>IFERROR((VLOOKUP($A624,'[1]import success seats course'!$A:X,HLOOKUP('[1]Course Totals'!J$4,'[1]import success seats course'!$1:$2,2,FALSE),FALSE)/(VLOOKUP($A624,'[1]import graded seats course pivo'!$A:AH,HLOOKUP('[1]Course Totals'!J$4,'[1]import graded seats course pivo'!$1:$2,2,FALSE),FALSE))),"")</f>
        <v>0.74576271186440679</v>
      </c>
      <c r="K624" s="14" t="str">
        <f>IFERROR((VLOOKUP($A624,'[1]import success seats course'!$A:Y,HLOOKUP('[1]Course Totals'!K$4,'[1]import success seats course'!$1:$2,2,FALSE),FALSE)/(VLOOKUP($A624,'[1]import graded seats course pivo'!$A:AI,HLOOKUP('[1]Course Totals'!K$4,'[1]import graded seats course pivo'!$1:$2,2,FALSE),FALSE))),"")</f>
        <v/>
      </c>
      <c r="L624" s="14">
        <f>IFERROR((VLOOKUP($A624,'[1]import success seats course'!$A:Z,HLOOKUP('[1]Course Totals'!L$4,'[1]import success seats course'!$1:$2,2,FALSE),FALSE)/(VLOOKUP($A624,'[1]import graded seats course pivo'!$A:AJ,HLOOKUP('[1]Course Totals'!L$4,'[1]import graded seats course pivo'!$1:$2,2,FALSE),FALSE))),"")</f>
        <v>0.90909090909090906</v>
      </c>
      <c r="M624" s="14">
        <f>IFERROR((VLOOKUP($A624,'[1]import success seats course'!$A:AA,HLOOKUP('[1]Course Totals'!M$4,'[1]import success seats course'!$1:$2,2,FALSE),FALSE)/(VLOOKUP($A624,'[1]import graded seats course pivo'!$A:AK,HLOOKUP('[1]Course Totals'!M$4,'[1]import graded seats course pivo'!$1:$2,2,FALSE),FALSE))),"")</f>
        <v>0.88461538461538458</v>
      </c>
      <c r="N624" s="14" t="str">
        <f>IFERROR((VLOOKUP($A624,'[1]import success seats course'!$A:AB,HLOOKUP('[1]Course Totals'!N$4,'[1]import success seats course'!$1:$2,2,FALSE),FALSE)/(VLOOKUP($A624,'[1]import graded seats course pivo'!$A:AL,HLOOKUP('[1]Course Totals'!N$4,'[1]import graded seats course pivo'!$1:$2,2,FALSE),FALSE))),"")</f>
        <v/>
      </c>
      <c r="O624" s="14" t="str">
        <f>IFERROR((VLOOKUP($A624,'[1]import success seats course'!$A:AC,HLOOKUP('[1]Course Totals'!O$4,'[1]import success seats course'!$1:$2,2,FALSE),FALSE)/(VLOOKUP($A624,'[1]import graded seats course pivo'!$A:AM,HLOOKUP('[1]Course Totals'!O$4,'[1]import graded seats course pivo'!$1:$2,2,FALSE),FALSE))),"")</f>
        <v/>
      </c>
      <c r="P624" s="14">
        <f>IFERROR((VLOOKUP($A624,'[1]import success seats course'!$A:AD,HLOOKUP('[1]Course Totals'!P$4,'[1]import success seats course'!$1:$2,2,FALSE),FALSE)/(VLOOKUP($A624,'[1]import graded seats course pivo'!$A:AN,HLOOKUP('[1]Course Totals'!P$4,'[1]import graded seats course pivo'!$1:$2,2,FALSE),FALSE))),"")</f>
        <v>0.8928571428571429</v>
      </c>
      <c r="Q624" s="14" t="str">
        <f>IFERROR((VLOOKUP($A624,'[1]import success seats course'!$A:AE,HLOOKUP('[1]Course Totals'!Q$4,'[1]import success seats course'!$1:$2,2,FALSE),FALSE)/(VLOOKUP($A624,'[1]import graded seats course pivo'!$A:AO,HLOOKUP('[1]Course Totals'!Q$4,'[1]import graded seats course pivo'!$1:$2,2,FALSE),FALSE))),"")</f>
        <v/>
      </c>
      <c r="R624" s="14" t="str">
        <f>IFERROR((VLOOKUP($A624,'[1]import success seats course'!$A:AF,HLOOKUP('[1]Course Totals'!R$4,'[1]import success seats course'!$1:$2,2,FALSE),FALSE)/(VLOOKUP($A624,'[1]import graded seats course pivo'!$A:AP,HLOOKUP('[1]Course Totals'!R$4,'[1]import graded seats course pivo'!$1:$2,2,FALSE),FALSE))),"")</f>
        <v/>
      </c>
      <c r="S624" s="14" t="str">
        <f>IFERROR((VLOOKUP($A624,'[1]import success seats course'!$A:AG,HLOOKUP('[1]Course Totals'!S$4,'[1]import success seats course'!$1:$2,2,FALSE),FALSE)/(VLOOKUP($A624,'[1]import graded seats course pivo'!$A:AQ,HLOOKUP('[1]Course Totals'!S$4,'[1]import graded seats course pivo'!$1:$2,2,FALSE),FALSE))),"")</f>
        <v/>
      </c>
      <c r="Z624" s="7"/>
      <c r="AA624" s="7"/>
      <c r="AB624" s="7"/>
      <c r="AC624" s="7"/>
    </row>
    <row r="625" spans="1:29" ht="15.75" hidden="1" customHeight="1" x14ac:dyDescent="0.25">
      <c r="A625" s="12" t="s">
        <v>287</v>
      </c>
      <c r="B625" s="14" t="str">
        <f>IFERROR((VLOOKUP($A625,'[1]import success seats course'!$A:P,HLOOKUP('[1]Course Totals'!B$4,'[1]import success seats course'!$1:$2,2,FALSE),FALSE)/(VLOOKUP($A625,'[1]import graded seats course pivo'!$A:Z,HLOOKUP('[1]Course Totals'!B$4,'[1]import graded seats course pivo'!$1:$2,2,FALSE),FALSE))),"")</f>
        <v/>
      </c>
      <c r="C625" s="14" t="str">
        <f>IFERROR((VLOOKUP($A625,'[1]import success seats course'!$A:Q,HLOOKUP('[1]Course Totals'!C$4,'[1]import success seats course'!$1:$2,2,FALSE),FALSE)/(VLOOKUP($A625,'[1]import graded seats course pivo'!$A:AA,HLOOKUP('[1]Course Totals'!C$4,'[1]import graded seats course pivo'!$1:$2,2,FALSE),FALSE))),"")</f>
        <v/>
      </c>
      <c r="D625" s="14" t="str">
        <f>IFERROR((VLOOKUP($A625,'[1]import success seats course'!$A:R,HLOOKUP('[1]Course Totals'!D$4,'[1]import success seats course'!$1:$2,2,FALSE),FALSE)/(VLOOKUP($A625,'[1]import graded seats course pivo'!$A:AB,HLOOKUP('[1]Course Totals'!D$4,'[1]import graded seats course pivo'!$1:$2,2,FALSE),FALSE))),"")</f>
        <v/>
      </c>
      <c r="E625" s="14" t="str">
        <f>IFERROR((VLOOKUP($A625,'[1]import success seats course'!$A:S,HLOOKUP('[1]Course Totals'!E$4,'[1]import success seats course'!$1:$2,2,FALSE),FALSE)/(VLOOKUP($A625,'[1]import graded seats course pivo'!$A:AC,HLOOKUP('[1]Course Totals'!E$4,'[1]import graded seats course pivo'!$1:$2,2,FALSE),FALSE))),"")</f>
        <v/>
      </c>
      <c r="F625" s="14" t="str">
        <f>IFERROR((VLOOKUP($A625,'[1]import success seats course'!$A:T,HLOOKUP('[1]Course Totals'!F$4,'[1]import success seats course'!$1:$2,2,FALSE),FALSE)/(VLOOKUP($A625,'[1]import graded seats course pivo'!$A:AD,HLOOKUP('[1]Course Totals'!F$4,'[1]import graded seats course pivo'!$1:$2,2,FALSE),FALSE))),"")</f>
        <v/>
      </c>
      <c r="G625" s="14" t="str">
        <f>IFERROR((VLOOKUP($A625,'[1]import success seats course'!$A:U,HLOOKUP('[1]Course Totals'!G$4,'[1]import success seats course'!$1:$2,2,FALSE),FALSE)/(VLOOKUP($A625,'[1]import graded seats course pivo'!$A:AE,HLOOKUP('[1]Course Totals'!G$4,'[1]import graded seats course pivo'!$1:$2,2,FALSE),FALSE))),"")</f>
        <v/>
      </c>
      <c r="H625" s="14" t="str">
        <f>IFERROR((VLOOKUP($A625,'[1]import success seats course'!$A:V,HLOOKUP('[1]Course Totals'!H$4,'[1]import success seats course'!$1:$2,2,FALSE),FALSE)/(VLOOKUP($A625,'[1]import graded seats course pivo'!$A:AF,HLOOKUP('[1]Course Totals'!H$4,'[1]import graded seats course pivo'!$1:$2,2,FALSE),FALSE))),"")</f>
        <v/>
      </c>
      <c r="I625" s="14" t="str">
        <f>IFERROR((VLOOKUP($A625,'[1]import success seats course'!$A:W,HLOOKUP('[1]Course Totals'!I$4,'[1]import success seats course'!$1:$2,2,FALSE),FALSE)/(VLOOKUP($A625,'[1]import graded seats course pivo'!$A:AG,HLOOKUP('[1]Course Totals'!I$4,'[1]import graded seats course pivo'!$1:$2,2,FALSE),FALSE))),"")</f>
        <v/>
      </c>
      <c r="J625" s="14" t="str">
        <f>IFERROR((VLOOKUP($A625,'[1]import success seats course'!$A:X,HLOOKUP('[1]Course Totals'!J$4,'[1]import success seats course'!$1:$2,2,FALSE),FALSE)/(VLOOKUP($A625,'[1]import graded seats course pivo'!$A:AH,HLOOKUP('[1]Course Totals'!J$4,'[1]import graded seats course pivo'!$1:$2,2,FALSE),FALSE))),"")</f>
        <v/>
      </c>
      <c r="K625" s="14" t="str">
        <f>IFERROR((VLOOKUP($A625,'[1]import success seats course'!$A:Y,HLOOKUP('[1]Course Totals'!K$4,'[1]import success seats course'!$1:$2,2,FALSE),FALSE)/(VLOOKUP($A625,'[1]import graded seats course pivo'!$A:AI,HLOOKUP('[1]Course Totals'!K$4,'[1]import graded seats course pivo'!$1:$2,2,FALSE),FALSE))),"")</f>
        <v/>
      </c>
      <c r="L625" s="14" t="str">
        <f>IFERROR((VLOOKUP($A625,'[1]import success seats course'!$A:Z,HLOOKUP('[1]Course Totals'!L$4,'[1]import success seats course'!$1:$2,2,FALSE),FALSE)/(VLOOKUP($A625,'[1]import graded seats course pivo'!$A:AJ,HLOOKUP('[1]Course Totals'!L$4,'[1]import graded seats course pivo'!$1:$2,2,FALSE),FALSE))),"")</f>
        <v/>
      </c>
      <c r="M625" s="14" t="str">
        <f>IFERROR((VLOOKUP($A625,'[1]import success seats course'!$A:AA,HLOOKUP('[1]Course Totals'!M$4,'[1]import success seats course'!$1:$2,2,FALSE),FALSE)/(VLOOKUP($A625,'[1]import graded seats course pivo'!$A:AK,HLOOKUP('[1]Course Totals'!M$4,'[1]import graded seats course pivo'!$1:$2,2,FALSE),FALSE))),"")</f>
        <v/>
      </c>
      <c r="N625" s="14" t="str">
        <f>IFERROR((VLOOKUP($A625,'[1]import success seats course'!$A:AB,HLOOKUP('[1]Course Totals'!N$4,'[1]import success seats course'!$1:$2,2,FALSE),FALSE)/(VLOOKUP($A625,'[1]import graded seats course pivo'!$A:AL,HLOOKUP('[1]Course Totals'!N$4,'[1]import graded seats course pivo'!$1:$2,2,FALSE),FALSE))),"")</f>
        <v/>
      </c>
      <c r="O625" s="14" t="str">
        <f>IFERROR((VLOOKUP($A625,'[1]import success seats course'!$A:AC,HLOOKUP('[1]Course Totals'!O$4,'[1]import success seats course'!$1:$2,2,FALSE),FALSE)/(VLOOKUP($A625,'[1]import graded seats course pivo'!$A:AM,HLOOKUP('[1]Course Totals'!O$4,'[1]import graded seats course pivo'!$1:$2,2,FALSE),FALSE))),"")</f>
        <v/>
      </c>
      <c r="P625" s="14" t="str">
        <f>IFERROR((VLOOKUP($A625,'[1]import success seats course'!$A:AD,HLOOKUP('[1]Course Totals'!P$4,'[1]import success seats course'!$1:$2,2,FALSE),FALSE)/(VLOOKUP($A625,'[1]import graded seats course pivo'!$A:AN,HLOOKUP('[1]Course Totals'!P$4,'[1]import graded seats course pivo'!$1:$2,2,FALSE),FALSE))),"")</f>
        <v/>
      </c>
      <c r="Q625" s="14" t="str">
        <f>IFERROR((VLOOKUP($A625,'[1]import success seats course'!$A:AE,HLOOKUP('[1]Course Totals'!Q$4,'[1]import success seats course'!$1:$2,2,FALSE),FALSE)/(VLOOKUP($A625,'[1]import graded seats course pivo'!$A:AO,HLOOKUP('[1]Course Totals'!Q$4,'[1]import graded seats course pivo'!$1:$2,2,FALSE),FALSE))),"")</f>
        <v/>
      </c>
      <c r="R625" s="14" t="str">
        <f>IFERROR((VLOOKUP($A625,'[1]import success seats course'!$A:AF,HLOOKUP('[1]Course Totals'!R$4,'[1]import success seats course'!$1:$2,2,FALSE),FALSE)/(VLOOKUP($A625,'[1]import graded seats course pivo'!$A:AP,HLOOKUP('[1]Course Totals'!R$4,'[1]import graded seats course pivo'!$1:$2,2,FALSE),FALSE))),"")</f>
        <v/>
      </c>
      <c r="S625" s="14" t="str">
        <f>IFERROR((VLOOKUP($A625,'[1]import success seats course'!$A:AG,HLOOKUP('[1]Course Totals'!S$4,'[1]import success seats course'!$1:$2,2,FALSE),FALSE)/(VLOOKUP($A625,'[1]import graded seats course pivo'!$A:AQ,HLOOKUP('[1]Course Totals'!S$4,'[1]import graded seats course pivo'!$1:$2,2,FALSE),FALSE))),"")</f>
        <v/>
      </c>
      <c r="Z625" s="7"/>
      <c r="AA625" s="7"/>
      <c r="AB625" s="7"/>
      <c r="AC625" s="7"/>
    </row>
    <row r="626" spans="1:29" ht="15.75" customHeight="1" x14ac:dyDescent="0.25">
      <c r="A626" s="12" t="s">
        <v>288</v>
      </c>
      <c r="B626" s="14" t="str">
        <f>IFERROR((VLOOKUP($A626,'[1]import success seats course'!$A:P,HLOOKUP('[1]Course Totals'!B$4,'[1]import success seats course'!$1:$2,2,FALSE),FALSE)/(VLOOKUP($A626,'[1]import graded seats course pivo'!$A:Z,HLOOKUP('[1]Course Totals'!B$4,'[1]import graded seats course pivo'!$1:$2,2,FALSE),FALSE))),"")</f>
        <v/>
      </c>
      <c r="C626" s="14" t="str">
        <f>IFERROR((VLOOKUP($A626,'[1]import success seats course'!$A:Q,HLOOKUP('[1]Course Totals'!C$4,'[1]import success seats course'!$1:$2,2,FALSE),FALSE)/(VLOOKUP($A626,'[1]import graded seats course pivo'!$A:AA,HLOOKUP('[1]Course Totals'!C$4,'[1]import graded seats course pivo'!$1:$2,2,FALSE),FALSE))),"")</f>
        <v/>
      </c>
      <c r="D626" s="14" t="str">
        <f>IFERROR((VLOOKUP($A626,'[1]import success seats course'!$A:R,HLOOKUP('[1]Course Totals'!D$4,'[1]import success seats course'!$1:$2,2,FALSE),FALSE)/(VLOOKUP($A626,'[1]import graded seats course pivo'!$A:AB,HLOOKUP('[1]Course Totals'!D$4,'[1]import graded seats course pivo'!$1:$2,2,FALSE),FALSE))),"")</f>
        <v/>
      </c>
      <c r="E626" s="14" t="str">
        <f>IFERROR((VLOOKUP($A626,'[1]import success seats course'!$A:S,HLOOKUP('[1]Course Totals'!E$4,'[1]import success seats course'!$1:$2,2,FALSE),FALSE)/(VLOOKUP($A626,'[1]import graded seats course pivo'!$A:AC,HLOOKUP('[1]Course Totals'!E$4,'[1]import graded seats course pivo'!$1:$2,2,FALSE),FALSE))),"")</f>
        <v/>
      </c>
      <c r="F626" s="14" t="str">
        <f>IFERROR((VLOOKUP($A626,'[1]import success seats course'!$A:T,HLOOKUP('[1]Course Totals'!F$4,'[1]import success seats course'!$1:$2,2,FALSE),FALSE)/(VLOOKUP($A626,'[1]import graded seats course pivo'!$A:AD,HLOOKUP('[1]Course Totals'!F$4,'[1]import graded seats course pivo'!$1:$2,2,FALSE),FALSE))),"")</f>
        <v/>
      </c>
      <c r="G626" s="14" t="str">
        <f>IFERROR((VLOOKUP($A626,'[1]import success seats course'!$A:U,HLOOKUP('[1]Course Totals'!G$4,'[1]import success seats course'!$1:$2,2,FALSE),FALSE)/(VLOOKUP($A626,'[1]import graded seats course pivo'!$A:AE,HLOOKUP('[1]Course Totals'!G$4,'[1]import graded seats course pivo'!$1:$2,2,FALSE),FALSE))),"")</f>
        <v/>
      </c>
      <c r="H626" s="14" t="str">
        <f>IFERROR((VLOOKUP($A626,'[1]import success seats course'!$A:V,HLOOKUP('[1]Course Totals'!H$4,'[1]import success seats course'!$1:$2,2,FALSE),FALSE)/(VLOOKUP($A626,'[1]import graded seats course pivo'!$A:AF,HLOOKUP('[1]Course Totals'!H$4,'[1]import graded seats course pivo'!$1:$2,2,FALSE),FALSE))),"")</f>
        <v/>
      </c>
      <c r="I626" s="14">
        <f>IFERROR((VLOOKUP($A626,'[1]import success seats course'!$A:W,HLOOKUP('[1]Course Totals'!I$4,'[1]import success seats course'!$1:$2,2,FALSE),FALSE)/(VLOOKUP($A626,'[1]import graded seats course pivo'!$A:AG,HLOOKUP('[1]Course Totals'!I$4,'[1]import graded seats course pivo'!$1:$2,2,FALSE),FALSE))),"")</f>
        <v>0.84615384615384615</v>
      </c>
      <c r="J626" s="14" t="str">
        <f>IFERROR((VLOOKUP($A626,'[1]import success seats course'!$A:X,HLOOKUP('[1]Course Totals'!J$4,'[1]import success seats course'!$1:$2,2,FALSE),FALSE)/(VLOOKUP($A626,'[1]import graded seats course pivo'!$A:AH,HLOOKUP('[1]Course Totals'!J$4,'[1]import graded seats course pivo'!$1:$2,2,FALSE),FALSE))),"")</f>
        <v/>
      </c>
      <c r="K626" s="14" t="str">
        <f>IFERROR((VLOOKUP($A626,'[1]import success seats course'!$A:Y,HLOOKUP('[1]Course Totals'!K$4,'[1]import success seats course'!$1:$2,2,FALSE),FALSE)/(VLOOKUP($A626,'[1]import graded seats course pivo'!$A:AI,HLOOKUP('[1]Course Totals'!K$4,'[1]import graded seats course pivo'!$1:$2,2,FALSE),FALSE))),"")</f>
        <v/>
      </c>
      <c r="L626" s="14" t="str">
        <f>IFERROR((VLOOKUP($A626,'[1]import success seats course'!$A:Z,HLOOKUP('[1]Course Totals'!L$4,'[1]import success seats course'!$1:$2,2,FALSE),FALSE)/(VLOOKUP($A626,'[1]import graded seats course pivo'!$A:AJ,HLOOKUP('[1]Course Totals'!L$4,'[1]import graded seats course pivo'!$1:$2,2,FALSE),FALSE))),"")</f>
        <v/>
      </c>
      <c r="M626" s="14" t="str">
        <f>IFERROR((VLOOKUP($A626,'[1]import success seats course'!$A:AA,HLOOKUP('[1]Course Totals'!M$4,'[1]import success seats course'!$1:$2,2,FALSE),FALSE)/(VLOOKUP($A626,'[1]import graded seats course pivo'!$A:AK,HLOOKUP('[1]Course Totals'!M$4,'[1]import graded seats course pivo'!$1:$2,2,FALSE),FALSE))),"")</f>
        <v/>
      </c>
      <c r="N626" s="14" t="str">
        <f>IFERROR((VLOOKUP($A626,'[1]import success seats course'!$A:AB,HLOOKUP('[1]Course Totals'!N$4,'[1]import success seats course'!$1:$2,2,FALSE),FALSE)/(VLOOKUP($A626,'[1]import graded seats course pivo'!$A:AL,HLOOKUP('[1]Course Totals'!N$4,'[1]import graded seats course pivo'!$1:$2,2,FALSE),FALSE))),"")</f>
        <v/>
      </c>
      <c r="O626" s="14" t="str">
        <f>IFERROR((VLOOKUP($A626,'[1]import success seats course'!$A:AC,HLOOKUP('[1]Course Totals'!O$4,'[1]import success seats course'!$1:$2,2,FALSE),FALSE)/(VLOOKUP($A626,'[1]import graded seats course pivo'!$A:AM,HLOOKUP('[1]Course Totals'!O$4,'[1]import graded seats course pivo'!$1:$2,2,FALSE),FALSE))),"")</f>
        <v/>
      </c>
      <c r="P626" s="14" t="str">
        <f>IFERROR((VLOOKUP($A626,'[1]import success seats course'!$A:AD,HLOOKUP('[1]Course Totals'!P$4,'[1]import success seats course'!$1:$2,2,FALSE),FALSE)/(VLOOKUP($A626,'[1]import graded seats course pivo'!$A:AN,HLOOKUP('[1]Course Totals'!P$4,'[1]import graded seats course pivo'!$1:$2,2,FALSE),FALSE))),"")</f>
        <v/>
      </c>
      <c r="Q626" s="14" t="str">
        <f>IFERROR((VLOOKUP($A626,'[1]import success seats course'!$A:AE,HLOOKUP('[1]Course Totals'!Q$4,'[1]import success seats course'!$1:$2,2,FALSE),FALSE)/(VLOOKUP($A626,'[1]import graded seats course pivo'!$A:AO,HLOOKUP('[1]Course Totals'!Q$4,'[1]import graded seats course pivo'!$1:$2,2,FALSE),FALSE))),"")</f>
        <v/>
      </c>
      <c r="R626" s="14" t="str">
        <f>IFERROR((VLOOKUP($A626,'[1]import success seats course'!$A:AF,HLOOKUP('[1]Course Totals'!R$4,'[1]import success seats course'!$1:$2,2,FALSE),FALSE)/(VLOOKUP($A626,'[1]import graded seats course pivo'!$A:AP,HLOOKUP('[1]Course Totals'!R$4,'[1]import graded seats course pivo'!$1:$2,2,FALSE),FALSE))),"")</f>
        <v/>
      </c>
      <c r="S626" s="14" t="str">
        <f>IFERROR((VLOOKUP($A626,'[1]import success seats course'!$A:AG,HLOOKUP('[1]Course Totals'!S$4,'[1]import success seats course'!$1:$2,2,FALSE),FALSE)/(VLOOKUP($A626,'[1]import graded seats course pivo'!$A:AQ,HLOOKUP('[1]Course Totals'!S$4,'[1]import graded seats course pivo'!$1:$2,2,FALSE),FALSE))),"")</f>
        <v/>
      </c>
      <c r="Z626" s="7"/>
      <c r="AA626" s="7"/>
      <c r="AB626" s="7"/>
      <c r="AC626" s="7"/>
    </row>
    <row r="627" spans="1:29" ht="15.75" hidden="1" customHeight="1" x14ac:dyDescent="0.25">
      <c r="A627" s="12" t="s">
        <v>845</v>
      </c>
      <c r="B627" s="14" t="str">
        <f>IFERROR((VLOOKUP($A627,'[1]import success seats course'!$A:P,HLOOKUP('[1]Course Totals'!B$4,'[1]import success seats course'!$1:$2,2,FALSE),FALSE)/(VLOOKUP($A627,'[1]import graded seats course pivo'!$A:Z,HLOOKUP('[1]Course Totals'!B$4,'[1]import graded seats course pivo'!$1:$2,2,FALSE),FALSE))),"")</f>
        <v/>
      </c>
      <c r="C627" s="14" t="str">
        <f>IFERROR((VLOOKUP($A627,'[1]import success seats course'!$A:Q,HLOOKUP('[1]Course Totals'!C$4,'[1]import success seats course'!$1:$2,2,FALSE),FALSE)/(VLOOKUP($A627,'[1]import graded seats course pivo'!$A:AA,HLOOKUP('[1]Course Totals'!C$4,'[1]import graded seats course pivo'!$1:$2,2,FALSE),FALSE))),"")</f>
        <v/>
      </c>
      <c r="D627" s="14" t="str">
        <f>IFERROR((VLOOKUP($A627,'[1]import success seats course'!$A:R,HLOOKUP('[1]Course Totals'!D$4,'[1]import success seats course'!$1:$2,2,FALSE),FALSE)/(VLOOKUP($A627,'[1]import graded seats course pivo'!$A:AB,HLOOKUP('[1]Course Totals'!D$4,'[1]import graded seats course pivo'!$1:$2,2,FALSE),FALSE))),"")</f>
        <v/>
      </c>
      <c r="E627" s="14" t="str">
        <f>IFERROR((VLOOKUP($A627,'[1]import success seats course'!$A:S,HLOOKUP('[1]Course Totals'!E$4,'[1]import success seats course'!$1:$2,2,FALSE),FALSE)/(VLOOKUP($A627,'[1]import graded seats course pivo'!$A:AC,HLOOKUP('[1]Course Totals'!E$4,'[1]import graded seats course pivo'!$1:$2,2,FALSE),FALSE))),"")</f>
        <v/>
      </c>
      <c r="F627" s="14" t="str">
        <f>IFERROR((VLOOKUP($A627,'[1]import success seats course'!$A:T,HLOOKUP('[1]Course Totals'!F$4,'[1]import success seats course'!$1:$2,2,FALSE),FALSE)/(VLOOKUP($A627,'[1]import graded seats course pivo'!$A:AD,HLOOKUP('[1]Course Totals'!F$4,'[1]import graded seats course pivo'!$1:$2,2,FALSE),FALSE))),"")</f>
        <v/>
      </c>
      <c r="G627" s="14" t="str">
        <f>IFERROR((VLOOKUP($A627,'[1]import success seats course'!$A:U,HLOOKUP('[1]Course Totals'!G$4,'[1]import success seats course'!$1:$2,2,FALSE),FALSE)/(VLOOKUP($A627,'[1]import graded seats course pivo'!$A:AE,HLOOKUP('[1]Course Totals'!G$4,'[1]import graded seats course pivo'!$1:$2,2,FALSE),FALSE))),"")</f>
        <v/>
      </c>
      <c r="H627" s="14" t="str">
        <f>IFERROR((VLOOKUP($A627,'[1]import success seats course'!$A:V,HLOOKUP('[1]Course Totals'!H$4,'[1]import success seats course'!$1:$2,2,FALSE),FALSE)/(VLOOKUP($A627,'[1]import graded seats course pivo'!$A:AF,HLOOKUP('[1]Course Totals'!H$4,'[1]import graded seats course pivo'!$1:$2,2,FALSE),FALSE))),"")</f>
        <v/>
      </c>
      <c r="I627" s="14" t="str">
        <f>IFERROR((VLOOKUP($A627,'[1]import success seats course'!$A:W,HLOOKUP('[1]Course Totals'!I$4,'[1]import success seats course'!$1:$2,2,FALSE),FALSE)/(VLOOKUP($A627,'[1]import graded seats course pivo'!$A:AG,HLOOKUP('[1]Course Totals'!I$4,'[1]import graded seats course pivo'!$1:$2,2,FALSE),FALSE))),"")</f>
        <v/>
      </c>
      <c r="J627" s="14" t="str">
        <f>IFERROR((VLOOKUP($A627,'[1]import success seats course'!$A:X,HLOOKUP('[1]Course Totals'!J$4,'[1]import success seats course'!$1:$2,2,FALSE),FALSE)/(VLOOKUP($A627,'[1]import graded seats course pivo'!$A:AH,HLOOKUP('[1]Course Totals'!J$4,'[1]import graded seats course pivo'!$1:$2,2,FALSE),FALSE))),"")</f>
        <v/>
      </c>
      <c r="K627" s="14" t="str">
        <f>IFERROR((VLOOKUP($A627,'[1]import success seats course'!$A:Y,HLOOKUP('[1]Course Totals'!K$4,'[1]import success seats course'!$1:$2,2,FALSE),FALSE)/(VLOOKUP($A627,'[1]import graded seats course pivo'!$A:AI,HLOOKUP('[1]Course Totals'!K$4,'[1]import graded seats course pivo'!$1:$2,2,FALSE),FALSE))),"")</f>
        <v/>
      </c>
      <c r="L627" s="14" t="str">
        <f>IFERROR((VLOOKUP($A627,'[1]import success seats course'!$A:Z,HLOOKUP('[1]Course Totals'!L$4,'[1]import success seats course'!$1:$2,2,FALSE),FALSE)/(VLOOKUP($A627,'[1]import graded seats course pivo'!$A:AJ,HLOOKUP('[1]Course Totals'!L$4,'[1]import graded seats course pivo'!$1:$2,2,FALSE),FALSE))),"")</f>
        <v/>
      </c>
      <c r="M627" s="14" t="str">
        <f>IFERROR((VLOOKUP($A627,'[1]import success seats course'!$A:AA,HLOOKUP('[1]Course Totals'!M$4,'[1]import success seats course'!$1:$2,2,FALSE),FALSE)/(VLOOKUP($A627,'[1]import graded seats course pivo'!$A:AK,HLOOKUP('[1]Course Totals'!M$4,'[1]import graded seats course pivo'!$1:$2,2,FALSE),FALSE))),"")</f>
        <v/>
      </c>
      <c r="N627" s="14" t="str">
        <f>IFERROR((VLOOKUP($A627,'[1]import success seats course'!$A:AB,HLOOKUP('[1]Course Totals'!N$4,'[1]import success seats course'!$1:$2,2,FALSE),FALSE)/(VLOOKUP($A627,'[1]import graded seats course pivo'!$A:AL,HLOOKUP('[1]Course Totals'!N$4,'[1]import graded seats course pivo'!$1:$2,2,FALSE),FALSE))),"")</f>
        <v/>
      </c>
      <c r="O627" s="14" t="str">
        <f>IFERROR((VLOOKUP($A627,'[1]import success seats course'!$A:AC,HLOOKUP('[1]Course Totals'!O$4,'[1]import success seats course'!$1:$2,2,FALSE),FALSE)/(VLOOKUP($A627,'[1]import graded seats course pivo'!$A:AM,HLOOKUP('[1]Course Totals'!O$4,'[1]import graded seats course pivo'!$1:$2,2,FALSE),FALSE))),"")</f>
        <v/>
      </c>
      <c r="P627" s="14" t="str">
        <f>IFERROR((VLOOKUP($A627,'[1]import success seats course'!$A:AD,HLOOKUP('[1]Course Totals'!P$4,'[1]import success seats course'!$1:$2,2,FALSE),FALSE)/(VLOOKUP($A627,'[1]import graded seats course pivo'!$A:AN,HLOOKUP('[1]Course Totals'!P$4,'[1]import graded seats course pivo'!$1:$2,2,FALSE),FALSE))),"")</f>
        <v/>
      </c>
      <c r="Q627" s="14" t="str">
        <f>IFERROR((VLOOKUP($A627,'[1]import success seats course'!$A:AE,HLOOKUP('[1]Course Totals'!Q$4,'[1]import success seats course'!$1:$2,2,FALSE),FALSE)/(VLOOKUP($A627,'[1]import graded seats course pivo'!$A:AO,HLOOKUP('[1]Course Totals'!Q$4,'[1]import graded seats course pivo'!$1:$2,2,FALSE),FALSE))),"")</f>
        <v/>
      </c>
      <c r="R627" s="14" t="str">
        <f>IFERROR((VLOOKUP($A627,'[1]import success seats course'!$A:AF,HLOOKUP('[1]Course Totals'!R$4,'[1]import success seats course'!$1:$2,2,FALSE),FALSE)/(VLOOKUP($A627,'[1]import graded seats course pivo'!$A:AP,HLOOKUP('[1]Course Totals'!R$4,'[1]import graded seats course pivo'!$1:$2,2,FALSE),FALSE))),"")</f>
        <v/>
      </c>
      <c r="S627" s="14" t="str">
        <f>IFERROR((VLOOKUP($A627,'[1]import success seats course'!$A:AG,HLOOKUP('[1]Course Totals'!S$4,'[1]import success seats course'!$1:$2,2,FALSE),FALSE)/(VLOOKUP($A627,'[1]import graded seats course pivo'!$A:AQ,HLOOKUP('[1]Course Totals'!S$4,'[1]import graded seats course pivo'!$1:$2,2,FALSE),FALSE))),"")</f>
        <v/>
      </c>
      <c r="Z627" s="7"/>
      <c r="AA627" s="7"/>
      <c r="AB627" s="7"/>
      <c r="AC627" s="7"/>
    </row>
    <row r="628" spans="1:29" ht="15.75" hidden="1" customHeight="1" x14ac:dyDescent="0.25">
      <c r="A628" s="12" t="s">
        <v>846</v>
      </c>
      <c r="B628" s="14" t="str">
        <f>IFERROR((VLOOKUP($A628,'[1]import success seats course'!$A:P,HLOOKUP('[1]Course Totals'!B$4,'[1]import success seats course'!$1:$2,2,FALSE),FALSE)/(VLOOKUP($A628,'[1]import graded seats course pivo'!$A:Z,HLOOKUP('[1]Course Totals'!B$4,'[1]import graded seats course pivo'!$1:$2,2,FALSE),FALSE))),"")</f>
        <v/>
      </c>
      <c r="C628" s="14" t="str">
        <f>IFERROR((VLOOKUP($A628,'[1]import success seats course'!$A:Q,HLOOKUP('[1]Course Totals'!C$4,'[1]import success seats course'!$1:$2,2,FALSE),FALSE)/(VLOOKUP($A628,'[1]import graded seats course pivo'!$A:AA,HLOOKUP('[1]Course Totals'!C$4,'[1]import graded seats course pivo'!$1:$2,2,FALSE),FALSE))),"")</f>
        <v/>
      </c>
      <c r="D628" s="14" t="str">
        <f>IFERROR((VLOOKUP($A628,'[1]import success seats course'!$A:R,HLOOKUP('[1]Course Totals'!D$4,'[1]import success seats course'!$1:$2,2,FALSE),FALSE)/(VLOOKUP($A628,'[1]import graded seats course pivo'!$A:AB,HLOOKUP('[1]Course Totals'!D$4,'[1]import graded seats course pivo'!$1:$2,2,FALSE),FALSE))),"")</f>
        <v/>
      </c>
      <c r="E628" s="14" t="str">
        <f>IFERROR((VLOOKUP($A628,'[1]import success seats course'!$A:S,HLOOKUP('[1]Course Totals'!E$4,'[1]import success seats course'!$1:$2,2,FALSE),FALSE)/(VLOOKUP($A628,'[1]import graded seats course pivo'!$A:AC,HLOOKUP('[1]Course Totals'!E$4,'[1]import graded seats course pivo'!$1:$2,2,FALSE),FALSE))),"")</f>
        <v/>
      </c>
      <c r="F628" s="14" t="str">
        <f>IFERROR((VLOOKUP($A628,'[1]import success seats course'!$A:T,HLOOKUP('[1]Course Totals'!F$4,'[1]import success seats course'!$1:$2,2,FALSE),FALSE)/(VLOOKUP($A628,'[1]import graded seats course pivo'!$A:AD,HLOOKUP('[1]Course Totals'!F$4,'[1]import graded seats course pivo'!$1:$2,2,FALSE),FALSE))),"")</f>
        <v/>
      </c>
      <c r="G628" s="14" t="str">
        <f>IFERROR((VLOOKUP($A628,'[1]import success seats course'!$A:U,HLOOKUP('[1]Course Totals'!G$4,'[1]import success seats course'!$1:$2,2,FALSE),FALSE)/(VLOOKUP($A628,'[1]import graded seats course pivo'!$A:AE,HLOOKUP('[1]Course Totals'!G$4,'[1]import graded seats course pivo'!$1:$2,2,FALSE),FALSE))),"")</f>
        <v/>
      </c>
      <c r="H628" s="14" t="str">
        <f>IFERROR((VLOOKUP($A628,'[1]import success seats course'!$A:V,HLOOKUP('[1]Course Totals'!H$4,'[1]import success seats course'!$1:$2,2,FALSE),FALSE)/(VLOOKUP($A628,'[1]import graded seats course pivo'!$A:AF,HLOOKUP('[1]Course Totals'!H$4,'[1]import graded seats course pivo'!$1:$2,2,FALSE),FALSE))),"")</f>
        <v/>
      </c>
      <c r="I628" s="14" t="str">
        <f>IFERROR((VLOOKUP($A628,'[1]import success seats course'!$A:W,HLOOKUP('[1]Course Totals'!I$4,'[1]import success seats course'!$1:$2,2,FALSE),FALSE)/(VLOOKUP($A628,'[1]import graded seats course pivo'!$A:AG,HLOOKUP('[1]Course Totals'!I$4,'[1]import graded seats course pivo'!$1:$2,2,FALSE),FALSE))),"")</f>
        <v/>
      </c>
      <c r="J628" s="14" t="str">
        <f>IFERROR((VLOOKUP($A628,'[1]import success seats course'!$A:X,HLOOKUP('[1]Course Totals'!J$4,'[1]import success seats course'!$1:$2,2,FALSE),FALSE)/(VLOOKUP($A628,'[1]import graded seats course pivo'!$A:AH,HLOOKUP('[1]Course Totals'!J$4,'[1]import graded seats course pivo'!$1:$2,2,FALSE),FALSE))),"")</f>
        <v/>
      </c>
      <c r="K628" s="14" t="str">
        <f>IFERROR((VLOOKUP($A628,'[1]import success seats course'!$A:Y,HLOOKUP('[1]Course Totals'!K$4,'[1]import success seats course'!$1:$2,2,FALSE),FALSE)/(VLOOKUP($A628,'[1]import graded seats course pivo'!$A:AI,HLOOKUP('[1]Course Totals'!K$4,'[1]import graded seats course pivo'!$1:$2,2,FALSE),FALSE))),"")</f>
        <v/>
      </c>
      <c r="L628" s="14" t="str">
        <f>IFERROR((VLOOKUP($A628,'[1]import success seats course'!$A:Z,HLOOKUP('[1]Course Totals'!L$4,'[1]import success seats course'!$1:$2,2,FALSE),FALSE)/(VLOOKUP($A628,'[1]import graded seats course pivo'!$A:AJ,HLOOKUP('[1]Course Totals'!L$4,'[1]import graded seats course pivo'!$1:$2,2,FALSE),FALSE))),"")</f>
        <v/>
      </c>
      <c r="M628" s="14" t="str">
        <f>IFERROR((VLOOKUP($A628,'[1]import success seats course'!$A:AA,HLOOKUP('[1]Course Totals'!M$4,'[1]import success seats course'!$1:$2,2,FALSE),FALSE)/(VLOOKUP($A628,'[1]import graded seats course pivo'!$A:AK,HLOOKUP('[1]Course Totals'!M$4,'[1]import graded seats course pivo'!$1:$2,2,FALSE),FALSE))),"")</f>
        <v/>
      </c>
      <c r="N628" s="14" t="str">
        <f>IFERROR((VLOOKUP($A628,'[1]import success seats course'!$A:AB,HLOOKUP('[1]Course Totals'!N$4,'[1]import success seats course'!$1:$2,2,FALSE),FALSE)/(VLOOKUP($A628,'[1]import graded seats course pivo'!$A:AL,HLOOKUP('[1]Course Totals'!N$4,'[1]import graded seats course pivo'!$1:$2,2,FALSE),FALSE))),"")</f>
        <v/>
      </c>
      <c r="O628" s="14" t="str">
        <f>IFERROR((VLOOKUP($A628,'[1]import success seats course'!$A:AC,HLOOKUP('[1]Course Totals'!O$4,'[1]import success seats course'!$1:$2,2,FALSE),FALSE)/(VLOOKUP($A628,'[1]import graded seats course pivo'!$A:AM,HLOOKUP('[1]Course Totals'!O$4,'[1]import graded seats course pivo'!$1:$2,2,FALSE),FALSE))),"")</f>
        <v/>
      </c>
      <c r="P628" s="14" t="str">
        <f>IFERROR((VLOOKUP($A628,'[1]import success seats course'!$A:AD,HLOOKUP('[1]Course Totals'!P$4,'[1]import success seats course'!$1:$2,2,FALSE),FALSE)/(VLOOKUP($A628,'[1]import graded seats course pivo'!$A:AN,HLOOKUP('[1]Course Totals'!P$4,'[1]import graded seats course pivo'!$1:$2,2,FALSE),FALSE))),"")</f>
        <v/>
      </c>
      <c r="Q628" s="14" t="str">
        <f>IFERROR((VLOOKUP($A628,'[1]import success seats course'!$A:AE,HLOOKUP('[1]Course Totals'!Q$4,'[1]import success seats course'!$1:$2,2,FALSE),FALSE)/(VLOOKUP($A628,'[1]import graded seats course pivo'!$A:AO,HLOOKUP('[1]Course Totals'!Q$4,'[1]import graded seats course pivo'!$1:$2,2,FALSE),FALSE))),"")</f>
        <v/>
      </c>
      <c r="R628" s="14" t="str">
        <f>IFERROR((VLOOKUP($A628,'[1]import success seats course'!$A:AF,HLOOKUP('[1]Course Totals'!R$4,'[1]import success seats course'!$1:$2,2,FALSE),FALSE)/(VLOOKUP($A628,'[1]import graded seats course pivo'!$A:AP,HLOOKUP('[1]Course Totals'!R$4,'[1]import graded seats course pivo'!$1:$2,2,FALSE),FALSE))),"")</f>
        <v/>
      </c>
      <c r="S628" s="14" t="str">
        <f>IFERROR((VLOOKUP($A628,'[1]import success seats course'!$A:AG,HLOOKUP('[1]Course Totals'!S$4,'[1]import success seats course'!$1:$2,2,FALSE),FALSE)/(VLOOKUP($A628,'[1]import graded seats course pivo'!$A:AQ,HLOOKUP('[1]Course Totals'!S$4,'[1]import graded seats course pivo'!$1:$2,2,FALSE),FALSE))),"")</f>
        <v/>
      </c>
      <c r="Z628" s="7"/>
      <c r="AA628" s="7"/>
      <c r="AB628" s="7"/>
      <c r="AC628" s="7"/>
    </row>
    <row r="629" spans="1:29" ht="15.75" hidden="1" customHeight="1" x14ac:dyDescent="0.25">
      <c r="A629" s="12" t="s">
        <v>289</v>
      </c>
      <c r="B629" s="14" t="str">
        <f>IFERROR((VLOOKUP($A629,'[1]import success seats course'!$A:P,HLOOKUP('[1]Course Totals'!B$4,'[1]import success seats course'!$1:$2,2,FALSE),FALSE)/(VLOOKUP($A629,'[1]import graded seats course pivo'!$A:Z,HLOOKUP('[1]Course Totals'!B$4,'[1]import graded seats course pivo'!$1:$2,2,FALSE),FALSE))),"")</f>
        <v/>
      </c>
      <c r="C629" s="14" t="str">
        <f>IFERROR((VLOOKUP($A629,'[1]import success seats course'!$A:Q,HLOOKUP('[1]Course Totals'!C$4,'[1]import success seats course'!$1:$2,2,FALSE),FALSE)/(VLOOKUP($A629,'[1]import graded seats course pivo'!$A:AA,HLOOKUP('[1]Course Totals'!C$4,'[1]import graded seats course pivo'!$1:$2,2,FALSE),FALSE))),"")</f>
        <v/>
      </c>
      <c r="D629" s="14" t="str">
        <f>IFERROR((VLOOKUP($A629,'[1]import success seats course'!$A:R,HLOOKUP('[1]Course Totals'!D$4,'[1]import success seats course'!$1:$2,2,FALSE),FALSE)/(VLOOKUP($A629,'[1]import graded seats course pivo'!$A:AB,HLOOKUP('[1]Course Totals'!D$4,'[1]import graded seats course pivo'!$1:$2,2,FALSE),FALSE))),"")</f>
        <v/>
      </c>
      <c r="E629" s="14" t="str">
        <f>IFERROR((VLOOKUP($A629,'[1]import success seats course'!$A:S,HLOOKUP('[1]Course Totals'!E$4,'[1]import success seats course'!$1:$2,2,FALSE),FALSE)/(VLOOKUP($A629,'[1]import graded seats course pivo'!$A:AC,HLOOKUP('[1]Course Totals'!E$4,'[1]import graded seats course pivo'!$1:$2,2,FALSE),FALSE))),"")</f>
        <v/>
      </c>
      <c r="F629" s="14" t="str">
        <f>IFERROR((VLOOKUP($A629,'[1]import success seats course'!$A:T,HLOOKUP('[1]Course Totals'!F$4,'[1]import success seats course'!$1:$2,2,FALSE),FALSE)/(VLOOKUP($A629,'[1]import graded seats course pivo'!$A:AD,HLOOKUP('[1]Course Totals'!F$4,'[1]import graded seats course pivo'!$1:$2,2,FALSE),FALSE))),"")</f>
        <v/>
      </c>
      <c r="G629" s="14" t="str">
        <f>IFERROR((VLOOKUP($A629,'[1]import success seats course'!$A:U,HLOOKUP('[1]Course Totals'!G$4,'[1]import success seats course'!$1:$2,2,FALSE),FALSE)/(VLOOKUP($A629,'[1]import graded seats course pivo'!$A:AE,HLOOKUP('[1]Course Totals'!G$4,'[1]import graded seats course pivo'!$1:$2,2,FALSE),FALSE))),"")</f>
        <v/>
      </c>
      <c r="H629" s="14" t="str">
        <f>IFERROR((VLOOKUP($A629,'[1]import success seats course'!$A:V,HLOOKUP('[1]Course Totals'!H$4,'[1]import success seats course'!$1:$2,2,FALSE),FALSE)/(VLOOKUP($A629,'[1]import graded seats course pivo'!$A:AF,HLOOKUP('[1]Course Totals'!H$4,'[1]import graded seats course pivo'!$1:$2,2,FALSE),FALSE))),"")</f>
        <v/>
      </c>
      <c r="I629" s="14" t="str">
        <f>IFERROR((VLOOKUP($A629,'[1]import success seats course'!$A:W,HLOOKUP('[1]Course Totals'!I$4,'[1]import success seats course'!$1:$2,2,FALSE),FALSE)/(VLOOKUP($A629,'[1]import graded seats course pivo'!$A:AG,HLOOKUP('[1]Course Totals'!I$4,'[1]import graded seats course pivo'!$1:$2,2,FALSE),FALSE))),"")</f>
        <v/>
      </c>
      <c r="J629" s="14" t="str">
        <f>IFERROR((VLOOKUP($A629,'[1]import success seats course'!$A:X,HLOOKUP('[1]Course Totals'!J$4,'[1]import success seats course'!$1:$2,2,FALSE),FALSE)/(VLOOKUP($A629,'[1]import graded seats course pivo'!$A:AH,HLOOKUP('[1]Course Totals'!J$4,'[1]import graded seats course pivo'!$1:$2,2,FALSE),FALSE))),"")</f>
        <v/>
      </c>
      <c r="K629" s="14" t="str">
        <f>IFERROR((VLOOKUP($A629,'[1]import success seats course'!$A:Y,HLOOKUP('[1]Course Totals'!K$4,'[1]import success seats course'!$1:$2,2,FALSE),FALSE)/(VLOOKUP($A629,'[1]import graded seats course pivo'!$A:AI,HLOOKUP('[1]Course Totals'!K$4,'[1]import graded seats course pivo'!$1:$2,2,FALSE),FALSE))),"")</f>
        <v/>
      </c>
      <c r="L629" s="14" t="str">
        <f>IFERROR((VLOOKUP($A629,'[1]import success seats course'!$A:Z,HLOOKUP('[1]Course Totals'!L$4,'[1]import success seats course'!$1:$2,2,FALSE),FALSE)/(VLOOKUP($A629,'[1]import graded seats course pivo'!$A:AJ,HLOOKUP('[1]Course Totals'!L$4,'[1]import graded seats course pivo'!$1:$2,2,FALSE),FALSE))),"")</f>
        <v/>
      </c>
      <c r="M629" s="14" t="str">
        <f>IFERROR((VLOOKUP($A629,'[1]import success seats course'!$A:AA,HLOOKUP('[1]Course Totals'!M$4,'[1]import success seats course'!$1:$2,2,FALSE),FALSE)/(VLOOKUP($A629,'[1]import graded seats course pivo'!$A:AK,HLOOKUP('[1]Course Totals'!M$4,'[1]import graded seats course pivo'!$1:$2,2,FALSE),FALSE))),"")</f>
        <v/>
      </c>
      <c r="N629" s="14" t="str">
        <f>IFERROR((VLOOKUP($A629,'[1]import success seats course'!$A:AB,HLOOKUP('[1]Course Totals'!N$4,'[1]import success seats course'!$1:$2,2,FALSE),FALSE)/(VLOOKUP($A629,'[1]import graded seats course pivo'!$A:AL,HLOOKUP('[1]Course Totals'!N$4,'[1]import graded seats course pivo'!$1:$2,2,FALSE),FALSE))),"")</f>
        <v/>
      </c>
      <c r="O629" s="14" t="str">
        <f>IFERROR((VLOOKUP($A629,'[1]import success seats course'!$A:AC,HLOOKUP('[1]Course Totals'!O$4,'[1]import success seats course'!$1:$2,2,FALSE),FALSE)/(VLOOKUP($A629,'[1]import graded seats course pivo'!$A:AM,HLOOKUP('[1]Course Totals'!O$4,'[1]import graded seats course pivo'!$1:$2,2,FALSE),FALSE))),"")</f>
        <v/>
      </c>
      <c r="P629" s="14" t="str">
        <f>IFERROR((VLOOKUP($A629,'[1]import success seats course'!$A:AD,HLOOKUP('[1]Course Totals'!P$4,'[1]import success seats course'!$1:$2,2,FALSE),FALSE)/(VLOOKUP($A629,'[1]import graded seats course pivo'!$A:AN,HLOOKUP('[1]Course Totals'!P$4,'[1]import graded seats course pivo'!$1:$2,2,FALSE),FALSE))),"")</f>
        <v/>
      </c>
      <c r="Q629" s="14" t="str">
        <f>IFERROR((VLOOKUP($A629,'[1]import success seats course'!$A:AE,HLOOKUP('[1]Course Totals'!Q$4,'[1]import success seats course'!$1:$2,2,FALSE),FALSE)/(VLOOKUP($A629,'[1]import graded seats course pivo'!$A:AO,HLOOKUP('[1]Course Totals'!Q$4,'[1]import graded seats course pivo'!$1:$2,2,FALSE),FALSE))),"")</f>
        <v/>
      </c>
      <c r="R629" s="14" t="str">
        <f>IFERROR((VLOOKUP($A629,'[1]import success seats course'!$A:AF,HLOOKUP('[1]Course Totals'!R$4,'[1]import success seats course'!$1:$2,2,FALSE),FALSE)/(VLOOKUP($A629,'[1]import graded seats course pivo'!$A:AP,HLOOKUP('[1]Course Totals'!R$4,'[1]import graded seats course pivo'!$1:$2,2,FALSE),FALSE))),"")</f>
        <v/>
      </c>
      <c r="S629" s="14" t="str">
        <f>IFERROR((VLOOKUP($A629,'[1]import success seats course'!$A:AG,HLOOKUP('[1]Course Totals'!S$4,'[1]import success seats course'!$1:$2,2,FALSE),FALSE)/(VLOOKUP($A629,'[1]import graded seats course pivo'!$A:AQ,HLOOKUP('[1]Course Totals'!S$4,'[1]import graded seats course pivo'!$1:$2,2,FALSE),FALSE))),"")</f>
        <v/>
      </c>
      <c r="Z629" s="7"/>
      <c r="AA629" s="7"/>
      <c r="AB629" s="7"/>
      <c r="AC629" s="7"/>
    </row>
    <row r="630" spans="1:29" ht="15.75" customHeight="1" x14ac:dyDescent="0.25">
      <c r="A630" s="12" t="s">
        <v>733</v>
      </c>
      <c r="B630" s="14" t="str">
        <f>IFERROR((VLOOKUP($A630,'[1]import success seats course'!$A:P,HLOOKUP('[1]Course Totals'!B$4,'[1]import success seats course'!$1:$2,2,FALSE),FALSE)/(VLOOKUP($A630,'[1]import graded seats course pivo'!$A:Z,HLOOKUP('[1]Course Totals'!B$4,'[1]import graded seats course pivo'!$1:$2,2,FALSE),FALSE))),"")</f>
        <v/>
      </c>
      <c r="C630" s="14" t="str">
        <f>IFERROR((VLOOKUP($A630,'[1]import success seats course'!$A:Q,HLOOKUP('[1]Course Totals'!C$4,'[1]import success seats course'!$1:$2,2,FALSE),FALSE)/(VLOOKUP($A630,'[1]import graded seats course pivo'!$A:AA,HLOOKUP('[1]Course Totals'!C$4,'[1]import graded seats course pivo'!$1:$2,2,FALSE),FALSE))),"")</f>
        <v/>
      </c>
      <c r="D630" s="14" t="str">
        <f>IFERROR((VLOOKUP($A630,'[1]import success seats course'!$A:R,HLOOKUP('[1]Course Totals'!D$4,'[1]import success seats course'!$1:$2,2,FALSE),FALSE)/(VLOOKUP($A630,'[1]import graded seats course pivo'!$A:AB,HLOOKUP('[1]Course Totals'!D$4,'[1]import graded seats course pivo'!$1:$2,2,FALSE),FALSE))),"")</f>
        <v/>
      </c>
      <c r="E630" s="14" t="str">
        <f>IFERROR((VLOOKUP($A630,'[1]import success seats course'!$A:S,HLOOKUP('[1]Course Totals'!E$4,'[1]import success seats course'!$1:$2,2,FALSE),FALSE)/(VLOOKUP($A630,'[1]import graded seats course pivo'!$A:AC,HLOOKUP('[1]Course Totals'!E$4,'[1]import graded seats course pivo'!$1:$2,2,FALSE),FALSE))),"")</f>
        <v/>
      </c>
      <c r="F630" s="14" t="str">
        <f>IFERROR((VLOOKUP($A630,'[1]import success seats course'!$A:T,HLOOKUP('[1]Course Totals'!F$4,'[1]import success seats course'!$1:$2,2,FALSE),FALSE)/(VLOOKUP($A630,'[1]import graded seats course pivo'!$A:AD,HLOOKUP('[1]Course Totals'!F$4,'[1]import graded seats course pivo'!$1:$2,2,FALSE),FALSE))),"")</f>
        <v/>
      </c>
      <c r="G630" s="14" t="str">
        <f>IFERROR((VLOOKUP($A630,'[1]import success seats course'!$A:U,HLOOKUP('[1]Course Totals'!G$4,'[1]import success seats course'!$1:$2,2,FALSE),FALSE)/(VLOOKUP($A630,'[1]import graded seats course pivo'!$A:AE,HLOOKUP('[1]Course Totals'!G$4,'[1]import graded seats course pivo'!$1:$2,2,FALSE),FALSE))),"")</f>
        <v/>
      </c>
      <c r="H630" s="14" t="str">
        <f>IFERROR((VLOOKUP($A630,'[1]import success seats course'!$A:V,HLOOKUP('[1]Course Totals'!H$4,'[1]import success seats course'!$1:$2,2,FALSE),FALSE)/(VLOOKUP($A630,'[1]import graded seats course pivo'!$A:AF,HLOOKUP('[1]Course Totals'!H$4,'[1]import graded seats course pivo'!$1:$2,2,FALSE),FALSE))),"")</f>
        <v/>
      </c>
      <c r="I630" s="14" t="str">
        <f>IFERROR((VLOOKUP($A630,'[1]import success seats course'!$A:W,HLOOKUP('[1]Course Totals'!I$4,'[1]import success seats course'!$1:$2,2,FALSE),FALSE)/(VLOOKUP($A630,'[1]import graded seats course pivo'!$A:AG,HLOOKUP('[1]Course Totals'!I$4,'[1]import graded seats course pivo'!$1:$2,2,FALSE),FALSE))),"")</f>
        <v/>
      </c>
      <c r="J630" s="14" t="str">
        <f>IFERROR((VLOOKUP($A630,'[1]import success seats course'!$A:X,HLOOKUP('[1]Course Totals'!J$4,'[1]import success seats course'!$1:$2,2,FALSE),FALSE)/(VLOOKUP($A630,'[1]import graded seats course pivo'!$A:AH,HLOOKUP('[1]Course Totals'!J$4,'[1]import graded seats course pivo'!$1:$2,2,FALSE),FALSE))),"")</f>
        <v/>
      </c>
      <c r="K630" s="14" t="str">
        <f>IFERROR((VLOOKUP($A630,'[1]import success seats course'!$A:Y,HLOOKUP('[1]Course Totals'!K$4,'[1]import success seats course'!$1:$2,2,FALSE),FALSE)/(VLOOKUP($A630,'[1]import graded seats course pivo'!$A:AI,HLOOKUP('[1]Course Totals'!K$4,'[1]import graded seats course pivo'!$1:$2,2,FALSE),FALSE))),"")</f>
        <v/>
      </c>
      <c r="L630" s="14" t="str">
        <f>IFERROR((VLOOKUP($A630,'[1]import success seats course'!$A:Z,HLOOKUP('[1]Course Totals'!L$4,'[1]import success seats course'!$1:$2,2,FALSE),FALSE)/(VLOOKUP($A630,'[1]import graded seats course pivo'!$A:AJ,HLOOKUP('[1]Course Totals'!L$4,'[1]import graded seats course pivo'!$1:$2,2,FALSE),FALSE))),"")</f>
        <v/>
      </c>
      <c r="M630" s="14" t="str">
        <f>IFERROR((VLOOKUP($A630,'[1]import success seats course'!$A:AA,HLOOKUP('[1]Course Totals'!M$4,'[1]import success seats course'!$1:$2,2,FALSE),FALSE)/(VLOOKUP($A630,'[1]import graded seats course pivo'!$A:AK,HLOOKUP('[1]Course Totals'!M$4,'[1]import graded seats course pivo'!$1:$2,2,FALSE),FALSE))),"")</f>
        <v/>
      </c>
      <c r="N630" s="14" t="str">
        <f>IFERROR((VLOOKUP($A630,'[1]import success seats course'!$A:AB,HLOOKUP('[1]Course Totals'!N$4,'[1]import success seats course'!$1:$2,2,FALSE),FALSE)/(VLOOKUP($A630,'[1]import graded seats course pivo'!$A:AL,HLOOKUP('[1]Course Totals'!N$4,'[1]import graded seats course pivo'!$1:$2,2,FALSE),FALSE))),"")</f>
        <v/>
      </c>
      <c r="O630" s="14" t="str">
        <f>IFERROR((VLOOKUP($A630,'[1]import success seats course'!$A:AC,HLOOKUP('[1]Course Totals'!O$4,'[1]import success seats course'!$1:$2,2,FALSE),FALSE)/(VLOOKUP($A630,'[1]import graded seats course pivo'!$A:AM,HLOOKUP('[1]Course Totals'!O$4,'[1]import graded seats course pivo'!$1:$2,2,FALSE),FALSE))),"")</f>
        <v/>
      </c>
      <c r="P630" s="14" t="str">
        <f>IFERROR((VLOOKUP($A630,'[1]import success seats course'!$A:AD,HLOOKUP('[1]Course Totals'!P$4,'[1]import success seats course'!$1:$2,2,FALSE),FALSE)/(VLOOKUP($A630,'[1]import graded seats course pivo'!$A:AN,HLOOKUP('[1]Course Totals'!P$4,'[1]import graded seats course pivo'!$1:$2,2,FALSE),FALSE))),"")</f>
        <v/>
      </c>
      <c r="Q630" s="14" t="str">
        <f>IFERROR((VLOOKUP($A630,'[1]import success seats course'!$A:AE,HLOOKUP('[1]Course Totals'!Q$4,'[1]import success seats course'!$1:$2,2,FALSE),FALSE)/(VLOOKUP($A630,'[1]import graded seats course pivo'!$A:AO,HLOOKUP('[1]Course Totals'!Q$4,'[1]import graded seats course pivo'!$1:$2,2,FALSE),FALSE))),"")</f>
        <v/>
      </c>
      <c r="R630" s="14">
        <f>IFERROR((VLOOKUP($A630,'[1]import success seats course'!$A:AF,HLOOKUP('[1]Course Totals'!R$4,'[1]import success seats course'!$1:$2,2,FALSE),FALSE)/(VLOOKUP($A630,'[1]import graded seats course pivo'!$A:AP,HLOOKUP('[1]Course Totals'!R$4,'[1]import graded seats course pivo'!$1:$2,2,FALSE),FALSE))),"")</f>
        <v>1</v>
      </c>
      <c r="S630" s="14">
        <f>IFERROR((VLOOKUP($A630,'[1]import success seats course'!$A:AG,HLOOKUP('[1]Course Totals'!S$4,'[1]import success seats course'!$1:$2,2,FALSE),FALSE)/(VLOOKUP($A630,'[1]import graded seats course pivo'!$A:AQ,HLOOKUP('[1]Course Totals'!S$4,'[1]import graded seats course pivo'!$1:$2,2,FALSE),FALSE))),"")</f>
        <v>0.9375</v>
      </c>
      <c r="Z630" s="7"/>
      <c r="AA630" s="7"/>
      <c r="AB630" s="7"/>
      <c r="AC630" s="7"/>
    </row>
    <row r="631" spans="1:29" ht="15.75" customHeight="1" x14ac:dyDescent="0.25">
      <c r="A631" s="12" t="s">
        <v>620</v>
      </c>
      <c r="B631" s="14" t="str">
        <f>IFERROR((VLOOKUP($A631,'[1]import success seats course'!$A:P,HLOOKUP('[1]Course Totals'!B$4,'[1]import success seats course'!$1:$2,2,FALSE),FALSE)/(VLOOKUP($A631,'[1]import graded seats course pivo'!$A:Z,HLOOKUP('[1]Course Totals'!B$4,'[1]import graded seats course pivo'!$1:$2,2,FALSE),FALSE))),"")</f>
        <v/>
      </c>
      <c r="C631" s="14" t="str">
        <f>IFERROR((VLOOKUP($A631,'[1]import success seats course'!$A:Q,HLOOKUP('[1]Course Totals'!C$4,'[1]import success seats course'!$1:$2,2,FALSE),FALSE)/(VLOOKUP($A631,'[1]import graded seats course pivo'!$A:AA,HLOOKUP('[1]Course Totals'!C$4,'[1]import graded seats course pivo'!$1:$2,2,FALSE),FALSE))),"")</f>
        <v/>
      </c>
      <c r="D631" s="14" t="str">
        <f>IFERROR((VLOOKUP($A631,'[1]import success seats course'!$A:R,HLOOKUP('[1]Course Totals'!D$4,'[1]import success seats course'!$1:$2,2,FALSE),FALSE)/(VLOOKUP($A631,'[1]import graded seats course pivo'!$A:AB,HLOOKUP('[1]Course Totals'!D$4,'[1]import graded seats course pivo'!$1:$2,2,FALSE),FALSE))),"")</f>
        <v/>
      </c>
      <c r="E631" s="14" t="str">
        <f>IFERROR((VLOOKUP($A631,'[1]import success seats course'!$A:S,HLOOKUP('[1]Course Totals'!E$4,'[1]import success seats course'!$1:$2,2,FALSE),FALSE)/(VLOOKUP($A631,'[1]import graded seats course pivo'!$A:AC,HLOOKUP('[1]Course Totals'!E$4,'[1]import graded seats course pivo'!$1:$2,2,FALSE),FALSE))),"")</f>
        <v/>
      </c>
      <c r="F631" s="14">
        <f>IFERROR((VLOOKUP($A631,'[1]import success seats course'!$A:T,HLOOKUP('[1]Course Totals'!F$4,'[1]import success seats course'!$1:$2,2,FALSE),FALSE)/(VLOOKUP($A631,'[1]import graded seats course pivo'!$A:AD,HLOOKUP('[1]Course Totals'!F$4,'[1]import graded seats course pivo'!$1:$2,2,FALSE),FALSE))),"")</f>
        <v>1</v>
      </c>
      <c r="G631" s="14" t="str">
        <f>IFERROR((VLOOKUP($A631,'[1]import success seats course'!$A:U,HLOOKUP('[1]Course Totals'!G$4,'[1]import success seats course'!$1:$2,2,FALSE),FALSE)/(VLOOKUP($A631,'[1]import graded seats course pivo'!$A:AE,HLOOKUP('[1]Course Totals'!G$4,'[1]import graded seats course pivo'!$1:$2,2,FALSE),FALSE))),"")</f>
        <v/>
      </c>
      <c r="H631" s="14" t="str">
        <f>IFERROR((VLOOKUP($A631,'[1]import success seats course'!$A:V,HLOOKUP('[1]Course Totals'!H$4,'[1]import success seats course'!$1:$2,2,FALSE),FALSE)/(VLOOKUP($A631,'[1]import graded seats course pivo'!$A:AF,HLOOKUP('[1]Course Totals'!H$4,'[1]import graded seats course pivo'!$1:$2,2,FALSE),FALSE))),"")</f>
        <v/>
      </c>
      <c r="I631" s="14">
        <f>IFERROR((VLOOKUP($A631,'[1]import success seats course'!$A:W,HLOOKUP('[1]Course Totals'!I$4,'[1]import success seats course'!$1:$2,2,FALSE),FALSE)/(VLOOKUP($A631,'[1]import graded seats course pivo'!$A:AG,HLOOKUP('[1]Course Totals'!I$4,'[1]import graded seats course pivo'!$1:$2,2,FALSE),FALSE))),"")</f>
        <v>1</v>
      </c>
      <c r="J631" s="14" t="str">
        <f>IFERROR((VLOOKUP($A631,'[1]import success seats course'!$A:X,HLOOKUP('[1]Course Totals'!J$4,'[1]import success seats course'!$1:$2,2,FALSE),FALSE)/(VLOOKUP($A631,'[1]import graded seats course pivo'!$A:AH,HLOOKUP('[1]Course Totals'!J$4,'[1]import graded seats course pivo'!$1:$2,2,FALSE),FALSE))),"")</f>
        <v/>
      </c>
      <c r="K631" s="14" t="str">
        <f>IFERROR((VLOOKUP($A631,'[1]import success seats course'!$A:Y,HLOOKUP('[1]Course Totals'!K$4,'[1]import success seats course'!$1:$2,2,FALSE),FALSE)/(VLOOKUP($A631,'[1]import graded seats course pivo'!$A:AI,HLOOKUP('[1]Course Totals'!K$4,'[1]import graded seats course pivo'!$1:$2,2,FALSE),FALSE))),"")</f>
        <v/>
      </c>
      <c r="L631" s="14" t="str">
        <f>IFERROR((VLOOKUP($A631,'[1]import success seats course'!$A:Z,HLOOKUP('[1]Course Totals'!L$4,'[1]import success seats course'!$1:$2,2,FALSE),FALSE)/(VLOOKUP($A631,'[1]import graded seats course pivo'!$A:AJ,HLOOKUP('[1]Course Totals'!L$4,'[1]import graded seats course pivo'!$1:$2,2,FALSE),FALSE))),"")</f>
        <v/>
      </c>
      <c r="M631" s="14" t="str">
        <f>IFERROR((VLOOKUP($A631,'[1]import success seats course'!$A:AA,HLOOKUP('[1]Course Totals'!M$4,'[1]import success seats course'!$1:$2,2,FALSE),FALSE)/(VLOOKUP($A631,'[1]import graded seats course pivo'!$A:AK,HLOOKUP('[1]Course Totals'!M$4,'[1]import graded seats course pivo'!$1:$2,2,FALSE),FALSE))),"")</f>
        <v/>
      </c>
      <c r="N631" s="14" t="str">
        <f>IFERROR((VLOOKUP($A631,'[1]import success seats course'!$A:AB,HLOOKUP('[1]Course Totals'!N$4,'[1]import success seats course'!$1:$2,2,FALSE),FALSE)/(VLOOKUP($A631,'[1]import graded seats course pivo'!$A:AL,HLOOKUP('[1]Course Totals'!N$4,'[1]import graded seats course pivo'!$1:$2,2,FALSE),FALSE))),"")</f>
        <v/>
      </c>
      <c r="O631" s="14" t="str">
        <f>IFERROR((VLOOKUP($A631,'[1]import success seats course'!$A:AC,HLOOKUP('[1]Course Totals'!O$4,'[1]import success seats course'!$1:$2,2,FALSE),FALSE)/(VLOOKUP($A631,'[1]import graded seats course pivo'!$A:AM,HLOOKUP('[1]Course Totals'!O$4,'[1]import graded seats course pivo'!$1:$2,2,FALSE),FALSE))),"")</f>
        <v/>
      </c>
      <c r="P631" s="14" t="str">
        <f>IFERROR((VLOOKUP($A631,'[1]import success seats course'!$A:AD,HLOOKUP('[1]Course Totals'!P$4,'[1]import success seats course'!$1:$2,2,FALSE),FALSE)/(VLOOKUP($A631,'[1]import graded seats course pivo'!$A:AN,HLOOKUP('[1]Course Totals'!P$4,'[1]import graded seats course pivo'!$1:$2,2,FALSE),FALSE))),"")</f>
        <v/>
      </c>
      <c r="Q631" s="14" t="str">
        <f>IFERROR((VLOOKUP($A631,'[1]import success seats course'!$A:AE,HLOOKUP('[1]Course Totals'!Q$4,'[1]import success seats course'!$1:$2,2,FALSE),FALSE)/(VLOOKUP($A631,'[1]import graded seats course pivo'!$A:AO,HLOOKUP('[1]Course Totals'!Q$4,'[1]import graded seats course pivo'!$1:$2,2,FALSE),FALSE))),"")</f>
        <v/>
      </c>
      <c r="R631" s="14" t="str">
        <f>IFERROR((VLOOKUP($A631,'[1]import success seats course'!$A:AF,HLOOKUP('[1]Course Totals'!R$4,'[1]import success seats course'!$1:$2,2,FALSE),FALSE)/(VLOOKUP($A631,'[1]import graded seats course pivo'!$A:AP,HLOOKUP('[1]Course Totals'!R$4,'[1]import graded seats course pivo'!$1:$2,2,FALSE),FALSE))),"")</f>
        <v/>
      </c>
      <c r="S631" s="14" t="str">
        <f>IFERROR((VLOOKUP($A631,'[1]import success seats course'!$A:AG,HLOOKUP('[1]Course Totals'!S$4,'[1]import success seats course'!$1:$2,2,FALSE),FALSE)/(VLOOKUP($A631,'[1]import graded seats course pivo'!$A:AQ,HLOOKUP('[1]Course Totals'!S$4,'[1]import graded seats course pivo'!$1:$2,2,FALSE),FALSE))),"")</f>
        <v/>
      </c>
      <c r="Z631" s="7"/>
      <c r="AA631" s="7"/>
      <c r="AB631" s="7"/>
      <c r="AC631" s="7"/>
    </row>
    <row r="632" spans="1:29" ht="15.75" customHeight="1" thickBot="1" x14ac:dyDescent="0.3">
      <c r="A632" s="8" t="str">
        <f>'[1]SUBJECTS BASE'!H35</f>
        <v>Honors Enrichment Program</v>
      </c>
      <c r="B632" s="38" t="s">
        <v>1046</v>
      </c>
      <c r="C632" s="39" t="s">
        <v>0</v>
      </c>
      <c r="D632" s="40" t="s">
        <v>868</v>
      </c>
      <c r="E632" s="41" t="s">
        <v>1052</v>
      </c>
      <c r="F632" s="42" t="s">
        <v>546</v>
      </c>
      <c r="G632" s="43" t="s">
        <v>959</v>
      </c>
      <c r="H632" s="44" t="s">
        <v>1060</v>
      </c>
      <c r="I632" s="39" t="s">
        <v>675</v>
      </c>
      <c r="J632" s="45" t="s">
        <v>1006</v>
      </c>
      <c r="K632" s="46" t="s">
        <v>1062</v>
      </c>
      <c r="L632" s="42" t="s">
        <v>762</v>
      </c>
      <c r="M632" s="43" t="s">
        <v>1022</v>
      </c>
      <c r="N632" s="44" t="s">
        <v>1063</v>
      </c>
      <c r="O632" s="39" t="s">
        <v>822</v>
      </c>
      <c r="P632" s="40" t="s">
        <v>1042</v>
      </c>
      <c r="Q632" s="46" t="s">
        <v>1153</v>
      </c>
      <c r="R632" s="42" t="s">
        <v>1154</v>
      </c>
      <c r="S632" s="43" t="s">
        <v>1155</v>
      </c>
      <c r="Z632" s="7"/>
      <c r="AA632" s="7"/>
      <c r="AB632" s="7"/>
      <c r="AC632" s="7"/>
    </row>
    <row r="633" spans="1:29" ht="15.75" customHeight="1" x14ac:dyDescent="0.25">
      <c r="A633" s="12" t="s">
        <v>290</v>
      </c>
      <c r="B633" s="14" t="str">
        <f>IFERROR((VLOOKUP($A633,'[1]import success seats course'!$A:P,HLOOKUP('[1]Course Totals'!B$4,'[1]import success seats course'!$1:$2,2,FALSE),FALSE)/(VLOOKUP($A633,'[1]import graded seats course pivo'!$A:Z,HLOOKUP('[1]Course Totals'!B$4,'[1]import graded seats course pivo'!$1:$2,2,FALSE),FALSE))),"")</f>
        <v/>
      </c>
      <c r="C633" s="14">
        <f>IFERROR((VLOOKUP($A633,'[1]import success seats course'!$A:Q,HLOOKUP('[1]Course Totals'!C$4,'[1]import success seats course'!$1:$2,2,FALSE),FALSE)/(VLOOKUP($A633,'[1]import graded seats course pivo'!$A:AA,HLOOKUP('[1]Course Totals'!C$4,'[1]import graded seats course pivo'!$1:$2,2,FALSE),FALSE))),"")</f>
        <v>0.61538461538461542</v>
      </c>
      <c r="D633" s="14">
        <f>IFERROR((VLOOKUP($A633,'[1]import success seats course'!$A:R,HLOOKUP('[1]Course Totals'!D$4,'[1]import success seats course'!$1:$2,2,FALSE),FALSE)/(VLOOKUP($A633,'[1]import graded seats course pivo'!$A:AB,HLOOKUP('[1]Course Totals'!D$4,'[1]import graded seats course pivo'!$1:$2,2,FALSE),FALSE))),"")</f>
        <v>0.78947368421052633</v>
      </c>
      <c r="E633" s="14" t="str">
        <f>IFERROR((VLOOKUP($A633,'[1]import success seats course'!$A:S,HLOOKUP('[1]Course Totals'!E$4,'[1]import success seats course'!$1:$2,2,FALSE),FALSE)/(VLOOKUP($A633,'[1]import graded seats course pivo'!$A:AC,HLOOKUP('[1]Course Totals'!E$4,'[1]import graded seats course pivo'!$1:$2,2,FALSE),FALSE))),"")</f>
        <v/>
      </c>
      <c r="F633" s="14">
        <f>IFERROR((VLOOKUP($A633,'[1]import success seats course'!$A:T,HLOOKUP('[1]Course Totals'!F$4,'[1]import success seats course'!$1:$2,2,FALSE),FALSE)/(VLOOKUP($A633,'[1]import graded seats course pivo'!$A:AD,HLOOKUP('[1]Course Totals'!F$4,'[1]import graded seats course pivo'!$1:$2,2,FALSE),FALSE))),"")</f>
        <v>0.82608695652173914</v>
      </c>
      <c r="G633" s="14">
        <f>IFERROR((VLOOKUP($A633,'[1]import success seats course'!$A:U,HLOOKUP('[1]Course Totals'!G$4,'[1]import success seats course'!$1:$2,2,FALSE),FALSE)/(VLOOKUP($A633,'[1]import graded seats course pivo'!$A:AE,HLOOKUP('[1]Course Totals'!G$4,'[1]import graded seats course pivo'!$1:$2,2,FALSE),FALSE))),"")</f>
        <v>0.88235294117647056</v>
      </c>
      <c r="H633" s="14" t="str">
        <f>IFERROR((VLOOKUP($A633,'[1]import success seats course'!$A:V,HLOOKUP('[1]Course Totals'!H$4,'[1]import success seats course'!$1:$2,2,FALSE),FALSE)/(VLOOKUP($A633,'[1]import graded seats course pivo'!$A:AF,HLOOKUP('[1]Course Totals'!H$4,'[1]import graded seats course pivo'!$1:$2,2,FALSE),FALSE))),"")</f>
        <v/>
      </c>
      <c r="I633" s="14">
        <f>IFERROR((VLOOKUP($A633,'[1]import success seats course'!$A:W,HLOOKUP('[1]Course Totals'!I$4,'[1]import success seats course'!$1:$2,2,FALSE),FALSE)/(VLOOKUP($A633,'[1]import graded seats course pivo'!$A:AG,HLOOKUP('[1]Course Totals'!I$4,'[1]import graded seats course pivo'!$1:$2,2,FALSE),FALSE))),"")</f>
        <v>0.88</v>
      </c>
      <c r="J633" s="14">
        <f>IFERROR((VLOOKUP($A633,'[1]import success seats course'!$A:X,HLOOKUP('[1]Course Totals'!J$4,'[1]import success seats course'!$1:$2,2,FALSE),FALSE)/(VLOOKUP($A633,'[1]import graded seats course pivo'!$A:AH,HLOOKUP('[1]Course Totals'!J$4,'[1]import graded seats course pivo'!$1:$2,2,FALSE),FALSE))),"")</f>
        <v>0.875</v>
      </c>
      <c r="K633" s="14" t="str">
        <f>IFERROR((VLOOKUP($A633,'[1]import success seats course'!$A:Y,HLOOKUP('[1]Course Totals'!K$4,'[1]import success seats course'!$1:$2,2,FALSE),FALSE)/(VLOOKUP($A633,'[1]import graded seats course pivo'!$A:AI,HLOOKUP('[1]Course Totals'!K$4,'[1]import graded seats course pivo'!$1:$2,2,FALSE),FALSE))),"")</f>
        <v/>
      </c>
      <c r="L633" s="14">
        <f>IFERROR((VLOOKUP($A633,'[1]import success seats course'!$A:Z,HLOOKUP('[1]Course Totals'!L$4,'[1]import success seats course'!$1:$2,2,FALSE),FALSE)/(VLOOKUP($A633,'[1]import graded seats course pivo'!$A:AJ,HLOOKUP('[1]Course Totals'!L$4,'[1]import graded seats course pivo'!$1:$2,2,FALSE),FALSE))),"")</f>
        <v>0.86363636363636365</v>
      </c>
      <c r="M633" s="14">
        <f>IFERROR((VLOOKUP($A633,'[1]import success seats course'!$A:AA,HLOOKUP('[1]Course Totals'!M$4,'[1]import success seats course'!$1:$2,2,FALSE),FALSE)/(VLOOKUP($A633,'[1]import graded seats course pivo'!$A:AK,HLOOKUP('[1]Course Totals'!M$4,'[1]import graded seats course pivo'!$1:$2,2,FALSE),FALSE))),"")</f>
        <v>0.967741935483871</v>
      </c>
      <c r="N633" s="14" t="str">
        <f>IFERROR((VLOOKUP($A633,'[1]import success seats course'!$A:AB,HLOOKUP('[1]Course Totals'!N$4,'[1]import success seats course'!$1:$2,2,FALSE),FALSE)/(VLOOKUP($A633,'[1]import graded seats course pivo'!$A:AL,HLOOKUP('[1]Course Totals'!N$4,'[1]import graded seats course pivo'!$1:$2,2,FALSE),FALSE))),"")</f>
        <v/>
      </c>
      <c r="O633" s="14">
        <f>IFERROR((VLOOKUP($A633,'[1]import success seats course'!$A:AC,HLOOKUP('[1]Course Totals'!O$4,'[1]import success seats course'!$1:$2,2,FALSE),FALSE)/(VLOOKUP($A633,'[1]import graded seats course pivo'!$A:AM,HLOOKUP('[1]Course Totals'!O$4,'[1]import graded seats course pivo'!$1:$2,2,FALSE),FALSE))),"")</f>
        <v>0.94444444444444442</v>
      </c>
      <c r="P633" s="14">
        <f>IFERROR((VLOOKUP($A633,'[1]import success seats course'!$A:AD,HLOOKUP('[1]Course Totals'!P$4,'[1]import success seats course'!$1:$2,2,FALSE),FALSE)/(VLOOKUP($A633,'[1]import graded seats course pivo'!$A:AN,HLOOKUP('[1]Course Totals'!P$4,'[1]import graded seats course pivo'!$1:$2,2,FALSE),FALSE))),"")</f>
        <v>0.90909090909090906</v>
      </c>
      <c r="Q633" s="14" t="str">
        <f>IFERROR((VLOOKUP($A633,'[1]import success seats course'!$A:AE,HLOOKUP('[1]Course Totals'!Q$4,'[1]import success seats course'!$1:$2,2,FALSE),FALSE)/(VLOOKUP($A633,'[1]import graded seats course pivo'!$A:AO,HLOOKUP('[1]Course Totals'!Q$4,'[1]import graded seats course pivo'!$1:$2,2,FALSE),FALSE))),"")</f>
        <v/>
      </c>
      <c r="R633" s="14">
        <f>IFERROR((VLOOKUP($A633,'[1]import success seats course'!$A:AF,HLOOKUP('[1]Course Totals'!R$4,'[1]import success seats course'!$1:$2,2,FALSE),FALSE)/(VLOOKUP($A633,'[1]import graded seats course pivo'!$A:AP,HLOOKUP('[1]Course Totals'!R$4,'[1]import graded seats course pivo'!$1:$2,2,FALSE),FALSE))),"")</f>
        <v>0.9375</v>
      </c>
      <c r="S633" s="14">
        <f>IFERROR((VLOOKUP($A633,'[1]import success seats course'!$A:AG,HLOOKUP('[1]Course Totals'!S$4,'[1]import success seats course'!$1:$2,2,FALSE),FALSE)/(VLOOKUP($A633,'[1]import graded seats course pivo'!$A:AQ,HLOOKUP('[1]Course Totals'!S$4,'[1]import graded seats course pivo'!$1:$2,2,FALSE),FALSE))),"")</f>
        <v>1</v>
      </c>
      <c r="Z633" s="7"/>
      <c r="AA633" s="7"/>
      <c r="AB633" s="7"/>
      <c r="AC633" s="7"/>
    </row>
    <row r="634" spans="1:29" ht="15.75" customHeight="1" thickBot="1" x14ac:dyDescent="0.3">
      <c r="A634" s="8" t="str">
        <f>'[1]SUBJECTS BASE'!H36</f>
        <v>History</v>
      </c>
      <c r="B634" s="38" t="s">
        <v>1046</v>
      </c>
      <c r="C634" s="39" t="s">
        <v>0</v>
      </c>
      <c r="D634" s="40" t="s">
        <v>868</v>
      </c>
      <c r="E634" s="41" t="s">
        <v>1052</v>
      </c>
      <c r="F634" s="42" t="s">
        <v>546</v>
      </c>
      <c r="G634" s="43" t="s">
        <v>959</v>
      </c>
      <c r="H634" s="44" t="s">
        <v>1060</v>
      </c>
      <c r="I634" s="39" t="s">
        <v>675</v>
      </c>
      <c r="J634" s="45" t="s">
        <v>1006</v>
      </c>
      <c r="K634" s="46" t="s">
        <v>1062</v>
      </c>
      <c r="L634" s="42" t="s">
        <v>762</v>
      </c>
      <c r="M634" s="43" t="s">
        <v>1022</v>
      </c>
      <c r="N634" s="44" t="s">
        <v>1063</v>
      </c>
      <c r="O634" s="39" t="s">
        <v>822</v>
      </c>
      <c r="P634" s="40" t="s">
        <v>1042</v>
      </c>
      <c r="Q634" s="46" t="s">
        <v>1153</v>
      </c>
      <c r="R634" s="42" t="s">
        <v>1154</v>
      </c>
      <c r="S634" s="43" t="s">
        <v>1155</v>
      </c>
      <c r="Z634" s="7"/>
      <c r="AA634" s="7"/>
      <c r="AB634" s="7"/>
      <c r="AC634" s="7"/>
    </row>
    <row r="635" spans="1:29" ht="15.75" customHeight="1" x14ac:dyDescent="0.25">
      <c r="A635" s="12" t="s">
        <v>291</v>
      </c>
      <c r="B635" s="14" t="str">
        <f>IFERROR((VLOOKUP($A635,'[1]import success seats course'!$A:P,HLOOKUP('[1]Course Totals'!B$4,'[1]import success seats course'!$1:$2,2,FALSE),FALSE)/(VLOOKUP($A635,'[1]import graded seats course pivo'!$A:Z,HLOOKUP('[1]Course Totals'!B$4,'[1]import graded seats course pivo'!$1:$2,2,FALSE),FALSE))),"")</f>
        <v/>
      </c>
      <c r="C635" s="14">
        <f>IFERROR((VLOOKUP($A635,'[1]import success seats course'!$A:Q,HLOOKUP('[1]Course Totals'!C$4,'[1]import success seats course'!$1:$2,2,FALSE),FALSE)/(VLOOKUP($A635,'[1]import graded seats course pivo'!$A:AA,HLOOKUP('[1]Course Totals'!C$4,'[1]import graded seats course pivo'!$1:$2,2,FALSE),FALSE))),"")</f>
        <v>0.82795698924731187</v>
      </c>
      <c r="D635" s="14">
        <f>IFERROR((VLOOKUP($A635,'[1]import success seats course'!$A:R,HLOOKUP('[1]Course Totals'!D$4,'[1]import success seats course'!$1:$2,2,FALSE),FALSE)/(VLOOKUP($A635,'[1]import graded seats course pivo'!$A:AB,HLOOKUP('[1]Course Totals'!D$4,'[1]import graded seats course pivo'!$1:$2,2,FALSE),FALSE))),"")</f>
        <v>0.71052631578947367</v>
      </c>
      <c r="E635" s="14" t="str">
        <f>IFERROR((VLOOKUP($A635,'[1]import success seats course'!$A:S,HLOOKUP('[1]Course Totals'!E$4,'[1]import success seats course'!$1:$2,2,FALSE),FALSE)/(VLOOKUP($A635,'[1]import graded seats course pivo'!$A:AC,HLOOKUP('[1]Course Totals'!E$4,'[1]import graded seats course pivo'!$1:$2,2,FALSE),FALSE))),"")</f>
        <v/>
      </c>
      <c r="F635" s="14">
        <f>IFERROR((VLOOKUP($A635,'[1]import success seats course'!$A:T,HLOOKUP('[1]Course Totals'!F$4,'[1]import success seats course'!$1:$2,2,FALSE),FALSE)/(VLOOKUP($A635,'[1]import graded seats course pivo'!$A:AD,HLOOKUP('[1]Course Totals'!F$4,'[1]import graded seats course pivo'!$1:$2,2,FALSE),FALSE))),"")</f>
        <v>0.71739130434782605</v>
      </c>
      <c r="G635" s="14" t="str">
        <f>IFERROR((VLOOKUP($A635,'[1]import success seats course'!$A:U,HLOOKUP('[1]Course Totals'!G$4,'[1]import success seats course'!$1:$2,2,FALSE),FALSE)/(VLOOKUP($A635,'[1]import graded seats course pivo'!$A:AE,HLOOKUP('[1]Course Totals'!G$4,'[1]import graded seats course pivo'!$1:$2,2,FALSE),FALSE))),"")</f>
        <v/>
      </c>
      <c r="H635" s="14" t="str">
        <f>IFERROR((VLOOKUP($A635,'[1]import success seats course'!$A:V,HLOOKUP('[1]Course Totals'!H$4,'[1]import success seats course'!$1:$2,2,FALSE),FALSE)/(VLOOKUP($A635,'[1]import graded seats course pivo'!$A:AF,HLOOKUP('[1]Course Totals'!H$4,'[1]import graded seats course pivo'!$1:$2,2,FALSE),FALSE))),"")</f>
        <v/>
      </c>
      <c r="I635" s="14">
        <f>IFERROR((VLOOKUP($A635,'[1]import success seats course'!$A:W,HLOOKUP('[1]Course Totals'!I$4,'[1]import success seats course'!$1:$2,2,FALSE),FALSE)/(VLOOKUP($A635,'[1]import graded seats course pivo'!$A:AG,HLOOKUP('[1]Course Totals'!I$4,'[1]import graded seats course pivo'!$1:$2,2,FALSE),FALSE))),"")</f>
        <v>0.93181818181818177</v>
      </c>
      <c r="J635" s="14" t="str">
        <f>IFERROR((VLOOKUP($A635,'[1]import success seats course'!$A:X,HLOOKUP('[1]Course Totals'!J$4,'[1]import success seats course'!$1:$2,2,FALSE),FALSE)/(VLOOKUP($A635,'[1]import graded seats course pivo'!$A:AH,HLOOKUP('[1]Course Totals'!J$4,'[1]import graded seats course pivo'!$1:$2,2,FALSE),FALSE))),"")</f>
        <v/>
      </c>
      <c r="K635" s="14" t="str">
        <f>IFERROR((VLOOKUP($A635,'[1]import success seats course'!$A:Y,HLOOKUP('[1]Course Totals'!K$4,'[1]import success seats course'!$1:$2,2,FALSE),FALSE)/(VLOOKUP($A635,'[1]import graded seats course pivo'!$A:AI,HLOOKUP('[1]Course Totals'!K$4,'[1]import graded seats course pivo'!$1:$2,2,FALSE),FALSE))),"")</f>
        <v/>
      </c>
      <c r="L635" s="14" t="str">
        <f>IFERROR((VLOOKUP($A635,'[1]import success seats course'!$A:Z,HLOOKUP('[1]Course Totals'!L$4,'[1]import success seats course'!$1:$2,2,FALSE),FALSE)/(VLOOKUP($A635,'[1]import graded seats course pivo'!$A:AJ,HLOOKUP('[1]Course Totals'!L$4,'[1]import graded seats course pivo'!$1:$2,2,FALSE),FALSE))),"")</f>
        <v/>
      </c>
      <c r="M635" s="14" t="str">
        <f>IFERROR((VLOOKUP($A635,'[1]import success seats course'!$A:AA,HLOOKUP('[1]Course Totals'!M$4,'[1]import success seats course'!$1:$2,2,FALSE),FALSE)/(VLOOKUP($A635,'[1]import graded seats course pivo'!$A:AK,HLOOKUP('[1]Course Totals'!M$4,'[1]import graded seats course pivo'!$1:$2,2,FALSE),FALSE))),"")</f>
        <v/>
      </c>
      <c r="N635" s="14" t="str">
        <f>IFERROR((VLOOKUP($A635,'[1]import success seats course'!$A:AB,HLOOKUP('[1]Course Totals'!N$4,'[1]import success seats course'!$1:$2,2,FALSE),FALSE)/(VLOOKUP($A635,'[1]import graded seats course pivo'!$A:AL,HLOOKUP('[1]Course Totals'!N$4,'[1]import graded seats course pivo'!$1:$2,2,FALSE),FALSE))),"")</f>
        <v/>
      </c>
      <c r="O635" s="14" t="str">
        <f>IFERROR((VLOOKUP($A635,'[1]import success seats course'!$A:AC,HLOOKUP('[1]Course Totals'!O$4,'[1]import success seats course'!$1:$2,2,FALSE),FALSE)/(VLOOKUP($A635,'[1]import graded seats course pivo'!$A:AM,HLOOKUP('[1]Course Totals'!O$4,'[1]import graded seats course pivo'!$1:$2,2,FALSE),FALSE))),"")</f>
        <v/>
      </c>
      <c r="P635" s="14" t="str">
        <f>IFERROR((VLOOKUP($A635,'[1]import success seats course'!$A:AD,HLOOKUP('[1]Course Totals'!P$4,'[1]import success seats course'!$1:$2,2,FALSE),FALSE)/(VLOOKUP($A635,'[1]import graded seats course pivo'!$A:AN,HLOOKUP('[1]Course Totals'!P$4,'[1]import graded seats course pivo'!$1:$2,2,FALSE),FALSE))),"")</f>
        <v/>
      </c>
      <c r="Q635" s="14" t="str">
        <f>IFERROR((VLOOKUP($A635,'[1]import success seats course'!$A:AE,HLOOKUP('[1]Course Totals'!Q$4,'[1]import success seats course'!$1:$2,2,FALSE),FALSE)/(VLOOKUP($A635,'[1]import graded seats course pivo'!$A:AO,HLOOKUP('[1]Course Totals'!Q$4,'[1]import graded seats course pivo'!$1:$2,2,FALSE),FALSE))),"")</f>
        <v/>
      </c>
      <c r="R635" s="14">
        <f>IFERROR((VLOOKUP($A635,'[1]import success seats course'!$A:AF,HLOOKUP('[1]Course Totals'!R$4,'[1]import success seats course'!$1:$2,2,FALSE),FALSE)/(VLOOKUP($A635,'[1]import graded seats course pivo'!$A:AP,HLOOKUP('[1]Course Totals'!R$4,'[1]import graded seats course pivo'!$1:$2,2,FALSE),FALSE))),"")</f>
        <v>0.85567010309278346</v>
      </c>
      <c r="S635" s="14">
        <f>IFERROR((VLOOKUP($A635,'[1]import success seats course'!$A:AG,HLOOKUP('[1]Course Totals'!S$4,'[1]import success seats course'!$1:$2,2,FALSE),FALSE)/(VLOOKUP($A635,'[1]import graded seats course pivo'!$A:AQ,HLOOKUP('[1]Course Totals'!S$4,'[1]import graded seats course pivo'!$1:$2,2,FALSE),FALSE))),"")</f>
        <v>0.80487804878048785</v>
      </c>
      <c r="Z635" s="7"/>
      <c r="AA635" s="7"/>
      <c r="AB635" s="7"/>
      <c r="AC635" s="7"/>
    </row>
    <row r="636" spans="1:29" ht="15.75" customHeight="1" x14ac:dyDescent="0.25">
      <c r="A636" s="12" t="s">
        <v>621</v>
      </c>
      <c r="B636" s="14" t="str">
        <f>IFERROR((VLOOKUP($A636,'[1]import success seats course'!$A:P,HLOOKUP('[1]Course Totals'!B$4,'[1]import success seats course'!$1:$2,2,FALSE),FALSE)/(VLOOKUP($A636,'[1]import graded seats course pivo'!$A:Z,HLOOKUP('[1]Course Totals'!B$4,'[1]import graded seats course pivo'!$1:$2,2,FALSE),FALSE))),"")</f>
        <v/>
      </c>
      <c r="C636" s="14" t="str">
        <f>IFERROR((VLOOKUP($A636,'[1]import success seats course'!$A:Q,HLOOKUP('[1]Course Totals'!C$4,'[1]import success seats course'!$1:$2,2,FALSE),FALSE)/(VLOOKUP($A636,'[1]import graded seats course pivo'!$A:AA,HLOOKUP('[1]Course Totals'!C$4,'[1]import graded seats course pivo'!$1:$2,2,FALSE),FALSE))),"")</f>
        <v/>
      </c>
      <c r="D636" s="14">
        <f>IFERROR((VLOOKUP($A636,'[1]import success seats course'!$A:R,HLOOKUP('[1]Course Totals'!D$4,'[1]import success seats course'!$1:$2,2,FALSE),FALSE)/(VLOOKUP($A636,'[1]import graded seats course pivo'!$A:AB,HLOOKUP('[1]Course Totals'!D$4,'[1]import graded seats course pivo'!$1:$2,2,FALSE),FALSE))),"")</f>
        <v>0.86046511627906974</v>
      </c>
      <c r="E636" s="14" t="str">
        <f>IFERROR((VLOOKUP($A636,'[1]import success seats course'!$A:S,HLOOKUP('[1]Course Totals'!E$4,'[1]import success seats course'!$1:$2,2,FALSE),FALSE)/(VLOOKUP($A636,'[1]import graded seats course pivo'!$A:AC,HLOOKUP('[1]Course Totals'!E$4,'[1]import graded seats course pivo'!$1:$2,2,FALSE),FALSE))),"")</f>
        <v/>
      </c>
      <c r="F636" s="14" t="str">
        <f>IFERROR((VLOOKUP($A636,'[1]import success seats course'!$A:T,HLOOKUP('[1]Course Totals'!F$4,'[1]import success seats course'!$1:$2,2,FALSE),FALSE)/(VLOOKUP($A636,'[1]import graded seats course pivo'!$A:AD,HLOOKUP('[1]Course Totals'!F$4,'[1]import graded seats course pivo'!$1:$2,2,FALSE),FALSE))),"")</f>
        <v/>
      </c>
      <c r="G636" s="14">
        <f>IFERROR((VLOOKUP($A636,'[1]import success seats course'!$A:U,HLOOKUP('[1]Course Totals'!G$4,'[1]import success seats course'!$1:$2,2,FALSE),FALSE)/(VLOOKUP($A636,'[1]import graded seats course pivo'!$A:AE,HLOOKUP('[1]Course Totals'!G$4,'[1]import graded seats course pivo'!$1:$2,2,FALSE),FALSE))),"")</f>
        <v>0.88636363636363635</v>
      </c>
      <c r="H636" s="14" t="str">
        <f>IFERROR((VLOOKUP($A636,'[1]import success seats course'!$A:V,HLOOKUP('[1]Course Totals'!H$4,'[1]import success seats course'!$1:$2,2,FALSE),FALSE)/(VLOOKUP($A636,'[1]import graded seats course pivo'!$A:AF,HLOOKUP('[1]Course Totals'!H$4,'[1]import graded seats course pivo'!$1:$2,2,FALSE),FALSE))),"")</f>
        <v/>
      </c>
      <c r="I636" s="14" t="str">
        <f>IFERROR((VLOOKUP($A636,'[1]import success seats course'!$A:W,HLOOKUP('[1]Course Totals'!I$4,'[1]import success seats course'!$1:$2,2,FALSE),FALSE)/(VLOOKUP($A636,'[1]import graded seats course pivo'!$A:AG,HLOOKUP('[1]Course Totals'!I$4,'[1]import graded seats course pivo'!$1:$2,2,FALSE),FALSE))),"")</f>
        <v/>
      </c>
      <c r="J636" s="14">
        <f>IFERROR((VLOOKUP($A636,'[1]import success seats course'!$A:X,HLOOKUP('[1]Course Totals'!J$4,'[1]import success seats course'!$1:$2,2,FALSE),FALSE)/(VLOOKUP($A636,'[1]import graded seats course pivo'!$A:AH,HLOOKUP('[1]Course Totals'!J$4,'[1]import graded seats course pivo'!$1:$2,2,FALSE),FALSE))),"")</f>
        <v>0.85106382978723405</v>
      </c>
      <c r="K636" s="14" t="str">
        <f>IFERROR((VLOOKUP($A636,'[1]import success seats course'!$A:Y,HLOOKUP('[1]Course Totals'!K$4,'[1]import success seats course'!$1:$2,2,FALSE),FALSE)/(VLOOKUP($A636,'[1]import graded seats course pivo'!$A:AI,HLOOKUP('[1]Course Totals'!K$4,'[1]import graded seats course pivo'!$1:$2,2,FALSE),FALSE))),"")</f>
        <v/>
      </c>
      <c r="L636" s="14" t="str">
        <f>IFERROR((VLOOKUP($A636,'[1]import success seats course'!$A:Z,HLOOKUP('[1]Course Totals'!L$4,'[1]import success seats course'!$1:$2,2,FALSE),FALSE)/(VLOOKUP($A636,'[1]import graded seats course pivo'!$A:AJ,HLOOKUP('[1]Course Totals'!L$4,'[1]import graded seats course pivo'!$1:$2,2,FALSE),FALSE))),"")</f>
        <v/>
      </c>
      <c r="M636" s="14" t="str">
        <f>IFERROR((VLOOKUP($A636,'[1]import success seats course'!$A:AA,HLOOKUP('[1]Course Totals'!M$4,'[1]import success seats course'!$1:$2,2,FALSE),FALSE)/(VLOOKUP($A636,'[1]import graded seats course pivo'!$A:AK,HLOOKUP('[1]Course Totals'!M$4,'[1]import graded seats course pivo'!$1:$2,2,FALSE),FALSE))),"")</f>
        <v/>
      </c>
      <c r="N636" s="14" t="str">
        <f>IFERROR((VLOOKUP($A636,'[1]import success seats course'!$A:AB,HLOOKUP('[1]Course Totals'!N$4,'[1]import success seats course'!$1:$2,2,FALSE),FALSE)/(VLOOKUP($A636,'[1]import graded seats course pivo'!$A:AL,HLOOKUP('[1]Course Totals'!N$4,'[1]import graded seats course pivo'!$1:$2,2,FALSE),FALSE))),"")</f>
        <v/>
      </c>
      <c r="O636" s="14" t="str">
        <f>IFERROR((VLOOKUP($A636,'[1]import success seats course'!$A:AC,HLOOKUP('[1]Course Totals'!O$4,'[1]import success seats course'!$1:$2,2,FALSE),FALSE)/(VLOOKUP($A636,'[1]import graded seats course pivo'!$A:AM,HLOOKUP('[1]Course Totals'!O$4,'[1]import graded seats course pivo'!$1:$2,2,FALSE),FALSE))),"")</f>
        <v/>
      </c>
      <c r="P636" s="14" t="str">
        <f>IFERROR((VLOOKUP($A636,'[1]import success seats course'!$A:AD,HLOOKUP('[1]Course Totals'!P$4,'[1]import success seats course'!$1:$2,2,FALSE),FALSE)/(VLOOKUP($A636,'[1]import graded seats course pivo'!$A:AN,HLOOKUP('[1]Course Totals'!P$4,'[1]import graded seats course pivo'!$1:$2,2,FALSE),FALSE))),"")</f>
        <v/>
      </c>
      <c r="Q636" s="14" t="str">
        <f>IFERROR((VLOOKUP($A636,'[1]import success seats course'!$A:AE,HLOOKUP('[1]Course Totals'!Q$4,'[1]import success seats course'!$1:$2,2,FALSE),FALSE)/(VLOOKUP($A636,'[1]import graded seats course pivo'!$A:AO,HLOOKUP('[1]Course Totals'!Q$4,'[1]import graded seats course pivo'!$1:$2,2,FALSE),FALSE))),"")</f>
        <v/>
      </c>
      <c r="R636" s="14" t="str">
        <f>IFERROR((VLOOKUP($A636,'[1]import success seats course'!$A:AF,HLOOKUP('[1]Course Totals'!R$4,'[1]import success seats course'!$1:$2,2,FALSE),FALSE)/(VLOOKUP($A636,'[1]import graded seats course pivo'!$A:AP,HLOOKUP('[1]Course Totals'!R$4,'[1]import graded seats course pivo'!$1:$2,2,FALSE),FALSE))),"")</f>
        <v/>
      </c>
      <c r="S636" s="14">
        <f>IFERROR((VLOOKUP($A636,'[1]import success seats course'!$A:AG,HLOOKUP('[1]Course Totals'!S$4,'[1]import success seats course'!$1:$2,2,FALSE),FALSE)/(VLOOKUP($A636,'[1]import graded seats course pivo'!$A:AQ,HLOOKUP('[1]Course Totals'!S$4,'[1]import graded seats course pivo'!$1:$2,2,FALSE),FALSE))),"")</f>
        <v>0.82954545454545459</v>
      </c>
      <c r="Z636" s="7"/>
      <c r="AA636" s="7"/>
      <c r="AB636" s="7"/>
      <c r="AC636" s="7"/>
    </row>
    <row r="637" spans="1:29" ht="15.75" customHeight="1" x14ac:dyDescent="0.25">
      <c r="A637" s="12" t="s">
        <v>292</v>
      </c>
      <c r="B637" s="14">
        <f>IFERROR((VLOOKUP($A637,'[1]import success seats course'!$A:P,HLOOKUP('[1]Course Totals'!B$4,'[1]import success seats course'!$1:$2,2,FALSE),FALSE)/(VLOOKUP($A637,'[1]import graded seats course pivo'!$A:Z,HLOOKUP('[1]Course Totals'!B$4,'[1]import graded seats course pivo'!$1:$2,2,FALSE),FALSE))),"")</f>
        <v>0.90476190476190477</v>
      </c>
      <c r="C637" s="14">
        <f>IFERROR((VLOOKUP($A637,'[1]import success seats course'!$A:Q,HLOOKUP('[1]Course Totals'!C$4,'[1]import success seats course'!$1:$2,2,FALSE),FALSE)/(VLOOKUP($A637,'[1]import graded seats course pivo'!$A:AA,HLOOKUP('[1]Course Totals'!C$4,'[1]import graded seats course pivo'!$1:$2,2,FALSE),FALSE))),"")</f>
        <v>0.84276729559748431</v>
      </c>
      <c r="D637" s="14">
        <f>IFERROR((VLOOKUP($A637,'[1]import success seats course'!$A:R,HLOOKUP('[1]Course Totals'!D$4,'[1]import success seats course'!$1:$2,2,FALSE),FALSE)/(VLOOKUP($A637,'[1]import graded seats course pivo'!$A:AB,HLOOKUP('[1]Course Totals'!D$4,'[1]import graded seats course pivo'!$1:$2,2,FALSE),FALSE))),"")</f>
        <v>0.88095238095238093</v>
      </c>
      <c r="E637" s="14">
        <f>IFERROR((VLOOKUP($A637,'[1]import success seats course'!$A:S,HLOOKUP('[1]Course Totals'!E$4,'[1]import success seats course'!$1:$2,2,FALSE),FALSE)/(VLOOKUP($A637,'[1]import graded seats course pivo'!$A:AC,HLOOKUP('[1]Course Totals'!E$4,'[1]import graded seats course pivo'!$1:$2,2,FALSE),FALSE))),"")</f>
        <v>0.82758620689655171</v>
      </c>
      <c r="F637" s="14">
        <f>IFERROR((VLOOKUP($A637,'[1]import success seats course'!$A:T,HLOOKUP('[1]Course Totals'!F$4,'[1]import success seats course'!$1:$2,2,FALSE),FALSE)/(VLOOKUP($A637,'[1]import graded seats course pivo'!$A:AD,HLOOKUP('[1]Course Totals'!F$4,'[1]import graded seats course pivo'!$1:$2,2,FALSE),FALSE))),"")</f>
        <v>0.81967213114754101</v>
      </c>
      <c r="G637" s="14">
        <f>IFERROR((VLOOKUP($A637,'[1]import success seats course'!$A:U,HLOOKUP('[1]Course Totals'!G$4,'[1]import success seats course'!$1:$2,2,FALSE),FALSE)/(VLOOKUP($A637,'[1]import graded seats course pivo'!$A:AE,HLOOKUP('[1]Course Totals'!G$4,'[1]import graded seats course pivo'!$1:$2,2,FALSE),FALSE))),"")</f>
        <v>0.8294117647058824</v>
      </c>
      <c r="H637" s="14" t="str">
        <f>IFERROR((VLOOKUP($A637,'[1]import success seats course'!$A:V,HLOOKUP('[1]Course Totals'!H$4,'[1]import success seats course'!$1:$2,2,FALSE),FALSE)/(VLOOKUP($A637,'[1]import graded seats course pivo'!$A:AF,HLOOKUP('[1]Course Totals'!H$4,'[1]import graded seats course pivo'!$1:$2,2,FALSE),FALSE))),"")</f>
        <v/>
      </c>
      <c r="I637" s="14">
        <f>IFERROR((VLOOKUP($A637,'[1]import success seats course'!$A:W,HLOOKUP('[1]Course Totals'!I$4,'[1]import success seats course'!$1:$2,2,FALSE),FALSE)/(VLOOKUP($A637,'[1]import graded seats course pivo'!$A:AG,HLOOKUP('[1]Course Totals'!I$4,'[1]import graded seats course pivo'!$1:$2,2,FALSE),FALSE))),"")</f>
        <v>0.85148514851485146</v>
      </c>
      <c r="J637" s="14">
        <f>IFERROR((VLOOKUP($A637,'[1]import success seats course'!$A:X,HLOOKUP('[1]Course Totals'!J$4,'[1]import success seats course'!$1:$2,2,FALSE),FALSE)/(VLOOKUP($A637,'[1]import graded seats course pivo'!$A:AH,HLOOKUP('[1]Course Totals'!J$4,'[1]import graded seats course pivo'!$1:$2,2,FALSE),FALSE))),"")</f>
        <v>0.81343283582089554</v>
      </c>
      <c r="K637" s="14" t="str">
        <f>IFERROR((VLOOKUP($A637,'[1]import success seats course'!$A:Y,HLOOKUP('[1]Course Totals'!K$4,'[1]import success seats course'!$1:$2,2,FALSE),FALSE)/(VLOOKUP($A637,'[1]import graded seats course pivo'!$A:AI,HLOOKUP('[1]Course Totals'!K$4,'[1]import graded seats course pivo'!$1:$2,2,FALSE),FALSE))),"")</f>
        <v/>
      </c>
      <c r="L637" s="14">
        <f>IFERROR((VLOOKUP($A637,'[1]import success seats course'!$A:Z,HLOOKUP('[1]Course Totals'!L$4,'[1]import success seats course'!$1:$2,2,FALSE),FALSE)/(VLOOKUP($A637,'[1]import graded seats course pivo'!$A:AJ,HLOOKUP('[1]Course Totals'!L$4,'[1]import graded seats course pivo'!$1:$2,2,FALSE),FALSE))),"")</f>
        <v>0.85792349726775952</v>
      </c>
      <c r="M637" s="14">
        <f>IFERROR((VLOOKUP($A637,'[1]import success seats course'!$A:AA,HLOOKUP('[1]Course Totals'!M$4,'[1]import success seats course'!$1:$2,2,FALSE),FALSE)/(VLOOKUP($A637,'[1]import graded seats course pivo'!$A:AK,HLOOKUP('[1]Course Totals'!M$4,'[1]import graded seats course pivo'!$1:$2,2,FALSE),FALSE))),"")</f>
        <v>0.8529411764705882</v>
      </c>
      <c r="N637" s="14" t="str">
        <f>IFERROR((VLOOKUP($A637,'[1]import success seats course'!$A:AB,HLOOKUP('[1]Course Totals'!N$4,'[1]import success seats course'!$1:$2,2,FALSE),FALSE)/(VLOOKUP($A637,'[1]import graded seats course pivo'!$A:AL,HLOOKUP('[1]Course Totals'!N$4,'[1]import graded seats course pivo'!$1:$2,2,FALSE),FALSE))),"")</f>
        <v/>
      </c>
      <c r="O637" s="14">
        <f>IFERROR((VLOOKUP($A637,'[1]import success seats course'!$A:AC,HLOOKUP('[1]Course Totals'!O$4,'[1]import success seats course'!$1:$2,2,FALSE),FALSE)/(VLOOKUP($A637,'[1]import graded seats course pivo'!$A:AM,HLOOKUP('[1]Course Totals'!O$4,'[1]import graded seats course pivo'!$1:$2,2,FALSE),FALSE))),"")</f>
        <v>0.8393782383419689</v>
      </c>
      <c r="P637" s="14">
        <f>IFERROR((VLOOKUP($A637,'[1]import success seats course'!$A:AD,HLOOKUP('[1]Course Totals'!P$4,'[1]import success seats course'!$1:$2,2,FALSE),FALSE)/(VLOOKUP($A637,'[1]import graded seats course pivo'!$A:AN,HLOOKUP('[1]Course Totals'!P$4,'[1]import graded seats course pivo'!$1:$2,2,FALSE),FALSE))),"")</f>
        <v>0.91208791208791207</v>
      </c>
      <c r="Q637" s="14" t="str">
        <f>IFERROR((VLOOKUP($A637,'[1]import success seats course'!$A:AE,HLOOKUP('[1]Course Totals'!Q$4,'[1]import success seats course'!$1:$2,2,FALSE),FALSE)/(VLOOKUP($A637,'[1]import graded seats course pivo'!$A:AO,HLOOKUP('[1]Course Totals'!Q$4,'[1]import graded seats course pivo'!$1:$2,2,FALSE),FALSE))),"")</f>
        <v/>
      </c>
      <c r="R637" s="14">
        <f>IFERROR((VLOOKUP($A637,'[1]import success seats course'!$A:AF,HLOOKUP('[1]Course Totals'!R$4,'[1]import success seats course'!$1:$2,2,FALSE),FALSE)/(VLOOKUP($A637,'[1]import graded seats course pivo'!$A:AP,HLOOKUP('[1]Course Totals'!R$4,'[1]import graded seats course pivo'!$1:$2,2,FALSE),FALSE))),"")</f>
        <v>0.82840236686390534</v>
      </c>
      <c r="S637" s="14">
        <f>IFERROR((VLOOKUP($A637,'[1]import success seats course'!$A:AG,HLOOKUP('[1]Course Totals'!S$4,'[1]import success seats course'!$1:$2,2,FALSE),FALSE)/(VLOOKUP($A637,'[1]import graded seats course pivo'!$A:AQ,HLOOKUP('[1]Course Totals'!S$4,'[1]import graded seats course pivo'!$1:$2,2,FALSE),FALSE))),"")</f>
        <v>0.89156626506024095</v>
      </c>
      <c r="Z637" s="7"/>
      <c r="AA637" s="7"/>
      <c r="AB637" s="7"/>
      <c r="AC637" s="7"/>
    </row>
    <row r="638" spans="1:29" ht="15.75" customHeight="1" x14ac:dyDescent="0.25">
      <c r="A638" s="12" t="s">
        <v>293</v>
      </c>
      <c r="B638" s="14" t="str">
        <f>IFERROR((VLOOKUP($A638,'[1]import success seats course'!$A:P,HLOOKUP('[1]Course Totals'!B$4,'[1]import success seats course'!$1:$2,2,FALSE),FALSE)/(VLOOKUP($A638,'[1]import graded seats course pivo'!$A:Z,HLOOKUP('[1]Course Totals'!B$4,'[1]import graded seats course pivo'!$1:$2,2,FALSE),FALSE))),"")</f>
        <v/>
      </c>
      <c r="C638" s="14">
        <f>IFERROR((VLOOKUP($A638,'[1]import success seats course'!$A:Q,HLOOKUP('[1]Course Totals'!C$4,'[1]import success seats course'!$1:$2,2,FALSE),FALSE)/(VLOOKUP($A638,'[1]import graded seats course pivo'!$A:AA,HLOOKUP('[1]Course Totals'!C$4,'[1]import graded seats course pivo'!$1:$2,2,FALSE),FALSE))),"")</f>
        <v>1</v>
      </c>
      <c r="D638" s="14" t="str">
        <f>IFERROR((VLOOKUP($A638,'[1]import success seats course'!$A:R,HLOOKUP('[1]Course Totals'!D$4,'[1]import success seats course'!$1:$2,2,FALSE),FALSE)/(VLOOKUP($A638,'[1]import graded seats course pivo'!$A:AB,HLOOKUP('[1]Course Totals'!D$4,'[1]import graded seats course pivo'!$1:$2,2,FALSE),FALSE))),"")</f>
        <v/>
      </c>
      <c r="E638" s="14" t="str">
        <f>IFERROR((VLOOKUP($A638,'[1]import success seats course'!$A:S,HLOOKUP('[1]Course Totals'!E$4,'[1]import success seats course'!$1:$2,2,FALSE),FALSE)/(VLOOKUP($A638,'[1]import graded seats course pivo'!$A:AC,HLOOKUP('[1]Course Totals'!E$4,'[1]import graded seats course pivo'!$1:$2,2,FALSE),FALSE))),"")</f>
        <v/>
      </c>
      <c r="F638" s="14">
        <f>IFERROR((VLOOKUP($A638,'[1]import success seats course'!$A:T,HLOOKUP('[1]Course Totals'!F$4,'[1]import success seats course'!$1:$2,2,FALSE),FALSE)/(VLOOKUP($A638,'[1]import graded seats course pivo'!$A:AD,HLOOKUP('[1]Course Totals'!F$4,'[1]import graded seats course pivo'!$1:$2,2,FALSE),FALSE))),"")</f>
        <v>0.8571428571428571</v>
      </c>
      <c r="G638" s="14" t="str">
        <f>IFERROR((VLOOKUP($A638,'[1]import success seats course'!$A:U,HLOOKUP('[1]Course Totals'!G$4,'[1]import success seats course'!$1:$2,2,FALSE),FALSE)/(VLOOKUP($A638,'[1]import graded seats course pivo'!$A:AE,HLOOKUP('[1]Course Totals'!G$4,'[1]import graded seats course pivo'!$1:$2,2,FALSE),FALSE))),"")</f>
        <v/>
      </c>
      <c r="H638" s="14" t="str">
        <f>IFERROR((VLOOKUP($A638,'[1]import success seats course'!$A:V,HLOOKUP('[1]Course Totals'!H$4,'[1]import success seats course'!$1:$2,2,FALSE),FALSE)/(VLOOKUP($A638,'[1]import graded seats course pivo'!$A:AF,HLOOKUP('[1]Course Totals'!H$4,'[1]import graded seats course pivo'!$1:$2,2,FALSE),FALSE))),"")</f>
        <v/>
      </c>
      <c r="I638" s="14">
        <f>IFERROR((VLOOKUP($A638,'[1]import success seats course'!$A:W,HLOOKUP('[1]Course Totals'!I$4,'[1]import success seats course'!$1:$2,2,FALSE),FALSE)/(VLOOKUP($A638,'[1]import graded seats course pivo'!$A:AG,HLOOKUP('[1]Course Totals'!I$4,'[1]import graded seats course pivo'!$1:$2,2,FALSE),FALSE))),"")</f>
        <v>1</v>
      </c>
      <c r="J638" s="14">
        <f>IFERROR((VLOOKUP($A638,'[1]import success seats course'!$A:X,HLOOKUP('[1]Course Totals'!J$4,'[1]import success seats course'!$1:$2,2,FALSE),FALSE)/(VLOOKUP($A638,'[1]import graded seats course pivo'!$A:AH,HLOOKUP('[1]Course Totals'!J$4,'[1]import graded seats course pivo'!$1:$2,2,FALSE),FALSE))),"")</f>
        <v>1</v>
      </c>
      <c r="K638" s="14" t="str">
        <f>IFERROR((VLOOKUP($A638,'[1]import success seats course'!$A:Y,HLOOKUP('[1]Course Totals'!K$4,'[1]import success seats course'!$1:$2,2,FALSE),FALSE)/(VLOOKUP($A638,'[1]import graded seats course pivo'!$A:AI,HLOOKUP('[1]Course Totals'!K$4,'[1]import graded seats course pivo'!$1:$2,2,FALSE),FALSE))),"")</f>
        <v/>
      </c>
      <c r="L638" s="14">
        <f>IFERROR((VLOOKUP($A638,'[1]import success seats course'!$A:Z,HLOOKUP('[1]Course Totals'!L$4,'[1]import success seats course'!$1:$2,2,FALSE),FALSE)/(VLOOKUP($A638,'[1]import graded seats course pivo'!$A:AJ,HLOOKUP('[1]Course Totals'!L$4,'[1]import graded seats course pivo'!$1:$2,2,FALSE),FALSE))),"")</f>
        <v>1</v>
      </c>
      <c r="M638" s="14">
        <f>IFERROR((VLOOKUP($A638,'[1]import success seats course'!$A:AA,HLOOKUP('[1]Course Totals'!M$4,'[1]import success seats course'!$1:$2,2,FALSE),FALSE)/(VLOOKUP($A638,'[1]import graded seats course pivo'!$A:AK,HLOOKUP('[1]Course Totals'!M$4,'[1]import graded seats course pivo'!$1:$2,2,FALSE),FALSE))),"")</f>
        <v>0</v>
      </c>
      <c r="N638" s="14" t="str">
        <f>IFERROR((VLOOKUP($A638,'[1]import success seats course'!$A:AB,HLOOKUP('[1]Course Totals'!N$4,'[1]import success seats course'!$1:$2,2,FALSE),FALSE)/(VLOOKUP($A638,'[1]import graded seats course pivo'!$A:AL,HLOOKUP('[1]Course Totals'!N$4,'[1]import graded seats course pivo'!$1:$2,2,FALSE),FALSE))),"")</f>
        <v/>
      </c>
      <c r="O638" s="14">
        <f>IFERROR((VLOOKUP($A638,'[1]import success seats course'!$A:AC,HLOOKUP('[1]Course Totals'!O$4,'[1]import success seats course'!$1:$2,2,FALSE),FALSE)/(VLOOKUP($A638,'[1]import graded seats course pivo'!$A:AM,HLOOKUP('[1]Course Totals'!O$4,'[1]import graded seats course pivo'!$1:$2,2,FALSE),FALSE))),"")</f>
        <v>1</v>
      </c>
      <c r="P638" s="14" t="str">
        <f>IFERROR((VLOOKUP($A638,'[1]import success seats course'!$A:AD,HLOOKUP('[1]Course Totals'!P$4,'[1]import success seats course'!$1:$2,2,FALSE),FALSE)/(VLOOKUP($A638,'[1]import graded seats course pivo'!$A:AN,HLOOKUP('[1]Course Totals'!P$4,'[1]import graded seats course pivo'!$1:$2,2,FALSE),FALSE))),"")</f>
        <v/>
      </c>
      <c r="Q638" s="14" t="str">
        <f>IFERROR((VLOOKUP($A638,'[1]import success seats course'!$A:AE,HLOOKUP('[1]Course Totals'!Q$4,'[1]import success seats course'!$1:$2,2,FALSE),FALSE)/(VLOOKUP($A638,'[1]import graded seats course pivo'!$A:AO,HLOOKUP('[1]Course Totals'!Q$4,'[1]import graded seats course pivo'!$1:$2,2,FALSE),FALSE))),"")</f>
        <v/>
      </c>
      <c r="R638" s="14">
        <f>IFERROR((VLOOKUP($A638,'[1]import success seats course'!$A:AF,HLOOKUP('[1]Course Totals'!R$4,'[1]import success seats course'!$1:$2,2,FALSE),FALSE)/(VLOOKUP($A638,'[1]import graded seats course pivo'!$A:AP,HLOOKUP('[1]Course Totals'!R$4,'[1]import graded seats course pivo'!$1:$2,2,FALSE),FALSE))),"")</f>
        <v>0.75</v>
      </c>
      <c r="S638" s="14">
        <f>IFERROR((VLOOKUP($A638,'[1]import success seats course'!$A:AG,HLOOKUP('[1]Course Totals'!S$4,'[1]import success seats course'!$1:$2,2,FALSE),FALSE)/(VLOOKUP($A638,'[1]import graded seats course pivo'!$A:AQ,HLOOKUP('[1]Course Totals'!S$4,'[1]import graded seats course pivo'!$1:$2,2,FALSE),FALSE))),"")</f>
        <v>1</v>
      </c>
      <c r="Z638" s="7"/>
      <c r="AA638" s="7"/>
      <c r="AB638" s="7"/>
      <c r="AC638" s="7"/>
    </row>
    <row r="639" spans="1:29" ht="15.75" customHeight="1" x14ac:dyDescent="0.25">
      <c r="A639" s="12" t="s">
        <v>294</v>
      </c>
      <c r="B639" s="14">
        <f>IFERROR((VLOOKUP($A639,'[1]import success seats course'!$A:P,HLOOKUP('[1]Course Totals'!B$4,'[1]import success seats course'!$1:$2,2,FALSE),FALSE)/(VLOOKUP($A639,'[1]import graded seats course pivo'!$A:Z,HLOOKUP('[1]Course Totals'!B$4,'[1]import graded seats course pivo'!$1:$2,2,FALSE),FALSE))),"")</f>
        <v>0.97619047619047616</v>
      </c>
      <c r="C639" s="14">
        <f>IFERROR((VLOOKUP($A639,'[1]import success seats course'!$A:Q,HLOOKUP('[1]Course Totals'!C$4,'[1]import success seats course'!$1:$2,2,FALSE),FALSE)/(VLOOKUP($A639,'[1]import graded seats course pivo'!$A:AA,HLOOKUP('[1]Course Totals'!C$4,'[1]import graded seats course pivo'!$1:$2,2,FALSE),FALSE))),"")</f>
        <v>0.85869565217391308</v>
      </c>
      <c r="D639" s="14">
        <f>IFERROR((VLOOKUP($A639,'[1]import success seats course'!$A:R,HLOOKUP('[1]Course Totals'!D$4,'[1]import success seats course'!$1:$2,2,FALSE),FALSE)/(VLOOKUP($A639,'[1]import graded seats course pivo'!$A:AB,HLOOKUP('[1]Course Totals'!D$4,'[1]import graded seats course pivo'!$1:$2,2,FALSE),FALSE))),"")</f>
        <v>0.87577639751552794</v>
      </c>
      <c r="E639" s="14">
        <f>IFERROR((VLOOKUP($A639,'[1]import success seats course'!$A:S,HLOOKUP('[1]Course Totals'!E$4,'[1]import success seats course'!$1:$2,2,FALSE),FALSE)/(VLOOKUP($A639,'[1]import graded seats course pivo'!$A:AC,HLOOKUP('[1]Course Totals'!E$4,'[1]import graded seats course pivo'!$1:$2,2,FALSE),FALSE))),"")</f>
        <v>0.82608695652173914</v>
      </c>
      <c r="F639" s="14">
        <f>IFERROR((VLOOKUP($A639,'[1]import success seats course'!$A:T,HLOOKUP('[1]Course Totals'!F$4,'[1]import success seats course'!$1:$2,2,FALSE),FALSE)/(VLOOKUP($A639,'[1]import graded seats course pivo'!$A:AD,HLOOKUP('[1]Course Totals'!F$4,'[1]import graded seats course pivo'!$1:$2,2,FALSE),FALSE))),"")</f>
        <v>0.84246575342465757</v>
      </c>
      <c r="G639" s="14">
        <f>IFERROR((VLOOKUP($A639,'[1]import success seats course'!$A:U,HLOOKUP('[1]Course Totals'!G$4,'[1]import success seats course'!$1:$2,2,FALSE),FALSE)/(VLOOKUP($A639,'[1]import graded seats course pivo'!$A:AE,HLOOKUP('[1]Course Totals'!G$4,'[1]import graded seats course pivo'!$1:$2,2,FALSE),FALSE))),"")</f>
        <v>0.7155963302752294</v>
      </c>
      <c r="H639" s="14">
        <f>IFERROR((VLOOKUP($A639,'[1]import success seats course'!$A:V,HLOOKUP('[1]Course Totals'!H$4,'[1]import success seats course'!$1:$2,2,FALSE),FALSE)/(VLOOKUP($A639,'[1]import graded seats course pivo'!$A:AF,HLOOKUP('[1]Course Totals'!H$4,'[1]import graded seats course pivo'!$1:$2,2,FALSE),FALSE))),"")</f>
        <v>0.97142857142857142</v>
      </c>
      <c r="I639" s="14">
        <f>IFERROR((VLOOKUP($A639,'[1]import success seats course'!$A:W,HLOOKUP('[1]Course Totals'!I$4,'[1]import success seats course'!$1:$2,2,FALSE),FALSE)/(VLOOKUP($A639,'[1]import graded seats course pivo'!$A:AG,HLOOKUP('[1]Course Totals'!I$4,'[1]import graded seats course pivo'!$1:$2,2,FALSE),FALSE))),"")</f>
        <v>0.82464454976303314</v>
      </c>
      <c r="J639" s="14">
        <f>IFERROR((VLOOKUP($A639,'[1]import success seats course'!$A:X,HLOOKUP('[1]Course Totals'!J$4,'[1]import success seats course'!$1:$2,2,FALSE),FALSE)/(VLOOKUP($A639,'[1]import graded seats course pivo'!$A:AH,HLOOKUP('[1]Course Totals'!J$4,'[1]import graded seats course pivo'!$1:$2,2,FALSE),FALSE))),"")</f>
        <v>0.76056338028169013</v>
      </c>
      <c r="K639" s="14">
        <f>IFERROR((VLOOKUP($A639,'[1]import success seats course'!$A:Y,HLOOKUP('[1]Course Totals'!K$4,'[1]import success seats course'!$1:$2,2,FALSE),FALSE)/(VLOOKUP($A639,'[1]import graded seats course pivo'!$A:AI,HLOOKUP('[1]Course Totals'!K$4,'[1]import graded seats course pivo'!$1:$2,2,FALSE),FALSE))),"")</f>
        <v>0.93877551020408168</v>
      </c>
      <c r="L639" s="14">
        <f>IFERROR((VLOOKUP($A639,'[1]import success seats course'!$A:Z,HLOOKUP('[1]Course Totals'!L$4,'[1]import success seats course'!$1:$2,2,FALSE),FALSE)/(VLOOKUP($A639,'[1]import graded seats course pivo'!$A:AJ,HLOOKUP('[1]Course Totals'!L$4,'[1]import graded seats course pivo'!$1:$2,2,FALSE),FALSE))),"")</f>
        <v>0.92045454545454541</v>
      </c>
      <c r="M639" s="14">
        <f>IFERROR((VLOOKUP($A639,'[1]import success seats course'!$A:AA,HLOOKUP('[1]Course Totals'!M$4,'[1]import success seats course'!$1:$2,2,FALSE),FALSE)/(VLOOKUP($A639,'[1]import graded seats course pivo'!$A:AK,HLOOKUP('[1]Course Totals'!M$4,'[1]import graded seats course pivo'!$1:$2,2,FALSE),FALSE))),"")</f>
        <v>0.83152173913043481</v>
      </c>
      <c r="N639" s="14" t="str">
        <f>IFERROR((VLOOKUP($A639,'[1]import success seats course'!$A:AB,HLOOKUP('[1]Course Totals'!N$4,'[1]import success seats course'!$1:$2,2,FALSE),FALSE)/(VLOOKUP($A639,'[1]import graded seats course pivo'!$A:AL,HLOOKUP('[1]Course Totals'!N$4,'[1]import graded seats course pivo'!$1:$2,2,FALSE),FALSE))),"")</f>
        <v/>
      </c>
      <c r="O639" s="14">
        <f>IFERROR((VLOOKUP($A639,'[1]import success seats course'!$A:AC,HLOOKUP('[1]Course Totals'!O$4,'[1]import success seats course'!$1:$2,2,FALSE),FALSE)/(VLOOKUP($A639,'[1]import graded seats course pivo'!$A:AM,HLOOKUP('[1]Course Totals'!O$4,'[1]import graded seats course pivo'!$1:$2,2,FALSE),FALSE))),"")</f>
        <v>0.83333333333333337</v>
      </c>
      <c r="P639" s="14">
        <f>IFERROR((VLOOKUP($A639,'[1]import success seats course'!$A:AD,HLOOKUP('[1]Course Totals'!P$4,'[1]import success seats course'!$1:$2,2,FALSE),FALSE)/(VLOOKUP($A639,'[1]import graded seats course pivo'!$A:AN,HLOOKUP('[1]Course Totals'!P$4,'[1]import graded seats course pivo'!$1:$2,2,FALSE),FALSE))),"")</f>
        <v>0.84444444444444444</v>
      </c>
      <c r="Q639" s="14" t="str">
        <f>IFERROR((VLOOKUP($A639,'[1]import success seats course'!$A:AE,HLOOKUP('[1]Course Totals'!Q$4,'[1]import success seats course'!$1:$2,2,FALSE),FALSE)/(VLOOKUP($A639,'[1]import graded seats course pivo'!$A:AO,HLOOKUP('[1]Course Totals'!Q$4,'[1]import graded seats course pivo'!$1:$2,2,FALSE),FALSE))),"")</f>
        <v/>
      </c>
      <c r="R639" s="14">
        <f>IFERROR((VLOOKUP($A639,'[1]import success seats course'!$A:AF,HLOOKUP('[1]Course Totals'!R$4,'[1]import success seats course'!$1:$2,2,FALSE),FALSE)/(VLOOKUP($A639,'[1]import graded seats course pivo'!$A:AP,HLOOKUP('[1]Course Totals'!R$4,'[1]import graded seats course pivo'!$1:$2,2,FALSE),FALSE))),"")</f>
        <v>0.86111111111111116</v>
      </c>
      <c r="S639" s="14">
        <f>IFERROR((VLOOKUP($A639,'[1]import success seats course'!$A:AG,HLOOKUP('[1]Course Totals'!S$4,'[1]import success seats course'!$1:$2,2,FALSE),FALSE)/(VLOOKUP($A639,'[1]import graded seats course pivo'!$A:AQ,HLOOKUP('[1]Course Totals'!S$4,'[1]import graded seats course pivo'!$1:$2,2,FALSE),FALSE))),"")</f>
        <v>0.85039370078740162</v>
      </c>
      <c r="Z639" s="7"/>
      <c r="AA639" s="7"/>
      <c r="AB639" s="7"/>
      <c r="AC639" s="7"/>
    </row>
    <row r="640" spans="1:29" ht="15.75" customHeight="1" x14ac:dyDescent="0.25">
      <c r="A640" s="12" t="s">
        <v>622</v>
      </c>
      <c r="B640" s="14" t="str">
        <f>IFERROR((VLOOKUP($A640,'[1]import success seats course'!$A:P,HLOOKUP('[1]Course Totals'!B$4,'[1]import success seats course'!$1:$2,2,FALSE),FALSE)/(VLOOKUP($A640,'[1]import graded seats course pivo'!$A:Z,HLOOKUP('[1]Course Totals'!B$4,'[1]import graded seats course pivo'!$1:$2,2,FALSE),FALSE))),"")</f>
        <v/>
      </c>
      <c r="C640" s="14" t="str">
        <f>IFERROR((VLOOKUP($A640,'[1]import success seats course'!$A:Q,HLOOKUP('[1]Course Totals'!C$4,'[1]import success seats course'!$1:$2,2,FALSE),FALSE)/(VLOOKUP($A640,'[1]import graded seats course pivo'!$A:AA,HLOOKUP('[1]Course Totals'!C$4,'[1]import graded seats course pivo'!$1:$2,2,FALSE),FALSE))),"")</f>
        <v/>
      </c>
      <c r="D640" s="14">
        <f>IFERROR((VLOOKUP($A640,'[1]import success seats course'!$A:R,HLOOKUP('[1]Course Totals'!D$4,'[1]import success seats course'!$1:$2,2,FALSE),FALSE)/(VLOOKUP($A640,'[1]import graded seats course pivo'!$A:AB,HLOOKUP('[1]Course Totals'!D$4,'[1]import graded seats course pivo'!$1:$2,2,FALSE),FALSE))),"")</f>
        <v>1</v>
      </c>
      <c r="E640" s="14" t="str">
        <f>IFERROR((VLOOKUP($A640,'[1]import success seats course'!$A:S,HLOOKUP('[1]Course Totals'!E$4,'[1]import success seats course'!$1:$2,2,FALSE),FALSE)/(VLOOKUP($A640,'[1]import graded seats course pivo'!$A:AC,HLOOKUP('[1]Course Totals'!E$4,'[1]import graded seats course pivo'!$1:$2,2,FALSE),FALSE))),"")</f>
        <v/>
      </c>
      <c r="F640" s="14" t="str">
        <f>IFERROR((VLOOKUP($A640,'[1]import success seats course'!$A:T,HLOOKUP('[1]Course Totals'!F$4,'[1]import success seats course'!$1:$2,2,FALSE),FALSE)/(VLOOKUP($A640,'[1]import graded seats course pivo'!$A:AD,HLOOKUP('[1]Course Totals'!F$4,'[1]import graded seats course pivo'!$1:$2,2,FALSE),FALSE))),"")</f>
        <v/>
      </c>
      <c r="G640" s="14">
        <f>IFERROR((VLOOKUP($A640,'[1]import success seats course'!$A:U,HLOOKUP('[1]Course Totals'!G$4,'[1]import success seats course'!$1:$2,2,FALSE),FALSE)/(VLOOKUP($A640,'[1]import graded seats course pivo'!$A:AE,HLOOKUP('[1]Course Totals'!G$4,'[1]import graded seats course pivo'!$1:$2,2,FALSE),FALSE))),"")</f>
        <v>0.83333333333333337</v>
      </c>
      <c r="H640" s="14" t="str">
        <f>IFERROR((VLOOKUP($A640,'[1]import success seats course'!$A:V,HLOOKUP('[1]Course Totals'!H$4,'[1]import success seats course'!$1:$2,2,FALSE),FALSE)/(VLOOKUP($A640,'[1]import graded seats course pivo'!$A:AF,HLOOKUP('[1]Course Totals'!H$4,'[1]import graded seats course pivo'!$1:$2,2,FALSE),FALSE))),"")</f>
        <v/>
      </c>
      <c r="I640" s="14" t="str">
        <f>IFERROR((VLOOKUP($A640,'[1]import success seats course'!$A:W,HLOOKUP('[1]Course Totals'!I$4,'[1]import success seats course'!$1:$2,2,FALSE),FALSE)/(VLOOKUP($A640,'[1]import graded seats course pivo'!$A:AG,HLOOKUP('[1]Course Totals'!I$4,'[1]import graded seats course pivo'!$1:$2,2,FALSE),FALSE))),"")</f>
        <v/>
      </c>
      <c r="J640" s="14">
        <f>IFERROR((VLOOKUP($A640,'[1]import success seats course'!$A:X,HLOOKUP('[1]Course Totals'!J$4,'[1]import success seats course'!$1:$2,2,FALSE),FALSE)/(VLOOKUP($A640,'[1]import graded seats course pivo'!$A:AH,HLOOKUP('[1]Course Totals'!J$4,'[1]import graded seats course pivo'!$1:$2,2,FALSE),FALSE))),"")</f>
        <v>1</v>
      </c>
      <c r="K640" s="14" t="str">
        <f>IFERROR((VLOOKUP($A640,'[1]import success seats course'!$A:Y,HLOOKUP('[1]Course Totals'!K$4,'[1]import success seats course'!$1:$2,2,FALSE),FALSE)/(VLOOKUP($A640,'[1]import graded seats course pivo'!$A:AI,HLOOKUP('[1]Course Totals'!K$4,'[1]import graded seats course pivo'!$1:$2,2,FALSE),FALSE))),"")</f>
        <v/>
      </c>
      <c r="L640" s="14">
        <f>IFERROR((VLOOKUP($A640,'[1]import success seats course'!$A:Z,HLOOKUP('[1]Course Totals'!L$4,'[1]import success seats course'!$1:$2,2,FALSE),FALSE)/(VLOOKUP($A640,'[1]import graded seats course pivo'!$A:AJ,HLOOKUP('[1]Course Totals'!L$4,'[1]import graded seats course pivo'!$1:$2,2,FALSE),FALSE))),"")</f>
        <v>0.75</v>
      </c>
      <c r="M640" s="14">
        <f>IFERROR((VLOOKUP($A640,'[1]import success seats course'!$A:AA,HLOOKUP('[1]Course Totals'!M$4,'[1]import success seats course'!$1:$2,2,FALSE),FALSE)/(VLOOKUP($A640,'[1]import graded seats course pivo'!$A:AK,HLOOKUP('[1]Course Totals'!M$4,'[1]import graded seats course pivo'!$1:$2,2,FALSE),FALSE))),"")</f>
        <v>1</v>
      </c>
      <c r="N640" s="14" t="str">
        <f>IFERROR((VLOOKUP($A640,'[1]import success seats course'!$A:AB,HLOOKUP('[1]Course Totals'!N$4,'[1]import success seats course'!$1:$2,2,FALSE),FALSE)/(VLOOKUP($A640,'[1]import graded seats course pivo'!$A:AL,HLOOKUP('[1]Course Totals'!N$4,'[1]import graded seats course pivo'!$1:$2,2,FALSE),FALSE))),"")</f>
        <v/>
      </c>
      <c r="O640" s="14">
        <f>IFERROR((VLOOKUP($A640,'[1]import success seats course'!$A:AC,HLOOKUP('[1]Course Totals'!O$4,'[1]import success seats course'!$1:$2,2,FALSE),FALSE)/(VLOOKUP($A640,'[1]import graded seats course pivo'!$A:AM,HLOOKUP('[1]Course Totals'!O$4,'[1]import graded seats course pivo'!$1:$2,2,FALSE),FALSE))),"")</f>
        <v>1</v>
      </c>
      <c r="P640" s="14">
        <f>IFERROR((VLOOKUP($A640,'[1]import success seats course'!$A:AD,HLOOKUP('[1]Course Totals'!P$4,'[1]import success seats course'!$1:$2,2,FALSE),FALSE)/(VLOOKUP($A640,'[1]import graded seats course pivo'!$A:AN,HLOOKUP('[1]Course Totals'!P$4,'[1]import graded seats course pivo'!$1:$2,2,FALSE),FALSE))),"")</f>
        <v>1</v>
      </c>
      <c r="Q640" s="14" t="str">
        <f>IFERROR((VLOOKUP($A640,'[1]import success seats course'!$A:AE,HLOOKUP('[1]Course Totals'!Q$4,'[1]import success seats course'!$1:$2,2,FALSE),FALSE)/(VLOOKUP($A640,'[1]import graded seats course pivo'!$A:AO,HLOOKUP('[1]Course Totals'!Q$4,'[1]import graded seats course pivo'!$1:$2,2,FALSE),FALSE))),"")</f>
        <v/>
      </c>
      <c r="R640" s="14">
        <f>IFERROR((VLOOKUP($A640,'[1]import success seats course'!$A:AF,HLOOKUP('[1]Course Totals'!R$4,'[1]import success seats course'!$1:$2,2,FALSE),FALSE)/(VLOOKUP($A640,'[1]import graded seats course pivo'!$A:AP,HLOOKUP('[1]Course Totals'!R$4,'[1]import graded seats course pivo'!$1:$2,2,FALSE),FALSE))),"")</f>
        <v>1</v>
      </c>
      <c r="S640" s="14">
        <f>IFERROR((VLOOKUP($A640,'[1]import success seats course'!$A:AG,HLOOKUP('[1]Course Totals'!S$4,'[1]import success seats course'!$1:$2,2,FALSE),FALSE)/(VLOOKUP($A640,'[1]import graded seats course pivo'!$A:AQ,HLOOKUP('[1]Course Totals'!S$4,'[1]import graded seats course pivo'!$1:$2,2,FALSE),FALSE))),"")</f>
        <v>1</v>
      </c>
      <c r="Z640" s="7"/>
      <c r="AA640" s="7"/>
      <c r="AB640" s="7"/>
      <c r="AC640" s="7"/>
    </row>
    <row r="641" spans="1:29" ht="15.75" customHeight="1" x14ac:dyDescent="0.25">
      <c r="A641" s="12" t="s">
        <v>295</v>
      </c>
      <c r="B641" s="14" t="str">
        <f>IFERROR((VLOOKUP($A641,'[1]import success seats course'!$A:P,HLOOKUP('[1]Course Totals'!B$4,'[1]import success seats course'!$1:$2,2,FALSE),FALSE)/(VLOOKUP($A641,'[1]import graded seats course pivo'!$A:Z,HLOOKUP('[1]Course Totals'!B$4,'[1]import graded seats course pivo'!$1:$2,2,FALSE),FALSE))),"")</f>
        <v/>
      </c>
      <c r="C641" s="14">
        <f>IFERROR((VLOOKUP($A641,'[1]import success seats course'!$A:Q,HLOOKUP('[1]Course Totals'!C$4,'[1]import success seats course'!$1:$2,2,FALSE),FALSE)/(VLOOKUP($A641,'[1]import graded seats course pivo'!$A:AA,HLOOKUP('[1]Course Totals'!C$4,'[1]import graded seats course pivo'!$1:$2,2,FALSE),FALSE))),"")</f>
        <v>0.86363636363636365</v>
      </c>
      <c r="D641" s="14">
        <f>IFERROR((VLOOKUP($A641,'[1]import success seats course'!$A:R,HLOOKUP('[1]Course Totals'!D$4,'[1]import success seats course'!$1:$2,2,FALSE),FALSE)/(VLOOKUP($A641,'[1]import graded seats course pivo'!$A:AB,HLOOKUP('[1]Course Totals'!D$4,'[1]import graded seats course pivo'!$1:$2,2,FALSE),FALSE))),"")</f>
        <v>0.73809523809523814</v>
      </c>
      <c r="E641" s="14" t="str">
        <f>IFERROR((VLOOKUP($A641,'[1]import success seats course'!$A:S,HLOOKUP('[1]Course Totals'!E$4,'[1]import success seats course'!$1:$2,2,FALSE),FALSE)/(VLOOKUP($A641,'[1]import graded seats course pivo'!$A:AC,HLOOKUP('[1]Course Totals'!E$4,'[1]import graded seats course pivo'!$1:$2,2,FALSE),FALSE))),"")</f>
        <v/>
      </c>
      <c r="F641" s="14">
        <f>IFERROR((VLOOKUP($A641,'[1]import success seats course'!$A:T,HLOOKUP('[1]Course Totals'!F$4,'[1]import success seats course'!$1:$2,2,FALSE),FALSE)/(VLOOKUP($A641,'[1]import graded seats course pivo'!$A:AD,HLOOKUP('[1]Course Totals'!F$4,'[1]import graded seats course pivo'!$1:$2,2,FALSE),FALSE))),"")</f>
        <v>0.8</v>
      </c>
      <c r="G641" s="14">
        <f>IFERROR((VLOOKUP($A641,'[1]import success seats course'!$A:U,HLOOKUP('[1]Course Totals'!G$4,'[1]import success seats course'!$1:$2,2,FALSE),FALSE)/(VLOOKUP($A641,'[1]import graded seats course pivo'!$A:AE,HLOOKUP('[1]Course Totals'!G$4,'[1]import graded seats course pivo'!$1:$2,2,FALSE),FALSE))),"")</f>
        <v>0.65714285714285714</v>
      </c>
      <c r="H641" s="14" t="str">
        <f>IFERROR((VLOOKUP($A641,'[1]import success seats course'!$A:V,HLOOKUP('[1]Course Totals'!H$4,'[1]import success seats course'!$1:$2,2,FALSE),FALSE)/(VLOOKUP($A641,'[1]import graded seats course pivo'!$A:AF,HLOOKUP('[1]Course Totals'!H$4,'[1]import graded seats course pivo'!$1:$2,2,FALSE),FALSE))),"")</f>
        <v/>
      </c>
      <c r="I641" s="14">
        <f>IFERROR((VLOOKUP($A641,'[1]import success seats course'!$A:W,HLOOKUP('[1]Course Totals'!I$4,'[1]import success seats course'!$1:$2,2,FALSE),FALSE)/(VLOOKUP($A641,'[1]import graded seats course pivo'!$A:AG,HLOOKUP('[1]Course Totals'!I$4,'[1]import graded seats course pivo'!$1:$2,2,FALSE),FALSE))),"")</f>
        <v>0.6216216216216216</v>
      </c>
      <c r="J641" s="14">
        <f>IFERROR((VLOOKUP($A641,'[1]import success seats course'!$A:X,HLOOKUP('[1]Course Totals'!J$4,'[1]import success seats course'!$1:$2,2,FALSE),FALSE)/(VLOOKUP($A641,'[1]import graded seats course pivo'!$A:AH,HLOOKUP('[1]Course Totals'!J$4,'[1]import graded seats course pivo'!$1:$2,2,FALSE),FALSE))),"")</f>
        <v>0.6</v>
      </c>
      <c r="K641" s="14" t="str">
        <f>IFERROR((VLOOKUP($A641,'[1]import success seats course'!$A:Y,HLOOKUP('[1]Course Totals'!K$4,'[1]import success seats course'!$1:$2,2,FALSE),FALSE)/(VLOOKUP($A641,'[1]import graded seats course pivo'!$A:AI,HLOOKUP('[1]Course Totals'!K$4,'[1]import graded seats course pivo'!$1:$2,2,FALSE),FALSE))),"")</f>
        <v/>
      </c>
      <c r="L641" s="14" t="str">
        <f>IFERROR((VLOOKUP($A641,'[1]import success seats course'!$A:Z,HLOOKUP('[1]Course Totals'!L$4,'[1]import success seats course'!$1:$2,2,FALSE),FALSE)/(VLOOKUP($A641,'[1]import graded seats course pivo'!$A:AJ,HLOOKUP('[1]Course Totals'!L$4,'[1]import graded seats course pivo'!$1:$2,2,FALSE),FALSE))),"")</f>
        <v/>
      </c>
      <c r="M641" s="14" t="str">
        <f>IFERROR((VLOOKUP($A641,'[1]import success seats course'!$A:AA,HLOOKUP('[1]Course Totals'!M$4,'[1]import success seats course'!$1:$2,2,FALSE),FALSE)/(VLOOKUP($A641,'[1]import graded seats course pivo'!$A:AK,HLOOKUP('[1]Course Totals'!M$4,'[1]import graded seats course pivo'!$1:$2,2,FALSE),FALSE))),"")</f>
        <v/>
      </c>
      <c r="N641" s="14" t="str">
        <f>IFERROR((VLOOKUP($A641,'[1]import success seats course'!$A:AB,HLOOKUP('[1]Course Totals'!N$4,'[1]import success seats course'!$1:$2,2,FALSE),FALSE)/(VLOOKUP($A641,'[1]import graded seats course pivo'!$A:AL,HLOOKUP('[1]Course Totals'!N$4,'[1]import graded seats course pivo'!$1:$2,2,FALSE),FALSE))),"")</f>
        <v/>
      </c>
      <c r="O641" s="14" t="str">
        <f>IFERROR((VLOOKUP($A641,'[1]import success seats course'!$A:AC,HLOOKUP('[1]Course Totals'!O$4,'[1]import success seats course'!$1:$2,2,FALSE),FALSE)/(VLOOKUP($A641,'[1]import graded seats course pivo'!$A:AM,HLOOKUP('[1]Course Totals'!O$4,'[1]import graded seats course pivo'!$1:$2,2,FALSE),FALSE))),"")</f>
        <v/>
      </c>
      <c r="P641" s="14">
        <f>IFERROR((VLOOKUP($A641,'[1]import success seats course'!$A:AD,HLOOKUP('[1]Course Totals'!P$4,'[1]import success seats course'!$1:$2,2,FALSE),FALSE)/(VLOOKUP($A641,'[1]import graded seats course pivo'!$A:AN,HLOOKUP('[1]Course Totals'!P$4,'[1]import graded seats course pivo'!$1:$2,2,FALSE),FALSE))),"")</f>
        <v>0.84782608695652173</v>
      </c>
      <c r="Q641" s="14" t="str">
        <f>IFERROR((VLOOKUP($A641,'[1]import success seats course'!$A:AE,HLOOKUP('[1]Course Totals'!Q$4,'[1]import success seats course'!$1:$2,2,FALSE),FALSE)/(VLOOKUP($A641,'[1]import graded seats course pivo'!$A:AO,HLOOKUP('[1]Course Totals'!Q$4,'[1]import graded seats course pivo'!$1:$2,2,FALSE),FALSE))),"")</f>
        <v/>
      </c>
      <c r="R641" s="14">
        <f>IFERROR((VLOOKUP($A641,'[1]import success seats course'!$A:AF,HLOOKUP('[1]Course Totals'!R$4,'[1]import success seats course'!$1:$2,2,FALSE),FALSE)/(VLOOKUP($A641,'[1]import graded seats course pivo'!$A:AP,HLOOKUP('[1]Course Totals'!R$4,'[1]import graded seats course pivo'!$1:$2,2,FALSE),FALSE))),"")</f>
        <v>0.6428571428571429</v>
      </c>
      <c r="S641" s="14" t="str">
        <f>IFERROR((VLOOKUP($A641,'[1]import success seats course'!$A:AG,HLOOKUP('[1]Course Totals'!S$4,'[1]import success seats course'!$1:$2,2,FALSE),FALSE)/(VLOOKUP($A641,'[1]import graded seats course pivo'!$A:AQ,HLOOKUP('[1]Course Totals'!S$4,'[1]import graded seats course pivo'!$1:$2,2,FALSE),FALSE))),"")</f>
        <v/>
      </c>
      <c r="Z641" s="7"/>
      <c r="AA641" s="7"/>
      <c r="AB641" s="7"/>
      <c r="AC641" s="7"/>
    </row>
    <row r="642" spans="1:29" ht="15.75" customHeight="1" x14ac:dyDescent="0.25">
      <c r="A642" s="12" t="s">
        <v>296</v>
      </c>
      <c r="B642" s="14" t="str">
        <f>IFERROR((VLOOKUP($A642,'[1]import success seats course'!$A:P,HLOOKUP('[1]Course Totals'!B$4,'[1]import success seats course'!$1:$2,2,FALSE),FALSE)/(VLOOKUP($A642,'[1]import graded seats course pivo'!$A:Z,HLOOKUP('[1]Course Totals'!B$4,'[1]import graded seats course pivo'!$1:$2,2,FALSE),FALSE))),"")</f>
        <v/>
      </c>
      <c r="C642" s="14">
        <f>IFERROR((VLOOKUP($A642,'[1]import success seats course'!$A:Q,HLOOKUP('[1]Course Totals'!C$4,'[1]import success seats course'!$1:$2,2,FALSE),FALSE)/(VLOOKUP($A642,'[1]import graded seats course pivo'!$A:AA,HLOOKUP('[1]Course Totals'!C$4,'[1]import graded seats course pivo'!$1:$2,2,FALSE),FALSE))),"")</f>
        <v>1</v>
      </c>
      <c r="D642" s="14">
        <f>IFERROR((VLOOKUP($A642,'[1]import success seats course'!$A:R,HLOOKUP('[1]Course Totals'!D$4,'[1]import success seats course'!$1:$2,2,FALSE),FALSE)/(VLOOKUP($A642,'[1]import graded seats course pivo'!$A:AB,HLOOKUP('[1]Course Totals'!D$4,'[1]import graded seats course pivo'!$1:$2,2,FALSE),FALSE))),"")</f>
        <v>1</v>
      </c>
      <c r="E642" s="14" t="str">
        <f>IFERROR((VLOOKUP($A642,'[1]import success seats course'!$A:S,HLOOKUP('[1]Course Totals'!E$4,'[1]import success seats course'!$1:$2,2,FALSE),FALSE)/(VLOOKUP($A642,'[1]import graded seats course pivo'!$A:AC,HLOOKUP('[1]Course Totals'!E$4,'[1]import graded seats course pivo'!$1:$2,2,FALSE),FALSE))),"")</f>
        <v/>
      </c>
      <c r="F642" s="14" t="str">
        <f>IFERROR((VLOOKUP($A642,'[1]import success seats course'!$A:T,HLOOKUP('[1]Course Totals'!F$4,'[1]import success seats course'!$1:$2,2,FALSE),FALSE)/(VLOOKUP($A642,'[1]import graded seats course pivo'!$A:AD,HLOOKUP('[1]Course Totals'!F$4,'[1]import graded seats course pivo'!$1:$2,2,FALSE),FALSE))),"")</f>
        <v/>
      </c>
      <c r="G642" s="14" t="str">
        <f>IFERROR((VLOOKUP($A642,'[1]import success seats course'!$A:U,HLOOKUP('[1]Course Totals'!G$4,'[1]import success seats course'!$1:$2,2,FALSE),FALSE)/(VLOOKUP($A642,'[1]import graded seats course pivo'!$A:AE,HLOOKUP('[1]Course Totals'!G$4,'[1]import graded seats course pivo'!$1:$2,2,FALSE),FALSE))),"")</f>
        <v/>
      </c>
      <c r="H642" s="14" t="str">
        <f>IFERROR((VLOOKUP($A642,'[1]import success seats course'!$A:V,HLOOKUP('[1]Course Totals'!H$4,'[1]import success seats course'!$1:$2,2,FALSE),FALSE)/(VLOOKUP($A642,'[1]import graded seats course pivo'!$A:AF,HLOOKUP('[1]Course Totals'!H$4,'[1]import graded seats course pivo'!$1:$2,2,FALSE),FALSE))),"")</f>
        <v/>
      </c>
      <c r="I642" s="14" t="str">
        <f>IFERROR((VLOOKUP($A642,'[1]import success seats course'!$A:W,HLOOKUP('[1]Course Totals'!I$4,'[1]import success seats course'!$1:$2,2,FALSE),FALSE)/(VLOOKUP($A642,'[1]import graded seats course pivo'!$A:AG,HLOOKUP('[1]Course Totals'!I$4,'[1]import graded seats course pivo'!$1:$2,2,FALSE),FALSE))),"")</f>
        <v/>
      </c>
      <c r="J642" s="14" t="str">
        <f>IFERROR((VLOOKUP($A642,'[1]import success seats course'!$A:X,HLOOKUP('[1]Course Totals'!J$4,'[1]import success seats course'!$1:$2,2,FALSE),FALSE)/(VLOOKUP($A642,'[1]import graded seats course pivo'!$A:AH,HLOOKUP('[1]Course Totals'!J$4,'[1]import graded seats course pivo'!$1:$2,2,FALSE),FALSE))),"")</f>
        <v/>
      </c>
      <c r="K642" s="14" t="str">
        <f>IFERROR((VLOOKUP($A642,'[1]import success seats course'!$A:Y,HLOOKUP('[1]Course Totals'!K$4,'[1]import success seats course'!$1:$2,2,FALSE),FALSE)/(VLOOKUP($A642,'[1]import graded seats course pivo'!$A:AI,HLOOKUP('[1]Course Totals'!K$4,'[1]import graded seats course pivo'!$1:$2,2,FALSE),FALSE))),"")</f>
        <v/>
      </c>
      <c r="L642" s="14" t="str">
        <f>IFERROR((VLOOKUP($A642,'[1]import success seats course'!$A:Z,HLOOKUP('[1]Course Totals'!L$4,'[1]import success seats course'!$1:$2,2,FALSE),FALSE)/(VLOOKUP($A642,'[1]import graded seats course pivo'!$A:AJ,HLOOKUP('[1]Course Totals'!L$4,'[1]import graded seats course pivo'!$1:$2,2,FALSE),FALSE))),"")</f>
        <v/>
      </c>
      <c r="M642" s="14" t="str">
        <f>IFERROR((VLOOKUP($A642,'[1]import success seats course'!$A:AA,HLOOKUP('[1]Course Totals'!M$4,'[1]import success seats course'!$1:$2,2,FALSE),FALSE)/(VLOOKUP($A642,'[1]import graded seats course pivo'!$A:AK,HLOOKUP('[1]Course Totals'!M$4,'[1]import graded seats course pivo'!$1:$2,2,FALSE),FALSE))),"")</f>
        <v/>
      </c>
      <c r="N642" s="14" t="str">
        <f>IFERROR((VLOOKUP($A642,'[1]import success seats course'!$A:AB,HLOOKUP('[1]Course Totals'!N$4,'[1]import success seats course'!$1:$2,2,FALSE),FALSE)/(VLOOKUP($A642,'[1]import graded seats course pivo'!$A:AL,HLOOKUP('[1]Course Totals'!N$4,'[1]import graded seats course pivo'!$1:$2,2,FALSE),FALSE))),"")</f>
        <v/>
      </c>
      <c r="O642" s="14" t="str">
        <f>IFERROR((VLOOKUP($A642,'[1]import success seats course'!$A:AC,HLOOKUP('[1]Course Totals'!O$4,'[1]import success seats course'!$1:$2,2,FALSE),FALSE)/(VLOOKUP($A642,'[1]import graded seats course pivo'!$A:AM,HLOOKUP('[1]Course Totals'!O$4,'[1]import graded seats course pivo'!$1:$2,2,FALSE),FALSE))),"")</f>
        <v/>
      </c>
      <c r="P642" s="14" t="str">
        <f>IFERROR((VLOOKUP($A642,'[1]import success seats course'!$A:AD,HLOOKUP('[1]Course Totals'!P$4,'[1]import success seats course'!$1:$2,2,FALSE),FALSE)/(VLOOKUP($A642,'[1]import graded seats course pivo'!$A:AN,HLOOKUP('[1]Course Totals'!P$4,'[1]import graded seats course pivo'!$1:$2,2,FALSE),FALSE))),"")</f>
        <v/>
      </c>
      <c r="Q642" s="14" t="str">
        <f>IFERROR((VLOOKUP($A642,'[1]import success seats course'!$A:AE,HLOOKUP('[1]Course Totals'!Q$4,'[1]import success seats course'!$1:$2,2,FALSE),FALSE)/(VLOOKUP($A642,'[1]import graded seats course pivo'!$A:AO,HLOOKUP('[1]Course Totals'!Q$4,'[1]import graded seats course pivo'!$1:$2,2,FALSE),FALSE))),"")</f>
        <v/>
      </c>
      <c r="R642" s="14" t="str">
        <f>IFERROR((VLOOKUP($A642,'[1]import success seats course'!$A:AF,HLOOKUP('[1]Course Totals'!R$4,'[1]import success seats course'!$1:$2,2,FALSE),FALSE)/(VLOOKUP($A642,'[1]import graded seats course pivo'!$A:AP,HLOOKUP('[1]Course Totals'!R$4,'[1]import graded seats course pivo'!$1:$2,2,FALSE),FALSE))),"")</f>
        <v/>
      </c>
      <c r="S642" s="14" t="str">
        <f>IFERROR((VLOOKUP($A642,'[1]import success seats course'!$A:AG,HLOOKUP('[1]Course Totals'!S$4,'[1]import success seats course'!$1:$2,2,FALSE),FALSE)/(VLOOKUP($A642,'[1]import graded seats course pivo'!$A:AQ,HLOOKUP('[1]Course Totals'!S$4,'[1]import graded seats course pivo'!$1:$2,2,FALSE),FALSE))),"")</f>
        <v/>
      </c>
      <c r="Z642" s="7"/>
      <c r="AA642" s="7"/>
      <c r="AB642" s="7"/>
      <c r="AC642" s="7"/>
    </row>
    <row r="643" spans="1:29" ht="15.75" customHeight="1" x14ac:dyDescent="0.25">
      <c r="A643" s="12" t="s">
        <v>297</v>
      </c>
      <c r="B643" s="14" t="str">
        <f>IFERROR((VLOOKUP($A643,'[1]import success seats course'!$A:P,HLOOKUP('[1]Course Totals'!B$4,'[1]import success seats course'!$1:$2,2,FALSE),FALSE)/(VLOOKUP($A643,'[1]import graded seats course pivo'!$A:Z,HLOOKUP('[1]Course Totals'!B$4,'[1]import graded seats course pivo'!$1:$2,2,FALSE),FALSE))),"")</f>
        <v/>
      </c>
      <c r="C643" s="14">
        <f>IFERROR((VLOOKUP($A643,'[1]import success seats course'!$A:Q,HLOOKUP('[1]Course Totals'!C$4,'[1]import success seats course'!$1:$2,2,FALSE),FALSE)/(VLOOKUP($A643,'[1]import graded seats course pivo'!$A:AA,HLOOKUP('[1]Course Totals'!C$4,'[1]import graded seats course pivo'!$1:$2,2,FALSE),FALSE))),"")</f>
        <v>0.9285714285714286</v>
      </c>
      <c r="D643" s="14" t="str">
        <f>IFERROR((VLOOKUP($A643,'[1]import success seats course'!$A:R,HLOOKUP('[1]Course Totals'!D$4,'[1]import success seats course'!$1:$2,2,FALSE),FALSE)/(VLOOKUP($A643,'[1]import graded seats course pivo'!$A:AB,HLOOKUP('[1]Course Totals'!D$4,'[1]import graded seats course pivo'!$1:$2,2,FALSE),FALSE))),"")</f>
        <v/>
      </c>
      <c r="E643" s="14" t="str">
        <f>IFERROR((VLOOKUP($A643,'[1]import success seats course'!$A:S,HLOOKUP('[1]Course Totals'!E$4,'[1]import success seats course'!$1:$2,2,FALSE),FALSE)/(VLOOKUP($A643,'[1]import graded seats course pivo'!$A:AC,HLOOKUP('[1]Course Totals'!E$4,'[1]import graded seats course pivo'!$1:$2,2,FALSE),FALSE))),"")</f>
        <v/>
      </c>
      <c r="F643" s="14" t="str">
        <f>IFERROR((VLOOKUP($A643,'[1]import success seats course'!$A:T,HLOOKUP('[1]Course Totals'!F$4,'[1]import success seats course'!$1:$2,2,FALSE),FALSE)/(VLOOKUP($A643,'[1]import graded seats course pivo'!$A:AD,HLOOKUP('[1]Course Totals'!F$4,'[1]import graded seats course pivo'!$1:$2,2,FALSE),FALSE))),"")</f>
        <v/>
      </c>
      <c r="G643" s="14" t="str">
        <f>IFERROR((VLOOKUP($A643,'[1]import success seats course'!$A:U,HLOOKUP('[1]Course Totals'!G$4,'[1]import success seats course'!$1:$2,2,FALSE),FALSE)/(VLOOKUP($A643,'[1]import graded seats course pivo'!$A:AE,HLOOKUP('[1]Course Totals'!G$4,'[1]import graded seats course pivo'!$1:$2,2,FALSE),FALSE))),"")</f>
        <v/>
      </c>
      <c r="H643" s="14" t="str">
        <f>IFERROR((VLOOKUP($A643,'[1]import success seats course'!$A:V,HLOOKUP('[1]Course Totals'!H$4,'[1]import success seats course'!$1:$2,2,FALSE),FALSE)/(VLOOKUP($A643,'[1]import graded seats course pivo'!$A:AF,HLOOKUP('[1]Course Totals'!H$4,'[1]import graded seats course pivo'!$1:$2,2,FALSE),FALSE))),"")</f>
        <v/>
      </c>
      <c r="I643" s="14" t="str">
        <f>IFERROR((VLOOKUP($A643,'[1]import success seats course'!$A:W,HLOOKUP('[1]Course Totals'!I$4,'[1]import success seats course'!$1:$2,2,FALSE),FALSE)/(VLOOKUP($A643,'[1]import graded seats course pivo'!$A:AG,HLOOKUP('[1]Course Totals'!I$4,'[1]import graded seats course pivo'!$1:$2,2,FALSE),FALSE))),"")</f>
        <v/>
      </c>
      <c r="J643" s="14" t="str">
        <f>IFERROR((VLOOKUP($A643,'[1]import success seats course'!$A:X,HLOOKUP('[1]Course Totals'!J$4,'[1]import success seats course'!$1:$2,2,FALSE),FALSE)/(VLOOKUP($A643,'[1]import graded seats course pivo'!$A:AH,HLOOKUP('[1]Course Totals'!J$4,'[1]import graded seats course pivo'!$1:$2,2,FALSE),FALSE))),"")</f>
        <v/>
      </c>
      <c r="K643" s="14" t="str">
        <f>IFERROR((VLOOKUP($A643,'[1]import success seats course'!$A:Y,HLOOKUP('[1]Course Totals'!K$4,'[1]import success seats course'!$1:$2,2,FALSE),FALSE)/(VLOOKUP($A643,'[1]import graded seats course pivo'!$A:AI,HLOOKUP('[1]Course Totals'!K$4,'[1]import graded seats course pivo'!$1:$2,2,FALSE),FALSE))),"")</f>
        <v/>
      </c>
      <c r="L643" s="14" t="str">
        <f>IFERROR((VLOOKUP($A643,'[1]import success seats course'!$A:Z,HLOOKUP('[1]Course Totals'!L$4,'[1]import success seats course'!$1:$2,2,FALSE),FALSE)/(VLOOKUP($A643,'[1]import graded seats course pivo'!$A:AJ,HLOOKUP('[1]Course Totals'!L$4,'[1]import graded seats course pivo'!$1:$2,2,FALSE),FALSE))),"")</f>
        <v/>
      </c>
      <c r="M643" s="14" t="str">
        <f>IFERROR((VLOOKUP($A643,'[1]import success seats course'!$A:AA,HLOOKUP('[1]Course Totals'!M$4,'[1]import success seats course'!$1:$2,2,FALSE),FALSE)/(VLOOKUP($A643,'[1]import graded seats course pivo'!$A:AK,HLOOKUP('[1]Course Totals'!M$4,'[1]import graded seats course pivo'!$1:$2,2,FALSE),FALSE))),"")</f>
        <v/>
      </c>
      <c r="N643" s="14" t="str">
        <f>IFERROR((VLOOKUP($A643,'[1]import success seats course'!$A:AB,HLOOKUP('[1]Course Totals'!N$4,'[1]import success seats course'!$1:$2,2,FALSE),FALSE)/(VLOOKUP($A643,'[1]import graded seats course pivo'!$A:AL,HLOOKUP('[1]Course Totals'!N$4,'[1]import graded seats course pivo'!$1:$2,2,FALSE),FALSE))),"")</f>
        <v/>
      </c>
      <c r="O643" s="14" t="str">
        <f>IFERROR((VLOOKUP($A643,'[1]import success seats course'!$A:AC,HLOOKUP('[1]Course Totals'!O$4,'[1]import success seats course'!$1:$2,2,FALSE),FALSE)/(VLOOKUP($A643,'[1]import graded seats course pivo'!$A:AM,HLOOKUP('[1]Course Totals'!O$4,'[1]import graded seats course pivo'!$1:$2,2,FALSE),FALSE))),"")</f>
        <v/>
      </c>
      <c r="P643" s="14" t="str">
        <f>IFERROR((VLOOKUP($A643,'[1]import success seats course'!$A:AD,HLOOKUP('[1]Course Totals'!P$4,'[1]import success seats course'!$1:$2,2,FALSE),FALSE)/(VLOOKUP($A643,'[1]import graded seats course pivo'!$A:AN,HLOOKUP('[1]Course Totals'!P$4,'[1]import graded seats course pivo'!$1:$2,2,FALSE),FALSE))),"")</f>
        <v/>
      </c>
      <c r="Q643" s="14" t="str">
        <f>IFERROR((VLOOKUP($A643,'[1]import success seats course'!$A:AE,HLOOKUP('[1]Course Totals'!Q$4,'[1]import success seats course'!$1:$2,2,FALSE),FALSE)/(VLOOKUP($A643,'[1]import graded seats course pivo'!$A:AO,HLOOKUP('[1]Course Totals'!Q$4,'[1]import graded seats course pivo'!$1:$2,2,FALSE),FALSE))),"")</f>
        <v/>
      </c>
      <c r="R643" s="14" t="str">
        <f>IFERROR((VLOOKUP($A643,'[1]import success seats course'!$A:AF,HLOOKUP('[1]Course Totals'!R$4,'[1]import success seats course'!$1:$2,2,FALSE),FALSE)/(VLOOKUP($A643,'[1]import graded seats course pivo'!$A:AP,HLOOKUP('[1]Course Totals'!R$4,'[1]import graded seats course pivo'!$1:$2,2,FALSE),FALSE))),"")</f>
        <v/>
      </c>
      <c r="S643" s="14" t="str">
        <f>IFERROR((VLOOKUP($A643,'[1]import success seats course'!$A:AG,HLOOKUP('[1]Course Totals'!S$4,'[1]import success seats course'!$1:$2,2,FALSE),FALSE)/(VLOOKUP($A643,'[1]import graded seats course pivo'!$A:AQ,HLOOKUP('[1]Course Totals'!S$4,'[1]import graded seats course pivo'!$1:$2,2,FALSE),FALSE))),"")</f>
        <v/>
      </c>
      <c r="Z643" s="7"/>
      <c r="AA643" s="7"/>
      <c r="AB643" s="7"/>
      <c r="AC643" s="7"/>
    </row>
    <row r="644" spans="1:29" ht="15.75" customHeight="1" x14ac:dyDescent="0.25">
      <c r="A644" s="12" t="s">
        <v>919</v>
      </c>
      <c r="B644" s="14" t="str">
        <f>IFERROR((VLOOKUP($A644,'[1]import success seats course'!$A:P,HLOOKUP('[1]Course Totals'!B$4,'[1]import success seats course'!$1:$2,2,FALSE),FALSE)/(VLOOKUP($A644,'[1]import graded seats course pivo'!$A:Z,HLOOKUP('[1]Course Totals'!B$4,'[1]import graded seats course pivo'!$1:$2,2,FALSE),FALSE))),"")</f>
        <v/>
      </c>
      <c r="C644" s="14" t="str">
        <f>IFERROR((VLOOKUP($A644,'[1]import success seats course'!$A:Q,HLOOKUP('[1]Course Totals'!C$4,'[1]import success seats course'!$1:$2,2,FALSE),FALSE)/(VLOOKUP($A644,'[1]import graded seats course pivo'!$A:AA,HLOOKUP('[1]Course Totals'!C$4,'[1]import graded seats course pivo'!$1:$2,2,FALSE),FALSE))),"")</f>
        <v/>
      </c>
      <c r="D644" s="14">
        <f>IFERROR((VLOOKUP($A644,'[1]import success seats course'!$A:R,HLOOKUP('[1]Course Totals'!D$4,'[1]import success seats course'!$1:$2,2,FALSE),FALSE)/(VLOOKUP($A644,'[1]import graded seats course pivo'!$A:AB,HLOOKUP('[1]Course Totals'!D$4,'[1]import graded seats course pivo'!$1:$2,2,FALSE),FALSE))),"")</f>
        <v>1</v>
      </c>
      <c r="E644" s="14" t="str">
        <f>IFERROR((VLOOKUP($A644,'[1]import success seats course'!$A:S,HLOOKUP('[1]Course Totals'!E$4,'[1]import success seats course'!$1:$2,2,FALSE),FALSE)/(VLOOKUP($A644,'[1]import graded seats course pivo'!$A:AC,HLOOKUP('[1]Course Totals'!E$4,'[1]import graded seats course pivo'!$1:$2,2,FALSE),FALSE))),"")</f>
        <v/>
      </c>
      <c r="F644" s="14" t="str">
        <f>IFERROR((VLOOKUP($A644,'[1]import success seats course'!$A:T,HLOOKUP('[1]Course Totals'!F$4,'[1]import success seats course'!$1:$2,2,FALSE),FALSE)/(VLOOKUP($A644,'[1]import graded seats course pivo'!$A:AD,HLOOKUP('[1]Course Totals'!F$4,'[1]import graded seats course pivo'!$1:$2,2,FALSE),FALSE))),"")</f>
        <v/>
      </c>
      <c r="G644" s="14" t="str">
        <f>IFERROR((VLOOKUP($A644,'[1]import success seats course'!$A:U,HLOOKUP('[1]Course Totals'!G$4,'[1]import success seats course'!$1:$2,2,FALSE),FALSE)/(VLOOKUP($A644,'[1]import graded seats course pivo'!$A:AE,HLOOKUP('[1]Course Totals'!G$4,'[1]import graded seats course pivo'!$1:$2,2,FALSE),FALSE))),"")</f>
        <v/>
      </c>
      <c r="H644" s="14" t="str">
        <f>IFERROR((VLOOKUP($A644,'[1]import success seats course'!$A:V,HLOOKUP('[1]Course Totals'!H$4,'[1]import success seats course'!$1:$2,2,FALSE),FALSE)/(VLOOKUP($A644,'[1]import graded seats course pivo'!$A:AF,HLOOKUP('[1]Course Totals'!H$4,'[1]import graded seats course pivo'!$1:$2,2,FALSE),FALSE))),"")</f>
        <v/>
      </c>
      <c r="I644" s="14" t="str">
        <f>IFERROR((VLOOKUP($A644,'[1]import success seats course'!$A:W,HLOOKUP('[1]Course Totals'!I$4,'[1]import success seats course'!$1:$2,2,FALSE),FALSE)/(VLOOKUP($A644,'[1]import graded seats course pivo'!$A:AG,HLOOKUP('[1]Course Totals'!I$4,'[1]import graded seats course pivo'!$1:$2,2,FALSE),FALSE))),"")</f>
        <v/>
      </c>
      <c r="J644" s="14" t="str">
        <f>IFERROR((VLOOKUP($A644,'[1]import success seats course'!$A:X,HLOOKUP('[1]Course Totals'!J$4,'[1]import success seats course'!$1:$2,2,FALSE),FALSE)/(VLOOKUP($A644,'[1]import graded seats course pivo'!$A:AH,HLOOKUP('[1]Course Totals'!J$4,'[1]import graded seats course pivo'!$1:$2,2,FALSE),FALSE))),"")</f>
        <v/>
      </c>
      <c r="K644" s="14" t="str">
        <f>IFERROR((VLOOKUP($A644,'[1]import success seats course'!$A:Y,HLOOKUP('[1]Course Totals'!K$4,'[1]import success seats course'!$1:$2,2,FALSE),FALSE)/(VLOOKUP($A644,'[1]import graded seats course pivo'!$A:AI,HLOOKUP('[1]Course Totals'!K$4,'[1]import graded seats course pivo'!$1:$2,2,FALSE),FALSE))),"")</f>
        <v/>
      </c>
      <c r="L644" s="14" t="str">
        <f>IFERROR((VLOOKUP($A644,'[1]import success seats course'!$A:Z,HLOOKUP('[1]Course Totals'!L$4,'[1]import success seats course'!$1:$2,2,FALSE),FALSE)/(VLOOKUP($A644,'[1]import graded seats course pivo'!$A:AJ,HLOOKUP('[1]Course Totals'!L$4,'[1]import graded seats course pivo'!$1:$2,2,FALSE),FALSE))),"")</f>
        <v/>
      </c>
      <c r="M644" s="14" t="str">
        <f>IFERROR((VLOOKUP($A644,'[1]import success seats course'!$A:AA,HLOOKUP('[1]Course Totals'!M$4,'[1]import success seats course'!$1:$2,2,FALSE),FALSE)/(VLOOKUP($A644,'[1]import graded seats course pivo'!$A:AK,HLOOKUP('[1]Course Totals'!M$4,'[1]import graded seats course pivo'!$1:$2,2,FALSE),FALSE))),"")</f>
        <v/>
      </c>
      <c r="N644" s="14" t="str">
        <f>IFERROR((VLOOKUP($A644,'[1]import success seats course'!$A:AB,HLOOKUP('[1]Course Totals'!N$4,'[1]import success seats course'!$1:$2,2,FALSE),FALSE)/(VLOOKUP($A644,'[1]import graded seats course pivo'!$A:AL,HLOOKUP('[1]Course Totals'!N$4,'[1]import graded seats course pivo'!$1:$2,2,FALSE),FALSE))),"")</f>
        <v/>
      </c>
      <c r="O644" s="14" t="str">
        <f>IFERROR((VLOOKUP($A644,'[1]import success seats course'!$A:AC,HLOOKUP('[1]Course Totals'!O$4,'[1]import success seats course'!$1:$2,2,FALSE),FALSE)/(VLOOKUP($A644,'[1]import graded seats course pivo'!$A:AM,HLOOKUP('[1]Course Totals'!O$4,'[1]import graded seats course pivo'!$1:$2,2,FALSE),FALSE))),"")</f>
        <v/>
      </c>
      <c r="P644" s="14" t="str">
        <f>IFERROR((VLOOKUP($A644,'[1]import success seats course'!$A:AD,HLOOKUP('[1]Course Totals'!P$4,'[1]import success seats course'!$1:$2,2,FALSE),FALSE)/(VLOOKUP($A644,'[1]import graded seats course pivo'!$A:AN,HLOOKUP('[1]Course Totals'!P$4,'[1]import graded seats course pivo'!$1:$2,2,FALSE),FALSE))),"")</f>
        <v/>
      </c>
      <c r="Q644" s="14" t="str">
        <f>IFERROR((VLOOKUP($A644,'[1]import success seats course'!$A:AE,HLOOKUP('[1]Course Totals'!Q$4,'[1]import success seats course'!$1:$2,2,FALSE),FALSE)/(VLOOKUP($A644,'[1]import graded seats course pivo'!$A:AO,HLOOKUP('[1]Course Totals'!Q$4,'[1]import graded seats course pivo'!$1:$2,2,FALSE),FALSE))),"")</f>
        <v/>
      </c>
      <c r="R644" s="14" t="str">
        <f>IFERROR((VLOOKUP($A644,'[1]import success seats course'!$A:AF,HLOOKUP('[1]Course Totals'!R$4,'[1]import success seats course'!$1:$2,2,FALSE),FALSE)/(VLOOKUP($A644,'[1]import graded seats course pivo'!$A:AP,HLOOKUP('[1]Course Totals'!R$4,'[1]import graded seats course pivo'!$1:$2,2,FALSE),FALSE))),"")</f>
        <v/>
      </c>
      <c r="S644" s="14" t="str">
        <f>IFERROR((VLOOKUP($A644,'[1]import success seats course'!$A:AG,HLOOKUP('[1]Course Totals'!S$4,'[1]import success seats course'!$1:$2,2,FALSE),FALSE)/(VLOOKUP($A644,'[1]import graded seats course pivo'!$A:AQ,HLOOKUP('[1]Course Totals'!S$4,'[1]import graded seats course pivo'!$1:$2,2,FALSE),FALSE))),"")</f>
        <v/>
      </c>
      <c r="Z644" s="7"/>
      <c r="AA644" s="7"/>
      <c r="AB644" s="7"/>
      <c r="AC644" s="7"/>
    </row>
    <row r="645" spans="1:29" ht="15.75" customHeight="1" x14ac:dyDescent="0.25">
      <c r="A645" s="12" t="s">
        <v>623</v>
      </c>
      <c r="B645" s="14" t="str">
        <f>IFERROR((VLOOKUP($A645,'[1]import success seats course'!$A:P,HLOOKUP('[1]Course Totals'!B$4,'[1]import success seats course'!$1:$2,2,FALSE),FALSE)/(VLOOKUP($A645,'[1]import graded seats course pivo'!$A:Z,HLOOKUP('[1]Course Totals'!B$4,'[1]import graded seats course pivo'!$1:$2,2,FALSE),FALSE))),"")</f>
        <v/>
      </c>
      <c r="C645" s="14" t="str">
        <f>IFERROR((VLOOKUP($A645,'[1]import success seats course'!$A:Q,HLOOKUP('[1]Course Totals'!C$4,'[1]import success seats course'!$1:$2,2,FALSE),FALSE)/(VLOOKUP($A645,'[1]import graded seats course pivo'!$A:AA,HLOOKUP('[1]Course Totals'!C$4,'[1]import graded seats course pivo'!$1:$2,2,FALSE),FALSE))),"")</f>
        <v/>
      </c>
      <c r="D645" s="14" t="str">
        <f>IFERROR((VLOOKUP($A645,'[1]import success seats course'!$A:R,HLOOKUP('[1]Course Totals'!D$4,'[1]import success seats course'!$1:$2,2,FALSE),FALSE)/(VLOOKUP($A645,'[1]import graded seats course pivo'!$A:AB,HLOOKUP('[1]Course Totals'!D$4,'[1]import graded seats course pivo'!$1:$2,2,FALSE),FALSE))),"")</f>
        <v/>
      </c>
      <c r="E645" s="14" t="str">
        <f>IFERROR((VLOOKUP($A645,'[1]import success seats course'!$A:S,HLOOKUP('[1]Course Totals'!E$4,'[1]import success seats course'!$1:$2,2,FALSE),FALSE)/(VLOOKUP($A645,'[1]import graded seats course pivo'!$A:AC,HLOOKUP('[1]Course Totals'!E$4,'[1]import graded seats course pivo'!$1:$2,2,FALSE),FALSE))),"")</f>
        <v/>
      </c>
      <c r="F645" s="14">
        <f>IFERROR((VLOOKUP($A645,'[1]import success seats course'!$A:T,HLOOKUP('[1]Course Totals'!F$4,'[1]import success seats course'!$1:$2,2,FALSE),FALSE)/(VLOOKUP($A645,'[1]import graded seats course pivo'!$A:AD,HLOOKUP('[1]Course Totals'!F$4,'[1]import graded seats course pivo'!$1:$2,2,FALSE),FALSE))),"")</f>
        <v>0.91111111111111109</v>
      </c>
      <c r="G645" s="14">
        <f>IFERROR((VLOOKUP($A645,'[1]import success seats course'!$A:U,HLOOKUP('[1]Course Totals'!G$4,'[1]import success seats course'!$1:$2,2,FALSE),FALSE)/(VLOOKUP($A645,'[1]import graded seats course pivo'!$A:AE,HLOOKUP('[1]Course Totals'!G$4,'[1]import graded seats course pivo'!$1:$2,2,FALSE),FALSE))),"")</f>
        <v>0.62790697674418605</v>
      </c>
      <c r="H645" s="14" t="str">
        <f>IFERROR((VLOOKUP($A645,'[1]import success seats course'!$A:V,HLOOKUP('[1]Course Totals'!H$4,'[1]import success seats course'!$1:$2,2,FALSE),FALSE)/(VLOOKUP($A645,'[1]import graded seats course pivo'!$A:AF,HLOOKUP('[1]Course Totals'!H$4,'[1]import graded seats course pivo'!$1:$2,2,FALSE),FALSE))),"")</f>
        <v/>
      </c>
      <c r="I645" s="14" t="str">
        <f>IFERROR((VLOOKUP($A645,'[1]import success seats course'!$A:W,HLOOKUP('[1]Course Totals'!I$4,'[1]import success seats course'!$1:$2,2,FALSE),FALSE)/(VLOOKUP($A645,'[1]import graded seats course pivo'!$A:AG,HLOOKUP('[1]Course Totals'!I$4,'[1]import graded seats course pivo'!$1:$2,2,FALSE),FALSE))),"")</f>
        <v/>
      </c>
      <c r="J645" s="14">
        <f>IFERROR((VLOOKUP($A645,'[1]import success seats course'!$A:X,HLOOKUP('[1]Course Totals'!J$4,'[1]import success seats course'!$1:$2,2,FALSE),FALSE)/(VLOOKUP($A645,'[1]import graded seats course pivo'!$A:AH,HLOOKUP('[1]Course Totals'!J$4,'[1]import graded seats course pivo'!$1:$2,2,FALSE),FALSE))),"")</f>
        <v>0.84090909090909094</v>
      </c>
      <c r="K645" s="14" t="str">
        <f>IFERROR((VLOOKUP($A645,'[1]import success seats course'!$A:Y,HLOOKUP('[1]Course Totals'!K$4,'[1]import success seats course'!$1:$2,2,FALSE),FALSE)/(VLOOKUP($A645,'[1]import graded seats course pivo'!$A:AI,HLOOKUP('[1]Course Totals'!K$4,'[1]import graded seats course pivo'!$1:$2,2,FALSE),FALSE))),"")</f>
        <v/>
      </c>
      <c r="L645" s="14" t="str">
        <f>IFERROR((VLOOKUP($A645,'[1]import success seats course'!$A:Z,HLOOKUP('[1]Course Totals'!L$4,'[1]import success seats course'!$1:$2,2,FALSE),FALSE)/(VLOOKUP($A645,'[1]import graded seats course pivo'!$A:AJ,HLOOKUP('[1]Course Totals'!L$4,'[1]import graded seats course pivo'!$1:$2,2,FALSE),FALSE))),"")</f>
        <v/>
      </c>
      <c r="M645" s="14">
        <f>IFERROR((VLOOKUP($A645,'[1]import success seats course'!$A:AA,HLOOKUP('[1]Course Totals'!M$4,'[1]import success seats course'!$1:$2,2,FALSE),FALSE)/(VLOOKUP($A645,'[1]import graded seats course pivo'!$A:AK,HLOOKUP('[1]Course Totals'!M$4,'[1]import graded seats course pivo'!$1:$2,2,FALSE),FALSE))),"")</f>
        <v>0.80952380952380953</v>
      </c>
      <c r="N645" s="14" t="str">
        <f>IFERROR((VLOOKUP($A645,'[1]import success seats course'!$A:AB,HLOOKUP('[1]Course Totals'!N$4,'[1]import success seats course'!$1:$2,2,FALSE),FALSE)/(VLOOKUP($A645,'[1]import graded seats course pivo'!$A:AL,HLOOKUP('[1]Course Totals'!N$4,'[1]import graded seats course pivo'!$1:$2,2,FALSE),FALSE))),"")</f>
        <v/>
      </c>
      <c r="O645" s="14" t="str">
        <f>IFERROR((VLOOKUP($A645,'[1]import success seats course'!$A:AC,HLOOKUP('[1]Course Totals'!O$4,'[1]import success seats course'!$1:$2,2,FALSE),FALSE)/(VLOOKUP($A645,'[1]import graded seats course pivo'!$A:AM,HLOOKUP('[1]Course Totals'!O$4,'[1]import graded seats course pivo'!$1:$2,2,FALSE),FALSE))),"")</f>
        <v/>
      </c>
      <c r="P645" s="14">
        <f>IFERROR((VLOOKUP($A645,'[1]import success seats course'!$A:AD,HLOOKUP('[1]Course Totals'!P$4,'[1]import success seats course'!$1:$2,2,FALSE),FALSE)/(VLOOKUP($A645,'[1]import graded seats course pivo'!$A:AN,HLOOKUP('[1]Course Totals'!P$4,'[1]import graded seats course pivo'!$1:$2,2,FALSE),FALSE))),"")</f>
        <v>0.68571428571428572</v>
      </c>
      <c r="Q645" s="14" t="str">
        <f>IFERROR((VLOOKUP($A645,'[1]import success seats course'!$A:AE,HLOOKUP('[1]Course Totals'!Q$4,'[1]import success seats course'!$1:$2,2,FALSE),FALSE)/(VLOOKUP($A645,'[1]import graded seats course pivo'!$A:AO,HLOOKUP('[1]Course Totals'!Q$4,'[1]import graded seats course pivo'!$1:$2,2,FALSE),FALSE))),"")</f>
        <v/>
      </c>
      <c r="R645" s="14" t="str">
        <f>IFERROR((VLOOKUP($A645,'[1]import success seats course'!$A:AF,HLOOKUP('[1]Course Totals'!R$4,'[1]import success seats course'!$1:$2,2,FALSE),FALSE)/(VLOOKUP($A645,'[1]import graded seats course pivo'!$A:AP,HLOOKUP('[1]Course Totals'!R$4,'[1]import graded seats course pivo'!$1:$2,2,FALSE),FALSE))),"")</f>
        <v/>
      </c>
      <c r="S645" s="14">
        <f>IFERROR((VLOOKUP($A645,'[1]import success seats course'!$A:AG,HLOOKUP('[1]Course Totals'!S$4,'[1]import success seats course'!$1:$2,2,FALSE),FALSE)/(VLOOKUP($A645,'[1]import graded seats course pivo'!$A:AQ,HLOOKUP('[1]Course Totals'!S$4,'[1]import graded seats course pivo'!$1:$2,2,FALSE),FALSE))),"")</f>
        <v>0.7142857142857143</v>
      </c>
      <c r="Z645" s="7"/>
      <c r="AA645" s="7"/>
      <c r="AB645" s="7"/>
      <c r="AC645" s="7"/>
    </row>
    <row r="646" spans="1:29" ht="15.75" customHeight="1" x14ac:dyDescent="0.25">
      <c r="A646" s="12" t="s">
        <v>624</v>
      </c>
      <c r="B646" s="14" t="str">
        <f>IFERROR((VLOOKUP($A646,'[1]import success seats course'!$A:P,HLOOKUP('[1]Course Totals'!B$4,'[1]import success seats course'!$1:$2,2,FALSE),FALSE)/(VLOOKUP($A646,'[1]import graded seats course pivo'!$A:Z,HLOOKUP('[1]Course Totals'!B$4,'[1]import graded seats course pivo'!$1:$2,2,FALSE),FALSE))),"")</f>
        <v/>
      </c>
      <c r="C646" s="14" t="str">
        <f>IFERROR((VLOOKUP($A646,'[1]import success seats course'!$A:Q,HLOOKUP('[1]Course Totals'!C$4,'[1]import success seats course'!$1:$2,2,FALSE),FALSE)/(VLOOKUP($A646,'[1]import graded seats course pivo'!$A:AA,HLOOKUP('[1]Course Totals'!C$4,'[1]import graded seats course pivo'!$1:$2,2,FALSE),FALSE))),"")</f>
        <v/>
      </c>
      <c r="D646" s="14" t="str">
        <f>IFERROR((VLOOKUP($A646,'[1]import success seats course'!$A:R,HLOOKUP('[1]Course Totals'!D$4,'[1]import success seats course'!$1:$2,2,FALSE),FALSE)/(VLOOKUP($A646,'[1]import graded seats course pivo'!$A:AB,HLOOKUP('[1]Course Totals'!D$4,'[1]import graded seats course pivo'!$1:$2,2,FALSE),FALSE))),"")</f>
        <v/>
      </c>
      <c r="E646" s="14" t="str">
        <f>IFERROR((VLOOKUP($A646,'[1]import success seats course'!$A:S,HLOOKUP('[1]Course Totals'!E$4,'[1]import success seats course'!$1:$2,2,FALSE),FALSE)/(VLOOKUP($A646,'[1]import graded seats course pivo'!$A:AC,HLOOKUP('[1]Course Totals'!E$4,'[1]import graded seats course pivo'!$1:$2,2,FALSE),FALSE))),"")</f>
        <v/>
      </c>
      <c r="F646" s="14">
        <f>IFERROR((VLOOKUP($A646,'[1]import success seats course'!$A:T,HLOOKUP('[1]Course Totals'!F$4,'[1]import success seats course'!$1:$2,2,FALSE),FALSE)/(VLOOKUP($A646,'[1]import graded seats course pivo'!$A:AD,HLOOKUP('[1]Course Totals'!F$4,'[1]import graded seats course pivo'!$1:$2,2,FALSE),FALSE))),"")</f>
        <v>1</v>
      </c>
      <c r="G646" s="14" t="str">
        <f>IFERROR((VLOOKUP($A646,'[1]import success seats course'!$A:U,HLOOKUP('[1]Course Totals'!G$4,'[1]import success seats course'!$1:$2,2,FALSE),FALSE)/(VLOOKUP($A646,'[1]import graded seats course pivo'!$A:AE,HLOOKUP('[1]Course Totals'!G$4,'[1]import graded seats course pivo'!$1:$2,2,FALSE),FALSE))),"")</f>
        <v/>
      </c>
      <c r="H646" s="14" t="str">
        <f>IFERROR((VLOOKUP($A646,'[1]import success seats course'!$A:V,HLOOKUP('[1]Course Totals'!H$4,'[1]import success seats course'!$1:$2,2,FALSE),FALSE)/(VLOOKUP($A646,'[1]import graded seats course pivo'!$A:AF,HLOOKUP('[1]Course Totals'!H$4,'[1]import graded seats course pivo'!$1:$2,2,FALSE),FALSE))),"")</f>
        <v/>
      </c>
      <c r="I646" s="14" t="str">
        <f>IFERROR((VLOOKUP($A646,'[1]import success seats course'!$A:W,HLOOKUP('[1]Course Totals'!I$4,'[1]import success seats course'!$1:$2,2,FALSE),FALSE)/(VLOOKUP($A646,'[1]import graded seats course pivo'!$A:AG,HLOOKUP('[1]Course Totals'!I$4,'[1]import graded seats course pivo'!$1:$2,2,FALSE),FALSE))),"")</f>
        <v/>
      </c>
      <c r="J646" s="14">
        <f>IFERROR((VLOOKUP($A646,'[1]import success seats course'!$A:X,HLOOKUP('[1]Course Totals'!J$4,'[1]import success seats course'!$1:$2,2,FALSE),FALSE)/(VLOOKUP($A646,'[1]import graded seats course pivo'!$A:AH,HLOOKUP('[1]Course Totals'!J$4,'[1]import graded seats course pivo'!$1:$2,2,FALSE),FALSE))),"")</f>
        <v>1</v>
      </c>
      <c r="K646" s="14" t="str">
        <f>IFERROR((VLOOKUP($A646,'[1]import success seats course'!$A:Y,HLOOKUP('[1]Course Totals'!K$4,'[1]import success seats course'!$1:$2,2,FALSE),FALSE)/(VLOOKUP($A646,'[1]import graded seats course pivo'!$A:AI,HLOOKUP('[1]Course Totals'!K$4,'[1]import graded seats course pivo'!$1:$2,2,FALSE),FALSE))),"")</f>
        <v/>
      </c>
      <c r="L646" s="14" t="str">
        <f>IFERROR((VLOOKUP($A646,'[1]import success seats course'!$A:Z,HLOOKUP('[1]Course Totals'!L$4,'[1]import success seats course'!$1:$2,2,FALSE),FALSE)/(VLOOKUP($A646,'[1]import graded seats course pivo'!$A:AJ,HLOOKUP('[1]Course Totals'!L$4,'[1]import graded seats course pivo'!$1:$2,2,FALSE),FALSE))),"")</f>
        <v/>
      </c>
      <c r="M646" s="14">
        <f>IFERROR((VLOOKUP($A646,'[1]import success seats course'!$A:AA,HLOOKUP('[1]Course Totals'!M$4,'[1]import success seats course'!$1:$2,2,FALSE),FALSE)/(VLOOKUP($A646,'[1]import graded seats course pivo'!$A:AK,HLOOKUP('[1]Course Totals'!M$4,'[1]import graded seats course pivo'!$1:$2,2,FALSE),FALSE))),"")</f>
        <v>1</v>
      </c>
      <c r="N646" s="14" t="str">
        <f>IFERROR((VLOOKUP($A646,'[1]import success seats course'!$A:AB,HLOOKUP('[1]Course Totals'!N$4,'[1]import success seats course'!$1:$2,2,FALSE),FALSE)/(VLOOKUP($A646,'[1]import graded seats course pivo'!$A:AL,HLOOKUP('[1]Course Totals'!N$4,'[1]import graded seats course pivo'!$1:$2,2,FALSE),FALSE))),"")</f>
        <v/>
      </c>
      <c r="O646" s="14" t="str">
        <f>IFERROR((VLOOKUP($A646,'[1]import success seats course'!$A:AC,HLOOKUP('[1]Course Totals'!O$4,'[1]import success seats course'!$1:$2,2,FALSE),FALSE)/(VLOOKUP($A646,'[1]import graded seats course pivo'!$A:AM,HLOOKUP('[1]Course Totals'!O$4,'[1]import graded seats course pivo'!$1:$2,2,FALSE),FALSE))),"")</f>
        <v/>
      </c>
      <c r="P646" s="14">
        <f>IFERROR((VLOOKUP($A646,'[1]import success seats course'!$A:AD,HLOOKUP('[1]Course Totals'!P$4,'[1]import success seats course'!$1:$2,2,FALSE),FALSE)/(VLOOKUP($A646,'[1]import graded seats course pivo'!$A:AN,HLOOKUP('[1]Course Totals'!P$4,'[1]import graded seats course pivo'!$1:$2,2,FALSE),FALSE))),"")</f>
        <v>1</v>
      </c>
      <c r="Q646" s="14" t="str">
        <f>IFERROR((VLOOKUP($A646,'[1]import success seats course'!$A:AE,HLOOKUP('[1]Course Totals'!Q$4,'[1]import success seats course'!$1:$2,2,FALSE),FALSE)/(VLOOKUP($A646,'[1]import graded seats course pivo'!$A:AO,HLOOKUP('[1]Course Totals'!Q$4,'[1]import graded seats course pivo'!$1:$2,2,FALSE),FALSE))),"")</f>
        <v/>
      </c>
      <c r="R646" s="14" t="str">
        <f>IFERROR((VLOOKUP($A646,'[1]import success seats course'!$A:AF,HLOOKUP('[1]Course Totals'!R$4,'[1]import success seats course'!$1:$2,2,FALSE),FALSE)/(VLOOKUP($A646,'[1]import graded seats course pivo'!$A:AP,HLOOKUP('[1]Course Totals'!R$4,'[1]import graded seats course pivo'!$1:$2,2,FALSE),FALSE))),"")</f>
        <v/>
      </c>
      <c r="S646" s="14" t="str">
        <f>IFERROR((VLOOKUP($A646,'[1]import success seats course'!$A:AG,HLOOKUP('[1]Course Totals'!S$4,'[1]import success seats course'!$1:$2,2,FALSE),FALSE)/(VLOOKUP($A646,'[1]import graded seats course pivo'!$A:AQ,HLOOKUP('[1]Course Totals'!S$4,'[1]import graded seats course pivo'!$1:$2,2,FALSE),FALSE))),"")</f>
        <v/>
      </c>
      <c r="Z646" s="7"/>
      <c r="AA646" s="7"/>
      <c r="AB646" s="7"/>
      <c r="AC646" s="7"/>
    </row>
    <row r="647" spans="1:29" ht="15.75" hidden="1" customHeight="1" x14ac:dyDescent="0.25">
      <c r="A647" s="12" t="s">
        <v>298</v>
      </c>
      <c r="B647" s="14" t="str">
        <f>IFERROR((VLOOKUP($A647,'[1]import success seats course'!$A:P,HLOOKUP('[1]Course Totals'!B$4,'[1]import success seats course'!$1:$2,2,FALSE),FALSE)/(VLOOKUP($A647,'[1]import graded seats course pivo'!$A:Z,HLOOKUP('[1]Course Totals'!B$4,'[1]import graded seats course pivo'!$1:$2,2,FALSE),FALSE))),"")</f>
        <v/>
      </c>
      <c r="C647" s="14" t="str">
        <f>IFERROR((VLOOKUP($A647,'[1]import success seats course'!$A:Q,HLOOKUP('[1]Course Totals'!C$4,'[1]import success seats course'!$1:$2,2,FALSE),FALSE)/(VLOOKUP($A647,'[1]import graded seats course pivo'!$A:AA,HLOOKUP('[1]Course Totals'!C$4,'[1]import graded seats course pivo'!$1:$2,2,FALSE),FALSE))),"")</f>
        <v/>
      </c>
      <c r="D647" s="14" t="str">
        <f>IFERROR((VLOOKUP($A647,'[1]import success seats course'!$A:R,HLOOKUP('[1]Course Totals'!D$4,'[1]import success seats course'!$1:$2,2,FALSE),FALSE)/(VLOOKUP($A647,'[1]import graded seats course pivo'!$A:AB,HLOOKUP('[1]Course Totals'!D$4,'[1]import graded seats course pivo'!$1:$2,2,FALSE),FALSE))),"")</f>
        <v/>
      </c>
      <c r="E647" s="14" t="str">
        <f>IFERROR((VLOOKUP($A647,'[1]import success seats course'!$A:S,HLOOKUP('[1]Course Totals'!E$4,'[1]import success seats course'!$1:$2,2,FALSE),FALSE)/(VLOOKUP($A647,'[1]import graded seats course pivo'!$A:AC,HLOOKUP('[1]Course Totals'!E$4,'[1]import graded seats course pivo'!$1:$2,2,FALSE),FALSE))),"")</f>
        <v/>
      </c>
      <c r="F647" s="14" t="str">
        <f>IFERROR((VLOOKUP($A647,'[1]import success seats course'!$A:T,HLOOKUP('[1]Course Totals'!F$4,'[1]import success seats course'!$1:$2,2,FALSE),FALSE)/(VLOOKUP($A647,'[1]import graded seats course pivo'!$A:AD,HLOOKUP('[1]Course Totals'!F$4,'[1]import graded seats course pivo'!$1:$2,2,FALSE),FALSE))),"")</f>
        <v/>
      </c>
      <c r="G647" s="14" t="str">
        <f>IFERROR((VLOOKUP($A647,'[1]import success seats course'!$A:U,HLOOKUP('[1]Course Totals'!G$4,'[1]import success seats course'!$1:$2,2,FALSE),FALSE)/(VLOOKUP($A647,'[1]import graded seats course pivo'!$A:AE,HLOOKUP('[1]Course Totals'!G$4,'[1]import graded seats course pivo'!$1:$2,2,FALSE),FALSE))),"")</f>
        <v/>
      </c>
      <c r="H647" s="14" t="str">
        <f>IFERROR((VLOOKUP($A647,'[1]import success seats course'!$A:V,HLOOKUP('[1]Course Totals'!H$4,'[1]import success seats course'!$1:$2,2,FALSE),FALSE)/(VLOOKUP($A647,'[1]import graded seats course pivo'!$A:AF,HLOOKUP('[1]Course Totals'!H$4,'[1]import graded seats course pivo'!$1:$2,2,FALSE),FALSE))),"")</f>
        <v/>
      </c>
      <c r="I647" s="14" t="str">
        <f>IFERROR((VLOOKUP($A647,'[1]import success seats course'!$A:W,HLOOKUP('[1]Course Totals'!I$4,'[1]import success seats course'!$1:$2,2,FALSE),FALSE)/(VLOOKUP($A647,'[1]import graded seats course pivo'!$A:AG,HLOOKUP('[1]Course Totals'!I$4,'[1]import graded seats course pivo'!$1:$2,2,FALSE),FALSE))),"")</f>
        <v/>
      </c>
      <c r="J647" s="14" t="str">
        <f>IFERROR((VLOOKUP($A647,'[1]import success seats course'!$A:X,HLOOKUP('[1]Course Totals'!J$4,'[1]import success seats course'!$1:$2,2,FALSE),FALSE)/(VLOOKUP($A647,'[1]import graded seats course pivo'!$A:AH,HLOOKUP('[1]Course Totals'!J$4,'[1]import graded seats course pivo'!$1:$2,2,FALSE),FALSE))),"")</f>
        <v/>
      </c>
      <c r="K647" s="14" t="str">
        <f>IFERROR((VLOOKUP($A647,'[1]import success seats course'!$A:Y,HLOOKUP('[1]Course Totals'!K$4,'[1]import success seats course'!$1:$2,2,FALSE),FALSE)/(VLOOKUP($A647,'[1]import graded seats course pivo'!$A:AI,HLOOKUP('[1]Course Totals'!K$4,'[1]import graded seats course pivo'!$1:$2,2,FALSE),FALSE))),"")</f>
        <v/>
      </c>
      <c r="L647" s="14" t="str">
        <f>IFERROR((VLOOKUP($A647,'[1]import success seats course'!$A:Z,HLOOKUP('[1]Course Totals'!L$4,'[1]import success seats course'!$1:$2,2,FALSE),FALSE)/(VLOOKUP($A647,'[1]import graded seats course pivo'!$A:AJ,HLOOKUP('[1]Course Totals'!L$4,'[1]import graded seats course pivo'!$1:$2,2,FALSE),FALSE))),"")</f>
        <v/>
      </c>
      <c r="M647" s="14" t="str">
        <f>IFERROR((VLOOKUP($A647,'[1]import success seats course'!$A:AA,HLOOKUP('[1]Course Totals'!M$4,'[1]import success seats course'!$1:$2,2,FALSE),FALSE)/(VLOOKUP($A647,'[1]import graded seats course pivo'!$A:AK,HLOOKUP('[1]Course Totals'!M$4,'[1]import graded seats course pivo'!$1:$2,2,FALSE),FALSE))),"")</f>
        <v/>
      </c>
      <c r="N647" s="14" t="str">
        <f>IFERROR((VLOOKUP($A647,'[1]import success seats course'!$A:AB,HLOOKUP('[1]Course Totals'!N$4,'[1]import success seats course'!$1:$2,2,FALSE),FALSE)/(VLOOKUP($A647,'[1]import graded seats course pivo'!$A:AL,HLOOKUP('[1]Course Totals'!N$4,'[1]import graded seats course pivo'!$1:$2,2,FALSE),FALSE))),"")</f>
        <v/>
      </c>
      <c r="O647" s="14" t="str">
        <f>IFERROR((VLOOKUP($A647,'[1]import success seats course'!$A:AC,HLOOKUP('[1]Course Totals'!O$4,'[1]import success seats course'!$1:$2,2,FALSE),FALSE)/(VLOOKUP($A647,'[1]import graded seats course pivo'!$A:AM,HLOOKUP('[1]Course Totals'!O$4,'[1]import graded seats course pivo'!$1:$2,2,FALSE),FALSE))),"")</f>
        <v/>
      </c>
      <c r="P647" s="14" t="str">
        <f>IFERROR((VLOOKUP($A647,'[1]import success seats course'!$A:AD,HLOOKUP('[1]Course Totals'!P$4,'[1]import success seats course'!$1:$2,2,FALSE),FALSE)/(VLOOKUP($A647,'[1]import graded seats course pivo'!$A:AN,HLOOKUP('[1]Course Totals'!P$4,'[1]import graded seats course pivo'!$1:$2,2,FALSE),FALSE))),"")</f>
        <v/>
      </c>
      <c r="Q647" s="14" t="str">
        <f>IFERROR((VLOOKUP($A647,'[1]import success seats course'!$A:AE,HLOOKUP('[1]Course Totals'!Q$4,'[1]import success seats course'!$1:$2,2,FALSE),FALSE)/(VLOOKUP($A647,'[1]import graded seats course pivo'!$A:AO,HLOOKUP('[1]Course Totals'!Q$4,'[1]import graded seats course pivo'!$1:$2,2,FALSE),FALSE))),"")</f>
        <v/>
      </c>
      <c r="R647" s="14" t="str">
        <f>IFERROR((VLOOKUP($A647,'[1]import success seats course'!$A:AF,HLOOKUP('[1]Course Totals'!R$4,'[1]import success seats course'!$1:$2,2,FALSE),FALSE)/(VLOOKUP($A647,'[1]import graded seats course pivo'!$A:AP,HLOOKUP('[1]Course Totals'!R$4,'[1]import graded seats course pivo'!$1:$2,2,FALSE),FALSE))),"")</f>
        <v/>
      </c>
      <c r="S647" s="14" t="str">
        <f>IFERROR((VLOOKUP($A647,'[1]import success seats course'!$A:AG,HLOOKUP('[1]Course Totals'!S$4,'[1]import success seats course'!$1:$2,2,FALSE),FALSE)/(VLOOKUP($A647,'[1]import graded seats course pivo'!$A:AQ,HLOOKUP('[1]Course Totals'!S$4,'[1]import graded seats course pivo'!$1:$2,2,FALSE),FALSE))),"")</f>
        <v/>
      </c>
      <c r="Z647" s="7"/>
      <c r="AA647" s="7"/>
      <c r="AB647" s="7"/>
      <c r="AC647" s="7"/>
    </row>
    <row r="648" spans="1:29" ht="15.75" customHeight="1" x14ac:dyDescent="0.25">
      <c r="A648" s="12" t="s">
        <v>299</v>
      </c>
      <c r="B648" s="14">
        <f>IFERROR((VLOOKUP($A648,'[1]import success seats course'!$A:P,HLOOKUP('[1]Course Totals'!B$4,'[1]import success seats course'!$1:$2,2,FALSE),FALSE)/(VLOOKUP($A648,'[1]import graded seats course pivo'!$A:Z,HLOOKUP('[1]Course Totals'!B$4,'[1]import graded seats course pivo'!$1:$2,2,FALSE),FALSE))),"")</f>
        <v>0.9285714285714286</v>
      </c>
      <c r="C648" s="14">
        <f>IFERROR((VLOOKUP($A648,'[1]import success seats course'!$A:Q,HLOOKUP('[1]Course Totals'!C$4,'[1]import success seats course'!$1:$2,2,FALSE),FALSE)/(VLOOKUP($A648,'[1]import graded seats course pivo'!$A:AA,HLOOKUP('[1]Course Totals'!C$4,'[1]import graded seats course pivo'!$1:$2,2,FALSE),FALSE))),"")</f>
        <v>0.83098591549295775</v>
      </c>
      <c r="D648" s="14">
        <f>IFERROR((VLOOKUP($A648,'[1]import success seats course'!$A:R,HLOOKUP('[1]Course Totals'!D$4,'[1]import success seats course'!$1:$2,2,FALSE),FALSE)/(VLOOKUP($A648,'[1]import graded seats course pivo'!$A:AB,HLOOKUP('[1]Course Totals'!D$4,'[1]import graded seats course pivo'!$1:$2,2,FALSE),FALSE))),"")</f>
        <v>0.96330275229357798</v>
      </c>
      <c r="E648" s="14">
        <f>IFERROR((VLOOKUP($A648,'[1]import success seats course'!$A:S,HLOOKUP('[1]Course Totals'!E$4,'[1]import success seats course'!$1:$2,2,FALSE),FALSE)/(VLOOKUP($A648,'[1]import graded seats course pivo'!$A:AC,HLOOKUP('[1]Course Totals'!E$4,'[1]import graded seats course pivo'!$1:$2,2,FALSE),FALSE))),"")</f>
        <v>0.96296296296296291</v>
      </c>
      <c r="F648" s="14">
        <f>IFERROR((VLOOKUP($A648,'[1]import success seats course'!$A:T,HLOOKUP('[1]Course Totals'!F$4,'[1]import success seats course'!$1:$2,2,FALSE),FALSE)/(VLOOKUP($A648,'[1]import graded seats course pivo'!$A:AD,HLOOKUP('[1]Course Totals'!F$4,'[1]import graded seats course pivo'!$1:$2,2,FALSE),FALSE))),"")</f>
        <v>0.84146341463414631</v>
      </c>
      <c r="G648" s="14">
        <f>IFERROR((VLOOKUP($A648,'[1]import success seats course'!$A:U,HLOOKUP('[1]Course Totals'!G$4,'[1]import success seats course'!$1:$2,2,FALSE),FALSE)/(VLOOKUP($A648,'[1]import graded seats course pivo'!$A:AE,HLOOKUP('[1]Course Totals'!G$4,'[1]import graded seats course pivo'!$1:$2,2,FALSE),FALSE))),"")</f>
        <v>0.83018867924528306</v>
      </c>
      <c r="H648" s="14">
        <f>IFERROR((VLOOKUP($A648,'[1]import success seats course'!$A:V,HLOOKUP('[1]Course Totals'!H$4,'[1]import success seats course'!$1:$2,2,FALSE),FALSE)/(VLOOKUP($A648,'[1]import graded seats course pivo'!$A:AF,HLOOKUP('[1]Course Totals'!H$4,'[1]import graded seats course pivo'!$1:$2,2,FALSE),FALSE))),"")</f>
        <v>1</v>
      </c>
      <c r="I648" s="14">
        <f>IFERROR((VLOOKUP($A648,'[1]import success seats course'!$A:W,HLOOKUP('[1]Course Totals'!I$4,'[1]import success seats course'!$1:$2,2,FALSE),FALSE)/(VLOOKUP($A648,'[1]import graded seats course pivo'!$A:AG,HLOOKUP('[1]Course Totals'!I$4,'[1]import graded seats course pivo'!$1:$2,2,FALSE),FALSE))),"")</f>
        <v>0.87547169811320757</v>
      </c>
      <c r="J648" s="14">
        <f>IFERROR((VLOOKUP($A648,'[1]import success seats course'!$A:X,HLOOKUP('[1]Course Totals'!J$4,'[1]import success seats course'!$1:$2,2,FALSE),FALSE)/(VLOOKUP($A648,'[1]import graded seats course pivo'!$A:AH,HLOOKUP('[1]Course Totals'!J$4,'[1]import graded seats course pivo'!$1:$2,2,FALSE),FALSE))),"")</f>
        <v>0.86982248520710059</v>
      </c>
      <c r="K648" s="14" t="str">
        <f>IFERROR((VLOOKUP($A648,'[1]import success seats course'!$A:Y,HLOOKUP('[1]Course Totals'!K$4,'[1]import success seats course'!$1:$2,2,FALSE),FALSE)/(VLOOKUP($A648,'[1]import graded seats course pivo'!$A:AI,HLOOKUP('[1]Course Totals'!K$4,'[1]import graded seats course pivo'!$1:$2,2,FALSE),FALSE))),"")</f>
        <v/>
      </c>
      <c r="L648" s="14">
        <f>IFERROR((VLOOKUP($A648,'[1]import success seats course'!$A:Z,HLOOKUP('[1]Course Totals'!L$4,'[1]import success seats course'!$1:$2,2,FALSE),FALSE)/(VLOOKUP($A648,'[1]import graded seats course pivo'!$A:AJ,HLOOKUP('[1]Course Totals'!L$4,'[1]import graded seats course pivo'!$1:$2,2,FALSE),FALSE))),"")</f>
        <v>0.8012048192771084</v>
      </c>
      <c r="M648" s="14">
        <f>IFERROR((VLOOKUP($A648,'[1]import success seats course'!$A:AA,HLOOKUP('[1]Course Totals'!M$4,'[1]import success seats course'!$1:$2,2,FALSE),FALSE)/(VLOOKUP($A648,'[1]import graded seats course pivo'!$A:AK,HLOOKUP('[1]Course Totals'!M$4,'[1]import graded seats course pivo'!$1:$2,2,FALSE),FALSE))),"")</f>
        <v>0.81609195402298851</v>
      </c>
      <c r="N648" s="14" t="str">
        <f>IFERROR((VLOOKUP($A648,'[1]import success seats course'!$A:AB,HLOOKUP('[1]Course Totals'!N$4,'[1]import success seats course'!$1:$2,2,FALSE),FALSE)/(VLOOKUP($A648,'[1]import graded seats course pivo'!$A:AL,HLOOKUP('[1]Course Totals'!N$4,'[1]import graded seats course pivo'!$1:$2,2,FALSE),FALSE))),"")</f>
        <v/>
      </c>
      <c r="O648" s="14">
        <f>IFERROR((VLOOKUP($A648,'[1]import success seats course'!$A:AC,HLOOKUP('[1]Course Totals'!O$4,'[1]import success seats course'!$1:$2,2,FALSE),FALSE)/(VLOOKUP($A648,'[1]import graded seats course pivo'!$A:AM,HLOOKUP('[1]Course Totals'!O$4,'[1]import graded seats course pivo'!$1:$2,2,FALSE),FALSE))),"")</f>
        <v>0.86833855799373039</v>
      </c>
      <c r="P648" s="14">
        <f>IFERROR((VLOOKUP($A648,'[1]import success seats course'!$A:AD,HLOOKUP('[1]Course Totals'!P$4,'[1]import success seats course'!$1:$2,2,FALSE),FALSE)/(VLOOKUP($A648,'[1]import graded seats course pivo'!$A:AN,HLOOKUP('[1]Course Totals'!P$4,'[1]import graded seats course pivo'!$1:$2,2,FALSE),FALSE))),"")</f>
        <v>0.84444444444444444</v>
      </c>
      <c r="Q648" s="14">
        <f>IFERROR((VLOOKUP($A648,'[1]import success seats course'!$A:AE,HLOOKUP('[1]Course Totals'!Q$4,'[1]import success seats course'!$1:$2,2,FALSE),FALSE)/(VLOOKUP($A648,'[1]import graded seats course pivo'!$A:AO,HLOOKUP('[1]Course Totals'!Q$4,'[1]import graded seats course pivo'!$1:$2,2,FALSE),FALSE))),"")</f>
        <v>0.8666666666666667</v>
      </c>
      <c r="R648" s="14">
        <f>IFERROR((VLOOKUP($A648,'[1]import success seats course'!$A:AF,HLOOKUP('[1]Course Totals'!R$4,'[1]import success seats course'!$1:$2,2,FALSE),FALSE)/(VLOOKUP($A648,'[1]import graded seats course pivo'!$A:AP,HLOOKUP('[1]Course Totals'!R$4,'[1]import graded seats course pivo'!$1:$2,2,FALSE),FALSE))),"")</f>
        <v>0.83435582822085885</v>
      </c>
      <c r="S648" s="14">
        <f>IFERROR((VLOOKUP($A648,'[1]import success seats course'!$A:AG,HLOOKUP('[1]Course Totals'!S$4,'[1]import success seats course'!$1:$2,2,FALSE),FALSE)/(VLOOKUP($A648,'[1]import graded seats course pivo'!$A:AQ,HLOOKUP('[1]Course Totals'!S$4,'[1]import graded seats course pivo'!$1:$2,2,FALSE),FALSE))),"")</f>
        <v>0.83221476510067116</v>
      </c>
      <c r="Z648" s="7"/>
      <c r="AA648" s="7"/>
      <c r="AB648" s="7"/>
      <c r="AC648" s="7"/>
    </row>
    <row r="649" spans="1:29" ht="15.75" customHeight="1" x14ac:dyDescent="0.25">
      <c r="A649" s="12" t="s">
        <v>300</v>
      </c>
      <c r="B649" s="14" t="str">
        <f>IFERROR((VLOOKUP($A649,'[1]import success seats course'!$A:P,HLOOKUP('[1]Course Totals'!B$4,'[1]import success seats course'!$1:$2,2,FALSE),FALSE)/(VLOOKUP($A649,'[1]import graded seats course pivo'!$A:Z,HLOOKUP('[1]Course Totals'!B$4,'[1]import graded seats course pivo'!$1:$2,2,FALSE),FALSE))),"")</f>
        <v/>
      </c>
      <c r="C649" s="14">
        <f>IFERROR((VLOOKUP($A649,'[1]import success seats course'!$A:Q,HLOOKUP('[1]Course Totals'!C$4,'[1]import success seats course'!$1:$2,2,FALSE),FALSE)/(VLOOKUP($A649,'[1]import graded seats course pivo'!$A:AA,HLOOKUP('[1]Course Totals'!C$4,'[1]import graded seats course pivo'!$1:$2,2,FALSE),FALSE))),"")</f>
        <v>0.8571428571428571</v>
      </c>
      <c r="D649" s="14" t="str">
        <f>IFERROR((VLOOKUP($A649,'[1]import success seats course'!$A:R,HLOOKUP('[1]Course Totals'!D$4,'[1]import success seats course'!$1:$2,2,FALSE),FALSE)/(VLOOKUP($A649,'[1]import graded seats course pivo'!$A:AB,HLOOKUP('[1]Course Totals'!D$4,'[1]import graded seats course pivo'!$1:$2,2,FALSE),FALSE))),"")</f>
        <v/>
      </c>
      <c r="E649" s="14" t="str">
        <f>IFERROR((VLOOKUP($A649,'[1]import success seats course'!$A:S,HLOOKUP('[1]Course Totals'!E$4,'[1]import success seats course'!$1:$2,2,FALSE),FALSE)/(VLOOKUP($A649,'[1]import graded seats course pivo'!$A:AC,HLOOKUP('[1]Course Totals'!E$4,'[1]import graded seats course pivo'!$1:$2,2,FALSE),FALSE))),"")</f>
        <v/>
      </c>
      <c r="F649" s="14">
        <f>IFERROR((VLOOKUP($A649,'[1]import success seats course'!$A:T,HLOOKUP('[1]Course Totals'!F$4,'[1]import success seats course'!$1:$2,2,FALSE),FALSE)/(VLOOKUP($A649,'[1]import graded seats course pivo'!$A:AD,HLOOKUP('[1]Course Totals'!F$4,'[1]import graded seats course pivo'!$1:$2,2,FALSE),FALSE))),"")</f>
        <v>0.66666666666666663</v>
      </c>
      <c r="G649" s="14">
        <f>IFERROR((VLOOKUP($A649,'[1]import success seats course'!$A:U,HLOOKUP('[1]Course Totals'!G$4,'[1]import success seats course'!$1:$2,2,FALSE),FALSE)/(VLOOKUP($A649,'[1]import graded seats course pivo'!$A:AE,HLOOKUP('[1]Course Totals'!G$4,'[1]import graded seats course pivo'!$1:$2,2,FALSE),FALSE))),"")</f>
        <v>1</v>
      </c>
      <c r="H649" s="14" t="str">
        <f>IFERROR((VLOOKUP($A649,'[1]import success seats course'!$A:V,HLOOKUP('[1]Course Totals'!H$4,'[1]import success seats course'!$1:$2,2,FALSE),FALSE)/(VLOOKUP($A649,'[1]import graded seats course pivo'!$A:AF,HLOOKUP('[1]Course Totals'!H$4,'[1]import graded seats course pivo'!$1:$2,2,FALSE),FALSE))),"")</f>
        <v/>
      </c>
      <c r="I649" s="14">
        <f>IFERROR((VLOOKUP($A649,'[1]import success seats course'!$A:W,HLOOKUP('[1]Course Totals'!I$4,'[1]import success seats course'!$1:$2,2,FALSE),FALSE)/(VLOOKUP($A649,'[1]import graded seats course pivo'!$A:AG,HLOOKUP('[1]Course Totals'!I$4,'[1]import graded seats course pivo'!$1:$2,2,FALSE),FALSE))),"")</f>
        <v>1</v>
      </c>
      <c r="J649" s="14">
        <f>IFERROR((VLOOKUP($A649,'[1]import success seats course'!$A:X,HLOOKUP('[1]Course Totals'!J$4,'[1]import success seats course'!$1:$2,2,FALSE),FALSE)/(VLOOKUP($A649,'[1]import graded seats course pivo'!$A:AH,HLOOKUP('[1]Course Totals'!J$4,'[1]import graded seats course pivo'!$1:$2,2,FALSE),FALSE))),"")</f>
        <v>0.83333333333333337</v>
      </c>
      <c r="K649" s="14" t="str">
        <f>IFERROR((VLOOKUP($A649,'[1]import success seats course'!$A:Y,HLOOKUP('[1]Course Totals'!K$4,'[1]import success seats course'!$1:$2,2,FALSE),FALSE)/(VLOOKUP($A649,'[1]import graded seats course pivo'!$A:AI,HLOOKUP('[1]Course Totals'!K$4,'[1]import graded seats course pivo'!$1:$2,2,FALSE),FALSE))),"")</f>
        <v/>
      </c>
      <c r="L649" s="14">
        <f>IFERROR((VLOOKUP($A649,'[1]import success seats course'!$A:Z,HLOOKUP('[1]Course Totals'!L$4,'[1]import success seats course'!$1:$2,2,FALSE),FALSE)/(VLOOKUP($A649,'[1]import graded seats course pivo'!$A:AJ,HLOOKUP('[1]Course Totals'!L$4,'[1]import graded seats course pivo'!$1:$2,2,FALSE),FALSE))),"")</f>
        <v>0.6</v>
      </c>
      <c r="M649" s="14" t="str">
        <f>IFERROR((VLOOKUP($A649,'[1]import success seats course'!$A:AA,HLOOKUP('[1]Course Totals'!M$4,'[1]import success seats course'!$1:$2,2,FALSE),FALSE)/(VLOOKUP($A649,'[1]import graded seats course pivo'!$A:AK,HLOOKUP('[1]Course Totals'!M$4,'[1]import graded seats course pivo'!$1:$2,2,FALSE),FALSE))),"")</f>
        <v/>
      </c>
      <c r="N649" s="14" t="str">
        <f>IFERROR((VLOOKUP($A649,'[1]import success seats course'!$A:AB,HLOOKUP('[1]Course Totals'!N$4,'[1]import success seats course'!$1:$2,2,FALSE),FALSE)/(VLOOKUP($A649,'[1]import graded seats course pivo'!$A:AL,HLOOKUP('[1]Course Totals'!N$4,'[1]import graded seats course pivo'!$1:$2,2,FALSE),FALSE))),"")</f>
        <v/>
      </c>
      <c r="O649" s="14">
        <f>IFERROR((VLOOKUP($A649,'[1]import success seats course'!$A:AC,HLOOKUP('[1]Course Totals'!O$4,'[1]import success seats course'!$1:$2,2,FALSE),FALSE)/(VLOOKUP($A649,'[1]import graded seats course pivo'!$A:AM,HLOOKUP('[1]Course Totals'!O$4,'[1]import graded seats course pivo'!$1:$2,2,FALSE),FALSE))),"")</f>
        <v>1</v>
      </c>
      <c r="P649" s="14">
        <f>IFERROR((VLOOKUP($A649,'[1]import success seats course'!$A:AD,HLOOKUP('[1]Course Totals'!P$4,'[1]import success seats course'!$1:$2,2,FALSE),FALSE)/(VLOOKUP($A649,'[1]import graded seats course pivo'!$A:AN,HLOOKUP('[1]Course Totals'!P$4,'[1]import graded seats course pivo'!$1:$2,2,FALSE),FALSE))),"")</f>
        <v>1</v>
      </c>
      <c r="Q649" s="14" t="str">
        <f>IFERROR((VLOOKUP($A649,'[1]import success seats course'!$A:AE,HLOOKUP('[1]Course Totals'!Q$4,'[1]import success seats course'!$1:$2,2,FALSE),FALSE)/(VLOOKUP($A649,'[1]import graded seats course pivo'!$A:AO,HLOOKUP('[1]Course Totals'!Q$4,'[1]import graded seats course pivo'!$1:$2,2,FALSE),FALSE))),"")</f>
        <v/>
      </c>
      <c r="R649" s="14">
        <f>IFERROR((VLOOKUP($A649,'[1]import success seats course'!$A:AF,HLOOKUP('[1]Course Totals'!R$4,'[1]import success seats course'!$1:$2,2,FALSE),FALSE)/(VLOOKUP($A649,'[1]import graded seats course pivo'!$A:AP,HLOOKUP('[1]Course Totals'!R$4,'[1]import graded seats course pivo'!$1:$2,2,FALSE),FALSE))),"")</f>
        <v>0.875</v>
      </c>
      <c r="S649" s="14">
        <f>IFERROR((VLOOKUP($A649,'[1]import success seats course'!$A:AG,HLOOKUP('[1]Course Totals'!S$4,'[1]import success seats course'!$1:$2,2,FALSE),FALSE)/(VLOOKUP($A649,'[1]import graded seats course pivo'!$A:AQ,HLOOKUP('[1]Course Totals'!S$4,'[1]import graded seats course pivo'!$1:$2,2,FALSE),FALSE))),"")</f>
        <v>0.75</v>
      </c>
      <c r="Z649" s="7"/>
      <c r="AA649" s="7"/>
      <c r="AB649" s="7"/>
      <c r="AC649" s="7"/>
    </row>
    <row r="650" spans="1:29" ht="15.75" customHeight="1" x14ac:dyDescent="0.25">
      <c r="A650" s="12" t="s">
        <v>301</v>
      </c>
      <c r="B650" s="14">
        <f>IFERROR((VLOOKUP($A650,'[1]import success seats course'!$A:P,HLOOKUP('[1]Course Totals'!B$4,'[1]import success seats course'!$1:$2,2,FALSE),FALSE)/(VLOOKUP($A650,'[1]import graded seats course pivo'!$A:Z,HLOOKUP('[1]Course Totals'!B$4,'[1]import graded seats course pivo'!$1:$2,2,FALSE),FALSE))),"")</f>
        <v>0.8928571428571429</v>
      </c>
      <c r="C650" s="14">
        <f>IFERROR((VLOOKUP($A650,'[1]import success seats course'!$A:Q,HLOOKUP('[1]Course Totals'!C$4,'[1]import success seats course'!$1:$2,2,FALSE),FALSE)/(VLOOKUP($A650,'[1]import graded seats course pivo'!$A:AA,HLOOKUP('[1]Course Totals'!C$4,'[1]import graded seats course pivo'!$1:$2,2,FALSE),FALSE))),"")</f>
        <v>0.90598290598290598</v>
      </c>
      <c r="D650" s="14">
        <f>IFERROR((VLOOKUP($A650,'[1]import success seats course'!$A:R,HLOOKUP('[1]Course Totals'!D$4,'[1]import success seats course'!$1:$2,2,FALSE),FALSE)/(VLOOKUP($A650,'[1]import graded seats course pivo'!$A:AB,HLOOKUP('[1]Course Totals'!D$4,'[1]import graded seats course pivo'!$1:$2,2,FALSE),FALSE))),"")</f>
        <v>0.88381742738589208</v>
      </c>
      <c r="E650" s="14">
        <f>IFERROR((VLOOKUP($A650,'[1]import success seats course'!$A:S,HLOOKUP('[1]Course Totals'!E$4,'[1]import success seats course'!$1:$2,2,FALSE),FALSE)/(VLOOKUP($A650,'[1]import graded seats course pivo'!$A:AC,HLOOKUP('[1]Course Totals'!E$4,'[1]import graded seats course pivo'!$1:$2,2,FALSE),FALSE))),"")</f>
        <v>0.92592592592592593</v>
      </c>
      <c r="F650" s="14">
        <f>IFERROR((VLOOKUP($A650,'[1]import success seats course'!$A:T,HLOOKUP('[1]Course Totals'!F$4,'[1]import success seats course'!$1:$2,2,FALSE),FALSE)/(VLOOKUP($A650,'[1]import graded seats course pivo'!$A:AD,HLOOKUP('[1]Course Totals'!F$4,'[1]import graded seats course pivo'!$1:$2,2,FALSE),FALSE))),"")</f>
        <v>0.88513513513513509</v>
      </c>
      <c r="G650" s="14">
        <f>IFERROR((VLOOKUP($A650,'[1]import success seats course'!$A:U,HLOOKUP('[1]Course Totals'!G$4,'[1]import success seats course'!$1:$2,2,FALSE),FALSE)/(VLOOKUP($A650,'[1]import graded seats course pivo'!$A:AE,HLOOKUP('[1]Course Totals'!G$4,'[1]import graded seats course pivo'!$1:$2,2,FALSE),FALSE))),"")</f>
        <v>0.84291187739463602</v>
      </c>
      <c r="H650" s="14" t="str">
        <f>IFERROR((VLOOKUP($A650,'[1]import success seats course'!$A:V,HLOOKUP('[1]Course Totals'!H$4,'[1]import success seats course'!$1:$2,2,FALSE),FALSE)/(VLOOKUP($A650,'[1]import graded seats course pivo'!$A:AF,HLOOKUP('[1]Course Totals'!H$4,'[1]import graded seats course pivo'!$1:$2,2,FALSE),FALSE))),"")</f>
        <v/>
      </c>
      <c r="I650" s="14">
        <f>IFERROR((VLOOKUP($A650,'[1]import success seats course'!$A:W,HLOOKUP('[1]Course Totals'!I$4,'[1]import success seats course'!$1:$2,2,FALSE),FALSE)/(VLOOKUP($A650,'[1]import graded seats course pivo'!$A:AG,HLOOKUP('[1]Course Totals'!I$4,'[1]import graded seats course pivo'!$1:$2,2,FALSE),FALSE))),"")</f>
        <v>0.82828282828282829</v>
      </c>
      <c r="J650" s="14">
        <f>IFERROR((VLOOKUP($A650,'[1]import success seats course'!$A:X,HLOOKUP('[1]Course Totals'!J$4,'[1]import success seats course'!$1:$2,2,FALSE),FALSE)/(VLOOKUP($A650,'[1]import graded seats course pivo'!$A:AH,HLOOKUP('[1]Course Totals'!J$4,'[1]import graded seats course pivo'!$1:$2,2,FALSE),FALSE))),"")</f>
        <v>0.9274809160305344</v>
      </c>
      <c r="K650" s="14">
        <f>IFERROR((VLOOKUP($A650,'[1]import success seats course'!$A:Y,HLOOKUP('[1]Course Totals'!K$4,'[1]import success seats course'!$1:$2,2,FALSE),FALSE)/(VLOOKUP($A650,'[1]import graded seats course pivo'!$A:AI,HLOOKUP('[1]Course Totals'!K$4,'[1]import graded seats course pivo'!$1:$2,2,FALSE),FALSE))),"")</f>
        <v>0.97727272727272729</v>
      </c>
      <c r="L650" s="14">
        <f>IFERROR((VLOOKUP($A650,'[1]import success seats course'!$A:Z,HLOOKUP('[1]Course Totals'!L$4,'[1]import success seats course'!$1:$2,2,FALSE),FALSE)/(VLOOKUP($A650,'[1]import graded seats course pivo'!$A:AJ,HLOOKUP('[1]Course Totals'!L$4,'[1]import graded seats course pivo'!$1:$2,2,FALSE),FALSE))),"")</f>
        <v>0.83703703703703702</v>
      </c>
      <c r="M650" s="14">
        <f>IFERROR((VLOOKUP($A650,'[1]import success seats course'!$A:AA,HLOOKUP('[1]Course Totals'!M$4,'[1]import success seats course'!$1:$2,2,FALSE),FALSE)/(VLOOKUP($A650,'[1]import graded seats course pivo'!$A:AK,HLOOKUP('[1]Course Totals'!M$4,'[1]import graded seats course pivo'!$1:$2,2,FALSE),FALSE))),"")</f>
        <v>0.85201793721973096</v>
      </c>
      <c r="N650" s="14" t="str">
        <f>IFERROR((VLOOKUP($A650,'[1]import success seats course'!$A:AB,HLOOKUP('[1]Course Totals'!N$4,'[1]import success seats course'!$1:$2,2,FALSE),FALSE)/(VLOOKUP($A650,'[1]import graded seats course pivo'!$A:AL,HLOOKUP('[1]Course Totals'!N$4,'[1]import graded seats course pivo'!$1:$2,2,FALSE),FALSE))),"")</f>
        <v/>
      </c>
      <c r="O650" s="14">
        <f>IFERROR((VLOOKUP($A650,'[1]import success seats course'!$A:AC,HLOOKUP('[1]Course Totals'!O$4,'[1]import success seats course'!$1:$2,2,FALSE),FALSE)/(VLOOKUP($A650,'[1]import graded seats course pivo'!$A:AM,HLOOKUP('[1]Course Totals'!O$4,'[1]import graded seats course pivo'!$1:$2,2,FALSE),FALSE))),"")</f>
        <v>0.82222222222222219</v>
      </c>
      <c r="P650" s="14">
        <f>IFERROR((VLOOKUP($A650,'[1]import success seats course'!$A:AD,HLOOKUP('[1]Course Totals'!P$4,'[1]import success seats course'!$1:$2,2,FALSE),FALSE)/(VLOOKUP($A650,'[1]import graded seats course pivo'!$A:AN,HLOOKUP('[1]Course Totals'!P$4,'[1]import graded seats course pivo'!$1:$2,2,FALSE),FALSE))),"")</f>
        <v>0.79513888888888884</v>
      </c>
      <c r="Q650" s="14" t="str">
        <f>IFERROR((VLOOKUP($A650,'[1]import success seats course'!$A:AE,HLOOKUP('[1]Course Totals'!Q$4,'[1]import success seats course'!$1:$2,2,FALSE),FALSE)/(VLOOKUP($A650,'[1]import graded seats course pivo'!$A:AO,HLOOKUP('[1]Course Totals'!Q$4,'[1]import graded seats course pivo'!$1:$2,2,FALSE),FALSE))),"")</f>
        <v/>
      </c>
      <c r="R650" s="14">
        <f>IFERROR((VLOOKUP($A650,'[1]import success seats course'!$A:AF,HLOOKUP('[1]Course Totals'!R$4,'[1]import success seats course'!$1:$2,2,FALSE),FALSE)/(VLOOKUP($A650,'[1]import graded seats course pivo'!$A:AP,HLOOKUP('[1]Course Totals'!R$4,'[1]import graded seats course pivo'!$1:$2,2,FALSE),FALSE))),"")</f>
        <v>0.875</v>
      </c>
      <c r="S650" s="14">
        <f>IFERROR((VLOOKUP($A650,'[1]import success seats course'!$A:AG,HLOOKUP('[1]Course Totals'!S$4,'[1]import success seats course'!$1:$2,2,FALSE),FALSE)/(VLOOKUP($A650,'[1]import graded seats course pivo'!$A:AQ,HLOOKUP('[1]Course Totals'!S$4,'[1]import graded seats course pivo'!$1:$2,2,FALSE),FALSE))),"")</f>
        <v>0.89054726368159209</v>
      </c>
      <c r="Z650" s="7"/>
      <c r="AA650" s="7"/>
      <c r="AB650" s="7"/>
      <c r="AC650" s="7"/>
    </row>
    <row r="651" spans="1:29" ht="15.75" customHeight="1" x14ac:dyDescent="0.25">
      <c r="A651" s="12" t="s">
        <v>302</v>
      </c>
      <c r="B651" s="14" t="str">
        <f>IFERROR((VLOOKUP($A651,'[1]import success seats course'!$A:P,HLOOKUP('[1]Course Totals'!B$4,'[1]import success seats course'!$1:$2,2,FALSE),FALSE)/(VLOOKUP($A651,'[1]import graded seats course pivo'!$A:Z,HLOOKUP('[1]Course Totals'!B$4,'[1]import graded seats course pivo'!$1:$2,2,FALSE),FALSE))),"")</f>
        <v/>
      </c>
      <c r="C651" s="14">
        <f>IFERROR((VLOOKUP($A651,'[1]import success seats course'!$A:Q,HLOOKUP('[1]Course Totals'!C$4,'[1]import success seats course'!$1:$2,2,FALSE),FALSE)/(VLOOKUP($A651,'[1]import graded seats course pivo'!$A:AA,HLOOKUP('[1]Course Totals'!C$4,'[1]import graded seats course pivo'!$1:$2,2,FALSE),FALSE))),"")</f>
        <v>1</v>
      </c>
      <c r="D651" s="14">
        <f>IFERROR((VLOOKUP($A651,'[1]import success seats course'!$A:R,HLOOKUP('[1]Course Totals'!D$4,'[1]import success seats course'!$1:$2,2,FALSE),FALSE)/(VLOOKUP($A651,'[1]import graded seats course pivo'!$A:AB,HLOOKUP('[1]Course Totals'!D$4,'[1]import graded seats course pivo'!$1:$2,2,FALSE),FALSE))),"")</f>
        <v>1</v>
      </c>
      <c r="E651" s="14">
        <f>IFERROR((VLOOKUP($A651,'[1]import success seats course'!$A:S,HLOOKUP('[1]Course Totals'!E$4,'[1]import success seats course'!$1:$2,2,FALSE),FALSE)/(VLOOKUP($A651,'[1]import graded seats course pivo'!$A:AC,HLOOKUP('[1]Course Totals'!E$4,'[1]import graded seats course pivo'!$1:$2,2,FALSE),FALSE))),"")</f>
        <v>1</v>
      </c>
      <c r="F651" s="14">
        <f>IFERROR((VLOOKUP($A651,'[1]import success seats course'!$A:T,HLOOKUP('[1]Course Totals'!F$4,'[1]import success seats course'!$1:$2,2,FALSE),FALSE)/(VLOOKUP($A651,'[1]import graded seats course pivo'!$A:AD,HLOOKUP('[1]Course Totals'!F$4,'[1]import graded seats course pivo'!$1:$2,2,FALSE),FALSE))),"")</f>
        <v>1</v>
      </c>
      <c r="G651" s="14">
        <f>IFERROR((VLOOKUP($A651,'[1]import success seats course'!$A:U,HLOOKUP('[1]Course Totals'!G$4,'[1]import success seats course'!$1:$2,2,FALSE),FALSE)/(VLOOKUP($A651,'[1]import graded seats course pivo'!$A:AE,HLOOKUP('[1]Course Totals'!G$4,'[1]import graded seats course pivo'!$1:$2,2,FALSE),FALSE))),"")</f>
        <v>1</v>
      </c>
      <c r="H651" s="14" t="str">
        <f>IFERROR((VLOOKUP($A651,'[1]import success seats course'!$A:V,HLOOKUP('[1]Course Totals'!H$4,'[1]import success seats course'!$1:$2,2,FALSE),FALSE)/(VLOOKUP($A651,'[1]import graded seats course pivo'!$A:AF,HLOOKUP('[1]Course Totals'!H$4,'[1]import graded seats course pivo'!$1:$2,2,FALSE),FALSE))),"")</f>
        <v/>
      </c>
      <c r="I651" s="14">
        <f>IFERROR((VLOOKUP($A651,'[1]import success seats course'!$A:W,HLOOKUP('[1]Course Totals'!I$4,'[1]import success seats course'!$1:$2,2,FALSE),FALSE)/(VLOOKUP($A651,'[1]import graded seats course pivo'!$A:AG,HLOOKUP('[1]Course Totals'!I$4,'[1]import graded seats course pivo'!$1:$2,2,FALSE),FALSE))),"")</f>
        <v>1</v>
      </c>
      <c r="J651" s="14">
        <f>IFERROR((VLOOKUP($A651,'[1]import success seats course'!$A:X,HLOOKUP('[1]Course Totals'!J$4,'[1]import success seats course'!$1:$2,2,FALSE),FALSE)/(VLOOKUP($A651,'[1]import graded seats course pivo'!$A:AH,HLOOKUP('[1]Course Totals'!J$4,'[1]import graded seats course pivo'!$1:$2,2,FALSE),FALSE))),"")</f>
        <v>1</v>
      </c>
      <c r="K651" s="14" t="str">
        <f>IFERROR((VLOOKUP($A651,'[1]import success seats course'!$A:Y,HLOOKUP('[1]Course Totals'!K$4,'[1]import success seats course'!$1:$2,2,FALSE),FALSE)/(VLOOKUP($A651,'[1]import graded seats course pivo'!$A:AI,HLOOKUP('[1]Course Totals'!K$4,'[1]import graded seats course pivo'!$1:$2,2,FALSE),FALSE))),"")</f>
        <v/>
      </c>
      <c r="L651" s="14">
        <f>IFERROR((VLOOKUP($A651,'[1]import success seats course'!$A:Z,HLOOKUP('[1]Course Totals'!L$4,'[1]import success seats course'!$1:$2,2,FALSE),FALSE)/(VLOOKUP($A651,'[1]import graded seats course pivo'!$A:AJ,HLOOKUP('[1]Course Totals'!L$4,'[1]import graded seats course pivo'!$1:$2,2,FALSE),FALSE))),"")</f>
        <v>1</v>
      </c>
      <c r="M651" s="14">
        <f>IFERROR((VLOOKUP($A651,'[1]import success seats course'!$A:AA,HLOOKUP('[1]Course Totals'!M$4,'[1]import success seats course'!$1:$2,2,FALSE),FALSE)/(VLOOKUP($A651,'[1]import graded seats course pivo'!$A:AK,HLOOKUP('[1]Course Totals'!M$4,'[1]import graded seats course pivo'!$1:$2,2,FALSE),FALSE))),"")</f>
        <v>0.75</v>
      </c>
      <c r="N651" s="14" t="str">
        <f>IFERROR((VLOOKUP($A651,'[1]import success seats course'!$A:AB,HLOOKUP('[1]Course Totals'!N$4,'[1]import success seats course'!$1:$2,2,FALSE),FALSE)/(VLOOKUP($A651,'[1]import graded seats course pivo'!$A:AL,HLOOKUP('[1]Course Totals'!N$4,'[1]import graded seats course pivo'!$1:$2,2,FALSE),FALSE))),"")</f>
        <v/>
      </c>
      <c r="O651" s="14" t="str">
        <f>IFERROR((VLOOKUP($A651,'[1]import success seats course'!$A:AC,HLOOKUP('[1]Course Totals'!O$4,'[1]import success seats course'!$1:$2,2,FALSE),FALSE)/(VLOOKUP($A651,'[1]import graded seats course pivo'!$A:AM,HLOOKUP('[1]Course Totals'!O$4,'[1]import graded seats course pivo'!$1:$2,2,FALSE),FALSE))),"")</f>
        <v/>
      </c>
      <c r="P651" s="14">
        <f>IFERROR((VLOOKUP($A651,'[1]import success seats course'!$A:AD,HLOOKUP('[1]Course Totals'!P$4,'[1]import success seats course'!$1:$2,2,FALSE),FALSE)/(VLOOKUP($A651,'[1]import graded seats course pivo'!$A:AN,HLOOKUP('[1]Course Totals'!P$4,'[1]import graded seats course pivo'!$1:$2,2,FALSE),FALSE))),"")</f>
        <v>1</v>
      </c>
      <c r="Q651" s="14" t="str">
        <f>IFERROR((VLOOKUP($A651,'[1]import success seats course'!$A:AE,HLOOKUP('[1]Course Totals'!Q$4,'[1]import success seats course'!$1:$2,2,FALSE),FALSE)/(VLOOKUP($A651,'[1]import graded seats course pivo'!$A:AO,HLOOKUP('[1]Course Totals'!Q$4,'[1]import graded seats course pivo'!$1:$2,2,FALSE),FALSE))),"")</f>
        <v/>
      </c>
      <c r="R651" s="14" t="str">
        <f>IFERROR((VLOOKUP($A651,'[1]import success seats course'!$A:AF,HLOOKUP('[1]Course Totals'!R$4,'[1]import success seats course'!$1:$2,2,FALSE),FALSE)/(VLOOKUP($A651,'[1]import graded seats course pivo'!$A:AP,HLOOKUP('[1]Course Totals'!R$4,'[1]import graded seats course pivo'!$1:$2,2,FALSE),FALSE))),"")</f>
        <v/>
      </c>
      <c r="S651" s="14" t="str">
        <f>IFERROR((VLOOKUP($A651,'[1]import success seats course'!$A:AG,HLOOKUP('[1]Course Totals'!S$4,'[1]import success seats course'!$1:$2,2,FALSE),FALSE)/(VLOOKUP($A651,'[1]import graded seats course pivo'!$A:AQ,HLOOKUP('[1]Course Totals'!S$4,'[1]import graded seats course pivo'!$1:$2,2,FALSE),FALSE))),"")</f>
        <v/>
      </c>
      <c r="Z651" s="7"/>
      <c r="AA651" s="7"/>
      <c r="AB651" s="7"/>
      <c r="AC651" s="7"/>
    </row>
    <row r="652" spans="1:29" ht="15.75" customHeight="1" x14ac:dyDescent="0.25">
      <c r="A652" s="12" t="s">
        <v>303</v>
      </c>
      <c r="B652" s="14" t="str">
        <f>IFERROR((VLOOKUP($A652,'[1]import success seats course'!$A:P,HLOOKUP('[1]Course Totals'!B$4,'[1]import success seats course'!$1:$2,2,FALSE),FALSE)/(VLOOKUP($A652,'[1]import graded seats course pivo'!$A:Z,HLOOKUP('[1]Course Totals'!B$4,'[1]import graded seats course pivo'!$1:$2,2,FALSE),FALSE))),"")</f>
        <v/>
      </c>
      <c r="C652" s="14">
        <f>IFERROR((VLOOKUP($A652,'[1]import success seats course'!$A:Q,HLOOKUP('[1]Course Totals'!C$4,'[1]import success seats course'!$1:$2,2,FALSE),FALSE)/(VLOOKUP($A652,'[1]import graded seats course pivo'!$A:AA,HLOOKUP('[1]Course Totals'!C$4,'[1]import graded seats course pivo'!$1:$2,2,FALSE),FALSE))),"")</f>
        <v>0.75</v>
      </c>
      <c r="D652" s="14">
        <f>IFERROR((VLOOKUP($A652,'[1]import success seats course'!$A:R,HLOOKUP('[1]Course Totals'!D$4,'[1]import success seats course'!$1:$2,2,FALSE),FALSE)/(VLOOKUP($A652,'[1]import graded seats course pivo'!$A:AB,HLOOKUP('[1]Course Totals'!D$4,'[1]import graded seats course pivo'!$1:$2,2,FALSE),FALSE))),"")</f>
        <v>0.7</v>
      </c>
      <c r="E652" s="14">
        <f>IFERROR((VLOOKUP($A652,'[1]import success seats course'!$A:S,HLOOKUP('[1]Course Totals'!E$4,'[1]import success seats course'!$1:$2,2,FALSE),FALSE)/(VLOOKUP($A652,'[1]import graded seats course pivo'!$A:AC,HLOOKUP('[1]Course Totals'!E$4,'[1]import graded seats course pivo'!$1:$2,2,FALSE),FALSE))),"")</f>
        <v>1</v>
      </c>
      <c r="F652" s="14" t="str">
        <f>IFERROR((VLOOKUP($A652,'[1]import success seats course'!$A:T,HLOOKUP('[1]Course Totals'!F$4,'[1]import success seats course'!$1:$2,2,FALSE),FALSE)/(VLOOKUP($A652,'[1]import graded seats course pivo'!$A:AD,HLOOKUP('[1]Course Totals'!F$4,'[1]import graded seats course pivo'!$1:$2,2,FALSE),FALSE))),"")</f>
        <v/>
      </c>
      <c r="G652" s="14">
        <f>IFERROR((VLOOKUP($A652,'[1]import success seats course'!$A:U,HLOOKUP('[1]Course Totals'!G$4,'[1]import success seats course'!$1:$2,2,FALSE),FALSE)/(VLOOKUP($A652,'[1]import graded seats course pivo'!$A:AE,HLOOKUP('[1]Course Totals'!G$4,'[1]import graded seats course pivo'!$1:$2,2,FALSE),FALSE))),"")</f>
        <v>0.9</v>
      </c>
      <c r="H652" s="14" t="str">
        <f>IFERROR((VLOOKUP($A652,'[1]import success seats course'!$A:V,HLOOKUP('[1]Course Totals'!H$4,'[1]import success seats course'!$1:$2,2,FALSE),FALSE)/(VLOOKUP($A652,'[1]import graded seats course pivo'!$A:AF,HLOOKUP('[1]Course Totals'!H$4,'[1]import graded seats course pivo'!$1:$2,2,FALSE),FALSE))),"")</f>
        <v/>
      </c>
      <c r="I652" s="14">
        <f>IFERROR((VLOOKUP($A652,'[1]import success seats course'!$A:W,HLOOKUP('[1]Course Totals'!I$4,'[1]import success seats course'!$1:$2,2,FALSE),FALSE)/(VLOOKUP($A652,'[1]import graded seats course pivo'!$A:AG,HLOOKUP('[1]Course Totals'!I$4,'[1]import graded seats course pivo'!$1:$2,2,FALSE),FALSE))),"")</f>
        <v>0.96153846153846156</v>
      </c>
      <c r="J652" s="14">
        <f>IFERROR((VLOOKUP($A652,'[1]import success seats course'!$A:X,HLOOKUP('[1]Course Totals'!J$4,'[1]import success seats course'!$1:$2,2,FALSE),FALSE)/(VLOOKUP($A652,'[1]import graded seats course pivo'!$A:AH,HLOOKUP('[1]Course Totals'!J$4,'[1]import graded seats course pivo'!$1:$2,2,FALSE),FALSE))),"")</f>
        <v>0.8</v>
      </c>
      <c r="K652" s="14" t="str">
        <f>IFERROR((VLOOKUP($A652,'[1]import success seats course'!$A:Y,HLOOKUP('[1]Course Totals'!K$4,'[1]import success seats course'!$1:$2,2,FALSE),FALSE)/(VLOOKUP($A652,'[1]import graded seats course pivo'!$A:AI,HLOOKUP('[1]Course Totals'!K$4,'[1]import graded seats course pivo'!$1:$2,2,FALSE),FALSE))),"")</f>
        <v/>
      </c>
      <c r="L652" s="14">
        <f>IFERROR((VLOOKUP($A652,'[1]import success seats course'!$A:Z,HLOOKUP('[1]Course Totals'!L$4,'[1]import success seats course'!$1:$2,2,FALSE),FALSE)/(VLOOKUP($A652,'[1]import graded seats course pivo'!$A:AJ,HLOOKUP('[1]Course Totals'!L$4,'[1]import graded seats course pivo'!$1:$2,2,FALSE),FALSE))),"")</f>
        <v>0.9</v>
      </c>
      <c r="M652" s="14">
        <f>IFERROR((VLOOKUP($A652,'[1]import success seats course'!$A:AA,HLOOKUP('[1]Course Totals'!M$4,'[1]import success seats course'!$1:$2,2,FALSE),FALSE)/(VLOOKUP($A652,'[1]import graded seats course pivo'!$A:AK,HLOOKUP('[1]Course Totals'!M$4,'[1]import graded seats course pivo'!$1:$2,2,FALSE),FALSE))),"")</f>
        <v>0.88888888888888884</v>
      </c>
      <c r="N652" s="14" t="str">
        <f>IFERROR((VLOOKUP($A652,'[1]import success seats course'!$A:AB,HLOOKUP('[1]Course Totals'!N$4,'[1]import success seats course'!$1:$2,2,FALSE),FALSE)/(VLOOKUP($A652,'[1]import graded seats course pivo'!$A:AL,HLOOKUP('[1]Course Totals'!N$4,'[1]import graded seats course pivo'!$1:$2,2,FALSE),FALSE))),"")</f>
        <v/>
      </c>
      <c r="O652" s="14" t="str">
        <f>IFERROR((VLOOKUP($A652,'[1]import success seats course'!$A:AC,HLOOKUP('[1]Course Totals'!O$4,'[1]import success seats course'!$1:$2,2,FALSE),FALSE)/(VLOOKUP($A652,'[1]import graded seats course pivo'!$A:AM,HLOOKUP('[1]Course Totals'!O$4,'[1]import graded seats course pivo'!$1:$2,2,FALSE),FALSE))),"")</f>
        <v/>
      </c>
      <c r="P652" s="14" t="str">
        <f>IFERROR((VLOOKUP($A652,'[1]import success seats course'!$A:AD,HLOOKUP('[1]Course Totals'!P$4,'[1]import success seats course'!$1:$2,2,FALSE),FALSE)/(VLOOKUP($A652,'[1]import graded seats course pivo'!$A:AN,HLOOKUP('[1]Course Totals'!P$4,'[1]import graded seats course pivo'!$1:$2,2,FALSE),FALSE))),"")</f>
        <v/>
      </c>
      <c r="Q652" s="14" t="str">
        <f>IFERROR((VLOOKUP($A652,'[1]import success seats course'!$A:AE,HLOOKUP('[1]Course Totals'!Q$4,'[1]import success seats course'!$1:$2,2,FALSE),FALSE)/(VLOOKUP($A652,'[1]import graded seats course pivo'!$A:AO,HLOOKUP('[1]Course Totals'!Q$4,'[1]import graded seats course pivo'!$1:$2,2,FALSE),FALSE))),"")</f>
        <v/>
      </c>
      <c r="R652" s="14" t="str">
        <f>IFERROR((VLOOKUP($A652,'[1]import success seats course'!$A:AF,HLOOKUP('[1]Course Totals'!R$4,'[1]import success seats course'!$1:$2,2,FALSE),FALSE)/(VLOOKUP($A652,'[1]import graded seats course pivo'!$A:AP,HLOOKUP('[1]Course Totals'!R$4,'[1]import graded seats course pivo'!$1:$2,2,FALSE),FALSE))),"")</f>
        <v/>
      </c>
      <c r="S652" s="14" t="str">
        <f>IFERROR((VLOOKUP($A652,'[1]import success seats course'!$A:AG,HLOOKUP('[1]Course Totals'!S$4,'[1]import success seats course'!$1:$2,2,FALSE),FALSE)/(VLOOKUP($A652,'[1]import graded seats course pivo'!$A:AQ,HLOOKUP('[1]Course Totals'!S$4,'[1]import graded seats course pivo'!$1:$2,2,FALSE),FALSE))),"")</f>
        <v/>
      </c>
      <c r="Z652" s="7"/>
      <c r="AA652" s="7"/>
      <c r="AB652" s="7"/>
      <c r="AC652" s="7"/>
    </row>
    <row r="653" spans="1:29" ht="15.75" customHeight="1" x14ac:dyDescent="0.25">
      <c r="A653" s="12" t="s">
        <v>304</v>
      </c>
      <c r="B653" s="14">
        <f>IFERROR((VLOOKUP($A653,'[1]import success seats course'!$A:P,HLOOKUP('[1]Course Totals'!B$4,'[1]import success seats course'!$1:$2,2,FALSE),FALSE)/(VLOOKUP($A653,'[1]import graded seats course pivo'!$A:Z,HLOOKUP('[1]Course Totals'!B$4,'[1]import graded seats course pivo'!$1:$2,2,FALSE),FALSE))),"")</f>
        <v>1</v>
      </c>
      <c r="C653" s="14">
        <f>IFERROR((VLOOKUP($A653,'[1]import success seats course'!$A:Q,HLOOKUP('[1]Course Totals'!C$4,'[1]import success seats course'!$1:$2,2,FALSE),FALSE)/(VLOOKUP($A653,'[1]import graded seats course pivo'!$A:AA,HLOOKUP('[1]Course Totals'!C$4,'[1]import graded seats course pivo'!$1:$2,2,FALSE),FALSE))),"")</f>
        <v>0.84210526315789469</v>
      </c>
      <c r="D653" s="14">
        <f>IFERROR((VLOOKUP($A653,'[1]import success seats course'!$A:R,HLOOKUP('[1]Course Totals'!D$4,'[1]import success seats course'!$1:$2,2,FALSE),FALSE)/(VLOOKUP($A653,'[1]import graded seats course pivo'!$A:AB,HLOOKUP('[1]Course Totals'!D$4,'[1]import graded seats course pivo'!$1:$2,2,FALSE),FALSE))),"")</f>
        <v>0.83333333333333337</v>
      </c>
      <c r="E653" s="14">
        <f>IFERROR((VLOOKUP($A653,'[1]import success seats course'!$A:S,HLOOKUP('[1]Course Totals'!E$4,'[1]import success seats course'!$1:$2,2,FALSE),FALSE)/(VLOOKUP($A653,'[1]import graded seats course pivo'!$A:AC,HLOOKUP('[1]Course Totals'!E$4,'[1]import graded seats course pivo'!$1:$2,2,FALSE),FALSE))),"")</f>
        <v>1</v>
      </c>
      <c r="F653" s="14" t="str">
        <f>IFERROR((VLOOKUP($A653,'[1]import success seats course'!$A:T,HLOOKUP('[1]Course Totals'!F$4,'[1]import success seats course'!$1:$2,2,FALSE),FALSE)/(VLOOKUP($A653,'[1]import graded seats course pivo'!$A:AD,HLOOKUP('[1]Course Totals'!F$4,'[1]import graded seats course pivo'!$1:$2,2,FALSE),FALSE))),"")</f>
        <v/>
      </c>
      <c r="G653" s="14">
        <f>IFERROR((VLOOKUP($A653,'[1]import success seats course'!$A:U,HLOOKUP('[1]Course Totals'!G$4,'[1]import success seats course'!$1:$2,2,FALSE),FALSE)/(VLOOKUP($A653,'[1]import graded seats course pivo'!$A:AE,HLOOKUP('[1]Course Totals'!G$4,'[1]import graded seats course pivo'!$1:$2,2,FALSE),FALSE))),"")</f>
        <v>0.91666666666666663</v>
      </c>
      <c r="H653" s="14" t="str">
        <f>IFERROR((VLOOKUP($A653,'[1]import success seats course'!$A:V,HLOOKUP('[1]Course Totals'!H$4,'[1]import success seats course'!$1:$2,2,FALSE),FALSE)/(VLOOKUP($A653,'[1]import graded seats course pivo'!$A:AF,HLOOKUP('[1]Course Totals'!H$4,'[1]import graded seats course pivo'!$1:$2,2,FALSE),FALSE))),"")</f>
        <v/>
      </c>
      <c r="I653" s="14">
        <f>IFERROR((VLOOKUP($A653,'[1]import success seats course'!$A:W,HLOOKUP('[1]Course Totals'!I$4,'[1]import success seats course'!$1:$2,2,FALSE),FALSE)/(VLOOKUP($A653,'[1]import graded seats course pivo'!$A:AG,HLOOKUP('[1]Course Totals'!I$4,'[1]import graded seats course pivo'!$1:$2,2,FALSE),FALSE))),"")</f>
        <v>0.89189189189189189</v>
      </c>
      <c r="J653" s="14">
        <f>IFERROR((VLOOKUP($A653,'[1]import success seats course'!$A:X,HLOOKUP('[1]Course Totals'!J$4,'[1]import success seats course'!$1:$2,2,FALSE),FALSE)/(VLOOKUP($A653,'[1]import graded seats course pivo'!$A:AH,HLOOKUP('[1]Course Totals'!J$4,'[1]import graded seats course pivo'!$1:$2,2,FALSE),FALSE))),"")</f>
        <v>0.82456140350877194</v>
      </c>
      <c r="K653" s="14" t="str">
        <f>IFERROR((VLOOKUP($A653,'[1]import success seats course'!$A:Y,HLOOKUP('[1]Course Totals'!K$4,'[1]import success seats course'!$1:$2,2,FALSE),FALSE)/(VLOOKUP($A653,'[1]import graded seats course pivo'!$A:AI,HLOOKUP('[1]Course Totals'!K$4,'[1]import graded seats course pivo'!$1:$2,2,FALSE),FALSE))),"")</f>
        <v/>
      </c>
      <c r="L653" s="14">
        <f>IFERROR((VLOOKUP($A653,'[1]import success seats course'!$A:Z,HLOOKUP('[1]Course Totals'!L$4,'[1]import success seats course'!$1:$2,2,FALSE),FALSE)/(VLOOKUP($A653,'[1]import graded seats course pivo'!$A:AJ,HLOOKUP('[1]Course Totals'!L$4,'[1]import graded seats course pivo'!$1:$2,2,FALSE),FALSE))),"")</f>
        <v>0.93877551020408168</v>
      </c>
      <c r="M653" s="14">
        <f>IFERROR((VLOOKUP($A653,'[1]import success seats course'!$A:AA,HLOOKUP('[1]Course Totals'!M$4,'[1]import success seats course'!$1:$2,2,FALSE),FALSE)/(VLOOKUP($A653,'[1]import graded seats course pivo'!$A:AK,HLOOKUP('[1]Course Totals'!M$4,'[1]import graded seats course pivo'!$1:$2,2,FALSE),FALSE))),"")</f>
        <v>0.93181818181818177</v>
      </c>
      <c r="N653" s="14" t="str">
        <f>IFERROR((VLOOKUP($A653,'[1]import success seats course'!$A:AB,HLOOKUP('[1]Course Totals'!N$4,'[1]import success seats course'!$1:$2,2,FALSE),FALSE)/(VLOOKUP($A653,'[1]import graded seats course pivo'!$A:AL,HLOOKUP('[1]Course Totals'!N$4,'[1]import graded seats course pivo'!$1:$2,2,FALSE),FALSE))),"")</f>
        <v/>
      </c>
      <c r="O653" s="14" t="str">
        <f>IFERROR((VLOOKUP($A653,'[1]import success seats course'!$A:AC,HLOOKUP('[1]Course Totals'!O$4,'[1]import success seats course'!$1:$2,2,FALSE),FALSE)/(VLOOKUP($A653,'[1]import graded seats course pivo'!$A:AM,HLOOKUP('[1]Course Totals'!O$4,'[1]import graded seats course pivo'!$1:$2,2,FALSE),FALSE))),"")</f>
        <v/>
      </c>
      <c r="P653" s="14" t="str">
        <f>IFERROR((VLOOKUP($A653,'[1]import success seats course'!$A:AD,HLOOKUP('[1]Course Totals'!P$4,'[1]import success seats course'!$1:$2,2,FALSE),FALSE)/(VLOOKUP($A653,'[1]import graded seats course pivo'!$A:AN,HLOOKUP('[1]Course Totals'!P$4,'[1]import graded seats course pivo'!$1:$2,2,FALSE),FALSE))),"")</f>
        <v/>
      </c>
      <c r="Q653" s="14" t="str">
        <f>IFERROR((VLOOKUP($A653,'[1]import success seats course'!$A:AE,HLOOKUP('[1]Course Totals'!Q$4,'[1]import success seats course'!$1:$2,2,FALSE),FALSE)/(VLOOKUP($A653,'[1]import graded seats course pivo'!$A:AO,HLOOKUP('[1]Course Totals'!Q$4,'[1]import graded seats course pivo'!$1:$2,2,FALSE),FALSE))),"")</f>
        <v/>
      </c>
      <c r="R653" s="14" t="str">
        <f>IFERROR((VLOOKUP($A653,'[1]import success seats course'!$A:AF,HLOOKUP('[1]Course Totals'!R$4,'[1]import success seats course'!$1:$2,2,FALSE),FALSE)/(VLOOKUP($A653,'[1]import graded seats course pivo'!$A:AP,HLOOKUP('[1]Course Totals'!R$4,'[1]import graded seats course pivo'!$1:$2,2,FALSE),FALSE))),"")</f>
        <v/>
      </c>
      <c r="S653" s="14" t="str">
        <f>IFERROR((VLOOKUP($A653,'[1]import success seats course'!$A:AG,HLOOKUP('[1]Course Totals'!S$4,'[1]import success seats course'!$1:$2,2,FALSE),FALSE)/(VLOOKUP($A653,'[1]import graded seats course pivo'!$A:AQ,HLOOKUP('[1]Course Totals'!S$4,'[1]import graded seats course pivo'!$1:$2,2,FALSE),FALSE))),"")</f>
        <v/>
      </c>
      <c r="Z653" s="7"/>
      <c r="AA653" s="7"/>
      <c r="AB653" s="7"/>
      <c r="AC653" s="7"/>
    </row>
    <row r="654" spans="1:29" ht="15.75" customHeight="1" x14ac:dyDescent="0.25">
      <c r="A654" s="12" t="s">
        <v>305</v>
      </c>
      <c r="B654" s="14" t="str">
        <f>IFERROR((VLOOKUP($A654,'[1]import success seats course'!$A:P,HLOOKUP('[1]Course Totals'!B$4,'[1]import success seats course'!$1:$2,2,FALSE),FALSE)/(VLOOKUP($A654,'[1]import graded seats course pivo'!$A:Z,HLOOKUP('[1]Course Totals'!B$4,'[1]import graded seats course pivo'!$1:$2,2,FALSE),FALSE))),"")</f>
        <v/>
      </c>
      <c r="C654" s="14">
        <f>IFERROR((VLOOKUP($A654,'[1]import success seats course'!$A:Q,HLOOKUP('[1]Course Totals'!C$4,'[1]import success seats course'!$1:$2,2,FALSE),FALSE)/(VLOOKUP($A654,'[1]import graded seats course pivo'!$A:AA,HLOOKUP('[1]Course Totals'!C$4,'[1]import graded seats course pivo'!$1:$2,2,FALSE),FALSE))),"")</f>
        <v>0.93939393939393945</v>
      </c>
      <c r="D654" s="14">
        <f>IFERROR((VLOOKUP($A654,'[1]import success seats course'!$A:R,HLOOKUP('[1]Course Totals'!D$4,'[1]import success seats course'!$1:$2,2,FALSE),FALSE)/(VLOOKUP($A654,'[1]import graded seats course pivo'!$A:AB,HLOOKUP('[1]Course Totals'!D$4,'[1]import graded seats course pivo'!$1:$2,2,FALSE),FALSE))),"")</f>
        <v>0.59259259259259256</v>
      </c>
      <c r="E654" s="14" t="str">
        <f>IFERROR((VLOOKUP($A654,'[1]import success seats course'!$A:S,HLOOKUP('[1]Course Totals'!E$4,'[1]import success seats course'!$1:$2,2,FALSE),FALSE)/(VLOOKUP($A654,'[1]import graded seats course pivo'!$A:AC,HLOOKUP('[1]Course Totals'!E$4,'[1]import graded seats course pivo'!$1:$2,2,FALSE),FALSE))),"")</f>
        <v/>
      </c>
      <c r="F654" s="14">
        <f>IFERROR((VLOOKUP($A654,'[1]import success seats course'!$A:T,HLOOKUP('[1]Course Totals'!F$4,'[1]import success seats course'!$1:$2,2,FALSE),FALSE)/(VLOOKUP($A654,'[1]import graded seats course pivo'!$A:AD,HLOOKUP('[1]Course Totals'!F$4,'[1]import graded seats course pivo'!$1:$2,2,FALSE),FALSE))),"")</f>
        <v>0.80701754385964908</v>
      </c>
      <c r="G654" s="14">
        <f>IFERROR((VLOOKUP($A654,'[1]import success seats course'!$A:U,HLOOKUP('[1]Course Totals'!G$4,'[1]import success seats course'!$1:$2,2,FALSE),FALSE)/(VLOOKUP($A654,'[1]import graded seats course pivo'!$A:AE,HLOOKUP('[1]Course Totals'!G$4,'[1]import graded seats course pivo'!$1:$2,2,FALSE),FALSE))),"")</f>
        <v>0.64935064935064934</v>
      </c>
      <c r="H654" s="14" t="str">
        <f>IFERROR((VLOOKUP($A654,'[1]import success seats course'!$A:V,HLOOKUP('[1]Course Totals'!H$4,'[1]import success seats course'!$1:$2,2,FALSE),FALSE)/(VLOOKUP($A654,'[1]import graded seats course pivo'!$A:AF,HLOOKUP('[1]Course Totals'!H$4,'[1]import graded seats course pivo'!$1:$2,2,FALSE),FALSE))),"")</f>
        <v/>
      </c>
      <c r="I654" s="14">
        <f>IFERROR((VLOOKUP($A654,'[1]import success seats course'!$A:W,HLOOKUP('[1]Course Totals'!I$4,'[1]import success seats course'!$1:$2,2,FALSE),FALSE)/(VLOOKUP($A654,'[1]import graded seats course pivo'!$A:AG,HLOOKUP('[1]Course Totals'!I$4,'[1]import graded seats course pivo'!$1:$2,2,FALSE),FALSE))),"")</f>
        <v>0.86111111111111116</v>
      </c>
      <c r="J654" s="14">
        <f>IFERROR((VLOOKUP($A654,'[1]import success seats course'!$A:X,HLOOKUP('[1]Course Totals'!J$4,'[1]import success seats course'!$1:$2,2,FALSE),FALSE)/(VLOOKUP($A654,'[1]import graded seats course pivo'!$A:AH,HLOOKUP('[1]Course Totals'!J$4,'[1]import graded seats course pivo'!$1:$2,2,FALSE),FALSE))),"")</f>
        <v>0.68888888888888888</v>
      </c>
      <c r="K654" s="14" t="str">
        <f>IFERROR((VLOOKUP($A654,'[1]import success seats course'!$A:Y,HLOOKUP('[1]Course Totals'!K$4,'[1]import success seats course'!$1:$2,2,FALSE),FALSE)/(VLOOKUP($A654,'[1]import graded seats course pivo'!$A:AI,HLOOKUP('[1]Course Totals'!K$4,'[1]import graded seats course pivo'!$1:$2,2,FALSE),FALSE))),"")</f>
        <v/>
      </c>
      <c r="L654" s="14">
        <f>IFERROR((VLOOKUP($A654,'[1]import success seats course'!$A:Z,HLOOKUP('[1]Course Totals'!L$4,'[1]import success seats course'!$1:$2,2,FALSE),FALSE)/(VLOOKUP($A654,'[1]import graded seats course pivo'!$A:AJ,HLOOKUP('[1]Course Totals'!L$4,'[1]import graded seats course pivo'!$1:$2,2,FALSE),FALSE))),"")</f>
        <v>0.63414634146341464</v>
      </c>
      <c r="M654" s="14">
        <f>IFERROR((VLOOKUP($A654,'[1]import success seats course'!$A:AA,HLOOKUP('[1]Course Totals'!M$4,'[1]import success seats course'!$1:$2,2,FALSE),FALSE)/(VLOOKUP($A654,'[1]import graded seats course pivo'!$A:AK,HLOOKUP('[1]Course Totals'!M$4,'[1]import graded seats course pivo'!$1:$2,2,FALSE),FALSE))),"")</f>
        <v>0.70731707317073167</v>
      </c>
      <c r="N654" s="14" t="str">
        <f>IFERROR((VLOOKUP($A654,'[1]import success seats course'!$A:AB,HLOOKUP('[1]Course Totals'!N$4,'[1]import success seats course'!$1:$2,2,FALSE),FALSE)/(VLOOKUP($A654,'[1]import graded seats course pivo'!$A:AL,HLOOKUP('[1]Course Totals'!N$4,'[1]import graded seats course pivo'!$1:$2,2,FALSE),FALSE))),"")</f>
        <v/>
      </c>
      <c r="O654" s="14">
        <f>IFERROR((VLOOKUP($A654,'[1]import success seats course'!$A:AC,HLOOKUP('[1]Course Totals'!O$4,'[1]import success seats course'!$1:$2,2,FALSE),FALSE)/(VLOOKUP($A654,'[1]import graded seats course pivo'!$A:AM,HLOOKUP('[1]Course Totals'!O$4,'[1]import graded seats course pivo'!$1:$2,2,FALSE),FALSE))),"")</f>
        <v>0.7142857142857143</v>
      </c>
      <c r="P654" s="14">
        <f>IFERROR((VLOOKUP($A654,'[1]import success seats course'!$A:AD,HLOOKUP('[1]Course Totals'!P$4,'[1]import success seats course'!$1:$2,2,FALSE),FALSE)/(VLOOKUP($A654,'[1]import graded seats course pivo'!$A:AN,HLOOKUP('[1]Course Totals'!P$4,'[1]import graded seats course pivo'!$1:$2,2,FALSE),FALSE))),"")</f>
        <v>0.73170731707317072</v>
      </c>
      <c r="Q654" s="14" t="str">
        <f>IFERROR((VLOOKUP($A654,'[1]import success seats course'!$A:AE,HLOOKUP('[1]Course Totals'!Q$4,'[1]import success seats course'!$1:$2,2,FALSE),FALSE)/(VLOOKUP($A654,'[1]import graded seats course pivo'!$A:AO,HLOOKUP('[1]Course Totals'!Q$4,'[1]import graded seats course pivo'!$1:$2,2,FALSE),FALSE))),"")</f>
        <v/>
      </c>
      <c r="R654" s="14">
        <f>IFERROR((VLOOKUP($A654,'[1]import success seats course'!$A:AF,HLOOKUP('[1]Course Totals'!R$4,'[1]import success seats course'!$1:$2,2,FALSE),FALSE)/(VLOOKUP($A654,'[1]import graded seats course pivo'!$A:AP,HLOOKUP('[1]Course Totals'!R$4,'[1]import graded seats course pivo'!$1:$2,2,FALSE),FALSE))),"")</f>
        <v>0.75</v>
      </c>
      <c r="S654" s="14" t="str">
        <f>IFERROR((VLOOKUP($A654,'[1]import success seats course'!$A:AG,HLOOKUP('[1]Course Totals'!S$4,'[1]import success seats course'!$1:$2,2,FALSE),FALSE)/(VLOOKUP($A654,'[1]import graded seats course pivo'!$A:AQ,HLOOKUP('[1]Course Totals'!S$4,'[1]import graded seats course pivo'!$1:$2,2,FALSE),FALSE))),"")</f>
        <v/>
      </c>
      <c r="Z654" s="7"/>
      <c r="AA654" s="7"/>
      <c r="AB654" s="7"/>
      <c r="AC654" s="7"/>
    </row>
    <row r="655" spans="1:29" ht="15.75" customHeight="1" x14ac:dyDescent="0.25">
      <c r="A655" s="12" t="s">
        <v>306</v>
      </c>
      <c r="B655" s="14" t="str">
        <f>IFERROR((VLOOKUP($A655,'[1]import success seats course'!$A:P,HLOOKUP('[1]Course Totals'!B$4,'[1]import success seats course'!$1:$2,2,FALSE),FALSE)/(VLOOKUP($A655,'[1]import graded seats course pivo'!$A:Z,HLOOKUP('[1]Course Totals'!B$4,'[1]import graded seats course pivo'!$1:$2,2,FALSE),FALSE))),"")</f>
        <v/>
      </c>
      <c r="C655" s="14" t="str">
        <f>IFERROR((VLOOKUP($A655,'[1]import success seats course'!$A:Q,HLOOKUP('[1]Course Totals'!C$4,'[1]import success seats course'!$1:$2,2,FALSE),FALSE)/(VLOOKUP($A655,'[1]import graded seats course pivo'!$A:AA,HLOOKUP('[1]Course Totals'!C$4,'[1]import graded seats course pivo'!$1:$2,2,FALSE),FALSE))),"")</f>
        <v/>
      </c>
      <c r="D655" s="14">
        <f>IFERROR((VLOOKUP($A655,'[1]import success seats course'!$A:R,HLOOKUP('[1]Course Totals'!D$4,'[1]import success seats course'!$1:$2,2,FALSE),FALSE)/(VLOOKUP($A655,'[1]import graded seats course pivo'!$A:AB,HLOOKUP('[1]Course Totals'!D$4,'[1]import graded seats course pivo'!$1:$2,2,FALSE),FALSE))),"")</f>
        <v>1</v>
      </c>
      <c r="E655" s="14" t="str">
        <f>IFERROR((VLOOKUP($A655,'[1]import success seats course'!$A:S,HLOOKUP('[1]Course Totals'!E$4,'[1]import success seats course'!$1:$2,2,FALSE),FALSE)/(VLOOKUP($A655,'[1]import graded seats course pivo'!$A:AC,HLOOKUP('[1]Course Totals'!E$4,'[1]import graded seats course pivo'!$1:$2,2,FALSE),FALSE))),"")</f>
        <v/>
      </c>
      <c r="F655" s="14">
        <f>IFERROR((VLOOKUP($A655,'[1]import success seats course'!$A:T,HLOOKUP('[1]Course Totals'!F$4,'[1]import success seats course'!$1:$2,2,FALSE),FALSE)/(VLOOKUP($A655,'[1]import graded seats course pivo'!$A:AD,HLOOKUP('[1]Course Totals'!F$4,'[1]import graded seats course pivo'!$1:$2,2,FALSE),FALSE))),"")</f>
        <v>0.8</v>
      </c>
      <c r="G655" s="14">
        <f>IFERROR((VLOOKUP($A655,'[1]import success seats course'!$A:U,HLOOKUP('[1]Course Totals'!G$4,'[1]import success seats course'!$1:$2,2,FALSE),FALSE)/(VLOOKUP($A655,'[1]import graded seats course pivo'!$A:AE,HLOOKUP('[1]Course Totals'!G$4,'[1]import graded seats course pivo'!$1:$2,2,FALSE),FALSE))),"")</f>
        <v>0.53333333333333333</v>
      </c>
      <c r="H655" s="14" t="str">
        <f>IFERROR((VLOOKUP($A655,'[1]import success seats course'!$A:V,HLOOKUP('[1]Course Totals'!H$4,'[1]import success seats course'!$1:$2,2,FALSE),FALSE)/(VLOOKUP($A655,'[1]import graded seats course pivo'!$A:AF,HLOOKUP('[1]Course Totals'!H$4,'[1]import graded seats course pivo'!$1:$2,2,FALSE),FALSE))),"")</f>
        <v/>
      </c>
      <c r="I655" s="14">
        <f>IFERROR((VLOOKUP($A655,'[1]import success seats course'!$A:W,HLOOKUP('[1]Course Totals'!I$4,'[1]import success seats course'!$1:$2,2,FALSE),FALSE)/(VLOOKUP($A655,'[1]import graded seats course pivo'!$A:AG,HLOOKUP('[1]Course Totals'!I$4,'[1]import graded seats course pivo'!$1:$2,2,FALSE),FALSE))),"")</f>
        <v>0.95652173913043481</v>
      </c>
      <c r="J655" s="14" t="str">
        <f>IFERROR((VLOOKUP($A655,'[1]import success seats course'!$A:X,HLOOKUP('[1]Course Totals'!J$4,'[1]import success seats course'!$1:$2,2,FALSE),FALSE)/(VLOOKUP($A655,'[1]import graded seats course pivo'!$A:AH,HLOOKUP('[1]Course Totals'!J$4,'[1]import graded seats course pivo'!$1:$2,2,FALSE),FALSE))),"")</f>
        <v/>
      </c>
      <c r="K655" s="14" t="str">
        <f>IFERROR((VLOOKUP($A655,'[1]import success seats course'!$A:Y,HLOOKUP('[1]Course Totals'!K$4,'[1]import success seats course'!$1:$2,2,FALSE),FALSE)/(VLOOKUP($A655,'[1]import graded seats course pivo'!$A:AI,HLOOKUP('[1]Course Totals'!K$4,'[1]import graded seats course pivo'!$1:$2,2,FALSE),FALSE))),"")</f>
        <v/>
      </c>
      <c r="L655" s="14">
        <f>IFERROR((VLOOKUP($A655,'[1]import success seats course'!$A:Z,HLOOKUP('[1]Course Totals'!L$4,'[1]import success seats course'!$1:$2,2,FALSE),FALSE)/(VLOOKUP($A655,'[1]import graded seats course pivo'!$A:AJ,HLOOKUP('[1]Course Totals'!L$4,'[1]import graded seats course pivo'!$1:$2,2,FALSE),FALSE))),"")</f>
        <v>0.95744680851063835</v>
      </c>
      <c r="M655" s="14" t="str">
        <f>IFERROR((VLOOKUP($A655,'[1]import success seats course'!$A:AA,HLOOKUP('[1]Course Totals'!M$4,'[1]import success seats course'!$1:$2,2,FALSE),FALSE)/(VLOOKUP($A655,'[1]import graded seats course pivo'!$A:AK,HLOOKUP('[1]Course Totals'!M$4,'[1]import graded seats course pivo'!$1:$2,2,FALSE),FALSE))),"")</f>
        <v/>
      </c>
      <c r="N655" s="14" t="str">
        <f>IFERROR((VLOOKUP($A655,'[1]import success seats course'!$A:AB,HLOOKUP('[1]Course Totals'!N$4,'[1]import success seats course'!$1:$2,2,FALSE),FALSE)/(VLOOKUP($A655,'[1]import graded seats course pivo'!$A:AL,HLOOKUP('[1]Course Totals'!N$4,'[1]import graded seats course pivo'!$1:$2,2,FALSE),FALSE))),"")</f>
        <v/>
      </c>
      <c r="O655" s="14" t="str">
        <f>IFERROR((VLOOKUP($A655,'[1]import success seats course'!$A:AC,HLOOKUP('[1]Course Totals'!O$4,'[1]import success seats course'!$1:$2,2,FALSE),FALSE)/(VLOOKUP($A655,'[1]import graded seats course pivo'!$A:AM,HLOOKUP('[1]Course Totals'!O$4,'[1]import graded seats course pivo'!$1:$2,2,FALSE),FALSE))),"")</f>
        <v/>
      </c>
      <c r="P655" s="14" t="str">
        <f>IFERROR((VLOOKUP($A655,'[1]import success seats course'!$A:AD,HLOOKUP('[1]Course Totals'!P$4,'[1]import success seats course'!$1:$2,2,FALSE),FALSE)/(VLOOKUP($A655,'[1]import graded seats course pivo'!$A:AN,HLOOKUP('[1]Course Totals'!P$4,'[1]import graded seats course pivo'!$1:$2,2,FALSE),FALSE))),"")</f>
        <v/>
      </c>
      <c r="Q655" s="14" t="str">
        <f>IFERROR((VLOOKUP($A655,'[1]import success seats course'!$A:AE,HLOOKUP('[1]Course Totals'!Q$4,'[1]import success seats course'!$1:$2,2,FALSE),FALSE)/(VLOOKUP($A655,'[1]import graded seats course pivo'!$A:AO,HLOOKUP('[1]Course Totals'!Q$4,'[1]import graded seats course pivo'!$1:$2,2,FALSE),FALSE))),"")</f>
        <v/>
      </c>
      <c r="R655" s="14" t="str">
        <f>IFERROR((VLOOKUP($A655,'[1]import success seats course'!$A:AF,HLOOKUP('[1]Course Totals'!R$4,'[1]import success seats course'!$1:$2,2,FALSE),FALSE)/(VLOOKUP($A655,'[1]import graded seats course pivo'!$A:AP,HLOOKUP('[1]Course Totals'!R$4,'[1]import graded seats course pivo'!$1:$2,2,FALSE),FALSE))),"")</f>
        <v/>
      </c>
      <c r="S655" s="14" t="str">
        <f>IFERROR((VLOOKUP($A655,'[1]import success seats course'!$A:AG,HLOOKUP('[1]Course Totals'!S$4,'[1]import success seats course'!$1:$2,2,FALSE),FALSE)/(VLOOKUP($A655,'[1]import graded seats course pivo'!$A:AQ,HLOOKUP('[1]Course Totals'!S$4,'[1]import graded seats course pivo'!$1:$2,2,FALSE),FALSE))),"")</f>
        <v/>
      </c>
      <c r="Z655" s="7"/>
      <c r="AA655" s="7"/>
      <c r="AB655" s="7"/>
      <c r="AC655" s="7"/>
    </row>
    <row r="656" spans="1:29" ht="15.75" customHeight="1" x14ac:dyDescent="0.25">
      <c r="A656" s="12" t="s">
        <v>790</v>
      </c>
      <c r="B656" s="14" t="str">
        <f>IFERROR((VLOOKUP($A656,'[1]import success seats course'!$A:P,HLOOKUP('[1]Course Totals'!B$4,'[1]import success seats course'!$1:$2,2,FALSE),FALSE)/(VLOOKUP($A656,'[1]import graded seats course pivo'!$A:Z,HLOOKUP('[1]Course Totals'!B$4,'[1]import graded seats course pivo'!$1:$2,2,FALSE),FALSE))),"")</f>
        <v/>
      </c>
      <c r="C656" s="14" t="str">
        <f>IFERROR((VLOOKUP($A656,'[1]import success seats course'!$A:Q,HLOOKUP('[1]Course Totals'!C$4,'[1]import success seats course'!$1:$2,2,FALSE),FALSE)/(VLOOKUP($A656,'[1]import graded seats course pivo'!$A:AA,HLOOKUP('[1]Course Totals'!C$4,'[1]import graded seats course pivo'!$1:$2,2,FALSE),FALSE))),"")</f>
        <v/>
      </c>
      <c r="D656" s="14" t="str">
        <f>IFERROR((VLOOKUP($A656,'[1]import success seats course'!$A:R,HLOOKUP('[1]Course Totals'!D$4,'[1]import success seats course'!$1:$2,2,FALSE),FALSE)/(VLOOKUP($A656,'[1]import graded seats course pivo'!$A:AB,HLOOKUP('[1]Course Totals'!D$4,'[1]import graded seats course pivo'!$1:$2,2,FALSE),FALSE))),"")</f>
        <v/>
      </c>
      <c r="E656" s="14" t="str">
        <f>IFERROR((VLOOKUP($A656,'[1]import success seats course'!$A:S,HLOOKUP('[1]Course Totals'!E$4,'[1]import success seats course'!$1:$2,2,FALSE),FALSE)/(VLOOKUP($A656,'[1]import graded seats course pivo'!$A:AC,HLOOKUP('[1]Course Totals'!E$4,'[1]import graded seats course pivo'!$1:$2,2,FALSE),FALSE))),"")</f>
        <v/>
      </c>
      <c r="F656" s="14" t="str">
        <f>IFERROR((VLOOKUP($A656,'[1]import success seats course'!$A:T,HLOOKUP('[1]Course Totals'!F$4,'[1]import success seats course'!$1:$2,2,FALSE),FALSE)/(VLOOKUP($A656,'[1]import graded seats course pivo'!$A:AD,HLOOKUP('[1]Course Totals'!F$4,'[1]import graded seats course pivo'!$1:$2,2,FALSE),FALSE))),"")</f>
        <v/>
      </c>
      <c r="G656" s="14" t="str">
        <f>IFERROR((VLOOKUP($A656,'[1]import success seats course'!$A:U,HLOOKUP('[1]Course Totals'!G$4,'[1]import success seats course'!$1:$2,2,FALSE),FALSE)/(VLOOKUP($A656,'[1]import graded seats course pivo'!$A:AE,HLOOKUP('[1]Course Totals'!G$4,'[1]import graded seats course pivo'!$1:$2,2,FALSE),FALSE))),"")</f>
        <v/>
      </c>
      <c r="H656" s="14" t="str">
        <f>IFERROR((VLOOKUP($A656,'[1]import success seats course'!$A:V,HLOOKUP('[1]Course Totals'!H$4,'[1]import success seats course'!$1:$2,2,FALSE),FALSE)/(VLOOKUP($A656,'[1]import graded seats course pivo'!$A:AF,HLOOKUP('[1]Course Totals'!H$4,'[1]import graded seats course pivo'!$1:$2,2,FALSE),FALSE))),"")</f>
        <v/>
      </c>
      <c r="I656" s="14" t="str">
        <f>IFERROR((VLOOKUP($A656,'[1]import success seats course'!$A:W,HLOOKUP('[1]Course Totals'!I$4,'[1]import success seats course'!$1:$2,2,FALSE),FALSE)/(VLOOKUP($A656,'[1]import graded seats course pivo'!$A:AG,HLOOKUP('[1]Course Totals'!I$4,'[1]import graded seats course pivo'!$1:$2,2,FALSE),FALSE))),"")</f>
        <v/>
      </c>
      <c r="J656" s="14" t="str">
        <f>IFERROR((VLOOKUP($A656,'[1]import success seats course'!$A:X,HLOOKUP('[1]Course Totals'!J$4,'[1]import success seats course'!$1:$2,2,FALSE),FALSE)/(VLOOKUP($A656,'[1]import graded seats course pivo'!$A:AH,HLOOKUP('[1]Course Totals'!J$4,'[1]import graded seats course pivo'!$1:$2,2,FALSE),FALSE))),"")</f>
        <v/>
      </c>
      <c r="K656" s="14" t="str">
        <f>IFERROR((VLOOKUP($A656,'[1]import success seats course'!$A:Y,HLOOKUP('[1]Course Totals'!K$4,'[1]import success seats course'!$1:$2,2,FALSE),FALSE)/(VLOOKUP($A656,'[1]import graded seats course pivo'!$A:AI,HLOOKUP('[1]Course Totals'!K$4,'[1]import graded seats course pivo'!$1:$2,2,FALSE),FALSE))),"")</f>
        <v/>
      </c>
      <c r="L656" s="14">
        <f>IFERROR((VLOOKUP($A656,'[1]import success seats course'!$A:Z,HLOOKUP('[1]Course Totals'!L$4,'[1]import success seats course'!$1:$2,2,FALSE),FALSE)/(VLOOKUP($A656,'[1]import graded seats course pivo'!$A:AJ,HLOOKUP('[1]Course Totals'!L$4,'[1]import graded seats course pivo'!$1:$2,2,FALSE),FALSE))),"")</f>
        <v>1</v>
      </c>
      <c r="M656" s="14" t="str">
        <f>IFERROR((VLOOKUP($A656,'[1]import success seats course'!$A:AA,HLOOKUP('[1]Course Totals'!M$4,'[1]import success seats course'!$1:$2,2,FALSE),FALSE)/(VLOOKUP($A656,'[1]import graded seats course pivo'!$A:AK,HLOOKUP('[1]Course Totals'!M$4,'[1]import graded seats course pivo'!$1:$2,2,FALSE),FALSE))),"")</f>
        <v/>
      </c>
      <c r="N656" s="14" t="str">
        <f>IFERROR((VLOOKUP($A656,'[1]import success seats course'!$A:AB,HLOOKUP('[1]Course Totals'!N$4,'[1]import success seats course'!$1:$2,2,FALSE),FALSE)/(VLOOKUP($A656,'[1]import graded seats course pivo'!$A:AL,HLOOKUP('[1]Course Totals'!N$4,'[1]import graded seats course pivo'!$1:$2,2,FALSE),FALSE))),"")</f>
        <v/>
      </c>
      <c r="O656" s="14" t="str">
        <f>IFERROR((VLOOKUP($A656,'[1]import success seats course'!$A:AC,HLOOKUP('[1]Course Totals'!O$4,'[1]import success seats course'!$1:$2,2,FALSE),FALSE)/(VLOOKUP($A656,'[1]import graded seats course pivo'!$A:AM,HLOOKUP('[1]Course Totals'!O$4,'[1]import graded seats course pivo'!$1:$2,2,FALSE),FALSE))),"")</f>
        <v/>
      </c>
      <c r="P656" s="14" t="str">
        <f>IFERROR((VLOOKUP($A656,'[1]import success seats course'!$A:AD,HLOOKUP('[1]Course Totals'!P$4,'[1]import success seats course'!$1:$2,2,FALSE),FALSE)/(VLOOKUP($A656,'[1]import graded seats course pivo'!$A:AN,HLOOKUP('[1]Course Totals'!P$4,'[1]import graded seats course pivo'!$1:$2,2,FALSE),FALSE))),"")</f>
        <v/>
      </c>
      <c r="Q656" s="14" t="str">
        <f>IFERROR((VLOOKUP($A656,'[1]import success seats course'!$A:AE,HLOOKUP('[1]Course Totals'!Q$4,'[1]import success seats course'!$1:$2,2,FALSE),FALSE)/(VLOOKUP($A656,'[1]import graded seats course pivo'!$A:AO,HLOOKUP('[1]Course Totals'!Q$4,'[1]import graded seats course pivo'!$1:$2,2,FALSE),FALSE))),"")</f>
        <v/>
      </c>
      <c r="R656" s="14" t="str">
        <f>IFERROR((VLOOKUP($A656,'[1]import success seats course'!$A:AF,HLOOKUP('[1]Course Totals'!R$4,'[1]import success seats course'!$1:$2,2,FALSE),FALSE)/(VLOOKUP($A656,'[1]import graded seats course pivo'!$A:AP,HLOOKUP('[1]Course Totals'!R$4,'[1]import graded seats course pivo'!$1:$2,2,FALSE),FALSE))),"")</f>
        <v/>
      </c>
      <c r="S656" s="14" t="str">
        <f>IFERROR((VLOOKUP($A656,'[1]import success seats course'!$A:AG,HLOOKUP('[1]Course Totals'!S$4,'[1]import success seats course'!$1:$2,2,FALSE),FALSE)/(VLOOKUP($A656,'[1]import graded seats course pivo'!$A:AQ,HLOOKUP('[1]Course Totals'!S$4,'[1]import graded seats course pivo'!$1:$2,2,FALSE),FALSE))),"")</f>
        <v/>
      </c>
      <c r="Z656" s="7"/>
      <c r="AA656" s="7"/>
      <c r="AB656" s="7"/>
      <c r="AC656" s="7"/>
    </row>
    <row r="657" spans="1:29" ht="15.75" customHeight="1" x14ac:dyDescent="0.25">
      <c r="A657" s="12" t="s">
        <v>734</v>
      </c>
      <c r="B657" s="14" t="str">
        <f>IFERROR((VLOOKUP($A657,'[1]import success seats course'!$A:P,HLOOKUP('[1]Course Totals'!B$4,'[1]import success seats course'!$1:$2,2,FALSE),FALSE)/(VLOOKUP($A657,'[1]import graded seats course pivo'!$A:Z,HLOOKUP('[1]Course Totals'!B$4,'[1]import graded seats course pivo'!$1:$2,2,FALSE),FALSE))),"")</f>
        <v/>
      </c>
      <c r="C657" s="14" t="str">
        <f>IFERROR((VLOOKUP($A657,'[1]import success seats course'!$A:Q,HLOOKUP('[1]Course Totals'!C$4,'[1]import success seats course'!$1:$2,2,FALSE),FALSE)/(VLOOKUP($A657,'[1]import graded seats course pivo'!$A:AA,HLOOKUP('[1]Course Totals'!C$4,'[1]import graded seats course pivo'!$1:$2,2,FALSE),FALSE))),"")</f>
        <v/>
      </c>
      <c r="D657" s="14" t="str">
        <f>IFERROR((VLOOKUP($A657,'[1]import success seats course'!$A:R,HLOOKUP('[1]Course Totals'!D$4,'[1]import success seats course'!$1:$2,2,FALSE),FALSE)/(VLOOKUP($A657,'[1]import graded seats course pivo'!$A:AB,HLOOKUP('[1]Course Totals'!D$4,'[1]import graded seats course pivo'!$1:$2,2,FALSE),FALSE))),"")</f>
        <v/>
      </c>
      <c r="E657" s="14" t="str">
        <f>IFERROR((VLOOKUP($A657,'[1]import success seats course'!$A:S,HLOOKUP('[1]Course Totals'!E$4,'[1]import success seats course'!$1:$2,2,FALSE),FALSE)/(VLOOKUP($A657,'[1]import graded seats course pivo'!$A:AC,HLOOKUP('[1]Course Totals'!E$4,'[1]import graded seats course pivo'!$1:$2,2,FALSE),FALSE))),"")</f>
        <v/>
      </c>
      <c r="F657" s="14" t="str">
        <f>IFERROR((VLOOKUP($A657,'[1]import success seats course'!$A:T,HLOOKUP('[1]Course Totals'!F$4,'[1]import success seats course'!$1:$2,2,FALSE),FALSE)/(VLOOKUP($A657,'[1]import graded seats course pivo'!$A:AD,HLOOKUP('[1]Course Totals'!F$4,'[1]import graded seats course pivo'!$1:$2,2,FALSE),FALSE))),"")</f>
        <v/>
      </c>
      <c r="G657" s="14" t="str">
        <f>IFERROR((VLOOKUP($A657,'[1]import success seats course'!$A:U,HLOOKUP('[1]Course Totals'!G$4,'[1]import success seats course'!$1:$2,2,FALSE),FALSE)/(VLOOKUP($A657,'[1]import graded seats course pivo'!$A:AE,HLOOKUP('[1]Course Totals'!G$4,'[1]import graded seats course pivo'!$1:$2,2,FALSE),FALSE))),"")</f>
        <v/>
      </c>
      <c r="H657" s="14" t="str">
        <f>IFERROR((VLOOKUP($A657,'[1]import success seats course'!$A:V,HLOOKUP('[1]Course Totals'!H$4,'[1]import success seats course'!$1:$2,2,FALSE),FALSE)/(VLOOKUP($A657,'[1]import graded seats course pivo'!$A:AF,HLOOKUP('[1]Course Totals'!H$4,'[1]import graded seats course pivo'!$1:$2,2,FALSE),FALSE))),"")</f>
        <v/>
      </c>
      <c r="I657" s="14">
        <f>IFERROR((VLOOKUP($A657,'[1]import success seats course'!$A:W,HLOOKUP('[1]Course Totals'!I$4,'[1]import success seats course'!$1:$2,2,FALSE),FALSE)/(VLOOKUP($A657,'[1]import graded seats course pivo'!$A:AG,HLOOKUP('[1]Course Totals'!I$4,'[1]import graded seats course pivo'!$1:$2,2,FALSE),FALSE))),"")</f>
        <v>0.82926829268292679</v>
      </c>
      <c r="J657" s="14" t="str">
        <f>IFERROR((VLOOKUP($A657,'[1]import success seats course'!$A:X,HLOOKUP('[1]Course Totals'!J$4,'[1]import success seats course'!$1:$2,2,FALSE),FALSE)/(VLOOKUP($A657,'[1]import graded seats course pivo'!$A:AH,HLOOKUP('[1]Course Totals'!J$4,'[1]import graded seats course pivo'!$1:$2,2,FALSE),FALSE))),"")</f>
        <v/>
      </c>
      <c r="K657" s="14" t="str">
        <f>IFERROR((VLOOKUP($A657,'[1]import success seats course'!$A:Y,HLOOKUP('[1]Course Totals'!K$4,'[1]import success seats course'!$1:$2,2,FALSE),FALSE)/(VLOOKUP($A657,'[1]import graded seats course pivo'!$A:AI,HLOOKUP('[1]Course Totals'!K$4,'[1]import graded seats course pivo'!$1:$2,2,FALSE),FALSE))),"")</f>
        <v/>
      </c>
      <c r="L657" s="14">
        <f>IFERROR((VLOOKUP($A657,'[1]import success seats course'!$A:Z,HLOOKUP('[1]Course Totals'!L$4,'[1]import success seats course'!$1:$2,2,FALSE),FALSE)/(VLOOKUP($A657,'[1]import graded seats course pivo'!$A:AJ,HLOOKUP('[1]Course Totals'!L$4,'[1]import graded seats course pivo'!$1:$2,2,FALSE),FALSE))),"")</f>
        <v>0.77272727272727271</v>
      </c>
      <c r="M657" s="14" t="str">
        <f>IFERROR((VLOOKUP($A657,'[1]import success seats course'!$A:AA,HLOOKUP('[1]Course Totals'!M$4,'[1]import success seats course'!$1:$2,2,FALSE),FALSE)/(VLOOKUP($A657,'[1]import graded seats course pivo'!$A:AK,HLOOKUP('[1]Course Totals'!M$4,'[1]import graded seats course pivo'!$1:$2,2,FALSE),FALSE))),"")</f>
        <v/>
      </c>
      <c r="N657" s="14" t="str">
        <f>IFERROR((VLOOKUP($A657,'[1]import success seats course'!$A:AB,HLOOKUP('[1]Course Totals'!N$4,'[1]import success seats course'!$1:$2,2,FALSE),FALSE)/(VLOOKUP($A657,'[1]import graded seats course pivo'!$A:AL,HLOOKUP('[1]Course Totals'!N$4,'[1]import graded seats course pivo'!$1:$2,2,FALSE),FALSE))),"")</f>
        <v/>
      </c>
      <c r="O657" s="14" t="str">
        <f>IFERROR((VLOOKUP($A657,'[1]import success seats course'!$A:AC,HLOOKUP('[1]Course Totals'!O$4,'[1]import success seats course'!$1:$2,2,FALSE),FALSE)/(VLOOKUP($A657,'[1]import graded seats course pivo'!$A:AM,HLOOKUP('[1]Course Totals'!O$4,'[1]import graded seats course pivo'!$1:$2,2,FALSE),FALSE))),"")</f>
        <v/>
      </c>
      <c r="P657" s="14" t="str">
        <f>IFERROR((VLOOKUP($A657,'[1]import success seats course'!$A:AD,HLOOKUP('[1]Course Totals'!P$4,'[1]import success seats course'!$1:$2,2,FALSE),FALSE)/(VLOOKUP($A657,'[1]import graded seats course pivo'!$A:AN,HLOOKUP('[1]Course Totals'!P$4,'[1]import graded seats course pivo'!$1:$2,2,FALSE),FALSE))),"")</f>
        <v/>
      </c>
      <c r="Q657" s="14" t="str">
        <f>IFERROR((VLOOKUP($A657,'[1]import success seats course'!$A:AE,HLOOKUP('[1]Course Totals'!Q$4,'[1]import success seats course'!$1:$2,2,FALSE),FALSE)/(VLOOKUP($A657,'[1]import graded seats course pivo'!$A:AO,HLOOKUP('[1]Course Totals'!Q$4,'[1]import graded seats course pivo'!$1:$2,2,FALSE),FALSE))),"")</f>
        <v/>
      </c>
      <c r="R657" s="14" t="str">
        <f>IFERROR((VLOOKUP($A657,'[1]import success seats course'!$A:AF,HLOOKUP('[1]Course Totals'!R$4,'[1]import success seats course'!$1:$2,2,FALSE),FALSE)/(VLOOKUP($A657,'[1]import graded seats course pivo'!$A:AP,HLOOKUP('[1]Course Totals'!R$4,'[1]import graded seats course pivo'!$1:$2,2,FALSE),FALSE))),"")</f>
        <v/>
      </c>
      <c r="S657" s="14" t="str">
        <f>IFERROR((VLOOKUP($A657,'[1]import success seats course'!$A:AG,HLOOKUP('[1]Course Totals'!S$4,'[1]import success seats course'!$1:$2,2,FALSE),FALSE)/(VLOOKUP($A657,'[1]import graded seats course pivo'!$A:AQ,HLOOKUP('[1]Course Totals'!S$4,'[1]import graded seats course pivo'!$1:$2,2,FALSE),FALSE))),"")</f>
        <v/>
      </c>
      <c r="Z657" s="7"/>
      <c r="AA657" s="7"/>
      <c r="AB657" s="7"/>
      <c r="AC657" s="7"/>
    </row>
    <row r="658" spans="1:29" ht="15.75" customHeight="1" x14ac:dyDescent="0.25">
      <c r="A658" s="12" t="s">
        <v>307</v>
      </c>
      <c r="B658" s="14" t="str">
        <f>IFERROR((VLOOKUP($A658,'[1]import success seats course'!$A:P,HLOOKUP('[1]Course Totals'!B$4,'[1]import success seats course'!$1:$2,2,FALSE),FALSE)/(VLOOKUP($A658,'[1]import graded seats course pivo'!$A:Z,HLOOKUP('[1]Course Totals'!B$4,'[1]import graded seats course pivo'!$1:$2,2,FALSE),FALSE))),"")</f>
        <v/>
      </c>
      <c r="C658" s="14">
        <f>IFERROR((VLOOKUP($A658,'[1]import success seats course'!$A:Q,HLOOKUP('[1]Course Totals'!C$4,'[1]import success seats course'!$1:$2,2,FALSE),FALSE)/(VLOOKUP($A658,'[1]import graded seats course pivo'!$A:AA,HLOOKUP('[1]Course Totals'!C$4,'[1]import graded seats course pivo'!$1:$2,2,FALSE),FALSE))),"")</f>
        <v>0.83333333333333337</v>
      </c>
      <c r="D658" s="14">
        <f>IFERROR((VLOOKUP($A658,'[1]import success seats course'!$A:R,HLOOKUP('[1]Course Totals'!D$4,'[1]import success seats course'!$1:$2,2,FALSE),FALSE)/(VLOOKUP($A658,'[1]import graded seats course pivo'!$A:AB,HLOOKUP('[1]Course Totals'!D$4,'[1]import graded seats course pivo'!$1:$2,2,FALSE),FALSE))),"")</f>
        <v>0.875</v>
      </c>
      <c r="E658" s="14">
        <f>IFERROR((VLOOKUP($A658,'[1]import success seats course'!$A:S,HLOOKUP('[1]Course Totals'!E$4,'[1]import success seats course'!$1:$2,2,FALSE),FALSE)/(VLOOKUP($A658,'[1]import graded seats course pivo'!$A:AC,HLOOKUP('[1]Course Totals'!E$4,'[1]import graded seats course pivo'!$1:$2,2,FALSE),FALSE))),"")</f>
        <v>0.83333333333333337</v>
      </c>
      <c r="F658" s="14">
        <f>IFERROR((VLOOKUP($A658,'[1]import success seats course'!$A:T,HLOOKUP('[1]Course Totals'!F$4,'[1]import success seats course'!$1:$2,2,FALSE),FALSE)/(VLOOKUP($A658,'[1]import graded seats course pivo'!$A:AD,HLOOKUP('[1]Course Totals'!F$4,'[1]import graded seats course pivo'!$1:$2,2,FALSE),FALSE))),"")</f>
        <v>0.92307692307692313</v>
      </c>
      <c r="G658" s="14">
        <f>IFERROR((VLOOKUP($A658,'[1]import success seats course'!$A:U,HLOOKUP('[1]Course Totals'!G$4,'[1]import success seats course'!$1:$2,2,FALSE),FALSE)/(VLOOKUP($A658,'[1]import graded seats course pivo'!$A:AE,HLOOKUP('[1]Course Totals'!G$4,'[1]import graded seats course pivo'!$1:$2,2,FALSE),FALSE))),"")</f>
        <v>0.84615384615384615</v>
      </c>
      <c r="H658" s="14" t="str">
        <f>IFERROR((VLOOKUP($A658,'[1]import success seats course'!$A:V,HLOOKUP('[1]Course Totals'!H$4,'[1]import success seats course'!$1:$2,2,FALSE),FALSE)/(VLOOKUP($A658,'[1]import graded seats course pivo'!$A:AF,HLOOKUP('[1]Course Totals'!H$4,'[1]import graded seats course pivo'!$1:$2,2,FALSE),FALSE))),"")</f>
        <v/>
      </c>
      <c r="I658" s="14">
        <f>IFERROR((VLOOKUP($A658,'[1]import success seats course'!$A:W,HLOOKUP('[1]Course Totals'!I$4,'[1]import success seats course'!$1:$2,2,FALSE),FALSE)/(VLOOKUP($A658,'[1]import graded seats course pivo'!$A:AG,HLOOKUP('[1]Course Totals'!I$4,'[1]import graded seats course pivo'!$1:$2,2,FALSE),FALSE))),"")</f>
        <v>0.93181818181818177</v>
      </c>
      <c r="J658" s="14">
        <f>IFERROR((VLOOKUP($A658,'[1]import success seats course'!$A:X,HLOOKUP('[1]Course Totals'!J$4,'[1]import success seats course'!$1:$2,2,FALSE),FALSE)/(VLOOKUP($A658,'[1]import graded seats course pivo'!$A:AH,HLOOKUP('[1]Course Totals'!J$4,'[1]import graded seats course pivo'!$1:$2,2,FALSE),FALSE))),"")</f>
        <v>1</v>
      </c>
      <c r="K658" s="14" t="str">
        <f>IFERROR((VLOOKUP($A658,'[1]import success seats course'!$A:Y,HLOOKUP('[1]Course Totals'!K$4,'[1]import success seats course'!$1:$2,2,FALSE),FALSE)/(VLOOKUP($A658,'[1]import graded seats course pivo'!$A:AI,HLOOKUP('[1]Course Totals'!K$4,'[1]import graded seats course pivo'!$1:$2,2,FALSE),FALSE))),"")</f>
        <v/>
      </c>
      <c r="L658" s="14">
        <f>IFERROR((VLOOKUP($A658,'[1]import success seats course'!$A:Z,HLOOKUP('[1]Course Totals'!L$4,'[1]import success seats course'!$1:$2,2,FALSE),FALSE)/(VLOOKUP($A658,'[1]import graded seats course pivo'!$A:AJ,HLOOKUP('[1]Course Totals'!L$4,'[1]import graded seats course pivo'!$1:$2,2,FALSE),FALSE))),"")</f>
        <v>0.92592592592592593</v>
      </c>
      <c r="M658" s="14">
        <f>IFERROR((VLOOKUP($A658,'[1]import success seats course'!$A:AA,HLOOKUP('[1]Course Totals'!M$4,'[1]import success seats course'!$1:$2,2,FALSE),FALSE)/(VLOOKUP($A658,'[1]import graded seats course pivo'!$A:AK,HLOOKUP('[1]Course Totals'!M$4,'[1]import graded seats course pivo'!$1:$2,2,FALSE),FALSE))),"")</f>
        <v>0.9285714285714286</v>
      </c>
      <c r="N658" s="14" t="str">
        <f>IFERROR((VLOOKUP($A658,'[1]import success seats course'!$A:AB,HLOOKUP('[1]Course Totals'!N$4,'[1]import success seats course'!$1:$2,2,FALSE),FALSE)/(VLOOKUP($A658,'[1]import graded seats course pivo'!$A:AL,HLOOKUP('[1]Course Totals'!N$4,'[1]import graded seats course pivo'!$1:$2,2,FALSE),FALSE))),"")</f>
        <v/>
      </c>
      <c r="O658" s="14">
        <f>IFERROR((VLOOKUP($A658,'[1]import success seats course'!$A:AC,HLOOKUP('[1]Course Totals'!O$4,'[1]import success seats course'!$1:$2,2,FALSE),FALSE)/(VLOOKUP($A658,'[1]import graded seats course pivo'!$A:AM,HLOOKUP('[1]Course Totals'!O$4,'[1]import graded seats course pivo'!$1:$2,2,FALSE),FALSE))),"")</f>
        <v>0.9</v>
      </c>
      <c r="P658" s="14">
        <f>IFERROR((VLOOKUP($A658,'[1]import success seats course'!$A:AD,HLOOKUP('[1]Course Totals'!P$4,'[1]import success seats course'!$1:$2,2,FALSE),FALSE)/(VLOOKUP($A658,'[1]import graded seats course pivo'!$A:AN,HLOOKUP('[1]Course Totals'!P$4,'[1]import graded seats course pivo'!$1:$2,2,FALSE),FALSE))),"")</f>
        <v>0.93548387096774188</v>
      </c>
      <c r="Q658" s="14" t="str">
        <f>IFERROR((VLOOKUP($A658,'[1]import success seats course'!$A:AE,HLOOKUP('[1]Course Totals'!Q$4,'[1]import success seats course'!$1:$2,2,FALSE),FALSE)/(VLOOKUP($A658,'[1]import graded seats course pivo'!$A:AO,HLOOKUP('[1]Course Totals'!Q$4,'[1]import graded seats course pivo'!$1:$2,2,FALSE),FALSE))),"")</f>
        <v/>
      </c>
      <c r="R658" s="14">
        <f>IFERROR((VLOOKUP($A658,'[1]import success seats course'!$A:AF,HLOOKUP('[1]Course Totals'!R$4,'[1]import success seats course'!$1:$2,2,FALSE),FALSE)/(VLOOKUP($A658,'[1]import graded seats course pivo'!$A:AP,HLOOKUP('[1]Course Totals'!R$4,'[1]import graded seats course pivo'!$1:$2,2,FALSE),FALSE))),"")</f>
        <v>0.89473684210526316</v>
      </c>
      <c r="S658" s="14">
        <f>IFERROR((VLOOKUP($A658,'[1]import success seats course'!$A:AG,HLOOKUP('[1]Course Totals'!S$4,'[1]import success seats course'!$1:$2,2,FALSE),FALSE)/(VLOOKUP($A658,'[1]import graded seats course pivo'!$A:AQ,HLOOKUP('[1]Course Totals'!S$4,'[1]import graded seats course pivo'!$1:$2,2,FALSE),FALSE))),"")</f>
        <v>0.88461538461538458</v>
      </c>
      <c r="Z658" s="7"/>
      <c r="AA658" s="7"/>
      <c r="AB658" s="7"/>
      <c r="AC658" s="7"/>
    </row>
    <row r="659" spans="1:29" ht="15.75" customHeight="1" x14ac:dyDescent="0.25">
      <c r="A659" s="12" t="s">
        <v>308</v>
      </c>
      <c r="B659" s="14" t="str">
        <f>IFERROR((VLOOKUP($A659,'[1]import success seats course'!$A:P,HLOOKUP('[1]Course Totals'!B$4,'[1]import success seats course'!$1:$2,2,FALSE),FALSE)/(VLOOKUP($A659,'[1]import graded seats course pivo'!$A:Z,HLOOKUP('[1]Course Totals'!B$4,'[1]import graded seats course pivo'!$1:$2,2,FALSE),FALSE))),"")</f>
        <v/>
      </c>
      <c r="C659" s="14" t="str">
        <f>IFERROR((VLOOKUP($A659,'[1]import success seats course'!$A:Q,HLOOKUP('[1]Course Totals'!C$4,'[1]import success seats course'!$1:$2,2,FALSE),FALSE)/(VLOOKUP($A659,'[1]import graded seats course pivo'!$A:AA,HLOOKUP('[1]Course Totals'!C$4,'[1]import graded seats course pivo'!$1:$2,2,FALSE),FALSE))),"")</f>
        <v/>
      </c>
      <c r="D659" s="14">
        <f>IFERROR((VLOOKUP($A659,'[1]import success seats course'!$A:R,HLOOKUP('[1]Course Totals'!D$4,'[1]import success seats course'!$1:$2,2,FALSE),FALSE)/(VLOOKUP($A659,'[1]import graded seats course pivo'!$A:AB,HLOOKUP('[1]Course Totals'!D$4,'[1]import graded seats course pivo'!$1:$2,2,FALSE),FALSE))),"")</f>
        <v>0.8</v>
      </c>
      <c r="E659" s="14" t="str">
        <f>IFERROR((VLOOKUP($A659,'[1]import success seats course'!$A:S,HLOOKUP('[1]Course Totals'!E$4,'[1]import success seats course'!$1:$2,2,FALSE),FALSE)/(VLOOKUP($A659,'[1]import graded seats course pivo'!$A:AC,HLOOKUP('[1]Course Totals'!E$4,'[1]import graded seats course pivo'!$1:$2,2,FALSE),FALSE))),"")</f>
        <v/>
      </c>
      <c r="F659" s="14">
        <f>IFERROR((VLOOKUP($A659,'[1]import success seats course'!$A:T,HLOOKUP('[1]Course Totals'!F$4,'[1]import success seats course'!$1:$2,2,FALSE),FALSE)/(VLOOKUP($A659,'[1]import graded seats course pivo'!$A:AD,HLOOKUP('[1]Course Totals'!F$4,'[1]import graded seats course pivo'!$1:$2,2,FALSE),FALSE))),"")</f>
        <v>0.81818181818181823</v>
      </c>
      <c r="G659" s="14">
        <f>IFERROR((VLOOKUP($A659,'[1]import success seats course'!$A:U,HLOOKUP('[1]Course Totals'!G$4,'[1]import success seats course'!$1:$2,2,FALSE),FALSE)/(VLOOKUP($A659,'[1]import graded seats course pivo'!$A:AE,HLOOKUP('[1]Course Totals'!G$4,'[1]import graded seats course pivo'!$1:$2,2,FALSE),FALSE))),"")</f>
        <v>0.81395348837209303</v>
      </c>
      <c r="H659" s="14" t="str">
        <f>IFERROR((VLOOKUP($A659,'[1]import success seats course'!$A:V,HLOOKUP('[1]Course Totals'!H$4,'[1]import success seats course'!$1:$2,2,FALSE),FALSE)/(VLOOKUP($A659,'[1]import graded seats course pivo'!$A:AF,HLOOKUP('[1]Course Totals'!H$4,'[1]import graded seats course pivo'!$1:$2,2,FALSE),FALSE))),"")</f>
        <v/>
      </c>
      <c r="I659" s="14">
        <f>IFERROR((VLOOKUP($A659,'[1]import success seats course'!$A:W,HLOOKUP('[1]Course Totals'!I$4,'[1]import success seats course'!$1:$2,2,FALSE),FALSE)/(VLOOKUP($A659,'[1]import graded seats course pivo'!$A:AG,HLOOKUP('[1]Course Totals'!I$4,'[1]import graded seats course pivo'!$1:$2,2,FALSE),FALSE))),"")</f>
        <v>0.92500000000000004</v>
      </c>
      <c r="J659" s="14">
        <f>IFERROR((VLOOKUP($A659,'[1]import success seats course'!$A:X,HLOOKUP('[1]Course Totals'!J$4,'[1]import success seats course'!$1:$2,2,FALSE),FALSE)/(VLOOKUP($A659,'[1]import graded seats course pivo'!$A:AH,HLOOKUP('[1]Course Totals'!J$4,'[1]import graded seats course pivo'!$1:$2,2,FALSE),FALSE))),"")</f>
        <v>0.78048780487804881</v>
      </c>
      <c r="K659" s="14" t="str">
        <f>IFERROR((VLOOKUP($A659,'[1]import success seats course'!$A:Y,HLOOKUP('[1]Course Totals'!K$4,'[1]import success seats course'!$1:$2,2,FALSE),FALSE)/(VLOOKUP($A659,'[1]import graded seats course pivo'!$A:AI,HLOOKUP('[1]Course Totals'!K$4,'[1]import graded seats course pivo'!$1:$2,2,FALSE),FALSE))),"")</f>
        <v/>
      </c>
      <c r="L659" s="14" t="str">
        <f>IFERROR((VLOOKUP($A659,'[1]import success seats course'!$A:Z,HLOOKUP('[1]Course Totals'!L$4,'[1]import success seats course'!$1:$2,2,FALSE),FALSE)/(VLOOKUP($A659,'[1]import graded seats course pivo'!$A:AJ,HLOOKUP('[1]Course Totals'!L$4,'[1]import graded seats course pivo'!$1:$2,2,FALSE),FALSE))),"")</f>
        <v/>
      </c>
      <c r="M659" s="14" t="str">
        <f>IFERROR((VLOOKUP($A659,'[1]import success seats course'!$A:AA,HLOOKUP('[1]Course Totals'!M$4,'[1]import success seats course'!$1:$2,2,FALSE),FALSE)/(VLOOKUP($A659,'[1]import graded seats course pivo'!$A:AK,HLOOKUP('[1]Course Totals'!M$4,'[1]import graded seats course pivo'!$1:$2,2,FALSE),FALSE))),"")</f>
        <v/>
      </c>
      <c r="N659" s="14" t="str">
        <f>IFERROR((VLOOKUP($A659,'[1]import success seats course'!$A:AB,HLOOKUP('[1]Course Totals'!N$4,'[1]import success seats course'!$1:$2,2,FALSE),FALSE)/(VLOOKUP($A659,'[1]import graded seats course pivo'!$A:AL,HLOOKUP('[1]Course Totals'!N$4,'[1]import graded seats course pivo'!$1:$2,2,FALSE),FALSE))),"")</f>
        <v/>
      </c>
      <c r="O659" s="14" t="str">
        <f>IFERROR((VLOOKUP($A659,'[1]import success seats course'!$A:AC,HLOOKUP('[1]Course Totals'!O$4,'[1]import success seats course'!$1:$2,2,FALSE),FALSE)/(VLOOKUP($A659,'[1]import graded seats course pivo'!$A:AM,HLOOKUP('[1]Course Totals'!O$4,'[1]import graded seats course pivo'!$1:$2,2,FALSE),FALSE))),"")</f>
        <v/>
      </c>
      <c r="P659" s="14">
        <f>IFERROR((VLOOKUP($A659,'[1]import success seats course'!$A:AD,HLOOKUP('[1]Course Totals'!P$4,'[1]import success seats course'!$1:$2,2,FALSE),FALSE)/(VLOOKUP($A659,'[1]import graded seats course pivo'!$A:AN,HLOOKUP('[1]Course Totals'!P$4,'[1]import graded seats course pivo'!$1:$2,2,FALSE),FALSE))),"")</f>
        <v>0.90243902439024393</v>
      </c>
      <c r="Q659" s="14" t="str">
        <f>IFERROR((VLOOKUP($A659,'[1]import success seats course'!$A:AE,HLOOKUP('[1]Course Totals'!Q$4,'[1]import success seats course'!$1:$2,2,FALSE),FALSE)/(VLOOKUP($A659,'[1]import graded seats course pivo'!$A:AO,HLOOKUP('[1]Course Totals'!Q$4,'[1]import graded seats course pivo'!$1:$2,2,FALSE),FALSE))),"")</f>
        <v/>
      </c>
      <c r="R659" s="14" t="str">
        <f>IFERROR((VLOOKUP($A659,'[1]import success seats course'!$A:AF,HLOOKUP('[1]Course Totals'!R$4,'[1]import success seats course'!$1:$2,2,FALSE),FALSE)/(VLOOKUP($A659,'[1]import graded seats course pivo'!$A:AP,HLOOKUP('[1]Course Totals'!R$4,'[1]import graded seats course pivo'!$1:$2,2,FALSE),FALSE))),"")</f>
        <v/>
      </c>
      <c r="S659" s="14" t="str">
        <f>IFERROR((VLOOKUP($A659,'[1]import success seats course'!$A:AG,HLOOKUP('[1]Course Totals'!S$4,'[1]import success seats course'!$1:$2,2,FALSE),FALSE)/(VLOOKUP($A659,'[1]import graded seats course pivo'!$A:AQ,HLOOKUP('[1]Course Totals'!S$4,'[1]import graded seats course pivo'!$1:$2,2,FALSE),FALSE))),"")</f>
        <v/>
      </c>
      <c r="Z659" s="7"/>
      <c r="AA659" s="7"/>
      <c r="AB659" s="7"/>
      <c r="AC659" s="7"/>
    </row>
    <row r="660" spans="1:29" ht="15.75" customHeight="1" x14ac:dyDescent="0.25">
      <c r="A660" s="12" t="s">
        <v>309</v>
      </c>
      <c r="B660" s="14" t="str">
        <f>IFERROR((VLOOKUP($A660,'[1]import success seats course'!$A:P,HLOOKUP('[1]Course Totals'!B$4,'[1]import success seats course'!$1:$2,2,FALSE),FALSE)/(VLOOKUP($A660,'[1]import graded seats course pivo'!$A:Z,HLOOKUP('[1]Course Totals'!B$4,'[1]import graded seats course pivo'!$1:$2,2,FALSE),FALSE))),"")</f>
        <v/>
      </c>
      <c r="C660" s="14">
        <f>IFERROR((VLOOKUP($A660,'[1]import success seats course'!$A:Q,HLOOKUP('[1]Course Totals'!C$4,'[1]import success seats course'!$1:$2,2,FALSE),FALSE)/(VLOOKUP($A660,'[1]import graded seats course pivo'!$A:AA,HLOOKUP('[1]Course Totals'!C$4,'[1]import graded seats course pivo'!$1:$2,2,FALSE),FALSE))),"")</f>
        <v>0.9</v>
      </c>
      <c r="D660" s="14" t="str">
        <f>IFERROR((VLOOKUP($A660,'[1]import success seats course'!$A:R,HLOOKUP('[1]Course Totals'!D$4,'[1]import success seats course'!$1:$2,2,FALSE),FALSE)/(VLOOKUP($A660,'[1]import graded seats course pivo'!$A:AB,HLOOKUP('[1]Course Totals'!D$4,'[1]import graded seats course pivo'!$1:$2,2,FALSE),FALSE))),"")</f>
        <v/>
      </c>
      <c r="E660" s="14" t="str">
        <f>IFERROR((VLOOKUP($A660,'[1]import success seats course'!$A:S,HLOOKUP('[1]Course Totals'!E$4,'[1]import success seats course'!$1:$2,2,FALSE),FALSE)/(VLOOKUP($A660,'[1]import graded seats course pivo'!$A:AC,HLOOKUP('[1]Course Totals'!E$4,'[1]import graded seats course pivo'!$1:$2,2,FALSE),FALSE))),"")</f>
        <v/>
      </c>
      <c r="F660" s="14">
        <f>IFERROR((VLOOKUP($A660,'[1]import success seats course'!$A:T,HLOOKUP('[1]Course Totals'!F$4,'[1]import success seats course'!$1:$2,2,FALSE),FALSE)/(VLOOKUP($A660,'[1]import graded seats course pivo'!$A:AD,HLOOKUP('[1]Course Totals'!F$4,'[1]import graded seats course pivo'!$1:$2,2,FALSE),FALSE))),"")</f>
        <v>0.88636363636363635</v>
      </c>
      <c r="G660" s="14">
        <f>IFERROR((VLOOKUP($A660,'[1]import success seats course'!$A:U,HLOOKUP('[1]Course Totals'!G$4,'[1]import success seats course'!$1:$2,2,FALSE),FALSE)/(VLOOKUP($A660,'[1]import graded seats course pivo'!$A:AE,HLOOKUP('[1]Course Totals'!G$4,'[1]import graded seats course pivo'!$1:$2,2,FALSE),FALSE))),"")</f>
        <v>0.86111111111111116</v>
      </c>
      <c r="H660" s="14" t="str">
        <f>IFERROR((VLOOKUP($A660,'[1]import success seats course'!$A:V,HLOOKUP('[1]Course Totals'!H$4,'[1]import success seats course'!$1:$2,2,FALSE),FALSE)/(VLOOKUP($A660,'[1]import graded seats course pivo'!$A:AF,HLOOKUP('[1]Course Totals'!H$4,'[1]import graded seats course pivo'!$1:$2,2,FALSE),FALSE))),"")</f>
        <v/>
      </c>
      <c r="I660" s="14" t="str">
        <f>IFERROR((VLOOKUP($A660,'[1]import success seats course'!$A:W,HLOOKUP('[1]Course Totals'!I$4,'[1]import success seats course'!$1:$2,2,FALSE),FALSE)/(VLOOKUP($A660,'[1]import graded seats course pivo'!$A:AG,HLOOKUP('[1]Course Totals'!I$4,'[1]import graded seats course pivo'!$1:$2,2,FALSE),FALSE))),"")</f>
        <v/>
      </c>
      <c r="J660" s="14">
        <f>IFERROR((VLOOKUP($A660,'[1]import success seats course'!$A:X,HLOOKUP('[1]Course Totals'!J$4,'[1]import success seats course'!$1:$2,2,FALSE),FALSE)/(VLOOKUP($A660,'[1]import graded seats course pivo'!$A:AH,HLOOKUP('[1]Course Totals'!J$4,'[1]import graded seats course pivo'!$1:$2,2,FALSE),FALSE))),"")</f>
        <v>0.96078431372549022</v>
      </c>
      <c r="K660" s="14" t="str">
        <f>IFERROR((VLOOKUP($A660,'[1]import success seats course'!$A:Y,HLOOKUP('[1]Course Totals'!K$4,'[1]import success seats course'!$1:$2,2,FALSE),FALSE)/(VLOOKUP($A660,'[1]import graded seats course pivo'!$A:AI,HLOOKUP('[1]Course Totals'!K$4,'[1]import graded seats course pivo'!$1:$2,2,FALSE),FALSE))),"")</f>
        <v/>
      </c>
      <c r="L660" s="14" t="str">
        <f>IFERROR((VLOOKUP($A660,'[1]import success seats course'!$A:Z,HLOOKUP('[1]Course Totals'!L$4,'[1]import success seats course'!$1:$2,2,FALSE),FALSE)/(VLOOKUP($A660,'[1]import graded seats course pivo'!$A:AJ,HLOOKUP('[1]Course Totals'!L$4,'[1]import graded seats course pivo'!$1:$2,2,FALSE),FALSE))),"")</f>
        <v/>
      </c>
      <c r="M660" s="14" t="str">
        <f>IFERROR((VLOOKUP($A660,'[1]import success seats course'!$A:AA,HLOOKUP('[1]Course Totals'!M$4,'[1]import success seats course'!$1:$2,2,FALSE),FALSE)/(VLOOKUP($A660,'[1]import graded seats course pivo'!$A:AK,HLOOKUP('[1]Course Totals'!M$4,'[1]import graded seats course pivo'!$1:$2,2,FALSE),FALSE))),"")</f>
        <v/>
      </c>
      <c r="N660" s="14" t="str">
        <f>IFERROR((VLOOKUP($A660,'[1]import success seats course'!$A:AB,HLOOKUP('[1]Course Totals'!N$4,'[1]import success seats course'!$1:$2,2,FALSE),FALSE)/(VLOOKUP($A660,'[1]import graded seats course pivo'!$A:AL,HLOOKUP('[1]Course Totals'!N$4,'[1]import graded seats course pivo'!$1:$2,2,FALSE),FALSE))),"")</f>
        <v/>
      </c>
      <c r="O660" s="14" t="str">
        <f>IFERROR((VLOOKUP($A660,'[1]import success seats course'!$A:AC,HLOOKUP('[1]Course Totals'!O$4,'[1]import success seats course'!$1:$2,2,FALSE),FALSE)/(VLOOKUP($A660,'[1]import graded seats course pivo'!$A:AM,HLOOKUP('[1]Course Totals'!O$4,'[1]import graded seats course pivo'!$1:$2,2,FALSE),FALSE))),"")</f>
        <v/>
      </c>
      <c r="P660" s="14" t="str">
        <f>IFERROR((VLOOKUP($A660,'[1]import success seats course'!$A:AD,HLOOKUP('[1]Course Totals'!P$4,'[1]import success seats course'!$1:$2,2,FALSE),FALSE)/(VLOOKUP($A660,'[1]import graded seats course pivo'!$A:AN,HLOOKUP('[1]Course Totals'!P$4,'[1]import graded seats course pivo'!$1:$2,2,FALSE),FALSE))),"")</f>
        <v/>
      </c>
      <c r="Q660" s="14" t="str">
        <f>IFERROR((VLOOKUP($A660,'[1]import success seats course'!$A:AE,HLOOKUP('[1]Course Totals'!Q$4,'[1]import success seats course'!$1:$2,2,FALSE),FALSE)/(VLOOKUP($A660,'[1]import graded seats course pivo'!$A:AO,HLOOKUP('[1]Course Totals'!Q$4,'[1]import graded seats course pivo'!$1:$2,2,FALSE),FALSE))),"")</f>
        <v/>
      </c>
      <c r="R660" s="14" t="str">
        <f>IFERROR((VLOOKUP($A660,'[1]import success seats course'!$A:AF,HLOOKUP('[1]Course Totals'!R$4,'[1]import success seats course'!$1:$2,2,FALSE),FALSE)/(VLOOKUP($A660,'[1]import graded seats course pivo'!$A:AP,HLOOKUP('[1]Course Totals'!R$4,'[1]import graded seats course pivo'!$1:$2,2,FALSE),FALSE))),"")</f>
        <v/>
      </c>
      <c r="S660" s="14" t="str">
        <f>IFERROR((VLOOKUP($A660,'[1]import success seats course'!$A:AG,HLOOKUP('[1]Course Totals'!S$4,'[1]import success seats course'!$1:$2,2,FALSE),FALSE)/(VLOOKUP($A660,'[1]import graded seats course pivo'!$A:AQ,HLOOKUP('[1]Course Totals'!S$4,'[1]import graded seats course pivo'!$1:$2,2,FALSE),FALSE))),"")</f>
        <v/>
      </c>
      <c r="Z660" s="7"/>
      <c r="AA660" s="7"/>
      <c r="AB660" s="7"/>
      <c r="AC660" s="7"/>
    </row>
    <row r="661" spans="1:29" ht="15.75" customHeight="1" x14ac:dyDescent="0.25">
      <c r="A661" s="12" t="s">
        <v>310</v>
      </c>
      <c r="B661" s="14" t="str">
        <f>IFERROR((VLOOKUP($A661,'[1]import success seats course'!$A:P,HLOOKUP('[1]Course Totals'!B$4,'[1]import success seats course'!$1:$2,2,FALSE),FALSE)/(VLOOKUP($A661,'[1]import graded seats course pivo'!$A:Z,HLOOKUP('[1]Course Totals'!B$4,'[1]import graded seats course pivo'!$1:$2,2,FALSE),FALSE))),"")</f>
        <v/>
      </c>
      <c r="C661" s="14">
        <f>IFERROR((VLOOKUP($A661,'[1]import success seats course'!$A:Q,HLOOKUP('[1]Course Totals'!C$4,'[1]import success seats course'!$1:$2,2,FALSE),FALSE)/(VLOOKUP($A661,'[1]import graded seats course pivo'!$A:AA,HLOOKUP('[1]Course Totals'!C$4,'[1]import graded seats course pivo'!$1:$2,2,FALSE),FALSE))),"")</f>
        <v>1</v>
      </c>
      <c r="D661" s="14" t="str">
        <f>IFERROR((VLOOKUP($A661,'[1]import success seats course'!$A:R,HLOOKUP('[1]Course Totals'!D$4,'[1]import success seats course'!$1:$2,2,FALSE),FALSE)/(VLOOKUP($A661,'[1]import graded seats course pivo'!$A:AB,HLOOKUP('[1]Course Totals'!D$4,'[1]import graded seats course pivo'!$1:$2,2,FALSE),FALSE))),"")</f>
        <v/>
      </c>
      <c r="E661" s="14" t="str">
        <f>IFERROR((VLOOKUP($A661,'[1]import success seats course'!$A:S,HLOOKUP('[1]Course Totals'!E$4,'[1]import success seats course'!$1:$2,2,FALSE),FALSE)/(VLOOKUP($A661,'[1]import graded seats course pivo'!$A:AC,HLOOKUP('[1]Course Totals'!E$4,'[1]import graded seats course pivo'!$1:$2,2,FALSE),FALSE))),"")</f>
        <v/>
      </c>
      <c r="F661" s="14">
        <f>IFERROR((VLOOKUP($A661,'[1]import success seats course'!$A:T,HLOOKUP('[1]Course Totals'!F$4,'[1]import success seats course'!$1:$2,2,FALSE),FALSE)/(VLOOKUP($A661,'[1]import graded seats course pivo'!$A:AD,HLOOKUP('[1]Course Totals'!F$4,'[1]import graded seats course pivo'!$1:$2,2,FALSE),FALSE))),"")</f>
        <v>0.90909090909090906</v>
      </c>
      <c r="G661" s="14" t="str">
        <f>IFERROR((VLOOKUP($A661,'[1]import success seats course'!$A:U,HLOOKUP('[1]Course Totals'!G$4,'[1]import success seats course'!$1:$2,2,FALSE),FALSE)/(VLOOKUP($A661,'[1]import graded seats course pivo'!$A:AE,HLOOKUP('[1]Course Totals'!G$4,'[1]import graded seats course pivo'!$1:$2,2,FALSE),FALSE))),"")</f>
        <v/>
      </c>
      <c r="H661" s="14" t="str">
        <f>IFERROR((VLOOKUP($A661,'[1]import success seats course'!$A:V,HLOOKUP('[1]Course Totals'!H$4,'[1]import success seats course'!$1:$2,2,FALSE),FALSE)/(VLOOKUP($A661,'[1]import graded seats course pivo'!$A:AF,HLOOKUP('[1]Course Totals'!H$4,'[1]import graded seats course pivo'!$1:$2,2,FALSE),FALSE))),"")</f>
        <v/>
      </c>
      <c r="I661" s="14">
        <f>IFERROR((VLOOKUP($A661,'[1]import success seats course'!$A:W,HLOOKUP('[1]Course Totals'!I$4,'[1]import success seats course'!$1:$2,2,FALSE),FALSE)/(VLOOKUP($A661,'[1]import graded seats course pivo'!$A:AG,HLOOKUP('[1]Course Totals'!I$4,'[1]import graded seats course pivo'!$1:$2,2,FALSE),FALSE))),"")</f>
        <v>1</v>
      </c>
      <c r="J661" s="14" t="str">
        <f>IFERROR((VLOOKUP($A661,'[1]import success seats course'!$A:X,HLOOKUP('[1]Course Totals'!J$4,'[1]import success seats course'!$1:$2,2,FALSE),FALSE)/(VLOOKUP($A661,'[1]import graded seats course pivo'!$A:AH,HLOOKUP('[1]Course Totals'!J$4,'[1]import graded seats course pivo'!$1:$2,2,FALSE),FALSE))),"")</f>
        <v/>
      </c>
      <c r="K661" s="14" t="str">
        <f>IFERROR((VLOOKUP($A661,'[1]import success seats course'!$A:Y,HLOOKUP('[1]Course Totals'!K$4,'[1]import success seats course'!$1:$2,2,FALSE),FALSE)/(VLOOKUP($A661,'[1]import graded seats course pivo'!$A:AI,HLOOKUP('[1]Course Totals'!K$4,'[1]import graded seats course pivo'!$1:$2,2,FALSE),FALSE))),"")</f>
        <v/>
      </c>
      <c r="L661" s="14">
        <f>IFERROR((VLOOKUP($A661,'[1]import success seats course'!$A:Z,HLOOKUP('[1]Course Totals'!L$4,'[1]import success seats course'!$1:$2,2,FALSE),FALSE)/(VLOOKUP($A661,'[1]import graded seats course pivo'!$A:AJ,HLOOKUP('[1]Course Totals'!L$4,'[1]import graded seats course pivo'!$1:$2,2,FALSE),FALSE))),"")</f>
        <v>0.86363636363636365</v>
      </c>
      <c r="M661" s="14" t="str">
        <f>IFERROR((VLOOKUP($A661,'[1]import success seats course'!$A:AA,HLOOKUP('[1]Course Totals'!M$4,'[1]import success seats course'!$1:$2,2,FALSE),FALSE)/(VLOOKUP($A661,'[1]import graded seats course pivo'!$A:AK,HLOOKUP('[1]Course Totals'!M$4,'[1]import graded seats course pivo'!$1:$2,2,FALSE),FALSE))),"")</f>
        <v/>
      </c>
      <c r="N661" s="14" t="str">
        <f>IFERROR((VLOOKUP($A661,'[1]import success seats course'!$A:AB,HLOOKUP('[1]Course Totals'!N$4,'[1]import success seats course'!$1:$2,2,FALSE),FALSE)/(VLOOKUP($A661,'[1]import graded seats course pivo'!$A:AL,HLOOKUP('[1]Course Totals'!N$4,'[1]import graded seats course pivo'!$1:$2,2,FALSE),FALSE))),"")</f>
        <v/>
      </c>
      <c r="O661" s="14">
        <f>IFERROR((VLOOKUP($A661,'[1]import success seats course'!$A:AC,HLOOKUP('[1]Course Totals'!O$4,'[1]import success seats course'!$1:$2,2,FALSE),FALSE)/(VLOOKUP($A661,'[1]import graded seats course pivo'!$A:AM,HLOOKUP('[1]Course Totals'!O$4,'[1]import graded seats course pivo'!$1:$2,2,FALSE),FALSE))),"")</f>
        <v>0.77272727272727271</v>
      </c>
      <c r="P661" s="14" t="str">
        <f>IFERROR((VLOOKUP($A661,'[1]import success seats course'!$A:AD,HLOOKUP('[1]Course Totals'!P$4,'[1]import success seats course'!$1:$2,2,FALSE),FALSE)/(VLOOKUP($A661,'[1]import graded seats course pivo'!$A:AN,HLOOKUP('[1]Course Totals'!P$4,'[1]import graded seats course pivo'!$1:$2,2,FALSE),FALSE))),"")</f>
        <v/>
      </c>
      <c r="Q661" s="14" t="str">
        <f>IFERROR((VLOOKUP($A661,'[1]import success seats course'!$A:AE,HLOOKUP('[1]Course Totals'!Q$4,'[1]import success seats course'!$1:$2,2,FALSE),FALSE)/(VLOOKUP($A661,'[1]import graded seats course pivo'!$A:AO,HLOOKUP('[1]Course Totals'!Q$4,'[1]import graded seats course pivo'!$1:$2,2,FALSE),FALSE))),"")</f>
        <v/>
      </c>
      <c r="R661" s="14">
        <f>IFERROR((VLOOKUP($A661,'[1]import success seats course'!$A:AF,HLOOKUP('[1]Course Totals'!R$4,'[1]import success seats course'!$1:$2,2,FALSE),FALSE)/(VLOOKUP($A661,'[1]import graded seats course pivo'!$A:AP,HLOOKUP('[1]Course Totals'!R$4,'[1]import graded seats course pivo'!$1:$2,2,FALSE),FALSE))),"")</f>
        <v>0.76923076923076927</v>
      </c>
      <c r="S661" s="14" t="str">
        <f>IFERROR((VLOOKUP($A661,'[1]import success seats course'!$A:AG,HLOOKUP('[1]Course Totals'!S$4,'[1]import success seats course'!$1:$2,2,FALSE),FALSE)/(VLOOKUP($A661,'[1]import graded seats course pivo'!$A:AQ,HLOOKUP('[1]Course Totals'!S$4,'[1]import graded seats course pivo'!$1:$2,2,FALSE),FALSE))),"")</f>
        <v/>
      </c>
      <c r="Z661" s="7"/>
      <c r="AA661" s="7"/>
      <c r="AB661" s="7"/>
      <c r="AC661" s="7"/>
    </row>
    <row r="662" spans="1:29" ht="15.75" customHeight="1" x14ac:dyDescent="0.25">
      <c r="A662" s="12" t="s">
        <v>991</v>
      </c>
      <c r="B662" s="14" t="str">
        <f>IFERROR((VLOOKUP($A662,'[1]import success seats course'!$A:P,HLOOKUP('[1]Course Totals'!B$4,'[1]import success seats course'!$1:$2,2,FALSE),FALSE)/(VLOOKUP($A662,'[1]import graded seats course pivo'!$A:Z,HLOOKUP('[1]Course Totals'!B$4,'[1]import graded seats course pivo'!$1:$2,2,FALSE),FALSE))),"")</f>
        <v/>
      </c>
      <c r="C662" s="14" t="str">
        <f>IFERROR((VLOOKUP($A662,'[1]import success seats course'!$A:Q,HLOOKUP('[1]Course Totals'!C$4,'[1]import success seats course'!$1:$2,2,FALSE),FALSE)/(VLOOKUP($A662,'[1]import graded seats course pivo'!$A:AA,HLOOKUP('[1]Course Totals'!C$4,'[1]import graded seats course pivo'!$1:$2,2,FALSE),FALSE))),"")</f>
        <v/>
      </c>
      <c r="D662" s="14" t="str">
        <f>IFERROR((VLOOKUP($A662,'[1]import success seats course'!$A:R,HLOOKUP('[1]Course Totals'!D$4,'[1]import success seats course'!$1:$2,2,FALSE),FALSE)/(VLOOKUP($A662,'[1]import graded seats course pivo'!$A:AB,HLOOKUP('[1]Course Totals'!D$4,'[1]import graded seats course pivo'!$1:$2,2,FALSE),FALSE))),"")</f>
        <v/>
      </c>
      <c r="E662" s="14" t="str">
        <f>IFERROR((VLOOKUP($A662,'[1]import success seats course'!$A:S,HLOOKUP('[1]Course Totals'!E$4,'[1]import success seats course'!$1:$2,2,FALSE),FALSE)/(VLOOKUP($A662,'[1]import graded seats course pivo'!$A:AC,HLOOKUP('[1]Course Totals'!E$4,'[1]import graded seats course pivo'!$1:$2,2,FALSE),FALSE))),"")</f>
        <v/>
      </c>
      <c r="F662" s="14" t="str">
        <f>IFERROR((VLOOKUP($A662,'[1]import success seats course'!$A:T,HLOOKUP('[1]Course Totals'!F$4,'[1]import success seats course'!$1:$2,2,FALSE),FALSE)/(VLOOKUP($A662,'[1]import graded seats course pivo'!$A:AD,HLOOKUP('[1]Course Totals'!F$4,'[1]import graded seats course pivo'!$1:$2,2,FALSE),FALSE))),"")</f>
        <v/>
      </c>
      <c r="G662" s="14">
        <f>IFERROR((VLOOKUP($A662,'[1]import success seats course'!$A:U,HLOOKUP('[1]Course Totals'!G$4,'[1]import success seats course'!$1:$2,2,FALSE),FALSE)/(VLOOKUP($A662,'[1]import graded seats course pivo'!$A:AE,HLOOKUP('[1]Course Totals'!G$4,'[1]import graded seats course pivo'!$1:$2,2,FALSE),FALSE))),"")</f>
        <v>0.78947368421052633</v>
      </c>
      <c r="H662" s="14" t="str">
        <f>IFERROR((VLOOKUP($A662,'[1]import success seats course'!$A:V,HLOOKUP('[1]Course Totals'!H$4,'[1]import success seats course'!$1:$2,2,FALSE),FALSE)/(VLOOKUP($A662,'[1]import graded seats course pivo'!$A:AF,HLOOKUP('[1]Course Totals'!H$4,'[1]import graded seats course pivo'!$1:$2,2,FALSE),FALSE))),"")</f>
        <v/>
      </c>
      <c r="I662" s="14" t="str">
        <f>IFERROR((VLOOKUP($A662,'[1]import success seats course'!$A:W,HLOOKUP('[1]Course Totals'!I$4,'[1]import success seats course'!$1:$2,2,FALSE),FALSE)/(VLOOKUP($A662,'[1]import graded seats course pivo'!$A:AG,HLOOKUP('[1]Course Totals'!I$4,'[1]import graded seats course pivo'!$1:$2,2,FALSE),FALSE))),"")</f>
        <v/>
      </c>
      <c r="J662" s="14">
        <f>IFERROR((VLOOKUP($A662,'[1]import success seats course'!$A:X,HLOOKUP('[1]Course Totals'!J$4,'[1]import success seats course'!$1:$2,2,FALSE),FALSE)/(VLOOKUP($A662,'[1]import graded seats course pivo'!$A:AH,HLOOKUP('[1]Course Totals'!J$4,'[1]import graded seats course pivo'!$1:$2,2,FALSE),FALSE))),"")</f>
        <v>0.88095238095238093</v>
      </c>
      <c r="K662" s="14" t="str">
        <f>IFERROR((VLOOKUP($A662,'[1]import success seats course'!$A:Y,HLOOKUP('[1]Course Totals'!K$4,'[1]import success seats course'!$1:$2,2,FALSE),FALSE)/(VLOOKUP($A662,'[1]import graded seats course pivo'!$A:AI,HLOOKUP('[1]Course Totals'!K$4,'[1]import graded seats course pivo'!$1:$2,2,FALSE),FALSE))),"")</f>
        <v/>
      </c>
      <c r="L662" s="14" t="str">
        <f>IFERROR((VLOOKUP($A662,'[1]import success seats course'!$A:Z,HLOOKUP('[1]Course Totals'!L$4,'[1]import success seats course'!$1:$2,2,FALSE),FALSE)/(VLOOKUP($A662,'[1]import graded seats course pivo'!$A:AJ,HLOOKUP('[1]Course Totals'!L$4,'[1]import graded seats course pivo'!$1:$2,2,FALSE),FALSE))),"")</f>
        <v/>
      </c>
      <c r="M662" s="14" t="str">
        <f>IFERROR((VLOOKUP($A662,'[1]import success seats course'!$A:AA,HLOOKUP('[1]Course Totals'!M$4,'[1]import success seats course'!$1:$2,2,FALSE),FALSE)/(VLOOKUP($A662,'[1]import graded seats course pivo'!$A:AK,HLOOKUP('[1]Course Totals'!M$4,'[1]import graded seats course pivo'!$1:$2,2,FALSE),FALSE))),"")</f>
        <v/>
      </c>
      <c r="N662" s="14" t="str">
        <f>IFERROR((VLOOKUP($A662,'[1]import success seats course'!$A:AB,HLOOKUP('[1]Course Totals'!N$4,'[1]import success seats course'!$1:$2,2,FALSE),FALSE)/(VLOOKUP($A662,'[1]import graded seats course pivo'!$A:AL,HLOOKUP('[1]Course Totals'!N$4,'[1]import graded seats course pivo'!$1:$2,2,FALSE),FALSE))),"")</f>
        <v/>
      </c>
      <c r="O662" s="14" t="str">
        <f>IFERROR((VLOOKUP($A662,'[1]import success seats course'!$A:AC,HLOOKUP('[1]Course Totals'!O$4,'[1]import success seats course'!$1:$2,2,FALSE),FALSE)/(VLOOKUP($A662,'[1]import graded seats course pivo'!$A:AM,HLOOKUP('[1]Course Totals'!O$4,'[1]import graded seats course pivo'!$1:$2,2,FALSE),FALSE))),"")</f>
        <v/>
      </c>
      <c r="P662" s="14" t="str">
        <f>IFERROR((VLOOKUP($A662,'[1]import success seats course'!$A:AD,HLOOKUP('[1]Course Totals'!P$4,'[1]import success seats course'!$1:$2,2,FALSE),FALSE)/(VLOOKUP($A662,'[1]import graded seats course pivo'!$A:AN,HLOOKUP('[1]Course Totals'!P$4,'[1]import graded seats course pivo'!$1:$2,2,FALSE),FALSE))),"")</f>
        <v/>
      </c>
      <c r="Q662" s="14" t="str">
        <f>IFERROR((VLOOKUP($A662,'[1]import success seats course'!$A:AE,HLOOKUP('[1]Course Totals'!Q$4,'[1]import success seats course'!$1:$2,2,FALSE),FALSE)/(VLOOKUP($A662,'[1]import graded seats course pivo'!$A:AO,HLOOKUP('[1]Course Totals'!Q$4,'[1]import graded seats course pivo'!$1:$2,2,FALSE),FALSE))),"")</f>
        <v/>
      </c>
      <c r="R662" s="14" t="str">
        <f>IFERROR((VLOOKUP($A662,'[1]import success seats course'!$A:AF,HLOOKUP('[1]Course Totals'!R$4,'[1]import success seats course'!$1:$2,2,FALSE),FALSE)/(VLOOKUP($A662,'[1]import graded seats course pivo'!$A:AP,HLOOKUP('[1]Course Totals'!R$4,'[1]import graded seats course pivo'!$1:$2,2,FALSE),FALSE))),"")</f>
        <v/>
      </c>
      <c r="S662" s="14" t="str">
        <f>IFERROR((VLOOKUP($A662,'[1]import success seats course'!$A:AG,HLOOKUP('[1]Course Totals'!S$4,'[1]import success seats course'!$1:$2,2,FALSE),FALSE)/(VLOOKUP($A662,'[1]import graded seats course pivo'!$A:AQ,HLOOKUP('[1]Course Totals'!S$4,'[1]import graded seats course pivo'!$1:$2,2,FALSE),FALSE))),"")</f>
        <v/>
      </c>
      <c r="Z662" s="7"/>
      <c r="AA662" s="7"/>
      <c r="AB662" s="7"/>
      <c r="AC662" s="7"/>
    </row>
    <row r="663" spans="1:29" ht="15.75" customHeight="1" x14ac:dyDescent="0.25">
      <c r="A663" s="12" t="s">
        <v>791</v>
      </c>
      <c r="B663" s="14" t="str">
        <f>IFERROR((VLOOKUP($A663,'[1]import success seats course'!$A:P,HLOOKUP('[1]Course Totals'!B$4,'[1]import success seats course'!$1:$2,2,FALSE),FALSE)/(VLOOKUP($A663,'[1]import graded seats course pivo'!$A:Z,HLOOKUP('[1]Course Totals'!B$4,'[1]import graded seats course pivo'!$1:$2,2,FALSE),FALSE))),"")</f>
        <v/>
      </c>
      <c r="C663" s="14" t="str">
        <f>IFERROR((VLOOKUP($A663,'[1]import success seats course'!$A:Q,HLOOKUP('[1]Course Totals'!C$4,'[1]import success seats course'!$1:$2,2,FALSE),FALSE)/(VLOOKUP($A663,'[1]import graded seats course pivo'!$A:AA,HLOOKUP('[1]Course Totals'!C$4,'[1]import graded seats course pivo'!$1:$2,2,FALSE),FALSE))),"")</f>
        <v/>
      </c>
      <c r="D663" s="14" t="str">
        <f>IFERROR((VLOOKUP($A663,'[1]import success seats course'!$A:R,HLOOKUP('[1]Course Totals'!D$4,'[1]import success seats course'!$1:$2,2,FALSE),FALSE)/(VLOOKUP($A663,'[1]import graded seats course pivo'!$A:AB,HLOOKUP('[1]Course Totals'!D$4,'[1]import graded seats course pivo'!$1:$2,2,FALSE),FALSE))),"")</f>
        <v/>
      </c>
      <c r="E663" s="14" t="str">
        <f>IFERROR((VLOOKUP($A663,'[1]import success seats course'!$A:S,HLOOKUP('[1]Course Totals'!E$4,'[1]import success seats course'!$1:$2,2,FALSE),FALSE)/(VLOOKUP($A663,'[1]import graded seats course pivo'!$A:AC,HLOOKUP('[1]Course Totals'!E$4,'[1]import graded seats course pivo'!$1:$2,2,FALSE),FALSE))),"")</f>
        <v/>
      </c>
      <c r="F663" s="14" t="str">
        <f>IFERROR((VLOOKUP($A663,'[1]import success seats course'!$A:T,HLOOKUP('[1]Course Totals'!F$4,'[1]import success seats course'!$1:$2,2,FALSE),FALSE)/(VLOOKUP($A663,'[1]import graded seats course pivo'!$A:AD,HLOOKUP('[1]Course Totals'!F$4,'[1]import graded seats course pivo'!$1:$2,2,FALSE),FALSE))),"")</f>
        <v/>
      </c>
      <c r="G663" s="14" t="str">
        <f>IFERROR((VLOOKUP($A663,'[1]import success seats course'!$A:U,HLOOKUP('[1]Course Totals'!G$4,'[1]import success seats course'!$1:$2,2,FALSE),FALSE)/(VLOOKUP($A663,'[1]import graded seats course pivo'!$A:AE,HLOOKUP('[1]Course Totals'!G$4,'[1]import graded seats course pivo'!$1:$2,2,FALSE),FALSE))),"")</f>
        <v/>
      </c>
      <c r="H663" s="14" t="str">
        <f>IFERROR((VLOOKUP($A663,'[1]import success seats course'!$A:V,HLOOKUP('[1]Course Totals'!H$4,'[1]import success seats course'!$1:$2,2,FALSE),FALSE)/(VLOOKUP($A663,'[1]import graded seats course pivo'!$A:AF,HLOOKUP('[1]Course Totals'!H$4,'[1]import graded seats course pivo'!$1:$2,2,FALSE),FALSE))),"")</f>
        <v/>
      </c>
      <c r="I663" s="14" t="str">
        <f>IFERROR((VLOOKUP($A663,'[1]import success seats course'!$A:W,HLOOKUP('[1]Course Totals'!I$4,'[1]import success seats course'!$1:$2,2,FALSE),FALSE)/(VLOOKUP($A663,'[1]import graded seats course pivo'!$A:AG,HLOOKUP('[1]Course Totals'!I$4,'[1]import graded seats course pivo'!$1:$2,2,FALSE),FALSE))),"")</f>
        <v/>
      </c>
      <c r="J663" s="14" t="str">
        <f>IFERROR((VLOOKUP($A663,'[1]import success seats course'!$A:X,HLOOKUP('[1]Course Totals'!J$4,'[1]import success seats course'!$1:$2,2,FALSE),FALSE)/(VLOOKUP($A663,'[1]import graded seats course pivo'!$A:AH,HLOOKUP('[1]Course Totals'!J$4,'[1]import graded seats course pivo'!$1:$2,2,FALSE),FALSE))),"")</f>
        <v/>
      </c>
      <c r="K663" s="14" t="str">
        <f>IFERROR((VLOOKUP($A663,'[1]import success seats course'!$A:Y,HLOOKUP('[1]Course Totals'!K$4,'[1]import success seats course'!$1:$2,2,FALSE),FALSE)/(VLOOKUP($A663,'[1]import graded seats course pivo'!$A:AI,HLOOKUP('[1]Course Totals'!K$4,'[1]import graded seats course pivo'!$1:$2,2,FALSE),FALSE))),"")</f>
        <v/>
      </c>
      <c r="L663" s="14">
        <f>IFERROR((VLOOKUP($A663,'[1]import success seats course'!$A:Z,HLOOKUP('[1]Course Totals'!L$4,'[1]import success seats course'!$1:$2,2,FALSE),FALSE)/(VLOOKUP($A663,'[1]import graded seats course pivo'!$A:AJ,HLOOKUP('[1]Course Totals'!L$4,'[1]import graded seats course pivo'!$1:$2,2,FALSE),FALSE))),"")</f>
        <v>0.97826086956521741</v>
      </c>
      <c r="M663" s="14" t="str">
        <f>IFERROR((VLOOKUP($A663,'[1]import success seats course'!$A:AA,HLOOKUP('[1]Course Totals'!M$4,'[1]import success seats course'!$1:$2,2,FALSE),FALSE)/(VLOOKUP($A663,'[1]import graded seats course pivo'!$A:AK,HLOOKUP('[1]Course Totals'!M$4,'[1]import graded seats course pivo'!$1:$2,2,FALSE),FALSE))),"")</f>
        <v/>
      </c>
      <c r="N663" s="14" t="str">
        <f>IFERROR((VLOOKUP($A663,'[1]import success seats course'!$A:AB,HLOOKUP('[1]Course Totals'!N$4,'[1]import success seats course'!$1:$2,2,FALSE),FALSE)/(VLOOKUP($A663,'[1]import graded seats course pivo'!$A:AL,HLOOKUP('[1]Course Totals'!N$4,'[1]import graded seats course pivo'!$1:$2,2,FALSE),FALSE))),"")</f>
        <v/>
      </c>
      <c r="O663" s="14" t="str">
        <f>IFERROR((VLOOKUP($A663,'[1]import success seats course'!$A:AC,HLOOKUP('[1]Course Totals'!O$4,'[1]import success seats course'!$1:$2,2,FALSE),FALSE)/(VLOOKUP($A663,'[1]import graded seats course pivo'!$A:AM,HLOOKUP('[1]Course Totals'!O$4,'[1]import graded seats course pivo'!$1:$2,2,FALSE),FALSE))),"")</f>
        <v/>
      </c>
      <c r="P663" s="14" t="str">
        <f>IFERROR((VLOOKUP($A663,'[1]import success seats course'!$A:AD,HLOOKUP('[1]Course Totals'!P$4,'[1]import success seats course'!$1:$2,2,FALSE),FALSE)/(VLOOKUP($A663,'[1]import graded seats course pivo'!$A:AN,HLOOKUP('[1]Course Totals'!P$4,'[1]import graded seats course pivo'!$1:$2,2,FALSE),FALSE))),"")</f>
        <v/>
      </c>
      <c r="Q663" s="14" t="str">
        <f>IFERROR((VLOOKUP($A663,'[1]import success seats course'!$A:AE,HLOOKUP('[1]Course Totals'!Q$4,'[1]import success seats course'!$1:$2,2,FALSE),FALSE)/(VLOOKUP($A663,'[1]import graded seats course pivo'!$A:AO,HLOOKUP('[1]Course Totals'!Q$4,'[1]import graded seats course pivo'!$1:$2,2,FALSE),FALSE))),"")</f>
        <v/>
      </c>
      <c r="R663" s="14" t="str">
        <f>IFERROR((VLOOKUP($A663,'[1]import success seats course'!$A:AF,HLOOKUP('[1]Course Totals'!R$4,'[1]import success seats course'!$1:$2,2,FALSE),FALSE)/(VLOOKUP($A663,'[1]import graded seats course pivo'!$A:AP,HLOOKUP('[1]Course Totals'!R$4,'[1]import graded seats course pivo'!$1:$2,2,FALSE),FALSE))),"")</f>
        <v/>
      </c>
      <c r="S663" s="14" t="str">
        <f>IFERROR((VLOOKUP($A663,'[1]import success seats course'!$A:AG,HLOOKUP('[1]Course Totals'!S$4,'[1]import success seats course'!$1:$2,2,FALSE),FALSE)/(VLOOKUP($A663,'[1]import graded seats course pivo'!$A:AQ,HLOOKUP('[1]Course Totals'!S$4,'[1]import graded seats course pivo'!$1:$2,2,FALSE),FALSE))),"")</f>
        <v/>
      </c>
      <c r="Z663" s="7"/>
      <c r="AA663" s="7"/>
      <c r="AB663" s="7"/>
      <c r="AC663" s="7"/>
    </row>
    <row r="664" spans="1:29" ht="15.75" customHeight="1" x14ac:dyDescent="0.25">
      <c r="A664" s="12" t="s">
        <v>1034</v>
      </c>
      <c r="B664" s="14" t="str">
        <f>IFERROR((VLOOKUP($A664,'[1]import success seats course'!$A:P,HLOOKUP('[1]Course Totals'!B$4,'[1]import success seats course'!$1:$2,2,FALSE),FALSE)/(VLOOKUP($A664,'[1]import graded seats course pivo'!$A:Z,HLOOKUP('[1]Course Totals'!B$4,'[1]import graded seats course pivo'!$1:$2,2,FALSE),FALSE))),"")</f>
        <v/>
      </c>
      <c r="C664" s="14" t="str">
        <f>IFERROR((VLOOKUP($A664,'[1]import success seats course'!$A:Q,HLOOKUP('[1]Course Totals'!C$4,'[1]import success seats course'!$1:$2,2,FALSE),FALSE)/(VLOOKUP($A664,'[1]import graded seats course pivo'!$A:AA,HLOOKUP('[1]Course Totals'!C$4,'[1]import graded seats course pivo'!$1:$2,2,FALSE),FALSE))),"")</f>
        <v/>
      </c>
      <c r="D664" s="14" t="str">
        <f>IFERROR((VLOOKUP($A664,'[1]import success seats course'!$A:R,HLOOKUP('[1]Course Totals'!D$4,'[1]import success seats course'!$1:$2,2,FALSE),FALSE)/(VLOOKUP($A664,'[1]import graded seats course pivo'!$A:AB,HLOOKUP('[1]Course Totals'!D$4,'[1]import graded seats course pivo'!$1:$2,2,FALSE),FALSE))),"")</f>
        <v/>
      </c>
      <c r="E664" s="14" t="str">
        <f>IFERROR((VLOOKUP($A664,'[1]import success seats course'!$A:S,HLOOKUP('[1]Course Totals'!E$4,'[1]import success seats course'!$1:$2,2,FALSE),FALSE)/(VLOOKUP($A664,'[1]import graded seats course pivo'!$A:AC,HLOOKUP('[1]Course Totals'!E$4,'[1]import graded seats course pivo'!$1:$2,2,FALSE),FALSE))),"")</f>
        <v/>
      </c>
      <c r="F664" s="14" t="str">
        <f>IFERROR((VLOOKUP($A664,'[1]import success seats course'!$A:T,HLOOKUP('[1]Course Totals'!F$4,'[1]import success seats course'!$1:$2,2,FALSE),FALSE)/(VLOOKUP($A664,'[1]import graded seats course pivo'!$A:AD,HLOOKUP('[1]Course Totals'!F$4,'[1]import graded seats course pivo'!$1:$2,2,FALSE),FALSE))),"")</f>
        <v/>
      </c>
      <c r="G664" s="14" t="str">
        <f>IFERROR((VLOOKUP($A664,'[1]import success seats course'!$A:U,HLOOKUP('[1]Course Totals'!G$4,'[1]import success seats course'!$1:$2,2,FALSE),FALSE)/(VLOOKUP($A664,'[1]import graded seats course pivo'!$A:AE,HLOOKUP('[1]Course Totals'!G$4,'[1]import graded seats course pivo'!$1:$2,2,FALSE),FALSE))),"")</f>
        <v/>
      </c>
      <c r="H664" s="14" t="str">
        <f>IFERROR((VLOOKUP($A664,'[1]import success seats course'!$A:V,HLOOKUP('[1]Course Totals'!H$4,'[1]import success seats course'!$1:$2,2,FALSE),FALSE)/(VLOOKUP($A664,'[1]import graded seats course pivo'!$A:AF,HLOOKUP('[1]Course Totals'!H$4,'[1]import graded seats course pivo'!$1:$2,2,FALSE),FALSE))),"")</f>
        <v/>
      </c>
      <c r="I664" s="14" t="str">
        <f>IFERROR((VLOOKUP($A664,'[1]import success seats course'!$A:W,HLOOKUP('[1]Course Totals'!I$4,'[1]import success seats course'!$1:$2,2,FALSE),FALSE)/(VLOOKUP($A664,'[1]import graded seats course pivo'!$A:AG,HLOOKUP('[1]Course Totals'!I$4,'[1]import graded seats course pivo'!$1:$2,2,FALSE),FALSE))),"")</f>
        <v/>
      </c>
      <c r="J664" s="14" t="str">
        <f>IFERROR((VLOOKUP($A664,'[1]import success seats course'!$A:X,HLOOKUP('[1]Course Totals'!J$4,'[1]import success seats course'!$1:$2,2,FALSE),FALSE)/(VLOOKUP($A664,'[1]import graded seats course pivo'!$A:AH,HLOOKUP('[1]Course Totals'!J$4,'[1]import graded seats course pivo'!$1:$2,2,FALSE),FALSE))),"")</f>
        <v/>
      </c>
      <c r="K664" s="14" t="str">
        <f>IFERROR((VLOOKUP($A664,'[1]import success seats course'!$A:Y,HLOOKUP('[1]Course Totals'!K$4,'[1]import success seats course'!$1:$2,2,FALSE),FALSE)/(VLOOKUP($A664,'[1]import graded seats course pivo'!$A:AI,HLOOKUP('[1]Course Totals'!K$4,'[1]import graded seats course pivo'!$1:$2,2,FALSE),FALSE))),"")</f>
        <v/>
      </c>
      <c r="L664" s="14" t="str">
        <f>IFERROR((VLOOKUP($A664,'[1]import success seats course'!$A:Z,HLOOKUP('[1]Course Totals'!L$4,'[1]import success seats course'!$1:$2,2,FALSE),FALSE)/(VLOOKUP($A664,'[1]import graded seats course pivo'!$A:AJ,HLOOKUP('[1]Course Totals'!L$4,'[1]import graded seats course pivo'!$1:$2,2,FALSE),FALSE))),"")</f>
        <v/>
      </c>
      <c r="M664" s="14">
        <f>IFERROR((VLOOKUP($A664,'[1]import success seats course'!$A:AA,HLOOKUP('[1]Course Totals'!M$4,'[1]import success seats course'!$1:$2,2,FALSE),FALSE)/(VLOOKUP($A664,'[1]import graded seats course pivo'!$A:AK,HLOOKUP('[1]Course Totals'!M$4,'[1]import graded seats course pivo'!$1:$2,2,FALSE),FALSE))),"")</f>
        <v>0.86363636363636365</v>
      </c>
      <c r="N664" s="14" t="str">
        <f>IFERROR((VLOOKUP($A664,'[1]import success seats course'!$A:AB,HLOOKUP('[1]Course Totals'!N$4,'[1]import success seats course'!$1:$2,2,FALSE),FALSE)/(VLOOKUP($A664,'[1]import graded seats course pivo'!$A:AL,HLOOKUP('[1]Course Totals'!N$4,'[1]import graded seats course pivo'!$1:$2,2,FALSE),FALSE))),"")</f>
        <v/>
      </c>
      <c r="O664" s="14" t="str">
        <f>IFERROR((VLOOKUP($A664,'[1]import success seats course'!$A:AC,HLOOKUP('[1]Course Totals'!O$4,'[1]import success seats course'!$1:$2,2,FALSE),FALSE)/(VLOOKUP($A664,'[1]import graded seats course pivo'!$A:AM,HLOOKUP('[1]Course Totals'!O$4,'[1]import graded seats course pivo'!$1:$2,2,FALSE),FALSE))),"")</f>
        <v/>
      </c>
      <c r="P664" s="14" t="str">
        <f>IFERROR((VLOOKUP($A664,'[1]import success seats course'!$A:AD,HLOOKUP('[1]Course Totals'!P$4,'[1]import success seats course'!$1:$2,2,FALSE),FALSE)/(VLOOKUP($A664,'[1]import graded seats course pivo'!$A:AN,HLOOKUP('[1]Course Totals'!P$4,'[1]import graded seats course pivo'!$1:$2,2,FALSE),FALSE))),"")</f>
        <v/>
      </c>
      <c r="Q664" s="14" t="str">
        <f>IFERROR((VLOOKUP($A664,'[1]import success seats course'!$A:AE,HLOOKUP('[1]Course Totals'!Q$4,'[1]import success seats course'!$1:$2,2,FALSE),FALSE)/(VLOOKUP($A664,'[1]import graded seats course pivo'!$A:AO,HLOOKUP('[1]Course Totals'!Q$4,'[1]import graded seats course pivo'!$1:$2,2,FALSE),FALSE))),"")</f>
        <v/>
      </c>
      <c r="R664" s="14" t="str">
        <f>IFERROR((VLOOKUP($A664,'[1]import success seats course'!$A:AF,HLOOKUP('[1]Course Totals'!R$4,'[1]import success seats course'!$1:$2,2,FALSE),FALSE)/(VLOOKUP($A664,'[1]import graded seats course pivo'!$A:AP,HLOOKUP('[1]Course Totals'!R$4,'[1]import graded seats course pivo'!$1:$2,2,FALSE),FALSE))),"")</f>
        <v/>
      </c>
      <c r="S664" s="14" t="str">
        <f>IFERROR((VLOOKUP($A664,'[1]import success seats course'!$A:AG,HLOOKUP('[1]Course Totals'!S$4,'[1]import success seats course'!$1:$2,2,FALSE),FALSE)/(VLOOKUP($A664,'[1]import graded seats course pivo'!$A:AQ,HLOOKUP('[1]Course Totals'!S$4,'[1]import graded seats course pivo'!$1:$2,2,FALSE),FALSE))),"")</f>
        <v/>
      </c>
      <c r="Z664" s="7"/>
      <c r="AA664" s="7"/>
      <c r="AB664" s="7"/>
      <c r="AC664" s="7"/>
    </row>
    <row r="665" spans="1:29" ht="15.75" customHeight="1" x14ac:dyDescent="0.25">
      <c r="A665" s="12" t="s">
        <v>311</v>
      </c>
      <c r="B665" s="14" t="str">
        <f>IFERROR((VLOOKUP($A665,'[1]import success seats course'!$A:P,HLOOKUP('[1]Course Totals'!B$4,'[1]import success seats course'!$1:$2,2,FALSE),FALSE)/(VLOOKUP($A665,'[1]import graded seats course pivo'!$A:Z,HLOOKUP('[1]Course Totals'!B$4,'[1]import graded seats course pivo'!$1:$2,2,FALSE),FALSE))),"")</f>
        <v/>
      </c>
      <c r="C665" s="14">
        <f>IFERROR((VLOOKUP($A665,'[1]import success seats course'!$A:Q,HLOOKUP('[1]Course Totals'!C$4,'[1]import success seats course'!$1:$2,2,FALSE),FALSE)/(VLOOKUP($A665,'[1]import graded seats course pivo'!$A:AA,HLOOKUP('[1]Course Totals'!C$4,'[1]import graded seats course pivo'!$1:$2,2,FALSE),FALSE))),"")</f>
        <v>0.375</v>
      </c>
      <c r="D665" s="14">
        <f>IFERROR((VLOOKUP($A665,'[1]import success seats course'!$A:R,HLOOKUP('[1]Course Totals'!D$4,'[1]import success seats course'!$1:$2,2,FALSE),FALSE)/(VLOOKUP($A665,'[1]import graded seats course pivo'!$A:AB,HLOOKUP('[1]Course Totals'!D$4,'[1]import graded seats course pivo'!$1:$2,2,FALSE),FALSE))),"")</f>
        <v>0.83333333333333337</v>
      </c>
      <c r="E665" s="14" t="str">
        <f>IFERROR((VLOOKUP($A665,'[1]import success seats course'!$A:S,HLOOKUP('[1]Course Totals'!E$4,'[1]import success seats course'!$1:$2,2,FALSE),FALSE)/(VLOOKUP($A665,'[1]import graded seats course pivo'!$A:AC,HLOOKUP('[1]Course Totals'!E$4,'[1]import graded seats course pivo'!$1:$2,2,FALSE),FALSE))),"")</f>
        <v/>
      </c>
      <c r="F665" s="14">
        <f>IFERROR((VLOOKUP($A665,'[1]import success seats course'!$A:T,HLOOKUP('[1]Course Totals'!F$4,'[1]import success seats course'!$1:$2,2,FALSE),FALSE)/(VLOOKUP($A665,'[1]import graded seats course pivo'!$A:AD,HLOOKUP('[1]Course Totals'!F$4,'[1]import graded seats course pivo'!$1:$2,2,FALSE),FALSE))),"")</f>
        <v>0.875</v>
      </c>
      <c r="G665" s="14">
        <f>IFERROR((VLOOKUP($A665,'[1]import success seats course'!$A:U,HLOOKUP('[1]Course Totals'!G$4,'[1]import success seats course'!$1:$2,2,FALSE),FALSE)/(VLOOKUP($A665,'[1]import graded seats course pivo'!$A:AE,HLOOKUP('[1]Course Totals'!G$4,'[1]import graded seats course pivo'!$1:$2,2,FALSE),FALSE))),"")</f>
        <v>0.92307692307692313</v>
      </c>
      <c r="H665" s="14" t="str">
        <f>IFERROR((VLOOKUP($A665,'[1]import success seats course'!$A:V,HLOOKUP('[1]Course Totals'!H$4,'[1]import success seats course'!$1:$2,2,FALSE),FALSE)/(VLOOKUP($A665,'[1]import graded seats course pivo'!$A:AF,HLOOKUP('[1]Course Totals'!H$4,'[1]import graded seats course pivo'!$1:$2,2,FALSE),FALSE))),"")</f>
        <v/>
      </c>
      <c r="I665" s="14">
        <f>IFERROR((VLOOKUP($A665,'[1]import success seats course'!$A:W,HLOOKUP('[1]Course Totals'!I$4,'[1]import success seats course'!$1:$2,2,FALSE),FALSE)/(VLOOKUP($A665,'[1]import graded seats course pivo'!$A:AG,HLOOKUP('[1]Course Totals'!I$4,'[1]import graded seats course pivo'!$1:$2,2,FALSE),FALSE))),"")</f>
        <v>1</v>
      </c>
      <c r="J665" s="14">
        <f>IFERROR((VLOOKUP($A665,'[1]import success seats course'!$A:X,HLOOKUP('[1]Course Totals'!J$4,'[1]import success seats course'!$1:$2,2,FALSE),FALSE)/(VLOOKUP($A665,'[1]import graded seats course pivo'!$A:AH,HLOOKUP('[1]Course Totals'!J$4,'[1]import graded seats course pivo'!$1:$2,2,FALSE),FALSE))),"")</f>
        <v>0.7</v>
      </c>
      <c r="K665" s="14" t="str">
        <f>IFERROR((VLOOKUP($A665,'[1]import success seats course'!$A:Y,HLOOKUP('[1]Course Totals'!K$4,'[1]import success seats course'!$1:$2,2,FALSE),FALSE)/(VLOOKUP($A665,'[1]import graded seats course pivo'!$A:AI,HLOOKUP('[1]Course Totals'!K$4,'[1]import graded seats course pivo'!$1:$2,2,FALSE),FALSE))),"")</f>
        <v/>
      </c>
      <c r="L665" s="14">
        <f>IFERROR((VLOOKUP($A665,'[1]import success seats course'!$A:Z,HLOOKUP('[1]Course Totals'!L$4,'[1]import success seats course'!$1:$2,2,FALSE),FALSE)/(VLOOKUP($A665,'[1]import graded seats course pivo'!$A:AJ,HLOOKUP('[1]Course Totals'!L$4,'[1]import graded seats course pivo'!$1:$2,2,FALSE),FALSE))),"")</f>
        <v>0.5714285714285714</v>
      </c>
      <c r="M665" s="14">
        <f>IFERROR((VLOOKUP($A665,'[1]import success seats course'!$A:AA,HLOOKUP('[1]Course Totals'!M$4,'[1]import success seats course'!$1:$2,2,FALSE),FALSE)/(VLOOKUP($A665,'[1]import graded seats course pivo'!$A:AK,HLOOKUP('[1]Course Totals'!M$4,'[1]import graded seats course pivo'!$1:$2,2,FALSE),FALSE))),"")</f>
        <v>0.875</v>
      </c>
      <c r="N665" s="14" t="str">
        <f>IFERROR((VLOOKUP($A665,'[1]import success seats course'!$A:AB,HLOOKUP('[1]Course Totals'!N$4,'[1]import success seats course'!$1:$2,2,FALSE),FALSE)/(VLOOKUP($A665,'[1]import graded seats course pivo'!$A:AL,HLOOKUP('[1]Course Totals'!N$4,'[1]import graded seats course pivo'!$1:$2,2,FALSE),FALSE))),"")</f>
        <v/>
      </c>
      <c r="O665" s="14">
        <f>IFERROR((VLOOKUP($A665,'[1]import success seats course'!$A:AC,HLOOKUP('[1]Course Totals'!O$4,'[1]import success seats course'!$1:$2,2,FALSE),FALSE)/(VLOOKUP($A665,'[1]import graded seats course pivo'!$A:AM,HLOOKUP('[1]Course Totals'!O$4,'[1]import graded seats course pivo'!$1:$2,2,FALSE),FALSE))),"")</f>
        <v>1</v>
      </c>
      <c r="P665" s="14">
        <f>IFERROR((VLOOKUP($A665,'[1]import success seats course'!$A:AD,HLOOKUP('[1]Course Totals'!P$4,'[1]import success seats course'!$1:$2,2,FALSE),FALSE)/(VLOOKUP($A665,'[1]import graded seats course pivo'!$A:AN,HLOOKUP('[1]Course Totals'!P$4,'[1]import graded seats course pivo'!$1:$2,2,FALSE),FALSE))),"")</f>
        <v>0.88888888888888884</v>
      </c>
      <c r="Q665" s="14" t="str">
        <f>IFERROR((VLOOKUP($A665,'[1]import success seats course'!$A:AE,HLOOKUP('[1]Course Totals'!Q$4,'[1]import success seats course'!$1:$2,2,FALSE),FALSE)/(VLOOKUP($A665,'[1]import graded seats course pivo'!$A:AO,HLOOKUP('[1]Course Totals'!Q$4,'[1]import graded seats course pivo'!$1:$2,2,FALSE),FALSE))),"")</f>
        <v/>
      </c>
      <c r="R665" s="14">
        <f>IFERROR((VLOOKUP($A665,'[1]import success seats course'!$A:AF,HLOOKUP('[1]Course Totals'!R$4,'[1]import success seats course'!$1:$2,2,FALSE),FALSE)/(VLOOKUP($A665,'[1]import graded seats course pivo'!$A:AP,HLOOKUP('[1]Course Totals'!R$4,'[1]import graded seats course pivo'!$1:$2,2,FALSE),FALSE))),"")</f>
        <v>0.83333333333333337</v>
      </c>
      <c r="S665" s="14">
        <f>IFERROR((VLOOKUP($A665,'[1]import success seats course'!$A:AG,HLOOKUP('[1]Course Totals'!S$4,'[1]import success seats course'!$1:$2,2,FALSE),FALSE)/(VLOOKUP($A665,'[1]import graded seats course pivo'!$A:AQ,HLOOKUP('[1]Course Totals'!S$4,'[1]import graded seats course pivo'!$1:$2,2,FALSE),FALSE))),"")</f>
        <v>0.75</v>
      </c>
      <c r="Z665" s="7"/>
      <c r="AA665" s="7"/>
      <c r="AB665" s="7"/>
      <c r="AC665" s="7"/>
    </row>
    <row r="666" spans="1:29" ht="15.75" customHeight="1" x14ac:dyDescent="0.25">
      <c r="A666" s="12" t="s">
        <v>625</v>
      </c>
      <c r="B666" s="14" t="str">
        <f>IFERROR((VLOOKUP($A666,'[1]import success seats course'!$A:P,HLOOKUP('[1]Course Totals'!B$4,'[1]import success seats course'!$1:$2,2,FALSE),FALSE)/(VLOOKUP($A666,'[1]import graded seats course pivo'!$A:Z,HLOOKUP('[1]Course Totals'!B$4,'[1]import graded seats course pivo'!$1:$2,2,FALSE),FALSE))),"")</f>
        <v/>
      </c>
      <c r="C666" s="14" t="str">
        <f>IFERROR((VLOOKUP($A666,'[1]import success seats course'!$A:Q,HLOOKUP('[1]Course Totals'!C$4,'[1]import success seats course'!$1:$2,2,FALSE),FALSE)/(VLOOKUP($A666,'[1]import graded seats course pivo'!$A:AA,HLOOKUP('[1]Course Totals'!C$4,'[1]import graded seats course pivo'!$1:$2,2,FALSE),FALSE))),"")</f>
        <v/>
      </c>
      <c r="D666" s="14">
        <f>IFERROR((VLOOKUP($A666,'[1]import success seats course'!$A:R,HLOOKUP('[1]Course Totals'!D$4,'[1]import success seats course'!$1:$2,2,FALSE),FALSE)/(VLOOKUP($A666,'[1]import graded seats course pivo'!$A:AB,HLOOKUP('[1]Course Totals'!D$4,'[1]import graded seats course pivo'!$1:$2,2,FALSE),FALSE))),"")</f>
        <v>1</v>
      </c>
      <c r="E666" s="14" t="str">
        <f>IFERROR((VLOOKUP($A666,'[1]import success seats course'!$A:S,HLOOKUP('[1]Course Totals'!E$4,'[1]import success seats course'!$1:$2,2,FALSE),FALSE)/(VLOOKUP($A666,'[1]import graded seats course pivo'!$A:AC,HLOOKUP('[1]Course Totals'!E$4,'[1]import graded seats course pivo'!$1:$2,2,FALSE),FALSE))),"")</f>
        <v/>
      </c>
      <c r="F666" s="14" t="str">
        <f>IFERROR((VLOOKUP($A666,'[1]import success seats course'!$A:T,HLOOKUP('[1]Course Totals'!F$4,'[1]import success seats course'!$1:$2,2,FALSE),FALSE)/(VLOOKUP($A666,'[1]import graded seats course pivo'!$A:AD,HLOOKUP('[1]Course Totals'!F$4,'[1]import graded seats course pivo'!$1:$2,2,FALSE),FALSE))),"")</f>
        <v/>
      </c>
      <c r="G666" s="14">
        <f>IFERROR((VLOOKUP($A666,'[1]import success seats course'!$A:U,HLOOKUP('[1]Course Totals'!G$4,'[1]import success seats course'!$1:$2,2,FALSE),FALSE)/(VLOOKUP($A666,'[1]import graded seats course pivo'!$A:AE,HLOOKUP('[1]Course Totals'!G$4,'[1]import graded seats course pivo'!$1:$2,2,FALSE),FALSE))),"")</f>
        <v>1</v>
      </c>
      <c r="H666" s="14" t="str">
        <f>IFERROR((VLOOKUP($A666,'[1]import success seats course'!$A:V,HLOOKUP('[1]Course Totals'!H$4,'[1]import success seats course'!$1:$2,2,FALSE),FALSE)/(VLOOKUP($A666,'[1]import graded seats course pivo'!$A:AF,HLOOKUP('[1]Course Totals'!H$4,'[1]import graded seats course pivo'!$1:$2,2,FALSE),FALSE))),"")</f>
        <v/>
      </c>
      <c r="I666" s="14">
        <f>IFERROR((VLOOKUP($A666,'[1]import success seats course'!$A:W,HLOOKUP('[1]Course Totals'!I$4,'[1]import success seats course'!$1:$2,2,FALSE),FALSE)/(VLOOKUP($A666,'[1]import graded seats course pivo'!$A:AG,HLOOKUP('[1]Course Totals'!I$4,'[1]import graded seats course pivo'!$1:$2,2,FALSE),FALSE))),"")</f>
        <v>0.77777777777777779</v>
      </c>
      <c r="J666" s="14">
        <f>IFERROR((VLOOKUP($A666,'[1]import success seats course'!$A:X,HLOOKUP('[1]Course Totals'!J$4,'[1]import success seats course'!$1:$2,2,FALSE),FALSE)/(VLOOKUP($A666,'[1]import graded seats course pivo'!$A:AH,HLOOKUP('[1]Course Totals'!J$4,'[1]import graded seats course pivo'!$1:$2,2,FALSE),FALSE))),"")</f>
        <v>0.55555555555555558</v>
      </c>
      <c r="K666" s="14" t="str">
        <f>IFERROR((VLOOKUP($A666,'[1]import success seats course'!$A:Y,HLOOKUP('[1]Course Totals'!K$4,'[1]import success seats course'!$1:$2,2,FALSE),FALSE)/(VLOOKUP($A666,'[1]import graded seats course pivo'!$A:AI,HLOOKUP('[1]Course Totals'!K$4,'[1]import graded seats course pivo'!$1:$2,2,FALSE),FALSE))),"")</f>
        <v/>
      </c>
      <c r="L666" s="14" t="str">
        <f>IFERROR((VLOOKUP($A666,'[1]import success seats course'!$A:Z,HLOOKUP('[1]Course Totals'!L$4,'[1]import success seats course'!$1:$2,2,FALSE),FALSE)/(VLOOKUP($A666,'[1]import graded seats course pivo'!$A:AJ,HLOOKUP('[1]Course Totals'!L$4,'[1]import graded seats course pivo'!$1:$2,2,FALSE),FALSE))),"")</f>
        <v/>
      </c>
      <c r="M666" s="14">
        <f>IFERROR((VLOOKUP($A666,'[1]import success seats course'!$A:AA,HLOOKUP('[1]Course Totals'!M$4,'[1]import success seats course'!$1:$2,2,FALSE),FALSE)/(VLOOKUP($A666,'[1]import graded seats course pivo'!$A:AK,HLOOKUP('[1]Course Totals'!M$4,'[1]import graded seats course pivo'!$1:$2,2,FALSE),FALSE))),"")</f>
        <v>0.82352941176470584</v>
      </c>
      <c r="N666" s="14" t="str">
        <f>IFERROR((VLOOKUP($A666,'[1]import success seats course'!$A:AB,HLOOKUP('[1]Course Totals'!N$4,'[1]import success seats course'!$1:$2,2,FALSE),FALSE)/(VLOOKUP($A666,'[1]import graded seats course pivo'!$A:AL,HLOOKUP('[1]Course Totals'!N$4,'[1]import graded seats course pivo'!$1:$2,2,FALSE),FALSE))),"")</f>
        <v/>
      </c>
      <c r="O666" s="14" t="str">
        <f>IFERROR((VLOOKUP($A666,'[1]import success seats course'!$A:AC,HLOOKUP('[1]Course Totals'!O$4,'[1]import success seats course'!$1:$2,2,FALSE),FALSE)/(VLOOKUP($A666,'[1]import graded seats course pivo'!$A:AM,HLOOKUP('[1]Course Totals'!O$4,'[1]import graded seats course pivo'!$1:$2,2,FALSE),FALSE))),"")</f>
        <v/>
      </c>
      <c r="P666" s="14">
        <f>IFERROR((VLOOKUP($A666,'[1]import success seats course'!$A:AD,HLOOKUP('[1]Course Totals'!P$4,'[1]import success seats course'!$1:$2,2,FALSE),FALSE)/(VLOOKUP($A666,'[1]import graded seats course pivo'!$A:AN,HLOOKUP('[1]Course Totals'!P$4,'[1]import graded seats course pivo'!$1:$2,2,FALSE),FALSE))),"")</f>
        <v>0.66666666666666663</v>
      </c>
      <c r="Q666" s="14" t="str">
        <f>IFERROR((VLOOKUP($A666,'[1]import success seats course'!$A:AE,HLOOKUP('[1]Course Totals'!Q$4,'[1]import success seats course'!$1:$2,2,FALSE),FALSE)/(VLOOKUP($A666,'[1]import graded seats course pivo'!$A:AO,HLOOKUP('[1]Course Totals'!Q$4,'[1]import graded seats course pivo'!$1:$2,2,FALSE),FALSE))),"")</f>
        <v/>
      </c>
      <c r="R666" s="14" t="str">
        <f>IFERROR((VLOOKUP($A666,'[1]import success seats course'!$A:AF,HLOOKUP('[1]Course Totals'!R$4,'[1]import success seats course'!$1:$2,2,FALSE),FALSE)/(VLOOKUP($A666,'[1]import graded seats course pivo'!$A:AP,HLOOKUP('[1]Course Totals'!R$4,'[1]import graded seats course pivo'!$1:$2,2,FALSE),FALSE))),"")</f>
        <v/>
      </c>
      <c r="S666" s="14" t="str">
        <f>IFERROR((VLOOKUP($A666,'[1]import success seats course'!$A:AG,HLOOKUP('[1]Course Totals'!S$4,'[1]import success seats course'!$1:$2,2,FALSE),FALSE)/(VLOOKUP($A666,'[1]import graded seats course pivo'!$A:AQ,HLOOKUP('[1]Course Totals'!S$4,'[1]import graded seats course pivo'!$1:$2,2,FALSE),FALSE))),"")</f>
        <v/>
      </c>
      <c r="Z666" s="7"/>
      <c r="AA666" s="7"/>
      <c r="AB666" s="7"/>
      <c r="AC666" s="7"/>
    </row>
    <row r="667" spans="1:29" ht="15.75" hidden="1" customHeight="1" x14ac:dyDescent="0.25">
      <c r="A667" s="12" t="s">
        <v>920</v>
      </c>
      <c r="B667" s="14" t="str">
        <f>IFERROR((VLOOKUP($A667,'[1]import success seats course'!$A:P,HLOOKUP('[1]Course Totals'!B$4,'[1]import success seats course'!$1:$2,2,FALSE),FALSE)/(VLOOKUP($A667,'[1]import graded seats course pivo'!$A:Z,HLOOKUP('[1]Course Totals'!B$4,'[1]import graded seats course pivo'!$1:$2,2,FALSE),FALSE))),"")</f>
        <v/>
      </c>
      <c r="C667" s="14" t="str">
        <f>IFERROR((VLOOKUP($A667,'[1]import success seats course'!$A:Q,HLOOKUP('[1]Course Totals'!C$4,'[1]import success seats course'!$1:$2,2,FALSE),FALSE)/(VLOOKUP($A667,'[1]import graded seats course pivo'!$A:AA,HLOOKUP('[1]Course Totals'!C$4,'[1]import graded seats course pivo'!$1:$2,2,FALSE),FALSE))),"")</f>
        <v/>
      </c>
      <c r="D667" s="14" t="str">
        <f>IFERROR((VLOOKUP($A667,'[1]import success seats course'!$A:R,HLOOKUP('[1]Course Totals'!D$4,'[1]import success seats course'!$1:$2,2,FALSE),FALSE)/(VLOOKUP($A667,'[1]import graded seats course pivo'!$A:AB,HLOOKUP('[1]Course Totals'!D$4,'[1]import graded seats course pivo'!$1:$2,2,FALSE),FALSE))),"")</f>
        <v/>
      </c>
      <c r="E667" s="14" t="str">
        <f>IFERROR((VLOOKUP($A667,'[1]import success seats course'!$A:S,HLOOKUP('[1]Course Totals'!E$4,'[1]import success seats course'!$1:$2,2,FALSE),FALSE)/(VLOOKUP($A667,'[1]import graded seats course pivo'!$A:AC,HLOOKUP('[1]Course Totals'!E$4,'[1]import graded seats course pivo'!$1:$2,2,FALSE),FALSE))),"")</f>
        <v/>
      </c>
      <c r="F667" s="14" t="str">
        <f>IFERROR((VLOOKUP($A667,'[1]import success seats course'!$A:T,HLOOKUP('[1]Course Totals'!F$4,'[1]import success seats course'!$1:$2,2,FALSE),FALSE)/(VLOOKUP($A667,'[1]import graded seats course pivo'!$A:AD,HLOOKUP('[1]Course Totals'!F$4,'[1]import graded seats course pivo'!$1:$2,2,FALSE),FALSE))),"")</f>
        <v/>
      </c>
      <c r="G667" s="14" t="str">
        <f>IFERROR((VLOOKUP($A667,'[1]import success seats course'!$A:U,HLOOKUP('[1]Course Totals'!G$4,'[1]import success seats course'!$1:$2,2,FALSE),FALSE)/(VLOOKUP($A667,'[1]import graded seats course pivo'!$A:AE,HLOOKUP('[1]Course Totals'!G$4,'[1]import graded seats course pivo'!$1:$2,2,FALSE),FALSE))),"")</f>
        <v/>
      </c>
      <c r="H667" s="14" t="str">
        <f>IFERROR((VLOOKUP($A667,'[1]import success seats course'!$A:V,HLOOKUP('[1]Course Totals'!H$4,'[1]import success seats course'!$1:$2,2,FALSE),FALSE)/(VLOOKUP($A667,'[1]import graded seats course pivo'!$A:AF,HLOOKUP('[1]Course Totals'!H$4,'[1]import graded seats course pivo'!$1:$2,2,FALSE),FALSE))),"")</f>
        <v/>
      </c>
      <c r="I667" s="14" t="str">
        <f>IFERROR((VLOOKUP($A667,'[1]import success seats course'!$A:W,HLOOKUP('[1]Course Totals'!I$4,'[1]import success seats course'!$1:$2,2,FALSE),FALSE)/(VLOOKUP($A667,'[1]import graded seats course pivo'!$A:AG,HLOOKUP('[1]Course Totals'!I$4,'[1]import graded seats course pivo'!$1:$2,2,FALSE),FALSE))),"")</f>
        <v/>
      </c>
      <c r="J667" s="14" t="str">
        <f>IFERROR((VLOOKUP($A667,'[1]import success seats course'!$A:X,HLOOKUP('[1]Course Totals'!J$4,'[1]import success seats course'!$1:$2,2,FALSE),FALSE)/(VLOOKUP($A667,'[1]import graded seats course pivo'!$A:AH,HLOOKUP('[1]Course Totals'!J$4,'[1]import graded seats course pivo'!$1:$2,2,FALSE),FALSE))),"")</f>
        <v/>
      </c>
      <c r="K667" s="14" t="str">
        <f>IFERROR((VLOOKUP($A667,'[1]import success seats course'!$A:Y,HLOOKUP('[1]Course Totals'!K$4,'[1]import success seats course'!$1:$2,2,FALSE),FALSE)/(VLOOKUP($A667,'[1]import graded seats course pivo'!$A:AI,HLOOKUP('[1]Course Totals'!K$4,'[1]import graded seats course pivo'!$1:$2,2,FALSE),FALSE))),"")</f>
        <v/>
      </c>
      <c r="L667" s="14" t="str">
        <f>IFERROR((VLOOKUP($A667,'[1]import success seats course'!$A:Z,HLOOKUP('[1]Course Totals'!L$4,'[1]import success seats course'!$1:$2,2,FALSE),FALSE)/(VLOOKUP($A667,'[1]import graded seats course pivo'!$A:AJ,HLOOKUP('[1]Course Totals'!L$4,'[1]import graded seats course pivo'!$1:$2,2,FALSE),FALSE))),"")</f>
        <v/>
      </c>
      <c r="M667" s="14" t="str">
        <f>IFERROR((VLOOKUP($A667,'[1]import success seats course'!$A:AA,HLOOKUP('[1]Course Totals'!M$4,'[1]import success seats course'!$1:$2,2,FALSE),FALSE)/(VLOOKUP($A667,'[1]import graded seats course pivo'!$A:AK,HLOOKUP('[1]Course Totals'!M$4,'[1]import graded seats course pivo'!$1:$2,2,FALSE),FALSE))),"")</f>
        <v/>
      </c>
      <c r="N667" s="14" t="str">
        <f>IFERROR((VLOOKUP($A667,'[1]import success seats course'!$A:AB,HLOOKUP('[1]Course Totals'!N$4,'[1]import success seats course'!$1:$2,2,FALSE),FALSE)/(VLOOKUP($A667,'[1]import graded seats course pivo'!$A:AL,HLOOKUP('[1]Course Totals'!N$4,'[1]import graded seats course pivo'!$1:$2,2,FALSE),FALSE))),"")</f>
        <v/>
      </c>
      <c r="O667" s="14" t="str">
        <f>IFERROR((VLOOKUP($A667,'[1]import success seats course'!$A:AC,HLOOKUP('[1]Course Totals'!O$4,'[1]import success seats course'!$1:$2,2,FALSE),FALSE)/(VLOOKUP($A667,'[1]import graded seats course pivo'!$A:AM,HLOOKUP('[1]Course Totals'!O$4,'[1]import graded seats course pivo'!$1:$2,2,FALSE),FALSE))),"")</f>
        <v/>
      </c>
      <c r="P667" s="14" t="str">
        <f>IFERROR((VLOOKUP($A667,'[1]import success seats course'!$A:AD,HLOOKUP('[1]Course Totals'!P$4,'[1]import success seats course'!$1:$2,2,FALSE),FALSE)/(VLOOKUP($A667,'[1]import graded seats course pivo'!$A:AN,HLOOKUP('[1]Course Totals'!P$4,'[1]import graded seats course pivo'!$1:$2,2,FALSE),FALSE))),"")</f>
        <v/>
      </c>
      <c r="Q667" s="14" t="str">
        <f>IFERROR((VLOOKUP($A667,'[1]import success seats course'!$A:AE,HLOOKUP('[1]Course Totals'!Q$4,'[1]import success seats course'!$1:$2,2,FALSE),FALSE)/(VLOOKUP($A667,'[1]import graded seats course pivo'!$A:AO,HLOOKUP('[1]Course Totals'!Q$4,'[1]import graded seats course pivo'!$1:$2,2,FALSE),FALSE))),"")</f>
        <v/>
      </c>
      <c r="R667" s="14" t="str">
        <f>IFERROR((VLOOKUP($A667,'[1]import success seats course'!$A:AF,HLOOKUP('[1]Course Totals'!R$4,'[1]import success seats course'!$1:$2,2,FALSE),FALSE)/(VLOOKUP($A667,'[1]import graded seats course pivo'!$A:AP,HLOOKUP('[1]Course Totals'!R$4,'[1]import graded seats course pivo'!$1:$2,2,FALSE),FALSE))),"")</f>
        <v/>
      </c>
      <c r="S667" s="14" t="str">
        <f>IFERROR((VLOOKUP($A667,'[1]import success seats course'!$A:AG,HLOOKUP('[1]Course Totals'!S$4,'[1]import success seats course'!$1:$2,2,FALSE),FALSE)/(VLOOKUP($A667,'[1]import graded seats course pivo'!$A:AQ,HLOOKUP('[1]Course Totals'!S$4,'[1]import graded seats course pivo'!$1:$2,2,FALSE),FALSE))),"")</f>
        <v/>
      </c>
      <c r="Z667" s="7"/>
      <c r="AA667" s="7"/>
      <c r="AB667" s="7"/>
      <c r="AC667" s="7"/>
    </row>
    <row r="668" spans="1:29" ht="15.75" customHeight="1" x14ac:dyDescent="0.25">
      <c r="A668" s="12" t="s">
        <v>312</v>
      </c>
      <c r="B668" s="14">
        <f>IFERROR((VLOOKUP($A668,'[1]import success seats course'!$A:P,HLOOKUP('[1]Course Totals'!B$4,'[1]import success seats course'!$1:$2,2,FALSE),FALSE)/(VLOOKUP($A668,'[1]import graded seats course pivo'!$A:Z,HLOOKUP('[1]Course Totals'!B$4,'[1]import graded seats course pivo'!$1:$2,2,FALSE),FALSE))),"")</f>
        <v>1</v>
      </c>
      <c r="C668" s="14">
        <f>IFERROR((VLOOKUP($A668,'[1]import success seats course'!$A:Q,HLOOKUP('[1]Course Totals'!C$4,'[1]import success seats course'!$1:$2,2,FALSE),FALSE)/(VLOOKUP($A668,'[1]import graded seats course pivo'!$A:AA,HLOOKUP('[1]Course Totals'!C$4,'[1]import graded seats course pivo'!$1:$2,2,FALSE),FALSE))),"")</f>
        <v>0.72727272727272729</v>
      </c>
      <c r="D668" s="14">
        <f>IFERROR((VLOOKUP($A668,'[1]import success seats course'!$A:R,HLOOKUP('[1]Course Totals'!D$4,'[1]import success seats course'!$1:$2,2,FALSE),FALSE)/(VLOOKUP($A668,'[1]import graded seats course pivo'!$A:AB,HLOOKUP('[1]Course Totals'!D$4,'[1]import graded seats course pivo'!$1:$2,2,FALSE),FALSE))),"")</f>
        <v>0.44444444444444442</v>
      </c>
      <c r="E668" s="14" t="str">
        <f>IFERROR((VLOOKUP($A668,'[1]import success seats course'!$A:S,HLOOKUP('[1]Course Totals'!E$4,'[1]import success seats course'!$1:$2,2,FALSE),FALSE)/(VLOOKUP($A668,'[1]import graded seats course pivo'!$A:AC,HLOOKUP('[1]Course Totals'!E$4,'[1]import graded seats course pivo'!$1:$2,2,FALSE),FALSE))),"")</f>
        <v/>
      </c>
      <c r="F668" s="14">
        <f>IFERROR((VLOOKUP($A668,'[1]import success seats course'!$A:T,HLOOKUP('[1]Course Totals'!F$4,'[1]import success seats course'!$1:$2,2,FALSE),FALSE)/(VLOOKUP($A668,'[1]import graded seats course pivo'!$A:AD,HLOOKUP('[1]Course Totals'!F$4,'[1]import graded seats course pivo'!$1:$2,2,FALSE),FALSE))),"")</f>
        <v>0.95238095238095233</v>
      </c>
      <c r="G668" s="14">
        <f>IFERROR((VLOOKUP($A668,'[1]import success seats course'!$A:U,HLOOKUP('[1]Course Totals'!G$4,'[1]import success seats course'!$1:$2,2,FALSE),FALSE)/(VLOOKUP($A668,'[1]import graded seats course pivo'!$A:AE,HLOOKUP('[1]Course Totals'!G$4,'[1]import graded seats course pivo'!$1:$2,2,FALSE),FALSE))),"")</f>
        <v>1</v>
      </c>
      <c r="H668" s="14" t="str">
        <f>IFERROR((VLOOKUP($A668,'[1]import success seats course'!$A:V,HLOOKUP('[1]Course Totals'!H$4,'[1]import success seats course'!$1:$2,2,FALSE),FALSE)/(VLOOKUP($A668,'[1]import graded seats course pivo'!$A:AF,HLOOKUP('[1]Course Totals'!H$4,'[1]import graded seats course pivo'!$1:$2,2,FALSE),FALSE))),"")</f>
        <v/>
      </c>
      <c r="I668" s="14">
        <f>IFERROR((VLOOKUP($A668,'[1]import success seats course'!$A:W,HLOOKUP('[1]Course Totals'!I$4,'[1]import success seats course'!$1:$2,2,FALSE),FALSE)/(VLOOKUP($A668,'[1]import graded seats course pivo'!$A:AG,HLOOKUP('[1]Course Totals'!I$4,'[1]import graded seats course pivo'!$1:$2,2,FALSE),FALSE))),"")</f>
        <v>1</v>
      </c>
      <c r="J668" s="14">
        <f>IFERROR((VLOOKUP($A668,'[1]import success seats course'!$A:X,HLOOKUP('[1]Course Totals'!J$4,'[1]import success seats course'!$1:$2,2,FALSE),FALSE)/(VLOOKUP($A668,'[1]import graded seats course pivo'!$A:AH,HLOOKUP('[1]Course Totals'!J$4,'[1]import graded seats course pivo'!$1:$2,2,FALSE),FALSE))),"")</f>
        <v>1</v>
      </c>
      <c r="K668" s="14" t="str">
        <f>IFERROR((VLOOKUP($A668,'[1]import success seats course'!$A:Y,HLOOKUP('[1]Course Totals'!K$4,'[1]import success seats course'!$1:$2,2,FALSE),FALSE)/(VLOOKUP($A668,'[1]import graded seats course pivo'!$A:AI,HLOOKUP('[1]Course Totals'!K$4,'[1]import graded seats course pivo'!$1:$2,2,FALSE),FALSE))),"")</f>
        <v/>
      </c>
      <c r="L668" s="14">
        <f>IFERROR((VLOOKUP($A668,'[1]import success seats course'!$A:Z,HLOOKUP('[1]Course Totals'!L$4,'[1]import success seats course'!$1:$2,2,FALSE),FALSE)/(VLOOKUP($A668,'[1]import graded seats course pivo'!$A:AJ,HLOOKUP('[1]Course Totals'!L$4,'[1]import graded seats course pivo'!$1:$2,2,FALSE),FALSE))),"")</f>
        <v>1</v>
      </c>
      <c r="M668" s="14">
        <f>IFERROR((VLOOKUP($A668,'[1]import success seats course'!$A:AA,HLOOKUP('[1]Course Totals'!M$4,'[1]import success seats course'!$1:$2,2,FALSE),FALSE)/(VLOOKUP($A668,'[1]import graded seats course pivo'!$A:AK,HLOOKUP('[1]Course Totals'!M$4,'[1]import graded seats course pivo'!$1:$2,2,FALSE),FALSE))),"")</f>
        <v>1</v>
      </c>
      <c r="N668" s="14" t="str">
        <f>IFERROR((VLOOKUP($A668,'[1]import success seats course'!$A:AB,HLOOKUP('[1]Course Totals'!N$4,'[1]import success seats course'!$1:$2,2,FALSE),FALSE)/(VLOOKUP($A668,'[1]import graded seats course pivo'!$A:AL,HLOOKUP('[1]Course Totals'!N$4,'[1]import graded seats course pivo'!$1:$2,2,FALSE),FALSE))),"")</f>
        <v/>
      </c>
      <c r="O668" s="14" t="str">
        <f>IFERROR((VLOOKUP($A668,'[1]import success seats course'!$A:AC,HLOOKUP('[1]Course Totals'!O$4,'[1]import success seats course'!$1:$2,2,FALSE),FALSE)/(VLOOKUP($A668,'[1]import graded seats course pivo'!$A:AM,HLOOKUP('[1]Course Totals'!O$4,'[1]import graded seats course pivo'!$1:$2,2,FALSE),FALSE))),"")</f>
        <v/>
      </c>
      <c r="P668" s="14" t="str">
        <f>IFERROR((VLOOKUP($A668,'[1]import success seats course'!$A:AD,HLOOKUP('[1]Course Totals'!P$4,'[1]import success seats course'!$1:$2,2,FALSE),FALSE)/(VLOOKUP($A668,'[1]import graded seats course pivo'!$A:AN,HLOOKUP('[1]Course Totals'!P$4,'[1]import graded seats course pivo'!$1:$2,2,FALSE),FALSE))),"")</f>
        <v/>
      </c>
      <c r="Q668" s="14" t="str">
        <f>IFERROR((VLOOKUP($A668,'[1]import success seats course'!$A:AE,HLOOKUP('[1]Course Totals'!Q$4,'[1]import success seats course'!$1:$2,2,FALSE),FALSE)/(VLOOKUP($A668,'[1]import graded seats course pivo'!$A:AO,HLOOKUP('[1]Course Totals'!Q$4,'[1]import graded seats course pivo'!$1:$2,2,FALSE),FALSE))),"")</f>
        <v/>
      </c>
      <c r="R668" s="14" t="str">
        <f>IFERROR((VLOOKUP($A668,'[1]import success seats course'!$A:AF,HLOOKUP('[1]Course Totals'!R$4,'[1]import success seats course'!$1:$2,2,FALSE),FALSE)/(VLOOKUP($A668,'[1]import graded seats course pivo'!$A:AP,HLOOKUP('[1]Course Totals'!R$4,'[1]import graded seats course pivo'!$1:$2,2,FALSE),FALSE))),"")</f>
        <v/>
      </c>
      <c r="S668" s="14" t="str">
        <f>IFERROR((VLOOKUP($A668,'[1]import success seats course'!$A:AG,HLOOKUP('[1]Course Totals'!S$4,'[1]import success seats course'!$1:$2,2,FALSE),FALSE)/(VLOOKUP($A668,'[1]import graded seats course pivo'!$A:AQ,HLOOKUP('[1]Course Totals'!S$4,'[1]import graded seats course pivo'!$1:$2,2,FALSE),FALSE))),"")</f>
        <v/>
      </c>
      <c r="Z668" s="7"/>
      <c r="AA668" s="7"/>
      <c r="AB668" s="7"/>
      <c r="AC668" s="7"/>
    </row>
    <row r="669" spans="1:29" ht="15.75" customHeight="1" x14ac:dyDescent="0.25">
      <c r="A669" s="12" t="s">
        <v>792</v>
      </c>
      <c r="B669" s="14" t="str">
        <f>IFERROR((VLOOKUP($A669,'[1]import success seats course'!$A:P,HLOOKUP('[1]Course Totals'!B$4,'[1]import success seats course'!$1:$2,2,FALSE),FALSE)/(VLOOKUP($A669,'[1]import graded seats course pivo'!$A:Z,HLOOKUP('[1]Course Totals'!B$4,'[1]import graded seats course pivo'!$1:$2,2,FALSE),FALSE))),"")</f>
        <v/>
      </c>
      <c r="C669" s="14" t="str">
        <f>IFERROR((VLOOKUP($A669,'[1]import success seats course'!$A:Q,HLOOKUP('[1]Course Totals'!C$4,'[1]import success seats course'!$1:$2,2,FALSE),FALSE)/(VLOOKUP($A669,'[1]import graded seats course pivo'!$A:AA,HLOOKUP('[1]Course Totals'!C$4,'[1]import graded seats course pivo'!$1:$2,2,FALSE),FALSE))),"")</f>
        <v/>
      </c>
      <c r="D669" s="14" t="str">
        <f>IFERROR((VLOOKUP($A669,'[1]import success seats course'!$A:R,HLOOKUP('[1]Course Totals'!D$4,'[1]import success seats course'!$1:$2,2,FALSE),FALSE)/(VLOOKUP($A669,'[1]import graded seats course pivo'!$A:AB,HLOOKUP('[1]Course Totals'!D$4,'[1]import graded seats course pivo'!$1:$2,2,FALSE),FALSE))),"")</f>
        <v/>
      </c>
      <c r="E669" s="14" t="str">
        <f>IFERROR((VLOOKUP($A669,'[1]import success seats course'!$A:S,HLOOKUP('[1]Course Totals'!E$4,'[1]import success seats course'!$1:$2,2,FALSE),FALSE)/(VLOOKUP($A669,'[1]import graded seats course pivo'!$A:AC,HLOOKUP('[1]Course Totals'!E$4,'[1]import graded seats course pivo'!$1:$2,2,FALSE),FALSE))),"")</f>
        <v/>
      </c>
      <c r="F669" s="14" t="str">
        <f>IFERROR((VLOOKUP($A669,'[1]import success seats course'!$A:T,HLOOKUP('[1]Course Totals'!F$4,'[1]import success seats course'!$1:$2,2,FALSE),FALSE)/(VLOOKUP($A669,'[1]import graded seats course pivo'!$A:AD,HLOOKUP('[1]Course Totals'!F$4,'[1]import graded seats course pivo'!$1:$2,2,FALSE),FALSE))),"")</f>
        <v/>
      </c>
      <c r="G669" s="14" t="str">
        <f>IFERROR((VLOOKUP($A669,'[1]import success seats course'!$A:U,HLOOKUP('[1]Course Totals'!G$4,'[1]import success seats course'!$1:$2,2,FALSE),FALSE)/(VLOOKUP($A669,'[1]import graded seats course pivo'!$A:AE,HLOOKUP('[1]Course Totals'!G$4,'[1]import graded seats course pivo'!$1:$2,2,FALSE),FALSE))),"")</f>
        <v/>
      </c>
      <c r="H669" s="14" t="str">
        <f>IFERROR((VLOOKUP($A669,'[1]import success seats course'!$A:V,HLOOKUP('[1]Course Totals'!H$4,'[1]import success seats course'!$1:$2,2,FALSE),FALSE)/(VLOOKUP($A669,'[1]import graded seats course pivo'!$A:AF,HLOOKUP('[1]Course Totals'!H$4,'[1]import graded seats course pivo'!$1:$2,2,FALSE),FALSE))),"")</f>
        <v/>
      </c>
      <c r="I669" s="14" t="str">
        <f>IFERROR((VLOOKUP($A669,'[1]import success seats course'!$A:W,HLOOKUP('[1]Course Totals'!I$4,'[1]import success seats course'!$1:$2,2,FALSE),FALSE)/(VLOOKUP($A669,'[1]import graded seats course pivo'!$A:AG,HLOOKUP('[1]Course Totals'!I$4,'[1]import graded seats course pivo'!$1:$2,2,FALSE),FALSE))),"")</f>
        <v/>
      </c>
      <c r="J669" s="14" t="str">
        <f>IFERROR((VLOOKUP($A669,'[1]import success seats course'!$A:X,HLOOKUP('[1]Course Totals'!J$4,'[1]import success seats course'!$1:$2,2,FALSE),FALSE)/(VLOOKUP($A669,'[1]import graded seats course pivo'!$A:AH,HLOOKUP('[1]Course Totals'!J$4,'[1]import graded seats course pivo'!$1:$2,2,FALSE),FALSE))),"")</f>
        <v/>
      </c>
      <c r="K669" s="14" t="str">
        <f>IFERROR((VLOOKUP($A669,'[1]import success seats course'!$A:Y,HLOOKUP('[1]Course Totals'!K$4,'[1]import success seats course'!$1:$2,2,FALSE),FALSE)/(VLOOKUP($A669,'[1]import graded seats course pivo'!$A:AI,HLOOKUP('[1]Course Totals'!K$4,'[1]import graded seats course pivo'!$1:$2,2,FALSE),FALSE))),"")</f>
        <v/>
      </c>
      <c r="L669" s="14">
        <f>IFERROR((VLOOKUP($A669,'[1]import success seats course'!$A:Z,HLOOKUP('[1]Course Totals'!L$4,'[1]import success seats course'!$1:$2,2,FALSE),FALSE)/(VLOOKUP($A669,'[1]import graded seats course pivo'!$A:AJ,HLOOKUP('[1]Course Totals'!L$4,'[1]import graded seats course pivo'!$1:$2,2,FALSE),FALSE))),"")</f>
        <v>0.8936170212765957</v>
      </c>
      <c r="M669" s="14" t="str">
        <f>IFERROR((VLOOKUP($A669,'[1]import success seats course'!$A:AA,HLOOKUP('[1]Course Totals'!M$4,'[1]import success seats course'!$1:$2,2,FALSE),FALSE)/(VLOOKUP($A669,'[1]import graded seats course pivo'!$A:AK,HLOOKUP('[1]Course Totals'!M$4,'[1]import graded seats course pivo'!$1:$2,2,FALSE),FALSE))),"")</f>
        <v/>
      </c>
      <c r="N669" s="14" t="str">
        <f>IFERROR((VLOOKUP($A669,'[1]import success seats course'!$A:AB,HLOOKUP('[1]Course Totals'!N$4,'[1]import success seats course'!$1:$2,2,FALSE),FALSE)/(VLOOKUP($A669,'[1]import graded seats course pivo'!$A:AL,HLOOKUP('[1]Course Totals'!N$4,'[1]import graded seats course pivo'!$1:$2,2,FALSE),FALSE))),"")</f>
        <v/>
      </c>
      <c r="O669" s="14" t="str">
        <f>IFERROR((VLOOKUP($A669,'[1]import success seats course'!$A:AC,HLOOKUP('[1]Course Totals'!O$4,'[1]import success seats course'!$1:$2,2,FALSE),FALSE)/(VLOOKUP($A669,'[1]import graded seats course pivo'!$A:AM,HLOOKUP('[1]Course Totals'!O$4,'[1]import graded seats course pivo'!$1:$2,2,FALSE),FALSE))),"")</f>
        <v/>
      </c>
      <c r="P669" s="14" t="str">
        <f>IFERROR((VLOOKUP($A669,'[1]import success seats course'!$A:AD,HLOOKUP('[1]Course Totals'!P$4,'[1]import success seats course'!$1:$2,2,FALSE),FALSE)/(VLOOKUP($A669,'[1]import graded seats course pivo'!$A:AN,HLOOKUP('[1]Course Totals'!P$4,'[1]import graded seats course pivo'!$1:$2,2,FALSE),FALSE))),"")</f>
        <v/>
      </c>
      <c r="Q669" s="14" t="str">
        <f>IFERROR((VLOOKUP($A669,'[1]import success seats course'!$A:AE,HLOOKUP('[1]Course Totals'!Q$4,'[1]import success seats course'!$1:$2,2,FALSE),FALSE)/(VLOOKUP($A669,'[1]import graded seats course pivo'!$A:AO,HLOOKUP('[1]Course Totals'!Q$4,'[1]import graded seats course pivo'!$1:$2,2,FALSE),FALSE))),"")</f>
        <v/>
      </c>
      <c r="R669" s="14" t="str">
        <f>IFERROR((VLOOKUP($A669,'[1]import success seats course'!$A:AF,HLOOKUP('[1]Course Totals'!R$4,'[1]import success seats course'!$1:$2,2,FALSE),FALSE)/(VLOOKUP($A669,'[1]import graded seats course pivo'!$A:AP,HLOOKUP('[1]Course Totals'!R$4,'[1]import graded seats course pivo'!$1:$2,2,FALSE),FALSE))),"")</f>
        <v/>
      </c>
      <c r="S669" s="14" t="str">
        <f>IFERROR((VLOOKUP($A669,'[1]import success seats course'!$A:AG,HLOOKUP('[1]Course Totals'!S$4,'[1]import success seats course'!$1:$2,2,FALSE),FALSE)/(VLOOKUP($A669,'[1]import graded seats course pivo'!$A:AQ,HLOOKUP('[1]Course Totals'!S$4,'[1]import graded seats course pivo'!$1:$2,2,FALSE),FALSE))),"")</f>
        <v/>
      </c>
      <c r="Z669" s="7"/>
      <c r="AA669" s="7"/>
      <c r="AB669" s="7"/>
      <c r="AC669" s="7"/>
    </row>
    <row r="670" spans="1:29" ht="15.75" customHeight="1" x14ac:dyDescent="0.25">
      <c r="A670" s="12" t="s">
        <v>1035</v>
      </c>
      <c r="B670" s="14" t="str">
        <f>IFERROR((VLOOKUP($A670,'[1]import success seats course'!$A:P,HLOOKUP('[1]Course Totals'!B$4,'[1]import success seats course'!$1:$2,2,FALSE),FALSE)/(VLOOKUP($A670,'[1]import graded seats course pivo'!$A:Z,HLOOKUP('[1]Course Totals'!B$4,'[1]import graded seats course pivo'!$1:$2,2,FALSE),FALSE))),"")</f>
        <v/>
      </c>
      <c r="C670" s="14" t="str">
        <f>IFERROR((VLOOKUP($A670,'[1]import success seats course'!$A:Q,HLOOKUP('[1]Course Totals'!C$4,'[1]import success seats course'!$1:$2,2,FALSE),FALSE)/(VLOOKUP($A670,'[1]import graded seats course pivo'!$A:AA,HLOOKUP('[1]Course Totals'!C$4,'[1]import graded seats course pivo'!$1:$2,2,FALSE),FALSE))),"")</f>
        <v/>
      </c>
      <c r="D670" s="14" t="str">
        <f>IFERROR((VLOOKUP($A670,'[1]import success seats course'!$A:R,HLOOKUP('[1]Course Totals'!D$4,'[1]import success seats course'!$1:$2,2,FALSE),FALSE)/(VLOOKUP($A670,'[1]import graded seats course pivo'!$A:AB,HLOOKUP('[1]Course Totals'!D$4,'[1]import graded seats course pivo'!$1:$2,2,FALSE),FALSE))),"")</f>
        <v/>
      </c>
      <c r="E670" s="14" t="str">
        <f>IFERROR((VLOOKUP($A670,'[1]import success seats course'!$A:S,HLOOKUP('[1]Course Totals'!E$4,'[1]import success seats course'!$1:$2,2,FALSE),FALSE)/(VLOOKUP($A670,'[1]import graded seats course pivo'!$A:AC,HLOOKUP('[1]Course Totals'!E$4,'[1]import graded seats course pivo'!$1:$2,2,FALSE),FALSE))),"")</f>
        <v/>
      </c>
      <c r="F670" s="14" t="str">
        <f>IFERROR((VLOOKUP($A670,'[1]import success seats course'!$A:T,HLOOKUP('[1]Course Totals'!F$4,'[1]import success seats course'!$1:$2,2,FALSE),FALSE)/(VLOOKUP($A670,'[1]import graded seats course pivo'!$A:AD,HLOOKUP('[1]Course Totals'!F$4,'[1]import graded seats course pivo'!$1:$2,2,FALSE),FALSE))),"")</f>
        <v/>
      </c>
      <c r="G670" s="14" t="str">
        <f>IFERROR((VLOOKUP($A670,'[1]import success seats course'!$A:U,HLOOKUP('[1]Course Totals'!G$4,'[1]import success seats course'!$1:$2,2,FALSE),FALSE)/(VLOOKUP($A670,'[1]import graded seats course pivo'!$A:AE,HLOOKUP('[1]Course Totals'!G$4,'[1]import graded seats course pivo'!$1:$2,2,FALSE),FALSE))),"")</f>
        <v/>
      </c>
      <c r="H670" s="14" t="str">
        <f>IFERROR((VLOOKUP($A670,'[1]import success seats course'!$A:V,HLOOKUP('[1]Course Totals'!H$4,'[1]import success seats course'!$1:$2,2,FALSE),FALSE)/(VLOOKUP($A670,'[1]import graded seats course pivo'!$A:AF,HLOOKUP('[1]Course Totals'!H$4,'[1]import graded seats course pivo'!$1:$2,2,FALSE),FALSE))),"")</f>
        <v/>
      </c>
      <c r="I670" s="14" t="str">
        <f>IFERROR((VLOOKUP($A670,'[1]import success seats course'!$A:W,HLOOKUP('[1]Course Totals'!I$4,'[1]import success seats course'!$1:$2,2,FALSE),FALSE)/(VLOOKUP($A670,'[1]import graded seats course pivo'!$A:AG,HLOOKUP('[1]Course Totals'!I$4,'[1]import graded seats course pivo'!$1:$2,2,FALSE),FALSE))),"")</f>
        <v/>
      </c>
      <c r="J670" s="14" t="str">
        <f>IFERROR((VLOOKUP($A670,'[1]import success seats course'!$A:X,HLOOKUP('[1]Course Totals'!J$4,'[1]import success seats course'!$1:$2,2,FALSE),FALSE)/(VLOOKUP($A670,'[1]import graded seats course pivo'!$A:AH,HLOOKUP('[1]Course Totals'!J$4,'[1]import graded seats course pivo'!$1:$2,2,FALSE),FALSE))),"")</f>
        <v/>
      </c>
      <c r="K670" s="14" t="str">
        <f>IFERROR((VLOOKUP($A670,'[1]import success seats course'!$A:Y,HLOOKUP('[1]Course Totals'!K$4,'[1]import success seats course'!$1:$2,2,FALSE),FALSE)/(VLOOKUP($A670,'[1]import graded seats course pivo'!$A:AI,HLOOKUP('[1]Course Totals'!K$4,'[1]import graded seats course pivo'!$1:$2,2,FALSE),FALSE))),"")</f>
        <v/>
      </c>
      <c r="L670" s="14" t="str">
        <f>IFERROR((VLOOKUP($A670,'[1]import success seats course'!$A:Z,HLOOKUP('[1]Course Totals'!L$4,'[1]import success seats course'!$1:$2,2,FALSE),FALSE)/(VLOOKUP($A670,'[1]import graded seats course pivo'!$A:AJ,HLOOKUP('[1]Course Totals'!L$4,'[1]import graded seats course pivo'!$1:$2,2,FALSE),FALSE))),"")</f>
        <v/>
      </c>
      <c r="M670" s="14">
        <f>IFERROR((VLOOKUP($A670,'[1]import success seats course'!$A:AA,HLOOKUP('[1]Course Totals'!M$4,'[1]import success seats course'!$1:$2,2,FALSE),FALSE)/(VLOOKUP($A670,'[1]import graded seats course pivo'!$A:AK,HLOOKUP('[1]Course Totals'!M$4,'[1]import graded seats course pivo'!$1:$2,2,FALSE),FALSE))),"")</f>
        <v>0.8571428571428571</v>
      </c>
      <c r="N670" s="14" t="str">
        <f>IFERROR((VLOOKUP($A670,'[1]import success seats course'!$A:AB,HLOOKUP('[1]Course Totals'!N$4,'[1]import success seats course'!$1:$2,2,FALSE),FALSE)/(VLOOKUP($A670,'[1]import graded seats course pivo'!$A:AL,HLOOKUP('[1]Course Totals'!N$4,'[1]import graded seats course pivo'!$1:$2,2,FALSE),FALSE))),"")</f>
        <v/>
      </c>
      <c r="O670" s="14" t="str">
        <f>IFERROR((VLOOKUP($A670,'[1]import success seats course'!$A:AC,HLOOKUP('[1]Course Totals'!O$4,'[1]import success seats course'!$1:$2,2,FALSE),FALSE)/(VLOOKUP($A670,'[1]import graded seats course pivo'!$A:AM,HLOOKUP('[1]Course Totals'!O$4,'[1]import graded seats course pivo'!$1:$2,2,FALSE),FALSE))),"")</f>
        <v/>
      </c>
      <c r="P670" s="14">
        <f>IFERROR((VLOOKUP($A670,'[1]import success seats course'!$A:AD,HLOOKUP('[1]Course Totals'!P$4,'[1]import success seats course'!$1:$2,2,FALSE),FALSE)/(VLOOKUP($A670,'[1]import graded seats course pivo'!$A:AN,HLOOKUP('[1]Course Totals'!P$4,'[1]import graded seats course pivo'!$1:$2,2,FALSE),FALSE))),"")</f>
        <v>0.91489361702127658</v>
      </c>
      <c r="Q670" s="14" t="str">
        <f>IFERROR((VLOOKUP($A670,'[1]import success seats course'!$A:AE,HLOOKUP('[1]Course Totals'!Q$4,'[1]import success seats course'!$1:$2,2,FALSE),FALSE)/(VLOOKUP($A670,'[1]import graded seats course pivo'!$A:AO,HLOOKUP('[1]Course Totals'!Q$4,'[1]import graded seats course pivo'!$1:$2,2,FALSE),FALSE))),"")</f>
        <v/>
      </c>
      <c r="R670" s="14" t="str">
        <f>IFERROR((VLOOKUP($A670,'[1]import success seats course'!$A:AF,HLOOKUP('[1]Course Totals'!R$4,'[1]import success seats course'!$1:$2,2,FALSE),FALSE)/(VLOOKUP($A670,'[1]import graded seats course pivo'!$A:AP,HLOOKUP('[1]Course Totals'!R$4,'[1]import graded seats course pivo'!$1:$2,2,FALSE),FALSE))),"")</f>
        <v/>
      </c>
      <c r="S670" s="14" t="str">
        <f>IFERROR((VLOOKUP($A670,'[1]import success seats course'!$A:AG,HLOOKUP('[1]Course Totals'!S$4,'[1]import success seats course'!$1:$2,2,FALSE),FALSE)/(VLOOKUP($A670,'[1]import graded seats course pivo'!$A:AQ,HLOOKUP('[1]Course Totals'!S$4,'[1]import graded seats course pivo'!$1:$2,2,FALSE),FALSE))),"")</f>
        <v/>
      </c>
      <c r="Z670" s="7"/>
      <c r="AA670" s="7"/>
      <c r="AB670" s="7"/>
      <c r="AC670" s="7"/>
    </row>
    <row r="671" spans="1:29" ht="15.75" customHeight="1" x14ac:dyDescent="0.25">
      <c r="A671" s="12" t="s">
        <v>313</v>
      </c>
      <c r="B671" s="14" t="str">
        <f>IFERROR((VLOOKUP($A671,'[1]import success seats course'!$A:P,HLOOKUP('[1]Course Totals'!B$4,'[1]import success seats course'!$1:$2,2,FALSE),FALSE)/(VLOOKUP($A671,'[1]import graded seats course pivo'!$A:Z,HLOOKUP('[1]Course Totals'!B$4,'[1]import graded seats course pivo'!$1:$2,2,FALSE),FALSE))),"")</f>
        <v/>
      </c>
      <c r="C671" s="14">
        <f>IFERROR((VLOOKUP($A671,'[1]import success seats course'!$A:Q,HLOOKUP('[1]Course Totals'!C$4,'[1]import success seats course'!$1:$2,2,FALSE),FALSE)/(VLOOKUP($A671,'[1]import graded seats course pivo'!$A:AA,HLOOKUP('[1]Course Totals'!C$4,'[1]import graded seats course pivo'!$1:$2,2,FALSE),FALSE))),"")</f>
        <v>1</v>
      </c>
      <c r="D671" s="14" t="str">
        <f>IFERROR((VLOOKUP($A671,'[1]import success seats course'!$A:R,HLOOKUP('[1]Course Totals'!D$4,'[1]import success seats course'!$1:$2,2,FALSE),FALSE)/(VLOOKUP($A671,'[1]import graded seats course pivo'!$A:AB,HLOOKUP('[1]Course Totals'!D$4,'[1]import graded seats course pivo'!$1:$2,2,FALSE),FALSE))),"")</f>
        <v/>
      </c>
      <c r="E671" s="14" t="str">
        <f>IFERROR((VLOOKUP($A671,'[1]import success seats course'!$A:S,HLOOKUP('[1]Course Totals'!E$4,'[1]import success seats course'!$1:$2,2,FALSE),FALSE)/(VLOOKUP($A671,'[1]import graded seats course pivo'!$A:AC,HLOOKUP('[1]Course Totals'!E$4,'[1]import graded seats course pivo'!$1:$2,2,FALSE),FALSE))),"")</f>
        <v/>
      </c>
      <c r="F671" s="14" t="str">
        <f>IFERROR((VLOOKUP($A671,'[1]import success seats course'!$A:T,HLOOKUP('[1]Course Totals'!F$4,'[1]import success seats course'!$1:$2,2,FALSE),FALSE)/(VLOOKUP($A671,'[1]import graded seats course pivo'!$A:AD,HLOOKUP('[1]Course Totals'!F$4,'[1]import graded seats course pivo'!$1:$2,2,FALSE),FALSE))),"")</f>
        <v/>
      </c>
      <c r="G671" s="14" t="str">
        <f>IFERROR((VLOOKUP($A671,'[1]import success seats course'!$A:U,HLOOKUP('[1]Course Totals'!G$4,'[1]import success seats course'!$1:$2,2,FALSE),FALSE)/(VLOOKUP($A671,'[1]import graded seats course pivo'!$A:AE,HLOOKUP('[1]Course Totals'!G$4,'[1]import graded seats course pivo'!$1:$2,2,FALSE),FALSE))),"")</f>
        <v/>
      </c>
      <c r="H671" s="14" t="str">
        <f>IFERROR((VLOOKUP($A671,'[1]import success seats course'!$A:V,HLOOKUP('[1]Course Totals'!H$4,'[1]import success seats course'!$1:$2,2,FALSE),FALSE)/(VLOOKUP($A671,'[1]import graded seats course pivo'!$A:AF,HLOOKUP('[1]Course Totals'!H$4,'[1]import graded seats course pivo'!$1:$2,2,FALSE),FALSE))),"")</f>
        <v/>
      </c>
      <c r="I671" s="14">
        <f>IFERROR((VLOOKUP($A671,'[1]import success seats course'!$A:W,HLOOKUP('[1]Course Totals'!I$4,'[1]import success seats course'!$1:$2,2,FALSE),FALSE)/(VLOOKUP($A671,'[1]import graded seats course pivo'!$A:AG,HLOOKUP('[1]Course Totals'!I$4,'[1]import graded seats course pivo'!$1:$2,2,FALSE),FALSE))),"")</f>
        <v>1</v>
      </c>
      <c r="J671" s="14" t="str">
        <f>IFERROR((VLOOKUP($A671,'[1]import success seats course'!$A:X,HLOOKUP('[1]Course Totals'!J$4,'[1]import success seats course'!$1:$2,2,FALSE),FALSE)/(VLOOKUP($A671,'[1]import graded seats course pivo'!$A:AH,HLOOKUP('[1]Course Totals'!J$4,'[1]import graded seats course pivo'!$1:$2,2,FALSE),FALSE))),"")</f>
        <v/>
      </c>
      <c r="K671" s="14" t="str">
        <f>IFERROR((VLOOKUP($A671,'[1]import success seats course'!$A:Y,HLOOKUP('[1]Course Totals'!K$4,'[1]import success seats course'!$1:$2,2,FALSE),FALSE)/(VLOOKUP($A671,'[1]import graded seats course pivo'!$A:AI,HLOOKUP('[1]Course Totals'!K$4,'[1]import graded seats course pivo'!$1:$2,2,FALSE),FALSE))),"")</f>
        <v/>
      </c>
      <c r="L671" s="14">
        <f>IFERROR((VLOOKUP($A671,'[1]import success seats course'!$A:Z,HLOOKUP('[1]Course Totals'!L$4,'[1]import success seats course'!$1:$2,2,FALSE),FALSE)/(VLOOKUP($A671,'[1]import graded seats course pivo'!$A:AJ,HLOOKUP('[1]Course Totals'!L$4,'[1]import graded seats course pivo'!$1:$2,2,FALSE),FALSE))),"")</f>
        <v>1</v>
      </c>
      <c r="M671" s="14" t="str">
        <f>IFERROR((VLOOKUP($A671,'[1]import success seats course'!$A:AA,HLOOKUP('[1]Course Totals'!M$4,'[1]import success seats course'!$1:$2,2,FALSE),FALSE)/(VLOOKUP($A671,'[1]import graded seats course pivo'!$A:AK,HLOOKUP('[1]Course Totals'!M$4,'[1]import graded seats course pivo'!$1:$2,2,FALSE),FALSE))),"")</f>
        <v/>
      </c>
      <c r="N671" s="14" t="str">
        <f>IFERROR((VLOOKUP($A671,'[1]import success seats course'!$A:AB,HLOOKUP('[1]Course Totals'!N$4,'[1]import success seats course'!$1:$2,2,FALSE),FALSE)/(VLOOKUP($A671,'[1]import graded seats course pivo'!$A:AL,HLOOKUP('[1]Course Totals'!N$4,'[1]import graded seats course pivo'!$1:$2,2,FALSE),FALSE))),"")</f>
        <v/>
      </c>
      <c r="O671" s="14" t="str">
        <f>IFERROR((VLOOKUP($A671,'[1]import success seats course'!$A:AC,HLOOKUP('[1]Course Totals'!O$4,'[1]import success seats course'!$1:$2,2,FALSE),FALSE)/(VLOOKUP($A671,'[1]import graded seats course pivo'!$A:AM,HLOOKUP('[1]Course Totals'!O$4,'[1]import graded seats course pivo'!$1:$2,2,FALSE),FALSE))),"")</f>
        <v/>
      </c>
      <c r="P671" s="14">
        <f>IFERROR((VLOOKUP($A671,'[1]import success seats course'!$A:AD,HLOOKUP('[1]Course Totals'!P$4,'[1]import success seats course'!$1:$2,2,FALSE),FALSE)/(VLOOKUP($A671,'[1]import graded seats course pivo'!$A:AN,HLOOKUP('[1]Course Totals'!P$4,'[1]import graded seats course pivo'!$1:$2,2,FALSE),FALSE))),"")</f>
        <v>1</v>
      </c>
      <c r="Q671" s="14" t="str">
        <f>IFERROR((VLOOKUP($A671,'[1]import success seats course'!$A:AE,HLOOKUP('[1]Course Totals'!Q$4,'[1]import success seats course'!$1:$2,2,FALSE),FALSE)/(VLOOKUP($A671,'[1]import graded seats course pivo'!$A:AO,HLOOKUP('[1]Course Totals'!Q$4,'[1]import graded seats course pivo'!$1:$2,2,FALSE),FALSE))),"")</f>
        <v/>
      </c>
      <c r="R671" s="14" t="str">
        <f>IFERROR((VLOOKUP($A671,'[1]import success seats course'!$A:AF,HLOOKUP('[1]Course Totals'!R$4,'[1]import success seats course'!$1:$2,2,FALSE),FALSE)/(VLOOKUP($A671,'[1]import graded seats course pivo'!$A:AP,HLOOKUP('[1]Course Totals'!R$4,'[1]import graded seats course pivo'!$1:$2,2,FALSE),FALSE))),"")</f>
        <v/>
      </c>
      <c r="S671" s="14" t="str">
        <f>IFERROR((VLOOKUP($A671,'[1]import success seats course'!$A:AG,HLOOKUP('[1]Course Totals'!S$4,'[1]import success seats course'!$1:$2,2,FALSE),FALSE)/(VLOOKUP($A671,'[1]import graded seats course pivo'!$A:AQ,HLOOKUP('[1]Course Totals'!S$4,'[1]import graded seats course pivo'!$1:$2,2,FALSE),FALSE))),"")</f>
        <v/>
      </c>
      <c r="Z671" s="7"/>
      <c r="AA671" s="7"/>
      <c r="AB671" s="7"/>
      <c r="AC671" s="7"/>
    </row>
    <row r="672" spans="1:29" ht="15.75" x14ac:dyDescent="0.25">
      <c r="A672" s="9" t="s">
        <v>1139</v>
      </c>
      <c r="B672" s="67" t="str">
        <f>'[1]Subject TOTALS'!$B$1:$P$1</f>
        <v xml:space="preserve">MVC Retention Rates </v>
      </c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Z672" s="7"/>
      <c r="AA672" s="7"/>
      <c r="AB672" s="7"/>
      <c r="AC672" s="7"/>
    </row>
    <row r="673" spans="1:29" ht="15.75" customHeight="1" thickBot="1" x14ac:dyDescent="0.3">
      <c r="A673" s="8" t="str">
        <f>'[1]SUBJECTS BASE'!H37</f>
        <v>Horticulture</v>
      </c>
      <c r="B673" s="38" t="s">
        <v>1046</v>
      </c>
      <c r="C673" s="39" t="s">
        <v>0</v>
      </c>
      <c r="D673" s="40" t="s">
        <v>868</v>
      </c>
      <c r="E673" s="41" t="s">
        <v>1052</v>
      </c>
      <c r="F673" s="42" t="s">
        <v>546</v>
      </c>
      <c r="G673" s="43" t="s">
        <v>959</v>
      </c>
      <c r="H673" s="44" t="s">
        <v>1060</v>
      </c>
      <c r="I673" s="39" t="s">
        <v>675</v>
      </c>
      <c r="J673" s="45" t="s">
        <v>1006</v>
      </c>
      <c r="K673" s="46" t="s">
        <v>1062</v>
      </c>
      <c r="L673" s="42" t="s">
        <v>762</v>
      </c>
      <c r="M673" s="43" t="s">
        <v>1022</v>
      </c>
      <c r="N673" s="44" t="s">
        <v>1063</v>
      </c>
      <c r="O673" s="39" t="s">
        <v>822</v>
      </c>
      <c r="P673" s="40" t="s">
        <v>1042</v>
      </c>
      <c r="Q673" s="46" t="s">
        <v>1153</v>
      </c>
      <c r="R673" s="42" t="s">
        <v>1154</v>
      </c>
      <c r="S673" s="43" t="s">
        <v>1155</v>
      </c>
      <c r="Z673" s="7"/>
      <c r="AA673" s="7"/>
      <c r="AB673" s="7"/>
      <c r="AC673" s="7"/>
    </row>
    <row r="674" spans="1:29" ht="15.75" customHeight="1" x14ac:dyDescent="0.25">
      <c r="A674" s="12" t="s">
        <v>626</v>
      </c>
      <c r="B674" s="14" t="str">
        <f>IFERROR((VLOOKUP($A674,'[1]import success seats course'!$A:P,HLOOKUP('[1]Course Totals'!B$4,'[1]import success seats course'!$1:$2,2,FALSE),FALSE)/(VLOOKUP($A674,'[1]import graded seats course pivo'!$A:Z,HLOOKUP('[1]Course Totals'!B$4,'[1]import graded seats course pivo'!$1:$2,2,FALSE),FALSE))),"")</f>
        <v/>
      </c>
      <c r="C674" s="14" t="str">
        <f>IFERROR((VLOOKUP($A674,'[1]import success seats course'!$A:Q,HLOOKUP('[1]Course Totals'!C$4,'[1]import success seats course'!$1:$2,2,FALSE),FALSE)/(VLOOKUP($A674,'[1]import graded seats course pivo'!$A:AA,HLOOKUP('[1]Course Totals'!C$4,'[1]import graded seats course pivo'!$1:$2,2,FALSE),FALSE))),"")</f>
        <v/>
      </c>
      <c r="D674" s="14" t="str">
        <f>IFERROR((VLOOKUP($A674,'[1]import success seats course'!$A:R,HLOOKUP('[1]Course Totals'!D$4,'[1]import success seats course'!$1:$2,2,FALSE),FALSE)/(VLOOKUP($A674,'[1]import graded seats course pivo'!$A:AB,HLOOKUP('[1]Course Totals'!D$4,'[1]import graded seats course pivo'!$1:$2,2,FALSE),FALSE))),"")</f>
        <v/>
      </c>
      <c r="E674" s="14" t="str">
        <f>IFERROR((VLOOKUP($A674,'[1]import success seats course'!$A:S,HLOOKUP('[1]Course Totals'!E$4,'[1]import success seats course'!$1:$2,2,FALSE),FALSE)/(VLOOKUP($A674,'[1]import graded seats course pivo'!$A:AC,HLOOKUP('[1]Course Totals'!E$4,'[1]import graded seats course pivo'!$1:$2,2,FALSE),FALSE))),"")</f>
        <v/>
      </c>
      <c r="F674" s="14">
        <f>IFERROR((VLOOKUP($A674,'[1]import success seats course'!$A:T,HLOOKUP('[1]Course Totals'!F$4,'[1]import success seats course'!$1:$2,2,FALSE),FALSE)/(VLOOKUP($A674,'[1]import graded seats course pivo'!$A:AD,HLOOKUP('[1]Course Totals'!F$4,'[1]import graded seats course pivo'!$1:$2,2,FALSE),FALSE))),"")</f>
        <v>0.89473684210526316</v>
      </c>
      <c r="G674" s="14" t="str">
        <f>IFERROR((VLOOKUP($A674,'[1]import success seats course'!$A:U,HLOOKUP('[1]Course Totals'!G$4,'[1]import success seats course'!$1:$2,2,FALSE),FALSE)/(VLOOKUP($A674,'[1]import graded seats course pivo'!$A:AE,HLOOKUP('[1]Course Totals'!G$4,'[1]import graded seats course pivo'!$1:$2,2,FALSE),FALSE))),"")</f>
        <v/>
      </c>
      <c r="H674" s="14" t="str">
        <f>IFERROR((VLOOKUP($A674,'[1]import success seats course'!$A:V,HLOOKUP('[1]Course Totals'!H$4,'[1]import success seats course'!$1:$2,2,FALSE),FALSE)/(VLOOKUP($A674,'[1]import graded seats course pivo'!$A:AF,HLOOKUP('[1]Course Totals'!H$4,'[1]import graded seats course pivo'!$1:$2,2,FALSE),FALSE))),"")</f>
        <v/>
      </c>
      <c r="I674" s="14" t="str">
        <f>IFERROR((VLOOKUP($A674,'[1]import success seats course'!$A:W,HLOOKUP('[1]Course Totals'!I$4,'[1]import success seats course'!$1:$2,2,FALSE),FALSE)/(VLOOKUP($A674,'[1]import graded seats course pivo'!$A:AG,HLOOKUP('[1]Course Totals'!I$4,'[1]import graded seats course pivo'!$1:$2,2,FALSE),FALSE))),"")</f>
        <v/>
      </c>
      <c r="J674" s="14">
        <f>IFERROR((VLOOKUP($A674,'[1]import success seats course'!$A:X,HLOOKUP('[1]Course Totals'!J$4,'[1]import success seats course'!$1:$2,2,FALSE),FALSE)/(VLOOKUP($A674,'[1]import graded seats course pivo'!$A:AH,HLOOKUP('[1]Course Totals'!J$4,'[1]import graded seats course pivo'!$1:$2,2,FALSE),FALSE))),"")</f>
        <v>0.89795918367346939</v>
      </c>
      <c r="K674" s="14" t="str">
        <f>IFERROR((VLOOKUP($A674,'[1]import success seats course'!$A:Y,HLOOKUP('[1]Course Totals'!K$4,'[1]import success seats course'!$1:$2,2,FALSE),FALSE)/(VLOOKUP($A674,'[1]import graded seats course pivo'!$A:AI,HLOOKUP('[1]Course Totals'!K$4,'[1]import graded seats course pivo'!$1:$2,2,FALSE),FALSE))),"")</f>
        <v/>
      </c>
      <c r="L674" s="14" t="str">
        <f>IFERROR((VLOOKUP($A674,'[1]import success seats course'!$A:Z,HLOOKUP('[1]Course Totals'!L$4,'[1]import success seats course'!$1:$2,2,FALSE),FALSE)/(VLOOKUP($A674,'[1]import graded seats course pivo'!$A:AJ,HLOOKUP('[1]Course Totals'!L$4,'[1]import graded seats course pivo'!$1:$2,2,FALSE),FALSE))),"")</f>
        <v/>
      </c>
      <c r="M674" s="14">
        <f>IFERROR((VLOOKUP($A674,'[1]import success seats course'!$A:AA,HLOOKUP('[1]Course Totals'!M$4,'[1]import success seats course'!$1:$2,2,FALSE),FALSE)/(VLOOKUP($A674,'[1]import graded seats course pivo'!$A:AK,HLOOKUP('[1]Course Totals'!M$4,'[1]import graded seats course pivo'!$1:$2,2,FALSE),FALSE))),"")</f>
        <v>0.79411764705882348</v>
      </c>
      <c r="N674" s="14" t="str">
        <f>IFERROR((VLOOKUP($A674,'[1]import success seats course'!$A:AB,HLOOKUP('[1]Course Totals'!N$4,'[1]import success seats course'!$1:$2,2,FALSE),FALSE)/(VLOOKUP($A674,'[1]import graded seats course pivo'!$A:AL,HLOOKUP('[1]Course Totals'!N$4,'[1]import graded seats course pivo'!$1:$2,2,FALSE),FALSE))),"")</f>
        <v/>
      </c>
      <c r="O674" s="14" t="str">
        <f>IFERROR((VLOOKUP($A674,'[1]import success seats course'!$A:AC,HLOOKUP('[1]Course Totals'!O$4,'[1]import success seats course'!$1:$2,2,FALSE),FALSE)/(VLOOKUP($A674,'[1]import graded seats course pivo'!$A:AM,HLOOKUP('[1]Course Totals'!O$4,'[1]import graded seats course pivo'!$1:$2,2,FALSE),FALSE))),"")</f>
        <v/>
      </c>
      <c r="P674" s="14">
        <f>IFERROR((VLOOKUP($A674,'[1]import success seats course'!$A:AD,HLOOKUP('[1]Course Totals'!P$4,'[1]import success seats course'!$1:$2,2,FALSE),FALSE)/(VLOOKUP($A674,'[1]import graded seats course pivo'!$A:AN,HLOOKUP('[1]Course Totals'!P$4,'[1]import graded seats course pivo'!$1:$2,2,FALSE),FALSE))),"")</f>
        <v>0.967741935483871</v>
      </c>
      <c r="Q674" s="14" t="str">
        <f>IFERROR((VLOOKUP($A674,'[1]import success seats course'!$A:AE,HLOOKUP('[1]Course Totals'!Q$4,'[1]import success seats course'!$1:$2,2,FALSE),FALSE)/(VLOOKUP($A674,'[1]import graded seats course pivo'!$A:AO,HLOOKUP('[1]Course Totals'!Q$4,'[1]import graded seats course pivo'!$1:$2,2,FALSE),FALSE))),"")</f>
        <v/>
      </c>
      <c r="R674" s="14" t="str">
        <f>IFERROR((VLOOKUP($A674,'[1]import success seats course'!$A:AF,HLOOKUP('[1]Course Totals'!R$4,'[1]import success seats course'!$1:$2,2,FALSE),FALSE)/(VLOOKUP($A674,'[1]import graded seats course pivo'!$A:AP,HLOOKUP('[1]Course Totals'!R$4,'[1]import graded seats course pivo'!$1:$2,2,FALSE),FALSE))),"")</f>
        <v/>
      </c>
      <c r="S674" s="14" t="str">
        <f>IFERROR((VLOOKUP($A674,'[1]import success seats course'!$A:AG,HLOOKUP('[1]Course Totals'!S$4,'[1]import success seats course'!$1:$2,2,FALSE),FALSE)/(VLOOKUP($A674,'[1]import graded seats course pivo'!$A:AQ,HLOOKUP('[1]Course Totals'!S$4,'[1]import graded seats course pivo'!$1:$2,2,FALSE),FALSE))),"")</f>
        <v/>
      </c>
      <c r="Z674" s="7"/>
      <c r="AA674" s="7"/>
      <c r="AB674" s="7"/>
      <c r="AC674" s="7"/>
    </row>
    <row r="675" spans="1:29" ht="15.75" customHeight="1" x14ac:dyDescent="0.25">
      <c r="A675" s="12" t="s">
        <v>847</v>
      </c>
      <c r="B675" s="14" t="str">
        <f>IFERROR((VLOOKUP($A675,'[1]import success seats course'!$A:P,HLOOKUP('[1]Course Totals'!B$4,'[1]import success seats course'!$1:$2,2,FALSE),FALSE)/(VLOOKUP($A675,'[1]import graded seats course pivo'!$A:Z,HLOOKUP('[1]Course Totals'!B$4,'[1]import graded seats course pivo'!$1:$2,2,FALSE),FALSE))),"")</f>
        <v/>
      </c>
      <c r="C675" s="14" t="str">
        <f>IFERROR((VLOOKUP($A675,'[1]import success seats course'!$A:Q,HLOOKUP('[1]Course Totals'!C$4,'[1]import success seats course'!$1:$2,2,FALSE),FALSE)/(VLOOKUP($A675,'[1]import graded seats course pivo'!$A:AA,HLOOKUP('[1]Course Totals'!C$4,'[1]import graded seats course pivo'!$1:$2,2,FALSE),FALSE))),"")</f>
        <v/>
      </c>
      <c r="D675" s="14" t="str">
        <f>IFERROR((VLOOKUP($A675,'[1]import success seats course'!$A:R,HLOOKUP('[1]Course Totals'!D$4,'[1]import success seats course'!$1:$2,2,FALSE),FALSE)/(VLOOKUP($A675,'[1]import graded seats course pivo'!$A:AB,HLOOKUP('[1]Course Totals'!D$4,'[1]import graded seats course pivo'!$1:$2,2,FALSE),FALSE))),"")</f>
        <v/>
      </c>
      <c r="E675" s="14" t="str">
        <f>IFERROR((VLOOKUP($A675,'[1]import success seats course'!$A:S,HLOOKUP('[1]Course Totals'!E$4,'[1]import success seats course'!$1:$2,2,FALSE),FALSE)/(VLOOKUP($A675,'[1]import graded seats course pivo'!$A:AC,HLOOKUP('[1]Course Totals'!E$4,'[1]import graded seats course pivo'!$1:$2,2,FALSE),FALSE))),"")</f>
        <v/>
      </c>
      <c r="F675" s="14" t="str">
        <f>IFERROR((VLOOKUP($A675,'[1]import success seats course'!$A:T,HLOOKUP('[1]Course Totals'!F$4,'[1]import success seats course'!$1:$2,2,FALSE),FALSE)/(VLOOKUP($A675,'[1]import graded seats course pivo'!$A:AD,HLOOKUP('[1]Course Totals'!F$4,'[1]import graded seats course pivo'!$1:$2,2,FALSE),FALSE))),"")</f>
        <v/>
      </c>
      <c r="G675" s="14">
        <f>IFERROR((VLOOKUP($A675,'[1]import success seats course'!$A:U,HLOOKUP('[1]Course Totals'!G$4,'[1]import success seats course'!$1:$2,2,FALSE),FALSE)/(VLOOKUP($A675,'[1]import graded seats course pivo'!$A:AE,HLOOKUP('[1]Course Totals'!G$4,'[1]import graded seats course pivo'!$1:$2,2,FALSE),FALSE))),"")</f>
        <v>1</v>
      </c>
      <c r="H675" s="14" t="str">
        <f>IFERROR((VLOOKUP($A675,'[1]import success seats course'!$A:V,HLOOKUP('[1]Course Totals'!H$4,'[1]import success seats course'!$1:$2,2,FALSE),FALSE)/(VLOOKUP($A675,'[1]import graded seats course pivo'!$A:AF,HLOOKUP('[1]Course Totals'!H$4,'[1]import graded seats course pivo'!$1:$2,2,FALSE),FALSE))),"")</f>
        <v/>
      </c>
      <c r="I675" s="14" t="str">
        <f>IFERROR((VLOOKUP($A675,'[1]import success seats course'!$A:W,HLOOKUP('[1]Course Totals'!I$4,'[1]import success seats course'!$1:$2,2,FALSE),FALSE)/(VLOOKUP($A675,'[1]import graded seats course pivo'!$A:AG,HLOOKUP('[1]Course Totals'!I$4,'[1]import graded seats course pivo'!$1:$2,2,FALSE),FALSE))),"")</f>
        <v/>
      </c>
      <c r="J675" s="14">
        <f>IFERROR((VLOOKUP($A675,'[1]import success seats course'!$A:X,HLOOKUP('[1]Course Totals'!J$4,'[1]import success seats course'!$1:$2,2,FALSE),FALSE)/(VLOOKUP($A675,'[1]import graded seats course pivo'!$A:AH,HLOOKUP('[1]Course Totals'!J$4,'[1]import graded seats course pivo'!$1:$2,2,FALSE),FALSE))),"")</f>
        <v>0.96666666666666667</v>
      </c>
      <c r="K675" s="14" t="str">
        <f>IFERROR((VLOOKUP($A675,'[1]import success seats course'!$A:Y,HLOOKUP('[1]Course Totals'!K$4,'[1]import success seats course'!$1:$2,2,FALSE),FALSE)/(VLOOKUP($A675,'[1]import graded seats course pivo'!$A:AI,HLOOKUP('[1]Course Totals'!K$4,'[1]import graded seats course pivo'!$1:$2,2,FALSE),FALSE))),"")</f>
        <v/>
      </c>
      <c r="L675" s="14" t="str">
        <f>IFERROR((VLOOKUP($A675,'[1]import success seats course'!$A:Z,HLOOKUP('[1]Course Totals'!L$4,'[1]import success seats course'!$1:$2,2,FALSE),FALSE)/(VLOOKUP($A675,'[1]import graded seats course pivo'!$A:AJ,HLOOKUP('[1]Course Totals'!L$4,'[1]import graded seats course pivo'!$1:$2,2,FALSE),FALSE))),"")</f>
        <v/>
      </c>
      <c r="M675" s="14" t="str">
        <f>IFERROR((VLOOKUP($A675,'[1]import success seats course'!$A:AA,HLOOKUP('[1]Course Totals'!M$4,'[1]import success seats course'!$1:$2,2,FALSE),FALSE)/(VLOOKUP($A675,'[1]import graded seats course pivo'!$A:AK,HLOOKUP('[1]Course Totals'!M$4,'[1]import graded seats course pivo'!$1:$2,2,FALSE),FALSE))),"")</f>
        <v/>
      </c>
      <c r="N675" s="14" t="str">
        <f>IFERROR((VLOOKUP($A675,'[1]import success seats course'!$A:AB,HLOOKUP('[1]Course Totals'!N$4,'[1]import success seats course'!$1:$2,2,FALSE),FALSE)/(VLOOKUP($A675,'[1]import graded seats course pivo'!$A:AL,HLOOKUP('[1]Course Totals'!N$4,'[1]import graded seats course pivo'!$1:$2,2,FALSE),FALSE))),"")</f>
        <v/>
      </c>
      <c r="O675" s="14">
        <f>IFERROR((VLOOKUP($A675,'[1]import success seats course'!$A:AC,HLOOKUP('[1]Course Totals'!O$4,'[1]import success seats course'!$1:$2,2,FALSE),FALSE)/(VLOOKUP($A675,'[1]import graded seats course pivo'!$A:AM,HLOOKUP('[1]Course Totals'!O$4,'[1]import graded seats course pivo'!$1:$2,2,FALSE),FALSE))),"")</f>
        <v>1</v>
      </c>
      <c r="P675" s="14" t="str">
        <f>IFERROR((VLOOKUP($A675,'[1]import success seats course'!$A:AD,HLOOKUP('[1]Course Totals'!P$4,'[1]import success seats course'!$1:$2,2,FALSE),FALSE)/(VLOOKUP($A675,'[1]import graded seats course pivo'!$A:AN,HLOOKUP('[1]Course Totals'!P$4,'[1]import graded seats course pivo'!$1:$2,2,FALSE),FALSE))),"")</f>
        <v/>
      </c>
      <c r="Q675" s="14" t="str">
        <f>IFERROR((VLOOKUP($A675,'[1]import success seats course'!$A:AE,HLOOKUP('[1]Course Totals'!Q$4,'[1]import success seats course'!$1:$2,2,FALSE),FALSE)/(VLOOKUP($A675,'[1]import graded seats course pivo'!$A:AO,HLOOKUP('[1]Course Totals'!Q$4,'[1]import graded seats course pivo'!$1:$2,2,FALSE),FALSE))),"")</f>
        <v/>
      </c>
      <c r="R675" s="14" t="str">
        <f>IFERROR((VLOOKUP($A675,'[1]import success seats course'!$A:AF,HLOOKUP('[1]Course Totals'!R$4,'[1]import success seats course'!$1:$2,2,FALSE),FALSE)/(VLOOKUP($A675,'[1]import graded seats course pivo'!$A:AP,HLOOKUP('[1]Course Totals'!R$4,'[1]import graded seats course pivo'!$1:$2,2,FALSE),FALSE))),"")</f>
        <v/>
      </c>
      <c r="S675" s="14" t="str">
        <f>IFERROR((VLOOKUP($A675,'[1]import success seats course'!$A:AG,HLOOKUP('[1]Course Totals'!S$4,'[1]import success seats course'!$1:$2,2,FALSE),FALSE)/(VLOOKUP($A675,'[1]import graded seats course pivo'!$A:AQ,HLOOKUP('[1]Course Totals'!S$4,'[1]import graded seats course pivo'!$1:$2,2,FALSE),FALSE))),"")</f>
        <v/>
      </c>
      <c r="Z675" s="7"/>
      <c r="AA675" s="7"/>
      <c r="AB675" s="7"/>
      <c r="AC675" s="7"/>
    </row>
    <row r="676" spans="1:29" ht="15.75" customHeight="1" x14ac:dyDescent="0.25">
      <c r="A676" s="12" t="s">
        <v>314</v>
      </c>
      <c r="B676" s="14" t="str">
        <f>IFERROR((VLOOKUP($A676,'[1]import success seats course'!$A:P,HLOOKUP('[1]Course Totals'!B$4,'[1]import success seats course'!$1:$2,2,FALSE),FALSE)/(VLOOKUP($A676,'[1]import graded seats course pivo'!$A:Z,HLOOKUP('[1]Course Totals'!B$4,'[1]import graded seats course pivo'!$1:$2,2,FALSE),FALSE))),"")</f>
        <v/>
      </c>
      <c r="C676" s="14">
        <f>IFERROR((VLOOKUP($A676,'[1]import success seats course'!$A:Q,HLOOKUP('[1]Course Totals'!C$4,'[1]import success seats course'!$1:$2,2,FALSE),FALSE)/(VLOOKUP($A676,'[1]import graded seats course pivo'!$A:AA,HLOOKUP('[1]Course Totals'!C$4,'[1]import graded seats course pivo'!$1:$2,2,FALSE),FALSE))),"")</f>
        <v>1</v>
      </c>
      <c r="D676" s="14" t="str">
        <f>IFERROR((VLOOKUP($A676,'[1]import success seats course'!$A:R,HLOOKUP('[1]Course Totals'!D$4,'[1]import success seats course'!$1:$2,2,FALSE),FALSE)/(VLOOKUP($A676,'[1]import graded seats course pivo'!$A:AB,HLOOKUP('[1]Course Totals'!D$4,'[1]import graded seats course pivo'!$1:$2,2,FALSE),FALSE))),"")</f>
        <v/>
      </c>
      <c r="E676" s="14" t="str">
        <f>IFERROR((VLOOKUP($A676,'[1]import success seats course'!$A:S,HLOOKUP('[1]Course Totals'!E$4,'[1]import success seats course'!$1:$2,2,FALSE),FALSE)/(VLOOKUP($A676,'[1]import graded seats course pivo'!$A:AC,HLOOKUP('[1]Course Totals'!E$4,'[1]import graded seats course pivo'!$1:$2,2,FALSE),FALSE))),"")</f>
        <v/>
      </c>
      <c r="F676" s="14">
        <f>IFERROR((VLOOKUP($A676,'[1]import success seats course'!$A:T,HLOOKUP('[1]Course Totals'!F$4,'[1]import success seats course'!$1:$2,2,FALSE),FALSE)/(VLOOKUP($A676,'[1]import graded seats course pivo'!$A:AD,HLOOKUP('[1]Course Totals'!F$4,'[1]import graded seats course pivo'!$1:$2,2,FALSE),FALSE))),"")</f>
        <v>1</v>
      </c>
      <c r="G676" s="14" t="str">
        <f>IFERROR((VLOOKUP($A676,'[1]import success seats course'!$A:U,HLOOKUP('[1]Course Totals'!G$4,'[1]import success seats course'!$1:$2,2,FALSE),FALSE)/(VLOOKUP($A676,'[1]import graded seats course pivo'!$A:AE,HLOOKUP('[1]Course Totals'!G$4,'[1]import graded seats course pivo'!$1:$2,2,FALSE),FALSE))),"")</f>
        <v/>
      </c>
      <c r="H676" s="14" t="str">
        <f>IFERROR((VLOOKUP($A676,'[1]import success seats course'!$A:V,HLOOKUP('[1]Course Totals'!H$4,'[1]import success seats course'!$1:$2,2,FALSE),FALSE)/(VLOOKUP($A676,'[1]import graded seats course pivo'!$A:AF,HLOOKUP('[1]Course Totals'!H$4,'[1]import graded seats course pivo'!$1:$2,2,FALSE),FALSE))),"")</f>
        <v/>
      </c>
      <c r="I676" s="14" t="str">
        <f>IFERROR((VLOOKUP($A676,'[1]import success seats course'!$A:W,HLOOKUP('[1]Course Totals'!I$4,'[1]import success seats course'!$1:$2,2,FALSE),FALSE)/(VLOOKUP($A676,'[1]import graded seats course pivo'!$A:AG,HLOOKUP('[1]Course Totals'!I$4,'[1]import graded seats course pivo'!$1:$2,2,FALSE),FALSE))),"")</f>
        <v/>
      </c>
      <c r="J676" s="14" t="str">
        <f>IFERROR((VLOOKUP($A676,'[1]import success seats course'!$A:X,HLOOKUP('[1]Course Totals'!J$4,'[1]import success seats course'!$1:$2,2,FALSE),FALSE)/(VLOOKUP($A676,'[1]import graded seats course pivo'!$A:AH,HLOOKUP('[1]Course Totals'!J$4,'[1]import graded seats course pivo'!$1:$2,2,FALSE),FALSE))),"")</f>
        <v/>
      </c>
      <c r="K676" s="14" t="str">
        <f>IFERROR((VLOOKUP($A676,'[1]import success seats course'!$A:Y,HLOOKUP('[1]Course Totals'!K$4,'[1]import success seats course'!$1:$2,2,FALSE),FALSE)/(VLOOKUP($A676,'[1]import graded seats course pivo'!$A:AI,HLOOKUP('[1]Course Totals'!K$4,'[1]import graded seats course pivo'!$1:$2,2,FALSE),FALSE))),"")</f>
        <v/>
      </c>
      <c r="L676" s="14">
        <f>IFERROR((VLOOKUP($A676,'[1]import success seats course'!$A:Z,HLOOKUP('[1]Course Totals'!L$4,'[1]import success seats course'!$1:$2,2,FALSE),FALSE)/(VLOOKUP($A676,'[1]import graded seats course pivo'!$A:AJ,HLOOKUP('[1]Course Totals'!L$4,'[1]import graded seats course pivo'!$1:$2,2,FALSE),FALSE))),"")</f>
        <v>1</v>
      </c>
      <c r="M676" s="14" t="str">
        <f>IFERROR((VLOOKUP($A676,'[1]import success seats course'!$A:AA,HLOOKUP('[1]Course Totals'!M$4,'[1]import success seats course'!$1:$2,2,FALSE),FALSE)/(VLOOKUP($A676,'[1]import graded seats course pivo'!$A:AK,HLOOKUP('[1]Course Totals'!M$4,'[1]import graded seats course pivo'!$1:$2,2,FALSE),FALSE))),"")</f>
        <v/>
      </c>
      <c r="N676" s="14" t="str">
        <f>IFERROR((VLOOKUP($A676,'[1]import success seats course'!$A:AB,HLOOKUP('[1]Course Totals'!N$4,'[1]import success seats course'!$1:$2,2,FALSE),FALSE)/(VLOOKUP($A676,'[1]import graded seats course pivo'!$A:AL,HLOOKUP('[1]Course Totals'!N$4,'[1]import graded seats course pivo'!$1:$2,2,FALSE),FALSE))),"")</f>
        <v/>
      </c>
      <c r="O676" s="14" t="str">
        <f>IFERROR((VLOOKUP($A676,'[1]import success seats course'!$A:AC,HLOOKUP('[1]Course Totals'!O$4,'[1]import success seats course'!$1:$2,2,FALSE),FALSE)/(VLOOKUP($A676,'[1]import graded seats course pivo'!$A:AM,HLOOKUP('[1]Course Totals'!O$4,'[1]import graded seats course pivo'!$1:$2,2,FALSE),FALSE))),"")</f>
        <v/>
      </c>
      <c r="P676" s="14" t="str">
        <f>IFERROR((VLOOKUP($A676,'[1]import success seats course'!$A:AD,HLOOKUP('[1]Course Totals'!P$4,'[1]import success seats course'!$1:$2,2,FALSE),FALSE)/(VLOOKUP($A676,'[1]import graded seats course pivo'!$A:AN,HLOOKUP('[1]Course Totals'!P$4,'[1]import graded seats course pivo'!$1:$2,2,FALSE),FALSE))),"")</f>
        <v/>
      </c>
      <c r="Q676" s="14" t="str">
        <f>IFERROR((VLOOKUP($A676,'[1]import success seats course'!$A:AE,HLOOKUP('[1]Course Totals'!Q$4,'[1]import success seats course'!$1:$2,2,FALSE),FALSE)/(VLOOKUP($A676,'[1]import graded seats course pivo'!$A:AO,HLOOKUP('[1]Course Totals'!Q$4,'[1]import graded seats course pivo'!$1:$2,2,FALSE),FALSE))),"")</f>
        <v/>
      </c>
      <c r="R676" s="14" t="str">
        <f>IFERROR((VLOOKUP($A676,'[1]import success seats course'!$A:AF,HLOOKUP('[1]Course Totals'!R$4,'[1]import success seats course'!$1:$2,2,FALSE),FALSE)/(VLOOKUP($A676,'[1]import graded seats course pivo'!$A:AP,HLOOKUP('[1]Course Totals'!R$4,'[1]import graded seats course pivo'!$1:$2,2,FALSE),FALSE))),"")</f>
        <v/>
      </c>
      <c r="S676" s="14">
        <f>IFERROR((VLOOKUP($A676,'[1]import success seats course'!$A:AG,HLOOKUP('[1]Course Totals'!S$4,'[1]import success seats course'!$1:$2,2,FALSE),FALSE)/(VLOOKUP($A676,'[1]import graded seats course pivo'!$A:AQ,HLOOKUP('[1]Course Totals'!S$4,'[1]import graded seats course pivo'!$1:$2,2,FALSE),FALSE))),"")</f>
        <v>1</v>
      </c>
      <c r="Z676" s="7"/>
      <c r="AA676" s="7"/>
      <c r="AB676" s="7"/>
      <c r="AC676" s="7"/>
    </row>
    <row r="677" spans="1:29" ht="15.75" customHeight="1" x14ac:dyDescent="0.25">
      <c r="A677" s="12" t="s">
        <v>315</v>
      </c>
      <c r="B677" s="14" t="str">
        <f>IFERROR((VLOOKUP($A677,'[1]import success seats course'!$A:P,HLOOKUP('[1]Course Totals'!B$4,'[1]import success seats course'!$1:$2,2,FALSE),FALSE)/(VLOOKUP($A677,'[1]import graded seats course pivo'!$A:Z,HLOOKUP('[1]Course Totals'!B$4,'[1]import graded seats course pivo'!$1:$2,2,FALSE),FALSE))),"")</f>
        <v/>
      </c>
      <c r="C677" s="14">
        <f>IFERROR((VLOOKUP($A677,'[1]import success seats course'!$A:Q,HLOOKUP('[1]Course Totals'!C$4,'[1]import success seats course'!$1:$2,2,FALSE),FALSE)/(VLOOKUP($A677,'[1]import graded seats course pivo'!$A:AA,HLOOKUP('[1]Course Totals'!C$4,'[1]import graded seats course pivo'!$1:$2,2,FALSE),FALSE))),"")</f>
        <v>1</v>
      </c>
      <c r="D677" s="14" t="str">
        <f>IFERROR((VLOOKUP($A677,'[1]import success seats course'!$A:R,HLOOKUP('[1]Course Totals'!D$4,'[1]import success seats course'!$1:$2,2,FALSE),FALSE)/(VLOOKUP($A677,'[1]import graded seats course pivo'!$A:AB,HLOOKUP('[1]Course Totals'!D$4,'[1]import graded seats course pivo'!$1:$2,2,FALSE),FALSE))),"")</f>
        <v/>
      </c>
      <c r="E677" s="14" t="str">
        <f>IFERROR((VLOOKUP($A677,'[1]import success seats course'!$A:S,HLOOKUP('[1]Course Totals'!E$4,'[1]import success seats course'!$1:$2,2,FALSE),FALSE)/(VLOOKUP($A677,'[1]import graded seats course pivo'!$A:AC,HLOOKUP('[1]Course Totals'!E$4,'[1]import graded seats course pivo'!$1:$2,2,FALSE),FALSE))),"")</f>
        <v/>
      </c>
      <c r="F677" s="14" t="str">
        <f>IFERROR((VLOOKUP($A677,'[1]import success seats course'!$A:T,HLOOKUP('[1]Course Totals'!F$4,'[1]import success seats course'!$1:$2,2,FALSE),FALSE)/(VLOOKUP($A677,'[1]import graded seats course pivo'!$A:AD,HLOOKUP('[1]Course Totals'!F$4,'[1]import graded seats course pivo'!$1:$2,2,FALSE),FALSE))),"")</f>
        <v/>
      </c>
      <c r="G677" s="14" t="str">
        <f>IFERROR((VLOOKUP($A677,'[1]import success seats course'!$A:U,HLOOKUP('[1]Course Totals'!G$4,'[1]import success seats course'!$1:$2,2,FALSE),FALSE)/(VLOOKUP($A677,'[1]import graded seats course pivo'!$A:AE,HLOOKUP('[1]Course Totals'!G$4,'[1]import graded seats course pivo'!$1:$2,2,FALSE),FALSE))),"")</f>
        <v/>
      </c>
      <c r="H677" s="14" t="str">
        <f>IFERROR((VLOOKUP($A677,'[1]import success seats course'!$A:V,HLOOKUP('[1]Course Totals'!H$4,'[1]import success seats course'!$1:$2,2,FALSE),FALSE)/(VLOOKUP($A677,'[1]import graded seats course pivo'!$A:AF,HLOOKUP('[1]Course Totals'!H$4,'[1]import graded seats course pivo'!$1:$2,2,FALSE),FALSE))),"")</f>
        <v/>
      </c>
      <c r="I677" s="14">
        <f>IFERROR((VLOOKUP($A677,'[1]import success seats course'!$A:W,HLOOKUP('[1]Course Totals'!I$4,'[1]import success seats course'!$1:$2,2,FALSE),FALSE)/(VLOOKUP($A677,'[1]import graded seats course pivo'!$A:AG,HLOOKUP('[1]Course Totals'!I$4,'[1]import graded seats course pivo'!$1:$2,2,FALSE),FALSE))),"")</f>
        <v>0.95121951219512191</v>
      </c>
      <c r="J677" s="14" t="str">
        <f>IFERROR((VLOOKUP($A677,'[1]import success seats course'!$A:X,HLOOKUP('[1]Course Totals'!J$4,'[1]import success seats course'!$1:$2,2,FALSE),FALSE)/(VLOOKUP($A677,'[1]import graded seats course pivo'!$A:AH,HLOOKUP('[1]Course Totals'!J$4,'[1]import graded seats course pivo'!$1:$2,2,FALSE),FALSE))),"")</f>
        <v/>
      </c>
      <c r="K677" s="14" t="str">
        <f>IFERROR((VLOOKUP($A677,'[1]import success seats course'!$A:Y,HLOOKUP('[1]Course Totals'!K$4,'[1]import success seats course'!$1:$2,2,FALSE),FALSE)/(VLOOKUP($A677,'[1]import graded seats course pivo'!$A:AI,HLOOKUP('[1]Course Totals'!K$4,'[1]import graded seats course pivo'!$1:$2,2,FALSE),FALSE))),"")</f>
        <v/>
      </c>
      <c r="L677" s="14" t="str">
        <f>IFERROR((VLOOKUP($A677,'[1]import success seats course'!$A:Z,HLOOKUP('[1]Course Totals'!L$4,'[1]import success seats course'!$1:$2,2,FALSE),FALSE)/(VLOOKUP($A677,'[1]import graded seats course pivo'!$A:AJ,HLOOKUP('[1]Course Totals'!L$4,'[1]import graded seats course pivo'!$1:$2,2,FALSE),FALSE))),"")</f>
        <v/>
      </c>
      <c r="M677" s="14">
        <f>IFERROR((VLOOKUP($A677,'[1]import success seats course'!$A:AA,HLOOKUP('[1]Course Totals'!M$4,'[1]import success seats course'!$1:$2,2,FALSE),FALSE)/(VLOOKUP($A677,'[1]import graded seats course pivo'!$A:AK,HLOOKUP('[1]Course Totals'!M$4,'[1]import graded seats course pivo'!$1:$2,2,FALSE),FALSE))),"")</f>
        <v>0.89743589743589747</v>
      </c>
      <c r="N677" s="14" t="str">
        <f>IFERROR((VLOOKUP($A677,'[1]import success seats course'!$A:AB,HLOOKUP('[1]Course Totals'!N$4,'[1]import success seats course'!$1:$2,2,FALSE),FALSE)/(VLOOKUP($A677,'[1]import graded seats course pivo'!$A:AL,HLOOKUP('[1]Course Totals'!N$4,'[1]import graded seats course pivo'!$1:$2,2,FALSE),FALSE))),"")</f>
        <v/>
      </c>
      <c r="O677" s="14" t="str">
        <f>IFERROR((VLOOKUP($A677,'[1]import success seats course'!$A:AC,HLOOKUP('[1]Course Totals'!O$4,'[1]import success seats course'!$1:$2,2,FALSE),FALSE)/(VLOOKUP($A677,'[1]import graded seats course pivo'!$A:AM,HLOOKUP('[1]Course Totals'!O$4,'[1]import graded seats course pivo'!$1:$2,2,FALSE),FALSE))),"")</f>
        <v/>
      </c>
      <c r="P677" s="14">
        <f>IFERROR((VLOOKUP($A677,'[1]import success seats course'!$A:AD,HLOOKUP('[1]Course Totals'!P$4,'[1]import success seats course'!$1:$2,2,FALSE),FALSE)/(VLOOKUP($A677,'[1]import graded seats course pivo'!$A:AN,HLOOKUP('[1]Course Totals'!P$4,'[1]import graded seats course pivo'!$1:$2,2,FALSE),FALSE))),"")</f>
        <v>0.93939393939393945</v>
      </c>
      <c r="Q677" s="14" t="str">
        <f>IFERROR((VLOOKUP($A677,'[1]import success seats course'!$A:AE,HLOOKUP('[1]Course Totals'!Q$4,'[1]import success seats course'!$1:$2,2,FALSE),FALSE)/(VLOOKUP($A677,'[1]import graded seats course pivo'!$A:AO,HLOOKUP('[1]Course Totals'!Q$4,'[1]import graded seats course pivo'!$1:$2,2,FALSE),FALSE))),"")</f>
        <v/>
      </c>
      <c r="R677" s="14" t="str">
        <f>IFERROR((VLOOKUP($A677,'[1]import success seats course'!$A:AF,HLOOKUP('[1]Course Totals'!R$4,'[1]import success seats course'!$1:$2,2,FALSE),FALSE)/(VLOOKUP($A677,'[1]import graded seats course pivo'!$A:AP,HLOOKUP('[1]Course Totals'!R$4,'[1]import graded seats course pivo'!$1:$2,2,FALSE),FALSE))),"")</f>
        <v/>
      </c>
      <c r="S677" s="14" t="str">
        <f>IFERROR((VLOOKUP($A677,'[1]import success seats course'!$A:AG,HLOOKUP('[1]Course Totals'!S$4,'[1]import success seats course'!$1:$2,2,FALSE),FALSE)/(VLOOKUP($A677,'[1]import graded seats course pivo'!$A:AQ,HLOOKUP('[1]Course Totals'!S$4,'[1]import graded seats course pivo'!$1:$2,2,FALSE),FALSE))),"")</f>
        <v/>
      </c>
      <c r="Z677" s="7"/>
      <c r="AA677" s="7"/>
      <c r="AB677" s="7"/>
      <c r="AC677" s="7"/>
    </row>
    <row r="678" spans="1:29" ht="15.75" customHeight="1" x14ac:dyDescent="0.25">
      <c r="A678" s="12" t="s">
        <v>921</v>
      </c>
      <c r="B678" s="14" t="str">
        <f>IFERROR((VLOOKUP($A678,'[1]import success seats course'!$A:P,HLOOKUP('[1]Course Totals'!B$4,'[1]import success seats course'!$1:$2,2,FALSE),FALSE)/(VLOOKUP($A678,'[1]import graded seats course pivo'!$A:Z,HLOOKUP('[1]Course Totals'!B$4,'[1]import graded seats course pivo'!$1:$2,2,FALSE),FALSE))),"")</f>
        <v/>
      </c>
      <c r="C678" s="14" t="str">
        <f>IFERROR((VLOOKUP($A678,'[1]import success seats course'!$A:Q,HLOOKUP('[1]Course Totals'!C$4,'[1]import success seats course'!$1:$2,2,FALSE),FALSE)/(VLOOKUP($A678,'[1]import graded seats course pivo'!$A:AA,HLOOKUP('[1]Course Totals'!C$4,'[1]import graded seats course pivo'!$1:$2,2,FALSE),FALSE))),"")</f>
        <v/>
      </c>
      <c r="D678" s="14">
        <f>IFERROR((VLOOKUP($A678,'[1]import success seats course'!$A:R,HLOOKUP('[1]Course Totals'!D$4,'[1]import success seats course'!$1:$2,2,FALSE),FALSE)/(VLOOKUP($A678,'[1]import graded seats course pivo'!$A:AB,HLOOKUP('[1]Course Totals'!D$4,'[1]import graded seats course pivo'!$1:$2,2,FALSE),FALSE))),"")</f>
        <v>0.95</v>
      </c>
      <c r="E678" s="14" t="str">
        <f>IFERROR((VLOOKUP($A678,'[1]import success seats course'!$A:S,HLOOKUP('[1]Course Totals'!E$4,'[1]import success seats course'!$1:$2,2,FALSE),FALSE)/(VLOOKUP($A678,'[1]import graded seats course pivo'!$A:AC,HLOOKUP('[1]Course Totals'!E$4,'[1]import graded seats course pivo'!$1:$2,2,FALSE),FALSE))),"")</f>
        <v/>
      </c>
      <c r="F678" s="14" t="str">
        <f>IFERROR((VLOOKUP($A678,'[1]import success seats course'!$A:T,HLOOKUP('[1]Course Totals'!F$4,'[1]import success seats course'!$1:$2,2,FALSE),FALSE)/(VLOOKUP($A678,'[1]import graded seats course pivo'!$A:AD,HLOOKUP('[1]Course Totals'!F$4,'[1]import graded seats course pivo'!$1:$2,2,FALSE),FALSE))),"")</f>
        <v/>
      </c>
      <c r="G678" s="14">
        <f>IFERROR((VLOOKUP($A678,'[1]import success seats course'!$A:U,HLOOKUP('[1]Course Totals'!G$4,'[1]import success seats course'!$1:$2,2,FALSE),FALSE)/(VLOOKUP($A678,'[1]import graded seats course pivo'!$A:AE,HLOOKUP('[1]Course Totals'!G$4,'[1]import graded seats course pivo'!$1:$2,2,FALSE),FALSE))),"")</f>
        <v>0.95652173913043481</v>
      </c>
      <c r="H678" s="14" t="str">
        <f>IFERROR((VLOOKUP($A678,'[1]import success seats course'!$A:V,HLOOKUP('[1]Course Totals'!H$4,'[1]import success seats course'!$1:$2,2,FALSE),FALSE)/(VLOOKUP($A678,'[1]import graded seats course pivo'!$A:AF,HLOOKUP('[1]Course Totals'!H$4,'[1]import graded seats course pivo'!$1:$2,2,FALSE),FALSE))),"")</f>
        <v/>
      </c>
      <c r="I678" s="14" t="str">
        <f>IFERROR((VLOOKUP($A678,'[1]import success seats course'!$A:W,HLOOKUP('[1]Course Totals'!I$4,'[1]import success seats course'!$1:$2,2,FALSE),FALSE)/(VLOOKUP($A678,'[1]import graded seats course pivo'!$A:AG,HLOOKUP('[1]Course Totals'!I$4,'[1]import graded seats course pivo'!$1:$2,2,FALSE),FALSE))),"")</f>
        <v/>
      </c>
      <c r="J678" s="14" t="str">
        <f>IFERROR((VLOOKUP($A678,'[1]import success seats course'!$A:X,HLOOKUP('[1]Course Totals'!J$4,'[1]import success seats course'!$1:$2,2,FALSE),FALSE)/(VLOOKUP($A678,'[1]import graded seats course pivo'!$A:AH,HLOOKUP('[1]Course Totals'!J$4,'[1]import graded seats course pivo'!$1:$2,2,FALSE),FALSE))),"")</f>
        <v/>
      </c>
      <c r="K678" s="14" t="str">
        <f>IFERROR((VLOOKUP($A678,'[1]import success seats course'!$A:Y,HLOOKUP('[1]Course Totals'!K$4,'[1]import success seats course'!$1:$2,2,FALSE),FALSE)/(VLOOKUP($A678,'[1]import graded seats course pivo'!$A:AI,HLOOKUP('[1]Course Totals'!K$4,'[1]import graded seats course pivo'!$1:$2,2,FALSE),FALSE))),"")</f>
        <v/>
      </c>
      <c r="L678" s="14" t="str">
        <f>IFERROR((VLOOKUP($A678,'[1]import success seats course'!$A:Z,HLOOKUP('[1]Course Totals'!L$4,'[1]import success seats course'!$1:$2,2,FALSE),FALSE)/(VLOOKUP($A678,'[1]import graded seats course pivo'!$A:AJ,HLOOKUP('[1]Course Totals'!L$4,'[1]import graded seats course pivo'!$1:$2,2,FALSE),FALSE))),"")</f>
        <v/>
      </c>
      <c r="M678" s="14">
        <f>IFERROR((VLOOKUP($A678,'[1]import success seats course'!$A:AA,HLOOKUP('[1]Course Totals'!M$4,'[1]import success seats course'!$1:$2,2,FALSE),FALSE)/(VLOOKUP($A678,'[1]import graded seats course pivo'!$A:AK,HLOOKUP('[1]Course Totals'!M$4,'[1]import graded seats course pivo'!$1:$2,2,FALSE),FALSE))),"")</f>
        <v>0.86363636363636365</v>
      </c>
      <c r="N678" s="14" t="str">
        <f>IFERROR((VLOOKUP($A678,'[1]import success seats course'!$A:AB,HLOOKUP('[1]Course Totals'!N$4,'[1]import success seats course'!$1:$2,2,FALSE),FALSE)/(VLOOKUP($A678,'[1]import graded seats course pivo'!$A:AL,HLOOKUP('[1]Course Totals'!N$4,'[1]import graded seats course pivo'!$1:$2,2,FALSE),FALSE))),"")</f>
        <v/>
      </c>
      <c r="O678" s="14" t="str">
        <f>IFERROR((VLOOKUP($A678,'[1]import success seats course'!$A:AC,HLOOKUP('[1]Course Totals'!O$4,'[1]import success seats course'!$1:$2,2,FALSE),FALSE)/(VLOOKUP($A678,'[1]import graded seats course pivo'!$A:AM,HLOOKUP('[1]Course Totals'!O$4,'[1]import graded seats course pivo'!$1:$2,2,FALSE),FALSE))),"")</f>
        <v/>
      </c>
      <c r="P678" s="14">
        <f>IFERROR((VLOOKUP($A678,'[1]import success seats course'!$A:AD,HLOOKUP('[1]Course Totals'!P$4,'[1]import success seats course'!$1:$2,2,FALSE),FALSE)/(VLOOKUP($A678,'[1]import graded seats course pivo'!$A:AN,HLOOKUP('[1]Course Totals'!P$4,'[1]import graded seats course pivo'!$1:$2,2,FALSE),FALSE))),"")</f>
        <v>0.86111111111111116</v>
      </c>
      <c r="Q678" s="14" t="str">
        <f>IFERROR((VLOOKUP($A678,'[1]import success seats course'!$A:AE,HLOOKUP('[1]Course Totals'!Q$4,'[1]import success seats course'!$1:$2,2,FALSE),FALSE)/(VLOOKUP($A678,'[1]import graded seats course pivo'!$A:AO,HLOOKUP('[1]Course Totals'!Q$4,'[1]import graded seats course pivo'!$1:$2,2,FALSE),FALSE))),"")</f>
        <v/>
      </c>
      <c r="R678" s="14" t="str">
        <f>IFERROR((VLOOKUP($A678,'[1]import success seats course'!$A:AF,HLOOKUP('[1]Course Totals'!R$4,'[1]import success seats course'!$1:$2,2,FALSE),FALSE)/(VLOOKUP($A678,'[1]import graded seats course pivo'!$A:AP,HLOOKUP('[1]Course Totals'!R$4,'[1]import graded seats course pivo'!$1:$2,2,FALSE),FALSE))),"")</f>
        <v/>
      </c>
      <c r="S678" s="14" t="str">
        <f>IFERROR((VLOOKUP($A678,'[1]import success seats course'!$A:AG,HLOOKUP('[1]Course Totals'!S$4,'[1]import success seats course'!$1:$2,2,FALSE),FALSE)/(VLOOKUP($A678,'[1]import graded seats course pivo'!$A:AQ,HLOOKUP('[1]Course Totals'!S$4,'[1]import graded seats course pivo'!$1:$2,2,FALSE),FALSE))),"")</f>
        <v/>
      </c>
      <c r="Z678" s="7"/>
      <c r="AA678" s="7"/>
      <c r="AB678" s="7"/>
      <c r="AC678" s="7"/>
    </row>
    <row r="679" spans="1:29" ht="15.75" customHeight="1" x14ac:dyDescent="0.25">
      <c r="A679" s="12" t="s">
        <v>627</v>
      </c>
      <c r="B679" s="14" t="str">
        <f>IFERROR((VLOOKUP($A679,'[1]import success seats course'!$A:P,HLOOKUP('[1]Course Totals'!B$4,'[1]import success seats course'!$1:$2,2,FALSE),FALSE)/(VLOOKUP($A679,'[1]import graded seats course pivo'!$A:Z,HLOOKUP('[1]Course Totals'!B$4,'[1]import graded seats course pivo'!$1:$2,2,FALSE),FALSE))),"")</f>
        <v/>
      </c>
      <c r="C679" s="14" t="str">
        <f>IFERROR((VLOOKUP($A679,'[1]import success seats course'!$A:Q,HLOOKUP('[1]Course Totals'!C$4,'[1]import success seats course'!$1:$2,2,FALSE),FALSE)/(VLOOKUP($A679,'[1]import graded seats course pivo'!$A:AA,HLOOKUP('[1]Course Totals'!C$4,'[1]import graded seats course pivo'!$1:$2,2,FALSE),FALSE))),"")</f>
        <v/>
      </c>
      <c r="D679" s="14" t="str">
        <f>IFERROR((VLOOKUP($A679,'[1]import success seats course'!$A:R,HLOOKUP('[1]Course Totals'!D$4,'[1]import success seats course'!$1:$2,2,FALSE),FALSE)/(VLOOKUP($A679,'[1]import graded seats course pivo'!$A:AB,HLOOKUP('[1]Course Totals'!D$4,'[1]import graded seats course pivo'!$1:$2,2,FALSE),FALSE))),"")</f>
        <v/>
      </c>
      <c r="E679" s="14" t="str">
        <f>IFERROR((VLOOKUP($A679,'[1]import success seats course'!$A:S,HLOOKUP('[1]Course Totals'!E$4,'[1]import success seats course'!$1:$2,2,FALSE),FALSE)/(VLOOKUP($A679,'[1]import graded seats course pivo'!$A:AC,HLOOKUP('[1]Course Totals'!E$4,'[1]import graded seats course pivo'!$1:$2,2,FALSE),FALSE))),"")</f>
        <v/>
      </c>
      <c r="F679" s="14">
        <f>IFERROR((VLOOKUP($A679,'[1]import success seats course'!$A:T,HLOOKUP('[1]Course Totals'!F$4,'[1]import success seats course'!$1:$2,2,FALSE),FALSE)/(VLOOKUP($A679,'[1]import graded seats course pivo'!$A:AD,HLOOKUP('[1]Course Totals'!F$4,'[1]import graded seats course pivo'!$1:$2,2,FALSE),FALSE))),"")</f>
        <v>1</v>
      </c>
      <c r="G679" s="14" t="str">
        <f>IFERROR((VLOOKUP($A679,'[1]import success seats course'!$A:U,HLOOKUP('[1]Course Totals'!G$4,'[1]import success seats course'!$1:$2,2,FALSE),FALSE)/(VLOOKUP($A679,'[1]import graded seats course pivo'!$A:AE,HLOOKUP('[1]Course Totals'!G$4,'[1]import graded seats course pivo'!$1:$2,2,FALSE),FALSE))),"")</f>
        <v/>
      </c>
      <c r="H679" s="14" t="str">
        <f>IFERROR((VLOOKUP($A679,'[1]import success seats course'!$A:V,HLOOKUP('[1]Course Totals'!H$4,'[1]import success seats course'!$1:$2,2,FALSE),FALSE)/(VLOOKUP($A679,'[1]import graded seats course pivo'!$A:AF,HLOOKUP('[1]Course Totals'!H$4,'[1]import graded seats course pivo'!$1:$2,2,FALSE),FALSE))),"")</f>
        <v/>
      </c>
      <c r="I679" s="14">
        <f>IFERROR((VLOOKUP($A679,'[1]import success seats course'!$A:W,HLOOKUP('[1]Course Totals'!I$4,'[1]import success seats course'!$1:$2,2,FALSE),FALSE)/(VLOOKUP($A679,'[1]import graded seats course pivo'!$A:AG,HLOOKUP('[1]Course Totals'!I$4,'[1]import graded seats course pivo'!$1:$2,2,FALSE),FALSE))),"")</f>
        <v>1</v>
      </c>
      <c r="J679" s="14" t="str">
        <f>IFERROR((VLOOKUP($A679,'[1]import success seats course'!$A:X,HLOOKUP('[1]Course Totals'!J$4,'[1]import success seats course'!$1:$2,2,FALSE),FALSE)/(VLOOKUP($A679,'[1]import graded seats course pivo'!$A:AH,HLOOKUP('[1]Course Totals'!J$4,'[1]import graded seats course pivo'!$1:$2,2,FALSE),FALSE))),"")</f>
        <v/>
      </c>
      <c r="K679" s="14" t="str">
        <f>IFERROR((VLOOKUP($A679,'[1]import success seats course'!$A:Y,HLOOKUP('[1]Course Totals'!K$4,'[1]import success seats course'!$1:$2,2,FALSE),FALSE)/(VLOOKUP($A679,'[1]import graded seats course pivo'!$A:AI,HLOOKUP('[1]Course Totals'!K$4,'[1]import graded seats course pivo'!$1:$2,2,FALSE),FALSE))),"")</f>
        <v/>
      </c>
      <c r="L679" s="14" t="str">
        <f>IFERROR((VLOOKUP($A679,'[1]import success seats course'!$A:Z,HLOOKUP('[1]Course Totals'!L$4,'[1]import success seats course'!$1:$2,2,FALSE),FALSE)/(VLOOKUP($A679,'[1]import graded seats course pivo'!$A:AJ,HLOOKUP('[1]Course Totals'!L$4,'[1]import graded seats course pivo'!$1:$2,2,FALSE),FALSE))),"")</f>
        <v/>
      </c>
      <c r="M679" s="14" t="str">
        <f>IFERROR((VLOOKUP($A679,'[1]import success seats course'!$A:AA,HLOOKUP('[1]Course Totals'!M$4,'[1]import success seats course'!$1:$2,2,FALSE),FALSE)/(VLOOKUP($A679,'[1]import graded seats course pivo'!$A:AK,HLOOKUP('[1]Course Totals'!M$4,'[1]import graded seats course pivo'!$1:$2,2,FALSE),FALSE))),"")</f>
        <v/>
      </c>
      <c r="N679" s="14" t="str">
        <f>IFERROR((VLOOKUP($A679,'[1]import success seats course'!$A:AB,HLOOKUP('[1]Course Totals'!N$4,'[1]import success seats course'!$1:$2,2,FALSE),FALSE)/(VLOOKUP($A679,'[1]import graded seats course pivo'!$A:AL,HLOOKUP('[1]Course Totals'!N$4,'[1]import graded seats course pivo'!$1:$2,2,FALSE),FALSE))),"")</f>
        <v/>
      </c>
      <c r="O679" s="14" t="str">
        <f>IFERROR((VLOOKUP($A679,'[1]import success seats course'!$A:AC,HLOOKUP('[1]Course Totals'!O$4,'[1]import success seats course'!$1:$2,2,FALSE),FALSE)/(VLOOKUP($A679,'[1]import graded seats course pivo'!$A:AM,HLOOKUP('[1]Course Totals'!O$4,'[1]import graded seats course pivo'!$1:$2,2,FALSE),FALSE))),"")</f>
        <v/>
      </c>
      <c r="P679" s="14" t="str">
        <f>IFERROR((VLOOKUP($A679,'[1]import success seats course'!$A:AD,HLOOKUP('[1]Course Totals'!P$4,'[1]import success seats course'!$1:$2,2,FALSE),FALSE)/(VLOOKUP($A679,'[1]import graded seats course pivo'!$A:AN,HLOOKUP('[1]Course Totals'!P$4,'[1]import graded seats course pivo'!$1:$2,2,FALSE),FALSE))),"")</f>
        <v/>
      </c>
      <c r="Q679" s="14" t="str">
        <f>IFERROR((VLOOKUP($A679,'[1]import success seats course'!$A:AE,HLOOKUP('[1]Course Totals'!Q$4,'[1]import success seats course'!$1:$2,2,FALSE),FALSE)/(VLOOKUP($A679,'[1]import graded seats course pivo'!$A:AO,HLOOKUP('[1]Course Totals'!Q$4,'[1]import graded seats course pivo'!$1:$2,2,FALSE),FALSE))),"")</f>
        <v/>
      </c>
      <c r="R679" s="14">
        <f>IFERROR((VLOOKUP($A679,'[1]import success seats course'!$A:AF,HLOOKUP('[1]Course Totals'!R$4,'[1]import success seats course'!$1:$2,2,FALSE),FALSE)/(VLOOKUP($A679,'[1]import graded seats course pivo'!$A:AP,HLOOKUP('[1]Course Totals'!R$4,'[1]import graded seats course pivo'!$1:$2,2,FALSE),FALSE))),"")</f>
        <v>0.90909090909090906</v>
      </c>
      <c r="S679" s="14" t="str">
        <f>IFERROR((VLOOKUP($A679,'[1]import success seats course'!$A:AG,HLOOKUP('[1]Course Totals'!S$4,'[1]import success seats course'!$1:$2,2,FALSE),FALSE)/(VLOOKUP($A679,'[1]import graded seats course pivo'!$A:AQ,HLOOKUP('[1]Course Totals'!S$4,'[1]import graded seats course pivo'!$1:$2,2,FALSE),FALSE))),"")</f>
        <v/>
      </c>
      <c r="Z679" s="7"/>
      <c r="AA679" s="7"/>
      <c r="AB679" s="7"/>
      <c r="AC679" s="7"/>
    </row>
    <row r="680" spans="1:29" ht="15.75" customHeight="1" x14ac:dyDescent="0.25">
      <c r="A680" s="12" t="s">
        <v>735</v>
      </c>
      <c r="B680" s="14" t="str">
        <f>IFERROR((VLOOKUP($A680,'[1]import success seats course'!$A:P,HLOOKUP('[1]Course Totals'!B$4,'[1]import success seats course'!$1:$2,2,FALSE),FALSE)/(VLOOKUP($A680,'[1]import graded seats course pivo'!$A:Z,HLOOKUP('[1]Course Totals'!B$4,'[1]import graded seats course pivo'!$1:$2,2,FALSE),FALSE))),"")</f>
        <v/>
      </c>
      <c r="C680" s="14" t="str">
        <f>IFERROR((VLOOKUP($A680,'[1]import success seats course'!$A:Q,HLOOKUP('[1]Course Totals'!C$4,'[1]import success seats course'!$1:$2,2,FALSE),FALSE)/(VLOOKUP($A680,'[1]import graded seats course pivo'!$A:AA,HLOOKUP('[1]Course Totals'!C$4,'[1]import graded seats course pivo'!$1:$2,2,FALSE),FALSE))),"")</f>
        <v/>
      </c>
      <c r="D680" s="14" t="str">
        <f>IFERROR((VLOOKUP($A680,'[1]import success seats course'!$A:R,HLOOKUP('[1]Course Totals'!D$4,'[1]import success seats course'!$1:$2,2,FALSE),FALSE)/(VLOOKUP($A680,'[1]import graded seats course pivo'!$A:AB,HLOOKUP('[1]Course Totals'!D$4,'[1]import graded seats course pivo'!$1:$2,2,FALSE),FALSE))),"")</f>
        <v/>
      </c>
      <c r="E680" s="14" t="str">
        <f>IFERROR((VLOOKUP($A680,'[1]import success seats course'!$A:S,HLOOKUP('[1]Course Totals'!E$4,'[1]import success seats course'!$1:$2,2,FALSE),FALSE)/(VLOOKUP($A680,'[1]import graded seats course pivo'!$A:AC,HLOOKUP('[1]Course Totals'!E$4,'[1]import graded seats course pivo'!$1:$2,2,FALSE),FALSE))),"")</f>
        <v/>
      </c>
      <c r="F680" s="14" t="str">
        <f>IFERROR((VLOOKUP($A680,'[1]import success seats course'!$A:T,HLOOKUP('[1]Course Totals'!F$4,'[1]import success seats course'!$1:$2,2,FALSE),FALSE)/(VLOOKUP($A680,'[1]import graded seats course pivo'!$A:AD,HLOOKUP('[1]Course Totals'!F$4,'[1]import graded seats course pivo'!$1:$2,2,FALSE),FALSE))),"")</f>
        <v/>
      </c>
      <c r="G680" s="14" t="str">
        <f>IFERROR((VLOOKUP($A680,'[1]import success seats course'!$A:U,HLOOKUP('[1]Course Totals'!G$4,'[1]import success seats course'!$1:$2,2,FALSE),FALSE)/(VLOOKUP($A680,'[1]import graded seats course pivo'!$A:AE,HLOOKUP('[1]Course Totals'!G$4,'[1]import graded seats course pivo'!$1:$2,2,FALSE),FALSE))),"")</f>
        <v/>
      </c>
      <c r="H680" s="14" t="str">
        <f>IFERROR((VLOOKUP($A680,'[1]import success seats course'!$A:V,HLOOKUP('[1]Course Totals'!H$4,'[1]import success seats course'!$1:$2,2,FALSE),FALSE)/(VLOOKUP($A680,'[1]import graded seats course pivo'!$A:AF,HLOOKUP('[1]Course Totals'!H$4,'[1]import graded seats course pivo'!$1:$2,2,FALSE),FALSE))),"")</f>
        <v/>
      </c>
      <c r="I680" s="14">
        <f>IFERROR((VLOOKUP($A680,'[1]import success seats course'!$A:W,HLOOKUP('[1]Course Totals'!I$4,'[1]import success seats course'!$1:$2,2,FALSE),FALSE)/(VLOOKUP($A680,'[1]import graded seats course pivo'!$A:AG,HLOOKUP('[1]Course Totals'!I$4,'[1]import graded seats course pivo'!$1:$2,2,FALSE),FALSE))),"")</f>
        <v>0.90476190476190477</v>
      </c>
      <c r="J680" s="14" t="str">
        <f>IFERROR((VLOOKUP($A680,'[1]import success seats course'!$A:X,HLOOKUP('[1]Course Totals'!J$4,'[1]import success seats course'!$1:$2,2,FALSE),FALSE)/(VLOOKUP($A680,'[1]import graded seats course pivo'!$A:AH,HLOOKUP('[1]Course Totals'!J$4,'[1]import graded seats course pivo'!$1:$2,2,FALSE),FALSE))),"")</f>
        <v/>
      </c>
      <c r="K680" s="14" t="str">
        <f>IFERROR((VLOOKUP($A680,'[1]import success seats course'!$A:Y,HLOOKUP('[1]Course Totals'!K$4,'[1]import success seats course'!$1:$2,2,FALSE),FALSE)/(VLOOKUP($A680,'[1]import graded seats course pivo'!$A:AI,HLOOKUP('[1]Course Totals'!K$4,'[1]import graded seats course pivo'!$1:$2,2,FALSE),FALSE))),"")</f>
        <v/>
      </c>
      <c r="L680" s="14" t="str">
        <f>IFERROR((VLOOKUP($A680,'[1]import success seats course'!$A:Z,HLOOKUP('[1]Course Totals'!L$4,'[1]import success seats course'!$1:$2,2,FALSE),FALSE)/(VLOOKUP($A680,'[1]import graded seats course pivo'!$A:AJ,HLOOKUP('[1]Course Totals'!L$4,'[1]import graded seats course pivo'!$1:$2,2,FALSE),FALSE))),"")</f>
        <v/>
      </c>
      <c r="M680" s="14" t="str">
        <f>IFERROR((VLOOKUP($A680,'[1]import success seats course'!$A:AA,HLOOKUP('[1]Course Totals'!M$4,'[1]import success seats course'!$1:$2,2,FALSE),FALSE)/(VLOOKUP($A680,'[1]import graded seats course pivo'!$A:AK,HLOOKUP('[1]Course Totals'!M$4,'[1]import graded seats course pivo'!$1:$2,2,FALSE),FALSE))),"")</f>
        <v/>
      </c>
      <c r="N680" s="14" t="str">
        <f>IFERROR((VLOOKUP($A680,'[1]import success seats course'!$A:AB,HLOOKUP('[1]Course Totals'!N$4,'[1]import success seats course'!$1:$2,2,FALSE),FALSE)/(VLOOKUP($A680,'[1]import graded seats course pivo'!$A:AL,HLOOKUP('[1]Course Totals'!N$4,'[1]import graded seats course pivo'!$1:$2,2,FALSE),FALSE))),"")</f>
        <v/>
      </c>
      <c r="O680" s="14" t="str">
        <f>IFERROR((VLOOKUP($A680,'[1]import success seats course'!$A:AC,HLOOKUP('[1]Course Totals'!O$4,'[1]import success seats course'!$1:$2,2,FALSE),FALSE)/(VLOOKUP($A680,'[1]import graded seats course pivo'!$A:AM,HLOOKUP('[1]Course Totals'!O$4,'[1]import graded seats course pivo'!$1:$2,2,FALSE),FALSE))),"")</f>
        <v/>
      </c>
      <c r="P680" s="14" t="str">
        <f>IFERROR((VLOOKUP($A680,'[1]import success seats course'!$A:AD,HLOOKUP('[1]Course Totals'!P$4,'[1]import success seats course'!$1:$2,2,FALSE),FALSE)/(VLOOKUP($A680,'[1]import graded seats course pivo'!$A:AN,HLOOKUP('[1]Course Totals'!P$4,'[1]import graded seats course pivo'!$1:$2,2,FALSE),FALSE))),"")</f>
        <v/>
      </c>
      <c r="Q680" s="14" t="str">
        <f>IFERROR((VLOOKUP($A680,'[1]import success seats course'!$A:AE,HLOOKUP('[1]Course Totals'!Q$4,'[1]import success seats course'!$1:$2,2,FALSE),FALSE)/(VLOOKUP($A680,'[1]import graded seats course pivo'!$A:AO,HLOOKUP('[1]Course Totals'!Q$4,'[1]import graded seats course pivo'!$1:$2,2,FALSE),FALSE))),"")</f>
        <v/>
      </c>
      <c r="R680" s="14" t="str">
        <f>IFERROR((VLOOKUP($A680,'[1]import success seats course'!$A:AF,HLOOKUP('[1]Course Totals'!R$4,'[1]import success seats course'!$1:$2,2,FALSE),FALSE)/(VLOOKUP($A680,'[1]import graded seats course pivo'!$A:AP,HLOOKUP('[1]Course Totals'!R$4,'[1]import graded seats course pivo'!$1:$2,2,FALSE),FALSE))),"")</f>
        <v/>
      </c>
      <c r="S680" s="14">
        <f>IFERROR((VLOOKUP($A680,'[1]import success seats course'!$A:AG,HLOOKUP('[1]Course Totals'!S$4,'[1]import success seats course'!$1:$2,2,FALSE),FALSE)/(VLOOKUP($A680,'[1]import graded seats course pivo'!$A:AQ,HLOOKUP('[1]Course Totals'!S$4,'[1]import graded seats course pivo'!$1:$2,2,FALSE),FALSE))),"")</f>
        <v>0.90322580645161288</v>
      </c>
      <c r="Z680" s="7"/>
      <c r="AA680" s="7"/>
      <c r="AB680" s="7"/>
      <c r="AC680" s="7"/>
    </row>
    <row r="681" spans="1:29" ht="15.75" customHeight="1" x14ac:dyDescent="0.25">
      <c r="A681" s="12" t="s">
        <v>848</v>
      </c>
      <c r="B681" s="14" t="str">
        <f>IFERROR((VLOOKUP($A681,'[1]import success seats course'!$A:P,HLOOKUP('[1]Course Totals'!B$4,'[1]import success seats course'!$1:$2,2,FALSE),FALSE)/(VLOOKUP($A681,'[1]import graded seats course pivo'!$A:Z,HLOOKUP('[1]Course Totals'!B$4,'[1]import graded seats course pivo'!$1:$2,2,FALSE),FALSE))),"")</f>
        <v/>
      </c>
      <c r="C681" s="14" t="str">
        <f>IFERROR((VLOOKUP($A681,'[1]import success seats course'!$A:Q,HLOOKUP('[1]Course Totals'!C$4,'[1]import success seats course'!$1:$2,2,FALSE),FALSE)/(VLOOKUP($A681,'[1]import graded seats course pivo'!$A:AA,HLOOKUP('[1]Course Totals'!C$4,'[1]import graded seats course pivo'!$1:$2,2,FALSE),FALSE))),"")</f>
        <v/>
      </c>
      <c r="D681" s="14" t="str">
        <f>IFERROR((VLOOKUP($A681,'[1]import success seats course'!$A:R,HLOOKUP('[1]Course Totals'!D$4,'[1]import success seats course'!$1:$2,2,FALSE),FALSE)/(VLOOKUP($A681,'[1]import graded seats course pivo'!$A:AB,HLOOKUP('[1]Course Totals'!D$4,'[1]import graded seats course pivo'!$1:$2,2,FALSE),FALSE))),"")</f>
        <v/>
      </c>
      <c r="E681" s="14" t="str">
        <f>IFERROR((VLOOKUP($A681,'[1]import success seats course'!$A:S,HLOOKUP('[1]Course Totals'!E$4,'[1]import success seats course'!$1:$2,2,FALSE),FALSE)/(VLOOKUP($A681,'[1]import graded seats course pivo'!$A:AC,HLOOKUP('[1]Course Totals'!E$4,'[1]import graded seats course pivo'!$1:$2,2,FALSE),FALSE))),"")</f>
        <v/>
      </c>
      <c r="F681" s="14" t="str">
        <f>IFERROR((VLOOKUP($A681,'[1]import success seats course'!$A:T,HLOOKUP('[1]Course Totals'!F$4,'[1]import success seats course'!$1:$2,2,FALSE),FALSE)/(VLOOKUP($A681,'[1]import graded seats course pivo'!$A:AD,HLOOKUP('[1]Course Totals'!F$4,'[1]import graded seats course pivo'!$1:$2,2,FALSE),FALSE))),"")</f>
        <v/>
      </c>
      <c r="G681" s="14" t="str">
        <f>IFERROR((VLOOKUP($A681,'[1]import success seats course'!$A:U,HLOOKUP('[1]Course Totals'!G$4,'[1]import success seats course'!$1:$2,2,FALSE),FALSE)/(VLOOKUP($A681,'[1]import graded seats course pivo'!$A:AE,HLOOKUP('[1]Course Totals'!G$4,'[1]import graded seats course pivo'!$1:$2,2,FALSE),FALSE))),"")</f>
        <v/>
      </c>
      <c r="H681" s="14" t="str">
        <f>IFERROR((VLOOKUP($A681,'[1]import success seats course'!$A:V,HLOOKUP('[1]Course Totals'!H$4,'[1]import success seats course'!$1:$2,2,FALSE),FALSE)/(VLOOKUP($A681,'[1]import graded seats course pivo'!$A:AF,HLOOKUP('[1]Course Totals'!H$4,'[1]import graded seats course pivo'!$1:$2,2,FALSE),FALSE))),"")</f>
        <v/>
      </c>
      <c r="I681" s="14" t="str">
        <f>IFERROR((VLOOKUP($A681,'[1]import success seats course'!$A:W,HLOOKUP('[1]Course Totals'!I$4,'[1]import success seats course'!$1:$2,2,FALSE),FALSE)/(VLOOKUP($A681,'[1]import graded seats course pivo'!$A:AG,HLOOKUP('[1]Course Totals'!I$4,'[1]import graded seats course pivo'!$1:$2,2,FALSE),FALSE))),"")</f>
        <v/>
      </c>
      <c r="J681" s="14" t="str">
        <f>IFERROR((VLOOKUP($A681,'[1]import success seats course'!$A:X,HLOOKUP('[1]Course Totals'!J$4,'[1]import success seats course'!$1:$2,2,FALSE),FALSE)/(VLOOKUP($A681,'[1]import graded seats course pivo'!$A:AH,HLOOKUP('[1]Course Totals'!J$4,'[1]import graded seats course pivo'!$1:$2,2,FALSE),FALSE))),"")</f>
        <v/>
      </c>
      <c r="K681" s="14" t="str">
        <f>IFERROR((VLOOKUP($A681,'[1]import success seats course'!$A:Y,HLOOKUP('[1]Course Totals'!K$4,'[1]import success seats course'!$1:$2,2,FALSE),FALSE)/(VLOOKUP($A681,'[1]import graded seats course pivo'!$A:AI,HLOOKUP('[1]Course Totals'!K$4,'[1]import graded seats course pivo'!$1:$2,2,FALSE),FALSE))),"")</f>
        <v/>
      </c>
      <c r="L681" s="14" t="str">
        <f>IFERROR((VLOOKUP($A681,'[1]import success seats course'!$A:Z,HLOOKUP('[1]Course Totals'!L$4,'[1]import success seats course'!$1:$2,2,FALSE),FALSE)/(VLOOKUP($A681,'[1]import graded seats course pivo'!$A:AJ,HLOOKUP('[1]Course Totals'!L$4,'[1]import graded seats course pivo'!$1:$2,2,FALSE),FALSE))),"")</f>
        <v/>
      </c>
      <c r="M681" s="14" t="str">
        <f>IFERROR((VLOOKUP($A681,'[1]import success seats course'!$A:AA,HLOOKUP('[1]Course Totals'!M$4,'[1]import success seats course'!$1:$2,2,FALSE),FALSE)/(VLOOKUP($A681,'[1]import graded seats course pivo'!$A:AK,HLOOKUP('[1]Course Totals'!M$4,'[1]import graded seats course pivo'!$1:$2,2,FALSE),FALSE))),"")</f>
        <v/>
      </c>
      <c r="N681" s="14" t="str">
        <f>IFERROR((VLOOKUP($A681,'[1]import success seats course'!$A:AB,HLOOKUP('[1]Course Totals'!N$4,'[1]import success seats course'!$1:$2,2,FALSE),FALSE)/(VLOOKUP($A681,'[1]import graded seats course pivo'!$A:AL,HLOOKUP('[1]Course Totals'!N$4,'[1]import graded seats course pivo'!$1:$2,2,FALSE),FALSE))),"")</f>
        <v/>
      </c>
      <c r="O681" s="14">
        <f>IFERROR((VLOOKUP($A681,'[1]import success seats course'!$A:AC,HLOOKUP('[1]Course Totals'!O$4,'[1]import success seats course'!$1:$2,2,FALSE),FALSE)/(VLOOKUP($A681,'[1]import graded seats course pivo'!$A:AM,HLOOKUP('[1]Course Totals'!O$4,'[1]import graded seats course pivo'!$1:$2,2,FALSE),FALSE))),"")</f>
        <v>1</v>
      </c>
      <c r="P681" s="14" t="str">
        <f>IFERROR((VLOOKUP($A681,'[1]import success seats course'!$A:AD,HLOOKUP('[1]Course Totals'!P$4,'[1]import success seats course'!$1:$2,2,FALSE),FALSE)/(VLOOKUP($A681,'[1]import graded seats course pivo'!$A:AN,HLOOKUP('[1]Course Totals'!P$4,'[1]import graded seats course pivo'!$1:$2,2,FALSE),FALSE))),"")</f>
        <v/>
      </c>
      <c r="Q681" s="14" t="str">
        <f>IFERROR((VLOOKUP($A681,'[1]import success seats course'!$A:AE,HLOOKUP('[1]Course Totals'!Q$4,'[1]import success seats course'!$1:$2,2,FALSE),FALSE)/(VLOOKUP($A681,'[1]import graded seats course pivo'!$A:AO,HLOOKUP('[1]Course Totals'!Q$4,'[1]import graded seats course pivo'!$1:$2,2,FALSE),FALSE))),"")</f>
        <v/>
      </c>
      <c r="R681" s="14" t="str">
        <f>IFERROR((VLOOKUP($A681,'[1]import success seats course'!$A:AF,HLOOKUP('[1]Course Totals'!R$4,'[1]import success seats course'!$1:$2,2,FALSE),FALSE)/(VLOOKUP($A681,'[1]import graded seats course pivo'!$A:AP,HLOOKUP('[1]Course Totals'!R$4,'[1]import graded seats course pivo'!$1:$2,2,FALSE),FALSE))),"")</f>
        <v/>
      </c>
      <c r="S681" s="14" t="str">
        <f>IFERROR((VLOOKUP($A681,'[1]import success seats course'!$A:AG,HLOOKUP('[1]Course Totals'!S$4,'[1]import success seats course'!$1:$2,2,FALSE),FALSE)/(VLOOKUP($A681,'[1]import graded seats course pivo'!$A:AQ,HLOOKUP('[1]Course Totals'!S$4,'[1]import graded seats course pivo'!$1:$2,2,FALSE),FALSE))),"")</f>
        <v/>
      </c>
      <c r="Z681" s="7"/>
      <c r="AA681" s="7"/>
      <c r="AB681" s="7"/>
      <c r="AC681" s="7"/>
    </row>
    <row r="682" spans="1:29" ht="15.75" customHeight="1" x14ac:dyDescent="0.25">
      <c r="A682" s="12" t="s">
        <v>793</v>
      </c>
      <c r="B682" s="14" t="str">
        <f>IFERROR((VLOOKUP($A682,'[1]import success seats course'!$A:P,HLOOKUP('[1]Course Totals'!B$4,'[1]import success seats course'!$1:$2,2,FALSE),FALSE)/(VLOOKUP($A682,'[1]import graded seats course pivo'!$A:Z,HLOOKUP('[1]Course Totals'!B$4,'[1]import graded seats course pivo'!$1:$2,2,FALSE),FALSE))),"")</f>
        <v/>
      </c>
      <c r="C682" s="14" t="str">
        <f>IFERROR((VLOOKUP($A682,'[1]import success seats course'!$A:Q,HLOOKUP('[1]Course Totals'!C$4,'[1]import success seats course'!$1:$2,2,FALSE),FALSE)/(VLOOKUP($A682,'[1]import graded seats course pivo'!$A:AA,HLOOKUP('[1]Course Totals'!C$4,'[1]import graded seats course pivo'!$1:$2,2,FALSE),FALSE))),"")</f>
        <v/>
      </c>
      <c r="D682" s="14" t="str">
        <f>IFERROR((VLOOKUP($A682,'[1]import success seats course'!$A:R,HLOOKUP('[1]Course Totals'!D$4,'[1]import success seats course'!$1:$2,2,FALSE),FALSE)/(VLOOKUP($A682,'[1]import graded seats course pivo'!$A:AB,HLOOKUP('[1]Course Totals'!D$4,'[1]import graded seats course pivo'!$1:$2,2,FALSE),FALSE))),"")</f>
        <v/>
      </c>
      <c r="E682" s="14" t="str">
        <f>IFERROR((VLOOKUP($A682,'[1]import success seats course'!$A:S,HLOOKUP('[1]Course Totals'!E$4,'[1]import success seats course'!$1:$2,2,FALSE),FALSE)/(VLOOKUP($A682,'[1]import graded seats course pivo'!$A:AC,HLOOKUP('[1]Course Totals'!E$4,'[1]import graded seats course pivo'!$1:$2,2,FALSE),FALSE))),"")</f>
        <v/>
      </c>
      <c r="F682" s="14" t="str">
        <f>IFERROR((VLOOKUP($A682,'[1]import success seats course'!$A:T,HLOOKUP('[1]Course Totals'!F$4,'[1]import success seats course'!$1:$2,2,FALSE),FALSE)/(VLOOKUP($A682,'[1]import graded seats course pivo'!$A:AD,HLOOKUP('[1]Course Totals'!F$4,'[1]import graded seats course pivo'!$1:$2,2,FALSE),FALSE))),"")</f>
        <v/>
      </c>
      <c r="G682" s="14" t="str">
        <f>IFERROR((VLOOKUP($A682,'[1]import success seats course'!$A:U,HLOOKUP('[1]Course Totals'!G$4,'[1]import success seats course'!$1:$2,2,FALSE),FALSE)/(VLOOKUP($A682,'[1]import graded seats course pivo'!$A:AE,HLOOKUP('[1]Course Totals'!G$4,'[1]import graded seats course pivo'!$1:$2,2,FALSE),FALSE))),"")</f>
        <v/>
      </c>
      <c r="H682" s="14" t="str">
        <f>IFERROR((VLOOKUP($A682,'[1]import success seats course'!$A:V,HLOOKUP('[1]Course Totals'!H$4,'[1]import success seats course'!$1:$2,2,FALSE),FALSE)/(VLOOKUP($A682,'[1]import graded seats course pivo'!$A:AF,HLOOKUP('[1]Course Totals'!H$4,'[1]import graded seats course pivo'!$1:$2,2,FALSE),FALSE))),"")</f>
        <v/>
      </c>
      <c r="I682" s="14" t="str">
        <f>IFERROR((VLOOKUP($A682,'[1]import success seats course'!$A:W,HLOOKUP('[1]Course Totals'!I$4,'[1]import success seats course'!$1:$2,2,FALSE),FALSE)/(VLOOKUP($A682,'[1]import graded seats course pivo'!$A:AG,HLOOKUP('[1]Course Totals'!I$4,'[1]import graded seats course pivo'!$1:$2,2,FALSE),FALSE))),"")</f>
        <v/>
      </c>
      <c r="J682" s="14" t="str">
        <f>IFERROR((VLOOKUP($A682,'[1]import success seats course'!$A:X,HLOOKUP('[1]Course Totals'!J$4,'[1]import success seats course'!$1:$2,2,FALSE),FALSE)/(VLOOKUP($A682,'[1]import graded seats course pivo'!$A:AH,HLOOKUP('[1]Course Totals'!J$4,'[1]import graded seats course pivo'!$1:$2,2,FALSE),FALSE))),"")</f>
        <v/>
      </c>
      <c r="K682" s="14" t="str">
        <f>IFERROR((VLOOKUP($A682,'[1]import success seats course'!$A:Y,HLOOKUP('[1]Course Totals'!K$4,'[1]import success seats course'!$1:$2,2,FALSE),FALSE)/(VLOOKUP($A682,'[1]import graded seats course pivo'!$A:AI,HLOOKUP('[1]Course Totals'!K$4,'[1]import graded seats course pivo'!$1:$2,2,FALSE),FALSE))),"")</f>
        <v/>
      </c>
      <c r="L682" s="14">
        <f>IFERROR((VLOOKUP($A682,'[1]import success seats course'!$A:Z,HLOOKUP('[1]Course Totals'!L$4,'[1]import success seats course'!$1:$2,2,FALSE),FALSE)/(VLOOKUP($A682,'[1]import graded seats course pivo'!$A:AJ,HLOOKUP('[1]Course Totals'!L$4,'[1]import graded seats course pivo'!$1:$2,2,FALSE),FALSE))),"")</f>
        <v>0.89189189189189189</v>
      </c>
      <c r="M682" s="14" t="str">
        <f>IFERROR((VLOOKUP($A682,'[1]import success seats course'!$A:AA,HLOOKUP('[1]Course Totals'!M$4,'[1]import success seats course'!$1:$2,2,FALSE),FALSE)/(VLOOKUP($A682,'[1]import graded seats course pivo'!$A:AK,HLOOKUP('[1]Course Totals'!M$4,'[1]import graded seats course pivo'!$1:$2,2,FALSE),FALSE))),"")</f>
        <v/>
      </c>
      <c r="N682" s="14" t="str">
        <f>IFERROR((VLOOKUP($A682,'[1]import success seats course'!$A:AB,HLOOKUP('[1]Course Totals'!N$4,'[1]import success seats course'!$1:$2,2,FALSE),FALSE)/(VLOOKUP($A682,'[1]import graded seats course pivo'!$A:AL,HLOOKUP('[1]Course Totals'!N$4,'[1]import graded seats course pivo'!$1:$2,2,FALSE),FALSE))),"")</f>
        <v/>
      </c>
      <c r="O682" s="14" t="str">
        <f>IFERROR((VLOOKUP($A682,'[1]import success seats course'!$A:AC,HLOOKUP('[1]Course Totals'!O$4,'[1]import success seats course'!$1:$2,2,FALSE),FALSE)/(VLOOKUP($A682,'[1]import graded seats course pivo'!$A:AM,HLOOKUP('[1]Course Totals'!O$4,'[1]import graded seats course pivo'!$1:$2,2,FALSE),FALSE))),"")</f>
        <v/>
      </c>
      <c r="P682" s="14" t="str">
        <f>IFERROR((VLOOKUP($A682,'[1]import success seats course'!$A:AD,HLOOKUP('[1]Course Totals'!P$4,'[1]import success seats course'!$1:$2,2,FALSE),FALSE)/(VLOOKUP($A682,'[1]import graded seats course pivo'!$A:AN,HLOOKUP('[1]Course Totals'!P$4,'[1]import graded seats course pivo'!$1:$2,2,FALSE),FALSE))),"")</f>
        <v/>
      </c>
      <c r="Q682" s="14" t="str">
        <f>IFERROR((VLOOKUP($A682,'[1]import success seats course'!$A:AE,HLOOKUP('[1]Course Totals'!Q$4,'[1]import success seats course'!$1:$2,2,FALSE),FALSE)/(VLOOKUP($A682,'[1]import graded seats course pivo'!$A:AO,HLOOKUP('[1]Course Totals'!Q$4,'[1]import graded seats course pivo'!$1:$2,2,FALSE),FALSE))),"")</f>
        <v/>
      </c>
      <c r="R682" s="14">
        <f>IFERROR((VLOOKUP($A682,'[1]import success seats course'!$A:AF,HLOOKUP('[1]Course Totals'!R$4,'[1]import success seats course'!$1:$2,2,FALSE),FALSE)/(VLOOKUP($A682,'[1]import graded seats course pivo'!$A:AP,HLOOKUP('[1]Course Totals'!R$4,'[1]import graded seats course pivo'!$1:$2,2,FALSE),FALSE))),"")</f>
        <v>0.91666666666666663</v>
      </c>
      <c r="S682" s="14" t="str">
        <f>IFERROR((VLOOKUP($A682,'[1]import success seats course'!$A:AG,HLOOKUP('[1]Course Totals'!S$4,'[1]import success seats course'!$1:$2,2,FALSE),FALSE)/(VLOOKUP($A682,'[1]import graded seats course pivo'!$A:AQ,HLOOKUP('[1]Course Totals'!S$4,'[1]import graded seats course pivo'!$1:$2,2,FALSE),FALSE))),"")</f>
        <v/>
      </c>
      <c r="Z682" s="7"/>
      <c r="AA682" s="7"/>
      <c r="AB682" s="7"/>
      <c r="AC682" s="7"/>
    </row>
    <row r="683" spans="1:29" ht="15.75" hidden="1" customHeight="1" x14ac:dyDescent="0.25">
      <c r="A683" s="12" t="s">
        <v>992</v>
      </c>
      <c r="B683" s="14" t="str">
        <f>IFERROR((VLOOKUP($A683,'[1]import success seats course'!$A:P,HLOOKUP('[1]Course Totals'!B$4,'[1]import success seats course'!$1:$2,2,FALSE),FALSE)/(VLOOKUP($A683,'[1]import graded seats course pivo'!$A:Z,HLOOKUP('[1]Course Totals'!B$4,'[1]import graded seats course pivo'!$1:$2,2,FALSE),FALSE))),"")</f>
        <v/>
      </c>
      <c r="C683" s="14" t="str">
        <f>IFERROR((VLOOKUP($A683,'[1]import success seats course'!$A:Q,HLOOKUP('[1]Course Totals'!C$4,'[1]import success seats course'!$1:$2,2,FALSE),FALSE)/(VLOOKUP($A683,'[1]import graded seats course pivo'!$A:AA,HLOOKUP('[1]Course Totals'!C$4,'[1]import graded seats course pivo'!$1:$2,2,FALSE),FALSE))),"")</f>
        <v/>
      </c>
      <c r="D683" s="14" t="str">
        <f>IFERROR((VLOOKUP($A683,'[1]import success seats course'!$A:R,HLOOKUP('[1]Course Totals'!D$4,'[1]import success seats course'!$1:$2,2,FALSE),FALSE)/(VLOOKUP($A683,'[1]import graded seats course pivo'!$A:AB,HLOOKUP('[1]Course Totals'!D$4,'[1]import graded seats course pivo'!$1:$2,2,FALSE),FALSE))),"")</f>
        <v/>
      </c>
      <c r="E683" s="14" t="str">
        <f>IFERROR((VLOOKUP($A683,'[1]import success seats course'!$A:S,HLOOKUP('[1]Course Totals'!E$4,'[1]import success seats course'!$1:$2,2,FALSE),FALSE)/(VLOOKUP($A683,'[1]import graded seats course pivo'!$A:AC,HLOOKUP('[1]Course Totals'!E$4,'[1]import graded seats course pivo'!$1:$2,2,FALSE),FALSE))),"")</f>
        <v/>
      </c>
      <c r="F683" s="14" t="str">
        <f>IFERROR((VLOOKUP($A683,'[1]import success seats course'!$A:T,HLOOKUP('[1]Course Totals'!F$4,'[1]import success seats course'!$1:$2,2,FALSE),FALSE)/(VLOOKUP($A683,'[1]import graded seats course pivo'!$A:AD,HLOOKUP('[1]Course Totals'!F$4,'[1]import graded seats course pivo'!$1:$2,2,FALSE),FALSE))),"")</f>
        <v/>
      </c>
      <c r="G683" s="14" t="str">
        <f>IFERROR((VLOOKUP($A683,'[1]import success seats course'!$A:U,HLOOKUP('[1]Course Totals'!G$4,'[1]import success seats course'!$1:$2,2,FALSE),FALSE)/(VLOOKUP($A683,'[1]import graded seats course pivo'!$A:AE,HLOOKUP('[1]Course Totals'!G$4,'[1]import graded seats course pivo'!$1:$2,2,FALSE),FALSE))),"")</f>
        <v/>
      </c>
      <c r="H683" s="14" t="str">
        <f>IFERROR((VLOOKUP($A683,'[1]import success seats course'!$A:V,HLOOKUP('[1]Course Totals'!H$4,'[1]import success seats course'!$1:$2,2,FALSE),FALSE)/(VLOOKUP($A683,'[1]import graded seats course pivo'!$A:AF,HLOOKUP('[1]Course Totals'!H$4,'[1]import graded seats course pivo'!$1:$2,2,FALSE),FALSE))),"")</f>
        <v/>
      </c>
      <c r="I683" s="14" t="str">
        <f>IFERROR((VLOOKUP($A683,'[1]import success seats course'!$A:W,HLOOKUP('[1]Course Totals'!I$4,'[1]import success seats course'!$1:$2,2,FALSE),FALSE)/(VLOOKUP($A683,'[1]import graded seats course pivo'!$A:AG,HLOOKUP('[1]Course Totals'!I$4,'[1]import graded seats course pivo'!$1:$2,2,FALSE),FALSE))),"")</f>
        <v/>
      </c>
      <c r="J683" s="14" t="str">
        <f>IFERROR((VLOOKUP($A683,'[1]import success seats course'!$A:X,HLOOKUP('[1]Course Totals'!J$4,'[1]import success seats course'!$1:$2,2,FALSE),FALSE)/(VLOOKUP($A683,'[1]import graded seats course pivo'!$A:AH,HLOOKUP('[1]Course Totals'!J$4,'[1]import graded seats course pivo'!$1:$2,2,FALSE),FALSE))),"")</f>
        <v/>
      </c>
      <c r="K683" s="14" t="str">
        <f>IFERROR((VLOOKUP($A683,'[1]import success seats course'!$A:Y,HLOOKUP('[1]Course Totals'!K$4,'[1]import success seats course'!$1:$2,2,FALSE),FALSE)/(VLOOKUP($A683,'[1]import graded seats course pivo'!$A:AI,HLOOKUP('[1]Course Totals'!K$4,'[1]import graded seats course pivo'!$1:$2,2,FALSE),FALSE))),"")</f>
        <v/>
      </c>
      <c r="L683" s="14" t="str">
        <f>IFERROR((VLOOKUP($A683,'[1]import success seats course'!$A:Z,HLOOKUP('[1]Course Totals'!L$4,'[1]import success seats course'!$1:$2,2,FALSE),FALSE)/(VLOOKUP($A683,'[1]import graded seats course pivo'!$A:AJ,HLOOKUP('[1]Course Totals'!L$4,'[1]import graded seats course pivo'!$1:$2,2,FALSE),FALSE))),"")</f>
        <v/>
      </c>
      <c r="M683" s="14" t="str">
        <f>IFERROR((VLOOKUP($A683,'[1]import success seats course'!$A:AA,HLOOKUP('[1]Course Totals'!M$4,'[1]import success seats course'!$1:$2,2,FALSE),FALSE)/(VLOOKUP($A683,'[1]import graded seats course pivo'!$A:AK,HLOOKUP('[1]Course Totals'!M$4,'[1]import graded seats course pivo'!$1:$2,2,FALSE),FALSE))),"")</f>
        <v/>
      </c>
      <c r="N683" s="14" t="str">
        <f>IFERROR((VLOOKUP($A683,'[1]import success seats course'!$A:AB,HLOOKUP('[1]Course Totals'!N$4,'[1]import success seats course'!$1:$2,2,FALSE),FALSE)/(VLOOKUP($A683,'[1]import graded seats course pivo'!$A:AL,HLOOKUP('[1]Course Totals'!N$4,'[1]import graded seats course pivo'!$1:$2,2,FALSE),FALSE))),"")</f>
        <v/>
      </c>
      <c r="O683" s="14" t="str">
        <f>IFERROR((VLOOKUP($A683,'[1]import success seats course'!$A:AC,HLOOKUP('[1]Course Totals'!O$4,'[1]import success seats course'!$1:$2,2,FALSE),FALSE)/(VLOOKUP($A683,'[1]import graded seats course pivo'!$A:AM,HLOOKUP('[1]Course Totals'!O$4,'[1]import graded seats course pivo'!$1:$2,2,FALSE),FALSE))),"")</f>
        <v/>
      </c>
      <c r="P683" s="14" t="str">
        <f>IFERROR((VLOOKUP($A683,'[1]import success seats course'!$A:AD,HLOOKUP('[1]Course Totals'!P$4,'[1]import success seats course'!$1:$2,2,FALSE),FALSE)/(VLOOKUP($A683,'[1]import graded seats course pivo'!$A:AN,HLOOKUP('[1]Course Totals'!P$4,'[1]import graded seats course pivo'!$1:$2,2,FALSE),FALSE))),"")</f>
        <v/>
      </c>
      <c r="Q683" s="14" t="str">
        <f>IFERROR((VLOOKUP($A683,'[1]import success seats course'!$A:AE,HLOOKUP('[1]Course Totals'!Q$4,'[1]import success seats course'!$1:$2,2,FALSE),FALSE)/(VLOOKUP($A683,'[1]import graded seats course pivo'!$A:AO,HLOOKUP('[1]Course Totals'!Q$4,'[1]import graded seats course pivo'!$1:$2,2,FALSE),FALSE))),"")</f>
        <v/>
      </c>
      <c r="R683" s="14" t="str">
        <f>IFERROR((VLOOKUP($A683,'[1]import success seats course'!$A:AF,HLOOKUP('[1]Course Totals'!R$4,'[1]import success seats course'!$1:$2,2,FALSE),FALSE)/(VLOOKUP($A683,'[1]import graded seats course pivo'!$A:AP,HLOOKUP('[1]Course Totals'!R$4,'[1]import graded seats course pivo'!$1:$2,2,FALSE),FALSE))),"")</f>
        <v/>
      </c>
      <c r="S683" s="14" t="str">
        <f>IFERROR((VLOOKUP($A683,'[1]import success seats course'!$A:AG,HLOOKUP('[1]Course Totals'!S$4,'[1]import success seats course'!$1:$2,2,FALSE),FALSE)/(VLOOKUP($A683,'[1]import graded seats course pivo'!$A:AQ,HLOOKUP('[1]Course Totals'!S$4,'[1]import graded seats course pivo'!$1:$2,2,FALSE),FALSE))),"")</f>
        <v/>
      </c>
      <c r="Z683" s="7"/>
      <c r="AA683" s="7"/>
      <c r="AB683" s="7"/>
      <c r="AC683" s="7"/>
    </row>
    <row r="684" spans="1:29" ht="15.75" customHeight="1" x14ac:dyDescent="0.25">
      <c r="A684" s="12" t="s">
        <v>628</v>
      </c>
      <c r="B684" s="14" t="str">
        <f>IFERROR((VLOOKUP($A684,'[1]import success seats course'!$A:P,HLOOKUP('[1]Course Totals'!B$4,'[1]import success seats course'!$1:$2,2,FALSE),FALSE)/(VLOOKUP($A684,'[1]import graded seats course pivo'!$A:Z,HLOOKUP('[1]Course Totals'!B$4,'[1]import graded seats course pivo'!$1:$2,2,FALSE),FALSE))),"")</f>
        <v/>
      </c>
      <c r="C684" s="14" t="str">
        <f>IFERROR((VLOOKUP($A684,'[1]import success seats course'!$A:Q,HLOOKUP('[1]Course Totals'!C$4,'[1]import success seats course'!$1:$2,2,FALSE),FALSE)/(VLOOKUP($A684,'[1]import graded seats course pivo'!$A:AA,HLOOKUP('[1]Course Totals'!C$4,'[1]import graded seats course pivo'!$1:$2,2,FALSE),FALSE))),"")</f>
        <v/>
      </c>
      <c r="D684" s="14" t="str">
        <f>IFERROR((VLOOKUP($A684,'[1]import success seats course'!$A:R,HLOOKUP('[1]Course Totals'!D$4,'[1]import success seats course'!$1:$2,2,FALSE),FALSE)/(VLOOKUP($A684,'[1]import graded seats course pivo'!$A:AB,HLOOKUP('[1]Course Totals'!D$4,'[1]import graded seats course pivo'!$1:$2,2,FALSE),FALSE))),"")</f>
        <v/>
      </c>
      <c r="E684" s="14" t="str">
        <f>IFERROR((VLOOKUP($A684,'[1]import success seats course'!$A:S,HLOOKUP('[1]Course Totals'!E$4,'[1]import success seats course'!$1:$2,2,FALSE),FALSE)/(VLOOKUP($A684,'[1]import graded seats course pivo'!$A:AC,HLOOKUP('[1]Course Totals'!E$4,'[1]import graded seats course pivo'!$1:$2,2,FALSE),FALSE))),"")</f>
        <v/>
      </c>
      <c r="F684" s="14">
        <f>IFERROR((VLOOKUP($A684,'[1]import success seats course'!$A:T,HLOOKUP('[1]Course Totals'!F$4,'[1]import success seats course'!$1:$2,2,FALSE),FALSE)/(VLOOKUP($A684,'[1]import graded seats course pivo'!$A:AD,HLOOKUP('[1]Course Totals'!F$4,'[1]import graded seats course pivo'!$1:$2,2,FALSE),FALSE))),"")</f>
        <v>1</v>
      </c>
      <c r="G684" s="14" t="str">
        <f>IFERROR((VLOOKUP($A684,'[1]import success seats course'!$A:U,HLOOKUP('[1]Course Totals'!G$4,'[1]import success seats course'!$1:$2,2,FALSE),FALSE)/(VLOOKUP($A684,'[1]import graded seats course pivo'!$A:AE,HLOOKUP('[1]Course Totals'!G$4,'[1]import graded seats course pivo'!$1:$2,2,FALSE),FALSE))),"")</f>
        <v/>
      </c>
      <c r="H684" s="14" t="str">
        <f>IFERROR((VLOOKUP($A684,'[1]import success seats course'!$A:V,HLOOKUP('[1]Course Totals'!H$4,'[1]import success seats course'!$1:$2,2,FALSE),FALSE)/(VLOOKUP($A684,'[1]import graded seats course pivo'!$A:AF,HLOOKUP('[1]Course Totals'!H$4,'[1]import graded seats course pivo'!$1:$2,2,FALSE),FALSE))),"")</f>
        <v/>
      </c>
      <c r="I684" s="14" t="str">
        <f>IFERROR((VLOOKUP($A684,'[1]import success seats course'!$A:W,HLOOKUP('[1]Course Totals'!I$4,'[1]import success seats course'!$1:$2,2,FALSE),FALSE)/(VLOOKUP($A684,'[1]import graded seats course pivo'!$A:AG,HLOOKUP('[1]Course Totals'!I$4,'[1]import graded seats course pivo'!$1:$2,2,FALSE),FALSE))),"")</f>
        <v/>
      </c>
      <c r="J684" s="14" t="str">
        <f>IFERROR((VLOOKUP($A684,'[1]import success seats course'!$A:X,HLOOKUP('[1]Course Totals'!J$4,'[1]import success seats course'!$1:$2,2,FALSE),FALSE)/(VLOOKUP($A684,'[1]import graded seats course pivo'!$A:AH,HLOOKUP('[1]Course Totals'!J$4,'[1]import graded seats course pivo'!$1:$2,2,FALSE),FALSE))),"")</f>
        <v/>
      </c>
      <c r="K684" s="14" t="str">
        <f>IFERROR((VLOOKUP($A684,'[1]import success seats course'!$A:Y,HLOOKUP('[1]Course Totals'!K$4,'[1]import success seats course'!$1:$2,2,FALSE),FALSE)/(VLOOKUP($A684,'[1]import graded seats course pivo'!$A:AI,HLOOKUP('[1]Course Totals'!K$4,'[1]import graded seats course pivo'!$1:$2,2,FALSE),FALSE))),"")</f>
        <v/>
      </c>
      <c r="L684" s="14" t="str">
        <f>IFERROR((VLOOKUP($A684,'[1]import success seats course'!$A:Z,HLOOKUP('[1]Course Totals'!L$4,'[1]import success seats course'!$1:$2,2,FALSE),FALSE)/(VLOOKUP($A684,'[1]import graded seats course pivo'!$A:AJ,HLOOKUP('[1]Course Totals'!L$4,'[1]import graded seats course pivo'!$1:$2,2,FALSE),FALSE))),"")</f>
        <v/>
      </c>
      <c r="M684" s="14" t="str">
        <f>IFERROR((VLOOKUP($A684,'[1]import success seats course'!$A:AA,HLOOKUP('[1]Course Totals'!M$4,'[1]import success seats course'!$1:$2,2,FALSE),FALSE)/(VLOOKUP($A684,'[1]import graded seats course pivo'!$A:AK,HLOOKUP('[1]Course Totals'!M$4,'[1]import graded seats course pivo'!$1:$2,2,FALSE),FALSE))),"")</f>
        <v/>
      </c>
      <c r="N684" s="14" t="str">
        <f>IFERROR((VLOOKUP($A684,'[1]import success seats course'!$A:AB,HLOOKUP('[1]Course Totals'!N$4,'[1]import success seats course'!$1:$2,2,FALSE),FALSE)/(VLOOKUP($A684,'[1]import graded seats course pivo'!$A:AL,HLOOKUP('[1]Course Totals'!N$4,'[1]import graded seats course pivo'!$1:$2,2,FALSE),FALSE))),"")</f>
        <v/>
      </c>
      <c r="O684" s="14" t="str">
        <f>IFERROR((VLOOKUP($A684,'[1]import success seats course'!$A:AC,HLOOKUP('[1]Course Totals'!O$4,'[1]import success seats course'!$1:$2,2,FALSE),FALSE)/(VLOOKUP($A684,'[1]import graded seats course pivo'!$A:AM,HLOOKUP('[1]Course Totals'!O$4,'[1]import graded seats course pivo'!$1:$2,2,FALSE),FALSE))),"")</f>
        <v/>
      </c>
      <c r="P684" s="14" t="str">
        <f>IFERROR((VLOOKUP($A684,'[1]import success seats course'!$A:AD,HLOOKUP('[1]Course Totals'!P$4,'[1]import success seats course'!$1:$2,2,FALSE),FALSE)/(VLOOKUP($A684,'[1]import graded seats course pivo'!$A:AN,HLOOKUP('[1]Course Totals'!P$4,'[1]import graded seats course pivo'!$1:$2,2,FALSE),FALSE))),"")</f>
        <v/>
      </c>
      <c r="Q684" s="14" t="str">
        <f>IFERROR((VLOOKUP($A684,'[1]import success seats course'!$A:AE,HLOOKUP('[1]Course Totals'!Q$4,'[1]import success seats course'!$1:$2,2,FALSE),FALSE)/(VLOOKUP($A684,'[1]import graded seats course pivo'!$A:AO,HLOOKUP('[1]Course Totals'!Q$4,'[1]import graded seats course pivo'!$1:$2,2,FALSE),FALSE))),"")</f>
        <v/>
      </c>
      <c r="R684" s="14" t="str">
        <f>IFERROR((VLOOKUP($A684,'[1]import success seats course'!$A:AF,HLOOKUP('[1]Course Totals'!R$4,'[1]import success seats course'!$1:$2,2,FALSE),FALSE)/(VLOOKUP($A684,'[1]import graded seats course pivo'!$A:AP,HLOOKUP('[1]Course Totals'!R$4,'[1]import graded seats course pivo'!$1:$2,2,FALSE),FALSE))),"")</f>
        <v/>
      </c>
      <c r="S684" s="14" t="str">
        <f>IFERROR((VLOOKUP($A684,'[1]import success seats course'!$A:AG,HLOOKUP('[1]Course Totals'!S$4,'[1]import success seats course'!$1:$2,2,FALSE),FALSE)/(VLOOKUP($A684,'[1]import graded seats course pivo'!$A:AQ,HLOOKUP('[1]Course Totals'!S$4,'[1]import graded seats course pivo'!$1:$2,2,FALSE),FALSE))),"")</f>
        <v/>
      </c>
      <c r="Z684" s="7"/>
      <c r="AA684" s="7"/>
      <c r="AB684" s="7"/>
      <c r="AC684" s="7"/>
    </row>
    <row r="685" spans="1:29" ht="15.75" customHeight="1" x14ac:dyDescent="0.25">
      <c r="A685" s="12" t="s">
        <v>316</v>
      </c>
      <c r="B685" s="14" t="str">
        <f>IFERROR((VLOOKUP($A685,'[1]import success seats course'!$A:P,HLOOKUP('[1]Course Totals'!B$4,'[1]import success seats course'!$1:$2,2,FALSE),FALSE)/(VLOOKUP($A685,'[1]import graded seats course pivo'!$A:Z,HLOOKUP('[1]Course Totals'!B$4,'[1]import graded seats course pivo'!$1:$2,2,FALSE),FALSE))),"")</f>
        <v/>
      </c>
      <c r="C685" s="14">
        <f>IFERROR((VLOOKUP($A685,'[1]import success seats course'!$A:Q,HLOOKUP('[1]Course Totals'!C$4,'[1]import success seats course'!$1:$2,2,FALSE),FALSE)/(VLOOKUP($A685,'[1]import graded seats course pivo'!$A:AA,HLOOKUP('[1]Course Totals'!C$4,'[1]import graded seats course pivo'!$1:$2,2,FALSE),FALSE))),"")</f>
        <v>1</v>
      </c>
      <c r="D685" s="14" t="str">
        <f>IFERROR((VLOOKUP($A685,'[1]import success seats course'!$A:R,HLOOKUP('[1]Course Totals'!D$4,'[1]import success seats course'!$1:$2,2,FALSE),FALSE)/(VLOOKUP($A685,'[1]import graded seats course pivo'!$A:AB,HLOOKUP('[1]Course Totals'!D$4,'[1]import graded seats course pivo'!$1:$2,2,FALSE),FALSE))),"")</f>
        <v/>
      </c>
      <c r="E685" s="14" t="str">
        <f>IFERROR((VLOOKUP($A685,'[1]import success seats course'!$A:S,HLOOKUP('[1]Course Totals'!E$4,'[1]import success seats course'!$1:$2,2,FALSE),FALSE)/(VLOOKUP($A685,'[1]import graded seats course pivo'!$A:AC,HLOOKUP('[1]Course Totals'!E$4,'[1]import graded seats course pivo'!$1:$2,2,FALSE),FALSE))),"")</f>
        <v/>
      </c>
      <c r="F685" s="14" t="str">
        <f>IFERROR((VLOOKUP($A685,'[1]import success seats course'!$A:T,HLOOKUP('[1]Course Totals'!F$4,'[1]import success seats course'!$1:$2,2,FALSE),FALSE)/(VLOOKUP($A685,'[1]import graded seats course pivo'!$A:AD,HLOOKUP('[1]Course Totals'!F$4,'[1]import graded seats course pivo'!$1:$2,2,FALSE),FALSE))),"")</f>
        <v/>
      </c>
      <c r="G685" s="14" t="str">
        <f>IFERROR((VLOOKUP($A685,'[1]import success seats course'!$A:U,HLOOKUP('[1]Course Totals'!G$4,'[1]import success seats course'!$1:$2,2,FALSE),FALSE)/(VLOOKUP($A685,'[1]import graded seats course pivo'!$A:AE,HLOOKUP('[1]Course Totals'!G$4,'[1]import graded seats course pivo'!$1:$2,2,FALSE),FALSE))),"")</f>
        <v/>
      </c>
      <c r="H685" s="14" t="str">
        <f>IFERROR((VLOOKUP($A685,'[1]import success seats course'!$A:V,HLOOKUP('[1]Course Totals'!H$4,'[1]import success seats course'!$1:$2,2,FALSE),FALSE)/(VLOOKUP($A685,'[1]import graded seats course pivo'!$A:AF,HLOOKUP('[1]Course Totals'!H$4,'[1]import graded seats course pivo'!$1:$2,2,FALSE),FALSE))),"")</f>
        <v/>
      </c>
      <c r="I685" s="14" t="str">
        <f>IFERROR((VLOOKUP($A685,'[1]import success seats course'!$A:W,HLOOKUP('[1]Course Totals'!I$4,'[1]import success seats course'!$1:$2,2,FALSE),FALSE)/(VLOOKUP($A685,'[1]import graded seats course pivo'!$A:AG,HLOOKUP('[1]Course Totals'!I$4,'[1]import graded seats course pivo'!$1:$2,2,FALSE),FALSE))),"")</f>
        <v/>
      </c>
      <c r="J685" s="14" t="str">
        <f>IFERROR((VLOOKUP($A685,'[1]import success seats course'!$A:X,HLOOKUP('[1]Course Totals'!J$4,'[1]import success seats course'!$1:$2,2,FALSE),FALSE)/(VLOOKUP($A685,'[1]import graded seats course pivo'!$A:AH,HLOOKUP('[1]Course Totals'!J$4,'[1]import graded seats course pivo'!$1:$2,2,FALSE),FALSE))),"")</f>
        <v/>
      </c>
      <c r="K685" s="14" t="str">
        <f>IFERROR((VLOOKUP($A685,'[1]import success seats course'!$A:Y,HLOOKUP('[1]Course Totals'!K$4,'[1]import success seats course'!$1:$2,2,FALSE),FALSE)/(VLOOKUP($A685,'[1]import graded seats course pivo'!$A:AI,HLOOKUP('[1]Course Totals'!K$4,'[1]import graded seats course pivo'!$1:$2,2,FALSE),FALSE))),"")</f>
        <v/>
      </c>
      <c r="L685" s="14" t="str">
        <f>IFERROR((VLOOKUP($A685,'[1]import success seats course'!$A:Z,HLOOKUP('[1]Course Totals'!L$4,'[1]import success seats course'!$1:$2,2,FALSE),FALSE)/(VLOOKUP($A685,'[1]import graded seats course pivo'!$A:AJ,HLOOKUP('[1]Course Totals'!L$4,'[1]import graded seats course pivo'!$1:$2,2,FALSE),FALSE))),"")</f>
        <v/>
      </c>
      <c r="M685" s="14" t="str">
        <f>IFERROR((VLOOKUP($A685,'[1]import success seats course'!$A:AA,HLOOKUP('[1]Course Totals'!M$4,'[1]import success seats course'!$1:$2,2,FALSE),FALSE)/(VLOOKUP($A685,'[1]import graded seats course pivo'!$A:AK,HLOOKUP('[1]Course Totals'!M$4,'[1]import graded seats course pivo'!$1:$2,2,FALSE),FALSE))),"")</f>
        <v/>
      </c>
      <c r="N685" s="14" t="str">
        <f>IFERROR((VLOOKUP($A685,'[1]import success seats course'!$A:AB,HLOOKUP('[1]Course Totals'!N$4,'[1]import success seats course'!$1:$2,2,FALSE),FALSE)/(VLOOKUP($A685,'[1]import graded seats course pivo'!$A:AL,HLOOKUP('[1]Course Totals'!N$4,'[1]import graded seats course pivo'!$1:$2,2,FALSE),FALSE))),"")</f>
        <v/>
      </c>
      <c r="O685" s="14" t="str">
        <f>IFERROR((VLOOKUP($A685,'[1]import success seats course'!$A:AC,HLOOKUP('[1]Course Totals'!O$4,'[1]import success seats course'!$1:$2,2,FALSE),FALSE)/(VLOOKUP($A685,'[1]import graded seats course pivo'!$A:AM,HLOOKUP('[1]Course Totals'!O$4,'[1]import graded seats course pivo'!$1:$2,2,FALSE),FALSE))),"")</f>
        <v/>
      </c>
      <c r="P685" s="14" t="str">
        <f>IFERROR((VLOOKUP($A685,'[1]import success seats course'!$A:AD,HLOOKUP('[1]Course Totals'!P$4,'[1]import success seats course'!$1:$2,2,FALSE),FALSE)/(VLOOKUP($A685,'[1]import graded seats course pivo'!$A:AN,HLOOKUP('[1]Course Totals'!P$4,'[1]import graded seats course pivo'!$1:$2,2,FALSE),FALSE))),"")</f>
        <v/>
      </c>
      <c r="Q685" s="14" t="str">
        <f>IFERROR((VLOOKUP($A685,'[1]import success seats course'!$A:AE,HLOOKUP('[1]Course Totals'!Q$4,'[1]import success seats course'!$1:$2,2,FALSE),FALSE)/(VLOOKUP($A685,'[1]import graded seats course pivo'!$A:AO,HLOOKUP('[1]Course Totals'!Q$4,'[1]import graded seats course pivo'!$1:$2,2,FALSE),FALSE))),"")</f>
        <v/>
      </c>
      <c r="R685" s="14" t="str">
        <f>IFERROR((VLOOKUP($A685,'[1]import success seats course'!$A:AF,HLOOKUP('[1]Course Totals'!R$4,'[1]import success seats course'!$1:$2,2,FALSE),FALSE)/(VLOOKUP($A685,'[1]import graded seats course pivo'!$A:AP,HLOOKUP('[1]Course Totals'!R$4,'[1]import graded seats course pivo'!$1:$2,2,FALSE),FALSE))),"")</f>
        <v/>
      </c>
      <c r="S685" s="14" t="str">
        <f>IFERROR((VLOOKUP($A685,'[1]import success seats course'!$A:AG,HLOOKUP('[1]Course Totals'!S$4,'[1]import success seats course'!$1:$2,2,FALSE),FALSE)/(VLOOKUP($A685,'[1]import graded seats course pivo'!$A:AQ,HLOOKUP('[1]Course Totals'!S$4,'[1]import graded seats course pivo'!$1:$2,2,FALSE),FALSE))),"")</f>
        <v/>
      </c>
      <c r="Z685" s="7"/>
      <c r="AA685" s="7"/>
      <c r="AB685" s="7"/>
      <c r="AC685" s="7"/>
    </row>
    <row r="686" spans="1:29" ht="15.75" customHeight="1" thickBot="1" x14ac:dyDescent="0.3">
      <c r="A686" s="8" t="str">
        <f>'[1]SUBJECTS BASE'!H38</f>
        <v>Health Science</v>
      </c>
      <c r="B686" s="38" t="s">
        <v>1046</v>
      </c>
      <c r="C686" s="39" t="s">
        <v>0</v>
      </c>
      <c r="D686" s="40" t="s">
        <v>868</v>
      </c>
      <c r="E686" s="41" t="s">
        <v>1052</v>
      </c>
      <c r="F686" s="42" t="s">
        <v>546</v>
      </c>
      <c r="G686" s="43" t="s">
        <v>959</v>
      </c>
      <c r="H686" s="44" t="s">
        <v>1060</v>
      </c>
      <c r="I686" s="39" t="s">
        <v>675</v>
      </c>
      <c r="J686" s="45" t="s">
        <v>1006</v>
      </c>
      <c r="K686" s="46" t="s">
        <v>1062</v>
      </c>
      <c r="L686" s="42" t="s">
        <v>762</v>
      </c>
      <c r="M686" s="43" t="s">
        <v>1022</v>
      </c>
      <c r="N686" s="44" t="s">
        <v>1063</v>
      </c>
      <c r="O686" s="39" t="s">
        <v>822</v>
      </c>
      <c r="P686" s="40" t="s">
        <v>1042</v>
      </c>
      <c r="Q686" s="46" t="s">
        <v>1153</v>
      </c>
      <c r="R686" s="42" t="s">
        <v>1154</v>
      </c>
      <c r="S686" s="43" t="s">
        <v>1155</v>
      </c>
      <c r="Z686" s="7"/>
      <c r="AA686" s="7"/>
      <c r="AB686" s="7"/>
      <c r="AC686" s="7"/>
    </row>
    <row r="687" spans="1:29" ht="15.75" customHeight="1" x14ac:dyDescent="0.25">
      <c r="A687" s="12" t="s">
        <v>317</v>
      </c>
      <c r="B687" s="14">
        <f>IFERROR((VLOOKUP($A687,'[1]import success seats course'!$A:P,HLOOKUP('[1]Course Totals'!B$4,'[1]import success seats course'!$1:$2,2,FALSE),FALSE)/(VLOOKUP($A687,'[1]import graded seats course pivo'!$A:Z,HLOOKUP('[1]Course Totals'!B$4,'[1]import graded seats course pivo'!$1:$2,2,FALSE),FALSE))),"")</f>
        <v>0.94736842105263153</v>
      </c>
      <c r="C687" s="14">
        <f>IFERROR((VLOOKUP($A687,'[1]import success seats course'!$A:Q,HLOOKUP('[1]Course Totals'!C$4,'[1]import success seats course'!$1:$2,2,FALSE),FALSE)/(VLOOKUP($A687,'[1]import graded seats course pivo'!$A:AA,HLOOKUP('[1]Course Totals'!C$4,'[1]import graded seats course pivo'!$1:$2,2,FALSE),FALSE))),"")</f>
        <v>0.92035398230088494</v>
      </c>
      <c r="D687" s="14">
        <f>IFERROR((VLOOKUP($A687,'[1]import success seats course'!$A:R,HLOOKUP('[1]Course Totals'!D$4,'[1]import success seats course'!$1:$2,2,FALSE),FALSE)/(VLOOKUP($A687,'[1]import graded seats course pivo'!$A:AB,HLOOKUP('[1]Course Totals'!D$4,'[1]import graded seats course pivo'!$1:$2,2,FALSE),FALSE))),"")</f>
        <v>0.89162561576354682</v>
      </c>
      <c r="E687" s="14">
        <f>IFERROR((VLOOKUP($A687,'[1]import success seats course'!$A:S,HLOOKUP('[1]Course Totals'!E$4,'[1]import success seats course'!$1:$2,2,FALSE),FALSE)/(VLOOKUP($A687,'[1]import graded seats course pivo'!$A:AC,HLOOKUP('[1]Course Totals'!E$4,'[1]import graded seats course pivo'!$1:$2,2,FALSE),FALSE))),"")</f>
        <v>1</v>
      </c>
      <c r="F687" s="14">
        <f>IFERROR((VLOOKUP($A687,'[1]import success seats course'!$A:T,HLOOKUP('[1]Course Totals'!F$4,'[1]import success seats course'!$1:$2,2,FALSE),FALSE)/(VLOOKUP($A687,'[1]import graded seats course pivo'!$A:AD,HLOOKUP('[1]Course Totals'!F$4,'[1]import graded seats course pivo'!$1:$2,2,FALSE),FALSE))),"")</f>
        <v>0.85906040268456374</v>
      </c>
      <c r="G687" s="14">
        <f>IFERROR((VLOOKUP($A687,'[1]import success seats course'!$A:U,HLOOKUP('[1]Course Totals'!G$4,'[1]import success seats course'!$1:$2,2,FALSE),FALSE)/(VLOOKUP($A687,'[1]import graded seats course pivo'!$A:AE,HLOOKUP('[1]Course Totals'!G$4,'[1]import graded seats course pivo'!$1:$2,2,FALSE),FALSE))),"")</f>
        <v>0.94444444444444442</v>
      </c>
      <c r="H687" s="14" t="str">
        <f>IFERROR((VLOOKUP($A687,'[1]import success seats course'!$A:V,HLOOKUP('[1]Course Totals'!H$4,'[1]import success seats course'!$1:$2,2,FALSE),FALSE)/(VLOOKUP($A687,'[1]import graded seats course pivo'!$A:AF,HLOOKUP('[1]Course Totals'!H$4,'[1]import graded seats course pivo'!$1:$2,2,FALSE),FALSE))),"")</f>
        <v/>
      </c>
      <c r="I687" s="14">
        <f>IFERROR((VLOOKUP($A687,'[1]import success seats course'!$A:W,HLOOKUP('[1]Course Totals'!I$4,'[1]import success seats course'!$1:$2,2,FALSE),FALSE)/(VLOOKUP($A687,'[1]import graded seats course pivo'!$A:AG,HLOOKUP('[1]Course Totals'!I$4,'[1]import graded seats course pivo'!$1:$2,2,FALSE),FALSE))),"")</f>
        <v>0.93706293706293708</v>
      </c>
      <c r="J687" s="14">
        <f>IFERROR((VLOOKUP($A687,'[1]import success seats course'!$A:X,HLOOKUP('[1]Course Totals'!J$4,'[1]import success seats course'!$1:$2,2,FALSE),FALSE)/(VLOOKUP($A687,'[1]import graded seats course pivo'!$A:AH,HLOOKUP('[1]Course Totals'!J$4,'[1]import graded seats course pivo'!$1:$2,2,FALSE),FALSE))),"")</f>
        <v>0.94230769230769229</v>
      </c>
      <c r="K687" s="14" t="str">
        <f>IFERROR((VLOOKUP($A687,'[1]import success seats course'!$A:Y,HLOOKUP('[1]Course Totals'!K$4,'[1]import success seats course'!$1:$2,2,FALSE),FALSE)/(VLOOKUP($A687,'[1]import graded seats course pivo'!$A:AI,HLOOKUP('[1]Course Totals'!K$4,'[1]import graded seats course pivo'!$1:$2,2,FALSE),FALSE))),"")</f>
        <v/>
      </c>
      <c r="L687" s="14">
        <f>IFERROR((VLOOKUP($A687,'[1]import success seats course'!$A:Z,HLOOKUP('[1]Course Totals'!L$4,'[1]import success seats course'!$1:$2,2,FALSE),FALSE)/(VLOOKUP($A687,'[1]import graded seats course pivo'!$A:AJ,HLOOKUP('[1]Course Totals'!L$4,'[1]import graded seats course pivo'!$1:$2,2,FALSE),FALSE))),"")</f>
        <v>0.9173553719008265</v>
      </c>
      <c r="M687" s="14">
        <f>IFERROR((VLOOKUP($A687,'[1]import success seats course'!$A:AA,HLOOKUP('[1]Course Totals'!M$4,'[1]import success seats course'!$1:$2,2,FALSE),FALSE)/(VLOOKUP($A687,'[1]import graded seats course pivo'!$A:AK,HLOOKUP('[1]Course Totals'!M$4,'[1]import graded seats course pivo'!$1:$2,2,FALSE),FALSE))),"")</f>
        <v>0.93333333333333335</v>
      </c>
      <c r="N687" s="14" t="str">
        <f>IFERROR((VLOOKUP($A687,'[1]import success seats course'!$A:AB,HLOOKUP('[1]Course Totals'!N$4,'[1]import success seats course'!$1:$2,2,FALSE),FALSE)/(VLOOKUP($A687,'[1]import graded seats course pivo'!$A:AL,HLOOKUP('[1]Course Totals'!N$4,'[1]import graded seats course pivo'!$1:$2,2,FALSE),FALSE))),"")</f>
        <v/>
      </c>
      <c r="O687" s="14">
        <f>IFERROR((VLOOKUP($A687,'[1]import success seats course'!$A:AC,HLOOKUP('[1]Course Totals'!O$4,'[1]import success seats course'!$1:$2,2,FALSE),FALSE)/(VLOOKUP($A687,'[1]import graded seats course pivo'!$A:AM,HLOOKUP('[1]Course Totals'!O$4,'[1]import graded seats course pivo'!$1:$2,2,FALSE),FALSE))),"")</f>
        <v>0.88785046728971961</v>
      </c>
      <c r="P687" s="14">
        <f>IFERROR((VLOOKUP($A687,'[1]import success seats course'!$A:AD,HLOOKUP('[1]Course Totals'!P$4,'[1]import success seats course'!$1:$2,2,FALSE),FALSE)/(VLOOKUP($A687,'[1]import graded seats course pivo'!$A:AN,HLOOKUP('[1]Course Totals'!P$4,'[1]import graded seats course pivo'!$1:$2,2,FALSE),FALSE))),"")</f>
        <v>0.93333333333333335</v>
      </c>
      <c r="Q687" s="14" t="str">
        <f>IFERROR((VLOOKUP($A687,'[1]import success seats course'!$A:AE,HLOOKUP('[1]Course Totals'!Q$4,'[1]import success seats course'!$1:$2,2,FALSE),FALSE)/(VLOOKUP($A687,'[1]import graded seats course pivo'!$A:AO,HLOOKUP('[1]Course Totals'!Q$4,'[1]import graded seats course pivo'!$1:$2,2,FALSE),FALSE))),"")</f>
        <v/>
      </c>
      <c r="R687" s="14">
        <f>IFERROR((VLOOKUP($A687,'[1]import success seats course'!$A:AF,HLOOKUP('[1]Course Totals'!R$4,'[1]import success seats course'!$1:$2,2,FALSE),FALSE)/(VLOOKUP($A687,'[1]import graded seats course pivo'!$A:AP,HLOOKUP('[1]Course Totals'!R$4,'[1]import graded seats course pivo'!$1:$2,2,FALSE),FALSE))),"")</f>
        <v>0.89320388349514568</v>
      </c>
      <c r="S687" s="14">
        <f>IFERROR((VLOOKUP($A687,'[1]import success seats course'!$A:AG,HLOOKUP('[1]Course Totals'!S$4,'[1]import success seats course'!$1:$2,2,FALSE),FALSE)/(VLOOKUP($A687,'[1]import graded seats course pivo'!$A:AQ,HLOOKUP('[1]Course Totals'!S$4,'[1]import graded seats course pivo'!$1:$2,2,FALSE),FALSE))),"")</f>
        <v>0.80158730158730163</v>
      </c>
      <c r="Z687" s="7"/>
      <c r="AA687" s="7"/>
      <c r="AB687" s="7"/>
      <c r="AC687" s="7"/>
    </row>
    <row r="688" spans="1:29" ht="15.75" customHeight="1" x14ac:dyDescent="0.25">
      <c r="A688" s="12" t="s">
        <v>318</v>
      </c>
      <c r="B688" s="14">
        <f>IFERROR((VLOOKUP($A688,'[1]import success seats course'!$A:P,HLOOKUP('[1]Course Totals'!B$4,'[1]import success seats course'!$1:$2,2,FALSE),FALSE)/(VLOOKUP($A688,'[1]import graded seats course pivo'!$A:Z,HLOOKUP('[1]Course Totals'!B$4,'[1]import graded seats course pivo'!$1:$2,2,FALSE),FALSE))),"")</f>
        <v>1</v>
      </c>
      <c r="C688" s="14">
        <f>IFERROR((VLOOKUP($A688,'[1]import success seats course'!$A:Q,HLOOKUP('[1]Course Totals'!C$4,'[1]import success seats course'!$1:$2,2,FALSE),FALSE)/(VLOOKUP($A688,'[1]import graded seats course pivo'!$A:AA,HLOOKUP('[1]Course Totals'!C$4,'[1]import graded seats course pivo'!$1:$2,2,FALSE),FALSE))),"")</f>
        <v>0.87323943661971826</v>
      </c>
      <c r="D688" s="14">
        <f>IFERROR((VLOOKUP($A688,'[1]import success seats course'!$A:R,HLOOKUP('[1]Course Totals'!D$4,'[1]import success seats course'!$1:$2,2,FALSE),FALSE)/(VLOOKUP($A688,'[1]import graded seats course pivo'!$A:AB,HLOOKUP('[1]Course Totals'!D$4,'[1]import graded seats course pivo'!$1:$2,2,FALSE),FALSE))),"")</f>
        <v>0.80952380952380953</v>
      </c>
      <c r="E688" s="14" t="str">
        <f>IFERROR((VLOOKUP($A688,'[1]import success seats course'!$A:S,HLOOKUP('[1]Course Totals'!E$4,'[1]import success seats course'!$1:$2,2,FALSE),FALSE)/(VLOOKUP($A688,'[1]import graded seats course pivo'!$A:AC,HLOOKUP('[1]Course Totals'!E$4,'[1]import graded seats course pivo'!$1:$2,2,FALSE),FALSE))),"")</f>
        <v/>
      </c>
      <c r="F688" s="14">
        <f>IFERROR((VLOOKUP($A688,'[1]import success seats course'!$A:T,HLOOKUP('[1]Course Totals'!F$4,'[1]import success seats course'!$1:$2,2,FALSE),FALSE)/(VLOOKUP($A688,'[1]import graded seats course pivo'!$A:AD,HLOOKUP('[1]Course Totals'!F$4,'[1]import graded seats course pivo'!$1:$2,2,FALSE),FALSE))),"")</f>
        <v>0.94285714285714284</v>
      </c>
      <c r="G688" s="14">
        <f>IFERROR((VLOOKUP($A688,'[1]import success seats course'!$A:U,HLOOKUP('[1]Course Totals'!G$4,'[1]import success seats course'!$1:$2,2,FALSE),FALSE)/(VLOOKUP($A688,'[1]import graded seats course pivo'!$A:AE,HLOOKUP('[1]Course Totals'!G$4,'[1]import graded seats course pivo'!$1:$2,2,FALSE),FALSE))),"")</f>
        <v>0.9</v>
      </c>
      <c r="H688" s="14" t="str">
        <f>IFERROR((VLOOKUP($A688,'[1]import success seats course'!$A:V,HLOOKUP('[1]Course Totals'!H$4,'[1]import success seats course'!$1:$2,2,FALSE),FALSE)/(VLOOKUP($A688,'[1]import graded seats course pivo'!$A:AF,HLOOKUP('[1]Course Totals'!H$4,'[1]import graded seats course pivo'!$1:$2,2,FALSE),FALSE))),"")</f>
        <v/>
      </c>
      <c r="I688" s="14">
        <f>IFERROR((VLOOKUP($A688,'[1]import success seats course'!$A:W,HLOOKUP('[1]Course Totals'!I$4,'[1]import success seats course'!$1:$2,2,FALSE),FALSE)/(VLOOKUP($A688,'[1]import graded seats course pivo'!$A:AG,HLOOKUP('[1]Course Totals'!I$4,'[1]import graded seats course pivo'!$1:$2,2,FALSE),FALSE))),"")</f>
        <v>0.95041322314049592</v>
      </c>
      <c r="J688" s="14">
        <f>IFERROR((VLOOKUP($A688,'[1]import success seats course'!$A:X,HLOOKUP('[1]Course Totals'!J$4,'[1]import success seats course'!$1:$2,2,FALSE),FALSE)/(VLOOKUP($A688,'[1]import graded seats course pivo'!$A:AH,HLOOKUP('[1]Course Totals'!J$4,'[1]import graded seats course pivo'!$1:$2,2,FALSE),FALSE))),"")</f>
        <v>0.88461538461538458</v>
      </c>
      <c r="K688" s="14" t="str">
        <f>IFERROR((VLOOKUP($A688,'[1]import success seats course'!$A:Y,HLOOKUP('[1]Course Totals'!K$4,'[1]import success seats course'!$1:$2,2,FALSE),FALSE)/(VLOOKUP($A688,'[1]import graded seats course pivo'!$A:AI,HLOOKUP('[1]Course Totals'!K$4,'[1]import graded seats course pivo'!$1:$2,2,FALSE),FALSE))),"")</f>
        <v/>
      </c>
      <c r="L688" s="14" t="str">
        <f>IFERROR((VLOOKUP($A688,'[1]import success seats course'!$A:Z,HLOOKUP('[1]Course Totals'!L$4,'[1]import success seats course'!$1:$2,2,FALSE),FALSE)/(VLOOKUP($A688,'[1]import graded seats course pivo'!$A:AJ,HLOOKUP('[1]Course Totals'!L$4,'[1]import graded seats course pivo'!$1:$2,2,FALSE),FALSE))),"")</f>
        <v/>
      </c>
      <c r="M688" s="14" t="str">
        <f>IFERROR((VLOOKUP($A688,'[1]import success seats course'!$A:AA,HLOOKUP('[1]Course Totals'!M$4,'[1]import success seats course'!$1:$2,2,FALSE),FALSE)/(VLOOKUP($A688,'[1]import graded seats course pivo'!$A:AK,HLOOKUP('[1]Course Totals'!M$4,'[1]import graded seats course pivo'!$1:$2,2,FALSE),FALSE))),"")</f>
        <v/>
      </c>
      <c r="N688" s="14" t="str">
        <f>IFERROR((VLOOKUP($A688,'[1]import success seats course'!$A:AB,HLOOKUP('[1]Course Totals'!N$4,'[1]import success seats course'!$1:$2,2,FALSE),FALSE)/(VLOOKUP($A688,'[1]import graded seats course pivo'!$A:AL,HLOOKUP('[1]Course Totals'!N$4,'[1]import graded seats course pivo'!$1:$2,2,FALSE),FALSE))),"")</f>
        <v/>
      </c>
      <c r="O688" s="14">
        <f>IFERROR((VLOOKUP($A688,'[1]import success seats course'!$A:AC,HLOOKUP('[1]Course Totals'!O$4,'[1]import success seats course'!$1:$2,2,FALSE),FALSE)/(VLOOKUP($A688,'[1]import graded seats course pivo'!$A:AM,HLOOKUP('[1]Course Totals'!O$4,'[1]import graded seats course pivo'!$1:$2,2,FALSE),FALSE))),"")</f>
        <v>0.86046511627906974</v>
      </c>
      <c r="P688" s="14" t="str">
        <f>IFERROR((VLOOKUP($A688,'[1]import success seats course'!$A:AD,HLOOKUP('[1]Course Totals'!P$4,'[1]import success seats course'!$1:$2,2,FALSE),FALSE)/(VLOOKUP($A688,'[1]import graded seats course pivo'!$A:AN,HLOOKUP('[1]Course Totals'!P$4,'[1]import graded seats course pivo'!$1:$2,2,FALSE),FALSE))),"")</f>
        <v/>
      </c>
      <c r="Q688" s="14" t="str">
        <f>IFERROR((VLOOKUP($A688,'[1]import success seats course'!$A:AE,HLOOKUP('[1]Course Totals'!Q$4,'[1]import success seats course'!$1:$2,2,FALSE),FALSE)/(VLOOKUP($A688,'[1]import graded seats course pivo'!$A:AO,HLOOKUP('[1]Course Totals'!Q$4,'[1]import graded seats course pivo'!$1:$2,2,FALSE),FALSE))),"")</f>
        <v/>
      </c>
      <c r="R688" s="14">
        <f>IFERROR((VLOOKUP($A688,'[1]import success seats course'!$A:AF,HLOOKUP('[1]Course Totals'!R$4,'[1]import success seats course'!$1:$2,2,FALSE),FALSE)/(VLOOKUP($A688,'[1]import graded seats course pivo'!$A:AP,HLOOKUP('[1]Course Totals'!R$4,'[1]import graded seats course pivo'!$1:$2,2,FALSE),FALSE))),"")</f>
        <v>0.9375</v>
      </c>
      <c r="S688" s="14">
        <f>IFERROR((VLOOKUP($A688,'[1]import success seats course'!$A:AG,HLOOKUP('[1]Course Totals'!S$4,'[1]import success seats course'!$1:$2,2,FALSE),FALSE)/(VLOOKUP($A688,'[1]import graded seats course pivo'!$A:AQ,HLOOKUP('[1]Course Totals'!S$4,'[1]import graded seats course pivo'!$1:$2,2,FALSE),FALSE))),"")</f>
        <v>0.71875</v>
      </c>
      <c r="Z688" s="7"/>
      <c r="AA688" s="7"/>
      <c r="AB688" s="7"/>
      <c r="AC688" s="7"/>
    </row>
    <row r="689" spans="1:29" ht="15.75" hidden="1" customHeight="1" x14ac:dyDescent="0.25">
      <c r="A689" s="12" t="s">
        <v>1056</v>
      </c>
      <c r="B689" s="14" t="str">
        <f>IFERROR((VLOOKUP($A689,'[1]import success seats course'!$A:P,HLOOKUP('[1]Course Totals'!B$4,'[1]import success seats course'!$1:$2,2,FALSE),FALSE)/(VLOOKUP($A689,'[1]import graded seats course pivo'!$A:Z,HLOOKUP('[1]Course Totals'!B$4,'[1]import graded seats course pivo'!$1:$2,2,FALSE),FALSE))),"")</f>
        <v/>
      </c>
      <c r="C689" s="14" t="str">
        <f>IFERROR((VLOOKUP($A689,'[1]import success seats course'!$A:Q,HLOOKUP('[1]Course Totals'!C$4,'[1]import success seats course'!$1:$2,2,FALSE),FALSE)/(VLOOKUP($A689,'[1]import graded seats course pivo'!$A:AA,HLOOKUP('[1]Course Totals'!C$4,'[1]import graded seats course pivo'!$1:$2,2,FALSE),FALSE))),"")</f>
        <v/>
      </c>
      <c r="D689" s="14" t="str">
        <f>IFERROR((VLOOKUP($A689,'[1]import success seats course'!$A:R,HLOOKUP('[1]Course Totals'!D$4,'[1]import success seats course'!$1:$2,2,FALSE),FALSE)/(VLOOKUP($A689,'[1]import graded seats course pivo'!$A:AB,HLOOKUP('[1]Course Totals'!D$4,'[1]import graded seats course pivo'!$1:$2,2,FALSE),FALSE))),"")</f>
        <v/>
      </c>
      <c r="E689" s="14" t="str">
        <f>IFERROR((VLOOKUP($A689,'[1]import success seats course'!$A:S,HLOOKUP('[1]Course Totals'!E$4,'[1]import success seats course'!$1:$2,2,FALSE),FALSE)/(VLOOKUP($A689,'[1]import graded seats course pivo'!$A:AC,HLOOKUP('[1]Course Totals'!E$4,'[1]import graded seats course pivo'!$1:$2,2,FALSE),FALSE))),"")</f>
        <v/>
      </c>
      <c r="F689" s="14" t="str">
        <f>IFERROR((VLOOKUP($A689,'[1]import success seats course'!$A:T,HLOOKUP('[1]Course Totals'!F$4,'[1]import success seats course'!$1:$2,2,FALSE),FALSE)/(VLOOKUP($A689,'[1]import graded seats course pivo'!$A:AD,HLOOKUP('[1]Course Totals'!F$4,'[1]import graded seats course pivo'!$1:$2,2,FALSE),FALSE))),"")</f>
        <v/>
      </c>
      <c r="G689" s="14" t="str">
        <f>IFERROR((VLOOKUP($A689,'[1]import success seats course'!$A:U,HLOOKUP('[1]Course Totals'!G$4,'[1]import success seats course'!$1:$2,2,FALSE),FALSE)/(VLOOKUP($A689,'[1]import graded seats course pivo'!$A:AE,HLOOKUP('[1]Course Totals'!G$4,'[1]import graded seats course pivo'!$1:$2,2,FALSE),FALSE))),"")</f>
        <v/>
      </c>
      <c r="H689" s="14" t="str">
        <f>IFERROR((VLOOKUP($A689,'[1]import success seats course'!$A:V,HLOOKUP('[1]Course Totals'!H$4,'[1]import success seats course'!$1:$2,2,FALSE),FALSE)/(VLOOKUP($A689,'[1]import graded seats course pivo'!$A:AF,HLOOKUP('[1]Course Totals'!H$4,'[1]import graded seats course pivo'!$1:$2,2,FALSE),FALSE))),"")</f>
        <v/>
      </c>
      <c r="I689" s="14" t="str">
        <f>IFERROR((VLOOKUP($A689,'[1]import success seats course'!$A:W,HLOOKUP('[1]Course Totals'!I$4,'[1]import success seats course'!$1:$2,2,FALSE),FALSE)/(VLOOKUP($A689,'[1]import graded seats course pivo'!$A:AG,HLOOKUP('[1]Course Totals'!I$4,'[1]import graded seats course pivo'!$1:$2,2,FALSE),FALSE))),"")</f>
        <v/>
      </c>
      <c r="J689" s="14" t="str">
        <f>IFERROR((VLOOKUP($A689,'[1]import success seats course'!$A:X,HLOOKUP('[1]Course Totals'!J$4,'[1]import success seats course'!$1:$2,2,FALSE),FALSE)/(VLOOKUP($A689,'[1]import graded seats course pivo'!$A:AH,HLOOKUP('[1]Course Totals'!J$4,'[1]import graded seats course pivo'!$1:$2,2,FALSE),FALSE))),"")</f>
        <v/>
      </c>
      <c r="K689" s="14" t="str">
        <f>IFERROR((VLOOKUP($A689,'[1]import success seats course'!$A:Y,HLOOKUP('[1]Course Totals'!K$4,'[1]import success seats course'!$1:$2,2,FALSE),FALSE)/(VLOOKUP($A689,'[1]import graded seats course pivo'!$A:AI,HLOOKUP('[1]Course Totals'!K$4,'[1]import graded seats course pivo'!$1:$2,2,FALSE),FALSE))),"")</f>
        <v/>
      </c>
      <c r="L689" s="14" t="str">
        <f>IFERROR((VLOOKUP($A689,'[1]import success seats course'!$A:Z,HLOOKUP('[1]Course Totals'!L$4,'[1]import success seats course'!$1:$2,2,FALSE),FALSE)/(VLOOKUP($A689,'[1]import graded seats course pivo'!$A:AJ,HLOOKUP('[1]Course Totals'!L$4,'[1]import graded seats course pivo'!$1:$2,2,FALSE),FALSE))),"")</f>
        <v/>
      </c>
      <c r="M689" s="14" t="str">
        <f>IFERROR((VLOOKUP($A689,'[1]import success seats course'!$A:AA,HLOOKUP('[1]Course Totals'!M$4,'[1]import success seats course'!$1:$2,2,FALSE),FALSE)/(VLOOKUP($A689,'[1]import graded seats course pivo'!$A:AK,HLOOKUP('[1]Course Totals'!M$4,'[1]import graded seats course pivo'!$1:$2,2,FALSE),FALSE))),"")</f>
        <v/>
      </c>
      <c r="N689" s="14" t="str">
        <f>IFERROR((VLOOKUP($A689,'[1]import success seats course'!$A:AB,HLOOKUP('[1]Course Totals'!N$4,'[1]import success seats course'!$1:$2,2,FALSE),FALSE)/(VLOOKUP($A689,'[1]import graded seats course pivo'!$A:AL,HLOOKUP('[1]Course Totals'!N$4,'[1]import graded seats course pivo'!$1:$2,2,FALSE),FALSE))),"")</f>
        <v/>
      </c>
      <c r="O689" s="14" t="str">
        <f>IFERROR((VLOOKUP($A689,'[1]import success seats course'!$A:AC,HLOOKUP('[1]Course Totals'!O$4,'[1]import success seats course'!$1:$2,2,FALSE),FALSE)/(VLOOKUP($A689,'[1]import graded seats course pivo'!$A:AM,HLOOKUP('[1]Course Totals'!O$4,'[1]import graded seats course pivo'!$1:$2,2,FALSE),FALSE))),"")</f>
        <v/>
      </c>
      <c r="P689" s="14" t="str">
        <f>IFERROR((VLOOKUP($A689,'[1]import success seats course'!$A:AD,HLOOKUP('[1]Course Totals'!P$4,'[1]import success seats course'!$1:$2,2,FALSE),FALSE)/(VLOOKUP($A689,'[1]import graded seats course pivo'!$A:AN,HLOOKUP('[1]Course Totals'!P$4,'[1]import graded seats course pivo'!$1:$2,2,FALSE),FALSE))),"")</f>
        <v/>
      </c>
      <c r="Q689" s="14" t="str">
        <f>IFERROR((VLOOKUP($A689,'[1]import success seats course'!$A:AE,HLOOKUP('[1]Course Totals'!Q$4,'[1]import success seats course'!$1:$2,2,FALSE),FALSE)/(VLOOKUP($A689,'[1]import graded seats course pivo'!$A:AO,HLOOKUP('[1]Course Totals'!Q$4,'[1]import graded seats course pivo'!$1:$2,2,FALSE),FALSE))),"")</f>
        <v/>
      </c>
      <c r="R689" s="14" t="str">
        <f>IFERROR((VLOOKUP($A689,'[1]import success seats course'!$A:AF,HLOOKUP('[1]Course Totals'!R$4,'[1]import success seats course'!$1:$2,2,FALSE),FALSE)/(VLOOKUP($A689,'[1]import graded seats course pivo'!$A:AP,HLOOKUP('[1]Course Totals'!R$4,'[1]import graded seats course pivo'!$1:$2,2,FALSE),FALSE))),"")</f>
        <v/>
      </c>
      <c r="S689" s="14" t="str">
        <f>IFERROR((VLOOKUP($A689,'[1]import success seats course'!$A:AG,HLOOKUP('[1]Course Totals'!S$4,'[1]import success seats course'!$1:$2,2,FALSE),FALSE)/(VLOOKUP($A689,'[1]import graded seats course pivo'!$A:AQ,HLOOKUP('[1]Course Totals'!S$4,'[1]import graded seats course pivo'!$1:$2,2,FALSE),FALSE))),"")</f>
        <v/>
      </c>
      <c r="Z689" s="7"/>
      <c r="AA689" s="7"/>
      <c r="AB689" s="7"/>
      <c r="AC689" s="7"/>
    </row>
    <row r="690" spans="1:29" ht="15.75" customHeight="1" thickBot="1" x14ac:dyDescent="0.3">
      <c r="A690" s="8" t="str">
        <f>'[1]SUBJECTS BASE'!H39</f>
        <v>Humanities</v>
      </c>
      <c r="B690" s="38" t="s">
        <v>1046</v>
      </c>
      <c r="C690" s="39" t="s">
        <v>0</v>
      </c>
      <c r="D690" s="40" t="s">
        <v>868</v>
      </c>
      <c r="E690" s="41" t="s">
        <v>1052</v>
      </c>
      <c r="F690" s="42" t="s">
        <v>546</v>
      </c>
      <c r="G690" s="43" t="s">
        <v>959</v>
      </c>
      <c r="H690" s="44" t="s">
        <v>1060</v>
      </c>
      <c r="I690" s="39" t="s">
        <v>675</v>
      </c>
      <c r="J690" s="45" t="s">
        <v>1006</v>
      </c>
      <c r="K690" s="46" t="s">
        <v>1062</v>
      </c>
      <c r="L690" s="42" t="s">
        <v>762</v>
      </c>
      <c r="M690" s="43" t="s">
        <v>1022</v>
      </c>
      <c r="N690" s="44" t="s">
        <v>1063</v>
      </c>
      <c r="O690" s="39" t="s">
        <v>822</v>
      </c>
      <c r="P690" s="40" t="s">
        <v>1042</v>
      </c>
      <c r="Q690" s="46" t="s">
        <v>1153</v>
      </c>
      <c r="R690" s="42" t="s">
        <v>1154</v>
      </c>
      <c r="S690" s="43" t="s">
        <v>1155</v>
      </c>
      <c r="Z690" s="7"/>
      <c r="AA690" s="7"/>
      <c r="AB690" s="7"/>
      <c r="AC690" s="7"/>
    </row>
    <row r="691" spans="1:29" ht="15.75" customHeight="1" x14ac:dyDescent="0.25">
      <c r="A691" s="12" t="s">
        <v>319</v>
      </c>
      <c r="B691" s="14" t="str">
        <f>IFERROR((VLOOKUP($A691,'[1]import success seats course'!$A:P,HLOOKUP('[1]Course Totals'!B$4,'[1]import success seats course'!$1:$2,2,FALSE),FALSE)/(VLOOKUP($A691,'[1]import graded seats course pivo'!$A:Z,HLOOKUP('[1]Course Totals'!B$4,'[1]import graded seats course pivo'!$1:$2,2,FALSE),FALSE))),"")</f>
        <v/>
      </c>
      <c r="C691" s="14">
        <f>IFERROR((VLOOKUP($A691,'[1]import success seats course'!$A:Q,HLOOKUP('[1]Course Totals'!C$4,'[1]import success seats course'!$1:$2,2,FALSE),FALSE)/(VLOOKUP($A691,'[1]import graded seats course pivo'!$A:AA,HLOOKUP('[1]Course Totals'!C$4,'[1]import graded seats course pivo'!$1:$2,2,FALSE),FALSE))),"")</f>
        <v>0.90625</v>
      </c>
      <c r="D691" s="14" t="str">
        <f>IFERROR((VLOOKUP($A691,'[1]import success seats course'!$A:R,HLOOKUP('[1]Course Totals'!D$4,'[1]import success seats course'!$1:$2,2,FALSE),FALSE)/(VLOOKUP($A691,'[1]import graded seats course pivo'!$A:AB,HLOOKUP('[1]Course Totals'!D$4,'[1]import graded seats course pivo'!$1:$2,2,FALSE),FALSE))),"")</f>
        <v/>
      </c>
      <c r="E691" s="14" t="str">
        <f>IFERROR((VLOOKUP($A691,'[1]import success seats course'!$A:S,HLOOKUP('[1]Course Totals'!E$4,'[1]import success seats course'!$1:$2,2,FALSE),FALSE)/(VLOOKUP($A691,'[1]import graded seats course pivo'!$A:AC,HLOOKUP('[1]Course Totals'!E$4,'[1]import graded seats course pivo'!$1:$2,2,FALSE),FALSE))),"")</f>
        <v/>
      </c>
      <c r="F691" s="14">
        <f>IFERROR((VLOOKUP($A691,'[1]import success seats course'!$A:T,HLOOKUP('[1]Course Totals'!F$4,'[1]import success seats course'!$1:$2,2,FALSE),FALSE)/(VLOOKUP($A691,'[1]import graded seats course pivo'!$A:AD,HLOOKUP('[1]Course Totals'!F$4,'[1]import graded seats course pivo'!$1:$2,2,FALSE),FALSE))),"")</f>
        <v>0.79411764705882348</v>
      </c>
      <c r="G691" s="14" t="str">
        <f>IFERROR((VLOOKUP($A691,'[1]import success seats course'!$A:U,HLOOKUP('[1]Course Totals'!G$4,'[1]import success seats course'!$1:$2,2,FALSE),FALSE)/(VLOOKUP($A691,'[1]import graded seats course pivo'!$A:AE,HLOOKUP('[1]Course Totals'!G$4,'[1]import graded seats course pivo'!$1:$2,2,FALSE),FALSE))),"")</f>
        <v/>
      </c>
      <c r="H691" s="14" t="str">
        <f>IFERROR((VLOOKUP($A691,'[1]import success seats course'!$A:V,HLOOKUP('[1]Course Totals'!H$4,'[1]import success seats course'!$1:$2,2,FALSE),FALSE)/(VLOOKUP($A691,'[1]import graded seats course pivo'!$A:AF,HLOOKUP('[1]Course Totals'!H$4,'[1]import graded seats course pivo'!$1:$2,2,FALSE),FALSE))),"")</f>
        <v/>
      </c>
      <c r="I691" s="14">
        <f>IFERROR((VLOOKUP($A691,'[1]import success seats course'!$A:W,HLOOKUP('[1]Course Totals'!I$4,'[1]import success seats course'!$1:$2,2,FALSE),FALSE)/(VLOOKUP($A691,'[1]import graded seats course pivo'!$A:AG,HLOOKUP('[1]Course Totals'!I$4,'[1]import graded seats course pivo'!$1:$2,2,FALSE),FALSE))),"")</f>
        <v>0.91666666666666663</v>
      </c>
      <c r="J691" s="14" t="str">
        <f>IFERROR((VLOOKUP($A691,'[1]import success seats course'!$A:X,HLOOKUP('[1]Course Totals'!J$4,'[1]import success seats course'!$1:$2,2,FALSE),FALSE)/(VLOOKUP($A691,'[1]import graded seats course pivo'!$A:AH,HLOOKUP('[1]Course Totals'!J$4,'[1]import graded seats course pivo'!$1:$2,2,FALSE),FALSE))),"")</f>
        <v/>
      </c>
      <c r="K691" s="14" t="str">
        <f>IFERROR((VLOOKUP($A691,'[1]import success seats course'!$A:Y,HLOOKUP('[1]Course Totals'!K$4,'[1]import success seats course'!$1:$2,2,FALSE),FALSE)/(VLOOKUP($A691,'[1]import graded seats course pivo'!$A:AI,HLOOKUP('[1]Course Totals'!K$4,'[1]import graded seats course pivo'!$1:$2,2,FALSE),FALSE))),"")</f>
        <v/>
      </c>
      <c r="L691" s="14">
        <f>IFERROR((VLOOKUP($A691,'[1]import success seats course'!$A:Z,HLOOKUP('[1]Course Totals'!L$4,'[1]import success seats course'!$1:$2,2,FALSE),FALSE)/(VLOOKUP($A691,'[1]import graded seats course pivo'!$A:AJ,HLOOKUP('[1]Course Totals'!L$4,'[1]import graded seats course pivo'!$1:$2,2,FALSE),FALSE))),"")</f>
        <v>0.97297297297297303</v>
      </c>
      <c r="M691" s="14" t="str">
        <f>IFERROR((VLOOKUP($A691,'[1]import success seats course'!$A:AA,HLOOKUP('[1]Course Totals'!M$4,'[1]import success seats course'!$1:$2,2,FALSE),FALSE)/(VLOOKUP($A691,'[1]import graded seats course pivo'!$A:AK,HLOOKUP('[1]Course Totals'!M$4,'[1]import graded seats course pivo'!$1:$2,2,FALSE),FALSE))),"")</f>
        <v/>
      </c>
      <c r="N691" s="14" t="str">
        <f>IFERROR((VLOOKUP($A691,'[1]import success seats course'!$A:AB,HLOOKUP('[1]Course Totals'!N$4,'[1]import success seats course'!$1:$2,2,FALSE),FALSE)/(VLOOKUP($A691,'[1]import graded seats course pivo'!$A:AL,HLOOKUP('[1]Course Totals'!N$4,'[1]import graded seats course pivo'!$1:$2,2,FALSE),FALSE))),"")</f>
        <v/>
      </c>
      <c r="O691" s="14">
        <f>IFERROR((VLOOKUP($A691,'[1]import success seats course'!$A:AC,HLOOKUP('[1]Course Totals'!O$4,'[1]import success seats course'!$1:$2,2,FALSE),FALSE)/(VLOOKUP($A691,'[1]import graded seats course pivo'!$A:AM,HLOOKUP('[1]Course Totals'!O$4,'[1]import graded seats course pivo'!$1:$2,2,FALSE),FALSE))),"")</f>
        <v>0.90625</v>
      </c>
      <c r="P691" s="14" t="str">
        <f>IFERROR((VLOOKUP($A691,'[1]import success seats course'!$A:AD,HLOOKUP('[1]Course Totals'!P$4,'[1]import success seats course'!$1:$2,2,FALSE),FALSE)/(VLOOKUP($A691,'[1]import graded seats course pivo'!$A:AN,HLOOKUP('[1]Course Totals'!P$4,'[1]import graded seats course pivo'!$1:$2,2,FALSE),FALSE))),"")</f>
        <v/>
      </c>
      <c r="Q691" s="14" t="str">
        <f>IFERROR((VLOOKUP($A691,'[1]import success seats course'!$A:AE,HLOOKUP('[1]Course Totals'!Q$4,'[1]import success seats course'!$1:$2,2,FALSE),FALSE)/(VLOOKUP($A691,'[1]import graded seats course pivo'!$A:AO,HLOOKUP('[1]Course Totals'!Q$4,'[1]import graded seats course pivo'!$1:$2,2,FALSE),FALSE))),"")</f>
        <v/>
      </c>
      <c r="R691" s="14">
        <f>IFERROR((VLOOKUP($A691,'[1]import success seats course'!$A:AF,HLOOKUP('[1]Course Totals'!R$4,'[1]import success seats course'!$1:$2,2,FALSE),FALSE)/(VLOOKUP($A691,'[1]import graded seats course pivo'!$A:AP,HLOOKUP('[1]Course Totals'!R$4,'[1]import graded seats course pivo'!$1:$2,2,FALSE),FALSE))),"")</f>
        <v>0.94285714285714284</v>
      </c>
      <c r="S691" s="14" t="str">
        <f>IFERROR((VLOOKUP($A691,'[1]import success seats course'!$A:AG,HLOOKUP('[1]Course Totals'!S$4,'[1]import success seats course'!$1:$2,2,FALSE),FALSE)/(VLOOKUP($A691,'[1]import graded seats course pivo'!$A:AQ,HLOOKUP('[1]Course Totals'!S$4,'[1]import graded seats course pivo'!$1:$2,2,FALSE),FALSE))),"")</f>
        <v/>
      </c>
      <c r="Z691" s="7"/>
      <c r="AA691" s="7"/>
      <c r="AB691" s="7"/>
      <c r="AC691" s="7"/>
    </row>
    <row r="692" spans="1:29" ht="15.75" customHeight="1" x14ac:dyDescent="0.25">
      <c r="A692" s="12" t="s">
        <v>320</v>
      </c>
      <c r="B692" s="14" t="str">
        <f>IFERROR((VLOOKUP($A692,'[1]import success seats course'!$A:P,HLOOKUP('[1]Course Totals'!B$4,'[1]import success seats course'!$1:$2,2,FALSE),FALSE)/(VLOOKUP($A692,'[1]import graded seats course pivo'!$A:Z,HLOOKUP('[1]Course Totals'!B$4,'[1]import graded seats course pivo'!$1:$2,2,FALSE),FALSE))),"")</f>
        <v/>
      </c>
      <c r="C692" s="14">
        <f>IFERROR((VLOOKUP($A692,'[1]import success seats course'!$A:Q,HLOOKUP('[1]Course Totals'!C$4,'[1]import success seats course'!$1:$2,2,FALSE),FALSE)/(VLOOKUP($A692,'[1]import graded seats course pivo'!$A:AA,HLOOKUP('[1]Course Totals'!C$4,'[1]import graded seats course pivo'!$1:$2,2,FALSE),FALSE))),"")</f>
        <v>0.4</v>
      </c>
      <c r="D692" s="14" t="str">
        <f>IFERROR((VLOOKUP($A692,'[1]import success seats course'!$A:R,HLOOKUP('[1]Course Totals'!D$4,'[1]import success seats course'!$1:$2,2,FALSE),FALSE)/(VLOOKUP($A692,'[1]import graded seats course pivo'!$A:AB,HLOOKUP('[1]Course Totals'!D$4,'[1]import graded seats course pivo'!$1:$2,2,FALSE),FALSE))),"")</f>
        <v/>
      </c>
      <c r="E692" s="14" t="str">
        <f>IFERROR((VLOOKUP($A692,'[1]import success seats course'!$A:S,HLOOKUP('[1]Course Totals'!E$4,'[1]import success seats course'!$1:$2,2,FALSE),FALSE)/(VLOOKUP($A692,'[1]import graded seats course pivo'!$A:AC,HLOOKUP('[1]Course Totals'!E$4,'[1]import graded seats course pivo'!$1:$2,2,FALSE),FALSE))),"")</f>
        <v/>
      </c>
      <c r="F692" s="14">
        <f>IFERROR((VLOOKUP($A692,'[1]import success seats course'!$A:T,HLOOKUP('[1]Course Totals'!F$4,'[1]import success seats course'!$1:$2,2,FALSE),FALSE)/(VLOOKUP($A692,'[1]import graded seats course pivo'!$A:AD,HLOOKUP('[1]Course Totals'!F$4,'[1]import graded seats course pivo'!$1:$2,2,FALSE),FALSE))),"")</f>
        <v>0</v>
      </c>
      <c r="G692" s="14" t="str">
        <f>IFERROR((VLOOKUP($A692,'[1]import success seats course'!$A:U,HLOOKUP('[1]Course Totals'!G$4,'[1]import success seats course'!$1:$2,2,FALSE),FALSE)/(VLOOKUP($A692,'[1]import graded seats course pivo'!$A:AE,HLOOKUP('[1]Course Totals'!G$4,'[1]import graded seats course pivo'!$1:$2,2,FALSE),FALSE))),"")</f>
        <v/>
      </c>
      <c r="H692" s="14" t="str">
        <f>IFERROR((VLOOKUP($A692,'[1]import success seats course'!$A:V,HLOOKUP('[1]Course Totals'!H$4,'[1]import success seats course'!$1:$2,2,FALSE),FALSE)/(VLOOKUP($A692,'[1]import graded seats course pivo'!$A:AF,HLOOKUP('[1]Course Totals'!H$4,'[1]import graded seats course pivo'!$1:$2,2,FALSE),FALSE))),"")</f>
        <v/>
      </c>
      <c r="I692" s="14">
        <f>IFERROR((VLOOKUP($A692,'[1]import success seats course'!$A:W,HLOOKUP('[1]Course Totals'!I$4,'[1]import success seats course'!$1:$2,2,FALSE),FALSE)/(VLOOKUP($A692,'[1]import graded seats course pivo'!$A:AG,HLOOKUP('[1]Course Totals'!I$4,'[1]import graded seats course pivo'!$1:$2,2,FALSE),FALSE))),"")</f>
        <v>1</v>
      </c>
      <c r="J692" s="14" t="str">
        <f>IFERROR((VLOOKUP($A692,'[1]import success seats course'!$A:X,HLOOKUP('[1]Course Totals'!J$4,'[1]import success seats course'!$1:$2,2,FALSE),FALSE)/(VLOOKUP($A692,'[1]import graded seats course pivo'!$A:AH,HLOOKUP('[1]Course Totals'!J$4,'[1]import graded seats course pivo'!$1:$2,2,FALSE),FALSE))),"")</f>
        <v/>
      </c>
      <c r="K692" s="14" t="str">
        <f>IFERROR((VLOOKUP($A692,'[1]import success seats course'!$A:Y,HLOOKUP('[1]Course Totals'!K$4,'[1]import success seats course'!$1:$2,2,FALSE),FALSE)/(VLOOKUP($A692,'[1]import graded seats course pivo'!$A:AI,HLOOKUP('[1]Course Totals'!K$4,'[1]import graded seats course pivo'!$1:$2,2,FALSE),FALSE))),"")</f>
        <v/>
      </c>
      <c r="L692" s="14">
        <f>IFERROR((VLOOKUP($A692,'[1]import success seats course'!$A:Z,HLOOKUP('[1]Course Totals'!L$4,'[1]import success seats course'!$1:$2,2,FALSE),FALSE)/(VLOOKUP($A692,'[1]import graded seats course pivo'!$A:AJ,HLOOKUP('[1]Course Totals'!L$4,'[1]import graded seats course pivo'!$1:$2,2,FALSE),FALSE))),"")</f>
        <v>1</v>
      </c>
      <c r="M692" s="14" t="str">
        <f>IFERROR((VLOOKUP($A692,'[1]import success seats course'!$A:AA,HLOOKUP('[1]Course Totals'!M$4,'[1]import success seats course'!$1:$2,2,FALSE),FALSE)/(VLOOKUP($A692,'[1]import graded seats course pivo'!$A:AK,HLOOKUP('[1]Course Totals'!M$4,'[1]import graded seats course pivo'!$1:$2,2,FALSE),FALSE))),"")</f>
        <v/>
      </c>
      <c r="N692" s="14" t="str">
        <f>IFERROR((VLOOKUP($A692,'[1]import success seats course'!$A:AB,HLOOKUP('[1]Course Totals'!N$4,'[1]import success seats course'!$1:$2,2,FALSE),FALSE)/(VLOOKUP($A692,'[1]import graded seats course pivo'!$A:AL,HLOOKUP('[1]Course Totals'!N$4,'[1]import graded seats course pivo'!$1:$2,2,FALSE),FALSE))),"")</f>
        <v/>
      </c>
      <c r="O692" s="14">
        <f>IFERROR((VLOOKUP($A692,'[1]import success seats course'!$A:AC,HLOOKUP('[1]Course Totals'!O$4,'[1]import success seats course'!$1:$2,2,FALSE),FALSE)/(VLOOKUP($A692,'[1]import graded seats course pivo'!$A:AM,HLOOKUP('[1]Course Totals'!O$4,'[1]import graded seats course pivo'!$1:$2,2,FALSE),FALSE))),"")</f>
        <v>1</v>
      </c>
      <c r="P692" s="14" t="str">
        <f>IFERROR((VLOOKUP($A692,'[1]import success seats course'!$A:AD,HLOOKUP('[1]Course Totals'!P$4,'[1]import success seats course'!$1:$2,2,FALSE),FALSE)/(VLOOKUP($A692,'[1]import graded seats course pivo'!$A:AN,HLOOKUP('[1]Course Totals'!P$4,'[1]import graded seats course pivo'!$1:$2,2,FALSE),FALSE))),"")</f>
        <v/>
      </c>
      <c r="Q692" s="14" t="str">
        <f>IFERROR((VLOOKUP($A692,'[1]import success seats course'!$A:AE,HLOOKUP('[1]Course Totals'!Q$4,'[1]import success seats course'!$1:$2,2,FALSE),FALSE)/(VLOOKUP($A692,'[1]import graded seats course pivo'!$A:AO,HLOOKUP('[1]Course Totals'!Q$4,'[1]import graded seats course pivo'!$1:$2,2,FALSE),FALSE))),"")</f>
        <v/>
      </c>
      <c r="R692" s="14" t="str">
        <f>IFERROR((VLOOKUP($A692,'[1]import success seats course'!$A:AF,HLOOKUP('[1]Course Totals'!R$4,'[1]import success seats course'!$1:$2,2,FALSE),FALSE)/(VLOOKUP($A692,'[1]import graded seats course pivo'!$A:AP,HLOOKUP('[1]Course Totals'!R$4,'[1]import graded seats course pivo'!$1:$2,2,FALSE),FALSE))),"")</f>
        <v/>
      </c>
      <c r="S692" s="14" t="str">
        <f>IFERROR((VLOOKUP($A692,'[1]import success seats course'!$A:AG,HLOOKUP('[1]Course Totals'!S$4,'[1]import success seats course'!$1:$2,2,FALSE),FALSE)/(VLOOKUP($A692,'[1]import graded seats course pivo'!$A:AQ,HLOOKUP('[1]Course Totals'!S$4,'[1]import graded seats course pivo'!$1:$2,2,FALSE),FALSE))),"")</f>
        <v/>
      </c>
      <c r="Z692" s="7"/>
      <c r="AA692" s="7"/>
      <c r="AB692" s="7"/>
      <c r="AC692" s="7"/>
    </row>
    <row r="693" spans="1:29" ht="15.75" customHeight="1" x14ac:dyDescent="0.25">
      <c r="A693" s="12" t="s">
        <v>922</v>
      </c>
      <c r="B693" s="14" t="str">
        <f>IFERROR((VLOOKUP($A693,'[1]import success seats course'!$A:P,HLOOKUP('[1]Course Totals'!B$4,'[1]import success seats course'!$1:$2,2,FALSE),FALSE)/(VLOOKUP($A693,'[1]import graded seats course pivo'!$A:Z,HLOOKUP('[1]Course Totals'!B$4,'[1]import graded seats course pivo'!$1:$2,2,FALSE),FALSE))),"")</f>
        <v/>
      </c>
      <c r="C693" s="14" t="str">
        <f>IFERROR((VLOOKUP($A693,'[1]import success seats course'!$A:Q,HLOOKUP('[1]Course Totals'!C$4,'[1]import success seats course'!$1:$2,2,FALSE),FALSE)/(VLOOKUP($A693,'[1]import graded seats course pivo'!$A:AA,HLOOKUP('[1]Course Totals'!C$4,'[1]import graded seats course pivo'!$1:$2,2,FALSE),FALSE))),"")</f>
        <v/>
      </c>
      <c r="D693" s="14">
        <f>IFERROR((VLOOKUP($A693,'[1]import success seats course'!$A:R,HLOOKUP('[1]Course Totals'!D$4,'[1]import success seats course'!$1:$2,2,FALSE),FALSE)/(VLOOKUP($A693,'[1]import graded seats course pivo'!$A:AB,HLOOKUP('[1]Course Totals'!D$4,'[1]import graded seats course pivo'!$1:$2,2,FALSE),FALSE))),"")</f>
        <v>0.9375</v>
      </c>
      <c r="E693" s="14" t="str">
        <f>IFERROR((VLOOKUP($A693,'[1]import success seats course'!$A:S,HLOOKUP('[1]Course Totals'!E$4,'[1]import success seats course'!$1:$2,2,FALSE),FALSE)/(VLOOKUP($A693,'[1]import graded seats course pivo'!$A:AC,HLOOKUP('[1]Course Totals'!E$4,'[1]import graded seats course pivo'!$1:$2,2,FALSE),FALSE))),"")</f>
        <v/>
      </c>
      <c r="F693" s="14" t="str">
        <f>IFERROR((VLOOKUP($A693,'[1]import success seats course'!$A:T,HLOOKUP('[1]Course Totals'!F$4,'[1]import success seats course'!$1:$2,2,FALSE),FALSE)/(VLOOKUP($A693,'[1]import graded seats course pivo'!$A:AD,HLOOKUP('[1]Course Totals'!F$4,'[1]import graded seats course pivo'!$1:$2,2,FALSE),FALSE))),"")</f>
        <v/>
      </c>
      <c r="G693" s="14">
        <f>IFERROR((VLOOKUP($A693,'[1]import success seats course'!$A:U,HLOOKUP('[1]Course Totals'!G$4,'[1]import success seats course'!$1:$2,2,FALSE),FALSE)/(VLOOKUP($A693,'[1]import graded seats course pivo'!$A:AE,HLOOKUP('[1]Course Totals'!G$4,'[1]import graded seats course pivo'!$1:$2,2,FALSE),FALSE))),"")</f>
        <v>0.96153846153846156</v>
      </c>
      <c r="H693" s="14" t="str">
        <f>IFERROR((VLOOKUP($A693,'[1]import success seats course'!$A:V,HLOOKUP('[1]Course Totals'!H$4,'[1]import success seats course'!$1:$2,2,FALSE),FALSE)/(VLOOKUP($A693,'[1]import graded seats course pivo'!$A:AF,HLOOKUP('[1]Course Totals'!H$4,'[1]import graded seats course pivo'!$1:$2,2,FALSE),FALSE))),"")</f>
        <v/>
      </c>
      <c r="I693" s="14" t="str">
        <f>IFERROR((VLOOKUP($A693,'[1]import success seats course'!$A:W,HLOOKUP('[1]Course Totals'!I$4,'[1]import success seats course'!$1:$2,2,FALSE),FALSE)/(VLOOKUP($A693,'[1]import graded seats course pivo'!$A:AG,HLOOKUP('[1]Course Totals'!I$4,'[1]import graded seats course pivo'!$1:$2,2,FALSE),FALSE))),"")</f>
        <v/>
      </c>
      <c r="J693" s="14">
        <f>IFERROR((VLOOKUP($A693,'[1]import success seats course'!$A:X,HLOOKUP('[1]Course Totals'!J$4,'[1]import success seats course'!$1:$2,2,FALSE),FALSE)/(VLOOKUP($A693,'[1]import graded seats course pivo'!$A:AH,HLOOKUP('[1]Course Totals'!J$4,'[1]import graded seats course pivo'!$1:$2,2,FALSE),FALSE))),"")</f>
        <v>0.8666666666666667</v>
      </c>
      <c r="K693" s="14" t="str">
        <f>IFERROR((VLOOKUP($A693,'[1]import success seats course'!$A:Y,HLOOKUP('[1]Course Totals'!K$4,'[1]import success seats course'!$1:$2,2,FALSE),FALSE)/(VLOOKUP($A693,'[1]import graded seats course pivo'!$A:AI,HLOOKUP('[1]Course Totals'!K$4,'[1]import graded seats course pivo'!$1:$2,2,FALSE),FALSE))),"")</f>
        <v/>
      </c>
      <c r="L693" s="14" t="str">
        <f>IFERROR((VLOOKUP($A693,'[1]import success seats course'!$A:Z,HLOOKUP('[1]Course Totals'!L$4,'[1]import success seats course'!$1:$2,2,FALSE),FALSE)/(VLOOKUP($A693,'[1]import graded seats course pivo'!$A:AJ,HLOOKUP('[1]Course Totals'!L$4,'[1]import graded seats course pivo'!$1:$2,2,FALSE),FALSE))),"")</f>
        <v/>
      </c>
      <c r="M693" s="14">
        <f>IFERROR((VLOOKUP($A693,'[1]import success seats course'!$A:AA,HLOOKUP('[1]Course Totals'!M$4,'[1]import success seats course'!$1:$2,2,FALSE),FALSE)/(VLOOKUP($A693,'[1]import graded seats course pivo'!$A:AK,HLOOKUP('[1]Course Totals'!M$4,'[1]import graded seats course pivo'!$1:$2,2,FALSE),FALSE))),"")</f>
        <v>0.8214285714285714</v>
      </c>
      <c r="N693" s="14" t="str">
        <f>IFERROR((VLOOKUP($A693,'[1]import success seats course'!$A:AB,HLOOKUP('[1]Course Totals'!N$4,'[1]import success seats course'!$1:$2,2,FALSE),FALSE)/(VLOOKUP($A693,'[1]import graded seats course pivo'!$A:AL,HLOOKUP('[1]Course Totals'!N$4,'[1]import graded seats course pivo'!$1:$2,2,FALSE),FALSE))),"")</f>
        <v/>
      </c>
      <c r="O693" s="14" t="str">
        <f>IFERROR((VLOOKUP($A693,'[1]import success seats course'!$A:AC,HLOOKUP('[1]Course Totals'!O$4,'[1]import success seats course'!$1:$2,2,FALSE),FALSE)/(VLOOKUP($A693,'[1]import graded seats course pivo'!$A:AM,HLOOKUP('[1]Course Totals'!O$4,'[1]import graded seats course pivo'!$1:$2,2,FALSE),FALSE))),"")</f>
        <v/>
      </c>
      <c r="P693" s="14" t="str">
        <f>IFERROR((VLOOKUP($A693,'[1]import success seats course'!$A:AD,HLOOKUP('[1]Course Totals'!P$4,'[1]import success seats course'!$1:$2,2,FALSE),FALSE)/(VLOOKUP($A693,'[1]import graded seats course pivo'!$A:AN,HLOOKUP('[1]Course Totals'!P$4,'[1]import graded seats course pivo'!$1:$2,2,FALSE),FALSE))),"")</f>
        <v/>
      </c>
      <c r="Q693" s="14" t="str">
        <f>IFERROR((VLOOKUP($A693,'[1]import success seats course'!$A:AE,HLOOKUP('[1]Course Totals'!Q$4,'[1]import success seats course'!$1:$2,2,FALSE),FALSE)/(VLOOKUP($A693,'[1]import graded seats course pivo'!$A:AO,HLOOKUP('[1]Course Totals'!Q$4,'[1]import graded seats course pivo'!$1:$2,2,FALSE),FALSE))),"")</f>
        <v/>
      </c>
      <c r="R693" s="14" t="str">
        <f>IFERROR((VLOOKUP($A693,'[1]import success seats course'!$A:AF,HLOOKUP('[1]Course Totals'!R$4,'[1]import success seats course'!$1:$2,2,FALSE),FALSE)/(VLOOKUP($A693,'[1]import graded seats course pivo'!$A:AP,HLOOKUP('[1]Course Totals'!R$4,'[1]import graded seats course pivo'!$1:$2,2,FALSE),FALSE))),"")</f>
        <v/>
      </c>
      <c r="S693" s="14" t="str">
        <f>IFERROR((VLOOKUP($A693,'[1]import success seats course'!$A:AG,HLOOKUP('[1]Course Totals'!S$4,'[1]import success seats course'!$1:$2,2,FALSE),FALSE)/(VLOOKUP($A693,'[1]import graded seats course pivo'!$A:AQ,HLOOKUP('[1]Course Totals'!S$4,'[1]import graded seats course pivo'!$1:$2,2,FALSE),FALSE))),"")</f>
        <v/>
      </c>
      <c r="Z693" s="7"/>
      <c r="AA693" s="7"/>
      <c r="AB693" s="7"/>
      <c r="AC693" s="7"/>
    </row>
    <row r="694" spans="1:29" ht="15.75" customHeight="1" x14ac:dyDescent="0.25">
      <c r="A694" s="12" t="s">
        <v>923</v>
      </c>
      <c r="B694" s="14" t="str">
        <f>IFERROR((VLOOKUP($A694,'[1]import success seats course'!$A:P,HLOOKUP('[1]Course Totals'!B$4,'[1]import success seats course'!$1:$2,2,FALSE),FALSE)/(VLOOKUP($A694,'[1]import graded seats course pivo'!$A:Z,HLOOKUP('[1]Course Totals'!B$4,'[1]import graded seats course pivo'!$1:$2,2,FALSE),FALSE))),"")</f>
        <v/>
      </c>
      <c r="C694" s="14" t="str">
        <f>IFERROR((VLOOKUP($A694,'[1]import success seats course'!$A:Q,HLOOKUP('[1]Course Totals'!C$4,'[1]import success seats course'!$1:$2,2,FALSE),FALSE)/(VLOOKUP($A694,'[1]import graded seats course pivo'!$A:AA,HLOOKUP('[1]Course Totals'!C$4,'[1]import graded seats course pivo'!$1:$2,2,FALSE),FALSE))),"")</f>
        <v/>
      </c>
      <c r="D694" s="14">
        <f>IFERROR((VLOOKUP($A694,'[1]import success seats course'!$A:R,HLOOKUP('[1]Course Totals'!D$4,'[1]import success seats course'!$1:$2,2,FALSE),FALSE)/(VLOOKUP($A694,'[1]import graded seats course pivo'!$A:AB,HLOOKUP('[1]Course Totals'!D$4,'[1]import graded seats course pivo'!$1:$2,2,FALSE),FALSE))),"")</f>
        <v>1</v>
      </c>
      <c r="E694" s="14" t="str">
        <f>IFERROR((VLOOKUP($A694,'[1]import success seats course'!$A:S,HLOOKUP('[1]Course Totals'!E$4,'[1]import success seats course'!$1:$2,2,FALSE),FALSE)/(VLOOKUP($A694,'[1]import graded seats course pivo'!$A:AC,HLOOKUP('[1]Course Totals'!E$4,'[1]import graded seats course pivo'!$1:$2,2,FALSE),FALSE))),"")</f>
        <v/>
      </c>
      <c r="F694" s="14" t="str">
        <f>IFERROR((VLOOKUP($A694,'[1]import success seats course'!$A:T,HLOOKUP('[1]Course Totals'!F$4,'[1]import success seats course'!$1:$2,2,FALSE),FALSE)/(VLOOKUP($A694,'[1]import graded seats course pivo'!$A:AD,HLOOKUP('[1]Course Totals'!F$4,'[1]import graded seats course pivo'!$1:$2,2,FALSE),FALSE))),"")</f>
        <v/>
      </c>
      <c r="G694" s="14" t="str">
        <f>IFERROR((VLOOKUP($A694,'[1]import success seats course'!$A:U,HLOOKUP('[1]Course Totals'!G$4,'[1]import success seats course'!$1:$2,2,FALSE),FALSE)/(VLOOKUP($A694,'[1]import graded seats course pivo'!$A:AE,HLOOKUP('[1]Course Totals'!G$4,'[1]import graded seats course pivo'!$1:$2,2,FALSE),FALSE))),"")</f>
        <v/>
      </c>
      <c r="H694" s="14" t="str">
        <f>IFERROR((VLOOKUP($A694,'[1]import success seats course'!$A:V,HLOOKUP('[1]Course Totals'!H$4,'[1]import success seats course'!$1:$2,2,FALSE),FALSE)/(VLOOKUP($A694,'[1]import graded seats course pivo'!$A:AF,HLOOKUP('[1]Course Totals'!H$4,'[1]import graded seats course pivo'!$1:$2,2,FALSE),FALSE))),"")</f>
        <v/>
      </c>
      <c r="I694" s="14" t="str">
        <f>IFERROR((VLOOKUP($A694,'[1]import success seats course'!$A:W,HLOOKUP('[1]Course Totals'!I$4,'[1]import success seats course'!$1:$2,2,FALSE),FALSE)/(VLOOKUP($A694,'[1]import graded seats course pivo'!$A:AG,HLOOKUP('[1]Course Totals'!I$4,'[1]import graded seats course pivo'!$1:$2,2,FALSE),FALSE))),"")</f>
        <v/>
      </c>
      <c r="J694" s="14">
        <f>IFERROR((VLOOKUP($A694,'[1]import success seats course'!$A:X,HLOOKUP('[1]Course Totals'!J$4,'[1]import success seats course'!$1:$2,2,FALSE),FALSE)/(VLOOKUP($A694,'[1]import graded seats course pivo'!$A:AH,HLOOKUP('[1]Course Totals'!J$4,'[1]import graded seats course pivo'!$1:$2,2,FALSE),FALSE))),"")</f>
        <v>1</v>
      </c>
      <c r="K694" s="14" t="str">
        <f>IFERROR((VLOOKUP($A694,'[1]import success seats course'!$A:Y,HLOOKUP('[1]Course Totals'!K$4,'[1]import success seats course'!$1:$2,2,FALSE),FALSE)/(VLOOKUP($A694,'[1]import graded seats course pivo'!$A:AI,HLOOKUP('[1]Course Totals'!K$4,'[1]import graded seats course pivo'!$1:$2,2,FALSE),FALSE))),"")</f>
        <v/>
      </c>
      <c r="L694" s="14" t="str">
        <f>IFERROR((VLOOKUP($A694,'[1]import success seats course'!$A:Z,HLOOKUP('[1]Course Totals'!L$4,'[1]import success seats course'!$1:$2,2,FALSE),FALSE)/(VLOOKUP($A694,'[1]import graded seats course pivo'!$A:AJ,HLOOKUP('[1]Course Totals'!L$4,'[1]import graded seats course pivo'!$1:$2,2,FALSE),FALSE))),"")</f>
        <v/>
      </c>
      <c r="M694" s="14">
        <f>IFERROR((VLOOKUP($A694,'[1]import success seats course'!$A:AA,HLOOKUP('[1]Course Totals'!M$4,'[1]import success seats course'!$1:$2,2,FALSE),FALSE)/(VLOOKUP($A694,'[1]import graded seats course pivo'!$A:AK,HLOOKUP('[1]Course Totals'!M$4,'[1]import graded seats course pivo'!$1:$2,2,FALSE),FALSE))),"")</f>
        <v>1</v>
      </c>
      <c r="N694" s="14" t="str">
        <f>IFERROR((VLOOKUP($A694,'[1]import success seats course'!$A:AB,HLOOKUP('[1]Course Totals'!N$4,'[1]import success seats course'!$1:$2,2,FALSE),FALSE)/(VLOOKUP($A694,'[1]import graded seats course pivo'!$A:AL,HLOOKUP('[1]Course Totals'!N$4,'[1]import graded seats course pivo'!$1:$2,2,FALSE),FALSE))),"")</f>
        <v/>
      </c>
      <c r="O694" s="14" t="str">
        <f>IFERROR((VLOOKUP($A694,'[1]import success seats course'!$A:AC,HLOOKUP('[1]Course Totals'!O$4,'[1]import success seats course'!$1:$2,2,FALSE),FALSE)/(VLOOKUP($A694,'[1]import graded seats course pivo'!$A:AM,HLOOKUP('[1]Course Totals'!O$4,'[1]import graded seats course pivo'!$1:$2,2,FALSE),FALSE))),"")</f>
        <v/>
      </c>
      <c r="P694" s="14" t="str">
        <f>IFERROR((VLOOKUP($A694,'[1]import success seats course'!$A:AD,HLOOKUP('[1]Course Totals'!P$4,'[1]import success seats course'!$1:$2,2,FALSE),FALSE)/(VLOOKUP($A694,'[1]import graded seats course pivo'!$A:AN,HLOOKUP('[1]Course Totals'!P$4,'[1]import graded seats course pivo'!$1:$2,2,FALSE),FALSE))),"")</f>
        <v/>
      </c>
      <c r="Q694" s="14" t="str">
        <f>IFERROR((VLOOKUP($A694,'[1]import success seats course'!$A:AE,HLOOKUP('[1]Course Totals'!Q$4,'[1]import success seats course'!$1:$2,2,FALSE),FALSE)/(VLOOKUP($A694,'[1]import graded seats course pivo'!$A:AO,HLOOKUP('[1]Course Totals'!Q$4,'[1]import graded seats course pivo'!$1:$2,2,FALSE),FALSE))),"")</f>
        <v/>
      </c>
      <c r="R694" s="14" t="str">
        <f>IFERROR((VLOOKUP($A694,'[1]import success seats course'!$A:AF,HLOOKUP('[1]Course Totals'!R$4,'[1]import success seats course'!$1:$2,2,FALSE),FALSE)/(VLOOKUP($A694,'[1]import graded seats course pivo'!$A:AP,HLOOKUP('[1]Course Totals'!R$4,'[1]import graded seats course pivo'!$1:$2,2,FALSE),FALSE))),"")</f>
        <v/>
      </c>
      <c r="S694" s="14" t="str">
        <f>IFERROR((VLOOKUP($A694,'[1]import success seats course'!$A:AG,HLOOKUP('[1]Course Totals'!S$4,'[1]import success seats course'!$1:$2,2,FALSE),FALSE)/(VLOOKUP($A694,'[1]import graded seats course pivo'!$A:AQ,HLOOKUP('[1]Course Totals'!S$4,'[1]import graded seats course pivo'!$1:$2,2,FALSE),FALSE))),"")</f>
        <v/>
      </c>
      <c r="Z694" s="7"/>
      <c r="AA694" s="7"/>
      <c r="AB694" s="7"/>
      <c r="AC694" s="7"/>
    </row>
    <row r="695" spans="1:29" ht="15.75" customHeight="1" x14ac:dyDescent="0.25">
      <c r="A695" s="12" t="s">
        <v>924</v>
      </c>
      <c r="B695" s="14" t="str">
        <f>IFERROR((VLOOKUP($A695,'[1]import success seats course'!$A:P,HLOOKUP('[1]Course Totals'!B$4,'[1]import success seats course'!$1:$2,2,FALSE),FALSE)/(VLOOKUP($A695,'[1]import graded seats course pivo'!$A:Z,HLOOKUP('[1]Course Totals'!B$4,'[1]import graded seats course pivo'!$1:$2,2,FALSE),FALSE))),"")</f>
        <v/>
      </c>
      <c r="C695" s="14" t="str">
        <f>IFERROR((VLOOKUP($A695,'[1]import success seats course'!$A:Q,HLOOKUP('[1]Course Totals'!C$4,'[1]import success seats course'!$1:$2,2,FALSE),FALSE)/(VLOOKUP($A695,'[1]import graded seats course pivo'!$A:AA,HLOOKUP('[1]Course Totals'!C$4,'[1]import graded seats course pivo'!$1:$2,2,FALSE),FALSE))),"")</f>
        <v/>
      </c>
      <c r="D695" s="14">
        <f>IFERROR((VLOOKUP($A695,'[1]import success seats course'!$A:R,HLOOKUP('[1]Course Totals'!D$4,'[1]import success seats course'!$1:$2,2,FALSE),FALSE)/(VLOOKUP($A695,'[1]import graded seats course pivo'!$A:AB,HLOOKUP('[1]Course Totals'!D$4,'[1]import graded seats course pivo'!$1:$2,2,FALSE),FALSE))),"")</f>
        <v>0.77777777777777779</v>
      </c>
      <c r="E695" s="14" t="str">
        <f>IFERROR((VLOOKUP($A695,'[1]import success seats course'!$A:S,HLOOKUP('[1]Course Totals'!E$4,'[1]import success seats course'!$1:$2,2,FALSE),FALSE)/(VLOOKUP($A695,'[1]import graded seats course pivo'!$A:AC,HLOOKUP('[1]Course Totals'!E$4,'[1]import graded seats course pivo'!$1:$2,2,FALSE),FALSE))),"")</f>
        <v/>
      </c>
      <c r="F695" s="14" t="str">
        <f>IFERROR((VLOOKUP($A695,'[1]import success seats course'!$A:T,HLOOKUP('[1]Course Totals'!F$4,'[1]import success seats course'!$1:$2,2,FALSE),FALSE)/(VLOOKUP($A695,'[1]import graded seats course pivo'!$A:AD,HLOOKUP('[1]Course Totals'!F$4,'[1]import graded seats course pivo'!$1:$2,2,FALSE),FALSE))),"")</f>
        <v/>
      </c>
      <c r="G695" s="14">
        <f>IFERROR((VLOOKUP($A695,'[1]import success seats course'!$A:U,HLOOKUP('[1]Course Totals'!G$4,'[1]import success seats course'!$1:$2,2,FALSE),FALSE)/(VLOOKUP($A695,'[1]import graded seats course pivo'!$A:AE,HLOOKUP('[1]Course Totals'!G$4,'[1]import graded seats course pivo'!$1:$2,2,FALSE),FALSE))),"")</f>
        <v>0.75862068965517238</v>
      </c>
      <c r="H695" s="14" t="str">
        <f>IFERROR((VLOOKUP($A695,'[1]import success seats course'!$A:V,HLOOKUP('[1]Course Totals'!H$4,'[1]import success seats course'!$1:$2,2,FALSE),FALSE)/(VLOOKUP($A695,'[1]import graded seats course pivo'!$A:AF,HLOOKUP('[1]Course Totals'!H$4,'[1]import graded seats course pivo'!$1:$2,2,FALSE),FALSE))),"")</f>
        <v/>
      </c>
      <c r="I695" s="14" t="str">
        <f>IFERROR((VLOOKUP($A695,'[1]import success seats course'!$A:W,HLOOKUP('[1]Course Totals'!I$4,'[1]import success seats course'!$1:$2,2,FALSE),FALSE)/(VLOOKUP($A695,'[1]import graded seats course pivo'!$A:AG,HLOOKUP('[1]Course Totals'!I$4,'[1]import graded seats course pivo'!$1:$2,2,FALSE),FALSE))),"")</f>
        <v/>
      </c>
      <c r="J695" s="14">
        <f>IFERROR((VLOOKUP($A695,'[1]import success seats course'!$A:X,HLOOKUP('[1]Course Totals'!J$4,'[1]import success seats course'!$1:$2,2,FALSE),FALSE)/(VLOOKUP($A695,'[1]import graded seats course pivo'!$A:AH,HLOOKUP('[1]Course Totals'!J$4,'[1]import graded seats course pivo'!$1:$2,2,FALSE),FALSE))),"")</f>
        <v>0.73913043478260865</v>
      </c>
      <c r="K695" s="14" t="str">
        <f>IFERROR((VLOOKUP($A695,'[1]import success seats course'!$A:Y,HLOOKUP('[1]Course Totals'!K$4,'[1]import success seats course'!$1:$2,2,FALSE),FALSE)/(VLOOKUP($A695,'[1]import graded seats course pivo'!$A:AI,HLOOKUP('[1]Course Totals'!K$4,'[1]import graded seats course pivo'!$1:$2,2,FALSE),FALSE))),"")</f>
        <v/>
      </c>
      <c r="L695" s="14" t="str">
        <f>IFERROR((VLOOKUP($A695,'[1]import success seats course'!$A:Z,HLOOKUP('[1]Course Totals'!L$4,'[1]import success seats course'!$1:$2,2,FALSE),FALSE)/(VLOOKUP($A695,'[1]import graded seats course pivo'!$A:AJ,HLOOKUP('[1]Course Totals'!L$4,'[1]import graded seats course pivo'!$1:$2,2,FALSE),FALSE))),"")</f>
        <v/>
      </c>
      <c r="M695" s="14">
        <f>IFERROR((VLOOKUP($A695,'[1]import success seats course'!$A:AA,HLOOKUP('[1]Course Totals'!M$4,'[1]import success seats course'!$1:$2,2,FALSE),FALSE)/(VLOOKUP($A695,'[1]import graded seats course pivo'!$A:AK,HLOOKUP('[1]Course Totals'!M$4,'[1]import graded seats course pivo'!$1:$2,2,FALSE),FALSE))),"")</f>
        <v>0.70833333333333337</v>
      </c>
      <c r="N695" s="14" t="str">
        <f>IFERROR((VLOOKUP($A695,'[1]import success seats course'!$A:AB,HLOOKUP('[1]Course Totals'!N$4,'[1]import success seats course'!$1:$2,2,FALSE),FALSE)/(VLOOKUP($A695,'[1]import graded seats course pivo'!$A:AL,HLOOKUP('[1]Course Totals'!N$4,'[1]import graded seats course pivo'!$1:$2,2,FALSE),FALSE))),"")</f>
        <v/>
      </c>
      <c r="O695" s="14" t="str">
        <f>IFERROR((VLOOKUP($A695,'[1]import success seats course'!$A:AC,HLOOKUP('[1]Course Totals'!O$4,'[1]import success seats course'!$1:$2,2,FALSE),FALSE)/(VLOOKUP($A695,'[1]import graded seats course pivo'!$A:AM,HLOOKUP('[1]Course Totals'!O$4,'[1]import graded seats course pivo'!$1:$2,2,FALSE),FALSE))),"")</f>
        <v/>
      </c>
      <c r="P695" s="14">
        <f>IFERROR((VLOOKUP($A695,'[1]import success seats course'!$A:AD,HLOOKUP('[1]Course Totals'!P$4,'[1]import success seats course'!$1:$2,2,FALSE),FALSE)/(VLOOKUP($A695,'[1]import graded seats course pivo'!$A:AN,HLOOKUP('[1]Course Totals'!P$4,'[1]import graded seats course pivo'!$1:$2,2,FALSE),FALSE))),"")</f>
        <v>0.77777777777777779</v>
      </c>
      <c r="Q695" s="14" t="str">
        <f>IFERROR((VLOOKUP($A695,'[1]import success seats course'!$A:AE,HLOOKUP('[1]Course Totals'!Q$4,'[1]import success seats course'!$1:$2,2,FALSE),FALSE)/(VLOOKUP($A695,'[1]import graded seats course pivo'!$A:AO,HLOOKUP('[1]Course Totals'!Q$4,'[1]import graded seats course pivo'!$1:$2,2,FALSE),FALSE))),"")</f>
        <v/>
      </c>
      <c r="R695" s="14" t="str">
        <f>IFERROR((VLOOKUP($A695,'[1]import success seats course'!$A:AF,HLOOKUP('[1]Course Totals'!R$4,'[1]import success seats course'!$1:$2,2,FALSE),FALSE)/(VLOOKUP($A695,'[1]import graded seats course pivo'!$A:AP,HLOOKUP('[1]Course Totals'!R$4,'[1]import graded seats course pivo'!$1:$2,2,FALSE),FALSE))),"")</f>
        <v/>
      </c>
      <c r="S695" s="14">
        <f>IFERROR((VLOOKUP($A695,'[1]import success seats course'!$A:AG,HLOOKUP('[1]Course Totals'!S$4,'[1]import success seats course'!$1:$2,2,FALSE),FALSE)/(VLOOKUP($A695,'[1]import graded seats course pivo'!$A:AQ,HLOOKUP('[1]Course Totals'!S$4,'[1]import graded seats course pivo'!$1:$2,2,FALSE),FALSE))),"")</f>
        <v>0.80769230769230771</v>
      </c>
      <c r="Z695" s="7"/>
      <c r="AA695" s="7"/>
      <c r="AB695" s="7"/>
      <c r="AC695" s="7"/>
    </row>
    <row r="696" spans="1:29" ht="15.75" x14ac:dyDescent="0.25">
      <c r="A696" s="9" t="s">
        <v>1139</v>
      </c>
      <c r="B696" s="67" t="str">
        <f>'[1]Subject TOTALS'!$B$1:$P$1</f>
        <v xml:space="preserve">MVC Retention Rates </v>
      </c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Z696" s="7"/>
      <c r="AA696" s="7"/>
      <c r="AB696" s="7"/>
      <c r="AC696" s="7"/>
    </row>
    <row r="697" spans="1:29" ht="15.75" customHeight="1" thickBot="1" x14ac:dyDescent="0.3">
      <c r="A697" s="8" t="str">
        <f>'[1]SUBJECTS BASE'!H40</f>
        <v>LEAD</v>
      </c>
      <c r="B697" s="38" t="s">
        <v>1046</v>
      </c>
      <c r="C697" s="39" t="s">
        <v>0</v>
      </c>
      <c r="D697" s="40" t="s">
        <v>868</v>
      </c>
      <c r="E697" s="41" t="s">
        <v>1052</v>
      </c>
      <c r="F697" s="42" t="s">
        <v>546</v>
      </c>
      <c r="G697" s="43" t="s">
        <v>959</v>
      </c>
      <c r="H697" s="44" t="s">
        <v>1060</v>
      </c>
      <c r="I697" s="39" t="s">
        <v>675</v>
      </c>
      <c r="J697" s="45" t="s">
        <v>1006</v>
      </c>
      <c r="K697" s="46" t="s">
        <v>1062</v>
      </c>
      <c r="L697" s="42" t="s">
        <v>762</v>
      </c>
      <c r="M697" s="43" t="s">
        <v>1022</v>
      </c>
      <c r="N697" s="44" t="s">
        <v>1063</v>
      </c>
      <c r="O697" s="39" t="s">
        <v>822</v>
      </c>
      <c r="P697" s="40" t="s">
        <v>1042</v>
      </c>
      <c r="Q697" s="46" t="s">
        <v>1153</v>
      </c>
      <c r="R697" s="42" t="s">
        <v>1154</v>
      </c>
      <c r="S697" s="43" t="s">
        <v>1155</v>
      </c>
      <c r="Z697" s="7"/>
      <c r="AA697" s="7"/>
      <c r="AB697" s="7"/>
      <c r="AC697" s="7"/>
    </row>
    <row r="698" spans="1:29" ht="15.75" customHeight="1" x14ac:dyDescent="0.25">
      <c r="A698" s="12" t="s">
        <v>849</v>
      </c>
      <c r="B698" s="14" t="str">
        <f>IFERROR((VLOOKUP($A698,'[1]import success seats course'!$A:P,HLOOKUP('[1]Course Totals'!B$4,'[1]import success seats course'!$1:$2,2,FALSE),FALSE)/(VLOOKUP($A698,'[1]import graded seats course pivo'!$A:Z,HLOOKUP('[1]Course Totals'!B$4,'[1]import graded seats course pivo'!$1:$2,2,FALSE),FALSE))),"")</f>
        <v/>
      </c>
      <c r="C698" s="14" t="str">
        <f>IFERROR((VLOOKUP($A698,'[1]import success seats course'!$A:Q,HLOOKUP('[1]Course Totals'!C$4,'[1]import success seats course'!$1:$2,2,FALSE),FALSE)/(VLOOKUP($A698,'[1]import graded seats course pivo'!$A:AA,HLOOKUP('[1]Course Totals'!C$4,'[1]import graded seats course pivo'!$1:$2,2,FALSE),FALSE))),"")</f>
        <v/>
      </c>
      <c r="D698" s="14" t="str">
        <f>IFERROR((VLOOKUP($A698,'[1]import success seats course'!$A:R,HLOOKUP('[1]Course Totals'!D$4,'[1]import success seats course'!$1:$2,2,FALSE),FALSE)/(VLOOKUP($A698,'[1]import graded seats course pivo'!$A:AB,HLOOKUP('[1]Course Totals'!D$4,'[1]import graded seats course pivo'!$1:$2,2,FALSE),FALSE))),"")</f>
        <v/>
      </c>
      <c r="E698" s="14" t="str">
        <f>IFERROR((VLOOKUP($A698,'[1]import success seats course'!$A:S,HLOOKUP('[1]Course Totals'!E$4,'[1]import success seats course'!$1:$2,2,FALSE),FALSE)/(VLOOKUP($A698,'[1]import graded seats course pivo'!$A:AC,HLOOKUP('[1]Course Totals'!E$4,'[1]import graded seats course pivo'!$1:$2,2,FALSE),FALSE))),"")</f>
        <v/>
      </c>
      <c r="F698" s="14" t="str">
        <f>IFERROR((VLOOKUP($A698,'[1]import success seats course'!$A:T,HLOOKUP('[1]Course Totals'!F$4,'[1]import success seats course'!$1:$2,2,FALSE),FALSE)/(VLOOKUP($A698,'[1]import graded seats course pivo'!$A:AD,HLOOKUP('[1]Course Totals'!F$4,'[1]import graded seats course pivo'!$1:$2,2,FALSE),FALSE))),"")</f>
        <v/>
      </c>
      <c r="G698" s="14" t="str">
        <f>IFERROR((VLOOKUP($A698,'[1]import success seats course'!$A:U,HLOOKUP('[1]Course Totals'!G$4,'[1]import success seats course'!$1:$2,2,FALSE),FALSE)/(VLOOKUP($A698,'[1]import graded seats course pivo'!$A:AE,HLOOKUP('[1]Course Totals'!G$4,'[1]import graded seats course pivo'!$1:$2,2,FALSE),FALSE))),"")</f>
        <v/>
      </c>
      <c r="H698" s="14" t="str">
        <f>IFERROR((VLOOKUP($A698,'[1]import success seats course'!$A:V,HLOOKUP('[1]Course Totals'!H$4,'[1]import success seats course'!$1:$2,2,FALSE),FALSE)/(VLOOKUP($A698,'[1]import graded seats course pivo'!$A:AF,HLOOKUP('[1]Course Totals'!H$4,'[1]import graded seats course pivo'!$1:$2,2,FALSE),FALSE))),"")</f>
        <v/>
      </c>
      <c r="I698" s="14" t="str">
        <f>IFERROR((VLOOKUP($A698,'[1]import success seats course'!$A:W,HLOOKUP('[1]Course Totals'!I$4,'[1]import success seats course'!$1:$2,2,FALSE),FALSE)/(VLOOKUP($A698,'[1]import graded seats course pivo'!$A:AG,HLOOKUP('[1]Course Totals'!I$4,'[1]import graded seats course pivo'!$1:$2,2,FALSE),FALSE))),"")</f>
        <v/>
      </c>
      <c r="J698" s="14" t="str">
        <f>IFERROR((VLOOKUP($A698,'[1]import success seats course'!$A:X,HLOOKUP('[1]Course Totals'!J$4,'[1]import success seats course'!$1:$2,2,FALSE),FALSE)/(VLOOKUP($A698,'[1]import graded seats course pivo'!$A:AH,HLOOKUP('[1]Course Totals'!J$4,'[1]import graded seats course pivo'!$1:$2,2,FALSE),FALSE))),"")</f>
        <v/>
      </c>
      <c r="K698" s="14" t="str">
        <f>IFERROR((VLOOKUP($A698,'[1]import success seats course'!$A:Y,HLOOKUP('[1]Course Totals'!K$4,'[1]import success seats course'!$1:$2,2,FALSE),FALSE)/(VLOOKUP($A698,'[1]import graded seats course pivo'!$A:AI,HLOOKUP('[1]Course Totals'!K$4,'[1]import graded seats course pivo'!$1:$2,2,FALSE),FALSE))),"")</f>
        <v/>
      </c>
      <c r="L698" s="14" t="str">
        <f>IFERROR((VLOOKUP($A698,'[1]import success seats course'!$A:Z,HLOOKUP('[1]Course Totals'!L$4,'[1]import success seats course'!$1:$2,2,FALSE),FALSE)/(VLOOKUP($A698,'[1]import graded seats course pivo'!$A:AJ,HLOOKUP('[1]Course Totals'!L$4,'[1]import graded seats course pivo'!$1:$2,2,FALSE),FALSE))),"")</f>
        <v/>
      </c>
      <c r="M698" s="14" t="str">
        <f>IFERROR((VLOOKUP($A698,'[1]import success seats course'!$A:AA,HLOOKUP('[1]Course Totals'!M$4,'[1]import success seats course'!$1:$2,2,FALSE),FALSE)/(VLOOKUP($A698,'[1]import graded seats course pivo'!$A:AK,HLOOKUP('[1]Course Totals'!M$4,'[1]import graded seats course pivo'!$1:$2,2,FALSE),FALSE))),"")</f>
        <v/>
      </c>
      <c r="N698" s="14" t="str">
        <f>IFERROR((VLOOKUP($A698,'[1]import success seats course'!$A:AB,HLOOKUP('[1]Course Totals'!N$4,'[1]import success seats course'!$1:$2,2,FALSE),FALSE)/(VLOOKUP($A698,'[1]import graded seats course pivo'!$A:AL,HLOOKUP('[1]Course Totals'!N$4,'[1]import graded seats course pivo'!$1:$2,2,FALSE),FALSE))),"")</f>
        <v/>
      </c>
      <c r="O698" s="14">
        <f>IFERROR((VLOOKUP($A698,'[1]import success seats course'!$A:AC,HLOOKUP('[1]Course Totals'!O$4,'[1]import success seats course'!$1:$2,2,FALSE),FALSE)/(VLOOKUP($A698,'[1]import graded seats course pivo'!$A:AM,HLOOKUP('[1]Course Totals'!O$4,'[1]import graded seats course pivo'!$1:$2,2,FALSE),FALSE))),"")</f>
        <v>0.92307692307692313</v>
      </c>
      <c r="P698" s="14" t="str">
        <f>IFERROR((VLOOKUP($A698,'[1]import success seats course'!$A:AD,HLOOKUP('[1]Course Totals'!P$4,'[1]import success seats course'!$1:$2,2,FALSE),FALSE)/(VLOOKUP($A698,'[1]import graded seats course pivo'!$A:AN,HLOOKUP('[1]Course Totals'!P$4,'[1]import graded seats course pivo'!$1:$2,2,FALSE),FALSE))),"")</f>
        <v/>
      </c>
      <c r="Q698" s="14" t="str">
        <f>IFERROR((VLOOKUP($A698,'[1]import success seats course'!$A:AE,HLOOKUP('[1]Course Totals'!Q$4,'[1]import success seats course'!$1:$2,2,FALSE),FALSE)/(VLOOKUP($A698,'[1]import graded seats course pivo'!$A:AO,HLOOKUP('[1]Course Totals'!Q$4,'[1]import graded seats course pivo'!$1:$2,2,FALSE),FALSE))),"")</f>
        <v/>
      </c>
      <c r="R698" s="14" t="str">
        <f>IFERROR((VLOOKUP($A698,'[1]import success seats course'!$A:AF,HLOOKUP('[1]Course Totals'!R$4,'[1]import success seats course'!$1:$2,2,FALSE),FALSE)/(VLOOKUP($A698,'[1]import graded seats course pivo'!$A:AP,HLOOKUP('[1]Course Totals'!R$4,'[1]import graded seats course pivo'!$1:$2,2,FALSE),FALSE))),"")</f>
        <v/>
      </c>
      <c r="S698" s="14" t="str">
        <f>IFERROR((VLOOKUP($A698,'[1]import success seats course'!$A:AG,HLOOKUP('[1]Course Totals'!S$4,'[1]import success seats course'!$1:$2,2,FALSE),FALSE)/(VLOOKUP($A698,'[1]import graded seats course pivo'!$A:AQ,HLOOKUP('[1]Course Totals'!S$4,'[1]import graded seats course pivo'!$1:$2,2,FALSE),FALSE))),"")</f>
        <v/>
      </c>
      <c r="Z698" s="7"/>
      <c r="AA698" s="7"/>
      <c r="AB698" s="7"/>
      <c r="AC698" s="7"/>
    </row>
    <row r="699" spans="1:29" ht="15.75" customHeight="1" x14ac:dyDescent="0.25">
      <c r="A699" s="12" t="s">
        <v>1043</v>
      </c>
      <c r="B699" s="14" t="str">
        <f>IFERROR((VLOOKUP($A699,'[1]import success seats course'!$A:P,HLOOKUP('[1]Course Totals'!B$4,'[1]import success seats course'!$1:$2,2,FALSE),FALSE)/(VLOOKUP($A699,'[1]import graded seats course pivo'!$A:Z,HLOOKUP('[1]Course Totals'!B$4,'[1]import graded seats course pivo'!$1:$2,2,FALSE),FALSE))),"")</f>
        <v/>
      </c>
      <c r="C699" s="14" t="str">
        <f>IFERROR((VLOOKUP($A699,'[1]import success seats course'!$A:Q,HLOOKUP('[1]Course Totals'!C$4,'[1]import success seats course'!$1:$2,2,FALSE),FALSE)/(VLOOKUP($A699,'[1]import graded seats course pivo'!$A:AA,HLOOKUP('[1]Course Totals'!C$4,'[1]import graded seats course pivo'!$1:$2,2,FALSE),FALSE))),"")</f>
        <v/>
      </c>
      <c r="D699" s="14" t="str">
        <f>IFERROR((VLOOKUP($A699,'[1]import success seats course'!$A:R,HLOOKUP('[1]Course Totals'!D$4,'[1]import success seats course'!$1:$2,2,FALSE),FALSE)/(VLOOKUP($A699,'[1]import graded seats course pivo'!$A:AB,HLOOKUP('[1]Course Totals'!D$4,'[1]import graded seats course pivo'!$1:$2,2,FALSE),FALSE))),"")</f>
        <v/>
      </c>
      <c r="E699" s="14" t="str">
        <f>IFERROR((VLOOKUP($A699,'[1]import success seats course'!$A:S,HLOOKUP('[1]Course Totals'!E$4,'[1]import success seats course'!$1:$2,2,FALSE),FALSE)/(VLOOKUP($A699,'[1]import graded seats course pivo'!$A:AC,HLOOKUP('[1]Course Totals'!E$4,'[1]import graded seats course pivo'!$1:$2,2,FALSE),FALSE))),"")</f>
        <v/>
      </c>
      <c r="F699" s="14" t="str">
        <f>IFERROR((VLOOKUP($A699,'[1]import success seats course'!$A:T,HLOOKUP('[1]Course Totals'!F$4,'[1]import success seats course'!$1:$2,2,FALSE),FALSE)/(VLOOKUP($A699,'[1]import graded seats course pivo'!$A:AD,HLOOKUP('[1]Course Totals'!F$4,'[1]import graded seats course pivo'!$1:$2,2,FALSE),FALSE))),"")</f>
        <v/>
      </c>
      <c r="G699" s="14" t="str">
        <f>IFERROR((VLOOKUP($A699,'[1]import success seats course'!$A:U,HLOOKUP('[1]Course Totals'!G$4,'[1]import success seats course'!$1:$2,2,FALSE),FALSE)/(VLOOKUP($A699,'[1]import graded seats course pivo'!$A:AE,HLOOKUP('[1]Course Totals'!G$4,'[1]import graded seats course pivo'!$1:$2,2,FALSE),FALSE))),"")</f>
        <v/>
      </c>
      <c r="H699" s="14" t="str">
        <f>IFERROR((VLOOKUP($A699,'[1]import success seats course'!$A:V,HLOOKUP('[1]Course Totals'!H$4,'[1]import success seats course'!$1:$2,2,FALSE),FALSE)/(VLOOKUP($A699,'[1]import graded seats course pivo'!$A:AF,HLOOKUP('[1]Course Totals'!H$4,'[1]import graded seats course pivo'!$1:$2,2,FALSE),FALSE))),"")</f>
        <v/>
      </c>
      <c r="I699" s="14" t="str">
        <f>IFERROR((VLOOKUP($A699,'[1]import success seats course'!$A:W,HLOOKUP('[1]Course Totals'!I$4,'[1]import success seats course'!$1:$2,2,FALSE),FALSE)/(VLOOKUP($A699,'[1]import graded seats course pivo'!$A:AG,HLOOKUP('[1]Course Totals'!I$4,'[1]import graded seats course pivo'!$1:$2,2,FALSE),FALSE))),"")</f>
        <v/>
      </c>
      <c r="J699" s="14" t="str">
        <f>IFERROR((VLOOKUP($A699,'[1]import success seats course'!$A:X,HLOOKUP('[1]Course Totals'!J$4,'[1]import success seats course'!$1:$2,2,FALSE),FALSE)/(VLOOKUP($A699,'[1]import graded seats course pivo'!$A:AH,HLOOKUP('[1]Course Totals'!J$4,'[1]import graded seats course pivo'!$1:$2,2,FALSE),FALSE))),"")</f>
        <v/>
      </c>
      <c r="K699" s="14" t="str">
        <f>IFERROR((VLOOKUP($A699,'[1]import success seats course'!$A:Y,HLOOKUP('[1]Course Totals'!K$4,'[1]import success seats course'!$1:$2,2,FALSE),FALSE)/(VLOOKUP($A699,'[1]import graded seats course pivo'!$A:AI,HLOOKUP('[1]Course Totals'!K$4,'[1]import graded seats course pivo'!$1:$2,2,FALSE),FALSE))),"")</f>
        <v/>
      </c>
      <c r="L699" s="14" t="str">
        <f>IFERROR((VLOOKUP($A699,'[1]import success seats course'!$A:Z,HLOOKUP('[1]Course Totals'!L$4,'[1]import success seats course'!$1:$2,2,FALSE),FALSE)/(VLOOKUP($A699,'[1]import graded seats course pivo'!$A:AJ,HLOOKUP('[1]Course Totals'!L$4,'[1]import graded seats course pivo'!$1:$2,2,FALSE),FALSE))),"")</f>
        <v/>
      </c>
      <c r="M699" s="14" t="str">
        <f>IFERROR((VLOOKUP($A699,'[1]import success seats course'!$A:AA,HLOOKUP('[1]Course Totals'!M$4,'[1]import success seats course'!$1:$2,2,FALSE),FALSE)/(VLOOKUP($A699,'[1]import graded seats course pivo'!$A:AK,HLOOKUP('[1]Course Totals'!M$4,'[1]import graded seats course pivo'!$1:$2,2,FALSE),FALSE))),"")</f>
        <v/>
      </c>
      <c r="N699" s="14" t="str">
        <f>IFERROR((VLOOKUP($A699,'[1]import success seats course'!$A:AB,HLOOKUP('[1]Course Totals'!N$4,'[1]import success seats course'!$1:$2,2,FALSE),FALSE)/(VLOOKUP($A699,'[1]import graded seats course pivo'!$A:AL,HLOOKUP('[1]Course Totals'!N$4,'[1]import graded seats course pivo'!$1:$2,2,FALSE),FALSE))),"")</f>
        <v/>
      </c>
      <c r="O699" s="14" t="str">
        <f>IFERROR((VLOOKUP($A699,'[1]import success seats course'!$A:AC,HLOOKUP('[1]Course Totals'!O$4,'[1]import success seats course'!$1:$2,2,FALSE),FALSE)/(VLOOKUP($A699,'[1]import graded seats course pivo'!$A:AM,HLOOKUP('[1]Course Totals'!O$4,'[1]import graded seats course pivo'!$1:$2,2,FALSE),FALSE))),"")</f>
        <v/>
      </c>
      <c r="P699" s="14">
        <f>IFERROR((VLOOKUP($A699,'[1]import success seats course'!$A:AD,HLOOKUP('[1]Course Totals'!P$4,'[1]import success seats course'!$1:$2,2,FALSE),FALSE)/(VLOOKUP($A699,'[1]import graded seats course pivo'!$A:AN,HLOOKUP('[1]Course Totals'!P$4,'[1]import graded seats course pivo'!$1:$2,2,FALSE),FALSE))),"")</f>
        <v>0.88</v>
      </c>
      <c r="Q699" s="14" t="str">
        <f>IFERROR((VLOOKUP($A699,'[1]import success seats course'!$A:AE,HLOOKUP('[1]Course Totals'!Q$4,'[1]import success seats course'!$1:$2,2,FALSE),FALSE)/(VLOOKUP($A699,'[1]import graded seats course pivo'!$A:AO,HLOOKUP('[1]Course Totals'!Q$4,'[1]import graded seats course pivo'!$1:$2,2,FALSE),FALSE))),"")</f>
        <v/>
      </c>
      <c r="R699" s="14" t="str">
        <f>IFERROR((VLOOKUP($A699,'[1]import success seats course'!$A:AF,HLOOKUP('[1]Course Totals'!R$4,'[1]import success seats course'!$1:$2,2,FALSE),FALSE)/(VLOOKUP($A699,'[1]import graded seats course pivo'!$A:AP,HLOOKUP('[1]Course Totals'!R$4,'[1]import graded seats course pivo'!$1:$2,2,FALSE),FALSE))),"")</f>
        <v/>
      </c>
      <c r="S699" s="14" t="str">
        <f>IFERROR((VLOOKUP($A699,'[1]import success seats course'!$A:AG,HLOOKUP('[1]Course Totals'!S$4,'[1]import success seats course'!$1:$2,2,FALSE),FALSE)/(VLOOKUP($A699,'[1]import graded seats course pivo'!$A:AQ,HLOOKUP('[1]Course Totals'!S$4,'[1]import graded seats course pivo'!$1:$2,2,FALSE),FALSE))),"")</f>
        <v/>
      </c>
      <c r="Z699" s="7"/>
      <c r="AA699" s="7"/>
      <c r="AB699" s="7"/>
      <c r="AC699" s="7"/>
    </row>
    <row r="700" spans="1:29" ht="15.75" customHeight="1" thickBot="1" x14ac:dyDescent="0.3">
      <c r="A700" s="8" t="str">
        <f>'[1]SUBJECTS BASE'!H41</f>
        <v>Legal Assistant</v>
      </c>
      <c r="B700" s="38" t="s">
        <v>1046</v>
      </c>
      <c r="C700" s="39" t="s">
        <v>0</v>
      </c>
      <c r="D700" s="40" t="s">
        <v>868</v>
      </c>
      <c r="E700" s="41" t="s">
        <v>1052</v>
      </c>
      <c r="F700" s="42" t="s">
        <v>546</v>
      </c>
      <c r="G700" s="43" t="s">
        <v>959</v>
      </c>
      <c r="H700" s="44" t="s">
        <v>1060</v>
      </c>
      <c r="I700" s="39" t="s">
        <v>675</v>
      </c>
      <c r="J700" s="45" t="s">
        <v>1006</v>
      </c>
      <c r="K700" s="46" t="s">
        <v>1062</v>
      </c>
      <c r="L700" s="42" t="s">
        <v>762</v>
      </c>
      <c r="M700" s="43" t="s">
        <v>1022</v>
      </c>
      <c r="N700" s="44" t="s">
        <v>1063</v>
      </c>
      <c r="O700" s="39" t="s">
        <v>822</v>
      </c>
      <c r="P700" s="40" t="s">
        <v>1042</v>
      </c>
      <c r="Q700" s="46" t="s">
        <v>1153</v>
      </c>
      <c r="R700" s="42" t="s">
        <v>1154</v>
      </c>
      <c r="S700" s="43" t="s">
        <v>1155</v>
      </c>
      <c r="Z700" s="7"/>
      <c r="AA700" s="7"/>
      <c r="AB700" s="7"/>
      <c r="AC700" s="7"/>
    </row>
    <row r="701" spans="1:29" ht="15.75" hidden="1" customHeight="1" x14ac:dyDescent="0.25">
      <c r="A701" s="12" t="s">
        <v>321</v>
      </c>
      <c r="B701" s="14" t="str">
        <f>IFERROR((VLOOKUP($A701,'[1]import success seats course'!$A:P,HLOOKUP('[1]Course Totals'!B$4,'[1]import success seats course'!$1:$2,2,FALSE),FALSE)/(VLOOKUP($A701,'[1]import graded seats course pivo'!$A:Z,HLOOKUP('[1]Course Totals'!B$4,'[1]import graded seats course pivo'!$1:$2,2,FALSE),FALSE))),"")</f>
        <v/>
      </c>
      <c r="C701" s="14" t="str">
        <f>IFERROR((VLOOKUP($A701,'[1]import success seats course'!$A:Q,HLOOKUP('[1]Course Totals'!C$4,'[1]import success seats course'!$1:$2,2,FALSE),FALSE)/(VLOOKUP($A701,'[1]import graded seats course pivo'!$A:AA,HLOOKUP('[1]Course Totals'!C$4,'[1]import graded seats course pivo'!$1:$2,2,FALSE),FALSE))),"")</f>
        <v/>
      </c>
      <c r="D701" s="14" t="str">
        <f>IFERROR((VLOOKUP($A701,'[1]import success seats course'!$A:R,HLOOKUP('[1]Course Totals'!D$4,'[1]import success seats course'!$1:$2,2,FALSE),FALSE)/(VLOOKUP($A701,'[1]import graded seats course pivo'!$A:AB,HLOOKUP('[1]Course Totals'!D$4,'[1]import graded seats course pivo'!$1:$2,2,FALSE),FALSE))),"")</f>
        <v/>
      </c>
      <c r="E701" s="14" t="str">
        <f>IFERROR((VLOOKUP($A701,'[1]import success seats course'!$A:S,HLOOKUP('[1]Course Totals'!E$4,'[1]import success seats course'!$1:$2,2,FALSE),FALSE)/(VLOOKUP($A701,'[1]import graded seats course pivo'!$A:AC,HLOOKUP('[1]Course Totals'!E$4,'[1]import graded seats course pivo'!$1:$2,2,FALSE),FALSE))),"")</f>
        <v/>
      </c>
      <c r="F701" s="14" t="str">
        <f>IFERROR((VLOOKUP($A701,'[1]import success seats course'!$A:T,HLOOKUP('[1]Course Totals'!F$4,'[1]import success seats course'!$1:$2,2,FALSE),FALSE)/(VLOOKUP($A701,'[1]import graded seats course pivo'!$A:AD,HLOOKUP('[1]Course Totals'!F$4,'[1]import graded seats course pivo'!$1:$2,2,FALSE),FALSE))),"")</f>
        <v/>
      </c>
      <c r="G701" s="14" t="str">
        <f>IFERROR((VLOOKUP($A701,'[1]import success seats course'!$A:U,HLOOKUP('[1]Course Totals'!G$4,'[1]import success seats course'!$1:$2,2,FALSE),FALSE)/(VLOOKUP($A701,'[1]import graded seats course pivo'!$A:AE,HLOOKUP('[1]Course Totals'!G$4,'[1]import graded seats course pivo'!$1:$2,2,FALSE),FALSE))),"")</f>
        <v/>
      </c>
      <c r="H701" s="14" t="str">
        <f>IFERROR((VLOOKUP($A701,'[1]import success seats course'!$A:V,HLOOKUP('[1]Course Totals'!H$4,'[1]import success seats course'!$1:$2,2,FALSE),FALSE)/(VLOOKUP($A701,'[1]import graded seats course pivo'!$A:AF,HLOOKUP('[1]Course Totals'!H$4,'[1]import graded seats course pivo'!$1:$2,2,FALSE),FALSE))),"")</f>
        <v/>
      </c>
      <c r="I701" s="14" t="str">
        <f>IFERROR((VLOOKUP($A701,'[1]import success seats course'!$A:W,HLOOKUP('[1]Course Totals'!I$4,'[1]import success seats course'!$1:$2,2,FALSE),FALSE)/(VLOOKUP($A701,'[1]import graded seats course pivo'!$A:AG,HLOOKUP('[1]Course Totals'!I$4,'[1]import graded seats course pivo'!$1:$2,2,FALSE),FALSE))),"")</f>
        <v/>
      </c>
      <c r="J701" s="14" t="str">
        <f>IFERROR((VLOOKUP($A701,'[1]import success seats course'!$A:X,HLOOKUP('[1]Course Totals'!J$4,'[1]import success seats course'!$1:$2,2,FALSE),FALSE)/(VLOOKUP($A701,'[1]import graded seats course pivo'!$A:AH,HLOOKUP('[1]Course Totals'!J$4,'[1]import graded seats course pivo'!$1:$2,2,FALSE),FALSE))),"")</f>
        <v/>
      </c>
      <c r="K701" s="14" t="str">
        <f>IFERROR((VLOOKUP($A701,'[1]import success seats course'!$A:Y,HLOOKUP('[1]Course Totals'!K$4,'[1]import success seats course'!$1:$2,2,FALSE),FALSE)/(VLOOKUP($A701,'[1]import graded seats course pivo'!$A:AI,HLOOKUP('[1]Course Totals'!K$4,'[1]import graded seats course pivo'!$1:$2,2,FALSE),FALSE))),"")</f>
        <v/>
      </c>
      <c r="L701" s="14" t="str">
        <f>IFERROR((VLOOKUP($A701,'[1]import success seats course'!$A:Z,HLOOKUP('[1]Course Totals'!L$4,'[1]import success seats course'!$1:$2,2,FALSE),FALSE)/(VLOOKUP($A701,'[1]import graded seats course pivo'!$A:AJ,HLOOKUP('[1]Course Totals'!L$4,'[1]import graded seats course pivo'!$1:$2,2,FALSE),FALSE))),"")</f>
        <v/>
      </c>
      <c r="M701" s="14" t="str">
        <f>IFERROR((VLOOKUP($A701,'[1]import success seats course'!$A:AA,HLOOKUP('[1]Course Totals'!M$4,'[1]import success seats course'!$1:$2,2,FALSE),FALSE)/(VLOOKUP($A701,'[1]import graded seats course pivo'!$A:AK,HLOOKUP('[1]Course Totals'!M$4,'[1]import graded seats course pivo'!$1:$2,2,FALSE),FALSE))),"")</f>
        <v/>
      </c>
      <c r="N701" s="14" t="str">
        <f>IFERROR((VLOOKUP($A701,'[1]import success seats course'!$A:AB,HLOOKUP('[1]Course Totals'!N$4,'[1]import success seats course'!$1:$2,2,FALSE),FALSE)/(VLOOKUP($A701,'[1]import graded seats course pivo'!$A:AL,HLOOKUP('[1]Course Totals'!N$4,'[1]import graded seats course pivo'!$1:$2,2,FALSE),FALSE))),"")</f>
        <v/>
      </c>
      <c r="O701" s="14" t="str">
        <f>IFERROR((VLOOKUP($A701,'[1]import success seats course'!$A:AC,HLOOKUP('[1]Course Totals'!O$4,'[1]import success seats course'!$1:$2,2,FALSE),FALSE)/(VLOOKUP($A701,'[1]import graded seats course pivo'!$A:AM,HLOOKUP('[1]Course Totals'!O$4,'[1]import graded seats course pivo'!$1:$2,2,FALSE),FALSE))),"")</f>
        <v/>
      </c>
      <c r="P701" s="14" t="str">
        <f>IFERROR((VLOOKUP($A701,'[1]import success seats course'!$A:AD,HLOOKUP('[1]Course Totals'!P$4,'[1]import success seats course'!$1:$2,2,FALSE),FALSE)/(VLOOKUP($A701,'[1]import graded seats course pivo'!$A:AN,HLOOKUP('[1]Course Totals'!P$4,'[1]import graded seats course pivo'!$1:$2,2,FALSE),FALSE))),"")</f>
        <v/>
      </c>
      <c r="Q701" s="14" t="str">
        <f>IFERROR((VLOOKUP($A701,'[1]import success seats course'!$A:AE,HLOOKUP('[1]Course Totals'!Q$4,'[1]import success seats course'!$1:$2,2,FALSE),FALSE)/(VLOOKUP($A701,'[1]import graded seats course pivo'!$A:AO,HLOOKUP('[1]Course Totals'!Q$4,'[1]import graded seats course pivo'!$1:$2,2,FALSE),FALSE))),"")</f>
        <v/>
      </c>
      <c r="R701" s="14" t="str">
        <f>IFERROR((VLOOKUP($A701,'[1]import success seats course'!$A:AF,HLOOKUP('[1]Course Totals'!R$4,'[1]import success seats course'!$1:$2,2,FALSE),FALSE)/(VLOOKUP($A701,'[1]import graded seats course pivo'!$A:AP,HLOOKUP('[1]Course Totals'!R$4,'[1]import graded seats course pivo'!$1:$2,2,FALSE),FALSE))),"")</f>
        <v/>
      </c>
      <c r="S701" s="14" t="str">
        <f>IFERROR((VLOOKUP($A701,'[1]import success seats course'!$A:AG,HLOOKUP('[1]Course Totals'!S$4,'[1]import success seats course'!$1:$2,2,FALSE),FALSE)/(VLOOKUP($A701,'[1]import graded seats course pivo'!$A:AQ,HLOOKUP('[1]Course Totals'!S$4,'[1]import graded seats course pivo'!$1:$2,2,FALSE),FALSE))),"")</f>
        <v/>
      </c>
      <c r="Z701" s="7"/>
      <c r="AA701" s="7"/>
      <c r="AB701" s="7"/>
      <c r="AC701" s="7"/>
    </row>
    <row r="702" spans="1:29" ht="15.75" customHeight="1" x14ac:dyDescent="0.25">
      <c r="A702" s="12" t="s">
        <v>629</v>
      </c>
      <c r="B702" s="14" t="str">
        <f>IFERROR((VLOOKUP($A702,'[1]import success seats course'!$A:P,HLOOKUP('[1]Course Totals'!B$4,'[1]import success seats course'!$1:$2,2,FALSE),FALSE)/(VLOOKUP($A702,'[1]import graded seats course pivo'!$A:Z,HLOOKUP('[1]Course Totals'!B$4,'[1]import graded seats course pivo'!$1:$2,2,FALSE),FALSE))),"")</f>
        <v/>
      </c>
      <c r="C702" s="14" t="str">
        <f>IFERROR((VLOOKUP($A702,'[1]import success seats course'!$A:Q,HLOOKUP('[1]Course Totals'!C$4,'[1]import success seats course'!$1:$2,2,FALSE),FALSE)/(VLOOKUP($A702,'[1]import graded seats course pivo'!$A:AA,HLOOKUP('[1]Course Totals'!C$4,'[1]import graded seats course pivo'!$1:$2,2,FALSE),FALSE))),"")</f>
        <v/>
      </c>
      <c r="D702" s="14" t="str">
        <f>IFERROR((VLOOKUP($A702,'[1]import success seats course'!$A:R,HLOOKUP('[1]Course Totals'!D$4,'[1]import success seats course'!$1:$2,2,FALSE),FALSE)/(VLOOKUP($A702,'[1]import graded seats course pivo'!$A:AB,HLOOKUP('[1]Course Totals'!D$4,'[1]import graded seats course pivo'!$1:$2,2,FALSE),FALSE))),"")</f>
        <v/>
      </c>
      <c r="E702" s="14" t="str">
        <f>IFERROR((VLOOKUP($A702,'[1]import success seats course'!$A:S,HLOOKUP('[1]Course Totals'!E$4,'[1]import success seats course'!$1:$2,2,FALSE),FALSE)/(VLOOKUP($A702,'[1]import graded seats course pivo'!$A:AC,HLOOKUP('[1]Course Totals'!E$4,'[1]import graded seats course pivo'!$1:$2,2,FALSE),FALSE))),"")</f>
        <v/>
      </c>
      <c r="F702" s="14" t="str">
        <f>IFERROR((VLOOKUP($A702,'[1]import success seats course'!$A:T,HLOOKUP('[1]Course Totals'!F$4,'[1]import success seats course'!$1:$2,2,FALSE),FALSE)/(VLOOKUP($A702,'[1]import graded seats course pivo'!$A:AD,HLOOKUP('[1]Course Totals'!F$4,'[1]import graded seats course pivo'!$1:$2,2,FALSE),FALSE))),"")</f>
        <v/>
      </c>
      <c r="G702" s="14" t="str">
        <f>IFERROR((VLOOKUP($A702,'[1]import success seats course'!$A:U,HLOOKUP('[1]Course Totals'!G$4,'[1]import success seats course'!$1:$2,2,FALSE),FALSE)/(VLOOKUP($A702,'[1]import graded seats course pivo'!$A:AE,HLOOKUP('[1]Course Totals'!G$4,'[1]import graded seats course pivo'!$1:$2,2,FALSE),FALSE))),"")</f>
        <v/>
      </c>
      <c r="H702" s="14" t="str">
        <f>IFERROR((VLOOKUP($A702,'[1]import success seats course'!$A:V,HLOOKUP('[1]Course Totals'!H$4,'[1]import success seats course'!$1:$2,2,FALSE),FALSE)/(VLOOKUP($A702,'[1]import graded seats course pivo'!$A:AF,HLOOKUP('[1]Course Totals'!H$4,'[1]import graded seats course pivo'!$1:$2,2,FALSE),FALSE))),"")</f>
        <v/>
      </c>
      <c r="I702" s="14" t="str">
        <f>IFERROR((VLOOKUP($A702,'[1]import success seats course'!$A:W,HLOOKUP('[1]Course Totals'!I$4,'[1]import success seats course'!$1:$2,2,FALSE),FALSE)/(VLOOKUP($A702,'[1]import graded seats course pivo'!$A:AG,HLOOKUP('[1]Course Totals'!I$4,'[1]import graded seats course pivo'!$1:$2,2,FALSE),FALSE))),"")</f>
        <v/>
      </c>
      <c r="J702" s="14">
        <f>IFERROR((VLOOKUP($A702,'[1]import success seats course'!$A:X,HLOOKUP('[1]Course Totals'!J$4,'[1]import success seats course'!$1:$2,2,FALSE),FALSE)/(VLOOKUP($A702,'[1]import graded seats course pivo'!$A:AH,HLOOKUP('[1]Course Totals'!J$4,'[1]import graded seats course pivo'!$1:$2,2,FALSE),FALSE))),"")</f>
        <v>0.97674418604651159</v>
      </c>
      <c r="K702" s="14" t="str">
        <f>IFERROR((VLOOKUP($A702,'[1]import success seats course'!$A:Y,HLOOKUP('[1]Course Totals'!K$4,'[1]import success seats course'!$1:$2,2,FALSE),FALSE)/(VLOOKUP($A702,'[1]import graded seats course pivo'!$A:AI,HLOOKUP('[1]Course Totals'!K$4,'[1]import graded seats course pivo'!$1:$2,2,FALSE),FALSE))),"")</f>
        <v/>
      </c>
      <c r="L702" s="14" t="str">
        <f>IFERROR((VLOOKUP($A702,'[1]import success seats course'!$A:Z,HLOOKUP('[1]Course Totals'!L$4,'[1]import success seats course'!$1:$2,2,FALSE),FALSE)/(VLOOKUP($A702,'[1]import graded seats course pivo'!$A:AJ,HLOOKUP('[1]Course Totals'!L$4,'[1]import graded seats course pivo'!$1:$2,2,FALSE),FALSE))),"")</f>
        <v/>
      </c>
      <c r="M702" s="14" t="str">
        <f>IFERROR((VLOOKUP($A702,'[1]import success seats course'!$A:AA,HLOOKUP('[1]Course Totals'!M$4,'[1]import success seats course'!$1:$2,2,FALSE),FALSE)/(VLOOKUP($A702,'[1]import graded seats course pivo'!$A:AK,HLOOKUP('[1]Course Totals'!M$4,'[1]import graded seats course pivo'!$1:$2,2,FALSE),FALSE))),"")</f>
        <v/>
      </c>
      <c r="N702" s="14" t="str">
        <f>IFERROR((VLOOKUP($A702,'[1]import success seats course'!$A:AB,HLOOKUP('[1]Course Totals'!N$4,'[1]import success seats course'!$1:$2,2,FALSE),FALSE)/(VLOOKUP($A702,'[1]import graded seats course pivo'!$A:AL,HLOOKUP('[1]Course Totals'!N$4,'[1]import graded seats course pivo'!$1:$2,2,FALSE),FALSE))),"")</f>
        <v/>
      </c>
      <c r="O702" s="14" t="str">
        <f>IFERROR((VLOOKUP($A702,'[1]import success seats course'!$A:AC,HLOOKUP('[1]Course Totals'!O$4,'[1]import success seats course'!$1:$2,2,FALSE),FALSE)/(VLOOKUP($A702,'[1]import graded seats course pivo'!$A:AM,HLOOKUP('[1]Course Totals'!O$4,'[1]import graded seats course pivo'!$1:$2,2,FALSE),FALSE))),"")</f>
        <v/>
      </c>
      <c r="P702" s="14" t="str">
        <f>IFERROR((VLOOKUP($A702,'[1]import success seats course'!$A:AD,HLOOKUP('[1]Course Totals'!P$4,'[1]import success seats course'!$1:$2,2,FALSE),FALSE)/(VLOOKUP($A702,'[1]import graded seats course pivo'!$A:AN,HLOOKUP('[1]Course Totals'!P$4,'[1]import graded seats course pivo'!$1:$2,2,FALSE),FALSE))),"")</f>
        <v/>
      </c>
      <c r="Q702" s="14" t="str">
        <f>IFERROR((VLOOKUP($A702,'[1]import success seats course'!$A:AE,HLOOKUP('[1]Course Totals'!Q$4,'[1]import success seats course'!$1:$2,2,FALSE),FALSE)/(VLOOKUP($A702,'[1]import graded seats course pivo'!$A:AO,HLOOKUP('[1]Course Totals'!Q$4,'[1]import graded seats course pivo'!$1:$2,2,FALSE),FALSE))),"")</f>
        <v/>
      </c>
      <c r="R702" s="14" t="str">
        <f>IFERROR((VLOOKUP($A702,'[1]import success seats course'!$A:AF,HLOOKUP('[1]Course Totals'!R$4,'[1]import success seats course'!$1:$2,2,FALSE),FALSE)/(VLOOKUP($A702,'[1]import graded seats course pivo'!$A:AP,HLOOKUP('[1]Course Totals'!R$4,'[1]import graded seats course pivo'!$1:$2,2,FALSE),FALSE))),"")</f>
        <v/>
      </c>
      <c r="S702" s="14" t="str">
        <f>IFERROR((VLOOKUP($A702,'[1]import success seats course'!$A:AG,HLOOKUP('[1]Course Totals'!S$4,'[1]import success seats course'!$1:$2,2,FALSE),FALSE)/(VLOOKUP($A702,'[1]import graded seats course pivo'!$A:AQ,HLOOKUP('[1]Course Totals'!S$4,'[1]import graded seats course pivo'!$1:$2,2,FALSE),FALSE))),"")</f>
        <v/>
      </c>
      <c r="Z702" s="7"/>
      <c r="AA702" s="7"/>
      <c r="AB702" s="7"/>
      <c r="AC702" s="7"/>
    </row>
    <row r="703" spans="1:29" ht="15.75" customHeight="1" x14ac:dyDescent="0.25">
      <c r="A703" s="12" t="s">
        <v>322</v>
      </c>
      <c r="B703" s="14" t="str">
        <f>IFERROR((VLOOKUP($A703,'[1]import success seats course'!$A:P,HLOOKUP('[1]Course Totals'!B$4,'[1]import success seats course'!$1:$2,2,FALSE),FALSE)/(VLOOKUP($A703,'[1]import graded seats course pivo'!$A:Z,HLOOKUP('[1]Course Totals'!B$4,'[1]import graded seats course pivo'!$1:$2,2,FALSE),FALSE))),"")</f>
        <v/>
      </c>
      <c r="C703" s="14" t="str">
        <f>IFERROR((VLOOKUP($A703,'[1]import success seats course'!$A:Q,HLOOKUP('[1]Course Totals'!C$4,'[1]import success seats course'!$1:$2,2,FALSE),FALSE)/(VLOOKUP($A703,'[1]import graded seats course pivo'!$A:AA,HLOOKUP('[1]Course Totals'!C$4,'[1]import graded seats course pivo'!$1:$2,2,FALSE),FALSE))),"")</f>
        <v/>
      </c>
      <c r="D703" s="14" t="str">
        <f>IFERROR((VLOOKUP($A703,'[1]import success seats course'!$A:R,HLOOKUP('[1]Course Totals'!D$4,'[1]import success seats course'!$1:$2,2,FALSE),FALSE)/(VLOOKUP($A703,'[1]import graded seats course pivo'!$A:AB,HLOOKUP('[1]Course Totals'!D$4,'[1]import graded seats course pivo'!$1:$2,2,FALSE),FALSE))),"")</f>
        <v/>
      </c>
      <c r="E703" s="14" t="str">
        <f>IFERROR((VLOOKUP($A703,'[1]import success seats course'!$A:S,HLOOKUP('[1]Course Totals'!E$4,'[1]import success seats course'!$1:$2,2,FALSE),FALSE)/(VLOOKUP($A703,'[1]import graded seats course pivo'!$A:AC,HLOOKUP('[1]Course Totals'!E$4,'[1]import graded seats course pivo'!$1:$2,2,FALSE),FALSE))),"")</f>
        <v/>
      </c>
      <c r="F703" s="14" t="str">
        <f>IFERROR((VLOOKUP($A703,'[1]import success seats course'!$A:T,HLOOKUP('[1]Course Totals'!F$4,'[1]import success seats course'!$1:$2,2,FALSE),FALSE)/(VLOOKUP($A703,'[1]import graded seats course pivo'!$A:AD,HLOOKUP('[1]Course Totals'!F$4,'[1]import graded seats course pivo'!$1:$2,2,FALSE),FALSE))),"")</f>
        <v/>
      </c>
      <c r="G703" s="14" t="str">
        <f>IFERROR((VLOOKUP($A703,'[1]import success seats course'!$A:U,HLOOKUP('[1]Course Totals'!G$4,'[1]import success seats course'!$1:$2,2,FALSE),FALSE)/(VLOOKUP($A703,'[1]import graded seats course pivo'!$A:AE,HLOOKUP('[1]Course Totals'!G$4,'[1]import graded seats course pivo'!$1:$2,2,FALSE),FALSE))),"")</f>
        <v/>
      </c>
      <c r="H703" s="14" t="str">
        <f>IFERROR((VLOOKUP($A703,'[1]import success seats course'!$A:V,HLOOKUP('[1]Course Totals'!H$4,'[1]import success seats course'!$1:$2,2,FALSE),FALSE)/(VLOOKUP($A703,'[1]import graded seats course pivo'!$A:AF,HLOOKUP('[1]Course Totals'!H$4,'[1]import graded seats course pivo'!$1:$2,2,FALSE),FALSE))),"")</f>
        <v/>
      </c>
      <c r="I703" s="14" t="str">
        <f>IFERROR((VLOOKUP($A703,'[1]import success seats course'!$A:W,HLOOKUP('[1]Course Totals'!I$4,'[1]import success seats course'!$1:$2,2,FALSE),FALSE)/(VLOOKUP($A703,'[1]import graded seats course pivo'!$A:AG,HLOOKUP('[1]Course Totals'!I$4,'[1]import graded seats course pivo'!$1:$2,2,FALSE),FALSE))),"")</f>
        <v/>
      </c>
      <c r="J703" s="14" t="str">
        <f>IFERROR((VLOOKUP($A703,'[1]import success seats course'!$A:X,HLOOKUP('[1]Course Totals'!J$4,'[1]import success seats course'!$1:$2,2,FALSE),FALSE)/(VLOOKUP($A703,'[1]import graded seats course pivo'!$A:AH,HLOOKUP('[1]Course Totals'!J$4,'[1]import graded seats course pivo'!$1:$2,2,FALSE),FALSE))),"")</f>
        <v/>
      </c>
      <c r="K703" s="14" t="str">
        <f>IFERROR((VLOOKUP($A703,'[1]import success seats course'!$A:Y,HLOOKUP('[1]Course Totals'!K$4,'[1]import success seats course'!$1:$2,2,FALSE),FALSE)/(VLOOKUP($A703,'[1]import graded seats course pivo'!$A:AI,HLOOKUP('[1]Course Totals'!K$4,'[1]import graded seats course pivo'!$1:$2,2,FALSE),FALSE))),"")</f>
        <v/>
      </c>
      <c r="L703" s="14" t="str">
        <f>IFERROR((VLOOKUP($A703,'[1]import success seats course'!$A:Z,HLOOKUP('[1]Course Totals'!L$4,'[1]import success seats course'!$1:$2,2,FALSE),FALSE)/(VLOOKUP($A703,'[1]import graded seats course pivo'!$A:AJ,HLOOKUP('[1]Course Totals'!L$4,'[1]import graded seats course pivo'!$1:$2,2,FALSE),FALSE))),"")</f>
        <v/>
      </c>
      <c r="M703" s="14" t="str">
        <f>IFERROR((VLOOKUP($A703,'[1]import success seats course'!$A:AA,HLOOKUP('[1]Course Totals'!M$4,'[1]import success seats course'!$1:$2,2,FALSE),FALSE)/(VLOOKUP($A703,'[1]import graded seats course pivo'!$A:AK,HLOOKUP('[1]Course Totals'!M$4,'[1]import graded seats course pivo'!$1:$2,2,FALSE),FALSE))),"")</f>
        <v/>
      </c>
      <c r="N703" s="14" t="str">
        <f>IFERROR((VLOOKUP($A703,'[1]import success seats course'!$A:AB,HLOOKUP('[1]Course Totals'!N$4,'[1]import success seats course'!$1:$2,2,FALSE),FALSE)/(VLOOKUP($A703,'[1]import graded seats course pivo'!$A:AL,HLOOKUP('[1]Course Totals'!N$4,'[1]import graded seats course pivo'!$1:$2,2,FALSE),FALSE))),"")</f>
        <v/>
      </c>
      <c r="O703" s="14">
        <f>IFERROR((VLOOKUP($A703,'[1]import success seats course'!$A:AC,HLOOKUP('[1]Course Totals'!O$4,'[1]import success seats course'!$1:$2,2,FALSE),FALSE)/(VLOOKUP($A703,'[1]import graded seats course pivo'!$A:AM,HLOOKUP('[1]Course Totals'!O$4,'[1]import graded seats course pivo'!$1:$2,2,FALSE),FALSE))),"")</f>
        <v>0.88636363636363635</v>
      </c>
      <c r="P703" s="14" t="str">
        <f>IFERROR((VLOOKUP($A703,'[1]import success seats course'!$A:AD,HLOOKUP('[1]Course Totals'!P$4,'[1]import success seats course'!$1:$2,2,FALSE),FALSE)/(VLOOKUP($A703,'[1]import graded seats course pivo'!$A:AN,HLOOKUP('[1]Course Totals'!P$4,'[1]import graded seats course pivo'!$1:$2,2,FALSE),FALSE))),"")</f>
        <v/>
      </c>
      <c r="Q703" s="14" t="str">
        <f>IFERROR((VLOOKUP($A703,'[1]import success seats course'!$A:AE,HLOOKUP('[1]Course Totals'!Q$4,'[1]import success seats course'!$1:$2,2,FALSE),FALSE)/(VLOOKUP($A703,'[1]import graded seats course pivo'!$A:AO,HLOOKUP('[1]Course Totals'!Q$4,'[1]import graded seats course pivo'!$1:$2,2,FALSE),FALSE))),"")</f>
        <v/>
      </c>
      <c r="R703" s="14" t="str">
        <f>IFERROR((VLOOKUP($A703,'[1]import success seats course'!$A:AF,HLOOKUP('[1]Course Totals'!R$4,'[1]import success seats course'!$1:$2,2,FALSE),FALSE)/(VLOOKUP($A703,'[1]import graded seats course pivo'!$A:AP,HLOOKUP('[1]Course Totals'!R$4,'[1]import graded seats course pivo'!$1:$2,2,FALSE),FALSE))),"")</f>
        <v/>
      </c>
      <c r="S703" s="14" t="str">
        <f>IFERROR((VLOOKUP($A703,'[1]import success seats course'!$A:AG,HLOOKUP('[1]Course Totals'!S$4,'[1]import success seats course'!$1:$2,2,FALSE),FALSE)/(VLOOKUP($A703,'[1]import graded seats course pivo'!$A:AQ,HLOOKUP('[1]Course Totals'!S$4,'[1]import graded seats course pivo'!$1:$2,2,FALSE),FALSE))),"")</f>
        <v/>
      </c>
      <c r="Z703" s="7"/>
      <c r="AA703" s="7"/>
      <c r="AB703" s="7"/>
      <c r="AC703" s="7"/>
    </row>
    <row r="704" spans="1:29" ht="15.75" hidden="1" customHeight="1" x14ac:dyDescent="0.25">
      <c r="A704" s="12" t="s">
        <v>851</v>
      </c>
      <c r="B704" s="14" t="str">
        <f>IFERROR((VLOOKUP($A704,'[1]import success seats course'!$A:P,HLOOKUP('[1]Course Totals'!B$4,'[1]import success seats course'!$1:$2,2,FALSE),FALSE)/(VLOOKUP($A704,'[1]import graded seats course pivo'!$A:Z,HLOOKUP('[1]Course Totals'!B$4,'[1]import graded seats course pivo'!$1:$2,2,FALSE),FALSE))),"")</f>
        <v/>
      </c>
      <c r="C704" s="14" t="str">
        <f>IFERROR((VLOOKUP($A704,'[1]import success seats course'!$A:Q,HLOOKUP('[1]Course Totals'!C$4,'[1]import success seats course'!$1:$2,2,FALSE),FALSE)/(VLOOKUP($A704,'[1]import graded seats course pivo'!$A:AA,HLOOKUP('[1]Course Totals'!C$4,'[1]import graded seats course pivo'!$1:$2,2,FALSE),FALSE))),"")</f>
        <v/>
      </c>
      <c r="D704" s="14" t="str">
        <f>IFERROR((VLOOKUP($A704,'[1]import success seats course'!$A:R,HLOOKUP('[1]Course Totals'!D$4,'[1]import success seats course'!$1:$2,2,FALSE),FALSE)/(VLOOKUP($A704,'[1]import graded seats course pivo'!$A:AB,HLOOKUP('[1]Course Totals'!D$4,'[1]import graded seats course pivo'!$1:$2,2,FALSE),FALSE))),"")</f>
        <v/>
      </c>
      <c r="E704" s="14" t="str">
        <f>IFERROR((VLOOKUP($A704,'[1]import success seats course'!$A:S,HLOOKUP('[1]Course Totals'!E$4,'[1]import success seats course'!$1:$2,2,FALSE),FALSE)/(VLOOKUP($A704,'[1]import graded seats course pivo'!$A:AC,HLOOKUP('[1]Course Totals'!E$4,'[1]import graded seats course pivo'!$1:$2,2,FALSE),FALSE))),"")</f>
        <v/>
      </c>
      <c r="F704" s="14" t="str">
        <f>IFERROR((VLOOKUP($A704,'[1]import success seats course'!$A:T,HLOOKUP('[1]Course Totals'!F$4,'[1]import success seats course'!$1:$2,2,FALSE),FALSE)/(VLOOKUP($A704,'[1]import graded seats course pivo'!$A:AD,HLOOKUP('[1]Course Totals'!F$4,'[1]import graded seats course pivo'!$1:$2,2,FALSE),FALSE))),"")</f>
        <v/>
      </c>
      <c r="G704" s="14" t="str">
        <f>IFERROR((VLOOKUP($A704,'[1]import success seats course'!$A:U,HLOOKUP('[1]Course Totals'!G$4,'[1]import success seats course'!$1:$2,2,FALSE),FALSE)/(VLOOKUP($A704,'[1]import graded seats course pivo'!$A:AE,HLOOKUP('[1]Course Totals'!G$4,'[1]import graded seats course pivo'!$1:$2,2,FALSE),FALSE))),"")</f>
        <v/>
      </c>
      <c r="H704" s="14" t="str">
        <f>IFERROR((VLOOKUP($A704,'[1]import success seats course'!$A:V,HLOOKUP('[1]Course Totals'!H$4,'[1]import success seats course'!$1:$2,2,FALSE),FALSE)/(VLOOKUP($A704,'[1]import graded seats course pivo'!$A:AF,HLOOKUP('[1]Course Totals'!H$4,'[1]import graded seats course pivo'!$1:$2,2,FALSE),FALSE))),"")</f>
        <v/>
      </c>
      <c r="I704" s="14" t="str">
        <f>IFERROR((VLOOKUP($A704,'[1]import success seats course'!$A:W,HLOOKUP('[1]Course Totals'!I$4,'[1]import success seats course'!$1:$2,2,FALSE),FALSE)/(VLOOKUP($A704,'[1]import graded seats course pivo'!$A:AG,HLOOKUP('[1]Course Totals'!I$4,'[1]import graded seats course pivo'!$1:$2,2,FALSE),FALSE))),"")</f>
        <v/>
      </c>
      <c r="J704" s="14" t="str">
        <f>IFERROR((VLOOKUP($A704,'[1]import success seats course'!$A:X,HLOOKUP('[1]Course Totals'!J$4,'[1]import success seats course'!$1:$2,2,FALSE),FALSE)/(VLOOKUP($A704,'[1]import graded seats course pivo'!$A:AH,HLOOKUP('[1]Course Totals'!J$4,'[1]import graded seats course pivo'!$1:$2,2,FALSE),FALSE))),"")</f>
        <v/>
      </c>
      <c r="K704" s="14" t="str">
        <f>IFERROR((VLOOKUP($A704,'[1]import success seats course'!$A:Y,HLOOKUP('[1]Course Totals'!K$4,'[1]import success seats course'!$1:$2,2,FALSE),FALSE)/(VLOOKUP($A704,'[1]import graded seats course pivo'!$A:AI,HLOOKUP('[1]Course Totals'!K$4,'[1]import graded seats course pivo'!$1:$2,2,FALSE),FALSE))),"")</f>
        <v/>
      </c>
      <c r="L704" s="14" t="str">
        <f>IFERROR((VLOOKUP($A704,'[1]import success seats course'!$A:Z,HLOOKUP('[1]Course Totals'!L$4,'[1]import success seats course'!$1:$2,2,FALSE),FALSE)/(VLOOKUP($A704,'[1]import graded seats course pivo'!$A:AJ,HLOOKUP('[1]Course Totals'!L$4,'[1]import graded seats course pivo'!$1:$2,2,FALSE),FALSE))),"")</f>
        <v/>
      </c>
      <c r="M704" s="14" t="str">
        <f>IFERROR((VLOOKUP($A704,'[1]import success seats course'!$A:AA,HLOOKUP('[1]Course Totals'!M$4,'[1]import success seats course'!$1:$2,2,FALSE),FALSE)/(VLOOKUP($A704,'[1]import graded seats course pivo'!$A:AK,HLOOKUP('[1]Course Totals'!M$4,'[1]import graded seats course pivo'!$1:$2,2,FALSE),FALSE))),"")</f>
        <v/>
      </c>
      <c r="N704" s="14" t="str">
        <f>IFERROR((VLOOKUP($A704,'[1]import success seats course'!$A:AB,HLOOKUP('[1]Course Totals'!N$4,'[1]import success seats course'!$1:$2,2,FALSE),FALSE)/(VLOOKUP($A704,'[1]import graded seats course pivo'!$A:AL,HLOOKUP('[1]Course Totals'!N$4,'[1]import graded seats course pivo'!$1:$2,2,FALSE),FALSE))),"")</f>
        <v/>
      </c>
      <c r="O704" s="14" t="str">
        <f>IFERROR((VLOOKUP($A704,'[1]import success seats course'!$A:AC,HLOOKUP('[1]Course Totals'!O$4,'[1]import success seats course'!$1:$2,2,FALSE),FALSE)/(VLOOKUP($A704,'[1]import graded seats course pivo'!$A:AM,HLOOKUP('[1]Course Totals'!O$4,'[1]import graded seats course pivo'!$1:$2,2,FALSE),FALSE))),"")</f>
        <v/>
      </c>
      <c r="P704" s="14" t="str">
        <f>IFERROR((VLOOKUP($A704,'[1]import success seats course'!$A:AD,HLOOKUP('[1]Course Totals'!P$4,'[1]import success seats course'!$1:$2,2,FALSE),FALSE)/(VLOOKUP($A704,'[1]import graded seats course pivo'!$A:AN,HLOOKUP('[1]Course Totals'!P$4,'[1]import graded seats course pivo'!$1:$2,2,FALSE),FALSE))),"")</f>
        <v/>
      </c>
      <c r="Q704" s="14" t="str">
        <f>IFERROR((VLOOKUP($A704,'[1]import success seats course'!$A:AE,HLOOKUP('[1]Course Totals'!Q$4,'[1]import success seats course'!$1:$2,2,FALSE),FALSE)/(VLOOKUP($A704,'[1]import graded seats course pivo'!$A:AO,HLOOKUP('[1]Course Totals'!Q$4,'[1]import graded seats course pivo'!$1:$2,2,FALSE),FALSE))),"")</f>
        <v/>
      </c>
      <c r="R704" s="14" t="str">
        <f>IFERROR((VLOOKUP($A704,'[1]import success seats course'!$A:AF,HLOOKUP('[1]Course Totals'!R$4,'[1]import success seats course'!$1:$2,2,FALSE),FALSE)/(VLOOKUP($A704,'[1]import graded seats course pivo'!$A:AP,HLOOKUP('[1]Course Totals'!R$4,'[1]import graded seats course pivo'!$1:$2,2,FALSE),FALSE))),"")</f>
        <v/>
      </c>
      <c r="S704" s="14" t="str">
        <f>IFERROR((VLOOKUP($A704,'[1]import success seats course'!$A:AG,HLOOKUP('[1]Course Totals'!S$4,'[1]import success seats course'!$1:$2,2,FALSE),FALSE)/(VLOOKUP($A704,'[1]import graded seats course pivo'!$A:AQ,HLOOKUP('[1]Course Totals'!S$4,'[1]import graded seats course pivo'!$1:$2,2,FALSE),FALSE))),"")</f>
        <v/>
      </c>
      <c r="Z704" s="7"/>
      <c r="AA704" s="7"/>
      <c r="AB704" s="7"/>
      <c r="AC704" s="7"/>
    </row>
    <row r="705" spans="1:29" ht="15.75" customHeight="1" x14ac:dyDescent="0.25">
      <c r="A705" s="12" t="s">
        <v>323</v>
      </c>
      <c r="B705" s="14" t="str">
        <f>IFERROR((VLOOKUP($A705,'[1]import success seats course'!$A:P,HLOOKUP('[1]Course Totals'!B$4,'[1]import success seats course'!$1:$2,2,FALSE),FALSE)/(VLOOKUP($A705,'[1]import graded seats course pivo'!$A:Z,HLOOKUP('[1]Course Totals'!B$4,'[1]import graded seats course pivo'!$1:$2,2,FALSE),FALSE))),"")</f>
        <v/>
      </c>
      <c r="C705" s="14">
        <f>IFERROR((VLOOKUP($A705,'[1]import success seats course'!$A:Q,HLOOKUP('[1]Course Totals'!C$4,'[1]import success seats course'!$1:$2,2,FALSE),FALSE)/(VLOOKUP($A705,'[1]import graded seats course pivo'!$A:AA,HLOOKUP('[1]Course Totals'!C$4,'[1]import graded seats course pivo'!$1:$2,2,FALSE),FALSE))),"")</f>
        <v>0.92307692307692313</v>
      </c>
      <c r="D705" s="14">
        <f>IFERROR((VLOOKUP($A705,'[1]import success seats course'!$A:R,HLOOKUP('[1]Course Totals'!D$4,'[1]import success seats course'!$1:$2,2,FALSE),FALSE)/(VLOOKUP($A705,'[1]import graded seats course pivo'!$A:AB,HLOOKUP('[1]Course Totals'!D$4,'[1]import graded seats course pivo'!$1:$2,2,FALSE),FALSE))),"")</f>
        <v>1</v>
      </c>
      <c r="E705" s="14" t="str">
        <f>IFERROR((VLOOKUP($A705,'[1]import success seats course'!$A:S,HLOOKUP('[1]Course Totals'!E$4,'[1]import success seats course'!$1:$2,2,FALSE),FALSE)/(VLOOKUP($A705,'[1]import graded seats course pivo'!$A:AC,HLOOKUP('[1]Course Totals'!E$4,'[1]import graded seats course pivo'!$1:$2,2,FALSE),FALSE))),"")</f>
        <v/>
      </c>
      <c r="F705" s="14" t="str">
        <f>IFERROR((VLOOKUP($A705,'[1]import success seats course'!$A:T,HLOOKUP('[1]Course Totals'!F$4,'[1]import success seats course'!$1:$2,2,FALSE),FALSE)/(VLOOKUP($A705,'[1]import graded seats course pivo'!$A:AD,HLOOKUP('[1]Course Totals'!F$4,'[1]import graded seats course pivo'!$1:$2,2,FALSE),FALSE))),"")</f>
        <v/>
      </c>
      <c r="G705" s="14" t="str">
        <f>IFERROR((VLOOKUP($A705,'[1]import success seats course'!$A:U,HLOOKUP('[1]Course Totals'!G$4,'[1]import success seats course'!$1:$2,2,FALSE),FALSE)/(VLOOKUP($A705,'[1]import graded seats course pivo'!$A:AE,HLOOKUP('[1]Course Totals'!G$4,'[1]import graded seats course pivo'!$1:$2,2,FALSE),FALSE))),"")</f>
        <v/>
      </c>
      <c r="H705" s="14" t="str">
        <f>IFERROR((VLOOKUP($A705,'[1]import success seats course'!$A:V,HLOOKUP('[1]Course Totals'!H$4,'[1]import success seats course'!$1:$2,2,FALSE),FALSE)/(VLOOKUP($A705,'[1]import graded seats course pivo'!$A:AF,HLOOKUP('[1]Course Totals'!H$4,'[1]import graded seats course pivo'!$1:$2,2,FALSE),FALSE))),"")</f>
        <v/>
      </c>
      <c r="I705" s="14" t="str">
        <f>IFERROR((VLOOKUP($A705,'[1]import success seats course'!$A:W,HLOOKUP('[1]Course Totals'!I$4,'[1]import success seats course'!$1:$2,2,FALSE),FALSE)/(VLOOKUP($A705,'[1]import graded seats course pivo'!$A:AG,HLOOKUP('[1]Course Totals'!I$4,'[1]import graded seats course pivo'!$1:$2,2,FALSE),FALSE))),"")</f>
        <v/>
      </c>
      <c r="J705" s="14" t="str">
        <f>IFERROR((VLOOKUP($A705,'[1]import success seats course'!$A:X,HLOOKUP('[1]Course Totals'!J$4,'[1]import success seats course'!$1:$2,2,FALSE),FALSE)/(VLOOKUP($A705,'[1]import graded seats course pivo'!$A:AH,HLOOKUP('[1]Course Totals'!J$4,'[1]import graded seats course pivo'!$1:$2,2,FALSE),FALSE))),"")</f>
        <v/>
      </c>
      <c r="K705" s="14" t="str">
        <f>IFERROR((VLOOKUP($A705,'[1]import success seats course'!$A:Y,HLOOKUP('[1]Course Totals'!K$4,'[1]import success seats course'!$1:$2,2,FALSE),FALSE)/(VLOOKUP($A705,'[1]import graded seats course pivo'!$A:AI,HLOOKUP('[1]Course Totals'!K$4,'[1]import graded seats course pivo'!$1:$2,2,FALSE),FALSE))),"")</f>
        <v/>
      </c>
      <c r="L705" s="14" t="str">
        <f>IFERROR((VLOOKUP($A705,'[1]import success seats course'!$A:Z,HLOOKUP('[1]Course Totals'!L$4,'[1]import success seats course'!$1:$2,2,FALSE),FALSE)/(VLOOKUP($A705,'[1]import graded seats course pivo'!$A:AJ,HLOOKUP('[1]Course Totals'!L$4,'[1]import graded seats course pivo'!$1:$2,2,FALSE),FALSE))),"")</f>
        <v/>
      </c>
      <c r="M705" s="14" t="str">
        <f>IFERROR((VLOOKUP($A705,'[1]import success seats course'!$A:AA,HLOOKUP('[1]Course Totals'!M$4,'[1]import success seats course'!$1:$2,2,FALSE),FALSE)/(VLOOKUP($A705,'[1]import graded seats course pivo'!$A:AK,HLOOKUP('[1]Course Totals'!M$4,'[1]import graded seats course pivo'!$1:$2,2,FALSE),FALSE))),"")</f>
        <v/>
      </c>
      <c r="N705" s="14" t="str">
        <f>IFERROR((VLOOKUP($A705,'[1]import success seats course'!$A:AB,HLOOKUP('[1]Course Totals'!N$4,'[1]import success seats course'!$1:$2,2,FALSE),FALSE)/(VLOOKUP($A705,'[1]import graded seats course pivo'!$A:AL,HLOOKUP('[1]Course Totals'!N$4,'[1]import graded seats course pivo'!$1:$2,2,FALSE),FALSE))),"")</f>
        <v/>
      </c>
      <c r="O705" s="14" t="str">
        <f>IFERROR((VLOOKUP($A705,'[1]import success seats course'!$A:AC,HLOOKUP('[1]Course Totals'!O$4,'[1]import success seats course'!$1:$2,2,FALSE),FALSE)/(VLOOKUP($A705,'[1]import graded seats course pivo'!$A:AM,HLOOKUP('[1]Course Totals'!O$4,'[1]import graded seats course pivo'!$1:$2,2,FALSE),FALSE))),"")</f>
        <v/>
      </c>
      <c r="P705" s="14" t="str">
        <f>IFERROR((VLOOKUP($A705,'[1]import success seats course'!$A:AD,HLOOKUP('[1]Course Totals'!P$4,'[1]import success seats course'!$1:$2,2,FALSE),FALSE)/(VLOOKUP($A705,'[1]import graded seats course pivo'!$A:AN,HLOOKUP('[1]Course Totals'!P$4,'[1]import graded seats course pivo'!$1:$2,2,FALSE),FALSE))),"")</f>
        <v/>
      </c>
      <c r="Q705" s="14" t="str">
        <f>IFERROR((VLOOKUP($A705,'[1]import success seats course'!$A:AE,HLOOKUP('[1]Course Totals'!Q$4,'[1]import success seats course'!$1:$2,2,FALSE),FALSE)/(VLOOKUP($A705,'[1]import graded seats course pivo'!$A:AO,HLOOKUP('[1]Course Totals'!Q$4,'[1]import graded seats course pivo'!$1:$2,2,FALSE),FALSE))),"")</f>
        <v/>
      </c>
      <c r="R705" s="14" t="str">
        <f>IFERROR((VLOOKUP($A705,'[1]import success seats course'!$A:AF,HLOOKUP('[1]Course Totals'!R$4,'[1]import success seats course'!$1:$2,2,FALSE),FALSE)/(VLOOKUP($A705,'[1]import graded seats course pivo'!$A:AP,HLOOKUP('[1]Course Totals'!R$4,'[1]import graded seats course pivo'!$1:$2,2,FALSE),FALSE))),"")</f>
        <v/>
      </c>
      <c r="S705" s="14" t="str">
        <f>IFERROR((VLOOKUP($A705,'[1]import success seats course'!$A:AG,HLOOKUP('[1]Course Totals'!S$4,'[1]import success seats course'!$1:$2,2,FALSE),FALSE)/(VLOOKUP($A705,'[1]import graded seats course pivo'!$A:AQ,HLOOKUP('[1]Course Totals'!S$4,'[1]import graded seats course pivo'!$1:$2,2,FALSE),FALSE))),"")</f>
        <v/>
      </c>
      <c r="Z705" s="7"/>
      <c r="AA705" s="7"/>
      <c r="AB705" s="7"/>
      <c r="AC705" s="7"/>
    </row>
    <row r="706" spans="1:29" ht="15.75" hidden="1" customHeight="1" x14ac:dyDescent="0.25">
      <c r="A706" s="12" t="s">
        <v>1016</v>
      </c>
      <c r="B706" s="14" t="str">
        <f>IFERROR((VLOOKUP($A706,'[1]import success seats course'!$A:P,HLOOKUP('[1]Course Totals'!B$4,'[1]import success seats course'!$1:$2,2,FALSE),FALSE)/(VLOOKUP($A706,'[1]import graded seats course pivo'!$A:Z,HLOOKUP('[1]Course Totals'!B$4,'[1]import graded seats course pivo'!$1:$2,2,FALSE),FALSE))),"")</f>
        <v/>
      </c>
      <c r="C706" s="14" t="str">
        <f>IFERROR((VLOOKUP($A706,'[1]import success seats course'!$A:Q,HLOOKUP('[1]Course Totals'!C$4,'[1]import success seats course'!$1:$2,2,FALSE),FALSE)/(VLOOKUP($A706,'[1]import graded seats course pivo'!$A:AA,HLOOKUP('[1]Course Totals'!C$4,'[1]import graded seats course pivo'!$1:$2,2,FALSE),FALSE))),"")</f>
        <v/>
      </c>
      <c r="D706" s="14" t="str">
        <f>IFERROR((VLOOKUP($A706,'[1]import success seats course'!$A:R,HLOOKUP('[1]Course Totals'!D$4,'[1]import success seats course'!$1:$2,2,FALSE),FALSE)/(VLOOKUP($A706,'[1]import graded seats course pivo'!$A:AB,HLOOKUP('[1]Course Totals'!D$4,'[1]import graded seats course pivo'!$1:$2,2,FALSE),FALSE))),"")</f>
        <v/>
      </c>
      <c r="E706" s="14" t="str">
        <f>IFERROR((VLOOKUP($A706,'[1]import success seats course'!$A:S,HLOOKUP('[1]Course Totals'!E$4,'[1]import success seats course'!$1:$2,2,FALSE),FALSE)/(VLOOKUP($A706,'[1]import graded seats course pivo'!$A:AC,HLOOKUP('[1]Course Totals'!E$4,'[1]import graded seats course pivo'!$1:$2,2,FALSE),FALSE))),"")</f>
        <v/>
      </c>
      <c r="F706" s="14" t="str">
        <f>IFERROR((VLOOKUP($A706,'[1]import success seats course'!$A:T,HLOOKUP('[1]Course Totals'!F$4,'[1]import success seats course'!$1:$2,2,FALSE),FALSE)/(VLOOKUP($A706,'[1]import graded seats course pivo'!$A:AD,HLOOKUP('[1]Course Totals'!F$4,'[1]import graded seats course pivo'!$1:$2,2,FALSE),FALSE))),"")</f>
        <v/>
      </c>
      <c r="G706" s="14" t="str">
        <f>IFERROR((VLOOKUP($A706,'[1]import success seats course'!$A:U,HLOOKUP('[1]Course Totals'!G$4,'[1]import success seats course'!$1:$2,2,FALSE),FALSE)/(VLOOKUP($A706,'[1]import graded seats course pivo'!$A:AE,HLOOKUP('[1]Course Totals'!G$4,'[1]import graded seats course pivo'!$1:$2,2,FALSE),FALSE))),"")</f>
        <v/>
      </c>
      <c r="H706" s="14" t="str">
        <f>IFERROR((VLOOKUP($A706,'[1]import success seats course'!$A:V,HLOOKUP('[1]Course Totals'!H$4,'[1]import success seats course'!$1:$2,2,FALSE),FALSE)/(VLOOKUP($A706,'[1]import graded seats course pivo'!$A:AF,HLOOKUP('[1]Course Totals'!H$4,'[1]import graded seats course pivo'!$1:$2,2,FALSE),FALSE))),"")</f>
        <v/>
      </c>
      <c r="I706" s="14" t="str">
        <f>IFERROR((VLOOKUP($A706,'[1]import success seats course'!$A:W,HLOOKUP('[1]Course Totals'!I$4,'[1]import success seats course'!$1:$2,2,FALSE),FALSE)/(VLOOKUP($A706,'[1]import graded seats course pivo'!$A:AG,HLOOKUP('[1]Course Totals'!I$4,'[1]import graded seats course pivo'!$1:$2,2,FALSE),FALSE))),"")</f>
        <v/>
      </c>
      <c r="J706" s="14" t="str">
        <f>IFERROR((VLOOKUP($A706,'[1]import success seats course'!$A:X,HLOOKUP('[1]Course Totals'!J$4,'[1]import success seats course'!$1:$2,2,FALSE),FALSE)/(VLOOKUP($A706,'[1]import graded seats course pivo'!$A:AH,HLOOKUP('[1]Course Totals'!J$4,'[1]import graded seats course pivo'!$1:$2,2,FALSE),FALSE))),"")</f>
        <v/>
      </c>
      <c r="K706" s="14" t="str">
        <f>IFERROR((VLOOKUP($A706,'[1]import success seats course'!$A:Y,HLOOKUP('[1]Course Totals'!K$4,'[1]import success seats course'!$1:$2,2,FALSE),FALSE)/(VLOOKUP($A706,'[1]import graded seats course pivo'!$A:AI,HLOOKUP('[1]Course Totals'!K$4,'[1]import graded seats course pivo'!$1:$2,2,FALSE),FALSE))),"")</f>
        <v/>
      </c>
      <c r="L706" s="14" t="str">
        <f>IFERROR((VLOOKUP($A706,'[1]import success seats course'!$A:Z,HLOOKUP('[1]Course Totals'!L$4,'[1]import success seats course'!$1:$2,2,FALSE),FALSE)/(VLOOKUP($A706,'[1]import graded seats course pivo'!$A:AJ,HLOOKUP('[1]Course Totals'!L$4,'[1]import graded seats course pivo'!$1:$2,2,FALSE),FALSE))),"")</f>
        <v/>
      </c>
      <c r="M706" s="14" t="str">
        <f>IFERROR((VLOOKUP($A706,'[1]import success seats course'!$A:AA,HLOOKUP('[1]Course Totals'!M$4,'[1]import success seats course'!$1:$2,2,FALSE),FALSE)/(VLOOKUP($A706,'[1]import graded seats course pivo'!$A:AK,HLOOKUP('[1]Course Totals'!M$4,'[1]import graded seats course pivo'!$1:$2,2,FALSE),FALSE))),"")</f>
        <v/>
      </c>
      <c r="N706" s="14" t="str">
        <f>IFERROR((VLOOKUP($A706,'[1]import success seats course'!$A:AB,HLOOKUP('[1]Course Totals'!N$4,'[1]import success seats course'!$1:$2,2,FALSE),FALSE)/(VLOOKUP($A706,'[1]import graded seats course pivo'!$A:AL,HLOOKUP('[1]Course Totals'!N$4,'[1]import graded seats course pivo'!$1:$2,2,FALSE),FALSE))),"")</f>
        <v/>
      </c>
      <c r="O706" s="14" t="str">
        <f>IFERROR((VLOOKUP($A706,'[1]import success seats course'!$A:AC,HLOOKUP('[1]Course Totals'!O$4,'[1]import success seats course'!$1:$2,2,FALSE),FALSE)/(VLOOKUP($A706,'[1]import graded seats course pivo'!$A:AM,HLOOKUP('[1]Course Totals'!O$4,'[1]import graded seats course pivo'!$1:$2,2,FALSE),FALSE))),"")</f>
        <v/>
      </c>
      <c r="P706" s="14" t="str">
        <f>IFERROR((VLOOKUP($A706,'[1]import success seats course'!$A:AD,HLOOKUP('[1]Course Totals'!P$4,'[1]import success seats course'!$1:$2,2,FALSE),FALSE)/(VLOOKUP($A706,'[1]import graded seats course pivo'!$A:AN,HLOOKUP('[1]Course Totals'!P$4,'[1]import graded seats course pivo'!$1:$2,2,FALSE),FALSE))),"")</f>
        <v/>
      </c>
      <c r="Q706" s="14" t="str">
        <f>IFERROR((VLOOKUP($A706,'[1]import success seats course'!$A:AE,HLOOKUP('[1]Course Totals'!Q$4,'[1]import success seats course'!$1:$2,2,FALSE),FALSE)/(VLOOKUP($A706,'[1]import graded seats course pivo'!$A:AO,HLOOKUP('[1]Course Totals'!Q$4,'[1]import graded seats course pivo'!$1:$2,2,FALSE),FALSE))),"")</f>
        <v/>
      </c>
      <c r="R706" s="14" t="str">
        <f>IFERROR((VLOOKUP($A706,'[1]import success seats course'!$A:AF,HLOOKUP('[1]Course Totals'!R$4,'[1]import success seats course'!$1:$2,2,FALSE),FALSE)/(VLOOKUP($A706,'[1]import graded seats course pivo'!$A:AP,HLOOKUP('[1]Course Totals'!R$4,'[1]import graded seats course pivo'!$1:$2,2,FALSE),FALSE))),"")</f>
        <v/>
      </c>
      <c r="S706" s="14" t="str">
        <f>IFERROR((VLOOKUP($A706,'[1]import success seats course'!$A:AG,HLOOKUP('[1]Course Totals'!S$4,'[1]import success seats course'!$1:$2,2,FALSE),FALSE)/(VLOOKUP($A706,'[1]import graded seats course pivo'!$A:AQ,HLOOKUP('[1]Course Totals'!S$4,'[1]import graded seats course pivo'!$1:$2,2,FALSE),FALSE))),"")</f>
        <v/>
      </c>
      <c r="Z706" s="7"/>
      <c r="AA706" s="7"/>
      <c r="AB706" s="7"/>
      <c r="AC706" s="7"/>
    </row>
    <row r="707" spans="1:29" ht="15.75" customHeight="1" x14ac:dyDescent="0.25">
      <c r="A707" s="12" t="s">
        <v>324</v>
      </c>
      <c r="B707" s="14" t="str">
        <f>IFERROR((VLOOKUP($A707,'[1]import success seats course'!$A:P,HLOOKUP('[1]Course Totals'!B$4,'[1]import success seats course'!$1:$2,2,FALSE),FALSE)/(VLOOKUP($A707,'[1]import graded seats course pivo'!$A:Z,HLOOKUP('[1]Course Totals'!B$4,'[1]import graded seats course pivo'!$1:$2,2,FALSE),FALSE))),"")</f>
        <v/>
      </c>
      <c r="C707" s="14">
        <f>IFERROR((VLOOKUP($A707,'[1]import success seats course'!$A:Q,HLOOKUP('[1]Course Totals'!C$4,'[1]import success seats course'!$1:$2,2,FALSE),FALSE)/(VLOOKUP($A707,'[1]import graded seats course pivo'!$A:AA,HLOOKUP('[1]Course Totals'!C$4,'[1]import graded seats course pivo'!$1:$2,2,FALSE),FALSE))),"")</f>
        <v>0.84615384615384615</v>
      </c>
      <c r="D707" s="14">
        <f>IFERROR((VLOOKUP($A707,'[1]import success seats course'!$A:R,HLOOKUP('[1]Course Totals'!D$4,'[1]import success seats course'!$1:$2,2,FALSE),FALSE)/(VLOOKUP($A707,'[1]import graded seats course pivo'!$A:AB,HLOOKUP('[1]Course Totals'!D$4,'[1]import graded seats course pivo'!$1:$2,2,FALSE),FALSE))),"")</f>
        <v>1</v>
      </c>
      <c r="E707" s="14" t="str">
        <f>IFERROR((VLOOKUP($A707,'[1]import success seats course'!$A:S,HLOOKUP('[1]Course Totals'!E$4,'[1]import success seats course'!$1:$2,2,FALSE),FALSE)/(VLOOKUP($A707,'[1]import graded seats course pivo'!$A:AC,HLOOKUP('[1]Course Totals'!E$4,'[1]import graded seats course pivo'!$1:$2,2,FALSE),FALSE))),"")</f>
        <v/>
      </c>
      <c r="F707" s="14" t="str">
        <f>IFERROR((VLOOKUP($A707,'[1]import success seats course'!$A:T,HLOOKUP('[1]Course Totals'!F$4,'[1]import success seats course'!$1:$2,2,FALSE),FALSE)/(VLOOKUP($A707,'[1]import graded seats course pivo'!$A:AD,HLOOKUP('[1]Course Totals'!F$4,'[1]import graded seats course pivo'!$1:$2,2,FALSE),FALSE))),"")</f>
        <v/>
      </c>
      <c r="G707" s="14">
        <f>IFERROR((VLOOKUP($A707,'[1]import success seats course'!$A:U,HLOOKUP('[1]Course Totals'!G$4,'[1]import success seats course'!$1:$2,2,FALSE),FALSE)/(VLOOKUP($A707,'[1]import graded seats course pivo'!$A:AE,HLOOKUP('[1]Course Totals'!G$4,'[1]import graded seats course pivo'!$1:$2,2,FALSE),FALSE))),"")</f>
        <v>0.91304347826086951</v>
      </c>
      <c r="H707" s="14" t="str">
        <f>IFERROR((VLOOKUP($A707,'[1]import success seats course'!$A:V,HLOOKUP('[1]Course Totals'!H$4,'[1]import success seats course'!$1:$2,2,FALSE),FALSE)/(VLOOKUP($A707,'[1]import graded seats course pivo'!$A:AF,HLOOKUP('[1]Course Totals'!H$4,'[1]import graded seats course pivo'!$1:$2,2,FALSE),FALSE))),"")</f>
        <v/>
      </c>
      <c r="I707" s="14" t="str">
        <f>IFERROR((VLOOKUP($A707,'[1]import success seats course'!$A:W,HLOOKUP('[1]Course Totals'!I$4,'[1]import success seats course'!$1:$2,2,FALSE),FALSE)/(VLOOKUP($A707,'[1]import graded seats course pivo'!$A:AG,HLOOKUP('[1]Course Totals'!I$4,'[1]import graded seats course pivo'!$1:$2,2,FALSE),FALSE))),"")</f>
        <v/>
      </c>
      <c r="J707" s="14" t="str">
        <f>IFERROR((VLOOKUP($A707,'[1]import success seats course'!$A:X,HLOOKUP('[1]Course Totals'!J$4,'[1]import success seats course'!$1:$2,2,FALSE),FALSE)/(VLOOKUP($A707,'[1]import graded seats course pivo'!$A:AH,HLOOKUP('[1]Course Totals'!J$4,'[1]import graded seats course pivo'!$1:$2,2,FALSE),FALSE))),"")</f>
        <v/>
      </c>
      <c r="K707" s="14" t="str">
        <f>IFERROR((VLOOKUP($A707,'[1]import success seats course'!$A:Y,HLOOKUP('[1]Course Totals'!K$4,'[1]import success seats course'!$1:$2,2,FALSE),FALSE)/(VLOOKUP($A707,'[1]import graded seats course pivo'!$A:AI,HLOOKUP('[1]Course Totals'!K$4,'[1]import graded seats course pivo'!$1:$2,2,FALSE),FALSE))),"")</f>
        <v/>
      </c>
      <c r="L707" s="14" t="str">
        <f>IFERROR((VLOOKUP($A707,'[1]import success seats course'!$A:Z,HLOOKUP('[1]Course Totals'!L$4,'[1]import success seats course'!$1:$2,2,FALSE),FALSE)/(VLOOKUP($A707,'[1]import graded seats course pivo'!$A:AJ,HLOOKUP('[1]Course Totals'!L$4,'[1]import graded seats course pivo'!$1:$2,2,FALSE),FALSE))),"")</f>
        <v/>
      </c>
      <c r="M707" s="14" t="str">
        <f>IFERROR((VLOOKUP($A707,'[1]import success seats course'!$A:AA,HLOOKUP('[1]Course Totals'!M$4,'[1]import success seats course'!$1:$2,2,FALSE),FALSE)/(VLOOKUP($A707,'[1]import graded seats course pivo'!$A:AK,HLOOKUP('[1]Course Totals'!M$4,'[1]import graded seats course pivo'!$1:$2,2,FALSE),FALSE))),"")</f>
        <v/>
      </c>
      <c r="N707" s="14" t="str">
        <f>IFERROR((VLOOKUP($A707,'[1]import success seats course'!$A:AB,HLOOKUP('[1]Course Totals'!N$4,'[1]import success seats course'!$1:$2,2,FALSE),FALSE)/(VLOOKUP($A707,'[1]import graded seats course pivo'!$A:AL,HLOOKUP('[1]Course Totals'!N$4,'[1]import graded seats course pivo'!$1:$2,2,FALSE),FALSE))),"")</f>
        <v/>
      </c>
      <c r="O707" s="14" t="str">
        <f>IFERROR((VLOOKUP($A707,'[1]import success seats course'!$A:AC,HLOOKUP('[1]Course Totals'!O$4,'[1]import success seats course'!$1:$2,2,FALSE),FALSE)/(VLOOKUP($A707,'[1]import graded seats course pivo'!$A:AM,HLOOKUP('[1]Course Totals'!O$4,'[1]import graded seats course pivo'!$1:$2,2,FALSE),FALSE))),"")</f>
        <v/>
      </c>
      <c r="P707" s="14" t="str">
        <f>IFERROR((VLOOKUP($A707,'[1]import success seats course'!$A:AD,HLOOKUP('[1]Course Totals'!P$4,'[1]import success seats course'!$1:$2,2,FALSE),FALSE)/(VLOOKUP($A707,'[1]import graded seats course pivo'!$A:AN,HLOOKUP('[1]Course Totals'!P$4,'[1]import graded seats course pivo'!$1:$2,2,FALSE),FALSE))),"")</f>
        <v/>
      </c>
      <c r="Q707" s="14" t="str">
        <f>IFERROR((VLOOKUP($A707,'[1]import success seats course'!$A:AE,HLOOKUP('[1]Course Totals'!Q$4,'[1]import success seats course'!$1:$2,2,FALSE),FALSE)/(VLOOKUP($A707,'[1]import graded seats course pivo'!$A:AO,HLOOKUP('[1]Course Totals'!Q$4,'[1]import graded seats course pivo'!$1:$2,2,FALSE),FALSE))),"")</f>
        <v/>
      </c>
      <c r="R707" s="14" t="str">
        <f>IFERROR((VLOOKUP($A707,'[1]import success seats course'!$A:AF,HLOOKUP('[1]Course Totals'!R$4,'[1]import success seats course'!$1:$2,2,FALSE),FALSE)/(VLOOKUP($A707,'[1]import graded seats course pivo'!$A:AP,HLOOKUP('[1]Course Totals'!R$4,'[1]import graded seats course pivo'!$1:$2,2,FALSE),FALSE))),"")</f>
        <v/>
      </c>
      <c r="S707" s="14" t="str">
        <f>IFERROR((VLOOKUP($A707,'[1]import success seats course'!$A:AG,HLOOKUP('[1]Course Totals'!S$4,'[1]import success seats course'!$1:$2,2,FALSE),FALSE)/(VLOOKUP($A707,'[1]import graded seats course pivo'!$A:AQ,HLOOKUP('[1]Course Totals'!S$4,'[1]import graded seats course pivo'!$1:$2,2,FALSE),FALSE))),"")</f>
        <v/>
      </c>
      <c r="Z707" s="7"/>
      <c r="AA707" s="7"/>
      <c r="AB707" s="7"/>
      <c r="AC707" s="7"/>
    </row>
    <row r="708" spans="1:29" ht="15.75" hidden="1" customHeight="1" x14ac:dyDescent="0.25">
      <c r="A708" s="12" t="s">
        <v>736</v>
      </c>
      <c r="B708" s="14" t="str">
        <f>IFERROR((VLOOKUP($A708,'[1]import success seats course'!$A:P,HLOOKUP('[1]Course Totals'!B$4,'[1]import success seats course'!$1:$2,2,FALSE),FALSE)/(VLOOKUP($A708,'[1]import graded seats course pivo'!$A:Z,HLOOKUP('[1]Course Totals'!B$4,'[1]import graded seats course pivo'!$1:$2,2,FALSE),FALSE))),"")</f>
        <v/>
      </c>
      <c r="C708" s="14" t="str">
        <f>IFERROR((VLOOKUP($A708,'[1]import success seats course'!$A:Q,HLOOKUP('[1]Course Totals'!C$4,'[1]import success seats course'!$1:$2,2,FALSE),FALSE)/(VLOOKUP($A708,'[1]import graded seats course pivo'!$A:AA,HLOOKUP('[1]Course Totals'!C$4,'[1]import graded seats course pivo'!$1:$2,2,FALSE),FALSE))),"")</f>
        <v/>
      </c>
      <c r="D708" s="14" t="str">
        <f>IFERROR((VLOOKUP($A708,'[1]import success seats course'!$A:R,HLOOKUP('[1]Course Totals'!D$4,'[1]import success seats course'!$1:$2,2,FALSE),FALSE)/(VLOOKUP($A708,'[1]import graded seats course pivo'!$A:AB,HLOOKUP('[1]Course Totals'!D$4,'[1]import graded seats course pivo'!$1:$2,2,FALSE),FALSE))),"")</f>
        <v/>
      </c>
      <c r="E708" s="14" t="str">
        <f>IFERROR((VLOOKUP($A708,'[1]import success seats course'!$A:S,HLOOKUP('[1]Course Totals'!E$4,'[1]import success seats course'!$1:$2,2,FALSE),FALSE)/(VLOOKUP($A708,'[1]import graded seats course pivo'!$A:AC,HLOOKUP('[1]Course Totals'!E$4,'[1]import graded seats course pivo'!$1:$2,2,FALSE),FALSE))),"")</f>
        <v/>
      </c>
      <c r="F708" s="14" t="str">
        <f>IFERROR((VLOOKUP($A708,'[1]import success seats course'!$A:T,HLOOKUP('[1]Course Totals'!F$4,'[1]import success seats course'!$1:$2,2,FALSE),FALSE)/(VLOOKUP($A708,'[1]import graded seats course pivo'!$A:AD,HLOOKUP('[1]Course Totals'!F$4,'[1]import graded seats course pivo'!$1:$2,2,FALSE),FALSE))),"")</f>
        <v/>
      </c>
      <c r="G708" s="14" t="str">
        <f>IFERROR((VLOOKUP($A708,'[1]import success seats course'!$A:U,HLOOKUP('[1]Course Totals'!G$4,'[1]import success seats course'!$1:$2,2,FALSE),FALSE)/(VLOOKUP($A708,'[1]import graded seats course pivo'!$A:AE,HLOOKUP('[1]Course Totals'!G$4,'[1]import graded seats course pivo'!$1:$2,2,FALSE),FALSE))),"")</f>
        <v/>
      </c>
      <c r="H708" s="14" t="str">
        <f>IFERROR((VLOOKUP($A708,'[1]import success seats course'!$A:V,HLOOKUP('[1]Course Totals'!H$4,'[1]import success seats course'!$1:$2,2,FALSE),FALSE)/(VLOOKUP($A708,'[1]import graded seats course pivo'!$A:AF,HLOOKUP('[1]Course Totals'!H$4,'[1]import graded seats course pivo'!$1:$2,2,FALSE),FALSE))),"")</f>
        <v/>
      </c>
      <c r="I708" s="14" t="str">
        <f>IFERROR((VLOOKUP($A708,'[1]import success seats course'!$A:W,HLOOKUP('[1]Course Totals'!I$4,'[1]import success seats course'!$1:$2,2,FALSE),FALSE)/(VLOOKUP($A708,'[1]import graded seats course pivo'!$A:AG,HLOOKUP('[1]Course Totals'!I$4,'[1]import graded seats course pivo'!$1:$2,2,FALSE),FALSE))),"")</f>
        <v/>
      </c>
      <c r="J708" s="14" t="str">
        <f>IFERROR((VLOOKUP($A708,'[1]import success seats course'!$A:X,HLOOKUP('[1]Course Totals'!J$4,'[1]import success seats course'!$1:$2,2,FALSE),FALSE)/(VLOOKUP($A708,'[1]import graded seats course pivo'!$A:AH,HLOOKUP('[1]Course Totals'!J$4,'[1]import graded seats course pivo'!$1:$2,2,FALSE),FALSE))),"")</f>
        <v/>
      </c>
      <c r="K708" s="14" t="str">
        <f>IFERROR((VLOOKUP($A708,'[1]import success seats course'!$A:Y,HLOOKUP('[1]Course Totals'!K$4,'[1]import success seats course'!$1:$2,2,FALSE),FALSE)/(VLOOKUP($A708,'[1]import graded seats course pivo'!$A:AI,HLOOKUP('[1]Course Totals'!K$4,'[1]import graded seats course pivo'!$1:$2,2,FALSE),FALSE))),"")</f>
        <v/>
      </c>
      <c r="L708" s="14" t="str">
        <f>IFERROR((VLOOKUP($A708,'[1]import success seats course'!$A:Z,HLOOKUP('[1]Course Totals'!L$4,'[1]import success seats course'!$1:$2,2,FALSE),FALSE)/(VLOOKUP($A708,'[1]import graded seats course pivo'!$A:AJ,HLOOKUP('[1]Course Totals'!L$4,'[1]import graded seats course pivo'!$1:$2,2,FALSE),FALSE))),"")</f>
        <v/>
      </c>
      <c r="M708" s="14" t="str">
        <f>IFERROR((VLOOKUP($A708,'[1]import success seats course'!$A:AA,HLOOKUP('[1]Course Totals'!M$4,'[1]import success seats course'!$1:$2,2,FALSE),FALSE)/(VLOOKUP($A708,'[1]import graded seats course pivo'!$A:AK,HLOOKUP('[1]Course Totals'!M$4,'[1]import graded seats course pivo'!$1:$2,2,FALSE),FALSE))),"")</f>
        <v/>
      </c>
      <c r="N708" s="14" t="str">
        <f>IFERROR((VLOOKUP($A708,'[1]import success seats course'!$A:AB,HLOOKUP('[1]Course Totals'!N$4,'[1]import success seats course'!$1:$2,2,FALSE),FALSE)/(VLOOKUP($A708,'[1]import graded seats course pivo'!$A:AL,HLOOKUP('[1]Course Totals'!N$4,'[1]import graded seats course pivo'!$1:$2,2,FALSE),FALSE))),"")</f>
        <v/>
      </c>
      <c r="O708" s="14" t="str">
        <f>IFERROR((VLOOKUP($A708,'[1]import success seats course'!$A:AC,HLOOKUP('[1]Course Totals'!O$4,'[1]import success seats course'!$1:$2,2,FALSE),FALSE)/(VLOOKUP($A708,'[1]import graded seats course pivo'!$A:AM,HLOOKUP('[1]Course Totals'!O$4,'[1]import graded seats course pivo'!$1:$2,2,FALSE),FALSE))),"")</f>
        <v/>
      </c>
      <c r="P708" s="14" t="str">
        <f>IFERROR((VLOOKUP($A708,'[1]import success seats course'!$A:AD,HLOOKUP('[1]Course Totals'!P$4,'[1]import success seats course'!$1:$2,2,FALSE),FALSE)/(VLOOKUP($A708,'[1]import graded seats course pivo'!$A:AN,HLOOKUP('[1]Course Totals'!P$4,'[1]import graded seats course pivo'!$1:$2,2,FALSE),FALSE))),"")</f>
        <v/>
      </c>
      <c r="Q708" s="14" t="str">
        <f>IFERROR((VLOOKUP($A708,'[1]import success seats course'!$A:AE,HLOOKUP('[1]Course Totals'!Q$4,'[1]import success seats course'!$1:$2,2,FALSE),FALSE)/(VLOOKUP($A708,'[1]import graded seats course pivo'!$A:AO,HLOOKUP('[1]Course Totals'!Q$4,'[1]import graded seats course pivo'!$1:$2,2,FALSE),FALSE))),"")</f>
        <v/>
      </c>
      <c r="R708" s="14" t="str">
        <f>IFERROR((VLOOKUP($A708,'[1]import success seats course'!$A:AF,HLOOKUP('[1]Course Totals'!R$4,'[1]import success seats course'!$1:$2,2,FALSE),FALSE)/(VLOOKUP($A708,'[1]import graded seats course pivo'!$A:AP,HLOOKUP('[1]Course Totals'!R$4,'[1]import graded seats course pivo'!$1:$2,2,FALSE),FALSE))),"")</f>
        <v/>
      </c>
      <c r="S708" s="14" t="str">
        <f>IFERROR((VLOOKUP($A708,'[1]import success seats course'!$A:AG,HLOOKUP('[1]Course Totals'!S$4,'[1]import success seats course'!$1:$2,2,FALSE),FALSE)/(VLOOKUP($A708,'[1]import graded seats course pivo'!$A:AQ,HLOOKUP('[1]Course Totals'!S$4,'[1]import graded seats course pivo'!$1:$2,2,FALSE),FALSE))),"")</f>
        <v/>
      </c>
      <c r="Z708" s="7"/>
      <c r="AA708" s="7"/>
      <c r="AB708" s="7"/>
      <c r="AC708" s="7"/>
    </row>
    <row r="709" spans="1:29" ht="15.75" customHeight="1" x14ac:dyDescent="0.25">
      <c r="A709" s="12" t="s">
        <v>325</v>
      </c>
      <c r="B709" s="14" t="str">
        <f>IFERROR((VLOOKUP($A709,'[1]import success seats course'!$A:P,HLOOKUP('[1]Course Totals'!B$4,'[1]import success seats course'!$1:$2,2,FALSE),FALSE)/(VLOOKUP($A709,'[1]import graded seats course pivo'!$A:Z,HLOOKUP('[1]Course Totals'!B$4,'[1]import graded seats course pivo'!$1:$2,2,FALSE),FALSE))),"")</f>
        <v/>
      </c>
      <c r="C709" s="14" t="str">
        <f>IFERROR((VLOOKUP($A709,'[1]import success seats course'!$A:Q,HLOOKUP('[1]Course Totals'!C$4,'[1]import success seats course'!$1:$2,2,FALSE),FALSE)/(VLOOKUP($A709,'[1]import graded seats course pivo'!$A:AA,HLOOKUP('[1]Course Totals'!C$4,'[1]import graded seats course pivo'!$1:$2,2,FALSE),FALSE))),"")</f>
        <v/>
      </c>
      <c r="D709" s="14">
        <f>IFERROR((VLOOKUP($A709,'[1]import success seats course'!$A:R,HLOOKUP('[1]Course Totals'!D$4,'[1]import success seats course'!$1:$2,2,FALSE),FALSE)/(VLOOKUP($A709,'[1]import graded seats course pivo'!$A:AB,HLOOKUP('[1]Course Totals'!D$4,'[1]import graded seats course pivo'!$1:$2,2,FALSE),FALSE))),"")</f>
        <v>0.77777777777777779</v>
      </c>
      <c r="E709" s="14" t="str">
        <f>IFERROR((VLOOKUP($A709,'[1]import success seats course'!$A:S,HLOOKUP('[1]Course Totals'!E$4,'[1]import success seats course'!$1:$2,2,FALSE),FALSE)/(VLOOKUP($A709,'[1]import graded seats course pivo'!$A:AC,HLOOKUP('[1]Course Totals'!E$4,'[1]import graded seats course pivo'!$1:$2,2,FALSE),FALSE))),"")</f>
        <v/>
      </c>
      <c r="F709" s="14" t="str">
        <f>IFERROR((VLOOKUP($A709,'[1]import success seats course'!$A:T,HLOOKUP('[1]Course Totals'!F$4,'[1]import success seats course'!$1:$2,2,FALSE),FALSE)/(VLOOKUP($A709,'[1]import graded seats course pivo'!$A:AD,HLOOKUP('[1]Course Totals'!F$4,'[1]import graded seats course pivo'!$1:$2,2,FALSE),FALSE))),"")</f>
        <v/>
      </c>
      <c r="G709" s="14" t="str">
        <f>IFERROR((VLOOKUP($A709,'[1]import success seats course'!$A:U,HLOOKUP('[1]Course Totals'!G$4,'[1]import success seats course'!$1:$2,2,FALSE),FALSE)/(VLOOKUP($A709,'[1]import graded seats course pivo'!$A:AE,HLOOKUP('[1]Course Totals'!G$4,'[1]import graded seats course pivo'!$1:$2,2,FALSE),FALSE))),"")</f>
        <v/>
      </c>
      <c r="H709" s="14" t="str">
        <f>IFERROR((VLOOKUP($A709,'[1]import success seats course'!$A:V,HLOOKUP('[1]Course Totals'!H$4,'[1]import success seats course'!$1:$2,2,FALSE),FALSE)/(VLOOKUP($A709,'[1]import graded seats course pivo'!$A:AF,HLOOKUP('[1]Course Totals'!H$4,'[1]import graded seats course pivo'!$1:$2,2,FALSE),FALSE))),"")</f>
        <v/>
      </c>
      <c r="I709" s="14" t="str">
        <f>IFERROR((VLOOKUP($A709,'[1]import success seats course'!$A:W,HLOOKUP('[1]Course Totals'!I$4,'[1]import success seats course'!$1:$2,2,FALSE),FALSE)/(VLOOKUP($A709,'[1]import graded seats course pivo'!$A:AG,HLOOKUP('[1]Course Totals'!I$4,'[1]import graded seats course pivo'!$1:$2,2,FALSE),FALSE))),"")</f>
        <v/>
      </c>
      <c r="J709" s="14" t="str">
        <f>IFERROR((VLOOKUP($A709,'[1]import success seats course'!$A:X,HLOOKUP('[1]Course Totals'!J$4,'[1]import success seats course'!$1:$2,2,FALSE),FALSE)/(VLOOKUP($A709,'[1]import graded seats course pivo'!$A:AH,HLOOKUP('[1]Course Totals'!J$4,'[1]import graded seats course pivo'!$1:$2,2,FALSE),FALSE))),"")</f>
        <v/>
      </c>
      <c r="K709" s="14" t="str">
        <f>IFERROR((VLOOKUP($A709,'[1]import success seats course'!$A:Y,HLOOKUP('[1]Course Totals'!K$4,'[1]import success seats course'!$1:$2,2,FALSE),FALSE)/(VLOOKUP($A709,'[1]import graded seats course pivo'!$A:AI,HLOOKUP('[1]Course Totals'!K$4,'[1]import graded seats course pivo'!$1:$2,2,FALSE),FALSE))),"")</f>
        <v/>
      </c>
      <c r="L709" s="14" t="str">
        <f>IFERROR((VLOOKUP($A709,'[1]import success seats course'!$A:Z,HLOOKUP('[1]Course Totals'!L$4,'[1]import success seats course'!$1:$2,2,FALSE),FALSE)/(VLOOKUP($A709,'[1]import graded seats course pivo'!$A:AJ,HLOOKUP('[1]Course Totals'!L$4,'[1]import graded seats course pivo'!$1:$2,2,FALSE),FALSE))),"")</f>
        <v/>
      </c>
      <c r="M709" s="14" t="str">
        <f>IFERROR((VLOOKUP($A709,'[1]import success seats course'!$A:AA,HLOOKUP('[1]Course Totals'!M$4,'[1]import success seats course'!$1:$2,2,FALSE),FALSE)/(VLOOKUP($A709,'[1]import graded seats course pivo'!$A:AK,HLOOKUP('[1]Course Totals'!M$4,'[1]import graded seats course pivo'!$1:$2,2,FALSE),FALSE))),"")</f>
        <v/>
      </c>
      <c r="N709" s="14" t="str">
        <f>IFERROR((VLOOKUP($A709,'[1]import success seats course'!$A:AB,HLOOKUP('[1]Course Totals'!N$4,'[1]import success seats course'!$1:$2,2,FALSE),FALSE)/(VLOOKUP($A709,'[1]import graded seats course pivo'!$A:AL,HLOOKUP('[1]Course Totals'!N$4,'[1]import graded seats course pivo'!$1:$2,2,FALSE),FALSE))),"")</f>
        <v/>
      </c>
      <c r="O709" s="14" t="str">
        <f>IFERROR((VLOOKUP($A709,'[1]import success seats course'!$A:AC,HLOOKUP('[1]Course Totals'!O$4,'[1]import success seats course'!$1:$2,2,FALSE),FALSE)/(VLOOKUP($A709,'[1]import graded seats course pivo'!$A:AM,HLOOKUP('[1]Course Totals'!O$4,'[1]import graded seats course pivo'!$1:$2,2,FALSE),FALSE))),"")</f>
        <v/>
      </c>
      <c r="P709" s="14" t="str">
        <f>IFERROR((VLOOKUP($A709,'[1]import success seats course'!$A:AD,HLOOKUP('[1]Course Totals'!P$4,'[1]import success seats course'!$1:$2,2,FALSE),FALSE)/(VLOOKUP($A709,'[1]import graded seats course pivo'!$A:AN,HLOOKUP('[1]Course Totals'!P$4,'[1]import graded seats course pivo'!$1:$2,2,FALSE),FALSE))),"")</f>
        <v/>
      </c>
      <c r="Q709" s="14" t="str">
        <f>IFERROR((VLOOKUP($A709,'[1]import success seats course'!$A:AE,HLOOKUP('[1]Course Totals'!Q$4,'[1]import success seats course'!$1:$2,2,FALSE),FALSE)/(VLOOKUP($A709,'[1]import graded seats course pivo'!$A:AO,HLOOKUP('[1]Course Totals'!Q$4,'[1]import graded seats course pivo'!$1:$2,2,FALSE),FALSE))),"")</f>
        <v/>
      </c>
      <c r="R709" s="14" t="str">
        <f>IFERROR((VLOOKUP($A709,'[1]import success seats course'!$A:AF,HLOOKUP('[1]Course Totals'!R$4,'[1]import success seats course'!$1:$2,2,FALSE),FALSE)/(VLOOKUP($A709,'[1]import graded seats course pivo'!$A:AP,HLOOKUP('[1]Course Totals'!R$4,'[1]import graded seats course pivo'!$1:$2,2,FALSE),FALSE))),"")</f>
        <v/>
      </c>
      <c r="S709" s="14" t="str">
        <f>IFERROR((VLOOKUP($A709,'[1]import success seats course'!$A:AG,HLOOKUP('[1]Course Totals'!S$4,'[1]import success seats course'!$1:$2,2,FALSE),FALSE)/(VLOOKUP($A709,'[1]import graded seats course pivo'!$A:AQ,HLOOKUP('[1]Course Totals'!S$4,'[1]import graded seats course pivo'!$1:$2,2,FALSE),FALSE))),"")</f>
        <v/>
      </c>
      <c r="Z709" s="7"/>
      <c r="AA709" s="7"/>
      <c r="AB709" s="7"/>
      <c r="AC709" s="7"/>
    </row>
    <row r="710" spans="1:29" ht="15.75" customHeight="1" x14ac:dyDescent="0.25">
      <c r="A710" s="12" t="s">
        <v>630</v>
      </c>
      <c r="B710" s="14" t="str">
        <f>IFERROR((VLOOKUP($A710,'[1]import success seats course'!$A:P,HLOOKUP('[1]Course Totals'!B$4,'[1]import success seats course'!$1:$2,2,FALSE),FALSE)/(VLOOKUP($A710,'[1]import graded seats course pivo'!$A:Z,HLOOKUP('[1]Course Totals'!B$4,'[1]import graded seats course pivo'!$1:$2,2,FALSE),FALSE))),"")</f>
        <v/>
      </c>
      <c r="C710" s="14" t="str">
        <f>IFERROR((VLOOKUP($A710,'[1]import success seats course'!$A:Q,HLOOKUP('[1]Course Totals'!C$4,'[1]import success seats course'!$1:$2,2,FALSE),FALSE)/(VLOOKUP($A710,'[1]import graded seats course pivo'!$A:AA,HLOOKUP('[1]Course Totals'!C$4,'[1]import graded seats course pivo'!$1:$2,2,FALSE),FALSE))),"")</f>
        <v/>
      </c>
      <c r="D710" s="14" t="str">
        <f>IFERROR((VLOOKUP($A710,'[1]import success seats course'!$A:R,HLOOKUP('[1]Course Totals'!D$4,'[1]import success seats course'!$1:$2,2,FALSE),FALSE)/(VLOOKUP($A710,'[1]import graded seats course pivo'!$A:AB,HLOOKUP('[1]Course Totals'!D$4,'[1]import graded seats course pivo'!$1:$2,2,FALSE),FALSE))),"")</f>
        <v/>
      </c>
      <c r="E710" s="14" t="str">
        <f>IFERROR((VLOOKUP($A710,'[1]import success seats course'!$A:S,HLOOKUP('[1]Course Totals'!E$4,'[1]import success seats course'!$1:$2,2,FALSE),FALSE)/(VLOOKUP($A710,'[1]import graded seats course pivo'!$A:AC,HLOOKUP('[1]Course Totals'!E$4,'[1]import graded seats course pivo'!$1:$2,2,FALSE),FALSE))),"")</f>
        <v/>
      </c>
      <c r="F710" s="14">
        <f>IFERROR((VLOOKUP($A710,'[1]import success seats course'!$A:T,HLOOKUP('[1]Course Totals'!F$4,'[1]import success seats course'!$1:$2,2,FALSE),FALSE)/(VLOOKUP($A710,'[1]import graded seats course pivo'!$A:AD,HLOOKUP('[1]Course Totals'!F$4,'[1]import graded seats course pivo'!$1:$2,2,FALSE),FALSE))),"")</f>
        <v>0.8666666666666667</v>
      </c>
      <c r="G710" s="14" t="str">
        <f>IFERROR((VLOOKUP($A710,'[1]import success seats course'!$A:U,HLOOKUP('[1]Course Totals'!G$4,'[1]import success seats course'!$1:$2,2,FALSE),FALSE)/(VLOOKUP($A710,'[1]import graded seats course pivo'!$A:AE,HLOOKUP('[1]Course Totals'!G$4,'[1]import graded seats course pivo'!$1:$2,2,FALSE),FALSE))),"")</f>
        <v/>
      </c>
      <c r="H710" s="14" t="str">
        <f>IFERROR((VLOOKUP($A710,'[1]import success seats course'!$A:V,HLOOKUP('[1]Course Totals'!H$4,'[1]import success seats course'!$1:$2,2,FALSE),FALSE)/(VLOOKUP($A710,'[1]import graded seats course pivo'!$A:AF,HLOOKUP('[1]Course Totals'!H$4,'[1]import graded seats course pivo'!$1:$2,2,FALSE),FALSE))),"")</f>
        <v/>
      </c>
      <c r="I710" s="14">
        <f>IFERROR((VLOOKUP($A710,'[1]import success seats course'!$A:W,HLOOKUP('[1]Course Totals'!I$4,'[1]import success seats course'!$1:$2,2,FALSE),FALSE)/(VLOOKUP($A710,'[1]import graded seats course pivo'!$A:AG,HLOOKUP('[1]Course Totals'!I$4,'[1]import graded seats course pivo'!$1:$2,2,FALSE),FALSE))),"")</f>
        <v>0.72972972972972971</v>
      </c>
      <c r="J710" s="14" t="str">
        <f>IFERROR((VLOOKUP($A710,'[1]import success seats course'!$A:X,HLOOKUP('[1]Course Totals'!J$4,'[1]import success seats course'!$1:$2,2,FALSE),FALSE)/(VLOOKUP($A710,'[1]import graded seats course pivo'!$A:AH,HLOOKUP('[1]Course Totals'!J$4,'[1]import graded seats course pivo'!$1:$2,2,FALSE),FALSE))),"")</f>
        <v/>
      </c>
      <c r="K710" s="14" t="str">
        <f>IFERROR((VLOOKUP($A710,'[1]import success seats course'!$A:Y,HLOOKUP('[1]Course Totals'!K$4,'[1]import success seats course'!$1:$2,2,FALSE),FALSE)/(VLOOKUP($A710,'[1]import graded seats course pivo'!$A:AI,HLOOKUP('[1]Course Totals'!K$4,'[1]import graded seats course pivo'!$1:$2,2,FALSE),FALSE))),"")</f>
        <v/>
      </c>
      <c r="L710" s="14">
        <f>IFERROR((VLOOKUP($A710,'[1]import success seats course'!$A:Z,HLOOKUP('[1]Course Totals'!L$4,'[1]import success seats course'!$1:$2,2,FALSE),FALSE)/(VLOOKUP($A710,'[1]import graded seats course pivo'!$A:AJ,HLOOKUP('[1]Course Totals'!L$4,'[1]import graded seats course pivo'!$1:$2,2,FALSE),FALSE))),"")</f>
        <v>0.77500000000000002</v>
      </c>
      <c r="M710" s="14" t="str">
        <f>IFERROR((VLOOKUP($A710,'[1]import success seats course'!$A:AA,HLOOKUP('[1]Course Totals'!M$4,'[1]import success seats course'!$1:$2,2,FALSE),FALSE)/(VLOOKUP($A710,'[1]import graded seats course pivo'!$A:AK,HLOOKUP('[1]Course Totals'!M$4,'[1]import graded seats course pivo'!$1:$2,2,FALSE),FALSE))),"")</f>
        <v/>
      </c>
      <c r="N710" s="14" t="str">
        <f>IFERROR((VLOOKUP($A710,'[1]import success seats course'!$A:AB,HLOOKUP('[1]Course Totals'!N$4,'[1]import success seats course'!$1:$2,2,FALSE),FALSE)/(VLOOKUP($A710,'[1]import graded seats course pivo'!$A:AL,HLOOKUP('[1]Course Totals'!N$4,'[1]import graded seats course pivo'!$1:$2,2,FALSE),FALSE))),"")</f>
        <v/>
      </c>
      <c r="O710" s="14" t="str">
        <f>IFERROR((VLOOKUP($A710,'[1]import success seats course'!$A:AC,HLOOKUP('[1]Course Totals'!O$4,'[1]import success seats course'!$1:$2,2,FALSE),FALSE)/(VLOOKUP($A710,'[1]import graded seats course pivo'!$A:AM,HLOOKUP('[1]Course Totals'!O$4,'[1]import graded seats course pivo'!$1:$2,2,FALSE),FALSE))),"")</f>
        <v/>
      </c>
      <c r="P710" s="14" t="str">
        <f>IFERROR((VLOOKUP($A710,'[1]import success seats course'!$A:AD,HLOOKUP('[1]Course Totals'!P$4,'[1]import success seats course'!$1:$2,2,FALSE),FALSE)/(VLOOKUP($A710,'[1]import graded seats course pivo'!$A:AN,HLOOKUP('[1]Course Totals'!P$4,'[1]import graded seats course pivo'!$1:$2,2,FALSE),FALSE))),"")</f>
        <v/>
      </c>
      <c r="Q710" s="14" t="str">
        <f>IFERROR((VLOOKUP($A710,'[1]import success seats course'!$A:AE,HLOOKUP('[1]Course Totals'!Q$4,'[1]import success seats course'!$1:$2,2,FALSE),FALSE)/(VLOOKUP($A710,'[1]import graded seats course pivo'!$A:AO,HLOOKUP('[1]Course Totals'!Q$4,'[1]import graded seats course pivo'!$1:$2,2,FALSE),FALSE))),"")</f>
        <v/>
      </c>
      <c r="R710" s="14">
        <f>IFERROR((VLOOKUP($A710,'[1]import success seats course'!$A:AF,HLOOKUP('[1]Course Totals'!R$4,'[1]import success seats course'!$1:$2,2,FALSE),FALSE)/(VLOOKUP($A710,'[1]import graded seats course pivo'!$A:AP,HLOOKUP('[1]Course Totals'!R$4,'[1]import graded seats course pivo'!$1:$2,2,FALSE),FALSE))),"")</f>
        <v>0.85</v>
      </c>
      <c r="S710" s="14" t="str">
        <f>IFERROR((VLOOKUP($A710,'[1]import success seats course'!$A:AG,HLOOKUP('[1]Course Totals'!S$4,'[1]import success seats course'!$1:$2,2,FALSE),FALSE)/(VLOOKUP($A710,'[1]import graded seats course pivo'!$A:AQ,HLOOKUP('[1]Course Totals'!S$4,'[1]import graded seats course pivo'!$1:$2,2,FALSE),FALSE))),"")</f>
        <v/>
      </c>
      <c r="Z710" s="7"/>
      <c r="AA710" s="7"/>
      <c r="AB710" s="7"/>
      <c r="AC710" s="7"/>
    </row>
    <row r="711" spans="1:29" ht="15.75" customHeight="1" x14ac:dyDescent="0.25">
      <c r="A711" s="12" t="s">
        <v>326</v>
      </c>
      <c r="B711" s="14" t="str">
        <f>IFERROR((VLOOKUP($A711,'[1]import success seats course'!$A:P,HLOOKUP('[1]Course Totals'!B$4,'[1]import success seats course'!$1:$2,2,FALSE),FALSE)/(VLOOKUP($A711,'[1]import graded seats course pivo'!$A:Z,HLOOKUP('[1]Course Totals'!B$4,'[1]import graded seats course pivo'!$1:$2,2,FALSE),FALSE))),"")</f>
        <v/>
      </c>
      <c r="C711" s="14">
        <f>IFERROR((VLOOKUP($A711,'[1]import success seats course'!$A:Q,HLOOKUP('[1]Course Totals'!C$4,'[1]import success seats course'!$1:$2,2,FALSE),FALSE)/(VLOOKUP($A711,'[1]import graded seats course pivo'!$A:AA,HLOOKUP('[1]Course Totals'!C$4,'[1]import graded seats course pivo'!$1:$2,2,FALSE),FALSE))),"")</f>
        <v>1</v>
      </c>
      <c r="D711" s="14">
        <f>IFERROR((VLOOKUP($A711,'[1]import success seats course'!$A:R,HLOOKUP('[1]Course Totals'!D$4,'[1]import success seats course'!$1:$2,2,FALSE),FALSE)/(VLOOKUP($A711,'[1]import graded seats course pivo'!$A:AB,HLOOKUP('[1]Course Totals'!D$4,'[1]import graded seats course pivo'!$1:$2,2,FALSE),FALSE))),"")</f>
        <v>1</v>
      </c>
      <c r="E711" s="14" t="str">
        <f>IFERROR((VLOOKUP($A711,'[1]import success seats course'!$A:S,HLOOKUP('[1]Course Totals'!E$4,'[1]import success seats course'!$1:$2,2,FALSE),FALSE)/(VLOOKUP($A711,'[1]import graded seats course pivo'!$A:AC,HLOOKUP('[1]Course Totals'!E$4,'[1]import graded seats course pivo'!$1:$2,2,FALSE),FALSE))),"")</f>
        <v/>
      </c>
      <c r="F711" s="14">
        <f>IFERROR((VLOOKUP($A711,'[1]import success seats course'!$A:T,HLOOKUP('[1]Course Totals'!F$4,'[1]import success seats course'!$1:$2,2,FALSE),FALSE)/(VLOOKUP($A711,'[1]import graded seats course pivo'!$A:AD,HLOOKUP('[1]Course Totals'!F$4,'[1]import graded seats course pivo'!$1:$2,2,FALSE),FALSE))),"")</f>
        <v>1</v>
      </c>
      <c r="G711" s="14">
        <f>IFERROR((VLOOKUP($A711,'[1]import success seats course'!$A:U,HLOOKUP('[1]Course Totals'!G$4,'[1]import success seats course'!$1:$2,2,FALSE),FALSE)/(VLOOKUP($A711,'[1]import graded seats course pivo'!$A:AE,HLOOKUP('[1]Course Totals'!G$4,'[1]import graded seats course pivo'!$1:$2,2,FALSE),FALSE))),"")</f>
        <v>0.875</v>
      </c>
      <c r="H711" s="14" t="str">
        <f>IFERROR((VLOOKUP($A711,'[1]import success seats course'!$A:V,HLOOKUP('[1]Course Totals'!H$4,'[1]import success seats course'!$1:$2,2,FALSE),FALSE)/(VLOOKUP($A711,'[1]import graded seats course pivo'!$A:AF,HLOOKUP('[1]Course Totals'!H$4,'[1]import graded seats course pivo'!$1:$2,2,FALSE),FALSE))),"")</f>
        <v/>
      </c>
      <c r="I711" s="14" t="str">
        <f>IFERROR((VLOOKUP($A711,'[1]import success seats course'!$A:W,HLOOKUP('[1]Course Totals'!I$4,'[1]import success seats course'!$1:$2,2,FALSE),FALSE)/(VLOOKUP($A711,'[1]import graded seats course pivo'!$A:AG,HLOOKUP('[1]Course Totals'!I$4,'[1]import graded seats course pivo'!$1:$2,2,FALSE),FALSE))),"")</f>
        <v/>
      </c>
      <c r="J711" s="14" t="str">
        <f>IFERROR((VLOOKUP($A711,'[1]import success seats course'!$A:X,HLOOKUP('[1]Course Totals'!J$4,'[1]import success seats course'!$1:$2,2,FALSE),FALSE)/(VLOOKUP($A711,'[1]import graded seats course pivo'!$A:AH,HLOOKUP('[1]Course Totals'!J$4,'[1]import graded seats course pivo'!$1:$2,2,FALSE),FALSE))),"")</f>
        <v/>
      </c>
      <c r="K711" s="14" t="str">
        <f>IFERROR((VLOOKUP($A711,'[1]import success seats course'!$A:Y,HLOOKUP('[1]Course Totals'!K$4,'[1]import success seats course'!$1:$2,2,FALSE),FALSE)/(VLOOKUP($A711,'[1]import graded seats course pivo'!$A:AI,HLOOKUP('[1]Course Totals'!K$4,'[1]import graded seats course pivo'!$1:$2,2,FALSE),FALSE))),"")</f>
        <v/>
      </c>
      <c r="L711" s="14" t="str">
        <f>IFERROR((VLOOKUP($A711,'[1]import success seats course'!$A:Z,HLOOKUP('[1]Course Totals'!L$4,'[1]import success seats course'!$1:$2,2,FALSE),FALSE)/(VLOOKUP($A711,'[1]import graded seats course pivo'!$A:AJ,HLOOKUP('[1]Course Totals'!L$4,'[1]import graded seats course pivo'!$1:$2,2,FALSE),FALSE))),"")</f>
        <v/>
      </c>
      <c r="M711" s="14" t="str">
        <f>IFERROR((VLOOKUP($A711,'[1]import success seats course'!$A:AA,HLOOKUP('[1]Course Totals'!M$4,'[1]import success seats course'!$1:$2,2,FALSE),FALSE)/(VLOOKUP($A711,'[1]import graded seats course pivo'!$A:AK,HLOOKUP('[1]Course Totals'!M$4,'[1]import graded seats course pivo'!$1:$2,2,FALSE),FALSE))),"")</f>
        <v/>
      </c>
      <c r="N711" s="14" t="str">
        <f>IFERROR((VLOOKUP($A711,'[1]import success seats course'!$A:AB,HLOOKUP('[1]Course Totals'!N$4,'[1]import success seats course'!$1:$2,2,FALSE),FALSE)/(VLOOKUP($A711,'[1]import graded seats course pivo'!$A:AL,HLOOKUP('[1]Course Totals'!N$4,'[1]import graded seats course pivo'!$1:$2,2,FALSE),FALSE))),"")</f>
        <v/>
      </c>
      <c r="O711" s="14">
        <f>IFERROR((VLOOKUP($A711,'[1]import success seats course'!$A:AC,HLOOKUP('[1]Course Totals'!O$4,'[1]import success seats course'!$1:$2,2,FALSE),FALSE)/(VLOOKUP($A711,'[1]import graded seats course pivo'!$A:AM,HLOOKUP('[1]Course Totals'!O$4,'[1]import graded seats course pivo'!$1:$2,2,FALSE),FALSE))),"")</f>
        <v>1</v>
      </c>
      <c r="P711" s="14">
        <f>IFERROR((VLOOKUP($A711,'[1]import success seats course'!$A:AD,HLOOKUP('[1]Course Totals'!P$4,'[1]import success seats course'!$1:$2,2,FALSE),FALSE)/(VLOOKUP($A711,'[1]import graded seats course pivo'!$A:AN,HLOOKUP('[1]Course Totals'!P$4,'[1]import graded seats course pivo'!$1:$2,2,FALSE),FALSE))),"")</f>
        <v>1</v>
      </c>
      <c r="Q711" s="14" t="str">
        <f>IFERROR((VLOOKUP($A711,'[1]import success seats course'!$A:AE,HLOOKUP('[1]Course Totals'!Q$4,'[1]import success seats course'!$1:$2,2,FALSE),FALSE)/(VLOOKUP($A711,'[1]import graded seats course pivo'!$A:AO,HLOOKUP('[1]Course Totals'!Q$4,'[1]import graded seats course pivo'!$1:$2,2,FALSE),FALSE))),"")</f>
        <v/>
      </c>
      <c r="R711" s="14" t="str">
        <f>IFERROR((VLOOKUP($A711,'[1]import success seats course'!$A:AF,HLOOKUP('[1]Course Totals'!R$4,'[1]import success seats course'!$1:$2,2,FALSE),FALSE)/(VLOOKUP($A711,'[1]import graded seats course pivo'!$A:AP,HLOOKUP('[1]Course Totals'!R$4,'[1]import graded seats course pivo'!$1:$2,2,FALSE),FALSE))),"")</f>
        <v/>
      </c>
      <c r="S711" s="14" t="str">
        <f>IFERROR((VLOOKUP($A711,'[1]import success seats course'!$A:AG,HLOOKUP('[1]Course Totals'!S$4,'[1]import success seats course'!$1:$2,2,FALSE),FALSE)/(VLOOKUP($A711,'[1]import graded seats course pivo'!$A:AQ,HLOOKUP('[1]Course Totals'!S$4,'[1]import graded seats course pivo'!$1:$2,2,FALSE),FALSE))),"")</f>
        <v/>
      </c>
      <c r="Z711" s="7"/>
      <c r="AA711" s="7"/>
      <c r="AB711" s="7"/>
      <c r="AC711" s="7"/>
    </row>
    <row r="712" spans="1:29" ht="15.75" customHeight="1" x14ac:dyDescent="0.25">
      <c r="A712" s="12" t="s">
        <v>925</v>
      </c>
      <c r="B712" s="14" t="str">
        <f>IFERROR((VLOOKUP($A712,'[1]import success seats course'!$A:P,HLOOKUP('[1]Course Totals'!B$4,'[1]import success seats course'!$1:$2,2,FALSE),FALSE)/(VLOOKUP($A712,'[1]import graded seats course pivo'!$A:Z,HLOOKUP('[1]Course Totals'!B$4,'[1]import graded seats course pivo'!$1:$2,2,FALSE),FALSE))),"")</f>
        <v/>
      </c>
      <c r="C712" s="14" t="str">
        <f>IFERROR((VLOOKUP($A712,'[1]import success seats course'!$A:Q,HLOOKUP('[1]Course Totals'!C$4,'[1]import success seats course'!$1:$2,2,FALSE),FALSE)/(VLOOKUP($A712,'[1]import graded seats course pivo'!$A:AA,HLOOKUP('[1]Course Totals'!C$4,'[1]import graded seats course pivo'!$1:$2,2,FALSE),FALSE))),"")</f>
        <v/>
      </c>
      <c r="D712" s="14" t="str">
        <f>IFERROR((VLOOKUP($A712,'[1]import success seats course'!$A:R,HLOOKUP('[1]Course Totals'!D$4,'[1]import success seats course'!$1:$2,2,FALSE),FALSE)/(VLOOKUP($A712,'[1]import graded seats course pivo'!$A:AB,HLOOKUP('[1]Course Totals'!D$4,'[1]import graded seats course pivo'!$1:$2,2,FALSE),FALSE))),"")</f>
        <v/>
      </c>
      <c r="E712" s="14" t="str">
        <f>IFERROR((VLOOKUP($A712,'[1]import success seats course'!$A:S,HLOOKUP('[1]Course Totals'!E$4,'[1]import success seats course'!$1:$2,2,FALSE),FALSE)/(VLOOKUP($A712,'[1]import graded seats course pivo'!$A:AC,HLOOKUP('[1]Course Totals'!E$4,'[1]import graded seats course pivo'!$1:$2,2,FALSE),FALSE))),"")</f>
        <v/>
      </c>
      <c r="F712" s="14" t="str">
        <f>IFERROR((VLOOKUP($A712,'[1]import success seats course'!$A:T,HLOOKUP('[1]Course Totals'!F$4,'[1]import success seats course'!$1:$2,2,FALSE),FALSE)/(VLOOKUP($A712,'[1]import graded seats course pivo'!$A:AD,HLOOKUP('[1]Course Totals'!F$4,'[1]import graded seats course pivo'!$1:$2,2,FALSE),FALSE))),"")</f>
        <v/>
      </c>
      <c r="G712" s="14" t="str">
        <f>IFERROR((VLOOKUP($A712,'[1]import success seats course'!$A:U,HLOOKUP('[1]Course Totals'!G$4,'[1]import success seats course'!$1:$2,2,FALSE),FALSE)/(VLOOKUP($A712,'[1]import graded seats course pivo'!$A:AE,HLOOKUP('[1]Course Totals'!G$4,'[1]import graded seats course pivo'!$1:$2,2,FALSE),FALSE))),"")</f>
        <v/>
      </c>
      <c r="H712" s="14" t="str">
        <f>IFERROR((VLOOKUP($A712,'[1]import success seats course'!$A:V,HLOOKUP('[1]Course Totals'!H$4,'[1]import success seats course'!$1:$2,2,FALSE),FALSE)/(VLOOKUP($A712,'[1]import graded seats course pivo'!$A:AF,HLOOKUP('[1]Course Totals'!H$4,'[1]import graded seats course pivo'!$1:$2,2,FALSE),FALSE))),"")</f>
        <v/>
      </c>
      <c r="I712" s="14" t="str">
        <f>IFERROR((VLOOKUP($A712,'[1]import success seats course'!$A:W,HLOOKUP('[1]Course Totals'!I$4,'[1]import success seats course'!$1:$2,2,FALSE),FALSE)/(VLOOKUP($A712,'[1]import graded seats course pivo'!$A:AG,HLOOKUP('[1]Course Totals'!I$4,'[1]import graded seats course pivo'!$1:$2,2,FALSE),FALSE))),"")</f>
        <v/>
      </c>
      <c r="J712" s="14" t="str">
        <f>IFERROR((VLOOKUP($A712,'[1]import success seats course'!$A:X,HLOOKUP('[1]Course Totals'!J$4,'[1]import success seats course'!$1:$2,2,FALSE),FALSE)/(VLOOKUP($A712,'[1]import graded seats course pivo'!$A:AH,HLOOKUP('[1]Course Totals'!J$4,'[1]import graded seats course pivo'!$1:$2,2,FALSE),FALSE))),"")</f>
        <v/>
      </c>
      <c r="K712" s="14" t="str">
        <f>IFERROR((VLOOKUP($A712,'[1]import success seats course'!$A:Y,HLOOKUP('[1]Course Totals'!K$4,'[1]import success seats course'!$1:$2,2,FALSE),FALSE)/(VLOOKUP($A712,'[1]import graded seats course pivo'!$A:AI,HLOOKUP('[1]Course Totals'!K$4,'[1]import graded seats course pivo'!$1:$2,2,FALSE),FALSE))),"")</f>
        <v/>
      </c>
      <c r="L712" s="14" t="str">
        <f>IFERROR((VLOOKUP($A712,'[1]import success seats course'!$A:Z,HLOOKUP('[1]Course Totals'!L$4,'[1]import success seats course'!$1:$2,2,FALSE),FALSE)/(VLOOKUP($A712,'[1]import graded seats course pivo'!$A:AJ,HLOOKUP('[1]Course Totals'!L$4,'[1]import graded seats course pivo'!$1:$2,2,FALSE),FALSE))),"")</f>
        <v/>
      </c>
      <c r="M712" s="14">
        <f>IFERROR((VLOOKUP($A712,'[1]import success seats course'!$A:AA,HLOOKUP('[1]Course Totals'!M$4,'[1]import success seats course'!$1:$2,2,FALSE),FALSE)/(VLOOKUP($A712,'[1]import graded seats course pivo'!$A:AK,HLOOKUP('[1]Course Totals'!M$4,'[1]import graded seats course pivo'!$1:$2,2,FALSE),FALSE))),"")</f>
        <v>0.94871794871794868</v>
      </c>
      <c r="N712" s="14" t="str">
        <f>IFERROR((VLOOKUP($A712,'[1]import success seats course'!$A:AB,HLOOKUP('[1]Course Totals'!N$4,'[1]import success seats course'!$1:$2,2,FALSE),FALSE)/(VLOOKUP($A712,'[1]import graded seats course pivo'!$A:AL,HLOOKUP('[1]Course Totals'!N$4,'[1]import graded seats course pivo'!$1:$2,2,FALSE),FALSE))),"")</f>
        <v/>
      </c>
      <c r="O712" s="14" t="str">
        <f>IFERROR((VLOOKUP($A712,'[1]import success seats course'!$A:AC,HLOOKUP('[1]Course Totals'!O$4,'[1]import success seats course'!$1:$2,2,FALSE),FALSE)/(VLOOKUP($A712,'[1]import graded seats course pivo'!$A:AM,HLOOKUP('[1]Course Totals'!O$4,'[1]import graded seats course pivo'!$1:$2,2,FALSE),FALSE))),"")</f>
        <v/>
      </c>
      <c r="P712" s="14">
        <f>IFERROR((VLOOKUP($A712,'[1]import success seats course'!$A:AD,HLOOKUP('[1]Course Totals'!P$4,'[1]import success seats course'!$1:$2,2,FALSE),FALSE)/(VLOOKUP($A712,'[1]import graded seats course pivo'!$A:AN,HLOOKUP('[1]Course Totals'!P$4,'[1]import graded seats course pivo'!$1:$2,2,FALSE),FALSE))),"")</f>
        <v>0.91304347826086951</v>
      </c>
      <c r="Q712" s="14" t="str">
        <f>IFERROR((VLOOKUP($A712,'[1]import success seats course'!$A:AE,HLOOKUP('[1]Course Totals'!Q$4,'[1]import success seats course'!$1:$2,2,FALSE),FALSE)/(VLOOKUP($A712,'[1]import graded seats course pivo'!$A:AO,HLOOKUP('[1]Course Totals'!Q$4,'[1]import graded seats course pivo'!$1:$2,2,FALSE),FALSE))),"")</f>
        <v/>
      </c>
      <c r="R712" s="14" t="str">
        <f>IFERROR((VLOOKUP($A712,'[1]import success seats course'!$A:AF,HLOOKUP('[1]Course Totals'!R$4,'[1]import success seats course'!$1:$2,2,FALSE),FALSE)/(VLOOKUP($A712,'[1]import graded seats course pivo'!$A:AP,HLOOKUP('[1]Course Totals'!R$4,'[1]import graded seats course pivo'!$1:$2,2,FALSE),FALSE))),"")</f>
        <v/>
      </c>
      <c r="S712" s="14">
        <f>IFERROR((VLOOKUP($A712,'[1]import success seats course'!$A:AG,HLOOKUP('[1]Course Totals'!S$4,'[1]import success seats course'!$1:$2,2,FALSE),FALSE)/(VLOOKUP($A712,'[1]import graded seats course pivo'!$A:AQ,HLOOKUP('[1]Course Totals'!S$4,'[1]import graded seats course pivo'!$1:$2,2,FALSE),FALSE))),"")</f>
        <v>0.89189189189189189</v>
      </c>
      <c r="Z712" s="7"/>
      <c r="AA712" s="7"/>
      <c r="AB712" s="7"/>
      <c r="AC712" s="7"/>
    </row>
    <row r="713" spans="1:29" ht="15.75" hidden="1" customHeight="1" x14ac:dyDescent="0.25">
      <c r="A713" s="12" t="s">
        <v>1044</v>
      </c>
      <c r="B713" s="14" t="str">
        <f>IFERROR((VLOOKUP($A713,'[1]import success seats course'!$A:P,HLOOKUP('[1]Course Totals'!B$4,'[1]import success seats course'!$1:$2,2,FALSE),FALSE)/(VLOOKUP($A713,'[1]import graded seats course pivo'!$A:Z,HLOOKUP('[1]Course Totals'!B$4,'[1]import graded seats course pivo'!$1:$2,2,FALSE),FALSE))),"")</f>
        <v/>
      </c>
      <c r="C713" s="14" t="str">
        <f>IFERROR((VLOOKUP($A713,'[1]import success seats course'!$A:Q,HLOOKUP('[1]Course Totals'!C$4,'[1]import success seats course'!$1:$2,2,FALSE),FALSE)/(VLOOKUP($A713,'[1]import graded seats course pivo'!$A:AA,HLOOKUP('[1]Course Totals'!C$4,'[1]import graded seats course pivo'!$1:$2,2,FALSE),FALSE))),"")</f>
        <v/>
      </c>
      <c r="D713" s="14" t="str">
        <f>IFERROR((VLOOKUP($A713,'[1]import success seats course'!$A:R,HLOOKUP('[1]Course Totals'!D$4,'[1]import success seats course'!$1:$2,2,FALSE),FALSE)/(VLOOKUP($A713,'[1]import graded seats course pivo'!$A:AB,HLOOKUP('[1]Course Totals'!D$4,'[1]import graded seats course pivo'!$1:$2,2,FALSE),FALSE))),"")</f>
        <v/>
      </c>
      <c r="E713" s="14" t="str">
        <f>IFERROR((VLOOKUP($A713,'[1]import success seats course'!$A:S,HLOOKUP('[1]Course Totals'!E$4,'[1]import success seats course'!$1:$2,2,FALSE),FALSE)/(VLOOKUP($A713,'[1]import graded seats course pivo'!$A:AC,HLOOKUP('[1]Course Totals'!E$4,'[1]import graded seats course pivo'!$1:$2,2,FALSE),FALSE))),"")</f>
        <v/>
      </c>
      <c r="F713" s="14" t="str">
        <f>IFERROR((VLOOKUP($A713,'[1]import success seats course'!$A:T,HLOOKUP('[1]Course Totals'!F$4,'[1]import success seats course'!$1:$2,2,FALSE),FALSE)/(VLOOKUP($A713,'[1]import graded seats course pivo'!$A:AD,HLOOKUP('[1]Course Totals'!F$4,'[1]import graded seats course pivo'!$1:$2,2,FALSE),FALSE))),"")</f>
        <v/>
      </c>
      <c r="G713" s="14" t="str">
        <f>IFERROR((VLOOKUP($A713,'[1]import success seats course'!$A:U,HLOOKUP('[1]Course Totals'!G$4,'[1]import success seats course'!$1:$2,2,FALSE),FALSE)/(VLOOKUP($A713,'[1]import graded seats course pivo'!$A:AE,HLOOKUP('[1]Course Totals'!G$4,'[1]import graded seats course pivo'!$1:$2,2,FALSE),FALSE))),"")</f>
        <v/>
      </c>
      <c r="H713" s="14" t="str">
        <f>IFERROR((VLOOKUP($A713,'[1]import success seats course'!$A:V,HLOOKUP('[1]Course Totals'!H$4,'[1]import success seats course'!$1:$2,2,FALSE),FALSE)/(VLOOKUP($A713,'[1]import graded seats course pivo'!$A:AF,HLOOKUP('[1]Course Totals'!H$4,'[1]import graded seats course pivo'!$1:$2,2,FALSE),FALSE))),"")</f>
        <v/>
      </c>
      <c r="I713" s="14" t="str">
        <f>IFERROR((VLOOKUP($A713,'[1]import success seats course'!$A:W,HLOOKUP('[1]Course Totals'!I$4,'[1]import success seats course'!$1:$2,2,FALSE),FALSE)/(VLOOKUP($A713,'[1]import graded seats course pivo'!$A:AG,HLOOKUP('[1]Course Totals'!I$4,'[1]import graded seats course pivo'!$1:$2,2,FALSE),FALSE))),"")</f>
        <v/>
      </c>
      <c r="J713" s="14" t="str">
        <f>IFERROR((VLOOKUP($A713,'[1]import success seats course'!$A:X,HLOOKUP('[1]Course Totals'!J$4,'[1]import success seats course'!$1:$2,2,FALSE),FALSE)/(VLOOKUP($A713,'[1]import graded seats course pivo'!$A:AH,HLOOKUP('[1]Course Totals'!J$4,'[1]import graded seats course pivo'!$1:$2,2,FALSE),FALSE))),"")</f>
        <v/>
      </c>
      <c r="K713" s="14" t="str">
        <f>IFERROR((VLOOKUP($A713,'[1]import success seats course'!$A:Y,HLOOKUP('[1]Course Totals'!K$4,'[1]import success seats course'!$1:$2,2,FALSE),FALSE)/(VLOOKUP($A713,'[1]import graded seats course pivo'!$A:AI,HLOOKUP('[1]Course Totals'!K$4,'[1]import graded seats course pivo'!$1:$2,2,FALSE),FALSE))),"")</f>
        <v/>
      </c>
      <c r="L713" s="14" t="str">
        <f>IFERROR((VLOOKUP($A713,'[1]import success seats course'!$A:Z,HLOOKUP('[1]Course Totals'!L$4,'[1]import success seats course'!$1:$2,2,FALSE),FALSE)/(VLOOKUP($A713,'[1]import graded seats course pivo'!$A:AJ,HLOOKUP('[1]Course Totals'!L$4,'[1]import graded seats course pivo'!$1:$2,2,FALSE),FALSE))),"")</f>
        <v/>
      </c>
      <c r="M713" s="14" t="str">
        <f>IFERROR((VLOOKUP($A713,'[1]import success seats course'!$A:AA,HLOOKUP('[1]Course Totals'!M$4,'[1]import success seats course'!$1:$2,2,FALSE),FALSE)/(VLOOKUP($A713,'[1]import graded seats course pivo'!$A:AK,HLOOKUP('[1]Course Totals'!M$4,'[1]import graded seats course pivo'!$1:$2,2,FALSE),FALSE))),"")</f>
        <v/>
      </c>
      <c r="N713" s="14" t="str">
        <f>IFERROR((VLOOKUP($A713,'[1]import success seats course'!$A:AB,HLOOKUP('[1]Course Totals'!N$4,'[1]import success seats course'!$1:$2,2,FALSE),FALSE)/(VLOOKUP($A713,'[1]import graded seats course pivo'!$A:AL,HLOOKUP('[1]Course Totals'!N$4,'[1]import graded seats course pivo'!$1:$2,2,FALSE),FALSE))),"")</f>
        <v/>
      </c>
      <c r="O713" s="14" t="str">
        <f>IFERROR((VLOOKUP($A713,'[1]import success seats course'!$A:AC,HLOOKUP('[1]Course Totals'!O$4,'[1]import success seats course'!$1:$2,2,FALSE),FALSE)/(VLOOKUP($A713,'[1]import graded seats course pivo'!$A:AM,HLOOKUP('[1]Course Totals'!O$4,'[1]import graded seats course pivo'!$1:$2,2,FALSE),FALSE))),"")</f>
        <v/>
      </c>
      <c r="P713" s="14" t="str">
        <f>IFERROR((VLOOKUP($A713,'[1]import success seats course'!$A:AD,HLOOKUP('[1]Course Totals'!P$4,'[1]import success seats course'!$1:$2,2,FALSE),FALSE)/(VLOOKUP($A713,'[1]import graded seats course pivo'!$A:AN,HLOOKUP('[1]Course Totals'!P$4,'[1]import graded seats course pivo'!$1:$2,2,FALSE),FALSE))),"")</f>
        <v/>
      </c>
      <c r="Q713" s="14" t="str">
        <f>IFERROR((VLOOKUP($A713,'[1]import success seats course'!$A:AE,HLOOKUP('[1]Course Totals'!Q$4,'[1]import success seats course'!$1:$2,2,FALSE),FALSE)/(VLOOKUP($A713,'[1]import graded seats course pivo'!$A:AO,HLOOKUP('[1]Course Totals'!Q$4,'[1]import graded seats course pivo'!$1:$2,2,FALSE),FALSE))),"")</f>
        <v/>
      </c>
      <c r="R713" s="14" t="str">
        <f>IFERROR((VLOOKUP($A713,'[1]import success seats course'!$A:AF,HLOOKUP('[1]Course Totals'!R$4,'[1]import success seats course'!$1:$2,2,FALSE),FALSE)/(VLOOKUP($A713,'[1]import graded seats course pivo'!$A:AP,HLOOKUP('[1]Course Totals'!R$4,'[1]import graded seats course pivo'!$1:$2,2,FALSE),FALSE))),"")</f>
        <v/>
      </c>
      <c r="S713" s="14" t="str">
        <f>IFERROR((VLOOKUP($A713,'[1]import success seats course'!$A:AG,HLOOKUP('[1]Course Totals'!S$4,'[1]import success seats course'!$1:$2,2,FALSE),FALSE)/(VLOOKUP($A713,'[1]import graded seats course pivo'!$A:AQ,HLOOKUP('[1]Course Totals'!S$4,'[1]import graded seats course pivo'!$1:$2,2,FALSE),FALSE))),"")</f>
        <v/>
      </c>
      <c r="Z713" s="7"/>
      <c r="AA713" s="7"/>
      <c r="AB713" s="7"/>
      <c r="AC713" s="7"/>
    </row>
    <row r="714" spans="1:29" ht="15.75" customHeight="1" thickBot="1" x14ac:dyDescent="0.3">
      <c r="A714" s="8" t="str">
        <f>'[1]SUBJECTS BASE'!H42</f>
        <v>Library Science</v>
      </c>
      <c r="B714" s="38" t="s">
        <v>1046</v>
      </c>
      <c r="C714" s="39" t="s">
        <v>0</v>
      </c>
      <c r="D714" s="40" t="s">
        <v>868</v>
      </c>
      <c r="E714" s="41" t="s">
        <v>1052</v>
      </c>
      <c r="F714" s="42" t="s">
        <v>546</v>
      </c>
      <c r="G714" s="43" t="s">
        <v>959</v>
      </c>
      <c r="H714" s="44" t="s">
        <v>1060</v>
      </c>
      <c r="I714" s="39" t="s">
        <v>675</v>
      </c>
      <c r="J714" s="45" t="s">
        <v>1006</v>
      </c>
      <c r="K714" s="46" t="s">
        <v>1062</v>
      </c>
      <c r="L714" s="42" t="s">
        <v>762</v>
      </c>
      <c r="M714" s="43" t="s">
        <v>1022</v>
      </c>
      <c r="N714" s="44" t="s">
        <v>1063</v>
      </c>
      <c r="O714" s="39" t="s">
        <v>822</v>
      </c>
      <c r="P714" s="40" t="s">
        <v>1042</v>
      </c>
      <c r="Q714" s="46" t="s">
        <v>1153</v>
      </c>
      <c r="R714" s="42" t="s">
        <v>1154</v>
      </c>
      <c r="S714" s="43" t="s">
        <v>1155</v>
      </c>
      <c r="Z714" s="7"/>
      <c r="AA714" s="7"/>
      <c r="AB714" s="7"/>
      <c r="AC714" s="7"/>
    </row>
    <row r="715" spans="1:29" ht="15.75" customHeight="1" x14ac:dyDescent="0.25">
      <c r="A715" s="12" t="s">
        <v>327</v>
      </c>
      <c r="B715" s="14" t="str">
        <f>IFERROR((VLOOKUP($A715,'[1]import success seats course'!$A:P,HLOOKUP('[1]Course Totals'!B$4,'[1]import success seats course'!$1:$2,2,FALSE),FALSE)/(VLOOKUP($A715,'[1]import graded seats course pivo'!$A:Z,HLOOKUP('[1]Course Totals'!B$4,'[1]import graded seats course pivo'!$1:$2,2,FALSE),FALSE))),"")</f>
        <v/>
      </c>
      <c r="C715" s="14">
        <f>IFERROR((VLOOKUP($A715,'[1]import success seats course'!$A:Q,HLOOKUP('[1]Course Totals'!C$4,'[1]import success seats course'!$1:$2,2,FALSE),FALSE)/(VLOOKUP($A715,'[1]import graded seats course pivo'!$A:AA,HLOOKUP('[1]Course Totals'!C$4,'[1]import graded seats course pivo'!$1:$2,2,FALSE),FALSE))),"")</f>
        <v>0.88235294117647056</v>
      </c>
      <c r="D715" s="14" t="str">
        <f>IFERROR((VLOOKUP($A715,'[1]import success seats course'!$A:R,HLOOKUP('[1]Course Totals'!D$4,'[1]import success seats course'!$1:$2,2,FALSE),FALSE)/(VLOOKUP($A715,'[1]import graded seats course pivo'!$A:AB,HLOOKUP('[1]Course Totals'!D$4,'[1]import graded seats course pivo'!$1:$2,2,FALSE),FALSE))),"")</f>
        <v/>
      </c>
      <c r="E715" s="14" t="str">
        <f>IFERROR((VLOOKUP($A715,'[1]import success seats course'!$A:S,HLOOKUP('[1]Course Totals'!E$4,'[1]import success seats course'!$1:$2,2,FALSE),FALSE)/(VLOOKUP($A715,'[1]import graded seats course pivo'!$A:AC,HLOOKUP('[1]Course Totals'!E$4,'[1]import graded seats course pivo'!$1:$2,2,FALSE),FALSE))),"")</f>
        <v/>
      </c>
      <c r="F715" s="14" t="str">
        <f>IFERROR((VLOOKUP($A715,'[1]import success seats course'!$A:T,HLOOKUP('[1]Course Totals'!F$4,'[1]import success seats course'!$1:$2,2,FALSE),FALSE)/(VLOOKUP($A715,'[1]import graded seats course pivo'!$A:AD,HLOOKUP('[1]Course Totals'!F$4,'[1]import graded seats course pivo'!$1:$2,2,FALSE),FALSE))),"")</f>
        <v/>
      </c>
      <c r="G715" s="14" t="str">
        <f>IFERROR((VLOOKUP($A715,'[1]import success seats course'!$A:U,HLOOKUP('[1]Course Totals'!G$4,'[1]import success seats course'!$1:$2,2,FALSE),FALSE)/(VLOOKUP($A715,'[1]import graded seats course pivo'!$A:AE,HLOOKUP('[1]Course Totals'!G$4,'[1]import graded seats course pivo'!$1:$2,2,FALSE),FALSE))),"")</f>
        <v/>
      </c>
      <c r="H715" s="14" t="str">
        <f>IFERROR((VLOOKUP($A715,'[1]import success seats course'!$A:V,HLOOKUP('[1]Course Totals'!H$4,'[1]import success seats course'!$1:$2,2,FALSE),FALSE)/(VLOOKUP($A715,'[1]import graded seats course pivo'!$A:AF,HLOOKUP('[1]Course Totals'!H$4,'[1]import graded seats course pivo'!$1:$2,2,FALSE),FALSE))),"")</f>
        <v/>
      </c>
      <c r="I715" s="14" t="str">
        <f>IFERROR((VLOOKUP($A715,'[1]import success seats course'!$A:W,HLOOKUP('[1]Course Totals'!I$4,'[1]import success seats course'!$1:$2,2,FALSE),FALSE)/(VLOOKUP($A715,'[1]import graded seats course pivo'!$A:AG,HLOOKUP('[1]Course Totals'!I$4,'[1]import graded seats course pivo'!$1:$2,2,FALSE),FALSE))),"")</f>
        <v/>
      </c>
      <c r="J715" s="14" t="str">
        <f>IFERROR((VLOOKUP($A715,'[1]import success seats course'!$A:X,HLOOKUP('[1]Course Totals'!J$4,'[1]import success seats course'!$1:$2,2,FALSE),FALSE)/(VLOOKUP($A715,'[1]import graded seats course pivo'!$A:AH,HLOOKUP('[1]Course Totals'!J$4,'[1]import graded seats course pivo'!$1:$2,2,FALSE),FALSE))),"")</f>
        <v/>
      </c>
      <c r="K715" s="14" t="str">
        <f>IFERROR((VLOOKUP($A715,'[1]import success seats course'!$A:Y,HLOOKUP('[1]Course Totals'!K$4,'[1]import success seats course'!$1:$2,2,FALSE),FALSE)/(VLOOKUP($A715,'[1]import graded seats course pivo'!$A:AI,HLOOKUP('[1]Course Totals'!K$4,'[1]import graded seats course pivo'!$1:$2,2,FALSE),FALSE))),"")</f>
        <v/>
      </c>
      <c r="L715" s="14" t="str">
        <f>IFERROR((VLOOKUP($A715,'[1]import success seats course'!$A:Z,HLOOKUP('[1]Course Totals'!L$4,'[1]import success seats course'!$1:$2,2,FALSE),FALSE)/(VLOOKUP($A715,'[1]import graded seats course pivo'!$A:AJ,HLOOKUP('[1]Course Totals'!L$4,'[1]import graded seats course pivo'!$1:$2,2,FALSE),FALSE))),"")</f>
        <v/>
      </c>
      <c r="M715" s="14" t="str">
        <f>IFERROR((VLOOKUP($A715,'[1]import success seats course'!$A:AA,HLOOKUP('[1]Course Totals'!M$4,'[1]import success seats course'!$1:$2,2,FALSE),FALSE)/(VLOOKUP($A715,'[1]import graded seats course pivo'!$A:AK,HLOOKUP('[1]Course Totals'!M$4,'[1]import graded seats course pivo'!$1:$2,2,FALSE),FALSE))),"")</f>
        <v/>
      </c>
      <c r="N715" s="14" t="str">
        <f>IFERROR((VLOOKUP($A715,'[1]import success seats course'!$A:AB,HLOOKUP('[1]Course Totals'!N$4,'[1]import success seats course'!$1:$2,2,FALSE),FALSE)/(VLOOKUP($A715,'[1]import graded seats course pivo'!$A:AL,HLOOKUP('[1]Course Totals'!N$4,'[1]import graded seats course pivo'!$1:$2,2,FALSE),FALSE))),"")</f>
        <v/>
      </c>
      <c r="O715" s="14" t="str">
        <f>IFERROR((VLOOKUP($A715,'[1]import success seats course'!$A:AC,HLOOKUP('[1]Course Totals'!O$4,'[1]import success seats course'!$1:$2,2,FALSE),FALSE)/(VLOOKUP($A715,'[1]import graded seats course pivo'!$A:AM,HLOOKUP('[1]Course Totals'!O$4,'[1]import graded seats course pivo'!$1:$2,2,FALSE),FALSE))),"")</f>
        <v/>
      </c>
      <c r="P715" s="14" t="str">
        <f>IFERROR((VLOOKUP($A715,'[1]import success seats course'!$A:AD,HLOOKUP('[1]Course Totals'!P$4,'[1]import success seats course'!$1:$2,2,FALSE),FALSE)/(VLOOKUP($A715,'[1]import graded seats course pivo'!$A:AN,HLOOKUP('[1]Course Totals'!P$4,'[1]import graded seats course pivo'!$1:$2,2,FALSE),FALSE))),"")</f>
        <v/>
      </c>
      <c r="Q715" s="14" t="str">
        <f>IFERROR((VLOOKUP($A715,'[1]import success seats course'!$A:AE,HLOOKUP('[1]Course Totals'!Q$4,'[1]import success seats course'!$1:$2,2,FALSE),FALSE)/(VLOOKUP($A715,'[1]import graded seats course pivo'!$A:AO,HLOOKUP('[1]Course Totals'!Q$4,'[1]import graded seats course pivo'!$1:$2,2,FALSE),FALSE))),"")</f>
        <v/>
      </c>
      <c r="R715" s="14" t="str">
        <f>IFERROR((VLOOKUP($A715,'[1]import success seats course'!$A:AF,HLOOKUP('[1]Course Totals'!R$4,'[1]import success seats course'!$1:$2,2,FALSE),FALSE)/(VLOOKUP($A715,'[1]import graded seats course pivo'!$A:AP,HLOOKUP('[1]Course Totals'!R$4,'[1]import graded seats course pivo'!$1:$2,2,FALSE),FALSE))),"")</f>
        <v/>
      </c>
      <c r="S715" s="14" t="str">
        <f>IFERROR((VLOOKUP($A715,'[1]import success seats course'!$A:AG,HLOOKUP('[1]Course Totals'!S$4,'[1]import success seats course'!$1:$2,2,FALSE),FALSE)/(VLOOKUP($A715,'[1]import graded seats course pivo'!$A:AQ,HLOOKUP('[1]Course Totals'!S$4,'[1]import graded seats course pivo'!$1:$2,2,FALSE),FALSE))),"")</f>
        <v/>
      </c>
      <c r="Z715" s="7"/>
      <c r="AA715" s="7"/>
      <c r="AB715" s="7"/>
      <c r="AC715" s="7"/>
    </row>
    <row r="716" spans="1:29" ht="15.75" customHeight="1" x14ac:dyDescent="0.25">
      <c r="A716" s="12" t="s">
        <v>631</v>
      </c>
      <c r="B716" s="14" t="str">
        <f>IFERROR((VLOOKUP($A716,'[1]import success seats course'!$A:P,HLOOKUP('[1]Course Totals'!B$4,'[1]import success seats course'!$1:$2,2,FALSE),FALSE)/(VLOOKUP($A716,'[1]import graded seats course pivo'!$A:Z,HLOOKUP('[1]Course Totals'!B$4,'[1]import graded seats course pivo'!$1:$2,2,FALSE),FALSE))),"")</f>
        <v/>
      </c>
      <c r="C716" s="14" t="str">
        <f>IFERROR((VLOOKUP($A716,'[1]import success seats course'!$A:Q,HLOOKUP('[1]Course Totals'!C$4,'[1]import success seats course'!$1:$2,2,FALSE),FALSE)/(VLOOKUP($A716,'[1]import graded seats course pivo'!$A:AA,HLOOKUP('[1]Course Totals'!C$4,'[1]import graded seats course pivo'!$1:$2,2,FALSE),FALSE))),"")</f>
        <v/>
      </c>
      <c r="D716" s="14">
        <f>IFERROR((VLOOKUP($A716,'[1]import success seats course'!$A:R,HLOOKUP('[1]Course Totals'!D$4,'[1]import success seats course'!$1:$2,2,FALSE),FALSE)/(VLOOKUP($A716,'[1]import graded seats course pivo'!$A:AB,HLOOKUP('[1]Course Totals'!D$4,'[1]import graded seats course pivo'!$1:$2,2,FALSE),FALSE))),"")</f>
        <v>0.7857142857142857</v>
      </c>
      <c r="E716" s="14" t="str">
        <f>IFERROR((VLOOKUP($A716,'[1]import success seats course'!$A:S,HLOOKUP('[1]Course Totals'!E$4,'[1]import success seats course'!$1:$2,2,FALSE),FALSE)/(VLOOKUP($A716,'[1]import graded seats course pivo'!$A:AC,HLOOKUP('[1]Course Totals'!E$4,'[1]import graded seats course pivo'!$1:$2,2,FALSE),FALSE))),"")</f>
        <v/>
      </c>
      <c r="F716" s="14">
        <f>IFERROR((VLOOKUP($A716,'[1]import success seats course'!$A:T,HLOOKUP('[1]Course Totals'!F$4,'[1]import success seats course'!$1:$2,2,FALSE),FALSE)/(VLOOKUP($A716,'[1]import graded seats course pivo'!$A:AD,HLOOKUP('[1]Course Totals'!F$4,'[1]import graded seats course pivo'!$1:$2,2,FALSE),FALSE))),"")</f>
        <v>0.56000000000000005</v>
      </c>
      <c r="G716" s="14">
        <f>IFERROR((VLOOKUP($A716,'[1]import success seats course'!$A:U,HLOOKUP('[1]Course Totals'!G$4,'[1]import success seats course'!$1:$2,2,FALSE),FALSE)/(VLOOKUP($A716,'[1]import graded seats course pivo'!$A:AE,HLOOKUP('[1]Course Totals'!G$4,'[1]import graded seats course pivo'!$1:$2,2,FALSE),FALSE))),"")</f>
        <v>0.61111111111111116</v>
      </c>
      <c r="H716" s="14" t="str">
        <f>IFERROR((VLOOKUP($A716,'[1]import success seats course'!$A:V,HLOOKUP('[1]Course Totals'!H$4,'[1]import success seats course'!$1:$2,2,FALSE),FALSE)/(VLOOKUP($A716,'[1]import graded seats course pivo'!$A:AF,HLOOKUP('[1]Course Totals'!H$4,'[1]import graded seats course pivo'!$1:$2,2,FALSE),FALSE))),"")</f>
        <v/>
      </c>
      <c r="I716" s="14">
        <f>IFERROR((VLOOKUP($A716,'[1]import success seats course'!$A:W,HLOOKUP('[1]Course Totals'!I$4,'[1]import success seats course'!$1:$2,2,FALSE),FALSE)/(VLOOKUP($A716,'[1]import graded seats course pivo'!$A:AG,HLOOKUP('[1]Course Totals'!I$4,'[1]import graded seats course pivo'!$1:$2,2,FALSE),FALSE))),"")</f>
        <v>0.77777777777777779</v>
      </c>
      <c r="J716" s="14" t="str">
        <f>IFERROR((VLOOKUP($A716,'[1]import success seats course'!$A:X,HLOOKUP('[1]Course Totals'!J$4,'[1]import success seats course'!$1:$2,2,FALSE),FALSE)/(VLOOKUP($A716,'[1]import graded seats course pivo'!$A:AH,HLOOKUP('[1]Course Totals'!J$4,'[1]import graded seats course pivo'!$1:$2,2,FALSE),FALSE))),"")</f>
        <v/>
      </c>
      <c r="K716" s="14" t="str">
        <f>IFERROR((VLOOKUP($A716,'[1]import success seats course'!$A:Y,HLOOKUP('[1]Course Totals'!K$4,'[1]import success seats course'!$1:$2,2,FALSE),FALSE)/(VLOOKUP($A716,'[1]import graded seats course pivo'!$A:AI,HLOOKUP('[1]Course Totals'!K$4,'[1]import graded seats course pivo'!$1:$2,2,FALSE),FALSE))),"")</f>
        <v/>
      </c>
      <c r="L716" s="14" t="str">
        <f>IFERROR((VLOOKUP($A716,'[1]import success seats course'!$A:Z,HLOOKUP('[1]Course Totals'!L$4,'[1]import success seats course'!$1:$2,2,FALSE),FALSE)/(VLOOKUP($A716,'[1]import graded seats course pivo'!$A:AJ,HLOOKUP('[1]Course Totals'!L$4,'[1]import graded seats course pivo'!$1:$2,2,FALSE),FALSE))),"")</f>
        <v/>
      </c>
      <c r="M716" s="14" t="str">
        <f>IFERROR((VLOOKUP($A716,'[1]import success seats course'!$A:AA,HLOOKUP('[1]Course Totals'!M$4,'[1]import success seats course'!$1:$2,2,FALSE),FALSE)/(VLOOKUP($A716,'[1]import graded seats course pivo'!$A:AK,HLOOKUP('[1]Course Totals'!M$4,'[1]import graded seats course pivo'!$1:$2,2,FALSE),FALSE))),"")</f>
        <v/>
      </c>
      <c r="N716" s="14" t="str">
        <f>IFERROR((VLOOKUP($A716,'[1]import success seats course'!$A:AB,HLOOKUP('[1]Course Totals'!N$4,'[1]import success seats course'!$1:$2,2,FALSE),FALSE)/(VLOOKUP($A716,'[1]import graded seats course pivo'!$A:AL,HLOOKUP('[1]Course Totals'!N$4,'[1]import graded seats course pivo'!$1:$2,2,FALSE),FALSE))),"")</f>
        <v/>
      </c>
      <c r="O716" s="14" t="str">
        <f>IFERROR((VLOOKUP($A716,'[1]import success seats course'!$A:AC,HLOOKUP('[1]Course Totals'!O$4,'[1]import success seats course'!$1:$2,2,FALSE),FALSE)/(VLOOKUP($A716,'[1]import graded seats course pivo'!$A:AM,HLOOKUP('[1]Course Totals'!O$4,'[1]import graded seats course pivo'!$1:$2,2,FALSE),FALSE))),"")</f>
        <v/>
      </c>
      <c r="P716" s="14" t="str">
        <f>IFERROR((VLOOKUP($A716,'[1]import success seats course'!$A:AD,HLOOKUP('[1]Course Totals'!P$4,'[1]import success seats course'!$1:$2,2,FALSE),FALSE)/(VLOOKUP($A716,'[1]import graded seats course pivo'!$A:AN,HLOOKUP('[1]Course Totals'!P$4,'[1]import graded seats course pivo'!$1:$2,2,FALSE),FALSE))),"")</f>
        <v/>
      </c>
      <c r="Q716" s="14" t="str">
        <f>IFERROR((VLOOKUP($A716,'[1]import success seats course'!$A:AE,HLOOKUP('[1]Course Totals'!Q$4,'[1]import success seats course'!$1:$2,2,FALSE),FALSE)/(VLOOKUP($A716,'[1]import graded seats course pivo'!$A:AO,HLOOKUP('[1]Course Totals'!Q$4,'[1]import graded seats course pivo'!$1:$2,2,FALSE),FALSE))),"")</f>
        <v/>
      </c>
      <c r="R716" s="14" t="str">
        <f>IFERROR((VLOOKUP($A716,'[1]import success seats course'!$A:AF,HLOOKUP('[1]Course Totals'!R$4,'[1]import success seats course'!$1:$2,2,FALSE),FALSE)/(VLOOKUP($A716,'[1]import graded seats course pivo'!$A:AP,HLOOKUP('[1]Course Totals'!R$4,'[1]import graded seats course pivo'!$1:$2,2,FALSE),FALSE))),"")</f>
        <v/>
      </c>
      <c r="S716" s="14" t="str">
        <f>IFERROR((VLOOKUP($A716,'[1]import success seats course'!$A:AG,HLOOKUP('[1]Course Totals'!S$4,'[1]import success seats course'!$1:$2,2,FALSE),FALSE)/(VLOOKUP($A716,'[1]import graded seats course pivo'!$A:AQ,HLOOKUP('[1]Course Totals'!S$4,'[1]import graded seats course pivo'!$1:$2,2,FALSE),FALSE))),"")</f>
        <v/>
      </c>
      <c r="Z716" s="7"/>
      <c r="AA716" s="7"/>
      <c r="AB716" s="7"/>
      <c r="AC716" s="7"/>
    </row>
    <row r="717" spans="1:29" ht="15.75" customHeight="1" thickBot="1" x14ac:dyDescent="0.3">
      <c r="A717" s="8" t="str">
        <f>'[1]SUBJECTS BASE'!H43</f>
        <v>Learning Skills</v>
      </c>
      <c r="B717" s="38" t="s">
        <v>1046</v>
      </c>
      <c r="C717" s="39" t="s">
        <v>0</v>
      </c>
      <c r="D717" s="40" t="s">
        <v>868</v>
      </c>
      <c r="E717" s="41" t="s">
        <v>1052</v>
      </c>
      <c r="F717" s="42" t="s">
        <v>546</v>
      </c>
      <c r="G717" s="43" t="s">
        <v>959</v>
      </c>
      <c r="H717" s="44" t="s">
        <v>1060</v>
      </c>
      <c r="I717" s="39" t="s">
        <v>675</v>
      </c>
      <c r="J717" s="45" t="s">
        <v>1006</v>
      </c>
      <c r="K717" s="46" t="s">
        <v>1062</v>
      </c>
      <c r="L717" s="42" t="s">
        <v>762</v>
      </c>
      <c r="M717" s="43" t="s">
        <v>1022</v>
      </c>
      <c r="N717" s="44" t="s">
        <v>1063</v>
      </c>
      <c r="O717" s="39" t="s">
        <v>822</v>
      </c>
      <c r="P717" s="40" t="s">
        <v>1042</v>
      </c>
      <c r="Q717" s="46" t="s">
        <v>1153</v>
      </c>
      <c r="R717" s="42" t="s">
        <v>1154</v>
      </c>
      <c r="S717" s="43" t="s">
        <v>1155</v>
      </c>
      <c r="Z717" s="7"/>
      <c r="AA717" s="7"/>
      <c r="AB717" s="7"/>
      <c r="AC717" s="7"/>
    </row>
    <row r="718" spans="1:29" ht="15.75" customHeight="1" x14ac:dyDescent="0.25">
      <c r="A718" s="12" t="s">
        <v>794</v>
      </c>
      <c r="B718" s="14" t="str">
        <f>IFERROR((VLOOKUP($A718,'[1]import success seats course'!$A:P,HLOOKUP('[1]Course Totals'!B$4,'[1]import success seats course'!$1:$2,2,FALSE),FALSE)/(VLOOKUP($A718,'[1]import graded seats course pivo'!$A:Z,HLOOKUP('[1]Course Totals'!B$4,'[1]import graded seats course pivo'!$1:$2,2,FALSE),FALSE))),"")</f>
        <v/>
      </c>
      <c r="C718" s="14" t="str">
        <f>IFERROR((VLOOKUP($A718,'[1]import success seats course'!$A:Q,HLOOKUP('[1]Course Totals'!C$4,'[1]import success seats course'!$1:$2,2,FALSE),FALSE)/(VLOOKUP($A718,'[1]import graded seats course pivo'!$A:AA,HLOOKUP('[1]Course Totals'!C$4,'[1]import graded seats course pivo'!$1:$2,2,FALSE),FALSE))),"")</f>
        <v/>
      </c>
      <c r="D718" s="14" t="str">
        <f>IFERROR((VLOOKUP($A718,'[1]import success seats course'!$A:R,HLOOKUP('[1]Course Totals'!D$4,'[1]import success seats course'!$1:$2,2,FALSE),FALSE)/(VLOOKUP($A718,'[1]import graded seats course pivo'!$A:AB,HLOOKUP('[1]Course Totals'!D$4,'[1]import graded seats course pivo'!$1:$2,2,FALSE),FALSE))),"")</f>
        <v/>
      </c>
      <c r="E718" s="14" t="str">
        <f>IFERROR((VLOOKUP($A718,'[1]import success seats course'!$A:S,HLOOKUP('[1]Course Totals'!E$4,'[1]import success seats course'!$1:$2,2,FALSE),FALSE)/(VLOOKUP($A718,'[1]import graded seats course pivo'!$A:AC,HLOOKUP('[1]Course Totals'!E$4,'[1]import graded seats course pivo'!$1:$2,2,FALSE),FALSE))),"")</f>
        <v/>
      </c>
      <c r="F718" s="14" t="str">
        <f>IFERROR((VLOOKUP($A718,'[1]import success seats course'!$A:T,HLOOKUP('[1]Course Totals'!F$4,'[1]import success seats course'!$1:$2,2,FALSE),FALSE)/(VLOOKUP($A718,'[1]import graded seats course pivo'!$A:AD,HLOOKUP('[1]Course Totals'!F$4,'[1]import graded seats course pivo'!$1:$2,2,FALSE),FALSE))),"")</f>
        <v/>
      </c>
      <c r="G718" s="14" t="str">
        <f>IFERROR((VLOOKUP($A718,'[1]import success seats course'!$A:U,HLOOKUP('[1]Course Totals'!G$4,'[1]import success seats course'!$1:$2,2,FALSE),FALSE)/(VLOOKUP($A718,'[1]import graded seats course pivo'!$A:AE,HLOOKUP('[1]Course Totals'!G$4,'[1]import graded seats course pivo'!$1:$2,2,FALSE),FALSE))),"")</f>
        <v/>
      </c>
      <c r="H718" s="14" t="str">
        <f>IFERROR((VLOOKUP($A718,'[1]import success seats course'!$A:V,HLOOKUP('[1]Course Totals'!H$4,'[1]import success seats course'!$1:$2,2,FALSE),FALSE)/(VLOOKUP($A718,'[1]import graded seats course pivo'!$A:AF,HLOOKUP('[1]Course Totals'!H$4,'[1]import graded seats course pivo'!$1:$2,2,FALSE),FALSE))),"")</f>
        <v/>
      </c>
      <c r="I718" s="14" t="str">
        <f>IFERROR((VLOOKUP($A718,'[1]import success seats course'!$A:W,HLOOKUP('[1]Course Totals'!I$4,'[1]import success seats course'!$1:$2,2,FALSE),FALSE)/(VLOOKUP($A718,'[1]import graded seats course pivo'!$A:AG,HLOOKUP('[1]Course Totals'!I$4,'[1]import graded seats course pivo'!$1:$2,2,FALSE),FALSE))),"")</f>
        <v/>
      </c>
      <c r="J718" s="14" t="str">
        <f>IFERROR((VLOOKUP($A718,'[1]import success seats course'!$A:X,HLOOKUP('[1]Course Totals'!J$4,'[1]import success seats course'!$1:$2,2,FALSE),FALSE)/(VLOOKUP($A718,'[1]import graded seats course pivo'!$A:AH,HLOOKUP('[1]Course Totals'!J$4,'[1]import graded seats course pivo'!$1:$2,2,FALSE),FALSE))),"")</f>
        <v/>
      </c>
      <c r="K718" s="14" t="str">
        <f>IFERROR((VLOOKUP($A718,'[1]import success seats course'!$A:Y,HLOOKUP('[1]Course Totals'!K$4,'[1]import success seats course'!$1:$2,2,FALSE),FALSE)/(VLOOKUP($A718,'[1]import graded seats course pivo'!$A:AI,HLOOKUP('[1]Course Totals'!K$4,'[1]import graded seats course pivo'!$1:$2,2,FALSE),FALSE))),"")</f>
        <v/>
      </c>
      <c r="L718" s="14">
        <f>IFERROR((VLOOKUP($A718,'[1]import success seats course'!$A:Z,HLOOKUP('[1]Course Totals'!L$4,'[1]import success seats course'!$1:$2,2,FALSE),FALSE)/(VLOOKUP($A718,'[1]import graded seats course pivo'!$A:AJ,HLOOKUP('[1]Course Totals'!L$4,'[1]import graded seats course pivo'!$1:$2,2,FALSE),FALSE))),"")</f>
        <v>0.72727272727272729</v>
      </c>
      <c r="M718" s="14">
        <f>IFERROR((VLOOKUP($A718,'[1]import success seats course'!$A:AA,HLOOKUP('[1]Course Totals'!M$4,'[1]import success seats course'!$1:$2,2,FALSE),FALSE)/(VLOOKUP($A718,'[1]import graded seats course pivo'!$A:AK,HLOOKUP('[1]Course Totals'!M$4,'[1]import graded seats course pivo'!$1:$2,2,FALSE),FALSE))),"")</f>
        <v>1</v>
      </c>
      <c r="N718" s="14" t="str">
        <f>IFERROR((VLOOKUP($A718,'[1]import success seats course'!$A:AB,HLOOKUP('[1]Course Totals'!N$4,'[1]import success seats course'!$1:$2,2,FALSE),FALSE)/(VLOOKUP($A718,'[1]import graded seats course pivo'!$A:AL,HLOOKUP('[1]Course Totals'!N$4,'[1]import graded seats course pivo'!$1:$2,2,FALSE),FALSE))),"")</f>
        <v/>
      </c>
      <c r="O718" s="14">
        <f>IFERROR((VLOOKUP($A718,'[1]import success seats course'!$A:AC,HLOOKUP('[1]Course Totals'!O$4,'[1]import success seats course'!$1:$2,2,FALSE),FALSE)/(VLOOKUP($A718,'[1]import graded seats course pivo'!$A:AM,HLOOKUP('[1]Course Totals'!O$4,'[1]import graded seats course pivo'!$1:$2,2,FALSE),FALSE))),"")</f>
        <v>1</v>
      </c>
      <c r="P718" s="14">
        <f>IFERROR((VLOOKUP($A718,'[1]import success seats course'!$A:AD,HLOOKUP('[1]Course Totals'!P$4,'[1]import success seats course'!$1:$2,2,FALSE),FALSE)/(VLOOKUP($A718,'[1]import graded seats course pivo'!$A:AN,HLOOKUP('[1]Course Totals'!P$4,'[1]import graded seats course pivo'!$1:$2,2,FALSE),FALSE))),"")</f>
        <v>1</v>
      </c>
      <c r="Q718" s="14" t="str">
        <f>IFERROR((VLOOKUP($A718,'[1]import success seats course'!$A:AE,HLOOKUP('[1]Course Totals'!Q$4,'[1]import success seats course'!$1:$2,2,FALSE),FALSE)/(VLOOKUP($A718,'[1]import graded seats course pivo'!$A:AO,HLOOKUP('[1]Course Totals'!Q$4,'[1]import graded seats course pivo'!$1:$2,2,FALSE),FALSE))),"")</f>
        <v/>
      </c>
      <c r="R718" s="14">
        <f>IFERROR((VLOOKUP($A718,'[1]import success seats course'!$A:AF,HLOOKUP('[1]Course Totals'!R$4,'[1]import success seats course'!$1:$2,2,FALSE),FALSE)/(VLOOKUP($A718,'[1]import graded seats course pivo'!$A:AP,HLOOKUP('[1]Course Totals'!R$4,'[1]import graded seats course pivo'!$1:$2,2,FALSE),FALSE))),"")</f>
        <v>1</v>
      </c>
      <c r="S718" s="14">
        <f>IFERROR((VLOOKUP($A718,'[1]import success seats course'!$A:AG,HLOOKUP('[1]Course Totals'!S$4,'[1]import success seats course'!$1:$2,2,FALSE),FALSE)/(VLOOKUP($A718,'[1]import graded seats course pivo'!$A:AQ,HLOOKUP('[1]Course Totals'!S$4,'[1]import graded seats course pivo'!$1:$2,2,FALSE),FALSE))),"")</f>
        <v>1</v>
      </c>
      <c r="Z718" s="7"/>
      <c r="AA718" s="7"/>
      <c r="AB718" s="7"/>
      <c r="AC718" s="7"/>
    </row>
    <row r="719" spans="1:29" ht="15.75" customHeight="1" x14ac:dyDescent="0.25">
      <c r="A719" s="12" t="s">
        <v>795</v>
      </c>
      <c r="B719" s="14" t="str">
        <f>IFERROR((VLOOKUP($A719,'[1]import success seats course'!$A:P,HLOOKUP('[1]Course Totals'!B$4,'[1]import success seats course'!$1:$2,2,FALSE),FALSE)/(VLOOKUP($A719,'[1]import graded seats course pivo'!$A:Z,HLOOKUP('[1]Course Totals'!B$4,'[1]import graded seats course pivo'!$1:$2,2,FALSE),FALSE))),"")</f>
        <v/>
      </c>
      <c r="C719" s="14" t="str">
        <f>IFERROR((VLOOKUP($A719,'[1]import success seats course'!$A:Q,HLOOKUP('[1]Course Totals'!C$4,'[1]import success seats course'!$1:$2,2,FALSE),FALSE)/(VLOOKUP($A719,'[1]import graded seats course pivo'!$A:AA,HLOOKUP('[1]Course Totals'!C$4,'[1]import graded seats course pivo'!$1:$2,2,FALSE),FALSE))),"")</f>
        <v/>
      </c>
      <c r="D719" s="14" t="str">
        <f>IFERROR((VLOOKUP($A719,'[1]import success seats course'!$A:R,HLOOKUP('[1]Course Totals'!D$4,'[1]import success seats course'!$1:$2,2,FALSE),FALSE)/(VLOOKUP($A719,'[1]import graded seats course pivo'!$A:AB,HLOOKUP('[1]Course Totals'!D$4,'[1]import graded seats course pivo'!$1:$2,2,FALSE),FALSE))),"")</f>
        <v/>
      </c>
      <c r="E719" s="14" t="str">
        <f>IFERROR((VLOOKUP($A719,'[1]import success seats course'!$A:S,HLOOKUP('[1]Course Totals'!E$4,'[1]import success seats course'!$1:$2,2,FALSE),FALSE)/(VLOOKUP($A719,'[1]import graded seats course pivo'!$A:AC,HLOOKUP('[1]Course Totals'!E$4,'[1]import graded seats course pivo'!$1:$2,2,FALSE),FALSE))),"")</f>
        <v/>
      </c>
      <c r="F719" s="14" t="str">
        <f>IFERROR((VLOOKUP($A719,'[1]import success seats course'!$A:T,HLOOKUP('[1]Course Totals'!F$4,'[1]import success seats course'!$1:$2,2,FALSE),FALSE)/(VLOOKUP($A719,'[1]import graded seats course pivo'!$A:AD,HLOOKUP('[1]Course Totals'!F$4,'[1]import graded seats course pivo'!$1:$2,2,FALSE),FALSE))),"")</f>
        <v/>
      </c>
      <c r="G719" s="14" t="str">
        <f>IFERROR((VLOOKUP($A719,'[1]import success seats course'!$A:U,HLOOKUP('[1]Course Totals'!G$4,'[1]import success seats course'!$1:$2,2,FALSE),FALSE)/(VLOOKUP($A719,'[1]import graded seats course pivo'!$A:AE,HLOOKUP('[1]Course Totals'!G$4,'[1]import graded seats course pivo'!$1:$2,2,FALSE),FALSE))),"")</f>
        <v/>
      </c>
      <c r="H719" s="14" t="str">
        <f>IFERROR((VLOOKUP($A719,'[1]import success seats course'!$A:V,HLOOKUP('[1]Course Totals'!H$4,'[1]import success seats course'!$1:$2,2,FALSE),FALSE)/(VLOOKUP($A719,'[1]import graded seats course pivo'!$A:AF,HLOOKUP('[1]Course Totals'!H$4,'[1]import graded seats course pivo'!$1:$2,2,FALSE),FALSE))),"")</f>
        <v/>
      </c>
      <c r="I719" s="14" t="str">
        <f>IFERROR((VLOOKUP($A719,'[1]import success seats course'!$A:W,HLOOKUP('[1]Course Totals'!I$4,'[1]import success seats course'!$1:$2,2,FALSE),FALSE)/(VLOOKUP($A719,'[1]import graded seats course pivo'!$A:AG,HLOOKUP('[1]Course Totals'!I$4,'[1]import graded seats course pivo'!$1:$2,2,FALSE),FALSE))),"")</f>
        <v/>
      </c>
      <c r="J719" s="14" t="str">
        <f>IFERROR((VLOOKUP($A719,'[1]import success seats course'!$A:X,HLOOKUP('[1]Course Totals'!J$4,'[1]import success seats course'!$1:$2,2,FALSE),FALSE)/(VLOOKUP($A719,'[1]import graded seats course pivo'!$A:AH,HLOOKUP('[1]Course Totals'!J$4,'[1]import graded seats course pivo'!$1:$2,2,FALSE),FALSE))),"")</f>
        <v/>
      </c>
      <c r="K719" s="14" t="str">
        <f>IFERROR((VLOOKUP($A719,'[1]import success seats course'!$A:Y,HLOOKUP('[1]Course Totals'!K$4,'[1]import success seats course'!$1:$2,2,FALSE),FALSE)/(VLOOKUP($A719,'[1]import graded seats course pivo'!$A:AI,HLOOKUP('[1]Course Totals'!K$4,'[1]import graded seats course pivo'!$1:$2,2,FALSE),FALSE))),"")</f>
        <v/>
      </c>
      <c r="L719" s="14">
        <f>IFERROR((VLOOKUP($A719,'[1]import success seats course'!$A:Z,HLOOKUP('[1]Course Totals'!L$4,'[1]import success seats course'!$1:$2,2,FALSE),FALSE)/(VLOOKUP($A719,'[1]import graded seats course pivo'!$A:AJ,HLOOKUP('[1]Course Totals'!L$4,'[1]import graded seats course pivo'!$1:$2,2,FALSE),FALSE))),"")</f>
        <v>0.93333333333333335</v>
      </c>
      <c r="M719" s="14">
        <f>IFERROR((VLOOKUP($A719,'[1]import success seats course'!$A:AA,HLOOKUP('[1]Course Totals'!M$4,'[1]import success seats course'!$1:$2,2,FALSE),FALSE)/(VLOOKUP($A719,'[1]import graded seats course pivo'!$A:AK,HLOOKUP('[1]Course Totals'!M$4,'[1]import graded seats course pivo'!$1:$2,2,FALSE),FALSE))),"")</f>
        <v>0.8</v>
      </c>
      <c r="N719" s="14" t="str">
        <f>IFERROR((VLOOKUP($A719,'[1]import success seats course'!$A:AB,HLOOKUP('[1]Course Totals'!N$4,'[1]import success seats course'!$1:$2,2,FALSE),FALSE)/(VLOOKUP($A719,'[1]import graded seats course pivo'!$A:AL,HLOOKUP('[1]Course Totals'!N$4,'[1]import graded seats course pivo'!$1:$2,2,FALSE),FALSE))),"")</f>
        <v/>
      </c>
      <c r="O719" s="14">
        <f>IFERROR((VLOOKUP($A719,'[1]import success seats course'!$A:AC,HLOOKUP('[1]Course Totals'!O$4,'[1]import success seats course'!$1:$2,2,FALSE),FALSE)/(VLOOKUP($A719,'[1]import graded seats course pivo'!$A:AM,HLOOKUP('[1]Course Totals'!O$4,'[1]import graded seats course pivo'!$1:$2,2,FALSE),FALSE))),"")</f>
        <v>0.75</v>
      </c>
      <c r="P719" s="14">
        <f>IFERROR((VLOOKUP($A719,'[1]import success seats course'!$A:AD,HLOOKUP('[1]Course Totals'!P$4,'[1]import success seats course'!$1:$2,2,FALSE),FALSE)/(VLOOKUP($A719,'[1]import graded seats course pivo'!$A:AN,HLOOKUP('[1]Course Totals'!P$4,'[1]import graded seats course pivo'!$1:$2,2,FALSE),FALSE))),"")</f>
        <v>0.93333333333333335</v>
      </c>
      <c r="Q719" s="14" t="str">
        <f>IFERROR((VLOOKUP($A719,'[1]import success seats course'!$A:AE,HLOOKUP('[1]Course Totals'!Q$4,'[1]import success seats course'!$1:$2,2,FALSE),FALSE)/(VLOOKUP($A719,'[1]import graded seats course pivo'!$A:AO,HLOOKUP('[1]Course Totals'!Q$4,'[1]import graded seats course pivo'!$1:$2,2,FALSE),FALSE))),"")</f>
        <v/>
      </c>
      <c r="R719" s="14">
        <f>IFERROR((VLOOKUP($A719,'[1]import success seats course'!$A:AF,HLOOKUP('[1]Course Totals'!R$4,'[1]import success seats course'!$1:$2,2,FALSE),FALSE)/(VLOOKUP($A719,'[1]import graded seats course pivo'!$A:AP,HLOOKUP('[1]Course Totals'!R$4,'[1]import graded seats course pivo'!$1:$2,2,FALSE),FALSE))),"")</f>
        <v>0.875</v>
      </c>
      <c r="S719" s="14">
        <f>IFERROR((VLOOKUP($A719,'[1]import success seats course'!$A:AG,HLOOKUP('[1]Course Totals'!S$4,'[1]import success seats course'!$1:$2,2,FALSE),FALSE)/(VLOOKUP($A719,'[1]import graded seats course pivo'!$A:AQ,HLOOKUP('[1]Course Totals'!S$4,'[1]import graded seats course pivo'!$1:$2,2,FALSE),FALSE))),"")</f>
        <v>0.93333333333333335</v>
      </c>
      <c r="Z719" s="7"/>
      <c r="AA719" s="7"/>
      <c r="AB719" s="7"/>
      <c r="AC719" s="7"/>
    </row>
    <row r="720" spans="1:29" ht="15.75" customHeight="1" x14ac:dyDescent="0.25">
      <c r="A720" s="12" t="s">
        <v>796</v>
      </c>
      <c r="B720" s="14" t="str">
        <f>IFERROR((VLOOKUP($A720,'[1]import success seats course'!$A:P,HLOOKUP('[1]Course Totals'!B$4,'[1]import success seats course'!$1:$2,2,FALSE),FALSE)/(VLOOKUP($A720,'[1]import graded seats course pivo'!$A:Z,HLOOKUP('[1]Course Totals'!B$4,'[1]import graded seats course pivo'!$1:$2,2,FALSE),FALSE))),"")</f>
        <v/>
      </c>
      <c r="C720" s="14" t="str">
        <f>IFERROR((VLOOKUP($A720,'[1]import success seats course'!$A:Q,HLOOKUP('[1]Course Totals'!C$4,'[1]import success seats course'!$1:$2,2,FALSE),FALSE)/(VLOOKUP($A720,'[1]import graded seats course pivo'!$A:AA,HLOOKUP('[1]Course Totals'!C$4,'[1]import graded seats course pivo'!$1:$2,2,FALSE),FALSE))),"")</f>
        <v/>
      </c>
      <c r="D720" s="14" t="str">
        <f>IFERROR((VLOOKUP($A720,'[1]import success seats course'!$A:R,HLOOKUP('[1]Course Totals'!D$4,'[1]import success seats course'!$1:$2,2,FALSE),FALSE)/(VLOOKUP($A720,'[1]import graded seats course pivo'!$A:AB,HLOOKUP('[1]Course Totals'!D$4,'[1]import graded seats course pivo'!$1:$2,2,FALSE),FALSE))),"")</f>
        <v/>
      </c>
      <c r="E720" s="14" t="str">
        <f>IFERROR((VLOOKUP($A720,'[1]import success seats course'!$A:S,HLOOKUP('[1]Course Totals'!E$4,'[1]import success seats course'!$1:$2,2,FALSE),FALSE)/(VLOOKUP($A720,'[1]import graded seats course pivo'!$A:AC,HLOOKUP('[1]Course Totals'!E$4,'[1]import graded seats course pivo'!$1:$2,2,FALSE),FALSE))),"")</f>
        <v/>
      </c>
      <c r="F720" s="14" t="str">
        <f>IFERROR((VLOOKUP($A720,'[1]import success seats course'!$A:T,HLOOKUP('[1]Course Totals'!F$4,'[1]import success seats course'!$1:$2,2,FALSE),FALSE)/(VLOOKUP($A720,'[1]import graded seats course pivo'!$A:AD,HLOOKUP('[1]Course Totals'!F$4,'[1]import graded seats course pivo'!$1:$2,2,FALSE),FALSE))),"")</f>
        <v/>
      </c>
      <c r="G720" s="14" t="str">
        <f>IFERROR((VLOOKUP($A720,'[1]import success seats course'!$A:U,HLOOKUP('[1]Course Totals'!G$4,'[1]import success seats course'!$1:$2,2,FALSE),FALSE)/(VLOOKUP($A720,'[1]import graded seats course pivo'!$A:AE,HLOOKUP('[1]Course Totals'!G$4,'[1]import graded seats course pivo'!$1:$2,2,FALSE),FALSE))),"")</f>
        <v/>
      </c>
      <c r="H720" s="14" t="str">
        <f>IFERROR((VLOOKUP($A720,'[1]import success seats course'!$A:V,HLOOKUP('[1]Course Totals'!H$4,'[1]import success seats course'!$1:$2,2,FALSE),FALSE)/(VLOOKUP($A720,'[1]import graded seats course pivo'!$A:AF,HLOOKUP('[1]Course Totals'!H$4,'[1]import graded seats course pivo'!$1:$2,2,FALSE),FALSE))),"")</f>
        <v/>
      </c>
      <c r="I720" s="14" t="str">
        <f>IFERROR((VLOOKUP($A720,'[1]import success seats course'!$A:W,HLOOKUP('[1]Course Totals'!I$4,'[1]import success seats course'!$1:$2,2,FALSE),FALSE)/(VLOOKUP($A720,'[1]import graded seats course pivo'!$A:AG,HLOOKUP('[1]Course Totals'!I$4,'[1]import graded seats course pivo'!$1:$2,2,FALSE),FALSE))),"")</f>
        <v/>
      </c>
      <c r="J720" s="14" t="str">
        <f>IFERROR((VLOOKUP($A720,'[1]import success seats course'!$A:X,HLOOKUP('[1]Course Totals'!J$4,'[1]import success seats course'!$1:$2,2,FALSE),FALSE)/(VLOOKUP($A720,'[1]import graded seats course pivo'!$A:AH,HLOOKUP('[1]Course Totals'!J$4,'[1]import graded seats course pivo'!$1:$2,2,FALSE),FALSE))),"")</f>
        <v/>
      </c>
      <c r="K720" s="14" t="str">
        <f>IFERROR((VLOOKUP($A720,'[1]import success seats course'!$A:Y,HLOOKUP('[1]Course Totals'!K$4,'[1]import success seats course'!$1:$2,2,FALSE),FALSE)/(VLOOKUP($A720,'[1]import graded seats course pivo'!$A:AI,HLOOKUP('[1]Course Totals'!K$4,'[1]import graded seats course pivo'!$1:$2,2,FALSE),FALSE))),"")</f>
        <v/>
      </c>
      <c r="L720" s="14">
        <f>IFERROR((VLOOKUP($A720,'[1]import success seats course'!$A:Z,HLOOKUP('[1]Course Totals'!L$4,'[1]import success seats course'!$1:$2,2,FALSE),FALSE)/(VLOOKUP($A720,'[1]import graded seats course pivo'!$A:AJ,HLOOKUP('[1]Course Totals'!L$4,'[1]import graded seats course pivo'!$1:$2,2,FALSE),FALSE))),"")</f>
        <v>1</v>
      </c>
      <c r="M720" s="14">
        <f>IFERROR((VLOOKUP($A720,'[1]import success seats course'!$A:AA,HLOOKUP('[1]Course Totals'!M$4,'[1]import success seats course'!$1:$2,2,FALSE),FALSE)/(VLOOKUP($A720,'[1]import graded seats course pivo'!$A:AK,HLOOKUP('[1]Course Totals'!M$4,'[1]import graded seats course pivo'!$1:$2,2,FALSE),FALSE))),"")</f>
        <v>1</v>
      </c>
      <c r="N720" s="14" t="str">
        <f>IFERROR((VLOOKUP($A720,'[1]import success seats course'!$A:AB,HLOOKUP('[1]Course Totals'!N$4,'[1]import success seats course'!$1:$2,2,FALSE),FALSE)/(VLOOKUP($A720,'[1]import graded seats course pivo'!$A:AL,HLOOKUP('[1]Course Totals'!N$4,'[1]import graded seats course pivo'!$1:$2,2,FALSE),FALSE))),"")</f>
        <v/>
      </c>
      <c r="O720" s="14">
        <f>IFERROR((VLOOKUP($A720,'[1]import success seats course'!$A:AC,HLOOKUP('[1]Course Totals'!O$4,'[1]import success seats course'!$1:$2,2,FALSE),FALSE)/(VLOOKUP($A720,'[1]import graded seats course pivo'!$A:AM,HLOOKUP('[1]Course Totals'!O$4,'[1]import graded seats course pivo'!$1:$2,2,FALSE),FALSE))),"")</f>
        <v>0.90909090909090906</v>
      </c>
      <c r="P720" s="14">
        <f>IFERROR((VLOOKUP($A720,'[1]import success seats course'!$A:AD,HLOOKUP('[1]Course Totals'!P$4,'[1]import success seats course'!$1:$2,2,FALSE),FALSE)/(VLOOKUP($A720,'[1]import graded seats course pivo'!$A:AN,HLOOKUP('[1]Course Totals'!P$4,'[1]import graded seats course pivo'!$1:$2,2,FALSE),FALSE))),"")</f>
        <v>1</v>
      </c>
      <c r="Q720" s="14" t="str">
        <f>IFERROR((VLOOKUP($A720,'[1]import success seats course'!$A:AE,HLOOKUP('[1]Course Totals'!Q$4,'[1]import success seats course'!$1:$2,2,FALSE),FALSE)/(VLOOKUP($A720,'[1]import graded seats course pivo'!$A:AO,HLOOKUP('[1]Course Totals'!Q$4,'[1]import graded seats course pivo'!$1:$2,2,FALSE),FALSE))),"")</f>
        <v/>
      </c>
      <c r="R720" s="14">
        <f>IFERROR((VLOOKUP($A720,'[1]import success seats course'!$A:AF,HLOOKUP('[1]Course Totals'!R$4,'[1]import success seats course'!$1:$2,2,FALSE),FALSE)/(VLOOKUP($A720,'[1]import graded seats course pivo'!$A:AP,HLOOKUP('[1]Course Totals'!R$4,'[1]import graded seats course pivo'!$1:$2,2,FALSE),FALSE))),"")</f>
        <v>1</v>
      </c>
      <c r="S720" s="14">
        <f>IFERROR((VLOOKUP($A720,'[1]import success seats course'!$A:AG,HLOOKUP('[1]Course Totals'!S$4,'[1]import success seats course'!$1:$2,2,FALSE),FALSE)/(VLOOKUP($A720,'[1]import graded seats course pivo'!$A:AQ,HLOOKUP('[1]Course Totals'!S$4,'[1]import graded seats course pivo'!$1:$2,2,FALSE),FALSE))),"")</f>
        <v>1</v>
      </c>
      <c r="Z720" s="7"/>
      <c r="AA720" s="7"/>
      <c r="AB720" s="7"/>
      <c r="AC720" s="7"/>
    </row>
    <row r="721" spans="1:29" ht="15.75" customHeight="1" x14ac:dyDescent="0.25">
      <c r="A721" s="12" t="s">
        <v>797</v>
      </c>
      <c r="B721" s="14" t="str">
        <f>IFERROR((VLOOKUP($A721,'[1]import success seats course'!$A:P,HLOOKUP('[1]Course Totals'!B$4,'[1]import success seats course'!$1:$2,2,FALSE),FALSE)/(VLOOKUP($A721,'[1]import graded seats course pivo'!$A:Z,HLOOKUP('[1]Course Totals'!B$4,'[1]import graded seats course pivo'!$1:$2,2,FALSE),FALSE))),"")</f>
        <v/>
      </c>
      <c r="C721" s="14" t="str">
        <f>IFERROR((VLOOKUP($A721,'[1]import success seats course'!$A:Q,HLOOKUP('[1]Course Totals'!C$4,'[1]import success seats course'!$1:$2,2,FALSE),FALSE)/(VLOOKUP($A721,'[1]import graded seats course pivo'!$A:AA,HLOOKUP('[1]Course Totals'!C$4,'[1]import graded seats course pivo'!$1:$2,2,FALSE),FALSE))),"")</f>
        <v/>
      </c>
      <c r="D721" s="14" t="str">
        <f>IFERROR((VLOOKUP($A721,'[1]import success seats course'!$A:R,HLOOKUP('[1]Course Totals'!D$4,'[1]import success seats course'!$1:$2,2,FALSE),FALSE)/(VLOOKUP($A721,'[1]import graded seats course pivo'!$A:AB,HLOOKUP('[1]Course Totals'!D$4,'[1]import graded seats course pivo'!$1:$2,2,FALSE),FALSE))),"")</f>
        <v/>
      </c>
      <c r="E721" s="14" t="str">
        <f>IFERROR((VLOOKUP($A721,'[1]import success seats course'!$A:S,HLOOKUP('[1]Course Totals'!E$4,'[1]import success seats course'!$1:$2,2,FALSE),FALSE)/(VLOOKUP($A721,'[1]import graded seats course pivo'!$A:AC,HLOOKUP('[1]Course Totals'!E$4,'[1]import graded seats course pivo'!$1:$2,2,FALSE),FALSE))),"")</f>
        <v/>
      </c>
      <c r="F721" s="14" t="str">
        <f>IFERROR((VLOOKUP($A721,'[1]import success seats course'!$A:T,HLOOKUP('[1]Course Totals'!F$4,'[1]import success seats course'!$1:$2,2,FALSE),FALSE)/(VLOOKUP($A721,'[1]import graded seats course pivo'!$A:AD,HLOOKUP('[1]Course Totals'!F$4,'[1]import graded seats course pivo'!$1:$2,2,FALSE),FALSE))),"")</f>
        <v/>
      </c>
      <c r="G721" s="14" t="str">
        <f>IFERROR((VLOOKUP($A721,'[1]import success seats course'!$A:U,HLOOKUP('[1]Course Totals'!G$4,'[1]import success seats course'!$1:$2,2,FALSE),FALSE)/(VLOOKUP($A721,'[1]import graded seats course pivo'!$A:AE,HLOOKUP('[1]Course Totals'!G$4,'[1]import graded seats course pivo'!$1:$2,2,FALSE),FALSE))),"")</f>
        <v/>
      </c>
      <c r="H721" s="14" t="str">
        <f>IFERROR((VLOOKUP($A721,'[1]import success seats course'!$A:V,HLOOKUP('[1]Course Totals'!H$4,'[1]import success seats course'!$1:$2,2,FALSE),FALSE)/(VLOOKUP($A721,'[1]import graded seats course pivo'!$A:AF,HLOOKUP('[1]Course Totals'!H$4,'[1]import graded seats course pivo'!$1:$2,2,FALSE),FALSE))),"")</f>
        <v/>
      </c>
      <c r="I721" s="14" t="str">
        <f>IFERROR((VLOOKUP($A721,'[1]import success seats course'!$A:W,HLOOKUP('[1]Course Totals'!I$4,'[1]import success seats course'!$1:$2,2,FALSE),FALSE)/(VLOOKUP($A721,'[1]import graded seats course pivo'!$A:AG,HLOOKUP('[1]Course Totals'!I$4,'[1]import graded seats course pivo'!$1:$2,2,FALSE),FALSE))),"")</f>
        <v/>
      </c>
      <c r="J721" s="14" t="str">
        <f>IFERROR((VLOOKUP($A721,'[1]import success seats course'!$A:X,HLOOKUP('[1]Course Totals'!J$4,'[1]import success seats course'!$1:$2,2,FALSE),FALSE)/(VLOOKUP($A721,'[1]import graded seats course pivo'!$A:AH,HLOOKUP('[1]Course Totals'!J$4,'[1]import graded seats course pivo'!$1:$2,2,FALSE),FALSE))),"")</f>
        <v/>
      </c>
      <c r="K721" s="14" t="str">
        <f>IFERROR((VLOOKUP($A721,'[1]import success seats course'!$A:Y,HLOOKUP('[1]Course Totals'!K$4,'[1]import success seats course'!$1:$2,2,FALSE),FALSE)/(VLOOKUP($A721,'[1]import graded seats course pivo'!$A:AI,HLOOKUP('[1]Course Totals'!K$4,'[1]import graded seats course pivo'!$1:$2,2,FALSE),FALSE))),"")</f>
        <v/>
      </c>
      <c r="L721" s="14">
        <f>IFERROR((VLOOKUP($A721,'[1]import success seats course'!$A:Z,HLOOKUP('[1]Course Totals'!L$4,'[1]import success seats course'!$1:$2,2,FALSE),FALSE)/(VLOOKUP($A721,'[1]import graded seats course pivo'!$A:AJ,HLOOKUP('[1]Course Totals'!L$4,'[1]import graded seats course pivo'!$1:$2,2,FALSE),FALSE))),"")</f>
        <v>0.875</v>
      </c>
      <c r="M721" s="14">
        <f>IFERROR((VLOOKUP($A721,'[1]import success seats course'!$A:AA,HLOOKUP('[1]Course Totals'!M$4,'[1]import success seats course'!$1:$2,2,FALSE),FALSE)/(VLOOKUP($A721,'[1]import graded seats course pivo'!$A:AK,HLOOKUP('[1]Course Totals'!M$4,'[1]import graded seats course pivo'!$1:$2,2,FALSE),FALSE))),"")</f>
        <v>0.69230769230769229</v>
      </c>
      <c r="N721" s="14" t="str">
        <f>IFERROR((VLOOKUP($A721,'[1]import success seats course'!$A:AB,HLOOKUP('[1]Course Totals'!N$4,'[1]import success seats course'!$1:$2,2,FALSE),FALSE)/(VLOOKUP($A721,'[1]import graded seats course pivo'!$A:AL,HLOOKUP('[1]Course Totals'!N$4,'[1]import graded seats course pivo'!$1:$2,2,FALSE),FALSE))),"")</f>
        <v/>
      </c>
      <c r="O721" s="14">
        <f>IFERROR((VLOOKUP($A721,'[1]import success seats course'!$A:AC,HLOOKUP('[1]Course Totals'!O$4,'[1]import success seats course'!$1:$2,2,FALSE),FALSE)/(VLOOKUP($A721,'[1]import graded seats course pivo'!$A:AM,HLOOKUP('[1]Course Totals'!O$4,'[1]import graded seats course pivo'!$1:$2,2,FALSE),FALSE))),"")</f>
        <v>0.93333333333333335</v>
      </c>
      <c r="P721" s="14">
        <f>IFERROR((VLOOKUP($A721,'[1]import success seats course'!$A:AD,HLOOKUP('[1]Course Totals'!P$4,'[1]import success seats course'!$1:$2,2,FALSE),FALSE)/(VLOOKUP($A721,'[1]import graded seats course pivo'!$A:AN,HLOOKUP('[1]Course Totals'!P$4,'[1]import graded seats course pivo'!$1:$2,2,FALSE),FALSE))),"")</f>
        <v>0.73333333333333328</v>
      </c>
      <c r="Q721" s="14" t="str">
        <f>IFERROR((VLOOKUP($A721,'[1]import success seats course'!$A:AE,HLOOKUP('[1]Course Totals'!Q$4,'[1]import success seats course'!$1:$2,2,FALSE),FALSE)/(VLOOKUP($A721,'[1]import graded seats course pivo'!$A:AO,HLOOKUP('[1]Course Totals'!Q$4,'[1]import graded seats course pivo'!$1:$2,2,FALSE),FALSE))),"")</f>
        <v/>
      </c>
      <c r="R721" s="14">
        <f>IFERROR((VLOOKUP($A721,'[1]import success seats course'!$A:AF,HLOOKUP('[1]Course Totals'!R$4,'[1]import success seats course'!$1:$2,2,FALSE),FALSE)/(VLOOKUP($A721,'[1]import graded seats course pivo'!$A:AP,HLOOKUP('[1]Course Totals'!R$4,'[1]import graded seats course pivo'!$1:$2,2,FALSE),FALSE))),"")</f>
        <v>1</v>
      </c>
      <c r="S721" s="14">
        <f>IFERROR((VLOOKUP($A721,'[1]import success seats course'!$A:AG,HLOOKUP('[1]Course Totals'!S$4,'[1]import success seats course'!$1:$2,2,FALSE),FALSE)/(VLOOKUP($A721,'[1]import graded seats course pivo'!$A:AQ,HLOOKUP('[1]Course Totals'!S$4,'[1]import graded seats course pivo'!$1:$2,2,FALSE),FALSE))),"")</f>
        <v>1</v>
      </c>
      <c r="Z721" s="7"/>
      <c r="AA721" s="7"/>
      <c r="AB721" s="7"/>
      <c r="AC721" s="7"/>
    </row>
    <row r="722" spans="1:29" ht="15.75" hidden="1" customHeight="1" x14ac:dyDescent="0.25">
      <c r="A722" s="12" t="s">
        <v>798</v>
      </c>
      <c r="B722" s="14" t="str">
        <f>IFERROR((VLOOKUP($A722,'[1]import success seats course'!$A:P,HLOOKUP('[1]Course Totals'!B$4,'[1]import success seats course'!$1:$2,2,FALSE),FALSE)/(VLOOKUP($A722,'[1]import graded seats course pivo'!$A:Z,HLOOKUP('[1]Course Totals'!B$4,'[1]import graded seats course pivo'!$1:$2,2,FALSE),FALSE))),"")</f>
        <v/>
      </c>
      <c r="C722" s="14" t="str">
        <f>IFERROR((VLOOKUP($A722,'[1]import success seats course'!$A:Q,HLOOKUP('[1]Course Totals'!C$4,'[1]import success seats course'!$1:$2,2,FALSE),FALSE)/(VLOOKUP($A722,'[1]import graded seats course pivo'!$A:AA,HLOOKUP('[1]Course Totals'!C$4,'[1]import graded seats course pivo'!$1:$2,2,FALSE),FALSE))),"")</f>
        <v/>
      </c>
      <c r="D722" s="14" t="str">
        <f>IFERROR((VLOOKUP($A722,'[1]import success seats course'!$A:R,HLOOKUP('[1]Course Totals'!D$4,'[1]import success seats course'!$1:$2,2,FALSE),FALSE)/(VLOOKUP($A722,'[1]import graded seats course pivo'!$A:AB,HLOOKUP('[1]Course Totals'!D$4,'[1]import graded seats course pivo'!$1:$2,2,FALSE),FALSE))),"")</f>
        <v/>
      </c>
      <c r="E722" s="14" t="str">
        <f>IFERROR((VLOOKUP($A722,'[1]import success seats course'!$A:S,HLOOKUP('[1]Course Totals'!E$4,'[1]import success seats course'!$1:$2,2,FALSE),FALSE)/(VLOOKUP($A722,'[1]import graded seats course pivo'!$A:AC,HLOOKUP('[1]Course Totals'!E$4,'[1]import graded seats course pivo'!$1:$2,2,FALSE),FALSE))),"")</f>
        <v/>
      </c>
      <c r="F722" s="14" t="str">
        <f>IFERROR((VLOOKUP($A722,'[1]import success seats course'!$A:T,HLOOKUP('[1]Course Totals'!F$4,'[1]import success seats course'!$1:$2,2,FALSE),FALSE)/(VLOOKUP($A722,'[1]import graded seats course pivo'!$A:AD,HLOOKUP('[1]Course Totals'!F$4,'[1]import graded seats course pivo'!$1:$2,2,FALSE),FALSE))),"")</f>
        <v/>
      </c>
      <c r="G722" s="14" t="str">
        <f>IFERROR((VLOOKUP($A722,'[1]import success seats course'!$A:U,HLOOKUP('[1]Course Totals'!G$4,'[1]import success seats course'!$1:$2,2,FALSE),FALSE)/(VLOOKUP($A722,'[1]import graded seats course pivo'!$A:AE,HLOOKUP('[1]Course Totals'!G$4,'[1]import graded seats course pivo'!$1:$2,2,FALSE),FALSE))),"")</f>
        <v/>
      </c>
      <c r="H722" s="14" t="str">
        <f>IFERROR((VLOOKUP($A722,'[1]import success seats course'!$A:V,HLOOKUP('[1]Course Totals'!H$4,'[1]import success seats course'!$1:$2,2,FALSE),FALSE)/(VLOOKUP($A722,'[1]import graded seats course pivo'!$A:AF,HLOOKUP('[1]Course Totals'!H$4,'[1]import graded seats course pivo'!$1:$2,2,FALSE),FALSE))),"")</f>
        <v/>
      </c>
      <c r="I722" s="14" t="str">
        <f>IFERROR((VLOOKUP($A722,'[1]import success seats course'!$A:W,HLOOKUP('[1]Course Totals'!I$4,'[1]import success seats course'!$1:$2,2,FALSE),FALSE)/(VLOOKUP($A722,'[1]import graded seats course pivo'!$A:AG,HLOOKUP('[1]Course Totals'!I$4,'[1]import graded seats course pivo'!$1:$2,2,FALSE),FALSE))),"")</f>
        <v/>
      </c>
      <c r="J722" s="14" t="str">
        <f>IFERROR((VLOOKUP($A722,'[1]import success seats course'!$A:X,HLOOKUP('[1]Course Totals'!J$4,'[1]import success seats course'!$1:$2,2,FALSE),FALSE)/(VLOOKUP($A722,'[1]import graded seats course pivo'!$A:AH,HLOOKUP('[1]Course Totals'!J$4,'[1]import graded seats course pivo'!$1:$2,2,FALSE),FALSE))),"")</f>
        <v/>
      </c>
      <c r="K722" s="14" t="str">
        <f>IFERROR((VLOOKUP($A722,'[1]import success seats course'!$A:Y,HLOOKUP('[1]Course Totals'!K$4,'[1]import success seats course'!$1:$2,2,FALSE),FALSE)/(VLOOKUP($A722,'[1]import graded seats course pivo'!$A:AI,HLOOKUP('[1]Course Totals'!K$4,'[1]import graded seats course pivo'!$1:$2,2,FALSE),FALSE))),"")</f>
        <v/>
      </c>
      <c r="L722" s="14" t="str">
        <f>IFERROR((VLOOKUP($A722,'[1]import success seats course'!$A:Z,HLOOKUP('[1]Course Totals'!L$4,'[1]import success seats course'!$1:$2,2,FALSE),FALSE)/(VLOOKUP($A722,'[1]import graded seats course pivo'!$A:AJ,HLOOKUP('[1]Course Totals'!L$4,'[1]import graded seats course pivo'!$1:$2,2,FALSE),FALSE))),"")</f>
        <v/>
      </c>
      <c r="M722" s="14" t="str">
        <f>IFERROR((VLOOKUP($A722,'[1]import success seats course'!$A:AA,HLOOKUP('[1]Course Totals'!M$4,'[1]import success seats course'!$1:$2,2,FALSE),FALSE)/(VLOOKUP($A722,'[1]import graded seats course pivo'!$A:AK,HLOOKUP('[1]Course Totals'!M$4,'[1]import graded seats course pivo'!$1:$2,2,FALSE),FALSE))),"")</f>
        <v/>
      </c>
      <c r="N722" s="14" t="str">
        <f>IFERROR((VLOOKUP($A722,'[1]import success seats course'!$A:AB,HLOOKUP('[1]Course Totals'!N$4,'[1]import success seats course'!$1:$2,2,FALSE),FALSE)/(VLOOKUP($A722,'[1]import graded seats course pivo'!$A:AL,HLOOKUP('[1]Course Totals'!N$4,'[1]import graded seats course pivo'!$1:$2,2,FALSE),FALSE))),"")</f>
        <v/>
      </c>
      <c r="O722" s="14" t="str">
        <f>IFERROR((VLOOKUP($A722,'[1]import success seats course'!$A:AC,HLOOKUP('[1]Course Totals'!O$4,'[1]import success seats course'!$1:$2,2,FALSE),FALSE)/(VLOOKUP($A722,'[1]import graded seats course pivo'!$A:AM,HLOOKUP('[1]Course Totals'!O$4,'[1]import graded seats course pivo'!$1:$2,2,FALSE),FALSE))),"")</f>
        <v/>
      </c>
      <c r="P722" s="14" t="str">
        <f>IFERROR((VLOOKUP($A722,'[1]import success seats course'!$A:AD,HLOOKUP('[1]Course Totals'!P$4,'[1]import success seats course'!$1:$2,2,FALSE),FALSE)/(VLOOKUP($A722,'[1]import graded seats course pivo'!$A:AN,HLOOKUP('[1]Course Totals'!P$4,'[1]import graded seats course pivo'!$1:$2,2,FALSE),FALSE))),"")</f>
        <v/>
      </c>
      <c r="Q722" s="14" t="str">
        <f>IFERROR((VLOOKUP($A722,'[1]import success seats course'!$A:AE,HLOOKUP('[1]Course Totals'!Q$4,'[1]import success seats course'!$1:$2,2,FALSE),FALSE)/(VLOOKUP($A722,'[1]import graded seats course pivo'!$A:AO,HLOOKUP('[1]Course Totals'!Q$4,'[1]import graded seats course pivo'!$1:$2,2,FALSE),FALSE))),"")</f>
        <v/>
      </c>
      <c r="R722" s="14" t="str">
        <f>IFERROR((VLOOKUP($A722,'[1]import success seats course'!$A:AF,HLOOKUP('[1]Course Totals'!R$4,'[1]import success seats course'!$1:$2,2,FALSE),FALSE)/(VLOOKUP($A722,'[1]import graded seats course pivo'!$A:AP,HLOOKUP('[1]Course Totals'!R$4,'[1]import graded seats course pivo'!$1:$2,2,FALSE),FALSE))),"")</f>
        <v/>
      </c>
      <c r="S722" s="14" t="str">
        <f>IFERROR((VLOOKUP($A722,'[1]import success seats course'!$A:AG,HLOOKUP('[1]Course Totals'!S$4,'[1]import success seats course'!$1:$2,2,FALSE),FALSE)/(VLOOKUP($A722,'[1]import graded seats course pivo'!$A:AQ,HLOOKUP('[1]Course Totals'!S$4,'[1]import graded seats course pivo'!$1:$2,2,FALSE),FALSE))),"")</f>
        <v/>
      </c>
      <c r="Z722" s="7"/>
      <c r="AA722" s="7"/>
      <c r="AB722" s="7"/>
      <c r="AC722" s="7"/>
    </row>
    <row r="723" spans="1:29" ht="15.75" customHeight="1" x14ac:dyDescent="0.25">
      <c r="A723" s="12" t="s">
        <v>737</v>
      </c>
      <c r="B723" s="14" t="str">
        <f>IFERROR((VLOOKUP($A723,'[1]import success seats course'!$A:P,HLOOKUP('[1]Course Totals'!B$4,'[1]import success seats course'!$1:$2,2,FALSE),FALSE)/(VLOOKUP($A723,'[1]import graded seats course pivo'!$A:Z,HLOOKUP('[1]Course Totals'!B$4,'[1]import graded seats course pivo'!$1:$2,2,FALSE),FALSE))),"")</f>
        <v/>
      </c>
      <c r="C723" s="14" t="str">
        <f>IFERROR((VLOOKUP($A723,'[1]import success seats course'!$A:Q,HLOOKUP('[1]Course Totals'!C$4,'[1]import success seats course'!$1:$2,2,FALSE),FALSE)/(VLOOKUP($A723,'[1]import graded seats course pivo'!$A:AA,HLOOKUP('[1]Course Totals'!C$4,'[1]import graded seats course pivo'!$1:$2,2,FALSE),FALSE))),"")</f>
        <v/>
      </c>
      <c r="D723" s="14" t="str">
        <f>IFERROR((VLOOKUP($A723,'[1]import success seats course'!$A:R,HLOOKUP('[1]Course Totals'!D$4,'[1]import success seats course'!$1:$2,2,FALSE),FALSE)/(VLOOKUP($A723,'[1]import graded seats course pivo'!$A:AB,HLOOKUP('[1]Course Totals'!D$4,'[1]import graded seats course pivo'!$1:$2,2,FALSE),FALSE))),"")</f>
        <v/>
      </c>
      <c r="E723" s="14" t="str">
        <f>IFERROR((VLOOKUP($A723,'[1]import success seats course'!$A:S,HLOOKUP('[1]Course Totals'!E$4,'[1]import success seats course'!$1:$2,2,FALSE),FALSE)/(VLOOKUP($A723,'[1]import graded seats course pivo'!$A:AC,HLOOKUP('[1]Course Totals'!E$4,'[1]import graded seats course pivo'!$1:$2,2,FALSE),FALSE))),"")</f>
        <v/>
      </c>
      <c r="F723" s="14" t="str">
        <f>IFERROR((VLOOKUP($A723,'[1]import success seats course'!$A:T,HLOOKUP('[1]Course Totals'!F$4,'[1]import success seats course'!$1:$2,2,FALSE),FALSE)/(VLOOKUP($A723,'[1]import graded seats course pivo'!$A:AD,HLOOKUP('[1]Course Totals'!F$4,'[1]import graded seats course pivo'!$1:$2,2,FALSE),FALSE))),"")</f>
        <v/>
      </c>
      <c r="G723" s="14" t="str">
        <f>IFERROR((VLOOKUP($A723,'[1]import success seats course'!$A:U,HLOOKUP('[1]Course Totals'!G$4,'[1]import success seats course'!$1:$2,2,FALSE),FALSE)/(VLOOKUP($A723,'[1]import graded seats course pivo'!$A:AE,HLOOKUP('[1]Course Totals'!G$4,'[1]import graded seats course pivo'!$1:$2,2,FALSE),FALSE))),"")</f>
        <v/>
      </c>
      <c r="H723" s="14" t="str">
        <f>IFERROR((VLOOKUP($A723,'[1]import success seats course'!$A:V,HLOOKUP('[1]Course Totals'!H$4,'[1]import success seats course'!$1:$2,2,FALSE),FALSE)/(VLOOKUP($A723,'[1]import graded seats course pivo'!$A:AF,HLOOKUP('[1]Course Totals'!H$4,'[1]import graded seats course pivo'!$1:$2,2,FALSE),FALSE))),"")</f>
        <v/>
      </c>
      <c r="I723" s="14">
        <f>IFERROR((VLOOKUP($A723,'[1]import success seats course'!$A:W,HLOOKUP('[1]Course Totals'!I$4,'[1]import success seats course'!$1:$2,2,FALSE),FALSE)/(VLOOKUP($A723,'[1]import graded seats course pivo'!$A:AG,HLOOKUP('[1]Course Totals'!I$4,'[1]import graded seats course pivo'!$1:$2,2,FALSE),FALSE))),"")</f>
        <v>1</v>
      </c>
      <c r="J723" s="14">
        <f>IFERROR((VLOOKUP($A723,'[1]import success seats course'!$A:X,HLOOKUP('[1]Course Totals'!J$4,'[1]import success seats course'!$1:$2,2,FALSE),FALSE)/(VLOOKUP($A723,'[1]import graded seats course pivo'!$A:AH,HLOOKUP('[1]Course Totals'!J$4,'[1]import graded seats course pivo'!$1:$2,2,FALSE),FALSE))),"")</f>
        <v>1</v>
      </c>
      <c r="K723" s="14" t="str">
        <f>IFERROR((VLOOKUP($A723,'[1]import success seats course'!$A:Y,HLOOKUP('[1]Course Totals'!K$4,'[1]import success seats course'!$1:$2,2,FALSE),FALSE)/(VLOOKUP($A723,'[1]import graded seats course pivo'!$A:AI,HLOOKUP('[1]Course Totals'!K$4,'[1]import graded seats course pivo'!$1:$2,2,FALSE),FALSE))),"")</f>
        <v/>
      </c>
      <c r="L723" s="14">
        <f>IFERROR((VLOOKUP($A723,'[1]import success seats course'!$A:Z,HLOOKUP('[1]Course Totals'!L$4,'[1]import success seats course'!$1:$2,2,FALSE),FALSE)/(VLOOKUP($A723,'[1]import graded seats course pivo'!$A:AJ,HLOOKUP('[1]Course Totals'!L$4,'[1]import graded seats course pivo'!$1:$2,2,FALSE),FALSE))),"")</f>
        <v>0.9285714285714286</v>
      </c>
      <c r="M723" s="14">
        <f>IFERROR((VLOOKUP($A723,'[1]import success seats course'!$A:AA,HLOOKUP('[1]Course Totals'!M$4,'[1]import success seats course'!$1:$2,2,FALSE),FALSE)/(VLOOKUP($A723,'[1]import graded seats course pivo'!$A:AK,HLOOKUP('[1]Course Totals'!M$4,'[1]import graded seats course pivo'!$1:$2,2,FALSE),FALSE))),"")</f>
        <v>0.93333333333333335</v>
      </c>
      <c r="N723" s="14" t="str">
        <f>IFERROR((VLOOKUP($A723,'[1]import success seats course'!$A:AB,HLOOKUP('[1]Course Totals'!N$4,'[1]import success seats course'!$1:$2,2,FALSE),FALSE)/(VLOOKUP($A723,'[1]import graded seats course pivo'!$A:AL,HLOOKUP('[1]Course Totals'!N$4,'[1]import graded seats course pivo'!$1:$2,2,FALSE),FALSE))),"")</f>
        <v/>
      </c>
      <c r="O723" s="14">
        <f>IFERROR((VLOOKUP($A723,'[1]import success seats course'!$A:AC,HLOOKUP('[1]Course Totals'!O$4,'[1]import success seats course'!$1:$2,2,FALSE),FALSE)/(VLOOKUP($A723,'[1]import graded seats course pivo'!$A:AM,HLOOKUP('[1]Course Totals'!O$4,'[1]import graded seats course pivo'!$1:$2,2,FALSE),FALSE))),"")</f>
        <v>1</v>
      </c>
      <c r="P723" s="14">
        <f>IFERROR((VLOOKUP($A723,'[1]import success seats course'!$A:AD,HLOOKUP('[1]Course Totals'!P$4,'[1]import success seats course'!$1:$2,2,FALSE),FALSE)/(VLOOKUP($A723,'[1]import graded seats course pivo'!$A:AN,HLOOKUP('[1]Course Totals'!P$4,'[1]import graded seats course pivo'!$1:$2,2,FALSE),FALSE))),"")</f>
        <v>0.8</v>
      </c>
      <c r="Q723" s="14" t="str">
        <f>IFERROR((VLOOKUP($A723,'[1]import success seats course'!$A:AE,HLOOKUP('[1]Course Totals'!Q$4,'[1]import success seats course'!$1:$2,2,FALSE),FALSE)/(VLOOKUP($A723,'[1]import graded seats course pivo'!$A:AO,HLOOKUP('[1]Course Totals'!Q$4,'[1]import graded seats course pivo'!$1:$2,2,FALSE),FALSE))),"")</f>
        <v/>
      </c>
      <c r="R723" s="14">
        <f>IFERROR((VLOOKUP($A723,'[1]import success seats course'!$A:AF,HLOOKUP('[1]Course Totals'!R$4,'[1]import success seats course'!$1:$2,2,FALSE),FALSE)/(VLOOKUP($A723,'[1]import graded seats course pivo'!$A:AP,HLOOKUP('[1]Course Totals'!R$4,'[1]import graded seats course pivo'!$1:$2,2,FALSE),FALSE))),"")</f>
        <v>0.93333333333333335</v>
      </c>
      <c r="S723" s="14">
        <f>IFERROR((VLOOKUP($A723,'[1]import success seats course'!$A:AG,HLOOKUP('[1]Course Totals'!S$4,'[1]import success seats course'!$1:$2,2,FALSE),FALSE)/(VLOOKUP($A723,'[1]import graded seats course pivo'!$A:AQ,HLOOKUP('[1]Course Totals'!S$4,'[1]import graded seats course pivo'!$1:$2,2,FALSE),FALSE))),"")</f>
        <v>0.8571428571428571</v>
      </c>
      <c r="Z723" s="7"/>
      <c r="AA723" s="7"/>
      <c r="AB723" s="7"/>
      <c r="AC723" s="7"/>
    </row>
    <row r="724" spans="1:29" ht="15.75" customHeight="1" x14ac:dyDescent="0.25">
      <c r="A724" s="12" t="s">
        <v>328</v>
      </c>
      <c r="B724" s="14">
        <f>IFERROR((VLOOKUP($A724,'[1]import success seats course'!$A:P,HLOOKUP('[1]Course Totals'!B$4,'[1]import success seats course'!$1:$2,2,FALSE),FALSE)/(VLOOKUP($A724,'[1]import graded seats course pivo'!$A:Z,HLOOKUP('[1]Course Totals'!B$4,'[1]import graded seats course pivo'!$1:$2,2,FALSE),FALSE))),"")</f>
        <v>0.875</v>
      </c>
      <c r="C724" s="14">
        <f>IFERROR((VLOOKUP($A724,'[1]import success seats course'!$A:Q,HLOOKUP('[1]Course Totals'!C$4,'[1]import success seats course'!$1:$2,2,FALSE),FALSE)/(VLOOKUP($A724,'[1]import graded seats course pivo'!$A:AA,HLOOKUP('[1]Course Totals'!C$4,'[1]import graded seats course pivo'!$1:$2,2,FALSE),FALSE))),"")</f>
        <v>0.88888888888888884</v>
      </c>
      <c r="D724" s="14">
        <f>IFERROR((VLOOKUP($A724,'[1]import success seats course'!$A:R,HLOOKUP('[1]Course Totals'!D$4,'[1]import success seats course'!$1:$2,2,FALSE),FALSE)/(VLOOKUP($A724,'[1]import graded seats course pivo'!$A:AB,HLOOKUP('[1]Course Totals'!D$4,'[1]import graded seats course pivo'!$1:$2,2,FALSE),FALSE))),"")</f>
        <v>0.9375</v>
      </c>
      <c r="E724" s="14" t="str">
        <f>IFERROR((VLOOKUP($A724,'[1]import success seats course'!$A:S,HLOOKUP('[1]Course Totals'!E$4,'[1]import success seats course'!$1:$2,2,FALSE),FALSE)/(VLOOKUP($A724,'[1]import graded seats course pivo'!$A:AC,HLOOKUP('[1]Course Totals'!E$4,'[1]import graded seats course pivo'!$1:$2,2,FALSE),FALSE))),"")</f>
        <v/>
      </c>
      <c r="F724" s="14">
        <f>IFERROR((VLOOKUP($A724,'[1]import success seats course'!$A:T,HLOOKUP('[1]Course Totals'!F$4,'[1]import success seats course'!$1:$2,2,FALSE),FALSE)/(VLOOKUP($A724,'[1]import graded seats course pivo'!$A:AD,HLOOKUP('[1]Course Totals'!F$4,'[1]import graded seats course pivo'!$1:$2,2,FALSE),FALSE))),"")</f>
        <v>0.92307692307692313</v>
      </c>
      <c r="G724" s="14">
        <f>IFERROR((VLOOKUP($A724,'[1]import success seats course'!$A:U,HLOOKUP('[1]Course Totals'!G$4,'[1]import success seats course'!$1:$2,2,FALSE),FALSE)/(VLOOKUP($A724,'[1]import graded seats course pivo'!$A:AE,HLOOKUP('[1]Course Totals'!G$4,'[1]import graded seats course pivo'!$1:$2,2,FALSE),FALSE))),"")</f>
        <v>0.85185185185185186</v>
      </c>
      <c r="H724" s="14" t="str">
        <f>IFERROR((VLOOKUP($A724,'[1]import success seats course'!$A:V,HLOOKUP('[1]Course Totals'!H$4,'[1]import success seats course'!$1:$2,2,FALSE),FALSE)/(VLOOKUP($A724,'[1]import graded seats course pivo'!$A:AF,HLOOKUP('[1]Course Totals'!H$4,'[1]import graded seats course pivo'!$1:$2,2,FALSE),FALSE))),"")</f>
        <v/>
      </c>
      <c r="I724" s="14">
        <f>IFERROR((VLOOKUP($A724,'[1]import success seats course'!$A:W,HLOOKUP('[1]Course Totals'!I$4,'[1]import success seats course'!$1:$2,2,FALSE),FALSE)/(VLOOKUP($A724,'[1]import graded seats course pivo'!$A:AG,HLOOKUP('[1]Course Totals'!I$4,'[1]import graded seats course pivo'!$1:$2,2,FALSE),FALSE))),"")</f>
        <v>0.94117647058823528</v>
      </c>
      <c r="J724" s="14">
        <f>IFERROR((VLOOKUP($A724,'[1]import success seats course'!$A:X,HLOOKUP('[1]Course Totals'!J$4,'[1]import success seats course'!$1:$2,2,FALSE),FALSE)/(VLOOKUP($A724,'[1]import graded seats course pivo'!$A:AH,HLOOKUP('[1]Course Totals'!J$4,'[1]import graded seats course pivo'!$1:$2,2,FALSE),FALSE))),"")</f>
        <v>0.95238095238095233</v>
      </c>
      <c r="K724" s="14" t="str">
        <f>IFERROR((VLOOKUP($A724,'[1]import success seats course'!$A:Y,HLOOKUP('[1]Course Totals'!K$4,'[1]import success seats course'!$1:$2,2,FALSE),FALSE)/(VLOOKUP($A724,'[1]import graded seats course pivo'!$A:AI,HLOOKUP('[1]Course Totals'!K$4,'[1]import graded seats course pivo'!$1:$2,2,FALSE),FALSE))),"")</f>
        <v/>
      </c>
      <c r="L724" s="14" t="str">
        <f>IFERROR((VLOOKUP($A724,'[1]import success seats course'!$A:Z,HLOOKUP('[1]Course Totals'!L$4,'[1]import success seats course'!$1:$2,2,FALSE),FALSE)/(VLOOKUP($A724,'[1]import graded seats course pivo'!$A:AJ,HLOOKUP('[1]Course Totals'!L$4,'[1]import graded seats course pivo'!$1:$2,2,FALSE),FALSE))),"")</f>
        <v/>
      </c>
      <c r="M724" s="14" t="str">
        <f>IFERROR((VLOOKUP($A724,'[1]import success seats course'!$A:AA,HLOOKUP('[1]Course Totals'!M$4,'[1]import success seats course'!$1:$2,2,FALSE),FALSE)/(VLOOKUP($A724,'[1]import graded seats course pivo'!$A:AK,HLOOKUP('[1]Course Totals'!M$4,'[1]import graded seats course pivo'!$1:$2,2,FALSE),FALSE))),"")</f>
        <v/>
      </c>
      <c r="N724" s="14" t="str">
        <f>IFERROR((VLOOKUP($A724,'[1]import success seats course'!$A:AB,HLOOKUP('[1]Course Totals'!N$4,'[1]import success seats course'!$1:$2,2,FALSE),FALSE)/(VLOOKUP($A724,'[1]import graded seats course pivo'!$A:AL,HLOOKUP('[1]Course Totals'!N$4,'[1]import graded seats course pivo'!$1:$2,2,FALSE),FALSE))),"")</f>
        <v/>
      </c>
      <c r="O724" s="14" t="str">
        <f>IFERROR((VLOOKUP($A724,'[1]import success seats course'!$A:AC,HLOOKUP('[1]Course Totals'!O$4,'[1]import success seats course'!$1:$2,2,FALSE),FALSE)/(VLOOKUP($A724,'[1]import graded seats course pivo'!$A:AM,HLOOKUP('[1]Course Totals'!O$4,'[1]import graded seats course pivo'!$1:$2,2,FALSE),FALSE))),"")</f>
        <v/>
      </c>
      <c r="P724" s="14" t="str">
        <f>IFERROR((VLOOKUP($A724,'[1]import success seats course'!$A:AD,HLOOKUP('[1]Course Totals'!P$4,'[1]import success seats course'!$1:$2,2,FALSE),FALSE)/(VLOOKUP($A724,'[1]import graded seats course pivo'!$A:AN,HLOOKUP('[1]Course Totals'!P$4,'[1]import graded seats course pivo'!$1:$2,2,FALSE),FALSE))),"")</f>
        <v/>
      </c>
      <c r="Q724" s="14" t="str">
        <f>IFERROR((VLOOKUP($A724,'[1]import success seats course'!$A:AE,HLOOKUP('[1]Course Totals'!Q$4,'[1]import success seats course'!$1:$2,2,FALSE),FALSE)/(VLOOKUP($A724,'[1]import graded seats course pivo'!$A:AO,HLOOKUP('[1]Course Totals'!Q$4,'[1]import graded seats course pivo'!$1:$2,2,FALSE),FALSE))),"")</f>
        <v/>
      </c>
      <c r="R724" s="14" t="str">
        <f>IFERROR((VLOOKUP($A724,'[1]import success seats course'!$A:AF,HLOOKUP('[1]Course Totals'!R$4,'[1]import success seats course'!$1:$2,2,FALSE),FALSE)/(VLOOKUP($A724,'[1]import graded seats course pivo'!$A:AP,HLOOKUP('[1]Course Totals'!R$4,'[1]import graded seats course pivo'!$1:$2,2,FALSE),FALSE))),"")</f>
        <v/>
      </c>
      <c r="S724" s="14" t="str">
        <f>IFERROR((VLOOKUP($A724,'[1]import success seats course'!$A:AG,HLOOKUP('[1]Course Totals'!S$4,'[1]import success seats course'!$1:$2,2,FALSE),FALSE)/(VLOOKUP($A724,'[1]import graded seats course pivo'!$A:AQ,HLOOKUP('[1]Course Totals'!S$4,'[1]import graded seats course pivo'!$1:$2,2,FALSE),FALSE))),"")</f>
        <v/>
      </c>
      <c r="Z724" s="7"/>
      <c r="AA724" s="7"/>
      <c r="AB724" s="7"/>
      <c r="AC724" s="7"/>
    </row>
    <row r="725" spans="1:29" ht="15.75" customHeight="1" x14ac:dyDescent="0.25">
      <c r="A725" s="12" t="s">
        <v>329</v>
      </c>
      <c r="B725" s="14" t="str">
        <f>IFERROR((VLOOKUP($A725,'[1]import success seats course'!$A:P,HLOOKUP('[1]Course Totals'!B$4,'[1]import success seats course'!$1:$2,2,FALSE),FALSE)/(VLOOKUP($A725,'[1]import graded seats course pivo'!$A:Z,HLOOKUP('[1]Course Totals'!B$4,'[1]import graded seats course pivo'!$1:$2,2,FALSE),FALSE))),"")</f>
        <v/>
      </c>
      <c r="C725" s="14">
        <f>IFERROR((VLOOKUP($A725,'[1]import success seats course'!$A:Q,HLOOKUP('[1]Course Totals'!C$4,'[1]import success seats course'!$1:$2,2,FALSE),FALSE)/(VLOOKUP($A725,'[1]import graded seats course pivo'!$A:AA,HLOOKUP('[1]Course Totals'!C$4,'[1]import graded seats course pivo'!$1:$2,2,FALSE),FALSE))),"")</f>
        <v>1</v>
      </c>
      <c r="D725" s="14">
        <f>IFERROR((VLOOKUP($A725,'[1]import success seats course'!$A:R,HLOOKUP('[1]Course Totals'!D$4,'[1]import success seats course'!$1:$2,2,FALSE),FALSE)/(VLOOKUP($A725,'[1]import graded seats course pivo'!$A:AB,HLOOKUP('[1]Course Totals'!D$4,'[1]import graded seats course pivo'!$1:$2,2,FALSE),FALSE))),"")</f>
        <v>1</v>
      </c>
      <c r="E725" s="14" t="str">
        <f>IFERROR((VLOOKUP($A725,'[1]import success seats course'!$A:S,HLOOKUP('[1]Course Totals'!E$4,'[1]import success seats course'!$1:$2,2,FALSE),FALSE)/(VLOOKUP($A725,'[1]import graded seats course pivo'!$A:AC,HLOOKUP('[1]Course Totals'!E$4,'[1]import graded seats course pivo'!$1:$2,2,FALSE),FALSE))),"")</f>
        <v/>
      </c>
      <c r="F725" s="14">
        <f>IFERROR((VLOOKUP($A725,'[1]import success seats course'!$A:T,HLOOKUP('[1]Course Totals'!F$4,'[1]import success seats course'!$1:$2,2,FALSE),FALSE)/(VLOOKUP($A725,'[1]import graded seats course pivo'!$A:AD,HLOOKUP('[1]Course Totals'!F$4,'[1]import graded seats course pivo'!$1:$2,2,FALSE),FALSE))),"")</f>
        <v>0.9375</v>
      </c>
      <c r="G725" s="14">
        <f>IFERROR((VLOOKUP($A725,'[1]import success seats course'!$A:U,HLOOKUP('[1]Course Totals'!G$4,'[1]import success seats course'!$1:$2,2,FALSE),FALSE)/(VLOOKUP($A725,'[1]import graded seats course pivo'!$A:AE,HLOOKUP('[1]Course Totals'!G$4,'[1]import graded seats course pivo'!$1:$2,2,FALSE),FALSE))),"")</f>
        <v>0.75</v>
      </c>
      <c r="H725" s="14" t="str">
        <f>IFERROR((VLOOKUP($A725,'[1]import success seats course'!$A:V,HLOOKUP('[1]Course Totals'!H$4,'[1]import success seats course'!$1:$2,2,FALSE),FALSE)/(VLOOKUP($A725,'[1]import graded seats course pivo'!$A:AF,HLOOKUP('[1]Course Totals'!H$4,'[1]import graded seats course pivo'!$1:$2,2,FALSE),FALSE))),"")</f>
        <v/>
      </c>
      <c r="I725" s="14">
        <f>IFERROR((VLOOKUP($A725,'[1]import success seats course'!$A:W,HLOOKUP('[1]Course Totals'!I$4,'[1]import success seats course'!$1:$2,2,FALSE),FALSE)/(VLOOKUP($A725,'[1]import graded seats course pivo'!$A:AG,HLOOKUP('[1]Course Totals'!I$4,'[1]import graded seats course pivo'!$1:$2,2,FALSE),FALSE))),"")</f>
        <v>1</v>
      </c>
      <c r="J725" s="14">
        <f>IFERROR((VLOOKUP($A725,'[1]import success seats course'!$A:X,HLOOKUP('[1]Course Totals'!J$4,'[1]import success seats course'!$1:$2,2,FALSE),FALSE)/(VLOOKUP($A725,'[1]import graded seats course pivo'!$A:AH,HLOOKUP('[1]Course Totals'!J$4,'[1]import graded seats course pivo'!$1:$2,2,FALSE),FALSE))),"")</f>
        <v>0.94117647058823528</v>
      </c>
      <c r="K725" s="14" t="str">
        <f>IFERROR((VLOOKUP($A725,'[1]import success seats course'!$A:Y,HLOOKUP('[1]Course Totals'!K$4,'[1]import success seats course'!$1:$2,2,FALSE),FALSE)/(VLOOKUP($A725,'[1]import graded seats course pivo'!$A:AI,HLOOKUP('[1]Course Totals'!K$4,'[1]import graded seats course pivo'!$1:$2,2,FALSE),FALSE))),"")</f>
        <v/>
      </c>
      <c r="L725" s="14" t="str">
        <f>IFERROR((VLOOKUP($A725,'[1]import success seats course'!$A:Z,HLOOKUP('[1]Course Totals'!L$4,'[1]import success seats course'!$1:$2,2,FALSE),FALSE)/(VLOOKUP($A725,'[1]import graded seats course pivo'!$A:AJ,HLOOKUP('[1]Course Totals'!L$4,'[1]import graded seats course pivo'!$1:$2,2,FALSE),FALSE))),"")</f>
        <v/>
      </c>
      <c r="M725" s="14" t="str">
        <f>IFERROR((VLOOKUP($A725,'[1]import success seats course'!$A:AA,HLOOKUP('[1]Course Totals'!M$4,'[1]import success seats course'!$1:$2,2,FALSE),FALSE)/(VLOOKUP($A725,'[1]import graded seats course pivo'!$A:AK,HLOOKUP('[1]Course Totals'!M$4,'[1]import graded seats course pivo'!$1:$2,2,FALSE),FALSE))),"")</f>
        <v/>
      </c>
      <c r="N725" s="14" t="str">
        <f>IFERROR((VLOOKUP($A725,'[1]import success seats course'!$A:AB,HLOOKUP('[1]Course Totals'!N$4,'[1]import success seats course'!$1:$2,2,FALSE),FALSE)/(VLOOKUP($A725,'[1]import graded seats course pivo'!$A:AL,HLOOKUP('[1]Course Totals'!N$4,'[1]import graded seats course pivo'!$1:$2,2,FALSE),FALSE))),"")</f>
        <v/>
      </c>
      <c r="O725" s="14" t="str">
        <f>IFERROR((VLOOKUP($A725,'[1]import success seats course'!$A:AC,HLOOKUP('[1]Course Totals'!O$4,'[1]import success seats course'!$1:$2,2,FALSE),FALSE)/(VLOOKUP($A725,'[1]import graded seats course pivo'!$A:AM,HLOOKUP('[1]Course Totals'!O$4,'[1]import graded seats course pivo'!$1:$2,2,FALSE),FALSE))),"")</f>
        <v/>
      </c>
      <c r="P725" s="14" t="str">
        <f>IFERROR((VLOOKUP($A725,'[1]import success seats course'!$A:AD,HLOOKUP('[1]Course Totals'!P$4,'[1]import success seats course'!$1:$2,2,FALSE),FALSE)/(VLOOKUP($A725,'[1]import graded seats course pivo'!$A:AN,HLOOKUP('[1]Course Totals'!P$4,'[1]import graded seats course pivo'!$1:$2,2,FALSE),FALSE))),"")</f>
        <v/>
      </c>
      <c r="Q725" s="14" t="str">
        <f>IFERROR((VLOOKUP($A725,'[1]import success seats course'!$A:AE,HLOOKUP('[1]Course Totals'!Q$4,'[1]import success seats course'!$1:$2,2,FALSE),FALSE)/(VLOOKUP($A725,'[1]import graded seats course pivo'!$A:AO,HLOOKUP('[1]Course Totals'!Q$4,'[1]import graded seats course pivo'!$1:$2,2,FALSE),FALSE))),"")</f>
        <v/>
      </c>
      <c r="R725" s="14" t="str">
        <f>IFERROR((VLOOKUP($A725,'[1]import success seats course'!$A:AF,HLOOKUP('[1]Course Totals'!R$4,'[1]import success seats course'!$1:$2,2,FALSE),FALSE)/(VLOOKUP($A725,'[1]import graded seats course pivo'!$A:AP,HLOOKUP('[1]Course Totals'!R$4,'[1]import graded seats course pivo'!$1:$2,2,FALSE),FALSE))),"")</f>
        <v/>
      </c>
      <c r="S725" s="14" t="str">
        <f>IFERROR((VLOOKUP($A725,'[1]import success seats course'!$A:AG,HLOOKUP('[1]Course Totals'!S$4,'[1]import success seats course'!$1:$2,2,FALSE),FALSE)/(VLOOKUP($A725,'[1]import graded seats course pivo'!$A:AQ,HLOOKUP('[1]Course Totals'!S$4,'[1]import graded seats course pivo'!$1:$2,2,FALSE),FALSE))),"")</f>
        <v/>
      </c>
      <c r="Z725" s="7"/>
      <c r="AA725" s="7"/>
      <c r="AB725" s="7"/>
      <c r="AC725" s="7"/>
    </row>
    <row r="726" spans="1:29" ht="15.75" customHeight="1" x14ac:dyDescent="0.25">
      <c r="A726" s="12" t="s">
        <v>330</v>
      </c>
      <c r="B726" s="14" t="str">
        <f>IFERROR((VLOOKUP($A726,'[1]import success seats course'!$A:P,HLOOKUP('[1]Course Totals'!B$4,'[1]import success seats course'!$1:$2,2,FALSE),FALSE)/(VLOOKUP($A726,'[1]import graded seats course pivo'!$A:Z,HLOOKUP('[1]Course Totals'!B$4,'[1]import graded seats course pivo'!$1:$2,2,FALSE),FALSE))),"")</f>
        <v/>
      </c>
      <c r="C726" s="14">
        <f>IFERROR((VLOOKUP($A726,'[1]import success seats course'!$A:Q,HLOOKUP('[1]Course Totals'!C$4,'[1]import success seats course'!$1:$2,2,FALSE),FALSE)/(VLOOKUP($A726,'[1]import graded seats course pivo'!$A:AA,HLOOKUP('[1]Course Totals'!C$4,'[1]import graded seats course pivo'!$1:$2,2,FALSE),FALSE))),"")</f>
        <v>1</v>
      </c>
      <c r="D726" s="14">
        <f>IFERROR((VLOOKUP($A726,'[1]import success seats course'!$A:R,HLOOKUP('[1]Course Totals'!D$4,'[1]import success seats course'!$1:$2,2,FALSE),FALSE)/(VLOOKUP($A726,'[1]import graded seats course pivo'!$A:AB,HLOOKUP('[1]Course Totals'!D$4,'[1]import graded seats course pivo'!$1:$2,2,FALSE),FALSE))),"")</f>
        <v>1</v>
      </c>
      <c r="E726" s="14">
        <f>IFERROR((VLOOKUP($A726,'[1]import success seats course'!$A:S,HLOOKUP('[1]Course Totals'!E$4,'[1]import success seats course'!$1:$2,2,FALSE),FALSE)/(VLOOKUP($A726,'[1]import graded seats course pivo'!$A:AC,HLOOKUP('[1]Course Totals'!E$4,'[1]import graded seats course pivo'!$1:$2,2,FALSE),FALSE))),"")</f>
        <v>0.90909090909090906</v>
      </c>
      <c r="F726" s="14">
        <f>IFERROR((VLOOKUP($A726,'[1]import success seats course'!$A:T,HLOOKUP('[1]Course Totals'!F$4,'[1]import success seats course'!$1:$2,2,FALSE),FALSE)/(VLOOKUP($A726,'[1]import graded seats course pivo'!$A:AD,HLOOKUP('[1]Course Totals'!F$4,'[1]import graded seats course pivo'!$1:$2,2,FALSE),FALSE))),"")</f>
        <v>0.92307692307692313</v>
      </c>
      <c r="G726" s="14">
        <f>IFERROR((VLOOKUP($A726,'[1]import success seats course'!$A:U,HLOOKUP('[1]Course Totals'!G$4,'[1]import success seats course'!$1:$2,2,FALSE),FALSE)/(VLOOKUP($A726,'[1]import graded seats course pivo'!$A:AE,HLOOKUP('[1]Course Totals'!G$4,'[1]import graded seats course pivo'!$1:$2,2,FALSE),FALSE))),"")</f>
        <v>0.9</v>
      </c>
      <c r="H726" s="14" t="str">
        <f>IFERROR((VLOOKUP($A726,'[1]import success seats course'!$A:V,HLOOKUP('[1]Course Totals'!H$4,'[1]import success seats course'!$1:$2,2,FALSE),FALSE)/(VLOOKUP($A726,'[1]import graded seats course pivo'!$A:AF,HLOOKUP('[1]Course Totals'!H$4,'[1]import graded seats course pivo'!$1:$2,2,FALSE),FALSE))),"")</f>
        <v/>
      </c>
      <c r="I726" s="14">
        <f>IFERROR((VLOOKUP($A726,'[1]import success seats course'!$A:W,HLOOKUP('[1]Course Totals'!I$4,'[1]import success seats course'!$1:$2,2,FALSE),FALSE)/(VLOOKUP($A726,'[1]import graded seats course pivo'!$A:AG,HLOOKUP('[1]Course Totals'!I$4,'[1]import graded seats course pivo'!$1:$2,2,FALSE),FALSE))),"")</f>
        <v>1</v>
      </c>
      <c r="J726" s="14">
        <f>IFERROR((VLOOKUP($A726,'[1]import success seats course'!$A:X,HLOOKUP('[1]Course Totals'!J$4,'[1]import success seats course'!$1:$2,2,FALSE),FALSE)/(VLOOKUP($A726,'[1]import graded seats course pivo'!$A:AH,HLOOKUP('[1]Course Totals'!J$4,'[1]import graded seats course pivo'!$1:$2,2,FALSE),FALSE))),"")</f>
        <v>1</v>
      </c>
      <c r="K726" s="14" t="str">
        <f>IFERROR((VLOOKUP($A726,'[1]import success seats course'!$A:Y,HLOOKUP('[1]Course Totals'!K$4,'[1]import success seats course'!$1:$2,2,FALSE),FALSE)/(VLOOKUP($A726,'[1]import graded seats course pivo'!$A:AI,HLOOKUP('[1]Course Totals'!K$4,'[1]import graded seats course pivo'!$1:$2,2,FALSE),FALSE))),"")</f>
        <v/>
      </c>
      <c r="L726" s="14" t="str">
        <f>IFERROR((VLOOKUP($A726,'[1]import success seats course'!$A:Z,HLOOKUP('[1]Course Totals'!L$4,'[1]import success seats course'!$1:$2,2,FALSE),FALSE)/(VLOOKUP($A726,'[1]import graded seats course pivo'!$A:AJ,HLOOKUP('[1]Course Totals'!L$4,'[1]import graded seats course pivo'!$1:$2,2,FALSE),FALSE))),"")</f>
        <v/>
      </c>
      <c r="M726" s="14" t="str">
        <f>IFERROR((VLOOKUP($A726,'[1]import success seats course'!$A:AA,HLOOKUP('[1]Course Totals'!M$4,'[1]import success seats course'!$1:$2,2,FALSE),FALSE)/(VLOOKUP($A726,'[1]import graded seats course pivo'!$A:AK,HLOOKUP('[1]Course Totals'!M$4,'[1]import graded seats course pivo'!$1:$2,2,FALSE),FALSE))),"")</f>
        <v/>
      </c>
      <c r="N726" s="14" t="str">
        <f>IFERROR((VLOOKUP($A726,'[1]import success seats course'!$A:AB,HLOOKUP('[1]Course Totals'!N$4,'[1]import success seats course'!$1:$2,2,FALSE),FALSE)/(VLOOKUP($A726,'[1]import graded seats course pivo'!$A:AL,HLOOKUP('[1]Course Totals'!N$4,'[1]import graded seats course pivo'!$1:$2,2,FALSE),FALSE))),"")</f>
        <v/>
      </c>
      <c r="O726" s="14" t="str">
        <f>IFERROR((VLOOKUP($A726,'[1]import success seats course'!$A:AC,HLOOKUP('[1]Course Totals'!O$4,'[1]import success seats course'!$1:$2,2,FALSE),FALSE)/(VLOOKUP($A726,'[1]import graded seats course pivo'!$A:AM,HLOOKUP('[1]Course Totals'!O$4,'[1]import graded seats course pivo'!$1:$2,2,FALSE),FALSE))),"")</f>
        <v/>
      </c>
      <c r="P726" s="14" t="str">
        <f>IFERROR((VLOOKUP($A726,'[1]import success seats course'!$A:AD,HLOOKUP('[1]Course Totals'!P$4,'[1]import success seats course'!$1:$2,2,FALSE),FALSE)/(VLOOKUP($A726,'[1]import graded seats course pivo'!$A:AN,HLOOKUP('[1]Course Totals'!P$4,'[1]import graded seats course pivo'!$1:$2,2,FALSE),FALSE))),"")</f>
        <v/>
      </c>
      <c r="Q726" s="14" t="str">
        <f>IFERROR((VLOOKUP($A726,'[1]import success seats course'!$A:AE,HLOOKUP('[1]Course Totals'!Q$4,'[1]import success seats course'!$1:$2,2,FALSE),FALSE)/(VLOOKUP($A726,'[1]import graded seats course pivo'!$A:AO,HLOOKUP('[1]Course Totals'!Q$4,'[1]import graded seats course pivo'!$1:$2,2,FALSE),FALSE))),"")</f>
        <v/>
      </c>
      <c r="R726" s="14" t="str">
        <f>IFERROR((VLOOKUP($A726,'[1]import success seats course'!$A:AF,HLOOKUP('[1]Course Totals'!R$4,'[1]import success seats course'!$1:$2,2,FALSE),FALSE)/(VLOOKUP($A726,'[1]import graded seats course pivo'!$A:AP,HLOOKUP('[1]Course Totals'!R$4,'[1]import graded seats course pivo'!$1:$2,2,FALSE),FALSE))),"")</f>
        <v/>
      </c>
      <c r="S726" s="14" t="str">
        <f>IFERROR((VLOOKUP($A726,'[1]import success seats course'!$A:AG,HLOOKUP('[1]Course Totals'!S$4,'[1]import success seats course'!$1:$2,2,FALSE),FALSE)/(VLOOKUP($A726,'[1]import graded seats course pivo'!$A:AQ,HLOOKUP('[1]Course Totals'!S$4,'[1]import graded seats course pivo'!$1:$2,2,FALSE),FALSE))),"")</f>
        <v/>
      </c>
      <c r="Z726" s="7"/>
      <c r="AA726" s="7"/>
      <c r="AB726" s="7"/>
      <c r="AC726" s="7"/>
    </row>
    <row r="727" spans="1:29" ht="15.75" customHeight="1" x14ac:dyDescent="0.25">
      <c r="A727" s="12" t="s">
        <v>331</v>
      </c>
      <c r="B727" s="14" t="str">
        <f>IFERROR((VLOOKUP($A727,'[1]import success seats course'!$A:P,HLOOKUP('[1]Course Totals'!B$4,'[1]import success seats course'!$1:$2,2,FALSE),FALSE)/(VLOOKUP($A727,'[1]import graded seats course pivo'!$A:Z,HLOOKUP('[1]Course Totals'!B$4,'[1]import graded seats course pivo'!$1:$2,2,FALSE),FALSE))),"")</f>
        <v/>
      </c>
      <c r="C727" s="14">
        <f>IFERROR((VLOOKUP($A727,'[1]import success seats course'!$A:Q,HLOOKUP('[1]Course Totals'!C$4,'[1]import success seats course'!$1:$2,2,FALSE),FALSE)/(VLOOKUP($A727,'[1]import graded seats course pivo'!$A:AA,HLOOKUP('[1]Course Totals'!C$4,'[1]import graded seats course pivo'!$1:$2,2,FALSE),FALSE))),"")</f>
        <v>1</v>
      </c>
      <c r="D727" s="14">
        <f>IFERROR((VLOOKUP($A727,'[1]import success seats course'!$A:R,HLOOKUP('[1]Course Totals'!D$4,'[1]import success seats course'!$1:$2,2,FALSE),FALSE)/(VLOOKUP($A727,'[1]import graded seats course pivo'!$A:AB,HLOOKUP('[1]Course Totals'!D$4,'[1]import graded seats course pivo'!$1:$2,2,FALSE),FALSE))),"")</f>
        <v>0.90909090909090906</v>
      </c>
      <c r="E727" s="14" t="str">
        <f>IFERROR((VLOOKUP($A727,'[1]import success seats course'!$A:S,HLOOKUP('[1]Course Totals'!E$4,'[1]import success seats course'!$1:$2,2,FALSE),FALSE)/(VLOOKUP($A727,'[1]import graded seats course pivo'!$A:AC,HLOOKUP('[1]Course Totals'!E$4,'[1]import graded seats course pivo'!$1:$2,2,FALSE),FALSE))),"")</f>
        <v/>
      </c>
      <c r="F727" s="14">
        <f>IFERROR((VLOOKUP($A727,'[1]import success seats course'!$A:T,HLOOKUP('[1]Course Totals'!F$4,'[1]import success seats course'!$1:$2,2,FALSE),FALSE)/(VLOOKUP($A727,'[1]import graded seats course pivo'!$A:AD,HLOOKUP('[1]Course Totals'!F$4,'[1]import graded seats course pivo'!$1:$2,2,FALSE),FALSE))),"")</f>
        <v>1</v>
      </c>
      <c r="G727" s="14">
        <f>IFERROR((VLOOKUP($A727,'[1]import success seats course'!$A:U,HLOOKUP('[1]Course Totals'!G$4,'[1]import success seats course'!$1:$2,2,FALSE),FALSE)/(VLOOKUP($A727,'[1]import graded seats course pivo'!$A:AE,HLOOKUP('[1]Course Totals'!G$4,'[1]import graded seats course pivo'!$1:$2,2,FALSE),FALSE))),"")</f>
        <v>0.82352941176470584</v>
      </c>
      <c r="H727" s="14" t="str">
        <f>IFERROR((VLOOKUP($A727,'[1]import success seats course'!$A:V,HLOOKUP('[1]Course Totals'!H$4,'[1]import success seats course'!$1:$2,2,FALSE),FALSE)/(VLOOKUP($A727,'[1]import graded seats course pivo'!$A:AF,HLOOKUP('[1]Course Totals'!H$4,'[1]import graded seats course pivo'!$1:$2,2,FALSE),FALSE))),"")</f>
        <v/>
      </c>
      <c r="I727" s="14">
        <f>IFERROR((VLOOKUP($A727,'[1]import success seats course'!$A:W,HLOOKUP('[1]Course Totals'!I$4,'[1]import success seats course'!$1:$2,2,FALSE),FALSE)/(VLOOKUP($A727,'[1]import graded seats course pivo'!$A:AG,HLOOKUP('[1]Course Totals'!I$4,'[1]import graded seats course pivo'!$1:$2,2,FALSE),FALSE))),"")</f>
        <v>1</v>
      </c>
      <c r="J727" s="14">
        <f>IFERROR((VLOOKUP($A727,'[1]import success seats course'!$A:X,HLOOKUP('[1]Course Totals'!J$4,'[1]import success seats course'!$1:$2,2,FALSE),FALSE)/(VLOOKUP($A727,'[1]import graded seats course pivo'!$A:AH,HLOOKUP('[1]Course Totals'!J$4,'[1]import graded seats course pivo'!$1:$2,2,FALSE),FALSE))),"")</f>
        <v>1</v>
      </c>
      <c r="K727" s="14" t="str">
        <f>IFERROR((VLOOKUP($A727,'[1]import success seats course'!$A:Y,HLOOKUP('[1]Course Totals'!K$4,'[1]import success seats course'!$1:$2,2,FALSE),FALSE)/(VLOOKUP($A727,'[1]import graded seats course pivo'!$A:AI,HLOOKUP('[1]Course Totals'!K$4,'[1]import graded seats course pivo'!$1:$2,2,FALSE),FALSE))),"")</f>
        <v/>
      </c>
      <c r="L727" s="14" t="str">
        <f>IFERROR((VLOOKUP($A727,'[1]import success seats course'!$A:Z,HLOOKUP('[1]Course Totals'!L$4,'[1]import success seats course'!$1:$2,2,FALSE),FALSE)/(VLOOKUP($A727,'[1]import graded seats course pivo'!$A:AJ,HLOOKUP('[1]Course Totals'!L$4,'[1]import graded seats course pivo'!$1:$2,2,FALSE),FALSE))),"")</f>
        <v/>
      </c>
      <c r="M727" s="14" t="str">
        <f>IFERROR((VLOOKUP($A727,'[1]import success seats course'!$A:AA,HLOOKUP('[1]Course Totals'!M$4,'[1]import success seats course'!$1:$2,2,FALSE),FALSE)/(VLOOKUP($A727,'[1]import graded seats course pivo'!$A:AK,HLOOKUP('[1]Course Totals'!M$4,'[1]import graded seats course pivo'!$1:$2,2,FALSE),FALSE))),"")</f>
        <v/>
      </c>
      <c r="N727" s="14" t="str">
        <f>IFERROR((VLOOKUP($A727,'[1]import success seats course'!$A:AB,HLOOKUP('[1]Course Totals'!N$4,'[1]import success seats course'!$1:$2,2,FALSE),FALSE)/(VLOOKUP($A727,'[1]import graded seats course pivo'!$A:AL,HLOOKUP('[1]Course Totals'!N$4,'[1]import graded seats course pivo'!$1:$2,2,FALSE),FALSE))),"")</f>
        <v/>
      </c>
      <c r="O727" s="14" t="str">
        <f>IFERROR((VLOOKUP($A727,'[1]import success seats course'!$A:AC,HLOOKUP('[1]Course Totals'!O$4,'[1]import success seats course'!$1:$2,2,FALSE),FALSE)/(VLOOKUP($A727,'[1]import graded seats course pivo'!$A:AM,HLOOKUP('[1]Course Totals'!O$4,'[1]import graded seats course pivo'!$1:$2,2,FALSE),FALSE))),"")</f>
        <v/>
      </c>
      <c r="P727" s="14" t="str">
        <f>IFERROR((VLOOKUP($A727,'[1]import success seats course'!$A:AD,HLOOKUP('[1]Course Totals'!P$4,'[1]import success seats course'!$1:$2,2,FALSE),FALSE)/(VLOOKUP($A727,'[1]import graded seats course pivo'!$A:AN,HLOOKUP('[1]Course Totals'!P$4,'[1]import graded seats course pivo'!$1:$2,2,FALSE),FALSE))),"")</f>
        <v/>
      </c>
      <c r="Q727" s="14" t="str">
        <f>IFERROR((VLOOKUP($A727,'[1]import success seats course'!$A:AE,HLOOKUP('[1]Course Totals'!Q$4,'[1]import success seats course'!$1:$2,2,FALSE),FALSE)/(VLOOKUP($A727,'[1]import graded seats course pivo'!$A:AO,HLOOKUP('[1]Course Totals'!Q$4,'[1]import graded seats course pivo'!$1:$2,2,FALSE),FALSE))),"")</f>
        <v/>
      </c>
      <c r="R727" s="14" t="str">
        <f>IFERROR((VLOOKUP($A727,'[1]import success seats course'!$A:AF,HLOOKUP('[1]Course Totals'!R$4,'[1]import success seats course'!$1:$2,2,FALSE),FALSE)/(VLOOKUP($A727,'[1]import graded seats course pivo'!$A:AP,HLOOKUP('[1]Course Totals'!R$4,'[1]import graded seats course pivo'!$1:$2,2,FALSE),FALSE))),"")</f>
        <v/>
      </c>
      <c r="S727" s="14" t="str">
        <f>IFERROR((VLOOKUP($A727,'[1]import success seats course'!$A:AG,HLOOKUP('[1]Course Totals'!S$4,'[1]import success seats course'!$1:$2,2,FALSE),FALSE)/(VLOOKUP($A727,'[1]import graded seats course pivo'!$A:AQ,HLOOKUP('[1]Course Totals'!S$4,'[1]import graded seats course pivo'!$1:$2,2,FALSE),FALSE))),"")</f>
        <v/>
      </c>
      <c r="Z727" s="7"/>
      <c r="AA727" s="7"/>
      <c r="AB727" s="7"/>
      <c r="AC727" s="7"/>
    </row>
    <row r="728" spans="1:29" ht="15.75" hidden="1" customHeight="1" x14ac:dyDescent="0.25">
      <c r="A728" s="12" t="s">
        <v>738</v>
      </c>
      <c r="B728" s="14" t="str">
        <f>IFERROR((VLOOKUP($A728,'[1]import success seats course'!$A:P,HLOOKUP('[1]Course Totals'!B$4,'[1]import success seats course'!$1:$2,2,FALSE),FALSE)/(VLOOKUP($A728,'[1]import graded seats course pivo'!$A:Z,HLOOKUP('[1]Course Totals'!B$4,'[1]import graded seats course pivo'!$1:$2,2,FALSE),FALSE))),"")</f>
        <v/>
      </c>
      <c r="C728" s="14" t="str">
        <f>IFERROR((VLOOKUP($A728,'[1]import success seats course'!$A:Q,HLOOKUP('[1]Course Totals'!C$4,'[1]import success seats course'!$1:$2,2,FALSE),FALSE)/(VLOOKUP($A728,'[1]import graded seats course pivo'!$A:AA,HLOOKUP('[1]Course Totals'!C$4,'[1]import graded seats course pivo'!$1:$2,2,FALSE),FALSE))),"")</f>
        <v/>
      </c>
      <c r="D728" s="14" t="str">
        <f>IFERROR((VLOOKUP($A728,'[1]import success seats course'!$A:R,HLOOKUP('[1]Course Totals'!D$4,'[1]import success seats course'!$1:$2,2,FALSE),FALSE)/(VLOOKUP($A728,'[1]import graded seats course pivo'!$A:AB,HLOOKUP('[1]Course Totals'!D$4,'[1]import graded seats course pivo'!$1:$2,2,FALSE),FALSE))),"")</f>
        <v/>
      </c>
      <c r="E728" s="14" t="str">
        <f>IFERROR((VLOOKUP($A728,'[1]import success seats course'!$A:S,HLOOKUP('[1]Course Totals'!E$4,'[1]import success seats course'!$1:$2,2,FALSE),FALSE)/(VLOOKUP($A728,'[1]import graded seats course pivo'!$A:AC,HLOOKUP('[1]Course Totals'!E$4,'[1]import graded seats course pivo'!$1:$2,2,FALSE),FALSE))),"")</f>
        <v/>
      </c>
      <c r="F728" s="14" t="str">
        <f>IFERROR((VLOOKUP($A728,'[1]import success seats course'!$A:T,HLOOKUP('[1]Course Totals'!F$4,'[1]import success seats course'!$1:$2,2,FALSE),FALSE)/(VLOOKUP($A728,'[1]import graded seats course pivo'!$A:AD,HLOOKUP('[1]Course Totals'!F$4,'[1]import graded seats course pivo'!$1:$2,2,FALSE),FALSE))),"")</f>
        <v/>
      </c>
      <c r="G728" s="14" t="str">
        <f>IFERROR((VLOOKUP($A728,'[1]import success seats course'!$A:U,HLOOKUP('[1]Course Totals'!G$4,'[1]import success seats course'!$1:$2,2,FALSE),FALSE)/(VLOOKUP($A728,'[1]import graded seats course pivo'!$A:AE,HLOOKUP('[1]Course Totals'!G$4,'[1]import graded seats course pivo'!$1:$2,2,FALSE),FALSE))),"")</f>
        <v/>
      </c>
      <c r="H728" s="14" t="str">
        <f>IFERROR((VLOOKUP($A728,'[1]import success seats course'!$A:V,HLOOKUP('[1]Course Totals'!H$4,'[1]import success seats course'!$1:$2,2,FALSE),FALSE)/(VLOOKUP($A728,'[1]import graded seats course pivo'!$A:AF,HLOOKUP('[1]Course Totals'!H$4,'[1]import graded seats course pivo'!$1:$2,2,FALSE),FALSE))),"")</f>
        <v/>
      </c>
      <c r="I728" s="14" t="str">
        <f>IFERROR((VLOOKUP($A728,'[1]import success seats course'!$A:W,HLOOKUP('[1]Course Totals'!I$4,'[1]import success seats course'!$1:$2,2,FALSE),FALSE)/(VLOOKUP($A728,'[1]import graded seats course pivo'!$A:AG,HLOOKUP('[1]Course Totals'!I$4,'[1]import graded seats course pivo'!$1:$2,2,FALSE),FALSE))),"")</f>
        <v/>
      </c>
      <c r="J728" s="14" t="str">
        <f>IFERROR((VLOOKUP($A728,'[1]import success seats course'!$A:X,HLOOKUP('[1]Course Totals'!J$4,'[1]import success seats course'!$1:$2,2,FALSE),FALSE)/(VLOOKUP($A728,'[1]import graded seats course pivo'!$A:AH,HLOOKUP('[1]Course Totals'!J$4,'[1]import graded seats course pivo'!$1:$2,2,FALSE),FALSE))),"")</f>
        <v/>
      </c>
      <c r="K728" s="14" t="str">
        <f>IFERROR((VLOOKUP($A728,'[1]import success seats course'!$A:Y,HLOOKUP('[1]Course Totals'!K$4,'[1]import success seats course'!$1:$2,2,FALSE),FALSE)/(VLOOKUP($A728,'[1]import graded seats course pivo'!$A:AI,HLOOKUP('[1]Course Totals'!K$4,'[1]import graded seats course pivo'!$1:$2,2,FALSE),FALSE))),"")</f>
        <v/>
      </c>
      <c r="L728" s="14" t="str">
        <f>IFERROR((VLOOKUP($A728,'[1]import success seats course'!$A:Z,HLOOKUP('[1]Course Totals'!L$4,'[1]import success seats course'!$1:$2,2,FALSE),FALSE)/(VLOOKUP($A728,'[1]import graded seats course pivo'!$A:AJ,HLOOKUP('[1]Course Totals'!L$4,'[1]import graded seats course pivo'!$1:$2,2,FALSE),FALSE))),"")</f>
        <v/>
      </c>
      <c r="M728" s="14" t="str">
        <f>IFERROR((VLOOKUP($A728,'[1]import success seats course'!$A:AA,HLOOKUP('[1]Course Totals'!M$4,'[1]import success seats course'!$1:$2,2,FALSE),FALSE)/(VLOOKUP($A728,'[1]import graded seats course pivo'!$A:AK,HLOOKUP('[1]Course Totals'!M$4,'[1]import graded seats course pivo'!$1:$2,2,FALSE),FALSE))),"")</f>
        <v/>
      </c>
      <c r="N728" s="14" t="str">
        <f>IFERROR((VLOOKUP($A728,'[1]import success seats course'!$A:AB,HLOOKUP('[1]Course Totals'!N$4,'[1]import success seats course'!$1:$2,2,FALSE),FALSE)/(VLOOKUP($A728,'[1]import graded seats course pivo'!$A:AL,HLOOKUP('[1]Course Totals'!N$4,'[1]import graded seats course pivo'!$1:$2,2,FALSE),FALSE))),"")</f>
        <v/>
      </c>
      <c r="O728" s="14" t="str">
        <f>IFERROR((VLOOKUP($A728,'[1]import success seats course'!$A:AC,HLOOKUP('[1]Course Totals'!O$4,'[1]import success seats course'!$1:$2,2,FALSE),FALSE)/(VLOOKUP($A728,'[1]import graded seats course pivo'!$A:AM,HLOOKUP('[1]Course Totals'!O$4,'[1]import graded seats course pivo'!$1:$2,2,FALSE),FALSE))),"")</f>
        <v/>
      </c>
      <c r="P728" s="14" t="str">
        <f>IFERROR((VLOOKUP($A728,'[1]import success seats course'!$A:AD,HLOOKUP('[1]Course Totals'!P$4,'[1]import success seats course'!$1:$2,2,FALSE),FALSE)/(VLOOKUP($A728,'[1]import graded seats course pivo'!$A:AN,HLOOKUP('[1]Course Totals'!P$4,'[1]import graded seats course pivo'!$1:$2,2,FALSE),FALSE))),"")</f>
        <v/>
      </c>
      <c r="Q728" s="14" t="str">
        <f>IFERROR((VLOOKUP($A728,'[1]import success seats course'!$A:AE,HLOOKUP('[1]Course Totals'!Q$4,'[1]import success seats course'!$1:$2,2,FALSE),FALSE)/(VLOOKUP($A728,'[1]import graded seats course pivo'!$A:AO,HLOOKUP('[1]Course Totals'!Q$4,'[1]import graded seats course pivo'!$1:$2,2,FALSE),FALSE))),"")</f>
        <v/>
      </c>
      <c r="R728" s="14" t="str">
        <f>IFERROR((VLOOKUP($A728,'[1]import success seats course'!$A:AF,HLOOKUP('[1]Course Totals'!R$4,'[1]import success seats course'!$1:$2,2,FALSE),FALSE)/(VLOOKUP($A728,'[1]import graded seats course pivo'!$A:AP,HLOOKUP('[1]Course Totals'!R$4,'[1]import graded seats course pivo'!$1:$2,2,FALSE),FALSE))),"")</f>
        <v/>
      </c>
      <c r="S728" s="14" t="str">
        <f>IFERROR((VLOOKUP($A728,'[1]import success seats course'!$A:AG,HLOOKUP('[1]Course Totals'!S$4,'[1]import success seats course'!$1:$2,2,FALSE),FALSE)/(VLOOKUP($A728,'[1]import graded seats course pivo'!$A:AQ,HLOOKUP('[1]Course Totals'!S$4,'[1]import graded seats course pivo'!$1:$2,2,FALSE),FALSE))),"")</f>
        <v/>
      </c>
      <c r="Z728" s="7"/>
      <c r="AA728" s="7"/>
      <c r="AB728" s="7"/>
      <c r="AC728" s="7"/>
    </row>
    <row r="729" spans="1:29" ht="15.75" customHeight="1" x14ac:dyDescent="0.25">
      <c r="A729" s="12" t="s">
        <v>332</v>
      </c>
      <c r="B729" s="14" t="str">
        <f>IFERROR((VLOOKUP($A729,'[1]import success seats course'!$A:P,HLOOKUP('[1]Course Totals'!B$4,'[1]import success seats course'!$1:$2,2,FALSE),FALSE)/(VLOOKUP($A729,'[1]import graded seats course pivo'!$A:Z,HLOOKUP('[1]Course Totals'!B$4,'[1]import graded seats course pivo'!$1:$2,2,FALSE),FALSE))),"")</f>
        <v/>
      </c>
      <c r="C729" s="14">
        <f>IFERROR((VLOOKUP($A729,'[1]import success seats course'!$A:Q,HLOOKUP('[1]Course Totals'!C$4,'[1]import success seats course'!$1:$2,2,FALSE),FALSE)/(VLOOKUP($A729,'[1]import graded seats course pivo'!$A:AA,HLOOKUP('[1]Course Totals'!C$4,'[1]import graded seats course pivo'!$1:$2,2,FALSE),FALSE))),"")</f>
        <v>1</v>
      </c>
      <c r="D729" s="14">
        <f>IFERROR((VLOOKUP($A729,'[1]import success seats course'!$A:R,HLOOKUP('[1]Course Totals'!D$4,'[1]import success seats course'!$1:$2,2,FALSE),FALSE)/(VLOOKUP($A729,'[1]import graded seats course pivo'!$A:AB,HLOOKUP('[1]Course Totals'!D$4,'[1]import graded seats course pivo'!$1:$2,2,FALSE),FALSE))),"")</f>
        <v>1</v>
      </c>
      <c r="E729" s="14" t="str">
        <f>IFERROR((VLOOKUP($A729,'[1]import success seats course'!$A:S,HLOOKUP('[1]Course Totals'!E$4,'[1]import success seats course'!$1:$2,2,FALSE),FALSE)/(VLOOKUP($A729,'[1]import graded seats course pivo'!$A:AC,HLOOKUP('[1]Course Totals'!E$4,'[1]import graded seats course pivo'!$1:$2,2,FALSE),FALSE))),"")</f>
        <v/>
      </c>
      <c r="F729" s="14">
        <f>IFERROR((VLOOKUP($A729,'[1]import success seats course'!$A:T,HLOOKUP('[1]Course Totals'!F$4,'[1]import success seats course'!$1:$2,2,FALSE),FALSE)/(VLOOKUP($A729,'[1]import graded seats course pivo'!$A:AD,HLOOKUP('[1]Course Totals'!F$4,'[1]import graded seats course pivo'!$1:$2,2,FALSE),FALSE))),"")</f>
        <v>0.83333333333333337</v>
      </c>
      <c r="G729" s="14">
        <f>IFERROR((VLOOKUP($A729,'[1]import success seats course'!$A:U,HLOOKUP('[1]Course Totals'!G$4,'[1]import success seats course'!$1:$2,2,FALSE),FALSE)/(VLOOKUP($A729,'[1]import graded seats course pivo'!$A:AE,HLOOKUP('[1]Course Totals'!G$4,'[1]import graded seats course pivo'!$1:$2,2,FALSE),FALSE))),"")</f>
        <v>0.9375</v>
      </c>
      <c r="H729" s="14" t="str">
        <f>IFERROR((VLOOKUP($A729,'[1]import success seats course'!$A:V,HLOOKUP('[1]Course Totals'!H$4,'[1]import success seats course'!$1:$2,2,FALSE),FALSE)/(VLOOKUP($A729,'[1]import graded seats course pivo'!$A:AF,HLOOKUP('[1]Course Totals'!H$4,'[1]import graded seats course pivo'!$1:$2,2,FALSE),FALSE))),"")</f>
        <v/>
      </c>
      <c r="I729" s="14">
        <f>IFERROR((VLOOKUP($A729,'[1]import success seats course'!$A:W,HLOOKUP('[1]Course Totals'!I$4,'[1]import success seats course'!$1:$2,2,FALSE),FALSE)/(VLOOKUP($A729,'[1]import graded seats course pivo'!$A:AG,HLOOKUP('[1]Course Totals'!I$4,'[1]import graded seats course pivo'!$1:$2,2,FALSE),FALSE))),"")</f>
        <v>0.93333333333333335</v>
      </c>
      <c r="J729" s="14">
        <f>IFERROR((VLOOKUP($A729,'[1]import success seats course'!$A:X,HLOOKUP('[1]Course Totals'!J$4,'[1]import success seats course'!$1:$2,2,FALSE),FALSE)/(VLOOKUP($A729,'[1]import graded seats course pivo'!$A:AH,HLOOKUP('[1]Course Totals'!J$4,'[1]import graded seats course pivo'!$1:$2,2,FALSE),FALSE))),"")</f>
        <v>1</v>
      </c>
      <c r="K729" s="14" t="str">
        <f>IFERROR((VLOOKUP($A729,'[1]import success seats course'!$A:Y,HLOOKUP('[1]Course Totals'!K$4,'[1]import success seats course'!$1:$2,2,FALSE),FALSE)/(VLOOKUP($A729,'[1]import graded seats course pivo'!$A:AI,HLOOKUP('[1]Course Totals'!K$4,'[1]import graded seats course pivo'!$1:$2,2,FALSE),FALSE))),"")</f>
        <v/>
      </c>
      <c r="L729" s="14">
        <f>IFERROR((VLOOKUP($A729,'[1]import success seats course'!$A:Z,HLOOKUP('[1]Course Totals'!L$4,'[1]import success seats course'!$1:$2,2,FALSE),FALSE)/(VLOOKUP($A729,'[1]import graded seats course pivo'!$A:AJ,HLOOKUP('[1]Course Totals'!L$4,'[1]import graded seats course pivo'!$1:$2,2,FALSE),FALSE))),"")</f>
        <v>0.9375</v>
      </c>
      <c r="M729" s="14">
        <f>IFERROR((VLOOKUP($A729,'[1]import success seats course'!$A:AA,HLOOKUP('[1]Course Totals'!M$4,'[1]import success seats course'!$1:$2,2,FALSE),FALSE)/(VLOOKUP($A729,'[1]import graded seats course pivo'!$A:AK,HLOOKUP('[1]Course Totals'!M$4,'[1]import graded seats course pivo'!$1:$2,2,FALSE),FALSE))),"")</f>
        <v>1</v>
      </c>
      <c r="N729" s="14" t="str">
        <f>IFERROR((VLOOKUP($A729,'[1]import success seats course'!$A:AB,HLOOKUP('[1]Course Totals'!N$4,'[1]import success seats course'!$1:$2,2,FALSE),FALSE)/(VLOOKUP($A729,'[1]import graded seats course pivo'!$A:AL,HLOOKUP('[1]Course Totals'!N$4,'[1]import graded seats course pivo'!$1:$2,2,FALSE),FALSE))),"")</f>
        <v/>
      </c>
      <c r="O729" s="14">
        <f>IFERROR((VLOOKUP($A729,'[1]import success seats course'!$A:AC,HLOOKUP('[1]Course Totals'!O$4,'[1]import success seats course'!$1:$2,2,FALSE),FALSE)/(VLOOKUP($A729,'[1]import graded seats course pivo'!$A:AM,HLOOKUP('[1]Course Totals'!O$4,'[1]import graded seats course pivo'!$1:$2,2,FALSE),FALSE))),"")</f>
        <v>0.9285714285714286</v>
      </c>
      <c r="P729" s="14">
        <f>IFERROR((VLOOKUP($A729,'[1]import success seats course'!$A:AD,HLOOKUP('[1]Course Totals'!P$4,'[1]import success seats course'!$1:$2,2,FALSE),FALSE)/(VLOOKUP($A729,'[1]import graded seats course pivo'!$A:AN,HLOOKUP('[1]Course Totals'!P$4,'[1]import graded seats course pivo'!$1:$2,2,FALSE),FALSE))),"")</f>
        <v>0.8666666666666667</v>
      </c>
      <c r="Q729" s="14" t="str">
        <f>IFERROR((VLOOKUP($A729,'[1]import success seats course'!$A:AE,HLOOKUP('[1]Course Totals'!Q$4,'[1]import success seats course'!$1:$2,2,FALSE),FALSE)/(VLOOKUP($A729,'[1]import graded seats course pivo'!$A:AO,HLOOKUP('[1]Course Totals'!Q$4,'[1]import graded seats course pivo'!$1:$2,2,FALSE),FALSE))),"")</f>
        <v/>
      </c>
      <c r="R729" s="14">
        <f>IFERROR((VLOOKUP($A729,'[1]import success seats course'!$A:AF,HLOOKUP('[1]Course Totals'!R$4,'[1]import success seats course'!$1:$2,2,FALSE),FALSE)/(VLOOKUP($A729,'[1]import graded seats course pivo'!$A:AP,HLOOKUP('[1]Course Totals'!R$4,'[1]import graded seats course pivo'!$1:$2,2,FALSE),FALSE))),"")</f>
        <v>0.84615384615384615</v>
      </c>
      <c r="S729" s="14">
        <f>IFERROR((VLOOKUP($A729,'[1]import success seats course'!$A:AG,HLOOKUP('[1]Course Totals'!S$4,'[1]import success seats course'!$1:$2,2,FALSE),FALSE)/(VLOOKUP($A729,'[1]import graded seats course pivo'!$A:AQ,HLOOKUP('[1]Course Totals'!S$4,'[1]import graded seats course pivo'!$1:$2,2,FALSE),FALSE))),"")</f>
        <v>1</v>
      </c>
      <c r="Z729" s="7"/>
      <c r="AA729" s="7"/>
      <c r="AB729" s="7"/>
      <c r="AC729" s="7"/>
    </row>
    <row r="730" spans="1:29" ht="15.75" hidden="1" customHeight="1" x14ac:dyDescent="0.25">
      <c r="A730" s="12" t="s">
        <v>333</v>
      </c>
      <c r="B730" s="14" t="str">
        <f>IFERROR((VLOOKUP($A730,'[1]import success seats course'!$A:P,HLOOKUP('[1]Course Totals'!B$4,'[1]import success seats course'!$1:$2,2,FALSE),FALSE)/(VLOOKUP($A730,'[1]import graded seats course pivo'!$A:Z,HLOOKUP('[1]Course Totals'!B$4,'[1]import graded seats course pivo'!$1:$2,2,FALSE),FALSE))),"")</f>
        <v/>
      </c>
      <c r="C730" s="14" t="str">
        <f>IFERROR((VLOOKUP($A730,'[1]import success seats course'!$A:Q,HLOOKUP('[1]Course Totals'!C$4,'[1]import success seats course'!$1:$2,2,FALSE),FALSE)/(VLOOKUP($A730,'[1]import graded seats course pivo'!$A:AA,HLOOKUP('[1]Course Totals'!C$4,'[1]import graded seats course pivo'!$1:$2,2,FALSE),FALSE))),"")</f>
        <v/>
      </c>
      <c r="D730" s="14" t="str">
        <f>IFERROR((VLOOKUP($A730,'[1]import success seats course'!$A:R,HLOOKUP('[1]Course Totals'!D$4,'[1]import success seats course'!$1:$2,2,FALSE),FALSE)/(VLOOKUP($A730,'[1]import graded seats course pivo'!$A:AB,HLOOKUP('[1]Course Totals'!D$4,'[1]import graded seats course pivo'!$1:$2,2,FALSE),FALSE))),"")</f>
        <v/>
      </c>
      <c r="E730" s="14" t="str">
        <f>IFERROR((VLOOKUP($A730,'[1]import success seats course'!$A:S,HLOOKUP('[1]Course Totals'!E$4,'[1]import success seats course'!$1:$2,2,FALSE),FALSE)/(VLOOKUP($A730,'[1]import graded seats course pivo'!$A:AC,HLOOKUP('[1]Course Totals'!E$4,'[1]import graded seats course pivo'!$1:$2,2,FALSE),FALSE))),"")</f>
        <v/>
      </c>
      <c r="F730" s="14" t="str">
        <f>IFERROR((VLOOKUP($A730,'[1]import success seats course'!$A:T,HLOOKUP('[1]Course Totals'!F$4,'[1]import success seats course'!$1:$2,2,FALSE),FALSE)/(VLOOKUP($A730,'[1]import graded seats course pivo'!$A:AD,HLOOKUP('[1]Course Totals'!F$4,'[1]import graded seats course pivo'!$1:$2,2,FALSE),FALSE))),"")</f>
        <v/>
      </c>
      <c r="G730" s="14" t="str">
        <f>IFERROR((VLOOKUP($A730,'[1]import success seats course'!$A:U,HLOOKUP('[1]Course Totals'!G$4,'[1]import success seats course'!$1:$2,2,FALSE),FALSE)/(VLOOKUP($A730,'[1]import graded seats course pivo'!$A:AE,HLOOKUP('[1]Course Totals'!G$4,'[1]import graded seats course pivo'!$1:$2,2,FALSE),FALSE))),"")</f>
        <v/>
      </c>
      <c r="H730" s="14" t="str">
        <f>IFERROR((VLOOKUP($A730,'[1]import success seats course'!$A:V,HLOOKUP('[1]Course Totals'!H$4,'[1]import success seats course'!$1:$2,2,FALSE),FALSE)/(VLOOKUP($A730,'[1]import graded seats course pivo'!$A:AF,HLOOKUP('[1]Course Totals'!H$4,'[1]import graded seats course pivo'!$1:$2,2,FALSE),FALSE))),"")</f>
        <v/>
      </c>
      <c r="I730" s="14" t="str">
        <f>IFERROR((VLOOKUP($A730,'[1]import success seats course'!$A:W,HLOOKUP('[1]Course Totals'!I$4,'[1]import success seats course'!$1:$2,2,FALSE),FALSE)/(VLOOKUP($A730,'[1]import graded seats course pivo'!$A:AG,HLOOKUP('[1]Course Totals'!I$4,'[1]import graded seats course pivo'!$1:$2,2,FALSE),FALSE))),"")</f>
        <v/>
      </c>
      <c r="J730" s="14" t="str">
        <f>IFERROR((VLOOKUP($A730,'[1]import success seats course'!$A:X,HLOOKUP('[1]Course Totals'!J$4,'[1]import success seats course'!$1:$2,2,FALSE),FALSE)/(VLOOKUP($A730,'[1]import graded seats course pivo'!$A:AH,HLOOKUP('[1]Course Totals'!J$4,'[1]import graded seats course pivo'!$1:$2,2,FALSE),FALSE))),"")</f>
        <v/>
      </c>
      <c r="K730" s="14" t="str">
        <f>IFERROR((VLOOKUP($A730,'[1]import success seats course'!$A:Y,HLOOKUP('[1]Course Totals'!K$4,'[1]import success seats course'!$1:$2,2,FALSE),FALSE)/(VLOOKUP($A730,'[1]import graded seats course pivo'!$A:AI,HLOOKUP('[1]Course Totals'!K$4,'[1]import graded seats course pivo'!$1:$2,2,FALSE),FALSE))),"")</f>
        <v/>
      </c>
      <c r="L730" s="14" t="str">
        <f>IFERROR((VLOOKUP($A730,'[1]import success seats course'!$A:Z,HLOOKUP('[1]Course Totals'!L$4,'[1]import success seats course'!$1:$2,2,FALSE),FALSE)/(VLOOKUP($A730,'[1]import graded seats course pivo'!$A:AJ,HLOOKUP('[1]Course Totals'!L$4,'[1]import graded seats course pivo'!$1:$2,2,FALSE),FALSE))),"")</f>
        <v/>
      </c>
      <c r="M730" s="14" t="str">
        <f>IFERROR((VLOOKUP($A730,'[1]import success seats course'!$A:AA,HLOOKUP('[1]Course Totals'!M$4,'[1]import success seats course'!$1:$2,2,FALSE),FALSE)/(VLOOKUP($A730,'[1]import graded seats course pivo'!$A:AK,HLOOKUP('[1]Course Totals'!M$4,'[1]import graded seats course pivo'!$1:$2,2,FALSE),FALSE))),"")</f>
        <v/>
      </c>
      <c r="N730" s="14" t="str">
        <f>IFERROR((VLOOKUP($A730,'[1]import success seats course'!$A:AB,HLOOKUP('[1]Course Totals'!N$4,'[1]import success seats course'!$1:$2,2,FALSE),FALSE)/(VLOOKUP($A730,'[1]import graded seats course pivo'!$A:AL,HLOOKUP('[1]Course Totals'!N$4,'[1]import graded seats course pivo'!$1:$2,2,FALSE),FALSE))),"")</f>
        <v/>
      </c>
      <c r="O730" s="14" t="str">
        <f>IFERROR((VLOOKUP($A730,'[1]import success seats course'!$A:AC,HLOOKUP('[1]Course Totals'!O$4,'[1]import success seats course'!$1:$2,2,FALSE),FALSE)/(VLOOKUP($A730,'[1]import graded seats course pivo'!$A:AM,HLOOKUP('[1]Course Totals'!O$4,'[1]import graded seats course pivo'!$1:$2,2,FALSE),FALSE))),"")</f>
        <v/>
      </c>
      <c r="P730" s="14" t="str">
        <f>IFERROR((VLOOKUP($A730,'[1]import success seats course'!$A:AD,HLOOKUP('[1]Course Totals'!P$4,'[1]import success seats course'!$1:$2,2,FALSE),FALSE)/(VLOOKUP($A730,'[1]import graded seats course pivo'!$A:AN,HLOOKUP('[1]Course Totals'!P$4,'[1]import graded seats course pivo'!$1:$2,2,FALSE),FALSE))),"")</f>
        <v/>
      </c>
      <c r="Q730" s="14" t="str">
        <f>IFERROR((VLOOKUP($A730,'[1]import success seats course'!$A:AE,HLOOKUP('[1]Course Totals'!Q$4,'[1]import success seats course'!$1:$2,2,FALSE),FALSE)/(VLOOKUP($A730,'[1]import graded seats course pivo'!$A:AO,HLOOKUP('[1]Course Totals'!Q$4,'[1]import graded seats course pivo'!$1:$2,2,FALSE),FALSE))),"")</f>
        <v/>
      </c>
      <c r="R730" s="14" t="str">
        <f>IFERROR((VLOOKUP($A730,'[1]import success seats course'!$A:AF,HLOOKUP('[1]Course Totals'!R$4,'[1]import success seats course'!$1:$2,2,FALSE),FALSE)/(VLOOKUP($A730,'[1]import graded seats course pivo'!$A:AP,HLOOKUP('[1]Course Totals'!R$4,'[1]import graded seats course pivo'!$1:$2,2,FALSE),FALSE))),"")</f>
        <v/>
      </c>
      <c r="S730" s="14" t="str">
        <f>IFERROR((VLOOKUP($A730,'[1]import success seats course'!$A:AG,HLOOKUP('[1]Course Totals'!S$4,'[1]import success seats course'!$1:$2,2,FALSE),FALSE)/(VLOOKUP($A730,'[1]import graded seats course pivo'!$A:AQ,HLOOKUP('[1]Course Totals'!S$4,'[1]import graded seats course pivo'!$1:$2,2,FALSE),FALSE))),"")</f>
        <v/>
      </c>
      <c r="Z730" s="7"/>
      <c r="AA730" s="7"/>
      <c r="AB730" s="7"/>
      <c r="AC730" s="7"/>
    </row>
    <row r="731" spans="1:29" ht="15.75" hidden="1" customHeight="1" x14ac:dyDescent="0.25">
      <c r="A731" s="12" t="s">
        <v>799</v>
      </c>
      <c r="B731" s="14" t="str">
        <f>IFERROR((VLOOKUP($A731,'[1]import success seats course'!$A:P,HLOOKUP('[1]Course Totals'!B$4,'[1]import success seats course'!$1:$2,2,FALSE),FALSE)/(VLOOKUP($A731,'[1]import graded seats course pivo'!$A:Z,HLOOKUP('[1]Course Totals'!B$4,'[1]import graded seats course pivo'!$1:$2,2,FALSE),FALSE))),"")</f>
        <v/>
      </c>
      <c r="C731" s="14" t="str">
        <f>IFERROR((VLOOKUP($A731,'[1]import success seats course'!$A:Q,HLOOKUP('[1]Course Totals'!C$4,'[1]import success seats course'!$1:$2,2,FALSE),FALSE)/(VLOOKUP($A731,'[1]import graded seats course pivo'!$A:AA,HLOOKUP('[1]Course Totals'!C$4,'[1]import graded seats course pivo'!$1:$2,2,FALSE),FALSE))),"")</f>
        <v/>
      </c>
      <c r="D731" s="14" t="str">
        <f>IFERROR((VLOOKUP($A731,'[1]import success seats course'!$A:R,HLOOKUP('[1]Course Totals'!D$4,'[1]import success seats course'!$1:$2,2,FALSE),FALSE)/(VLOOKUP($A731,'[1]import graded seats course pivo'!$A:AB,HLOOKUP('[1]Course Totals'!D$4,'[1]import graded seats course pivo'!$1:$2,2,FALSE),FALSE))),"")</f>
        <v/>
      </c>
      <c r="E731" s="14" t="str">
        <f>IFERROR((VLOOKUP($A731,'[1]import success seats course'!$A:S,HLOOKUP('[1]Course Totals'!E$4,'[1]import success seats course'!$1:$2,2,FALSE),FALSE)/(VLOOKUP($A731,'[1]import graded seats course pivo'!$A:AC,HLOOKUP('[1]Course Totals'!E$4,'[1]import graded seats course pivo'!$1:$2,2,FALSE),FALSE))),"")</f>
        <v/>
      </c>
      <c r="F731" s="14" t="str">
        <f>IFERROR((VLOOKUP($A731,'[1]import success seats course'!$A:T,HLOOKUP('[1]Course Totals'!F$4,'[1]import success seats course'!$1:$2,2,FALSE),FALSE)/(VLOOKUP($A731,'[1]import graded seats course pivo'!$A:AD,HLOOKUP('[1]Course Totals'!F$4,'[1]import graded seats course pivo'!$1:$2,2,FALSE),FALSE))),"")</f>
        <v/>
      </c>
      <c r="G731" s="14" t="str">
        <f>IFERROR((VLOOKUP($A731,'[1]import success seats course'!$A:U,HLOOKUP('[1]Course Totals'!G$4,'[1]import success seats course'!$1:$2,2,FALSE),FALSE)/(VLOOKUP($A731,'[1]import graded seats course pivo'!$A:AE,HLOOKUP('[1]Course Totals'!G$4,'[1]import graded seats course pivo'!$1:$2,2,FALSE),FALSE))),"")</f>
        <v/>
      </c>
      <c r="H731" s="14" t="str">
        <f>IFERROR((VLOOKUP($A731,'[1]import success seats course'!$A:V,HLOOKUP('[1]Course Totals'!H$4,'[1]import success seats course'!$1:$2,2,FALSE),FALSE)/(VLOOKUP($A731,'[1]import graded seats course pivo'!$A:AF,HLOOKUP('[1]Course Totals'!H$4,'[1]import graded seats course pivo'!$1:$2,2,FALSE),FALSE))),"")</f>
        <v/>
      </c>
      <c r="I731" s="14" t="str">
        <f>IFERROR((VLOOKUP($A731,'[1]import success seats course'!$A:W,HLOOKUP('[1]Course Totals'!I$4,'[1]import success seats course'!$1:$2,2,FALSE),FALSE)/(VLOOKUP($A731,'[1]import graded seats course pivo'!$A:AG,HLOOKUP('[1]Course Totals'!I$4,'[1]import graded seats course pivo'!$1:$2,2,FALSE),FALSE))),"")</f>
        <v/>
      </c>
      <c r="J731" s="14" t="str">
        <f>IFERROR((VLOOKUP($A731,'[1]import success seats course'!$A:X,HLOOKUP('[1]Course Totals'!J$4,'[1]import success seats course'!$1:$2,2,FALSE),FALSE)/(VLOOKUP($A731,'[1]import graded seats course pivo'!$A:AH,HLOOKUP('[1]Course Totals'!J$4,'[1]import graded seats course pivo'!$1:$2,2,FALSE),FALSE))),"")</f>
        <v/>
      </c>
      <c r="K731" s="14" t="str">
        <f>IFERROR((VLOOKUP($A731,'[1]import success seats course'!$A:Y,HLOOKUP('[1]Course Totals'!K$4,'[1]import success seats course'!$1:$2,2,FALSE),FALSE)/(VLOOKUP($A731,'[1]import graded seats course pivo'!$A:AI,HLOOKUP('[1]Course Totals'!K$4,'[1]import graded seats course pivo'!$1:$2,2,FALSE),FALSE))),"")</f>
        <v/>
      </c>
      <c r="L731" s="14" t="str">
        <f>IFERROR((VLOOKUP($A731,'[1]import success seats course'!$A:Z,HLOOKUP('[1]Course Totals'!L$4,'[1]import success seats course'!$1:$2,2,FALSE),FALSE)/(VLOOKUP($A731,'[1]import graded seats course pivo'!$A:AJ,HLOOKUP('[1]Course Totals'!L$4,'[1]import graded seats course pivo'!$1:$2,2,FALSE),FALSE))),"")</f>
        <v/>
      </c>
      <c r="M731" s="14" t="str">
        <f>IFERROR((VLOOKUP($A731,'[1]import success seats course'!$A:AA,HLOOKUP('[1]Course Totals'!M$4,'[1]import success seats course'!$1:$2,2,FALSE),FALSE)/(VLOOKUP($A731,'[1]import graded seats course pivo'!$A:AK,HLOOKUP('[1]Course Totals'!M$4,'[1]import graded seats course pivo'!$1:$2,2,FALSE),FALSE))),"")</f>
        <v/>
      </c>
      <c r="N731" s="14" t="str">
        <f>IFERROR((VLOOKUP($A731,'[1]import success seats course'!$A:AB,HLOOKUP('[1]Course Totals'!N$4,'[1]import success seats course'!$1:$2,2,FALSE),FALSE)/(VLOOKUP($A731,'[1]import graded seats course pivo'!$A:AL,HLOOKUP('[1]Course Totals'!N$4,'[1]import graded seats course pivo'!$1:$2,2,FALSE),FALSE))),"")</f>
        <v/>
      </c>
      <c r="O731" s="14" t="str">
        <f>IFERROR((VLOOKUP($A731,'[1]import success seats course'!$A:AC,HLOOKUP('[1]Course Totals'!O$4,'[1]import success seats course'!$1:$2,2,FALSE),FALSE)/(VLOOKUP($A731,'[1]import graded seats course pivo'!$A:AM,HLOOKUP('[1]Course Totals'!O$4,'[1]import graded seats course pivo'!$1:$2,2,FALSE),FALSE))),"")</f>
        <v/>
      </c>
      <c r="P731" s="14" t="str">
        <f>IFERROR((VLOOKUP($A731,'[1]import success seats course'!$A:AD,HLOOKUP('[1]Course Totals'!P$4,'[1]import success seats course'!$1:$2,2,FALSE),FALSE)/(VLOOKUP($A731,'[1]import graded seats course pivo'!$A:AN,HLOOKUP('[1]Course Totals'!P$4,'[1]import graded seats course pivo'!$1:$2,2,FALSE),FALSE))),"")</f>
        <v/>
      </c>
      <c r="Q731" s="14" t="str">
        <f>IFERROR((VLOOKUP($A731,'[1]import success seats course'!$A:AE,HLOOKUP('[1]Course Totals'!Q$4,'[1]import success seats course'!$1:$2,2,FALSE),FALSE)/(VLOOKUP($A731,'[1]import graded seats course pivo'!$A:AO,HLOOKUP('[1]Course Totals'!Q$4,'[1]import graded seats course pivo'!$1:$2,2,FALSE),FALSE))),"")</f>
        <v/>
      </c>
      <c r="R731" s="14" t="str">
        <f>IFERROR((VLOOKUP($A731,'[1]import success seats course'!$A:AF,HLOOKUP('[1]Course Totals'!R$4,'[1]import success seats course'!$1:$2,2,FALSE),FALSE)/(VLOOKUP($A731,'[1]import graded seats course pivo'!$A:AP,HLOOKUP('[1]Course Totals'!R$4,'[1]import graded seats course pivo'!$1:$2,2,FALSE),FALSE))),"")</f>
        <v/>
      </c>
      <c r="S731" s="14" t="str">
        <f>IFERROR((VLOOKUP($A731,'[1]import success seats course'!$A:AG,HLOOKUP('[1]Course Totals'!S$4,'[1]import success seats course'!$1:$2,2,FALSE),FALSE)/(VLOOKUP($A731,'[1]import graded seats course pivo'!$A:AQ,HLOOKUP('[1]Course Totals'!S$4,'[1]import graded seats course pivo'!$1:$2,2,FALSE),FALSE))),"")</f>
        <v/>
      </c>
      <c r="Z731" s="7"/>
      <c r="AA731" s="7"/>
      <c r="AB731" s="7"/>
      <c r="AC731" s="7"/>
    </row>
    <row r="732" spans="1:29" ht="15.75" hidden="1" customHeight="1" x14ac:dyDescent="0.25">
      <c r="A732" s="12" t="s">
        <v>1036</v>
      </c>
      <c r="B732" s="14" t="str">
        <f>IFERROR((VLOOKUP($A732,'[1]import success seats course'!$A:P,HLOOKUP('[1]Course Totals'!B$4,'[1]import success seats course'!$1:$2,2,FALSE),FALSE)/(VLOOKUP($A732,'[1]import graded seats course pivo'!$A:Z,HLOOKUP('[1]Course Totals'!B$4,'[1]import graded seats course pivo'!$1:$2,2,FALSE),FALSE))),"")</f>
        <v/>
      </c>
      <c r="C732" s="14" t="str">
        <f>IFERROR((VLOOKUP($A732,'[1]import success seats course'!$A:Q,HLOOKUP('[1]Course Totals'!C$4,'[1]import success seats course'!$1:$2,2,FALSE),FALSE)/(VLOOKUP($A732,'[1]import graded seats course pivo'!$A:AA,HLOOKUP('[1]Course Totals'!C$4,'[1]import graded seats course pivo'!$1:$2,2,FALSE),FALSE))),"")</f>
        <v/>
      </c>
      <c r="D732" s="14" t="str">
        <f>IFERROR((VLOOKUP($A732,'[1]import success seats course'!$A:R,HLOOKUP('[1]Course Totals'!D$4,'[1]import success seats course'!$1:$2,2,FALSE),FALSE)/(VLOOKUP($A732,'[1]import graded seats course pivo'!$A:AB,HLOOKUP('[1]Course Totals'!D$4,'[1]import graded seats course pivo'!$1:$2,2,FALSE),FALSE))),"")</f>
        <v/>
      </c>
      <c r="E732" s="14" t="str">
        <f>IFERROR((VLOOKUP($A732,'[1]import success seats course'!$A:S,HLOOKUP('[1]Course Totals'!E$4,'[1]import success seats course'!$1:$2,2,FALSE),FALSE)/(VLOOKUP($A732,'[1]import graded seats course pivo'!$A:AC,HLOOKUP('[1]Course Totals'!E$4,'[1]import graded seats course pivo'!$1:$2,2,FALSE),FALSE))),"")</f>
        <v/>
      </c>
      <c r="F732" s="14" t="str">
        <f>IFERROR((VLOOKUP($A732,'[1]import success seats course'!$A:T,HLOOKUP('[1]Course Totals'!F$4,'[1]import success seats course'!$1:$2,2,FALSE),FALSE)/(VLOOKUP($A732,'[1]import graded seats course pivo'!$A:AD,HLOOKUP('[1]Course Totals'!F$4,'[1]import graded seats course pivo'!$1:$2,2,FALSE),FALSE))),"")</f>
        <v/>
      </c>
      <c r="G732" s="14" t="str">
        <f>IFERROR((VLOOKUP($A732,'[1]import success seats course'!$A:U,HLOOKUP('[1]Course Totals'!G$4,'[1]import success seats course'!$1:$2,2,FALSE),FALSE)/(VLOOKUP($A732,'[1]import graded seats course pivo'!$A:AE,HLOOKUP('[1]Course Totals'!G$4,'[1]import graded seats course pivo'!$1:$2,2,FALSE),FALSE))),"")</f>
        <v/>
      </c>
      <c r="H732" s="14" t="str">
        <f>IFERROR((VLOOKUP($A732,'[1]import success seats course'!$A:V,HLOOKUP('[1]Course Totals'!H$4,'[1]import success seats course'!$1:$2,2,FALSE),FALSE)/(VLOOKUP($A732,'[1]import graded seats course pivo'!$A:AF,HLOOKUP('[1]Course Totals'!H$4,'[1]import graded seats course pivo'!$1:$2,2,FALSE),FALSE))),"")</f>
        <v/>
      </c>
      <c r="I732" s="14" t="str">
        <f>IFERROR((VLOOKUP($A732,'[1]import success seats course'!$A:W,HLOOKUP('[1]Course Totals'!I$4,'[1]import success seats course'!$1:$2,2,FALSE),FALSE)/(VLOOKUP($A732,'[1]import graded seats course pivo'!$A:AG,HLOOKUP('[1]Course Totals'!I$4,'[1]import graded seats course pivo'!$1:$2,2,FALSE),FALSE))),"")</f>
        <v/>
      </c>
      <c r="J732" s="14" t="str">
        <f>IFERROR((VLOOKUP($A732,'[1]import success seats course'!$A:X,HLOOKUP('[1]Course Totals'!J$4,'[1]import success seats course'!$1:$2,2,FALSE),FALSE)/(VLOOKUP($A732,'[1]import graded seats course pivo'!$A:AH,HLOOKUP('[1]Course Totals'!J$4,'[1]import graded seats course pivo'!$1:$2,2,FALSE),FALSE))),"")</f>
        <v/>
      </c>
      <c r="K732" s="14" t="str">
        <f>IFERROR((VLOOKUP($A732,'[1]import success seats course'!$A:Y,HLOOKUP('[1]Course Totals'!K$4,'[1]import success seats course'!$1:$2,2,FALSE),FALSE)/(VLOOKUP($A732,'[1]import graded seats course pivo'!$A:AI,HLOOKUP('[1]Course Totals'!K$4,'[1]import graded seats course pivo'!$1:$2,2,FALSE),FALSE))),"")</f>
        <v/>
      </c>
      <c r="L732" s="14" t="str">
        <f>IFERROR((VLOOKUP($A732,'[1]import success seats course'!$A:Z,HLOOKUP('[1]Course Totals'!L$4,'[1]import success seats course'!$1:$2,2,FALSE),FALSE)/(VLOOKUP($A732,'[1]import graded seats course pivo'!$A:AJ,HLOOKUP('[1]Course Totals'!L$4,'[1]import graded seats course pivo'!$1:$2,2,FALSE),FALSE))),"")</f>
        <v/>
      </c>
      <c r="M732" s="14" t="str">
        <f>IFERROR((VLOOKUP($A732,'[1]import success seats course'!$A:AA,HLOOKUP('[1]Course Totals'!M$4,'[1]import success seats course'!$1:$2,2,FALSE),FALSE)/(VLOOKUP($A732,'[1]import graded seats course pivo'!$A:AK,HLOOKUP('[1]Course Totals'!M$4,'[1]import graded seats course pivo'!$1:$2,2,FALSE),FALSE))),"")</f>
        <v/>
      </c>
      <c r="N732" s="14" t="str">
        <f>IFERROR((VLOOKUP($A732,'[1]import success seats course'!$A:AB,HLOOKUP('[1]Course Totals'!N$4,'[1]import success seats course'!$1:$2,2,FALSE),FALSE)/(VLOOKUP($A732,'[1]import graded seats course pivo'!$A:AL,HLOOKUP('[1]Course Totals'!N$4,'[1]import graded seats course pivo'!$1:$2,2,FALSE),FALSE))),"")</f>
        <v/>
      </c>
      <c r="O732" s="14" t="str">
        <f>IFERROR((VLOOKUP($A732,'[1]import success seats course'!$A:AC,HLOOKUP('[1]Course Totals'!O$4,'[1]import success seats course'!$1:$2,2,FALSE),FALSE)/(VLOOKUP($A732,'[1]import graded seats course pivo'!$A:AM,HLOOKUP('[1]Course Totals'!O$4,'[1]import graded seats course pivo'!$1:$2,2,FALSE),FALSE))),"")</f>
        <v/>
      </c>
      <c r="P732" s="14" t="str">
        <f>IFERROR((VLOOKUP($A732,'[1]import success seats course'!$A:AD,HLOOKUP('[1]Course Totals'!P$4,'[1]import success seats course'!$1:$2,2,FALSE),FALSE)/(VLOOKUP($A732,'[1]import graded seats course pivo'!$A:AN,HLOOKUP('[1]Course Totals'!P$4,'[1]import graded seats course pivo'!$1:$2,2,FALSE),FALSE))),"")</f>
        <v/>
      </c>
      <c r="Q732" s="14" t="str">
        <f>IFERROR((VLOOKUP($A732,'[1]import success seats course'!$A:AE,HLOOKUP('[1]Course Totals'!Q$4,'[1]import success seats course'!$1:$2,2,FALSE),FALSE)/(VLOOKUP($A732,'[1]import graded seats course pivo'!$A:AO,HLOOKUP('[1]Course Totals'!Q$4,'[1]import graded seats course pivo'!$1:$2,2,FALSE),FALSE))),"")</f>
        <v/>
      </c>
      <c r="R732" s="14" t="str">
        <f>IFERROR((VLOOKUP($A732,'[1]import success seats course'!$A:AF,HLOOKUP('[1]Course Totals'!R$4,'[1]import success seats course'!$1:$2,2,FALSE),FALSE)/(VLOOKUP($A732,'[1]import graded seats course pivo'!$A:AP,HLOOKUP('[1]Course Totals'!R$4,'[1]import graded seats course pivo'!$1:$2,2,FALSE),FALSE))),"")</f>
        <v/>
      </c>
      <c r="S732" s="14" t="str">
        <f>IFERROR((VLOOKUP($A732,'[1]import success seats course'!$A:AG,HLOOKUP('[1]Course Totals'!S$4,'[1]import success seats course'!$1:$2,2,FALSE),FALSE)/(VLOOKUP($A732,'[1]import graded seats course pivo'!$A:AQ,HLOOKUP('[1]Course Totals'!S$4,'[1]import graded seats course pivo'!$1:$2,2,FALSE),FALSE))),"")</f>
        <v/>
      </c>
      <c r="Z732" s="7"/>
      <c r="AA732" s="7"/>
      <c r="AB732" s="7"/>
      <c r="AC732" s="7"/>
    </row>
    <row r="733" spans="1:29" ht="15.75" x14ac:dyDescent="0.25">
      <c r="A733" s="9" t="s">
        <v>1139</v>
      </c>
      <c r="B733" s="67" t="str">
        <f>'[1]Subject TOTALS'!$B$1:$P$1</f>
        <v xml:space="preserve">MVC Retention Rates </v>
      </c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Z733" s="7"/>
      <c r="AA733" s="7"/>
      <c r="AB733" s="7"/>
      <c r="AC733" s="7"/>
    </row>
    <row r="734" spans="1:29" ht="15.75" customHeight="1" thickBot="1" x14ac:dyDescent="0.3">
      <c r="A734" s="8" t="str">
        <f>'[1]SUBJECTS BASE'!H44</f>
        <v>Mathematics</v>
      </c>
      <c r="B734" s="38" t="s">
        <v>1046</v>
      </c>
      <c r="C734" s="39" t="s">
        <v>0</v>
      </c>
      <c r="D734" s="40" t="s">
        <v>868</v>
      </c>
      <c r="E734" s="41" t="s">
        <v>1052</v>
      </c>
      <c r="F734" s="42" t="s">
        <v>546</v>
      </c>
      <c r="G734" s="43" t="s">
        <v>959</v>
      </c>
      <c r="H734" s="44" t="s">
        <v>1060</v>
      </c>
      <c r="I734" s="39" t="s">
        <v>675</v>
      </c>
      <c r="J734" s="45" t="s">
        <v>1006</v>
      </c>
      <c r="K734" s="46" t="s">
        <v>1062</v>
      </c>
      <c r="L734" s="42" t="s">
        <v>762</v>
      </c>
      <c r="M734" s="43" t="s">
        <v>1022</v>
      </c>
      <c r="N734" s="44" t="s">
        <v>1063</v>
      </c>
      <c r="O734" s="39" t="s">
        <v>822</v>
      </c>
      <c r="P734" s="40" t="s">
        <v>1042</v>
      </c>
      <c r="Q734" s="46" t="s">
        <v>1153</v>
      </c>
      <c r="R734" s="42" t="s">
        <v>1154</v>
      </c>
      <c r="S734" s="43" t="s">
        <v>1155</v>
      </c>
      <c r="Z734" s="7"/>
      <c r="AA734" s="7"/>
      <c r="AB734" s="7"/>
      <c r="AC734" s="7"/>
    </row>
    <row r="735" spans="1:29" ht="15.75" customHeight="1" x14ac:dyDescent="0.25">
      <c r="A735" s="12" t="s">
        <v>739</v>
      </c>
      <c r="B735" s="14" t="str">
        <f>IFERROR((VLOOKUP($A735,'[1]import success seats course'!$A:P,HLOOKUP('[1]Course Totals'!B$4,'[1]import success seats course'!$1:$2,2,FALSE),FALSE)/(VLOOKUP($A735,'[1]import graded seats course pivo'!$A:Z,HLOOKUP('[1]Course Totals'!B$4,'[1]import graded seats course pivo'!$1:$2,2,FALSE),FALSE))),"")</f>
        <v/>
      </c>
      <c r="C735" s="14" t="str">
        <f>IFERROR((VLOOKUP($A735,'[1]import success seats course'!$A:Q,HLOOKUP('[1]Course Totals'!C$4,'[1]import success seats course'!$1:$2,2,FALSE),FALSE)/(VLOOKUP($A735,'[1]import graded seats course pivo'!$A:AA,HLOOKUP('[1]Course Totals'!C$4,'[1]import graded seats course pivo'!$1:$2,2,FALSE),FALSE))),"")</f>
        <v/>
      </c>
      <c r="D735" s="14" t="str">
        <f>IFERROR((VLOOKUP($A735,'[1]import success seats course'!$A:R,HLOOKUP('[1]Course Totals'!D$4,'[1]import success seats course'!$1:$2,2,FALSE),FALSE)/(VLOOKUP($A735,'[1]import graded seats course pivo'!$A:AB,HLOOKUP('[1]Course Totals'!D$4,'[1]import graded seats course pivo'!$1:$2,2,FALSE),FALSE))),"")</f>
        <v/>
      </c>
      <c r="E735" s="14" t="str">
        <f>IFERROR((VLOOKUP($A735,'[1]import success seats course'!$A:S,HLOOKUP('[1]Course Totals'!E$4,'[1]import success seats course'!$1:$2,2,FALSE),FALSE)/(VLOOKUP($A735,'[1]import graded seats course pivo'!$A:AC,HLOOKUP('[1]Course Totals'!E$4,'[1]import graded seats course pivo'!$1:$2,2,FALSE),FALSE))),"")</f>
        <v/>
      </c>
      <c r="F735" s="14" t="str">
        <f>IFERROR((VLOOKUP($A735,'[1]import success seats course'!$A:T,HLOOKUP('[1]Course Totals'!F$4,'[1]import success seats course'!$1:$2,2,FALSE),FALSE)/(VLOOKUP($A735,'[1]import graded seats course pivo'!$A:AD,HLOOKUP('[1]Course Totals'!F$4,'[1]import graded seats course pivo'!$1:$2,2,FALSE),FALSE))),"")</f>
        <v/>
      </c>
      <c r="G735" s="14">
        <f>IFERROR((VLOOKUP($A735,'[1]import success seats course'!$A:U,HLOOKUP('[1]Course Totals'!G$4,'[1]import success seats course'!$1:$2,2,FALSE),FALSE)/(VLOOKUP($A735,'[1]import graded seats course pivo'!$A:AE,HLOOKUP('[1]Course Totals'!G$4,'[1]import graded seats course pivo'!$1:$2,2,FALSE),FALSE))),"")</f>
        <v>0.8</v>
      </c>
      <c r="H735" s="14" t="str">
        <f>IFERROR((VLOOKUP($A735,'[1]import success seats course'!$A:V,HLOOKUP('[1]Course Totals'!H$4,'[1]import success seats course'!$1:$2,2,FALSE),FALSE)/(VLOOKUP($A735,'[1]import graded seats course pivo'!$A:AF,HLOOKUP('[1]Course Totals'!H$4,'[1]import graded seats course pivo'!$1:$2,2,FALSE),FALSE))),"")</f>
        <v/>
      </c>
      <c r="I735" s="14">
        <f>IFERROR((VLOOKUP($A735,'[1]import success seats course'!$A:W,HLOOKUP('[1]Course Totals'!I$4,'[1]import success seats course'!$1:$2,2,FALSE),FALSE)/(VLOOKUP($A735,'[1]import graded seats course pivo'!$A:AG,HLOOKUP('[1]Course Totals'!I$4,'[1]import graded seats course pivo'!$1:$2,2,FALSE),FALSE))),"")</f>
        <v>1</v>
      </c>
      <c r="J735" s="14">
        <f>IFERROR((VLOOKUP($A735,'[1]import success seats course'!$A:X,HLOOKUP('[1]Course Totals'!J$4,'[1]import success seats course'!$1:$2,2,FALSE),FALSE)/(VLOOKUP($A735,'[1]import graded seats course pivo'!$A:AH,HLOOKUP('[1]Course Totals'!J$4,'[1]import graded seats course pivo'!$1:$2,2,FALSE),FALSE))),"")</f>
        <v>0.25</v>
      </c>
      <c r="K735" s="14" t="str">
        <f>IFERROR((VLOOKUP($A735,'[1]import success seats course'!$A:Y,HLOOKUP('[1]Course Totals'!K$4,'[1]import success seats course'!$1:$2,2,FALSE),FALSE)/(VLOOKUP($A735,'[1]import graded seats course pivo'!$A:AI,HLOOKUP('[1]Course Totals'!K$4,'[1]import graded seats course pivo'!$1:$2,2,FALSE),FALSE))),"")</f>
        <v/>
      </c>
      <c r="L735" s="14">
        <f>IFERROR((VLOOKUP($A735,'[1]import success seats course'!$A:Z,HLOOKUP('[1]Course Totals'!L$4,'[1]import success seats course'!$1:$2,2,FALSE),FALSE)/(VLOOKUP($A735,'[1]import graded seats course pivo'!$A:AJ,HLOOKUP('[1]Course Totals'!L$4,'[1]import graded seats course pivo'!$1:$2,2,FALSE),FALSE))),"")</f>
        <v>0.8</v>
      </c>
      <c r="M735" s="14">
        <f>IFERROR((VLOOKUP($A735,'[1]import success seats course'!$A:AA,HLOOKUP('[1]Course Totals'!M$4,'[1]import success seats course'!$1:$2,2,FALSE),FALSE)/(VLOOKUP($A735,'[1]import graded seats course pivo'!$A:AK,HLOOKUP('[1]Course Totals'!M$4,'[1]import graded seats course pivo'!$1:$2,2,FALSE),FALSE))),"")</f>
        <v>1</v>
      </c>
      <c r="N735" s="14" t="str">
        <f>IFERROR((VLOOKUP($A735,'[1]import success seats course'!$A:AB,HLOOKUP('[1]Course Totals'!N$4,'[1]import success seats course'!$1:$2,2,FALSE),FALSE)/(VLOOKUP($A735,'[1]import graded seats course pivo'!$A:AL,HLOOKUP('[1]Course Totals'!N$4,'[1]import graded seats course pivo'!$1:$2,2,FALSE),FALSE))),"")</f>
        <v/>
      </c>
      <c r="O735" s="14">
        <f>IFERROR((VLOOKUP($A735,'[1]import success seats course'!$A:AC,HLOOKUP('[1]Course Totals'!O$4,'[1]import success seats course'!$1:$2,2,FALSE),FALSE)/(VLOOKUP($A735,'[1]import graded seats course pivo'!$A:AM,HLOOKUP('[1]Course Totals'!O$4,'[1]import graded seats course pivo'!$1:$2,2,FALSE),FALSE))),"")</f>
        <v>1</v>
      </c>
      <c r="P735" s="14" t="str">
        <f>IFERROR((VLOOKUP($A735,'[1]import success seats course'!$A:AD,HLOOKUP('[1]Course Totals'!P$4,'[1]import success seats course'!$1:$2,2,FALSE),FALSE)/(VLOOKUP($A735,'[1]import graded seats course pivo'!$A:AN,HLOOKUP('[1]Course Totals'!P$4,'[1]import graded seats course pivo'!$1:$2,2,FALSE),FALSE))),"")</f>
        <v/>
      </c>
      <c r="Q735" s="14" t="str">
        <f>IFERROR((VLOOKUP($A735,'[1]import success seats course'!$A:AE,HLOOKUP('[1]Course Totals'!Q$4,'[1]import success seats course'!$1:$2,2,FALSE),FALSE)/(VLOOKUP($A735,'[1]import graded seats course pivo'!$A:AO,HLOOKUP('[1]Course Totals'!Q$4,'[1]import graded seats course pivo'!$1:$2,2,FALSE),FALSE))),"")</f>
        <v/>
      </c>
      <c r="R735" s="14" t="str">
        <f>IFERROR((VLOOKUP($A735,'[1]import success seats course'!$A:AF,HLOOKUP('[1]Course Totals'!R$4,'[1]import success seats course'!$1:$2,2,FALSE),FALSE)/(VLOOKUP($A735,'[1]import graded seats course pivo'!$A:AP,HLOOKUP('[1]Course Totals'!R$4,'[1]import graded seats course pivo'!$1:$2,2,FALSE),FALSE))),"")</f>
        <v/>
      </c>
      <c r="S735" s="14" t="str">
        <f>IFERROR((VLOOKUP($A735,'[1]import success seats course'!$A:AG,HLOOKUP('[1]Course Totals'!S$4,'[1]import success seats course'!$1:$2,2,FALSE),FALSE)/(VLOOKUP($A735,'[1]import graded seats course pivo'!$A:AQ,HLOOKUP('[1]Course Totals'!S$4,'[1]import graded seats course pivo'!$1:$2,2,FALSE),FALSE))),"")</f>
        <v/>
      </c>
      <c r="Z735" s="7"/>
      <c r="AA735" s="7"/>
      <c r="AB735" s="7"/>
      <c r="AC735" s="7"/>
    </row>
    <row r="736" spans="1:29" ht="15.75" customHeight="1" x14ac:dyDescent="0.25">
      <c r="A736" s="12" t="s">
        <v>740</v>
      </c>
      <c r="B736" s="14" t="str">
        <f>IFERROR((VLOOKUP($A736,'[1]import success seats course'!$A:P,HLOOKUP('[1]Course Totals'!B$4,'[1]import success seats course'!$1:$2,2,FALSE),FALSE)/(VLOOKUP($A736,'[1]import graded seats course pivo'!$A:Z,HLOOKUP('[1]Course Totals'!B$4,'[1]import graded seats course pivo'!$1:$2,2,FALSE),FALSE))),"")</f>
        <v/>
      </c>
      <c r="C736" s="14" t="str">
        <f>IFERROR((VLOOKUP($A736,'[1]import success seats course'!$A:Q,HLOOKUP('[1]Course Totals'!C$4,'[1]import success seats course'!$1:$2,2,FALSE),FALSE)/(VLOOKUP($A736,'[1]import graded seats course pivo'!$A:AA,HLOOKUP('[1]Course Totals'!C$4,'[1]import graded seats course pivo'!$1:$2,2,FALSE),FALSE))),"")</f>
        <v/>
      </c>
      <c r="D736" s="14" t="str">
        <f>IFERROR((VLOOKUP($A736,'[1]import success seats course'!$A:R,HLOOKUP('[1]Course Totals'!D$4,'[1]import success seats course'!$1:$2,2,FALSE),FALSE)/(VLOOKUP($A736,'[1]import graded seats course pivo'!$A:AB,HLOOKUP('[1]Course Totals'!D$4,'[1]import graded seats course pivo'!$1:$2,2,FALSE),FALSE))),"")</f>
        <v/>
      </c>
      <c r="E736" s="14" t="str">
        <f>IFERROR((VLOOKUP($A736,'[1]import success seats course'!$A:S,HLOOKUP('[1]Course Totals'!E$4,'[1]import success seats course'!$1:$2,2,FALSE),FALSE)/(VLOOKUP($A736,'[1]import graded seats course pivo'!$A:AC,HLOOKUP('[1]Course Totals'!E$4,'[1]import graded seats course pivo'!$1:$2,2,FALSE),FALSE))),"")</f>
        <v/>
      </c>
      <c r="F736" s="14" t="str">
        <f>IFERROR((VLOOKUP($A736,'[1]import success seats course'!$A:T,HLOOKUP('[1]Course Totals'!F$4,'[1]import success seats course'!$1:$2,2,FALSE),FALSE)/(VLOOKUP($A736,'[1]import graded seats course pivo'!$A:AD,HLOOKUP('[1]Course Totals'!F$4,'[1]import graded seats course pivo'!$1:$2,2,FALSE),FALSE))),"")</f>
        <v/>
      </c>
      <c r="G736" s="14">
        <f>IFERROR((VLOOKUP($A736,'[1]import success seats course'!$A:U,HLOOKUP('[1]Course Totals'!G$4,'[1]import success seats course'!$1:$2,2,FALSE),FALSE)/(VLOOKUP($A736,'[1]import graded seats course pivo'!$A:AE,HLOOKUP('[1]Course Totals'!G$4,'[1]import graded seats course pivo'!$1:$2,2,FALSE),FALSE))),"")</f>
        <v>0.875</v>
      </c>
      <c r="H736" s="14" t="str">
        <f>IFERROR((VLOOKUP($A736,'[1]import success seats course'!$A:V,HLOOKUP('[1]Course Totals'!H$4,'[1]import success seats course'!$1:$2,2,FALSE),FALSE)/(VLOOKUP($A736,'[1]import graded seats course pivo'!$A:AF,HLOOKUP('[1]Course Totals'!H$4,'[1]import graded seats course pivo'!$1:$2,2,FALSE),FALSE))),"")</f>
        <v/>
      </c>
      <c r="I736" s="14">
        <f>IFERROR((VLOOKUP($A736,'[1]import success seats course'!$A:W,HLOOKUP('[1]Course Totals'!I$4,'[1]import success seats course'!$1:$2,2,FALSE),FALSE)/(VLOOKUP($A736,'[1]import graded seats course pivo'!$A:AG,HLOOKUP('[1]Course Totals'!I$4,'[1]import graded seats course pivo'!$1:$2,2,FALSE),FALSE))),"")</f>
        <v>1</v>
      </c>
      <c r="J736" s="14">
        <f>IFERROR((VLOOKUP($A736,'[1]import success seats course'!$A:X,HLOOKUP('[1]Course Totals'!J$4,'[1]import success seats course'!$1:$2,2,FALSE),FALSE)/(VLOOKUP($A736,'[1]import graded seats course pivo'!$A:AH,HLOOKUP('[1]Course Totals'!J$4,'[1]import graded seats course pivo'!$1:$2,2,FALSE),FALSE))),"")</f>
        <v>0.75</v>
      </c>
      <c r="K736" s="14" t="str">
        <f>IFERROR((VLOOKUP($A736,'[1]import success seats course'!$A:Y,HLOOKUP('[1]Course Totals'!K$4,'[1]import success seats course'!$1:$2,2,FALSE),FALSE)/(VLOOKUP($A736,'[1]import graded seats course pivo'!$A:AI,HLOOKUP('[1]Course Totals'!K$4,'[1]import graded seats course pivo'!$1:$2,2,FALSE),FALSE))),"")</f>
        <v/>
      </c>
      <c r="L736" s="14">
        <f>IFERROR((VLOOKUP($A736,'[1]import success seats course'!$A:Z,HLOOKUP('[1]Course Totals'!L$4,'[1]import success seats course'!$1:$2,2,FALSE),FALSE)/(VLOOKUP($A736,'[1]import graded seats course pivo'!$A:AJ,HLOOKUP('[1]Course Totals'!L$4,'[1]import graded seats course pivo'!$1:$2,2,FALSE),FALSE))),"")</f>
        <v>1</v>
      </c>
      <c r="M736" s="14">
        <f>IFERROR((VLOOKUP($A736,'[1]import success seats course'!$A:AA,HLOOKUP('[1]Course Totals'!M$4,'[1]import success seats course'!$1:$2,2,FALSE),FALSE)/(VLOOKUP($A736,'[1]import graded seats course pivo'!$A:AK,HLOOKUP('[1]Course Totals'!M$4,'[1]import graded seats course pivo'!$1:$2,2,FALSE),FALSE))),"")</f>
        <v>0.83333333333333337</v>
      </c>
      <c r="N736" s="14" t="str">
        <f>IFERROR((VLOOKUP($A736,'[1]import success seats course'!$A:AB,HLOOKUP('[1]Course Totals'!N$4,'[1]import success seats course'!$1:$2,2,FALSE),FALSE)/(VLOOKUP($A736,'[1]import graded seats course pivo'!$A:AL,HLOOKUP('[1]Course Totals'!N$4,'[1]import graded seats course pivo'!$1:$2,2,FALSE),FALSE))),"")</f>
        <v/>
      </c>
      <c r="O736" s="14">
        <f>IFERROR((VLOOKUP($A736,'[1]import success seats course'!$A:AC,HLOOKUP('[1]Course Totals'!O$4,'[1]import success seats course'!$1:$2,2,FALSE),FALSE)/(VLOOKUP($A736,'[1]import graded seats course pivo'!$A:AM,HLOOKUP('[1]Course Totals'!O$4,'[1]import graded seats course pivo'!$1:$2,2,FALSE),FALSE))),"")</f>
        <v>1</v>
      </c>
      <c r="P736" s="14">
        <f>IFERROR((VLOOKUP($A736,'[1]import success seats course'!$A:AD,HLOOKUP('[1]Course Totals'!P$4,'[1]import success seats course'!$1:$2,2,FALSE),FALSE)/(VLOOKUP($A736,'[1]import graded seats course pivo'!$A:AN,HLOOKUP('[1]Course Totals'!P$4,'[1]import graded seats course pivo'!$1:$2,2,FALSE),FALSE))),"")</f>
        <v>1</v>
      </c>
      <c r="Q736" s="14" t="str">
        <f>IFERROR((VLOOKUP($A736,'[1]import success seats course'!$A:AE,HLOOKUP('[1]Course Totals'!Q$4,'[1]import success seats course'!$1:$2,2,FALSE),FALSE)/(VLOOKUP($A736,'[1]import graded seats course pivo'!$A:AO,HLOOKUP('[1]Course Totals'!Q$4,'[1]import graded seats course pivo'!$1:$2,2,FALSE),FALSE))),"")</f>
        <v/>
      </c>
      <c r="R736" s="14" t="str">
        <f>IFERROR((VLOOKUP($A736,'[1]import success seats course'!$A:AF,HLOOKUP('[1]Course Totals'!R$4,'[1]import success seats course'!$1:$2,2,FALSE),FALSE)/(VLOOKUP($A736,'[1]import graded seats course pivo'!$A:AP,HLOOKUP('[1]Course Totals'!R$4,'[1]import graded seats course pivo'!$1:$2,2,FALSE),FALSE))),"")</f>
        <v/>
      </c>
      <c r="S736" s="14" t="str">
        <f>IFERROR((VLOOKUP($A736,'[1]import success seats course'!$A:AG,HLOOKUP('[1]Course Totals'!S$4,'[1]import success seats course'!$1:$2,2,FALSE),FALSE)/(VLOOKUP($A736,'[1]import graded seats course pivo'!$A:AQ,HLOOKUP('[1]Course Totals'!S$4,'[1]import graded seats course pivo'!$1:$2,2,FALSE),FALSE))),"")</f>
        <v/>
      </c>
      <c r="Z736" s="7"/>
      <c r="AA736" s="7"/>
      <c r="AB736" s="7"/>
      <c r="AC736" s="7"/>
    </row>
    <row r="737" spans="1:29" ht="15.75" customHeight="1" x14ac:dyDescent="0.25">
      <c r="A737" s="12" t="s">
        <v>334</v>
      </c>
      <c r="B737" s="14">
        <f>IFERROR((VLOOKUP($A737,'[1]import success seats course'!$A:P,HLOOKUP('[1]Course Totals'!B$4,'[1]import success seats course'!$1:$2,2,FALSE),FALSE)/(VLOOKUP($A737,'[1]import graded seats course pivo'!$A:Z,HLOOKUP('[1]Course Totals'!B$4,'[1]import graded seats course pivo'!$1:$2,2,FALSE),FALSE))),"")</f>
        <v>0.91666666666666663</v>
      </c>
      <c r="C737" s="14">
        <f>IFERROR((VLOOKUP($A737,'[1]import success seats course'!$A:Q,HLOOKUP('[1]Course Totals'!C$4,'[1]import success seats course'!$1:$2,2,FALSE),FALSE)/(VLOOKUP($A737,'[1]import graded seats course pivo'!$A:AA,HLOOKUP('[1]Course Totals'!C$4,'[1]import graded seats course pivo'!$1:$2,2,FALSE),FALSE))),"")</f>
        <v>0.88629737609329451</v>
      </c>
      <c r="D737" s="14">
        <f>IFERROR((VLOOKUP($A737,'[1]import success seats course'!$A:R,HLOOKUP('[1]Course Totals'!D$4,'[1]import success seats course'!$1:$2,2,FALSE),FALSE)/(VLOOKUP($A737,'[1]import graded seats course pivo'!$A:AB,HLOOKUP('[1]Course Totals'!D$4,'[1]import graded seats course pivo'!$1:$2,2,FALSE),FALSE))),"")</f>
        <v>0.82817869415807566</v>
      </c>
      <c r="E737" s="14">
        <f>IFERROR((VLOOKUP($A737,'[1]import success seats course'!$A:S,HLOOKUP('[1]Course Totals'!E$4,'[1]import success seats course'!$1:$2,2,FALSE),FALSE)/(VLOOKUP($A737,'[1]import graded seats course pivo'!$A:AC,HLOOKUP('[1]Course Totals'!E$4,'[1]import graded seats course pivo'!$1:$2,2,FALSE),FALSE))),"")</f>
        <v>0.91919191919191923</v>
      </c>
      <c r="F737" s="14">
        <f>IFERROR((VLOOKUP($A737,'[1]import success seats course'!$A:T,HLOOKUP('[1]Course Totals'!F$4,'[1]import success seats course'!$1:$2,2,FALSE),FALSE)/(VLOOKUP($A737,'[1]import graded seats course pivo'!$A:AD,HLOOKUP('[1]Course Totals'!F$4,'[1]import graded seats course pivo'!$1:$2,2,FALSE),FALSE))),"")</f>
        <v>0.8493975903614458</v>
      </c>
      <c r="G737" s="14">
        <f>IFERROR((VLOOKUP($A737,'[1]import success seats course'!$A:U,HLOOKUP('[1]Course Totals'!G$4,'[1]import success seats course'!$1:$2,2,FALSE),FALSE)/(VLOOKUP($A737,'[1]import graded seats course pivo'!$A:AE,HLOOKUP('[1]Course Totals'!G$4,'[1]import graded seats course pivo'!$1:$2,2,FALSE),FALSE))),"")</f>
        <v>0.8297213622291022</v>
      </c>
      <c r="H737" s="14">
        <f>IFERROR((VLOOKUP($A737,'[1]import success seats course'!$A:V,HLOOKUP('[1]Course Totals'!H$4,'[1]import success seats course'!$1:$2,2,FALSE),FALSE)/(VLOOKUP($A737,'[1]import graded seats course pivo'!$A:AF,HLOOKUP('[1]Course Totals'!H$4,'[1]import graded seats course pivo'!$1:$2,2,FALSE),FALSE))),"")</f>
        <v>0.98148148148148151</v>
      </c>
      <c r="I737" s="14">
        <f>IFERROR((VLOOKUP($A737,'[1]import success seats course'!$A:W,HLOOKUP('[1]Course Totals'!I$4,'[1]import success seats course'!$1:$2,2,FALSE),FALSE)/(VLOOKUP($A737,'[1]import graded seats course pivo'!$A:AG,HLOOKUP('[1]Course Totals'!I$4,'[1]import graded seats course pivo'!$1:$2,2,FALSE),FALSE))),"")</f>
        <v>0.84488448844884489</v>
      </c>
      <c r="J737" s="14">
        <f>IFERROR((VLOOKUP($A737,'[1]import success seats course'!$A:X,HLOOKUP('[1]Course Totals'!J$4,'[1]import success seats course'!$1:$2,2,FALSE),FALSE)/(VLOOKUP($A737,'[1]import graded seats course pivo'!$A:AH,HLOOKUP('[1]Course Totals'!J$4,'[1]import graded seats course pivo'!$1:$2,2,FALSE),FALSE))),"")</f>
        <v>0.79069767441860461</v>
      </c>
      <c r="K737" s="14" t="str">
        <f>IFERROR((VLOOKUP($A737,'[1]import success seats course'!$A:Y,HLOOKUP('[1]Course Totals'!K$4,'[1]import success seats course'!$1:$2,2,FALSE),FALSE)/(VLOOKUP($A737,'[1]import graded seats course pivo'!$A:AI,HLOOKUP('[1]Course Totals'!K$4,'[1]import graded seats course pivo'!$1:$2,2,FALSE),FALSE))),"")</f>
        <v/>
      </c>
      <c r="L737" s="14">
        <f>IFERROR((VLOOKUP($A737,'[1]import success seats course'!$A:Z,HLOOKUP('[1]Course Totals'!L$4,'[1]import success seats course'!$1:$2,2,FALSE),FALSE)/(VLOOKUP($A737,'[1]import graded seats course pivo'!$A:AJ,HLOOKUP('[1]Course Totals'!L$4,'[1]import graded seats course pivo'!$1:$2,2,FALSE),FALSE))),"")</f>
        <v>0.83838383838383834</v>
      </c>
      <c r="M737" s="14">
        <f>IFERROR((VLOOKUP($A737,'[1]import success seats course'!$A:AA,HLOOKUP('[1]Course Totals'!M$4,'[1]import success seats course'!$1:$2,2,FALSE),FALSE)/(VLOOKUP($A737,'[1]import graded seats course pivo'!$A:AK,HLOOKUP('[1]Course Totals'!M$4,'[1]import graded seats course pivo'!$1:$2,2,FALSE),FALSE))),"")</f>
        <v>0.86138613861386137</v>
      </c>
      <c r="N737" s="14" t="str">
        <f>IFERROR((VLOOKUP($A737,'[1]import success seats course'!$A:AB,HLOOKUP('[1]Course Totals'!N$4,'[1]import success seats course'!$1:$2,2,FALSE),FALSE)/(VLOOKUP($A737,'[1]import graded seats course pivo'!$A:AL,HLOOKUP('[1]Course Totals'!N$4,'[1]import graded seats course pivo'!$1:$2,2,FALSE),FALSE))),"")</f>
        <v/>
      </c>
      <c r="O737" s="14">
        <f>IFERROR((VLOOKUP($A737,'[1]import success seats course'!$A:AC,HLOOKUP('[1]Course Totals'!O$4,'[1]import success seats course'!$1:$2,2,FALSE),FALSE)/(VLOOKUP($A737,'[1]import graded seats course pivo'!$A:AM,HLOOKUP('[1]Course Totals'!O$4,'[1]import graded seats course pivo'!$1:$2,2,FALSE),FALSE))),"")</f>
        <v>0.94897959183673475</v>
      </c>
      <c r="P737" s="14">
        <f>IFERROR((VLOOKUP($A737,'[1]import success seats course'!$A:AD,HLOOKUP('[1]Course Totals'!P$4,'[1]import success seats course'!$1:$2,2,FALSE),FALSE)/(VLOOKUP($A737,'[1]import graded seats course pivo'!$A:AN,HLOOKUP('[1]Course Totals'!P$4,'[1]import graded seats course pivo'!$1:$2,2,FALSE),FALSE))),"")</f>
        <v>0.96296296296296291</v>
      </c>
      <c r="Q737" s="14" t="str">
        <f>IFERROR((VLOOKUP($A737,'[1]import success seats course'!$A:AE,HLOOKUP('[1]Course Totals'!Q$4,'[1]import success seats course'!$1:$2,2,FALSE),FALSE)/(VLOOKUP($A737,'[1]import graded seats course pivo'!$A:AO,HLOOKUP('[1]Course Totals'!Q$4,'[1]import graded seats course pivo'!$1:$2,2,FALSE),FALSE))),"")</f>
        <v/>
      </c>
      <c r="R737" s="14">
        <f>IFERROR((VLOOKUP($A737,'[1]import success seats course'!$A:AF,HLOOKUP('[1]Course Totals'!R$4,'[1]import success seats course'!$1:$2,2,FALSE),FALSE)/(VLOOKUP($A737,'[1]import graded seats course pivo'!$A:AP,HLOOKUP('[1]Course Totals'!R$4,'[1]import graded seats course pivo'!$1:$2,2,FALSE),FALSE))),"")</f>
        <v>0.90526315789473688</v>
      </c>
      <c r="S737" s="14">
        <f>IFERROR((VLOOKUP($A737,'[1]import success seats course'!$A:AG,HLOOKUP('[1]Course Totals'!S$4,'[1]import success seats course'!$1:$2,2,FALSE),FALSE)/(VLOOKUP($A737,'[1]import graded seats course pivo'!$A:AQ,HLOOKUP('[1]Course Totals'!S$4,'[1]import graded seats course pivo'!$1:$2,2,FALSE),FALSE))),"")</f>
        <v>0.87378640776699024</v>
      </c>
      <c r="Z737" s="7"/>
      <c r="AA737" s="7"/>
      <c r="AB737" s="7"/>
      <c r="AC737" s="7"/>
    </row>
    <row r="738" spans="1:29" ht="15.75" customHeight="1" x14ac:dyDescent="0.25">
      <c r="A738" s="12" t="s">
        <v>335</v>
      </c>
      <c r="B738" s="14">
        <f>IFERROR((VLOOKUP($A738,'[1]import success seats course'!$A:P,HLOOKUP('[1]Course Totals'!B$4,'[1]import success seats course'!$1:$2,2,FALSE),FALSE)/(VLOOKUP($A738,'[1]import graded seats course pivo'!$A:Z,HLOOKUP('[1]Course Totals'!B$4,'[1]import graded seats course pivo'!$1:$2,2,FALSE),FALSE))),"")</f>
        <v>0.93243243243243246</v>
      </c>
      <c r="C738" s="14">
        <f>IFERROR((VLOOKUP($A738,'[1]import success seats course'!$A:Q,HLOOKUP('[1]Course Totals'!C$4,'[1]import success seats course'!$1:$2,2,FALSE),FALSE)/(VLOOKUP($A738,'[1]import graded seats course pivo'!$A:AA,HLOOKUP('[1]Course Totals'!C$4,'[1]import graded seats course pivo'!$1:$2,2,FALSE),FALSE))),"")</f>
        <v>0.86885245901639341</v>
      </c>
      <c r="D738" s="14">
        <f>IFERROR((VLOOKUP($A738,'[1]import success seats course'!$A:R,HLOOKUP('[1]Course Totals'!D$4,'[1]import success seats course'!$1:$2,2,FALSE),FALSE)/(VLOOKUP($A738,'[1]import graded seats course pivo'!$A:AB,HLOOKUP('[1]Course Totals'!D$4,'[1]import graded seats course pivo'!$1:$2,2,FALSE),FALSE))),"")</f>
        <v>0.88505747126436785</v>
      </c>
      <c r="E738" s="14">
        <f>IFERROR((VLOOKUP($A738,'[1]import success seats course'!$A:S,HLOOKUP('[1]Course Totals'!E$4,'[1]import success seats course'!$1:$2,2,FALSE),FALSE)/(VLOOKUP($A738,'[1]import graded seats course pivo'!$A:AC,HLOOKUP('[1]Course Totals'!E$4,'[1]import graded seats course pivo'!$1:$2,2,FALSE),FALSE))),"")</f>
        <v>0.81081081081081086</v>
      </c>
      <c r="F738" s="14">
        <f>IFERROR((VLOOKUP($A738,'[1]import success seats course'!$A:T,HLOOKUP('[1]Course Totals'!F$4,'[1]import success seats course'!$1:$2,2,FALSE),FALSE)/(VLOOKUP($A738,'[1]import graded seats course pivo'!$A:AD,HLOOKUP('[1]Course Totals'!F$4,'[1]import graded seats course pivo'!$1:$2,2,FALSE),FALSE))),"")</f>
        <v>0.8398876404494382</v>
      </c>
      <c r="G738" s="14">
        <f>IFERROR((VLOOKUP($A738,'[1]import success seats course'!$A:U,HLOOKUP('[1]Course Totals'!G$4,'[1]import success seats course'!$1:$2,2,FALSE),FALSE)/(VLOOKUP($A738,'[1]import graded seats course pivo'!$A:AE,HLOOKUP('[1]Course Totals'!G$4,'[1]import graded seats course pivo'!$1:$2,2,FALSE),FALSE))),"")</f>
        <v>0.8651685393258427</v>
      </c>
      <c r="H738" s="14">
        <f>IFERROR((VLOOKUP($A738,'[1]import success seats course'!$A:V,HLOOKUP('[1]Course Totals'!H$4,'[1]import success seats course'!$1:$2,2,FALSE),FALSE)/(VLOOKUP($A738,'[1]import graded seats course pivo'!$A:AF,HLOOKUP('[1]Course Totals'!H$4,'[1]import graded seats course pivo'!$1:$2,2,FALSE),FALSE))),"")</f>
        <v>0.83050847457627119</v>
      </c>
      <c r="I738" s="14">
        <f>IFERROR((VLOOKUP($A738,'[1]import success seats course'!$A:W,HLOOKUP('[1]Course Totals'!I$4,'[1]import success seats course'!$1:$2,2,FALSE),FALSE)/(VLOOKUP($A738,'[1]import graded seats course pivo'!$A:AG,HLOOKUP('[1]Course Totals'!I$4,'[1]import graded seats course pivo'!$1:$2,2,FALSE),FALSE))),"")</f>
        <v>0.86039886039886038</v>
      </c>
      <c r="J738" s="14">
        <f>IFERROR((VLOOKUP($A738,'[1]import success seats course'!$A:X,HLOOKUP('[1]Course Totals'!J$4,'[1]import success seats course'!$1:$2,2,FALSE),FALSE)/(VLOOKUP($A738,'[1]import graded seats course pivo'!$A:AH,HLOOKUP('[1]Course Totals'!J$4,'[1]import graded seats course pivo'!$1:$2,2,FALSE),FALSE))),"")</f>
        <v>0.79141104294478526</v>
      </c>
      <c r="K738" s="14" t="str">
        <f>IFERROR((VLOOKUP($A738,'[1]import success seats course'!$A:Y,HLOOKUP('[1]Course Totals'!K$4,'[1]import success seats course'!$1:$2,2,FALSE),FALSE)/(VLOOKUP($A738,'[1]import graded seats course pivo'!$A:AI,HLOOKUP('[1]Course Totals'!K$4,'[1]import graded seats course pivo'!$1:$2,2,FALSE),FALSE))),"")</f>
        <v/>
      </c>
      <c r="L738" s="14">
        <f>IFERROR((VLOOKUP($A738,'[1]import success seats course'!$A:Z,HLOOKUP('[1]Course Totals'!L$4,'[1]import success seats course'!$1:$2,2,FALSE),FALSE)/(VLOOKUP($A738,'[1]import graded seats course pivo'!$A:AJ,HLOOKUP('[1]Course Totals'!L$4,'[1]import graded seats course pivo'!$1:$2,2,FALSE),FALSE))),"")</f>
        <v>0.83214285714285718</v>
      </c>
      <c r="M738" s="14">
        <f>IFERROR((VLOOKUP($A738,'[1]import success seats course'!$A:AA,HLOOKUP('[1]Course Totals'!M$4,'[1]import success seats course'!$1:$2,2,FALSE),FALSE)/(VLOOKUP($A738,'[1]import graded seats course pivo'!$A:AK,HLOOKUP('[1]Course Totals'!M$4,'[1]import graded seats course pivo'!$1:$2,2,FALSE),FALSE))),"")</f>
        <v>0.84946236559139787</v>
      </c>
      <c r="N738" s="14" t="str">
        <f>IFERROR((VLOOKUP($A738,'[1]import success seats course'!$A:AB,HLOOKUP('[1]Course Totals'!N$4,'[1]import success seats course'!$1:$2,2,FALSE),FALSE)/(VLOOKUP($A738,'[1]import graded seats course pivo'!$A:AL,HLOOKUP('[1]Course Totals'!N$4,'[1]import graded seats course pivo'!$1:$2,2,FALSE),FALSE))),"")</f>
        <v/>
      </c>
      <c r="O738" s="14">
        <f>IFERROR((VLOOKUP($A738,'[1]import success seats course'!$A:AC,HLOOKUP('[1]Course Totals'!O$4,'[1]import success seats course'!$1:$2,2,FALSE),FALSE)/(VLOOKUP($A738,'[1]import graded seats course pivo'!$A:AM,HLOOKUP('[1]Course Totals'!O$4,'[1]import graded seats course pivo'!$1:$2,2,FALSE),FALSE))),"")</f>
        <v>0.87132352941176472</v>
      </c>
      <c r="P738" s="14">
        <f>IFERROR((VLOOKUP($A738,'[1]import success seats course'!$A:AD,HLOOKUP('[1]Course Totals'!P$4,'[1]import success seats course'!$1:$2,2,FALSE),FALSE)/(VLOOKUP($A738,'[1]import graded seats course pivo'!$A:AN,HLOOKUP('[1]Course Totals'!P$4,'[1]import graded seats course pivo'!$1:$2,2,FALSE),FALSE))),"")</f>
        <v>0.87632508833922262</v>
      </c>
      <c r="Q738" s="14" t="str">
        <f>IFERROR((VLOOKUP($A738,'[1]import success seats course'!$A:AE,HLOOKUP('[1]Course Totals'!Q$4,'[1]import success seats course'!$1:$2,2,FALSE),FALSE)/(VLOOKUP($A738,'[1]import graded seats course pivo'!$A:AO,HLOOKUP('[1]Course Totals'!Q$4,'[1]import graded seats course pivo'!$1:$2,2,FALSE),FALSE))),"")</f>
        <v/>
      </c>
      <c r="R738" s="14">
        <f>IFERROR((VLOOKUP($A738,'[1]import success seats course'!$A:AF,HLOOKUP('[1]Course Totals'!R$4,'[1]import success seats course'!$1:$2,2,FALSE),FALSE)/(VLOOKUP($A738,'[1]import graded seats course pivo'!$A:AP,HLOOKUP('[1]Course Totals'!R$4,'[1]import graded seats course pivo'!$1:$2,2,FALSE),FALSE))),"")</f>
        <v>0.89147286821705429</v>
      </c>
      <c r="S738" s="14">
        <f>IFERROR((VLOOKUP($A738,'[1]import success seats course'!$A:AG,HLOOKUP('[1]Course Totals'!S$4,'[1]import success seats course'!$1:$2,2,FALSE),FALSE)/(VLOOKUP($A738,'[1]import graded seats course pivo'!$A:AQ,HLOOKUP('[1]Course Totals'!S$4,'[1]import graded seats course pivo'!$1:$2,2,FALSE),FALSE))),"")</f>
        <v>0.8754863813229572</v>
      </c>
      <c r="Z738" s="7"/>
      <c r="AA738" s="7"/>
      <c r="AB738" s="7"/>
      <c r="AC738" s="7"/>
    </row>
    <row r="739" spans="1:29" ht="15.75" hidden="1" customHeight="1" x14ac:dyDescent="0.25">
      <c r="A739" s="12" t="s">
        <v>1017</v>
      </c>
      <c r="B739" s="14" t="str">
        <f>IFERROR((VLOOKUP($A739,'[1]import success seats course'!$A:P,HLOOKUP('[1]Course Totals'!B$4,'[1]import success seats course'!$1:$2,2,FALSE),FALSE)/(VLOOKUP($A739,'[1]import graded seats course pivo'!$A:Z,HLOOKUP('[1]Course Totals'!B$4,'[1]import graded seats course pivo'!$1:$2,2,FALSE),FALSE))),"")</f>
        <v/>
      </c>
      <c r="C739" s="14" t="str">
        <f>IFERROR((VLOOKUP($A739,'[1]import success seats course'!$A:Q,HLOOKUP('[1]Course Totals'!C$4,'[1]import success seats course'!$1:$2,2,FALSE),FALSE)/(VLOOKUP($A739,'[1]import graded seats course pivo'!$A:AA,HLOOKUP('[1]Course Totals'!C$4,'[1]import graded seats course pivo'!$1:$2,2,FALSE),FALSE))),"")</f>
        <v/>
      </c>
      <c r="D739" s="14" t="str">
        <f>IFERROR((VLOOKUP($A739,'[1]import success seats course'!$A:R,HLOOKUP('[1]Course Totals'!D$4,'[1]import success seats course'!$1:$2,2,FALSE),FALSE)/(VLOOKUP($A739,'[1]import graded seats course pivo'!$A:AB,HLOOKUP('[1]Course Totals'!D$4,'[1]import graded seats course pivo'!$1:$2,2,FALSE),FALSE))),"")</f>
        <v/>
      </c>
      <c r="E739" s="14" t="str">
        <f>IFERROR((VLOOKUP($A739,'[1]import success seats course'!$A:S,HLOOKUP('[1]Course Totals'!E$4,'[1]import success seats course'!$1:$2,2,FALSE),FALSE)/(VLOOKUP($A739,'[1]import graded seats course pivo'!$A:AC,HLOOKUP('[1]Course Totals'!E$4,'[1]import graded seats course pivo'!$1:$2,2,FALSE),FALSE))),"")</f>
        <v/>
      </c>
      <c r="F739" s="14" t="str">
        <f>IFERROR((VLOOKUP($A739,'[1]import success seats course'!$A:T,HLOOKUP('[1]Course Totals'!F$4,'[1]import success seats course'!$1:$2,2,FALSE),FALSE)/(VLOOKUP($A739,'[1]import graded seats course pivo'!$A:AD,HLOOKUP('[1]Course Totals'!F$4,'[1]import graded seats course pivo'!$1:$2,2,FALSE),FALSE))),"")</f>
        <v/>
      </c>
      <c r="G739" s="14" t="str">
        <f>IFERROR((VLOOKUP($A739,'[1]import success seats course'!$A:U,HLOOKUP('[1]Course Totals'!G$4,'[1]import success seats course'!$1:$2,2,FALSE),FALSE)/(VLOOKUP($A739,'[1]import graded seats course pivo'!$A:AE,HLOOKUP('[1]Course Totals'!G$4,'[1]import graded seats course pivo'!$1:$2,2,FALSE),FALSE))),"")</f>
        <v/>
      </c>
      <c r="H739" s="14" t="str">
        <f>IFERROR((VLOOKUP($A739,'[1]import success seats course'!$A:V,HLOOKUP('[1]Course Totals'!H$4,'[1]import success seats course'!$1:$2,2,FALSE),FALSE)/(VLOOKUP($A739,'[1]import graded seats course pivo'!$A:AF,HLOOKUP('[1]Course Totals'!H$4,'[1]import graded seats course pivo'!$1:$2,2,FALSE),FALSE))),"")</f>
        <v/>
      </c>
      <c r="I739" s="14" t="str">
        <f>IFERROR((VLOOKUP($A739,'[1]import success seats course'!$A:W,HLOOKUP('[1]Course Totals'!I$4,'[1]import success seats course'!$1:$2,2,FALSE),FALSE)/(VLOOKUP($A739,'[1]import graded seats course pivo'!$A:AG,HLOOKUP('[1]Course Totals'!I$4,'[1]import graded seats course pivo'!$1:$2,2,FALSE),FALSE))),"")</f>
        <v/>
      </c>
      <c r="J739" s="14" t="str">
        <f>IFERROR((VLOOKUP($A739,'[1]import success seats course'!$A:X,HLOOKUP('[1]Course Totals'!J$4,'[1]import success seats course'!$1:$2,2,FALSE),FALSE)/(VLOOKUP($A739,'[1]import graded seats course pivo'!$A:AH,HLOOKUP('[1]Course Totals'!J$4,'[1]import graded seats course pivo'!$1:$2,2,FALSE),FALSE))),"")</f>
        <v/>
      </c>
      <c r="K739" s="14" t="str">
        <f>IFERROR((VLOOKUP($A739,'[1]import success seats course'!$A:Y,HLOOKUP('[1]Course Totals'!K$4,'[1]import success seats course'!$1:$2,2,FALSE),FALSE)/(VLOOKUP($A739,'[1]import graded seats course pivo'!$A:AI,HLOOKUP('[1]Course Totals'!K$4,'[1]import graded seats course pivo'!$1:$2,2,FALSE),FALSE))),"")</f>
        <v/>
      </c>
      <c r="L739" s="14" t="str">
        <f>IFERROR((VLOOKUP($A739,'[1]import success seats course'!$A:Z,HLOOKUP('[1]Course Totals'!L$4,'[1]import success seats course'!$1:$2,2,FALSE),FALSE)/(VLOOKUP($A739,'[1]import graded seats course pivo'!$A:AJ,HLOOKUP('[1]Course Totals'!L$4,'[1]import graded seats course pivo'!$1:$2,2,FALSE),FALSE))),"")</f>
        <v/>
      </c>
      <c r="M739" s="14" t="str">
        <f>IFERROR((VLOOKUP($A739,'[1]import success seats course'!$A:AA,HLOOKUP('[1]Course Totals'!M$4,'[1]import success seats course'!$1:$2,2,FALSE),FALSE)/(VLOOKUP($A739,'[1]import graded seats course pivo'!$A:AK,HLOOKUP('[1]Course Totals'!M$4,'[1]import graded seats course pivo'!$1:$2,2,FALSE),FALSE))),"")</f>
        <v/>
      </c>
      <c r="N739" s="14" t="str">
        <f>IFERROR((VLOOKUP($A739,'[1]import success seats course'!$A:AB,HLOOKUP('[1]Course Totals'!N$4,'[1]import success seats course'!$1:$2,2,FALSE),FALSE)/(VLOOKUP($A739,'[1]import graded seats course pivo'!$A:AL,HLOOKUP('[1]Course Totals'!N$4,'[1]import graded seats course pivo'!$1:$2,2,FALSE),FALSE))),"")</f>
        <v/>
      </c>
      <c r="O739" s="14" t="str">
        <f>IFERROR((VLOOKUP($A739,'[1]import success seats course'!$A:AC,HLOOKUP('[1]Course Totals'!O$4,'[1]import success seats course'!$1:$2,2,FALSE),FALSE)/(VLOOKUP($A739,'[1]import graded seats course pivo'!$A:AM,HLOOKUP('[1]Course Totals'!O$4,'[1]import graded seats course pivo'!$1:$2,2,FALSE),FALSE))),"")</f>
        <v/>
      </c>
      <c r="P739" s="14" t="str">
        <f>IFERROR((VLOOKUP($A739,'[1]import success seats course'!$A:AD,HLOOKUP('[1]Course Totals'!P$4,'[1]import success seats course'!$1:$2,2,FALSE),FALSE)/(VLOOKUP($A739,'[1]import graded seats course pivo'!$A:AN,HLOOKUP('[1]Course Totals'!P$4,'[1]import graded seats course pivo'!$1:$2,2,FALSE),FALSE))),"")</f>
        <v/>
      </c>
      <c r="Q739" s="14" t="str">
        <f>IFERROR((VLOOKUP($A739,'[1]import success seats course'!$A:AE,HLOOKUP('[1]Course Totals'!Q$4,'[1]import success seats course'!$1:$2,2,FALSE),FALSE)/(VLOOKUP($A739,'[1]import graded seats course pivo'!$A:AO,HLOOKUP('[1]Course Totals'!Q$4,'[1]import graded seats course pivo'!$1:$2,2,FALSE),FALSE))),"")</f>
        <v/>
      </c>
      <c r="R739" s="14" t="str">
        <f>IFERROR((VLOOKUP($A739,'[1]import success seats course'!$A:AF,HLOOKUP('[1]Course Totals'!R$4,'[1]import success seats course'!$1:$2,2,FALSE),FALSE)/(VLOOKUP($A739,'[1]import graded seats course pivo'!$A:AP,HLOOKUP('[1]Course Totals'!R$4,'[1]import graded seats course pivo'!$1:$2,2,FALSE),FALSE))),"")</f>
        <v/>
      </c>
      <c r="S739" s="14" t="str">
        <f>IFERROR((VLOOKUP($A739,'[1]import success seats course'!$A:AG,HLOOKUP('[1]Course Totals'!S$4,'[1]import success seats course'!$1:$2,2,FALSE),FALSE)/(VLOOKUP($A739,'[1]import graded seats course pivo'!$A:AQ,HLOOKUP('[1]Course Totals'!S$4,'[1]import graded seats course pivo'!$1:$2,2,FALSE),FALSE))),"")</f>
        <v/>
      </c>
      <c r="Z739" s="7"/>
      <c r="AA739" s="7"/>
      <c r="AB739" s="7"/>
      <c r="AC739" s="7"/>
    </row>
    <row r="740" spans="1:29" ht="15.75" customHeight="1" x14ac:dyDescent="0.25">
      <c r="A740" s="12" t="s">
        <v>336</v>
      </c>
      <c r="B740" s="14">
        <f>IFERROR((VLOOKUP($A740,'[1]import success seats course'!$A:P,HLOOKUP('[1]Course Totals'!B$4,'[1]import success seats course'!$1:$2,2,FALSE),FALSE)/(VLOOKUP($A740,'[1]import graded seats course pivo'!$A:Z,HLOOKUP('[1]Course Totals'!B$4,'[1]import graded seats course pivo'!$1:$2,2,FALSE),FALSE))),"")</f>
        <v>0.87777777777777777</v>
      </c>
      <c r="C740" s="14">
        <f>IFERROR((VLOOKUP($A740,'[1]import success seats course'!$A:Q,HLOOKUP('[1]Course Totals'!C$4,'[1]import success seats course'!$1:$2,2,FALSE),FALSE)/(VLOOKUP($A740,'[1]import graded seats course pivo'!$A:AA,HLOOKUP('[1]Course Totals'!C$4,'[1]import graded seats course pivo'!$1:$2,2,FALSE),FALSE))),"")</f>
        <v>0.77963525835866265</v>
      </c>
      <c r="D740" s="14">
        <f>IFERROR((VLOOKUP($A740,'[1]import success seats course'!$A:R,HLOOKUP('[1]Course Totals'!D$4,'[1]import success seats course'!$1:$2,2,FALSE),FALSE)/(VLOOKUP($A740,'[1]import graded seats course pivo'!$A:AB,HLOOKUP('[1]Course Totals'!D$4,'[1]import graded seats course pivo'!$1:$2,2,FALSE),FALSE))),"")</f>
        <v>0.80102040816326525</v>
      </c>
      <c r="E740" s="14">
        <f>IFERROR((VLOOKUP($A740,'[1]import success seats course'!$A:S,HLOOKUP('[1]Course Totals'!E$4,'[1]import success seats course'!$1:$2,2,FALSE),FALSE)/(VLOOKUP($A740,'[1]import graded seats course pivo'!$A:AC,HLOOKUP('[1]Course Totals'!E$4,'[1]import graded seats course pivo'!$1:$2,2,FALSE),FALSE))),"")</f>
        <v>0.8545454545454545</v>
      </c>
      <c r="F740" s="14">
        <f>IFERROR((VLOOKUP($A740,'[1]import success seats course'!$A:T,HLOOKUP('[1]Course Totals'!F$4,'[1]import success seats course'!$1:$2,2,FALSE),FALSE)/(VLOOKUP($A740,'[1]import graded seats course pivo'!$A:AD,HLOOKUP('[1]Course Totals'!F$4,'[1]import graded seats course pivo'!$1:$2,2,FALSE),FALSE))),"")</f>
        <v>0.78125</v>
      </c>
      <c r="G740" s="14">
        <f>IFERROR((VLOOKUP($A740,'[1]import success seats course'!$A:U,HLOOKUP('[1]Course Totals'!G$4,'[1]import success seats course'!$1:$2,2,FALSE),FALSE)/(VLOOKUP($A740,'[1]import graded seats course pivo'!$A:AE,HLOOKUP('[1]Course Totals'!G$4,'[1]import graded seats course pivo'!$1:$2,2,FALSE),FALSE))),"")</f>
        <v>0.80420711974110037</v>
      </c>
      <c r="H740" s="14">
        <f>IFERROR((VLOOKUP($A740,'[1]import success seats course'!$A:V,HLOOKUP('[1]Course Totals'!H$4,'[1]import success seats course'!$1:$2,2,FALSE),FALSE)/(VLOOKUP($A740,'[1]import graded seats course pivo'!$A:AF,HLOOKUP('[1]Course Totals'!H$4,'[1]import graded seats course pivo'!$1:$2,2,FALSE),FALSE))),"")</f>
        <v>0.94392523364485981</v>
      </c>
      <c r="I740" s="14">
        <f>IFERROR((VLOOKUP($A740,'[1]import success seats course'!$A:W,HLOOKUP('[1]Course Totals'!I$4,'[1]import success seats course'!$1:$2,2,FALSE),FALSE)/(VLOOKUP($A740,'[1]import graded seats course pivo'!$A:AG,HLOOKUP('[1]Course Totals'!I$4,'[1]import graded seats course pivo'!$1:$2,2,FALSE),FALSE))),"")</f>
        <v>0.8110014104372355</v>
      </c>
      <c r="J740" s="14">
        <f>IFERROR((VLOOKUP($A740,'[1]import success seats course'!$A:X,HLOOKUP('[1]Course Totals'!J$4,'[1]import success seats course'!$1:$2,2,FALSE),FALSE)/(VLOOKUP($A740,'[1]import graded seats course pivo'!$A:AH,HLOOKUP('[1]Course Totals'!J$4,'[1]import graded seats course pivo'!$1:$2,2,FALSE),FALSE))),"")</f>
        <v>0.80251346499102338</v>
      </c>
      <c r="K740" s="14">
        <f>IFERROR((VLOOKUP($A740,'[1]import success seats course'!$A:Y,HLOOKUP('[1]Course Totals'!K$4,'[1]import success seats course'!$1:$2,2,FALSE),FALSE)/(VLOOKUP($A740,'[1]import graded seats course pivo'!$A:AI,HLOOKUP('[1]Course Totals'!K$4,'[1]import graded seats course pivo'!$1:$2,2,FALSE),FALSE))),"")</f>
        <v>0.96103896103896103</v>
      </c>
      <c r="L740" s="14">
        <f>IFERROR((VLOOKUP($A740,'[1]import success seats course'!$A:Z,HLOOKUP('[1]Course Totals'!L$4,'[1]import success seats course'!$1:$2,2,FALSE),FALSE)/(VLOOKUP($A740,'[1]import graded seats course pivo'!$A:AJ,HLOOKUP('[1]Course Totals'!L$4,'[1]import graded seats course pivo'!$1:$2,2,FALSE),FALSE))),"")</f>
        <v>0.76937618147448017</v>
      </c>
      <c r="M740" s="14">
        <f>IFERROR((VLOOKUP($A740,'[1]import success seats course'!$A:AA,HLOOKUP('[1]Course Totals'!M$4,'[1]import success seats course'!$1:$2,2,FALSE),FALSE)/(VLOOKUP($A740,'[1]import graded seats course pivo'!$A:AK,HLOOKUP('[1]Course Totals'!M$4,'[1]import graded seats course pivo'!$1:$2,2,FALSE),FALSE))),"")</f>
        <v>0.80776340110905731</v>
      </c>
      <c r="N740" s="14" t="str">
        <f>IFERROR((VLOOKUP($A740,'[1]import success seats course'!$A:AB,HLOOKUP('[1]Course Totals'!N$4,'[1]import success seats course'!$1:$2,2,FALSE),FALSE)/(VLOOKUP($A740,'[1]import graded seats course pivo'!$A:AL,HLOOKUP('[1]Course Totals'!N$4,'[1]import graded seats course pivo'!$1:$2,2,FALSE),FALSE))),"")</f>
        <v/>
      </c>
      <c r="O740" s="14">
        <f>IFERROR((VLOOKUP($A740,'[1]import success seats course'!$A:AC,HLOOKUP('[1]Course Totals'!O$4,'[1]import success seats course'!$1:$2,2,FALSE),FALSE)/(VLOOKUP($A740,'[1]import graded seats course pivo'!$A:AM,HLOOKUP('[1]Course Totals'!O$4,'[1]import graded seats course pivo'!$1:$2,2,FALSE),FALSE))),"")</f>
        <v>0.78358208955223885</v>
      </c>
      <c r="P740" s="14">
        <f>IFERROR((VLOOKUP($A740,'[1]import success seats course'!$A:AD,HLOOKUP('[1]Course Totals'!P$4,'[1]import success seats course'!$1:$2,2,FALSE),FALSE)/(VLOOKUP($A740,'[1]import graded seats course pivo'!$A:AN,HLOOKUP('[1]Course Totals'!P$4,'[1]import graded seats course pivo'!$1:$2,2,FALSE),FALSE))),"")</f>
        <v>0.76845151953690305</v>
      </c>
      <c r="Q740" s="14" t="str">
        <f>IFERROR((VLOOKUP($A740,'[1]import success seats course'!$A:AE,HLOOKUP('[1]Course Totals'!Q$4,'[1]import success seats course'!$1:$2,2,FALSE),FALSE)/(VLOOKUP($A740,'[1]import graded seats course pivo'!$A:AO,HLOOKUP('[1]Course Totals'!Q$4,'[1]import graded seats course pivo'!$1:$2,2,FALSE),FALSE))),"")</f>
        <v/>
      </c>
      <c r="R740" s="14">
        <f>IFERROR((VLOOKUP($A740,'[1]import success seats course'!$A:AF,HLOOKUP('[1]Course Totals'!R$4,'[1]import success seats course'!$1:$2,2,FALSE),FALSE)/(VLOOKUP($A740,'[1]import graded seats course pivo'!$A:AP,HLOOKUP('[1]Course Totals'!R$4,'[1]import graded seats course pivo'!$1:$2,2,FALSE),FALSE))),"")</f>
        <v>0.75359342915811089</v>
      </c>
      <c r="S740" s="14">
        <f>IFERROR((VLOOKUP($A740,'[1]import success seats course'!$A:AG,HLOOKUP('[1]Course Totals'!S$4,'[1]import success seats course'!$1:$2,2,FALSE),FALSE)/(VLOOKUP($A740,'[1]import graded seats course pivo'!$A:AQ,HLOOKUP('[1]Course Totals'!S$4,'[1]import graded seats course pivo'!$1:$2,2,FALSE),FALSE))),"")</f>
        <v>0.76575121163166393</v>
      </c>
      <c r="Z740" s="7"/>
      <c r="AA740" s="7"/>
      <c r="AB740" s="7"/>
      <c r="AC740" s="7"/>
    </row>
    <row r="741" spans="1:29" ht="15.75" hidden="1" customHeight="1" x14ac:dyDescent="0.25">
      <c r="A741" s="12" t="s">
        <v>337</v>
      </c>
      <c r="B741" s="14" t="str">
        <f>IFERROR((VLOOKUP($A741,'[1]import success seats course'!$A:P,HLOOKUP('[1]Course Totals'!B$4,'[1]import success seats course'!$1:$2,2,FALSE),FALSE)/(VLOOKUP($A741,'[1]import graded seats course pivo'!$A:Z,HLOOKUP('[1]Course Totals'!B$4,'[1]import graded seats course pivo'!$1:$2,2,FALSE),FALSE))),"")</f>
        <v/>
      </c>
      <c r="C741" s="14" t="str">
        <f>IFERROR((VLOOKUP($A741,'[1]import success seats course'!$A:Q,HLOOKUP('[1]Course Totals'!C$4,'[1]import success seats course'!$1:$2,2,FALSE),FALSE)/(VLOOKUP($A741,'[1]import graded seats course pivo'!$A:AA,HLOOKUP('[1]Course Totals'!C$4,'[1]import graded seats course pivo'!$1:$2,2,FALSE),FALSE))),"")</f>
        <v/>
      </c>
      <c r="D741" s="14" t="str">
        <f>IFERROR((VLOOKUP($A741,'[1]import success seats course'!$A:R,HLOOKUP('[1]Course Totals'!D$4,'[1]import success seats course'!$1:$2,2,FALSE),FALSE)/(VLOOKUP($A741,'[1]import graded seats course pivo'!$A:AB,HLOOKUP('[1]Course Totals'!D$4,'[1]import graded seats course pivo'!$1:$2,2,FALSE),FALSE))),"")</f>
        <v/>
      </c>
      <c r="E741" s="14" t="str">
        <f>IFERROR((VLOOKUP($A741,'[1]import success seats course'!$A:S,HLOOKUP('[1]Course Totals'!E$4,'[1]import success seats course'!$1:$2,2,FALSE),FALSE)/(VLOOKUP($A741,'[1]import graded seats course pivo'!$A:AC,HLOOKUP('[1]Course Totals'!E$4,'[1]import graded seats course pivo'!$1:$2,2,FALSE),FALSE))),"")</f>
        <v/>
      </c>
      <c r="F741" s="14" t="str">
        <f>IFERROR((VLOOKUP($A741,'[1]import success seats course'!$A:T,HLOOKUP('[1]Course Totals'!F$4,'[1]import success seats course'!$1:$2,2,FALSE),FALSE)/(VLOOKUP($A741,'[1]import graded seats course pivo'!$A:AD,HLOOKUP('[1]Course Totals'!F$4,'[1]import graded seats course pivo'!$1:$2,2,FALSE),FALSE))),"")</f>
        <v/>
      </c>
      <c r="G741" s="14" t="str">
        <f>IFERROR((VLOOKUP($A741,'[1]import success seats course'!$A:U,HLOOKUP('[1]Course Totals'!G$4,'[1]import success seats course'!$1:$2,2,FALSE),FALSE)/(VLOOKUP($A741,'[1]import graded seats course pivo'!$A:AE,HLOOKUP('[1]Course Totals'!G$4,'[1]import graded seats course pivo'!$1:$2,2,FALSE),FALSE))),"")</f>
        <v/>
      </c>
      <c r="H741" s="14" t="str">
        <f>IFERROR((VLOOKUP($A741,'[1]import success seats course'!$A:V,HLOOKUP('[1]Course Totals'!H$4,'[1]import success seats course'!$1:$2,2,FALSE),FALSE)/(VLOOKUP($A741,'[1]import graded seats course pivo'!$A:AF,HLOOKUP('[1]Course Totals'!H$4,'[1]import graded seats course pivo'!$1:$2,2,FALSE),FALSE))),"")</f>
        <v/>
      </c>
      <c r="I741" s="14" t="str">
        <f>IFERROR((VLOOKUP($A741,'[1]import success seats course'!$A:W,HLOOKUP('[1]Course Totals'!I$4,'[1]import success seats course'!$1:$2,2,FALSE),FALSE)/(VLOOKUP($A741,'[1]import graded seats course pivo'!$A:AG,HLOOKUP('[1]Course Totals'!I$4,'[1]import graded seats course pivo'!$1:$2,2,FALSE),FALSE))),"")</f>
        <v/>
      </c>
      <c r="J741" s="14" t="str">
        <f>IFERROR((VLOOKUP($A741,'[1]import success seats course'!$A:X,HLOOKUP('[1]Course Totals'!J$4,'[1]import success seats course'!$1:$2,2,FALSE),FALSE)/(VLOOKUP($A741,'[1]import graded seats course pivo'!$A:AH,HLOOKUP('[1]Course Totals'!J$4,'[1]import graded seats course pivo'!$1:$2,2,FALSE),FALSE))),"")</f>
        <v/>
      </c>
      <c r="K741" s="14" t="str">
        <f>IFERROR((VLOOKUP($A741,'[1]import success seats course'!$A:Y,HLOOKUP('[1]Course Totals'!K$4,'[1]import success seats course'!$1:$2,2,FALSE),FALSE)/(VLOOKUP($A741,'[1]import graded seats course pivo'!$A:AI,HLOOKUP('[1]Course Totals'!K$4,'[1]import graded seats course pivo'!$1:$2,2,FALSE),FALSE))),"")</f>
        <v/>
      </c>
      <c r="L741" s="14" t="str">
        <f>IFERROR((VLOOKUP($A741,'[1]import success seats course'!$A:Z,HLOOKUP('[1]Course Totals'!L$4,'[1]import success seats course'!$1:$2,2,FALSE),FALSE)/(VLOOKUP($A741,'[1]import graded seats course pivo'!$A:AJ,HLOOKUP('[1]Course Totals'!L$4,'[1]import graded seats course pivo'!$1:$2,2,FALSE),FALSE))),"")</f>
        <v/>
      </c>
      <c r="M741" s="14" t="str">
        <f>IFERROR((VLOOKUP($A741,'[1]import success seats course'!$A:AA,HLOOKUP('[1]Course Totals'!M$4,'[1]import success seats course'!$1:$2,2,FALSE),FALSE)/(VLOOKUP($A741,'[1]import graded seats course pivo'!$A:AK,HLOOKUP('[1]Course Totals'!M$4,'[1]import graded seats course pivo'!$1:$2,2,FALSE),FALSE))),"")</f>
        <v/>
      </c>
      <c r="N741" s="14" t="str">
        <f>IFERROR((VLOOKUP($A741,'[1]import success seats course'!$A:AB,HLOOKUP('[1]Course Totals'!N$4,'[1]import success seats course'!$1:$2,2,FALSE),FALSE)/(VLOOKUP($A741,'[1]import graded seats course pivo'!$A:AL,HLOOKUP('[1]Course Totals'!N$4,'[1]import graded seats course pivo'!$1:$2,2,FALSE),FALSE))),"")</f>
        <v/>
      </c>
      <c r="O741" s="14" t="str">
        <f>IFERROR((VLOOKUP($A741,'[1]import success seats course'!$A:AC,HLOOKUP('[1]Course Totals'!O$4,'[1]import success seats course'!$1:$2,2,FALSE),FALSE)/(VLOOKUP($A741,'[1]import graded seats course pivo'!$A:AM,HLOOKUP('[1]Course Totals'!O$4,'[1]import graded seats course pivo'!$1:$2,2,FALSE),FALSE))),"")</f>
        <v/>
      </c>
      <c r="P741" s="14" t="str">
        <f>IFERROR((VLOOKUP($A741,'[1]import success seats course'!$A:AD,HLOOKUP('[1]Course Totals'!P$4,'[1]import success seats course'!$1:$2,2,FALSE),FALSE)/(VLOOKUP($A741,'[1]import graded seats course pivo'!$A:AN,HLOOKUP('[1]Course Totals'!P$4,'[1]import graded seats course pivo'!$1:$2,2,FALSE),FALSE))),"")</f>
        <v/>
      </c>
      <c r="Q741" s="14" t="str">
        <f>IFERROR((VLOOKUP($A741,'[1]import success seats course'!$A:AE,HLOOKUP('[1]Course Totals'!Q$4,'[1]import success seats course'!$1:$2,2,FALSE),FALSE)/(VLOOKUP($A741,'[1]import graded seats course pivo'!$A:AO,HLOOKUP('[1]Course Totals'!Q$4,'[1]import graded seats course pivo'!$1:$2,2,FALSE),FALSE))),"")</f>
        <v/>
      </c>
      <c r="R741" s="14" t="str">
        <f>IFERROR((VLOOKUP($A741,'[1]import success seats course'!$A:AF,HLOOKUP('[1]Course Totals'!R$4,'[1]import success seats course'!$1:$2,2,FALSE),FALSE)/(VLOOKUP($A741,'[1]import graded seats course pivo'!$A:AP,HLOOKUP('[1]Course Totals'!R$4,'[1]import graded seats course pivo'!$1:$2,2,FALSE),FALSE))),"")</f>
        <v/>
      </c>
      <c r="S741" s="14" t="str">
        <f>IFERROR((VLOOKUP($A741,'[1]import success seats course'!$A:AG,HLOOKUP('[1]Course Totals'!S$4,'[1]import success seats course'!$1:$2,2,FALSE),FALSE)/(VLOOKUP($A741,'[1]import graded seats course pivo'!$A:AQ,HLOOKUP('[1]Course Totals'!S$4,'[1]import graded seats course pivo'!$1:$2,2,FALSE),FALSE))),"")</f>
        <v/>
      </c>
      <c r="Z741" s="7"/>
      <c r="AA741" s="7"/>
      <c r="AB741" s="7"/>
      <c r="AC741" s="7"/>
    </row>
    <row r="742" spans="1:29" ht="15.75" hidden="1" customHeight="1" x14ac:dyDescent="0.25">
      <c r="A742" s="12" t="s">
        <v>338</v>
      </c>
      <c r="B742" s="14" t="str">
        <f>IFERROR((VLOOKUP($A742,'[1]import success seats course'!$A:P,HLOOKUP('[1]Course Totals'!B$4,'[1]import success seats course'!$1:$2,2,FALSE),FALSE)/(VLOOKUP($A742,'[1]import graded seats course pivo'!$A:Z,HLOOKUP('[1]Course Totals'!B$4,'[1]import graded seats course pivo'!$1:$2,2,FALSE),FALSE))),"")</f>
        <v/>
      </c>
      <c r="C742" s="14" t="str">
        <f>IFERROR((VLOOKUP($A742,'[1]import success seats course'!$A:Q,HLOOKUP('[1]Course Totals'!C$4,'[1]import success seats course'!$1:$2,2,FALSE),FALSE)/(VLOOKUP($A742,'[1]import graded seats course pivo'!$A:AA,HLOOKUP('[1]Course Totals'!C$4,'[1]import graded seats course pivo'!$1:$2,2,FALSE),FALSE))),"")</f>
        <v/>
      </c>
      <c r="D742" s="14" t="str">
        <f>IFERROR((VLOOKUP($A742,'[1]import success seats course'!$A:R,HLOOKUP('[1]Course Totals'!D$4,'[1]import success seats course'!$1:$2,2,FALSE),FALSE)/(VLOOKUP($A742,'[1]import graded seats course pivo'!$A:AB,HLOOKUP('[1]Course Totals'!D$4,'[1]import graded seats course pivo'!$1:$2,2,FALSE),FALSE))),"")</f>
        <v/>
      </c>
      <c r="E742" s="14" t="str">
        <f>IFERROR((VLOOKUP($A742,'[1]import success seats course'!$A:S,HLOOKUP('[1]Course Totals'!E$4,'[1]import success seats course'!$1:$2,2,FALSE),FALSE)/(VLOOKUP($A742,'[1]import graded seats course pivo'!$A:AC,HLOOKUP('[1]Course Totals'!E$4,'[1]import graded seats course pivo'!$1:$2,2,FALSE),FALSE))),"")</f>
        <v/>
      </c>
      <c r="F742" s="14" t="str">
        <f>IFERROR((VLOOKUP($A742,'[1]import success seats course'!$A:T,HLOOKUP('[1]Course Totals'!F$4,'[1]import success seats course'!$1:$2,2,FALSE),FALSE)/(VLOOKUP($A742,'[1]import graded seats course pivo'!$A:AD,HLOOKUP('[1]Course Totals'!F$4,'[1]import graded seats course pivo'!$1:$2,2,FALSE),FALSE))),"")</f>
        <v/>
      </c>
      <c r="G742" s="14" t="str">
        <f>IFERROR((VLOOKUP($A742,'[1]import success seats course'!$A:U,HLOOKUP('[1]Course Totals'!G$4,'[1]import success seats course'!$1:$2,2,FALSE),FALSE)/(VLOOKUP($A742,'[1]import graded seats course pivo'!$A:AE,HLOOKUP('[1]Course Totals'!G$4,'[1]import graded seats course pivo'!$1:$2,2,FALSE),FALSE))),"")</f>
        <v/>
      </c>
      <c r="H742" s="14" t="str">
        <f>IFERROR((VLOOKUP($A742,'[1]import success seats course'!$A:V,HLOOKUP('[1]Course Totals'!H$4,'[1]import success seats course'!$1:$2,2,FALSE),FALSE)/(VLOOKUP($A742,'[1]import graded seats course pivo'!$A:AF,HLOOKUP('[1]Course Totals'!H$4,'[1]import graded seats course pivo'!$1:$2,2,FALSE),FALSE))),"")</f>
        <v/>
      </c>
      <c r="I742" s="14" t="str">
        <f>IFERROR((VLOOKUP($A742,'[1]import success seats course'!$A:W,HLOOKUP('[1]Course Totals'!I$4,'[1]import success seats course'!$1:$2,2,FALSE),FALSE)/(VLOOKUP($A742,'[1]import graded seats course pivo'!$A:AG,HLOOKUP('[1]Course Totals'!I$4,'[1]import graded seats course pivo'!$1:$2,2,FALSE),FALSE))),"")</f>
        <v/>
      </c>
      <c r="J742" s="14" t="str">
        <f>IFERROR((VLOOKUP($A742,'[1]import success seats course'!$A:X,HLOOKUP('[1]Course Totals'!J$4,'[1]import success seats course'!$1:$2,2,FALSE),FALSE)/(VLOOKUP($A742,'[1]import graded seats course pivo'!$A:AH,HLOOKUP('[1]Course Totals'!J$4,'[1]import graded seats course pivo'!$1:$2,2,FALSE),FALSE))),"")</f>
        <v/>
      </c>
      <c r="K742" s="14" t="str">
        <f>IFERROR((VLOOKUP($A742,'[1]import success seats course'!$A:Y,HLOOKUP('[1]Course Totals'!K$4,'[1]import success seats course'!$1:$2,2,FALSE),FALSE)/(VLOOKUP($A742,'[1]import graded seats course pivo'!$A:AI,HLOOKUP('[1]Course Totals'!K$4,'[1]import graded seats course pivo'!$1:$2,2,FALSE),FALSE))),"")</f>
        <v/>
      </c>
      <c r="L742" s="14" t="str">
        <f>IFERROR((VLOOKUP($A742,'[1]import success seats course'!$A:Z,HLOOKUP('[1]Course Totals'!L$4,'[1]import success seats course'!$1:$2,2,FALSE),FALSE)/(VLOOKUP($A742,'[1]import graded seats course pivo'!$A:AJ,HLOOKUP('[1]Course Totals'!L$4,'[1]import graded seats course pivo'!$1:$2,2,FALSE),FALSE))),"")</f>
        <v/>
      </c>
      <c r="M742" s="14" t="str">
        <f>IFERROR((VLOOKUP($A742,'[1]import success seats course'!$A:AA,HLOOKUP('[1]Course Totals'!M$4,'[1]import success seats course'!$1:$2,2,FALSE),FALSE)/(VLOOKUP($A742,'[1]import graded seats course pivo'!$A:AK,HLOOKUP('[1]Course Totals'!M$4,'[1]import graded seats course pivo'!$1:$2,2,FALSE),FALSE))),"")</f>
        <v/>
      </c>
      <c r="N742" s="14" t="str">
        <f>IFERROR((VLOOKUP($A742,'[1]import success seats course'!$A:AB,HLOOKUP('[1]Course Totals'!N$4,'[1]import success seats course'!$1:$2,2,FALSE),FALSE)/(VLOOKUP($A742,'[1]import graded seats course pivo'!$A:AL,HLOOKUP('[1]Course Totals'!N$4,'[1]import graded seats course pivo'!$1:$2,2,FALSE),FALSE))),"")</f>
        <v/>
      </c>
      <c r="O742" s="14" t="str">
        <f>IFERROR((VLOOKUP($A742,'[1]import success seats course'!$A:AC,HLOOKUP('[1]Course Totals'!O$4,'[1]import success seats course'!$1:$2,2,FALSE),FALSE)/(VLOOKUP($A742,'[1]import graded seats course pivo'!$A:AM,HLOOKUP('[1]Course Totals'!O$4,'[1]import graded seats course pivo'!$1:$2,2,FALSE),FALSE))),"")</f>
        <v/>
      </c>
      <c r="P742" s="14" t="str">
        <f>IFERROR((VLOOKUP($A742,'[1]import success seats course'!$A:AD,HLOOKUP('[1]Course Totals'!P$4,'[1]import success seats course'!$1:$2,2,FALSE),FALSE)/(VLOOKUP($A742,'[1]import graded seats course pivo'!$A:AN,HLOOKUP('[1]Course Totals'!P$4,'[1]import graded seats course pivo'!$1:$2,2,FALSE),FALSE))),"")</f>
        <v/>
      </c>
      <c r="Q742" s="14" t="str">
        <f>IFERROR((VLOOKUP($A742,'[1]import success seats course'!$A:AE,HLOOKUP('[1]Course Totals'!Q$4,'[1]import success seats course'!$1:$2,2,FALSE),FALSE)/(VLOOKUP($A742,'[1]import graded seats course pivo'!$A:AO,HLOOKUP('[1]Course Totals'!Q$4,'[1]import graded seats course pivo'!$1:$2,2,FALSE),FALSE))),"")</f>
        <v/>
      </c>
      <c r="R742" s="14" t="str">
        <f>IFERROR((VLOOKUP($A742,'[1]import success seats course'!$A:AF,HLOOKUP('[1]Course Totals'!R$4,'[1]import success seats course'!$1:$2,2,FALSE),FALSE)/(VLOOKUP($A742,'[1]import graded seats course pivo'!$A:AP,HLOOKUP('[1]Course Totals'!R$4,'[1]import graded seats course pivo'!$1:$2,2,FALSE),FALSE))),"")</f>
        <v/>
      </c>
      <c r="S742" s="14" t="str">
        <f>IFERROR((VLOOKUP($A742,'[1]import success seats course'!$A:AG,HLOOKUP('[1]Course Totals'!S$4,'[1]import success seats course'!$1:$2,2,FALSE),FALSE)/(VLOOKUP($A742,'[1]import graded seats course pivo'!$A:AQ,HLOOKUP('[1]Course Totals'!S$4,'[1]import graded seats course pivo'!$1:$2,2,FALSE),FALSE))),"")</f>
        <v/>
      </c>
      <c r="Z742" s="7"/>
      <c r="AA742" s="7"/>
      <c r="AB742" s="7"/>
      <c r="AC742" s="7"/>
    </row>
    <row r="743" spans="1:29" ht="15.75" customHeight="1" x14ac:dyDescent="0.25">
      <c r="A743" s="12" t="s">
        <v>339</v>
      </c>
      <c r="B743" s="14">
        <f>IFERROR((VLOOKUP($A743,'[1]import success seats course'!$A:P,HLOOKUP('[1]Course Totals'!B$4,'[1]import success seats course'!$1:$2,2,FALSE),FALSE)/(VLOOKUP($A743,'[1]import graded seats course pivo'!$A:Z,HLOOKUP('[1]Course Totals'!B$4,'[1]import graded seats course pivo'!$1:$2,2,FALSE),FALSE))),"")</f>
        <v>0.90140845070422537</v>
      </c>
      <c r="C743" s="14">
        <f>IFERROR((VLOOKUP($A743,'[1]import success seats course'!$A:Q,HLOOKUP('[1]Course Totals'!C$4,'[1]import success seats course'!$1:$2,2,FALSE),FALSE)/(VLOOKUP($A743,'[1]import graded seats course pivo'!$A:AA,HLOOKUP('[1]Course Totals'!C$4,'[1]import graded seats course pivo'!$1:$2,2,FALSE),FALSE))),"")</f>
        <v>0.75364238410596029</v>
      </c>
      <c r="D743" s="14">
        <f>IFERROR((VLOOKUP($A743,'[1]import success seats course'!$A:R,HLOOKUP('[1]Course Totals'!D$4,'[1]import success seats course'!$1:$2,2,FALSE),FALSE)/(VLOOKUP($A743,'[1]import graded seats course pivo'!$A:AB,HLOOKUP('[1]Course Totals'!D$4,'[1]import graded seats course pivo'!$1:$2,2,FALSE),FALSE))),"")</f>
        <v>0.81139755766621435</v>
      </c>
      <c r="E743" s="14">
        <f>IFERROR((VLOOKUP($A743,'[1]import success seats course'!$A:S,HLOOKUP('[1]Course Totals'!E$4,'[1]import success seats course'!$1:$2,2,FALSE),FALSE)/(VLOOKUP($A743,'[1]import graded seats course pivo'!$A:AC,HLOOKUP('[1]Course Totals'!E$4,'[1]import graded seats course pivo'!$1:$2,2,FALSE),FALSE))),"")</f>
        <v>0.97142857142857142</v>
      </c>
      <c r="F743" s="14">
        <f>IFERROR((VLOOKUP($A743,'[1]import success seats course'!$A:T,HLOOKUP('[1]Course Totals'!F$4,'[1]import success seats course'!$1:$2,2,FALSE),FALSE)/(VLOOKUP($A743,'[1]import graded seats course pivo'!$A:AD,HLOOKUP('[1]Course Totals'!F$4,'[1]import graded seats course pivo'!$1:$2,2,FALSE),FALSE))),"")</f>
        <v>0.79314888010540185</v>
      </c>
      <c r="G743" s="14">
        <f>IFERROR((VLOOKUP($A743,'[1]import success seats course'!$A:U,HLOOKUP('[1]Course Totals'!G$4,'[1]import success seats course'!$1:$2,2,FALSE),FALSE)/(VLOOKUP($A743,'[1]import graded seats course pivo'!$A:AE,HLOOKUP('[1]Course Totals'!G$4,'[1]import graded seats course pivo'!$1:$2,2,FALSE),FALSE))),"")</f>
        <v>0.75538461538461543</v>
      </c>
      <c r="H743" s="14">
        <f>IFERROR((VLOOKUP($A743,'[1]import success seats course'!$A:V,HLOOKUP('[1]Course Totals'!H$4,'[1]import success seats course'!$1:$2,2,FALSE),FALSE)/(VLOOKUP($A743,'[1]import graded seats course pivo'!$A:AF,HLOOKUP('[1]Course Totals'!H$4,'[1]import graded seats course pivo'!$1:$2,2,FALSE),FALSE))),"")</f>
        <v>0.91538461538461535</v>
      </c>
      <c r="I743" s="14">
        <f>IFERROR((VLOOKUP($A743,'[1]import success seats course'!$A:W,HLOOKUP('[1]Course Totals'!I$4,'[1]import success seats course'!$1:$2,2,FALSE),FALSE)/(VLOOKUP($A743,'[1]import graded seats course pivo'!$A:AG,HLOOKUP('[1]Course Totals'!I$4,'[1]import graded seats course pivo'!$1:$2,2,FALSE),FALSE))),"")</f>
        <v>0.76294277929155319</v>
      </c>
      <c r="J743" s="14">
        <f>IFERROR((VLOOKUP($A743,'[1]import success seats course'!$A:X,HLOOKUP('[1]Course Totals'!J$4,'[1]import success seats course'!$1:$2,2,FALSE),FALSE)/(VLOOKUP($A743,'[1]import graded seats course pivo'!$A:AH,HLOOKUP('[1]Course Totals'!J$4,'[1]import graded seats course pivo'!$1:$2,2,FALSE),FALSE))),"")</f>
        <v>0.71663920922570012</v>
      </c>
      <c r="K743" s="14">
        <f>IFERROR((VLOOKUP($A743,'[1]import success seats course'!$A:Y,HLOOKUP('[1]Course Totals'!K$4,'[1]import success seats course'!$1:$2,2,FALSE),FALSE)/(VLOOKUP($A743,'[1]import graded seats course pivo'!$A:AI,HLOOKUP('[1]Course Totals'!K$4,'[1]import graded seats course pivo'!$1:$2,2,FALSE),FALSE))),"")</f>
        <v>0.93243243243243246</v>
      </c>
      <c r="L743" s="14">
        <f>IFERROR((VLOOKUP($A743,'[1]import success seats course'!$A:Z,HLOOKUP('[1]Course Totals'!L$4,'[1]import success seats course'!$1:$2,2,FALSE),FALSE)/(VLOOKUP($A743,'[1]import graded seats course pivo'!$A:AJ,HLOOKUP('[1]Course Totals'!L$4,'[1]import graded seats course pivo'!$1:$2,2,FALSE),FALSE))),"")</f>
        <v>0.69616026711185308</v>
      </c>
      <c r="M743" s="14">
        <f>IFERROR((VLOOKUP($A743,'[1]import success seats course'!$A:AA,HLOOKUP('[1]Course Totals'!M$4,'[1]import success seats course'!$1:$2,2,FALSE),FALSE)/(VLOOKUP($A743,'[1]import graded seats course pivo'!$A:AK,HLOOKUP('[1]Course Totals'!M$4,'[1]import graded seats course pivo'!$1:$2,2,FALSE),FALSE))),"")</f>
        <v>0.79024390243902443</v>
      </c>
      <c r="N743" s="14" t="str">
        <f>IFERROR((VLOOKUP($A743,'[1]import success seats course'!$A:AB,HLOOKUP('[1]Course Totals'!N$4,'[1]import success seats course'!$1:$2,2,FALSE),FALSE)/(VLOOKUP($A743,'[1]import graded seats course pivo'!$A:AL,HLOOKUP('[1]Course Totals'!N$4,'[1]import graded seats course pivo'!$1:$2,2,FALSE),FALSE))),"")</f>
        <v/>
      </c>
      <c r="O743" s="14">
        <f>IFERROR((VLOOKUP($A743,'[1]import success seats course'!$A:AC,HLOOKUP('[1]Course Totals'!O$4,'[1]import success seats course'!$1:$2,2,FALSE),FALSE)/(VLOOKUP($A743,'[1]import graded seats course pivo'!$A:AM,HLOOKUP('[1]Course Totals'!O$4,'[1]import graded seats course pivo'!$1:$2,2,FALSE),FALSE))),"")</f>
        <v>0.82038834951456308</v>
      </c>
      <c r="P743" s="14">
        <f>IFERROR((VLOOKUP($A743,'[1]import success seats course'!$A:AD,HLOOKUP('[1]Course Totals'!P$4,'[1]import success seats course'!$1:$2,2,FALSE),FALSE)/(VLOOKUP($A743,'[1]import graded seats course pivo'!$A:AN,HLOOKUP('[1]Course Totals'!P$4,'[1]import graded seats course pivo'!$1:$2,2,FALSE),FALSE))),"")</f>
        <v>0.8010335917312662</v>
      </c>
      <c r="Q743" s="14">
        <f>IFERROR((VLOOKUP($A743,'[1]import success seats course'!$A:AE,HLOOKUP('[1]Course Totals'!Q$4,'[1]import success seats course'!$1:$2,2,FALSE),FALSE)/(VLOOKUP($A743,'[1]import graded seats course pivo'!$A:AO,HLOOKUP('[1]Course Totals'!Q$4,'[1]import graded seats course pivo'!$1:$2,2,FALSE),FALSE))),"")</f>
        <v>0.91489361702127658</v>
      </c>
      <c r="R743" s="14">
        <f>IFERROR((VLOOKUP($A743,'[1]import success seats course'!$A:AF,HLOOKUP('[1]Course Totals'!R$4,'[1]import success seats course'!$1:$2,2,FALSE),FALSE)/(VLOOKUP($A743,'[1]import graded seats course pivo'!$A:AP,HLOOKUP('[1]Course Totals'!R$4,'[1]import graded seats course pivo'!$1:$2,2,FALSE),FALSE))),"")</f>
        <v>0.78723404255319152</v>
      </c>
      <c r="S743" s="14">
        <f>IFERROR((VLOOKUP($A743,'[1]import success seats course'!$A:AG,HLOOKUP('[1]Course Totals'!S$4,'[1]import success seats course'!$1:$2,2,FALSE),FALSE)/(VLOOKUP($A743,'[1]import graded seats course pivo'!$A:AQ,HLOOKUP('[1]Course Totals'!S$4,'[1]import graded seats course pivo'!$1:$2,2,FALSE),FALSE))),"")</f>
        <v>0.76387096774193552</v>
      </c>
      <c r="Z743" s="7"/>
      <c r="AA743" s="7"/>
      <c r="AB743" s="7"/>
      <c r="AC743" s="7"/>
    </row>
    <row r="744" spans="1:29" ht="15.75" hidden="1" customHeight="1" x14ac:dyDescent="0.25">
      <c r="A744" s="12" t="s">
        <v>340</v>
      </c>
      <c r="B744" s="14" t="str">
        <f>IFERROR((VLOOKUP($A744,'[1]import success seats course'!$A:P,HLOOKUP('[1]Course Totals'!B$4,'[1]import success seats course'!$1:$2,2,FALSE),FALSE)/(VLOOKUP($A744,'[1]import graded seats course pivo'!$A:Z,HLOOKUP('[1]Course Totals'!B$4,'[1]import graded seats course pivo'!$1:$2,2,FALSE),FALSE))),"")</f>
        <v/>
      </c>
      <c r="C744" s="14" t="str">
        <f>IFERROR((VLOOKUP($A744,'[1]import success seats course'!$A:Q,HLOOKUP('[1]Course Totals'!C$4,'[1]import success seats course'!$1:$2,2,FALSE),FALSE)/(VLOOKUP($A744,'[1]import graded seats course pivo'!$A:AA,HLOOKUP('[1]Course Totals'!C$4,'[1]import graded seats course pivo'!$1:$2,2,FALSE),FALSE))),"")</f>
        <v/>
      </c>
      <c r="D744" s="14" t="str">
        <f>IFERROR((VLOOKUP($A744,'[1]import success seats course'!$A:R,HLOOKUP('[1]Course Totals'!D$4,'[1]import success seats course'!$1:$2,2,FALSE),FALSE)/(VLOOKUP($A744,'[1]import graded seats course pivo'!$A:AB,HLOOKUP('[1]Course Totals'!D$4,'[1]import graded seats course pivo'!$1:$2,2,FALSE),FALSE))),"")</f>
        <v/>
      </c>
      <c r="E744" s="14" t="str">
        <f>IFERROR((VLOOKUP($A744,'[1]import success seats course'!$A:S,HLOOKUP('[1]Course Totals'!E$4,'[1]import success seats course'!$1:$2,2,FALSE),FALSE)/(VLOOKUP($A744,'[1]import graded seats course pivo'!$A:AC,HLOOKUP('[1]Course Totals'!E$4,'[1]import graded seats course pivo'!$1:$2,2,FALSE),FALSE))),"")</f>
        <v/>
      </c>
      <c r="F744" s="14" t="str">
        <f>IFERROR((VLOOKUP($A744,'[1]import success seats course'!$A:T,HLOOKUP('[1]Course Totals'!F$4,'[1]import success seats course'!$1:$2,2,FALSE),FALSE)/(VLOOKUP($A744,'[1]import graded seats course pivo'!$A:AD,HLOOKUP('[1]Course Totals'!F$4,'[1]import graded seats course pivo'!$1:$2,2,FALSE),FALSE))),"")</f>
        <v/>
      </c>
      <c r="G744" s="14" t="str">
        <f>IFERROR((VLOOKUP($A744,'[1]import success seats course'!$A:U,HLOOKUP('[1]Course Totals'!G$4,'[1]import success seats course'!$1:$2,2,FALSE),FALSE)/(VLOOKUP($A744,'[1]import graded seats course pivo'!$A:AE,HLOOKUP('[1]Course Totals'!G$4,'[1]import graded seats course pivo'!$1:$2,2,FALSE),FALSE))),"")</f>
        <v/>
      </c>
      <c r="H744" s="14" t="str">
        <f>IFERROR((VLOOKUP($A744,'[1]import success seats course'!$A:V,HLOOKUP('[1]Course Totals'!H$4,'[1]import success seats course'!$1:$2,2,FALSE),FALSE)/(VLOOKUP($A744,'[1]import graded seats course pivo'!$A:AF,HLOOKUP('[1]Course Totals'!H$4,'[1]import graded seats course pivo'!$1:$2,2,FALSE),FALSE))),"")</f>
        <v/>
      </c>
      <c r="I744" s="14" t="str">
        <f>IFERROR((VLOOKUP($A744,'[1]import success seats course'!$A:W,HLOOKUP('[1]Course Totals'!I$4,'[1]import success seats course'!$1:$2,2,FALSE),FALSE)/(VLOOKUP($A744,'[1]import graded seats course pivo'!$A:AG,HLOOKUP('[1]Course Totals'!I$4,'[1]import graded seats course pivo'!$1:$2,2,FALSE),FALSE))),"")</f>
        <v/>
      </c>
      <c r="J744" s="14" t="str">
        <f>IFERROR((VLOOKUP($A744,'[1]import success seats course'!$A:X,HLOOKUP('[1]Course Totals'!J$4,'[1]import success seats course'!$1:$2,2,FALSE),FALSE)/(VLOOKUP($A744,'[1]import graded seats course pivo'!$A:AH,HLOOKUP('[1]Course Totals'!J$4,'[1]import graded seats course pivo'!$1:$2,2,FALSE),FALSE))),"")</f>
        <v/>
      </c>
      <c r="K744" s="14" t="str">
        <f>IFERROR((VLOOKUP($A744,'[1]import success seats course'!$A:Y,HLOOKUP('[1]Course Totals'!K$4,'[1]import success seats course'!$1:$2,2,FALSE),FALSE)/(VLOOKUP($A744,'[1]import graded seats course pivo'!$A:AI,HLOOKUP('[1]Course Totals'!K$4,'[1]import graded seats course pivo'!$1:$2,2,FALSE),FALSE))),"")</f>
        <v/>
      </c>
      <c r="L744" s="14" t="str">
        <f>IFERROR((VLOOKUP($A744,'[1]import success seats course'!$A:Z,HLOOKUP('[1]Course Totals'!L$4,'[1]import success seats course'!$1:$2,2,FALSE),FALSE)/(VLOOKUP($A744,'[1]import graded seats course pivo'!$A:AJ,HLOOKUP('[1]Course Totals'!L$4,'[1]import graded seats course pivo'!$1:$2,2,FALSE),FALSE))),"")</f>
        <v/>
      </c>
      <c r="M744" s="14" t="str">
        <f>IFERROR((VLOOKUP($A744,'[1]import success seats course'!$A:AA,HLOOKUP('[1]Course Totals'!M$4,'[1]import success seats course'!$1:$2,2,FALSE),FALSE)/(VLOOKUP($A744,'[1]import graded seats course pivo'!$A:AK,HLOOKUP('[1]Course Totals'!M$4,'[1]import graded seats course pivo'!$1:$2,2,FALSE),FALSE))),"")</f>
        <v/>
      </c>
      <c r="N744" s="14" t="str">
        <f>IFERROR((VLOOKUP($A744,'[1]import success seats course'!$A:AB,HLOOKUP('[1]Course Totals'!N$4,'[1]import success seats course'!$1:$2,2,FALSE),FALSE)/(VLOOKUP($A744,'[1]import graded seats course pivo'!$A:AL,HLOOKUP('[1]Course Totals'!N$4,'[1]import graded seats course pivo'!$1:$2,2,FALSE),FALSE))),"")</f>
        <v/>
      </c>
      <c r="O744" s="14" t="str">
        <f>IFERROR((VLOOKUP($A744,'[1]import success seats course'!$A:AC,HLOOKUP('[1]Course Totals'!O$4,'[1]import success seats course'!$1:$2,2,FALSE),FALSE)/(VLOOKUP($A744,'[1]import graded seats course pivo'!$A:AM,HLOOKUP('[1]Course Totals'!O$4,'[1]import graded seats course pivo'!$1:$2,2,FALSE),FALSE))),"")</f>
        <v/>
      </c>
      <c r="P744" s="14" t="str">
        <f>IFERROR((VLOOKUP($A744,'[1]import success seats course'!$A:AD,HLOOKUP('[1]Course Totals'!P$4,'[1]import success seats course'!$1:$2,2,FALSE),FALSE)/(VLOOKUP($A744,'[1]import graded seats course pivo'!$A:AN,HLOOKUP('[1]Course Totals'!P$4,'[1]import graded seats course pivo'!$1:$2,2,FALSE),FALSE))),"")</f>
        <v/>
      </c>
      <c r="Q744" s="14" t="str">
        <f>IFERROR((VLOOKUP($A744,'[1]import success seats course'!$A:AE,HLOOKUP('[1]Course Totals'!Q$4,'[1]import success seats course'!$1:$2,2,FALSE),FALSE)/(VLOOKUP($A744,'[1]import graded seats course pivo'!$A:AO,HLOOKUP('[1]Course Totals'!Q$4,'[1]import graded seats course pivo'!$1:$2,2,FALSE),FALSE))),"")</f>
        <v/>
      </c>
      <c r="R744" s="14" t="str">
        <f>IFERROR((VLOOKUP($A744,'[1]import success seats course'!$A:AF,HLOOKUP('[1]Course Totals'!R$4,'[1]import success seats course'!$1:$2,2,FALSE),FALSE)/(VLOOKUP($A744,'[1]import graded seats course pivo'!$A:AP,HLOOKUP('[1]Course Totals'!R$4,'[1]import graded seats course pivo'!$1:$2,2,FALSE),FALSE))),"")</f>
        <v/>
      </c>
      <c r="S744" s="14" t="str">
        <f>IFERROR((VLOOKUP($A744,'[1]import success seats course'!$A:AG,HLOOKUP('[1]Course Totals'!S$4,'[1]import success seats course'!$1:$2,2,FALSE),FALSE)/(VLOOKUP($A744,'[1]import graded seats course pivo'!$A:AQ,HLOOKUP('[1]Course Totals'!S$4,'[1]import graded seats course pivo'!$1:$2,2,FALSE),FALSE))),"")</f>
        <v/>
      </c>
      <c r="Z744" s="7"/>
      <c r="AA744" s="7"/>
      <c r="AB744" s="7"/>
      <c r="AC744" s="7"/>
    </row>
    <row r="745" spans="1:29" ht="15.75" hidden="1" customHeight="1" x14ac:dyDescent="0.25">
      <c r="A745" s="12" t="s">
        <v>926</v>
      </c>
      <c r="B745" s="14" t="str">
        <f>IFERROR((VLOOKUP($A745,'[1]import success seats course'!$A:P,HLOOKUP('[1]Course Totals'!B$4,'[1]import success seats course'!$1:$2,2,FALSE),FALSE)/(VLOOKUP($A745,'[1]import graded seats course pivo'!$A:Z,HLOOKUP('[1]Course Totals'!B$4,'[1]import graded seats course pivo'!$1:$2,2,FALSE),FALSE))),"")</f>
        <v/>
      </c>
      <c r="C745" s="14" t="str">
        <f>IFERROR((VLOOKUP($A745,'[1]import success seats course'!$A:Q,HLOOKUP('[1]Course Totals'!C$4,'[1]import success seats course'!$1:$2,2,FALSE),FALSE)/(VLOOKUP($A745,'[1]import graded seats course pivo'!$A:AA,HLOOKUP('[1]Course Totals'!C$4,'[1]import graded seats course pivo'!$1:$2,2,FALSE),FALSE))),"")</f>
        <v/>
      </c>
      <c r="D745" s="14" t="str">
        <f>IFERROR((VLOOKUP($A745,'[1]import success seats course'!$A:R,HLOOKUP('[1]Course Totals'!D$4,'[1]import success seats course'!$1:$2,2,FALSE),FALSE)/(VLOOKUP($A745,'[1]import graded seats course pivo'!$A:AB,HLOOKUP('[1]Course Totals'!D$4,'[1]import graded seats course pivo'!$1:$2,2,FALSE),FALSE))),"")</f>
        <v/>
      </c>
      <c r="E745" s="14" t="str">
        <f>IFERROR((VLOOKUP($A745,'[1]import success seats course'!$A:S,HLOOKUP('[1]Course Totals'!E$4,'[1]import success seats course'!$1:$2,2,FALSE),FALSE)/(VLOOKUP($A745,'[1]import graded seats course pivo'!$A:AC,HLOOKUP('[1]Course Totals'!E$4,'[1]import graded seats course pivo'!$1:$2,2,FALSE),FALSE))),"")</f>
        <v/>
      </c>
      <c r="F745" s="14" t="str">
        <f>IFERROR((VLOOKUP($A745,'[1]import success seats course'!$A:T,HLOOKUP('[1]Course Totals'!F$4,'[1]import success seats course'!$1:$2,2,FALSE),FALSE)/(VLOOKUP($A745,'[1]import graded seats course pivo'!$A:AD,HLOOKUP('[1]Course Totals'!F$4,'[1]import graded seats course pivo'!$1:$2,2,FALSE),FALSE))),"")</f>
        <v/>
      </c>
      <c r="G745" s="14" t="str">
        <f>IFERROR((VLOOKUP($A745,'[1]import success seats course'!$A:U,HLOOKUP('[1]Course Totals'!G$4,'[1]import success seats course'!$1:$2,2,FALSE),FALSE)/(VLOOKUP($A745,'[1]import graded seats course pivo'!$A:AE,HLOOKUP('[1]Course Totals'!G$4,'[1]import graded seats course pivo'!$1:$2,2,FALSE),FALSE))),"")</f>
        <v/>
      </c>
      <c r="H745" s="14" t="str">
        <f>IFERROR((VLOOKUP($A745,'[1]import success seats course'!$A:V,HLOOKUP('[1]Course Totals'!H$4,'[1]import success seats course'!$1:$2,2,FALSE),FALSE)/(VLOOKUP($A745,'[1]import graded seats course pivo'!$A:AF,HLOOKUP('[1]Course Totals'!H$4,'[1]import graded seats course pivo'!$1:$2,2,FALSE),FALSE))),"")</f>
        <v/>
      </c>
      <c r="I745" s="14" t="str">
        <f>IFERROR((VLOOKUP($A745,'[1]import success seats course'!$A:W,HLOOKUP('[1]Course Totals'!I$4,'[1]import success seats course'!$1:$2,2,FALSE),FALSE)/(VLOOKUP($A745,'[1]import graded seats course pivo'!$A:AG,HLOOKUP('[1]Course Totals'!I$4,'[1]import graded seats course pivo'!$1:$2,2,FALSE),FALSE))),"")</f>
        <v/>
      </c>
      <c r="J745" s="14" t="str">
        <f>IFERROR((VLOOKUP($A745,'[1]import success seats course'!$A:X,HLOOKUP('[1]Course Totals'!J$4,'[1]import success seats course'!$1:$2,2,FALSE),FALSE)/(VLOOKUP($A745,'[1]import graded seats course pivo'!$A:AH,HLOOKUP('[1]Course Totals'!J$4,'[1]import graded seats course pivo'!$1:$2,2,FALSE),FALSE))),"")</f>
        <v/>
      </c>
      <c r="K745" s="14" t="str">
        <f>IFERROR((VLOOKUP($A745,'[1]import success seats course'!$A:Y,HLOOKUP('[1]Course Totals'!K$4,'[1]import success seats course'!$1:$2,2,FALSE),FALSE)/(VLOOKUP($A745,'[1]import graded seats course pivo'!$A:AI,HLOOKUP('[1]Course Totals'!K$4,'[1]import graded seats course pivo'!$1:$2,2,FALSE),FALSE))),"")</f>
        <v/>
      </c>
      <c r="L745" s="14" t="str">
        <f>IFERROR((VLOOKUP($A745,'[1]import success seats course'!$A:Z,HLOOKUP('[1]Course Totals'!L$4,'[1]import success seats course'!$1:$2,2,FALSE),FALSE)/(VLOOKUP($A745,'[1]import graded seats course pivo'!$A:AJ,HLOOKUP('[1]Course Totals'!L$4,'[1]import graded seats course pivo'!$1:$2,2,FALSE),FALSE))),"")</f>
        <v/>
      </c>
      <c r="M745" s="14" t="str">
        <f>IFERROR((VLOOKUP($A745,'[1]import success seats course'!$A:AA,HLOOKUP('[1]Course Totals'!M$4,'[1]import success seats course'!$1:$2,2,FALSE),FALSE)/(VLOOKUP($A745,'[1]import graded seats course pivo'!$A:AK,HLOOKUP('[1]Course Totals'!M$4,'[1]import graded seats course pivo'!$1:$2,2,FALSE),FALSE))),"")</f>
        <v/>
      </c>
      <c r="N745" s="14" t="str">
        <f>IFERROR((VLOOKUP($A745,'[1]import success seats course'!$A:AB,HLOOKUP('[1]Course Totals'!N$4,'[1]import success seats course'!$1:$2,2,FALSE),FALSE)/(VLOOKUP($A745,'[1]import graded seats course pivo'!$A:AL,HLOOKUP('[1]Course Totals'!N$4,'[1]import graded seats course pivo'!$1:$2,2,FALSE),FALSE))),"")</f>
        <v/>
      </c>
      <c r="O745" s="14" t="str">
        <f>IFERROR((VLOOKUP($A745,'[1]import success seats course'!$A:AC,HLOOKUP('[1]Course Totals'!O$4,'[1]import success seats course'!$1:$2,2,FALSE),FALSE)/(VLOOKUP($A745,'[1]import graded seats course pivo'!$A:AM,HLOOKUP('[1]Course Totals'!O$4,'[1]import graded seats course pivo'!$1:$2,2,FALSE),FALSE))),"")</f>
        <v/>
      </c>
      <c r="P745" s="14" t="str">
        <f>IFERROR((VLOOKUP($A745,'[1]import success seats course'!$A:AD,HLOOKUP('[1]Course Totals'!P$4,'[1]import success seats course'!$1:$2,2,FALSE),FALSE)/(VLOOKUP($A745,'[1]import graded seats course pivo'!$A:AN,HLOOKUP('[1]Course Totals'!P$4,'[1]import graded seats course pivo'!$1:$2,2,FALSE),FALSE))),"")</f>
        <v/>
      </c>
      <c r="Q745" s="14" t="str">
        <f>IFERROR((VLOOKUP($A745,'[1]import success seats course'!$A:AE,HLOOKUP('[1]Course Totals'!Q$4,'[1]import success seats course'!$1:$2,2,FALSE),FALSE)/(VLOOKUP($A745,'[1]import graded seats course pivo'!$A:AO,HLOOKUP('[1]Course Totals'!Q$4,'[1]import graded seats course pivo'!$1:$2,2,FALSE),FALSE))),"")</f>
        <v/>
      </c>
      <c r="R745" s="14" t="str">
        <f>IFERROR((VLOOKUP($A745,'[1]import success seats course'!$A:AF,HLOOKUP('[1]Course Totals'!R$4,'[1]import success seats course'!$1:$2,2,FALSE),FALSE)/(VLOOKUP($A745,'[1]import graded seats course pivo'!$A:AP,HLOOKUP('[1]Course Totals'!R$4,'[1]import graded seats course pivo'!$1:$2,2,FALSE),FALSE))),"")</f>
        <v/>
      </c>
      <c r="S745" s="14" t="str">
        <f>IFERROR((VLOOKUP($A745,'[1]import success seats course'!$A:AG,HLOOKUP('[1]Course Totals'!S$4,'[1]import success seats course'!$1:$2,2,FALSE),FALSE)/(VLOOKUP($A745,'[1]import graded seats course pivo'!$A:AQ,HLOOKUP('[1]Course Totals'!S$4,'[1]import graded seats course pivo'!$1:$2,2,FALSE),FALSE))),"")</f>
        <v/>
      </c>
      <c r="Z745" s="7"/>
      <c r="AA745" s="7"/>
      <c r="AB745" s="7"/>
      <c r="AC745" s="7"/>
    </row>
    <row r="746" spans="1:29" ht="15.75" customHeight="1" x14ac:dyDescent="0.25">
      <c r="A746" s="12" t="s">
        <v>341</v>
      </c>
      <c r="B746" s="14">
        <f>IFERROR((VLOOKUP($A746,'[1]import success seats course'!$A:P,HLOOKUP('[1]Course Totals'!B$4,'[1]import success seats course'!$1:$2,2,FALSE),FALSE)/(VLOOKUP($A746,'[1]import graded seats course pivo'!$A:Z,HLOOKUP('[1]Course Totals'!B$4,'[1]import graded seats course pivo'!$1:$2,2,FALSE),FALSE))),"")</f>
        <v>1</v>
      </c>
      <c r="C746" s="14">
        <f>IFERROR((VLOOKUP($A746,'[1]import success seats course'!$A:Q,HLOOKUP('[1]Course Totals'!C$4,'[1]import success seats course'!$1:$2,2,FALSE),FALSE)/(VLOOKUP($A746,'[1]import graded seats course pivo'!$A:AA,HLOOKUP('[1]Course Totals'!C$4,'[1]import graded seats course pivo'!$1:$2,2,FALSE),FALSE))),"")</f>
        <v>0.82499999999999996</v>
      </c>
      <c r="D746" s="14">
        <f>IFERROR((VLOOKUP($A746,'[1]import success seats course'!$A:R,HLOOKUP('[1]Course Totals'!D$4,'[1]import success seats course'!$1:$2,2,FALSE),FALSE)/(VLOOKUP($A746,'[1]import graded seats course pivo'!$A:AB,HLOOKUP('[1]Course Totals'!D$4,'[1]import graded seats course pivo'!$1:$2,2,FALSE),FALSE))),"")</f>
        <v>0.83333333333333337</v>
      </c>
      <c r="E746" s="14">
        <f>IFERROR((VLOOKUP($A746,'[1]import success seats course'!$A:S,HLOOKUP('[1]Course Totals'!E$4,'[1]import success seats course'!$1:$2,2,FALSE),FALSE)/(VLOOKUP($A746,'[1]import graded seats course pivo'!$A:AC,HLOOKUP('[1]Course Totals'!E$4,'[1]import graded seats course pivo'!$1:$2,2,FALSE),FALSE))),"")</f>
        <v>0.88888888888888884</v>
      </c>
      <c r="F746" s="14">
        <f>IFERROR((VLOOKUP($A746,'[1]import success seats course'!$A:T,HLOOKUP('[1]Course Totals'!F$4,'[1]import success seats course'!$1:$2,2,FALSE),FALSE)/(VLOOKUP($A746,'[1]import graded seats course pivo'!$A:AD,HLOOKUP('[1]Course Totals'!F$4,'[1]import graded seats course pivo'!$1:$2,2,FALSE),FALSE))),"")</f>
        <v>0.72972972972972971</v>
      </c>
      <c r="G746" s="14">
        <f>IFERROR((VLOOKUP($A746,'[1]import success seats course'!$A:U,HLOOKUP('[1]Course Totals'!G$4,'[1]import success seats course'!$1:$2,2,FALSE),FALSE)/(VLOOKUP($A746,'[1]import graded seats course pivo'!$A:AE,HLOOKUP('[1]Course Totals'!G$4,'[1]import graded seats course pivo'!$1:$2,2,FALSE),FALSE))),"")</f>
        <v>0.90243902439024393</v>
      </c>
      <c r="H746" s="14">
        <f>IFERROR((VLOOKUP($A746,'[1]import success seats course'!$A:V,HLOOKUP('[1]Course Totals'!H$4,'[1]import success seats course'!$1:$2,2,FALSE),FALSE)/(VLOOKUP($A746,'[1]import graded seats course pivo'!$A:AF,HLOOKUP('[1]Course Totals'!H$4,'[1]import graded seats course pivo'!$1:$2,2,FALSE),FALSE))),"")</f>
        <v>0.92</v>
      </c>
      <c r="I746" s="14">
        <f>IFERROR((VLOOKUP($A746,'[1]import success seats course'!$A:W,HLOOKUP('[1]Course Totals'!I$4,'[1]import success seats course'!$1:$2,2,FALSE),FALSE)/(VLOOKUP($A746,'[1]import graded seats course pivo'!$A:AG,HLOOKUP('[1]Course Totals'!I$4,'[1]import graded seats course pivo'!$1:$2,2,FALSE),FALSE))),"")</f>
        <v>0.89743589743589747</v>
      </c>
      <c r="J746" s="14">
        <f>IFERROR((VLOOKUP($A746,'[1]import success seats course'!$A:X,HLOOKUP('[1]Course Totals'!J$4,'[1]import success seats course'!$1:$2,2,FALSE),FALSE)/(VLOOKUP($A746,'[1]import graded seats course pivo'!$A:AH,HLOOKUP('[1]Course Totals'!J$4,'[1]import graded seats course pivo'!$1:$2,2,FALSE),FALSE))),"")</f>
        <v>0.67647058823529416</v>
      </c>
      <c r="K746" s="14" t="str">
        <f>IFERROR((VLOOKUP($A746,'[1]import success seats course'!$A:Y,HLOOKUP('[1]Course Totals'!K$4,'[1]import success seats course'!$1:$2,2,FALSE),FALSE)/(VLOOKUP($A746,'[1]import graded seats course pivo'!$A:AI,HLOOKUP('[1]Course Totals'!K$4,'[1]import graded seats course pivo'!$1:$2,2,FALSE),FALSE))),"")</f>
        <v/>
      </c>
      <c r="L746" s="14">
        <f>IFERROR((VLOOKUP($A746,'[1]import success seats course'!$A:Z,HLOOKUP('[1]Course Totals'!L$4,'[1]import success seats course'!$1:$2,2,FALSE),FALSE)/(VLOOKUP($A746,'[1]import graded seats course pivo'!$A:AJ,HLOOKUP('[1]Course Totals'!L$4,'[1]import graded seats course pivo'!$1:$2,2,FALSE),FALSE))),"")</f>
        <v>0.9</v>
      </c>
      <c r="M746" s="14">
        <f>IFERROR((VLOOKUP($A746,'[1]import success seats course'!$A:AA,HLOOKUP('[1]Course Totals'!M$4,'[1]import success seats course'!$1:$2,2,FALSE),FALSE)/(VLOOKUP($A746,'[1]import graded seats course pivo'!$A:AK,HLOOKUP('[1]Course Totals'!M$4,'[1]import graded seats course pivo'!$1:$2,2,FALSE),FALSE))),"")</f>
        <v>0.94736842105263153</v>
      </c>
      <c r="N746" s="14" t="str">
        <f>IFERROR((VLOOKUP($A746,'[1]import success seats course'!$A:AB,HLOOKUP('[1]Course Totals'!N$4,'[1]import success seats course'!$1:$2,2,FALSE),FALSE)/(VLOOKUP($A746,'[1]import graded seats course pivo'!$A:AL,HLOOKUP('[1]Course Totals'!N$4,'[1]import graded seats course pivo'!$1:$2,2,FALSE),FALSE))),"")</f>
        <v/>
      </c>
      <c r="O746" s="14" t="str">
        <f>IFERROR((VLOOKUP($A746,'[1]import success seats course'!$A:AC,HLOOKUP('[1]Course Totals'!O$4,'[1]import success seats course'!$1:$2,2,FALSE),FALSE)/(VLOOKUP($A746,'[1]import graded seats course pivo'!$A:AM,HLOOKUP('[1]Course Totals'!O$4,'[1]import graded seats course pivo'!$1:$2,2,FALSE),FALSE))),"")</f>
        <v/>
      </c>
      <c r="P746" s="14" t="str">
        <f>IFERROR((VLOOKUP($A746,'[1]import success seats course'!$A:AD,HLOOKUP('[1]Course Totals'!P$4,'[1]import success seats course'!$1:$2,2,FALSE),FALSE)/(VLOOKUP($A746,'[1]import graded seats course pivo'!$A:AN,HLOOKUP('[1]Course Totals'!P$4,'[1]import graded seats course pivo'!$1:$2,2,FALSE),FALSE))),"")</f>
        <v/>
      </c>
      <c r="Q746" s="14" t="str">
        <f>IFERROR((VLOOKUP($A746,'[1]import success seats course'!$A:AE,HLOOKUP('[1]Course Totals'!Q$4,'[1]import success seats course'!$1:$2,2,FALSE),FALSE)/(VLOOKUP($A746,'[1]import graded seats course pivo'!$A:AO,HLOOKUP('[1]Course Totals'!Q$4,'[1]import graded seats course pivo'!$1:$2,2,FALSE),FALSE))),"")</f>
        <v/>
      </c>
      <c r="R746" s="14" t="str">
        <f>IFERROR((VLOOKUP($A746,'[1]import success seats course'!$A:AF,HLOOKUP('[1]Course Totals'!R$4,'[1]import success seats course'!$1:$2,2,FALSE),FALSE)/(VLOOKUP($A746,'[1]import graded seats course pivo'!$A:AP,HLOOKUP('[1]Course Totals'!R$4,'[1]import graded seats course pivo'!$1:$2,2,FALSE),FALSE))),"")</f>
        <v/>
      </c>
      <c r="S746" s="14" t="str">
        <f>IFERROR((VLOOKUP($A746,'[1]import success seats course'!$A:AG,HLOOKUP('[1]Course Totals'!S$4,'[1]import success seats course'!$1:$2,2,FALSE),FALSE)/(VLOOKUP($A746,'[1]import graded seats course pivo'!$A:AQ,HLOOKUP('[1]Course Totals'!S$4,'[1]import graded seats course pivo'!$1:$2,2,FALSE),FALSE))),"")</f>
        <v/>
      </c>
      <c r="Z746" s="7"/>
      <c r="AA746" s="7"/>
      <c r="AB746" s="7"/>
      <c r="AC746" s="7"/>
    </row>
    <row r="747" spans="1:29" ht="15.75" customHeight="1" x14ac:dyDescent="0.25">
      <c r="A747" s="12" t="s">
        <v>342</v>
      </c>
      <c r="B747" s="14">
        <f>IFERROR((VLOOKUP($A747,'[1]import success seats course'!$A:P,HLOOKUP('[1]Course Totals'!B$4,'[1]import success seats course'!$1:$2,2,FALSE),FALSE)/(VLOOKUP($A747,'[1]import graded seats course pivo'!$A:Z,HLOOKUP('[1]Course Totals'!B$4,'[1]import graded seats course pivo'!$1:$2,2,FALSE),FALSE))),"")</f>
        <v>0.78703703703703709</v>
      </c>
      <c r="C747" s="14">
        <f>IFERROR((VLOOKUP($A747,'[1]import success seats course'!$A:Q,HLOOKUP('[1]Course Totals'!C$4,'[1]import success seats course'!$1:$2,2,FALSE),FALSE)/(VLOOKUP($A747,'[1]import graded seats course pivo'!$A:AA,HLOOKUP('[1]Course Totals'!C$4,'[1]import graded seats course pivo'!$1:$2,2,FALSE),FALSE))),"")</f>
        <v>0.76449275362318836</v>
      </c>
      <c r="D747" s="14">
        <f>IFERROR((VLOOKUP($A747,'[1]import success seats course'!$A:R,HLOOKUP('[1]Course Totals'!D$4,'[1]import success seats course'!$1:$2,2,FALSE),FALSE)/(VLOOKUP($A747,'[1]import graded seats course pivo'!$A:AB,HLOOKUP('[1]Course Totals'!D$4,'[1]import graded seats course pivo'!$1:$2,2,FALSE),FALSE))),"")</f>
        <v>0.89655172413793105</v>
      </c>
      <c r="E747" s="14">
        <f>IFERROR((VLOOKUP($A747,'[1]import success seats course'!$A:S,HLOOKUP('[1]Course Totals'!E$4,'[1]import success seats course'!$1:$2,2,FALSE),FALSE)/(VLOOKUP($A747,'[1]import graded seats course pivo'!$A:AC,HLOOKUP('[1]Course Totals'!E$4,'[1]import graded seats course pivo'!$1:$2,2,FALSE),FALSE))),"")</f>
        <v>0.88421052631578945</v>
      </c>
      <c r="F747" s="14">
        <f>IFERROR((VLOOKUP($A747,'[1]import success seats course'!$A:T,HLOOKUP('[1]Course Totals'!F$4,'[1]import success seats course'!$1:$2,2,FALSE),FALSE)/(VLOOKUP($A747,'[1]import graded seats course pivo'!$A:AD,HLOOKUP('[1]Course Totals'!F$4,'[1]import graded seats course pivo'!$1:$2,2,FALSE),FALSE))),"")</f>
        <v>0.82068965517241377</v>
      </c>
      <c r="G747" s="14">
        <f>IFERROR((VLOOKUP($A747,'[1]import success seats course'!$A:U,HLOOKUP('[1]Course Totals'!G$4,'[1]import success seats course'!$1:$2,2,FALSE),FALSE)/(VLOOKUP($A747,'[1]import graded seats course pivo'!$A:AE,HLOOKUP('[1]Course Totals'!G$4,'[1]import graded seats course pivo'!$1:$2,2,FALSE),FALSE))),"")</f>
        <v>0.77734375</v>
      </c>
      <c r="H747" s="14">
        <f>IFERROR((VLOOKUP($A747,'[1]import success seats course'!$A:V,HLOOKUP('[1]Course Totals'!H$4,'[1]import success seats course'!$1:$2,2,FALSE),FALSE)/(VLOOKUP($A747,'[1]import graded seats course pivo'!$A:AF,HLOOKUP('[1]Course Totals'!H$4,'[1]import graded seats course pivo'!$1:$2,2,FALSE),FALSE))),"")</f>
        <v>0.91666666666666663</v>
      </c>
      <c r="I747" s="14">
        <f>IFERROR((VLOOKUP($A747,'[1]import success seats course'!$A:W,HLOOKUP('[1]Course Totals'!I$4,'[1]import success seats course'!$1:$2,2,FALSE),FALSE)/(VLOOKUP($A747,'[1]import graded seats course pivo'!$A:AG,HLOOKUP('[1]Course Totals'!I$4,'[1]import graded seats course pivo'!$1:$2,2,FALSE),FALSE))),"")</f>
        <v>0.8418230563002681</v>
      </c>
      <c r="J747" s="14">
        <f>IFERROR((VLOOKUP($A747,'[1]import success seats course'!$A:X,HLOOKUP('[1]Course Totals'!J$4,'[1]import success seats course'!$1:$2,2,FALSE),FALSE)/(VLOOKUP($A747,'[1]import graded seats course pivo'!$A:AH,HLOOKUP('[1]Course Totals'!J$4,'[1]import graded seats course pivo'!$1:$2,2,FALSE),FALSE))),"")</f>
        <v>0.72727272727272729</v>
      </c>
      <c r="K747" s="14">
        <f>IFERROR((VLOOKUP($A747,'[1]import success seats course'!$A:Y,HLOOKUP('[1]Course Totals'!K$4,'[1]import success seats course'!$1:$2,2,FALSE),FALSE)/(VLOOKUP($A747,'[1]import graded seats course pivo'!$A:AI,HLOOKUP('[1]Course Totals'!K$4,'[1]import graded seats course pivo'!$1:$2,2,FALSE),FALSE))),"")</f>
        <v>0.79411764705882348</v>
      </c>
      <c r="L747" s="14">
        <f>IFERROR((VLOOKUP($A747,'[1]import success seats course'!$A:Z,HLOOKUP('[1]Course Totals'!L$4,'[1]import success seats course'!$1:$2,2,FALSE),FALSE)/(VLOOKUP($A747,'[1]import graded seats course pivo'!$A:AJ,HLOOKUP('[1]Course Totals'!L$4,'[1]import graded seats course pivo'!$1:$2,2,FALSE),FALSE))),"")</f>
        <v>0.86131386861313863</v>
      </c>
      <c r="M747" s="14">
        <f>IFERROR((VLOOKUP($A747,'[1]import success seats course'!$A:AA,HLOOKUP('[1]Course Totals'!M$4,'[1]import success seats course'!$1:$2,2,FALSE),FALSE)/(VLOOKUP($A747,'[1]import graded seats course pivo'!$A:AK,HLOOKUP('[1]Course Totals'!M$4,'[1]import graded seats course pivo'!$1:$2,2,FALSE),FALSE))),"")</f>
        <v>0.81659388646288211</v>
      </c>
      <c r="N747" s="14" t="str">
        <f>IFERROR((VLOOKUP($A747,'[1]import success seats course'!$A:AB,HLOOKUP('[1]Course Totals'!N$4,'[1]import success seats course'!$1:$2,2,FALSE),FALSE)/(VLOOKUP($A747,'[1]import graded seats course pivo'!$A:AL,HLOOKUP('[1]Course Totals'!N$4,'[1]import graded seats course pivo'!$1:$2,2,FALSE),FALSE))),"")</f>
        <v/>
      </c>
      <c r="O747" s="14">
        <f>IFERROR((VLOOKUP($A747,'[1]import success seats course'!$A:AC,HLOOKUP('[1]Course Totals'!O$4,'[1]import success seats course'!$1:$2,2,FALSE),FALSE)/(VLOOKUP($A747,'[1]import graded seats course pivo'!$A:AM,HLOOKUP('[1]Course Totals'!O$4,'[1]import graded seats course pivo'!$1:$2,2,FALSE),FALSE))),"")</f>
        <v>0.8347457627118644</v>
      </c>
      <c r="P747" s="14">
        <f>IFERROR((VLOOKUP($A747,'[1]import success seats course'!$A:AD,HLOOKUP('[1]Course Totals'!P$4,'[1]import success seats course'!$1:$2,2,FALSE),FALSE)/(VLOOKUP($A747,'[1]import graded seats course pivo'!$A:AN,HLOOKUP('[1]Course Totals'!P$4,'[1]import graded seats course pivo'!$1:$2,2,FALSE),FALSE))),"")</f>
        <v>0.82656826568265684</v>
      </c>
      <c r="Q747" s="14">
        <f>IFERROR((VLOOKUP($A747,'[1]import success seats course'!$A:AE,HLOOKUP('[1]Course Totals'!Q$4,'[1]import success seats course'!$1:$2,2,FALSE),FALSE)/(VLOOKUP($A747,'[1]import graded seats course pivo'!$A:AO,HLOOKUP('[1]Course Totals'!Q$4,'[1]import graded seats course pivo'!$1:$2,2,FALSE),FALSE))),"")</f>
        <v>0.88311688311688308</v>
      </c>
      <c r="R747" s="14">
        <f>IFERROR((VLOOKUP($A747,'[1]import success seats course'!$A:AF,HLOOKUP('[1]Course Totals'!R$4,'[1]import success seats course'!$1:$2,2,FALSE),FALSE)/(VLOOKUP($A747,'[1]import graded seats course pivo'!$A:AP,HLOOKUP('[1]Course Totals'!R$4,'[1]import graded seats course pivo'!$1:$2,2,FALSE),FALSE))),"")</f>
        <v>0.82499999999999996</v>
      </c>
      <c r="S747" s="14">
        <f>IFERROR((VLOOKUP($A747,'[1]import success seats course'!$A:AG,HLOOKUP('[1]Course Totals'!S$4,'[1]import success seats course'!$1:$2,2,FALSE),FALSE)/(VLOOKUP($A747,'[1]import graded seats course pivo'!$A:AQ,HLOOKUP('[1]Course Totals'!S$4,'[1]import graded seats course pivo'!$1:$2,2,FALSE),FALSE))),"")</f>
        <v>0.79605263157894735</v>
      </c>
      <c r="Z747" s="7"/>
      <c r="AA747" s="7"/>
      <c r="AB747" s="7"/>
      <c r="AC747" s="7"/>
    </row>
    <row r="748" spans="1:29" ht="15.75" customHeight="1" x14ac:dyDescent="0.25">
      <c r="A748" s="12" t="s">
        <v>741</v>
      </c>
      <c r="B748" s="14" t="str">
        <f>IFERROR((VLOOKUP($A748,'[1]import success seats course'!$A:P,HLOOKUP('[1]Course Totals'!B$4,'[1]import success seats course'!$1:$2,2,FALSE),FALSE)/(VLOOKUP($A748,'[1]import graded seats course pivo'!$A:Z,HLOOKUP('[1]Course Totals'!B$4,'[1]import graded seats course pivo'!$1:$2,2,FALSE),FALSE))),"")</f>
        <v/>
      </c>
      <c r="C748" s="14" t="str">
        <f>IFERROR((VLOOKUP($A748,'[1]import success seats course'!$A:Q,HLOOKUP('[1]Course Totals'!C$4,'[1]import success seats course'!$1:$2,2,FALSE),FALSE)/(VLOOKUP($A748,'[1]import graded seats course pivo'!$A:AA,HLOOKUP('[1]Course Totals'!C$4,'[1]import graded seats course pivo'!$1:$2,2,FALSE),FALSE))),"")</f>
        <v/>
      </c>
      <c r="D748" s="14">
        <f>IFERROR((VLOOKUP($A748,'[1]import success seats course'!$A:R,HLOOKUP('[1]Course Totals'!D$4,'[1]import success seats course'!$1:$2,2,FALSE),FALSE)/(VLOOKUP($A748,'[1]import graded seats course pivo'!$A:AB,HLOOKUP('[1]Course Totals'!D$4,'[1]import graded seats course pivo'!$1:$2,2,FALSE),FALSE))),"")</f>
        <v>1</v>
      </c>
      <c r="E748" s="14" t="str">
        <f>IFERROR((VLOOKUP($A748,'[1]import success seats course'!$A:S,HLOOKUP('[1]Course Totals'!E$4,'[1]import success seats course'!$1:$2,2,FALSE),FALSE)/(VLOOKUP($A748,'[1]import graded seats course pivo'!$A:AC,HLOOKUP('[1]Course Totals'!E$4,'[1]import graded seats course pivo'!$1:$2,2,FALSE),FALSE))),"")</f>
        <v/>
      </c>
      <c r="F748" s="14" t="str">
        <f>IFERROR((VLOOKUP($A748,'[1]import success seats course'!$A:T,HLOOKUP('[1]Course Totals'!F$4,'[1]import success seats course'!$1:$2,2,FALSE),FALSE)/(VLOOKUP($A748,'[1]import graded seats course pivo'!$A:AD,HLOOKUP('[1]Course Totals'!F$4,'[1]import graded seats course pivo'!$1:$2,2,FALSE),FALSE))),"")</f>
        <v/>
      </c>
      <c r="G748" s="14">
        <f>IFERROR((VLOOKUP($A748,'[1]import success seats course'!$A:U,HLOOKUP('[1]Course Totals'!G$4,'[1]import success seats course'!$1:$2,2,FALSE),FALSE)/(VLOOKUP($A748,'[1]import graded seats course pivo'!$A:AE,HLOOKUP('[1]Course Totals'!G$4,'[1]import graded seats course pivo'!$1:$2,2,FALSE),FALSE))),"")</f>
        <v>1</v>
      </c>
      <c r="H748" s="14" t="str">
        <f>IFERROR((VLOOKUP($A748,'[1]import success seats course'!$A:V,HLOOKUP('[1]Course Totals'!H$4,'[1]import success seats course'!$1:$2,2,FALSE),FALSE)/(VLOOKUP($A748,'[1]import graded seats course pivo'!$A:AF,HLOOKUP('[1]Course Totals'!H$4,'[1]import graded seats course pivo'!$1:$2,2,FALSE),FALSE))),"")</f>
        <v/>
      </c>
      <c r="I748" s="14" t="str">
        <f>IFERROR((VLOOKUP($A748,'[1]import success seats course'!$A:W,HLOOKUP('[1]Course Totals'!I$4,'[1]import success seats course'!$1:$2,2,FALSE),FALSE)/(VLOOKUP($A748,'[1]import graded seats course pivo'!$A:AG,HLOOKUP('[1]Course Totals'!I$4,'[1]import graded seats course pivo'!$1:$2,2,FALSE),FALSE))),"")</f>
        <v/>
      </c>
      <c r="J748" s="14">
        <f>IFERROR((VLOOKUP($A748,'[1]import success seats course'!$A:X,HLOOKUP('[1]Course Totals'!J$4,'[1]import success seats course'!$1:$2,2,FALSE),FALSE)/(VLOOKUP($A748,'[1]import graded seats course pivo'!$A:AH,HLOOKUP('[1]Course Totals'!J$4,'[1]import graded seats course pivo'!$1:$2,2,FALSE),FALSE))),"")</f>
        <v>1</v>
      </c>
      <c r="K748" s="14" t="str">
        <f>IFERROR((VLOOKUP($A748,'[1]import success seats course'!$A:Y,HLOOKUP('[1]Course Totals'!K$4,'[1]import success seats course'!$1:$2,2,FALSE),FALSE)/(VLOOKUP($A748,'[1]import graded seats course pivo'!$A:AI,HLOOKUP('[1]Course Totals'!K$4,'[1]import graded seats course pivo'!$1:$2,2,FALSE),FALSE))),"")</f>
        <v/>
      </c>
      <c r="L748" s="14" t="str">
        <f>IFERROR((VLOOKUP($A748,'[1]import success seats course'!$A:Z,HLOOKUP('[1]Course Totals'!L$4,'[1]import success seats course'!$1:$2,2,FALSE),FALSE)/(VLOOKUP($A748,'[1]import graded seats course pivo'!$A:AJ,HLOOKUP('[1]Course Totals'!L$4,'[1]import graded seats course pivo'!$1:$2,2,FALSE),FALSE))),"")</f>
        <v/>
      </c>
      <c r="M748" s="14" t="str">
        <f>IFERROR((VLOOKUP($A748,'[1]import success seats course'!$A:AA,HLOOKUP('[1]Course Totals'!M$4,'[1]import success seats course'!$1:$2,2,FALSE),FALSE)/(VLOOKUP($A748,'[1]import graded seats course pivo'!$A:AK,HLOOKUP('[1]Course Totals'!M$4,'[1]import graded seats course pivo'!$1:$2,2,FALSE),FALSE))),"")</f>
        <v/>
      </c>
      <c r="N748" s="14" t="str">
        <f>IFERROR((VLOOKUP($A748,'[1]import success seats course'!$A:AB,HLOOKUP('[1]Course Totals'!N$4,'[1]import success seats course'!$1:$2,2,FALSE),FALSE)/(VLOOKUP($A748,'[1]import graded seats course pivo'!$A:AL,HLOOKUP('[1]Course Totals'!N$4,'[1]import graded seats course pivo'!$1:$2,2,FALSE),FALSE))),"")</f>
        <v/>
      </c>
      <c r="O748" s="14" t="str">
        <f>IFERROR((VLOOKUP($A748,'[1]import success seats course'!$A:AC,HLOOKUP('[1]Course Totals'!O$4,'[1]import success seats course'!$1:$2,2,FALSE),FALSE)/(VLOOKUP($A748,'[1]import graded seats course pivo'!$A:AM,HLOOKUP('[1]Course Totals'!O$4,'[1]import graded seats course pivo'!$1:$2,2,FALSE),FALSE))),"")</f>
        <v/>
      </c>
      <c r="P748" s="14" t="str">
        <f>IFERROR((VLOOKUP($A748,'[1]import success seats course'!$A:AD,HLOOKUP('[1]Course Totals'!P$4,'[1]import success seats course'!$1:$2,2,FALSE),FALSE)/(VLOOKUP($A748,'[1]import graded seats course pivo'!$A:AN,HLOOKUP('[1]Course Totals'!P$4,'[1]import graded seats course pivo'!$1:$2,2,FALSE),FALSE))),"")</f>
        <v/>
      </c>
      <c r="Q748" s="14" t="str">
        <f>IFERROR((VLOOKUP($A748,'[1]import success seats course'!$A:AE,HLOOKUP('[1]Course Totals'!Q$4,'[1]import success seats course'!$1:$2,2,FALSE),FALSE)/(VLOOKUP($A748,'[1]import graded seats course pivo'!$A:AO,HLOOKUP('[1]Course Totals'!Q$4,'[1]import graded seats course pivo'!$1:$2,2,FALSE),FALSE))),"")</f>
        <v/>
      </c>
      <c r="R748" s="14" t="str">
        <f>IFERROR((VLOOKUP($A748,'[1]import success seats course'!$A:AF,HLOOKUP('[1]Course Totals'!R$4,'[1]import success seats course'!$1:$2,2,FALSE),FALSE)/(VLOOKUP($A748,'[1]import graded seats course pivo'!$A:AP,HLOOKUP('[1]Course Totals'!R$4,'[1]import graded seats course pivo'!$1:$2,2,FALSE),FALSE))),"")</f>
        <v/>
      </c>
      <c r="S748" s="14">
        <f>IFERROR((VLOOKUP($A748,'[1]import success seats course'!$A:AG,HLOOKUP('[1]Course Totals'!S$4,'[1]import success seats course'!$1:$2,2,FALSE),FALSE)/(VLOOKUP($A748,'[1]import graded seats course pivo'!$A:AQ,HLOOKUP('[1]Course Totals'!S$4,'[1]import graded seats course pivo'!$1:$2,2,FALSE),FALSE))),"")</f>
        <v>0.5</v>
      </c>
      <c r="Z748" s="7"/>
      <c r="AA748" s="7"/>
      <c r="AB748" s="7"/>
      <c r="AC748" s="7"/>
    </row>
    <row r="749" spans="1:29" ht="15.75" customHeight="1" x14ac:dyDescent="0.25">
      <c r="A749" s="12" t="s">
        <v>343</v>
      </c>
      <c r="B749" s="14">
        <f>IFERROR((VLOOKUP($A749,'[1]import success seats course'!$A:P,HLOOKUP('[1]Course Totals'!B$4,'[1]import success seats course'!$1:$2,2,FALSE),FALSE)/(VLOOKUP($A749,'[1]import graded seats course pivo'!$A:Z,HLOOKUP('[1]Course Totals'!B$4,'[1]import graded seats course pivo'!$1:$2,2,FALSE),FALSE))),"")</f>
        <v>0.95833333333333337</v>
      </c>
      <c r="C749" s="14">
        <f>IFERROR((VLOOKUP($A749,'[1]import success seats course'!$A:Q,HLOOKUP('[1]Course Totals'!C$4,'[1]import success seats course'!$1:$2,2,FALSE),FALSE)/(VLOOKUP($A749,'[1]import graded seats course pivo'!$A:AA,HLOOKUP('[1]Course Totals'!C$4,'[1]import graded seats course pivo'!$1:$2,2,FALSE),FALSE))),"")</f>
        <v>0.82278481012658233</v>
      </c>
      <c r="D749" s="14">
        <f>IFERROR((VLOOKUP($A749,'[1]import success seats course'!$A:R,HLOOKUP('[1]Course Totals'!D$4,'[1]import success seats course'!$1:$2,2,FALSE),FALSE)/(VLOOKUP($A749,'[1]import graded seats course pivo'!$A:AB,HLOOKUP('[1]Course Totals'!D$4,'[1]import graded seats course pivo'!$1:$2,2,FALSE),FALSE))),"")</f>
        <v>0.83582089552238803</v>
      </c>
      <c r="E749" s="14">
        <f>IFERROR((VLOOKUP($A749,'[1]import success seats course'!$A:S,HLOOKUP('[1]Course Totals'!E$4,'[1]import success seats course'!$1:$2,2,FALSE),FALSE)/(VLOOKUP($A749,'[1]import graded seats course pivo'!$A:AC,HLOOKUP('[1]Course Totals'!E$4,'[1]import graded seats course pivo'!$1:$2,2,FALSE),FALSE))),"")</f>
        <v>0.80851063829787229</v>
      </c>
      <c r="F749" s="14">
        <f>IFERROR((VLOOKUP($A749,'[1]import success seats course'!$A:T,HLOOKUP('[1]Course Totals'!F$4,'[1]import success seats course'!$1:$2,2,FALSE),FALSE)/(VLOOKUP($A749,'[1]import graded seats course pivo'!$A:AD,HLOOKUP('[1]Course Totals'!F$4,'[1]import graded seats course pivo'!$1:$2,2,FALSE),FALSE))),"")</f>
        <v>0.86046511627906974</v>
      </c>
      <c r="G749" s="14">
        <f>IFERROR((VLOOKUP($A749,'[1]import success seats course'!$A:U,HLOOKUP('[1]Course Totals'!G$4,'[1]import success seats course'!$1:$2,2,FALSE),FALSE)/(VLOOKUP($A749,'[1]import graded seats course pivo'!$A:AE,HLOOKUP('[1]Course Totals'!G$4,'[1]import graded seats course pivo'!$1:$2,2,FALSE),FALSE))),"")</f>
        <v>0.69135802469135799</v>
      </c>
      <c r="H749" s="14">
        <f>IFERROR((VLOOKUP($A749,'[1]import success seats course'!$A:V,HLOOKUP('[1]Course Totals'!H$4,'[1]import success seats course'!$1:$2,2,FALSE),FALSE)/(VLOOKUP($A749,'[1]import graded seats course pivo'!$A:AF,HLOOKUP('[1]Course Totals'!H$4,'[1]import graded seats course pivo'!$1:$2,2,FALSE),FALSE))),"")</f>
        <v>0.76666666666666672</v>
      </c>
      <c r="I749" s="14">
        <f>IFERROR((VLOOKUP($A749,'[1]import success seats course'!$A:W,HLOOKUP('[1]Course Totals'!I$4,'[1]import success seats course'!$1:$2,2,FALSE),FALSE)/(VLOOKUP($A749,'[1]import graded seats course pivo'!$A:AG,HLOOKUP('[1]Course Totals'!I$4,'[1]import graded seats course pivo'!$1:$2,2,FALSE),FALSE))),"")</f>
        <v>0.65555555555555556</v>
      </c>
      <c r="J749" s="14">
        <f>IFERROR((VLOOKUP($A749,'[1]import success seats course'!$A:X,HLOOKUP('[1]Course Totals'!J$4,'[1]import success seats course'!$1:$2,2,FALSE),FALSE)/(VLOOKUP($A749,'[1]import graded seats course pivo'!$A:AH,HLOOKUP('[1]Course Totals'!J$4,'[1]import graded seats course pivo'!$1:$2,2,FALSE),FALSE))),"")</f>
        <v>0.90173410404624277</v>
      </c>
      <c r="K749" s="14" t="str">
        <f>IFERROR((VLOOKUP($A749,'[1]import success seats course'!$A:Y,HLOOKUP('[1]Course Totals'!K$4,'[1]import success seats course'!$1:$2,2,FALSE),FALSE)/(VLOOKUP($A749,'[1]import graded seats course pivo'!$A:AI,HLOOKUP('[1]Course Totals'!K$4,'[1]import graded seats course pivo'!$1:$2,2,FALSE),FALSE))),"")</f>
        <v/>
      </c>
      <c r="L749" s="14">
        <f>IFERROR((VLOOKUP($A749,'[1]import success seats course'!$A:Z,HLOOKUP('[1]Course Totals'!L$4,'[1]import success seats course'!$1:$2,2,FALSE),FALSE)/(VLOOKUP($A749,'[1]import graded seats course pivo'!$A:AJ,HLOOKUP('[1]Course Totals'!L$4,'[1]import graded seats course pivo'!$1:$2,2,FALSE),FALSE))),"")</f>
        <v>0.65</v>
      </c>
      <c r="M749" s="14">
        <f>IFERROR((VLOOKUP($A749,'[1]import success seats course'!$A:AA,HLOOKUP('[1]Course Totals'!M$4,'[1]import success seats course'!$1:$2,2,FALSE),FALSE)/(VLOOKUP($A749,'[1]import graded seats course pivo'!$A:AK,HLOOKUP('[1]Course Totals'!M$4,'[1]import graded seats course pivo'!$1:$2,2,FALSE),FALSE))),"")</f>
        <v>3.0263157894736841</v>
      </c>
      <c r="N749" s="14" t="str">
        <f>IFERROR((VLOOKUP($A749,'[1]import success seats course'!$A:AB,HLOOKUP('[1]Course Totals'!N$4,'[1]import success seats course'!$1:$2,2,FALSE),FALSE)/(VLOOKUP($A749,'[1]import graded seats course pivo'!$A:AL,HLOOKUP('[1]Course Totals'!N$4,'[1]import graded seats course pivo'!$1:$2,2,FALSE),FALSE))),"")</f>
        <v/>
      </c>
      <c r="O749" s="14">
        <f>IFERROR((VLOOKUP($A749,'[1]import success seats course'!$A:AC,HLOOKUP('[1]Course Totals'!O$4,'[1]import success seats course'!$1:$2,2,FALSE),FALSE)/(VLOOKUP($A749,'[1]import graded seats course pivo'!$A:AM,HLOOKUP('[1]Course Totals'!O$4,'[1]import graded seats course pivo'!$1:$2,2,FALSE),FALSE))),"")</f>
        <v>0.76543209876543206</v>
      </c>
      <c r="P749" s="14">
        <f>IFERROR((VLOOKUP($A749,'[1]import success seats course'!$A:AD,HLOOKUP('[1]Course Totals'!P$4,'[1]import success seats course'!$1:$2,2,FALSE),FALSE)/(VLOOKUP($A749,'[1]import graded seats course pivo'!$A:AN,HLOOKUP('[1]Course Totals'!P$4,'[1]import graded seats course pivo'!$1:$2,2,FALSE),FALSE))),"")</f>
        <v>0.64102564102564108</v>
      </c>
      <c r="Q749" s="14" t="str">
        <f>IFERROR((VLOOKUP($A749,'[1]import success seats course'!$A:AE,HLOOKUP('[1]Course Totals'!Q$4,'[1]import success seats course'!$1:$2,2,FALSE),FALSE)/(VLOOKUP($A749,'[1]import graded seats course pivo'!$A:AO,HLOOKUP('[1]Course Totals'!Q$4,'[1]import graded seats course pivo'!$1:$2,2,FALSE),FALSE))),"")</f>
        <v/>
      </c>
      <c r="R749" s="14">
        <f>IFERROR((VLOOKUP($A749,'[1]import success seats course'!$A:AF,HLOOKUP('[1]Course Totals'!R$4,'[1]import success seats course'!$1:$2,2,FALSE),FALSE)/(VLOOKUP($A749,'[1]import graded seats course pivo'!$A:AP,HLOOKUP('[1]Course Totals'!R$4,'[1]import graded seats course pivo'!$1:$2,2,FALSE),FALSE))),"")</f>
        <v>0.64615384615384619</v>
      </c>
      <c r="S749" s="14">
        <f>IFERROR((VLOOKUP($A749,'[1]import success seats course'!$A:AG,HLOOKUP('[1]Course Totals'!S$4,'[1]import success seats course'!$1:$2,2,FALSE),FALSE)/(VLOOKUP($A749,'[1]import graded seats course pivo'!$A:AQ,HLOOKUP('[1]Course Totals'!S$4,'[1]import graded seats course pivo'!$1:$2,2,FALSE),FALSE))),"")</f>
        <v>0.7589285714285714</v>
      </c>
      <c r="Z749" s="7"/>
      <c r="AA749" s="7"/>
      <c r="AB749" s="7"/>
      <c r="AC749" s="7"/>
    </row>
    <row r="750" spans="1:29" ht="15.75" customHeight="1" x14ac:dyDescent="0.25">
      <c r="A750" s="12" t="s">
        <v>632</v>
      </c>
      <c r="B750" s="14" t="str">
        <f>IFERROR((VLOOKUP($A750,'[1]import success seats course'!$A:P,HLOOKUP('[1]Course Totals'!B$4,'[1]import success seats course'!$1:$2,2,FALSE),FALSE)/(VLOOKUP($A750,'[1]import graded seats course pivo'!$A:Z,HLOOKUP('[1]Course Totals'!B$4,'[1]import graded seats course pivo'!$1:$2,2,FALSE),FALSE))),"")</f>
        <v/>
      </c>
      <c r="C750" s="14" t="str">
        <f>IFERROR((VLOOKUP($A750,'[1]import success seats course'!$A:Q,HLOOKUP('[1]Course Totals'!C$4,'[1]import success seats course'!$1:$2,2,FALSE),FALSE)/(VLOOKUP($A750,'[1]import graded seats course pivo'!$A:AA,HLOOKUP('[1]Course Totals'!C$4,'[1]import graded seats course pivo'!$1:$2,2,FALSE),FALSE))),"")</f>
        <v/>
      </c>
      <c r="D750" s="14" t="str">
        <f>IFERROR((VLOOKUP($A750,'[1]import success seats course'!$A:R,HLOOKUP('[1]Course Totals'!D$4,'[1]import success seats course'!$1:$2,2,FALSE),FALSE)/(VLOOKUP($A750,'[1]import graded seats course pivo'!$A:AB,HLOOKUP('[1]Course Totals'!D$4,'[1]import graded seats course pivo'!$1:$2,2,FALSE),FALSE))),"")</f>
        <v/>
      </c>
      <c r="E750" s="14" t="str">
        <f>IFERROR((VLOOKUP($A750,'[1]import success seats course'!$A:S,HLOOKUP('[1]Course Totals'!E$4,'[1]import success seats course'!$1:$2,2,FALSE),FALSE)/(VLOOKUP($A750,'[1]import graded seats course pivo'!$A:AC,HLOOKUP('[1]Course Totals'!E$4,'[1]import graded seats course pivo'!$1:$2,2,FALSE),FALSE))),"")</f>
        <v/>
      </c>
      <c r="F750" s="14">
        <f>IFERROR((VLOOKUP($A750,'[1]import success seats course'!$A:T,HLOOKUP('[1]Course Totals'!F$4,'[1]import success seats course'!$1:$2,2,FALSE),FALSE)/(VLOOKUP($A750,'[1]import graded seats course pivo'!$A:AD,HLOOKUP('[1]Course Totals'!F$4,'[1]import graded seats course pivo'!$1:$2,2,FALSE),FALSE))),"")</f>
        <v>0.92</v>
      </c>
      <c r="G750" s="14">
        <f>IFERROR((VLOOKUP($A750,'[1]import success seats course'!$A:U,HLOOKUP('[1]Course Totals'!G$4,'[1]import success seats course'!$1:$2,2,FALSE),FALSE)/(VLOOKUP($A750,'[1]import graded seats course pivo'!$A:AE,HLOOKUP('[1]Course Totals'!G$4,'[1]import graded seats course pivo'!$1:$2,2,FALSE),FALSE))),"")</f>
        <v>0.71186440677966101</v>
      </c>
      <c r="H750" s="14" t="str">
        <f>IFERROR((VLOOKUP($A750,'[1]import success seats course'!$A:V,HLOOKUP('[1]Course Totals'!H$4,'[1]import success seats course'!$1:$2,2,FALSE),FALSE)/(VLOOKUP($A750,'[1]import graded seats course pivo'!$A:AF,HLOOKUP('[1]Course Totals'!H$4,'[1]import graded seats course pivo'!$1:$2,2,FALSE),FALSE))),"")</f>
        <v/>
      </c>
      <c r="I750" s="14">
        <f>IFERROR((VLOOKUP($A750,'[1]import success seats course'!$A:W,HLOOKUP('[1]Course Totals'!I$4,'[1]import success seats course'!$1:$2,2,FALSE),FALSE)/(VLOOKUP($A750,'[1]import graded seats course pivo'!$A:AG,HLOOKUP('[1]Course Totals'!I$4,'[1]import graded seats course pivo'!$1:$2,2,FALSE),FALSE))),"")</f>
        <v>0.86842105263157898</v>
      </c>
      <c r="J750" s="14">
        <f>IFERROR((VLOOKUP($A750,'[1]import success seats course'!$A:X,HLOOKUP('[1]Course Totals'!J$4,'[1]import success seats course'!$1:$2,2,FALSE),FALSE)/(VLOOKUP($A750,'[1]import graded seats course pivo'!$A:AH,HLOOKUP('[1]Course Totals'!J$4,'[1]import graded seats course pivo'!$1:$2,2,FALSE),FALSE))),"")</f>
        <v>0.87804878048780488</v>
      </c>
      <c r="K750" s="14" t="str">
        <f>IFERROR((VLOOKUP($A750,'[1]import success seats course'!$A:Y,HLOOKUP('[1]Course Totals'!K$4,'[1]import success seats course'!$1:$2,2,FALSE),FALSE)/(VLOOKUP($A750,'[1]import graded seats course pivo'!$A:AI,HLOOKUP('[1]Course Totals'!K$4,'[1]import graded seats course pivo'!$1:$2,2,FALSE),FALSE))),"")</f>
        <v/>
      </c>
      <c r="L750" s="14">
        <f>IFERROR((VLOOKUP($A750,'[1]import success seats course'!$A:Z,HLOOKUP('[1]Course Totals'!L$4,'[1]import success seats course'!$1:$2,2,FALSE),FALSE)/(VLOOKUP($A750,'[1]import graded seats course pivo'!$A:AJ,HLOOKUP('[1]Course Totals'!L$4,'[1]import graded seats course pivo'!$1:$2,2,FALSE),FALSE))),"")</f>
        <v>0.875</v>
      </c>
      <c r="M750" s="14">
        <f>IFERROR((VLOOKUP($A750,'[1]import success seats course'!$A:AA,HLOOKUP('[1]Course Totals'!M$4,'[1]import success seats course'!$1:$2,2,FALSE),FALSE)/(VLOOKUP($A750,'[1]import graded seats course pivo'!$A:AK,HLOOKUP('[1]Course Totals'!M$4,'[1]import graded seats course pivo'!$1:$2,2,FALSE),FALSE))),"")</f>
        <v>0.94736842105263153</v>
      </c>
      <c r="N750" s="14" t="str">
        <f>IFERROR((VLOOKUP($A750,'[1]import success seats course'!$A:AB,HLOOKUP('[1]Course Totals'!N$4,'[1]import success seats course'!$1:$2,2,FALSE),FALSE)/(VLOOKUP($A750,'[1]import graded seats course pivo'!$A:AL,HLOOKUP('[1]Course Totals'!N$4,'[1]import graded seats course pivo'!$1:$2,2,FALSE),FALSE))),"")</f>
        <v/>
      </c>
      <c r="O750" s="14">
        <f>IFERROR((VLOOKUP($A750,'[1]import success seats course'!$A:AC,HLOOKUP('[1]Course Totals'!O$4,'[1]import success seats course'!$1:$2,2,FALSE),FALSE)/(VLOOKUP($A750,'[1]import graded seats course pivo'!$A:AM,HLOOKUP('[1]Course Totals'!O$4,'[1]import graded seats course pivo'!$1:$2,2,FALSE),FALSE))),"")</f>
        <v>0.90540540540540537</v>
      </c>
      <c r="P750" s="14">
        <f>IFERROR((VLOOKUP($A750,'[1]import success seats course'!$A:AD,HLOOKUP('[1]Course Totals'!P$4,'[1]import success seats course'!$1:$2,2,FALSE),FALSE)/(VLOOKUP($A750,'[1]import graded seats course pivo'!$A:AN,HLOOKUP('[1]Course Totals'!P$4,'[1]import graded seats course pivo'!$1:$2,2,FALSE),FALSE))),"")</f>
        <v>0.94029850746268662</v>
      </c>
      <c r="Q750" s="14" t="str">
        <f>IFERROR((VLOOKUP($A750,'[1]import success seats course'!$A:AE,HLOOKUP('[1]Course Totals'!Q$4,'[1]import success seats course'!$1:$2,2,FALSE),FALSE)/(VLOOKUP($A750,'[1]import graded seats course pivo'!$A:AO,HLOOKUP('[1]Course Totals'!Q$4,'[1]import graded seats course pivo'!$1:$2,2,FALSE),FALSE))),"")</f>
        <v/>
      </c>
      <c r="R750" s="14">
        <f>IFERROR((VLOOKUP($A750,'[1]import success seats course'!$A:AF,HLOOKUP('[1]Course Totals'!R$4,'[1]import success seats course'!$1:$2,2,FALSE),FALSE)/(VLOOKUP($A750,'[1]import graded seats course pivo'!$A:AP,HLOOKUP('[1]Course Totals'!R$4,'[1]import graded seats course pivo'!$1:$2,2,FALSE),FALSE))),"")</f>
        <v>0.8666666666666667</v>
      </c>
      <c r="S750" s="14">
        <f>IFERROR((VLOOKUP($A750,'[1]import success seats course'!$A:AG,HLOOKUP('[1]Course Totals'!S$4,'[1]import success seats course'!$1:$2,2,FALSE),FALSE)/(VLOOKUP($A750,'[1]import graded seats course pivo'!$A:AQ,HLOOKUP('[1]Course Totals'!S$4,'[1]import graded seats course pivo'!$1:$2,2,FALSE),FALSE))),"")</f>
        <v>0.84507042253521125</v>
      </c>
      <c r="Z750" s="7"/>
      <c r="AA750" s="7"/>
      <c r="AB750" s="7"/>
      <c r="AC750" s="7"/>
    </row>
    <row r="751" spans="1:29" ht="15.75" customHeight="1" x14ac:dyDescent="0.25">
      <c r="A751" s="12" t="s">
        <v>344</v>
      </c>
      <c r="B751" s="14">
        <f>IFERROR((VLOOKUP($A751,'[1]import success seats course'!$A:P,HLOOKUP('[1]Course Totals'!B$4,'[1]import success seats course'!$1:$2,2,FALSE),FALSE)/(VLOOKUP($A751,'[1]import graded seats course pivo'!$A:Z,HLOOKUP('[1]Course Totals'!B$4,'[1]import graded seats course pivo'!$1:$2,2,FALSE),FALSE))),"")</f>
        <v>0.92307692307692313</v>
      </c>
      <c r="C751" s="14">
        <f>IFERROR((VLOOKUP($A751,'[1]import success seats course'!$A:Q,HLOOKUP('[1]Course Totals'!C$4,'[1]import success seats course'!$1:$2,2,FALSE),FALSE)/(VLOOKUP($A751,'[1]import graded seats course pivo'!$A:AA,HLOOKUP('[1]Course Totals'!C$4,'[1]import graded seats course pivo'!$1:$2,2,FALSE),FALSE))),"")</f>
        <v>0.93333333333333335</v>
      </c>
      <c r="D751" s="14">
        <f>IFERROR((VLOOKUP($A751,'[1]import success seats course'!$A:R,HLOOKUP('[1]Course Totals'!D$4,'[1]import success seats course'!$1:$2,2,FALSE),FALSE)/(VLOOKUP($A751,'[1]import graded seats course pivo'!$A:AB,HLOOKUP('[1]Course Totals'!D$4,'[1]import graded seats course pivo'!$1:$2,2,FALSE),FALSE))),"")</f>
        <v>0.83333333333333337</v>
      </c>
      <c r="E751" s="14">
        <f>IFERROR((VLOOKUP($A751,'[1]import success seats course'!$A:S,HLOOKUP('[1]Course Totals'!E$4,'[1]import success seats course'!$1:$2,2,FALSE),FALSE)/(VLOOKUP($A751,'[1]import graded seats course pivo'!$A:AC,HLOOKUP('[1]Course Totals'!E$4,'[1]import graded seats course pivo'!$1:$2,2,FALSE),FALSE))),"")</f>
        <v>1</v>
      </c>
      <c r="F751" s="14">
        <f>IFERROR((VLOOKUP($A751,'[1]import success seats course'!$A:T,HLOOKUP('[1]Course Totals'!F$4,'[1]import success seats course'!$1:$2,2,FALSE),FALSE)/(VLOOKUP($A751,'[1]import graded seats course pivo'!$A:AD,HLOOKUP('[1]Course Totals'!F$4,'[1]import graded seats course pivo'!$1:$2,2,FALSE),FALSE))),"")</f>
        <v>0.6470588235294118</v>
      </c>
      <c r="G751" s="14">
        <f>IFERROR((VLOOKUP($A751,'[1]import success seats course'!$A:U,HLOOKUP('[1]Course Totals'!G$4,'[1]import success seats course'!$1:$2,2,FALSE),FALSE)/(VLOOKUP($A751,'[1]import graded seats course pivo'!$A:AE,HLOOKUP('[1]Course Totals'!G$4,'[1]import graded seats course pivo'!$1:$2,2,FALSE),FALSE))),"")</f>
        <v>0.76315789473684215</v>
      </c>
      <c r="H751" s="14">
        <f>IFERROR((VLOOKUP($A751,'[1]import success seats course'!$A:V,HLOOKUP('[1]Course Totals'!H$4,'[1]import success seats course'!$1:$2,2,FALSE),FALSE)/(VLOOKUP($A751,'[1]import graded seats course pivo'!$A:AF,HLOOKUP('[1]Course Totals'!H$4,'[1]import graded seats course pivo'!$1:$2,2,FALSE),FALSE))),"")</f>
        <v>0.80769230769230771</v>
      </c>
      <c r="I751" s="14">
        <f>IFERROR((VLOOKUP($A751,'[1]import success seats course'!$A:W,HLOOKUP('[1]Course Totals'!I$4,'[1]import success seats course'!$1:$2,2,FALSE),FALSE)/(VLOOKUP($A751,'[1]import graded seats course pivo'!$A:AG,HLOOKUP('[1]Course Totals'!I$4,'[1]import graded seats course pivo'!$1:$2,2,FALSE),FALSE))),"")</f>
        <v>0.5641025641025641</v>
      </c>
      <c r="J751" s="14">
        <f>IFERROR((VLOOKUP($A751,'[1]import success seats course'!$A:X,HLOOKUP('[1]Course Totals'!J$4,'[1]import success seats course'!$1:$2,2,FALSE),FALSE)/(VLOOKUP($A751,'[1]import graded seats course pivo'!$A:AH,HLOOKUP('[1]Course Totals'!J$4,'[1]import graded seats course pivo'!$1:$2,2,FALSE),FALSE))),"")</f>
        <v>0.71739130434782605</v>
      </c>
      <c r="K751" s="14" t="str">
        <f>IFERROR((VLOOKUP($A751,'[1]import success seats course'!$A:Y,HLOOKUP('[1]Course Totals'!K$4,'[1]import success seats course'!$1:$2,2,FALSE),FALSE)/(VLOOKUP($A751,'[1]import graded seats course pivo'!$A:AI,HLOOKUP('[1]Course Totals'!K$4,'[1]import graded seats course pivo'!$1:$2,2,FALSE),FALSE))),"")</f>
        <v/>
      </c>
      <c r="L751" s="14">
        <f>IFERROR((VLOOKUP($A751,'[1]import success seats course'!$A:Z,HLOOKUP('[1]Course Totals'!L$4,'[1]import success seats course'!$1:$2,2,FALSE),FALSE)/(VLOOKUP($A751,'[1]import graded seats course pivo'!$A:AJ,HLOOKUP('[1]Course Totals'!L$4,'[1]import graded seats course pivo'!$1:$2,2,FALSE),FALSE))),"")</f>
        <v>0.6470588235294118</v>
      </c>
      <c r="M751" s="14">
        <f>IFERROR((VLOOKUP($A751,'[1]import success seats course'!$A:AA,HLOOKUP('[1]Course Totals'!M$4,'[1]import success seats course'!$1:$2,2,FALSE),FALSE)/(VLOOKUP($A751,'[1]import graded seats course pivo'!$A:AK,HLOOKUP('[1]Course Totals'!M$4,'[1]import graded seats course pivo'!$1:$2,2,FALSE),FALSE))),"")</f>
        <v>0.8</v>
      </c>
      <c r="N751" s="14" t="str">
        <f>IFERROR((VLOOKUP($A751,'[1]import success seats course'!$A:AB,HLOOKUP('[1]Course Totals'!N$4,'[1]import success seats course'!$1:$2,2,FALSE),FALSE)/(VLOOKUP($A751,'[1]import graded seats course pivo'!$A:AL,HLOOKUP('[1]Course Totals'!N$4,'[1]import graded seats course pivo'!$1:$2,2,FALSE),FALSE))),"")</f>
        <v/>
      </c>
      <c r="O751" s="14">
        <f>IFERROR((VLOOKUP($A751,'[1]import success seats course'!$A:AC,HLOOKUP('[1]Course Totals'!O$4,'[1]import success seats course'!$1:$2,2,FALSE),FALSE)/(VLOOKUP($A751,'[1]import graded seats course pivo'!$A:AM,HLOOKUP('[1]Course Totals'!O$4,'[1]import graded seats course pivo'!$1:$2,2,FALSE),FALSE))),"")</f>
        <v>0.66666666666666663</v>
      </c>
      <c r="P751" s="14">
        <f>IFERROR((VLOOKUP($A751,'[1]import success seats course'!$A:AD,HLOOKUP('[1]Course Totals'!P$4,'[1]import success seats course'!$1:$2,2,FALSE),FALSE)/(VLOOKUP($A751,'[1]import graded seats course pivo'!$A:AN,HLOOKUP('[1]Course Totals'!P$4,'[1]import graded seats course pivo'!$1:$2,2,FALSE),FALSE))),"")</f>
        <v>0.80851063829787229</v>
      </c>
      <c r="Q751" s="14" t="str">
        <f>IFERROR((VLOOKUP($A751,'[1]import success seats course'!$A:AE,HLOOKUP('[1]Course Totals'!Q$4,'[1]import success seats course'!$1:$2,2,FALSE),FALSE)/(VLOOKUP($A751,'[1]import graded seats course pivo'!$A:AO,HLOOKUP('[1]Course Totals'!Q$4,'[1]import graded seats course pivo'!$1:$2,2,FALSE),FALSE))),"")</f>
        <v/>
      </c>
      <c r="R751" s="14">
        <f>IFERROR((VLOOKUP($A751,'[1]import success seats course'!$A:AF,HLOOKUP('[1]Course Totals'!R$4,'[1]import success seats course'!$1:$2,2,FALSE),FALSE)/(VLOOKUP($A751,'[1]import graded seats course pivo'!$A:AP,HLOOKUP('[1]Course Totals'!R$4,'[1]import graded seats course pivo'!$1:$2,2,FALSE),FALSE))),"")</f>
        <v>0.75</v>
      </c>
      <c r="S751" s="14">
        <f>IFERROR((VLOOKUP($A751,'[1]import success seats course'!$A:AG,HLOOKUP('[1]Course Totals'!S$4,'[1]import success seats course'!$1:$2,2,FALSE),FALSE)/(VLOOKUP($A751,'[1]import graded seats course pivo'!$A:AQ,HLOOKUP('[1]Course Totals'!S$4,'[1]import graded seats course pivo'!$1:$2,2,FALSE),FALSE))),"")</f>
        <v>1</v>
      </c>
      <c r="Z751" s="7"/>
      <c r="AA751" s="7"/>
      <c r="AB751" s="7"/>
      <c r="AC751" s="7"/>
    </row>
    <row r="752" spans="1:29" ht="15.75" customHeight="1" x14ac:dyDescent="0.25">
      <c r="A752" s="12" t="s">
        <v>345</v>
      </c>
      <c r="B752" s="14">
        <f>IFERROR((VLOOKUP($A752,'[1]import success seats course'!$A:P,HLOOKUP('[1]Course Totals'!B$4,'[1]import success seats course'!$1:$2,2,FALSE),FALSE)/(VLOOKUP($A752,'[1]import graded seats course pivo'!$A:Z,HLOOKUP('[1]Course Totals'!B$4,'[1]import graded seats course pivo'!$1:$2,2,FALSE),FALSE))),"")</f>
        <v>0.85365853658536583</v>
      </c>
      <c r="C752" s="14">
        <f>IFERROR((VLOOKUP($A752,'[1]import success seats course'!$A:Q,HLOOKUP('[1]Course Totals'!C$4,'[1]import success seats course'!$1:$2,2,FALSE),FALSE)/(VLOOKUP($A752,'[1]import graded seats course pivo'!$A:AA,HLOOKUP('[1]Course Totals'!C$4,'[1]import graded seats course pivo'!$1:$2,2,FALSE),FALSE))),"")</f>
        <v>0.8</v>
      </c>
      <c r="D752" s="14">
        <f>IFERROR((VLOOKUP($A752,'[1]import success seats course'!$A:R,HLOOKUP('[1]Course Totals'!D$4,'[1]import success seats course'!$1:$2,2,FALSE),FALSE)/(VLOOKUP($A752,'[1]import graded seats course pivo'!$A:AB,HLOOKUP('[1]Course Totals'!D$4,'[1]import graded seats course pivo'!$1:$2,2,FALSE),FALSE))),"")</f>
        <v>0.84732824427480913</v>
      </c>
      <c r="E752" s="14">
        <f>IFERROR((VLOOKUP($A752,'[1]import success seats course'!$A:S,HLOOKUP('[1]Course Totals'!E$4,'[1]import success seats course'!$1:$2,2,FALSE),FALSE)/(VLOOKUP($A752,'[1]import graded seats course pivo'!$A:AC,HLOOKUP('[1]Course Totals'!E$4,'[1]import graded seats course pivo'!$1:$2,2,FALSE),FALSE))),"")</f>
        <v>0.95</v>
      </c>
      <c r="F752" s="14">
        <f>IFERROR((VLOOKUP($A752,'[1]import success seats course'!$A:T,HLOOKUP('[1]Course Totals'!F$4,'[1]import success seats course'!$1:$2,2,FALSE),FALSE)/(VLOOKUP($A752,'[1]import graded seats course pivo'!$A:AD,HLOOKUP('[1]Course Totals'!F$4,'[1]import graded seats course pivo'!$1:$2,2,FALSE),FALSE))),"")</f>
        <v>0.72463768115942029</v>
      </c>
      <c r="G752" s="14">
        <f>IFERROR((VLOOKUP($A752,'[1]import success seats course'!$A:U,HLOOKUP('[1]Course Totals'!G$4,'[1]import success seats course'!$1:$2,2,FALSE),FALSE)/(VLOOKUP($A752,'[1]import graded seats course pivo'!$A:AE,HLOOKUP('[1]Course Totals'!G$4,'[1]import graded seats course pivo'!$1:$2,2,FALSE),FALSE))),"")</f>
        <v>0.77777777777777779</v>
      </c>
      <c r="H752" s="14">
        <f>IFERROR((VLOOKUP($A752,'[1]import success seats course'!$A:V,HLOOKUP('[1]Course Totals'!H$4,'[1]import success seats course'!$1:$2,2,FALSE),FALSE)/(VLOOKUP($A752,'[1]import graded seats course pivo'!$A:AF,HLOOKUP('[1]Course Totals'!H$4,'[1]import graded seats course pivo'!$1:$2,2,FALSE),FALSE))),"")</f>
        <v>0.95454545454545459</v>
      </c>
      <c r="I752" s="14">
        <f>IFERROR((VLOOKUP($A752,'[1]import success seats course'!$A:W,HLOOKUP('[1]Course Totals'!I$4,'[1]import success seats course'!$1:$2,2,FALSE),FALSE)/(VLOOKUP($A752,'[1]import graded seats course pivo'!$A:AG,HLOOKUP('[1]Course Totals'!I$4,'[1]import graded seats course pivo'!$1:$2,2,FALSE),FALSE))),"")</f>
        <v>0.84285714285714286</v>
      </c>
      <c r="J752" s="14">
        <f>IFERROR((VLOOKUP($A752,'[1]import success seats course'!$A:X,HLOOKUP('[1]Course Totals'!J$4,'[1]import success seats course'!$1:$2,2,FALSE),FALSE)/(VLOOKUP($A752,'[1]import graded seats course pivo'!$A:AH,HLOOKUP('[1]Course Totals'!J$4,'[1]import graded seats course pivo'!$1:$2,2,FALSE),FALSE))),"")</f>
        <v>0.84210526315789469</v>
      </c>
      <c r="K752" s="14" t="str">
        <f>IFERROR((VLOOKUP($A752,'[1]import success seats course'!$A:Y,HLOOKUP('[1]Course Totals'!K$4,'[1]import success seats course'!$1:$2,2,FALSE),FALSE)/(VLOOKUP($A752,'[1]import graded seats course pivo'!$A:AI,HLOOKUP('[1]Course Totals'!K$4,'[1]import graded seats course pivo'!$1:$2,2,FALSE),FALSE))),"")</f>
        <v/>
      </c>
      <c r="L752" s="14">
        <f>IFERROR((VLOOKUP($A752,'[1]import success seats course'!$A:Z,HLOOKUP('[1]Course Totals'!L$4,'[1]import success seats course'!$1:$2,2,FALSE),FALSE)/(VLOOKUP($A752,'[1]import graded seats course pivo'!$A:AJ,HLOOKUP('[1]Course Totals'!L$4,'[1]import graded seats course pivo'!$1:$2,2,FALSE),FALSE))),"")</f>
        <v>0.82608695652173914</v>
      </c>
      <c r="M752" s="14">
        <f>IFERROR((VLOOKUP($A752,'[1]import success seats course'!$A:AA,HLOOKUP('[1]Course Totals'!M$4,'[1]import success seats course'!$1:$2,2,FALSE),FALSE)/(VLOOKUP($A752,'[1]import graded seats course pivo'!$A:AK,HLOOKUP('[1]Course Totals'!M$4,'[1]import graded seats course pivo'!$1:$2,2,FALSE),FALSE))),"")</f>
        <v>0.85</v>
      </c>
      <c r="N752" s="14" t="str">
        <f>IFERROR((VLOOKUP($A752,'[1]import success seats course'!$A:AB,HLOOKUP('[1]Course Totals'!N$4,'[1]import success seats course'!$1:$2,2,FALSE),FALSE)/(VLOOKUP($A752,'[1]import graded seats course pivo'!$A:AL,HLOOKUP('[1]Course Totals'!N$4,'[1]import graded seats course pivo'!$1:$2,2,FALSE),FALSE))),"")</f>
        <v/>
      </c>
      <c r="O752" s="14">
        <f>IFERROR((VLOOKUP($A752,'[1]import success seats course'!$A:AC,HLOOKUP('[1]Course Totals'!O$4,'[1]import success seats course'!$1:$2,2,FALSE),FALSE)/(VLOOKUP($A752,'[1]import graded seats course pivo'!$A:AM,HLOOKUP('[1]Course Totals'!O$4,'[1]import graded seats course pivo'!$1:$2,2,FALSE),FALSE))),"")</f>
        <v>0.7567567567567568</v>
      </c>
      <c r="P752" s="14">
        <f>IFERROR((VLOOKUP($A752,'[1]import success seats course'!$A:AD,HLOOKUP('[1]Course Totals'!P$4,'[1]import success seats course'!$1:$2,2,FALSE),FALSE)/(VLOOKUP($A752,'[1]import graded seats course pivo'!$A:AN,HLOOKUP('[1]Course Totals'!P$4,'[1]import graded seats course pivo'!$1:$2,2,FALSE),FALSE))),"")</f>
        <v>0.94871794871794868</v>
      </c>
      <c r="Q752" s="14" t="str">
        <f>IFERROR((VLOOKUP($A752,'[1]import success seats course'!$A:AE,HLOOKUP('[1]Course Totals'!Q$4,'[1]import success seats course'!$1:$2,2,FALSE),FALSE)/(VLOOKUP($A752,'[1]import graded seats course pivo'!$A:AO,HLOOKUP('[1]Course Totals'!Q$4,'[1]import graded seats course pivo'!$1:$2,2,FALSE),FALSE))),"")</f>
        <v/>
      </c>
      <c r="R752" s="14">
        <f>IFERROR((VLOOKUP($A752,'[1]import success seats course'!$A:AF,HLOOKUP('[1]Course Totals'!R$4,'[1]import success seats course'!$1:$2,2,FALSE),FALSE)/(VLOOKUP($A752,'[1]import graded seats course pivo'!$A:AP,HLOOKUP('[1]Course Totals'!R$4,'[1]import graded seats course pivo'!$1:$2,2,FALSE),FALSE))),"")</f>
        <v>0.51666666666666672</v>
      </c>
      <c r="S752" s="14">
        <f>IFERROR((VLOOKUP($A752,'[1]import success seats course'!$A:AG,HLOOKUP('[1]Course Totals'!S$4,'[1]import success seats course'!$1:$2,2,FALSE),FALSE)/(VLOOKUP($A752,'[1]import graded seats course pivo'!$A:AQ,HLOOKUP('[1]Course Totals'!S$4,'[1]import graded seats course pivo'!$1:$2,2,FALSE),FALSE))),"")</f>
        <v>0.89830508474576276</v>
      </c>
      <c r="Z752" s="7"/>
      <c r="AA752" s="7"/>
      <c r="AB752" s="7"/>
      <c r="AC752" s="7"/>
    </row>
    <row r="753" spans="1:29" ht="15.75" customHeight="1" x14ac:dyDescent="0.25">
      <c r="A753" s="12" t="s">
        <v>346</v>
      </c>
      <c r="B753" s="14" t="str">
        <f>IFERROR((VLOOKUP($A753,'[1]import success seats course'!$A:P,HLOOKUP('[1]Course Totals'!B$4,'[1]import success seats course'!$1:$2,2,FALSE),FALSE)/(VLOOKUP($A753,'[1]import graded seats course pivo'!$A:Z,HLOOKUP('[1]Course Totals'!B$4,'[1]import graded seats course pivo'!$1:$2,2,FALSE),FALSE))),"")</f>
        <v/>
      </c>
      <c r="C753" s="14">
        <f>IFERROR((VLOOKUP($A753,'[1]import success seats course'!$A:Q,HLOOKUP('[1]Course Totals'!C$4,'[1]import success seats course'!$1:$2,2,FALSE),FALSE)/(VLOOKUP($A753,'[1]import graded seats course pivo'!$A:AA,HLOOKUP('[1]Course Totals'!C$4,'[1]import graded seats course pivo'!$1:$2,2,FALSE),FALSE))),"")</f>
        <v>0.5</v>
      </c>
      <c r="D753" s="14">
        <f>IFERROR((VLOOKUP($A753,'[1]import success seats course'!$A:R,HLOOKUP('[1]Course Totals'!D$4,'[1]import success seats course'!$1:$2,2,FALSE),FALSE)/(VLOOKUP($A753,'[1]import graded seats course pivo'!$A:AB,HLOOKUP('[1]Course Totals'!D$4,'[1]import graded seats course pivo'!$1:$2,2,FALSE),FALSE))),"")</f>
        <v>1</v>
      </c>
      <c r="E753" s="14" t="str">
        <f>IFERROR((VLOOKUP($A753,'[1]import success seats course'!$A:S,HLOOKUP('[1]Course Totals'!E$4,'[1]import success seats course'!$1:$2,2,FALSE),FALSE)/(VLOOKUP($A753,'[1]import graded seats course pivo'!$A:AC,HLOOKUP('[1]Course Totals'!E$4,'[1]import graded seats course pivo'!$1:$2,2,FALSE),FALSE))),"")</f>
        <v/>
      </c>
      <c r="F753" s="14" t="str">
        <f>IFERROR((VLOOKUP($A753,'[1]import success seats course'!$A:T,HLOOKUP('[1]Course Totals'!F$4,'[1]import success seats course'!$1:$2,2,FALSE),FALSE)/(VLOOKUP($A753,'[1]import graded seats course pivo'!$A:AD,HLOOKUP('[1]Course Totals'!F$4,'[1]import graded seats course pivo'!$1:$2,2,FALSE),FALSE))),"")</f>
        <v/>
      </c>
      <c r="G753" s="14">
        <f>IFERROR((VLOOKUP($A753,'[1]import success seats course'!$A:U,HLOOKUP('[1]Course Totals'!G$4,'[1]import success seats course'!$1:$2,2,FALSE),FALSE)/(VLOOKUP($A753,'[1]import graded seats course pivo'!$A:AE,HLOOKUP('[1]Course Totals'!G$4,'[1]import graded seats course pivo'!$1:$2,2,FALSE),FALSE))),"")</f>
        <v>1</v>
      </c>
      <c r="H753" s="14" t="str">
        <f>IFERROR((VLOOKUP($A753,'[1]import success seats course'!$A:V,HLOOKUP('[1]Course Totals'!H$4,'[1]import success seats course'!$1:$2,2,FALSE),FALSE)/(VLOOKUP($A753,'[1]import graded seats course pivo'!$A:AF,HLOOKUP('[1]Course Totals'!H$4,'[1]import graded seats course pivo'!$1:$2,2,FALSE),FALSE))),"")</f>
        <v/>
      </c>
      <c r="I753" s="14" t="str">
        <f>IFERROR((VLOOKUP($A753,'[1]import success seats course'!$A:W,HLOOKUP('[1]Course Totals'!I$4,'[1]import success seats course'!$1:$2,2,FALSE),FALSE)/(VLOOKUP($A753,'[1]import graded seats course pivo'!$A:AG,HLOOKUP('[1]Course Totals'!I$4,'[1]import graded seats course pivo'!$1:$2,2,FALSE),FALSE))),"")</f>
        <v/>
      </c>
      <c r="J753" s="14" t="str">
        <f>IFERROR((VLOOKUP($A753,'[1]import success seats course'!$A:X,HLOOKUP('[1]Course Totals'!J$4,'[1]import success seats course'!$1:$2,2,FALSE),FALSE)/(VLOOKUP($A753,'[1]import graded seats course pivo'!$A:AH,HLOOKUP('[1]Course Totals'!J$4,'[1]import graded seats course pivo'!$1:$2,2,FALSE),FALSE))),"")</f>
        <v/>
      </c>
      <c r="K753" s="14" t="str">
        <f>IFERROR((VLOOKUP($A753,'[1]import success seats course'!$A:Y,HLOOKUP('[1]Course Totals'!K$4,'[1]import success seats course'!$1:$2,2,FALSE),FALSE)/(VLOOKUP($A753,'[1]import graded seats course pivo'!$A:AI,HLOOKUP('[1]Course Totals'!K$4,'[1]import graded seats course pivo'!$1:$2,2,FALSE),FALSE))),"")</f>
        <v/>
      </c>
      <c r="L753" s="14" t="str">
        <f>IFERROR((VLOOKUP($A753,'[1]import success seats course'!$A:Z,HLOOKUP('[1]Course Totals'!L$4,'[1]import success seats course'!$1:$2,2,FALSE),FALSE)/(VLOOKUP($A753,'[1]import graded seats course pivo'!$A:AJ,HLOOKUP('[1]Course Totals'!L$4,'[1]import graded seats course pivo'!$1:$2,2,FALSE),FALSE))),"")</f>
        <v/>
      </c>
      <c r="M753" s="14" t="str">
        <f>IFERROR((VLOOKUP($A753,'[1]import success seats course'!$A:AA,HLOOKUP('[1]Course Totals'!M$4,'[1]import success seats course'!$1:$2,2,FALSE),FALSE)/(VLOOKUP($A753,'[1]import graded seats course pivo'!$A:AK,HLOOKUP('[1]Course Totals'!M$4,'[1]import graded seats course pivo'!$1:$2,2,FALSE),FALSE))),"")</f>
        <v/>
      </c>
      <c r="N753" s="14" t="str">
        <f>IFERROR((VLOOKUP($A753,'[1]import success seats course'!$A:AB,HLOOKUP('[1]Course Totals'!N$4,'[1]import success seats course'!$1:$2,2,FALSE),FALSE)/(VLOOKUP($A753,'[1]import graded seats course pivo'!$A:AL,HLOOKUP('[1]Course Totals'!N$4,'[1]import graded seats course pivo'!$1:$2,2,FALSE),FALSE))),"")</f>
        <v/>
      </c>
      <c r="O753" s="14" t="str">
        <f>IFERROR((VLOOKUP($A753,'[1]import success seats course'!$A:AC,HLOOKUP('[1]Course Totals'!O$4,'[1]import success seats course'!$1:$2,2,FALSE),FALSE)/(VLOOKUP($A753,'[1]import graded seats course pivo'!$A:AM,HLOOKUP('[1]Course Totals'!O$4,'[1]import graded seats course pivo'!$1:$2,2,FALSE),FALSE))),"")</f>
        <v/>
      </c>
      <c r="P753" s="14" t="str">
        <f>IFERROR((VLOOKUP($A753,'[1]import success seats course'!$A:AD,HLOOKUP('[1]Course Totals'!P$4,'[1]import success seats course'!$1:$2,2,FALSE),FALSE)/(VLOOKUP($A753,'[1]import graded seats course pivo'!$A:AN,HLOOKUP('[1]Course Totals'!P$4,'[1]import graded seats course pivo'!$1:$2,2,FALSE),FALSE))),"")</f>
        <v/>
      </c>
      <c r="Q753" s="14" t="str">
        <f>IFERROR((VLOOKUP($A753,'[1]import success seats course'!$A:AE,HLOOKUP('[1]Course Totals'!Q$4,'[1]import success seats course'!$1:$2,2,FALSE),FALSE)/(VLOOKUP($A753,'[1]import graded seats course pivo'!$A:AO,HLOOKUP('[1]Course Totals'!Q$4,'[1]import graded seats course pivo'!$1:$2,2,FALSE),FALSE))),"")</f>
        <v/>
      </c>
      <c r="R753" s="14" t="str">
        <f>IFERROR((VLOOKUP($A753,'[1]import success seats course'!$A:AF,HLOOKUP('[1]Course Totals'!R$4,'[1]import success seats course'!$1:$2,2,FALSE),FALSE)/(VLOOKUP($A753,'[1]import graded seats course pivo'!$A:AP,HLOOKUP('[1]Course Totals'!R$4,'[1]import graded seats course pivo'!$1:$2,2,FALSE),FALSE))),"")</f>
        <v/>
      </c>
      <c r="S753" s="14" t="str">
        <f>IFERROR((VLOOKUP($A753,'[1]import success seats course'!$A:AG,HLOOKUP('[1]Course Totals'!S$4,'[1]import success seats course'!$1:$2,2,FALSE),FALSE)/(VLOOKUP($A753,'[1]import graded seats course pivo'!$A:AQ,HLOOKUP('[1]Course Totals'!S$4,'[1]import graded seats course pivo'!$1:$2,2,FALSE),FALSE))),"")</f>
        <v/>
      </c>
      <c r="Z753" s="7"/>
      <c r="AA753" s="7"/>
      <c r="AB753" s="7"/>
      <c r="AC753" s="7"/>
    </row>
    <row r="754" spans="1:29" ht="15.75" customHeight="1" x14ac:dyDescent="0.25">
      <c r="A754" s="12" t="s">
        <v>347</v>
      </c>
      <c r="B754" s="14" t="str">
        <f>IFERROR((VLOOKUP($A754,'[1]import success seats course'!$A:P,HLOOKUP('[1]Course Totals'!B$4,'[1]import success seats course'!$1:$2,2,FALSE),FALSE)/(VLOOKUP($A754,'[1]import graded seats course pivo'!$A:Z,HLOOKUP('[1]Course Totals'!B$4,'[1]import graded seats course pivo'!$1:$2,2,FALSE),FALSE))),"")</f>
        <v/>
      </c>
      <c r="C754" s="14">
        <f>IFERROR((VLOOKUP($A754,'[1]import success seats course'!$A:Q,HLOOKUP('[1]Course Totals'!C$4,'[1]import success seats course'!$1:$2,2,FALSE),FALSE)/(VLOOKUP($A754,'[1]import graded seats course pivo'!$A:AA,HLOOKUP('[1]Course Totals'!C$4,'[1]import graded seats course pivo'!$1:$2,2,FALSE),FALSE))),"")</f>
        <v>0.75</v>
      </c>
      <c r="D754" s="14" t="str">
        <f>IFERROR((VLOOKUP($A754,'[1]import success seats course'!$A:R,HLOOKUP('[1]Course Totals'!D$4,'[1]import success seats course'!$1:$2,2,FALSE),FALSE)/(VLOOKUP($A754,'[1]import graded seats course pivo'!$A:AB,HLOOKUP('[1]Course Totals'!D$4,'[1]import graded seats course pivo'!$1:$2,2,FALSE),FALSE))),"")</f>
        <v/>
      </c>
      <c r="E754" s="14" t="str">
        <f>IFERROR((VLOOKUP($A754,'[1]import success seats course'!$A:S,HLOOKUP('[1]Course Totals'!E$4,'[1]import success seats course'!$1:$2,2,FALSE),FALSE)/(VLOOKUP($A754,'[1]import graded seats course pivo'!$A:AC,HLOOKUP('[1]Course Totals'!E$4,'[1]import graded seats course pivo'!$1:$2,2,FALSE),FALSE))),"")</f>
        <v/>
      </c>
      <c r="F754" s="14">
        <f>IFERROR((VLOOKUP($A754,'[1]import success seats course'!$A:T,HLOOKUP('[1]Course Totals'!F$4,'[1]import success seats course'!$1:$2,2,FALSE),FALSE)/(VLOOKUP($A754,'[1]import graded seats course pivo'!$A:AD,HLOOKUP('[1]Course Totals'!F$4,'[1]import graded seats course pivo'!$1:$2,2,FALSE),FALSE))),"")</f>
        <v>0.79166666666666663</v>
      </c>
      <c r="G754" s="14" t="str">
        <f>IFERROR((VLOOKUP($A754,'[1]import success seats course'!$A:U,HLOOKUP('[1]Course Totals'!G$4,'[1]import success seats course'!$1:$2,2,FALSE),FALSE)/(VLOOKUP($A754,'[1]import graded seats course pivo'!$A:AE,HLOOKUP('[1]Course Totals'!G$4,'[1]import graded seats course pivo'!$1:$2,2,FALSE),FALSE))),"")</f>
        <v/>
      </c>
      <c r="H754" s="14" t="str">
        <f>IFERROR((VLOOKUP($A754,'[1]import success seats course'!$A:V,HLOOKUP('[1]Course Totals'!H$4,'[1]import success seats course'!$1:$2,2,FALSE),FALSE)/(VLOOKUP($A754,'[1]import graded seats course pivo'!$A:AF,HLOOKUP('[1]Course Totals'!H$4,'[1]import graded seats course pivo'!$1:$2,2,FALSE),FALSE))),"")</f>
        <v/>
      </c>
      <c r="I754" s="14">
        <f>IFERROR((VLOOKUP($A754,'[1]import success seats course'!$A:W,HLOOKUP('[1]Course Totals'!I$4,'[1]import success seats course'!$1:$2,2,FALSE),FALSE)/(VLOOKUP($A754,'[1]import graded seats course pivo'!$A:AG,HLOOKUP('[1]Course Totals'!I$4,'[1]import graded seats course pivo'!$1:$2,2,FALSE),FALSE))),"")</f>
        <v>0.7</v>
      </c>
      <c r="J754" s="14" t="str">
        <f>IFERROR((VLOOKUP($A754,'[1]import success seats course'!$A:X,HLOOKUP('[1]Course Totals'!J$4,'[1]import success seats course'!$1:$2,2,FALSE),FALSE)/(VLOOKUP($A754,'[1]import graded seats course pivo'!$A:AH,HLOOKUP('[1]Course Totals'!J$4,'[1]import graded seats course pivo'!$1:$2,2,FALSE),FALSE))),"")</f>
        <v/>
      </c>
      <c r="K754" s="14" t="str">
        <f>IFERROR((VLOOKUP($A754,'[1]import success seats course'!$A:Y,HLOOKUP('[1]Course Totals'!K$4,'[1]import success seats course'!$1:$2,2,FALSE),FALSE)/(VLOOKUP($A754,'[1]import graded seats course pivo'!$A:AI,HLOOKUP('[1]Course Totals'!K$4,'[1]import graded seats course pivo'!$1:$2,2,FALSE),FALSE))),"")</f>
        <v/>
      </c>
      <c r="L754" s="14">
        <f>IFERROR((VLOOKUP($A754,'[1]import success seats course'!$A:Z,HLOOKUP('[1]Course Totals'!L$4,'[1]import success seats course'!$1:$2,2,FALSE),FALSE)/(VLOOKUP($A754,'[1]import graded seats course pivo'!$A:AJ,HLOOKUP('[1]Course Totals'!L$4,'[1]import graded seats course pivo'!$1:$2,2,FALSE),FALSE))),"")</f>
        <v>0.8928571428571429</v>
      </c>
      <c r="M754" s="14" t="str">
        <f>IFERROR((VLOOKUP($A754,'[1]import success seats course'!$A:AA,HLOOKUP('[1]Course Totals'!M$4,'[1]import success seats course'!$1:$2,2,FALSE),FALSE)/(VLOOKUP($A754,'[1]import graded seats course pivo'!$A:AK,HLOOKUP('[1]Course Totals'!M$4,'[1]import graded seats course pivo'!$1:$2,2,FALSE),FALSE))),"")</f>
        <v/>
      </c>
      <c r="N754" s="14" t="str">
        <f>IFERROR((VLOOKUP($A754,'[1]import success seats course'!$A:AB,HLOOKUP('[1]Course Totals'!N$4,'[1]import success seats course'!$1:$2,2,FALSE),FALSE)/(VLOOKUP($A754,'[1]import graded seats course pivo'!$A:AL,HLOOKUP('[1]Course Totals'!N$4,'[1]import graded seats course pivo'!$1:$2,2,FALSE),FALSE))),"")</f>
        <v/>
      </c>
      <c r="O754" s="14" t="str">
        <f>IFERROR((VLOOKUP($A754,'[1]import success seats course'!$A:AC,HLOOKUP('[1]Course Totals'!O$4,'[1]import success seats course'!$1:$2,2,FALSE),FALSE)/(VLOOKUP($A754,'[1]import graded seats course pivo'!$A:AM,HLOOKUP('[1]Course Totals'!O$4,'[1]import graded seats course pivo'!$1:$2,2,FALSE),FALSE))),"")</f>
        <v/>
      </c>
      <c r="P754" s="14" t="str">
        <f>IFERROR((VLOOKUP($A754,'[1]import success seats course'!$A:AD,HLOOKUP('[1]Course Totals'!P$4,'[1]import success seats course'!$1:$2,2,FALSE),FALSE)/(VLOOKUP($A754,'[1]import graded seats course pivo'!$A:AN,HLOOKUP('[1]Course Totals'!P$4,'[1]import graded seats course pivo'!$1:$2,2,FALSE),FALSE))),"")</f>
        <v/>
      </c>
      <c r="Q754" s="14" t="str">
        <f>IFERROR((VLOOKUP($A754,'[1]import success seats course'!$A:AE,HLOOKUP('[1]Course Totals'!Q$4,'[1]import success seats course'!$1:$2,2,FALSE),FALSE)/(VLOOKUP($A754,'[1]import graded seats course pivo'!$A:AO,HLOOKUP('[1]Course Totals'!Q$4,'[1]import graded seats course pivo'!$1:$2,2,FALSE),FALSE))),"")</f>
        <v/>
      </c>
      <c r="R754" s="14" t="str">
        <f>IFERROR((VLOOKUP($A754,'[1]import success seats course'!$A:AF,HLOOKUP('[1]Course Totals'!R$4,'[1]import success seats course'!$1:$2,2,FALSE),FALSE)/(VLOOKUP($A754,'[1]import graded seats course pivo'!$A:AP,HLOOKUP('[1]Course Totals'!R$4,'[1]import graded seats course pivo'!$1:$2,2,FALSE),FALSE))),"")</f>
        <v/>
      </c>
      <c r="S754" s="14" t="str">
        <f>IFERROR((VLOOKUP($A754,'[1]import success seats course'!$A:AG,HLOOKUP('[1]Course Totals'!S$4,'[1]import success seats course'!$1:$2,2,FALSE),FALSE)/(VLOOKUP($A754,'[1]import graded seats course pivo'!$A:AQ,HLOOKUP('[1]Course Totals'!S$4,'[1]import graded seats course pivo'!$1:$2,2,FALSE),FALSE))),"")</f>
        <v/>
      </c>
      <c r="Z754" s="7"/>
      <c r="AA754" s="7"/>
      <c r="AB754" s="7"/>
      <c r="AC754" s="7"/>
    </row>
    <row r="755" spans="1:29" ht="15.75" customHeight="1" x14ac:dyDescent="0.25">
      <c r="A755" s="12" t="s">
        <v>927</v>
      </c>
      <c r="B755" s="14" t="str">
        <f>IFERROR((VLOOKUP($A755,'[1]import success seats course'!$A:P,HLOOKUP('[1]Course Totals'!B$4,'[1]import success seats course'!$1:$2,2,FALSE),FALSE)/(VLOOKUP($A755,'[1]import graded seats course pivo'!$A:Z,HLOOKUP('[1]Course Totals'!B$4,'[1]import graded seats course pivo'!$1:$2,2,FALSE),FALSE))),"")</f>
        <v/>
      </c>
      <c r="C755" s="14" t="str">
        <f>IFERROR((VLOOKUP($A755,'[1]import success seats course'!$A:Q,HLOOKUP('[1]Course Totals'!C$4,'[1]import success seats course'!$1:$2,2,FALSE),FALSE)/(VLOOKUP($A755,'[1]import graded seats course pivo'!$A:AA,HLOOKUP('[1]Course Totals'!C$4,'[1]import graded seats course pivo'!$1:$2,2,FALSE),FALSE))),"")</f>
        <v/>
      </c>
      <c r="D755" s="14">
        <f>IFERROR((VLOOKUP($A755,'[1]import success seats course'!$A:R,HLOOKUP('[1]Course Totals'!D$4,'[1]import success seats course'!$1:$2,2,FALSE),FALSE)/(VLOOKUP($A755,'[1]import graded seats course pivo'!$A:AB,HLOOKUP('[1]Course Totals'!D$4,'[1]import graded seats course pivo'!$1:$2,2,FALSE),FALSE))),"")</f>
        <v>1</v>
      </c>
      <c r="E755" s="14" t="str">
        <f>IFERROR((VLOOKUP($A755,'[1]import success seats course'!$A:S,HLOOKUP('[1]Course Totals'!E$4,'[1]import success seats course'!$1:$2,2,FALSE),FALSE)/(VLOOKUP($A755,'[1]import graded seats course pivo'!$A:AC,HLOOKUP('[1]Course Totals'!E$4,'[1]import graded seats course pivo'!$1:$2,2,FALSE),FALSE))),"")</f>
        <v/>
      </c>
      <c r="F755" s="14" t="str">
        <f>IFERROR((VLOOKUP($A755,'[1]import success seats course'!$A:T,HLOOKUP('[1]Course Totals'!F$4,'[1]import success seats course'!$1:$2,2,FALSE),FALSE)/(VLOOKUP($A755,'[1]import graded seats course pivo'!$A:AD,HLOOKUP('[1]Course Totals'!F$4,'[1]import graded seats course pivo'!$1:$2,2,FALSE),FALSE))),"")</f>
        <v/>
      </c>
      <c r="G755" s="14">
        <f>IFERROR((VLOOKUP($A755,'[1]import success seats course'!$A:U,HLOOKUP('[1]Course Totals'!G$4,'[1]import success seats course'!$1:$2,2,FALSE),FALSE)/(VLOOKUP($A755,'[1]import graded seats course pivo'!$A:AE,HLOOKUP('[1]Course Totals'!G$4,'[1]import graded seats course pivo'!$1:$2,2,FALSE),FALSE))),"")</f>
        <v>1</v>
      </c>
      <c r="H755" s="14" t="str">
        <f>IFERROR((VLOOKUP($A755,'[1]import success seats course'!$A:V,HLOOKUP('[1]Course Totals'!H$4,'[1]import success seats course'!$1:$2,2,FALSE),FALSE)/(VLOOKUP($A755,'[1]import graded seats course pivo'!$A:AF,HLOOKUP('[1]Course Totals'!H$4,'[1]import graded seats course pivo'!$1:$2,2,FALSE),FALSE))),"")</f>
        <v/>
      </c>
      <c r="I755" s="14" t="str">
        <f>IFERROR((VLOOKUP($A755,'[1]import success seats course'!$A:W,HLOOKUP('[1]Course Totals'!I$4,'[1]import success seats course'!$1:$2,2,FALSE),FALSE)/(VLOOKUP($A755,'[1]import graded seats course pivo'!$A:AG,HLOOKUP('[1]Course Totals'!I$4,'[1]import graded seats course pivo'!$1:$2,2,FALSE),FALSE))),"")</f>
        <v/>
      </c>
      <c r="J755" s="14">
        <f>IFERROR((VLOOKUP($A755,'[1]import success seats course'!$A:X,HLOOKUP('[1]Course Totals'!J$4,'[1]import success seats course'!$1:$2,2,FALSE),FALSE)/(VLOOKUP($A755,'[1]import graded seats course pivo'!$A:AH,HLOOKUP('[1]Course Totals'!J$4,'[1]import graded seats course pivo'!$1:$2,2,FALSE),FALSE))),"")</f>
        <v>1</v>
      </c>
      <c r="K755" s="14" t="str">
        <f>IFERROR((VLOOKUP($A755,'[1]import success seats course'!$A:Y,HLOOKUP('[1]Course Totals'!K$4,'[1]import success seats course'!$1:$2,2,FALSE),FALSE)/(VLOOKUP($A755,'[1]import graded seats course pivo'!$A:AI,HLOOKUP('[1]Course Totals'!K$4,'[1]import graded seats course pivo'!$1:$2,2,FALSE),FALSE))),"")</f>
        <v/>
      </c>
      <c r="L755" s="14" t="str">
        <f>IFERROR((VLOOKUP($A755,'[1]import success seats course'!$A:Z,HLOOKUP('[1]Course Totals'!L$4,'[1]import success seats course'!$1:$2,2,FALSE),FALSE)/(VLOOKUP($A755,'[1]import graded seats course pivo'!$A:AJ,HLOOKUP('[1]Course Totals'!L$4,'[1]import graded seats course pivo'!$1:$2,2,FALSE),FALSE))),"")</f>
        <v/>
      </c>
      <c r="M755" s="14">
        <f>IFERROR((VLOOKUP($A755,'[1]import success seats course'!$A:AA,HLOOKUP('[1]Course Totals'!M$4,'[1]import success seats course'!$1:$2,2,FALSE),FALSE)/(VLOOKUP($A755,'[1]import graded seats course pivo'!$A:AK,HLOOKUP('[1]Course Totals'!M$4,'[1]import graded seats course pivo'!$1:$2,2,FALSE),FALSE))),"")</f>
        <v>0.91666666666666663</v>
      </c>
      <c r="N755" s="14" t="str">
        <f>IFERROR((VLOOKUP($A755,'[1]import success seats course'!$A:AB,HLOOKUP('[1]Course Totals'!N$4,'[1]import success seats course'!$1:$2,2,FALSE),FALSE)/(VLOOKUP($A755,'[1]import graded seats course pivo'!$A:AL,HLOOKUP('[1]Course Totals'!N$4,'[1]import graded seats course pivo'!$1:$2,2,FALSE),FALSE))),"")</f>
        <v/>
      </c>
      <c r="O755" s="14" t="str">
        <f>IFERROR((VLOOKUP($A755,'[1]import success seats course'!$A:AC,HLOOKUP('[1]Course Totals'!O$4,'[1]import success seats course'!$1:$2,2,FALSE),FALSE)/(VLOOKUP($A755,'[1]import graded seats course pivo'!$A:AM,HLOOKUP('[1]Course Totals'!O$4,'[1]import graded seats course pivo'!$1:$2,2,FALSE),FALSE))),"")</f>
        <v/>
      </c>
      <c r="P755" s="14" t="str">
        <f>IFERROR((VLOOKUP($A755,'[1]import success seats course'!$A:AD,HLOOKUP('[1]Course Totals'!P$4,'[1]import success seats course'!$1:$2,2,FALSE),FALSE)/(VLOOKUP($A755,'[1]import graded seats course pivo'!$A:AN,HLOOKUP('[1]Course Totals'!P$4,'[1]import graded seats course pivo'!$1:$2,2,FALSE),FALSE))),"")</f>
        <v/>
      </c>
      <c r="Q755" s="14" t="str">
        <f>IFERROR((VLOOKUP($A755,'[1]import success seats course'!$A:AE,HLOOKUP('[1]Course Totals'!Q$4,'[1]import success seats course'!$1:$2,2,FALSE),FALSE)/(VLOOKUP($A755,'[1]import graded seats course pivo'!$A:AO,HLOOKUP('[1]Course Totals'!Q$4,'[1]import graded seats course pivo'!$1:$2,2,FALSE),FALSE))),"")</f>
        <v/>
      </c>
      <c r="R755" s="14" t="str">
        <f>IFERROR((VLOOKUP($A755,'[1]import success seats course'!$A:AF,HLOOKUP('[1]Course Totals'!R$4,'[1]import success seats course'!$1:$2,2,FALSE),FALSE)/(VLOOKUP($A755,'[1]import graded seats course pivo'!$A:AP,HLOOKUP('[1]Course Totals'!R$4,'[1]import graded seats course pivo'!$1:$2,2,FALSE),FALSE))),"")</f>
        <v/>
      </c>
      <c r="S755" s="14" t="str">
        <f>IFERROR((VLOOKUP($A755,'[1]import success seats course'!$A:AG,HLOOKUP('[1]Course Totals'!S$4,'[1]import success seats course'!$1:$2,2,FALSE),FALSE)/(VLOOKUP($A755,'[1]import graded seats course pivo'!$A:AQ,HLOOKUP('[1]Course Totals'!S$4,'[1]import graded seats course pivo'!$1:$2,2,FALSE),FALSE))),"")</f>
        <v/>
      </c>
      <c r="Z755" s="7"/>
      <c r="AA755" s="7"/>
      <c r="AB755" s="7"/>
      <c r="AC755" s="7"/>
    </row>
    <row r="756" spans="1:29" ht="15.75" customHeight="1" x14ac:dyDescent="0.25">
      <c r="A756" s="12" t="s">
        <v>348</v>
      </c>
      <c r="B756" s="14">
        <f>IFERROR((VLOOKUP($A756,'[1]import success seats course'!$A:P,HLOOKUP('[1]Course Totals'!B$4,'[1]import success seats course'!$1:$2,2,FALSE),FALSE)/(VLOOKUP($A756,'[1]import graded seats course pivo'!$A:Z,HLOOKUP('[1]Course Totals'!B$4,'[1]import graded seats course pivo'!$1:$2,2,FALSE),FALSE))),"")</f>
        <v>0.61538461538461542</v>
      </c>
      <c r="C756" s="14">
        <f>IFERROR((VLOOKUP($A756,'[1]import success seats course'!$A:Q,HLOOKUP('[1]Course Totals'!C$4,'[1]import success seats course'!$1:$2,2,FALSE),FALSE)/(VLOOKUP($A756,'[1]import graded seats course pivo'!$A:AA,HLOOKUP('[1]Course Totals'!C$4,'[1]import graded seats course pivo'!$1:$2,2,FALSE),FALSE))),"")</f>
        <v>0.74576271186440679</v>
      </c>
      <c r="D756" s="14">
        <f>IFERROR((VLOOKUP($A756,'[1]import success seats course'!$A:R,HLOOKUP('[1]Course Totals'!D$4,'[1]import success seats course'!$1:$2,2,FALSE),FALSE)/(VLOOKUP($A756,'[1]import graded seats course pivo'!$A:AB,HLOOKUP('[1]Course Totals'!D$4,'[1]import graded seats course pivo'!$1:$2,2,FALSE),FALSE))),"")</f>
        <v>0.68085106382978722</v>
      </c>
      <c r="E756" s="14">
        <f>IFERROR((VLOOKUP($A756,'[1]import success seats course'!$A:S,HLOOKUP('[1]Course Totals'!E$4,'[1]import success seats course'!$1:$2,2,FALSE),FALSE)/(VLOOKUP($A756,'[1]import graded seats course pivo'!$A:AC,HLOOKUP('[1]Course Totals'!E$4,'[1]import graded seats course pivo'!$1:$2,2,FALSE),FALSE))),"")</f>
        <v>0.8666666666666667</v>
      </c>
      <c r="F756" s="14">
        <f>IFERROR((VLOOKUP($A756,'[1]import success seats course'!$A:T,HLOOKUP('[1]Course Totals'!F$4,'[1]import success seats course'!$1:$2,2,FALSE),FALSE)/(VLOOKUP($A756,'[1]import graded seats course pivo'!$A:AD,HLOOKUP('[1]Course Totals'!F$4,'[1]import graded seats course pivo'!$1:$2,2,FALSE),FALSE))),"")</f>
        <v>0.88235294117647056</v>
      </c>
      <c r="G756" s="14">
        <f>IFERROR((VLOOKUP($A756,'[1]import success seats course'!$A:U,HLOOKUP('[1]Course Totals'!G$4,'[1]import success seats course'!$1:$2,2,FALSE),FALSE)/(VLOOKUP($A756,'[1]import graded seats course pivo'!$A:AE,HLOOKUP('[1]Course Totals'!G$4,'[1]import graded seats course pivo'!$1:$2,2,FALSE),FALSE))),"")</f>
        <v>0.89090909090909087</v>
      </c>
      <c r="H756" s="14" t="str">
        <f>IFERROR((VLOOKUP($A756,'[1]import success seats course'!$A:V,HLOOKUP('[1]Course Totals'!H$4,'[1]import success seats course'!$1:$2,2,FALSE),FALSE)/(VLOOKUP($A756,'[1]import graded seats course pivo'!$A:AF,HLOOKUP('[1]Course Totals'!H$4,'[1]import graded seats course pivo'!$1:$2,2,FALSE),FALSE))),"")</f>
        <v/>
      </c>
      <c r="I756" s="14">
        <f>IFERROR((VLOOKUP($A756,'[1]import success seats course'!$A:W,HLOOKUP('[1]Course Totals'!I$4,'[1]import success seats course'!$1:$2,2,FALSE),FALSE)/(VLOOKUP($A756,'[1]import graded seats course pivo'!$A:AG,HLOOKUP('[1]Course Totals'!I$4,'[1]import graded seats course pivo'!$1:$2,2,FALSE),FALSE))),"")</f>
        <v>0.88888888888888884</v>
      </c>
      <c r="J756" s="14">
        <f>IFERROR((VLOOKUP($A756,'[1]import success seats course'!$A:X,HLOOKUP('[1]Course Totals'!J$4,'[1]import success seats course'!$1:$2,2,FALSE),FALSE)/(VLOOKUP($A756,'[1]import graded seats course pivo'!$A:AH,HLOOKUP('[1]Course Totals'!J$4,'[1]import graded seats course pivo'!$1:$2,2,FALSE),FALSE))),"")</f>
        <v>0.89583333333333337</v>
      </c>
      <c r="K756" s="14" t="str">
        <f>IFERROR((VLOOKUP($A756,'[1]import success seats course'!$A:Y,HLOOKUP('[1]Course Totals'!K$4,'[1]import success seats course'!$1:$2,2,FALSE),FALSE)/(VLOOKUP($A756,'[1]import graded seats course pivo'!$A:AI,HLOOKUP('[1]Course Totals'!K$4,'[1]import graded seats course pivo'!$1:$2,2,FALSE),FALSE))),"")</f>
        <v/>
      </c>
      <c r="L756" s="14">
        <f>IFERROR((VLOOKUP($A756,'[1]import success seats course'!$A:Z,HLOOKUP('[1]Course Totals'!L$4,'[1]import success seats course'!$1:$2,2,FALSE),FALSE)/(VLOOKUP($A756,'[1]import graded seats course pivo'!$A:AJ,HLOOKUP('[1]Course Totals'!L$4,'[1]import graded seats course pivo'!$1:$2,2,FALSE),FALSE))),"")</f>
        <v>0.77777777777777779</v>
      </c>
      <c r="M756" s="14">
        <f>IFERROR((VLOOKUP($A756,'[1]import success seats course'!$A:AA,HLOOKUP('[1]Course Totals'!M$4,'[1]import success seats course'!$1:$2,2,FALSE),FALSE)/(VLOOKUP($A756,'[1]import graded seats course pivo'!$A:AK,HLOOKUP('[1]Course Totals'!M$4,'[1]import graded seats course pivo'!$1:$2,2,FALSE),FALSE))),"")</f>
        <v>0.6619718309859155</v>
      </c>
      <c r="N756" s="14" t="str">
        <f>IFERROR((VLOOKUP($A756,'[1]import success seats course'!$A:AB,HLOOKUP('[1]Course Totals'!N$4,'[1]import success seats course'!$1:$2,2,FALSE),FALSE)/(VLOOKUP($A756,'[1]import graded seats course pivo'!$A:AL,HLOOKUP('[1]Course Totals'!N$4,'[1]import graded seats course pivo'!$1:$2,2,FALSE),FALSE))),"")</f>
        <v/>
      </c>
      <c r="O756" s="14">
        <f>IFERROR((VLOOKUP($A756,'[1]import success seats course'!$A:AC,HLOOKUP('[1]Course Totals'!O$4,'[1]import success seats course'!$1:$2,2,FALSE),FALSE)/(VLOOKUP($A756,'[1]import graded seats course pivo'!$A:AM,HLOOKUP('[1]Course Totals'!O$4,'[1]import graded seats course pivo'!$1:$2,2,FALSE),FALSE))),"")</f>
        <v>0.64814814814814814</v>
      </c>
      <c r="P756" s="14">
        <f>IFERROR((VLOOKUP($A756,'[1]import success seats course'!$A:AD,HLOOKUP('[1]Course Totals'!P$4,'[1]import success seats course'!$1:$2,2,FALSE),FALSE)/(VLOOKUP($A756,'[1]import graded seats course pivo'!$A:AN,HLOOKUP('[1]Course Totals'!P$4,'[1]import graded seats course pivo'!$1:$2,2,FALSE),FALSE))),"")</f>
        <v>0.94366197183098588</v>
      </c>
      <c r="Q756" s="14" t="str">
        <f>IFERROR((VLOOKUP($A756,'[1]import success seats course'!$A:AE,HLOOKUP('[1]Course Totals'!Q$4,'[1]import success seats course'!$1:$2,2,FALSE),FALSE)/(VLOOKUP($A756,'[1]import graded seats course pivo'!$A:AO,HLOOKUP('[1]Course Totals'!Q$4,'[1]import graded seats course pivo'!$1:$2,2,FALSE),FALSE))),"")</f>
        <v/>
      </c>
      <c r="R756" s="14">
        <f>IFERROR((VLOOKUP($A756,'[1]import success seats course'!$A:AF,HLOOKUP('[1]Course Totals'!R$4,'[1]import success seats course'!$1:$2,2,FALSE),FALSE)/(VLOOKUP($A756,'[1]import graded seats course pivo'!$A:AP,HLOOKUP('[1]Course Totals'!R$4,'[1]import graded seats course pivo'!$1:$2,2,FALSE),FALSE))),"")</f>
        <v>0.76</v>
      </c>
      <c r="S756" s="14">
        <f>IFERROR((VLOOKUP($A756,'[1]import success seats course'!$A:AG,HLOOKUP('[1]Course Totals'!S$4,'[1]import success seats course'!$1:$2,2,FALSE),FALSE)/(VLOOKUP($A756,'[1]import graded seats course pivo'!$A:AQ,HLOOKUP('[1]Course Totals'!S$4,'[1]import graded seats course pivo'!$1:$2,2,FALSE),FALSE))),"")</f>
        <v>0.89552238805970152</v>
      </c>
      <c r="Z756" s="7"/>
      <c r="AA756" s="7"/>
      <c r="AB756" s="7"/>
      <c r="AC756" s="7"/>
    </row>
    <row r="757" spans="1:29" ht="15.75" customHeight="1" x14ac:dyDescent="0.25">
      <c r="A757" s="12" t="s">
        <v>349</v>
      </c>
      <c r="B757" s="14" t="str">
        <f>IFERROR((VLOOKUP($A757,'[1]import success seats course'!$A:P,HLOOKUP('[1]Course Totals'!B$4,'[1]import success seats course'!$1:$2,2,FALSE),FALSE)/(VLOOKUP($A757,'[1]import graded seats course pivo'!$A:Z,HLOOKUP('[1]Course Totals'!B$4,'[1]import graded seats course pivo'!$1:$2,2,FALSE),FALSE))),"")</f>
        <v/>
      </c>
      <c r="C757" s="14">
        <f>IFERROR((VLOOKUP($A757,'[1]import success seats course'!$A:Q,HLOOKUP('[1]Course Totals'!C$4,'[1]import success seats course'!$1:$2,2,FALSE),FALSE)/(VLOOKUP($A757,'[1]import graded seats course pivo'!$A:AA,HLOOKUP('[1]Course Totals'!C$4,'[1]import graded seats course pivo'!$1:$2,2,FALSE),FALSE))),"")</f>
        <v>0.52941176470588236</v>
      </c>
      <c r="D757" s="14">
        <f>IFERROR((VLOOKUP($A757,'[1]import success seats course'!$A:R,HLOOKUP('[1]Course Totals'!D$4,'[1]import success seats course'!$1:$2,2,FALSE),FALSE)/(VLOOKUP($A757,'[1]import graded seats course pivo'!$A:AB,HLOOKUP('[1]Course Totals'!D$4,'[1]import graded seats course pivo'!$1:$2,2,FALSE),FALSE))),"")</f>
        <v>0.97058823529411764</v>
      </c>
      <c r="E757" s="14" t="str">
        <f>IFERROR((VLOOKUP($A757,'[1]import success seats course'!$A:S,HLOOKUP('[1]Course Totals'!E$4,'[1]import success seats course'!$1:$2,2,FALSE),FALSE)/(VLOOKUP($A757,'[1]import graded seats course pivo'!$A:AC,HLOOKUP('[1]Course Totals'!E$4,'[1]import graded seats course pivo'!$1:$2,2,FALSE),FALSE))),"")</f>
        <v/>
      </c>
      <c r="F757" s="14">
        <f>IFERROR((VLOOKUP($A757,'[1]import success seats course'!$A:T,HLOOKUP('[1]Course Totals'!F$4,'[1]import success seats course'!$1:$2,2,FALSE),FALSE)/(VLOOKUP($A757,'[1]import graded seats course pivo'!$A:AD,HLOOKUP('[1]Course Totals'!F$4,'[1]import graded seats course pivo'!$1:$2,2,FALSE),FALSE))),"")</f>
        <v>0.9</v>
      </c>
      <c r="G757" s="14">
        <f>IFERROR((VLOOKUP($A757,'[1]import success seats course'!$A:U,HLOOKUP('[1]Course Totals'!G$4,'[1]import success seats course'!$1:$2,2,FALSE),FALSE)/(VLOOKUP($A757,'[1]import graded seats course pivo'!$A:AE,HLOOKUP('[1]Course Totals'!G$4,'[1]import graded seats course pivo'!$1:$2,2,FALSE),FALSE))),"")</f>
        <v>0.81632653061224492</v>
      </c>
      <c r="H757" s="14" t="str">
        <f>IFERROR((VLOOKUP($A757,'[1]import success seats course'!$A:V,HLOOKUP('[1]Course Totals'!H$4,'[1]import success seats course'!$1:$2,2,FALSE),FALSE)/(VLOOKUP($A757,'[1]import graded seats course pivo'!$A:AF,HLOOKUP('[1]Course Totals'!H$4,'[1]import graded seats course pivo'!$1:$2,2,FALSE),FALSE))),"")</f>
        <v/>
      </c>
      <c r="I757" s="14">
        <f>IFERROR((VLOOKUP($A757,'[1]import success seats course'!$A:W,HLOOKUP('[1]Course Totals'!I$4,'[1]import success seats course'!$1:$2,2,FALSE),FALSE)/(VLOOKUP($A757,'[1]import graded seats course pivo'!$A:AG,HLOOKUP('[1]Course Totals'!I$4,'[1]import graded seats course pivo'!$1:$2,2,FALSE),FALSE))),"")</f>
        <v>0.83870967741935487</v>
      </c>
      <c r="J757" s="14">
        <f>IFERROR((VLOOKUP($A757,'[1]import success seats course'!$A:X,HLOOKUP('[1]Course Totals'!J$4,'[1]import success seats course'!$1:$2,2,FALSE),FALSE)/(VLOOKUP($A757,'[1]import graded seats course pivo'!$A:AH,HLOOKUP('[1]Course Totals'!J$4,'[1]import graded seats course pivo'!$1:$2,2,FALSE),FALSE))),"")</f>
        <v>0.6376811594202898</v>
      </c>
      <c r="K757" s="14" t="str">
        <f>IFERROR((VLOOKUP($A757,'[1]import success seats course'!$A:Y,HLOOKUP('[1]Course Totals'!K$4,'[1]import success seats course'!$1:$2,2,FALSE),FALSE)/(VLOOKUP($A757,'[1]import graded seats course pivo'!$A:AI,HLOOKUP('[1]Course Totals'!K$4,'[1]import graded seats course pivo'!$1:$2,2,FALSE),FALSE))),"")</f>
        <v/>
      </c>
      <c r="L757" s="14">
        <f>IFERROR((VLOOKUP($A757,'[1]import success seats course'!$A:Z,HLOOKUP('[1]Course Totals'!L$4,'[1]import success seats course'!$1:$2,2,FALSE),FALSE)/(VLOOKUP($A757,'[1]import graded seats course pivo'!$A:AJ,HLOOKUP('[1]Course Totals'!L$4,'[1]import graded seats course pivo'!$1:$2,2,FALSE),FALSE))),"")</f>
        <v>0.86567164179104472</v>
      </c>
      <c r="M757" s="14">
        <f>IFERROR((VLOOKUP($A757,'[1]import success seats course'!$A:AA,HLOOKUP('[1]Course Totals'!M$4,'[1]import success seats course'!$1:$2,2,FALSE),FALSE)/(VLOOKUP($A757,'[1]import graded seats course pivo'!$A:AK,HLOOKUP('[1]Course Totals'!M$4,'[1]import graded seats course pivo'!$1:$2,2,FALSE),FALSE))),"")</f>
        <v>2.8333333333333335</v>
      </c>
      <c r="N757" s="14" t="str">
        <f>IFERROR((VLOOKUP($A757,'[1]import success seats course'!$A:AB,HLOOKUP('[1]Course Totals'!N$4,'[1]import success seats course'!$1:$2,2,FALSE),FALSE)/(VLOOKUP($A757,'[1]import graded seats course pivo'!$A:AL,HLOOKUP('[1]Course Totals'!N$4,'[1]import graded seats course pivo'!$1:$2,2,FALSE),FALSE))),"")</f>
        <v/>
      </c>
      <c r="O757" s="14">
        <f>IFERROR((VLOOKUP($A757,'[1]import success seats course'!$A:AC,HLOOKUP('[1]Course Totals'!O$4,'[1]import success seats course'!$1:$2,2,FALSE),FALSE)/(VLOOKUP($A757,'[1]import graded seats course pivo'!$A:AM,HLOOKUP('[1]Course Totals'!O$4,'[1]import graded seats course pivo'!$1:$2,2,FALSE),FALSE))),"")</f>
        <v>0.77358490566037741</v>
      </c>
      <c r="P757" s="14">
        <f>IFERROR((VLOOKUP($A757,'[1]import success seats course'!$A:AD,HLOOKUP('[1]Course Totals'!P$4,'[1]import success seats course'!$1:$2,2,FALSE),FALSE)/(VLOOKUP($A757,'[1]import graded seats course pivo'!$A:AN,HLOOKUP('[1]Course Totals'!P$4,'[1]import graded seats course pivo'!$1:$2,2,FALSE),FALSE))),"")</f>
        <v>0.86842105263157898</v>
      </c>
      <c r="Q757" s="14" t="str">
        <f>IFERROR((VLOOKUP($A757,'[1]import success seats course'!$A:AE,HLOOKUP('[1]Course Totals'!Q$4,'[1]import success seats course'!$1:$2,2,FALSE),FALSE)/(VLOOKUP($A757,'[1]import graded seats course pivo'!$A:AO,HLOOKUP('[1]Course Totals'!Q$4,'[1]import graded seats course pivo'!$1:$2,2,FALSE),FALSE))),"")</f>
        <v/>
      </c>
      <c r="R757" s="14">
        <f>IFERROR((VLOOKUP($A757,'[1]import success seats course'!$A:AF,HLOOKUP('[1]Course Totals'!R$4,'[1]import success seats course'!$1:$2,2,FALSE),FALSE)/(VLOOKUP($A757,'[1]import graded seats course pivo'!$A:AP,HLOOKUP('[1]Course Totals'!R$4,'[1]import graded seats course pivo'!$1:$2,2,FALSE),FALSE))),"")</f>
        <v>0.86486486486486491</v>
      </c>
      <c r="S757" s="14">
        <f>IFERROR((VLOOKUP($A757,'[1]import success seats course'!$A:AG,HLOOKUP('[1]Course Totals'!S$4,'[1]import success seats course'!$1:$2,2,FALSE),FALSE)/(VLOOKUP($A757,'[1]import graded seats course pivo'!$A:AQ,HLOOKUP('[1]Course Totals'!S$4,'[1]import graded seats course pivo'!$1:$2,2,FALSE),FALSE))),"")</f>
        <v>0.87096774193548387</v>
      </c>
      <c r="Z757" s="7"/>
      <c r="AA757" s="7"/>
      <c r="AB757" s="7"/>
      <c r="AC757" s="7"/>
    </row>
    <row r="758" spans="1:29" ht="15.75" customHeight="1" x14ac:dyDescent="0.25">
      <c r="A758" s="12" t="s">
        <v>742</v>
      </c>
      <c r="B758" s="14" t="str">
        <f>IFERROR((VLOOKUP($A758,'[1]import success seats course'!$A:P,HLOOKUP('[1]Course Totals'!B$4,'[1]import success seats course'!$1:$2,2,FALSE),FALSE)/(VLOOKUP($A758,'[1]import graded seats course pivo'!$A:Z,HLOOKUP('[1]Course Totals'!B$4,'[1]import graded seats course pivo'!$1:$2,2,FALSE),FALSE))),"")</f>
        <v/>
      </c>
      <c r="C758" s="14" t="str">
        <f>IFERROR((VLOOKUP($A758,'[1]import success seats course'!$A:Q,HLOOKUP('[1]Course Totals'!C$4,'[1]import success seats course'!$1:$2,2,FALSE),FALSE)/(VLOOKUP($A758,'[1]import graded seats course pivo'!$A:AA,HLOOKUP('[1]Course Totals'!C$4,'[1]import graded seats course pivo'!$1:$2,2,FALSE),FALSE))),"")</f>
        <v/>
      </c>
      <c r="D758" s="14">
        <f>IFERROR((VLOOKUP($A758,'[1]import success seats course'!$A:R,HLOOKUP('[1]Course Totals'!D$4,'[1]import success seats course'!$1:$2,2,FALSE),FALSE)/(VLOOKUP($A758,'[1]import graded seats course pivo'!$A:AB,HLOOKUP('[1]Course Totals'!D$4,'[1]import graded seats course pivo'!$1:$2,2,FALSE),FALSE))),"")</f>
        <v>1</v>
      </c>
      <c r="E758" s="14" t="str">
        <f>IFERROR((VLOOKUP($A758,'[1]import success seats course'!$A:S,HLOOKUP('[1]Course Totals'!E$4,'[1]import success seats course'!$1:$2,2,FALSE),FALSE)/(VLOOKUP($A758,'[1]import graded seats course pivo'!$A:AC,HLOOKUP('[1]Course Totals'!E$4,'[1]import graded seats course pivo'!$1:$2,2,FALSE),FALSE))),"")</f>
        <v/>
      </c>
      <c r="F758" s="14" t="str">
        <f>IFERROR((VLOOKUP($A758,'[1]import success seats course'!$A:T,HLOOKUP('[1]Course Totals'!F$4,'[1]import success seats course'!$1:$2,2,FALSE),FALSE)/(VLOOKUP($A758,'[1]import graded seats course pivo'!$A:AD,HLOOKUP('[1]Course Totals'!F$4,'[1]import graded seats course pivo'!$1:$2,2,FALSE),FALSE))),"")</f>
        <v/>
      </c>
      <c r="G758" s="14">
        <f>IFERROR((VLOOKUP($A758,'[1]import success seats course'!$A:U,HLOOKUP('[1]Course Totals'!G$4,'[1]import success seats course'!$1:$2,2,FALSE),FALSE)/(VLOOKUP($A758,'[1]import graded seats course pivo'!$A:AE,HLOOKUP('[1]Course Totals'!G$4,'[1]import graded seats course pivo'!$1:$2,2,FALSE),FALSE))),"")</f>
        <v>1</v>
      </c>
      <c r="H758" s="14" t="str">
        <f>IFERROR((VLOOKUP($A758,'[1]import success seats course'!$A:V,HLOOKUP('[1]Course Totals'!H$4,'[1]import success seats course'!$1:$2,2,FALSE),FALSE)/(VLOOKUP($A758,'[1]import graded seats course pivo'!$A:AF,HLOOKUP('[1]Course Totals'!H$4,'[1]import graded seats course pivo'!$1:$2,2,FALSE),FALSE))),"")</f>
        <v/>
      </c>
      <c r="I758" s="14" t="str">
        <f>IFERROR((VLOOKUP($A758,'[1]import success seats course'!$A:W,HLOOKUP('[1]Course Totals'!I$4,'[1]import success seats course'!$1:$2,2,FALSE),FALSE)/(VLOOKUP($A758,'[1]import graded seats course pivo'!$A:AG,HLOOKUP('[1]Course Totals'!I$4,'[1]import graded seats course pivo'!$1:$2,2,FALSE),FALSE))),"")</f>
        <v/>
      </c>
      <c r="J758" s="14">
        <f>IFERROR((VLOOKUP($A758,'[1]import success seats course'!$A:X,HLOOKUP('[1]Course Totals'!J$4,'[1]import success seats course'!$1:$2,2,FALSE),FALSE)/(VLOOKUP($A758,'[1]import graded seats course pivo'!$A:AH,HLOOKUP('[1]Course Totals'!J$4,'[1]import graded seats course pivo'!$1:$2,2,FALSE),FALSE))),"")</f>
        <v>0.88888888888888884</v>
      </c>
      <c r="K758" s="14" t="str">
        <f>IFERROR((VLOOKUP($A758,'[1]import success seats course'!$A:Y,HLOOKUP('[1]Course Totals'!K$4,'[1]import success seats course'!$1:$2,2,FALSE),FALSE)/(VLOOKUP($A758,'[1]import graded seats course pivo'!$A:AI,HLOOKUP('[1]Course Totals'!K$4,'[1]import graded seats course pivo'!$1:$2,2,FALSE),FALSE))),"")</f>
        <v/>
      </c>
      <c r="L758" s="14">
        <f>IFERROR((VLOOKUP($A758,'[1]import success seats course'!$A:Z,HLOOKUP('[1]Course Totals'!L$4,'[1]import success seats course'!$1:$2,2,FALSE),FALSE)/(VLOOKUP($A758,'[1]import graded seats course pivo'!$A:AJ,HLOOKUP('[1]Course Totals'!L$4,'[1]import graded seats course pivo'!$1:$2,2,FALSE),FALSE))),"")</f>
        <v>0.77777777777777779</v>
      </c>
      <c r="M758" s="14">
        <f>IFERROR((VLOOKUP($A758,'[1]import success seats course'!$A:AA,HLOOKUP('[1]Course Totals'!M$4,'[1]import success seats course'!$1:$2,2,FALSE),FALSE)/(VLOOKUP($A758,'[1]import graded seats course pivo'!$A:AK,HLOOKUP('[1]Course Totals'!M$4,'[1]import graded seats course pivo'!$1:$2,2,FALSE),FALSE))),"")</f>
        <v>1</v>
      </c>
      <c r="N758" s="14" t="str">
        <f>IFERROR((VLOOKUP($A758,'[1]import success seats course'!$A:AB,HLOOKUP('[1]Course Totals'!N$4,'[1]import success seats course'!$1:$2,2,FALSE),FALSE)/(VLOOKUP($A758,'[1]import graded seats course pivo'!$A:AL,HLOOKUP('[1]Course Totals'!N$4,'[1]import graded seats course pivo'!$1:$2,2,FALSE),FALSE))),"")</f>
        <v/>
      </c>
      <c r="O758" s="14">
        <f>IFERROR((VLOOKUP($A758,'[1]import success seats course'!$A:AC,HLOOKUP('[1]Course Totals'!O$4,'[1]import success seats course'!$1:$2,2,FALSE),FALSE)/(VLOOKUP($A758,'[1]import graded seats course pivo'!$A:AM,HLOOKUP('[1]Course Totals'!O$4,'[1]import graded seats course pivo'!$1:$2,2,FALSE),FALSE))),"")</f>
        <v>0.83333333333333337</v>
      </c>
      <c r="P758" s="14" t="str">
        <f>IFERROR((VLOOKUP($A758,'[1]import success seats course'!$A:AD,HLOOKUP('[1]Course Totals'!P$4,'[1]import success seats course'!$1:$2,2,FALSE),FALSE)/(VLOOKUP($A758,'[1]import graded seats course pivo'!$A:AN,HLOOKUP('[1]Course Totals'!P$4,'[1]import graded seats course pivo'!$1:$2,2,FALSE),FALSE))),"")</f>
        <v/>
      </c>
      <c r="Q758" s="14" t="str">
        <f>IFERROR((VLOOKUP($A758,'[1]import success seats course'!$A:AE,HLOOKUP('[1]Course Totals'!Q$4,'[1]import success seats course'!$1:$2,2,FALSE),FALSE)/(VLOOKUP($A758,'[1]import graded seats course pivo'!$A:AO,HLOOKUP('[1]Course Totals'!Q$4,'[1]import graded seats course pivo'!$1:$2,2,FALSE),FALSE))),"")</f>
        <v/>
      </c>
      <c r="R758" s="14" t="str">
        <f>IFERROR((VLOOKUP($A758,'[1]import success seats course'!$A:AF,HLOOKUP('[1]Course Totals'!R$4,'[1]import success seats course'!$1:$2,2,FALSE),FALSE)/(VLOOKUP($A758,'[1]import graded seats course pivo'!$A:AP,HLOOKUP('[1]Course Totals'!R$4,'[1]import graded seats course pivo'!$1:$2,2,FALSE),FALSE))),"")</f>
        <v/>
      </c>
      <c r="S758" s="14" t="str">
        <f>IFERROR((VLOOKUP($A758,'[1]import success seats course'!$A:AG,HLOOKUP('[1]Course Totals'!S$4,'[1]import success seats course'!$1:$2,2,FALSE),FALSE)/(VLOOKUP($A758,'[1]import graded seats course pivo'!$A:AQ,HLOOKUP('[1]Course Totals'!S$4,'[1]import graded seats course pivo'!$1:$2,2,FALSE),FALSE))),"")</f>
        <v/>
      </c>
      <c r="Z758" s="7"/>
      <c r="AA758" s="7"/>
      <c r="AB758" s="7"/>
      <c r="AC758" s="7"/>
    </row>
    <row r="759" spans="1:29" ht="15.75" customHeight="1" x14ac:dyDescent="0.25">
      <c r="A759" s="12" t="s">
        <v>350</v>
      </c>
      <c r="B759" s="14" t="str">
        <f>IFERROR((VLOOKUP($A759,'[1]import success seats course'!$A:P,HLOOKUP('[1]Course Totals'!B$4,'[1]import success seats course'!$1:$2,2,FALSE),FALSE)/(VLOOKUP($A759,'[1]import graded seats course pivo'!$A:Z,HLOOKUP('[1]Course Totals'!B$4,'[1]import graded seats course pivo'!$1:$2,2,FALSE),FALSE))),"")</f>
        <v/>
      </c>
      <c r="C759" s="14">
        <f>IFERROR((VLOOKUP($A759,'[1]import success seats course'!$A:Q,HLOOKUP('[1]Course Totals'!C$4,'[1]import success seats course'!$1:$2,2,FALSE),FALSE)/(VLOOKUP($A759,'[1]import graded seats course pivo'!$A:AA,HLOOKUP('[1]Course Totals'!C$4,'[1]import graded seats course pivo'!$1:$2,2,FALSE),FALSE))),"")</f>
        <v>0.8571428571428571</v>
      </c>
      <c r="D759" s="14">
        <f>IFERROR((VLOOKUP($A759,'[1]import success seats course'!$A:R,HLOOKUP('[1]Course Totals'!D$4,'[1]import success seats course'!$1:$2,2,FALSE),FALSE)/(VLOOKUP($A759,'[1]import graded seats course pivo'!$A:AB,HLOOKUP('[1]Course Totals'!D$4,'[1]import graded seats course pivo'!$1:$2,2,FALSE),FALSE))),"")</f>
        <v>0.9375</v>
      </c>
      <c r="E759" s="14" t="str">
        <f>IFERROR((VLOOKUP($A759,'[1]import success seats course'!$A:S,HLOOKUP('[1]Course Totals'!E$4,'[1]import success seats course'!$1:$2,2,FALSE),FALSE)/(VLOOKUP($A759,'[1]import graded seats course pivo'!$A:AC,HLOOKUP('[1]Course Totals'!E$4,'[1]import graded seats course pivo'!$1:$2,2,FALSE),FALSE))),"")</f>
        <v/>
      </c>
      <c r="F759" s="14">
        <f>IFERROR((VLOOKUP($A759,'[1]import success seats course'!$A:T,HLOOKUP('[1]Course Totals'!F$4,'[1]import success seats course'!$1:$2,2,FALSE),FALSE)/(VLOOKUP($A759,'[1]import graded seats course pivo'!$A:AD,HLOOKUP('[1]Course Totals'!F$4,'[1]import graded seats course pivo'!$1:$2,2,FALSE),FALSE))),"")</f>
        <v>0.91304347826086951</v>
      </c>
      <c r="G759" s="14">
        <f>IFERROR((VLOOKUP($A759,'[1]import success seats course'!$A:U,HLOOKUP('[1]Course Totals'!G$4,'[1]import success seats course'!$1:$2,2,FALSE),FALSE)/(VLOOKUP($A759,'[1]import graded seats course pivo'!$A:AE,HLOOKUP('[1]Course Totals'!G$4,'[1]import graded seats course pivo'!$1:$2,2,FALSE),FALSE))),"")</f>
        <v>0.83333333333333337</v>
      </c>
      <c r="H759" s="14" t="str">
        <f>IFERROR((VLOOKUP($A759,'[1]import success seats course'!$A:V,HLOOKUP('[1]Course Totals'!H$4,'[1]import success seats course'!$1:$2,2,FALSE),FALSE)/(VLOOKUP($A759,'[1]import graded seats course pivo'!$A:AF,HLOOKUP('[1]Course Totals'!H$4,'[1]import graded seats course pivo'!$1:$2,2,FALSE),FALSE))),"")</f>
        <v/>
      </c>
      <c r="I759" s="14">
        <f>IFERROR((VLOOKUP($A759,'[1]import success seats course'!$A:W,HLOOKUP('[1]Course Totals'!I$4,'[1]import success seats course'!$1:$2,2,FALSE),FALSE)/(VLOOKUP($A759,'[1]import graded seats course pivo'!$A:AG,HLOOKUP('[1]Course Totals'!I$4,'[1]import graded seats course pivo'!$1:$2,2,FALSE),FALSE))),"")</f>
        <v>1</v>
      </c>
      <c r="J759" s="14">
        <f>IFERROR((VLOOKUP($A759,'[1]import success seats course'!$A:X,HLOOKUP('[1]Course Totals'!J$4,'[1]import success seats course'!$1:$2,2,FALSE),FALSE)/(VLOOKUP($A759,'[1]import graded seats course pivo'!$A:AH,HLOOKUP('[1]Course Totals'!J$4,'[1]import graded seats course pivo'!$1:$2,2,FALSE),FALSE))),"")</f>
        <v>0.88888888888888884</v>
      </c>
      <c r="K759" s="14" t="str">
        <f>IFERROR((VLOOKUP($A759,'[1]import success seats course'!$A:Y,HLOOKUP('[1]Course Totals'!K$4,'[1]import success seats course'!$1:$2,2,FALSE),FALSE)/(VLOOKUP($A759,'[1]import graded seats course pivo'!$A:AI,HLOOKUP('[1]Course Totals'!K$4,'[1]import graded seats course pivo'!$1:$2,2,FALSE),FALSE))),"")</f>
        <v/>
      </c>
      <c r="L759" s="14">
        <f>IFERROR((VLOOKUP($A759,'[1]import success seats course'!$A:Z,HLOOKUP('[1]Course Totals'!L$4,'[1]import success seats course'!$1:$2,2,FALSE),FALSE)/(VLOOKUP($A759,'[1]import graded seats course pivo'!$A:AJ,HLOOKUP('[1]Course Totals'!L$4,'[1]import graded seats course pivo'!$1:$2,2,FALSE),FALSE))),"")</f>
        <v>0.93103448275862066</v>
      </c>
      <c r="M759" s="14">
        <f>IFERROR((VLOOKUP($A759,'[1]import success seats course'!$A:AA,HLOOKUP('[1]Course Totals'!M$4,'[1]import success seats course'!$1:$2,2,FALSE),FALSE)/(VLOOKUP($A759,'[1]import graded seats course pivo'!$A:AK,HLOOKUP('[1]Course Totals'!M$4,'[1]import graded seats course pivo'!$1:$2,2,FALSE),FALSE))),"")</f>
        <v>0.92592592592592593</v>
      </c>
      <c r="N759" s="14" t="str">
        <f>IFERROR((VLOOKUP($A759,'[1]import success seats course'!$A:AB,HLOOKUP('[1]Course Totals'!N$4,'[1]import success seats course'!$1:$2,2,FALSE),FALSE)/(VLOOKUP($A759,'[1]import graded seats course pivo'!$A:AL,HLOOKUP('[1]Course Totals'!N$4,'[1]import graded seats course pivo'!$1:$2,2,FALSE),FALSE))),"")</f>
        <v/>
      </c>
      <c r="O759" s="14">
        <f>IFERROR((VLOOKUP($A759,'[1]import success seats course'!$A:AC,HLOOKUP('[1]Course Totals'!O$4,'[1]import success seats course'!$1:$2,2,FALSE),FALSE)/(VLOOKUP($A759,'[1]import graded seats course pivo'!$A:AM,HLOOKUP('[1]Course Totals'!O$4,'[1]import graded seats course pivo'!$1:$2,2,FALSE),FALSE))),"")</f>
        <v>0.76</v>
      </c>
      <c r="P759" s="14">
        <f>IFERROR((VLOOKUP($A759,'[1]import success seats course'!$A:AD,HLOOKUP('[1]Course Totals'!P$4,'[1]import success seats course'!$1:$2,2,FALSE),FALSE)/(VLOOKUP($A759,'[1]import graded seats course pivo'!$A:AN,HLOOKUP('[1]Course Totals'!P$4,'[1]import graded seats course pivo'!$1:$2,2,FALSE),FALSE))),"")</f>
        <v>0.87096774193548387</v>
      </c>
      <c r="Q759" s="14" t="str">
        <f>IFERROR((VLOOKUP($A759,'[1]import success seats course'!$A:AE,HLOOKUP('[1]Course Totals'!Q$4,'[1]import success seats course'!$1:$2,2,FALSE),FALSE)/(VLOOKUP($A759,'[1]import graded seats course pivo'!$A:AO,HLOOKUP('[1]Course Totals'!Q$4,'[1]import graded seats course pivo'!$1:$2,2,FALSE),FALSE))),"")</f>
        <v/>
      </c>
      <c r="R759" s="14">
        <f>IFERROR((VLOOKUP($A759,'[1]import success seats course'!$A:AF,HLOOKUP('[1]Course Totals'!R$4,'[1]import success seats course'!$1:$2,2,FALSE),FALSE)/(VLOOKUP($A759,'[1]import graded seats course pivo'!$A:AP,HLOOKUP('[1]Course Totals'!R$4,'[1]import graded seats course pivo'!$1:$2,2,FALSE),FALSE))),"")</f>
        <v>0.89473684210526316</v>
      </c>
      <c r="S759" s="14">
        <f>IFERROR((VLOOKUP($A759,'[1]import success seats course'!$A:AG,HLOOKUP('[1]Course Totals'!S$4,'[1]import success seats course'!$1:$2,2,FALSE),FALSE)/(VLOOKUP($A759,'[1]import graded seats course pivo'!$A:AQ,HLOOKUP('[1]Course Totals'!S$4,'[1]import graded seats course pivo'!$1:$2,2,FALSE),FALSE))),"")</f>
        <v>0.97058823529411764</v>
      </c>
      <c r="Z759" s="7"/>
      <c r="AA759" s="7"/>
      <c r="AB759" s="7"/>
      <c r="AC759" s="7"/>
    </row>
    <row r="760" spans="1:29" ht="15.75" customHeight="1" x14ac:dyDescent="0.25">
      <c r="A760" s="12" t="s">
        <v>743</v>
      </c>
      <c r="B760" s="14" t="str">
        <f>IFERROR((VLOOKUP($A760,'[1]import success seats course'!$A:P,HLOOKUP('[1]Course Totals'!B$4,'[1]import success seats course'!$1:$2,2,FALSE),FALSE)/(VLOOKUP($A760,'[1]import graded seats course pivo'!$A:Z,HLOOKUP('[1]Course Totals'!B$4,'[1]import graded seats course pivo'!$1:$2,2,FALSE),FALSE))),"")</f>
        <v/>
      </c>
      <c r="C760" s="14" t="str">
        <f>IFERROR((VLOOKUP($A760,'[1]import success seats course'!$A:Q,HLOOKUP('[1]Course Totals'!C$4,'[1]import success seats course'!$1:$2,2,FALSE),FALSE)/(VLOOKUP($A760,'[1]import graded seats course pivo'!$A:AA,HLOOKUP('[1]Course Totals'!C$4,'[1]import graded seats course pivo'!$1:$2,2,FALSE),FALSE))),"")</f>
        <v/>
      </c>
      <c r="D760" s="14">
        <f>IFERROR((VLOOKUP($A760,'[1]import success seats course'!$A:R,HLOOKUP('[1]Course Totals'!D$4,'[1]import success seats course'!$1:$2,2,FALSE),FALSE)/(VLOOKUP($A760,'[1]import graded seats course pivo'!$A:AB,HLOOKUP('[1]Course Totals'!D$4,'[1]import graded seats course pivo'!$1:$2,2,FALSE),FALSE))),"")</f>
        <v>1</v>
      </c>
      <c r="E760" s="14" t="str">
        <f>IFERROR((VLOOKUP($A760,'[1]import success seats course'!$A:S,HLOOKUP('[1]Course Totals'!E$4,'[1]import success seats course'!$1:$2,2,FALSE),FALSE)/(VLOOKUP($A760,'[1]import graded seats course pivo'!$A:AC,HLOOKUP('[1]Course Totals'!E$4,'[1]import graded seats course pivo'!$1:$2,2,FALSE),FALSE))),"")</f>
        <v/>
      </c>
      <c r="F760" s="14" t="str">
        <f>IFERROR((VLOOKUP($A760,'[1]import success seats course'!$A:T,HLOOKUP('[1]Course Totals'!F$4,'[1]import success seats course'!$1:$2,2,FALSE),FALSE)/(VLOOKUP($A760,'[1]import graded seats course pivo'!$A:AD,HLOOKUP('[1]Course Totals'!F$4,'[1]import graded seats course pivo'!$1:$2,2,FALSE),FALSE))),"")</f>
        <v/>
      </c>
      <c r="G760" s="14" t="str">
        <f>IFERROR((VLOOKUP($A760,'[1]import success seats course'!$A:U,HLOOKUP('[1]Course Totals'!G$4,'[1]import success seats course'!$1:$2,2,FALSE),FALSE)/(VLOOKUP($A760,'[1]import graded seats course pivo'!$A:AE,HLOOKUP('[1]Course Totals'!G$4,'[1]import graded seats course pivo'!$1:$2,2,FALSE),FALSE))),"")</f>
        <v/>
      </c>
      <c r="H760" s="14" t="str">
        <f>IFERROR((VLOOKUP($A760,'[1]import success seats course'!$A:V,HLOOKUP('[1]Course Totals'!H$4,'[1]import success seats course'!$1:$2,2,FALSE),FALSE)/(VLOOKUP($A760,'[1]import graded seats course pivo'!$A:AF,HLOOKUP('[1]Course Totals'!H$4,'[1]import graded seats course pivo'!$1:$2,2,FALSE),FALSE))),"")</f>
        <v/>
      </c>
      <c r="I760" s="14">
        <f>IFERROR((VLOOKUP($A760,'[1]import success seats course'!$A:W,HLOOKUP('[1]Course Totals'!I$4,'[1]import success seats course'!$1:$2,2,FALSE),FALSE)/(VLOOKUP($A760,'[1]import graded seats course pivo'!$A:AG,HLOOKUP('[1]Course Totals'!I$4,'[1]import graded seats course pivo'!$1:$2,2,FALSE),FALSE))),"")</f>
        <v>1</v>
      </c>
      <c r="J760" s="14" t="str">
        <f>IFERROR((VLOOKUP($A760,'[1]import success seats course'!$A:X,HLOOKUP('[1]Course Totals'!J$4,'[1]import success seats course'!$1:$2,2,FALSE),FALSE)/(VLOOKUP($A760,'[1]import graded seats course pivo'!$A:AH,HLOOKUP('[1]Course Totals'!J$4,'[1]import graded seats course pivo'!$1:$2,2,FALSE),FALSE))),"")</f>
        <v/>
      </c>
      <c r="K760" s="14" t="str">
        <f>IFERROR((VLOOKUP($A760,'[1]import success seats course'!$A:Y,HLOOKUP('[1]Course Totals'!K$4,'[1]import success seats course'!$1:$2,2,FALSE),FALSE)/(VLOOKUP($A760,'[1]import graded seats course pivo'!$A:AI,HLOOKUP('[1]Course Totals'!K$4,'[1]import graded seats course pivo'!$1:$2,2,FALSE),FALSE))),"")</f>
        <v/>
      </c>
      <c r="L760" s="14" t="str">
        <f>IFERROR((VLOOKUP($A760,'[1]import success seats course'!$A:Z,HLOOKUP('[1]Course Totals'!L$4,'[1]import success seats course'!$1:$2,2,FALSE),FALSE)/(VLOOKUP($A760,'[1]import graded seats course pivo'!$A:AJ,HLOOKUP('[1]Course Totals'!L$4,'[1]import graded seats course pivo'!$1:$2,2,FALSE),FALSE))),"")</f>
        <v/>
      </c>
      <c r="M760" s="14">
        <f>IFERROR((VLOOKUP($A760,'[1]import success seats course'!$A:AA,HLOOKUP('[1]Course Totals'!M$4,'[1]import success seats course'!$1:$2,2,FALSE),FALSE)/(VLOOKUP($A760,'[1]import graded seats course pivo'!$A:AK,HLOOKUP('[1]Course Totals'!M$4,'[1]import graded seats course pivo'!$1:$2,2,FALSE),FALSE))),"")</f>
        <v>0.9</v>
      </c>
      <c r="N760" s="14" t="str">
        <f>IFERROR((VLOOKUP($A760,'[1]import success seats course'!$A:AB,HLOOKUP('[1]Course Totals'!N$4,'[1]import success seats course'!$1:$2,2,FALSE),FALSE)/(VLOOKUP($A760,'[1]import graded seats course pivo'!$A:AL,HLOOKUP('[1]Course Totals'!N$4,'[1]import graded seats course pivo'!$1:$2,2,FALSE),FALSE))),"")</f>
        <v/>
      </c>
      <c r="O760" s="14">
        <f>IFERROR((VLOOKUP($A760,'[1]import success seats course'!$A:AC,HLOOKUP('[1]Course Totals'!O$4,'[1]import success seats course'!$1:$2,2,FALSE),FALSE)/(VLOOKUP($A760,'[1]import graded seats course pivo'!$A:AM,HLOOKUP('[1]Course Totals'!O$4,'[1]import graded seats course pivo'!$1:$2,2,FALSE),FALSE))),"")</f>
        <v>1</v>
      </c>
      <c r="P760" s="14">
        <f>IFERROR((VLOOKUP($A760,'[1]import success seats course'!$A:AD,HLOOKUP('[1]Course Totals'!P$4,'[1]import success seats course'!$1:$2,2,FALSE),FALSE)/(VLOOKUP($A760,'[1]import graded seats course pivo'!$A:AN,HLOOKUP('[1]Course Totals'!P$4,'[1]import graded seats course pivo'!$1:$2,2,FALSE),FALSE))),"")</f>
        <v>1</v>
      </c>
      <c r="Q760" s="14" t="str">
        <f>IFERROR((VLOOKUP($A760,'[1]import success seats course'!$A:AE,HLOOKUP('[1]Course Totals'!Q$4,'[1]import success seats course'!$1:$2,2,FALSE),FALSE)/(VLOOKUP($A760,'[1]import graded seats course pivo'!$A:AO,HLOOKUP('[1]Course Totals'!Q$4,'[1]import graded seats course pivo'!$1:$2,2,FALSE),FALSE))),"")</f>
        <v/>
      </c>
      <c r="R760" s="14" t="str">
        <f>IFERROR((VLOOKUP($A760,'[1]import success seats course'!$A:AF,HLOOKUP('[1]Course Totals'!R$4,'[1]import success seats course'!$1:$2,2,FALSE),FALSE)/(VLOOKUP($A760,'[1]import graded seats course pivo'!$A:AP,HLOOKUP('[1]Course Totals'!R$4,'[1]import graded seats course pivo'!$1:$2,2,FALSE),FALSE))),"")</f>
        <v/>
      </c>
      <c r="S760" s="14" t="str">
        <f>IFERROR((VLOOKUP($A760,'[1]import success seats course'!$A:AG,HLOOKUP('[1]Course Totals'!S$4,'[1]import success seats course'!$1:$2,2,FALSE),FALSE)/(VLOOKUP($A760,'[1]import graded seats course pivo'!$A:AQ,HLOOKUP('[1]Course Totals'!S$4,'[1]import graded seats course pivo'!$1:$2,2,FALSE),FALSE))),"")</f>
        <v/>
      </c>
      <c r="Z760" s="7"/>
      <c r="AA760" s="7"/>
      <c r="AB760" s="7"/>
      <c r="AC760" s="7"/>
    </row>
    <row r="761" spans="1:29" ht="15.75" customHeight="1" x14ac:dyDescent="0.25">
      <c r="A761" s="12" t="s">
        <v>928</v>
      </c>
      <c r="B761" s="14" t="str">
        <f>IFERROR((VLOOKUP($A761,'[1]import success seats course'!$A:P,HLOOKUP('[1]Course Totals'!B$4,'[1]import success seats course'!$1:$2,2,FALSE),FALSE)/(VLOOKUP($A761,'[1]import graded seats course pivo'!$A:Z,HLOOKUP('[1]Course Totals'!B$4,'[1]import graded seats course pivo'!$1:$2,2,FALSE),FALSE))),"")</f>
        <v/>
      </c>
      <c r="C761" s="14" t="str">
        <f>IFERROR((VLOOKUP($A761,'[1]import success seats course'!$A:Q,HLOOKUP('[1]Course Totals'!C$4,'[1]import success seats course'!$1:$2,2,FALSE),FALSE)/(VLOOKUP($A761,'[1]import graded seats course pivo'!$A:AA,HLOOKUP('[1]Course Totals'!C$4,'[1]import graded seats course pivo'!$1:$2,2,FALSE),FALSE))),"")</f>
        <v/>
      </c>
      <c r="D761" s="14">
        <f>IFERROR((VLOOKUP($A761,'[1]import success seats course'!$A:R,HLOOKUP('[1]Course Totals'!D$4,'[1]import success seats course'!$1:$2,2,FALSE),FALSE)/(VLOOKUP($A761,'[1]import graded seats course pivo'!$A:AB,HLOOKUP('[1]Course Totals'!D$4,'[1]import graded seats course pivo'!$1:$2,2,FALSE),FALSE))),"")</f>
        <v>0.9</v>
      </c>
      <c r="E761" s="14" t="str">
        <f>IFERROR((VLOOKUP($A761,'[1]import success seats course'!$A:S,HLOOKUP('[1]Course Totals'!E$4,'[1]import success seats course'!$1:$2,2,FALSE),FALSE)/(VLOOKUP($A761,'[1]import graded seats course pivo'!$A:AC,HLOOKUP('[1]Course Totals'!E$4,'[1]import graded seats course pivo'!$1:$2,2,FALSE),FALSE))),"")</f>
        <v/>
      </c>
      <c r="F761" s="14" t="str">
        <f>IFERROR((VLOOKUP($A761,'[1]import success seats course'!$A:T,HLOOKUP('[1]Course Totals'!F$4,'[1]import success seats course'!$1:$2,2,FALSE),FALSE)/(VLOOKUP($A761,'[1]import graded seats course pivo'!$A:AD,HLOOKUP('[1]Course Totals'!F$4,'[1]import graded seats course pivo'!$1:$2,2,FALSE),FALSE))),"")</f>
        <v/>
      </c>
      <c r="G761" s="14">
        <f>IFERROR((VLOOKUP($A761,'[1]import success seats course'!$A:U,HLOOKUP('[1]Course Totals'!G$4,'[1]import success seats course'!$1:$2,2,FALSE),FALSE)/(VLOOKUP($A761,'[1]import graded seats course pivo'!$A:AE,HLOOKUP('[1]Course Totals'!G$4,'[1]import graded seats course pivo'!$1:$2,2,FALSE),FALSE))),"")</f>
        <v>0.90909090909090906</v>
      </c>
      <c r="H761" s="14" t="str">
        <f>IFERROR((VLOOKUP($A761,'[1]import success seats course'!$A:V,HLOOKUP('[1]Course Totals'!H$4,'[1]import success seats course'!$1:$2,2,FALSE),FALSE)/(VLOOKUP($A761,'[1]import graded seats course pivo'!$A:AF,HLOOKUP('[1]Course Totals'!H$4,'[1]import graded seats course pivo'!$1:$2,2,FALSE),FALSE))),"")</f>
        <v/>
      </c>
      <c r="I761" s="14" t="str">
        <f>IFERROR((VLOOKUP($A761,'[1]import success seats course'!$A:W,HLOOKUP('[1]Course Totals'!I$4,'[1]import success seats course'!$1:$2,2,FALSE),FALSE)/(VLOOKUP($A761,'[1]import graded seats course pivo'!$A:AG,HLOOKUP('[1]Course Totals'!I$4,'[1]import graded seats course pivo'!$1:$2,2,FALSE),FALSE))),"")</f>
        <v/>
      </c>
      <c r="J761" s="14">
        <f>IFERROR((VLOOKUP($A761,'[1]import success seats course'!$A:X,HLOOKUP('[1]Course Totals'!J$4,'[1]import success seats course'!$1:$2,2,FALSE),FALSE)/(VLOOKUP($A761,'[1]import graded seats course pivo'!$A:AH,HLOOKUP('[1]Course Totals'!J$4,'[1]import graded seats course pivo'!$1:$2,2,FALSE),FALSE))),"")</f>
        <v>0.93478260869565222</v>
      </c>
      <c r="K761" s="14" t="str">
        <f>IFERROR((VLOOKUP($A761,'[1]import success seats course'!$A:Y,HLOOKUP('[1]Course Totals'!K$4,'[1]import success seats course'!$1:$2,2,FALSE),FALSE)/(VLOOKUP($A761,'[1]import graded seats course pivo'!$A:AI,HLOOKUP('[1]Course Totals'!K$4,'[1]import graded seats course pivo'!$1:$2,2,FALSE),FALSE))),"")</f>
        <v/>
      </c>
      <c r="L761" s="14" t="str">
        <f>IFERROR((VLOOKUP($A761,'[1]import success seats course'!$A:Z,HLOOKUP('[1]Course Totals'!L$4,'[1]import success seats course'!$1:$2,2,FALSE),FALSE)/(VLOOKUP($A761,'[1]import graded seats course pivo'!$A:AJ,HLOOKUP('[1]Course Totals'!L$4,'[1]import graded seats course pivo'!$1:$2,2,FALSE),FALSE))),"")</f>
        <v/>
      </c>
      <c r="M761" s="14">
        <f>IFERROR((VLOOKUP($A761,'[1]import success seats course'!$A:AA,HLOOKUP('[1]Course Totals'!M$4,'[1]import success seats course'!$1:$2,2,FALSE),FALSE)/(VLOOKUP($A761,'[1]import graded seats course pivo'!$A:AK,HLOOKUP('[1]Course Totals'!M$4,'[1]import graded seats course pivo'!$1:$2,2,FALSE),FALSE))),"")</f>
        <v>0.95348837209302328</v>
      </c>
      <c r="N761" s="14" t="str">
        <f>IFERROR((VLOOKUP($A761,'[1]import success seats course'!$A:AB,HLOOKUP('[1]Course Totals'!N$4,'[1]import success seats course'!$1:$2,2,FALSE),FALSE)/(VLOOKUP($A761,'[1]import graded seats course pivo'!$A:AL,HLOOKUP('[1]Course Totals'!N$4,'[1]import graded seats course pivo'!$1:$2,2,FALSE),FALSE))),"")</f>
        <v/>
      </c>
      <c r="O761" s="14" t="str">
        <f>IFERROR((VLOOKUP($A761,'[1]import success seats course'!$A:AC,HLOOKUP('[1]Course Totals'!O$4,'[1]import success seats course'!$1:$2,2,FALSE),FALSE)/(VLOOKUP($A761,'[1]import graded seats course pivo'!$A:AM,HLOOKUP('[1]Course Totals'!O$4,'[1]import graded seats course pivo'!$1:$2,2,FALSE),FALSE))),"")</f>
        <v/>
      </c>
      <c r="P761" s="14">
        <f>IFERROR((VLOOKUP($A761,'[1]import success seats course'!$A:AD,HLOOKUP('[1]Course Totals'!P$4,'[1]import success seats course'!$1:$2,2,FALSE),FALSE)/(VLOOKUP($A761,'[1]import graded seats course pivo'!$A:AN,HLOOKUP('[1]Course Totals'!P$4,'[1]import graded seats course pivo'!$1:$2,2,FALSE),FALSE))),"")</f>
        <v>0.95348837209302328</v>
      </c>
      <c r="Q761" s="14" t="str">
        <f>IFERROR((VLOOKUP($A761,'[1]import success seats course'!$A:AE,HLOOKUP('[1]Course Totals'!Q$4,'[1]import success seats course'!$1:$2,2,FALSE),FALSE)/(VLOOKUP($A761,'[1]import graded seats course pivo'!$A:AO,HLOOKUP('[1]Course Totals'!Q$4,'[1]import graded seats course pivo'!$1:$2,2,FALSE),FALSE))),"")</f>
        <v/>
      </c>
      <c r="R761" s="14" t="str">
        <f>IFERROR((VLOOKUP($A761,'[1]import success seats course'!$A:AF,HLOOKUP('[1]Course Totals'!R$4,'[1]import success seats course'!$1:$2,2,FALSE),FALSE)/(VLOOKUP($A761,'[1]import graded seats course pivo'!$A:AP,HLOOKUP('[1]Course Totals'!R$4,'[1]import graded seats course pivo'!$1:$2,2,FALSE),FALSE))),"")</f>
        <v/>
      </c>
      <c r="S761" s="14">
        <f>IFERROR((VLOOKUP($A761,'[1]import success seats course'!$A:AG,HLOOKUP('[1]Course Totals'!S$4,'[1]import success seats course'!$1:$2,2,FALSE),FALSE)/(VLOOKUP($A761,'[1]import graded seats course pivo'!$A:AQ,HLOOKUP('[1]Course Totals'!S$4,'[1]import graded seats course pivo'!$1:$2,2,FALSE),FALSE))),"")</f>
        <v>0.97142857142857142</v>
      </c>
      <c r="Z761" s="7"/>
      <c r="AA761" s="7"/>
      <c r="AB761" s="7"/>
      <c r="AC761" s="7"/>
    </row>
    <row r="762" spans="1:29" ht="15.75" customHeight="1" x14ac:dyDescent="0.25">
      <c r="A762" s="12" t="s">
        <v>351</v>
      </c>
      <c r="B762" s="14" t="str">
        <f>IFERROR((VLOOKUP($A762,'[1]import success seats course'!$A:P,HLOOKUP('[1]Course Totals'!B$4,'[1]import success seats course'!$1:$2,2,FALSE),FALSE)/(VLOOKUP($A762,'[1]import graded seats course pivo'!$A:Z,HLOOKUP('[1]Course Totals'!B$4,'[1]import graded seats course pivo'!$1:$2,2,FALSE),FALSE))),"")</f>
        <v/>
      </c>
      <c r="C762" s="14">
        <f>IFERROR((VLOOKUP($A762,'[1]import success seats course'!$A:Q,HLOOKUP('[1]Course Totals'!C$4,'[1]import success seats course'!$1:$2,2,FALSE),FALSE)/(VLOOKUP($A762,'[1]import graded seats course pivo'!$A:AA,HLOOKUP('[1]Course Totals'!C$4,'[1]import graded seats course pivo'!$1:$2,2,FALSE),FALSE))),"")</f>
        <v>0.63636363636363635</v>
      </c>
      <c r="D762" s="14" t="str">
        <f>IFERROR((VLOOKUP($A762,'[1]import success seats course'!$A:R,HLOOKUP('[1]Course Totals'!D$4,'[1]import success seats course'!$1:$2,2,FALSE),FALSE)/(VLOOKUP($A762,'[1]import graded seats course pivo'!$A:AB,HLOOKUP('[1]Course Totals'!D$4,'[1]import graded seats course pivo'!$1:$2,2,FALSE),FALSE))),"")</f>
        <v/>
      </c>
      <c r="E762" s="14" t="str">
        <f>IFERROR((VLOOKUP($A762,'[1]import success seats course'!$A:S,HLOOKUP('[1]Course Totals'!E$4,'[1]import success seats course'!$1:$2,2,FALSE),FALSE)/(VLOOKUP($A762,'[1]import graded seats course pivo'!$A:AC,HLOOKUP('[1]Course Totals'!E$4,'[1]import graded seats course pivo'!$1:$2,2,FALSE),FALSE))),"")</f>
        <v/>
      </c>
      <c r="F762" s="14">
        <f>IFERROR((VLOOKUP($A762,'[1]import success seats course'!$A:T,HLOOKUP('[1]Course Totals'!F$4,'[1]import success seats course'!$1:$2,2,FALSE),FALSE)/(VLOOKUP($A762,'[1]import graded seats course pivo'!$A:AD,HLOOKUP('[1]Course Totals'!F$4,'[1]import graded seats course pivo'!$1:$2,2,FALSE),FALSE))),"")</f>
        <v>0.7857142857142857</v>
      </c>
      <c r="G762" s="14" t="str">
        <f>IFERROR((VLOOKUP($A762,'[1]import success seats course'!$A:U,HLOOKUP('[1]Course Totals'!G$4,'[1]import success seats course'!$1:$2,2,FALSE),FALSE)/(VLOOKUP($A762,'[1]import graded seats course pivo'!$A:AE,HLOOKUP('[1]Course Totals'!G$4,'[1]import graded seats course pivo'!$1:$2,2,FALSE),FALSE))),"")</f>
        <v/>
      </c>
      <c r="H762" s="14" t="str">
        <f>IFERROR((VLOOKUP($A762,'[1]import success seats course'!$A:V,HLOOKUP('[1]Course Totals'!H$4,'[1]import success seats course'!$1:$2,2,FALSE),FALSE)/(VLOOKUP($A762,'[1]import graded seats course pivo'!$A:AF,HLOOKUP('[1]Course Totals'!H$4,'[1]import graded seats course pivo'!$1:$2,2,FALSE),FALSE))),"")</f>
        <v/>
      </c>
      <c r="I762" s="14">
        <f>IFERROR((VLOOKUP($A762,'[1]import success seats course'!$A:W,HLOOKUP('[1]Course Totals'!I$4,'[1]import success seats course'!$1:$2,2,FALSE),FALSE)/(VLOOKUP($A762,'[1]import graded seats course pivo'!$A:AG,HLOOKUP('[1]Course Totals'!I$4,'[1]import graded seats course pivo'!$1:$2,2,FALSE),FALSE))),"")</f>
        <v>0.75</v>
      </c>
      <c r="J762" s="14" t="str">
        <f>IFERROR((VLOOKUP($A762,'[1]import success seats course'!$A:X,HLOOKUP('[1]Course Totals'!J$4,'[1]import success seats course'!$1:$2,2,FALSE),FALSE)/(VLOOKUP($A762,'[1]import graded seats course pivo'!$A:AH,HLOOKUP('[1]Course Totals'!J$4,'[1]import graded seats course pivo'!$1:$2,2,FALSE),FALSE))),"")</f>
        <v/>
      </c>
      <c r="K762" s="14" t="str">
        <f>IFERROR((VLOOKUP($A762,'[1]import success seats course'!$A:Y,HLOOKUP('[1]Course Totals'!K$4,'[1]import success seats course'!$1:$2,2,FALSE),FALSE)/(VLOOKUP($A762,'[1]import graded seats course pivo'!$A:AI,HLOOKUP('[1]Course Totals'!K$4,'[1]import graded seats course pivo'!$1:$2,2,FALSE),FALSE))),"")</f>
        <v/>
      </c>
      <c r="L762" s="14">
        <f>IFERROR((VLOOKUP($A762,'[1]import success seats course'!$A:Z,HLOOKUP('[1]Course Totals'!L$4,'[1]import success seats course'!$1:$2,2,FALSE),FALSE)/(VLOOKUP($A762,'[1]import graded seats course pivo'!$A:AJ,HLOOKUP('[1]Course Totals'!L$4,'[1]import graded seats course pivo'!$1:$2,2,FALSE),FALSE))),"")</f>
        <v>0.91666666666666663</v>
      </c>
      <c r="M762" s="14" t="str">
        <f>IFERROR((VLOOKUP($A762,'[1]import success seats course'!$A:AA,HLOOKUP('[1]Course Totals'!M$4,'[1]import success seats course'!$1:$2,2,FALSE),FALSE)/(VLOOKUP($A762,'[1]import graded seats course pivo'!$A:AK,HLOOKUP('[1]Course Totals'!M$4,'[1]import graded seats course pivo'!$1:$2,2,FALSE),FALSE))),"")</f>
        <v/>
      </c>
      <c r="N762" s="14" t="str">
        <f>IFERROR((VLOOKUP($A762,'[1]import success seats course'!$A:AB,HLOOKUP('[1]Course Totals'!N$4,'[1]import success seats course'!$1:$2,2,FALSE),FALSE)/(VLOOKUP($A762,'[1]import graded seats course pivo'!$A:AL,HLOOKUP('[1]Course Totals'!N$4,'[1]import graded seats course pivo'!$1:$2,2,FALSE),FALSE))),"")</f>
        <v/>
      </c>
      <c r="O762" s="14">
        <f>IFERROR((VLOOKUP($A762,'[1]import success seats course'!$A:AC,HLOOKUP('[1]Course Totals'!O$4,'[1]import success seats course'!$1:$2,2,FALSE),FALSE)/(VLOOKUP($A762,'[1]import graded seats course pivo'!$A:AM,HLOOKUP('[1]Course Totals'!O$4,'[1]import graded seats course pivo'!$1:$2,2,FALSE),FALSE))),"")</f>
        <v>0.92</v>
      </c>
      <c r="P762" s="14" t="str">
        <f>IFERROR((VLOOKUP($A762,'[1]import success seats course'!$A:AD,HLOOKUP('[1]Course Totals'!P$4,'[1]import success seats course'!$1:$2,2,FALSE),FALSE)/(VLOOKUP($A762,'[1]import graded seats course pivo'!$A:AN,HLOOKUP('[1]Course Totals'!P$4,'[1]import graded seats course pivo'!$1:$2,2,FALSE),FALSE))),"")</f>
        <v/>
      </c>
      <c r="Q762" s="14" t="str">
        <f>IFERROR((VLOOKUP($A762,'[1]import success seats course'!$A:AE,HLOOKUP('[1]Course Totals'!Q$4,'[1]import success seats course'!$1:$2,2,FALSE),FALSE)/(VLOOKUP($A762,'[1]import graded seats course pivo'!$A:AO,HLOOKUP('[1]Course Totals'!Q$4,'[1]import graded seats course pivo'!$1:$2,2,FALSE),FALSE))),"")</f>
        <v/>
      </c>
      <c r="R762" s="14">
        <f>IFERROR((VLOOKUP($A762,'[1]import success seats course'!$A:AF,HLOOKUP('[1]Course Totals'!R$4,'[1]import success seats course'!$1:$2,2,FALSE),FALSE)/(VLOOKUP($A762,'[1]import graded seats course pivo'!$A:AP,HLOOKUP('[1]Course Totals'!R$4,'[1]import graded seats course pivo'!$1:$2,2,FALSE),FALSE))),"")</f>
        <v>0.90909090909090906</v>
      </c>
      <c r="S762" s="14" t="str">
        <f>IFERROR((VLOOKUP($A762,'[1]import success seats course'!$A:AG,HLOOKUP('[1]Course Totals'!S$4,'[1]import success seats course'!$1:$2,2,FALSE),FALSE)/(VLOOKUP($A762,'[1]import graded seats course pivo'!$A:AQ,HLOOKUP('[1]Course Totals'!S$4,'[1]import graded seats course pivo'!$1:$2,2,FALSE),FALSE))),"")</f>
        <v/>
      </c>
      <c r="Z762" s="7"/>
      <c r="AA762" s="7"/>
      <c r="AB762" s="7"/>
      <c r="AC762" s="7"/>
    </row>
    <row r="763" spans="1:29" ht="15.75" hidden="1" customHeight="1" x14ac:dyDescent="0.25">
      <c r="A763" s="12" t="s">
        <v>744</v>
      </c>
      <c r="B763" s="14" t="str">
        <f>IFERROR((VLOOKUP($A763,'[1]import success seats course'!$A:P,HLOOKUP('[1]Course Totals'!B$4,'[1]import success seats course'!$1:$2,2,FALSE),FALSE)/(VLOOKUP($A763,'[1]import graded seats course pivo'!$A:Z,HLOOKUP('[1]Course Totals'!B$4,'[1]import graded seats course pivo'!$1:$2,2,FALSE),FALSE))),"")</f>
        <v/>
      </c>
      <c r="C763" s="14" t="str">
        <f>IFERROR((VLOOKUP($A763,'[1]import success seats course'!$A:Q,HLOOKUP('[1]Course Totals'!C$4,'[1]import success seats course'!$1:$2,2,FALSE),FALSE)/(VLOOKUP($A763,'[1]import graded seats course pivo'!$A:AA,HLOOKUP('[1]Course Totals'!C$4,'[1]import graded seats course pivo'!$1:$2,2,FALSE),FALSE))),"")</f>
        <v/>
      </c>
      <c r="D763" s="14" t="str">
        <f>IFERROR((VLOOKUP($A763,'[1]import success seats course'!$A:R,HLOOKUP('[1]Course Totals'!D$4,'[1]import success seats course'!$1:$2,2,FALSE),FALSE)/(VLOOKUP($A763,'[1]import graded seats course pivo'!$A:AB,HLOOKUP('[1]Course Totals'!D$4,'[1]import graded seats course pivo'!$1:$2,2,FALSE),FALSE))),"")</f>
        <v/>
      </c>
      <c r="E763" s="14" t="str">
        <f>IFERROR((VLOOKUP($A763,'[1]import success seats course'!$A:S,HLOOKUP('[1]Course Totals'!E$4,'[1]import success seats course'!$1:$2,2,FALSE),FALSE)/(VLOOKUP($A763,'[1]import graded seats course pivo'!$A:AC,HLOOKUP('[1]Course Totals'!E$4,'[1]import graded seats course pivo'!$1:$2,2,FALSE),FALSE))),"")</f>
        <v/>
      </c>
      <c r="F763" s="14" t="str">
        <f>IFERROR((VLOOKUP($A763,'[1]import success seats course'!$A:T,HLOOKUP('[1]Course Totals'!F$4,'[1]import success seats course'!$1:$2,2,FALSE),FALSE)/(VLOOKUP($A763,'[1]import graded seats course pivo'!$A:AD,HLOOKUP('[1]Course Totals'!F$4,'[1]import graded seats course pivo'!$1:$2,2,FALSE),FALSE))),"")</f>
        <v/>
      </c>
      <c r="G763" s="14" t="str">
        <f>IFERROR((VLOOKUP($A763,'[1]import success seats course'!$A:U,HLOOKUP('[1]Course Totals'!G$4,'[1]import success seats course'!$1:$2,2,FALSE),FALSE)/(VLOOKUP($A763,'[1]import graded seats course pivo'!$A:AE,HLOOKUP('[1]Course Totals'!G$4,'[1]import graded seats course pivo'!$1:$2,2,FALSE),FALSE))),"")</f>
        <v/>
      </c>
      <c r="H763" s="14" t="str">
        <f>IFERROR((VLOOKUP($A763,'[1]import success seats course'!$A:V,HLOOKUP('[1]Course Totals'!H$4,'[1]import success seats course'!$1:$2,2,FALSE),FALSE)/(VLOOKUP($A763,'[1]import graded seats course pivo'!$A:AF,HLOOKUP('[1]Course Totals'!H$4,'[1]import graded seats course pivo'!$1:$2,2,FALSE),FALSE))),"")</f>
        <v/>
      </c>
      <c r="I763" s="14" t="str">
        <f>IFERROR((VLOOKUP($A763,'[1]import success seats course'!$A:W,HLOOKUP('[1]Course Totals'!I$4,'[1]import success seats course'!$1:$2,2,FALSE),FALSE)/(VLOOKUP($A763,'[1]import graded seats course pivo'!$A:AG,HLOOKUP('[1]Course Totals'!I$4,'[1]import graded seats course pivo'!$1:$2,2,FALSE),FALSE))),"")</f>
        <v/>
      </c>
      <c r="J763" s="14" t="str">
        <f>IFERROR((VLOOKUP($A763,'[1]import success seats course'!$A:X,HLOOKUP('[1]Course Totals'!J$4,'[1]import success seats course'!$1:$2,2,FALSE),FALSE)/(VLOOKUP($A763,'[1]import graded seats course pivo'!$A:AH,HLOOKUP('[1]Course Totals'!J$4,'[1]import graded seats course pivo'!$1:$2,2,FALSE),FALSE))),"")</f>
        <v/>
      </c>
      <c r="K763" s="14" t="str">
        <f>IFERROR((VLOOKUP($A763,'[1]import success seats course'!$A:Y,HLOOKUP('[1]Course Totals'!K$4,'[1]import success seats course'!$1:$2,2,FALSE),FALSE)/(VLOOKUP($A763,'[1]import graded seats course pivo'!$A:AI,HLOOKUP('[1]Course Totals'!K$4,'[1]import graded seats course pivo'!$1:$2,2,FALSE),FALSE))),"")</f>
        <v/>
      </c>
      <c r="L763" s="14" t="str">
        <f>IFERROR((VLOOKUP($A763,'[1]import success seats course'!$A:Z,HLOOKUP('[1]Course Totals'!L$4,'[1]import success seats course'!$1:$2,2,FALSE),FALSE)/(VLOOKUP($A763,'[1]import graded seats course pivo'!$A:AJ,HLOOKUP('[1]Course Totals'!L$4,'[1]import graded seats course pivo'!$1:$2,2,FALSE),FALSE))),"")</f>
        <v/>
      </c>
      <c r="M763" s="14" t="str">
        <f>IFERROR((VLOOKUP($A763,'[1]import success seats course'!$A:AA,HLOOKUP('[1]Course Totals'!M$4,'[1]import success seats course'!$1:$2,2,FALSE),FALSE)/(VLOOKUP($A763,'[1]import graded seats course pivo'!$A:AK,HLOOKUP('[1]Course Totals'!M$4,'[1]import graded seats course pivo'!$1:$2,2,FALSE),FALSE))),"")</f>
        <v/>
      </c>
      <c r="N763" s="14" t="str">
        <f>IFERROR((VLOOKUP($A763,'[1]import success seats course'!$A:AB,HLOOKUP('[1]Course Totals'!N$4,'[1]import success seats course'!$1:$2,2,FALSE),FALSE)/(VLOOKUP($A763,'[1]import graded seats course pivo'!$A:AL,HLOOKUP('[1]Course Totals'!N$4,'[1]import graded seats course pivo'!$1:$2,2,FALSE),FALSE))),"")</f>
        <v/>
      </c>
      <c r="O763" s="14" t="str">
        <f>IFERROR((VLOOKUP($A763,'[1]import success seats course'!$A:AC,HLOOKUP('[1]Course Totals'!O$4,'[1]import success seats course'!$1:$2,2,FALSE),FALSE)/(VLOOKUP($A763,'[1]import graded seats course pivo'!$A:AM,HLOOKUP('[1]Course Totals'!O$4,'[1]import graded seats course pivo'!$1:$2,2,FALSE),FALSE))),"")</f>
        <v/>
      </c>
      <c r="P763" s="14" t="str">
        <f>IFERROR((VLOOKUP($A763,'[1]import success seats course'!$A:AD,HLOOKUP('[1]Course Totals'!P$4,'[1]import success seats course'!$1:$2,2,FALSE),FALSE)/(VLOOKUP($A763,'[1]import graded seats course pivo'!$A:AN,HLOOKUP('[1]Course Totals'!P$4,'[1]import graded seats course pivo'!$1:$2,2,FALSE),FALSE))),"")</f>
        <v/>
      </c>
      <c r="Q763" s="14" t="str">
        <f>IFERROR((VLOOKUP($A763,'[1]import success seats course'!$A:AE,HLOOKUP('[1]Course Totals'!Q$4,'[1]import success seats course'!$1:$2,2,FALSE),FALSE)/(VLOOKUP($A763,'[1]import graded seats course pivo'!$A:AO,HLOOKUP('[1]Course Totals'!Q$4,'[1]import graded seats course pivo'!$1:$2,2,FALSE),FALSE))),"")</f>
        <v/>
      </c>
      <c r="R763" s="14" t="str">
        <f>IFERROR((VLOOKUP($A763,'[1]import success seats course'!$A:AF,HLOOKUP('[1]Course Totals'!R$4,'[1]import success seats course'!$1:$2,2,FALSE),FALSE)/(VLOOKUP($A763,'[1]import graded seats course pivo'!$A:AP,HLOOKUP('[1]Course Totals'!R$4,'[1]import graded seats course pivo'!$1:$2,2,FALSE),FALSE))),"")</f>
        <v/>
      </c>
      <c r="S763" s="14" t="str">
        <f>IFERROR((VLOOKUP($A763,'[1]import success seats course'!$A:AG,HLOOKUP('[1]Course Totals'!S$4,'[1]import success seats course'!$1:$2,2,FALSE),FALSE)/(VLOOKUP($A763,'[1]import graded seats course pivo'!$A:AQ,HLOOKUP('[1]Course Totals'!S$4,'[1]import graded seats course pivo'!$1:$2,2,FALSE),FALSE))),"")</f>
        <v/>
      </c>
      <c r="Z763" s="7"/>
      <c r="AA763" s="7"/>
      <c r="AB763" s="7"/>
      <c r="AC763" s="7"/>
    </row>
    <row r="764" spans="1:29" ht="15.75" customHeight="1" x14ac:dyDescent="0.25">
      <c r="A764" s="12" t="s">
        <v>852</v>
      </c>
      <c r="B764" s="14" t="str">
        <f>IFERROR((VLOOKUP($A764,'[1]import success seats course'!$A:P,HLOOKUP('[1]Course Totals'!B$4,'[1]import success seats course'!$1:$2,2,FALSE),FALSE)/(VLOOKUP($A764,'[1]import graded seats course pivo'!$A:Z,HLOOKUP('[1]Course Totals'!B$4,'[1]import graded seats course pivo'!$1:$2,2,FALSE),FALSE))),"")</f>
        <v/>
      </c>
      <c r="C764" s="14" t="str">
        <f>IFERROR((VLOOKUP($A764,'[1]import success seats course'!$A:Q,HLOOKUP('[1]Course Totals'!C$4,'[1]import success seats course'!$1:$2,2,FALSE),FALSE)/(VLOOKUP($A764,'[1]import graded seats course pivo'!$A:AA,HLOOKUP('[1]Course Totals'!C$4,'[1]import graded seats course pivo'!$1:$2,2,FALSE),FALSE))),"")</f>
        <v/>
      </c>
      <c r="D764" s="14" t="str">
        <f>IFERROR((VLOOKUP($A764,'[1]import success seats course'!$A:R,HLOOKUP('[1]Course Totals'!D$4,'[1]import success seats course'!$1:$2,2,FALSE),FALSE)/(VLOOKUP($A764,'[1]import graded seats course pivo'!$A:AB,HLOOKUP('[1]Course Totals'!D$4,'[1]import graded seats course pivo'!$1:$2,2,FALSE),FALSE))),"")</f>
        <v/>
      </c>
      <c r="E764" s="14" t="str">
        <f>IFERROR((VLOOKUP($A764,'[1]import success seats course'!$A:S,HLOOKUP('[1]Course Totals'!E$4,'[1]import success seats course'!$1:$2,2,FALSE),FALSE)/(VLOOKUP($A764,'[1]import graded seats course pivo'!$A:AC,HLOOKUP('[1]Course Totals'!E$4,'[1]import graded seats course pivo'!$1:$2,2,FALSE),FALSE))),"")</f>
        <v/>
      </c>
      <c r="F764" s="14" t="str">
        <f>IFERROR((VLOOKUP($A764,'[1]import success seats course'!$A:T,HLOOKUP('[1]Course Totals'!F$4,'[1]import success seats course'!$1:$2,2,FALSE),FALSE)/(VLOOKUP($A764,'[1]import graded seats course pivo'!$A:AD,HLOOKUP('[1]Course Totals'!F$4,'[1]import graded seats course pivo'!$1:$2,2,FALSE),FALSE))),"")</f>
        <v/>
      </c>
      <c r="G764" s="14" t="str">
        <f>IFERROR((VLOOKUP($A764,'[1]import success seats course'!$A:U,HLOOKUP('[1]Course Totals'!G$4,'[1]import success seats course'!$1:$2,2,FALSE),FALSE)/(VLOOKUP($A764,'[1]import graded seats course pivo'!$A:AE,HLOOKUP('[1]Course Totals'!G$4,'[1]import graded seats course pivo'!$1:$2,2,FALSE),FALSE))),"")</f>
        <v/>
      </c>
      <c r="H764" s="14" t="str">
        <f>IFERROR((VLOOKUP($A764,'[1]import success seats course'!$A:V,HLOOKUP('[1]Course Totals'!H$4,'[1]import success seats course'!$1:$2,2,FALSE),FALSE)/(VLOOKUP($A764,'[1]import graded seats course pivo'!$A:AF,HLOOKUP('[1]Course Totals'!H$4,'[1]import graded seats course pivo'!$1:$2,2,FALSE),FALSE))),"")</f>
        <v/>
      </c>
      <c r="I764" s="14" t="str">
        <f>IFERROR((VLOOKUP($A764,'[1]import success seats course'!$A:W,HLOOKUP('[1]Course Totals'!I$4,'[1]import success seats course'!$1:$2,2,FALSE),FALSE)/(VLOOKUP($A764,'[1]import graded seats course pivo'!$A:AG,HLOOKUP('[1]Course Totals'!I$4,'[1]import graded seats course pivo'!$1:$2,2,FALSE),FALSE))),"")</f>
        <v/>
      </c>
      <c r="J764" s="14" t="str">
        <f>IFERROR((VLOOKUP($A764,'[1]import success seats course'!$A:X,HLOOKUP('[1]Course Totals'!J$4,'[1]import success seats course'!$1:$2,2,FALSE),FALSE)/(VLOOKUP($A764,'[1]import graded seats course pivo'!$A:AH,HLOOKUP('[1]Course Totals'!J$4,'[1]import graded seats course pivo'!$1:$2,2,FALSE),FALSE))),"")</f>
        <v/>
      </c>
      <c r="K764" s="14" t="str">
        <f>IFERROR((VLOOKUP($A764,'[1]import success seats course'!$A:Y,HLOOKUP('[1]Course Totals'!K$4,'[1]import success seats course'!$1:$2,2,FALSE),FALSE)/(VLOOKUP($A764,'[1]import graded seats course pivo'!$A:AI,HLOOKUP('[1]Course Totals'!K$4,'[1]import graded seats course pivo'!$1:$2,2,FALSE),FALSE))),"")</f>
        <v/>
      </c>
      <c r="L764" s="14" t="str">
        <f>IFERROR((VLOOKUP($A764,'[1]import success seats course'!$A:Z,HLOOKUP('[1]Course Totals'!L$4,'[1]import success seats course'!$1:$2,2,FALSE),FALSE)/(VLOOKUP($A764,'[1]import graded seats course pivo'!$A:AJ,HLOOKUP('[1]Course Totals'!L$4,'[1]import graded seats course pivo'!$1:$2,2,FALSE),FALSE))),"")</f>
        <v/>
      </c>
      <c r="M764" s="14" t="str">
        <f>IFERROR((VLOOKUP($A764,'[1]import success seats course'!$A:AA,HLOOKUP('[1]Course Totals'!M$4,'[1]import success seats course'!$1:$2,2,FALSE),FALSE)/(VLOOKUP($A764,'[1]import graded seats course pivo'!$A:AK,HLOOKUP('[1]Course Totals'!M$4,'[1]import graded seats course pivo'!$1:$2,2,FALSE),FALSE))),"")</f>
        <v/>
      </c>
      <c r="N764" s="14" t="str">
        <f>IFERROR((VLOOKUP($A764,'[1]import success seats course'!$A:AB,HLOOKUP('[1]Course Totals'!N$4,'[1]import success seats course'!$1:$2,2,FALSE),FALSE)/(VLOOKUP($A764,'[1]import graded seats course pivo'!$A:AL,HLOOKUP('[1]Course Totals'!N$4,'[1]import graded seats course pivo'!$1:$2,2,FALSE),FALSE))),"")</f>
        <v/>
      </c>
      <c r="O764" s="14">
        <f>IFERROR((VLOOKUP($A764,'[1]import success seats course'!$A:AC,HLOOKUP('[1]Course Totals'!O$4,'[1]import success seats course'!$1:$2,2,FALSE),FALSE)/(VLOOKUP($A764,'[1]import graded seats course pivo'!$A:AM,HLOOKUP('[1]Course Totals'!O$4,'[1]import graded seats course pivo'!$1:$2,2,FALSE),FALSE))),"")</f>
        <v>1</v>
      </c>
      <c r="P764" s="14" t="str">
        <f>IFERROR((VLOOKUP($A764,'[1]import success seats course'!$A:AD,HLOOKUP('[1]Course Totals'!P$4,'[1]import success seats course'!$1:$2,2,FALSE),FALSE)/(VLOOKUP($A764,'[1]import graded seats course pivo'!$A:AN,HLOOKUP('[1]Course Totals'!P$4,'[1]import graded seats course pivo'!$1:$2,2,FALSE),FALSE))),"")</f>
        <v/>
      </c>
      <c r="Q764" s="14" t="str">
        <f>IFERROR((VLOOKUP($A764,'[1]import success seats course'!$A:AE,HLOOKUP('[1]Course Totals'!Q$4,'[1]import success seats course'!$1:$2,2,FALSE),FALSE)/(VLOOKUP($A764,'[1]import graded seats course pivo'!$A:AO,HLOOKUP('[1]Course Totals'!Q$4,'[1]import graded seats course pivo'!$1:$2,2,FALSE),FALSE))),"")</f>
        <v/>
      </c>
      <c r="R764" s="14" t="str">
        <f>IFERROR((VLOOKUP($A764,'[1]import success seats course'!$A:AF,HLOOKUP('[1]Course Totals'!R$4,'[1]import success seats course'!$1:$2,2,FALSE),FALSE)/(VLOOKUP($A764,'[1]import graded seats course pivo'!$A:AP,HLOOKUP('[1]Course Totals'!R$4,'[1]import graded seats course pivo'!$1:$2,2,FALSE),FALSE))),"")</f>
        <v/>
      </c>
      <c r="S764" s="14" t="str">
        <f>IFERROR((VLOOKUP($A764,'[1]import success seats course'!$A:AG,HLOOKUP('[1]Course Totals'!S$4,'[1]import success seats course'!$1:$2,2,FALSE),FALSE)/(VLOOKUP($A764,'[1]import graded seats course pivo'!$A:AQ,HLOOKUP('[1]Course Totals'!S$4,'[1]import graded seats course pivo'!$1:$2,2,FALSE),FALSE))),"")</f>
        <v/>
      </c>
      <c r="Z764" s="7"/>
      <c r="AA764" s="7"/>
      <c r="AB764" s="7"/>
      <c r="AC764" s="7"/>
    </row>
    <row r="765" spans="1:29" ht="15.75" x14ac:dyDescent="0.25">
      <c r="A765" s="9" t="s">
        <v>1139</v>
      </c>
      <c r="B765" s="67" t="str">
        <f>'[1]Subject TOTALS'!$B$1:$P$1</f>
        <v xml:space="preserve">MVC Retention Rates </v>
      </c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Z765" s="7"/>
      <c r="AA765" s="7"/>
      <c r="AB765" s="7"/>
      <c r="AC765" s="7"/>
    </row>
    <row r="766" spans="1:29" ht="15.75" customHeight="1" thickBot="1" x14ac:dyDescent="0.3">
      <c r="A766" s="8" t="str">
        <f>'[1]SUBJECTS BASE'!H45</f>
        <v>Management/Supervision</v>
      </c>
      <c r="B766" s="38" t="s">
        <v>1046</v>
      </c>
      <c r="C766" s="39" t="s">
        <v>0</v>
      </c>
      <c r="D766" s="40" t="s">
        <v>868</v>
      </c>
      <c r="E766" s="41" t="s">
        <v>1052</v>
      </c>
      <c r="F766" s="42" t="s">
        <v>546</v>
      </c>
      <c r="G766" s="43" t="s">
        <v>959</v>
      </c>
      <c r="H766" s="44" t="s">
        <v>1060</v>
      </c>
      <c r="I766" s="39" t="s">
        <v>675</v>
      </c>
      <c r="J766" s="45" t="s">
        <v>1006</v>
      </c>
      <c r="K766" s="46" t="s">
        <v>1062</v>
      </c>
      <c r="L766" s="42" t="s">
        <v>762</v>
      </c>
      <c r="M766" s="43" t="s">
        <v>1022</v>
      </c>
      <c r="N766" s="44" t="s">
        <v>1063</v>
      </c>
      <c r="O766" s="39" t="s">
        <v>822</v>
      </c>
      <c r="P766" s="40" t="s">
        <v>1042</v>
      </c>
      <c r="Q766" s="46" t="s">
        <v>1153</v>
      </c>
      <c r="R766" s="42" t="s">
        <v>1154</v>
      </c>
      <c r="S766" s="43" t="s">
        <v>1155</v>
      </c>
      <c r="Z766" s="7"/>
      <c r="AA766" s="7"/>
      <c r="AB766" s="7"/>
      <c r="AC766" s="7"/>
    </row>
    <row r="767" spans="1:29" ht="15.75" customHeight="1" x14ac:dyDescent="0.25">
      <c r="A767" s="12" t="s">
        <v>352</v>
      </c>
      <c r="B767" s="14" t="str">
        <f>IFERROR((VLOOKUP($A767,'[1]import success seats course'!$A:P,HLOOKUP('[1]Course Totals'!B$4,'[1]import success seats course'!$1:$2,2,FALSE),FALSE)/(VLOOKUP($A767,'[1]import graded seats course pivo'!$A:Z,HLOOKUP('[1]Course Totals'!B$4,'[1]import graded seats course pivo'!$1:$2,2,FALSE),FALSE))),"")</f>
        <v/>
      </c>
      <c r="C767" s="14">
        <f>IFERROR((VLOOKUP($A767,'[1]import success seats course'!$A:Q,HLOOKUP('[1]Course Totals'!C$4,'[1]import success seats course'!$1:$2,2,FALSE),FALSE)/(VLOOKUP($A767,'[1]import graded seats course pivo'!$A:AA,HLOOKUP('[1]Course Totals'!C$4,'[1]import graded seats course pivo'!$1:$2,2,FALSE),FALSE))),"")</f>
        <v>0.8214285714285714</v>
      </c>
      <c r="D767" s="14">
        <f>IFERROR((VLOOKUP($A767,'[1]import success seats course'!$A:R,HLOOKUP('[1]Course Totals'!D$4,'[1]import success seats course'!$1:$2,2,FALSE),FALSE)/(VLOOKUP($A767,'[1]import graded seats course pivo'!$A:AB,HLOOKUP('[1]Course Totals'!D$4,'[1]import graded seats course pivo'!$1:$2,2,FALSE),FALSE))),"")</f>
        <v>0.83783783783783783</v>
      </c>
      <c r="E767" s="14" t="str">
        <f>IFERROR((VLOOKUP($A767,'[1]import success seats course'!$A:S,HLOOKUP('[1]Course Totals'!E$4,'[1]import success seats course'!$1:$2,2,FALSE),FALSE)/(VLOOKUP($A767,'[1]import graded seats course pivo'!$A:AC,HLOOKUP('[1]Course Totals'!E$4,'[1]import graded seats course pivo'!$1:$2,2,FALSE),FALSE))),"")</f>
        <v/>
      </c>
      <c r="F767" s="14">
        <f>IFERROR((VLOOKUP($A767,'[1]import success seats course'!$A:T,HLOOKUP('[1]Course Totals'!F$4,'[1]import success seats course'!$1:$2,2,FALSE),FALSE)/(VLOOKUP($A767,'[1]import graded seats course pivo'!$A:AD,HLOOKUP('[1]Course Totals'!F$4,'[1]import graded seats course pivo'!$1:$2,2,FALSE),FALSE))),"")</f>
        <v>0.85964912280701755</v>
      </c>
      <c r="G767" s="14">
        <f>IFERROR((VLOOKUP($A767,'[1]import success seats course'!$A:U,HLOOKUP('[1]Course Totals'!G$4,'[1]import success seats course'!$1:$2,2,FALSE),FALSE)/(VLOOKUP($A767,'[1]import graded seats course pivo'!$A:AE,HLOOKUP('[1]Course Totals'!G$4,'[1]import graded seats course pivo'!$1:$2,2,FALSE),FALSE))),"")</f>
        <v>0.8</v>
      </c>
      <c r="H767" s="14" t="str">
        <f>IFERROR((VLOOKUP($A767,'[1]import success seats course'!$A:V,HLOOKUP('[1]Course Totals'!H$4,'[1]import success seats course'!$1:$2,2,FALSE),FALSE)/(VLOOKUP($A767,'[1]import graded seats course pivo'!$A:AF,HLOOKUP('[1]Course Totals'!H$4,'[1]import graded seats course pivo'!$1:$2,2,FALSE),FALSE))),"")</f>
        <v/>
      </c>
      <c r="I767" s="14">
        <f>IFERROR((VLOOKUP($A767,'[1]import success seats course'!$A:W,HLOOKUP('[1]Course Totals'!I$4,'[1]import success seats course'!$1:$2,2,FALSE),FALSE)/(VLOOKUP($A767,'[1]import graded seats course pivo'!$A:AG,HLOOKUP('[1]Course Totals'!I$4,'[1]import graded seats course pivo'!$1:$2,2,FALSE),FALSE))),"")</f>
        <v>0.77272727272727271</v>
      </c>
      <c r="J767" s="14">
        <f>IFERROR((VLOOKUP($A767,'[1]import success seats course'!$A:X,HLOOKUP('[1]Course Totals'!J$4,'[1]import success seats course'!$1:$2,2,FALSE),FALSE)/(VLOOKUP($A767,'[1]import graded seats course pivo'!$A:AH,HLOOKUP('[1]Course Totals'!J$4,'[1]import graded seats course pivo'!$1:$2,2,FALSE),FALSE))),"")</f>
        <v>0.70588235294117652</v>
      </c>
      <c r="K767" s="14" t="str">
        <f>IFERROR((VLOOKUP($A767,'[1]import success seats course'!$A:Y,HLOOKUP('[1]Course Totals'!K$4,'[1]import success seats course'!$1:$2,2,FALSE),FALSE)/(VLOOKUP($A767,'[1]import graded seats course pivo'!$A:AI,HLOOKUP('[1]Course Totals'!K$4,'[1]import graded seats course pivo'!$1:$2,2,FALSE),FALSE))),"")</f>
        <v/>
      </c>
      <c r="L767" s="14">
        <f>IFERROR((VLOOKUP($A767,'[1]import success seats course'!$A:Z,HLOOKUP('[1]Course Totals'!L$4,'[1]import success seats course'!$1:$2,2,FALSE),FALSE)/(VLOOKUP($A767,'[1]import graded seats course pivo'!$A:AJ,HLOOKUP('[1]Course Totals'!L$4,'[1]import graded seats course pivo'!$1:$2,2,FALSE),FALSE))),"")</f>
        <v>0.91489361702127658</v>
      </c>
      <c r="M767" s="14">
        <f>IFERROR((VLOOKUP($A767,'[1]import success seats course'!$A:AA,HLOOKUP('[1]Course Totals'!M$4,'[1]import success seats course'!$1:$2,2,FALSE),FALSE)/(VLOOKUP($A767,'[1]import graded seats course pivo'!$A:AK,HLOOKUP('[1]Course Totals'!M$4,'[1]import graded seats course pivo'!$1:$2,2,FALSE),FALSE))),"")</f>
        <v>0.797752808988764</v>
      </c>
      <c r="N767" s="14" t="str">
        <f>IFERROR((VLOOKUP($A767,'[1]import success seats course'!$A:AB,HLOOKUP('[1]Course Totals'!N$4,'[1]import success seats course'!$1:$2,2,FALSE),FALSE)/(VLOOKUP($A767,'[1]import graded seats course pivo'!$A:AL,HLOOKUP('[1]Course Totals'!N$4,'[1]import graded seats course pivo'!$1:$2,2,FALSE),FALSE))),"")</f>
        <v/>
      </c>
      <c r="O767" s="14">
        <f>IFERROR((VLOOKUP($A767,'[1]import success seats course'!$A:AC,HLOOKUP('[1]Course Totals'!O$4,'[1]import success seats course'!$1:$2,2,FALSE),FALSE)/(VLOOKUP($A767,'[1]import graded seats course pivo'!$A:AM,HLOOKUP('[1]Course Totals'!O$4,'[1]import graded seats course pivo'!$1:$2,2,FALSE),FALSE))),"")</f>
        <v>0.6470588235294118</v>
      </c>
      <c r="P767" s="14">
        <f>IFERROR((VLOOKUP($A767,'[1]import success seats course'!$A:AD,HLOOKUP('[1]Course Totals'!P$4,'[1]import success seats course'!$1:$2,2,FALSE),FALSE)/(VLOOKUP($A767,'[1]import graded seats course pivo'!$A:AN,HLOOKUP('[1]Course Totals'!P$4,'[1]import graded seats course pivo'!$1:$2,2,FALSE),FALSE))),"")</f>
        <v>0.59740259740259738</v>
      </c>
      <c r="Q767" s="14" t="str">
        <f>IFERROR((VLOOKUP($A767,'[1]import success seats course'!$A:AE,HLOOKUP('[1]Course Totals'!Q$4,'[1]import success seats course'!$1:$2,2,FALSE),FALSE)/(VLOOKUP($A767,'[1]import graded seats course pivo'!$A:AO,HLOOKUP('[1]Course Totals'!Q$4,'[1]import graded seats course pivo'!$1:$2,2,FALSE),FALSE))),"")</f>
        <v/>
      </c>
      <c r="R767" s="14">
        <f>IFERROR((VLOOKUP($A767,'[1]import success seats course'!$A:AF,HLOOKUP('[1]Course Totals'!R$4,'[1]import success seats course'!$1:$2,2,FALSE),FALSE)/(VLOOKUP($A767,'[1]import graded seats course pivo'!$A:AP,HLOOKUP('[1]Course Totals'!R$4,'[1]import graded seats course pivo'!$1:$2,2,FALSE),FALSE))),"")</f>
        <v>0.80303030303030298</v>
      </c>
      <c r="S767" s="14">
        <f>IFERROR((VLOOKUP($A767,'[1]import success seats course'!$A:AG,HLOOKUP('[1]Course Totals'!S$4,'[1]import success seats course'!$1:$2,2,FALSE),FALSE)/(VLOOKUP($A767,'[1]import graded seats course pivo'!$A:AQ,HLOOKUP('[1]Course Totals'!S$4,'[1]import graded seats course pivo'!$1:$2,2,FALSE),FALSE))),"")</f>
        <v>0.93103448275862066</v>
      </c>
      <c r="Z767" s="7"/>
      <c r="AA767" s="7"/>
      <c r="AB767" s="7"/>
      <c r="AC767" s="7"/>
    </row>
    <row r="768" spans="1:29" ht="15.75" customHeight="1" x14ac:dyDescent="0.25">
      <c r="A768" s="12" t="s">
        <v>745</v>
      </c>
      <c r="B768" s="14" t="str">
        <f>IFERROR((VLOOKUP($A768,'[1]import success seats course'!$A:P,HLOOKUP('[1]Course Totals'!B$4,'[1]import success seats course'!$1:$2,2,FALSE),FALSE)/(VLOOKUP($A768,'[1]import graded seats course pivo'!$A:Z,HLOOKUP('[1]Course Totals'!B$4,'[1]import graded seats course pivo'!$1:$2,2,FALSE),FALSE))),"")</f>
        <v/>
      </c>
      <c r="C768" s="14" t="str">
        <f>IFERROR((VLOOKUP($A768,'[1]import success seats course'!$A:Q,HLOOKUP('[1]Course Totals'!C$4,'[1]import success seats course'!$1:$2,2,FALSE),FALSE)/(VLOOKUP($A768,'[1]import graded seats course pivo'!$A:AA,HLOOKUP('[1]Course Totals'!C$4,'[1]import graded seats course pivo'!$1:$2,2,FALSE),FALSE))),"")</f>
        <v/>
      </c>
      <c r="D768" s="14" t="str">
        <f>IFERROR((VLOOKUP($A768,'[1]import success seats course'!$A:R,HLOOKUP('[1]Course Totals'!D$4,'[1]import success seats course'!$1:$2,2,FALSE),FALSE)/(VLOOKUP($A768,'[1]import graded seats course pivo'!$A:AB,HLOOKUP('[1]Course Totals'!D$4,'[1]import graded seats course pivo'!$1:$2,2,FALSE),FALSE))),"")</f>
        <v/>
      </c>
      <c r="E768" s="14" t="str">
        <f>IFERROR((VLOOKUP($A768,'[1]import success seats course'!$A:S,HLOOKUP('[1]Course Totals'!E$4,'[1]import success seats course'!$1:$2,2,FALSE),FALSE)/(VLOOKUP($A768,'[1]import graded seats course pivo'!$A:AC,HLOOKUP('[1]Course Totals'!E$4,'[1]import graded seats course pivo'!$1:$2,2,FALSE),FALSE))),"")</f>
        <v/>
      </c>
      <c r="F768" s="14" t="str">
        <f>IFERROR((VLOOKUP($A768,'[1]import success seats course'!$A:T,HLOOKUP('[1]Course Totals'!F$4,'[1]import success seats course'!$1:$2,2,FALSE),FALSE)/(VLOOKUP($A768,'[1]import graded seats course pivo'!$A:AD,HLOOKUP('[1]Course Totals'!F$4,'[1]import graded seats course pivo'!$1:$2,2,FALSE),FALSE))),"")</f>
        <v/>
      </c>
      <c r="G768" s="14" t="str">
        <f>IFERROR((VLOOKUP($A768,'[1]import success seats course'!$A:U,HLOOKUP('[1]Course Totals'!G$4,'[1]import success seats course'!$1:$2,2,FALSE),FALSE)/(VLOOKUP($A768,'[1]import graded seats course pivo'!$A:AE,HLOOKUP('[1]Course Totals'!G$4,'[1]import graded seats course pivo'!$1:$2,2,FALSE),FALSE))),"")</f>
        <v/>
      </c>
      <c r="H768" s="14" t="str">
        <f>IFERROR((VLOOKUP($A768,'[1]import success seats course'!$A:V,HLOOKUP('[1]Course Totals'!H$4,'[1]import success seats course'!$1:$2,2,FALSE),FALSE)/(VLOOKUP($A768,'[1]import graded seats course pivo'!$A:AF,HLOOKUP('[1]Course Totals'!H$4,'[1]import graded seats course pivo'!$1:$2,2,FALSE),FALSE))),"")</f>
        <v/>
      </c>
      <c r="I768" s="14">
        <f>IFERROR((VLOOKUP($A768,'[1]import success seats course'!$A:W,HLOOKUP('[1]Course Totals'!I$4,'[1]import success seats course'!$1:$2,2,FALSE),FALSE)/(VLOOKUP($A768,'[1]import graded seats course pivo'!$A:AG,HLOOKUP('[1]Course Totals'!I$4,'[1]import graded seats course pivo'!$1:$2,2,FALSE),FALSE))),"")</f>
        <v>0</v>
      </c>
      <c r="J768" s="14">
        <f>IFERROR((VLOOKUP($A768,'[1]import success seats course'!$A:X,HLOOKUP('[1]Course Totals'!J$4,'[1]import success seats course'!$1:$2,2,FALSE),FALSE)/(VLOOKUP($A768,'[1]import graded seats course pivo'!$A:AH,HLOOKUP('[1]Course Totals'!J$4,'[1]import graded seats course pivo'!$1:$2,2,FALSE),FALSE))),"")</f>
        <v>0.5</v>
      </c>
      <c r="K768" s="14" t="str">
        <f>IFERROR((VLOOKUP($A768,'[1]import success seats course'!$A:Y,HLOOKUP('[1]Course Totals'!K$4,'[1]import success seats course'!$1:$2,2,FALSE),FALSE)/(VLOOKUP($A768,'[1]import graded seats course pivo'!$A:AI,HLOOKUP('[1]Course Totals'!K$4,'[1]import graded seats course pivo'!$1:$2,2,FALSE),FALSE))),"")</f>
        <v/>
      </c>
      <c r="L768" s="14">
        <f>IFERROR((VLOOKUP($A768,'[1]import success seats course'!$A:Z,HLOOKUP('[1]Course Totals'!L$4,'[1]import success seats course'!$1:$2,2,FALSE),FALSE)/(VLOOKUP($A768,'[1]import graded seats course pivo'!$A:AJ,HLOOKUP('[1]Course Totals'!L$4,'[1]import graded seats course pivo'!$1:$2,2,FALSE),FALSE))),"")</f>
        <v>1</v>
      </c>
      <c r="M768" s="14">
        <f>IFERROR((VLOOKUP($A768,'[1]import success seats course'!$A:AA,HLOOKUP('[1]Course Totals'!M$4,'[1]import success seats course'!$1:$2,2,FALSE),FALSE)/(VLOOKUP($A768,'[1]import graded seats course pivo'!$A:AK,HLOOKUP('[1]Course Totals'!M$4,'[1]import graded seats course pivo'!$1:$2,2,FALSE),FALSE))),"")</f>
        <v>1</v>
      </c>
      <c r="N768" s="14" t="str">
        <f>IFERROR((VLOOKUP($A768,'[1]import success seats course'!$A:AB,HLOOKUP('[1]Course Totals'!N$4,'[1]import success seats course'!$1:$2,2,FALSE),FALSE)/(VLOOKUP($A768,'[1]import graded seats course pivo'!$A:AL,HLOOKUP('[1]Course Totals'!N$4,'[1]import graded seats course pivo'!$1:$2,2,FALSE),FALSE))),"")</f>
        <v/>
      </c>
      <c r="O768" s="14">
        <f>IFERROR((VLOOKUP($A768,'[1]import success seats course'!$A:AC,HLOOKUP('[1]Course Totals'!O$4,'[1]import success seats course'!$1:$2,2,FALSE),FALSE)/(VLOOKUP($A768,'[1]import graded seats course pivo'!$A:AM,HLOOKUP('[1]Course Totals'!O$4,'[1]import graded seats course pivo'!$1:$2,2,FALSE),FALSE))),"")</f>
        <v>0.5</v>
      </c>
      <c r="P768" s="14">
        <f>IFERROR((VLOOKUP($A768,'[1]import success seats course'!$A:AD,HLOOKUP('[1]Course Totals'!P$4,'[1]import success seats course'!$1:$2,2,FALSE),FALSE)/(VLOOKUP($A768,'[1]import graded seats course pivo'!$A:AN,HLOOKUP('[1]Course Totals'!P$4,'[1]import graded seats course pivo'!$1:$2,2,FALSE),FALSE))),"")</f>
        <v>0</v>
      </c>
      <c r="Q768" s="14" t="str">
        <f>IFERROR((VLOOKUP($A768,'[1]import success seats course'!$A:AE,HLOOKUP('[1]Course Totals'!Q$4,'[1]import success seats course'!$1:$2,2,FALSE),FALSE)/(VLOOKUP($A768,'[1]import graded seats course pivo'!$A:AO,HLOOKUP('[1]Course Totals'!Q$4,'[1]import graded seats course pivo'!$1:$2,2,FALSE),FALSE))),"")</f>
        <v/>
      </c>
      <c r="R768" s="14">
        <f>IFERROR((VLOOKUP($A768,'[1]import success seats course'!$A:AF,HLOOKUP('[1]Course Totals'!R$4,'[1]import success seats course'!$1:$2,2,FALSE),FALSE)/(VLOOKUP($A768,'[1]import graded seats course pivo'!$A:AP,HLOOKUP('[1]Course Totals'!R$4,'[1]import graded seats course pivo'!$1:$2,2,FALSE),FALSE))),"")</f>
        <v>1</v>
      </c>
      <c r="S768" s="14" t="str">
        <f>IFERROR((VLOOKUP($A768,'[1]import success seats course'!$A:AG,HLOOKUP('[1]Course Totals'!S$4,'[1]import success seats course'!$1:$2,2,FALSE),FALSE)/(VLOOKUP($A768,'[1]import graded seats course pivo'!$A:AQ,HLOOKUP('[1]Course Totals'!S$4,'[1]import graded seats course pivo'!$1:$2,2,FALSE),FALSE))),"")</f>
        <v/>
      </c>
      <c r="Z768" s="7"/>
      <c r="AA768" s="7"/>
      <c r="AB768" s="7"/>
      <c r="AC768" s="7"/>
    </row>
    <row r="769" spans="1:29" ht="15.75" customHeight="1" x14ac:dyDescent="0.25">
      <c r="A769" s="12" t="s">
        <v>853</v>
      </c>
      <c r="B769" s="14" t="str">
        <f>IFERROR((VLOOKUP($A769,'[1]import success seats course'!$A:P,HLOOKUP('[1]Course Totals'!B$4,'[1]import success seats course'!$1:$2,2,FALSE),FALSE)/(VLOOKUP($A769,'[1]import graded seats course pivo'!$A:Z,HLOOKUP('[1]Course Totals'!B$4,'[1]import graded seats course pivo'!$1:$2,2,FALSE),FALSE))),"")</f>
        <v/>
      </c>
      <c r="C769" s="14" t="str">
        <f>IFERROR((VLOOKUP($A769,'[1]import success seats course'!$A:Q,HLOOKUP('[1]Course Totals'!C$4,'[1]import success seats course'!$1:$2,2,FALSE),FALSE)/(VLOOKUP($A769,'[1]import graded seats course pivo'!$A:AA,HLOOKUP('[1]Course Totals'!C$4,'[1]import graded seats course pivo'!$1:$2,2,FALSE),FALSE))),"")</f>
        <v/>
      </c>
      <c r="D769" s="14" t="str">
        <f>IFERROR((VLOOKUP($A769,'[1]import success seats course'!$A:R,HLOOKUP('[1]Course Totals'!D$4,'[1]import success seats course'!$1:$2,2,FALSE),FALSE)/(VLOOKUP($A769,'[1]import graded seats course pivo'!$A:AB,HLOOKUP('[1]Course Totals'!D$4,'[1]import graded seats course pivo'!$1:$2,2,FALSE),FALSE))),"")</f>
        <v/>
      </c>
      <c r="E769" s="14" t="str">
        <f>IFERROR((VLOOKUP($A769,'[1]import success seats course'!$A:S,HLOOKUP('[1]Course Totals'!E$4,'[1]import success seats course'!$1:$2,2,FALSE),FALSE)/(VLOOKUP($A769,'[1]import graded seats course pivo'!$A:AC,HLOOKUP('[1]Course Totals'!E$4,'[1]import graded seats course pivo'!$1:$2,2,FALSE),FALSE))),"")</f>
        <v/>
      </c>
      <c r="F769" s="14" t="str">
        <f>IFERROR((VLOOKUP($A769,'[1]import success seats course'!$A:T,HLOOKUP('[1]Course Totals'!F$4,'[1]import success seats course'!$1:$2,2,FALSE),FALSE)/(VLOOKUP($A769,'[1]import graded seats course pivo'!$A:AD,HLOOKUP('[1]Course Totals'!F$4,'[1]import graded seats course pivo'!$1:$2,2,FALSE),FALSE))),"")</f>
        <v/>
      </c>
      <c r="G769" s="14" t="str">
        <f>IFERROR((VLOOKUP($A769,'[1]import success seats course'!$A:U,HLOOKUP('[1]Course Totals'!G$4,'[1]import success seats course'!$1:$2,2,FALSE),FALSE)/(VLOOKUP($A769,'[1]import graded seats course pivo'!$A:AE,HLOOKUP('[1]Course Totals'!G$4,'[1]import graded seats course pivo'!$1:$2,2,FALSE),FALSE))),"")</f>
        <v/>
      </c>
      <c r="H769" s="14" t="str">
        <f>IFERROR((VLOOKUP($A769,'[1]import success seats course'!$A:V,HLOOKUP('[1]Course Totals'!H$4,'[1]import success seats course'!$1:$2,2,FALSE),FALSE)/(VLOOKUP($A769,'[1]import graded seats course pivo'!$A:AF,HLOOKUP('[1]Course Totals'!H$4,'[1]import graded seats course pivo'!$1:$2,2,FALSE),FALSE))),"")</f>
        <v/>
      </c>
      <c r="I769" s="14" t="str">
        <f>IFERROR((VLOOKUP($A769,'[1]import success seats course'!$A:W,HLOOKUP('[1]Course Totals'!I$4,'[1]import success seats course'!$1:$2,2,FALSE),FALSE)/(VLOOKUP($A769,'[1]import graded seats course pivo'!$A:AG,HLOOKUP('[1]Course Totals'!I$4,'[1]import graded seats course pivo'!$1:$2,2,FALSE),FALSE))),"")</f>
        <v/>
      </c>
      <c r="J769" s="14" t="str">
        <f>IFERROR((VLOOKUP($A769,'[1]import success seats course'!$A:X,HLOOKUP('[1]Course Totals'!J$4,'[1]import success seats course'!$1:$2,2,FALSE),FALSE)/(VLOOKUP($A769,'[1]import graded seats course pivo'!$A:AH,HLOOKUP('[1]Course Totals'!J$4,'[1]import graded seats course pivo'!$1:$2,2,FALSE),FALSE))),"")</f>
        <v/>
      </c>
      <c r="K769" s="14" t="str">
        <f>IFERROR((VLOOKUP($A769,'[1]import success seats course'!$A:Y,HLOOKUP('[1]Course Totals'!K$4,'[1]import success seats course'!$1:$2,2,FALSE),FALSE)/(VLOOKUP($A769,'[1]import graded seats course pivo'!$A:AI,HLOOKUP('[1]Course Totals'!K$4,'[1]import graded seats course pivo'!$1:$2,2,FALSE),FALSE))),"")</f>
        <v/>
      </c>
      <c r="L769" s="14" t="str">
        <f>IFERROR((VLOOKUP($A769,'[1]import success seats course'!$A:Z,HLOOKUP('[1]Course Totals'!L$4,'[1]import success seats course'!$1:$2,2,FALSE),FALSE)/(VLOOKUP($A769,'[1]import graded seats course pivo'!$A:AJ,HLOOKUP('[1]Course Totals'!L$4,'[1]import graded seats course pivo'!$1:$2,2,FALSE),FALSE))),"")</f>
        <v/>
      </c>
      <c r="M769" s="14" t="str">
        <f>IFERROR((VLOOKUP($A769,'[1]import success seats course'!$A:AA,HLOOKUP('[1]Course Totals'!M$4,'[1]import success seats course'!$1:$2,2,FALSE),FALSE)/(VLOOKUP($A769,'[1]import graded seats course pivo'!$A:AK,HLOOKUP('[1]Course Totals'!M$4,'[1]import graded seats course pivo'!$1:$2,2,FALSE),FALSE))),"")</f>
        <v/>
      </c>
      <c r="N769" s="14" t="str">
        <f>IFERROR((VLOOKUP($A769,'[1]import success seats course'!$A:AB,HLOOKUP('[1]Course Totals'!N$4,'[1]import success seats course'!$1:$2,2,FALSE),FALSE)/(VLOOKUP($A769,'[1]import graded seats course pivo'!$A:AL,HLOOKUP('[1]Course Totals'!N$4,'[1]import graded seats course pivo'!$1:$2,2,FALSE),FALSE))),"")</f>
        <v/>
      </c>
      <c r="O769" s="14" t="str">
        <f>IFERROR((VLOOKUP($A769,'[1]import success seats course'!$A:AC,HLOOKUP('[1]Course Totals'!O$4,'[1]import success seats course'!$1:$2,2,FALSE),FALSE)/(VLOOKUP($A769,'[1]import graded seats course pivo'!$A:AM,HLOOKUP('[1]Course Totals'!O$4,'[1]import graded seats course pivo'!$1:$2,2,FALSE),FALSE))),"")</f>
        <v/>
      </c>
      <c r="P769" s="14">
        <f>IFERROR((VLOOKUP($A769,'[1]import success seats course'!$A:AD,HLOOKUP('[1]Course Totals'!P$4,'[1]import success seats course'!$1:$2,2,FALSE),FALSE)/(VLOOKUP($A769,'[1]import graded seats course pivo'!$A:AN,HLOOKUP('[1]Course Totals'!P$4,'[1]import graded seats course pivo'!$1:$2,2,FALSE),FALSE))),"")</f>
        <v>0.7857142857142857</v>
      </c>
      <c r="Q769" s="14" t="str">
        <f>IFERROR((VLOOKUP($A769,'[1]import success seats course'!$A:AE,HLOOKUP('[1]Course Totals'!Q$4,'[1]import success seats course'!$1:$2,2,FALSE),FALSE)/(VLOOKUP($A769,'[1]import graded seats course pivo'!$A:AO,HLOOKUP('[1]Course Totals'!Q$4,'[1]import graded seats course pivo'!$1:$2,2,FALSE),FALSE))),"")</f>
        <v/>
      </c>
      <c r="R769" s="14">
        <f>IFERROR((VLOOKUP($A769,'[1]import success seats course'!$A:AF,HLOOKUP('[1]Course Totals'!R$4,'[1]import success seats course'!$1:$2,2,FALSE),FALSE)/(VLOOKUP($A769,'[1]import graded seats course pivo'!$A:AP,HLOOKUP('[1]Course Totals'!R$4,'[1]import graded seats course pivo'!$1:$2,2,FALSE),FALSE))),"")</f>
        <v>0.8</v>
      </c>
      <c r="S769" s="14">
        <f>IFERROR((VLOOKUP($A769,'[1]import success seats course'!$A:AG,HLOOKUP('[1]Course Totals'!S$4,'[1]import success seats course'!$1:$2,2,FALSE),FALSE)/(VLOOKUP($A769,'[1]import graded seats course pivo'!$A:AQ,HLOOKUP('[1]Course Totals'!S$4,'[1]import graded seats course pivo'!$1:$2,2,FALSE),FALSE))),"")</f>
        <v>0.92307692307692313</v>
      </c>
      <c r="Z769" s="7"/>
      <c r="AA769" s="7"/>
      <c r="AB769" s="7"/>
      <c r="AC769" s="7"/>
    </row>
    <row r="770" spans="1:29" ht="15.75" customHeight="1" x14ac:dyDescent="0.25">
      <c r="A770" s="12" t="s">
        <v>993</v>
      </c>
      <c r="B770" s="14" t="str">
        <f>IFERROR((VLOOKUP($A770,'[1]import success seats course'!$A:P,HLOOKUP('[1]Course Totals'!B$4,'[1]import success seats course'!$1:$2,2,FALSE),FALSE)/(VLOOKUP($A770,'[1]import graded seats course pivo'!$A:Z,HLOOKUP('[1]Course Totals'!B$4,'[1]import graded seats course pivo'!$1:$2,2,FALSE),FALSE))),"")</f>
        <v/>
      </c>
      <c r="C770" s="14" t="str">
        <f>IFERROR((VLOOKUP($A770,'[1]import success seats course'!$A:Q,HLOOKUP('[1]Course Totals'!C$4,'[1]import success seats course'!$1:$2,2,FALSE),FALSE)/(VLOOKUP($A770,'[1]import graded seats course pivo'!$A:AA,HLOOKUP('[1]Course Totals'!C$4,'[1]import graded seats course pivo'!$1:$2,2,FALSE),FALSE))),"")</f>
        <v/>
      </c>
      <c r="D770" s="14" t="str">
        <f>IFERROR((VLOOKUP($A770,'[1]import success seats course'!$A:R,HLOOKUP('[1]Course Totals'!D$4,'[1]import success seats course'!$1:$2,2,FALSE),FALSE)/(VLOOKUP($A770,'[1]import graded seats course pivo'!$A:AB,HLOOKUP('[1]Course Totals'!D$4,'[1]import graded seats course pivo'!$1:$2,2,FALSE),FALSE))),"")</f>
        <v/>
      </c>
      <c r="E770" s="14" t="str">
        <f>IFERROR((VLOOKUP($A770,'[1]import success seats course'!$A:S,HLOOKUP('[1]Course Totals'!E$4,'[1]import success seats course'!$1:$2,2,FALSE),FALSE)/(VLOOKUP($A770,'[1]import graded seats course pivo'!$A:AC,HLOOKUP('[1]Course Totals'!E$4,'[1]import graded seats course pivo'!$1:$2,2,FALSE),FALSE))),"")</f>
        <v/>
      </c>
      <c r="F770" s="14" t="str">
        <f>IFERROR((VLOOKUP($A770,'[1]import success seats course'!$A:T,HLOOKUP('[1]Course Totals'!F$4,'[1]import success seats course'!$1:$2,2,FALSE),FALSE)/(VLOOKUP($A770,'[1]import graded seats course pivo'!$A:AD,HLOOKUP('[1]Course Totals'!F$4,'[1]import graded seats course pivo'!$1:$2,2,FALSE),FALSE))),"")</f>
        <v/>
      </c>
      <c r="G770" s="14">
        <f>IFERROR((VLOOKUP($A770,'[1]import success seats course'!$A:U,HLOOKUP('[1]Course Totals'!G$4,'[1]import success seats course'!$1:$2,2,FALSE),FALSE)/(VLOOKUP($A770,'[1]import graded seats course pivo'!$A:AE,HLOOKUP('[1]Course Totals'!G$4,'[1]import graded seats course pivo'!$1:$2,2,FALSE),FALSE))),"")</f>
        <v>0.75</v>
      </c>
      <c r="H770" s="14" t="str">
        <f>IFERROR((VLOOKUP($A770,'[1]import success seats course'!$A:V,HLOOKUP('[1]Course Totals'!H$4,'[1]import success seats course'!$1:$2,2,FALSE),FALSE)/(VLOOKUP($A770,'[1]import graded seats course pivo'!$A:AF,HLOOKUP('[1]Course Totals'!H$4,'[1]import graded seats course pivo'!$1:$2,2,FALSE),FALSE))),"")</f>
        <v/>
      </c>
      <c r="I770" s="14" t="str">
        <f>IFERROR((VLOOKUP($A770,'[1]import success seats course'!$A:W,HLOOKUP('[1]Course Totals'!I$4,'[1]import success seats course'!$1:$2,2,FALSE),FALSE)/(VLOOKUP($A770,'[1]import graded seats course pivo'!$A:AG,HLOOKUP('[1]Course Totals'!I$4,'[1]import graded seats course pivo'!$1:$2,2,FALSE),FALSE))),"")</f>
        <v/>
      </c>
      <c r="J770" s="14" t="str">
        <f>IFERROR((VLOOKUP($A770,'[1]import success seats course'!$A:X,HLOOKUP('[1]Course Totals'!J$4,'[1]import success seats course'!$1:$2,2,FALSE),FALSE)/(VLOOKUP($A770,'[1]import graded seats course pivo'!$A:AH,HLOOKUP('[1]Course Totals'!J$4,'[1]import graded seats course pivo'!$1:$2,2,FALSE),FALSE))),"")</f>
        <v/>
      </c>
      <c r="K770" s="14" t="str">
        <f>IFERROR((VLOOKUP($A770,'[1]import success seats course'!$A:Y,HLOOKUP('[1]Course Totals'!K$4,'[1]import success seats course'!$1:$2,2,FALSE),FALSE)/(VLOOKUP($A770,'[1]import graded seats course pivo'!$A:AI,HLOOKUP('[1]Course Totals'!K$4,'[1]import graded seats course pivo'!$1:$2,2,FALSE),FALSE))),"")</f>
        <v/>
      </c>
      <c r="L770" s="14" t="str">
        <f>IFERROR((VLOOKUP($A770,'[1]import success seats course'!$A:Z,HLOOKUP('[1]Course Totals'!L$4,'[1]import success seats course'!$1:$2,2,FALSE),FALSE)/(VLOOKUP($A770,'[1]import graded seats course pivo'!$A:AJ,HLOOKUP('[1]Course Totals'!L$4,'[1]import graded seats course pivo'!$1:$2,2,FALSE),FALSE))),"")</f>
        <v/>
      </c>
      <c r="M770" s="14" t="str">
        <f>IFERROR((VLOOKUP($A770,'[1]import success seats course'!$A:AA,HLOOKUP('[1]Course Totals'!M$4,'[1]import success seats course'!$1:$2,2,FALSE),FALSE)/(VLOOKUP($A770,'[1]import graded seats course pivo'!$A:AK,HLOOKUP('[1]Course Totals'!M$4,'[1]import graded seats course pivo'!$1:$2,2,FALSE),FALSE))),"")</f>
        <v/>
      </c>
      <c r="N770" s="14" t="str">
        <f>IFERROR((VLOOKUP($A770,'[1]import success seats course'!$A:AB,HLOOKUP('[1]Course Totals'!N$4,'[1]import success seats course'!$1:$2,2,FALSE),FALSE)/(VLOOKUP($A770,'[1]import graded seats course pivo'!$A:AL,HLOOKUP('[1]Course Totals'!N$4,'[1]import graded seats course pivo'!$1:$2,2,FALSE),FALSE))),"")</f>
        <v/>
      </c>
      <c r="O770" s="14" t="str">
        <f>IFERROR((VLOOKUP($A770,'[1]import success seats course'!$A:AC,HLOOKUP('[1]Course Totals'!O$4,'[1]import success seats course'!$1:$2,2,FALSE),FALSE)/(VLOOKUP($A770,'[1]import graded seats course pivo'!$A:AM,HLOOKUP('[1]Course Totals'!O$4,'[1]import graded seats course pivo'!$1:$2,2,FALSE),FALSE))),"")</f>
        <v/>
      </c>
      <c r="P770" s="14" t="str">
        <f>IFERROR((VLOOKUP($A770,'[1]import success seats course'!$A:AD,HLOOKUP('[1]Course Totals'!P$4,'[1]import success seats course'!$1:$2,2,FALSE),FALSE)/(VLOOKUP($A770,'[1]import graded seats course pivo'!$A:AN,HLOOKUP('[1]Course Totals'!P$4,'[1]import graded seats course pivo'!$1:$2,2,FALSE),FALSE))),"")</f>
        <v/>
      </c>
      <c r="Q770" s="14" t="str">
        <f>IFERROR((VLOOKUP($A770,'[1]import success seats course'!$A:AE,HLOOKUP('[1]Course Totals'!Q$4,'[1]import success seats course'!$1:$2,2,FALSE),FALSE)/(VLOOKUP($A770,'[1]import graded seats course pivo'!$A:AO,HLOOKUP('[1]Course Totals'!Q$4,'[1]import graded seats course pivo'!$1:$2,2,FALSE),FALSE))),"")</f>
        <v/>
      </c>
      <c r="R770" s="14" t="str">
        <f>IFERROR((VLOOKUP($A770,'[1]import success seats course'!$A:AF,HLOOKUP('[1]Course Totals'!R$4,'[1]import success seats course'!$1:$2,2,FALSE),FALSE)/(VLOOKUP($A770,'[1]import graded seats course pivo'!$A:AP,HLOOKUP('[1]Course Totals'!R$4,'[1]import graded seats course pivo'!$1:$2,2,FALSE),FALSE))),"")</f>
        <v/>
      </c>
      <c r="S770" s="14" t="str">
        <f>IFERROR((VLOOKUP($A770,'[1]import success seats course'!$A:AG,HLOOKUP('[1]Course Totals'!S$4,'[1]import success seats course'!$1:$2,2,FALSE),FALSE)/(VLOOKUP($A770,'[1]import graded seats course pivo'!$A:AQ,HLOOKUP('[1]Course Totals'!S$4,'[1]import graded seats course pivo'!$1:$2,2,FALSE),FALSE))),"")</f>
        <v/>
      </c>
      <c r="Z770" s="7"/>
      <c r="AA770" s="7"/>
      <c r="AB770" s="7"/>
      <c r="AC770" s="7"/>
    </row>
    <row r="771" spans="1:29" ht="15.75" hidden="1" customHeight="1" x14ac:dyDescent="0.25">
      <c r="A771" s="12" t="s">
        <v>1018</v>
      </c>
      <c r="B771" s="14" t="str">
        <f>IFERROR((VLOOKUP($A771,'[1]import success seats course'!$A:P,HLOOKUP('[1]Course Totals'!B$4,'[1]import success seats course'!$1:$2,2,FALSE),FALSE)/(VLOOKUP($A771,'[1]import graded seats course pivo'!$A:Z,HLOOKUP('[1]Course Totals'!B$4,'[1]import graded seats course pivo'!$1:$2,2,FALSE),FALSE))),"")</f>
        <v/>
      </c>
      <c r="C771" s="14" t="str">
        <f>IFERROR((VLOOKUP($A771,'[1]import success seats course'!$A:Q,HLOOKUP('[1]Course Totals'!C$4,'[1]import success seats course'!$1:$2,2,FALSE),FALSE)/(VLOOKUP($A771,'[1]import graded seats course pivo'!$A:AA,HLOOKUP('[1]Course Totals'!C$4,'[1]import graded seats course pivo'!$1:$2,2,FALSE),FALSE))),"")</f>
        <v/>
      </c>
      <c r="D771" s="14" t="str">
        <f>IFERROR((VLOOKUP($A771,'[1]import success seats course'!$A:R,HLOOKUP('[1]Course Totals'!D$4,'[1]import success seats course'!$1:$2,2,FALSE),FALSE)/(VLOOKUP($A771,'[1]import graded seats course pivo'!$A:AB,HLOOKUP('[1]Course Totals'!D$4,'[1]import graded seats course pivo'!$1:$2,2,FALSE),FALSE))),"")</f>
        <v/>
      </c>
      <c r="E771" s="14" t="str">
        <f>IFERROR((VLOOKUP($A771,'[1]import success seats course'!$A:S,HLOOKUP('[1]Course Totals'!E$4,'[1]import success seats course'!$1:$2,2,FALSE),FALSE)/(VLOOKUP($A771,'[1]import graded seats course pivo'!$A:AC,HLOOKUP('[1]Course Totals'!E$4,'[1]import graded seats course pivo'!$1:$2,2,FALSE),FALSE))),"")</f>
        <v/>
      </c>
      <c r="F771" s="14" t="str">
        <f>IFERROR((VLOOKUP($A771,'[1]import success seats course'!$A:T,HLOOKUP('[1]Course Totals'!F$4,'[1]import success seats course'!$1:$2,2,FALSE),FALSE)/(VLOOKUP($A771,'[1]import graded seats course pivo'!$A:AD,HLOOKUP('[1]Course Totals'!F$4,'[1]import graded seats course pivo'!$1:$2,2,FALSE),FALSE))),"")</f>
        <v/>
      </c>
      <c r="G771" s="14" t="str">
        <f>IFERROR((VLOOKUP($A771,'[1]import success seats course'!$A:U,HLOOKUP('[1]Course Totals'!G$4,'[1]import success seats course'!$1:$2,2,FALSE),FALSE)/(VLOOKUP($A771,'[1]import graded seats course pivo'!$A:AE,HLOOKUP('[1]Course Totals'!G$4,'[1]import graded seats course pivo'!$1:$2,2,FALSE),FALSE))),"")</f>
        <v/>
      </c>
      <c r="H771" s="14" t="str">
        <f>IFERROR((VLOOKUP($A771,'[1]import success seats course'!$A:V,HLOOKUP('[1]Course Totals'!H$4,'[1]import success seats course'!$1:$2,2,FALSE),FALSE)/(VLOOKUP($A771,'[1]import graded seats course pivo'!$A:AF,HLOOKUP('[1]Course Totals'!H$4,'[1]import graded seats course pivo'!$1:$2,2,FALSE),FALSE))),"")</f>
        <v/>
      </c>
      <c r="I771" s="14" t="str">
        <f>IFERROR((VLOOKUP($A771,'[1]import success seats course'!$A:W,HLOOKUP('[1]Course Totals'!I$4,'[1]import success seats course'!$1:$2,2,FALSE),FALSE)/(VLOOKUP($A771,'[1]import graded seats course pivo'!$A:AG,HLOOKUP('[1]Course Totals'!I$4,'[1]import graded seats course pivo'!$1:$2,2,FALSE),FALSE))),"")</f>
        <v/>
      </c>
      <c r="J771" s="14" t="str">
        <f>IFERROR((VLOOKUP($A771,'[1]import success seats course'!$A:X,HLOOKUP('[1]Course Totals'!J$4,'[1]import success seats course'!$1:$2,2,FALSE),FALSE)/(VLOOKUP($A771,'[1]import graded seats course pivo'!$A:AH,HLOOKUP('[1]Course Totals'!J$4,'[1]import graded seats course pivo'!$1:$2,2,FALSE),FALSE))),"")</f>
        <v/>
      </c>
      <c r="K771" s="14" t="str">
        <f>IFERROR((VLOOKUP($A771,'[1]import success seats course'!$A:Y,HLOOKUP('[1]Course Totals'!K$4,'[1]import success seats course'!$1:$2,2,FALSE),FALSE)/(VLOOKUP($A771,'[1]import graded seats course pivo'!$A:AI,HLOOKUP('[1]Course Totals'!K$4,'[1]import graded seats course pivo'!$1:$2,2,FALSE),FALSE))),"")</f>
        <v/>
      </c>
      <c r="L771" s="14" t="str">
        <f>IFERROR((VLOOKUP($A771,'[1]import success seats course'!$A:Z,HLOOKUP('[1]Course Totals'!L$4,'[1]import success seats course'!$1:$2,2,FALSE),FALSE)/(VLOOKUP($A771,'[1]import graded seats course pivo'!$A:AJ,HLOOKUP('[1]Course Totals'!L$4,'[1]import graded seats course pivo'!$1:$2,2,FALSE),FALSE))),"")</f>
        <v/>
      </c>
      <c r="M771" s="14" t="str">
        <f>IFERROR((VLOOKUP($A771,'[1]import success seats course'!$A:AA,HLOOKUP('[1]Course Totals'!M$4,'[1]import success seats course'!$1:$2,2,FALSE),FALSE)/(VLOOKUP($A771,'[1]import graded seats course pivo'!$A:AK,HLOOKUP('[1]Course Totals'!M$4,'[1]import graded seats course pivo'!$1:$2,2,FALSE),FALSE))),"")</f>
        <v/>
      </c>
      <c r="N771" s="14" t="str">
        <f>IFERROR((VLOOKUP($A771,'[1]import success seats course'!$A:AB,HLOOKUP('[1]Course Totals'!N$4,'[1]import success seats course'!$1:$2,2,FALSE),FALSE)/(VLOOKUP($A771,'[1]import graded seats course pivo'!$A:AL,HLOOKUP('[1]Course Totals'!N$4,'[1]import graded seats course pivo'!$1:$2,2,FALSE),FALSE))),"")</f>
        <v/>
      </c>
      <c r="O771" s="14" t="str">
        <f>IFERROR((VLOOKUP($A771,'[1]import success seats course'!$A:AC,HLOOKUP('[1]Course Totals'!O$4,'[1]import success seats course'!$1:$2,2,FALSE),FALSE)/(VLOOKUP($A771,'[1]import graded seats course pivo'!$A:AM,HLOOKUP('[1]Course Totals'!O$4,'[1]import graded seats course pivo'!$1:$2,2,FALSE),FALSE))),"")</f>
        <v/>
      </c>
      <c r="P771" s="14" t="str">
        <f>IFERROR((VLOOKUP($A771,'[1]import success seats course'!$A:AD,HLOOKUP('[1]Course Totals'!P$4,'[1]import success seats course'!$1:$2,2,FALSE),FALSE)/(VLOOKUP($A771,'[1]import graded seats course pivo'!$A:AN,HLOOKUP('[1]Course Totals'!P$4,'[1]import graded seats course pivo'!$1:$2,2,FALSE),FALSE))),"")</f>
        <v/>
      </c>
      <c r="Q771" s="14" t="str">
        <f>IFERROR((VLOOKUP($A771,'[1]import success seats course'!$A:AE,HLOOKUP('[1]Course Totals'!Q$4,'[1]import success seats course'!$1:$2,2,FALSE),FALSE)/(VLOOKUP($A771,'[1]import graded seats course pivo'!$A:AO,HLOOKUP('[1]Course Totals'!Q$4,'[1]import graded seats course pivo'!$1:$2,2,FALSE),FALSE))),"")</f>
        <v/>
      </c>
      <c r="R771" s="14" t="str">
        <f>IFERROR((VLOOKUP($A771,'[1]import success seats course'!$A:AF,HLOOKUP('[1]Course Totals'!R$4,'[1]import success seats course'!$1:$2,2,FALSE),FALSE)/(VLOOKUP($A771,'[1]import graded seats course pivo'!$A:AP,HLOOKUP('[1]Course Totals'!R$4,'[1]import graded seats course pivo'!$1:$2,2,FALSE),FALSE))),"")</f>
        <v/>
      </c>
      <c r="S771" s="14" t="str">
        <f>IFERROR((VLOOKUP($A771,'[1]import success seats course'!$A:AG,HLOOKUP('[1]Course Totals'!S$4,'[1]import success seats course'!$1:$2,2,FALSE),FALSE)/(VLOOKUP($A771,'[1]import graded seats course pivo'!$A:AQ,HLOOKUP('[1]Course Totals'!S$4,'[1]import graded seats course pivo'!$1:$2,2,FALSE),FALSE))),"")</f>
        <v/>
      </c>
      <c r="Z771" s="7"/>
      <c r="AA771" s="7"/>
      <c r="AB771" s="7"/>
      <c r="AC771" s="7"/>
    </row>
    <row r="772" spans="1:29" ht="15.75" customHeight="1" x14ac:dyDescent="0.25">
      <c r="A772" s="12" t="s">
        <v>353</v>
      </c>
      <c r="B772" s="14" t="str">
        <f>IFERROR((VLOOKUP($A772,'[1]import success seats course'!$A:P,HLOOKUP('[1]Course Totals'!B$4,'[1]import success seats course'!$1:$2,2,FALSE),FALSE)/(VLOOKUP($A772,'[1]import graded seats course pivo'!$A:Z,HLOOKUP('[1]Course Totals'!B$4,'[1]import graded seats course pivo'!$1:$2,2,FALSE),FALSE))),"")</f>
        <v/>
      </c>
      <c r="C772" s="14" t="str">
        <f>IFERROR((VLOOKUP($A772,'[1]import success seats course'!$A:Q,HLOOKUP('[1]Course Totals'!C$4,'[1]import success seats course'!$1:$2,2,FALSE),FALSE)/(VLOOKUP($A772,'[1]import graded seats course pivo'!$A:AA,HLOOKUP('[1]Course Totals'!C$4,'[1]import graded seats course pivo'!$1:$2,2,FALSE),FALSE))),"")</f>
        <v/>
      </c>
      <c r="D772" s="14">
        <f>IFERROR((VLOOKUP($A772,'[1]import success seats course'!$A:R,HLOOKUP('[1]Course Totals'!D$4,'[1]import success seats course'!$1:$2,2,FALSE),FALSE)/(VLOOKUP($A772,'[1]import graded seats course pivo'!$A:AB,HLOOKUP('[1]Course Totals'!D$4,'[1]import graded seats course pivo'!$1:$2,2,FALSE),FALSE))),"")</f>
        <v>0.8571428571428571</v>
      </c>
      <c r="E772" s="14" t="str">
        <f>IFERROR((VLOOKUP($A772,'[1]import success seats course'!$A:S,HLOOKUP('[1]Course Totals'!E$4,'[1]import success seats course'!$1:$2,2,FALSE),FALSE)/(VLOOKUP($A772,'[1]import graded seats course pivo'!$A:AC,HLOOKUP('[1]Course Totals'!E$4,'[1]import graded seats course pivo'!$1:$2,2,FALSE),FALSE))),"")</f>
        <v/>
      </c>
      <c r="F772" s="14">
        <f>IFERROR((VLOOKUP($A772,'[1]import success seats course'!$A:T,HLOOKUP('[1]Course Totals'!F$4,'[1]import success seats course'!$1:$2,2,FALSE),FALSE)/(VLOOKUP($A772,'[1]import graded seats course pivo'!$A:AD,HLOOKUP('[1]Course Totals'!F$4,'[1]import graded seats course pivo'!$1:$2,2,FALSE),FALSE))),"")</f>
        <v>0.95</v>
      </c>
      <c r="G772" s="14" t="str">
        <f>IFERROR((VLOOKUP($A772,'[1]import success seats course'!$A:U,HLOOKUP('[1]Course Totals'!G$4,'[1]import success seats course'!$1:$2,2,FALSE),FALSE)/(VLOOKUP($A772,'[1]import graded seats course pivo'!$A:AE,HLOOKUP('[1]Course Totals'!G$4,'[1]import graded seats course pivo'!$1:$2,2,FALSE),FALSE))),"")</f>
        <v/>
      </c>
      <c r="H772" s="14" t="str">
        <f>IFERROR((VLOOKUP($A772,'[1]import success seats course'!$A:V,HLOOKUP('[1]Course Totals'!H$4,'[1]import success seats course'!$1:$2,2,FALSE),FALSE)/(VLOOKUP($A772,'[1]import graded seats course pivo'!$A:AF,HLOOKUP('[1]Course Totals'!H$4,'[1]import graded seats course pivo'!$1:$2,2,FALSE),FALSE))),"")</f>
        <v/>
      </c>
      <c r="I772" s="14" t="str">
        <f>IFERROR((VLOOKUP($A772,'[1]import success seats course'!$A:W,HLOOKUP('[1]Course Totals'!I$4,'[1]import success seats course'!$1:$2,2,FALSE),FALSE)/(VLOOKUP($A772,'[1]import graded seats course pivo'!$A:AG,HLOOKUP('[1]Course Totals'!I$4,'[1]import graded seats course pivo'!$1:$2,2,FALSE),FALSE))),"")</f>
        <v/>
      </c>
      <c r="J772" s="14">
        <f>IFERROR((VLOOKUP($A772,'[1]import success seats course'!$A:X,HLOOKUP('[1]Course Totals'!J$4,'[1]import success seats course'!$1:$2,2,FALSE),FALSE)/(VLOOKUP($A772,'[1]import graded seats course pivo'!$A:AH,HLOOKUP('[1]Course Totals'!J$4,'[1]import graded seats course pivo'!$1:$2,2,FALSE),FALSE))),"")</f>
        <v>0.7857142857142857</v>
      </c>
      <c r="K772" s="14" t="str">
        <f>IFERROR((VLOOKUP($A772,'[1]import success seats course'!$A:Y,HLOOKUP('[1]Course Totals'!K$4,'[1]import success seats course'!$1:$2,2,FALSE),FALSE)/(VLOOKUP($A772,'[1]import graded seats course pivo'!$A:AI,HLOOKUP('[1]Course Totals'!K$4,'[1]import graded seats course pivo'!$1:$2,2,FALSE),FALSE))),"")</f>
        <v/>
      </c>
      <c r="L772" s="14" t="str">
        <f>IFERROR((VLOOKUP($A772,'[1]import success seats course'!$A:Z,HLOOKUP('[1]Course Totals'!L$4,'[1]import success seats course'!$1:$2,2,FALSE),FALSE)/(VLOOKUP($A772,'[1]import graded seats course pivo'!$A:AJ,HLOOKUP('[1]Course Totals'!L$4,'[1]import graded seats course pivo'!$1:$2,2,FALSE),FALSE))),"")</f>
        <v/>
      </c>
      <c r="M772" s="14" t="str">
        <f>IFERROR((VLOOKUP($A772,'[1]import success seats course'!$A:AA,HLOOKUP('[1]Course Totals'!M$4,'[1]import success seats course'!$1:$2,2,FALSE),FALSE)/(VLOOKUP($A772,'[1]import graded seats course pivo'!$A:AK,HLOOKUP('[1]Course Totals'!M$4,'[1]import graded seats course pivo'!$1:$2,2,FALSE),FALSE))),"")</f>
        <v/>
      </c>
      <c r="N772" s="14" t="str">
        <f>IFERROR((VLOOKUP($A772,'[1]import success seats course'!$A:AB,HLOOKUP('[1]Course Totals'!N$4,'[1]import success seats course'!$1:$2,2,FALSE),FALSE)/(VLOOKUP($A772,'[1]import graded seats course pivo'!$A:AL,HLOOKUP('[1]Course Totals'!N$4,'[1]import graded seats course pivo'!$1:$2,2,FALSE),FALSE))),"")</f>
        <v/>
      </c>
      <c r="O772" s="14" t="str">
        <f>IFERROR((VLOOKUP($A772,'[1]import success seats course'!$A:AC,HLOOKUP('[1]Course Totals'!O$4,'[1]import success seats course'!$1:$2,2,FALSE),FALSE)/(VLOOKUP($A772,'[1]import graded seats course pivo'!$A:AM,HLOOKUP('[1]Course Totals'!O$4,'[1]import graded seats course pivo'!$1:$2,2,FALSE),FALSE))),"")</f>
        <v/>
      </c>
      <c r="P772" s="14" t="str">
        <f>IFERROR((VLOOKUP($A772,'[1]import success seats course'!$A:AD,HLOOKUP('[1]Course Totals'!P$4,'[1]import success seats course'!$1:$2,2,FALSE),FALSE)/(VLOOKUP($A772,'[1]import graded seats course pivo'!$A:AN,HLOOKUP('[1]Course Totals'!P$4,'[1]import graded seats course pivo'!$1:$2,2,FALSE),FALSE))),"")</f>
        <v/>
      </c>
      <c r="Q772" s="14" t="str">
        <f>IFERROR((VLOOKUP($A772,'[1]import success seats course'!$A:AE,HLOOKUP('[1]Course Totals'!Q$4,'[1]import success seats course'!$1:$2,2,FALSE),FALSE)/(VLOOKUP($A772,'[1]import graded seats course pivo'!$A:AO,HLOOKUP('[1]Course Totals'!Q$4,'[1]import graded seats course pivo'!$1:$2,2,FALSE),FALSE))),"")</f>
        <v/>
      </c>
      <c r="R772" s="14" t="str">
        <f>IFERROR((VLOOKUP($A772,'[1]import success seats course'!$A:AF,HLOOKUP('[1]Course Totals'!R$4,'[1]import success seats course'!$1:$2,2,FALSE),FALSE)/(VLOOKUP($A772,'[1]import graded seats course pivo'!$A:AP,HLOOKUP('[1]Course Totals'!R$4,'[1]import graded seats course pivo'!$1:$2,2,FALSE),FALSE))),"")</f>
        <v/>
      </c>
      <c r="S772" s="14" t="str">
        <f>IFERROR((VLOOKUP($A772,'[1]import success seats course'!$A:AG,HLOOKUP('[1]Course Totals'!S$4,'[1]import success seats course'!$1:$2,2,FALSE),FALSE)/(VLOOKUP($A772,'[1]import graded seats course pivo'!$A:AQ,HLOOKUP('[1]Course Totals'!S$4,'[1]import graded seats course pivo'!$1:$2,2,FALSE),FALSE))),"")</f>
        <v/>
      </c>
      <c r="Z772" s="7"/>
      <c r="AA772" s="7"/>
      <c r="AB772" s="7"/>
      <c r="AC772" s="7"/>
    </row>
    <row r="773" spans="1:29" ht="15.75" customHeight="1" x14ac:dyDescent="0.25">
      <c r="A773" s="12" t="s">
        <v>633</v>
      </c>
      <c r="B773" s="14" t="str">
        <f>IFERROR((VLOOKUP($A773,'[1]import success seats course'!$A:P,HLOOKUP('[1]Course Totals'!B$4,'[1]import success seats course'!$1:$2,2,FALSE),FALSE)/(VLOOKUP($A773,'[1]import graded seats course pivo'!$A:Z,HLOOKUP('[1]Course Totals'!B$4,'[1]import graded seats course pivo'!$1:$2,2,FALSE),FALSE))),"")</f>
        <v/>
      </c>
      <c r="C773" s="14" t="str">
        <f>IFERROR((VLOOKUP($A773,'[1]import success seats course'!$A:Q,HLOOKUP('[1]Course Totals'!C$4,'[1]import success seats course'!$1:$2,2,FALSE),FALSE)/(VLOOKUP($A773,'[1]import graded seats course pivo'!$A:AA,HLOOKUP('[1]Course Totals'!C$4,'[1]import graded seats course pivo'!$1:$2,2,FALSE),FALSE))),"")</f>
        <v/>
      </c>
      <c r="D773" s="14" t="str">
        <f>IFERROR((VLOOKUP($A773,'[1]import success seats course'!$A:R,HLOOKUP('[1]Course Totals'!D$4,'[1]import success seats course'!$1:$2,2,FALSE),FALSE)/(VLOOKUP($A773,'[1]import graded seats course pivo'!$A:AB,HLOOKUP('[1]Course Totals'!D$4,'[1]import graded seats course pivo'!$1:$2,2,FALSE),FALSE))),"")</f>
        <v/>
      </c>
      <c r="E773" s="14" t="str">
        <f>IFERROR((VLOOKUP($A773,'[1]import success seats course'!$A:S,HLOOKUP('[1]Course Totals'!E$4,'[1]import success seats course'!$1:$2,2,FALSE),FALSE)/(VLOOKUP($A773,'[1]import graded seats course pivo'!$A:AC,HLOOKUP('[1]Course Totals'!E$4,'[1]import graded seats course pivo'!$1:$2,2,FALSE),FALSE))),"")</f>
        <v/>
      </c>
      <c r="F773" s="14">
        <f>IFERROR((VLOOKUP($A773,'[1]import success seats course'!$A:T,HLOOKUP('[1]Course Totals'!F$4,'[1]import success seats course'!$1:$2,2,FALSE),FALSE)/(VLOOKUP($A773,'[1]import graded seats course pivo'!$A:AD,HLOOKUP('[1]Course Totals'!F$4,'[1]import graded seats course pivo'!$1:$2,2,FALSE),FALSE))),"")</f>
        <v>1</v>
      </c>
      <c r="G773" s="14" t="str">
        <f>IFERROR((VLOOKUP($A773,'[1]import success seats course'!$A:U,HLOOKUP('[1]Course Totals'!G$4,'[1]import success seats course'!$1:$2,2,FALSE),FALSE)/(VLOOKUP($A773,'[1]import graded seats course pivo'!$A:AE,HLOOKUP('[1]Course Totals'!G$4,'[1]import graded seats course pivo'!$1:$2,2,FALSE),FALSE))),"")</f>
        <v/>
      </c>
      <c r="H773" s="14" t="str">
        <f>IFERROR((VLOOKUP($A773,'[1]import success seats course'!$A:V,HLOOKUP('[1]Course Totals'!H$4,'[1]import success seats course'!$1:$2,2,FALSE),FALSE)/(VLOOKUP($A773,'[1]import graded seats course pivo'!$A:AF,HLOOKUP('[1]Course Totals'!H$4,'[1]import graded seats course pivo'!$1:$2,2,FALSE),FALSE))),"")</f>
        <v/>
      </c>
      <c r="I773" s="14">
        <f>IFERROR((VLOOKUP($A773,'[1]import success seats course'!$A:W,HLOOKUP('[1]Course Totals'!I$4,'[1]import success seats course'!$1:$2,2,FALSE),FALSE)/(VLOOKUP($A773,'[1]import graded seats course pivo'!$A:AG,HLOOKUP('[1]Course Totals'!I$4,'[1]import graded seats course pivo'!$1:$2,2,FALSE),FALSE))),"")</f>
        <v>0.93333333333333335</v>
      </c>
      <c r="J773" s="14" t="str">
        <f>IFERROR((VLOOKUP($A773,'[1]import success seats course'!$A:X,HLOOKUP('[1]Course Totals'!J$4,'[1]import success seats course'!$1:$2,2,FALSE),FALSE)/(VLOOKUP($A773,'[1]import graded seats course pivo'!$A:AH,HLOOKUP('[1]Course Totals'!J$4,'[1]import graded seats course pivo'!$1:$2,2,FALSE),FALSE))),"")</f>
        <v/>
      </c>
      <c r="K773" s="14" t="str">
        <f>IFERROR((VLOOKUP($A773,'[1]import success seats course'!$A:Y,HLOOKUP('[1]Course Totals'!K$4,'[1]import success seats course'!$1:$2,2,FALSE),FALSE)/(VLOOKUP($A773,'[1]import graded seats course pivo'!$A:AI,HLOOKUP('[1]Course Totals'!K$4,'[1]import graded seats course pivo'!$1:$2,2,FALSE),FALSE))),"")</f>
        <v/>
      </c>
      <c r="L773" s="14" t="str">
        <f>IFERROR((VLOOKUP($A773,'[1]import success seats course'!$A:Z,HLOOKUP('[1]Course Totals'!L$4,'[1]import success seats course'!$1:$2,2,FALSE),FALSE)/(VLOOKUP($A773,'[1]import graded seats course pivo'!$A:AJ,HLOOKUP('[1]Course Totals'!L$4,'[1]import graded seats course pivo'!$1:$2,2,FALSE),FALSE))),"")</f>
        <v/>
      </c>
      <c r="M773" s="14" t="str">
        <f>IFERROR((VLOOKUP($A773,'[1]import success seats course'!$A:AA,HLOOKUP('[1]Course Totals'!M$4,'[1]import success seats course'!$1:$2,2,FALSE),FALSE)/(VLOOKUP($A773,'[1]import graded seats course pivo'!$A:AK,HLOOKUP('[1]Course Totals'!M$4,'[1]import graded seats course pivo'!$1:$2,2,FALSE),FALSE))),"")</f>
        <v/>
      </c>
      <c r="N773" s="14" t="str">
        <f>IFERROR((VLOOKUP($A773,'[1]import success seats course'!$A:AB,HLOOKUP('[1]Course Totals'!N$4,'[1]import success seats course'!$1:$2,2,FALSE),FALSE)/(VLOOKUP($A773,'[1]import graded seats course pivo'!$A:AL,HLOOKUP('[1]Course Totals'!N$4,'[1]import graded seats course pivo'!$1:$2,2,FALSE),FALSE))),"")</f>
        <v/>
      </c>
      <c r="O773" s="14" t="str">
        <f>IFERROR((VLOOKUP($A773,'[1]import success seats course'!$A:AC,HLOOKUP('[1]Course Totals'!O$4,'[1]import success seats course'!$1:$2,2,FALSE),FALSE)/(VLOOKUP($A773,'[1]import graded seats course pivo'!$A:AM,HLOOKUP('[1]Course Totals'!O$4,'[1]import graded seats course pivo'!$1:$2,2,FALSE),FALSE))),"")</f>
        <v/>
      </c>
      <c r="P773" s="14" t="str">
        <f>IFERROR((VLOOKUP($A773,'[1]import success seats course'!$A:AD,HLOOKUP('[1]Course Totals'!P$4,'[1]import success seats course'!$1:$2,2,FALSE),FALSE)/(VLOOKUP($A773,'[1]import graded seats course pivo'!$A:AN,HLOOKUP('[1]Course Totals'!P$4,'[1]import graded seats course pivo'!$1:$2,2,FALSE),FALSE))),"")</f>
        <v/>
      </c>
      <c r="Q773" s="14" t="str">
        <f>IFERROR((VLOOKUP($A773,'[1]import success seats course'!$A:AE,HLOOKUP('[1]Course Totals'!Q$4,'[1]import success seats course'!$1:$2,2,FALSE),FALSE)/(VLOOKUP($A773,'[1]import graded seats course pivo'!$A:AO,HLOOKUP('[1]Course Totals'!Q$4,'[1]import graded seats course pivo'!$1:$2,2,FALSE),FALSE))),"")</f>
        <v/>
      </c>
      <c r="R773" s="14" t="str">
        <f>IFERROR((VLOOKUP($A773,'[1]import success seats course'!$A:AF,HLOOKUP('[1]Course Totals'!R$4,'[1]import success seats course'!$1:$2,2,FALSE),FALSE)/(VLOOKUP($A773,'[1]import graded seats course pivo'!$A:AP,HLOOKUP('[1]Course Totals'!R$4,'[1]import graded seats course pivo'!$1:$2,2,FALSE),FALSE))),"")</f>
        <v/>
      </c>
      <c r="S773" s="14" t="str">
        <f>IFERROR((VLOOKUP($A773,'[1]import success seats course'!$A:AG,HLOOKUP('[1]Course Totals'!S$4,'[1]import success seats course'!$1:$2,2,FALSE),FALSE)/(VLOOKUP($A773,'[1]import graded seats course pivo'!$A:AQ,HLOOKUP('[1]Course Totals'!S$4,'[1]import graded seats course pivo'!$1:$2,2,FALSE),FALSE))),"")</f>
        <v/>
      </c>
      <c r="Z773" s="7"/>
      <c r="AA773" s="7"/>
      <c r="AB773" s="7"/>
      <c r="AC773" s="7"/>
    </row>
    <row r="774" spans="1:29" ht="15.75" customHeight="1" x14ac:dyDescent="0.25">
      <c r="A774" s="12" t="s">
        <v>354</v>
      </c>
      <c r="B774" s="14" t="str">
        <f>IFERROR((VLOOKUP($A774,'[1]import success seats course'!$A:P,HLOOKUP('[1]Course Totals'!B$4,'[1]import success seats course'!$1:$2,2,FALSE),FALSE)/(VLOOKUP($A774,'[1]import graded seats course pivo'!$A:Z,HLOOKUP('[1]Course Totals'!B$4,'[1]import graded seats course pivo'!$1:$2,2,FALSE),FALSE))),"")</f>
        <v/>
      </c>
      <c r="C774" s="14" t="str">
        <f>IFERROR((VLOOKUP($A774,'[1]import success seats course'!$A:Q,HLOOKUP('[1]Course Totals'!C$4,'[1]import success seats course'!$1:$2,2,FALSE),FALSE)/(VLOOKUP($A774,'[1]import graded seats course pivo'!$A:AA,HLOOKUP('[1]Course Totals'!C$4,'[1]import graded seats course pivo'!$1:$2,2,FALSE),FALSE))),"")</f>
        <v/>
      </c>
      <c r="D774" s="14" t="str">
        <f>IFERROR((VLOOKUP($A774,'[1]import success seats course'!$A:R,HLOOKUP('[1]Course Totals'!D$4,'[1]import success seats course'!$1:$2,2,FALSE),FALSE)/(VLOOKUP($A774,'[1]import graded seats course pivo'!$A:AB,HLOOKUP('[1]Course Totals'!D$4,'[1]import graded seats course pivo'!$1:$2,2,FALSE),FALSE))),"")</f>
        <v/>
      </c>
      <c r="E774" s="14" t="str">
        <f>IFERROR((VLOOKUP($A774,'[1]import success seats course'!$A:S,HLOOKUP('[1]Course Totals'!E$4,'[1]import success seats course'!$1:$2,2,FALSE),FALSE)/(VLOOKUP($A774,'[1]import graded seats course pivo'!$A:AC,HLOOKUP('[1]Course Totals'!E$4,'[1]import graded seats course pivo'!$1:$2,2,FALSE),FALSE))),"")</f>
        <v/>
      </c>
      <c r="F774" s="14" t="str">
        <f>IFERROR((VLOOKUP($A774,'[1]import success seats course'!$A:T,HLOOKUP('[1]Course Totals'!F$4,'[1]import success seats course'!$1:$2,2,FALSE),FALSE)/(VLOOKUP($A774,'[1]import graded seats course pivo'!$A:AD,HLOOKUP('[1]Course Totals'!F$4,'[1]import graded seats course pivo'!$1:$2,2,FALSE),FALSE))),"")</f>
        <v/>
      </c>
      <c r="G774" s="14" t="str">
        <f>IFERROR((VLOOKUP($A774,'[1]import success seats course'!$A:U,HLOOKUP('[1]Course Totals'!G$4,'[1]import success seats course'!$1:$2,2,FALSE),FALSE)/(VLOOKUP($A774,'[1]import graded seats course pivo'!$A:AE,HLOOKUP('[1]Course Totals'!G$4,'[1]import graded seats course pivo'!$1:$2,2,FALSE),FALSE))),"")</f>
        <v/>
      </c>
      <c r="H774" s="14" t="str">
        <f>IFERROR((VLOOKUP($A774,'[1]import success seats course'!$A:V,HLOOKUP('[1]Course Totals'!H$4,'[1]import success seats course'!$1:$2,2,FALSE),FALSE)/(VLOOKUP($A774,'[1]import graded seats course pivo'!$A:AF,HLOOKUP('[1]Course Totals'!H$4,'[1]import graded seats course pivo'!$1:$2,2,FALSE),FALSE))),"")</f>
        <v/>
      </c>
      <c r="I774" s="14">
        <f>IFERROR((VLOOKUP($A774,'[1]import success seats course'!$A:W,HLOOKUP('[1]Course Totals'!I$4,'[1]import success seats course'!$1:$2,2,FALSE),FALSE)/(VLOOKUP($A774,'[1]import graded seats course pivo'!$A:AG,HLOOKUP('[1]Course Totals'!I$4,'[1]import graded seats course pivo'!$1:$2,2,FALSE),FALSE))),"")</f>
        <v>0.62857142857142856</v>
      </c>
      <c r="J774" s="14" t="str">
        <f>IFERROR((VLOOKUP($A774,'[1]import success seats course'!$A:X,HLOOKUP('[1]Course Totals'!J$4,'[1]import success seats course'!$1:$2,2,FALSE),FALSE)/(VLOOKUP($A774,'[1]import graded seats course pivo'!$A:AH,HLOOKUP('[1]Course Totals'!J$4,'[1]import graded seats course pivo'!$1:$2,2,FALSE),FALSE))),"")</f>
        <v/>
      </c>
      <c r="K774" s="14" t="str">
        <f>IFERROR((VLOOKUP($A774,'[1]import success seats course'!$A:Y,HLOOKUP('[1]Course Totals'!K$4,'[1]import success seats course'!$1:$2,2,FALSE),FALSE)/(VLOOKUP($A774,'[1]import graded seats course pivo'!$A:AI,HLOOKUP('[1]Course Totals'!K$4,'[1]import graded seats course pivo'!$1:$2,2,FALSE),FALSE))),"")</f>
        <v/>
      </c>
      <c r="L774" s="14">
        <f>IFERROR((VLOOKUP($A774,'[1]import success seats course'!$A:Z,HLOOKUP('[1]Course Totals'!L$4,'[1]import success seats course'!$1:$2,2,FALSE),FALSE)/(VLOOKUP($A774,'[1]import graded seats course pivo'!$A:AJ,HLOOKUP('[1]Course Totals'!L$4,'[1]import graded seats course pivo'!$1:$2,2,FALSE),FALSE))),"")</f>
        <v>0.9</v>
      </c>
      <c r="M774" s="14" t="str">
        <f>IFERROR((VLOOKUP($A774,'[1]import success seats course'!$A:AA,HLOOKUP('[1]Course Totals'!M$4,'[1]import success seats course'!$1:$2,2,FALSE),FALSE)/(VLOOKUP($A774,'[1]import graded seats course pivo'!$A:AK,HLOOKUP('[1]Course Totals'!M$4,'[1]import graded seats course pivo'!$1:$2,2,FALSE),FALSE))),"")</f>
        <v/>
      </c>
      <c r="N774" s="14" t="str">
        <f>IFERROR((VLOOKUP($A774,'[1]import success seats course'!$A:AB,HLOOKUP('[1]Course Totals'!N$4,'[1]import success seats course'!$1:$2,2,FALSE),FALSE)/(VLOOKUP($A774,'[1]import graded seats course pivo'!$A:AL,HLOOKUP('[1]Course Totals'!N$4,'[1]import graded seats course pivo'!$1:$2,2,FALSE),FALSE))),"")</f>
        <v/>
      </c>
      <c r="O774" s="14">
        <f>IFERROR((VLOOKUP($A774,'[1]import success seats course'!$A:AC,HLOOKUP('[1]Course Totals'!O$4,'[1]import success seats course'!$1:$2,2,FALSE),FALSE)/(VLOOKUP($A774,'[1]import graded seats course pivo'!$A:AM,HLOOKUP('[1]Course Totals'!O$4,'[1]import graded seats course pivo'!$1:$2,2,FALSE),FALSE))),"")</f>
        <v>0.97058823529411764</v>
      </c>
      <c r="P774" s="14">
        <f>IFERROR((VLOOKUP($A774,'[1]import success seats course'!$A:AD,HLOOKUP('[1]Course Totals'!P$4,'[1]import success seats course'!$1:$2,2,FALSE),FALSE)/(VLOOKUP($A774,'[1]import graded seats course pivo'!$A:AN,HLOOKUP('[1]Course Totals'!P$4,'[1]import graded seats course pivo'!$1:$2,2,FALSE),FALSE))),"")</f>
        <v>0.53333333333333333</v>
      </c>
      <c r="Q774" s="14" t="str">
        <f>IFERROR((VLOOKUP($A774,'[1]import success seats course'!$A:AE,HLOOKUP('[1]Course Totals'!Q$4,'[1]import success seats course'!$1:$2,2,FALSE),FALSE)/(VLOOKUP($A774,'[1]import graded seats course pivo'!$A:AO,HLOOKUP('[1]Course Totals'!Q$4,'[1]import graded seats course pivo'!$1:$2,2,FALSE),FALSE))),"")</f>
        <v/>
      </c>
      <c r="R774" s="14">
        <f>IFERROR((VLOOKUP($A774,'[1]import success seats course'!$A:AF,HLOOKUP('[1]Course Totals'!R$4,'[1]import success seats course'!$1:$2,2,FALSE),FALSE)/(VLOOKUP($A774,'[1]import graded seats course pivo'!$A:AP,HLOOKUP('[1]Course Totals'!R$4,'[1]import graded seats course pivo'!$1:$2,2,FALSE),FALSE))),"")</f>
        <v>0.9375</v>
      </c>
      <c r="S774" s="14" t="str">
        <f>IFERROR((VLOOKUP($A774,'[1]import success seats course'!$A:AG,HLOOKUP('[1]Course Totals'!S$4,'[1]import success seats course'!$1:$2,2,FALSE),FALSE)/(VLOOKUP($A774,'[1]import graded seats course pivo'!$A:AQ,HLOOKUP('[1]Course Totals'!S$4,'[1]import graded seats course pivo'!$1:$2,2,FALSE),FALSE))),"")</f>
        <v/>
      </c>
      <c r="Z774" s="7"/>
      <c r="AA774" s="7"/>
      <c r="AB774" s="7"/>
      <c r="AC774" s="7"/>
    </row>
    <row r="775" spans="1:29" ht="15.75" customHeight="1" thickBot="1" x14ac:dyDescent="0.3">
      <c r="A775" s="8" t="str">
        <f>'[1]SUBJECTS BASE'!H46</f>
        <v>Multimedia</v>
      </c>
      <c r="B775" s="38" t="s">
        <v>1046</v>
      </c>
      <c r="C775" s="39" t="s">
        <v>0</v>
      </c>
      <c r="D775" s="40" t="s">
        <v>868</v>
      </c>
      <c r="E775" s="41" t="s">
        <v>1052</v>
      </c>
      <c r="F775" s="42" t="s">
        <v>546</v>
      </c>
      <c r="G775" s="43" t="s">
        <v>959</v>
      </c>
      <c r="H775" s="44" t="s">
        <v>1060</v>
      </c>
      <c r="I775" s="39" t="s">
        <v>675</v>
      </c>
      <c r="J775" s="45" t="s">
        <v>1006</v>
      </c>
      <c r="K775" s="46" t="s">
        <v>1062</v>
      </c>
      <c r="L775" s="42" t="s">
        <v>762</v>
      </c>
      <c r="M775" s="43" t="s">
        <v>1022</v>
      </c>
      <c r="N775" s="44" t="s">
        <v>1063</v>
      </c>
      <c r="O775" s="39" t="s">
        <v>822</v>
      </c>
      <c r="P775" s="40" t="s">
        <v>1042</v>
      </c>
      <c r="Q775" s="46" t="s">
        <v>1153</v>
      </c>
      <c r="R775" s="42" t="s">
        <v>1154</v>
      </c>
      <c r="S775" s="43" t="s">
        <v>1155</v>
      </c>
      <c r="Z775" s="7"/>
      <c r="AA775" s="7"/>
      <c r="AB775" s="7"/>
      <c r="AC775" s="7"/>
    </row>
    <row r="776" spans="1:29" ht="15.75" customHeight="1" x14ac:dyDescent="0.25">
      <c r="A776" s="12" t="s">
        <v>355</v>
      </c>
      <c r="B776" s="14" t="str">
        <f>IFERROR((VLOOKUP($A776,'[1]import success seats course'!$A:P,HLOOKUP('[1]Course Totals'!B$4,'[1]import success seats course'!$1:$2,2,FALSE),FALSE)/(VLOOKUP($A776,'[1]import graded seats course pivo'!$A:Z,HLOOKUP('[1]Course Totals'!B$4,'[1]import graded seats course pivo'!$1:$2,2,FALSE),FALSE))),"")</f>
        <v/>
      </c>
      <c r="C776" s="14">
        <f>IFERROR((VLOOKUP($A776,'[1]import success seats course'!$A:Q,HLOOKUP('[1]Course Totals'!C$4,'[1]import success seats course'!$1:$2,2,FALSE),FALSE)/(VLOOKUP($A776,'[1]import graded seats course pivo'!$A:AA,HLOOKUP('[1]Course Totals'!C$4,'[1]import graded seats course pivo'!$1:$2,2,FALSE),FALSE))),"")</f>
        <v>0.78260869565217395</v>
      </c>
      <c r="D776" s="14">
        <f>IFERROR((VLOOKUP($A776,'[1]import success seats course'!$A:R,HLOOKUP('[1]Course Totals'!D$4,'[1]import success seats course'!$1:$2,2,FALSE),FALSE)/(VLOOKUP($A776,'[1]import graded seats course pivo'!$A:AB,HLOOKUP('[1]Course Totals'!D$4,'[1]import graded seats course pivo'!$1:$2,2,FALSE),FALSE))),"")</f>
        <v>1</v>
      </c>
      <c r="E776" s="14">
        <f>IFERROR((VLOOKUP($A776,'[1]import success seats course'!$A:S,HLOOKUP('[1]Course Totals'!E$4,'[1]import success seats course'!$1:$2,2,FALSE),FALSE)/(VLOOKUP($A776,'[1]import graded seats course pivo'!$A:AC,HLOOKUP('[1]Course Totals'!E$4,'[1]import graded seats course pivo'!$1:$2,2,FALSE),FALSE))),"")</f>
        <v>0.90909090909090906</v>
      </c>
      <c r="F776" s="14">
        <f>IFERROR((VLOOKUP($A776,'[1]import success seats course'!$A:T,HLOOKUP('[1]Course Totals'!F$4,'[1]import success seats course'!$1:$2,2,FALSE),FALSE)/(VLOOKUP($A776,'[1]import graded seats course pivo'!$A:AD,HLOOKUP('[1]Course Totals'!F$4,'[1]import graded seats course pivo'!$1:$2,2,FALSE),FALSE))),"")</f>
        <v>0.9285714285714286</v>
      </c>
      <c r="G776" s="14">
        <f>IFERROR((VLOOKUP($A776,'[1]import success seats course'!$A:U,HLOOKUP('[1]Course Totals'!G$4,'[1]import success seats course'!$1:$2,2,FALSE),FALSE)/(VLOOKUP($A776,'[1]import graded seats course pivo'!$A:AE,HLOOKUP('[1]Course Totals'!G$4,'[1]import graded seats course pivo'!$1:$2,2,FALSE),FALSE))),"")</f>
        <v>0.82758620689655171</v>
      </c>
      <c r="H776" s="14" t="str">
        <f>IFERROR((VLOOKUP($A776,'[1]import success seats course'!$A:V,HLOOKUP('[1]Course Totals'!H$4,'[1]import success seats course'!$1:$2,2,FALSE),FALSE)/(VLOOKUP($A776,'[1]import graded seats course pivo'!$A:AF,HLOOKUP('[1]Course Totals'!H$4,'[1]import graded seats course pivo'!$1:$2,2,FALSE),FALSE))),"")</f>
        <v/>
      </c>
      <c r="I776" s="14">
        <f>IFERROR((VLOOKUP($A776,'[1]import success seats course'!$A:W,HLOOKUP('[1]Course Totals'!I$4,'[1]import success seats course'!$1:$2,2,FALSE),FALSE)/(VLOOKUP($A776,'[1]import graded seats course pivo'!$A:AG,HLOOKUP('[1]Course Totals'!I$4,'[1]import graded seats course pivo'!$1:$2,2,FALSE),FALSE))),"")</f>
        <v>0.88372093023255816</v>
      </c>
      <c r="J776" s="14">
        <f>IFERROR((VLOOKUP($A776,'[1]import success seats course'!$A:X,HLOOKUP('[1]Course Totals'!J$4,'[1]import success seats course'!$1:$2,2,FALSE),FALSE)/(VLOOKUP($A776,'[1]import graded seats course pivo'!$A:AH,HLOOKUP('[1]Course Totals'!J$4,'[1]import graded seats course pivo'!$1:$2,2,FALSE),FALSE))),"")</f>
        <v>0.64</v>
      </c>
      <c r="K776" s="14" t="str">
        <f>IFERROR((VLOOKUP($A776,'[1]import success seats course'!$A:Y,HLOOKUP('[1]Course Totals'!K$4,'[1]import success seats course'!$1:$2,2,FALSE),FALSE)/(VLOOKUP($A776,'[1]import graded seats course pivo'!$A:AI,HLOOKUP('[1]Course Totals'!K$4,'[1]import graded seats course pivo'!$1:$2,2,FALSE),FALSE))),"")</f>
        <v/>
      </c>
      <c r="L776" s="14">
        <f>IFERROR((VLOOKUP($A776,'[1]import success seats course'!$A:Z,HLOOKUP('[1]Course Totals'!L$4,'[1]import success seats course'!$1:$2,2,FALSE),FALSE)/(VLOOKUP($A776,'[1]import graded seats course pivo'!$A:AJ,HLOOKUP('[1]Course Totals'!L$4,'[1]import graded seats course pivo'!$1:$2,2,FALSE),FALSE))),"")</f>
        <v>1</v>
      </c>
      <c r="M776" s="14">
        <f>IFERROR((VLOOKUP($A776,'[1]import success seats course'!$A:AA,HLOOKUP('[1]Course Totals'!M$4,'[1]import success seats course'!$1:$2,2,FALSE),FALSE)/(VLOOKUP($A776,'[1]import graded seats course pivo'!$A:AK,HLOOKUP('[1]Course Totals'!M$4,'[1]import graded seats course pivo'!$1:$2,2,FALSE),FALSE))),"")</f>
        <v>0.83823529411764708</v>
      </c>
      <c r="N776" s="14" t="str">
        <f>IFERROR((VLOOKUP($A776,'[1]import success seats course'!$A:AB,HLOOKUP('[1]Course Totals'!N$4,'[1]import success seats course'!$1:$2,2,FALSE),FALSE)/(VLOOKUP($A776,'[1]import graded seats course pivo'!$A:AL,HLOOKUP('[1]Course Totals'!N$4,'[1]import graded seats course pivo'!$1:$2,2,FALSE),FALSE))),"")</f>
        <v/>
      </c>
      <c r="O776" s="14">
        <f>IFERROR((VLOOKUP($A776,'[1]import success seats course'!$A:AC,HLOOKUP('[1]Course Totals'!O$4,'[1]import success seats course'!$1:$2,2,FALSE),FALSE)/(VLOOKUP($A776,'[1]import graded seats course pivo'!$A:AM,HLOOKUP('[1]Course Totals'!O$4,'[1]import graded seats course pivo'!$1:$2,2,FALSE),FALSE))),"")</f>
        <v>0.79166666666666663</v>
      </c>
      <c r="P776" s="14">
        <f>IFERROR((VLOOKUP($A776,'[1]import success seats course'!$A:AD,HLOOKUP('[1]Course Totals'!P$4,'[1]import success seats course'!$1:$2,2,FALSE),FALSE)/(VLOOKUP($A776,'[1]import graded seats course pivo'!$A:AN,HLOOKUP('[1]Course Totals'!P$4,'[1]import graded seats course pivo'!$1:$2,2,FALSE),FALSE))),"")</f>
        <v>0.76923076923076927</v>
      </c>
      <c r="Q776" s="14" t="str">
        <f>IFERROR((VLOOKUP($A776,'[1]import success seats course'!$A:AE,HLOOKUP('[1]Course Totals'!Q$4,'[1]import success seats course'!$1:$2,2,FALSE),FALSE)/(VLOOKUP($A776,'[1]import graded seats course pivo'!$A:AO,HLOOKUP('[1]Course Totals'!Q$4,'[1]import graded seats course pivo'!$1:$2,2,FALSE),FALSE))),"")</f>
        <v/>
      </c>
      <c r="R776" s="14">
        <f>IFERROR((VLOOKUP($A776,'[1]import success seats course'!$A:AF,HLOOKUP('[1]Course Totals'!R$4,'[1]import success seats course'!$1:$2,2,FALSE),FALSE)/(VLOOKUP($A776,'[1]import graded seats course pivo'!$A:AP,HLOOKUP('[1]Course Totals'!R$4,'[1]import graded seats course pivo'!$1:$2,2,FALSE),FALSE))),"")</f>
        <v>0.45</v>
      </c>
      <c r="S776" s="14" t="str">
        <f>IFERROR((VLOOKUP($A776,'[1]import success seats course'!$A:AG,HLOOKUP('[1]Course Totals'!S$4,'[1]import success seats course'!$1:$2,2,FALSE),FALSE)/(VLOOKUP($A776,'[1]import graded seats course pivo'!$A:AQ,HLOOKUP('[1]Course Totals'!S$4,'[1]import graded seats course pivo'!$1:$2,2,FALSE),FALSE))),"")</f>
        <v/>
      </c>
      <c r="Z776" s="7"/>
      <c r="AA776" s="7"/>
      <c r="AB776" s="7"/>
      <c r="AC776" s="7"/>
    </row>
    <row r="777" spans="1:29" ht="15.75" customHeight="1" x14ac:dyDescent="0.25">
      <c r="A777" s="12" t="s">
        <v>356</v>
      </c>
      <c r="B777" s="14" t="str">
        <f>IFERROR((VLOOKUP($A777,'[1]import success seats course'!$A:P,HLOOKUP('[1]Course Totals'!B$4,'[1]import success seats course'!$1:$2,2,FALSE),FALSE)/(VLOOKUP($A777,'[1]import graded seats course pivo'!$A:Z,HLOOKUP('[1]Course Totals'!B$4,'[1]import graded seats course pivo'!$1:$2,2,FALSE),FALSE))),"")</f>
        <v/>
      </c>
      <c r="C777" s="14">
        <f>IFERROR((VLOOKUP($A777,'[1]import success seats course'!$A:Q,HLOOKUP('[1]Course Totals'!C$4,'[1]import success seats course'!$1:$2,2,FALSE),FALSE)/(VLOOKUP($A777,'[1]import graded seats course pivo'!$A:AA,HLOOKUP('[1]Course Totals'!C$4,'[1]import graded seats course pivo'!$1:$2,2,FALSE),FALSE))),"")</f>
        <v>0.76470588235294112</v>
      </c>
      <c r="D777" s="14">
        <f>IFERROR((VLOOKUP($A777,'[1]import success seats course'!$A:R,HLOOKUP('[1]Course Totals'!D$4,'[1]import success seats course'!$1:$2,2,FALSE),FALSE)/(VLOOKUP($A777,'[1]import graded seats course pivo'!$A:AB,HLOOKUP('[1]Course Totals'!D$4,'[1]import graded seats course pivo'!$1:$2,2,FALSE),FALSE))),"")</f>
        <v>0.9</v>
      </c>
      <c r="E777" s="14" t="str">
        <f>IFERROR((VLOOKUP($A777,'[1]import success seats course'!$A:S,HLOOKUP('[1]Course Totals'!E$4,'[1]import success seats course'!$1:$2,2,FALSE),FALSE)/(VLOOKUP($A777,'[1]import graded seats course pivo'!$A:AC,HLOOKUP('[1]Course Totals'!E$4,'[1]import graded seats course pivo'!$1:$2,2,FALSE),FALSE))),"")</f>
        <v/>
      </c>
      <c r="F777" s="14">
        <f>IFERROR((VLOOKUP($A777,'[1]import success seats course'!$A:T,HLOOKUP('[1]Course Totals'!F$4,'[1]import success seats course'!$1:$2,2,FALSE),FALSE)/(VLOOKUP($A777,'[1]import graded seats course pivo'!$A:AD,HLOOKUP('[1]Course Totals'!F$4,'[1]import graded seats course pivo'!$1:$2,2,FALSE),FALSE))),"")</f>
        <v>0.78787878787878785</v>
      </c>
      <c r="G777" s="14">
        <f>IFERROR((VLOOKUP($A777,'[1]import success seats course'!$A:U,HLOOKUP('[1]Course Totals'!G$4,'[1]import success seats course'!$1:$2,2,FALSE),FALSE)/(VLOOKUP($A777,'[1]import graded seats course pivo'!$A:AE,HLOOKUP('[1]Course Totals'!G$4,'[1]import graded seats course pivo'!$1:$2,2,FALSE),FALSE))),"")</f>
        <v>0.78048780487804881</v>
      </c>
      <c r="H777" s="14" t="str">
        <f>IFERROR((VLOOKUP($A777,'[1]import success seats course'!$A:V,HLOOKUP('[1]Course Totals'!H$4,'[1]import success seats course'!$1:$2,2,FALSE),FALSE)/(VLOOKUP($A777,'[1]import graded seats course pivo'!$A:AF,HLOOKUP('[1]Course Totals'!H$4,'[1]import graded seats course pivo'!$1:$2,2,FALSE),FALSE))),"")</f>
        <v/>
      </c>
      <c r="I777" s="14">
        <f>IFERROR((VLOOKUP($A777,'[1]import success seats course'!$A:W,HLOOKUP('[1]Course Totals'!I$4,'[1]import success seats course'!$1:$2,2,FALSE),FALSE)/(VLOOKUP($A777,'[1]import graded seats course pivo'!$A:AG,HLOOKUP('[1]Course Totals'!I$4,'[1]import graded seats course pivo'!$1:$2,2,FALSE),FALSE))),"")</f>
        <v>0.83783783783783783</v>
      </c>
      <c r="J777" s="14">
        <f>IFERROR((VLOOKUP($A777,'[1]import success seats course'!$A:X,HLOOKUP('[1]Course Totals'!J$4,'[1]import success seats course'!$1:$2,2,FALSE),FALSE)/(VLOOKUP($A777,'[1]import graded seats course pivo'!$A:AH,HLOOKUP('[1]Course Totals'!J$4,'[1]import graded seats course pivo'!$1:$2,2,FALSE),FALSE))),"")</f>
        <v>0.90476190476190477</v>
      </c>
      <c r="K777" s="14" t="str">
        <f>IFERROR((VLOOKUP($A777,'[1]import success seats course'!$A:Y,HLOOKUP('[1]Course Totals'!K$4,'[1]import success seats course'!$1:$2,2,FALSE),FALSE)/(VLOOKUP($A777,'[1]import graded seats course pivo'!$A:AI,HLOOKUP('[1]Course Totals'!K$4,'[1]import graded seats course pivo'!$1:$2,2,FALSE),FALSE))),"")</f>
        <v/>
      </c>
      <c r="L777" s="14">
        <f>IFERROR((VLOOKUP($A777,'[1]import success seats course'!$A:Z,HLOOKUP('[1]Course Totals'!L$4,'[1]import success seats course'!$1:$2,2,FALSE),FALSE)/(VLOOKUP($A777,'[1]import graded seats course pivo'!$A:AJ,HLOOKUP('[1]Course Totals'!L$4,'[1]import graded seats course pivo'!$1:$2,2,FALSE),FALSE))),"")</f>
        <v>0.79545454545454541</v>
      </c>
      <c r="M777" s="14" t="str">
        <f>IFERROR((VLOOKUP($A777,'[1]import success seats course'!$A:AA,HLOOKUP('[1]Course Totals'!M$4,'[1]import success seats course'!$1:$2,2,FALSE),FALSE)/(VLOOKUP($A777,'[1]import graded seats course pivo'!$A:AK,HLOOKUP('[1]Course Totals'!M$4,'[1]import graded seats course pivo'!$1:$2,2,FALSE),FALSE))),"")</f>
        <v/>
      </c>
      <c r="N777" s="14" t="str">
        <f>IFERROR((VLOOKUP($A777,'[1]import success seats course'!$A:AB,HLOOKUP('[1]Course Totals'!N$4,'[1]import success seats course'!$1:$2,2,FALSE),FALSE)/(VLOOKUP($A777,'[1]import graded seats course pivo'!$A:AL,HLOOKUP('[1]Course Totals'!N$4,'[1]import graded seats course pivo'!$1:$2,2,FALSE),FALSE))),"")</f>
        <v/>
      </c>
      <c r="O777" s="14" t="str">
        <f>IFERROR((VLOOKUP($A777,'[1]import success seats course'!$A:AC,HLOOKUP('[1]Course Totals'!O$4,'[1]import success seats course'!$1:$2,2,FALSE),FALSE)/(VLOOKUP($A777,'[1]import graded seats course pivo'!$A:AM,HLOOKUP('[1]Course Totals'!O$4,'[1]import graded seats course pivo'!$1:$2,2,FALSE),FALSE))),"")</f>
        <v/>
      </c>
      <c r="P777" s="14" t="str">
        <f>IFERROR((VLOOKUP($A777,'[1]import success seats course'!$A:AD,HLOOKUP('[1]Course Totals'!P$4,'[1]import success seats course'!$1:$2,2,FALSE),FALSE)/(VLOOKUP($A777,'[1]import graded seats course pivo'!$A:AN,HLOOKUP('[1]Course Totals'!P$4,'[1]import graded seats course pivo'!$1:$2,2,FALSE),FALSE))),"")</f>
        <v/>
      </c>
      <c r="Q777" s="14" t="str">
        <f>IFERROR((VLOOKUP($A777,'[1]import success seats course'!$A:AE,HLOOKUP('[1]Course Totals'!Q$4,'[1]import success seats course'!$1:$2,2,FALSE),FALSE)/(VLOOKUP($A777,'[1]import graded seats course pivo'!$A:AO,HLOOKUP('[1]Course Totals'!Q$4,'[1]import graded seats course pivo'!$1:$2,2,FALSE),FALSE))),"")</f>
        <v/>
      </c>
      <c r="R777" s="14" t="str">
        <f>IFERROR((VLOOKUP($A777,'[1]import success seats course'!$A:AF,HLOOKUP('[1]Course Totals'!R$4,'[1]import success seats course'!$1:$2,2,FALSE),FALSE)/(VLOOKUP($A777,'[1]import graded seats course pivo'!$A:AP,HLOOKUP('[1]Course Totals'!R$4,'[1]import graded seats course pivo'!$1:$2,2,FALSE),FALSE))),"")</f>
        <v/>
      </c>
      <c r="S777" s="14" t="str">
        <f>IFERROR((VLOOKUP($A777,'[1]import success seats course'!$A:AG,HLOOKUP('[1]Course Totals'!S$4,'[1]import success seats course'!$1:$2,2,FALSE),FALSE)/(VLOOKUP($A777,'[1]import graded seats course pivo'!$A:AQ,HLOOKUP('[1]Course Totals'!S$4,'[1]import graded seats course pivo'!$1:$2,2,FALSE),FALSE))),"")</f>
        <v/>
      </c>
      <c r="Z777" s="7"/>
      <c r="AA777" s="7"/>
      <c r="AB777" s="7"/>
      <c r="AC777" s="7"/>
    </row>
    <row r="778" spans="1:29" ht="15.75" customHeight="1" x14ac:dyDescent="0.25">
      <c r="A778" s="12" t="s">
        <v>357</v>
      </c>
      <c r="B778" s="14" t="str">
        <f>IFERROR((VLOOKUP($A778,'[1]import success seats course'!$A:P,HLOOKUP('[1]Course Totals'!B$4,'[1]import success seats course'!$1:$2,2,FALSE),FALSE)/(VLOOKUP($A778,'[1]import graded seats course pivo'!$A:Z,HLOOKUP('[1]Course Totals'!B$4,'[1]import graded seats course pivo'!$1:$2,2,FALSE),FALSE))),"")</f>
        <v/>
      </c>
      <c r="C778" s="14">
        <f>IFERROR((VLOOKUP($A778,'[1]import success seats course'!$A:Q,HLOOKUP('[1]Course Totals'!C$4,'[1]import success seats course'!$1:$2,2,FALSE),FALSE)/(VLOOKUP($A778,'[1]import graded seats course pivo'!$A:AA,HLOOKUP('[1]Course Totals'!C$4,'[1]import graded seats course pivo'!$1:$2,2,FALSE),FALSE))),"")</f>
        <v>1</v>
      </c>
      <c r="D778" s="14">
        <f>IFERROR((VLOOKUP($A778,'[1]import success seats course'!$A:R,HLOOKUP('[1]Course Totals'!D$4,'[1]import success seats course'!$1:$2,2,FALSE),FALSE)/(VLOOKUP($A778,'[1]import graded seats course pivo'!$A:AB,HLOOKUP('[1]Course Totals'!D$4,'[1]import graded seats course pivo'!$1:$2,2,FALSE),FALSE))),"")</f>
        <v>1</v>
      </c>
      <c r="E778" s="14" t="str">
        <f>IFERROR((VLOOKUP($A778,'[1]import success seats course'!$A:S,HLOOKUP('[1]Course Totals'!E$4,'[1]import success seats course'!$1:$2,2,FALSE),FALSE)/(VLOOKUP($A778,'[1]import graded seats course pivo'!$A:AC,HLOOKUP('[1]Course Totals'!E$4,'[1]import graded seats course pivo'!$1:$2,2,FALSE),FALSE))),"")</f>
        <v/>
      </c>
      <c r="F778" s="14">
        <f>IFERROR((VLOOKUP($A778,'[1]import success seats course'!$A:T,HLOOKUP('[1]Course Totals'!F$4,'[1]import success seats course'!$1:$2,2,FALSE),FALSE)/(VLOOKUP($A778,'[1]import graded seats course pivo'!$A:AD,HLOOKUP('[1]Course Totals'!F$4,'[1]import graded seats course pivo'!$1:$2,2,FALSE),FALSE))),"")</f>
        <v>1</v>
      </c>
      <c r="G778" s="14">
        <f>IFERROR((VLOOKUP($A778,'[1]import success seats course'!$A:U,HLOOKUP('[1]Course Totals'!G$4,'[1]import success seats course'!$1:$2,2,FALSE),FALSE)/(VLOOKUP($A778,'[1]import graded seats course pivo'!$A:AE,HLOOKUP('[1]Course Totals'!G$4,'[1]import graded seats course pivo'!$1:$2,2,FALSE),FALSE))),"")</f>
        <v>1</v>
      </c>
      <c r="H778" s="14" t="str">
        <f>IFERROR((VLOOKUP($A778,'[1]import success seats course'!$A:V,HLOOKUP('[1]Course Totals'!H$4,'[1]import success seats course'!$1:$2,2,FALSE),FALSE)/(VLOOKUP($A778,'[1]import graded seats course pivo'!$A:AF,HLOOKUP('[1]Course Totals'!H$4,'[1]import graded seats course pivo'!$1:$2,2,FALSE),FALSE))),"")</f>
        <v/>
      </c>
      <c r="I778" s="14">
        <f>IFERROR((VLOOKUP($A778,'[1]import success seats course'!$A:W,HLOOKUP('[1]Course Totals'!I$4,'[1]import success seats course'!$1:$2,2,FALSE),FALSE)/(VLOOKUP($A778,'[1]import graded seats course pivo'!$A:AG,HLOOKUP('[1]Course Totals'!I$4,'[1]import graded seats course pivo'!$1:$2,2,FALSE),FALSE))),"")</f>
        <v>1</v>
      </c>
      <c r="J778" s="14">
        <f>IFERROR((VLOOKUP($A778,'[1]import success seats course'!$A:X,HLOOKUP('[1]Course Totals'!J$4,'[1]import success seats course'!$1:$2,2,FALSE),FALSE)/(VLOOKUP($A778,'[1]import graded seats course pivo'!$A:AH,HLOOKUP('[1]Course Totals'!J$4,'[1]import graded seats course pivo'!$1:$2,2,FALSE),FALSE))),"")</f>
        <v>1</v>
      </c>
      <c r="K778" s="14" t="str">
        <f>IFERROR((VLOOKUP($A778,'[1]import success seats course'!$A:Y,HLOOKUP('[1]Course Totals'!K$4,'[1]import success seats course'!$1:$2,2,FALSE),FALSE)/(VLOOKUP($A778,'[1]import graded seats course pivo'!$A:AI,HLOOKUP('[1]Course Totals'!K$4,'[1]import graded seats course pivo'!$1:$2,2,FALSE),FALSE))),"")</f>
        <v/>
      </c>
      <c r="L778" s="14">
        <f>IFERROR((VLOOKUP($A778,'[1]import success seats course'!$A:Z,HLOOKUP('[1]Course Totals'!L$4,'[1]import success seats course'!$1:$2,2,FALSE),FALSE)/(VLOOKUP($A778,'[1]import graded seats course pivo'!$A:AJ,HLOOKUP('[1]Course Totals'!L$4,'[1]import graded seats course pivo'!$1:$2,2,FALSE),FALSE))),"")</f>
        <v>1</v>
      </c>
      <c r="M778" s="14">
        <f>IFERROR((VLOOKUP($A778,'[1]import success seats course'!$A:AA,HLOOKUP('[1]Course Totals'!M$4,'[1]import success seats course'!$1:$2,2,FALSE),FALSE)/(VLOOKUP($A778,'[1]import graded seats course pivo'!$A:AK,HLOOKUP('[1]Course Totals'!M$4,'[1]import graded seats course pivo'!$1:$2,2,FALSE),FALSE))),"")</f>
        <v>0.94117647058823528</v>
      </c>
      <c r="N778" s="14" t="str">
        <f>IFERROR((VLOOKUP($A778,'[1]import success seats course'!$A:AB,HLOOKUP('[1]Course Totals'!N$4,'[1]import success seats course'!$1:$2,2,FALSE),FALSE)/(VLOOKUP($A778,'[1]import graded seats course pivo'!$A:AL,HLOOKUP('[1]Course Totals'!N$4,'[1]import graded seats course pivo'!$1:$2,2,FALSE),FALSE))),"")</f>
        <v/>
      </c>
      <c r="O778" s="14" t="str">
        <f>IFERROR((VLOOKUP($A778,'[1]import success seats course'!$A:AC,HLOOKUP('[1]Course Totals'!O$4,'[1]import success seats course'!$1:$2,2,FALSE),FALSE)/(VLOOKUP($A778,'[1]import graded seats course pivo'!$A:AM,HLOOKUP('[1]Course Totals'!O$4,'[1]import graded seats course pivo'!$1:$2,2,FALSE),FALSE))),"")</f>
        <v/>
      </c>
      <c r="P778" s="14" t="str">
        <f>IFERROR((VLOOKUP($A778,'[1]import success seats course'!$A:AD,HLOOKUP('[1]Course Totals'!P$4,'[1]import success seats course'!$1:$2,2,FALSE),FALSE)/(VLOOKUP($A778,'[1]import graded seats course pivo'!$A:AN,HLOOKUP('[1]Course Totals'!P$4,'[1]import graded seats course pivo'!$1:$2,2,FALSE),FALSE))),"")</f>
        <v/>
      </c>
      <c r="Q778" s="14" t="str">
        <f>IFERROR((VLOOKUP($A778,'[1]import success seats course'!$A:AE,HLOOKUP('[1]Course Totals'!Q$4,'[1]import success seats course'!$1:$2,2,FALSE),FALSE)/(VLOOKUP($A778,'[1]import graded seats course pivo'!$A:AO,HLOOKUP('[1]Course Totals'!Q$4,'[1]import graded seats course pivo'!$1:$2,2,FALSE),FALSE))),"")</f>
        <v/>
      </c>
      <c r="R778" s="14" t="str">
        <f>IFERROR((VLOOKUP($A778,'[1]import success seats course'!$A:AF,HLOOKUP('[1]Course Totals'!R$4,'[1]import success seats course'!$1:$2,2,FALSE),FALSE)/(VLOOKUP($A778,'[1]import graded seats course pivo'!$A:AP,HLOOKUP('[1]Course Totals'!R$4,'[1]import graded seats course pivo'!$1:$2,2,FALSE),FALSE))),"")</f>
        <v/>
      </c>
      <c r="S778" s="14" t="str">
        <f>IFERROR((VLOOKUP($A778,'[1]import success seats course'!$A:AG,HLOOKUP('[1]Course Totals'!S$4,'[1]import success seats course'!$1:$2,2,FALSE),FALSE)/(VLOOKUP($A778,'[1]import graded seats course pivo'!$A:AQ,HLOOKUP('[1]Course Totals'!S$4,'[1]import graded seats course pivo'!$1:$2,2,FALSE),FALSE))),"")</f>
        <v/>
      </c>
      <c r="Z778" s="7"/>
      <c r="AA778" s="7"/>
      <c r="AB778" s="7"/>
      <c r="AC778" s="7"/>
    </row>
    <row r="779" spans="1:29" ht="15.75" customHeight="1" x14ac:dyDescent="0.25">
      <c r="A779" s="12" t="s">
        <v>358</v>
      </c>
      <c r="B779" s="14" t="str">
        <f>IFERROR((VLOOKUP($A779,'[1]import success seats course'!$A:P,HLOOKUP('[1]Course Totals'!B$4,'[1]import success seats course'!$1:$2,2,FALSE),FALSE)/(VLOOKUP($A779,'[1]import graded seats course pivo'!$A:Z,HLOOKUP('[1]Course Totals'!B$4,'[1]import graded seats course pivo'!$1:$2,2,FALSE),FALSE))),"")</f>
        <v/>
      </c>
      <c r="C779" s="14">
        <f>IFERROR((VLOOKUP($A779,'[1]import success seats course'!$A:Q,HLOOKUP('[1]Course Totals'!C$4,'[1]import success seats course'!$1:$2,2,FALSE),FALSE)/(VLOOKUP($A779,'[1]import graded seats course pivo'!$A:AA,HLOOKUP('[1]Course Totals'!C$4,'[1]import graded seats course pivo'!$1:$2,2,FALSE),FALSE))),"")</f>
        <v>0.82608695652173914</v>
      </c>
      <c r="D779" s="14">
        <f>IFERROR((VLOOKUP($A779,'[1]import success seats course'!$A:R,HLOOKUP('[1]Course Totals'!D$4,'[1]import success seats course'!$1:$2,2,FALSE),FALSE)/(VLOOKUP($A779,'[1]import graded seats course pivo'!$A:AB,HLOOKUP('[1]Course Totals'!D$4,'[1]import graded seats course pivo'!$1:$2,2,FALSE),FALSE))),"")</f>
        <v>0.8936170212765957</v>
      </c>
      <c r="E779" s="14">
        <f>IFERROR((VLOOKUP($A779,'[1]import success seats course'!$A:S,HLOOKUP('[1]Course Totals'!E$4,'[1]import success seats course'!$1:$2,2,FALSE),FALSE)/(VLOOKUP($A779,'[1]import graded seats course pivo'!$A:AC,HLOOKUP('[1]Course Totals'!E$4,'[1]import graded seats course pivo'!$1:$2,2,FALSE),FALSE))),"")</f>
        <v>0.83333333333333337</v>
      </c>
      <c r="F779" s="14">
        <f>IFERROR((VLOOKUP($A779,'[1]import success seats course'!$A:T,HLOOKUP('[1]Course Totals'!F$4,'[1]import success seats course'!$1:$2,2,FALSE),FALSE)/(VLOOKUP($A779,'[1]import graded seats course pivo'!$A:AD,HLOOKUP('[1]Course Totals'!F$4,'[1]import graded seats course pivo'!$1:$2,2,FALSE),FALSE))),"")</f>
        <v>0.86290322580645162</v>
      </c>
      <c r="G779" s="14">
        <f>IFERROR((VLOOKUP($A779,'[1]import success seats course'!$A:U,HLOOKUP('[1]Course Totals'!G$4,'[1]import success seats course'!$1:$2,2,FALSE),FALSE)/(VLOOKUP($A779,'[1]import graded seats course pivo'!$A:AE,HLOOKUP('[1]Course Totals'!G$4,'[1]import graded seats course pivo'!$1:$2,2,FALSE),FALSE))),"")</f>
        <v>0.79646017699115046</v>
      </c>
      <c r="H779" s="14" t="str">
        <f>IFERROR((VLOOKUP($A779,'[1]import success seats course'!$A:V,HLOOKUP('[1]Course Totals'!H$4,'[1]import success seats course'!$1:$2,2,FALSE),FALSE)/(VLOOKUP($A779,'[1]import graded seats course pivo'!$A:AF,HLOOKUP('[1]Course Totals'!H$4,'[1]import graded seats course pivo'!$1:$2,2,FALSE),FALSE))),"")</f>
        <v/>
      </c>
      <c r="I779" s="14">
        <f>IFERROR((VLOOKUP($A779,'[1]import success seats course'!$A:W,HLOOKUP('[1]Course Totals'!I$4,'[1]import success seats course'!$1:$2,2,FALSE),FALSE)/(VLOOKUP($A779,'[1]import graded seats course pivo'!$A:AG,HLOOKUP('[1]Course Totals'!I$4,'[1]import graded seats course pivo'!$1:$2,2,FALSE),FALSE))),"")</f>
        <v>0.86554621848739499</v>
      </c>
      <c r="J779" s="14">
        <f>IFERROR((VLOOKUP($A779,'[1]import success seats course'!$A:X,HLOOKUP('[1]Course Totals'!J$4,'[1]import success seats course'!$1:$2,2,FALSE),FALSE)/(VLOOKUP($A779,'[1]import graded seats course pivo'!$A:AH,HLOOKUP('[1]Course Totals'!J$4,'[1]import graded seats course pivo'!$1:$2,2,FALSE),FALSE))),"")</f>
        <v>0.82291666666666663</v>
      </c>
      <c r="K779" s="14" t="str">
        <f>IFERROR((VLOOKUP($A779,'[1]import success seats course'!$A:Y,HLOOKUP('[1]Course Totals'!K$4,'[1]import success seats course'!$1:$2,2,FALSE),FALSE)/(VLOOKUP($A779,'[1]import graded seats course pivo'!$A:AI,HLOOKUP('[1]Course Totals'!K$4,'[1]import graded seats course pivo'!$1:$2,2,FALSE),FALSE))),"")</f>
        <v/>
      </c>
      <c r="L779" s="14">
        <f>IFERROR((VLOOKUP($A779,'[1]import success seats course'!$A:Z,HLOOKUP('[1]Course Totals'!L$4,'[1]import success seats course'!$1:$2,2,FALSE),FALSE)/(VLOOKUP($A779,'[1]import graded seats course pivo'!$A:AJ,HLOOKUP('[1]Course Totals'!L$4,'[1]import graded seats course pivo'!$1:$2,2,FALSE),FALSE))),"")</f>
        <v>0.83333333333333337</v>
      </c>
      <c r="M779" s="14">
        <f>IFERROR((VLOOKUP($A779,'[1]import success seats course'!$A:AA,HLOOKUP('[1]Course Totals'!M$4,'[1]import success seats course'!$1:$2,2,FALSE),FALSE)/(VLOOKUP($A779,'[1]import graded seats course pivo'!$A:AK,HLOOKUP('[1]Course Totals'!M$4,'[1]import graded seats course pivo'!$1:$2,2,FALSE),FALSE))),"")</f>
        <v>0.86407766990291257</v>
      </c>
      <c r="N779" s="14" t="str">
        <f>IFERROR((VLOOKUP($A779,'[1]import success seats course'!$A:AB,HLOOKUP('[1]Course Totals'!N$4,'[1]import success seats course'!$1:$2,2,FALSE),FALSE)/(VLOOKUP($A779,'[1]import graded seats course pivo'!$A:AL,HLOOKUP('[1]Course Totals'!N$4,'[1]import graded seats course pivo'!$1:$2,2,FALSE),FALSE))),"")</f>
        <v/>
      </c>
      <c r="O779" s="14">
        <f>IFERROR((VLOOKUP($A779,'[1]import success seats course'!$A:AC,HLOOKUP('[1]Course Totals'!O$4,'[1]import success seats course'!$1:$2,2,FALSE),FALSE)/(VLOOKUP($A779,'[1]import graded seats course pivo'!$A:AM,HLOOKUP('[1]Course Totals'!O$4,'[1]import graded seats course pivo'!$1:$2,2,FALSE),FALSE))),"")</f>
        <v>0.86274509803921573</v>
      </c>
      <c r="P779" s="14">
        <f>IFERROR((VLOOKUP($A779,'[1]import success seats course'!$A:AD,HLOOKUP('[1]Course Totals'!P$4,'[1]import success seats course'!$1:$2,2,FALSE),FALSE)/(VLOOKUP($A779,'[1]import graded seats course pivo'!$A:AN,HLOOKUP('[1]Course Totals'!P$4,'[1]import graded seats course pivo'!$1:$2,2,FALSE),FALSE))),"")</f>
        <v>0.84269662921348309</v>
      </c>
      <c r="Q779" s="14" t="str">
        <f>IFERROR((VLOOKUP($A779,'[1]import success seats course'!$A:AE,HLOOKUP('[1]Course Totals'!Q$4,'[1]import success seats course'!$1:$2,2,FALSE),FALSE)/(VLOOKUP($A779,'[1]import graded seats course pivo'!$A:AO,HLOOKUP('[1]Course Totals'!Q$4,'[1]import graded seats course pivo'!$1:$2,2,FALSE),FALSE))),"")</f>
        <v/>
      </c>
      <c r="R779" s="14">
        <f>IFERROR((VLOOKUP($A779,'[1]import success seats course'!$A:AF,HLOOKUP('[1]Course Totals'!R$4,'[1]import success seats course'!$1:$2,2,FALSE),FALSE)/(VLOOKUP($A779,'[1]import graded seats course pivo'!$A:AP,HLOOKUP('[1]Course Totals'!R$4,'[1]import graded seats course pivo'!$1:$2,2,FALSE),FALSE))),"")</f>
        <v>0.81379310344827582</v>
      </c>
      <c r="S779" s="14">
        <f>IFERROR((VLOOKUP($A779,'[1]import success seats course'!$A:AG,HLOOKUP('[1]Course Totals'!S$4,'[1]import success seats course'!$1:$2,2,FALSE),FALSE)/(VLOOKUP($A779,'[1]import graded seats course pivo'!$A:AQ,HLOOKUP('[1]Course Totals'!S$4,'[1]import graded seats course pivo'!$1:$2,2,FALSE),FALSE))),"")</f>
        <v>0.80952380952380953</v>
      </c>
      <c r="Z779" s="7"/>
      <c r="AA779" s="7"/>
      <c r="AB779" s="7"/>
      <c r="AC779" s="7"/>
    </row>
    <row r="780" spans="1:29" ht="15.75" customHeight="1" x14ac:dyDescent="0.25">
      <c r="A780" s="12" t="s">
        <v>359</v>
      </c>
      <c r="B780" s="14" t="str">
        <f>IFERROR((VLOOKUP($A780,'[1]import success seats course'!$A:P,HLOOKUP('[1]Course Totals'!B$4,'[1]import success seats course'!$1:$2,2,FALSE),FALSE)/(VLOOKUP($A780,'[1]import graded seats course pivo'!$A:Z,HLOOKUP('[1]Course Totals'!B$4,'[1]import graded seats course pivo'!$1:$2,2,FALSE),FALSE))),"")</f>
        <v/>
      </c>
      <c r="C780" s="14" t="str">
        <f>IFERROR((VLOOKUP($A780,'[1]import success seats course'!$A:Q,HLOOKUP('[1]Course Totals'!C$4,'[1]import success seats course'!$1:$2,2,FALSE),FALSE)/(VLOOKUP($A780,'[1]import graded seats course pivo'!$A:AA,HLOOKUP('[1]Course Totals'!C$4,'[1]import graded seats course pivo'!$1:$2,2,FALSE),FALSE))),"")</f>
        <v/>
      </c>
      <c r="D780" s="14">
        <f>IFERROR((VLOOKUP($A780,'[1]import success seats course'!$A:R,HLOOKUP('[1]Course Totals'!D$4,'[1]import success seats course'!$1:$2,2,FALSE),FALSE)/(VLOOKUP($A780,'[1]import graded seats course pivo'!$A:AB,HLOOKUP('[1]Course Totals'!D$4,'[1]import graded seats course pivo'!$1:$2,2,FALSE),FALSE))),"")</f>
        <v>0.9</v>
      </c>
      <c r="E780" s="14" t="str">
        <f>IFERROR((VLOOKUP($A780,'[1]import success seats course'!$A:S,HLOOKUP('[1]Course Totals'!E$4,'[1]import success seats course'!$1:$2,2,FALSE),FALSE)/(VLOOKUP($A780,'[1]import graded seats course pivo'!$A:AC,HLOOKUP('[1]Course Totals'!E$4,'[1]import graded seats course pivo'!$1:$2,2,FALSE),FALSE))),"")</f>
        <v/>
      </c>
      <c r="F780" s="14">
        <f>IFERROR((VLOOKUP($A780,'[1]import success seats course'!$A:T,HLOOKUP('[1]Course Totals'!F$4,'[1]import success seats course'!$1:$2,2,FALSE),FALSE)/(VLOOKUP($A780,'[1]import graded seats course pivo'!$A:AD,HLOOKUP('[1]Course Totals'!F$4,'[1]import graded seats course pivo'!$1:$2,2,FALSE),FALSE))),"")</f>
        <v>0.7857142857142857</v>
      </c>
      <c r="G780" s="14">
        <f>IFERROR((VLOOKUP($A780,'[1]import success seats course'!$A:U,HLOOKUP('[1]Course Totals'!G$4,'[1]import success seats course'!$1:$2,2,FALSE),FALSE)/(VLOOKUP($A780,'[1]import graded seats course pivo'!$A:AE,HLOOKUP('[1]Course Totals'!G$4,'[1]import graded seats course pivo'!$1:$2,2,FALSE),FALSE))),"")</f>
        <v>0.96</v>
      </c>
      <c r="H780" s="14" t="str">
        <f>IFERROR((VLOOKUP($A780,'[1]import success seats course'!$A:V,HLOOKUP('[1]Course Totals'!H$4,'[1]import success seats course'!$1:$2,2,FALSE),FALSE)/(VLOOKUP($A780,'[1]import graded seats course pivo'!$A:AF,HLOOKUP('[1]Course Totals'!H$4,'[1]import graded seats course pivo'!$1:$2,2,FALSE),FALSE))),"")</f>
        <v/>
      </c>
      <c r="I780" s="14">
        <f>IFERROR((VLOOKUP($A780,'[1]import success seats course'!$A:W,HLOOKUP('[1]Course Totals'!I$4,'[1]import success seats course'!$1:$2,2,FALSE),FALSE)/(VLOOKUP($A780,'[1]import graded seats course pivo'!$A:AG,HLOOKUP('[1]Course Totals'!I$4,'[1]import graded seats course pivo'!$1:$2,2,FALSE),FALSE))),"")</f>
        <v>0.86363636363636365</v>
      </c>
      <c r="J780" s="14">
        <f>IFERROR((VLOOKUP($A780,'[1]import success seats course'!$A:X,HLOOKUP('[1]Course Totals'!J$4,'[1]import success seats course'!$1:$2,2,FALSE),FALSE)/(VLOOKUP($A780,'[1]import graded seats course pivo'!$A:AH,HLOOKUP('[1]Course Totals'!J$4,'[1]import graded seats course pivo'!$1:$2,2,FALSE),FALSE))),"")</f>
        <v>0.83783783783783783</v>
      </c>
      <c r="K780" s="14" t="str">
        <f>IFERROR((VLOOKUP($A780,'[1]import success seats course'!$A:Y,HLOOKUP('[1]Course Totals'!K$4,'[1]import success seats course'!$1:$2,2,FALSE),FALSE)/(VLOOKUP($A780,'[1]import graded seats course pivo'!$A:AI,HLOOKUP('[1]Course Totals'!K$4,'[1]import graded seats course pivo'!$1:$2,2,FALSE),FALSE))),"")</f>
        <v/>
      </c>
      <c r="L780" s="14">
        <f>IFERROR((VLOOKUP($A780,'[1]import success seats course'!$A:Z,HLOOKUP('[1]Course Totals'!L$4,'[1]import success seats course'!$1:$2,2,FALSE),FALSE)/(VLOOKUP($A780,'[1]import graded seats course pivo'!$A:AJ,HLOOKUP('[1]Course Totals'!L$4,'[1]import graded seats course pivo'!$1:$2,2,FALSE),FALSE))),"")</f>
        <v>0.68888888888888888</v>
      </c>
      <c r="M780" s="14">
        <f>IFERROR((VLOOKUP($A780,'[1]import success seats course'!$A:AA,HLOOKUP('[1]Course Totals'!M$4,'[1]import success seats course'!$1:$2,2,FALSE),FALSE)/(VLOOKUP($A780,'[1]import graded seats course pivo'!$A:AK,HLOOKUP('[1]Course Totals'!M$4,'[1]import graded seats course pivo'!$1:$2,2,FALSE),FALSE))),"")</f>
        <v>0.78947368421052633</v>
      </c>
      <c r="N780" s="14" t="str">
        <f>IFERROR((VLOOKUP($A780,'[1]import success seats course'!$A:AB,HLOOKUP('[1]Course Totals'!N$4,'[1]import success seats course'!$1:$2,2,FALSE),FALSE)/(VLOOKUP($A780,'[1]import graded seats course pivo'!$A:AL,HLOOKUP('[1]Course Totals'!N$4,'[1]import graded seats course pivo'!$1:$2,2,FALSE),FALSE))),"")</f>
        <v/>
      </c>
      <c r="O780" s="14">
        <f>IFERROR((VLOOKUP($A780,'[1]import success seats course'!$A:AC,HLOOKUP('[1]Course Totals'!O$4,'[1]import success seats course'!$1:$2,2,FALSE),FALSE)/(VLOOKUP($A780,'[1]import graded seats course pivo'!$A:AM,HLOOKUP('[1]Course Totals'!O$4,'[1]import graded seats course pivo'!$1:$2,2,FALSE),FALSE))),"")</f>
        <v>0.82857142857142863</v>
      </c>
      <c r="P780" s="14">
        <f>IFERROR((VLOOKUP($A780,'[1]import success seats course'!$A:AD,HLOOKUP('[1]Course Totals'!P$4,'[1]import success seats course'!$1:$2,2,FALSE),FALSE)/(VLOOKUP($A780,'[1]import graded seats course pivo'!$A:AN,HLOOKUP('[1]Course Totals'!P$4,'[1]import graded seats course pivo'!$1:$2,2,FALSE),FALSE))),"")</f>
        <v>0.72</v>
      </c>
      <c r="Q780" s="14" t="str">
        <f>IFERROR((VLOOKUP($A780,'[1]import success seats course'!$A:AE,HLOOKUP('[1]Course Totals'!Q$4,'[1]import success seats course'!$1:$2,2,FALSE),FALSE)/(VLOOKUP($A780,'[1]import graded seats course pivo'!$A:AO,HLOOKUP('[1]Course Totals'!Q$4,'[1]import graded seats course pivo'!$1:$2,2,FALSE),FALSE))),"")</f>
        <v/>
      </c>
      <c r="R780" s="14">
        <f>IFERROR((VLOOKUP($A780,'[1]import success seats course'!$A:AF,HLOOKUP('[1]Course Totals'!R$4,'[1]import success seats course'!$1:$2,2,FALSE),FALSE)/(VLOOKUP($A780,'[1]import graded seats course pivo'!$A:AP,HLOOKUP('[1]Course Totals'!R$4,'[1]import graded seats course pivo'!$1:$2,2,FALSE),FALSE))),"")</f>
        <v>0.80487804878048785</v>
      </c>
      <c r="S780" s="14">
        <f>IFERROR((VLOOKUP($A780,'[1]import success seats course'!$A:AG,HLOOKUP('[1]Course Totals'!S$4,'[1]import success seats course'!$1:$2,2,FALSE),FALSE)/(VLOOKUP($A780,'[1]import graded seats course pivo'!$A:AQ,HLOOKUP('[1]Course Totals'!S$4,'[1]import graded seats course pivo'!$1:$2,2,FALSE),FALSE))),"")</f>
        <v>0.84615384615384615</v>
      </c>
      <c r="Z780" s="7"/>
      <c r="AA780" s="7"/>
      <c r="AB780" s="7"/>
      <c r="AC780" s="7"/>
    </row>
    <row r="781" spans="1:29" ht="15.75" customHeight="1" x14ac:dyDescent="0.25">
      <c r="A781" s="12" t="s">
        <v>360</v>
      </c>
      <c r="B781" s="14" t="str">
        <f>IFERROR((VLOOKUP($A781,'[1]import success seats course'!$A:P,HLOOKUP('[1]Course Totals'!B$4,'[1]import success seats course'!$1:$2,2,FALSE),FALSE)/(VLOOKUP($A781,'[1]import graded seats course pivo'!$A:Z,HLOOKUP('[1]Course Totals'!B$4,'[1]import graded seats course pivo'!$1:$2,2,FALSE),FALSE))),"")</f>
        <v/>
      </c>
      <c r="C781" s="14">
        <f>IFERROR((VLOOKUP($A781,'[1]import success seats course'!$A:Q,HLOOKUP('[1]Course Totals'!C$4,'[1]import success seats course'!$1:$2,2,FALSE),FALSE)/(VLOOKUP($A781,'[1]import graded seats course pivo'!$A:AA,HLOOKUP('[1]Course Totals'!C$4,'[1]import graded seats course pivo'!$1:$2,2,FALSE),FALSE))),"")</f>
        <v>1</v>
      </c>
      <c r="D781" s="14">
        <f>IFERROR((VLOOKUP($A781,'[1]import success seats course'!$A:R,HLOOKUP('[1]Course Totals'!D$4,'[1]import success seats course'!$1:$2,2,FALSE),FALSE)/(VLOOKUP($A781,'[1]import graded seats course pivo'!$A:AB,HLOOKUP('[1]Course Totals'!D$4,'[1]import graded seats course pivo'!$1:$2,2,FALSE),FALSE))),"")</f>
        <v>1</v>
      </c>
      <c r="E781" s="14" t="str">
        <f>IFERROR((VLOOKUP($A781,'[1]import success seats course'!$A:S,HLOOKUP('[1]Course Totals'!E$4,'[1]import success seats course'!$1:$2,2,FALSE),FALSE)/(VLOOKUP($A781,'[1]import graded seats course pivo'!$A:AC,HLOOKUP('[1]Course Totals'!E$4,'[1]import graded seats course pivo'!$1:$2,2,FALSE),FALSE))),"")</f>
        <v/>
      </c>
      <c r="F781" s="14">
        <f>IFERROR((VLOOKUP($A781,'[1]import success seats course'!$A:T,HLOOKUP('[1]Course Totals'!F$4,'[1]import success seats course'!$1:$2,2,FALSE),FALSE)/(VLOOKUP($A781,'[1]import graded seats course pivo'!$A:AD,HLOOKUP('[1]Course Totals'!F$4,'[1]import graded seats course pivo'!$1:$2,2,FALSE),FALSE))),"")</f>
        <v>1</v>
      </c>
      <c r="G781" s="14">
        <f>IFERROR((VLOOKUP($A781,'[1]import success seats course'!$A:U,HLOOKUP('[1]Course Totals'!G$4,'[1]import success seats course'!$1:$2,2,FALSE),FALSE)/(VLOOKUP($A781,'[1]import graded seats course pivo'!$A:AE,HLOOKUP('[1]Course Totals'!G$4,'[1]import graded seats course pivo'!$1:$2,2,FALSE),FALSE))),"")</f>
        <v>0.90476190476190477</v>
      </c>
      <c r="H781" s="14" t="str">
        <f>IFERROR((VLOOKUP($A781,'[1]import success seats course'!$A:V,HLOOKUP('[1]Course Totals'!H$4,'[1]import success seats course'!$1:$2,2,FALSE),FALSE)/(VLOOKUP($A781,'[1]import graded seats course pivo'!$A:AF,HLOOKUP('[1]Course Totals'!H$4,'[1]import graded seats course pivo'!$1:$2,2,FALSE),FALSE))),"")</f>
        <v/>
      </c>
      <c r="I781" s="14">
        <f>IFERROR((VLOOKUP($A781,'[1]import success seats course'!$A:W,HLOOKUP('[1]Course Totals'!I$4,'[1]import success seats course'!$1:$2,2,FALSE),FALSE)/(VLOOKUP($A781,'[1]import graded seats course pivo'!$A:AG,HLOOKUP('[1]Course Totals'!I$4,'[1]import graded seats course pivo'!$1:$2,2,FALSE),FALSE))),"")</f>
        <v>0.875</v>
      </c>
      <c r="J781" s="14">
        <f>IFERROR((VLOOKUP($A781,'[1]import success seats course'!$A:X,HLOOKUP('[1]Course Totals'!J$4,'[1]import success seats course'!$1:$2,2,FALSE),FALSE)/(VLOOKUP($A781,'[1]import graded seats course pivo'!$A:AH,HLOOKUP('[1]Course Totals'!J$4,'[1]import graded seats course pivo'!$1:$2,2,FALSE),FALSE))),"")</f>
        <v>1</v>
      </c>
      <c r="K781" s="14" t="str">
        <f>IFERROR((VLOOKUP($A781,'[1]import success seats course'!$A:Y,HLOOKUP('[1]Course Totals'!K$4,'[1]import success seats course'!$1:$2,2,FALSE),FALSE)/(VLOOKUP($A781,'[1]import graded seats course pivo'!$A:AI,HLOOKUP('[1]Course Totals'!K$4,'[1]import graded seats course pivo'!$1:$2,2,FALSE),FALSE))),"")</f>
        <v/>
      </c>
      <c r="L781" s="14">
        <f>IFERROR((VLOOKUP($A781,'[1]import success seats course'!$A:Z,HLOOKUP('[1]Course Totals'!L$4,'[1]import success seats course'!$1:$2,2,FALSE),FALSE)/(VLOOKUP($A781,'[1]import graded seats course pivo'!$A:AJ,HLOOKUP('[1]Course Totals'!L$4,'[1]import graded seats course pivo'!$1:$2,2,FALSE),FALSE))),"")</f>
        <v>0.875</v>
      </c>
      <c r="M781" s="14">
        <f>IFERROR((VLOOKUP($A781,'[1]import success seats course'!$A:AA,HLOOKUP('[1]Course Totals'!M$4,'[1]import success seats course'!$1:$2,2,FALSE),FALSE)/(VLOOKUP($A781,'[1]import graded seats course pivo'!$A:AK,HLOOKUP('[1]Course Totals'!M$4,'[1]import graded seats course pivo'!$1:$2,2,FALSE),FALSE))),"")</f>
        <v>0.9</v>
      </c>
      <c r="N781" s="14" t="str">
        <f>IFERROR((VLOOKUP($A781,'[1]import success seats course'!$A:AB,HLOOKUP('[1]Course Totals'!N$4,'[1]import success seats course'!$1:$2,2,FALSE),FALSE)/(VLOOKUP($A781,'[1]import graded seats course pivo'!$A:AL,HLOOKUP('[1]Course Totals'!N$4,'[1]import graded seats course pivo'!$1:$2,2,FALSE),FALSE))),"")</f>
        <v/>
      </c>
      <c r="O781" s="14" t="str">
        <f>IFERROR((VLOOKUP($A781,'[1]import success seats course'!$A:AC,HLOOKUP('[1]Course Totals'!O$4,'[1]import success seats course'!$1:$2,2,FALSE),FALSE)/(VLOOKUP($A781,'[1]import graded seats course pivo'!$A:AM,HLOOKUP('[1]Course Totals'!O$4,'[1]import graded seats course pivo'!$1:$2,2,FALSE),FALSE))),"")</f>
        <v/>
      </c>
      <c r="P781" s="14" t="str">
        <f>IFERROR((VLOOKUP($A781,'[1]import success seats course'!$A:AD,HLOOKUP('[1]Course Totals'!P$4,'[1]import success seats course'!$1:$2,2,FALSE),FALSE)/(VLOOKUP($A781,'[1]import graded seats course pivo'!$A:AN,HLOOKUP('[1]Course Totals'!P$4,'[1]import graded seats course pivo'!$1:$2,2,FALSE),FALSE))),"")</f>
        <v/>
      </c>
      <c r="Q781" s="14" t="str">
        <f>IFERROR((VLOOKUP($A781,'[1]import success seats course'!$A:AE,HLOOKUP('[1]Course Totals'!Q$4,'[1]import success seats course'!$1:$2,2,FALSE),FALSE)/(VLOOKUP($A781,'[1]import graded seats course pivo'!$A:AO,HLOOKUP('[1]Course Totals'!Q$4,'[1]import graded seats course pivo'!$1:$2,2,FALSE),FALSE))),"")</f>
        <v/>
      </c>
      <c r="R781" s="14" t="str">
        <f>IFERROR((VLOOKUP($A781,'[1]import success seats course'!$A:AF,HLOOKUP('[1]Course Totals'!R$4,'[1]import success seats course'!$1:$2,2,FALSE),FALSE)/(VLOOKUP($A781,'[1]import graded seats course pivo'!$A:AP,HLOOKUP('[1]Course Totals'!R$4,'[1]import graded seats course pivo'!$1:$2,2,FALSE),FALSE))),"")</f>
        <v/>
      </c>
      <c r="S781" s="14" t="str">
        <f>IFERROR((VLOOKUP($A781,'[1]import success seats course'!$A:AG,HLOOKUP('[1]Course Totals'!S$4,'[1]import success seats course'!$1:$2,2,FALSE),FALSE)/(VLOOKUP($A781,'[1]import graded seats course pivo'!$A:AQ,HLOOKUP('[1]Course Totals'!S$4,'[1]import graded seats course pivo'!$1:$2,2,FALSE),FALSE))),"")</f>
        <v/>
      </c>
      <c r="Z781" s="7"/>
      <c r="AA781" s="7"/>
      <c r="AB781" s="7"/>
      <c r="AC781" s="7"/>
    </row>
    <row r="782" spans="1:29" ht="15.75" customHeight="1" x14ac:dyDescent="0.25">
      <c r="A782" s="12" t="s">
        <v>361</v>
      </c>
      <c r="B782" s="14">
        <f>IFERROR((VLOOKUP($A782,'[1]import success seats course'!$A:P,HLOOKUP('[1]Course Totals'!B$4,'[1]import success seats course'!$1:$2,2,FALSE),FALSE)/(VLOOKUP($A782,'[1]import graded seats course pivo'!$A:Z,HLOOKUP('[1]Course Totals'!B$4,'[1]import graded seats course pivo'!$1:$2,2,FALSE),FALSE))),"")</f>
        <v>0.875</v>
      </c>
      <c r="C782" s="14">
        <f>IFERROR((VLOOKUP($A782,'[1]import success seats course'!$A:Q,HLOOKUP('[1]Course Totals'!C$4,'[1]import success seats course'!$1:$2,2,FALSE),FALSE)/(VLOOKUP($A782,'[1]import graded seats course pivo'!$A:AA,HLOOKUP('[1]Course Totals'!C$4,'[1]import graded seats course pivo'!$1:$2,2,FALSE),FALSE))),"")</f>
        <v>0.84615384615384615</v>
      </c>
      <c r="D782" s="14">
        <f>IFERROR((VLOOKUP($A782,'[1]import success seats course'!$A:R,HLOOKUP('[1]Course Totals'!D$4,'[1]import success seats course'!$1:$2,2,FALSE),FALSE)/(VLOOKUP($A782,'[1]import graded seats course pivo'!$A:AB,HLOOKUP('[1]Course Totals'!D$4,'[1]import graded seats course pivo'!$1:$2,2,FALSE),FALSE))),"")</f>
        <v>0.81818181818181823</v>
      </c>
      <c r="E782" s="14">
        <f>IFERROR((VLOOKUP($A782,'[1]import success seats course'!$A:S,HLOOKUP('[1]Course Totals'!E$4,'[1]import success seats course'!$1:$2,2,FALSE),FALSE)/(VLOOKUP($A782,'[1]import graded seats course pivo'!$A:AC,HLOOKUP('[1]Course Totals'!E$4,'[1]import graded seats course pivo'!$1:$2,2,FALSE),FALSE))),"")</f>
        <v>0.94117647058823528</v>
      </c>
      <c r="F782" s="14">
        <f>IFERROR((VLOOKUP($A782,'[1]import success seats course'!$A:T,HLOOKUP('[1]Course Totals'!F$4,'[1]import success seats course'!$1:$2,2,FALSE),FALSE)/(VLOOKUP($A782,'[1]import graded seats course pivo'!$A:AD,HLOOKUP('[1]Course Totals'!F$4,'[1]import graded seats course pivo'!$1:$2,2,FALSE),FALSE))),"")</f>
        <v>0.73913043478260865</v>
      </c>
      <c r="G782" s="14">
        <f>IFERROR((VLOOKUP($A782,'[1]import success seats course'!$A:U,HLOOKUP('[1]Course Totals'!G$4,'[1]import success seats course'!$1:$2,2,FALSE),FALSE)/(VLOOKUP($A782,'[1]import graded seats course pivo'!$A:AE,HLOOKUP('[1]Course Totals'!G$4,'[1]import graded seats course pivo'!$1:$2,2,FALSE),FALSE))),"")</f>
        <v>0.89473684210526316</v>
      </c>
      <c r="H782" s="14" t="str">
        <f>IFERROR((VLOOKUP($A782,'[1]import success seats course'!$A:V,HLOOKUP('[1]Course Totals'!H$4,'[1]import success seats course'!$1:$2,2,FALSE),FALSE)/(VLOOKUP($A782,'[1]import graded seats course pivo'!$A:AF,HLOOKUP('[1]Course Totals'!H$4,'[1]import graded seats course pivo'!$1:$2,2,FALSE),FALSE))),"")</f>
        <v/>
      </c>
      <c r="I782" s="14">
        <f>IFERROR((VLOOKUP($A782,'[1]import success seats course'!$A:W,HLOOKUP('[1]Course Totals'!I$4,'[1]import success seats course'!$1:$2,2,FALSE),FALSE)/(VLOOKUP($A782,'[1]import graded seats course pivo'!$A:AG,HLOOKUP('[1]Course Totals'!I$4,'[1]import graded seats course pivo'!$1:$2,2,FALSE),FALSE))),"")</f>
        <v>0.93333333333333335</v>
      </c>
      <c r="J782" s="14">
        <f>IFERROR((VLOOKUP($A782,'[1]import success seats course'!$A:X,HLOOKUP('[1]Course Totals'!J$4,'[1]import success seats course'!$1:$2,2,FALSE),FALSE)/(VLOOKUP($A782,'[1]import graded seats course pivo'!$A:AH,HLOOKUP('[1]Course Totals'!J$4,'[1]import graded seats course pivo'!$1:$2,2,FALSE),FALSE))),"")</f>
        <v>0.77272727272727271</v>
      </c>
      <c r="K782" s="14" t="str">
        <f>IFERROR((VLOOKUP($A782,'[1]import success seats course'!$A:Y,HLOOKUP('[1]Course Totals'!K$4,'[1]import success seats course'!$1:$2,2,FALSE),FALSE)/(VLOOKUP($A782,'[1]import graded seats course pivo'!$A:AI,HLOOKUP('[1]Course Totals'!K$4,'[1]import graded seats course pivo'!$1:$2,2,FALSE),FALSE))),"")</f>
        <v/>
      </c>
      <c r="L782" s="14">
        <f>IFERROR((VLOOKUP($A782,'[1]import success seats course'!$A:Z,HLOOKUP('[1]Course Totals'!L$4,'[1]import success seats course'!$1:$2,2,FALSE),FALSE)/(VLOOKUP($A782,'[1]import graded seats course pivo'!$A:AJ,HLOOKUP('[1]Course Totals'!L$4,'[1]import graded seats course pivo'!$1:$2,2,FALSE),FALSE))),"")</f>
        <v>0.88461538461538458</v>
      </c>
      <c r="M782" s="14">
        <f>IFERROR((VLOOKUP($A782,'[1]import success seats course'!$A:AA,HLOOKUP('[1]Course Totals'!M$4,'[1]import success seats course'!$1:$2,2,FALSE),FALSE)/(VLOOKUP($A782,'[1]import graded seats course pivo'!$A:AK,HLOOKUP('[1]Course Totals'!M$4,'[1]import graded seats course pivo'!$1:$2,2,FALSE),FALSE))),"")</f>
        <v>0.82608695652173914</v>
      </c>
      <c r="N782" s="14" t="str">
        <f>IFERROR((VLOOKUP($A782,'[1]import success seats course'!$A:AB,HLOOKUP('[1]Course Totals'!N$4,'[1]import success seats course'!$1:$2,2,FALSE),FALSE)/(VLOOKUP($A782,'[1]import graded seats course pivo'!$A:AL,HLOOKUP('[1]Course Totals'!N$4,'[1]import graded seats course pivo'!$1:$2,2,FALSE),FALSE))),"")</f>
        <v/>
      </c>
      <c r="O782" s="14">
        <f>IFERROR((VLOOKUP($A782,'[1]import success seats course'!$A:AC,HLOOKUP('[1]Course Totals'!O$4,'[1]import success seats course'!$1:$2,2,FALSE),FALSE)/(VLOOKUP($A782,'[1]import graded seats course pivo'!$A:AM,HLOOKUP('[1]Course Totals'!O$4,'[1]import graded seats course pivo'!$1:$2,2,FALSE),FALSE))),"")</f>
        <v>0.6875</v>
      </c>
      <c r="P782" s="14">
        <f>IFERROR((VLOOKUP($A782,'[1]import success seats course'!$A:AD,HLOOKUP('[1]Course Totals'!P$4,'[1]import success seats course'!$1:$2,2,FALSE),FALSE)/(VLOOKUP($A782,'[1]import graded seats course pivo'!$A:AN,HLOOKUP('[1]Course Totals'!P$4,'[1]import graded seats course pivo'!$1:$2,2,FALSE),FALSE))),"")</f>
        <v>0.86206896551724133</v>
      </c>
      <c r="Q782" s="14" t="str">
        <f>IFERROR((VLOOKUP($A782,'[1]import success seats course'!$A:AE,HLOOKUP('[1]Course Totals'!Q$4,'[1]import success seats course'!$1:$2,2,FALSE),FALSE)/(VLOOKUP($A782,'[1]import graded seats course pivo'!$A:AO,HLOOKUP('[1]Course Totals'!Q$4,'[1]import graded seats course pivo'!$1:$2,2,FALSE),FALSE))),"")</f>
        <v/>
      </c>
      <c r="R782" s="14">
        <f>IFERROR((VLOOKUP($A782,'[1]import success seats course'!$A:AF,HLOOKUP('[1]Course Totals'!R$4,'[1]import success seats course'!$1:$2,2,FALSE),FALSE)/(VLOOKUP($A782,'[1]import graded seats course pivo'!$A:AP,HLOOKUP('[1]Course Totals'!R$4,'[1]import graded seats course pivo'!$1:$2,2,FALSE),FALSE))),"")</f>
        <v>0.8571428571428571</v>
      </c>
      <c r="S782" s="14">
        <f>IFERROR((VLOOKUP($A782,'[1]import success seats course'!$A:AG,HLOOKUP('[1]Course Totals'!S$4,'[1]import success seats course'!$1:$2,2,FALSE),FALSE)/(VLOOKUP($A782,'[1]import graded seats course pivo'!$A:AQ,HLOOKUP('[1]Course Totals'!S$4,'[1]import graded seats course pivo'!$1:$2,2,FALSE),FALSE))),"")</f>
        <v>0.78125</v>
      </c>
      <c r="Z782" s="7"/>
      <c r="AA782" s="7"/>
      <c r="AB782" s="7"/>
      <c r="AC782" s="7"/>
    </row>
    <row r="783" spans="1:29" ht="15.75" customHeight="1" x14ac:dyDescent="0.25">
      <c r="A783" s="12" t="s">
        <v>362</v>
      </c>
      <c r="B783" s="14" t="str">
        <f>IFERROR((VLOOKUP($A783,'[1]import success seats course'!$A:P,HLOOKUP('[1]Course Totals'!B$4,'[1]import success seats course'!$1:$2,2,FALSE),FALSE)/(VLOOKUP($A783,'[1]import graded seats course pivo'!$A:Z,HLOOKUP('[1]Course Totals'!B$4,'[1]import graded seats course pivo'!$1:$2,2,FALSE),FALSE))),"")</f>
        <v/>
      </c>
      <c r="C783" s="14">
        <f>IFERROR((VLOOKUP($A783,'[1]import success seats course'!$A:Q,HLOOKUP('[1]Course Totals'!C$4,'[1]import success seats course'!$1:$2,2,FALSE),FALSE)/(VLOOKUP($A783,'[1]import graded seats course pivo'!$A:AA,HLOOKUP('[1]Course Totals'!C$4,'[1]import graded seats course pivo'!$1:$2,2,FALSE),FALSE))),"")</f>
        <v>0.96</v>
      </c>
      <c r="D783" s="14">
        <f>IFERROR((VLOOKUP($A783,'[1]import success seats course'!$A:R,HLOOKUP('[1]Course Totals'!D$4,'[1]import success seats course'!$1:$2,2,FALSE),FALSE)/(VLOOKUP($A783,'[1]import graded seats course pivo'!$A:AB,HLOOKUP('[1]Course Totals'!D$4,'[1]import graded seats course pivo'!$1:$2,2,FALSE),FALSE))),"")</f>
        <v>0.8571428571428571</v>
      </c>
      <c r="E783" s="14" t="str">
        <f>IFERROR((VLOOKUP($A783,'[1]import success seats course'!$A:S,HLOOKUP('[1]Course Totals'!E$4,'[1]import success seats course'!$1:$2,2,FALSE),FALSE)/(VLOOKUP($A783,'[1]import graded seats course pivo'!$A:AC,HLOOKUP('[1]Course Totals'!E$4,'[1]import graded seats course pivo'!$1:$2,2,FALSE),FALSE))),"")</f>
        <v/>
      </c>
      <c r="F783" s="14">
        <f>IFERROR((VLOOKUP($A783,'[1]import success seats course'!$A:T,HLOOKUP('[1]Course Totals'!F$4,'[1]import success seats course'!$1:$2,2,FALSE),FALSE)/(VLOOKUP($A783,'[1]import graded seats course pivo'!$A:AD,HLOOKUP('[1]Course Totals'!F$4,'[1]import graded seats course pivo'!$1:$2,2,FALSE),FALSE))),"")</f>
        <v>0.86956521739130432</v>
      </c>
      <c r="G783" s="14">
        <f>IFERROR((VLOOKUP($A783,'[1]import success seats course'!$A:U,HLOOKUP('[1]Course Totals'!G$4,'[1]import success seats course'!$1:$2,2,FALSE),FALSE)/(VLOOKUP($A783,'[1]import graded seats course pivo'!$A:AE,HLOOKUP('[1]Course Totals'!G$4,'[1]import graded seats course pivo'!$1:$2,2,FALSE),FALSE))),"")</f>
        <v>0.87096774193548387</v>
      </c>
      <c r="H783" s="14" t="str">
        <f>IFERROR((VLOOKUP($A783,'[1]import success seats course'!$A:V,HLOOKUP('[1]Course Totals'!H$4,'[1]import success seats course'!$1:$2,2,FALSE),FALSE)/(VLOOKUP($A783,'[1]import graded seats course pivo'!$A:AF,HLOOKUP('[1]Course Totals'!H$4,'[1]import graded seats course pivo'!$1:$2,2,FALSE),FALSE))),"")</f>
        <v/>
      </c>
      <c r="I783" s="14">
        <f>IFERROR((VLOOKUP($A783,'[1]import success seats course'!$A:W,HLOOKUP('[1]Course Totals'!I$4,'[1]import success seats course'!$1:$2,2,FALSE),FALSE)/(VLOOKUP($A783,'[1]import graded seats course pivo'!$A:AG,HLOOKUP('[1]Course Totals'!I$4,'[1]import graded seats course pivo'!$1:$2,2,FALSE),FALSE))),"")</f>
        <v>0.85106382978723405</v>
      </c>
      <c r="J783" s="14">
        <f>IFERROR((VLOOKUP($A783,'[1]import success seats course'!$A:X,HLOOKUP('[1]Course Totals'!J$4,'[1]import success seats course'!$1:$2,2,FALSE),FALSE)/(VLOOKUP($A783,'[1]import graded seats course pivo'!$A:AH,HLOOKUP('[1]Course Totals'!J$4,'[1]import graded seats course pivo'!$1:$2,2,FALSE),FALSE))),"")</f>
        <v>0.77777777777777779</v>
      </c>
      <c r="K783" s="14" t="str">
        <f>IFERROR((VLOOKUP($A783,'[1]import success seats course'!$A:Y,HLOOKUP('[1]Course Totals'!K$4,'[1]import success seats course'!$1:$2,2,FALSE),FALSE)/(VLOOKUP($A783,'[1]import graded seats course pivo'!$A:AI,HLOOKUP('[1]Course Totals'!K$4,'[1]import graded seats course pivo'!$1:$2,2,FALSE),FALSE))),"")</f>
        <v/>
      </c>
      <c r="L783" s="14">
        <f>IFERROR((VLOOKUP($A783,'[1]import success seats course'!$A:Z,HLOOKUP('[1]Course Totals'!L$4,'[1]import success seats course'!$1:$2,2,FALSE),FALSE)/(VLOOKUP($A783,'[1]import graded seats course pivo'!$A:AJ,HLOOKUP('[1]Course Totals'!L$4,'[1]import graded seats course pivo'!$1:$2,2,FALSE),FALSE))),"")</f>
        <v>0.8571428571428571</v>
      </c>
      <c r="M783" s="14">
        <f>IFERROR((VLOOKUP($A783,'[1]import success seats course'!$A:AA,HLOOKUP('[1]Course Totals'!M$4,'[1]import success seats course'!$1:$2,2,FALSE),FALSE)/(VLOOKUP($A783,'[1]import graded seats course pivo'!$A:AK,HLOOKUP('[1]Course Totals'!M$4,'[1]import graded seats course pivo'!$1:$2,2,FALSE),FALSE))),"")</f>
        <v>0.84090909090909094</v>
      </c>
      <c r="N783" s="14" t="str">
        <f>IFERROR((VLOOKUP($A783,'[1]import success seats course'!$A:AB,HLOOKUP('[1]Course Totals'!N$4,'[1]import success seats course'!$1:$2,2,FALSE),FALSE)/(VLOOKUP($A783,'[1]import graded seats course pivo'!$A:AL,HLOOKUP('[1]Course Totals'!N$4,'[1]import graded seats course pivo'!$1:$2,2,FALSE),FALSE))),"")</f>
        <v/>
      </c>
      <c r="O783" s="14" t="str">
        <f>IFERROR((VLOOKUP($A783,'[1]import success seats course'!$A:AC,HLOOKUP('[1]Course Totals'!O$4,'[1]import success seats course'!$1:$2,2,FALSE),FALSE)/(VLOOKUP($A783,'[1]import graded seats course pivo'!$A:AM,HLOOKUP('[1]Course Totals'!O$4,'[1]import graded seats course pivo'!$1:$2,2,FALSE),FALSE))),"")</f>
        <v/>
      </c>
      <c r="P783" s="14" t="str">
        <f>IFERROR((VLOOKUP($A783,'[1]import success seats course'!$A:AD,HLOOKUP('[1]Course Totals'!P$4,'[1]import success seats course'!$1:$2,2,FALSE),FALSE)/(VLOOKUP($A783,'[1]import graded seats course pivo'!$A:AN,HLOOKUP('[1]Course Totals'!P$4,'[1]import graded seats course pivo'!$1:$2,2,FALSE),FALSE))),"")</f>
        <v/>
      </c>
      <c r="Q783" s="14" t="str">
        <f>IFERROR((VLOOKUP($A783,'[1]import success seats course'!$A:AE,HLOOKUP('[1]Course Totals'!Q$4,'[1]import success seats course'!$1:$2,2,FALSE),FALSE)/(VLOOKUP($A783,'[1]import graded seats course pivo'!$A:AO,HLOOKUP('[1]Course Totals'!Q$4,'[1]import graded seats course pivo'!$1:$2,2,FALSE),FALSE))),"")</f>
        <v/>
      </c>
      <c r="R783" s="14" t="str">
        <f>IFERROR((VLOOKUP($A783,'[1]import success seats course'!$A:AF,HLOOKUP('[1]Course Totals'!R$4,'[1]import success seats course'!$1:$2,2,FALSE),FALSE)/(VLOOKUP($A783,'[1]import graded seats course pivo'!$A:AP,HLOOKUP('[1]Course Totals'!R$4,'[1]import graded seats course pivo'!$1:$2,2,FALSE),FALSE))),"")</f>
        <v/>
      </c>
      <c r="S783" s="14" t="str">
        <f>IFERROR((VLOOKUP($A783,'[1]import success seats course'!$A:AG,HLOOKUP('[1]Course Totals'!S$4,'[1]import success seats course'!$1:$2,2,FALSE),FALSE)/(VLOOKUP($A783,'[1]import graded seats course pivo'!$A:AQ,HLOOKUP('[1]Course Totals'!S$4,'[1]import graded seats course pivo'!$1:$2,2,FALSE),FALSE))),"")</f>
        <v/>
      </c>
      <c r="Z783" s="7"/>
      <c r="AA783" s="7"/>
      <c r="AB783" s="7"/>
      <c r="AC783" s="7"/>
    </row>
    <row r="784" spans="1:29" ht="15.75" hidden="1" customHeight="1" x14ac:dyDescent="0.25">
      <c r="A784" s="12" t="s">
        <v>634</v>
      </c>
      <c r="B784" s="14" t="str">
        <f>IFERROR((VLOOKUP($A784,'[1]import success seats course'!$A:P,HLOOKUP('[1]Course Totals'!B$4,'[1]import success seats course'!$1:$2,2,FALSE),FALSE)/(VLOOKUP($A784,'[1]import graded seats course pivo'!$A:Z,HLOOKUP('[1]Course Totals'!B$4,'[1]import graded seats course pivo'!$1:$2,2,FALSE),FALSE))),"")</f>
        <v/>
      </c>
      <c r="C784" s="14" t="str">
        <f>IFERROR((VLOOKUP($A784,'[1]import success seats course'!$A:Q,HLOOKUP('[1]Course Totals'!C$4,'[1]import success seats course'!$1:$2,2,FALSE),FALSE)/(VLOOKUP($A784,'[1]import graded seats course pivo'!$A:AA,HLOOKUP('[1]Course Totals'!C$4,'[1]import graded seats course pivo'!$1:$2,2,FALSE),FALSE))),"")</f>
        <v/>
      </c>
      <c r="D784" s="14" t="str">
        <f>IFERROR((VLOOKUP($A784,'[1]import success seats course'!$A:R,HLOOKUP('[1]Course Totals'!D$4,'[1]import success seats course'!$1:$2,2,FALSE),FALSE)/(VLOOKUP($A784,'[1]import graded seats course pivo'!$A:AB,HLOOKUP('[1]Course Totals'!D$4,'[1]import graded seats course pivo'!$1:$2,2,FALSE),FALSE))),"")</f>
        <v/>
      </c>
      <c r="E784" s="14" t="str">
        <f>IFERROR((VLOOKUP($A784,'[1]import success seats course'!$A:S,HLOOKUP('[1]Course Totals'!E$4,'[1]import success seats course'!$1:$2,2,FALSE),FALSE)/(VLOOKUP($A784,'[1]import graded seats course pivo'!$A:AC,HLOOKUP('[1]Course Totals'!E$4,'[1]import graded seats course pivo'!$1:$2,2,FALSE),FALSE))),"")</f>
        <v/>
      </c>
      <c r="F784" s="14" t="str">
        <f>IFERROR((VLOOKUP($A784,'[1]import success seats course'!$A:T,HLOOKUP('[1]Course Totals'!F$4,'[1]import success seats course'!$1:$2,2,FALSE),FALSE)/(VLOOKUP($A784,'[1]import graded seats course pivo'!$A:AD,HLOOKUP('[1]Course Totals'!F$4,'[1]import graded seats course pivo'!$1:$2,2,FALSE),FALSE))),"")</f>
        <v/>
      </c>
      <c r="G784" s="14" t="str">
        <f>IFERROR((VLOOKUP($A784,'[1]import success seats course'!$A:U,HLOOKUP('[1]Course Totals'!G$4,'[1]import success seats course'!$1:$2,2,FALSE),FALSE)/(VLOOKUP($A784,'[1]import graded seats course pivo'!$A:AE,HLOOKUP('[1]Course Totals'!G$4,'[1]import graded seats course pivo'!$1:$2,2,FALSE),FALSE))),"")</f>
        <v/>
      </c>
      <c r="H784" s="14" t="str">
        <f>IFERROR((VLOOKUP($A784,'[1]import success seats course'!$A:V,HLOOKUP('[1]Course Totals'!H$4,'[1]import success seats course'!$1:$2,2,FALSE),FALSE)/(VLOOKUP($A784,'[1]import graded seats course pivo'!$A:AF,HLOOKUP('[1]Course Totals'!H$4,'[1]import graded seats course pivo'!$1:$2,2,FALSE),FALSE))),"")</f>
        <v/>
      </c>
      <c r="I784" s="14" t="str">
        <f>IFERROR((VLOOKUP($A784,'[1]import success seats course'!$A:W,HLOOKUP('[1]Course Totals'!I$4,'[1]import success seats course'!$1:$2,2,FALSE),FALSE)/(VLOOKUP($A784,'[1]import graded seats course pivo'!$A:AG,HLOOKUP('[1]Course Totals'!I$4,'[1]import graded seats course pivo'!$1:$2,2,FALSE),FALSE))),"")</f>
        <v/>
      </c>
      <c r="J784" s="14" t="str">
        <f>IFERROR((VLOOKUP($A784,'[1]import success seats course'!$A:X,HLOOKUP('[1]Course Totals'!J$4,'[1]import success seats course'!$1:$2,2,FALSE),FALSE)/(VLOOKUP($A784,'[1]import graded seats course pivo'!$A:AH,HLOOKUP('[1]Course Totals'!J$4,'[1]import graded seats course pivo'!$1:$2,2,FALSE),FALSE))),"")</f>
        <v/>
      </c>
      <c r="K784" s="14" t="str">
        <f>IFERROR((VLOOKUP($A784,'[1]import success seats course'!$A:Y,HLOOKUP('[1]Course Totals'!K$4,'[1]import success seats course'!$1:$2,2,FALSE),FALSE)/(VLOOKUP($A784,'[1]import graded seats course pivo'!$A:AI,HLOOKUP('[1]Course Totals'!K$4,'[1]import graded seats course pivo'!$1:$2,2,FALSE),FALSE))),"")</f>
        <v/>
      </c>
      <c r="L784" s="14" t="str">
        <f>IFERROR((VLOOKUP($A784,'[1]import success seats course'!$A:Z,HLOOKUP('[1]Course Totals'!L$4,'[1]import success seats course'!$1:$2,2,FALSE),FALSE)/(VLOOKUP($A784,'[1]import graded seats course pivo'!$A:AJ,HLOOKUP('[1]Course Totals'!L$4,'[1]import graded seats course pivo'!$1:$2,2,FALSE),FALSE))),"")</f>
        <v/>
      </c>
      <c r="M784" s="14" t="str">
        <f>IFERROR((VLOOKUP($A784,'[1]import success seats course'!$A:AA,HLOOKUP('[1]Course Totals'!M$4,'[1]import success seats course'!$1:$2,2,FALSE),FALSE)/(VLOOKUP($A784,'[1]import graded seats course pivo'!$A:AK,HLOOKUP('[1]Course Totals'!M$4,'[1]import graded seats course pivo'!$1:$2,2,FALSE),FALSE))),"")</f>
        <v/>
      </c>
      <c r="N784" s="14" t="str">
        <f>IFERROR((VLOOKUP($A784,'[1]import success seats course'!$A:AB,HLOOKUP('[1]Course Totals'!N$4,'[1]import success seats course'!$1:$2,2,FALSE),FALSE)/(VLOOKUP($A784,'[1]import graded seats course pivo'!$A:AL,HLOOKUP('[1]Course Totals'!N$4,'[1]import graded seats course pivo'!$1:$2,2,FALSE),FALSE))),"")</f>
        <v/>
      </c>
      <c r="O784" s="14" t="str">
        <f>IFERROR((VLOOKUP($A784,'[1]import success seats course'!$A:AC,HLOOKUP('[1]Course Totals'!O$4,'[1]import success seats course'!$1:$2,2,FALSE),FALSE)/(VLOOKUP($A784,'[1]import graded seats course pivo'!$A:AM,HLOOKUP('[1]Course Totals'!O$4,'[1]import graded seats course pivo'!$1:$2,2,FALSE),FALSE))),"")</f>
        <v/>
      </c>
      <c r="P784" s="14" t="str">
        <f>IFERROR((VLOOKUP($A784,'[1]import success seats course'!$A:AD,HLOOKUP('[1]Course Totals'!P$4,'[1]import success seats course'!$1:$2,2,FALSE),FALSE)/(VLOOKUP($A784,'[1]import graded seats course pivo'!$A:AN,HLOOKUP('[1]Course Totals'!P$4,'[1]import graded seats course pivo'!$1:$2,2,FALSE),FALSE))),"")</f>
        <v/>
      </c>
      <c r="Q784" s="14" t="str">
        <f>IFERROR((VLOOKUP($A784,'[1]import success seats course'!$A:AE,HLOOKUP('[1]Course Totals'!Q$4,'[1]import success seats course'!$1:$2,2,FALSE),FALSE)/(VLOOKUP($A784,'[1]import graded seats course pivo'!$A:AO,HLOOKUP('[1]Course Totals'!Q$4,'[1]import graded seats course pivo'!$1:$2,2,FALSE),FALSE))),"")</f>
        <v/>
      </c>
      <c r="R784" s="14" t="str">
        <f>IFERROR((VLOOKUP($A784,'[1]import success seats course'!$A:AF,HLOOKUP('[1]Course Totals'!R$4,'[1]import success seats course'!$1:$2,2,FALSE),FALSE)/(VLOOKUP($A784,'[1]import graded seats course pivo'!$A:AP,HLOOKUP('[1]Course Totals'!R$4,'[1]import graded seats course pivo'!$1:$2,2,FALSE),FALSE))),"")</f>
        <v/>
      </c>
      <c r="S784" s="14" t="str">
        <f>IFERROR((VLOOKUP($A784,'[1]import success seats course'!$A:AG,HLOOKUP('[1]Course Totals'!S$4,'[1]import success seats course'!$1:$2,2,FALSE),FALSE)/(VLOOKUP($A784,'[1]import graded seats course pivo'!$A:AQ,HLOOKUP('[1]Course Totals'!S$4,'[1]import graded seats course pivo'!$1:$2,2,FALSE),FALSE))),"")</f>
        <v/>
      </c>
      <c r="Z784" s="7"/>
      <c r="AA784" s="7"/>
      <c r="AB784" s="7"/>
      <c r="AC784" s="7"/>
    </row>
    <row r="785" spans="1:29" ht="15.75" customHeight="1" x14ac:dyDescent="0.25">
      <c r="A785" s="12" t="s">
        <v>800</v>
      </c>
      <c r="B785" s="14" t="str">
        <f>IFERROR((VLOOKUP($A785,'[1]import success seats course'!$A:P,HLOOKUP('[1]Course Totals'!B$4,'[1]import success seats course'!$1:$2,2,FALSE),FALSE)/(VLOOKUP($A785,'[1]import graded seats course pivo'!$A:Z,HLOOKUP('[1]Course Totals'!B$4,'[1]import graded seats course pivo'!$1:$2,2,FALSE),FALSE))),"")</f>
        <v/>
      </c>
      <c r="C785" s="14" t="str">
        <f>IFERROR((VLOOKUP($A785,'[1]import success seats course'!$A:Q,HLOOKUP('[1]Course Totals'!C$4,'[1]import success seats course'!$1:$2,2,FALSE),FALSE)/(VLOOKUP($A785,'[1]import graded seats course pivo'!$A:AA,HLOOKUP('[1]Course Totals'!C$4,'[1]import graded seats course pivo'!$1:$2,2,FALSE),FALSE))),"")</f>
        <v/>
      </c>
      <c r="D785" s="14" t="str">
        <f>IFERROR((VLOOKUP($A785,'[1]import success seats course'!$A:R,HLOOKUP('[1]Course Totals'!D$4,'[1]import success seats course'!$1:$2,2,FALSE),FALSE)/(VLOOKUP($A785,'[1]import graded seats course pivo'!$A:AB,HLOOKUP('[1]Course Totals'!D$4,'[1]import graded seats course pivo'!$1:$2,2,FALSE),FALSE))),"")</f>
        <v/>
      </c>
      <c r="E785" s="14" t="str">
        <f>IFERROR((VLOOKUP($A785,'[1]import success seats course'!$A:S,HLOOKUP('[1]Course Totals'!E$4,'[1]import success seats course'!$1:$2,2,FALSE),FALSE)/(VLOOKUP($A785,'[1]import graded seats course pivo'!$A:AC,HLOOKUP('[1]Course Totals'!E$4,'[1]import graded seats course pivo'!$1:$2,2,FALSE),FALSE))),"")</f>
        <v/>
      </c>
      <c r="F785" s="14" t="str">
        <f>IFERROR((VLOOKUP($A785,'[1]import success seats course'!$A:T,HLOOKUP('[1]Course Totals'!F$4,'[1]import success seats course'!$1:$2,2,FALSE),FALSE)/(VLOOKUP($A785,'[1]import graded seats course pivo'!$A:AD,HLOOKUP('[1]Course Totals'!F$4,'[1]import graded seats course pivo'!$1:$2,2,FALSE),FALSE))),"")</f>
        <v/>
      </c>
      <c r="G785" s="14" t="str">
        <f>IFERROR((VLOOKUP($A785,'[1]import success seats course'!$A:U,HLOOKUP('[1]Course Totals'!G$4,'[1]import success seats course'!$1:$2,2,FALSE),FALSE)/(VLOOKUP($A785,'[1]import graded seats course pivo'!$A:AE,HLOOKUP('[1]Course Totals'!G$4,'[1]import graded seats course pivo'!$1:$2,2,FALSE),FALSE))),"")</f>
        <v/>
      </c>
      <c r="H785" s="14" t="str">
        <f>IFERROR((VLOOKUP($A785,'[1]import success seats course'!$A:V,HLOOKUP('[1]Course Totals'!H$4,'[1]import success seats course'!$1:$2,2,FALSE),FALSE)/(VLOOKUP($A785,'[1]import graded seats course pivo'!$A:AF,HLOOKUP('[1]Course Totals'!H$4,'[1]import graded seats course pivo'!$1:$2,2,FALSE),FALSE))),"")</f>
        <v/>
      </c>
      <c r="I785" s="14" t="str">
        <f>IFERROR((VLOOKUP($A785,'[1]import success seats course'!$A:W,HLOOKUP('[1]Course Totals'!I$4,'[1]import success seats course'!$1:$2,2,FALSE),FALSE)/(VLOOKUP($A785,'[1]import graded seats course pivo'!$A:AG,HLOOKUP('[1]Course Totals'!I$4,'[1]import graded seats course pivo'!$1:$2,2,FALSE),FALSE))),"")</f>
        <v/>
      </c>
      <c r="J785" s="14">
        <f>IFERROR((VLOOKUP($A785,'[1]import success seats course'!$A:X,HLOOKUP('[1]Course Totals'!J$4,'[1]import success seats course'!$1:$2,2,FALSE),FALSE)/(VLOOKUP($A785,'[1]import graded seats course pivo'!$A:AH,HLOOKUP('[1]Course Totals'!J$4,'[1]import graded seats course pivo'!$1:$2,2,FALSE),FALSE))),"")</f>
        <v>0.77777777777777779</v>
      </c>
      <c r="K785" s="14" t="str">
        <f>IFERROR((VLOOKUP($A785,'[1]import success seats course'!$A:Y,HLOOKUP('[1]Course Totals'!K$4,'[1]import success seats course'!$1:$2,2,FALSE),FALSE)/(VLOOKUP($A785,'[1]import graded seats course pivo'!$A:AI,HLOOKUP('[1]Course Totals'!K$4,'[1]import graded seats course pivo'!$1:$2,2,FALSE),FALSE))),"")</f>
        <v/>
      </c>
      <c r="L785" s="14">
        <f>IFERROR((VLOOKUP($A785,'[1]import success seats course'!$A:Z,HLOOKUP('[1]Course Totals'!L$4,'[1]import success seats course'!$1:$2,2,FALSE),FALSE)/(VLOOKUP($A785,'[1]import graded seats course pivo'!$A:AJ,HLOOKUP('[1]Course Totals'!L$4,'[1]import graded seats course pivo'!$1:$2,2,FALSE),FALSE))),"")</f>
        <v>1</v>
      </c>
      <c r="M785" s="14" t="str">
        <f>IFERROR((VLOOKUP($A785,'[1]import success seats course'!$A:AA,HLOOKUP('[1]Course Totals'!M$4,'[1]import success seats course'!$1:$2,2,FALSE),FALSE)/(VLOOKUP($A785,'[1]import graded seats course pivo'!$A:AK,HLOOKUP('[1]Course Totals'!M$4,'[1]import graded seats course pivo'!$1:$2,2,FALSE),FALSE))),"")</f>
        <v/>
      </c>
      <c r="N785" s="14" t="str">
        <f>IFERROR((VLOOKUP($A785,'[1]import success seats course'!$A:AB,HLOOKUP('[1]Course Totals'!N$4,'[1]import success seats course'!$1:$2,2,FALSE),FALSE)/(VLOOKUP($A785,'[1]import graded seats course pivo'!$A:AL,HLOOKUP('[1]Course Totals'!N$4,'[1]import graded seats course pivo'!$1:$2,2,FALSE),FALSE))),"")</f>
        <v/>
      </c>
      <c r="O785" s="14" t="str">
        <f>IFERROR((VLOOKUP($A785,'[1]import success seats course'!$A:AC,HLOOKUP('[1]Course Totals'!O$4,'[1]import success seats course'!$1:$2,2,FALSE),FALSE)/(VLOOKUP($A785,'[1]import graded seats course pivo'!$A:AM,HLOOKUP('[1]Course Totals'!O$4,'[1]import graded seats course pivo'!$1:$2,2,FALSE),FALSE))),"")</f>
        <v/>
      </c>
      <c r="P785" s="14" t="str">
        <f>IFERROR((VLOOKUP($A785,'[1]import success seats course'!$A:AD,HLOOKUP('[1]Course Totals'!P$4,'[1]import success seats course'!$1:$2,2,FALSE),FALSE)/(VLOOKUP($A785,'[1]import graded seats course pivo'!$A:AN,HLOOKUP('[1]Course Totals'!P$4,'[1]import graded seats course pivo'!$1:$2,2,FALSE),FALSE))),"")</f>
        <v/>
      </c>
      <c r="Q785" s="14" t="str">
        <f>IFERROR((VLOOKUP($A785,'[1]import success seats course'!$A:AE,HLOOKUP('[1]Course Totals'!Q$4,'[1]import success seats course'!$1:$2,2,FALSE),FALSE)/(VLOOKUP($A785,'[1]import graded seats course pivo'!$A:AO,HLOOKUP('[1]Course Totals'!Q$4,'[1]import graded seats course pivo'!$1:$2,2,FALSE),FALSE))),"")</f>
        <v/>
      </c>
      <c r="R785" s="14" t="str">
        <f>IFERROR((VLOOKUP($A785,'[1]import success seats course'!$A:AF,HLOOKUP('[1]Course Totals'!R$4,'[1]import success seats course'!$1:$2,2,FALSE),FALSE)/(VLOOKUP($A785,'[1]import graded seats course pivo'!$A:AP,HLOOKUP('[1]Course Totals'!R$4,'[1]import graded seats course pivo'!$1:$2,2,FALSE),FALSE))),"")</f>
        <v/>
      </c>
      <c r="S785" s="14" t="str">
        <f>IFERROR((VLOOKUP($A785,'[1]import success seats course'!$A:AG,HLOOKUP('[1]Course Totals'!S$4,'[1]import success seats course'!$1:$2,2,FALSE),FALSE)/(VLOOKUP($A785,'[1]import graded seats course pivo'!$A:AQ,HLOOKUP('[1]Course Totals'!S$4,'[1]import graded seats course pivo'!$1:$2,2,FALSE),FALSE))),"")</f>
        <v/>
      </c>
      <c r="Z785" s="7"/>
      <c r="AA785" s="7"/>
      <c r="AB785" s="7"/>
      <c r="AC785" s="7"/>
    </row>
    <row r="786" spans="1:29" ht="15.75" customHeight="1" x14ac:dyDescent="0.25">
      <c r="A786" s="12" t="s">
        <v>635</v>
      </c>
      <c r="B786" s="14" t="str">
        <f>IFERROR((VLOOKUP($A786,'[1]import success seats course'!$A:P,HLOOKUP('[1]Course Totals'!B$4,'[1]import success seats course'!$1:$2,2,FALSE),FALSE)/(VLOOKUP($A786,'[1]import graded seats course pivo'!$A:Z,HLOOKUP('[1]Course Totals'!B$4,'[1]import graded seats course pivo'!$1:$2,2,FALSE),FALSE))),"")</f>
        <v/>
      </c>
      <c r="C786" s="14" t="str">
        <f>IFERROR((VLOOKUP($A786,'[1]import success seats course'!$A:Q,HLOOKUP('[1]Course Totals'!C$4,'[1]import success seats course'!$1:$2,2,FALSE),FALSE)/(VLOOKUP($A786,'[1]import graded seats course pivo'!$A:AA,HLOOKUP('[1]Course Totals'!C$4,'[1]import graded seats course pivo'!$1:$2,2,FALSE),FALSE))),"")</f>
        <v/>
      </c>
      <c r="D786" s="14">
        <f>IFERROR((VLOOKUP($A786,'[1]import success seats course'!$A:R,HLOOKUP('[1]Course Totals'!D$4,'[1]import success seats course'!$1:$2,2,FALSE),FALSE)/(VLOOKUP($A786,'[1]import graded seats course pivo'!$A:AB,HLOOKUP('[1]Course Totals'!D$4,'[1]import graded seats course pivo'!$1:$2,2,FALSE),FALSE))),"")</f>
        <v>1</v>
      </c>
      <c r="E786" s="14" t="str">
        <f>IFERROR((VLOOKUP($A786,'[1]import success seats course'!$A:S,HLOOKUP('[1]Course Totals'!E$4,'[1]import success seats course'!$1:$2,2,FALSE),FALSE)/(VLOOKUP($A786,'[1]import graded seats course pivo'!$A:AC,HLOOKUP('[1]Course Totals'!E$4,'[1]import graded seats course pivo'!$1:$2,2,FALSE),FALSE))),"")</f>
        <v/>
      </c>
      <c r="F786" s="14">
        <f>IFERROR((VLOOKUP($A786,'[1]import success seats course'!$A:T,HLOOKUP('[1]Course Totals'!F$4,'[1]import success seats course'!$1:$2,2,FALSE),FALSE)/(VLOOKUP($A786,'[1]import graded seats course pivo'!$A:AD,HLOOKUP('[1]Course Totals'!F$4,'[1]import graded seats course pivo'!$1:$2,2,FALSE),FALSE))),"")</f>
        <v>1</v>
      </c>
      <c r="G786" s="14" t="str">
        <f>IFERROR((VLOOKUP($A786,'[1]import success seats course'!$A:U,HLOOKUP('[1]Course Totals'!G$4,'[1]import success seats course'!$1:$2,2,FALSE),FALSE)/(VLOOKUP($A786,'[1]import graded seats course pivo'!$A:AE,HLOOKUP('[1]Course Totals'!G$4,'[1]import graded seats course pivo'!$1:$2,2,FALSE),FALSE))),"")</f>
        <v/>
      </c>
      <c r="H786" s="14" t="str">
        <f>IFERROR((VLOOKUP($A786,'[1]import success seats course'!$A:V,HLOOKUP('[1]Course Totals'!H$4,'[1]import success seats course'!$1:$2,2,FALSE),FALSE)/(VLOOKUP($A786,'[1]import graded seats course pivo'!$A:AF,HLOOKUP('[1]Course Totals'!H$4,'[1]import graded seats course pivo'!$1:$2,2,FALSE),FALSE))),"")</f>
        <v/>
      </c>
      <c r="I786" s="14" t="str">
        <f>IFERROR((VLOOKUP($A786,'[1]import success seats course'!$A:W,HLOOKUP('[1]Course Totals'!I$4,'[1]import success seats course'!$1:$2,2,FALSE),FALSE)/(VLOOKUP($A786,'[1]import graded seats course pivo'!$A:AG,HLOOKUP('[1]Course Totals'!I$4,'[1]import graded seats course pivo'!$1:$2,2,FALSE),FALSE))),"")</f>
        <v/>
      </c>
      <c r="J786" s="14">
        <f>IFERROR((VLOOKUP($A786,'[1]import success seats course'!$A:X,HLOOKUP('[1]Course Totals'!J$4,'[1]import success seats course'!$1:$2,2,FALSE),FALSE)/(VLOOKUP($A786,'[1]import graded seats course pivo'!$A:AH,HLOOKUP('[1]Course Totals'!J$4,'[1]import graded seats course pivo'!$1:$2,2,FALSE),FALSE))),"")</f>
        <v>0.9375</v>
      </c>
      <c r="K786" s="14" t="str">
        <f>IFERROR((VLOOKUP($A786,'[1]import success seats course'!$A:Y,HLOOKUP('[1]Course Totals'!K$4,'[1]import success seats course'!$1:$2,2,FALSE),FALSE)/(VLOOKUP($A786,'[1]import graded seats course pivo'!$A:AI,HLOOKUP('[1]Course Totals'!K$4,'[1]import graded seats course pivo'!$1:$2,2,FALSE),FALSE))),"")</f>
        <v/>
      </c>
      <c r="L786" s="14" t="str">
        <f>IFERROR((VLOOKUP($A786,'[1]import success seats course'!$A:Z,HLOOKUP('[1]Course Totals'!L$4,'[1]import success seats course'!$1:$2,2,FALSE),FALSE)/(VLOOKUP($A786,'[1]import graded seats course pivo'!$A:AJ,HLOOKUP('[1]Course Totals'!L$4,'[1]import graded seats course pivo'!$1:$2,2,FALSE),FALSE))),"")</f>
        <v/>
      </c>
      <c r="M786" s="14" t="str">
        <f>IFERROR((VLOOKUP($A786,'[1]import success seats course'!$A:AA,HLOOKUP('[1]Course Totals'!M$4,'[1]import success seats course'!$1:$2,2,FALSE),FALSE)/(VLOOKUP($A786,'[1]import graded seats course pivo'!$A:AK,HLOOKUP('[1]Course Totals'!M$4,'[1]import graded seats course pivo'!$1:$2,2,FALSE),FALSE))),"")</f>
        <v/>
      </c>
      <c r="N786" s="14" t="str">
        <f>IFERROR((VLOOKUP($A786,'[1]import success seats course'!$A:AB,HLOOKUP('[1]Course Totals'!N$4,'[1]import success seats course'!$1:$2,2,FALSE),FALSE)/(VLOOKUP($A786,'[1]import graded seats course pivo'!$A:AL,HLOOKUP('[1]Course Totals'!N$4,'[1]import graded seats course pivo'!$1:$2,2,FALSE),FALSE))),"")</f>
        <v/>
      </c>
      <c r="O786" s="14" t="str">
        <f>IFERROR((VLOOKUP($A786,'[1]import success seats course'!$A:AC,HLOOKUP('[1]Course Totals'!O$4,'[1]import success seats course'!$1:$2,2,FALSE),FALSE)/(VLOOKUP($A786,'[1]import graded seats course pivo'!$A:AM,HLOOKUP('[1]Course Totals'!O$4,'[1]import graded seats course pivo'!$1:$2,2,FALSE),FALSE))),"")</f>
        <v/>
      </c>
      <c r="P786" s="14" t="str">
        <f>IFERROR((VLOOKUP($A786,'[1]import success seats course'!$A:AD,HLOOKUP('[1]Course Totals'!P$4,'[1]import success seats course'!$1:$2,2,FALSE),FALSE)/(VLOOKUP($A786,'[1]import graded seats course pivo'!$A:AN,HLOOKUP('[1]Course Totals'!P$4,'[1]import graded seats course pivo'!$1:$2,2,FALSE),FALSE))),"")</f>
        <v/>
      </c>
      <c r="Q786" s="14" t="str">
        <f>IFERROR((VLOOKUP($A786,'[1]import success seats course'!$A:AE,HLOOKUP('[1]Course Totals'!Q$4,'[1]import success seats course'!$1:$2,2,FALSE),FALSE)/(VLOOKUP($A786,'[1]import graded seats course pivo'!$A:AO,HLOOKUP('[1]Course Totals'!Q$4,'[1]import graded seats course pivo'!$1:$2,2,FALSE),FALSE))),"")</f>
        <v/>
      </c>
      <c r="R786" s="14" t="str">
        <f>IFERROR((VLOOKUP($A786,'[1]import success seats course'!$A:AF,HLOOKUP('[1]Course Totals'!R$4,'[1]import success seats course'!$1:$2,2,FALSE),FALSE)/(VLOOKUP($A786,'[1]import graded seats course pivo'!$A:AP,HLOOKUP('[1]Course Totals'!R$4,'[1]import graded seats course pivo'!$1:$2,2,FALSE),FALSE))),"")</f>
        <v/>
      </c>
      <c r="S786" s="14" t="str">
        <f>IFERROR((VLOOKUP($A786,'[1]import success seats course'!$A:AG,HLOOKUP('[1]Course Totals'!S$4,'[1]import success seats course'!$1:$2,2,FALSE),FALSE)/(VLOOKUP($A786,'[1]import graded seats course pivo'!$A:AQ,HLOOKUP('[1]Course Totals'!S$4,'[1]import graded seats course pivo'!$1:$2,2,FALSE),FALSE))),"")</f>
        <v/>
      </c>
      <c r="Z786" s="7"/>
      <c r="AA786" s="7"/>
      <c r="AB786" s="7"/>
      <c r="AC786" s="7"/>
    </row>
    <row r="787" spans="1:29" ht="15.75" customHeight="1" x14ac:dyDescent="0.25">
      <c r="A787" s="12" t="s">
        <v>363</v>
      </c>
      <c r="B787" s="14" t="str">
        <f>IFERROR((VLOOKUP($A787,'[1]import success seats course'!$A:P,HLOOKUP('[1]Course Totals'!B$4,'[1]import success seats course'!$1:$2,2,FALSE),FALSE)/(VLOOKUP($A787,'[1]import graded seats course pivo'!$A:Z,HLOOKUP('[1]Course Totals'!B$4,'[1]import graded seats course pivo'!$1:$2,2,FALSE),FALSE))),"")</f>
        <v/>
      </c>
      <c r="C787" s="14">
        <f>IFERROR((VLOOKUP($A787,'[1]import success seats course'!$A:Q,HLOOKUP('[1]Course Totals'!C$4,'[1]import success seats course'!$1:$2,2,FALSE),FALSE)/(VLOOKUP($A787,'[1]import graded seats course pivo'!$A:AA,HLOOKUP('[1]Course Totals'!C$4,'[1]import graded seats course pivo'!$1:$2,2,FALSE),FALSE))),"")</f>
        <v>0.95833333333333337</v>
      </c>
      <c r="D787" s="14">
        <f>IFERROR((VLOOKUP($A787,'[1]import success seats course'!$A:R,HLOOKUP('[1]Course Totals'!D$4,'[1]import success seats course'!$1:$2,2,FALSE),FALSE)/(VLOOKUP($A787,'[1]import graded seats course pivo'!$A:AB,HLOOKUP('[1]Course Totals'!D$4,'[1]import graded seats course pivo'!$1:$2,2,FALSE),FALSE))),"")</f>
        <v>1</v>
      </c>
      <c r="E787" s="14" t="str">
        <f>IFERROR((VLOOKUP($A787,'[1]import success seats course'!$A:S,HLOOKUP('[1]Course Totals'!E$4,'[1]import success seats course'!$1:$2,2,FALSE),FALSE)/(VLOOKUP($A787,'[1]import graded seats course pivo'!$A:AC,HLOOKUP('[1]Course Totals'!E$4,'[1]import graded seats course pivo'!$1:$2,2,FALSE),FALSE))),"")</f>
        <v/>
      </c>
      <c r="F787" s="14">
        <f>IFERROR((VLOOKUP($A787,'[1]import success seats course'!$A:T,HLOOKUP('[1]Course Totals'!F$4,'[1]import success seats course'!$1:$2,2,FALSE),FALSE)/(VLOOKUP($A787,'[1]import graded seats course pivo'!$A:AD,HLOOKUP('[1]Course Totals'!F$4,'[1]import graded seats course pivo'!$1:$2,2,FALSE),FALSE))),"")</f>
        <v>0.91666666666666663</v>
      </c>
      <c r="G787" s="14">
        <f>IFERROR((VLOOKUP($A787,'[1]import success seats course'!$A:U,HLOOKUP('[1]Course Totals'!G$4,'[1]import success seats course'!$1:$2,2,FALSE),FALSE)/(VLOOKUP($A787,'[1]import graded seats course pivo'!$A:AE,HLOOKUP('[1]Course Totals'!G$4,'[1]import graded seats course pivo'!$1:$2,2,FALSE),FALSE))),"")</f>
        <v>0.95833333333333337</v>
      </c>
      <c r="H787" s="14" t="str">
        <f>IFERROR((VLOOKUP($A787,'[1]import success seats course'!$A:V,HLOOKUP('[1]Course Totals'!H$4,'[1]import success seats course'!$1:$2,2,FALSE),FALSE)/(VLOOKUP($A787,'[1]import graded seats course pivo'!$A:AF,HLOOKUP('[1]Course Totals'!H$4,'[1]import graded seats course pivo'!$1:$2,2,FALSE),FALSE))),"")</f>
        <v/>
      </c>
      <c r="I787" s="14">
        <f>IFERROR((VLOOKUP($A787,'[1]import success seats course'!$A:W,HLOOKUP('[1]Course Totals'!I$4,'[1]import success seats course'!$1:$2,2,FALSE),FALSE)/(VLOOKUP($A787,'[1]import graded seats course pivo'!$A:AG,HLOOKUP('[1]Course Totals'!I$4,'[1]import graded seats course pivo'!$1:$2,2,FALSE),FALSE))),"")</f>
        <v>1</v>
      </c>
      <c r="J787" s="14">
        <f>IFERROR((VLOOKUP($A787,'[1]import success seats course'!$A:X,HLOOKUP('[1]Course Totals'!J$4,'[1]import success seats course'!$1:$2,2,FALSE),FALSE)/(VLOOKUP($A787,'[1]import graded seats course pivo'!$A:AH,HLOOKUP('[1]Course Totals'!J$4,'[1]import graded seats course pivo'!$1:$2,2,FALSE),FALSE))),"")</f>
        <v>0.95348837209302328</v>
      </c>
      <c r="K787" s="14" t="str">
        <f>IFERROR((VLOOKUP($A787,'[1]import success seats course'!$A:Y,HLOOKUP('[1]Course Totals'!K$4,'[1]import success seats course'!$1:$2,2,FALSE),FALSE)/(VLOOKUP($A787,'[1]import graded seats course pivo'!$A:AI,HLOOKUP('[1]Course Totals'!K$4,'[1]import graded seats course pivo'!$1:$2,2,FALSE),FALSE))),"")</f>
        <v/>
      </c>
      <c r="L787" s="14">
        <f>IFERROR((VLOOKUP($A787,'[1]import success seats course'!$A:Z,HLOOKUP('[1]Course Totals'!L$4,'[1]import success seats course'!$1:$2,2,FALSE),FALSE)/(VLOOKUP($A787,'[1]import graded seats course pivo'!$A:AJ,HLOOKUP('[1]Course Totals'!L$4,'[1]import graded seats course pivo'!$1:$2,2,FALSE),FALSE))),"")</f>
        <v>0.93877551020408168</v>
      </c>
      <c r="M787" s="14">
        <f>IFERROR((VLOOKUP($A787,'[1]import success seats course'!$A:AA,HLOOKUP('[1]Course Totals'!M$4,'[1]import success seats course'!$1:$2,2,FALSE),FALSE)/(VLOOKUP($A787,'[1]import graded seats course pivo'!$A:AK,HLOOKUP('[1]Course Totals'!M$4,'[1]import graded seats course pivo'!$1:$2,2,FALSE),FALSE))),"")</f>
        <v>0.87755102040816324</v>
      </c>
      <c r="N787" s="14" t="str">
        <f>IFERROR((VLOOKUP($A787,'[1]import success seats course'!$A:AB,HLOOKUP('[1]Course Totals'!N$4,'[1]import success seats course'!$1:$2,2,FALSE),FALSE)/(VLOOKUP($A787,'[1]import graded seats course pivo'!$A:AL,HLOOKUP('[1]Course Totals'!N$4,'[1]import graded seats course pivo'!$1:$2,2,FALSE),FALSE))),"")</f>
        <v/>
      </c>
      <c r="O787" s="14">
        <f>IFERROR((VLOOKUP($A787,'[1]import success seats course'!$A:AC,HLOOKUP('[1]Course Totals'!O$4,'[1]import success seats course'!$1:$2,2,FALSE),FALSE)/(VLOOKUP($A787,'[1]import graded seats course pivo'!$A:AM,HLOOKUP('[1]Course Totals'!O$4,'[1]import graded seats course pivo'!$1:$2,2,FALSE),FALSE))),"")</f>
        <v>0.89473684210526316</v>
      </c>
      <c r="P787" s="14">
        <f>IFERROR((VLOOKUP($A787,'[1]import success seats course'!$A:AD,HLOOKUP('[1]Course Totals'!P$4,'[1]import success seats course'!$1:$2,2,FALSE),FALSE)/(VLOOKUP($A787,'[1]import graded seats course pivo'!$A:AN,HLOOKUP('[1]Course Totals'!P$4,'[1]import graded seats course pivo'!$1:$2,2,FALSE),FALSE))),"")</f>
        <v>0.93939393939393945</v>
      </c>
      <c r="Q787" s="14" t="str">
        <f>IFERROR((VLOOKUP($A787,'[1]import success seats course'!$A:AE,HLOOKUP('[1]Course Totals'!Q$4,'[1]import success seats course'!$1:$2,2,FALSE),FALSE)/(VLOOKUP($A787,'[1]import graded seats course pivo'!$A:AO,HLOOKUP('[1]Course Totals'!Q$4,'[1]import graded seats course pivo'!$1:$2,2,FALSE),FALSE))),"")</f>
        <v/>
      </c>
      <c r="R787" s="14">
        <f>IFERROR((VLOOKUP($A787,'[1]import success seats course'!$A:AF,HLOOKUP('[1]Course Totals'!R$4,'[1]import success seats course'!$1:$2,2,FALSE),FALSE)/(VLOOKUP($A787,'[1]import graded seats course pivo'!$A:AP,HLOOKUP('[1]Course Totals'!R$4,'[1]import graded seats course pivo'!$1:$2,2,FALSE),FALSE))),"")</f>
        <v>0.93939393939393945</v>
      </c>
      <c r="S787" s="14">
        <f>IFERROR((VLOOKUP($A787,'[1]import success seats course'!$A:AG,HLOOKUP('[1]Course Totals'!S$4,'[1]import success seats course'!$1:$2,2,FALSE),FALSE)/(VLOOKUP($A787,'[1]import graded seats course pivo'!$A:AQ,HLOOKUP('[1]Course Totals'!S$4,'[1]import graded seats course pivo'!$1:$2,2,FALSE),FALSE))),"")</f>
        <v>0.84269662921348309</v>
      </c>
      <c r="Z787" s="7"/>
      <c r="AA787" s="7"/>
      <c r="AB787" s="7"/>
      <c r="AC787" s="7"/>
    </row>
    <row r="788" spans="1:29" s="7" customFormat="1" ht="15.75" customHeight="1" x14ac:dyDescent="0.25">
      <c r="A788" s="12" t="s">
        <v>1142</v>
      </c>
      <c r="B788" s="14" t="str">
        <f>IFERROR((VLOOKUP($A788,'[1]import success seats course'!$A:P,HLOOKUP('[1]Course Totals'!B$4,'[1]import success seats course'!$1:$2,2,FALSE),FALSE)/(VLOOKUP($A788,'[1]import graded seats course pivo'!$A:Z,HLOOKUP('[1]Course Totals'!B$4,'[1]import graded seats course pivo'!$1:$2,2,FALSE),FALSE))),"")</f>
        <v/>
      </c>
      <c r="C788" s="14" t="str">
        <f>IFERROR((VLOOKUP($A788,'[1]import success seats course'!$A:Q,HLOOKUP('[1]Course Totals'!C$4,'[1]import success seats course'!$1:$2,2,FALSE),FALSE)/(VLOOKUP($A788,'[1]import graded seats course pivo'!$A:AA,HLOOKUP('[1]Course Totals'!C$4,'[1]import graded seats course pivo'!$1:$2,2,FALSE),FALSE))),"")</f>
        <v/>
      </c>
      <c r="D788" s="14" t="str">
        <f>IFERROR((VLOOKUP($A788,'[1]import success seats course'!$A:R,HLOOKUP('[1]Course Totals'!D$4,'[1]import success seats course'!$1:$2,2,FALSE),FALSE)/(VLOOKUP($A788,'[1]import graded seats course pivo'!$A:AB,HLOOKUP('[1]Course Totals'!D$4,'[1]import graded seats course pivo'!$1:$2,2,FALSE),FALSE))),"")</f>
        <v/>
      </c>
      <c r="E788" s="14" t="str">
        <f>IFERROR((VLOOKUP($A788,'[1]import success seats course'!$A:S,HLOOKUP('[1]Course Totals'!E$4,'[1]import success seats course'!$1:$2,2,FALSE),FALSE)/(VLOOKUP($A788,'[1]import graded seats course pivo'!$A:AC,HLOOKUP('[1]Course Totals'!E$4,'[1]import graded seats course pivo'!$1:$2,2,FALSE),FALSE))),"")</f>
        <v/>
      </c>
      <c r="F788" s="14" t="str">
        <f>IFERROR((VLOOKUP($A788,'[1]import success seats course'!$A:T,HLOOKUP('[1]Course Totals'!F$4,'[1]import success seats course'!$1:$2,2,FALSE),FALSE)/(VLOOKUP($A788,'[1]import graded seats course pivo'!$A:AD,HLOOKUP('[1]Course Totals'!F$4,'[1]import graded seats course pivo'!$1:$2,2,FALSE),FALSE))),"")</f>
        <v/>
      </c>
      <c r="G788" s="14" t="str">
        <f>IFERROR((VLOOKUP($A788,'[1]import success seats course'!$A:U,HLOOKUP('[1]Course Totals'!G$4,'[1]import success seats course'!$1:$2,2,FALSE),FALSE)/(VLOOKUP($A788,'[1]import graded seats course pivo'!$A:AE,HLOOKUP('[1]Course Totals'!G$4,'[1]import graded seats course pivo'!$1:$2,2,FALSE),FALSE))),"")</f>
        <v/>
      </c>
      <c r="H788" s="14" t="str">
        <f>IFERROR((VLOOKUP($A788,'[1]import success seats course'!$A:V,HLOOKUP('[1]Course Totals'!H$4,'[1]import success seats course'!$1:$2,2,FALSE),FALSE)/(VLOOKUP($A788,'[1]import graded seats course pivo'!$A:AF,HLOOKUP('[1]Course Totals'!H$4,'[1]import graded seats course pivo'!$1:$2,2,FALSE),FALSE))),"")</f>
        <v/>
      </c>
      <c r="I788" s="14" t="str">
        <f>IFERROR((VLOOKUP($A788,'[1]import success seats course'!$A:W,HLOOKUP('[1]Course Totals'!I$4,'[1]import success seats course'!$1:$2,2,FALSE),FALSE)/(VLOOKUP($A788,'[1]import graded seats course pivo'!$A:AG,HLOOKUP('[1]Course Totals'!I$4,'[1]import graded seats course pivo'!$1:$2,2,FALSE),FALSE))),"")</f>
        <v/>
      </c>
      <c r="J788" s="14" t="str">
        <f>IFERROR((VLOOKUP($A788,'[1]import success seats course'!$A:X,HLOOKUP('[1]Course Totals'!J$4,'[1]import success seats course'!$1:$2,2,FALSE),FALSE)/(VLOOKUP($A788,'[1]import graded seats course pivo'!$A:AH,HLOOKUP('[1]Course Totals'!J$4,'[1]import graded seats course pivo'!$1:$2,2,FALSE),FALSE))),"")</f>
        <v/>
      </c>
      <c r="K788" s="14" t="str">
        <f>IFERROR((VLOOKUP($A788,'[1]import success seats course'!$A:Y,HLOOKUP('[1]Course Totals'!K$4,'[1]import success seats course'!$1:$2,2,FALSE),FALSE)/(VLOOKUP($A788,'[1]import graded seats course pivo'!$A:AI,HLOOKUP('[1]Course Totals'!K$4,'[1]import graded seats course pivo'!$1:$2,2,FALSE),FALSE))),"")</f>
        <v/>
      </c>
      <c r="L788" s="14" t="str">
        <f>IFERROR((VLOOKUP($A788,'[1]import success seats course'!$A:Z,HLOOKUP('[1]Course Totals'!L$4,'[1]import success seats course'!$1:$2,2,FALSE),FALSE)/(VLOOKUP($A788,'[1]import graded seats course pivo'!$A:AJ,HLOOKUP('[1]Course Totals'!L$4,'[1]import graded seats course pivo'!$1:$2,2,FALSE),FALSE))),"")</f>
        <v/>
      </c>
      <c r="M788" s="14" t="str">
        <f>IFERROR((VLOOKUP($A788,'[1]import success seats course'!$A:AA,HLOOKUP('[1]Course Totals'!M$4,'[1]import success seats course'!$1:$2,2,FALSE),FALSE)/(VLOOKUP($A788,'[1]import graded seats course pivo'!$A:AK,HLOOKUP('[1]Course Totals'!M$4,'[1]import graded seats course pivo'!$1:$2,2,FALSE),FALSE))),"")</f>
        <v/>
      </c>
      <c r="N788" s="14" t="str">
        <f>IFERROR((VLOOKUP($A788,'[1]import success seats course'!$A:AB,HLOOKUP('[1]Course Totals'!N$4,'[1]import success seats course'!$1:$2,2,FALSE),FALSE)/(VLOOKUP($A788,'[1]import graded seats course pivo'!$A:AL,HLOOKUP('[1]Course Totals'!N$4,'[1]import graded seats course pivo'!$1:$2,2,FALSE),FALSE))),"")</f>
        <v/>
      </c>
      <c r="O788" s="14" t="str">
        <f>IFERROR((VLOOKUP($A788,'[1]import success seats course'!$A:AC,HLOOKUP('[1]Course Totals'!O$4,'[1]import success seats course'!$1:$2,2,FALSE),FALSE)/(VLOOKUP($A788,'[1]import graded seats course pivo'!$A:AM,HLOOKUP('[1]Course Totals'!O$4,'[1]import graded seats course pivo'!$1:$2,2,FALSE),FALSE))),"")</f>
        <v/>
      </c>
      <c r="P788" s="14">
        <f>IFERROR((VLOOKUP($A788,'[1]import success seats course'!$A:AD,HLOOKUP('[1]Course Totals'!P$4,'[1]import success seats course'!$1:$2,2,FALSE),FALSE)/(VLOOKUP($A788,'[1]import graded seats course pivo'!$A:AN,HLOOKUP('[1]Course Totals'!P$4,'[1]import graded seats course pivo'!$1:$2,2,FALSE),FALSE))),"")</f>
        <v>0.95</v>
      </c>
      <c r="Q788" s="14" t="str">
        <f>IFERROR((VLOOKUP($A788,'[1]import success seats course'!$A:AE,HLOOKUP('[1]Course Totals'!Q$4,'[1]import success seats course'!$1:$2,2,FALSE),FALSE)/(VLOOKUP($A788,'[1]import graded seats course pivo'!$A:AO,HLOOKUP('[1]Course Totals'!Q$4,'[1]import graded seats course pivo'!$1:$2,2,FALSE),FALSE))),"")</f>
        <v/>
      </c>
      <c r="R788" s="14" t="str">
        <f>IFERROR((VLOOKUP($A788,'[1]import success seats course'!$A:AF,HLOOKUP('[1]Course Totals'!R$4,'[1]import success seats course'!$1:$2,2,FALSE),FALSE)/(VLOOKUP($A788,'[1]import graded seats course pivo'!$A:AP,HLOOKUP('[1]Course Totals'!R$4,'[1]import graded seats course pivo'!$1:$2,2,FALSE),FALSE))),"")</f>
        <v/>
      </c>
      <c r="S788" s="14">
        <f>IFERROR((VLOOKUP($A788,'[1]import success seats course'!$A:AG,HLOOKUP('[1]Course Totals'!S$4,'[1]import success seats course'!$1:$2,2,FALSE),FALSE)/(VLOOKUP($A788,'[1]import graded seats course pivo'!$A:AQ,HLOOKUP('[1]Course Totals'!S$4,'[1]import graded seats course pivo'!$1:$2,2,FALSE),FALSE))),"")</f>
        <v>0.95454545454545459</v>
      </c>
    </row>
    <row r="789" spans="1:29" ht="15.75" customHeight="1" x14ac:dyDescent="0.25">
      <c r="A789" s="12" t="s">
        <v>364</v>
      </c>
      <c r="B789" s="14" t="str">
        <f>IFERROR((VLOOKUP($A789,'[1]import success seats course'!$A:P,HLOOKUP('[1]Course Totals'!B$4,'[1]import success seats course'!$1:$2,2,FALSE),FALSE)/(VLOOKUP($A789,'[1]import graded seats course pivo'!$A:Z,HLOOKUP('[1]Course Totals'!B$4,'[1]import graded seats course pivo'!$1:$2,2,FALSE),FALSE))),"")</f>
        <v/>
      </c>
      <c r="C789" s="14">
        <f>IFERROR((VLOOKUP($A789,'[1]import success seats course'!$A:Q,HLOOKUP('[1]Course Totals'!C$4,'[1]import success seats course'!$1:$2,2,FALSE),FALSE)/(VLOOKUP($A789,'[1]import graded seats course pivo'!$A:AA,HLOOKUP('[1]Course Totals'!C$4,'[1]import graded seats course pivo'!$1:$2,2,FALSE),FALSE))),"")</f>
        <v>0.90909090909090906</v>
      </c>
      <c r="D789" s="14">
        <f>IFERROR((VLOOKUP($A789,'[1]import success seats course'!$A:R,HLOOKUP('[1]Course Totals'!D$4,'[1]import success seats course'!$1:$2,2,FALSE),FALSE)/(VLOOKUP($A789,'[1]import graded seats course pivo'!$A:AB,HLOOKUP('[1]Course Totals'!D$4,'[1]import graded seats course pivo'!$1:$2,2,FALSE),FALSE))),"")</f>
        <v>0.94117647058823528</v>
      </c>
      <c r="E789" s="14" t="str">
        <f>IFERROR((VLOOKUP($A789,'[1]import success seats course'!$A:S,HLOOKUP('[1]Course Totals'!E$4,'[1]import success seats course'!$1:$2,2,FALSE),FALSE)/(VLOOKUP($A789,'[1]import graded seats course pivo'!$A:AC,HLOOKUP('[1]Course Totals'!E$4,'[1]import graded seats course pivo'!$1:$2,2,FALSE),FALSE))),"")</f>
        <v/>
      </c>
      <c r="F789" s="14">
        <f>IFERROR((VLOOKUP($A789,'[1]import success seats course'!$A:T,HLOOKUP('[1]Course Totals'!F$4,'[1]import success seats course'!$1:$2,2,FALSE),FALSE)/(VLOOKUP($A789,'[1]import graded seats course pivo'!$A:AD,HLOOKUP('[1]Course Totals'!F$4,'[1]import graded seats course pivo'!$1:$2,2,FALSE),FALSE))),"")</f>
        <v>1</v>
      </c>
      <c r="G789" s="14">
        <f>IFERROR((VLOOKUP($A789,'[1]import success seats course'!$A:U,HLOOKUP('[1]Course Totals'!G$4,'[1]import success seats course'!$1:$2,2,FALSE),FALSE)/(VLOOKUP($A789,'[1]import graded seats course pivo'!$A:AE,HLOOKUP('[1]Course Totals'!G$4,'[1]import graded seats course pivo'!$1:$2,2,FALSE),FALSE))),"")</f>
        <v>0.92307692307692313</v>
      </c>
      <c r="H789" s="14" t="str">
        <f>IFERROR((VLOOKUP($A789,'[1]import success seats course'!$A:V,HLOOKUP('[1]Course Totals'!H$4,'[1]import success seats course'!$1:$2,2,FALSE),FALSE)/(VLOOKUP($A789,'[1]import graded seats course pivo'!$A:AF,HLOOKUP('[1]Course Totals'!H$4,'[1]import graded seats course pivo'!$1:$2,2,FALSE),FALSE))),"")</f>
        <v/>
      </c>
      <c r="I789" s="14">
        <f>IFERROR((VLOOKUP($A789,'[1]import success seats course'!$A:W,HLOOKUP('[1]Course Totals'!I$4,'[1]import success seats course'!$1:$2,2,FALSE),FALSE)/(VLOOKUP($A789,'[1]import graded seats course pivo'!$A:AG,HLOOKUP('[1]Course Totals'!I$4,'[1]import graded seats course pivo'!$1:$2,2,FALSE),FALSE))),"")</f>
        <v>1</v>
      </c>
      <c r="J789" s="14">
        <f>IFERROR((VLOOKUP($A789,'[1]import success seats course'!$A:X,HLOOKUP('[1]Course Totals'!J$4,'[1]import success seats course'!$1:$2,2,FALSE),FALSE)/(VLOOKUP($A789,'[1]import graded seats course pivo'!$A:AH,HLOOKUP('[1]Course Totals'!J$4,'[1]import graded seats course pivo'!$1:$2,2,FALSE),FALSE))),"")</f>
        <v>1</v>
      </c>
      <c r="K789" s="14" t="str">
        <f>IFERROR((VLOOKUP($A789,'[1]import success seats course'!$A:Y,HLOOKUP('[1]Course Totals'!K$4,'[1]import success seats course'!$1:$2,2,FALSE),FALSE)/(VLOOKUP($A789,'[1]import graded seats course pivo'!$A:AI,HLOOKUP('[1]Course Totals'!K$4,'[1]import graded seats course pivo'!$1:$2,2,FALSE),FALSE))),"")</f>
        <v/>
      </c>
      <c r="L789" s="14">
        <f>IFERROR((VLOOKUP($A789,'[1]import success seats course'!$A:Z,HLOOKUP('[1]Course Totals'!L$4,'[1]import success seats course'!$1:$2,2,FALSE),FALSE)/(VLOOKUP($A789,'[1]import graded seats course pivo'!$A:AJ,HLOOKUP('[1]Course Totals'!L$4,'[1]import graded seats course pivo'!$1:$2,2,FALSE),FALSE))),"")</f>
        <v>1</v>
      </c>
      <c r="M789" s="14">
        <f>IFERROR((VLOOKUP($A789,'[1]import success seats course'!$A:AA,HLOOKUP('[1]Course Totals'!M$4,'[1]import success seats course'!$1:$2,2,FALSE),FALSE)/(VLOOKUP($A789,'[1]import graded seats course pivo'!$A:AK,HLOOKUP('[1]Course Totals'!M$4,'[1]import graded seats course pivo'!$1:$2,2,FALSE),FALSE))),"")</f>
        <v>0.8666666666666667</v>
      </c>
      <c r="N789" s="14" t="str">
        <f>IFERROR((VLOOKUP($A789,'[1]import success seats course'!$A:AB,HLOOKUP('[1]Course Totals'!N$4,'[1]import success seats course'!$1:$2,2,FALSE),FALSE)/(VLOOKUP($A789,'[1]import graded seats course pivo'!$A:AL,HLOOKUP('[1]Course Totals'!N$4,'[1]import graded seats course pivo'!$1:$2,2,FALSE),FALSE))),"")</f>
        <v/>
      </c>
      <c r="O789" s="14" t="str">
        <f>IFERROR((VLOOKUP($A789,'[1]import success seats course'!$A:AC,HLOOKUP('[1]Course Totals'!O$4,'[1]import success seats course'!$1:$2,2,FALSE),FALSE)/(VLOOKUP($A789,'[1]import graded seats course pivo'!$A:AM,HLOOKUP('[1]Course Totals'!O$4,'[1]import graded seats course pivo'!$1:$2,2,FALSE),FALSE))),"")</f>
        <v/>
      </c>
      <c r="P789" s="14">
        <f>IFERROR((VLOOKUP($A789,'[1]import success seats course'!$A:AD,HLOOKUP('[1]Course Totals'!P$4,'[1]import success seats course'!$1:$2,2,FALSE),FALSE)/(VLOOKUP($A789,'[1]import graded seats course pivo'!$A:AN,HLOOKUP('[1]Course Totals'!P$4,'[1]import graded seats course pivo'!$1:$2,2,FALSE),FALSE))),"")</f>
        <v>0.89655172413793105</v>
      </c>
      <c r="Q789" s="14" t="str">
        <f>IFERROR((VLOOKUP($A789,'[1]import success seats course'!$A:AE,HLOOKUP('[1]Course Totals'!Q$4,'[1]import success seats course'!$1:$2,2,FALSE),FALSE)/(VLOOKUP($A789,'[1]import graded seats course pivo'!$A:AO,HLOOKUP('[1]Course Totals'!Q$4,'[1]import graded seats course pivo'!$1:$2,2,FALSE),FALSE))),"")</f>
        <v/>
      </c>
      <c r="R789" s="14">
        <f>IFERROR((VLOOKUP($A789,'[1]import success seats course'!$A:AF,HLOOKUP('[1]Course Totals'!R$4,'[1]import success seats course'!$1:$2,2,FALSE),FALSE)/(VLOOKUP($A789,'[1]import graded seats course pivo'!$A:AP,HLOOKUP('[1]Course Totals'!R$4,'[1]import graded seats course pivo'!$1:$2,2,FALSE),FALSE))),"")</f>
        <v>0.95454545454545459</v>
      </c>
      <c r="S789" s="14">
        <f>IFERROR((VLOOKUP($A789,'[1]import success seats course'!$A:AG,HLOOKUP('[1]Course Totals'!S$4,'[1]import success seats course'!$1:$2,2,FALSE),FALSE)/(VLOOKUP($A789,'[1]import graded seats course pivo'!$A:AQ,HLOOKUP('[1]Course Totals'!S$4,'[1]import graded seats course pivo'!$1:$2,2,FALSE),FALSE))),"")</f>
        <v>0.86363636363636365</v>
      </c>
      <c r="Z789" s="7"/>
      <c r="AA789" s="7"/>
      <c r="AB789" s="7"/>
      <c r="AC789" s="7"/>
    </row>
    <row r="790" spans="1:29" ht="15.75" customHeight="1" x14ac:dyDescent="0.25">
      <c r="A790" s="12" t="s">
        <v>365</v>
      </c>
      <c r="B790" s="14" t="str">
        <f>IFERROR((VLOOKUP($A790,'[1]import success seats course'!$A:P,HLOOKUP('[1]Course Totals'!B$4,'[1]import success seats course'!$1:$2,2,FALSE),FALSE)/(VLOOKUP($A790,'[1]import graded seats course pivo'!$A:Z,HLOOKUP('[1]Course Totals'!B$4,'[1]import graded seats course pivo'!$1:$2,2,FALSE),FALSE))),"")</f>
        <v/>
      </c>
      <c r="C790" s="14">
        <f>IFERROR((VLOOKUP($A790,'[1]import success seats course'!$A:Q,HLOOKUP('[1]Course Totals'!C$4,'[1]import success seats course'!$1:$2,2,FALSE),FALSE)/(VLOOKUP($A790,'[1]import graded seats course pivo'!$A:AA,HLOOKUP('[1]Course Totals'!C$4,'[1]import graded seats course pivo'!$1:$2,2,FALSE),FALSE))),"")</f>
        <v>0.91666666666666663</v>
      </c>
      <c r="D790" s="14">
        <f>IFERROR((VLOOKUP($A790,'[1]import success seats course'!$A:R,HLOOKUP('[1]Course Totals'!D$4,'[1]import success seats course'!$1:$2,2,FALSE),FALSE)/(VLOOKUP($A790,'[1]import graded seats course pivo'!$A:AB,HLOOKUP('[1]Course Totals'!D$4,'[1]import graded seats course pivo'!$1:$2,2,FALSE),FALSE))),"")</f>
        <v>1</v>
      </c>
      <c r="E790" s="14" t="str">
        <f>IFERROR((VLOOKUP($A790,'[1]import success seats course'!$A:S,HLOOKUP('[1]Course Totals'!E$4,'[1]import success seats course'!$1:$2,2,FALSE),FALSE)/(VLOOKUP($A790,'[1]import graded seats course pivo'!$A:AC,HLOOKUP('[1]Course Totals'!E$4,'[1]import graded seats course pivo'!$1:$2,2,FALSE),FALSE))),"")</f>
        <v/>
      </c>
      <c r="F790" s="14">
        <f>IFERROR((VLOOKUP($A790,'[1]import success seats course'!$A:T,HLOOKUP('[1]Course Totals'!F$4,'[1]import success seats course'!$1:$2,2,FALSE),FALSE)/(VLOOKUP($A790,'[1]import graded seats course pivo'!$A:AD,HLOOKUP('[1]Course Totals'!F$4,'[1]import graded seats course pivo'!$1:$2,2,FALSE),FALSE))),"")</f>
        <v>0.75</v>
      </c>
      <c r="G790" s="14">
        <f>IFERROR((VLOOKUP($A790,'[1]import success seats course'!$A:U,HLOOKUP('[1]Course Totals'!G$4,'[1]import success seats course'!$1:$2,2,FALSE),FALSE)/(VLOOKUP($A790,'[1]import graded seats course pivo'!$A:AE,HLOOKUP('[1]Course Totals'!G$4,'[1]import graded seats course pivo'!$1:$2,2,FALSE),FALSE))),"")</f>
        <v>0.9</v>
      </c>
      <c r="H790" s="14" t="str">
        <f>IFERROR((VLOOKUP($A790,'[1]import success seats course'!$A:V,HLOOKUP('[1]Course Totals'!H$4,'[1]import success seats course'!$1:$2,2,FALSE),FALSE)/(VLOOKUP($A790,'[1]import graded seats course pivo'!$A:AF,HLOOKUP('[1]Course Totals'!H$4,'[1]import graded seats course pivo'!$1:$2,2,FALSE),FALSE))),"")</f>
        <v/>
      </c>
      <c r="I790" s="14">
        <f>IFERROR((VLOOKUP($A790,'[1]import success seats course'!$A:W,HLOOKUP('[1]Course Totals'!I$4,'[1]import success seats course'!$1:$2,2,FALSE),FALSE)/(VLOOKUP($A790,'[1]import graded seats course pivo'!$A:AG,HLOOKUP('[1]Course Totals'!I$4,'[1]import graded seats course pivo'!$1:$2,2,FALSE),FALSE))),"")</f>
        <v>1</v>
      </c>
      <c r="J790" s="14">
        <f>IFERROR((VLOOKUP($A790,'[1]import success seats course'!$A:X,HLOOKUP('[1]Course Totals'!J$4,'[1]import success seats course'!$1:$2,2,FALSE),FALSE)/(VLOOKUP($A790,'[1]import graded seats course pivo'!$A:AH,HLOOKUP('[1]Course Totals'!J$4,'[1]import graded seats course pivo'!$1:$2,2,FALSE),FALSE))),"")</f>
        <v>1</v>
      </c>
      <c r="K790" s="14" t="str">
        <f>IFERROR((VLOOKUP($A790,'[1]import success seats course'!$A:Y,HLOOKUP('[1]Course Totals'!K$4,'[1]import success seats course'!$1:$2,2,FALSE),FALSE)/(VLOOKUP($A790,'[1]import graded seats course pivo'!$A:AI,HLOOKUP('[1]Course Totals'!K$4,'[1]import graded seats course pivo'!$1:$2,2,FALSE),FALSE))),"")</f>
        <v/>
      </c>
      <c r="L790" s="14">
        <f>IFERROR((VLOOKUP($A790,'[1]import success seats course'!$A:Z,HLOOKUP('[1]Course Totals'!L$4,'[1]import success seats course'!$1:$2,2,FALSE),FALSE)/(VLOOKUP($A790,'[1]import graded seats course pivo'!$A:AJ,HLOOKUP('[1]Course Totals'!L$4,'[1]import graded seats course pivo'!$1:$2,2,FALSE),FALSE))),"")</f>
        <v>1</v>
      </c>
      <c r="M790" s="14">
        <f>IFERROR((VLOOKUP($A790,'[1]import success seats course'!$A:AA,HLOOKUP('[1]Course Totals'!M$4,'[1]import success seats course'!$1:$2,2,FALSE),FALSE)/(VLOOKUP($A790,'[1]import graded seats course pivo'!$A:AK,HLOOKUP('[1]Course Totals'!M$4,'[1]import graded seats course pivo'!$1:$2,2,FALSE),FALSE))),"")</f>
        <v>1</v>
      </c>
      <c r="N790" s="14" t="str">
        <f>IFERROR((VLOOKUP($A790,'[1]import success seats course'!$A:AB,HLOOKUP('[1]Course Totals'!N$4,'[1]import success seats course'!$1:$2,2,FALSE),FALSE)/(VLOOKUP($A790,'[1]import graded seats course pivo'!$A:AL,HLOOKUP('[1]Course Totals'!N$4,'[1]import graded seats course pivo'!$1:$2,2,FALSE),FALSE))),"")</f>
        <v/>
      </c>
      <c r="O790" s="14" t="str">
        <f>IFERROR((VLOOKUP($A790,'[1]import success seats course'!$A:AC,HLOOKUP('[1]Course Totals'!O$4,'[1]import success seats course'!$1:$2,2,FALSE),FALSE)/(VLOOKUP($A790,'[1]import graded seats course pivo'!$A:AM,HLOOKUP('[1]Course Totals'!O$4,'[1]import graded seats course pivo'!$1:$2,2,FALSE),FALSE))),"")</f>
        <v/>
      </c>
      <c r="P790" s="14" t="str">
        <f>IFERROR((VLOOKUP($A790,'[1]import success seats course'!$A:AD,HLOOKUP('[1]Course Totals'!P$4,'[1]import success seats course'!$1:$2,2,FALSE),FALSE)/(VLOOKUP($A790,'[1]import graded seats course pivo'!$A:AN,HLOOKUP('[1]Course Totals'!P$4,'[1]import graded seats course pivo'!$1:$2,2,FALSE),FALSE))),"")</f>
        <v/>
      </c>
      <c r="Q790" s="14" t="str">
        <f>IFERROR((VLOOKUP($A790,'[1]import success seats course'!$A:AE,HLOOKUP('[1]Course Totals'!Q$4,'[1]import success seats course'!$1:$2,2,FALSE),FALSE)/(VLOOKUP($A790,'[1]import graded seats course pivo'!$A:AO,HLOOKUP('[1]Course Totals'!Q$4,'[1]import graded seats course pivo'!$1:$2,2,FALSE),FALSE))),"")</f>
        <v/>
      </c>
      <c r="R790" s="14" t="str">
        <f>IFERROR((VLOOKUP($A790,'[1]import success seats course'!$A:AF,HLOOKUP('[1]Course Totals'!R$4,'[1]import success seats course'!$1:$2,2,FALSE),FALSE)/(VLOOKUP($A790,'[1]import graded seats course pivo'!$A:AP,HLOOKUP('[1]Course Totals'!R$4,'[1]import graded seats course pivo'!$1:$2,2,FALSE),FALSE))),"")</f>
        <v/>
      </c>
      <c r="S790" s="14" t="str">
        <f>IFERROR((VLOOKUP($A790,'[1]import success seats course'!$A:AG,HLOOKUP('[1]Course Totals'!S$4,'[1]import success seats course'!$1:$2,2,FALSE),FALSE)/(VLOOKUP($A790,'[1]import graded seats course pivo'!$A:AQ,HLOOKUP('[1]Course Totals'!S$4,'[1]import graded seats course pivo'!$1:$2,2,FALSE),FALSE))),"")</f>
        <v/>
      </c>
      <c r="Z790" s="7"/>
      <c r="AA790" s="7"/>
      <c r="AB790" s="7"/>
      <c r="AC790" s="7"/>
    </row>
    <row r="791" spans="1:29" ht="15.75" customHeight="1" x14ac:dyDescent="0.25">
      <c r="A791" s="12" t="s">
        <v>366</v>
      </c>
      <c r="B791" s="14" t="str">
        <f>IFERROR((VLOOKUP($A791,'[1]import success seats course'!$A:P,HLOOKUP('[1]Course Totals'!B$4,'[1]import success seats course'!$1:$2,2,FALSE),FALSE)/(VLOOKUP($A791,'[1]import graded seats course pivo'!$A:Z,HLOOKUP('[1]Course Totals'!B$4,'[1]import graded seats course pivo'!$1:$2,2,FALSE),FALSE))),"")</f>
        <v/>
      </c>
      <c r="C791" s="14">
        <f>IFERROR((VLOOKUP($A791,'[1]import success seats course'!$A:Q,HLOOKUP('[1]Course Totals'!C$4,'[1]import success seats course'!$1:$2,2,FALSE),FALSE)/(VLOOKUP($A791,'[1]import graded seats course pivo'!$A:AA,HLOOKUP('[1]Course Totals'!C$4,'[1]import graded seats course pivo'!$1:$2,2,FALSE),FALSE))),"")</f>
        <v>1</v>
      </c>
      <c r="D791" s="14">
        <f>IFERROR((VLOOKUP($A791,'[1]import success seats course'!$A:R,HLOOKUP('[1]Course Totals'!D$4,'[1]import success seats course'!$1:$2,2,FALSE),FALSE)/(VLOOKUP($A791,'[1]import graded seats course pivo'!$A:AB,HLOOKUP('[1]Course Totals'!D$4,'[1]import graded seats course pivo'!$1:$2,2,FALSE),FALSE))),"")</f>
        <v>1</v>
      </c>
      <c r="E791" s="14" t="str">
        <f>IFERROR((VLOOKUP($A791,'[1]import success seats course'!$A:S,HLOOKUP('[1]Course Totals'!E$4,'[1]import success seats course'!$1:$2,2,FALSE),FALSE)/(VLOOKUP($A791,'[1]import graded seats course pivo'!$A:AC,HLOOKUP('[1]Course Totals'!E$4,'[1]import graded seats course pivo'!$1:$2,2,FALSE),FALSE))),"")</f>
        <v/>
      </c>
      <c r="F791" s="14" t="str">
        <f>IFERROR((VLOOKUP($A791,'[1]import success seats course'!$A:T,HLOOKUP('[1]Course Totals'!F$4,'[1]import success seats course'!$1:$2,2,FALSE),FALSE)/(VLOOKUP($A791,'[1]import graded seats course pivo'!$A:AD,HLOOKUP('[1]Course Totals'!F$4,'[1]import graded seats course pivo'!$1:$2,2,FALSE),FALSE))),"")</f>
        <v/>
      </c>
      <c r="G791" s="14">
        <f>IFERROR((VLOOKUP($A791,'[1]import success seats course'!$A:U,HLOOKUP('[1]Course Totals'!G$4,'[1]import success seats course'!$1:$2,2,FALSE),FALSE)/(VLOOKUP($A791,'[1]import graded seats course pivo'!$A:AE,HLOOKUP('[1]Course Totals'!G$4,'[1]import graded seats course pivo'!$1:$2,2,FALSE),FALSE))),"")</f>
        <v>1</v>
      </c>
      <c r="H791" s="14" t="str">
        <f>IFERROR((VLOOKUP($A791,'[1]import success seats course'!$A:V,HLOOKUP('[1]Course Totals'!H$4,'[1]import success seats course'!$1:$2,2,FALSE),FALSE)/(VLOOKUP($A791,'[1]import graded seats course pivo'!$A:AF,HLOOKUP('[1]Course Totals'!H$4,'[1]import graded seats course pivo'!$1:$2,2,FALSE),FALSE))),"")</f>
        <v/>
      </c>
      <c r="I791" s="14">
        <f>IFERROR((VLOOKUP($A791,'[1]import success seats course'!$A:W,HLOOKUP('[1]Course Totals'!I$4,'[1]import success seats course'!$1:$2,2,FALSE),FALSE)/(VLOOKUP($A791,'[1]import graded seats course pivo'!$A:AG,HLOOKUP('[1]Course Totals'!I$4,'[1]import graded seats course pivo'!$1:$2,2,FALSE),FALSE))),"")</f>
        <v>1</v>
      </c>
      <c r="J791" s="14">
        <f>IFERROR((VLOOKUP($A791,'[1]import success seats course'!$A:X,HLOOKUP('[1]Course Totals'!J$4,'[1]import success seats course'!$1:$2,2,FALSE),FALSE)/(VLOOKUP($A791,'[1]import graded seats course pivo'!$A:AH,HLOOKUP('[1]Course Totals'!J$4,'[1]import graded seats course pivo'!$1:$2,2,FALSE),FALSE))),"")</f>
        <v>1</v>
      </c>
      <c r="K791" s="14" t="str">
        <f>IFERROR((VLOOKUP($A791,'[1]import success seats course'!$A:Y,HLOOKUP('[1]Course Totals'!K$4,'[1]import success seats course'!$1:$2,2,FALSE),FALSE)/(VLOOKUP($A791,'[1]import graded seats course pivo'!$A:AI,HLOOKUP('[1]Course Totals'!K$4,'[1]import graded seats course pivo'!$1:$2,2,FALSE),FALSE))),"")</f>
        <v/>
      </c>
      <c r="L791" s="14">
        <f>IFERROR((VLOOKUP($A791,'[1]import success seats course'!$A:Z,HLOOKUP('[1]Course Totals'!L$4,'[1]import success seats course'!$1:$2,2,FALSE),FALSE)/(VLOOKUP($A791,'[1]import graded seats course pivo'!$A:AJ,HLOOKUP('[1]Course Totals'!L$4,'[1]import graded seats course pivo'!$1:$2,2,FALSE),FALSE))),"")</f>
        <v>0.75</v>
      </c>
      <c r="M791" s="14">
        <f>IFERROR((VLOOKUP($A791,'[1]import success seats course'!$A:AA,HLOOKUP('[1]Course Totals'!M$4,'[1]import success seats course'!$1:$2,2,FALSE),FALSE)/(VLOOKUP($A791,'[1]import graded seats course pivo'!$A:AK,HLOOKUP('[1]Course Totals'!M$4,'[1]import graded seats course pivo'!$1:$2,2,FALSE),FALSE))),"")</f>
        <v>1</v>
      </c>
      <c r="N791" s="14" t="str">
        <f>IFERROR((VLOOKUP($A791,'[1]import success seats course'!$A:AB,HLOOKUP('[1]Course Totals'!N$4,'[1]import success seats course'!$1:$2,2,FALSE),FALSE)/(VLOOKUP($A791,'[1]import graded seats course pivo'!$A:AL,HLOOKUP('[1]Course Totals'!N$4,'[1]import graded seats course pivo'!$1:$2,2,FALSE),FALSE))),"")</f>
        <v/>
      </c>
      <c r="O791" s="14">
        <f>IFERROR((VLOOKUP($A791,'[1]import success seats course'!$A:AC,HLOOKUP('[1]Course Totals'!O$4,'[1]import success seats course'!$1:$2,2,FALSE),FALSE)/(VLOOKUP($A791,'[1]import graded seats course pivo'!$A:AM,HLOOKUP('[1]Course Totals'!O$4,'[1]import graded seats course pivo'!$1:$2,2,FALSE),FALSE))),"")</f>
        <v>0.83333333333333337</v>
      </c>
      <c r="P791" s="14">
        <f>IFERROR((VLOOKUP($A791,'[1]import success seats course'!$A:AD,HLOOKUP('[1]Course Totals'!P$4,'[1]import success seats course'!$1:$2,2,FALSE),FALSE)/(VLOOKUP($A791,'[1]import graded seats course pivo'!$A:AN,HLOOKUP('[1]Course Totals'!P$4,'[1]import graded seats course pivo'!$1:$2,2,FALSE),FALSE))),"")</f>
        <v>1</v>
      </c>
      <c r="Q791" s="14" t="str">
        <f>IFERROR((VLOOKUP($A791,'[1]import success seats course'!$A:AE,HLOOKUP('[1]Course Totals'!Q$4,'[1]import success seats course'!$1:$2,2,FALSE),FALSE)/(VLOOKUP($A791,'[1]import graded seats course pivo'!$A:AO,HLOOKUP('[1]Course Totals'!Q$4,'[1]import graded seats course pivo'!$1:$2,2,FALSE),FALSE))),"")</f>
        <v/>
      </c>
      <c r="R791" s="14">
        <f>IFERROR((VLOOKUP($A791,'[1]import success seats course'!$A:AF,HLOOKUP('[1]Course Totals'!R$4,'[1]import success seats course'!$1:$2,2,FALSE),FALSE)/(VLOOKUP($A791,'[1]import graded seats course pivo'!$A:AP,HLOOKUP('[1]Course Totals'!R$4,'[1]import graded seats course pivo'!$1:$2,2,FALSE),FALSE))),"")</f>
        <v>0.8571428571428571</v>
      </c>
      <c r="S791" s="14">
        <f>IFERROR((VLOOKUP($A791,'[1]import success seats course'!$A:AG,HLOOKUP('[1]Course Totals'!S$4,'[1]import success seats course'!$1:$2,2,FALSE),FALSE)/(VLOOKUP($A791,'[1]import graded seats course pivo'!$A:AQ,HLOOKUP('[1]Course Totals'!S$4,'[1]import graded seats course pivo'!$1:$2,2,FALSE),FALSE))),"")</f>
        <v>0.76923076923076927</v>
      </c>
      <c r="Z791" s="7"/>
      <c r="AA791" s="7"/>
      <c r="AB791" s="7"/>
      <c r="AC791" s="7"/>
    </row>
    <row r="792" spans="1:29" ht="15.75" customHeight="1" x14ac:dyDescent="0.25">
      <c r="A792" s="12" t="s">
        <v>367</v>
      </c>
      <c r="B792" s="14" t="str">
        <f>IFERROR((VLOOKUP($A792,'[1]import success seats course'!$A:P,HLOOKUP('[1]Course Totals'!B$4,'[1]import success seats course'!$1:$2,2,FALSE),FALSE)/(VLOOKUP($A792,'[1]import graded seats course pivo'!$A:Z,HLOOKUP('[1]Course Totals'!B$4,'[1]import graded seats course pivo'!$1:$2,2,FALSE),FALSE))),"")</f>
        <v/>
      </c>
      <c r="C792" s="14">
        <f>IFERROR((VLOOKUP($A792,'[1]import success seats course'!$A:Q,HLOOKUP('[1]Course Totals'!C$4,'[1]import success seats course'!$1:$2,2,FALSE),FALSE)/(VLOOKUP($A792,'[1]import graded seats course pivo'!$A:AA,HLOOKUP('[1]Course Totals'!C$4,'[1]import graded seats course pivo'!$1:$2,2,FALSE),FALSE))),"")</f>
        <v>0.75</v>
      </c>
      <c r="D792" s="14">
        <f>IFERROR((VLOOKUP($A792,'[1]import success seats course'!$A:R,HLOOKUP('[1]Course Totals'!D$4,'[1]import success seats course'!$1:$2,2,FALSE),FALSE)/(VLOOKUP($A792,'[1]import graded seats course pivo'!$A:AB,HLOOKUP('[1]Course Totals'!D$4,'[1]import graded seats course pivo'!$1:$2,2,FALSE),FALSE))),"")</f>
        <v>1</v>
      </c>
      <c r="E792" s="14" t="str">
        <f>IFERROR((VLOOKUP($A792,'[1]import success seats course'!$A:S,HLOOKUP('[1]Course Totals'!E$4,'[1]import success seats course'!$1:$2,2,FALSE),FALSE)/(VLOOKUP($A792,'[1]import graded seats course pivo'!$A:AC,HLOOKUP('[1]Course Totals'!E$4,'[1]import graded seats course pivo'!$1:$2,2,FALSE),FALSE))),"")</f>
        <v/>
      </c>
      <c r="F792" s="14">
        <f>IFERROR((VLOOKUP($A792,'[1]import success seats course'!$A:T,HLOOKUP('[1]Course Totals'!F$4,'[1]import success seats course'!$1:$2,2,FALSE),FALSE)/(VLOOKUP($A792,'[1]import graded seats course pivo'!$A:AD,HLOOKUP('[1]Course Totals'!F$4,'[1]import graded seats course pivo'!$1:$2,2,FALSE),FALSE))),"")</f>
        <v>1</v>
      </c>
      <c r="G792" s="14" t="str">
        <f>IFERROR((VLOOKUP($A792,'[1]import success seats course'!$A:U,HLOOKUP('[1]Course Totals'!G$4,'[1]import success seats course'!$1:$2,2,FALSE),FALSE)/(VLOOKUP($A792,'[1]import graded seats course pivo'!$A:AE,HLOOKUP('[1]Course Totals'!G$4,'[1]import graded seats course pivo'!$1:$2,2,FALSE),FALSE))),"")</f>
        <v/>
      </c>
      <c r="H792" s="14" t="str">
        <f>IFERROR((VLOOKUP($A792,'[1]import success seats course'!$A:V,HLOOKUP('[1]Course Totals'!H$4,'[1]import success seats course'!$1:$2,2,FALSE),FALSE)/(VLOOKUP($A792,'[1]import graded seats course pivo'!$A:AF,HLOOKUP('[1]Course Totals'!H$4,'[1]import graded seats course pivo'!$1:$2,2,FALSE),FALSE))),"")</f>
        <v/>
      </c>
      <c r="I792" s="14">
        <f>IFERROR((VLOOKUP($A792,'[1]import success seats course'!$A:W,HLOOKUP('[1]Course Totals'!I$4,'[1]import success seats course'!$1:$2,2,FALSE),FALSE)/(VLOOKUP($A792,'[1]import graded seats course pivo'!$A:AG,HLOOKUP('[1]Course Totals'!I$4,'[1]import graded seats course pivo'!$1:$2,2,FALSE),FALSE))),"")</f>
        <v>1</v>
      </c>
      <c r="J792" s="14">
        <f>IFERROR((VLOOKUP($A792,'[1]import success seats course'!$A:X,HLOOKUP('[1]Course Totals'!J$4,'[1]import success seats course'!$1:$2,2,FALSE),FALSE)/(VLOOKUP($A792,'[1]import graded seats course pivo'!$A:AH,HLOOKUP('[1]Course Totals'!J$4,'[1]import graded seats course pivo'!$1:$2,2,FALSE),FALSE))),"")</f>
        <v>0.66666666666666663</v>
      </c>
      <c r="K792" s="14" t="str">
        <f>IFERROR((VLOOKUP($A792,'[1]import success seats course'!$A:Y,HLOOKUP('[1]Course Totals'!K$4,'[1]import success seats course'!$1:$2,2,FALSE),FALSE)/(VLOOKUP($A792,'[1]import graded seats course pivo'!$A:AI,HLOOKUP('[1]Course Totals'!K$4,'[1]import graded seats course pivo'!$1:$2,2,FALSE),FALSE))),"")</f>
        <v/>
      </c>
      <c r="L792" s="14" t="str">
        <f>IFERROR((VLOOKUP($A792,'[1]import success seats course'!$A:Z,HLOOKUP('[1]Course Totals'!L$4,'[1]import success seats course'!$1:$2,2,FALSE),FALSE)/(VLOOKUP($A792,'[1]import graded seats course pivo'!$A:AJ,HLOOKUP('[1]Course Totals'!L$4,'[1]import graded seats course pivo'!$1:$2,2,FALSE),FALSE))),"")</f>
        <v/>
      </c>
      <c r="M792" s="14" t="str">
        <f>IFERROR((VLOOKUP($A792,'[1]import success seats course'!$A:AA,HLOOKUP('[1]Course Totals'!M$4,'[1]import success seats course'!$1:$2,2,FALSE),FALSE)/(VLOOKUP($A792,'[1]import graded seats course pivo'!$A:AK,HLOOKUP('[1]Course Totals'!M$4,'[1]import graded seats course pivo'!$1:$2,2,FALSE),FALSE))),"")</f>
        <v/>
      </c>
      <c r="N792" s="14" t="str">
        <f>IFERROR((VLOOKUP($A792,'[1]import success seats course'!$A:AB,HLOOKUP('[1]Course Totals'!N$4,'[1]import success seats course'!$1:$2,2,FALSE),FALSE)/(VLOOKUP($A792,'[1]import graded seats course pivo'!$A:AL,HLOOKUP('[1]Course Totals'!N$4,'[1]import graded seats course pivo'!$1:$2,2,FALSE),FALSE))),"")</f>
        <v/>
      </c>
      <c r="O792" s="14" t="str">
        <f>IFERROR((VLOOKUP($A792,'[1]import success seats course'!$A:AC,HLOOKUP('[1]Course Totals'!O$4,'[1]import success seats course'!$1:$2,2,FALSE),FALSE)/(VLOOKUP($A792,'[1]import graded seats course pivo'!$A:AM,HLOOKUP('[1]Course Totals'!O$4,'[1]import graded seats course pivo'!$1:$2,2,FALSE),FALSE))),"")</f>
        <v/>
      </c>
      <c r="P792" s="14" t="str">
        <f>IFERROR((VLOOKUP($A792,'[1]import success seats course'!$A:AD,HLOOKUP('[1]Course Totals'!P$4,'[1]import success seats course'!$1:$2,2,FALSE),FALSE)/(VLOOKUP($A792,'[1]import graded seats course pivo'!$A:AN,HLOOKUP('[1]Course Totals'!P$4,'[1]import graded seats course pivo'!$1:$2,2,FALSE),FALSE))),"")</f>
        <v/>
      </c>
      <c r="Q792" s="14" t="str">
        <f>IFERROR((VLOOKUP($A792,'[1]import success seats course'!$A:AE,HLOOKUP('[1]Course Totals'!Q$4,'[1]import success seats course'!$1:$2,2,FALSE),FALSE)/(VLOOKUP($A792,'[1]import graded seats course pivo'!$A:AO,HLOOKUP('[1]Course Totals'!Q$4,'[1]import graded seats course pivo'!$1:$2,2,FALSE),FALSE))),"")</f>
        <v/>
      </c>
      <c r="R792" s="14" t="str">
        <f>IFERROR((VLOOKUP($A792,'[1]import success seats course'!$A:AF,HLOOKUP('[1]Course Totals'!R$4,'[1]import success seats course'!$1:$2,2,FALSE),FALSE)/(VLOOKUP($A792,'[1]import graded seats course pivo'!$A:AP,HLOOKUP('[1]Course Totals'!R$4,'[1]import graded seats course pivo'!$1:$2,2,FALSE),FALSE))),"")</f>
        <v/>
      </c>
      <c r="S792" s="14" t="str">
        <f>IFERROR((VLOOKUP($A792,'[1]import success seats course'!$A:AG,HLOOKUP('[1]Course Totals'!S$4,'[1]import success seats course'!$1:$2,2,FALSE),FALSE)/(VLOOKUP($A792,'[1]import graded seats course pivo'!$A:AQ,HLOOKUP('[1]Course Totals'!S$4,'[1]import graded seats course pivo'!$1:$2,2,FALSE),FALSE))),"")</f>
        <v/>
      </c>
      <c r="Z792" s="7"/>
      <c r="AA792" s="7"/>
      <c r="AB792" s="7"/>
      <c r="AC792" s="7"/>
    </row>
    <row r="793" spans="1:29" ht="15.75" customHeight="1" x14ac:dyDescent="0.25">
      <c r="A793" s="12" t="s">
        <v>636</v>
      </c>
      <c r="B793" s="14" t="str">
        <f>IFERROR((VLOOKUP($A793,'[1]import success seats course'!$A:P,HLOOKUP('[1]Course Totals'!B$4,'[1]import success seats course'!$1:$2,2,FALSE),FALSE)/(VLOOKUP($A793,'[1]import graded seats course pivo'!$A:Z,HLOOKUP('[1]Course Totals'!B$4,'[1]import graded seats course pivo'!$1:$2,2,FALSE),FALSE))),"")</f>
        <v/>
      </c>
      <c r="C793" s="14" t="str">
        <f>IFERROR((VLOOKUP($A793,'[1]import success seats course'!$A:Q,HLOOKUP('[1]Course Totals'!C$4,'[1]import success seats course'!$1:$2,2,FALSE),FALSE)/(VLOOKUP($A793,'[1]import graded seats course pivo'!$A:AA,HLOOKUP('[1]Course Totals'!C$4,'[1]import graded seats course pivo'!$1:$2,2,FALSE),FALSE))),"")</f>
        <v/>
      </c>
      <c r="D793" s="14">
        <f>IFERROR((VLOOKUP($A793,'[1]import success seats course'!$A:R,HLOOKUP('[1]Course Totals'!D$4,'[1]import success seats course'!$1:$2,2,FALSE),FALSE)/(VLOOKUP($A793,'[1]import graded seats course pivo'!$A:AB,HLOOKUP('[1]Course Totals'!D$4,'[1]import graded seats course pivo'!$1:$2,2,FALSE),FALSE))),"")</f>
        <v>1</v>
      </c>
      <c r="E793" s="14" t="str">
        <f>IFERROR((VLOOKUP($A793,'[1]import success seats course'!$A:S,HLOOKUP('[1]Course Totals'!E$4,'[1]import success seats course'!$1:$2,2,FALSE),FALSE)/(VLOOKUP($A793,'[1]import graded seats course pivo'!$A:AC,HLOOKUP('[1]Course Totals'!E$4,'[1]import graded seats course pivo'!$1:$2,2,FALSE),FALSE))),"")</f>
        <v/>
      </c>
      <c r="F793" s="14">
        <f>IFERROR((VLOOKUP($A793,'[1]import success seats course'!$A:T,HLOOKUP('[1]Course Totals'!F$4,'[1]import success seats course'!$1:$2,2,FALSE),FALSE)/(VLOOKUP($A793,'[1]import graded seats course pivo'!$A:AD,HLOOKUP('[1]Course Totals'!F$4,'[1]import graded seats course pivo'!$1:$2,2,FALSE),FALSE))),"")</f>
        <v>0.88888888888888884</v>
      </c>
      <c r="G793" s="14">
        <f>IFERROR((VLOOKUP($A793,'[1]import success seats course'!$A:U,HLOOKUP('[1]Course Totals'!G$4,'[1]import success seats course'!$1:$2,2,FALSE),FALSE)/(VLOOKUP($A793,'[1]import graded seats course pivo'!$A:AE,HLOOKUP('[1]Course Totals'!G$4,'[1]import graded seats course pivo'!$1:$2,2,FALSE),FALSE))),"")</f>
        <v>1</v>
      </c>
      <c r="H793" s="14" t="str">
        <f>IFERROR((VLOOKUP($A793,'[1]import success seats course'!$A:V,HLOOKUP('[1]Course Totals'!H$4,'[1]import success seats course'!$1:$2,2,FALSE),FALSE)/(VLOOKUP($A793,'[1]import graded seats course pivo'!$A:AF,HLOOKUP('[1]Course Totals'!H$4,'[1]import graded seats course pivo'!$1:$2,2,FALSE),FALSE))),"")</f>
        <v/>
      </c>
      <c r="I793" s="14">
        <f>IFERROR((VLOOKUP($A793,'[1]import success seats course'!$A:W,HLOOKUP('[1]Course Totals'!I$4,'[1]import success seats course'!$1:$2,2,FALSE),FALSE)/(VLOOKUP($A793,'[1]import graded seats course pivo'!$A:AG,HLOOKUP('[1]Course Totals'!I$4,'[1]import graded seats course pivo'!$1:$2,2,FALSE),FALSE))),"")</f>
        <v>1</v>
      </c>
      <c r="J793" s="14" t="str">
        <f>IFERROR((VLOOKUP($A793,'[1]import success seats course'!$A:X,HLOOKUP('[1]Course Totals'!J$4,'[1]import success seats course'!$1:$2,2,FALSE),FALSE)/(VLOOKUP($A793,'[1]import graded seats course pivo'!$A:AH,HLOOKUP('[1]Course Totals'!J$4,'[1]import graded seats course pivo'!$1:$2,2,FALSE),FALSE))),"")</f>
        <v/>
      </c>
      <c r="K793" s="14" t="str">
        <f>IFERROR((VLOOKUP($A793,'[1]import success seats course'!$A:Y,HLOOKUP('[1]Course Totals'!K$4,'[1]import success seats course'!$1:$2,2,FALSE),FALSE)/(VLOOKUP($A793,'[1]import graded seats course pivo'!$A:AI,HLOOKUP('[1]Course Totals'!K$4,'[1]import graded seats course pivo'!$1:$2,2,FALSE),FALSE))),"")</f>
        <v/>
      </c>
      <c r="L793" s="14" t="str">
        <f>IFERROR((VLOOKUP($A793,'[1]import success seats course'!$A:Z,HLOOKUP('[1]Course Totals'!L$4,'[1]import success seats course'!$1:$2,2,FALSE),FALSE)/(VLOOKUP($A793,'[1]import graded seats course pivo'!$A:AJ,HLOOKUP('[1]Course Totals'!L$4,'[1]import graded seats course pivo'!$1:$2,2,FALSE),FALSE))),"")</f>
        <v/>
      </c>
      <c r="M793" s="14" t="str">
        <f>IFERROR((VLOOKUP($A793,'[1]import success seats course'!$A:AA,HLOOKUP('[1]Course Totals'!M$4,'[1]import success seats course'!$1:$2,2,FALSE),FALSE)/(VLOOKUP($A793,'[1]import graded seats course pivo'!$A:AK,HLOOKUP('[1]Course Totals'!M$4,'[1]import graded seats course pivo'!$1:$2,2,FALSE),FALSE))),"")</f>
        <v/>
      </c>
      <c r="N793" s="14" t="str">
        <f>IFERROR((VLOOKUP($A793,'[1]import success seats course'!$A:AB,HLOOKUP('[1]Course Totals'!N$4,'[1]import success seats course'!$1:$2,2,FALSE),FALSE)/(VLOOKUP($A793,'[1]import graded seats course pivo'!$A:AL,HLOOKUP('[1]Course Totals'!N$4,'[1]import graded seats course pivo'!$1:$2,2,FALSE),FALSE))),"")</f>
        <v/>
      </c>
      <c r="O793" s="14" t="str">
        <f>IFERROR((VLOOKUP($A793,'[1]import success seats course'!$A:AC,HLOOKUP('[1]Course Totals'!O$4,'[1]import success seats course'!$1:$2,2,FALSE),FALSE)/(VLOOKUP($A793,'[1]import graded seats course pivo'!$A:AM,HLOOKUP('[1]Course Totals'!O$4,'[1]import graded seats course pivo'!$1:$2,2,FALSE),FALSE))),"")</f>
        <v/>
      </c>
      <c r="P793" s="14" t="str">
        <f>IFERROR((VLOOKUP($A793,'[1]import success seats course'!$A:AD,HLOOKUP('[1]Course Totals'!P$4,'[1]import success seats course'!$1:$2,2,FALSE),FALSE)/(VLOOKUP($A793,'[1]import graded seats course pivo'!$A:AN,HLOOKUP('[1]Course Totals'!P$4,'[1]import graded seats course pivo'!$1:$2,2,FALSE),FALSE))),"")</f>
        <v/>
      </c>
      <c r="Q793" s="14" t="str">
        <f>IFERROR((VLOOKUP($A793,'[1]import success seats course'!$A:AE,HLOOKUP('[1]Course Totals'!Q$4,'[1]import success seats course'!$1:$2,2,FALSE),FALSE)/(VLOOKUP($A793,'[1]import graded seats course pivo'!$A:AO,HLOOKUP('[1]Course Totals'!Q$4,'[1]import graded seats course pivo'!$1:$2,2,FALSE),FALSE))),"")</f>
        <v/>
      </c>
      <c r="R793" s="14" t="str">
        <f>IFERROR((VLOOKUP($A793,'[1]import success seats course'!$A:AF,HLOOKUP('[1]Course Totals'!R$4,'[1]import success seats course'!$1:$2,2,FALSE),FALSE)/(VLOOKUP($A793,'[1]import graded seats course pivo'!$A:AP,HLOOKUP('[1]Course Totals'!R$4,'[1]import graded seats course pivo'!$1:$2,2,FALSE),FALSE))),"")</f>
        <v/>
      </c>
      <c r="S793" s="14" t="str">
        <f>IFERROR((VLOOKUP($A793,'[1]import success seats course'!$A:AG,HLOOKUP('[1]Course Totals'!S$4,'[1]import success seats course'!$1:$2,2,FALSE),FALSE)/(VLOOKUP($A793,'[1]import graded seats course pivo'!$A:AQ,HLOOKUP('[1]Course Totals'!S$4,'[1]import graded seats course pivo'!$1:$2,2,FALSE),FALSE))),"")</f>
        <v/>
      </c>
      <c r="Z793" s="7"/>
      <c r="AA793" s="7"/>
      <c r="AB793" s="7"/>
      <c r="AC793" s="7"/>
    </row>
    <row r="794" spans="1:29" ht="15.75" customHeight="1" x14ac:dyDescent="0.25">
      <c r="A794" s="12" t="s">
        <v>637</v>
      </c>
      <c r="B794" s="14" t="str">
        <f>IFERROR((VLOOKUP($A794,'[1]import success seats course'!$A:P,HLOOKUP('[1]Course Totals'!B$4,'[1]import success seats course'!$1:$2,2,FALSE),FALSE)/(VLOOKUP($A794,'[1]import graded seats course pivo'!$A:Z,HLOOKUP('[1]Course Totals'!B$4,'[1]import graded seats course pivo'!$1:$2,2,FALSE),FALSE))),"")</f>
        <v/>
      </c>
      <c r="C794" s="14" t="str">
        <f>IFERROR((VLOOKUP($A794,'[1]import success seats course'!$A:Q,HLOOKUP('[1]Course Totals'!C$4,'[1]import success seats course'!$1:$2,2,FALSE),FALSE)/(VLOOKUP($A794,'[1]import graded seats course pivo'!$A:AA,HLOOKUP('[1]Course Totals'!C$4,'[1]import graded seats course pivo'!$1:$2,2,FALSE),FALSE))),"")</f>
        <v/>
      </c>
      <c r="D794" s="14">
        <f>IFERROR((VLOOKUP($A794,'[1]import success seats course'!$A:R,HLOOKUP('[1]Course Totals'!D$4,'[1]import success seats course'!$1:$2,2,FALSE),FALSE)/(VLOOKUP($A794,'[1]import graded seats course pivo'!$A:AB,HLOOKUP('[1]Course Totals'!D$4,'[1]import graded seats course pivo'!$1:$2,2,FALSE),FALSE))),"")</f>
        <v>1</v>
      </c>
      <c r="E794" s="14" t="str">
        <f>IFERROR((VLOOKUP($A794,'[1]import success seats course'!$A:S,HLOOKUP('[1]Course Totals'!E$4,'[1]import success seats course'!$1:$2,2,FALSE),FALSE)/(VLOOKUP($A794,'[1]import graded seats course pivo'!$A:AC,HLOOKUP('[1]Course Totals'!E$4,'[1]import graded seats course pivo'!$1:$2,2,FALSE),FALSE))),"")</f>
        <v/>
      </c>
      <c r="F794" s="14">
        <f>IFERROR((VLOOKUP($A794,'[1]import success seats course'!$A:T,HLOOKUP('[1]Course Totals'!F$4,'[1]import success seats course'!$1:$2,2,FALSE),FALSE)/(VLOOKUP($A794,'[1]import graded seats course pivo'!$A:AD,HLOOKUP('[1]Course Totals'!F$4,'[1]import graded seats course pivo'!$1:$2,2,FALSE),FALSE))),"")</f>
        <v>0</v>
      </c>
      <c r="G794" s="14">
        <f>IFERROR((VLOOKUP($A794,'[1]import success seats course'!$A:U,HLOOKUP('[1]Course Totals'!G$4,'[1]import success seats course'!$1:$2,2,FALSE),FALSE)/(VLOOKUP($A794,'[1]import graded seats course pivo'!$A:AE,HLOOKUP('[1]Course Totals'!G$4,'[1]import graded seats course pivo'!$1:$2,2,FALSE),FALSE))),"")</f>
        <v>0.33333333333333331</v>
      </c>
      <c r="H794" s="14" t="str">
        <f>IFERROR((VLOOKUP($A794,'[1]import success seats course'!$A:V,HLOOKUP('[1]Course Totals'!H$4,'[1]import success seats course'!$1:$2,2,FALSE),FALSE)/(VLOOKUP($A794,'[1]import graded seats course pivo'!$A:AF,HLOOKUP('[1]Course Totals'!H$4,'[1]import graded seats course pivo'!$1:$2,2,FALSE),FALSE))),"")</f>
        <v/>
      </c>
      <c r="I794" s="14" t="str">
        <f>IFERROR((VLOOKUP($A794,'[1]import success seats course'!$A:W,HLOOKUP('[1]Course Totals'!I$4,'[1]import success seats course'!$1:$2,2,FALSE),FALSE)/(VLOOKUP($A794,'[1]import graded seats course pivo'!$A:AG,HLOOKUP('[1]Course Totals'!I$4,'[1]import graded seats course pivo'!$1:$2,2,FALSE),FALSE))),"")</f>
        <v/>
      </c>
      <c r="J794" s="14" t="str">
        <f>IFERROR((VLOOKUP($A794,'[1]import success seats course'!$A:X,HLOOKUP('[1]Course Totals'!J$4,'[1]import success seats course'!$1:$2,2,FALSE),FALSE)/(VLOOKUP($A794,'[1]import graded seats course pivo'!$A:AH,HLOOKUP('[1]Course Totals'!J$4,'[1]import graded seats course pivo'!$1:$2,2,FALSE),FALSE))),"")</f>
        <v/>
      </c>
      <c r="K794" s="14" t="str">
        <f>IFERROR((VLOOKUP($A794,'[1]import success seats course'!$A:Y,HLOOKUP('[1]Course Totals'!K$4,'[1]import success seats course'!$1:$2,2,FALSE),FALSE)/(VLOOKUP($A794,'[1]import graded seats course pivo'!$A:AI,HLOOKUP('[1]Course Totals'!K$4,'[1]import graded seats course pivo'!$1:$2,2,FALSE),FALSE))),"")</f>
        <v/>
      </c>
      <c r="L794" s="14" t="str">
        <f>IFERROR((VLOOKUP($A794,'[1]import success seats course'!$A:Z,HLOOKUP('[1]Course Totals'!L$4,'[1]import success seats course'!$1:$2,2,FALSE),FALSE)/(VLOOKUP($A794,'[1]import graded seats course pivo'!$A:AJ,HLOOKUP('[1]Course Totals'!L$4,'[1]import graded seats course pivo'!$1:$2,2,FALSE),FALSE))),"")</f>
        <v/>
      </c>
      <c r="M794" s="14" t="str">
        <f>IFERROR((VLOOKUP($A794,'[1]import success seats course'!$A:AA,HLOOKUP('[1]Course Totals'!M$4,'[1]import success seats course'!$1:$2,2,FALSE),FALSE)/(VLOOKUP($A794,'[1]import graded seats course pivo'!$A:AK,HLOOKUP('[1]Course Totals'!M$4,'[1]import graded seats course pivo'!$1:$2,2,FALSE),FALSE))),"")</f>
        <v/>
      </c>
      <c r="N794" s="14" t="str">
        <f>IFERROR((VLOOKUP($A794,'[1]import success seats course'!$A:AB,HLOOKUP('[1]Course Totals'!N$4,'[1]import success seats course'!$1:$2,2,FALSE),FALSE)/(VLOOKUP($A794,'[1]import graded seats course pivo'!$A:AL,HLOOKUP('[1]Course Totals'!N$4,'[1]import graded seats course pivo'!$1:$2,2,FALSE),FALSE))),"")</f>
        <v/>
      </c>
      <c r="O794" s="14" t="str">
        <f>IFERROR((VLOOKUP($A794,'[1]import success seats course'!$A:AC,HLOOKUP('[1]Course Totals'!O$4,'[1]import success seats course'!$1:$2,2,FALSE),FALSE)/(VLOOKUP($A794,'[1]import graded seats course pivo'!$A:AM,HLOOKUP('[1]Course Totals'!O$4,'[1]import graded seats course pivo'!$1:$2,2,FALSE),FALSE))),"")</f>
        <v/>
      </c>
      <c r="P794" s="14" t="str">
        <f>IFERROR((VLOOKUP($A794,'[1]import success seats course'!$A:AD,HLOOKUP('[1]Course Totals'!P$4,'[1]import success seats course'!$1:$2,2,FALSE),FALSE)/(VLOOKUP($A794,'[1]import graded seats course pivo'!$A:AN,HLOOKUP('[1]Course Totals'!P$4,'[1]import graded seats course pivo'!$1:$2,2,FALSE),FALSE))),"")</f>
        <v/>
      </c>
      <c r="Q794" s="14" t="str">
        <f>IFERROR((VLOOKUP($A794,'[1]import success seats course'!$A:AE,HLOOKUP('[1]Course Totals'!Q$4,'[1]import success seats course'!$1:$2,2,FALSE),FALSE)/(VLOOKUP($A794,'[1]import graded seats course pivo'!$A:AO,HLOOKUP('[1]Course Totals'!Q$4,'[1]import graded seats course pivo'!$1:$2,2,FALSE),FALSE))),"")</f>
        <v/>
      </c>
      <c r="R794" s="14" t="str">
        <f>IFERROR((VLOOKUP($A794,'[1]import success seats course'!$A:AF,HLOOKUP('[1]Course Totals'!R$4,'[1]import success seats course'!$1:$2,2,FALSE),FALSE)/(VLOOKUP($A794,'[1]import graded seats course pivo'!$A:AP,HLOOKUP('[1]Course Totals'!R$4,'[1]import graded seats course pivo'!$1:$2,2,FALSE),FALSE))),"")</f>
        <v/>
      </c>
      <c r="S794" s="14" t="str">
        <f>IFERROR((VLOOKUP($A794,'[1]import success seats course'!$A:AG,HLOOKUP('[1]Course Totals'!S$4,'[1]import success seats course'!$1:$2,2,FALSE),FALSE)/(VLOOKUP($A794,'[1]import graded seats course pivo'!$A:AQ,HLOOKUP('[1]Course Totals'!S$4,'[1]import graded seats course pivo'!$1:$2,2,FALSE),FALSE))),"")</f>
        <v/>
      </c>
      <c r="Z794" s="7"/>
      <c r="AA794" s="7"/>
      <c r="AB794" s="7"/>
      <c r="AC794" s="7"/>
    </row>
    <row r="795" spans="1:29" ht="15.75" customHeight="1" x14ac:dyDescent="0.25">
      <c r="A795" s="12" t="s">
        <v>929</v>
      </c>
      <c r="B795" s="14" t="str">
        <f>IFERROR((VLOOKUP($A795,'[1]import success seats course'!$A:P,HLOOKUP('[1]Course Totals'!B$4,'[1]import success seats course'!$1:$2,2,FALSE),FALSE)/(VLOOKUP($A795,'[1]import graded seats course pivo'!$A:Z,HLOOKUP('[1]Course Totals'!B$4,'[1]import graded seats course pivo'!$1:$2,2,FALSE),FALSE))),"")</f>
        <v/>
      </c>
      <c r="C795" s="14" t="str">
        <f>IFERROR((VLOOKUP($A795,'[1]import success seats course'!$A:Q,HLOOKUP('[1]Course Totals'!C$4,'[1]import success seats course'!$1:$2,2,FALSE),FALSE)/(VLOOKUP($A795,'[1]import graded seats course pivo'!$A:AA,HLOOKUP('[1]Course Totals'!C$4,'[1]import graded seats course pivo'!$1:$2,2,FALSE),FALSE))),"")</f>
        <v/>
      </c>
      <c r="D795" s="14">
        <f>IFERROR((VLOOKUP($A795,'[1]import success seats course'!$A:R,HLOOKUP('[1]Course Totals'!D$4,'[1]import success seats course'!$1:$2,2,FALSE),FALSE)/(VLOOKUP($A795,'[1]import graded seats course pivo'!$A:AB,HLOOKUP('[1]Course Totals'!D$4,'[1]import graded seats course pivo'!$1:$2,2,FALSE),FALSE))),"")</f>
        <v>0.93333333333333335</v>
      </c>
      <c r="E795" s="14" t="str">
        <f>IFERROR((VLOOKUP($A795,'[1]import success seats course'!$A:S,HLOOKUP('[1]Course Totals'!E$4,'[1]import success seats course'!$1:$2,2,FALSE),FALSE)/(VLOOKUP($A795,'[1]import graded seats course pivo'!$A:AC,HLOOKUP('[1]Course Totals'!E$4,'[1]import graded seats course pivo'!$1:$2,2,FALSE),FALSE))),"")</f>
        <v/>
      </c>
      <c r="F795" s="14" t="str">
        <f>IFERROR((VLOOKUP($A795,'[1]import success seats course'!$A:T,HLOOKUP('[1]Course Totals'!F$4,'[1]import success seats course'!$1:$2,2,FALSE),FALSE)/(VLOOKUP($A795,'[1]import graded seats course pivo'!$A:AD,HLOOKUP('[1]Course Totals'!F$4,'[1]import graded seats course pivo'!$1:$2,2,FALSE),FALSE))),"")</f>
        <v/>
      </c>
      <c r="G795" s="14" t="str">
        <f>IFERROR((VLOOKUP($A795,'[1]import success seats course'!$A:U,HLOOKUP('[1]Course Totals'!G$4,'[1]import success seats course'!$1:$2,2,FALSE),FALSE)/(VLOOKUP($A795,'[1]import graded seats course pivo'!$A:AE,HLOOKUP('[1]Course Totals'!G$4,'[1]import graded seats course pivo'!$1:$2,2,FALSE),FALSE))),"")</f>
        <v/>
      </c>
      <c r="H795" s="14" t="str">
        <f>IFERROR((VLOOKUP($A795,'[1]import success seats course'!$A:V,HLOOKUP('[1]Course Totals'!H$4,'[1]import success seats course'!$1:$2,2,FALSE),FALSE)/(VLOOKUP($A795,'[1]import graded seats course pivo'!$A:AF,HLOOKUP('[1]Course Totals'!H$4,'[1]import graded seats course pivo'!$1:$2,2,FALSE),FALSE))),"")</f>
        <v/>
      </c>
      <c r="I795" s="14" t="str">
        <f>IFERROR((VLOOKUP($A795,'[1]import success seats course'!$A:W,HLOOKUP('[1]Course Totals'!I$4,'[1]import success seats course'!$1:$2,2,FALSE),FALSE)/(VLOOKUP($A795,'[1]import graded seats course pivo'!$A:AG,HLOOKUP('[1]Course Totals'!I$4,'[1]import graded seats course pivo'!$1:$2,2,FALSE),FALSE))),"")</f>
        <v/>
      </c>
      <c r="J795" s="14" t="str">
        <f>IFERROR((VLOOKUP($A795,'[1]import success seats course'!$A:X,HLOOKUP('[1]Course Totals'!J$4,'[1]import success seats course'!$1:$2,2,FALSE),FALSE)/(VLOOKUP($A795,'[1]import graded seats course pivo'!$A:AH,HLOOKUP('[1]Course Totals'!J$4,'[1]import graded seats course pivo'!$1:$2,2,FALSE),FALSE))),"")</f>
        <v/>
      </c>
      <c r="K795" s="14" t="str">
        <f>IFERROR((VLOOKUP($A795,'[1]import success seats course'!$A:Y,HLOOKUP('[1]Course Totals'!K$4,'[1]import success seats course'!$1:$2,2,FALSE),FALSE)/(VLOOKUP($A795,'[1]import graded seats course pivo'!$A:AI,HLOOKUP('[1]Course Totals'!K$4,'[1]import graded seats course pivo'!$1:$2,2,FALSE),FALSE))),"")</f>
        <v/>
      </c>
      <c r="L795" s="14" t="str">
        <f>IFERROR((VLOOKUP($A795,'[1]import success seats course'!$A:Z,HLOOKUP('[1]Course Totals'!L$4,'[1]import success seats course'!$1:$2,2,FALSE),FALSE)/(VLOOKUP($A795,'[1]import graded seats course pivo'!$A:AJ,HLOOKUP('[1]Course Totals'!L$4,'[1]import graded seats course pivo'!$1:$2,2,FALSE),FALSE))),"")</f>
        <v/>
      </c>
      <c r="M795" s="14" t="str">
        <f>IFERROR((VLOOKUP($A795,'[1]import success seats course'!$A:AA,HLOOKUP('[1]Course Totals'!M$4,'[1]import success seats course'!$1:$2,2,FALSE),FALSE)/(VLOOKUP($A795,'[1]import graded seats course pivo'!$A:AK,HLOOKUP('[1]Course Totals'!M$4,'[1]import graded seats course pivo'!$1:$2,2,FALSE),FALSE))),"")</f>
        <v/>
      </c>
      <c r="N795" s="14" t="str">
        <f>IFERROR((VLOOKUP($A795,'[1]import success seats course'!$A:AB,HLOOKUP('[1]Course Totals'!N$4,'[1]import success seats course'!$1:$2,2,FALSE),FALSE)/(VLOOKUP($A795,'[1]import graded seats course pivo'!$A:AL,HLOOKUP('[1]Course Totals'!N$4,'[1]import graded seats course pivo'!$1:$2,2,FALSE),FALSE))),"")</f>
        <v/>
      </c>
      <c r="O795" s="14" t="str">
        <f>IFERROR((VLOOKUP($A795,'[1]import success seats course'!$A:AC,HLOOKUP('[1]Course Totals'!O$4,'[1]import success seats course'!$1:$2,2,FALSE),FALSE)/(VLOOKUP($A795,'[1]import graded seats course pivo'!$A:AM,HLOOKUP('[1]Course Totals'!O$4,'[1]import graded seats course pivo'!$1:$2,2,FALSE),FALSE))),"")</f>
        <v/>
      </c>
      <c r="P795" s="14" t="str">
        <f>IFERROR((VLOOKUP($A795,'[1]import success seats course'!$A:AD,HLOOKUP('[1]Course Totals'!P$4,'[1]import success seats course'!$1:$2,2,FALSE),FALSE)/(VLOOKUP($A795,'[1]import graded seats course pivo'!$A:AN,HLOOKUP('[1]Course Totals'!P$4,'[1]import graded seats course pivo'!$1:$2,2,FALSE),FALSE))),"")</f>
        <v/>
      </c>
      <c r="Q795" s="14" t="str">
        <f>IFERROR((VLOOKUP($A795,'[1]import success seats course'!$A:AE,HLOOKUP('[1]Course Totals'!Q$4,'[1]import success seats course'!$1:$2,2,FALSE),FALSE)/(VLOOKUP($A795,'[1]import graded seats course pivo'!$A:AO,HLOOKUP('[1]Course Totals'!Q$4,'[1]import graded seats course pivo'!$1:$2,2,FALSE),FALSE))),"")</f>
        <v/>
      </c>
      <c r="R795" s="14" t="str">
        <f>IFERROR((VLOOKUP($A795,'[1]import success seats course'!$A:AF,HLOOKUP('[1]Course Totals'!R$4,'[1]import success seats course'!$1:$2,2,FALSE),FALSE)/(VLOOKUP($A795,'[1]import graded seats course pivo'!$A:AP,HLOOKUP('[1]Course Totals'!R$4,'[1]import graded seats course pivo'!$1:$2,2,FALSE),FALSE))),"")</f>
        <v/>
      </c>
      <c r="S795" s="14" t="str">
        <f>IFERROR((VLOOKUP($A795,'[1]import success seats course'!$A:AG,HLOOKUP('[1]Course Totals'!S$4,'[1]import success seats course'!$1:$2,2,FALSE),FALSE)/(VLOOKUP($A795,'[1]import graded seats course pivo'!$A:AQ,HLOOKUP('[1]Course Totals'!S$4,'[1]import graded seats course pivo'!$1:$2,2,FALSE),FALSE))),"")</f>
        <v/>
      </c>
      <c r="Z795" s="7"/>
      <c r="AA795" s="7"/>
      <c r="AB795" s="7"/>
      <c r="AC795" s="7"/>
    </row>
    <row r="796" spans="1:29" ht="15.75" hidden="1" customHeight="1" x14ac:dyDescent="0.25">
      <c r="A796" s="12" t="s">
        <v>368</v>
      </c>
      <c r="B796" s="14" t="str">
        <f>IFERROR((VLOOKUP($A796,'[1]import success seats course'!$A:P,HLOOKUP('[1]Course Totals'!B$4,'[1]import success seats course'!$1:$2,2,FALSE),FALSE)/(VLOOKUP($A796,'[1]import graded seats course pivo'!$A:Z,HLOOKUP('[1]Course Totals'!B$4,'[1]import graded seats course pivo'!$1:$2,2,FALSE),FALSE))),"")</f>
        <v/>
      </c>
      <c r="C796" s="14" t="str">
        <f>IFERROR((VLOOKUP($A796,'[1]import success seats course'!$A:Q,HLOOKUP('[1]Course Totals'!C$4,'[1]import success seats course'!$1:$2,2,FALSE),FALSE)/(VLOOKUP($A796,'[1]import graded seats course pivo'!$A:AA,HLOOKUP('[1]Course Totals'!C$4,'[1]import graded seats course pivo'!$1:$2,2,FALSE),FALSE))),"")</f>
        <v/>
      </c>
      <c r="D796" s="14" t="str">
        <f>IFERROR((VLOOKUP($A796,'[1]import success seats course'!$A:R,HLOOKUP('[1]Course Totals'!D$4,'[1]import success seats course'!$1:$2,2,FALSE),FALSE)/(VLOOKUP($A796,'[1]import graded seats course pivo'!$A:AB,HLOOKUP('[1]Course Totals'!D$4,'[1]import graded seats course pivo'!$1:$2,2,FALSE),FALSE))),"")</f>
        <v/>
      </c>
      <c r="E796" s="14" t="str">
        <f>IFERROR((VLOOKUP($A796,'[1]import success seats course'!$A:S,HLOOKUP('[1]Course Totals'!E$4,'[1]import success seats course'!$1:$2,2,FALSE),FALSE)/(VLOOKUP($A796,'[1]import graded seats course pivo'!$A:AC,HLOOKUP('[1]Course Totals'!E$4,'[1]import graded seats course pivo'!$1:$2,2,FALSE),FALSE))),"")</f>
        <v/>
      </c>
      <c r="F796" s="14" t="str">
        <f>IFERROR((VLOOKUP($A796,'[1]import success seats course'!$A:T,HLOOKUP('[1]Course Totals'!F$4,'[1]import success seats course'!$1:$2,2,FALSE),FALSE)/(VLOOKUP($A796,'[1]import graded seats course pivo'!$A:AD,HLOOKUP('[1]Course Totals'!F$4,'[1]import graded seats course pivo'!$1:$2,2,FALSE),FALSE))),"")</f>
        <v/>
      </c>
      <c r="G796" s="14" t="str">
        <f>IFERROR((VLOOKUP($A796,'[1]import success seats course'!$A:U,HLOOKUP('[1]Course Totals'!G$4,'[1]import success seats course'!$1:$2,2,FALSE),FALSE)/(VLOOKUP($A796,'[1]import graded seats course pivo'!$A:AE,HLOOKUP('[1]Course Totals'!G$4,'[1]import graded seats course pivo'!$1:$2,2,FALSE),FALSE))),"")</f>
        <v/>
      </c>
      <c r="H796" s="14" t="str">
        <f>IFERROR((VLOOKUP($A796,'[1]import success seats course'!$A:V,HLOOKUP('[1]Course Totals'!H$4,'[1]import success seats course'!$1:$2,2,FALSE),FALSE)/(VLOOKUP($A796,'[1]import graded seats course pivo'!$A:AF,HLOOKUP('[1]Course Totals'!H$4,'[1]import graded seats course pivo'!$1:$2,2,FALSE),FALSE))),"")</f>
        <v/>
      </c>
      <c r="I796" s="14" t="str">
        <f>IFERROR((VLOOKUP($A796,'[1]import success seats course'!$A:W,HLOOKUP('[1]Course Totals'!I$4,'[1]import success seats course'!$1:$2,2,FALSE),FALSE)/(VLOOKUP($A796,'[1]import graded seats course pivo'!$A:AG,HLOOKUP('[1]Course Totals'!I$4,'[1]import graded seats course pivo'!$1:$2,2,FALSE),FALSE))),"")</f>
        <v/>
      </c>
      <c r="J796" s="14" t="str">
        <f>IFERROR((VLOOKUP($A796,'[1]import success seats course'!$A:X,HLOOKUP('[1]Course Totals'!J$4,'[1]import success seats course'!$1:$2,2,FALSE),FALSE)/(VLOOKUP($A796,'[1]import graded seats course pivo'!$A:AH,HLOOKUP('[1]Course Totals'!J$4,'[1]import graded seats course pivo'!$1:$2,2,FALSE),FALSE))),"")</f>
        <v/>
      </c>
      <c r="K796" s="14" t="str">
        <f>IFERROR((VLOOKUP($A796,'[1]import success seats course'!$A:Y,HLOOKUP('[1]Course Totals'!K$4,'[1]import success seats course'!$1:$2,2,FALSE),FALSE)/(VLOOKUP($A796,'[1]import graded seats course pivo'!$A:AI,HLOOKUP('[1]Course Totals'!K$4,'[1]import graded seats course pivo'!$1:$2,2,FALSE),FALSE))),"")</f>
        <v/>
      </c>
      <c r="L796" s="14" t="str">
        <f>IFERROR((VLOOKUP($A796,'[1]import success seats course'!$A:Z,HLOOKUP('[1]Course Totals'!L$4,'[1]import success seats course'!$1:$2,2,FALSE),FALSE)/(VLOOKUP($A796,'[1]import graded seats course pivo'!$A:AJ,HLOOKUP('[1]Course Totals'!L$4,'[1]import graded seats course pivo'!$1:$2,2,FALSE),FALSE))),"")</f>
        <v/>
      </c>
      <c r="M796" s="14" t="str">
        <f>IFERROR((VLOOKUP($A796,'[1]import success seats course'!$A:AA,HLOOKUP('[1]Course Totals'!M$4,'[1]import success seats course'!$1:$2,2,FALSE),FALSE)/(VLOOKUP($A796,'[1]import graded seats course pivo'!$A:AK,HLOOKUP('[1]Course Totals'!M$4,'[1]import graded seats course pivo'!$1:$2,2,FALSE),FALSE))),"")</f>
        <v/>
      </c>
      <c r="N796" s="14" t="str">
        <f>IFERROR((VLOOKUP($A796,'[1]import success seats course'!$A:AB,HLOOKUP('[1]Course Totals'!N$4,'[1]import success seats course'!$1:$2,2,FALSE),FALSE)/(VLOOKUP($A796,'[1]import graded seats course pivo'!$A:AL,HLOOKUP('[1]Course Totals'!N$4,'[1]import graded seats course pivo'!$1:$2,2,FALSE),FALSE))),"")</f>
        <v/>
      </c>
      <c r="O796" s="14" t="str">
        <f>IFERROR((VLOOKUP($A796,'[1]import success seats course'!$A:AC,HLOOKUP('[1]Course Totals'!O$4,'[1]import success seats course'!$1:$2,2,FALSE),FALSE)/(VLOOKUP($A796,'[1]import graded seats course pivo'!$A:AM,HLOOKUP('[1]Course Totals'!O$4,'[1]import graded seats course pivo'!$1:$2,2,FALSE),FALSE))),"")</f>
        <v/>
      </c>
      <c r="P796" s="14" t="str">
        <f>IFERROR((VLOOKUP($A796,'[1]import success seats course'!$A:AD,HLOOKUP('[1]Course Totals'!P$4,'[1]import success seats course'!$1:$2,2,FALSE),FALSE)/(VLOOKUP($A796,'[1]import graded seats course pivo'!$A:AN,HLOOKUP('[1]Course Totals'!P$4,'[1]import graded seats course pivo'!$1:$2,2,FALSE),FALSE))),"")</f>
        <v/>
      </c>
      <c r="Q796" s="14" t="str">
        <f>IFERROR((VLOOKUP($A796,'[1]import success seats course'!$A:AE,HLOOKUP('[1]Course Totals'!Q$4,'[1]import success seats course'!$1:$2,2,FALSE),FALSE)/(VLOOKUP($A796,'[1]import graded seats course pivo'!$A:AO,HLOOKUP('[1]Course Totals'!Q$4,'[1]import graded seats course pivo'!$1:$2,2,FALSE),FALSE))),"")</f>
        <v/>
      </c>
      <c r="R796" s="14" t="str">
        <f>IFERROR((VLOOKUP($A796,'[1]import success seats course'!$A:AF,HLOOKUP('[1]Course Totals'!R$4,'[1]import success seats course'!$1:$2,2,FALSE),FALSE)/(VLOOKUP($A796,'[1]import graded seats course pivo'!$A:AP,HLOOKUP('[1]Course Totals'!R$4,'[1]import graded seats course pivo'!$1:$2,2,FALSE),FALSE))),"")</f>
        <v/>
      </c>
      <c r="S796" s="14" t="str">
        <f>IFERROR((VLOOKUP($A796,'[1]import success seats course'!$A:AG,HLOOKUP('[1]Course Totals'!S$4,'[1]import success seats course'!$1:$2,2,FALSE),FALSE)/(VLOOKUP($A796,'[1]import graded seats course pivo'!$A:AQ,HLOOKUP('[1]Course Totals'!S$4,'[1]import graded seats course pivo'!$1:$2,2,FALSE),FALSE))),"")</f>
        <v/>
      </c>
      <c r="Z796" s="7"/>
      <c r="AA796" s="7"/>
      <c r="AB796" s="7"/>
      <c r="AC796" s="7"/>
    </row>
    <row r="797" spans="1:29" ht="15.75" customHeight="1" x14ac:dyDescent="0.25">
      <c r="A797" s="12" t="s">
        <v>746</v>
      </c>
      <c r="B797" s="14" t="str">
        <f>IFERROR((VLOOKUP($A797,'[1]import success seats course'!$A:P,HLOOKUP('[1]Course Totals'!B$4,'[1]import success seats course'!$1:$2,2,FALSE),FALSE)/(VLOOKUP($A797,'[1]import graded seats course pivo'!$A:Z,HLOOKUP('[1]Course Totals'!B$4,'[1]import graded seats course pivo'!$1:$2,2,FALSE),FALSE))),"")</f>
        <v/>
      </c>
      <c r="C797" s="14" t="str">
        <f>IFERROR((VLOOKUP($A797,'[1]import success seats course'!$A:Q,HLOOKUP('[1]Course Totals'!C$4,'[1]import success seats course'!$1:$2,2,FALSE),FALSE)/(VLOOKUP($A797,'[1]import graded seats course pivo'!$A:AA,HLOOKUP('[1]Course Totals'!C$4,'[1]import graded seats course pivo'!$1:$2,2,FALSE),FALSE))),"")</f>
        <v/>
      </c>
      <c r="D797" s="14" t="str">
        <f>IFERROR((VLOOKUP($A797,'[1]import success seats course'!$A:R,HLOOKUP('[1]Course Totals'!D$4,'[1]import success seats course'!$1:$2,2,FALSE),FALSE)/(VLOOKUP($A797,'[1]import graded seats course pivo'!$A:AB,HLOOKUP('[1]Course Totals'!D$4,'[1]import graded seats course pivo'!$1:$2,2,FALSE),FALSE))),"")</f>
        <v/>
      </c>
      <c r="E797" s="14" t="str">
        <f>IFERROR((VLOOKUP($A797,'[1]import success seats course'!$A:S,HLOOKUP('[1]Course Totals'!E$4,'[1]import success seats course'!$1:$2,2,FALSE),FALSE)/(VLOOKUP($A797,'[1]import graded seats course pivo'!$A:AC,HLOOKUP('[1]Course Totals'!E$4,'[1]import graded seats course pivo'!$1:$2,2,FALSE),FALSE))),"")</f>
        <v/>
      </c>
      <c r="F797" s="14" t="str">
        <f>IFERROR((VLOOKUP($A797,'[1]import success seats course'!$A:T,HLOOKUP('[1]Course Totals'!F$4,'[1]import success seats course'!$1:$2,2,FALSE),FALSE)/(VLOOKUP($A797,'[1]import graded seats course pivo'!$A:AD,HLOOKUP('[1]Course Totals'!F$4,'[1]import graded seats course pivo'!$1:$2,2,FALSE),FALSE))),"")</f>
        <v/>
      </c>
      <c r="G797" s="14" t="str">
        <f>IFERROR((VLOOKUP($A797,'[1]import success seats course'!$A:U,HLOOKUP('[1]Course Totals'!G$4,'[1]import success seats course'!$1:$2,2,FALSE),FALSE)/(VLOOKUP($A797,'[1]import graded seats course pivo'!$A:AE,HLOOKUP('[1]Course Totals'!G$4,'[1]import graded seats course pivo'!$1:$2,2,FALSE),FALSE))),"")</f>
        <v/>
      </c>
      <c r="H797" s="14" t="str">
        <f>IFERROR((VLOOKUP($A797,'[1]import success seats course'!$A:V,HLOOKUP('[1]Course Totals'!H$4,'[1]import success seats course'!$1:$2,2,FALSE),FALSE)/(VLOOKUP($A797,'[1]import graded seats course pivo'!$A:AF,HLOOKUP('[1]Course Totals'!H$4,'[1]import graded seats course pivo'!$1:$2,2,FALSE),FALSE))),"")</f>
        <v/>
      </c>
      <c r="I797" s="14">
        <f>IFERROR((VLOOKUP($A797,'[1]import success seats course'!$A:W,HLOOKUP('[1]Course Totals'!I$4,'[1]import success seats course'!$1:$2,2,FALSE),FALSE)/(VLOOKUP($A797,'[1]import graded seats course pivo'!$A:AG,HLOOKUP('[1]Course Totals'!I$4,'[1]import graded seats course pivo'!$1:$2,2,FALSE),FALSE))),"")</f>
        <v>1</v>
      </c>
      <c r="J797" s="14">
        <f>IFERROR((VLOOKUP($A797,'[1]import success seats course'!$A:X,HLOOKUP('[1]Course Totals'!J$4,'[1]import success seats course'!$1:$2,2,FALSE),FALSE)/(VLOOKUP($A797,'[1]import graded seats course pivo'!$A:AH,HLOOKUP('[1]Course Totals'!J$4,'[1]import graded seats course pivo'!$1:$2,2,FALSE),FALSE))),"")</f>
        <v>1</v>
      </c>
      <c r="K797" s="14" t="str">
        <f>IFERROR((VLOOKUP($A797,'[1]import success seats course'!$A:Y,HLOOKUP('[1]Course Totals'!K$4,'[1]import success seats course'!$1:$2,2,FALSE),FALSE)/(VLOOKUP($A797,'[1]import graded seats course pivo'!$A:AI,HLOOKUP('[1]Course Totals'!K$4,'[1]import graded seats course pivo'!$1:$2,2,FALSE),FALSE))),"")</f>
        <v/>
      </c>
      <c r="L797" s="14" t="str">
        <f>IFERROR((VLOOKUP($A797,'[1]import success seats course'!$A:Z,HLOOKUP('[1]Course Totals'!L$4,'[1]import success seats course'!$1:$2,2,FALSE),FALSE)/(VLOOKUP($A797,'[1]import graded seats course pivo'!$A:AJ,HLOOKUP('[1]Course Totals'!L$4,'[1]import graded seats course pivo'!$1:$2,2,FALSE),FALSE))),"")</f>
        <v/>
      </c>
      <c r="M797" s="14" t="str">
        <f>IFERROR((VLOOKUP($A797,'[1]import success seats course'!$A:AA,HLOOKUP('[1]Course Totals'!M$4,'[1]import success seats course'!$1:$2,2,FALSE),FALSE)/(VLOOKUP($A797,'[1]import graded seats course pivo'!$A:AK,HLOOKUP('[1]Course Totals'!M$4,'[1]import graded seats course pivo'!$1:$2,2,FALSE),FALSE))),"")</f>
        <v/>
      </c>
      <c r="N797" s="14" t="str">
        <f>IFERROR((VLOOKUP($A797,'[1]import success seats course'!$A:AB,HLOOKUP('[1]Course Totals'!N$4,'[1]import success seats course'!$1:$2,2,FALSE),FALSE)/(VLOOKUP($A797,'[1]import graded seats course pivo'!$A:AL,HLOOKUP('[1]Course Totals'!N$4,'[1]import graded seats course pivo'!$1:$2,2,FALSE),FALSE))),"")</f>
        <v/>
      </c>
      <c r="O797" s="14" t="str">
        <f>IFERROR((VLOOKUP($A797,'[1]import success seats course'!$A:AC,HLOOKUP('[1]Course Totals'!O$4,'[1]import success seats course'!$1:$2,2,FALSE),FALSE)/(VLOOKUP($A797,'[1]import graded seats course pivo'!$A:AM,HLOOKUP('[1]Course Totals'!O$4,'[1]import graded seats course pivo'!$1:$2,2,FALSE),FALSE))),"")</f>
        <v/>
      </c>
      <c r="P797" s="14" t="str">
        <f>IFERROR((VLOOKUP($A797,'[1]import success seats course'!$A:AD,HLOOKUP('[1]Course Totals'!P$4,'[1]import success seats course'!$1:$2,2,FALSE),FALSE)/(VLOOKUP($A797,'[1]import graded seats course pivo'!$A:AN,HLOOKUP('[1]Course Totals'!P$4,'[1]import graded seats course pivo'!$1:$2,2,FALSE),FALSE))),"")</f>
        <v/>
      </c>
      <c r="Q797" s="14" t="str">
        <f>IFERROR((VLOOKUP($A797,'[1]import success seats course'!$A:AE,HLOOKUP('[1]Course Totals'!Q$4,'[1]import success seats course'!$1:$2,2,FALSE),FALSE)/(VLOOKUP($A797,'[1]import graded seats course pivo'!$A:AO,HLOOKUP('[1]Course Totals'!Q$4,'[1]import graded seats course pivo'!$1:$2,2,FALSE),FALSE))),"")</f>
        <v/>
      </c>
      <c r="R797" s="14">
        <f>IFERROR((VLOOKUP($A797,'[1]import success seats course'!$A:AF,HLOOKUP('[1]Course Totals'!R$4,'[1]import success seats course'!$1:$2,2,FALSE),FALSE)/(VLOOKUP($A797,'[1]import graded seats course pivo'!$A:AP,HLOOKUP('[1]Course Totals'!R$4,'[1]import graded seats course pivo'!$1:$2,2,FALSE),FALSE))),"")</f>
        <v>1</v>
      </c>
      <c r="S797" s="14" t="str">
        <f>IFERROR((VLOOKUP($A797,'[1]import success seats course'!$A:AG,HLOOKUP('[1]Course Totals'!S$4,'[1]import success seats course'!$1:$2,2,FALSE),FALSE)/(VLOOKUP($A797,'[1]import graded seats course pivo'!$A:AQ,HLOOKUP('[1]Course Totals'!S$4,'[1]import graded seats course pivo'!$1:$2,2,FALSE),FALSE))),"")</f>
        <v/>
      </c>
      <c r="Z797" s="7"/>
      <c r="AA797" s="7"/>
      <c r="AB797" s="7"/>
      <c r="AC797" s="7"/>
    </row>
    <row r="798" spans="1:29" ht="15.75" hidden="1" customHeight="1" x14ac:dyDescent="0.25">
      <c r="A798" s="12" t="s">
        <v>369</v>
      </c>
      <c r="B798" s="14" t="str">
        <f>IFERROR((VLOOKUP($A798,'[1]import success seats course'!$A:P,HLOOKUP('[1]Course Totals'!B$4,'[1]import success seats course'!$1:$2,2,FALSE),FALSE)/(VLOOKUP($A798,'[1]import graded seats course pivo'!$A:Z,HLOOKUP('[1]Course Totals'!B$4,'[1]import graded seats course pivo'!$1:$2,2,FALSE),FALSE))),"")</f>
        <v/>
      </c>
      <c r="C798" s="14" t="str">
        <f>IFERROR((VLOOKUP($A798,'[1]import success seats course'!$A:Q,HLOOKUP('[1]Course Totals'!C$4,'[1]import success seats course'!$1:$2,2,FALSE),FALSE)/(VLOOKUP($A798,'[1]import graded seats course pivo'!$A:AA,HLOOKUP('[1]Course Totals'!C$4,'[1]import graded seats course pivo'!$1:$2,2,FALSE),FALSE))),"")</f>
        <v/>
      </c>
      <c r="D798" s="14" t="str">
        <f>IFERROR((VLOOKUP($A798,'[1]import success seats course'!$A:R,HLOOKUP('[1]Course Totals'!D$4,'[1]import success seats course'!$1:$2,2,FALSE),FALSE)/(VLOOKUP($A798,'[1]import graded seats course pivo'!$A:AB,HLOOKUP('[1]Course Totals'!D$4,'[1]import graded seats course pivo'!$1:$2,2,FALSE),FALSE))),"")</f>
        <v/>
      </c>
      <c r="E798" s="14" t="str">
        <f>IFERROR((VLOOKUP($A798,'[1]import success seats course'!$A:S,HLOOKUP('[1]Course Totals'!E$4,'[1]import success seats course'!$1:$2,2,FALSE),FALSE)/(VLOOKUP($A798,'[1]import graded seats course pivo'!$A:AC,HLOOKUP('[1]Course Totals'!E$4,'[1]import graded seats course pivo'!$1:$2,2,FALSE),FALSE))),"")</f>
        <v/>
      </c>
      <c r="F798" s="14" t="str">
        <f>IFERROR((VLOOKUP($A798,'[1]import success seats course'!$A:T,HLOOKUP('[1]Course Totals'!F$4,'[1]import success seats course'!$1:$2,2,FALSE),FALSE)/(VLOOKUP($A798,'[1]import graded seats course pivo'!$A:AD,HLOOKUP('[1]Course Totals'!F$4,'[1]import graded seats course pivo'!$1:$2,2,FALSE),FALSE))),"")</f>
        <v/>
      </c>
      <c r="G798" s="14" t="str">
        <f>IFERROR((VLOOKUP($A798,'[1]import success seats course'!$A:U,HLOOKUP('[1]Course Totals'!G$4,'[1]import success seats course'!$1:$2,2,FALSE),FALSE)/(VLOOKUP($A798,'[1]import graded seats course pivo'!$A:AE,HLOOKUP('[1]Course Totals'!G$4,'[1]import graded seats course pivo'!$1:$2,2,FALSE),FALSE))),"")</f>
        <v/>
      </c>
      <c r="H798" s="14" t="str">
        <f>IFERROR((VLOOKUP($A798,'[1]import success seats course'!$A:V,HLOOKUP('[1]Course Totals'!H$4,'[1]import success seats course'!$1:$2,2,FALSE),FALSE)/(VLOOKUP($A798,'[1]import graded seats course pivo'!$A:AF,HLOOKUP('[1]Course Totals'!H$4,'[1]import graded seats course pivo'!$1:$2,2,FALSE),FALSE))),"")</f>
        <v/>
      </c>
      <c r="I798" s="14" t="str">
        <f>IFERROR((VLOOKUP($A798,'[1]import success seats course'!$A:W,HLOOKUP('[1]Course Totals'!I$4,'[1]import success seats course'!$1:$2,2,FALSE),FALSE)/(VLOOKUP($A798,'[1]import graded seats course pivo'!$A:AG,HLOOKUP('[1]Course Totals'!I$4,'[1]import graded seats course pivo'!$1:$2,2,FALSE),FALSE))),"")</f>
        <v/>
      </c>
      <c r="J798" s="14" t="str">
        <f>IFERROR((VLOOKUP($A798,'[1]import success seats course'!$A:X,HLOOKUP('[1]Course Totals'!J$4,'[1]import success seats course'!$1:$2,2,FALSE),FALSE)/(VLOOKUP($A798,'[1]import graded seats course pivo'!$A:AH,HLOOKUP('[1]Course Totals'!J$4,'[1]import graded seats course pivo'!$1:$2,2,FALSE),FALSE))),"")</f>
        <v/>
      </c>
      <c r="K798" s="14" t="str">
        <f>IFERROR((VLOOKUP($A798,'[1]import success seats course'!$A:Y,HLOOKUP('[1]Course Totals'!K$4,'[1]import success seats course'!$1:$2,2,FALSE),FALSE)/(VLOOKUP($A798,'[1]import graded seats course pivo'!$A:AI,HLOOKUP('[1]Course Totals'!K$4,'[1]import graded seats course pivo'!$1:$2,2,FALSE),FALSE))),"")</f>
        <v/>
      </c>
      <c r="L798" s="14" t="str">
        <f>IFERROR((VLOOKUP($A798,'[1]import success seats course'!$A:Z,HLOOKUP('[1]Course Totals'!L$4,'[1]import success seats course'!$1:$2,2,FALSE),FALSE)/(VLOOKUP($A798,'[1]import graded seats course pivo'!$A:AJ,HLOOKUP('[1]Course Totals'!L$4,'[1]import graded seats course pivo'!$1:$2,2,FALSE),FALSE))),"")</f>
        <v/>
      </c>
      <c r="M798" s="14" t="str">
        <f>IFERROR((VLOOKUP($A798,'[1]import success seats course'!$A:AA,HLOOKUP('[1]Course Totals'!M$4,'[1]import success seats course'!$1:$2,2,FALSE),FALSE)/(VLOOKUP($A798,'[1]import graded seats course pivo'!$A:AK,HLOOKUP('[1]Course Totals'!M$4,'[1]import graded seats course pivo'!$1:$2,2,FALSE),FALSE))),"")</f>
        <v/>
      </c>
      <c r="N798" s="14" t="str">
        <f>IFERROR((VLOOKUP($A798,'[1]import success seats course'!$A:AB,HLOOKUP('[1]Course Totals'!N$4,'[1]import success seats course'!$1:$2,2,FALSE),FALSE)/(VLOOKUP($A798,'[1]import graded seats course pivo'!$A:AL,HLOOKUP('[1]Course Totals'!N$4,'[1]import graded seats course pivo'!$1:$2,2,FALSE),FALSE))),"")</f>
        <v/>
      </c>
      <c r="O798" s="14" t="str">
        <f>IFERROR((VLOOKUP($A798,'[1]import success seats course'!$A:AC,HLOOKUP('[1]Course Totals'!O$4,'[1]import success seats course'!$1:$2,2,FALSE),FALSE)/(VLOOKUP($A798,'[1]import graded seats course pivo'!$A:AM,HLOOKUP('[1]Course Totals'!O$4,'[1]import graded seats course pivo'!$1:$2,2,FALSE),FALSE))),"")</f>
        <v/>
      </c>
      <c r="P798" s="14" t="str">
        <f>IFERROR((VLOOKUP($A798,'[1]import success seats course'!$A:AD,HLOOKUP('[1]Course Totals'!P$4,'[1]import success seats course'!$1:$2,2,FALSE),FALSE)/(VLOOKUP($A798,'[1]import graded seats course pivo'!$A:AN,HLOOKUP('[1]Course Totals'!P$4,'[1]import graded seats course pivo'!$1:$2,2,FALSE),FALSE))),"")</f>
        <v/>
      </c>
      <c r="Q798" s="14" t="str">
        <f>IFERROR((VLOOKUP($A798,'[1]import success seats course'!$A:AE,HLOOKUP('[1]Course Totals'!Q$4,'[1]import success seats course'!$1:$2,2,FALSE),FALSE)/(VLOOKUP($A798,'[1]import graded seats course pivo'!$A:AO,HLOOKUP('[1]Course Totals'!Q$4,'[1]import graded seats course pivo'!$1:$2,2,FALSE),FALSE))),"")</f>
        <v/>
      </c>
      <c r="R798" s="14" t="str">
        <f>IFERROR((VLOOKUP($A798,'[1]import success seats course'!$A:AF,HLOOKUP('[1]Course Totals'!R$4,'[1]import success seats course'!$1:$2,2,FALSE),FALSE)/(VLOOKUP($A798,'[1]import graded seats course pivo'!$A:AP,HLOOKUP('[1]Course Totals'!R$4,'[1]import graded seats course pivo'!$1:$2,2,FALSE),FALSE))),"")</f>
        <v/>
      </c>
      <c r="S798" s="14" t="str">
        <f>IFERROR((VLOOKUP($A798,'[1]import success seats course'!$A:AG,HLOOKUP('[1]Course Totals'!S$4,'[1]import success seats course'!$1:$2,2,FALSE),FALSE)/(VLOOKUP($A798,'[1]import graded seats course pivo'!$A:AQ,HLOOKUP('[1]Course Totals'!S$4,'[1]import graded seats course pivo'!$1:$2,2,FALSE),FALSE))),"")</f>
        <v/>
      </c>
      <c r="Z798" s="7"/>
      <c r="AA798" s="7"/>
      <c r="AB798" s="7"/>
      <c r="AC798" s="7"/>
    </row>
    <row r="799" spans="1:29" ht="15.75" customHeight="1" x14ac:dyDescent="0.25">
      <c r="A799" s="12" t="s">
        <v>638</v>
      </c>
      <c r="B799" s="14" t="str">
        <f>IFERROR((VLOOKUP($A799,'[1]import success seats course'!$A:P,HLOOKUP('[1]Course Totals'!B$4,'[1]import success seats course'!$1:$2,2,FALSE),FALSE)/(VLOOKUP($A799,'[1]import graded seats course pivo'!$A:Z,HLOOKUP('[1]Course Totals'!B$4,'[1]import graded seats course pivo'!$1:$2,2,FALSE),FALSE))),"")</f>
        <v/>
      </c>
      <c r="C799" s="14" t="str">
        <f>IFERROR((VLOOKUP($A799,'[1]import success seats course'!$A:Q,HLOOKUP('[1]Course Totals'!C$4,'[1]import success seats course'!$1:$2,2,FALSE),FALSE)/(VLOOKUP($A799,'[1]import graded seats course pivo'!$A:AA,HLOOKUP('[1]Course Totals'!C$4,'[1]import graded seats course pivo'!$1:$2,2,FALSE),FALSE))),"")</f>
        <v/>
      </c>
      <c r="D799" s="14" t="str">
        <f>IFERROR((VLOOKUP($A799,'[1]import success seats course'!$A:R,HLOOKUP('[1]Course Totals'!D$4,'[1]import success seats course'!$1:$2,2,FALSE),FALSE)/(VLOOKUP($A799,'[1]import graded seats course pivo'!$A:AB,HLOOKUP('[1]Course Totals'!D$4,'[1]import graded seats course pivo'!$1:$2,2,FALSE),FALSE))),"")</f>
        <v/>
      </c>
      <c r="E799" s="14" t="str">
        <f>IFERROR((VLOOKUP($A799,'[1]import success seats course'!$A:S,HLOOKUP('[1]Course Totals'!E$4,'[1]import success seats course'!$1:$2,2,FALSE),FALSE)/(VLOOKUP($A799,'[1]import graded seats course pivo'!$A:AC,HLOOKUP('[1]Course Totals'!E$4,'[1]import graded seats course pivo'!$1:$2,2,FALSE),FALSE))),"")</f>
        <v/>
      </c>
      <c r="F799" s="14">
        <f>IFERROR((VLOOKUP($A799,'[1]import success seats course'!$A:T,HLOOKUP('[1]Course Totals'!F$4,'[1]import success seats course'!$1:$2,2,FALSE),FALSE)/(VLOOKUP($A799,'[1]import graded seats course pivo'!$A:AD,HLOOKUP('[1]Course Totals'!F$4,'[1]import graded seats course pivo'!$1:$2,2,FALSE),FALSE))),"")</f>
        <v>1</v>
      </c>
      <c r="G799" s="14">
        <f>IFERROR((VLOOKUP($A799,'[1]import success seats course'!$A:U,HLOOKUP('[1]Course Totals'!G$4,'[1]import success seats course'!$1:$2,2,FALSE),FALSE)/(VLOOKUP($A799,'[1]import graded seats course pivo'!$A:AE,HLOOKUP('[1]Course Totals'!G$4,'[1]import graded seats course pivo'!$1:$2,2,FALSE),FALSE))),"")</f>
        <v>1</v>
      </c>
      <c r="H799" s="14" t="str">
        <f>IFERROR((VLOOKUP($A799,'[1]import success seats course'!$A:V,HLOOKUP('[1]Course Totals'!H$4,'[1]import success seats course'!$1:$2,2,FALSE),FALSE)/(VLOOKUP($A799,'[1]import graded seats course pivo'!$A:AF,HLOOKUP('[1]Course Totals'!H$4,'[1]import graded seats course pivo'!$1:$2,2,FALSE),FALSE))),"")</f>
        <v/>
      </c>
      <c r="I799" s="14">
        <f>IFERROR((VLOOKUP($A799,'[1]import success seats course'!$A:W,HLOOKUP('[1]Course Totals'!I$4,'[1]import success seats course'!$1:$2,2,FALSE),FALSE)/(VLOOKUP($A799,'[1]import graded seats course pivo'!$A:AG,HLOOKUP('[1]Course Totals'!I$4,'[1]import graded seats course pivo'!$1:$2,2,FALSE),FALSE))),"")</f>
        <v>0.9</v>
      </c>
      <c r="J799" s="14">
        <f>IFERROR((VLOOKUP($A799,'[1]import success seats course'!$A:X,HLOOKUP('[1]Course Totals'!J$4,'[1]import success seats course'!$1:$2,2,FALSE),FALSE)/(VLOOKUP($A799,'[1]import graded seats course pivo'!$A:AH,HLOOKUP('[1]Course Totals'!J$4,'[1]import graded seats course pivo'!$1:$2,2,FALSE),FALSE))),"")</f>
        <v>0.91666666666666663</v>
      </c>
      <c r="K799" s="14" t="str">
        <f>IFERROR((VLOOKUP($A799,'[1]import success seats course'!$A:Y,HLOOKUP('[1]Course Totals'!K$4,'[1]import success seats course'!$1:$2,2,FALSE),FALSE)/(VLOOKUP($A799,'[1]import graded seats course pivo'!$A:AI,HLOOKUP('[1]Course Totals'!K$4,'[1]import graded seats course pivo'!$1:$2,2,FALSE),FALSE))),"")</f>
        <v/>
      </c>
      <c r="L799" s="14">
        <f>IFERROR((VLOOKUP($A799,'[1]import success seats course'!$A:Z,HLOOKUP('[1]Course Totals'!L$4,'[1]import success seats course'!$1:$2,2,FALSE),FALSE)/(VLOOKUP($A799,'[1]import graded seats course pivo'!$A:AJ,HLOOKUP('[1]Course Totals'!L$4,'[1]import graded seats course pivo'!$1:$2,2,FALSE),FALSE))),"")</f>
        <v>0.8</v>
      </c>
      <c r="M799" s="14">
        <f>IFERROR((VLOOKUP($A799,'[1]import success seats course'!$A:AA,HLOOKUP('[1]Course Totals'!M$4,'[1]import success seats course'!$1:$2,2,FALSE),FALSE)/(VLOOKUP($A799,'[1]import graded seats course pivo'!$A:AK,HLOOKUP('[1]Course Totals'!M$4,'[1]import graded seats course pivo'!$1:$2,2,FALSE),FALSE))),"")</f>
        <v>0.8571428571428571</v>
      </c>
      <c r="N799" s="14" t="str">
        <f>IFERROR((VLOOKUP($A799,'[1]import success seats course'!$A:AB,HLOOKUP('[1]Course Totals'!N$4,'[1]import success seats course'!$1:$2,2,FALSE),FALSE)/(VLOOKUP($A799,'[1]import graded seats course pivo'!$A:AL,HLOOKUP('[1]Course Totals'!N$4,'[1]import graded seats course pivo'!$1:$2,2,FALSE),FALSE))),"")</f>
        <v/>
      </c>
      <c r="O799" s="14">
        <f>IFERROR((VLOOKUP($A799,'[1]import success seats course'!$A:AC,HLOOKUP('[1]Course Totals'!O$4,'[1]import success seats course'!$1:$2,2,FALSE),FALSE)/(VLOOKUP($A799,'[1]import graded seats course pivo'!$A:AM,HLOOKUP('[1]Course Totals'!O$4,'[1]import graded seats course pivo'!$1:$2,2,FALSE),FALSE))),"")</f>
        <v>1</v>
      </c>
      <c r="P799" s="14">
        <f>IFERROR((VLOOKUP($A799,'[1]import success seats course'!$A:AD,HLOOKUP('[1]Course Totals'!P$4,'[1]import success seats course'!$1:$2,2,FALSE),FALSE)/(VLOOKUP($A799,'[1]import graded seats course pivo'!$A:AN,HLOOKUP('[1]Course Totals'!P$4,'[1]import graded seats course pivo'!$1:$2,2,FALSE),FALSE))),"")</f>
        <v>0.88888888888888884</v>
      </c>
      <c r="Q799" s="14" t="str">
        <f>IFERROR((VLOOKUP($A799,'[1]import success seats course'!$A:AE,HLOOKUP('[1]Course Totals'!Q$4,'[1]import success seats course'!$1:$2,2,FALSE),FALSE)/(VLOOKUP($A799,'[1]import graded seats course pivo'!$A:AO,HLOOKUP('[1]Course Totals'!Q$4,'[1]import graded seats course pivo'!$1:$2,2,FALSE),FALSE))),"")</f>
        <v/>
      </c>
      <c r="R799" s="14">
        <f>IFERROR((VLOOKUP($A799,'[1]import success seats course'!$A:AF,HLOOKUP('[1]Course Totals'!R$4,'[1]import success seats course'!$1:$2,2,FALSE),FALSE)/(VLOOKUP($A799,'[1]import graded seats course pivo'!$A:AP,HLOOKUP('[1]Course Totals'!R$4,'[1]import graded seats course pivo'!$1:$2,2,FALSE),FALSE))),"")</f>
        <v>0.77777777777777779</v>
      </c>
      <c r="S799" s="14">
        <f>IFERROR((VLOOKUP($A799,'[1]import success seats course'!$A:AG,HLOOKUP('[1]Course Totals'!S$4,'[1]import success seats course'!$1:$2,2,FALSE),FALSE)/(VLOOKUP($A799,'[1]import graded seats course pivo'!$A:AQ,HLOOKUP('[1]Course Totals'!S$4,'[1]import graded seats course pivo'!$1:$2,2,FALSE),FALSE))),"")</f>
        <v>1</v>
      </c>
      <c r="Z799" s="7"/>
      <c r="AA799" s="7"/>
      <c r="AB799" s="7"/>
      <c r="AC799" s="7"/>
    </row>
    <row r="800" spans="1:29" ht="15.75" customHeight="1" x14ac:dyDescent="0.25">
      <c r="A800" s="12" t="s">
        <v>370</v>
      </c>
      <c r="B800" s="14" t="str">
        <f>IFERROR((VLOOKUP($A800,'[1]import success seats course'!$A:P,HLOOKUP('[1]Course Totals'!B$4,'[1]import success seats course'!$1:$2,2,FALSE),FALSE)/(VLOOKUP($A800,'[1]import graded seats course pivo'!$A:Z,HLOOKUP('[1]Course Totals'!B$4,'[1]import graded seats course pivo'!$1:$2,2,FALSE),FALSE))),"")</f>
        <v/>
      </c>
      <c r="C800" s="14">
        <f>IFERROR((VLOOKUP($A800,'[1]import success seats course'!$A:Q,HLOOKUP('[1]Course Totals'!C$4,'[1]import success seats course'!$1:$2,2,FALSE),FALSE)/(VLOOKUP($A800,'[1]import graded seats course pivo'!$A:AA,HLOOKUP('[1]Course Totals'!C$4,'[1]import graded seats course pivo'!$1:$2,2,FALSE),FALSE))),"")</f>
        <v>0.8571428571428571</v>
      </c>
      <c r="D800" s="14">
        <f>IFERROR((VLOOKUP($A800,'[1]import success seats course'!$A:R,HLOOKUP('[1]Course Totals'!D$4,'[1]import success seats course'!$1:$2,2,FALSE),FALSE)/(VLOOKUP($A800,'[1]import graded seats course pivo'!$A:AB,HLOOKUP('[1]Course Totals'!D$4,'[1]import graded seats course pivo'!$1:$2,2,FALSE),FALSE))),"")</f>
        <v>0.8571428571428571</v>
      </c>
      <c r="E800" s="14" t="str">
        <f>IFERROR((VLOOKUP($A800,'[1]import success seats course'!$A:S,HLOOKUP('[1]Course Totals'!E$4,'[1]import success seats course'!$1:$2,2,FALSE),FALSE)/(VLOOKUP($A800,'[1]import graded seats course pivo'!$A:AC,HLOOKUP('[1]Course Totals'!E$4,'[1]import graded seats course pivo'!$1:$2,2,FALSE),FALSE))),"")</f>
        <v/>
      </c>
      <c r="F800" s="14">
        <f>IFERROR((VLOOKUP($A800,'[1]import success seats course'!$A:T,HLOOKUP('[1]Course Totals'!F$4,'[1]import success seats course'!$1:$2,2,FALSE),FALSE)/(VLOOKUP($A800,'[1]import graded seats course pivo'!$A:AD,HLOOKUP('[1]Course Totals'!F$4,'[1]import graded seats course pivo'!$1:$2,2,FALSE),FALSE))),"")</f>
        <v>1</v>
      </c>
      <c r="G800" s="14">
        <f>IFERROR((VLOOKUP($A800,'[1]import success seats course'!$A:U,HLOOKUP('[1]Course Totals'!G$4,'[1]import success seats course'!$1:$2,2,FALSE),FALSE)/(VLOOKUP($A800,'[1]import graded seats course pivo'!$A:AE,HLOOKUP('[1]Course Totals'!G$4,'[1]import graded seats course pivo'!$1:$2,2,FALSE),FALSE))),"")</f>
        <v>1</v>
      </c>
      <c r="H800" s="14" t="str">
        <f>IFERROR((VLOOKUP($A800,'[1]import success seats course'!$A:V,HLOOKUP('[1]Course Totals'!H$4,'[1]import success seats course'!$1:$2,2,FALSE),FALSE)/(VLOOKUP($A800,'[1]import graded seats course pivo'!$A:AF,HLOOKUP('[1]Course Totals'!H$4,'[1]import graded seats course pivo'!$1:$2,2,FALSE),FALSE))),"")</f>
        <v/>
      </c>
      <c r="I800" s="14">
        <f>IFERROR((VLOOKUP($A800,'[1]import success seats course'!$A:W,HLOOKUP('[1]Course Totals'!I$4,'[1]import success seats course'!$1:$2,2,FALSE),FALSE)/(VLOOKUP($A800,'[1]import graded seats course pivo'!$A:AG,HLOOKUP('[1]Course Totals'!I$4,'[1]import graded seats course pivo'!$1:$2,2,FALSE),FALSE))),"")</f>
        <v>0.77777777777777779</v>
      </c>
      <c r="J800" s="14">
        <f>IFERROR((VLOOKUP($A800,'[1]import success seats course'!$A:X,HLOOKUP('[1]Course Totals'!J$4,'[1]import success seats course'!$1:$2,2,FALSE),FALSE)/(VLOOKUP($A800,'[1]import graded seats course pivo'!$A:AH,HLOOKUP('[1]Course Totals'!J$4,'[1]import graded seats course pivo'!$1:$2,2,FALSE),FALSE))),"")</f>
        <v>0.875</v>
      </c>
      <c r="K800" s="14" t="str">
        <f>IFERROR((VLOOKUP($A800,'[1]import success seats course'!$A:Y,HLOOKUP('[1]Course Totals'!K$4,'[1]import success seats course'!$1:$2,2,FALSE),FALSE)/(VLOOKUP($A800,'[1]import graded seats course pivo'!$A:AI,HLOOKUP('[1]Course Totals'!K$4,'[1]import graded seats course pivo'!$1:$2,2,FALSE),FALSE))),"")</f>
        <v/>
      </c>
      <c r="L800" s="14">
        <f>IFERROR((VLOOKUP($A800,'[1]import success seats course'!$A:Z,HLOOKUP('[1]Course Totals'!L$4,'[1]import success seats course'!$1:$2,2,FALSE),FALSE)/(VLOOKUP($A800,'[1]import graded seats course pivo'!$A:AJ,HLOOKUP('[1]Course Totals'!L$4,'[1]import graded seats course pivo'!$1:$2,2,FALSE),FALSE))),"")</f>
        <v>0.94736842105263153</v>
      </c>
      <c r="M800" s="14">
        <f>IFERROR((VLOOKUP($A800,'[1]import success seats course'!$A:AA,HLOOKUP('[1]Course Totals'!M$4,'[1]import success seats course'!$1:$2,2,FALSE),FALSE)/(VLOOKUP($A800,'[1]import graded seats course pivo'!$A:AK,HLOOKUP('[1]Course Totals'!M$4,'[1]import graded seats course pivo'!$1:$2,2,FALSE),FALSE))),"")</f>
        <v>0.90909090909090906</v>
      </c>
      <c r="N800" s="14" t="str">
        <f>IFERROR((VLOOKUP($A800,'[1]import success seats course'!$A:AB,HLOOKUP('[1]Course Totals'!N$4,'[1]import success seats course'!$1:$2,2,FALSE),FALSE)/(VLOOKUP($A800,'[1]import graded seats course pivo'!$A:AL,HLOOKUP('[1]Course Totals'!N$4,'[1]import graded seats course pivo'!$1:$2,2,FALSE),FALSE))),"")</f>
        <v/>
      </c>
      <c r="O800" s="14" t="str">
        <f>IFERROR((VLOOKUP($A800,'[1]import success seats course'!$A:AC,HLOOKUP('[1]Course Totals'!O$4,'[1]import success seats course'!$1:$2,2,FALSE),FALSE)/(VLOOKUP($A800,'[1]import graded seats course pivo'!$A:AM,HLOOKUP('[1]Course Totals'!O$4,'[1]import graded seats course pivo'!$1:$2,2,FALSE),FALSE))),"")</f>
        <v/>
      </c>
      <c r="P800" s="14" t="str">
        <f>IFERROR((VLOOKUP($A800,'[1]import success seats course'!$A:AD,HLOOKUP('[1]Course Totals'!P$4,'[1]import success seats course'!$1:$2,2,FALSE),FALSE)/(VLOOKUP($A800,'[1]import graded seats course pivo'!$A:AN,HLOOKUP('[1]Course Totals'!P$4,'[1]import graded seats course pivo'!$1:$2,2,FALSE),FALSE))),"")</f>
        <v/>
      </c>
      <c r="Q800" s="14" t="str">
        <f>IFERROR((VLOOKUP($A800,'[1]import success seats course'!$A:AE,HLOOKUP('[1]Course Totals'!Q$4,'[1]import success seats course'!$1:$2,2,FALSE),FALSE)/(VLOOKUP($A800,'[1]import graded seats course pivo'!$A:AO,HLOOKUP('[1]Course Totals'!Q$4,'[1]import graded seats course pivo'!$1:$2,2,FALSE),FALSE))),"")</f>
        <v/>
      </c>
      <c r="R800" s="14" t="str">
        <f>IFERROR((VLOOKUP($A800,'[1]import success seats course'!$A:AF,HLOOKUP('[1]Course Totals'!R$4,'[1]import success seats course'!$1:$2,2,FALSE),FALSE)/(VLOOKUP($A800,'[1]import graded seats course pivo'!$A:AP,HLOOKUP('[1]Course Totals'!R$4,'[1]import graded seats course pivo'!$1:$2,2,FALSE),FALSE))),"")</f>
        <v/>
      </c>
      <c r="S800" s="14" t="str">
        <f>IFERROR((VLOOKUP($A800,'[1]import success seats course'!$A:AG,HLOOKUP('[1]Course Totals'!S$4,'[1]import success seats course'!$1:$2,2,FALSE),FALSE)/(VLOOKUP($A800,'[1]import graded seats course pivo'!$A:AQ,HLOOKUP('[1]Course Totals'!S$4,'[1]import graded seats course pivo'!$1:$2,2,FALSE),FALSE))),"")</f>
        <v/>
      </c>
      <c r="Z800" s="7"/>
      <c r="AA800" s="7"/>
      <c r="AB800" s="7"/>
      <c r="AC800" s="7"/>
    </row>
    <row r="801" spans="1:29" ht="15.75" customHeight="1" x14ac:dyDescent="0.25">
      <c r="A801" s="12" t="s">
        <v>639</v>
      </c>
      <c r="B801" s="14" t="str">
        <f>IFERROR((VLOOKUP($A801,'[1]import success seats course'!$A:P,HLOOKUP('[1]Course Totals'!B$4,'[1]import success seats course'!$1:$2,2,FALSE),FALSE)/(VLOOKUP($A801,'[1]import graded seats course pivo'!$A:Z,HLOOKUP('[1]Course Totals'!B$4,'[1]import graded seats course pivo'!$1:$2,2,FALSE),FALSE))),"")</f>
        <v/>
      </c>
      <c r="C801" s="14" t="str">
        <f>IFERROR((VLOOKUP($A801,'[1]import success seats course'!$A:Q,HLOOKUP('[1]Course Totals'!C$4,'[1]import success seats course'!$1:$2,2,FALSE),FALSE)/(VLOOKUP($A801,'[1]import graded seats course pivo'!$A:AA,HLOOKUP('[1]Course Totals'!C$4,'[1]import graded seats course pivo'!$1:$2,2,FALSE),FALSE))),"")</f>
        <v/>
      </c>
      <c r="D801" s="14">
        <f>IFERROR((VLOOKUP($A801,'[1]import success seats course'!$A:R,HLOOKUP('[1]Course Totals'!D$4,'[1]import success seats course'!$1:$2,2,FALSE),FALSE)/(VLOOKUP($A801,'[1]import graded seats course pivo'!$A:AB,HLOOKUP('[1]Course Totals'!D$4,'[1]import graded seats course pivo'!$1:$2,2,FALSE),FALSE))),"")</f>
        <v>1</v>
      </c>
      <c r="E801" s="14" t="str">
        <f>IFERROR((VLOOKUP($A801,'[1]import success seats course'!$A:S,HLOOKUP('[1]Course Totals'!E$4,'[1]import success seats course'!$1:$2,2,FALSE),FALSE)/(VLOOKUP($A801,'[1]import graded seats course pivo'!$A:AC,HLOOKUP('[1]Course Totals'!E$4,'[1]import graded seats course pivo'!$1:$2,2,FALSE),FALSE))),"")</f>
        <v/>
      </c>
      <c r="F801" s="14">
        <f>IFERROR((VLOOKUP($A801,'[1]import success seats course'!$A:T,HLOOKUP('[1]Course Totals'!F$4,'[1]import success seats course'!$1:$2,2,FALSE),FALSE)/(VLOOKUP($A801,'[1]import graded seats course pivo'!$A:AD,HLOOKUP('[1]Course Totals'!F$4,'[1]import graded seats course pivo'!$1:$2,2,FALSE),FALSE))),"")</f>
        <v>0.9</v>
      </c>
      <c r="G801" s="14">
        <f>IFERROR((VLOOKUP($A801,'[1]import success seats course'!$A:U,HLOOKUP('[1]Course Totals'!G$4,'[1]import success seats course'!$1:$2,2,FALSE),FALSE)/(VLOOKUP($A801,'[1]import graded seats course pivo'!$A:AE,HLOOKUP('[1]Course Totals'!G$4,'[1]import graded seats course pivo'!$1:$2,2,FALSE),FALSE))),"")</f>
        <v>1</v>
      </c>
      <c r="H801" s="14" t="str">
        <f>IFERROR((VLOOKUP($A801,'[1]import success seats course'!$A:V,HLOOKUP('[1]Course Totals'!H$4,'[1]import success seats course'!$1:$2,2,FALSE),FALSE)/(VLOOKUP($A801,'[1]import graded seats course pivo'!$A:AF,HLOOKUP('[1]Course Totals'!H$4,'[1]import graded seats course pivo'!$1:$2,2,FALSE),FALSE))),"")</f>
        <v/>
      </c>
      <c r="I801" s="14">
        <f>IFERROR((VLOOKUP($A801,'[1]import success seats course'!$A:W,HLOOKUP('[1]Course Totals'!I$4,'[1]import success seats course'!$1:$2,2,FALSE),FALSE)/(VLOOKUP($A801,'[1]import graded seats course pivo'!$A:AG,HLOOKUP('[1]Course Totals'!I$4,'[1]import graded seats course pivo'!$1:$2,2,FALSE),FALSE))),"")</f>
        <v>0.83333333333333337</v>
      </c>
      <c r="J801" s="14">
        <f>IFERROR((VLOOKUP($A801,'[1]import success seats course'!$A:X,HLOOKUP('[1]Course Totals'!J$4,'[1]import success seats course'!$1:$2,2,FALSE),FALSE)/(VLOOKUP($A801,'[1]import graded seats course pivo'!$A:AH,HLOOKUP('[1]Course Totals'!J$4,'[1]import graded seats course pivo'!$1:$2,2,FALSE),FALSE))),"")</f>
        <v>0.83333333333333337</v>
      </c>
      <c r="K801" s="14" t="str">
        <f>IFERROR((VLOOKUP($A801,'[1]import success seats course'!$A:Y,HLOOKUP('[1]Course Totals'!K$4,'[1]import success seats course'!$1:$2,2,FALSE),FALSE)/(VLOOKUP($A801,'[1]import graded seats course pivo'!$A:AI,HLOOKUP('[1]Course Totals'!K$4,'[1]import graded seats course pivo'!$1:$2,2,FALSE),FALSE))),"")</f>
        <v/>
      </c>
      <c r="L801" s="14">
        <f>IFERROR((VLOOKUP($A801,'[1]import success seats course'!$A:Z,HLOOKUP('[1]Course Totals'!L$4,'[1]import success seats course'!$1:$2,2,FALSE),FALSE)/(VLOOKUP($A801,'[1]import graded seats course pivo'!$A:AJ,HLOOKUP('[1]Course Totals'!L$4,'[1]import graded seats course pivo'!$1:$2,2,FALSE),FALSE))),"")</f>
        <v>0.88888888888888884</v>
      </c>
      <c r="M801" s="14">
        <f>IFERROR((VLOOKUP($A801,'[1]import success seats course'!$A:AA,HLOOKUP('[1]Course Totals'!M$4,'[1]import success seats course'!$1:$2,2,FALSE),FALSE)/(VLOOKUP($A801,'[1]import graded seats course pivo'!$A:AK,HLOOKUP('[1]Course Totals'!M$4,'[1]import graded seats course pivo'!$1:$2,2,FALSE),FALSE))),"")</f>
        <v>0.90909090909090906</v>
      </c>
      <c r="N801" s="14" t="str">
        <f>IFERROR((VLOOKUP($A801,'[1]import success seats course'!$A:AB,HLOOKUP('[1]Course Totals'!N$4,'[1]import success seats course'!$1:$2,2,FALSE),FALSE)/(VLOOKUP($A801,'[1]import graded seats course pivo'!$A:AL,HLOOKUP('[1]Course Totals'!N$4,'[1]import graded seats course pivo'!$1:$2,2,FALSE),FALSE))),"")</f>
        <v/>
      </c>
      <c r="O801" s="14" t="str">
        <f>IFERROR((VLOOKUP($A801,'[1]import success seats course'!$A:AC,HLOOKUP('[1]Course Totals'!O$4,'[1]import success seats course'!$1:$2,2,FALSE),FALSE)/(VLOOKUP($A801,'[1]import graded seats course pivo'!$A:AM,HLOOKUP('[1]Course Totals'!O$4,'[1]import graded seats course pivo'!$1:$2,2,FALSE),FALSE))),"")</f>
        <v/>
      </c>
      <c r="P801" s="14" t="str">
        <f>IFERROR((VLOOKUP($A801,'[1]import success seats course'!$A:AD,HLOOKUP('[1]Course Totals'!P$4,'[1]import success seats course'!$1:$2,2,FALSE),FALSE)/(VLOOKUP($A801,'[1]import graded seats course pivo'!$A:AN,HLOOKUP('[1]Course Totals'!P$4,'[1]import graded seats course pivo'!$1:$2,2,FALSE),FALSE))),"")</f>
        <v/>
      </c>
      <c r="Q801" s="14" t="str">
        <f>IFERROR((VLOOKUP($A801,'[1]import success seats course'!$A:AE,HLOOKUP('[1]Course Totals'!Q$4,'[1]import success seats course'!$1:$2,2,FALSE),FALSE)/(VLOOKUP($A801,'[1]import graded seats course pivo'!$A:AO,HLOOKUP('[1]Course Totals'!Q$4,'[1]import graded seats course pivo'!$1:$2,2,FALSE),FALSE))),"")</f>
        <v/>
      </c>
      <c r="R801" s="14" t="str">
        <f>IFERROR((VLOOKUP($A801,'[1]import success seats course'!$A:AF,HLOOKUP('[1]Course Totals'!R$4,'[1]import success seats course'!$1:$2,2,FALSE),FALSE)/(VLOOKUP($A801,'[1]import graded seats course pivo'!$A:AP,HLOOKUP('[1]Course Totals'!R$4,'[1]import graded seats course pivo'!$1:$2,2,FALSE),FALSE))),"")</f>
        <v/>
      </c>
      <c r="S801" s="14" t="str">
        <f>IFERROR((VLOOKUP($A801,'[1]import success seats course'!$A:AG,HLOOKUP('[1]Course Totals'!S$4,'[1]import success seats course'!$1:$2,2,FALSE),FALSE)/(VLOOKUP($A801,'[1]import graded seats course pivo'!$A:AQ,HLOOKUP('[1]Course Totals'!S$4,'[1]import graded seats course pivo'!$1:$2,2,FALSE),FALSE))),"")</f>
        <v/>
      </c>
      <c r="Z801" s="7"/>
      <c r="AA801" s="7"/>
      <c r="AB801" s="7"/>
      <c r="AC801" s="7"/>
    </row>
    <row r="802" spans="1:29" ht="15.75" customHeight="1" x14ac:dyDescent="0.25">
      <c r="A802" s="12" t="s">
        <v>371</v>
      </c>
      <c r="B802" s="14" t="str">
        <f>IFERROR((VLOOKUP($A802,'[1]import success seats course'!$A:P,HLOOKUP('[1]Course Totals'!B$4,'[1]import success seats course'!$1:$2,2,FALSE),FALSE)/(VLOOKUP($A802,'[1]import graded seats course pivo'!$A:Z,HLOOKUP('[1]Course Totals'!B$4,'[1]import graded seats course pivo'!$1:$2,2,FALSE),FALSE))),"")</f>
        <v/>
      </c>
      <c r="C802" s="14">
        <f>IFERROR((VLOOKUP($A802,'[1]import success seats course'!$A:Q,HLOOKUP('[1]Course Totals'!C$4,'[1]import success seats course'!$1:$2,2,FALSE),FALSE)/(VLOOKUP($A802,'[1]import graded seats course pivo'!$A:AA,HLOOKUP('[1]Course Totals'!C$4,'[1]import graded seats course pivo'!$1:$2,2,FALSE),FALSE))),"")</f>
        <v>0.83333333333333337</v>
      </c>
      <c r="D802" s="14">
        <f>IFERROR((VLOOKUP($A802,'[1]import success seats course'!$A:R,HLOOKUP('[1]Course Totals'!D$4,'[1]import success seats course'!$1:$2,2,FALSE),FALSE)/(VLOOKUP($A802,'[1]import graded seats course pivo'!$A:AB,HLOOKUP('[1]Course Totals'!D$4,'[1]import graded seats course pivo'!$1:$2,2,FALSE),FALSE))),"")</f>
        <v>1</v>
      </c>
      <c r="E802" s="14" t="str">
        <f>IFERROR((VLOOKUP($A802,'[1]import success seats course'!$A:S,HLOOKUP('[1]Course Totals'!E$4,'[1]import success seats course'!$1:$2,2,FALSE),FALSE)/(VLOOKUP($A802,'[1]import graded seats course pivo'!$A:AC,HLOOKUP('[1]Course Totals'!E$4,'[1]import graded seats course pivo'!$1:$2,2,FALSE),FALSE))),"")</f>
        <v/>
      </c>
      <c r="F802" s="14">
        <f>IFERROR((VLOOKUP($A802,'[1]import success seats course'!$A:T,HLOOKUP('[1]Course Totals'!F$4,'[1]import success seats course'!$1:$2,2,FALSE),FALSE)/(VLOOKUP($A802,'[1]import graded seats course pivo'!$A:AD,HLOOKUP('[1]Course Totals'!F$4,'[1]import graded seats course pivo'!$1:$2,2,FALSE),FALSE))),"")</f>
        <v>1</v>
      </c>
      <c r="G802" s="14">
        <f>IFERROR((VLOOKUP($A802,'[1]import success seats course'!$A:U,HLOOKUP('[1]Course Totals'!G$4,'[1]import success seats course'!$1:$2,2,FALSE),FALSE)/(VLOOKUP($A802,'[1]import graded seats course pivo'!$A:AE,HLOOKUP('[1]Course Totals'!G$4,'[1]import graded seats course pivo'!$1:$2,2,FALSE),FALSE))),"")</f>
        <v>1</v>
      </c>
      <c r="H802" s="14" t="str">
        <f>IFERROR((VLOOKUP($A802,'[1]import success seats course'!$A:V,HLOOKUP('[1]Course Totals'!H$4,'[1]import success seats course'!$1:$2,2,FALSE),FALSE)/(VLOOKUP($A802,'[1]import graded seats course pivo'!$A:AF,HLOOKUP('[1]Course Totals'!H$4,'[1]import graded seats course pivo'!$1:$2,2,FALSE),FALSE))),"")</f>
        <v/>
      </c>
      <c r="I802" s="14" t="str">
        <f>IFERROR((VLOOKUP($A802,'[1]import success seats course'!$A:W,HLOOKUP('[1]Course Totals'!I$4,'[1]import success seats course'!$1:$2,2,FALSE),FALSE)/(VLOOKUP($A802,'[1]import graded seats course pivo'!$A:AG,HLOOKUP('[1]Course Totals'!I$4,'[1]import graded seats course pivo'!$1:$2,2,FALSE),FALSE))),"")</f>
        <v/>
      </c>
      <c r="J802" s="14">
        <f>IFERROR((VLOOKUP($A802,'[1]import success seats course'!$A:X,HLOOKUP('[1]Course Totals'!J$4,'[1]import success seats course'!$1:$2,2,FALSE),FALSE)/(VLOOKUP($A802,'[1]import graded seats course pivo'!$A:AH,HLOOKUP('[1]Course Totals'!J$4,'[1]import graded seats course pivo'!$1:$2,2,FALSE),FALSE))),"")</f>
        <v>1</v>
      </c>
      <c r="K802" s="14" t="str">
        <f>IFERROR((VLOOKUP($A802,'[1]import success seats course'!$A:Y,HLOOKUP('[1]Course Totals'!K$4,'[1]import success seats course'!$1:$2,2,FALSE),FALSE)/(VLOOKUP($A802,'[1]import graded seats course pivo'!$A:AI,HLOOKUP('[1]Course Totals'!K$4,'[1]import graded seats course pivo'!$1:$2,2,FALSE),FALSE))),"")</f>
        <v/>
      </c>
      <c r="L802" s="14" t="str">
        <f>IFERROR((VLOOKUP($A802,'[1]import success seats course'!$A:Z,HLOOKUP('[1]Course Totals'!L$4,'[1]import success seats course'!$1:$2,2,FALSE),FALSE)/(VLOOKUP($A802,'[1]import graded seats course pivo'!$A:AJ,HLOOKUP('[1]Course Totals'!L$4,'[1]import graded seats course pivo'!$1:$2,2,FALSE),FALSE))),"")</f>
        <v/>
      </c>
      <c r="M802" s="14" t="str">
        <f>IFERROR((VLOOKUP($A802,'[1]import success seats course'!$A:AA,HLOOKUP('[1]Course Totals'!M$4,'[1]import success seats course'!$1:$2,2,FALSE),FALSE)/(VLOOKUP($A802,'[1]import graded seats course pivo'!$A:AK,HLOOKUP('[1]Course Totals'!M$4,'[1]import graded seats course pivo'!$1:$2,2,FALSE),FALSE))),"")</f>
        <v/>
      </c>
      <c r="N802" s="14" t="str">
        <f>IFERROR((VLOOKUP($A802,'[1]import success seats course'!$A:AB,HLOOKUP('[1]Course Totals'!N$4,'[1]import success seats course'!$1:$2,2,FALSE),FALSE)/(VLOOKUP($A802,'[1]import graded seats course pivo'!$A:AL,HLOOKUP('[1]Course Totals'!N$4,'[1]import graded seats course pivo'!$1:$2,2,FALSE),FALSE))),"")</f>
        <v/>
      </c>
      <c r="O802" s="14" t="str">
        <f>IFERROR((VLOOKUP($A802,'[1]import success seats course'!$A:AC,HLOOKUP('[1]Course Totals'!O$4,'[1]import success seats course'!$1:$2,2,FALSE),FALSE)/(VLOOKUP($A802,'[1]import graded seats course pivo'!$A:AM,HLOOKUP('[1]Course Totals'!O$4,'[1]import graded seats course pivo'!$1:$2,2,FALSE),FALSE))),"")</f>
        <v/>
      </c>
      <c r="P802" s="14" t="str">
        <f>IFERROR((VLOOKUP($A802,'[1]import success seats course'!$A:AD,HLOOKUP('[1]Course Totals'!P$4,'[1]import success seats course'!$1:$2,2,FALSE),FALSE)/(VLOOKUP($A802,'[1]import graded seats course pivo'!$A:AN,HLOOKUP('[1]Course Totals'!P$4,'[1]import graded seats course pivo'!$1:$2,2,FALSE),FALSE))),"")</f>
        <v/>
      </c>
      <c r="Q802" s="14" t="str">
        <f>IFERROR((VLOOKUP($A802,'[1]import success seats course'!$A:AE,HLOOKUP('[1]Course Totals'!Q$4,'[1]import success seats course'!$1:$2,2,FALSE),FALSE)/(VLOOKUP($A802,'[1]import graded seats course pivo'!$A:AO,HLOOKUP('[1]Course Totals'!Q$4,'[1]import graded seats course pivo'!$1:$2,2,FALSE),FALSE))),"")</f>
        <v/>
      </c>
      <c r="R802" s="14" t="str">
        <f>IFERROR((VLOOKUP($A802,'[1]import success seats course'!$A:AF,HLOOKUP('[1]Course Totals'!R$4,'[1]import success seats course'!$1:$2,2,FALSE),FALSE)/(VLOOKUP($A802,'[1]import graded seats course pivo'!$A:AP,HLOOKUP('[1]Course Totals'!R$4,'[1]import graded seats course pivo'!$1:$2,2,FALSE),FALSE))),"")</f>
        <v/>
      </c>
      <c r="S802" s="14" t="str">
        <f>IFERROR((VLOOKUP($A802,'[1]import success seats course'!$A:AG,HLOOKUP('[1]Course Totals'!S$4,'[1]import success seats course'!$1:$2,2,FALSE),FALSE)/(VLOOKUP($A802,'[1]import graded seats course pivo'!$A:AQ,HLOOKUP('[1]Course Totals'!S$4,'[1]import graded seats course pivo'!$1:$2,2,FALSE),FALSE))),"")</f>
        <v/>
      </c>
      <c r="Z802" s="7"/>
      <c r="AA802" s="7"/>
      <c r="AB802" s="7"/>
      <c r="AC802" s="7"/>
    </row>
    <row r="803" spans="1:29" ht="15.75" customHeight="1" x14ac:dyDescent="0.25">
      <c r="A803" s="12" t="s">
        <v>640</v>
      </c>
      <c r="B803" s="14" t="str">
        <f>IFERROR((VLOOKUP($A803,'[1]import success seats course'!$A:P,HLOOKUP('[1]Course Totals'!B$4,'[1]import success seats course'!$1:$2,2,FALSE),FALSE)/(VLOOKUP($A803,'[1]import graded seats course pivo'!$A:Z,HLOOKUP('[1]Course Totals'!B$4,'[1]import graded seats course pivo'!$1:$2,2,FALSE),FALSE))),"")</f>
        <v/>
      </c>
      <c r="C803" s="14" t="str">
        <f>IFERROR((VLOOKUP($A803,'[1]import success seats course'!$A:Q,HLOOKUP('[1]Course Totals'!C$4,'[1]import success seats course'!$1:$2,2,FALSE),FALSE)/(VLOOKUP($A803,'[1]import graded seats course pivo'!$A:AA,HLOOKUP('[1]Course Totals'!C$4,'[1]import graded seats course pivo'!$1:$2,2,FALSE),FALSE))),"")</f>
        <v/>
      </c>
      <c r="D803" s="14">
        <f>IFERROR((VLOOKUP($A803,'[1]import success seats course'!$A:R,HLOOKUP('[1]Course Totals'!D$4,'[1]import success seats course'!$1:$2,2,FALSE),FALSE)/(VLOOKUP($A803,'[1]import graded seats course pivo'!$A:AB,HLOOKUP('[1]Course Totals'!D$4,'[1]import graded seats course pivo'!$1:$2,2,FALSE),FALSE))),"")</f>
        <v>1</v>
      </c>
      <c r="E803" s="14">
        <f>IFERROR((VLOOKUP($A803,'[1]import success seats course'!$A:S,HLOOKUP('[1]Course Totals'!E$4,'[1]import success seats course'!$1:$2,2,FALSE),FALSE)/(VLOOKUP($A803,'[1]import graded seats course pivo'!$A:AC,HLOOKUP('[1]Course Totals'!E$4,'[1]import graded seats course pivo'!$1:$2,2,FALSE),FALSE))),"")</f>
        <v>1</v>
      </c>
      <c r="F803" s="14">
        <f>IFERROR((VLOOKUP($A803,'[1]import success seats course'!$A:T,HLOOKUP('[1]Course Totals'!F$4,'[1]import success seats course'!$1:$2,2,FALSE),FALSE)/(VLOOKUP($A803,'[1]import graded seats course pivo'!$A:AD,HLOOKUP('[1]Course Totals'!F$4,'[1]import graded seats course pivo'!$1:$2,2,FALSE),FALSE))),"")</f>
        <v>1</v>
      </c>
      <c r="G803" s="14">
        <f>IFERROR((VLOOKUP($A803,'[1]import success seats course'!$A:U,HLOOKUP('[1]Course Totals'!G$4,'[1]import success seats course'!$1:$2,2,FALSE),FALSE)/(VLOOKUP($A803,'[1]import graded seats course pivo'!$A:AE,HLOOKUP('[1]Course Totals'!G$4,'[1]import graded seats course pivo'!$1:$2,2,FALSE),FALSE))),"")</f>
        <v>1</v>
      </c>
      <c r="H803" s="14" t="str">
        <f>IFERROR((VLOOKUP($A803,'[1]import success seats course'!$A:V,HLOOKUP('[1]Course Totals'!H$4,'[1]import success seats course'!$1:$2,2,FALSE),FALSE)/(VLOOKUP($A803,'[1]import graded seats course pivo'!$A:AF,HLOOKUP('[1]Course Totals'!H$4,'[1]import graded seats course pivo'!$1:$2,2,FALSE),FALSE))),"")</f>
        <v/>
      </c>
      <c r="I803" s="14" t="str">
        <f>IFERROR((VLOOKUP($A803,'[1]import success seats course'!$A:W,HLOOKUP('[1]Course Totals'!I$4,'[1]import success seats course'!$1:$2,2,FALSE),FALSE)/(VLOOKUP($A803,'[1]import graded seats course pivo'!$A:AG,HLOOKUP('[1]Course Totals'!I$4,'[1]import graded seats course pivo'!$1:$2,2,FALSE),FALSE))),"")</f>
        <v/>
      </c>
      <c r="J803" s="14">
        <f>IFERROR((VLOOKUP($A803,'[1]import success seats course'!$A:X,HLOOKUP('[1]Course Totals'!J$4,'[1]import success seats course'!$1:$2,2,FALSE),FALSE)/(VLOOKUP($A803,'[1]import graded seats course pivo'!$A:AH,HLOOKUP('[1]Course Totals'!J$4,'[1]import graded seats course pivo'!$1:$2,2,FALSE),FALSE))),"")</f>
        <v>1</v>
      </c>
      <c r="K803" s="14" t="str">
        <f>IFERROR((VLOOKUP($A803,'[1]import success seats course'!$A:Y,HLOOKUP('[1]Course Totals'!K$4,'[1]import success seats course'!$1:$2,2,FALSE),FALSE)/(VLOOKUP($A803,'[1]import graded seats course pivo'!$A:AI,HLOOKUP('[1]Course Totals'!K$4,'[1]import graded seats course pivo'!$1:$2,2,FALSE),FALSE))),"")</f>
        <v/>
      </c>
      <c r="L803" s="14" t="str">
        <f>IFERROR((VLOOKUP($A803,'[1]import success seats course'!$A:Z,HLOOKUP('[1]Course Totals'!L$4,'[1]import success seats course'!$1:$2,2,FALSE),FALSE)/(VLOOKUP($A803,'[1]import graded seats course pivo'!$A:AJ,HLOOKUP('[1]Course Totals'!L$4,'[1]import graded seats course pivo'!$1:$2,2,FALSE),FALSE))),"")</f>
        <v/>
      </c>
      <c r="M803" s="14" t="str">
        <f>IFERROR((VLOOKUP($A803,'[1]import success seats course'!$A:AA,HLOOKUP('[1]Course Totals'!M$4,'[1]import success seats course'!$1:$2,2,FALSE),FALSE)/(VLOOKUP($A803,'[1]import graded seats course pivo'!$A:AK,HLOOKUP('[1]Course Totals'!M$4,'[1]import graded seats course pivo'!$1:$2,2,FALSE),FALSE))),"")</f>
        <v/>
      </c>
      <c r="N803" s="14" t="str">
        <f>IFERROR((VLOOKUP($A803,'[1]import success seats course'!$A:AB,HLOOKUP('[1]Course Totals'!N$4,'[1]import success seats course'!$1:$2,2,FALSE),FALSE)/(VLOOKUP($A803,'[1]import graded seats course pivo'!$A:AL,HLOOKUP('[1]Course Totals'!N$4,'[1]import graded seats course pivo'!$1:$2,2,FALSE),FALSE))),"")</f>
        <v/>
      </c>
      <c r="O803" s="14" t="str">
        <f>IFERROR((VLOOKUP($A803,'[1]import success seats course'!$A:AC,HLOOKUP('[1]Course Totals'!O$4,'[1]import success seats course'!$1:$2,2,FALSE),FALSE)/(VLOOKUP($A803,'[1]import graded seats course pivo'!$A:AM,HLOOKUP('[1]Course Totals'!O$4,'[1]import graded seats course pivo'!$1:$2,2,FALSE),FALSE))),"")</f>
        <v/>
      </c>
      <c r="P803" s="14" t="str">
        <f>IFERROR((VLOOKUP($A803,'[1]import success seats course'!$A:AD,HLOOKUP('[1]Course Totals'!P$4,'[1]import success seats course'!$1:$2,2,FALSE),FALSE)/(VLOOKUP($A803,'[1]import graded seats course pivo'!$A:AN,HLOOKUP('[1]Course Totals'!P$4,'[1]import graded seats course pivo'!$1:$2,2,FALSE),FALSE))),"")</f>
        <v/>
      </c>
      <c r="Q803" s="14">
        <f>IFERROR((VLOOKUP($A803,'[1]import success seats course'!$A:AE,HLOOKUP('[1]Course Totals'!Q$4,'[1]import success seats course'!$1:$2,2,FALSE),FALSE)/(VLOOKUP($A803,'[1]import graded seats course pivo'!$A:AO,HLOOKUP('[1]Course Totals'!Q$4,'[1]import graded seats course pivo'!$1:$2,2,FALSE),FALSE))),"")</f>
        <v>1</v>
      </c>
      <c r="R803" s="14" t="str">
        <f>IFERROR((VLOOKUP($A803,'[1]import success seats course'!$A:AF,HLOOKUP('[1]Course Totals'!R$4,'[1]import success seats course'!$1:$2,2,FALSE),FALSE)/(VLOOKUP($A803,'[1]import graded seats course pivo'!$A:AP,HLOOKUP('[1]Course Totals'!R$4,'[1]import graded seats course pivo'!$1:$2,2,FALSE),FALSE))),"")</f>
        <v/>
      </c>
      <c r="S803" s="14" t="str">
        <f>IFERROR((VLOOKUP($A803,'[1]import success seats course'!$A:AG,HLOOKUP('[1]Course Totals'!S$4,'[1]import success seats course'!$1:$2,2,FALSE),FALSE)/(VLOOKUP($A803,'[1]import graded seats course pivo'!$A:AQ,HLOOKUP('[1]Course Totals'!S$4,'[1]import graded seats course pivo'!$1:$2,2,FALSE),FALSE))),"")</f>
        <v/>
      </c>
      <c r="Z803" s="7"/>
      <c r="AA803" s="7"/>
      <c r="AB803" s="7"/>
      <c r="AC803" s="7"/>
    </row>
    <row r="804" spans="1:29" ht="15.75" x14ac:dyDescent="0.25">
      <c r="A804" s="9" t="s">
        <v>1139</v>
      </c>
      <c r="B804" s="67" t="str">
        <f>'[1]Subject TOTALS'!$B$1:$P$1</f>
        <v xml:space="preserve">MVC Retention Rates </v>
      </c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Z804" s="7"/>
      <c r="AA804" s="7"/>
      <c r="AB804" s="7"/>
      <c r="AC804" s="7"/>
    </row>
    <row r="805" spans="1:29" ht="15.75" customHeight="1" thickBot="1" x14ac:dyDescent="0.3">
      <c r="A805" s="8" t="str">
        <f>'[1]SUBJECTS BASE'!H47</f>
        <v>Music</v>
      </c>
      <c r="B805" s="38" t="s">
        <v>1046</v>
      </c>
      <c r="C805" s="39" t="s">
        <v>0</v>
      </c>
      <c r="D805" s="40" t="s">
        <v>868</v>
      </c>
      <c r="E805" s="41" t="s">
        <v>1052</v>
      </c>
      <c r="F805" s="42" t="s">
        <v>546</v>
      </c>
      <c r="G805" s="43" t="s">
        <v>959</v>
      </c>
      <c r="H805" s="44" t="s">
        <v>1060</v>
      </c>
      <c r="I805" s="39" t="s">
        <v>675</v>
      </c>
      <c r="J805" s="45" t="s">
        <v>1006</v>
      </c>
      <c r="K805" s="46" t="s">
        <v>1062</v>
      </c>
      <c r="L805" s="42" t="s">
        <v>762</v>
      </c>
      <c r="M805" s="43" t="s">
        <v>1022</v>
      </c>
      <c r="N805" s="44" t="s">
        <v>1063</v>
      </c>
      <c r="O805" s="39" t="s">
        <v>822</v>
      </c>
      <c r="P805" s="40" t="s">
        <v>1042</v>
      </c>
      <c r="Q805" s="46" t="s">
        <v>1153</v>
      </c>
      <c r="R805" s="42" t="s">
        <v>1154</v>
      </c>
      <c r="S805" s="43" t="s">
        <v>1155</v>
      </c>
      <c r="Z805" s="7"/>
      <c r="AA805" s="7"/>
      <c r="AB805" s="7"/>
      <c r="AC805" s="7"/>
    </row>
    <row r="806" spans="1:29" ht="15.75" customHeight="1" x14ac:dyDescent="0.25">
      <c r="A806" s="12" t="s">
        <v>994</v>
      </c>
      <c r="B806" s="14" t="str">
        <f>IFERROR((VLOOKUP($A806,'[1]import success seats course'!$A:P,HLOOKUP('[1]Course Totals'!B$4,'[1]import success seats course'!$1:$2,2,FALSE),FALSE)/(VLOOKUP($A806,'[1]import graded seats course pivo'!$A:Z,HLOOKUP('[1]Course Totals'!B$4,'[1]import graded seats course pivo'!$1:$2,2,FALSE),FALSE))),"")</f>
        <v/>
      </c>
      <c r="C806" s="14" t="str">
        <f>IFERROR((VLOOKUP($A806,'[1]import success seats course'!$A:Q,HLOOKUP('[1]Course Totals'!C$4,'[1]import success seats course'!$1:$2,2,FALSE),FALSE)/(VLOOKUP($A806,'[1]import graded seats course pivo'!$A:AA,HLOOKUP('[1]Course Totals'!C$4,'[1]import graded seats course pivo'!$1:$2,2,FALSE),FALSE))),"")</f>
        <v/>
      </c>
      <c r="D806" s="14" t="str">
        <f>IFERROR((VLOOKUP($A806,'[1]import success seats course'!$A:R,HLOOKUP('[1]Course Totals'!D$4,'[1]import success seats course'!$1:$2,2,FALSE),FALSE)/(VLOOKUP($A806,'[1]import graded seats course pivo'!$A:AB,HLOOKUP('[1]Course Totals'!D$4,'[1]import graded seats course pivo'!$1:$2,2,FALSE),FALSE))),"")</f>
        <v/>
      </c>
      <c r="E806" s="14" t="str">
        <f>IFERROR((VLOOKUP($A806,'[1]import success seats course'!$A:S,HLOOKUP('[1]Course Totals'!E$4,'[1]import success seats course'!$1:$2,2,FALSE),FALSE)/(VLOOKUP($A806,'[1]import graded seats course pivo'!$A:AC,HLOOKUP('[1]Course Totals'!E$4,'[1]import graded seats course pivo'!$1:$2,2,FALSE),FALSE))),"")</f>
        <v/>
      </c>
      <c r="F806" s="14" t="str">
        <f>IFERROR((VLOOKUP($A806,'[1]import success seats course'!$A:T,HLOOKUP('[1]Course Totals'!F$4,'[1]import success seats course'!$1:$2,2,FALSE),FALSE)/(VLOOKUP($A806,'[1]import graded seats course pivo'!$A:AD,HLOOKUP('[1]Course Totals'!F$4,'[1]import graded seats course pivo'!$1:$2,2,FALSE),FALSE))),"")</f>
        <v/>
      </c>
      <c r="G806" s="14">
        <f>IFERROR((VLOOKUP($A806,'[1]import success seats course'!$A:U,HLOOKUP('[1]Course Totals'!G$4,'[1]import success seats course'!$1:$2,2,FALSE),FALSE)/(VLOOKUP($A806,'[1]import graded seats course pivo'!$A:AE,HLOOKUP('[1]Course Totals'!G$4,'[1]import graded seats course pivo'!$1:$2,2,FALSE),FALSE))),"")</f>
        <v>1</v>
      </c>
      <c r="H806" s="14" t="str">
        <f>IFERROR((VLOOKUP($A806,'[1]import success seats course'!$A:V,HLOOKUP('[1]Course Totals'!H$4,'[1]import success seats course'!$1:$2,2,FALSE),FALSE)/(VLOOKUP($A806,'[1]import graded seats course pivo'!$A:AF,HLOOKUP('[1]Course Totals'!H$4,'[1]import graded seats course pivo'!$1:$2,2,FALSE),FALSE))),"")</f>
        <v/>
      </c>
      <c r="I806" s="14" t="str">
        <f>IFERROR((VLOOKUP($A806,'[1]import success seats course'!$A:W,HLOOKUP('[1]Course Totals'!I$4,'[1]import success seats course'!$1:$2,2,FALSE),FALSE)/(VLOOKUP($A806,'[1]import graded seats course pivo'!$A:AG,HLOOKUP('[1]Course Totals'!I$4,'[1]import graded seats course pivo'!$1:$2,2,FALSE),FALSE))),"")</f>
        <v/>
      </c>
      <c r="J806" s="14" t="str">
        <f>IFERROR((VLOOKUP($A806,'[1]import success seats course'!$A:X,HLOOKUP('[1]Course Totals'!J$4,'[1]import success seats course'!$1:$2,2,FALSE),FALSE)/(VLOOKUP($A806,'[1]import graded seats course pivo'!$A:AH,HLOOKUP('[1]Course Totals'!J$4,'[1]import graded seats course pivo'!$1:$2,2,FALSE),FALSE))),"")</f>
        <v/>
      </c>
      <c r="K806" s="14" t="str">
        <f>IFERROR((VLOOKUP($A806,'[1]import success seats course'!$A:Y,HLOOKUP('[1]Course Totals'!K$4,'[1]import success seats course'!$1:$2,2,FALSE),FALSE)/(VLOOKUP($A806,'[1]import graded seats course pivo'!$A:AI,HLOOKUP('[1]Course Totals'!K$4,'[1]import graded seats course pivo'!$1:$2,2,FALSE),FALSE))),"")</f>
        <v/>
      </c>
      <c r="L806" s="14" t="str">
        <f>IFERROR((VLOOKUP($A806,'[1]import success seats course'!$A:Z,HLOOKUP('[1]Course Totals'!L$4,'[1]import success seats course'!$1:$2,2,FALSE),FALSE)/(VLOOKUP($A806,'[1]import graded seats course pivo'!$A:AJ,HLOOKUP('[1]Course Totals'!L$4,'[1]import graded seats course pivo'!$1:$2,2,FALSE),FALSE))),"")</f>
        <v/>
      </c>
      <c r="M806" s="14" t="str">
        <f>IFERROR((VLOOKUP($A806,'[1]import success seats course'!$A:AA,HLOOKUP('[1]Course Totals'!M$4,'[1]import success seats course'!$1:$2,2,FALSE),FALSE)/(VLOOKUP($A806,'[1]import graded seats course pivo'!$A:AK,HLOOKUP('[1]Course Totals'!M$4,'[1]import graded seats course pivo'!$1:$2,2,FALSE),FALSE))),"")</f>
        <v/>
      </c>
      <c r="N806" s="14" t="str">
        <f>IFERROR((VLOOKUP($A806,'[1]import success seats course'!$A:AB,HLOOKUP('[1]Course Totals'!N$4,'[1]import success seats course'!$1:$2,2,FALSE),FALSE)/(VLOOKUP($A806,'[1]import graded seats course pivo'!$A:AL,HLOOKUP('[1]Course Totals'!N$4,'[1]import graded seats course pivo'!$1:$2,2,FALSE),FALSE))),"")</f>
        <v/>
      </c>
      <c r="O806" s="14" t="str">
        <f>IFERROR((VLOOKUP($A806,'[1]import success seats course'!$A:AC,HLOOKUP('[1]Course Totals'!O$4,'[1]import success seats course'!$1:$2,2,FALSE),FALSE)/(VLOOKUP($A806,'[1]import graded seats course pivo'!$A:AM,HLOOKUP('[1]Course Totals'!O$4,'[1]import graded seats course pivo'!$1:$2,2,FALSE),FALSE))),"")</f>
        <v/>
      </c>
      <c r="P806" s="14" t="str">
        <f>IFERROR((VLOOKUP($A806,'[1]import success seats course'!$A:AD,HLOOKUP('[1]Course Totals'!P$4,'[1]import success seats course'!$1:$2,2,FALSE),FALSE)/(VLOOKUP($A806,'[1]import graded seats course pivo'!$A:AN,HLOOKUP('[1]Course Totals'!P$4,'[1]import graded seats course pivo'!$1:$2,2,FALSE),FALSE))),"")</f>
        <v/>
      </c>
      <c r="Q806" s="14" t="str">
        <f>IFERROR((VLOOKUP($A806,'[1]import success seats course'!$A:AE,HLOOKUP('[1]Course Totals'!Q$4,'[1]import success seats course'!$1:$2,2,FALSE),FALSE)/(VLOOKUP($A806,'[1]import graded seats course pivo'!$A:AO,HLOOKUP('[1]Course Totals'!Q$4,'[1]import graded seats course pivo'!$1:$2,2,FALSE),FALSE))),"")</f>
        <v/>
      </c>
      <c r="R806" s="14" t="str">
        <f>IFERROR((VLOOKUP($A806,'[1]import success seats course'!$A:AF,HLOOKUP('[1]Course Totals'!R$4,'[1]import success seats course'!$1:$2,2,FALSE),FALSE)/(VLOOKUP($A806,'[1]import graded seats course pivo'!$A:AP,HLOOKUP('[1]Course Totals'!R$4,'[1]import graded seats course pivo'!$1:$2,2,FALSE),FALSE))),"")</f>
        <v/>
      </c>
      <c r="S806" s="14" t="str">
        <f>IFERROR((VLOOKUP($A806,'[1]import success seats course'!$A:AG,HLOOKUP('[1]Course Totals'!S$4,'[1]import success seats course'!$1:$2,2,FALSE),FALSE)/(VLOOKUP($A806,'[1]import graded seats course pivo'!$A:AQ,HLOOKUP('[1]Course Totals'!S$4,'[1]import graded seats course pivo'!$1:$2,2,FALSE),FALSE))),"")</f>
        <v/>
      </c>
      <c r="Z806" s="7"/>
      <c r="AA806" s="7"/>
      <c r="AB806" s="7"/>
      <c r="AC806" s="7"/>
    </row>
    <row r="807" spans="1:29" ht="15.75" customHeight="1" x14ac:dyDescent="0.25">
      <c r="A807" s="12" t="s">
        <v>372</v>
      </c>
      <c r="B807" s="14" t="str">
        <f>IFERROR((VLOOKUP($A807,'[1]import success seats course'!$A:P,HLOOKUP('[1]Course Totals'!B$4,'[1]import success seats course'!$1:$2,2,FALSE),FALSE)/(VLOOKUP($A807,'[1]import graded seats course pivo'!$A:Z,HLOOKUP('[1]Course Totals'!B$4,'[1]import graded seats course pivo'!$1:$2,2,FALSE),FALSE))),"")</f>
        <v/>
      </c>
      <c r="C807" s="14">
        <f>IFERROR((VLOOKUP($A807,'[1]import success seats course'!$A:Q,HLOOKUP('[1]Course Totals'!C$4,'[1]import success seats course'!$1:$2,2,FALSE),FALSE)/(VLOOKUP($A807,'[1]import graded seats course pivo'!$A:AA,HLOOKUP('[1]Course Totals'!C$4,'[1]import graded seats course pivo'!$1:$2,2,FALSE),FALSE))),"")</f>
        <v>0.81318681318681318</v>
      </c>
      <c r="D807" s="14">
        <f>IFERROR((VLOOKUP($A807,'[1]import success seats course'!$A:R,HLOOKUP('[1]Course Totals'!D$4,'[1]import success seats course'!$1:$2,2,FALSE),FALSE)/(VLOOKUP($A807,'[1]import graded seats course pivo'!$A:AB,HLOOKUP('[1]Course Totals'!D$4,'[1]import graded seats course pivo'!$1:$2,2,FALSE),FALSE))),"")</f>
        <v>0.7857142857142857</v>
      </c>
      <c r="E807" s="14">
        <f>IFERROR((VLOOKUP($A807,'[1]import success seats course'!$A:S,HLOOKUP('[1]Course Totals'!E$4,'[1]import success seats course'!$1:$2,2,FALSE),FALSE)/(VLOOKUP($A807,'[1]import graded seats course pivo'!$A:AC,HLOOKUP('[1]Course Totals'!E$4,'[1]import graded seats course pivo'!$1:$2,2,FALSE),FALSE))),"")</f>
        <v>1</v>
      </c>
      <c r="F807" s="14">
        <f>IFERROR((VLOOKUP($A807,'[1]import success seats course'!$A:T,HLOOKUP('[1]Course Totals'!F$4,'[1]import success seats course'!$1:$2,2,FALSE),FALSE)/(VLOOKUP($A807,'[1]import graded seats course pivo'!$A:AD,HLOOKUP('[1]Course Totals'!F$4,'[1]import graded seats course pivo'!$1:$2,2,FALSE),FALSE))),"")</f>
        <v>0.83703703703703702</v>
      </c>
      <c r="G807" s="14">
        <f>IFERROR((VLOOKUP($A807,'[1]import success seats course'!$A:U,HLOOKUP('[1]Course Totals'!G$4,'[1]import success seats course'!$1:$2,2,FALSE),FALSE)/(VLOOKUP($A807,'[1]import graded seats course pivo'!$A:AE,HLOOKUP('[1]Course Totals'!G$4,'[1]import graded seats course pivo'!$1:$2,2,FALSE),FALSE))),"")</f>
        <v>0.8571428571428571</v>
      </c>
      <c r="H807" s="14" t="str">
        <f>IFERROR((VLOOKUP($A807,'[1]import success seats course'!$A:V,HLOOKUP('[1]Course Totals'!H$4,'[1]import success seats course'!$1:$2,2,FALSE),FALSE)/(VLOOKUP($A807,'[1]import graded seats course pivo'!$A:AF,HLOOKUP('[1]Course Totals'!H$4,'[1]import graded seats course pivo'!$1:$2,2,FALSE),FALSE))),"")</f>
        <v/>
      </c>
      <c r="I807" s="14">
        <f>IFERROR((VLOOKUP($A807,'[1]import success seats course'!$A:W,HLOOKUP('[1]Course Totals'!I$4,'[1]import success seats course'!$1:$2,2,FALSE),FALSE)/(VLOOKUP($A807,'[1]import graded seats course pivo'!$A:AG,HLOOKUP('[1]Course Totals'!I$4,'[1]import graded seats course pivo'!$1:$2,2,FALSE),FALSE))),"")</f>
        <v>0.86923076923076925</v>
      </c>
      <c r="J807" s="14">
        <f>IFERROR((VLOOKUP($A807,'[1]import success seats course'!$A:X,HLOOKUP('[1]Course Totals'!J$4,'[1]import success seats course'!$1:$2,2,FALSE),FALSE)/(VLOOKUP($A807,'[1]import graded seats course pivo'!$A:AH,HLOOKUP('[1]Course Totals'!J$4,'[1]import graded seats course pivo'!$1:$2,2,FALSE),FALSE))),"")</f>
        <v>0.91549295774647887</v>
      </c>
      <c r="K807" s="14" t="str">
        <f>IFERROR((VLOOKUP($A807,'[1]import success seats course'!$A:Y,HLOOKUP('[1]Course Totals'!K$4,'[1]import success seats course'!$1:$2,2,FALSE),FALSE)/(VLOOKUP($A807,'[1]import graded seats course pivo'!$A:AI,HLOOKUP('[1]Course Totals'!K$4,'[1]import graded seats course pivo'!$1:$2,2,FALSE),FALSE))),"")</f>
        <v/>
      </c>
      <c r="L807" s="14">
        <f>IFERROR((VLOOKUP($A807,'[1]import success seats course'!$A:Z,HLOOKUP('[1]Course Totals'!L$4,'[1]import success seats course'!$1:$2,2,FALSE),FALSE)/(VLOOKUP($A807,'[1]import graded seats course pivo'!$A:AJ,HLOOKUP('[1]Course Totals'!L$4,'[1]import graded seats course pivo'!$1:$2,2,FALSE),FALSE))),"")</f>
        <v>0.9242424242424242</v>
      </c>
      <c r="M807" s="14">
        <f>IFERROR((VLOOKUP($A807,'[1]import success seats course'!$A:AA,HLOOKUP('[1]Course Totals'!M$4,'[1]import success seats course'!$1:$2,2,FALSE),FALSE)/(VLOOKUP($A807,'[1]import graded seats course pivo'!$A:AK,HLOOKUP('[1]Course Totals'!M$4,'[1]import graded seats course pivo'!$1:$2,2,FALSE),FALSE))),"")</f>
        <v>0.88888888888888884</v>
      </c>
      <c r="N807" s="14" t="str">
        <f>IFERROR((VLOOKUP($A807,'[1]import success seats course'!$A:AB,HLOOKUP('[1]Course Totals'!N$4,'[1]import success seats course'!$1:$2,2,FALSE),FALSE)/(VLOOKUP($A807,'[1]import graded seats course pivo'!$A:AL,HLOOKUP('[1]Course Totals'!N$4,'[1]import graded seats course pivo'!$1:$2,2,FALSE),FALSE))),"")</f>
        <v/>
      </c>
      <c r="O807" s="14">
        <f>IFERROR((VLOOKUP($A807,'[1]import success seats course'!$A:AC,HLOOKUP('[1]Course Totals'!O$4,'[1]import success seats course'!$1:$2,2,FALSE),FALSE)/(VLOOKUP($A807,'[1]import graded seats course pivo'!$A:AM,HLOOKUP('[1]Course Totals'!O$4,'[1]import graded seats course pivo'!$1:$2,2,FALSE),FALSE))),"")</f>
        <v>0.93333333333333335</v>
      </c>
      <c r="P807" s="14">
        <f>IFERROR((VLOOKUP($A807,'[1]import success seats course'!$A:AD,HLOOKUP('[1]Course Totals'!P$4,'[1]import success seats course'!$1:$2,2,FALSE),FALSE)/(VLOOKUP($A807,'[1]import graded seats course pivo'!$A:AN,HLOOKUP('[1]Course Totals'!P$4,'[1]import graded seats course pivo'!$1:$2,2,FALSE),FALSE))),"")</f>
        <v>0.91056910569105687</v>
      </c>
      <c r="Q807" s="14" t="str">
        <f>IFERROR((VLOOKUP($A807,'[1]import success seats course'!$A:AE,HLOOKUP('[1]Course Totals'!Q$4,'[1]import success seats course'!$1:$2,2,FALSE),FALSE)/(VLOOKUP($A807,'[1]import graded seats course pivo'!$A:AO,HLOOKUP('[1]Course Totals'!Q$4,'[1]import graded seats course pivo'!$1:$2,2,FALSE),FALSE))),"")</f>
        <v/>
      </c>
      <c r="R807" s="14">
        <f>IFERROR((VLOOKUP($A807,'[1]import success seats course'!$A:AF,HLOOKUP('[1]Course Totals'!R$4,'[1]import success seats course'!$1:$2,2,FALSE),FALSE)/(VLOOKUP($A807,'[1]import graded seats course pivo'!$A:AP,HLOOKUP('[1]Course Totals'!R$4,'[1]import graded seats course pivo'!$1:$2,2,FALSE),FALSE))),"")</f>
        <v>0.96341463414634143</v>
      </c>
      <c r="S807" s="14">
        <f>IFERROR((VLOOKUP($A807,'[1]import success seats course'!$A:AG,HLOOKUP('[1]Course Totals'!S$4,'[1]import success seats course'!$1:$2,2,FALSE),FALSE)/(VLOOKUP($A807,'[1]import graded seats course pivo'!$A:AQ,HLOOKUP('[1]Course Totals'!S$4,'[1]import graded seats course pivo'!$1:$2,2,FALSE),FALSE))),"")</f>
        <v>0.91666666666666663</v>
      </c>
      <c r="Z807" s="7"/>
      <c r="AA807" s="7"/>
      <c r="AB807" s="7"/>
      <c r="AC807" s="7"/>
    </row>
    <row r="808" spans="1:29" ht="15.75" customHeight="1" x14ac:dyDescent="0.25">
      <c r="A808" s="12" t="s">
        <v>641</v>
      </c>
      <c r="B808" s="14" t="str">
        <f>IFERROR((VLOOKUP($A808,'[1]import success seats course'!$A:P,HLOOKUP('[1]Course Totals'!B$4,'[1]import success seats course'!$1:$2,2,FALSE),FALSE)/(VLOOKUP($A808,'[1]import graded seats course pivo'!$A:Z,HLOOKUP('[1]Course Totals'!B$4,'[1]import graded seats course pivo'!$1:$2,2,FALSE),FALSE))),"")</f>
        <v/>
      </c>
      <c r="C808" s="14" t="str">
        <f>IFERROR((VLOOKUP($A808,'[1]import success seats course'!$A:Q,HLOOKUP('[1]Course Totals'!C$4,'[1]import success seats course'!$1:$2,2,FALSE),FALSE)/(VLOOKUP($A808,'[1]import graded seats course pivo'!$A:AA,HLOOKUP('[1]Course Totals'!C$4,'[1]import graded seats course pivo'!$1:$2,2,FALSE),FALSE))),"")</f>
        <v/>
      </c>
      <c r="D808" s="14">
        <f>IFERROR((VLOOKUP($A808,'[1]import success seats course'!$A:R,HLOOKUP('[1]Course Totals'!D$4,'[1]import success seats course'!$1:$2,2,FALSE),FALSE)/(VLOOKUP($A808,'[1]import graded seats course pivo'!$A:AB,HLOOKUP('[1]Course Totals'!D$4,'[1]import graded seats course pivo'!$1:$2,2,FALSE),FALSE))),"")</f>
        <v>1</v>
      </c>
      <c r="E808" s="14" t="str">
        <f>IFERROR((VLOOKUP($A808,'[1]import success seats course'!$A:S,HLOOKUP('[1]Course Totals'!E$4,'[1]import success seats course'!$1:$2,2,FALSE),FALSE)/(VLOOKUP($A808,'[1]import graded seats course pivo'!$A:AC,HLOOKUP('[1]Course Totals'!E$4,'[1]import graded seats course pivo'!$1:$2,2,FALSE),FALSE))),"")</f>
        <v/>
      </c>
      <c r="F808" s="14" t="str">
        <f>IFERROR((VLOOKUP($A808,'[1]import success seats course'!$A:T,HLOOKUP('[1]Course Totals'!F$4,'[1]import success seats course'!$1:$2,2,FALSE),FALSE)/(VLOOKUP($A808,'[1]import graded seats course pivo'!$A:AD,HLOOKUP('[1]Course Totals'!F$4,'[1]import graded seats course pivo'!$1:$2,2,FALSE),FALSE))),"")</f>
        <v/>
      </c>
      <c r="G808" s="14" t="str">
        <f>IFERROR((VLOOKUP($A808,'[1]import success seats course'!$A:U,HLOOKUP('[1]Course Totals'!G$4,'[1]import success seats course'!$1:$2,2,FALSE),FALSE)/(VLOOKUP($A808,'[1]import graded seats course pivo'!$A:AE,HLOOKUP('[1]Course Totals'!G$4,'[1]import graded seats course pivo'!$1:$2,2,FALSE),FALSE))),"")</f>
        <v/>
      </c>
      <c r="H808" s="14" t="str">
        <f>IFERROR((VLOOKUP($A808,'[1]import success seats course'!$A:V,HLOOKUP('[1]Course Totals'!H$4,'[1]import success seats course'!$1:$2,2,FALSE),FALSE)/(VLOOKUP($A808,'[1]import graded seats course pivo'!$A:AF,HLOOKUP('[1]Course Totals'!H$4,'[1]import graded seats course pivo'!$1:$2,2,FALSE),FALSE))),"")</f>
        <v/>
      </c>
      <c r="I808" s="14" t="str">
        <f>IFERROR((VLOOKUP($A808,'[1]import success seats course'!$A:W,HLOOKUP('[1]Course Totals'!I$4,'[1]import success seats course'!$1:$2,2,FALSE),FALSE)/(VLOOKUP($A808,'[1]import graded seats course pivo'!$A:AG,HLOOKUP('[1]Course Totals'!I$4,'[1]import graded seats course pivo'!$1:$2,2,FALSE),FALSE))),"")</f>
        <v/>
      </c>
      <c r="J808" s="14" t="str">
        <f>IFERROR((VLOOKUP($A808,'[1]import success seats course'!$A:X,HLOOKUP('[1]Course Totals'!J$4,'[1]import success seats course'!$1:$2,2,FALSE),FALSE)/(VLOOKUP($A808,'[1]import graded seats course pivo'!$A:AH,HLOOKUP('[1]Course Totals'!J$4,'[1]import graded seats course pivo'!$1:$2,2,FALSE),FALSE))),"")</f>
        <v/>
      </c>
      <c r="K808" s="14" t="str">
        <f>IFERROR((VLOOKUP($A808,'[1]import success seats course'!$A:Y,HLOOKUP('[1]Course Totals'!K$4,'[1]import success seats course'!$1:$2,2,FALSE),FALSE)/(VLOOKUP($A808,'[1]import graded seats course pivo'!$A:AI,HLOOKUP('[1]Course Totals'!K$4,'[1]import graded seats course pivo'!$1:$2,2,FALSE),FALSE))),"")</f>
        <v/>
      </c>
      <c r="L808" s="14" t="str">
        <f>IFERROR((VLOOKUP($A808,'[1]import success seats course'!$A:Z,HLOOKUP('[1]Course Totals'!L$4,'[1]import success seats course'!$1:$2,2,FALSE),FALSE)/(VLOOKUP($A808,'[1]import graded seats course pivo'!$A:AJ,HLOOKUP('[1]Course Totals'!L$4,'[1]import graded seats course pivo'!$1:$2,2,FALSE),FALSE))),"")</f>
        <v/>
      </c>
      <c r="M808" s="14">
        <f>IFERROR((VLOOKUP($A808,'[1]import success seats course'!$A:AA,HLOOKUP('[1]Course Totals'!M$4,'[1]import success seats course'!$1:$2,2,FALSE),FALSE)/(VLOOKUP($A808,'[1]import graded seats course pivo'!$A:AK,HLOOKUP('[1]Course Totals'!M$4,'[1]import graded seats course pivo'!$1:$2,2,FALSE),FALSE))),"")</f>
        <v>1</v>
      </c>
      <c r="N808" s="14" t="str">
        <f>IFERROR((VLOOKUP($A808,'[1]import success seats course'!$A:AB,HLOOKUP('[1]Course Totals'!N$4,'[1]import success seats course'!$1:$2,2,FALSE),FALSE)/(VLOOKUP($A808,'[1]import graded seats course pivo'!$A:AL,HLOOKUP('[1]Course Totals'!N$4,'[1]import graded seats course pivo'!$1:$2,2,FALSE),FALSE))),"")</f>
        <v/>
      </c>
      <c r="O808" s="14" t="str">
        <f>IFERROR((VLOOKUP($A808,'[1]import success seats course'!$A:AC,HLOOKUP('[1]Course Totals'!O$4,'[1]import success seats course'!$1:$2,2,FALSE),FALSE)/(VLOOKUP($A808,'[1]import graded seats course pivo'!$A:AM,HLOOKUP('[1]Course Totals'!O$4,'[1]import graded seats course pivo'!$1:$2,2,FALSE),FALSE))),"")</f>
        <v/>
      </c>
      <c r="P808" s="14">
        <f>IFERROR((VLOOKUP($A808,'[1]import success seats course'!$A:AD,HLOOKUP('[1]Course Totals'!P$4,'[1]import success seats course'!$1:$2,2,FALSE),FALSE)/(VLOOKUP($A808,'[1]import graded seats course pivo'!$A:AN,HLOOKUP('[1]Course Totals'!P$4,'[1]import graded seats course pivo'!$1:$2,2,FALSE),FALSE))),"")</f>
        <v>1</v>
      </c>
      <c r="Q808" s="14" t="str">
        <f>IFERROR((VLOOKUP($A808,'[1]import success seats course'!$A:AE,HLOOKUP('[1]Course Totals'!Q$4,'[1]import success seats course'!$1:$2,2,FALSE),FALSE)/(VLOOKUP($A808,'[1]import graded seats course pivo'!$A:AO,HLOOKUP('[1]Course Totals'!Q$4,'[1]import graded seats course pivo'!$1:$2,2,FALSE),FALSE))),"")</f>
        <v/>
      </c>
      <c r="R808" s="14">
        <f>IFERROR((VLOOKUP($A808,'[1]import success seats course'!$A:AF,HLOOKUP('[1]Course Totals'!R$4,'[1]import success seats course'!$1:$2,2,FALSE),FALSE)/(VLOOKUP($A808,'[1]import graded seats course pivo'!$A:AP,HLOOKUP('[1]Course Totals'!R$4,'[1]import graded seats course pivo'!$1:$2,2,FALSE),FALSE))),"")</f>
        <v>1</v>
      </c>
      <c r="S808" s="14">
        <f>IFERROR((VLOOKUP($A808,'[1]import success seats course'!$A:AG,HLOOKUP('[1]Course Totals'!S$4,'[1]import success seats course'!$1:$2,2,FALSE),FALSE)/(VLOOKUP($A808,'[1]import graded seats course pivo'!$A:AQ,HLOOKUP('[1]Course Totals'!S$4,'[1]import graded seats course pivo'!$1:$2,2,FALSE),FALSE))),"")</f>
        <v>0.75</v>
      </c>
      <c r="Z808" s="7"/>
      <c r="AA808" s="7"/>
      <c r="AB808" s="7"/>
      <c r="AC808" s="7"/>
    </row>
    <row r="809" spans="1:29" ht="15.75" customHeight="1" x14ac:dyDescent="0.25">
      <c r="A809" s="12" t="s">
        <v>373</v>
      </c>
      <c r="B809" s="14" t="str">
        <f>IFERROR((VLOOKUP($A809,'[1]import success seats course'!$A:P,HLOOKUP('[1]Course Totals'!B$4,'[1]import success seats course'!$1:$2,2,FALSE),FALSE)/(VLOOKUP($A809,'[1]import graded seats course pivo'!$A:Z,HLOOKUP('[1]Course Totals'!B$4,'[1]import graded seats course pivo'!$1:$2,2,FALSE),FALSE))),"")</f>
        <v/>
      </c>
      <c r="C809" s="14">
        <f>IFERROR((VLOOKUP($A809,'[1]import success seats course'!$A:Q,HLOOKUP('[1]Course Totals'!C$4,'[1]import success seats course'!$1:$2,2,FALSE),FALSE)/(VLOOKUP($A809,'[1]import graded seats course pivo'!$A:AA,HLOOKUP('[1]Course Totals'!C$4,'[1]import graded seats course pivo'!$1:$2,2,FALSE),FALSE))),"")</f>
        <v>0.61538461538461542</v>
      </c>
      <c r="D809" s="14">
        <f>IFERROR((VLOOKUP($A809,'[1]import success seats course'!$A:R,HLOOKUP('[1]Course Totals'!D$4,'[1]import success seats course'!$1:$2,2,FALSE),FALSE)/(VLOOKUP($A809,'[1]import graded seats course pivo'!$A:AB,HLOOKUP('[1]Course Totals'!D$4,'[1]import graded seats course pivo'!$1:$2,2,FALSE),FALSE))),"")</f>
        <v>0.75</v>
      </c>
      <c r="E809" s="14" t="str">
        <f>IFERROR((VLOOKUP($A809,'[1]import success seats course'!$A:S,HLOOKUP('[1]Course Totals'!E$4,'[1]import success seats course'!$1:$2,2,FALSE),FALSE)/(VLOOKUP($A809,'[1]import graded seats course pivo'!$A:AC,HLOOKUP('[1]Course Totals'!E$4,'[1]import graded seats course pivo'!$1:$2,2,FALSE),FALSE))),"")</f>
        <v/>
      </c>
      <c r="F809" s="14">
        <f>IFERROR((VLOOKUP($A809,'[1]import success seats course'!$A:T,HLOOKUP('[1]Course Totals'!F$4,'[1]import success seats course'!$1:$2,2,FALSE),FALSE)/(VLOOKUP($A809,'[1]import graded seats course pivo'!$A:AD,HLOOKUP('[1]Course Totals'!F$4,'[1]import graded seats course pivo'!$1:$2,2,FALSE),FALSE))),"")</f>
        <v>0.7466666666666667</v>
      </c>
      <c r="G809" s="14">
        <f>IFERROR((VLOOKUP($A809,'[1]import success seats course'!$A:U,HLOOKUP('[1]Course Totals'!G$4,'[1]import success seats course'!$1:$2,2,FALSE),FALSE)/(VLOOKUP($A809,'[1]import graded seats course pivo'!$A:AE,HLOOKUP('[1]Course Totals'!G$4,'[1]import graded seats course pivo'!$1:$2,2,FALSE),FALSE))),"")</f>
        <v>0.85185185185185186</v>
      </c>
      <c r="H809" s="14" t="str">
        <f>IFERROR((VLOOKUP($A809,'[1]import success seats course'!$A:V,HLOOKUP('[1]Course Totals'!H$4,'[1]import success seats course'!$1:$2,2,FALSE),FALSE)/(VLOOKUP($A809,'[1]import graded seats course pivo'!$A:AF,HLOOKUP('[1]Course Totals'!H$4,'[1]import graded seats course pivo'!$1:$2,2,FALSE),FALSE))),"")</f>
        <v/>
      </c>
      <c r="I809" s="14">
        <f>IFERROR((VLOOKUP($A809,'[1]import success seats course'!$A:W,HLOOKUP('[1]Course Totals'!I$4,'[1]import success seats course'!$1:$2,2,FALSE),FALSE)/(VLOOKUP($A809,'[1]import graded seats course pivo'!$A:AG,HLOOKUP('[1]Course Totals'!I$4,'[1]import graded seats course pivo'!$1:$2,2,FALSE),FALSE))),"")</f>
        <v>0.66942148760330578</v>
      </c>
      <c r="J809" s="14">
        <f>IFERROR((VLOOKUP($A809,'[1]import success seats course'!$A:X,HLOOKUP('[1]Course Totals'!J$4,'[1]import success seats course'!$1:$2,2,FALSE),FALSE)/(VLOOKUP($A809,'[1]import graded seats course pivo'!$A:AH,HLOOKUP('[1]Course Totals'!J$4,'[1]import graded seats course pivo'!$1:$2,2,FALSE),FALSE))),"")</f>
        <v>0.68085106382978722</v>
      </c>
      <c r="K809" s="14" t="str">
        <f>IFERROR((VLOOKUP($A809,'[1]import success seats course'!$A:Y,HLOOKUP('[1]Course Totals'!K$4,'[1]import success seats course'!$1:$2,2,FALSE),FALSE)/(VLOOKUP($A809,'[1]import graded seats course pivo'!$A:AI,HLOOKUP('[1]Course Totals'!K$4,'[1]import graded seats course pivo'!$1:$2,2,FALSE),FALSE))),"")</f>
        <v/>
      </c>
      <c r="L809" s="14">
        <f>IFERROR((VLOOKUP($A809,'[1]import success seats course'!$A:Z,HLOOKUP('[1]Course Totals'!L$4,'[1]import success seats course'!$1:$2,2,FALSE),FALSE)/(VLOOKUP($A809,'[1]import graded seats course pivo'!$A:AJ,HLOOKUP('[1]Course Totals'!L$4,'[1]import graded seats course pivo'!$1:$2,2,FALSE),FALSE))),"")</f>
        <v>0.73643410852713176</v>
      </c>
      <c r="M809" s="14">
        <f>IFERROR((VLOOKUP($A809,'[1]import success seats course'!$A:AA,HLOOKUP('[1]Course Totals'!M$4,'[1]import success seats course'!$1:$2,2,FALSE),FALSE)/(VLOOKUP($A809,'[1]import graded seats course pivo'!$A:AK,HLOOKUP('[1]Course Totals'!M$4,'[1]import graded seats course pivo'!$1:$2,2,FALSE),FALSE))),"")</f>
        <v>0.72566371681415931</v>
      </c>
      <c r="N809" s="14" t="str">
        <f>IFERROR((VLOOKUP($A809,'[1]import success seats course'!$A:AB,HLOOKUP('[1]Course Totals'!N$4,'[1]import success seats course'!$1:$2,2,FALSE),FALSE)/(VLOOKUP($A809,'[1]import graded seats course pivo'!$A:AL,HLOOKUP('[1]Course Totals'!N$4,'[1]import graded seats course pivo'!$1:$2,2,FALSE),FALSE))),"")</f>
        <v/>
      </c>
      <c r="O809" s="14">
        <f>IFERROR((VLOOKUP($A809,'[1]import success seats course'!$A:AC,HLOOKUP('[1]Course Totals'!O$4,'[1]import success seats course'!$1:$2,2,FALSE),FALSE)/(VLOOKUP($A809,'[1]import graded seats course pivo'!$A:AM,HLOOKUP('[1]Course Totals'!O$4,'[1]import graded seats course pivo'!$1:$2,2,FALSE),FALSE))),"")</f>
        <v>0.91860465116279066</v>
      </c>
      <c r="P809" s="14">
        <f>IFERROR((VLOOKUP($A809,'[1]import success seats course'!$A:AD,HLOOKUP('[1]Course Totals'!P$4,'[1]import success seats course'!$1:$2,2,FALSE),FALSE)/(VLOOKUP($A809,'[1]import graded seats course pivo'!$A:AN,HLOOKUP('[1]Course Totals'!P$4,'[1]import graded seats course pivo'!$1:$2,2,FALSE),FALSE))),"")</f>
        <v>0.75961538461538458</v>
      </c>
      <c r="Q809" s="14" t="str">
        <f>IFERROR((VLOOKUP($A809,'[1]import success seats course'!$A:AE,HLOOKUP('[1]Course Totals'!Q$4,'[1]import success seats course'!$1:$2,2,FALSE),FALSE)/(VLOOKUP($A809,'[1]import graded seats course pivo'!$A:AO,HLOOKUP('[1]Course Totals'!Q$4,'[1]import graded seats course pivo'!$1:$2,2,FALSE),FALSE))),"")</f>
        <v/>
      </c>
      <c r="R809" s="14">
        <f>IFERROR((VLOOKUP($A809,'[1]import success seats course'!$A:AF,HLOOKUP('[1]Course Totals'!R$4,'[1]import success seats course'!$1:$2,2,FALSE),FALSE)/(VLOOKUP($A809,'[1]import graded seats course pivo'!$A:AP,HLOOKUP('[1]Course Totals'!R$4,'[1]import graded seats course pivo'!$1:$2,2,FALSE),FALSE))),"")</f>
        <v>0.90322580645161288</v>
      </c>
      <c r="S809" s="14">
        <f>IFERROR((VLOOKUP($A809,'[1]import success seats course'!$A:AG,HLOOKUP('[1]Course Totals'!S$4,'[1]import success seats course'!$1:$2,2,FALSE),FALSE)/(VLOOKUP($A809,'[1]import graded seats course pivo'!$A:AQ,HLOOKUP('[1]Course Totals'!S$4,'[1]import graded seats course pivo'!$1:$2,2,FALSE),FALSE))),"")</f>
        <v>0.86567164179104472</v>
      </c>
      <c r="Z809" s="7"/>
      <c r="AA809" s="7"/>
      <c r="AB809" s="7"/>
      <c r="AC809" s="7"/>
    </row>
    <row r="810" spans="1:29" ht="15.75" customHeight="1" x14ac:dyDescent="0.25">
      <c r="A810" s="12" t="s">
        <v>374</v>
      </c>
      <c r="B810" s="14" t="str">
        <f>IFERROR((VLOOKUP($A810,'[1]import success seats course'!$A:P,HLOOKUP('[1]Course Totals'!B$4,'[1]import success seats course'!$1:$2,2,FALSE),FALSE)/(VLOOKUP($A810,'[1]import graded seats course pivo'!$A:Z,HLOOKUP('[1]Course Totals'!B$4,'[1]import graded seats course pivo'!$1:$2,2,FALSE),FALSE))),"")</f>
        <v/>
      </c>
      <c r="C810" s="14">
        <f>IFERROR((VLOOKUP($A810,'[1]import success seats course'!$A:Q,HLOOKUP('[1]Course Totals'!C$4,'[1]import success seats course'!$1:$2,2,FALSE),FALSE)/(VLOOKUP($A810,'[1]import graded seats course pivo'!$A:AA,HLOOKUP('[1]Course Totals'!C$4,'[1]import graded seats course pivo'!$1:$2,2,FALSE),FALSE))),"")</f>
        <v>0.7</v>
      </c>
      <c r="D810" s="14">
        <f>IFERROR((VLOOKUP($A810,'[1]import success seats course'!$A:R,HLOOKUP('[1]Course Totals'!D$4,'[1]import success seats course'!$1:$2,2,FALSE),FALSE)/(VLOOKUP($A810,'[1]import graded seats course pivo'!$A:AB,HLOOKUP('[1]Course Totals'!D$4,'[1]import graded seats course pivo'!$1:$2,2,FALSE),FALSE))),"")</f>
        <v>0.72222222222222221</v>
      </c>
      <c r="E810" s="14" t="str">
        <f>IFERROR((VLOOKUP($A810,'[1]import success seats course'!$A:S,HLOOKUP('[1]Course Totals'!E$4,'[1]import success seats course'!$1:$2,2,FALSE),FALSE)/(VLOOKUP($A810,'[1]import graded seats course pivo'!$A:AC,HLOOKUP('[1]Course Totals'!E$4,'[1]import graded seats course pivo'!$1:$2,2,FALSE),FALSE))),"")</f>
        <v/>
      </c>
      <c r="F810" s="14">
        <f>IFERROR((VLOOKUP($A810,'[1]import success seats course'!$A:T,HLOOKUP('[1]Course Totals'!F$4,'[1]import success seats course'!$1:$2,2,FALSE),FALSE)/(VLOOKUP($A810,'[1]import graded seats course pivo'!$A:AD,HLOOKUP('[1]Course Totals'!F$4,'[1]import graded seats course pivo'!$1:$2,2,FALSE),FALSE))),"")</f>
        <v>0.63157894736842102</v>
      </c>
      <c r="G810" s="14">
        <f>IFERROR((VLOOKUP($A810,'[1]import success seats course'!$A:U,HLOOKUP('[1]Course Totals'!G$4,'[1]import success seats course'!$1:$2,2,FALSE),FALSE)/(VLOOKUP($A810,'[1]import graded seats course pivo'!$A:AE,HLOOKUP('[1]Course Totals'!G$4,'[1]import graded seats course pivo'!$1:$2,2,FALSE),FALSE))),"")</f>
        <v>0.61538461538461542</v>
      </c>
      <c r="H810" s="14" t="str">
        <f>IFERROR((VLOOKUP($A810,'[1]import success seats course'!$A:V,HLOOKUP('[1]Course Totals'!H$4,'[1]import success seats course'!$1:$2,2,FALSE),FALSE)/(VLOOKUP($A810,'[1]import graded seats course pivo'!$A:AF,HLOOKUP('[1]Course Totals'!H$4,'[1]import graded seats course pivo'!$1:$2,2,FALSE),FALSE))),"")</f>
        <v/>
      </c>
      <c r="I810" s="14">
        <f>IFERROR((VLOOKUP($A810,'[1]import success seats course'!$A:W,HLOOKUP('[1]Course Totals'!I$4,'[1]import success seats course'!$1:$2,2,FALSE),FALSE)/(VLOOKUP($A810,'[1]import graded seats course pivo'!$A:AG,HLOOKUP('[1]Course Totals'!I$4,'[1]import graded seats course pivo'!$1:$2,2,FALSE),FALSE))),"")</f>
        <v>0.45833333333333331</v>
      </c>
      <c r="J810" s="14">
        <f>IFERROR((VLOOKUP($A810,'[1]import success seats course'!$A:X,HLOOKUP('[1]Course Totals'!J$4,'[1]import success seats course'!$1:$2,2,FALSE),FALSE)/(VLOOKUP($A810,'[1]import graded seats course pivo'!$A:AH,HLOOKUP('[1]Course Totals'!J$4,'[1]import graded seats course pivo'!$1:$2,2,FALSE),FALSE))),"")</f>
        <v>0.70967741935483875</v>
      </c>
      <c r="K810" s="14" t="str">
        <f>IFERROR((VLOOKUP($A810,'[1]import success seats course'!$A:Y,HLOOKUP('[1]Course Totals'!K$4,'[1]import success seats course'!$1:$2,2,FALSE),FALSE)/(VLOOKUP($A810,'[1]import graded seats course pivo'!$A:AI,HLOOKUP('[1]Course Totals'!K$4,'[1]import graded seats course pivo'!$1:$2,2,FALSE),FALSE))),"")</f>
        <v/>
      </c>
      <c r="L810" s="14">
        <f>IFERROR((VLOOKUP($A810,'[1]import success seats course'!$A:Z,HLOOKUP('[1]Course Totals'!L$4,'[1]import success seats course'!$1:$2,2,FALSE),FALSE)/(VLOOKUP($A810,'[1]import graded seats course pivo'!$A:AJ,HLOOKUP('[1]Course Totals'!L$4,'[1]import graded seats course pivo'!$1:$2,2,FALSE),FALSE))),"")</f>
        <v>0.7142857142857143</v>
      </c>
      <c r="M810" s="14">
        <f>IFERROR((VLOOKUP($A810,'[1]import success seats course'!$A:AA,HLOOKUP('[1]Course Totals'!M$4,'[1]import success seats course'!$1:$2,2,FALSE),FALSE)/(VLOOKUP($A810,'[1]import graded seats course pivo'!$A:AK,HLOOKUP('[1]Course Totals'!M$4,'[1]import graded seats course pivo'!$1:$2,2,FALSE),FALSE))),"")</f>
        <v>0.5</v>
      </c>
      <c r="N810" s="14" t="str">
        <f>IFERROR((VLOOKUP($A810,'[1]import success seats course'!$A:AB,HLOOKUP('[1]Course Totals'!N$4,'[1]import success seats course'!$1:$2,2,FALSE),FALSE)/(VLOOKUP($A810,'[1]import graded seats course pivo'!$A:AL,HLOOKUP('[1]Course Totals'!N$4,'[1]import graded seats course pivo'!$1:$2,2,FALSE),FALSE))),"")</f>
        <v/>
      </c>
      <c r="O810" s="14">
        <f>IFERROR((VLOOKUP($A810,'[1]import success seats course'!$A:AC,HLOOKUP('[1]Course Totals'!O$4,'[1]import success seats course'!$1:$2,2,FALSE),FALSE)/(VLOOKUP($A810,'[1]import graded seats course pivo'!$A:AM,HLOOKUP('[1]Course Totals'!O$4,'[1]import graded seats course pivo'!$1:$2,2,FALSE),FALSE))),"")</f>
        <v>0.70370370370370372</v>
      </c>
      <c r="P810" s="14">
        <f>IFERROR((VLOOKUP($A810,'[1]import success seats course'!$A:AD,HLOOKUP('[1]Course Totals'!P$4,'[1]import success seats course'!$1:$2,2,FALSE),FALSE)/(VLOOKUP($A810,'[1]import graded seats course pivo'!$A:AN,HLOOKUP('[1]Course Totals'!P$4,'[1]import graded seats course pivo'!$1:$2,2,FALSE),FALSE))),"")</f>
        <v>0.65384615384615385</v>
      </c>
      <c r="Q810" s="14" t="str">
        <f>IFERROR((VLOOKUP($A810,'[1]import success seats course'!$A:AE,HLOOKUP('[1]Course Totals'!Q$4,'[1]import success seats course'!$1:$2,2,FALSE),FALSE)/(VLOOKUP($A810,'[1]import graded seats course pivo'!$A:AO,HLOOKUP('[1]Course Totals'!Q$4,'[1]import graded seats course pivo'!$1:$2,2,FALSE),FALSE))),"")</f>
        <v/>
      </c>
      <c r="R810" s="14">
        <f>IFERROR((VLOOKUP($A810,'[1]import success seats course'!$A:AF,HLOOKUP('[1]Course Totals'!R$4,'[1]import success seats course'!$1:$2,2,FALSE),FALSE)/(VLOOKUP($A810,'[1]import graded seats course pivo'!$A:AP,HLOOKUP('[1]Course Totals'!R$4,'[1]import graded seats course pivo'!$1:$2,2,FALSE),FALSE))),"")</f>
        <v>0.73076923076923073</v>
      </c>
      <c r="S810" s="14">
        <f>IFERROR((VLOOKUP($A810,'[1]import success seats course'!$A:AG,HLOOKUP('[1]Course Totals'!S$4,'[1]import success seats course'!$1:$2,2,FALSE),FALSE)/(VLOOKUP($A810,'[1]import graded seats course pivo'!$A:AQ,HLOOKUP('[1]Course Totals'!S$4,'[1]import graded seats course pivo'!$1:$2,2,FALSE),FALSE))),"")</f>
        <v>0.7931034482758621</v>
      </c>
      <c r="Z810" s="7"/>
      <c r="AA810" s="7"/>
      <c r="AB810" s="7"/>
      <c r="AC810" s="7"/>
    </row>
    <row r="811" spans="1:29" ht="15.75" customHeight="1" x14ac:dyDescent="0.25">
      <c r="A811" s="12" t="s">
        <v>930</v>
      </c>
      <c r="B811" s="14" t="str">
        <f>IFERROR((VLOOKUP($A811,'[1]import success seats course'!$A:P,HLOOKUP('[1]Course Totals'!B$4,'[1]import success seats course'!$1:$2,2,FALSE),FALSE)/(VLOOKUP($A811,'[1]import graded seats course pivo'!$A:Z,HLOOKUP('[1]Course Totals'!B$4,'[1]import graded seats course pivo'!$1:$2,2,FALSE),FALSE))),"")</f>
        <v/>
      </c>
      <c r="C811" s="14" t="str">
        <f>IFERROR((VLOOKUP($A811,'[1]import success seats course'!$A:Q,HLOOKUP('[1]Course Totals'!C$4,'[1]import success seats course'!$1:$2,2,FALSE),FALSE)/(VLOOKUP($A811,'[1]import graded seats course pivo'!$A:AA,HLOOKUP('[1]Course Totals'!C$4,'[1]import graded seats course pivo'!$1:$2,2,FALSE),FALSE))),"")</f>
        <v/>
      </c>
      <c r="D811" s="14">
        <f>IFERROR((VLOOKUP($A811,'[1]import success seats course'!$A:R,HLOOKUP('[1]Course Totals'!D$4,'[1]import success seats course'!$1:$2,2,FALSE),FALSE)/(VLOOKUP($A811,'[1]import graded seats course pivo'!$A:AB,HLOOKUP('[1]Course Totals'!D$4,'[1]import graded seats course pivo'!$1:$2,2,FALSE),FALSE))),"")</f>
        <v>0.8</v>
      </c>
      <c r="E811" s="14" t="str">
        <f>IFERROR((VLOOKUP($A811,'[1]import success seats course'!$A:S,HLOOKUP('[1]Course Totals'!E$4,'[1]import success seats course'!$1:$2,2,FALSE),FALSE)/(VLOOKUP($A811,'[1]import graded seats course pivo'!$A:AC,HLOOKUP('[1]Course Totals'!E$4,'[1]import graded seats course pivo'!$1:$2,2,FALSE),FALSE))),"")</f>
        <v/>
      </c>
      <c r="F811" s="14" t="str">
        <f>IFERROR((VLOOKUP($A811,'[1]import success seats course'!$A:T,HLOOKUP('[1]Course Totals'!F$4,'[1]import success seats course'!$1:$2,2,FALSE),FALSE)/(VLOOKUP($A811,'[1]import graded seats course pivo'!$A:AD,HLOOKUP('[1]Course Totals'!F$4,'[1]import graded seats course pivo'!$1:$2,2,FALSE),FALSE))),"")</f>
        <v/>
      </c>
      <c r="G811" s="14">
        <f>IFERROR((VLOOKUP($A811,'[1]import success seats course'!$A:U,HLOOKUP('[1]Course Totals'!G$4,'[1]import success seats course'!$1:$2,2,FALSE),FALSE)/(VLOOKUP($A811,'[1]import graded seats course pivo'!$A:AE,HLOOKUP('[1]Course Totals'!G$4,'[1]import graded seats course pivo'!$1:$2,2,FALSE),FALSE))),"")</f>
        <v>1</v>
      </c>
      <c r="H811" s="14" t="str">
        <f>IFERROR((VLOOKUP($A811,'[1]import success seats course'!$A:V,HLOOKUP('[1]Course Totals'!H$4,'[1]import success seats course'!$1:$2,2,FALSE),FALSE)/(VLOOKUP($A811,'[1]import graded seats course pivo'!$A:AF,HLOOKUP('[1]Course Totals'!H$4,'[1]import graded seats course pivo'!$1:$2,2,FALSE),FALSE))),"")</f>
        <v/>
      </c>
      <c r="I811" s="14" t="str">
        <f>IFERROR((VLOOKUP($A811,'[1]import success seats course'!$A:W,HLOOKUP('[1]Course Totals'!I$4,'[1]import success seats course'!$1:$2,2,FALSE),FALSE)/(VLOOKUP($A811,'[1]import graded seats course pivo'!$A:AG,HLOOKUP('[1]Course Totals'!I$4,'[1]import graded seats course pivo'!$1:$2,2,FALSE),FALSE))),"")</f>
        <v/>
      </c>
      <c r="J811" s="14">
        <f>IFERROR((VLOOKUP($A811,'[1]import success seats course'!$A:X,HLOOKUP('[1]Course Totals'!J$4,'[1]import success seats course'!$1:$2,2,FALSE),FALSE)/(VLOOKUP($A811,'[1]import graded seats course pivo'!$A:AH,HLOOKUP('[1]Course Totals'!J$4,'[1]import graded seats course pivo'!$1:$2,2,FALSE),FALSE))),"")</f>
        <v>0.83333333333333337</v>
      </c>
      <c r="K811" s="14" t="str">
        <f>IFERROR((VLOOKUP($A811,'[1]import success seats course'!$A:Y,HLOOKUP('[1]Course Totals'!K$4,'[1]import success seats course'!$1:$2,2,FALSE),FALSE)/(VLOOKUP($A811,'[1]import graded seats course pivo'!$A:AI,HLOOKUP('[1]Course Totals'!K$4,'[1]import graded seats course pivo'!$1:$2,2,FALSE),FALSE))),"")</f>
        <v/>
      </c>
      <c r="L811" s="14" t="str">
        <f>IFERROR((VLOOKUP($A811,'[1]import success seats course'!$A:Z,HLOOKUP('[1]Course Totals'!L$4,'[1]import success seats course'!$1:$2,2,FALSE),FALSE)/(VLOOKUP($A811,'[1]import graded seats course pivo'!$A:AJ,HLOOKUP('[1]Course Totals'!L$4,'[1]import graded seats course pivo'!$1:$2,2,FALSE),FALSE))),"")</f>
        <v/>
      </c>
      <c r="M811" s="14">
        <f>IFERROR((VLOOKUP($A811,'[1]import success seats course'!$A:AA,HLOOKUP('[1]Course Totals'!M$4,'[1]import success seats course'!$1:$2,2,FALSE),FALSE)/(VLOOKUP($A811,'[1]import graded seats course pivo'!$A:AK,HLOOKUP('[1]Course Totals'!M$4,'[1]import graded seats course pivo'!$1:$2,2,FALSE),FALSE))),"")</f>
        <v>0.94117647058823528</v>
      </c>
      <c r="N811" s="14" t="str">
        <f>IFERROR((VLOOKUP($A811,'[1]import success seats course'!$A:AB,HLOOKUP('[1]Course Totals'!N$4,'[1]import success seats course'!$1:$2,2,FALSE),FALSE)/(VLOOKUP($A811,'[1]import graded seats course pivo'!$A:AL,HLOOKUP('[1]Course Totals'!N$4,'[1]import graded seats course pivo'!$1:$2,2,FALSE),FALSE))),"")</f>
        <v/>
      </c>
      <c r="O811" s="14" t="str">
        <f>IFERROR((VLOOKUP($A811,'[1]import success seats course'!$A:AC,HLOOKUP('[1]Course Totals'!O$4,'[1]import success seats course'!$1:$2,2,FALSE),FALSE)/(VLOOKUP($A811,'[1]import graded seats course pivo'!$A:AM,HLOOKUP('[1]Course Totals'!O$4,'[1]import graded seats course pivo'!$1:$2,2,FALSE),FALSE))),"")</f>
        <v/>
      </c>
      <c r="P811" s="14">
        <f>IFERROR((VLOOKUP($A811,'[1]import success seats course'!$A:AD,HLOOKUP('[1]Course Totals'!P$4,'[1]import success seats course'!$1:$2,2,FALSE),FALSE)/(VLOOKUP($A811,'[1]import graded seats course pivo'!$A:AN,HLOOKUP('[1]Course Totals'!P$4,'[1]import graded seats course pivo'!$1:$2,2,FALSE),FALSE))),"")</f>
        <v>1</v>
      </c>
      <c r="Q811" s="14" t="str">
        <f>IFERROR((VLOOKUP($A811,'[1]import success seats course'!$A:AE,HLOOKUP('[1]Course Totals'!Q$4,'[1]import success seats course'!$1:$2,2,FALSE),FALSE)/(VLOOKUP($A811,'[1]import graded seats course pivo'!$A:AO,HLOOKUP('[1]Course Totals'!Q$4,'[1]import graded seats course pivo'!$1:$2,2,FALSE),FALSE))),"")</f>
        <v/>
      </c>
      <c r="R811" s="14" t="str">
        <f>IFERROR((VLOOKUP($A811,'[1]import success seats course'!$A:AF,HLOOKUP('[1]Course Totals'!R$4,'[1]import success seats course'!$1:$2,2,FALSE),FALSE)/(VLOOKUP($A811,'[1]import graded seats course pivo'!$A:AP,HLOOKUP('[1]Course Totals'!R$4,'[1]import graded seats course pivo'!$1:$2,2,FALSE),FALSE))),"")</f>
        <v/>
      </c>
      <c r="S811" s="14">
        <f>IFERROR((VLOOKUP($A811,'[1]import success seats course'!$A:AG,HLOOKUP('[1]Course Totals'!S$4,'[1]import success seats course'!$1:$2,2,FALSE),FALSE)/(VLOOKUP($A811,'[1]import graded seats course pivo'!$A:AQ,HLOOKUP('[1]Course Totals'!S$4,'[1]import graded seats course pivo'!$1:$2,2,FALSE),FALSE))),"")</f>
        <v>0.94117647058823528</v>
      </c>
      <c r="Z811" s="7"/>
      <c r="AA811" s="7"/>
      <c r="AB811" s="7"/>
      <c r="AC811" s="7"/>
    </row>
    <row r="812" spans="1:29" ht="15.75" customHeight="1" x14ac:dyDescent="0.25">
      <c r="A812" s="12" t="s">
        <v>642</v>
      </c>
      <c r="B812" s="14" t="str">
        <f>IFERROR((VLOOKUP($A812,'[1]import success seats course'!$A:P,HLOOKUP('[1]Course Totals'!B$4,'[1]import success seats course'!$1:$2,2,FALSE),FALSE)/(VLOOKUP($A812,'[1]import graded seats course pivo'!$A:Z,HLOOKUP('[1]Course Totals'!B$4,'[1]import graded seats course pivo'!$1:$2,2,FALSE),FALSE))),"")</f>
        <v/>
      </c>
      <c r="C812" s="14" t="str">
        <f>IFERROR((VLOOKUP($A812,'[1]import success seats course'!$A:Q,HLOOKUP('[1]Course Totals'!C$4,'[1]import success seats course'!$1:$2,2,FALSE),FALSE)/(VLOOKUP($A812,'[1]import graded seats course pivo'!$A:AA,HLOOKUP('[1]Course Totals'!C$4,'[1]import graded seats course pivo'!$1:$2,2,FALSE),FALSE))),"")</f>
        <v/>
      </c>
      <c r="D812" s="14" t="str">
        <f>IFERROR((VLOOKUP($A812,'[1]import success seats course'!$A:R,HLOOKUP('[1]Course Totals'!D$4,'[1]import success seats course'!$1:$2,2,FALSE),FALSE)/(VLOOKUP($A812,'[1]import graded seats course pivo'!$A:AB,HLOOKUP('[1]Course Totals'!D$4,'[1]import graded seats course pivo'!$1:$2,2,FALSE),FALSE))),"")</f>
        <v/>
      </c>
      <c r="E812" s="14" t="str">
        <f>IFERROR((VLOOKUP($A812,'[1]import success seats course'!$A:S,HLOOKUP('[1]Course Totals'!E$4,'[1]import success seats course'!$1:$2,2,FALSE),FALSE)/(VLOOKUP($A812,'[1]import graded seats course pivo'!$A:AC,HLOOKUP('[1]Course Totals'!E$4,'[1]import graded seats course pivo'!$1:$2,2,FALSE),FALSE))),"")</f>
        <v/>
      </c>
      <c r="F812" s="14">
        <f>IFERROR((VLOOKUP($A812,'[1]import success seats course'!$A:T,HLOOKUP('[1]Course Totals'!F$4,'[1]import success seats course'!$1:$2,2,FALSE),FALSE)/(VLOOKUP($A812,'[1]import graded seats course pivo'!$A:AD,HLOOKUP('[1]Course Totals'!F$4,'[1]import graded seats course pivo'!$1:$2,2,FALSE),FALSE))),"")</f>
        <v>0.81395348837209303</v>
      </c>
      <c r="G812" s="14">
        <f>IFERROR((VLOOKUP($A812,'[1]import success seats course'!$A:U,HLOOKUP('[1]Course Totals'!G$4,'[1]import success seats course'!$1:$2,2,FALSE),FALSE)/(VLOOKUP($A812,'[1]import graded seats course pivo'!$A:AE,HLOOKUP('[1]Course Totals'!G$4,'[1]import graded seats course pivo'!$1:$2,2,FALSE),FALSE))),"")</f>
        <v>0.89610389610389607</v>
      </c>
      <c r="H812" s="14" t="str">
        <f>IFERROR((VLOOKUP($A812,'[1]import success seats course'!$A:V,HLOOKUP('[1]Course Totals'!H$4,'[1]import success seats course'!$1:$2,2,FALSE),FALSE)/(VLOOKUP($A812,'[1]import graded seats course pivo'!$A:AF,HLOOKUP('[1]Course Totals'!H$4,'[1]import graded seats course pivo'!$1:$2,2,FALSE),FALSE))),"")</f>
        <v/>
      </c>
      <c r="I812" s="14">
        <f>IFERROR((VLOOKUP($A812,'[1]import success seats course'!$A:W,HLOOKUP('[1]Course Totals'!I$4,'[1]import success seats course'!$1:$2,2,FALSE),FALSE)/(VLOOKUP($A812,'[1]import graded seats course pivo'!$A:AG,HLOOKUP('[1]Course Totals'!I$4,'[1]import graded seats course pivo'!$1:$2,2,FALSE),FALSE))),"")</f>
        <v>0.9135802469135802</v>
      </c>
      <c r="J812" s="14">
        <f>IFERROR((VLOOKUP($A812,'[1]import success seats course'!$A:X,HLOOKUP('[1]Course Totals'!J$4,'[1]import success seats course'!$1:$2,2,FALSE),FALSE)/(VLOOKUP($A812,'[1]import graded seats course pivo'!$A:AH,HLOOKUP('[1]Course Totals'!J$4,'[1]import graded seats course pivo'!$1:$2,2,FALSE),FALSE))),"")</f>
        <v>0.9</v>
      </c>
      <c r="K812" s="14" t="str">
        <f>IFERROR((VLOOKUP($A812,'[1]import success seats course'!$A:Y,HLOOKUP('[1]Course Totals'!K$4,'[1]import success seats course'!$1:$2,2,FALSE),FALSE)/(VLOOKUP($A812,'[1]import graded seats course pivo'!$A:AI,HLOOKUP('[1]Course Totals'!K$4,'[1]import graded seats course pivo'!$1:$2,2,FALSE),FALSE))),"")</f>
        <v/>
      </c>
      <c r="L812" s="14">
        <f>IFERROR((VLOOKUP($A812,'[1]import success seats course'!$A:Z,HLOOKUP('[1]Course Totals'!L$4,'[1]import success seats course'!$1:$2,2,FALSE),FALSE)/(VLOOKUP($A812,'[1]import graded seats course pivo'!$A:AJ,HLOOKUP('[1]Course Totals'!L$4,'[1]import graded seats course pivo'!$1:$2,2,FALSE),FALSE))),"")</f>
        <v>0.94936708860759489</v>
      </c>
      <c r="M812" s="14">
        <f>IFERROR((VLOOKUP($A812,'[1]import success seats course'!$A:AA,HLOOKUP('[1]Course Totals'!M$4,'[1]import success seats course'!$1:$2,2,FALSE),FALSE)/(VLOOKUP($A812,'[1]import graded seats course pivo'!$A:AK,HLOOKUP('[1]Course Totals'!M$4,'[1]import graded seats course pivo'!$1:$2,2,FALSE),FALSE))),"")</f>
        <v>0.94117647058823528</v>
      </c>
      <c r="N812" s="14" t="str">
        <f>IFERROR((VLOOKUP($A812,'[1]import success seats course'!$A:AB,HLOOKUP('[1]Course Totals'!N$4,'[1]import success seats course'!$1:$2,2,FALSE),FALSE)/(VLOOKUP($A812,'[1]import graded seats course pivo'!$A:AL,HLOOKUP('[1]Course Totals'!N$4,'[1]import graded seats course pivo'!$1:$2,2,FALSE),FALSE))),"")</f>
        <v/>
      </c>
      <c r="O812" s="14">
        <f>IFERROR((VLOOKUP($A812,'[1]import success seats course'!$A:AC,HLOOKUP('[1]Course Totals'!O$4,'[1]import success seats course'!$1:$2,2,FALSE),FALSE)/(VLOOKUP($A812,'[1]import graded seats course pivo'!$A:AM,HLOOKUP('[1]Course Totals'!O$4,'[1]import graded seats course pivo'!$1:$2,2,FALSE),FALSE))),"")</f>
        <v>0.92500000000000004</v>
      </c>
      <c r="P812" s="14">
        <f>IFERROR((VLOOKUP($A812,'[1]import success seats course'!$A:AD,HLOOKUP('[1]Course Totals'!P$4,'[1]import success seats course'!$1:$2,2,FALSE),FALSE)/(VLOOKUP($A812,'[1]import graded seats course pivo'!$A:AN,HLOOKUP('[1]Course Totals'!P$4,'[1]import graded seats course pivo'!$1:$2,2,FALSE),FALSE))),"")</f>
        <v>0.875</v>
      </c>
      <c r="Q812" s="14" t="str">
        <f>IFERROR((VLOOKUP($A812,'[1]import success seats course'!$A:AE,HLOOKUP('[1]Course Totals'!Q$4,'[1]import success seats course'!$1:$2,2,FALSE),FALSE)/(VLOOKUP($A812,'[1]import graded seats course pivo'!$A:AO,HLOOKUP('[1]Course Totals'!Q$4,'[1]import graded seats course pivo'!$1:$2,2,FALSE),FALSE))),"")</f>
        <v/>
      </c>
      <c r="R812" s="14">
        <f>IFERROR((VLOOKUP($A812,'[1]import success seats course'!$A:AF,HLOOKUP('[1]Course Totals'!R$4,'[1]import success seats course'!$1:$2,2,FALSE),FALSE)/(VLOOKUP($A812,'[1]import graded seats course pivo'!$A:AP,HLOOKUP('[1]Course Totals'!R$4,'[1]import graded seats course pivo'!$1:$2,2,FALSE),FALSE))),"")</f>
        <v>0.82499999999999996</v>
      </c>
      <c r="S812" s="14" t="str">
        <f>IFERROR((VLOOKUP($A812,'[1]import success seats course'!$A:AG,HLOOKUP('[1]Course Totals'!S$4,'[1]import success seats course'!$1:$2,2,FALSE),FALSE)/(VLOOKUP($A812,'[1]import graded seats course pivo'!$A:AQ,HLOOKUP('[1]Course Totals'!S$4,'[1]import graded seats course pivo'!$1:$2,2,FALSE),FALSE))),"")</f>
        <v/>
      </c>
      <c r="Z812" s="7"/>
      <c r="AA812" s="7"/>
      <c r="AB812" s="7"/>
      <c r="AC812" s="7"/>
    </row>
    <row r="813" spans="1:29" ht="15.75" customHeight="1" x14ac:dyDescent="0.25">
      <c r="A813" s="12" t="s">
        <v>375</v>
      </c>
      <c r="B813" s="14">
        <f>IFERROR((VLOOKUP($A813,'[1]import success seats course'!$A:P,HLOOKUP('[1]Course Totals'!B$4,'[1]import success seats course'!$1:$2,2,FALSE),FALSE)/(VLOOKUP($A813,'[1]import graded seats course pivo'!$A:Z,HLOOKUP('[1]Course Totals'!B$4,'[1]import graded seats course pivo'!$1:$2,2,FALSE),FALSE))),"")</f>
        <v>0.94117647058823528</v>
      </c>
      <c r="C813" s="14">
        <f>IFERROR((VLOOKUP($A813,'[1]import success seats course'!$A:Q,HLOOKUP('[1]Course Totals'!C$4,'[1]import success seats course'!$1:$2,2,FALSE),FALSE)/(VLOOKUP($A813,'[1]import graded seats course pivo'!$A:AA,HLOOKUP('[1]Course Totals'!C$4,'[1]import graded seats course pivo'!$1:$2,2,FALSE),FALSE))),"")</f>
        <v>0.88297872340425532</v>
      </c>
      <c r="D813" s="14">
        <f>IFERROR((VLOOKUP($A813,'[1]import success seats course'!$A:R,HLOOKUP('[1]Course Totals'!D$4,'[1]import success seats course'!$1:$2,2,FALSE),FALSE)/(VLOOKUP($A813,'[1]import graded seats course pivo'!$A:AB,HLOOKUP('[1]Course Totals'!D$4,'[1]import graded seats course pivo'!$1:$2,2,FALSE),FALSE))),"")</f>
        <v>0.9242424242424242</v>
      </c>
      <c r="E813" s="14">
        <f>IFERROR((VLOOKUP($A813,'[1]import success seats course'!$A:S,HLOOKUP('[1]Course Totals'!E$4,'[1]import success seats course'!$1:$2,2,FALSE),FALSE)/(VLOOKUP($A813,'[1]import graded seats course pivo'!$A:AC,HLOOKUP('[1]Course Totals'!E$4,'[1]import graded seats course pivo'!$1:$2,2,FALSE),FALSE))),"")</f>
        <v>1</v>
      </c>
      <c r="F813" s="14">
        <f>IFERROR((VLOOKUP($A813,'[1]import success seats course'!$A:T,HLOOKUP('[1]Course Totals'!F$4,'[1]import success seats course'!$1:$2,2,FALSE),FALSE)/(VLOOKUP($A813,'[1]import graded seats course pivo'!$A:AD,HLOOKUP('[1]Course Totals'!F$4,'[1]import graded seats course pivo'!$1:$2,2,FALSE),FALSE))),"")</f>
        <v>0.93406593406593408</v>
      </c>
      <c r="G813" s="14">
        <f>IFERROR((VLOOKUP($A813,'[1]import success seats course'!$A:U,HLOOKUP('[1]Course Totals'!G$4,'[1]import success seats course'!$1:$2,2,FALSE),FALSE)/(VLOOKUP($A813,'[1]import graded seats course pivo'!$A:AE,HLOOKUP('[1]Course Totals'!G$4,'[1]import graded seats course pivo'!$1:$2,2,FALSE),FALSE))),"")</f>
        <v>0.88059701492537312</v>
      </c>
      <c r="H813" s="14" t="str">
        <f>IFERROR((VLOOKUP($A813,'[1]import success seats course'!$A:V,HLOOKUP('[1]Course Totals'!H$4,'[1]import success seats course'!$1:$2,2,FALSE),FALSE)/(VLOOKUP($A813,'[1]import graded seats course pivo'!$A:AF,HLOOKUP('[1]Course Totals'!H$4,'[1]import graded seats course pivo'!$1:$2,2,FALSE),FALSE))),"")</f>
        <v/>
      </c>
      <c r="I813" s="14">
        <f>IFERROR((VLOOKUP($A813,'[1]import success seats course'!$A:W,HLOOKUP('[1]Course Totals'!I$4,'[1]import success seats course'!$1:$2,2,FALSE),FALSE)/(VLOOKUP($A813,'[1]import graded seats course pivo'!$A:AG,HLOOKUP('[1]Course Totals'!I$4,'[1]import graded seats course pivo'!$1:$2,2,FALSE),FALSE))),"")</f>
        <v>0.96511627906976749</v>
      </c>
      <c r="J813" s="14">
        <f>IFERROR((VLOOKUP($A813,'[1]import success seats course'!$A:X,HLOOKUP('[1]Course Totals'!J$4,'[1]import success seats course'!$1:$2,2,FALSE),FALSE)/(VLOOKUP($A813,'[1]import graded seats course pivo'!$A:AH,HLOOKUP('[1]Course Totals'!J$4,'[1]import graded seats course pivo'!$1:$2,2,FALSE),FALSE))),"")</f>
        <v>0.93333333333333335</v>
      </c>
      <c r="K813" s="14" t="str">
        <f>IFERROR((VLOOKUP($A813,'[1]import success seats course'!$A:Y,HLOOKUP('[1]Course Totals'!K$4,'[1]import success seats course'!$1:$2,2,FALSE),FALSE)/(VLOOKUP($A813,'[1]import graded seats course pivo'!$A:AI,HLOOKUP('[1]Course Totals'!K$4,'[1]import graded seats course pivo'!$1:$2,2,FALSE),FALSE))),"")</f>
        <v/>
      </c>
      <c r="L813" s="14">
        <f>IFERROR((VLOOKUP($A813,'[1]import success seats course'!$A:Z,HLOOKUP('[1]Course Totals'!L$4,'[1]import success seats course'!$1:$2,2,FALSE),FALSE)/(VLOOKUP($A813,'[1]import graded seats course pivo'!$A:AJ,HLOOKUP('[1]Course Totals'!L$4,'[1]import graded seats course pivo'!$1:$2,2,FALSE),FALSE))),"")</f>
        <v>0.91428571428571426</v>
      </c>
      <c r="M813" s="14">
        <f>IFERROR((VLOOKUP($A813,'[1]import success seats course'!$A:AA,HLOOKUP('[1]Course Totals'!M$4,'[1]import success seats course'!$1:$2,2,FALSE),FALSE)/(VLOOKUP($A813,'[1]import graded seats course pivo'!$A:AK,HLOOKUP('[1]Course Totals'!M$4,'[1]import graded seats course pivo'!$1:$2,2,FALSE),FALSE))),"")</f>
        <v>0.86842105263157898</v>
      </c>
      <c r="N813" s="14" t="str">
        <f>IFERROR((VLOOKUP($A813,'[1]import success seats course'!$A:AB,HLOOKUP('[1]Course Totals'!N$4,'[1]import success seats course'!$1:$2,2,FALSE),FALSE)/(VLOOKUP($A813,'[1]import graded seats course pivo'!$A:AL,HLOOKUP('[1]Course Totals'!N$4,'[1]import graded seats course pivo'!$1:$2,2,FALSE),FALSE))),"")</f>
        <v/>
      </c>
      <c r="O813" s="14">
        <f>IFERROR((VLOOKUP($A813,'[1]import success seats course'!$A:AC,HLOOKUP('[1]Course Totals'!O$4,'[1]import success seats course'!$1:$2,2,FALSE),FALSE)/(VLOOKUP($A813,'[1]import graded seats course pivo'!$A:AM,HLOOKUP('[1]Course Totals'!O$4,'[1]import graded seats course pivo'!$1:$2,2,FALSE),FALSE))),"")</f>
        <v>0.96</v>
      </c>
      <c r="P813" s="14">
        <f>IFERROR((VLOOKUP($A813,'[1]import success seats course'!$A:AD,HLOOKUP('[1]Course Totals'!P$4,'[1]import success seats course'!$1:$2,2,FALSE),FALSE)/(VLOOKUP($A813,'[1]import graded seats course pivo'!$A:AN,HLOOKUP('[1]Course Totals'!P$4,'[1]import graded seats course pivo'!$1:$2,2,FALSE),FALSE))),"")</f>
        <v>0.88</v>
      </c>
      <c r="Q813" s="14" t="str">
        <f>IFERROR((VLOOKUP($A813,'[1]import success seats course'!$A:AE,HLOOKUP('[1]Course Totals'!Q$4,'[1]import success seats course'!$1:$2,2,FALSE),FALSE)/(VLOOKUP($A813,'[1]import graded seats course pivo'!$A:AO,HLOOKUP('[1]Course Totals'!Q$4,'[1]import graded seats course pivo'!$1:$2,2,FALSE),FALSE))),"")</f>
        <v/>
      </c>
      <c r="R813" s="14">
        <f>IFERROR((VLOOKUP($A813,'[1]import success seats course'!$A:AF,HLOOKUP('[1]Course Totals'!R$4,'[1]import success seats course'!$1:$2,2,FALSE),FALSE)/(VLOOKUP($A813,'[1]import graded seats course pivo'!$A:AP,HLOOKUP('[1]Course Totals'!R$4,'[1]import graded seats course pivo'!$1:$2,2,FALSE),FALSE))),"")</f>
        <v>0.96103896103896103</v>
      </c>
      <c r="S813" s="14">
        <f>IFERROR((VLOOKUP($A813,'[1]import success seats course'!$A:AG,HLOOKUP('[1]Course Totals'!S$4,'[1]import success seats course'!$1:$2,2,FALSE),FALSE)/(VLOOKUP($A813,'[1]import graded seats course pivo'!$A:AQ,HLOOKUP('[1]Course Totals'!S$4,'[1]import graded seats course pivo'!$1:$2,2,FALSE),FALSE))),"")</f>
        <v>0.89189189189189189</v>
      </c>
      <c r="Z813" s="7"/>
      <c r="AA813" s="7"/>
      <c r="AB813" s="7"/>
      <c r="AC813" s="7"/>
    </row>
    <row r="814" spans="1:29" ht="15.75" customHeight="1" x14ac:dyDescent="0.25">
      <c r="A814" s="12" t="s">
        <v>376</v>
      </c>
      <c r="B814" s="14">
        <f>IFERROR((VLOOKUP($A814,'[1]import success seats course'!$A:P,HLOOKUP('[1]Course Totals'!B$4,'[1]import success seats course'!$1:$2,2,FALSE),FALSE)/(VLOOKUP($A814,'[1]import graded seats course pivo'!$A:Z,HLOOKUP('[1]Course Totals'!B$4,'[1]import graded seats course pivo'!$1:$2,2,FALSE),FALSE))),"")</f>
        <v>0.8</v>
      </c>
      <c r="C814" s="14">
        <f>IFERROR((VLOOKUP($A814,'[1]import success seats course'!$A:Q,HLOOKUP('[1]Course Totals'!C$4,'[1]import success seats course'!$1:$2,2,FALSE),FALSE)/(VLOOKUP($A814,'[1]import graded seats course pivo'!$A:AA,HLOOKUP('[1]Course Totals'!C$4,'[1]import graded seats course pivo'!$1:$2,2,FALSE),FALSE))),"")</f>
        <v>0.42307692307692307</v>
      </c>
      <c r="D814" s="14">
        <f>IFERROR((VLOOKUP($A814,'[1]import success seats course'!$A:R,HLOOKUP('[1]Course Totals'!D$4,'[1]import success seats course'!$1:$2,2,FALSE),FALSE)/(VLOOKUP($A814,'[1]import graded seats course pivo'!$A:AB,HLOOKUP('[1]Course Totals'!D$4,'[1]import graded seats course pivo'!$1:$2,2,FALSE),FALSE))),"")</f>
        <v>0.62962962962962965</v>
      </c>
      <c r="E814" s="14">
        <f>IFERROR((VLOOKUP($A814,'[1]import success seats course'!$A:S,HLOOKUP('[1]Course Totals'!E$4,'[1]import success seats course'!$1:$2,2,FALSE),FALSE)/(VLOOKUP($A814,'[1]import graded seats course pivo'!$A:AC,HLOOKUP('[1]Course Totals'!E$4,'[1]import graded seats course pivo'!$1:$2,2,FALSE),FALSE))),"")</f>
        <v>1</v>
      </c>
      <c r="F814" s="14">
        <f>IFERROR((VLOOKUP($A814,'[1]import success seats course'!$A:T,HLOOKUP('[1]Course Totals'!F$4,'[1]import success seats course'!$1:$2,2,FALSE),FALSE)/(VLOOKUP($A814,'[1]import graded seats course pivo'!$A:AD,HLOOKUP('[1]Course Totals'!F$4,'[1]import graded seats course pivo'!$1:$2,2,FALSE),FALSE))),"")</f>
        <v>0.94444444444444442</v>
      </c>
      <c r="G814" s="14">
        <f>IFERROR((VLOOKUP($A814,'[1]import success seats course'!$A:U,HLOOKUP('[1]Course Totals'!G$4,'[1]import success seats course'!$1:$2,2,FALSE),FALSE)/(VLOOKUP($A814,'[1]import graded seats course pivo'!$A:AE,HLOOKUP('[1]Course Totals'!G$4,'[1]import graded seats course pivo'!$1:$2,2,FALSE),FALSE))),"")</f>
        <v>0.82857142857142863</v>
      </c>
      <c r="H814" s="14" t="str">
        <f>IFERROR((VLOOKUP($A814,'[1]import success seats course'!$A:V,HLOOKUP('[1]Course Totals'!H$4,'[1]import success seats course'!$1:$2,2,FALSE),FALSE)/(VLOOKUP($A814,'[1]import graded seats course pivo'!$A:AF,HLOOKUP('[1]Course Totals'!H$4,'[1]import graded seats course pivo'!$1:$2,2,FALSE),FALSE))),"")</f>
        <v/>
      </c>
      <c r="I814" s="14">
        <f>IFERROR((VLOOKUP($A814,'[1]import success seats course'!$A:W,HLOOKUP('[1]Course Totals'!I$4,'[1]import success seats course'!$1:$2,2,FALSE),FALSE)/(VLOOKUP($A814,'[1]import graded seats course pivo'!$A:AG,HLOOKUP('[1]Course Totals'!I$4,'[1]import graded seats course pivo'!$1:$2,2,FALSE),FALSE))),"")</f>
        <v>0.9375</v>
      </c>
      <c r="J814" s="14">
        <f>IFERROR((VLOOKUP($A814,'[1]import success seats course'!$A:X,HLOOKUP('[1]Course Totals'!J$4,'[1]import success seats course'!$1:$2,2,FALSE),FALSE)/(VLOOKUP($A814,'[1]import graded seats course pivo'!$A:AH,HLOOKUP('[1]Course Totals'!J$4,'[1]import graded seats course pivo'!$1:$2,2,FALSE),FALSE))),"")</f>
        <v>0.93548387096774188</v>
      </c>
      <c r="K814" s="14" t="str">
        <f>IFERROR((VLOOKUP($A814,'[1]import success seats course'!$A:Y,HLOOKUP('[1]Course Totals'!K$4,'[1]import success seats course'!$1:$2,2,FALSE),FALSE)/(VLOOKUP($A814,'[1]import graded seats course pivo'!$A:AI,HLOOKUP('[1]Course Totals'!K$4,'[1]import graded seats course pivo'!$1:$2,2,FALSE),FALSE))),"")</f>
        <v/>
      </c>
      <c r="L814" s="14">
        <f>IFERROR((VLOOKUP($A814,'[1]import success seats course'!$A:Z,HLOOKUP('[1]Course Totals'!L$4,'[1]import success seats course'!$1:$2,2,FALSE),FALSE)/(VLOOKUP($A814,'[1]import graded seats course pivo'!$A:AJ,HLOOKUP('[1]Course Totals'!L$4,'[1]import graded seats course pivo'!$1:$2,2,FALSE),FALSE))),"")</f>
        <v>0.95652173913043481</v>
      </c>
      <c r="M814" s="14">
        <f>IFERROR((VLOOKUP($A814,'[1]import success seats course'!$A:AA,HLOOKUP('[1]Course Totals'!M$4,'[1]import success seats course'!$1:$2,2,FALSE),FALSE)/(VLOOKUP($A814,'[1]import graded seats course pivo'!$A:AK,HLOOKUP('[1]Course Totals'!M$4,'[1]import graded seats course pivo'!$1:$2,2,FALSE),FALSE))),"")</f>
        <v>0.97297297297297303</v>
      </c>
      <c r="N814" s="14" t="str">
        <f>IFERROR((VLOOKUP($A814,'[1]import success seats course'!$A:AB,HLOOKUP('[1]Course Totals'!N$4,'[1]import success seats course'!$1:$2,2,FALSE),FALSE)/(VLOOKUP($A814,'[1]import graded seats course pivo'!$A:AL,HLOOKUP('[1]Course Totals'!N$4,'[1]import graded seats course pivo'!$1:$2,2,FALSE),FALSE))),"")</f>
        <v/>
      </c>
      <c r="O814" s="14">
        <f>IFERROR((VLOOKUP($A814,'[1]import success seats course'!$A:AC,HLOOKUP('[1]Course Totals'!O$4,'[1]import success seats course'!$1:$2,2,FALSE),FALSE)/(VLOOKUP($A814,'[1]import graded seats course pivo'!$A:AM,HLOOKUP('[1]Course Totals'!O$4,'[1]import graded seats course pivo'!$1:$2,2,FALSE),FALSE))),"")</f>
        <v>0.91891891891891897</v>
      </c>
      <c r="P814" s="14">
        <f>IFERROR((VLOOKUP($A814,'[1]import success seats course'!$A:AD,HLOOKUP('[1]Course Totals'!P$4,'[1]import success seats course'!$1:$2,2,FALSE),FALSE)/(VLOOKUP($A814,'[1]import graded seats course pivo'!$A:AN,HLOOKUP('[1]Course Totals'!P$4,'[1]import graded seats course pivo'!$1:$2,2,FALSE),FALSE))),"")</f>
        <v>1</v>
      </c>
      <c r="Q814" s="14" t="str">
        <f>IFERROR((VLOOKUP($A814,'[1]import success seats course'!$A:AE,HLOOKUP('[1]Course Totals'!Q$4,'[1]import success seats course'!$1:$2,2,FALSE),FALSE)/(VLOOKUP($A814,'[1]import graded seats course pivo'!$A:AO,HLOOKUP('[1]Course Totals'!Q$4,'[1]import graded seats course pivo'!$1:$2,2,FALSE),FALSE))),"")</f>
        <v/>
      </c>
      <c r="R814" s="14">
        <f>IFERROR((VLOOKUP($A814,'[1]import success seats course'!$A:AF,HLOOKUP('[1]Course Totals'!R$4,'[1]import success seats course'!$1:$2,2,FALSE),FALSE)/(VLOOKUP($A814,'[1]import graded seats course pivo'!$A:AP,HLOOKUP('[1]Course Totals'!R$4,'[1]import graded seats course pivo'!$1:$2,2,FALSE),FALSE))),"")</f>
        <v>0.875</v>
      </c>
      <c r="S814" s="14">
        <f>IFERROR((VLOOKUP($A814,'[1]import success seats course'!$A:AG,HLOOKUP('[1]Course Totals'!S$4,'[1]import success seats course'!$1:$2,2,FALSE),FALSE)/(VLOOKUP($A814,'[1]import graded seats course pivo'!$A:AQ,HLOOKUP('[1]Course Totals'!S$4,'[1]import graded seats course pivo'!$1:$2,2,FALSE),FALSE))),"")</f>
        <v>0.94594594594594594</v>
      </c>
      <c r="Z814" s="7"/>
      <c r="AA814" s="7"/>
      <c r="AB814" s="7"/>
      <c r="AC814" s="7"/>
    </row>
    <row r="815" spans="1:29" ht="15.75" customHeight="1" x14ac:dyDescent="0.25">
      <c r="A815" s="12" t="s">
        <v>377</v>
      </c>
      <c r="B815" s="14" t="str">
        <f>IFERROR((VLOOKUP($A815,'[1]import success seats course'!$A:P,HLOOKUP('[1]Course Totals'!B$4,'[1]import success seats course'!$1:$2,2,FALSE),FALSE)/(VLOOKUP($A815,'[1]import graded seats course pivo'!$A:Z,HLOOKUP('[1]Course Totals'!B$4,'[1]import graded seats course pivo'!$1:$2,2,FALSE),FALSE))),"")</f>
        <v/>
      </c>
      <c r="C815" s="14">
        <f>IFERROR((VLOOKUP($A815,'[1]import success seats course'!$A:Q,HLOOKUP('[1]Course Totals'!C$4,'[1]import success seats course'!$1:$2,2,FALSE),FALSE)/(VLOOKUP($A815,'[1]import graded seats course pivo'!$A:AA,HLOOKUP('[1]Course Totals'!C$4,'[1]import graded seats course pivo'!$1:$2,2,FALSE),FALSE))),"")</f>
        <v>0.90625</v>
      </c>
      <c r="D815" s="14">
        <f>IFERROR((VLOOKUP($A815,'[1]import success seats course'!$A:R,HLOOKUP('[1]Course Totals'!D$4,'[1]import success seats course'!$1:$2,2,FALSE),FALSE)/(VLOOKUP($A815,'[1]import graded seats course pivo'!$A:AB,HLOOKUP('[1]Course Totals'!D$4,'[1]import graded seats course pivo'!$1:$2,2,FALSE),FALSE))),"")</f>
        <v>0.87878787878787878</v>
      </c>
      <c r="E815" s="14" t="str">
        <f>IFERROR((VLOOKUP($A815,'[1]import success seats course'!$A:S,HLOOKUP('[1]Course Totals'!E$4,'[1]import success seats course'!$1:$2,2,FALSE),FALSE)/(VLOOKUP($A815,'[1]import graded seats course pivo'!$A:AC,HLOOKUP('[1]Course Totals'!E$4,'[1]import graded seats course pivo'!$1:$2,2,FALSE),FALSE))),"")</f>
        <v/>
      </c>
      <c r="F815" s="14">
        <f>IFERROR((VLOOKUP($A815,'[1]import success seats course'!$A:T,HLOOKUP('[1]Course Totals'!F$4,'[1]import success seats course'!$1:$2,2,FALSE),FALSE)/(VLOOKUP($A815,'[1]import graded seats course pivo'!$A:AD,HLOOKUP('[1]Course Totals'!F$4,'[1]import graded seats course pivo'!$1:$2,2,FALSE),FALSE))),"")</f>
        <v>0.88235294117647056</v>
      </c>
      <c r="G815" s="14">
        <f>IFERROR((VLOOKUP($A815,'[1]import success seats course'!$A:U,HLOOKUP('[1]Course Totals'!G$4,'[1]import success seats course'!$1:$2,2,FALSE),FALSE)/(VLOOKUP($A815,'[1]import graded seats course pivo'!$A:AE,HLOOKUP('[1]Course Totals'!G$4,'[1]import graded seats course pivo'!$1:$2,2,FALSE),FALSE))),"")</f>
        <v>0.88888888888888884</v>
      </c>
      <c r="H815" s="14" t="str">
        <f>IFERROR((VLOOKUP($A815,'[1]import success seats course'!$A:V,HLOOKUP('[1]Course Totals'!H$4,'[1]import success seats course'!$1:$2,2,FALSE),FALSE)/(VLOOKUP($A815,'[1]import graded seats course pivo'!$A:AF,HLOOKUP('[1]Course Totals'!H$4,'[1]import graded seats course pivo'!$1:$2,2,FALSE),FALSE))),"")</f>
        <v/>
      </c>
      <c r="I815" s="14">
        <f>IFERROR((VLOOKUP($A815,'[1]import success seats course'!$A:W,HLOOKUP('[1]Course Totals'!I$4,'[1]import success seats course'!$1:$2,2,FALSE),FALSE)/(VLOOKUP($A815,'[1]import graded seats course pivo'!$A:AG,HLOOKUP('[1]Course Totals'!I$4,'[1]import graded seats course pivo'!$1:$2,2,FALSE),FALSE))),"")</f>
        <v>0.92307692307692313</v>
      </c>
      <c r="J815" s="14">
        <f>IFERROR((VLOOKUP($A815,'[1]import success seats course'!$A:X,HLOOKUP('[1]Course Totals'!J$4,'[1]import success seats course'!$1:$2,2,FALSE),FALSE)/(VLOOKUP($A815,'[1]import graded seats course pivo'!$A:AH,HLOOKUP('[1]Course Totals'!J$4,'[1]import graded seats course pivo'!$1:$2,2,FALSE),FALSE))),"")</f>
        <v>0.90666666666666662</v>
      </c>
      <c r="K815" s="14" t="str">
        <f>IFERROR((VLOOKUP($A815,'[1]import success seats course'!$A:Y,HLOOKUP('[1]Course Totals'!K$4,'[1]import success seats course'!$1:$2,2,FALSE),FALSE)/(VLOOKUP($A815,'[1]import graded seats course pivo'!$A:AI,HLOOKUP('[1]Course Totals'!K$4,'[1]import graded seats course pivo'!$1:$2,2,FALSE),FALSE))),"")</f>
        <v/>
      </c>
      <c r="L815" s="14">
        <f>IFERROR((VLOOKUP($A815,'[1]import success seats course'!$A:Z,HLOOKUP('[1]Course Totals'!L$4,'[1]import success seats course'!$1:$2,2,FALSE),FALSE)/(VLOOKUP($A815,'[1]import graded seats course pivo'!$A:AJ,HLOOKUP('[1]Course Totals'!L$4,'[1]import graded seats course pivo'!$1:$2,2,FALSE),FALSE))),"")</f>
        <v>0.81818181818181823</v>
      </c>
      <c r="M815" s="14">
        <f>IFERROR((VLOOKUP($A815,'[1]import success seats course'!$A:AA,HLOOKUP('[1]Course Totals'!M$4,'[1]import success seats course'!$1:$2,2,FALSE),FALSE)/(VLOOKUP($A815,'[1]import graded seats course pivo'!$A:AK,HLOOKUP('[1]Course Totals'!M$4,'[1]import graded seats course pivo'!$1:$2,2,FALSE),FALSE))),"")</f>
        <v>0.88</v>
      </c>
      <c r="N815" s="14" t="str">
        <f>IFERROR((VLOOKUP($A815,'[1]import success seats course'!$A:AB,HLOOKUP('[1]Course Totals'!N$4,'[1]import success seats course'!$1:$2,2,FALSE),FALSE)/(VLOOKUP($A815,'[1]import graded seats course pivo'!$A:AL,HLOOKUP('[1]Course Totals'!N$4,'[1]import graded seats course pivo'!$1:$2,2,FALSE),FALSE))),"")</f>
        <v/>
      </c>
      <c r="O815" s="14">
        <f>IFERROR((VLOOKUP($A815,'[1]import success seats course'!$A:AC,HLOOKUP('[1]Course Totals'!O$4,'[1]import success seats course'!$1:$2,2,FALSE),FALSE)/(VLOOKUP($A815,'[1]import graded seats course pivo'!$A:AM,HLOOKUP('[1]Course Totals'!O$4,'[1]import graded seats course pivo'!$1:$2,2,FALSE),FALSE))),"")</f>
        <v>0.98780487804878048</v>
      </c>
      <c r="P815" s="14">
        <f>IFERROR((VLOOKUP($A815,'[1]import success seats course'!$A:AD,HLOOKUP('[1]Course Totals'!P$4,'[1]import success seats course'!$1:$2,2,FALSE),FALSE)/(VLOOKUP($A815,'[1]import graded seats course pivo'!$A:AN,HLOOKUP('[1]Course Totals'!P$4,'[1]import graded seats course pivo'!$1:$2,2,FALSE),FALSE))),"")</f>
        <v>0.91304347826086951</v>
      </c>
      <c r="Q815" s="14" t="str">
        <f>IFERROR((VLOOKUP($A815,'[1]import success seats course'!$A:AE,HLOOKUP('[1]Course Totals'!Q$4,'[1]import success seats course'!$1:$2,2,FALSE),FALSE)/(VLOOKUP($A815,'[1]import graded seats course pivo'!$A:AO,HLOOKUP('[1]Course Totals'!Q$4,'[1]import graded seats course pivo'!$1:$2,2,FALSE),FALSE))),"")</f>
        <v/>
      </c>
      <c r="R815" s="14">
        <f>IFERROR((VLOOKUP($A815,'[1]import success seats course'!$A:AF,HLOOKUP('[1]Course Totals'!R$4,'[1]import success seats course'!$1:$2,2,FALSE),FALSE)/(VLOOKUP($A815,'[1]import graded seats course pivo'!$A:AP,HLOOKUP('[1]Course Totals'!R$4,'[1]import graded seats course pivo'!$1:$2,2,FALSE),FALSE))),"")</f>
        <v>0.90697674418604646</v>
      </c>
      <c r="S815" s="14">
        <f>IFERROR((VLOOKUP($A815,'[1]import success seats course'!$A:AG,HLOOKUP('[1]Course Totals'!S$4,'[1]import success seats course'!$1:$2,2,FALSE),FALSE)/(VLOOKUP($A815,'[1]import graded seats course pivo'!$A:AQ,HLOOKUP('[1]Course Totals'!S$4,'[1]import graded seats course pivo'!$1:$2,2,FALSE),FALSE))),"")</f>
        <v>0.89743589743589747</v>
      </c>
      <c r="Z815" s="7"/>
      <c r="AA815" s="7"/>
      <c r="AB815" s="7"/>
      <c r="AC815" s="7"/>
    </row>
    <row r="816" spans="1:29" ht="15.75" hidden="1" customHeight="1" x14ac:dyDescent="0.25">
      <c r="A816" s="12" t="s">
        <v>931</v>
      </c>
      <c r="B816" s="14" t="str">
        <f>IFERROR((VLOOKUP($A816,'[1]import success seats course'!$A:P,HLOOKUP('[1]Course Totals'!B$4,'[1]import success seats course'!$1:$2,2,FALSE),FALSE)/(VLOOKUP($A816,'[1]import graded seats course pivo'!$A:Z,HLOOKUP('[1]Course Totals'!B$4,'[1]import graded seats course pivo'!$1:$2,2,FALSE),FALSE))),"")</f>
        <v/>
      </c>
      <c r="C816" s="14" t="str">
        <f>IFERROR((VLOOKUP($A816,'[1]import success seats course'!$A:Q,HLOOKUP('[1]Course Totals'!C$4,'[1]import success seats course'!$1:$2,2,FALSE),FALSE)/(VLOOKUP($A816,'[1]import graded seats course pivo'!$A:AA,HLOOKUP('[1]Course Totals'!C$4,'[1]import graded seats course pivo'!$1:$2,2,FALSE),FALSE))),"")</f>
        <v/>
      </c>
      <c r="D816" s="14" t="str">
        <f>IFERROR((VLOOKUP($A816,'[1]import success seats course'!$A:R,HLOOKUP('[1]Course Totals'!D$4,'[1]import success seats course'!$1:$2,2,FALSE),FALSE)/(VLOOKUP($A816,'[1]import graded seats course pivo'!$A:AB,HLOOKUP('[1]Course Totals'!D$4,'[1]import graded seats course pivo'!$1:$2,2,FALSE),FALSE))),"")</f>
        <v/>
      </c>
      <c r="E816" s="14" t="str">
        <f>IFERROR((VLOOKUP($A816,'[1]import success seats course'!$A:S,HLOOKUP('[1]Course Totals'!E$4,'[1]import success seats course'!$1:$2,2,FALSE),FALSE)/(VLOOKUP($A816,'[1]import graded seats course pivo'!$A:AC,HLOOKUP('[1]Course Totals'!E$4,'[1]import graded seats course pivo'!$1:$2,2,FALSE),FALSE))),"")</f>
        <v/>
      </c>
      <c r="F816" s="14" t="str">
        <f>IFERROR((VLOOKUP($A816,'[1]import success seats course'!$A:T,HLOOKUP('[1]Course Totals'!F$4,'[1]import success seats course'!$1:$2,2,FALSE),FALSE)/(VLOOKUP($A816,'[1]import graded seats course pivo'!$A:AD,HLOOKUP('[1]Course Totals'!F$4,'[1]import graded seats course pivo'!$1:$2,2,FALSE),FALSE))),"")</f>
        <v/>
      </c>
      <c r="G816" s="14" t="str">
        <f>IFERROR((VLOOKUP($A816,'[1]import success seats course'!$A:U,HLOOKUP('[1]Course Totals'!G$4,'[1]import success seats course'!$1:$2,2,FALSE),FALSE)/(VLOOKUP($A816,'[1]import graded seats course pivo'!$A:AE,HLOOKUP('[1]Course Totals'!G$4,'[1]import graded seats course pivo'!$1:$2,2,FALSE),FALSE))),"")</f>
        <v/>
      </c>
      <c r="H816" s="14" t="str">
        <f>IFERROR((VLOOKUP($A816,'[1]import success seats course'!$A:V,HLOOKUP('[1]Course Totals'!H$4,'[1]import success seats course'!$1:$2,2,FALSE),FALSE)/(VLOOKUP($A816,'[1]import graded seats course pivo'!$A:AF,HLOOKUP('[1]Course Totals'!H$4,'[1]import graded seats course pivo'!$1:$2,2,FALSE),FALSE))),"")</f>
        <v/>
      </c>
      <c r="I816" s="14" t="str">
        <f>IFERROR((VLOOKUP($A816,'[1]import success seats course'!$A:W,HLOOKUP('[1]Course Totals'!I$4,'[1]import success seats course'!$1:$2,2,FALSE),FALSE)/(VLOOKUP($A816,'[1]import graded seats course pivo'!$A:AG,HLOOKUP('[1]Course Totals'!I$4,'[1]import graded seats course pivo'!$1:$2,2,FALSE),FALSE))),"")</f>
        <v/>
      </c>
      <c r="J816" s="14" t="str">
        <f>IFERROR((VLOOKUP($A816,'[1]import success seats course'!$A:X,HLOOKUP('[1]Course Totals'!J$4,'[1]import success seats course'!$1:$2,2,FALSE),FALSE)/(VLOOKUP($A816,'[1]import graded seats course pivo'!$A:AH,HLOOKUP('[1]Course Totals'!J$4,'[1]import graded seats course pivo'!$1:$2,2,FALSE),FALSE))),"")</f>
        <v/>
      </c>
      <c r="K816" s="14" t="str">
        <f>IFERROR((VLOOKUP($A816,'[1]import success seats course'!$A:Y,HLOOKUP('[1]Course Totals'!K$4,'[1]import success seats course'!$1:$2,2,FALSE),FALSE)/(VLOOKUP($A816,'[1]import graded seats course pivo'!$A:AI,HLOOKUP('[1]Course Totals'!K$4,'[1]import graded seats course pivo'!$1:$2,2,FALSE),FALSE))),"")</f>
        <v/>
      </c>
      <c r="L816" s="14" t="str">
        <f>IFERROR((VLOOKUP($A816,'[1]import success seats course'!$A:Z,HLOOKUP('[1]Course Totals'!L$4,'[1]import success seats course'!$1:$2,2,FALSE),FALSE)/(VLOOKUP($A816,'[1]import graded seats course pivo'!$A:AJ,HLOOKUP('[1]Course Totals'!L$4,'[1]import graded seats course pivo'!$1:$2,2,FALSE),FALSE))),"")</f>
        <v/>
      </c>
      <c r="M816" s="14" t="str">
        <f>IFERROR((VLOOKUP($A816,'[1]import success seats course'!$A:AA,HLOOKUP('[1]Course Totals'!M$4,'[1]import success seats course'!$1:$2,2,FALSE),FALSE)/(VLOOKUP($A816,'[1]import graded seats course pivo'!$A:AK,HLOOKUP('[1]Course Totals'!M$4,'[1]import graded seats course pivo'!$1:$2,2,FALSE),FALSE))),"")</f>
        <v/>
      </c>
      <c r="N816" s="14" t="str">
        <f>IFERROR((VLOOKUP($A816,'[1]import success seats course'!$A:AB,HLOOKUP('[1]Course Totals'!N$4,'[1]import success seats course'!$1:$2,2,FALSE),FALSE)/(VLOOKUP($A816,'[1]import graded seats course pivo'!$A:AL,HLOOKUP('[1]Course Totals'!N$4,'[1]import graded seats course pivo'!$1:$2,2,FALSE),FALSE))),"")</f>
        <v/>
      </c>
      <c r="O816" s="14" t="str">
        <f>IFERROR((VLOOKUP($A816,'[1]import success seats course'!$A:AC,HLOOKUP('[1]Course Totals'!O$4,'[1]import success seats course'!$1:$2,2,FALSE),FALSE)/(VLOOKUP($A816,'[1]import graded seats course pivo'!$A:AM,HLOOKUP('[1]Course Totals'!O$4,'[1]import graded seats course pivo'!$1:$2,2,FALSE),FALSE))),"")</f>
        <v/>
      </c>
      <c r="P816" s="14" t="str">
        <f>IFERROR((VLOOKUP($A816,'[1]import success seats course'!$A:AD,HLOOKUP('[1]Course Totals'!P$4,'[1]import success seats course'!$1:$2,2,FALSE),FALSE)/(VLOOKUP($A816,'[1]import graded seats course pivo'!$A:AN,HLOOKUP('[1]Course Totals'!P$4,'[1]import graded seats course pivo'!$1:$2,2,FALSE),FALSE))),"")</f>
        <v/>
      </c>
      <c r="Q816" s="14" t="str">
        <f>IFERROR((VLOOKUP($A816,'[1]import success seats course'!$A:AE,HLOOKUP('[1]Course Totals'!Q$4,'[1]import success seats course'!$1:$2,2,FALSE),FALSE)/(VLOOKUP($A816,'[1]import graded seats course pivo'!$A:AO,HLOOKUP('[1]Course Totals'!Q$4,'[1]import graded seats course pivo'!$1:$2,2,FALSE),FALSE))),"")</f>
        <v/>
      </c>
      <c r="R816" s="14" t="str">
        <f>IFERROR((VLOOKUP($A816,'[1]import success seats course'!$A:AF,HLOOKUP('[1]Course Totals'!R$4,'[1]import success seats course'!$1:$2,2,FALSE),FALSE)/(VLOOKUP($A816,'[1]import graded seats course pivo'!$A:AP,HLOOKUP('[1]Course Totals'!R$4,'[1]import graded seats course pivo'!$1:$2,2,FALSE),FALSE))),"")</f>
        <v/>
      </c>
      <c r="S816" s="14" t="str">
        <f>IFERROR((VLOOKUP($A816,'[1]import success seats course'!$A:AG,HLOOKUP('[1]Course Totals'!S$4,'[1]import success seats course'!$1:$2,2,FALSE),FALSE)/(VLOOKUP($A816,'[1]import graded seats course pivo'!$A:AQ,HLOOKUP('[1]Course Totals'!S$4,'[1]import graded seats course pivo'!$1:$2,2,FALSE),FALSE))),"")</f>
        <v/>
      </c>
      <c r="Z816" s="7"/>
      <c r="AA816" s="7"/>
      <c r="AB816" s="7"/>
      <c r="AC816" s="7"/>
    </row>
    <row r="817" spans="1:29" ht="15.75" customHeight="1" x14ac:dyDescent="0.25">
      <c r="A817" s="12" t="s">
        <v>378</v>
      </c>
      <c r="B817" s="14">
        <f>IFERROR((VLOOKUP($A817,'[1]import success seats course'!$A:P,HLOOKUP('[1]Course Totals'!B$4,'[1]import success seats course'!$1:$2,2,FALSE),FALSE)/(VLOOKUP($A817,'[1]import graded seats course pivo'!$A:Z,HLOOKUP('[1]Course Totals'!B$4,'[1]import graded seats course pivo'!$1:$2,2,FALSE),FALSE))),"")</f>
        <v>0.84615384615384615</v>
      </c>
      <c r="C817" s="14">
        <f>IFERROR((VLOOKUP($A817,'[1]import success seats course'!$A:Q,HLOOKUP('[1]Course Totals'!C$4,'[1]import success seats course'!$1:$2,2,FALSE),FALSE)/(VLOOKUP($A817,'[1]import graded seats course pivo'!$A:AA,HLOOKUP('[1]Course Totals'!C$4,'[1]import graded seats course pivo'!$1:$2,2,FALSE),FALSE))),"")</f>
        <v>0.73076923076923073</v>
      </c>
      <c r="D817" s="14">
        <f>IFERROR((VLOOKUP($A817,'[1]import success seats course'!$A:R,HLOOKUP('[1]Course Totals'!D$4,'[1]import success seats course'!$1:$2,2,FALSE),FALSE)/(VLOOKUP($A817,'[1]import graded seats course pivo'!$A:AB,HLOOKUP('[1]Course Totals'!D$4,'[1]import graded seats course pivo'!$1:$2,2,FALSE),FALSE))),"")</f>
        <v>0.7142857142857143</v>
      </c>
      <c r="E817" s="14">
        <f>IFERROR((VLOOKUP($A817,'[1]import success seats course'!$A:S,HLOOKUP('[1]Course Totals'!E$4,'[1]import success seats course'!$1:$2,2,FALSE),FALSE)/(VLOOKUP($A817,'[1]import graded seats course pivo'!$A:AC,HLOOKUP('[1]Course Totals'!E$4,'[1]import graded seats course pivo'!$1:$2,2,FALSE),FALSE))),"")</f>
        <v>0.88461538461538458</v>
      </c>
      <c r="F817" s="14">
        <f>IFERROR((VLOOKUP($A817,'[1]import success seats course'!$A:T,HLOOKUP('[1]Course Totals'!F$4,'[1]import success seats course'!$1:$2,2,FALSE),FALSE)/(VLOOKUP($A817,'[1]import graded seats course pivo'!$A:AD,HLOOKUP('[1]Course Totals'!F$4,'[1]import graded seats course pivo'!$1:$2,2,FALSE),FALSE))),"")</f>
        <v>0.72916666666666663</v>
      </c>
      <c r="G817" s="14">
        <f>IFERROR((VLOOKUP($A817,'[1]import success seats course'!$A:U,HLOOKUP('[1]Course Totals'!G$4,'[1]import success seats course'!$1:$2,2,FALSE),FALSE)/(VLOOKUP($A817,'[1]import graded seats course pivo'!$A:AE,HLOOKUP('[1]Course Totals'!G$4,'[1]import graded seats course pivo'!$1:$2,2,FALSE),FALSE))),"")</f>
        <v>0.74444444444444446</v>
      </c>
      <c r="H817" s="14" t="str">
        <f>IFERROR((VLOOKUP($A817,'[1]import success seats course'!$A:V,HLOOKUP('[1]Course Totals'!H$4,'[1]import success seats course'!$1:$2,2,FALSE),FALSE)/(VLOOKUP($A817,'[1]import graded seats course pivo'!$A:AF,HLOOKUP('[1]Course Totals'!H$4,'[1]import graded seats course pivo'!$1:$2,2,FALSE),FALSE))),"")</f>
        <v/>
      </c>
      <c r="I817" s="14">
        <f>IFERROR((VLOOKUP($A817,'[1]import success seats course'!$A:W,HLOOKUP('[1]Course Totals'!I$4,'[1]import success seats course'!$1:$2,2,FALSE),FALSE)/(VLOOKUP($A817,'[1]import graded seats course pivo'!$A:AG,HLOOKUP('[1]Course Totals'!I$4,'[1]import graded seats course pivo'!$1:$2,2,FALSE),FALSE))),"")</f>
        <v>0.74736842105263157</v>
      </c>
      <c r="J817" s="14">
        <f>IFERROR((VLOOKUP($A817,'[1]import success seats course'!$A:X,HLOOKUP('[1]Course Totals'!J$4,'[1]import success seats course'!$1:$2,2,FALSE),FALSE)/(VLOOKUP($A817,'[1]import graded seats course pivo'!$A:AH,HLOOKUP('[1]Course Totals'!J$4,'[1]import graded seats course pivo'!$1:$2,2,FALSE),FALSE))),"")</f>
        <v>0.67741935483870963</v>
      </c>
      <c r="K817" s="14" t="str">
        <f>IFERROR((VLOOKUP($A817,'[1]import success seats course'!$A:Y,HLOOKUP('[1]Course Totals'!K$4,'[1]import success seats course'!$1:$2,2,FALSE),FALSE)/(VLOOKUP($A817,'[1]import graded seats course pivo'!$A:AI,HLOOKUP('[1]Course Totals'!K$4,'[1]import graded seats course pivo'!$1:$2,2,FALSE),FALSE))),"")</f>
        <v/>
      </c>
      <c r="L817" s="14">
        <f>IFERROR((VLOOKUP($A817,'[1]import success seats course'!$A:Z,HLOOKUP('[1]Course Totals'!L$4,'[1]import success seats course'!$1:$2,2,FALSE),FALSE)/(VLOOKUP($A817,'[1]import graded seats course pivo'!$A:AJ,HLOOKUP('[1]Course Totals'!L$4,'[1]import graded seats course pivo'!$1:$2,2,FALSE),FALSE))),"")</f>
        <v>0.66265060240963858</v>
      </c>
      <c r="M817" s="14">
        <f>IFERROR((VLOOKUP($A817,'[1]import success seats course'!$A:AA,HLOOKUP('[1]Course Totals'!M$4,'[1]import success seats course'!$1:$2,2,FALSE),FALSE)/(VLOOKUP($A817,'[1]import graded seats course pivo'!$A:AK,HLOOKUP('[1]Course Totals'!M$4,'[1]import graded seats course pivo'!$1:$2,2,FALSE),FALSE))),"")</f>
        <v>0.57446808510638303</v>
      </c>
      <c r="N817" s="14" t="str">
        <f>IFERROR((VLOOKUP($A817,'[1]import success seats course'!$A:AB,HLOOKUP('[1]Course Totals'!N$4,'[1]import success seats course'!$1:$2,2,FALSE),FALSE)/(VLOOKUP($A817,'[1]import graded seats course pivo'!$A:AL,HLOOKUP('[1]Course Totals'!N$4,'[1]import graded seats course pivo'!$1:$2,2,FALSE),FALSE))),"")</f>
        <v/>
      </c>
      <c r="O817" s="14">
        <f>IFERROR((VLOOKUP($A817,'[1]import success seats course'!$A:AC,HLOOKUP('[1]Course Totals'!O$4,'[1]import success seats course'!$1:$2,2,FALSE),FALSE)/(VLOOKUP($A817,'[1]import graded seats course pivo'!$A:AM,HLOOKUP('[1]Course Totals'!O$4,'[1]import graded seats course pivo'!$1:$2,2,FALSE),FALSE))),"")</f>
        <v>0.69148936170212771</v>
      </c>
      <c r="P817" s="14">
        <f>IFERROR((VLOOKUP($A817,'[1]import success seats course'!$A:AD,HLOOKUP('[1]Course Totals'!P$4,'[1]import success seats course'!$1:$2,2,FALSE),FALSE)/(VLOOKUP($A817,'[1]import graded seats course pivo'!$A:AN,HLOOKUP('[1]Course Totals'!P$4,'[1]import graded seats course pivo'!$1:$2,2,FALSE),FALSE))),"")</f>
        <v>0.625</v>
      </c>
      <c r="Q817" s="14" t="str">
        <f>IFERROR((VLOOKUP($A817,'[1]import success seats course'!$A:AE,HLOOKUP('[1]Course Totals'!Q$4,'[1]import success seats course'!$1:$2,2,FALSE),FALSE)/(VLOOKUP($A817,'[1]import graded seats course pivo'!$A:AO,HLOOKUP('[1]Course Totals'!Q$4,'[1]import graded seats course pivo'!$1:$2,2,FALSE),FALSE))),"")</f>
        <v/>
      </c>
      <c r="R817" s="14">
        <f>IFERROR((VLOOKUP($A817,'[1]import success seats course'!$A:AF,HLOOKUP('[1]Course Totals'!R$4,'[1]import success seats course'!$1:$2,2,FALSE),FALSE)/(VLOOKUP($A817,'[1]import graded seats course pivo'!$A:AP,HLOOKUP('[1]Course Totals'!R$4,'[1]import graded seats course pivo'!$1:$2,2,FALSE),FALSE))),"")</f>
        <v>0.75</v>
      </c>
      <c r="S817" s="14">
        <f>IFERROR((VLOOKUP($A817,'[1]import success seats course'!$A:AG,HLOOKUP('[1]Course Totals'!S$4,'[1]import success seats course'!$1:$2,2,FALSE),FALSE)/(VLOOKUP($A817,'[1]import graded seats course pivo'!$A:AQ,HLOOKUP('[1]Course Totals'!S$4,'[1]import graded seats course pivo'!$1:$2,2,FALSE),FALSE))),"")</f>
        <v>0.81481481481481477</v>
      </c>
      <c r="Z817" s="7"/>
      <c r="AA817" s="7"/>
      <c r="AB817" s="7"/>
      <c r="AC817" s="7"/>
    </row>
    <row r="818" spans="1:29" ht="15.75" customHeight="1" x14ac:dyDescent="0.25">
      <c r="A818" s="12" t="s">
        <v>379</v>
      </c>
      <c r="B818" s="14" t="str">
        <f>IFERROR((VLOOKUP($A818,'[1]import success seats course'!$A:P,HLOOKUP('[1]Course Totals'!B$4,'[1]import success seats course'!$1:$2,2,FALSE),FALSE)/(VLOOKUP($A818,'[1]import graded seats course pivo'!$A:Z,HLOOKUP('[1]Course Totals'!B$4,'[1]import graded seats course pivo'!$1:$2,2,FALSE),FALSE))),"")</f>
        <v/>
      </c>
      <c r="C818" s="14">
        <f>IFERROR((VLOOKUP($A818,'[1]import success seats course'!$A:Q,HLOOKUP('[1]Course Totals'!C$4,'[1]import success seats course'!$1:$2,2,FALSE),FALSE)/(VLOOKUP($A818,'[1]import graded seats course pivo'!$A:AA,HLOOKUP('[1]Course Totals'!C$4,'[1]import graded seats course pivo'!$1:$2,2,FALSE),FALSE))),"")</f>
        <v>1</v>
      </c>
      <c r="D818" s="14">
        <f>IFERROR((VLOOKUP($A818,'[1]import success seats course'!$A:R,HLOOKUP('[1]Course Totals'!D$4,'[1]import success seats course'!$1:$2,2,FALSE),FALSE)/(VLOOKUP($A818,'[1]import graded seats course pivo'!$A:AB,HLOOKUP('[1]Course Totals'!D$4,'[1]import graded seats course pivo'!$1:$2,2,FALSE),FALSE))),"")</f>
        <v>1</v>
      </c>
      <c r="E818" s="14">
        <f>IFERROR((VLOOKUP($A818,'[1]import success seats course'!$A:S,HLOOKUP('[1]Course Totals'!E$4,'[1]import success seats course'!$1:$2,2,FALSE),FALSE)/(VLOOKUP($A818,'[1]import graded seats course pivo'!$A:AC,HLOOKUP('[1]Course Totals'!E$4,'[1]import graded seats course pivo'!$1:$2,2,FALSE),FALSE))),"")</f>
        <v>1</v>
      </c>
      <c r="F818" s="14">
        <f>IFERROR((VLOOKUP($A818,'[1]import success seats course'!$A:T,HLOOKUP('[1]Course Totals'!F$4,'[1]import success seats course'!$1:$2,2,FALSE),FALSE)/(VLOOKUP($A818,'[1]import graded seats course pivo'!$A:AD,HLOOKUP('[1]Course Totals'!F$4,'[1]import graded seats course pivo'!$1:$2,2,FALSE),FALSE))),"")</f>
        <v>0.75</v>
      </c>
      <c r="G818" s="14">
        <f>IFERROR((VLOOKUP($A818,'[1]import success seats course'!$A:U,HLOOKUP('[1]Course Totals'!G$4,'[1]import success seats course'!$1:$2,2,FALSE),FALSE)/(VLOOKUP($A818,'[1]import graded seats course pivo'!$A:AE,HLOOKUP('[1]Course Totals'!G$4,'[1]import graded seats course pivo'!$1:$2,2,FALSE),FALSE))),"")</f>
        <v>0.8571428571428571</v>
      </c>
      <c r="H818" s="14" t="str">
        <f>IFERROR((VLOOKUP($A818,'[1]import success seats course'!$A:V,HLOOKUP('[1]Course Totals'!H$4,'[1]import success seats course'!$1:$2,2,FALSE),FALSE)/(VLOOKUP($A818,'[1]import graded seats course pivo'!$A:AF,HLOOKUP('[1]Course Totals'!H$4,'[1]import graded seats course pivo'!$1:$2,2,FALSE),FALSE))),"")</f>
        <v/>
      </c>
      <c r="I818" s="14">
        <f>IFERROR((VLOOKUP($A818,'[1]import success seats course'!$A:W,HLOOKUP('[1]Course Totals'!I$4,'[1]import success seats course'!$1:$2,2,FALSE),FALSE)/(VLOOKUP($A818,'[1]import graded seats course pivo'!$A:AG,HLOOKUP('[1]Course Totals'!I$4,'[1]import graded seats course pivo'!$1:$2,2,FALSE),FALSE))),"")</f>
        <v>0.83333333333333337</v>
      </c>
      <c r="J818" s="14">
        <f>IFERROR((VLOOKUP($A818,'[1]import success seats course'!$A:X,HLOOKUP('[1]Course Totals'!J$4,'[1]import success seats course'!$1:$2,2,FALSE),FALSE)/(VLOOKUP($A818,'[1]import graded seats course pivo'!$A:AH,HLOOKUP('[1]Course Totals'!J$4,'[1]import graded seats course pivo'!$1:$2,2,FALSE),FALSE))),"")</f>
        <v>1</v>
      </c>
      <c r="K818" s="14" t="str">
        <f>IFERROR((VLOOKUP($A818,'[1]import success seats course'!$A:Y,HLOOKUP('[1]Course Totals'!K$4,'[1]import success seats course'!$1:$2,2,FALSE),FALSE)/(VLOOKUP($A818,'[1]import graded seats course pivo'!$A:AI,HLOOKUP('[1]Course Totals'!K$4,'[1]import graded seats course pivo'!$1:$2,2,FALSE),FALSE))),"")</f>
        <v/>
      </c>
      <c r="L818" s="14">
        <f>IFERROR((VLOOKUP($A818,'[1]import success seats course'!$A:Z,HLOOKUP('[1]Course Totals'!L$4,'[1]import success seats course'!$1:$2,2,FALSE),FALSE)/(VLOOKUP($A818,'[1]import graded seats course pivo'!$A:AJ,HLOOKUP('[1]Course Totals'!L$4,'[1]import graded seats course pivo'!$1:$2,2,FALSE),FALSE))),"")</f>
        <v>0.7142857142857143</v>
      </c>
      <c r="M818" s="14">
        <f>IFERROR((VLOOKUP($A818,'[1]import success seats course'!$A:AA,HLOOKUP('[1]Course Totals'!M$4,'[1]import success seats course'!$1:$2,2,FALSE),FALSE)/(VLOOKUP($A818,'[1]import graded seats course pivo'!$A:AK,HLOOKUP('[1]Course Totals'!M$4,'[1]import graded seats course pivo'!$1:$2,2,FALSE),FALSE))),"")</f>
        <v>0.88888888888888884</v>
      </c>
      <c r="N818" s="14" t="str">
        <f>IFERROR((VLOOKUP($A818,'[1]import success seats course'!$A:AB,HLOOKUP('[1]Course Totals'!N$4,'[1]import success seats course'!$1:$2,2,FALSE),FALSE)/(VLOOKUP($A818,'[1]import graded seats course pivo'!$A:AL,HLOOKUP('[1]Course Totals'!N$4,'[1]import graded seats course pivo'!$1:$2,2,FALSE),FALSE))),"")</f>
        <v/>
      </c>
      <c r="O818" s="14">
        <f>IFERROR((VLOOKUP($A818,'[1]import success seats course'!$A:AC,HLOOKUP('[1]Course Totals'!O$4,'[1]import success seats course'!$1:$2,2,FALSE),FALSE)/(VLOOKUP($A818,'[1]import graded seats course pivo'!$A:AM,HLOOKUP('[1]Course Totals'!O$4,'[1]import graded seats course pivo'!$1:$2,2,FALSE),FALSE))),"")</f>
        <v>1</v>
      </c>
      <c r="P818" s="14">
        <f>IFERROR((VLOOKUP($A818,'[1]import success seats course'!$A:AD,HLOOKUP('[1]Course Totals'!P$4,'[1]import success seats course'!$1:$2,2,FALSE),FALSE)/(VLOOKUP($A818,'[1]import graded seats course pivo'!$A:AN,HLOOKUP('[1]Course Totals'!P$4,'[1]import graded seats course pivo'!$1:$2,2,FALSE),FALSE))),"")</f>
        <v>0.8</v>
      </c>
      <c r="Q818" s="14" t="str">
        <f>IFERROR((VLOOKUP($A818,'[1]import success seats course'!$A:AE,HLOOKUP('[1]Course Totals'!Q$4,'[1]import success seats course'!$1:$2,2,FALSE),FALSE)/(VLOOKUP($A818,'[1]import graded seats course pivo'!$A:AO,HLOOKUP('[1]Course Totals'!Q$4,'[1]import graded seats course pivo'!$1:$2,2,FALSE),FALSE))),"")</f>
        <v/>
      </c>
      <c r="R818" s="14">
        <f>IFERROR((VLOOKUP($A818,'[1]import success seats course'!$A:AF,HLOOKUP('[1]Course Totals'!R$4,'[1]import success seats course'!$1:$2,2,FALSE),FALSE)/(VLOOKUP($A818,'[1]import graded seats course pivo'!$A:AP,HLOOKUP('[1]Course Totals'!R$4,'[1]import graded seats course pivo'!$1:$2,2,FALSE),FALSE))),"")</f>
        <v>0.8</v>
      </c>
      <c r="S818" s="14">
        <f>IFERROR((VLOOKUP($A818,'[1]import success seats course'!$A:AG,HLOOKUP('[1]Course Totals'!S$4,'[1]import success seats course'!$1:$2,2,FALSE),FALSE)/(VLOOKUP($A818,'[1]import graded seats course pivo'!$A:AQ,HLOOKUP('[1]Course Totals'!S$4,'[1]import graded seats course pivo'!$1:$2,2,FALSE),FALSE))),"")</f>
        <v>0.8</v>
      </c>
      <c r="Z818" s="7"/>
      <c r="AA818" s="7"/>
      <c r="AB818" s="7"/>
      <c r="AC818" s="7"/>
    </row>
    <row r="819" spans="1:29" ht="15.75" hidden="1" customHeight="1" x14ac:dyDescent="0.25">
      <c r="A819" s="12" t="s">
        <v>380</v>
      </c>
      <c r="B819" s="14" t="str">
        <f>IFERROR((VLOOKUP($A819,'[1]import success seats course'!$A:P,HLOOKUP('[1]Course Totals'!B$4,'[1]import success seats course'!$1:$2,2,FALSE),FALSE)/(VLOOKUP($A819,'[1]import graded seats course pivo'!$A:Z,HLOOKUP('[1]Course Totals'!B$4,'[1]import graded seats course pivo'!$1:$2,2,FALSE),FALSE))),"")</f>
        <v/>
      </c>
      <c r="C819" s="14" t="str">
        <f>IFERROR((VLOOKUP($A819,'[1]import success seats course'!$A:Q,HLOOKUP('[1]Course Totals'!C$4,'[1]import success seats course'!$1:$2,2,FALSE),FALSE)/(VLOOKUP($A819,'[1]import graded seats course pivo'!$A:AA,HLOOKUP('[1]Course Totals'!C$4,'[1]import graded seats course pivo'!$1:$2,2,FALSE),FALSE))),"")</f>
        <v/>
      </c>
      <c r="D819" s="14" t="str">
        <f>IFERROR((VLOOKUP($A819,'[1]import success seats course'!$A:R,HLOOKUP('[1]Course Totals'!D$4,'[1]import success seats course'!$1:$2,2,FALSE),FALSE)/(VLOOKUP($A819,'[1]import graded seats course pivo'!$A:AB,HLOOKUP('[1]Course Totals'!D$4,'[1]import graded seats course pivo'!$1:$2,2,FALSE),FALSE))),"")</f>
        <v/>
      </c>
      <c r="E819" s="14" t="str">
        <f>IFERROR((VLOOKUP($A819,'[1]import success seats course'!$A:S,HLOOKUP('[1]Course Totals'!E$4,'[1]import success seats course'!$1:$2,2,FALSE),FALSE)/(VLOOKUP($A819,'[1]import graded seats course pivo'!$A:AC,HLOOKUP('[1]Course Totals'!E$4,'[1]import graded seats course pivo'!$1:$2,2,FALSE),FALSE))),"")</f>
        <v/>
      </c>
      <c r="F819" s="14" t="str">
        <f>IFERROR((VLOOKUP($A819,'[1]import success seats course'!$A:T,HLOOKUP('[1]Course Totals'!F$4,'[1]import success seats course'!$1:$2,2,FALSE),FALSE)/(VLOOKUP($A819,'[1]import graded seats course pivo'!$A:AD,HLOOKUP('[1]Course Totals'!F$4,'[1]import graded seats course pivo'!$1:$2,2,FALSE),FALSE))),"")</f>
        <v/>
      </c>
      <c r="G819" s="14" t="str">
        <f>IFERROR((VLOOKUP($A819,'[1]import success seats course'!$A:U,HLOOKUP('[1]Course Totals'!G$4,'[1]import success seats course'!$1:$2,2,FALSE),FALSE)/(VLOOKUP($A819,'[1]import graded seats course pivo'!$A:AE,HLOOKUP('[1]Course Totals'!G$4,'[1]import graded seats course pivo'!$1:$2,2,FALSE),FALSE))),"")</f>
        <v/>
      </c>
      <c r="H819" s="14" t="str">
        <f>IFERROR((VLOOKUP($A819,'[1]import success seats course'!$A:V,HLOOKUP('[1]Course Totals'!H$4,'[1]import success seats course'!$1:$2,2,FALSE),FALSE)/(VLOOKUP($A819,'[1]import graded seats course pivo'!$A:AF,HLOOKUP('[1]Course Totals'!H$4,'[1]import graded seats course pivo'!$1:$2,2,FALSE),FALSE))),"")</f>
        <v/>
      </c>
      <c r="I819" s="14" t="str">
        <f>IFERROR((VLOOKUP($A819,'[1]import success seats course'!$A:W,HLOOKUP('[1]Course Totals'!I$4,'[1]import success seats course'!$1:$2,2,FALSE),FALSE)/(VLOOKUP($A819,'[1]import graded seats course pivo'!$A:AG,HLOOKUP('[1]Course Totals'!I$4,'[1]import graded seats course pivo'!$1:$2,2,FALSE),FALSE))),"")</f>
        <v/>
      </c>
      <c r="J819" s="14" t="str">
        <f>IFERROR((VLOOKUP($A819,'[1]import success seats course'!$A:X,HLOOKUP('[1]Course Totals'!J$4,'[1]import success seats course'!$1:$2,2,FALSE),FALSE)/(VLOOKUP($A819,'[1]import graded seats course pivo'!$A:AH,HLOOKUP('[1]Course Totals'!J$4,'[1]import graded seats course pivo'!$1:$2,2,FALSE),FALSE))),"")</f>
        <v/>
      </c>
      <c r="K819" s="14" t="str">
        <f>IFERROR((VLOOKUP($A819,'[1]import success seats course'!$A:Y,HLOOKUP('[1]Course Totals'!K$4,'[1]import success seats course'!$1:$2,2,FALSE),FALSE)/(VLOOKUP($A819,'[1]import graded seats course pivo'!$A:AI,HLOOKUP('[1]Course Totals'!K$4,'[1]import graded seats course pivo'!$1:$2,2,FALSE),FALSE))),"")</f>
        <v/>
      </c>
      <c r="L819" s="14" t="str">
        <f>IFERROR((VLOOKUP($A819,'[1]import success seats course'!$A:Z,HLOOKUP('[1]Course Totals'!L$4,'[1]import success seats course'!$1:$2,2,FALSE),FALSE)/(VLOOKUP($A819,'[1]import graded seats course pivo'!$A:AJ,HLOOKUP('[1]Course Totals'!L$4,'[1]import graded seats course pivo'!$1:$2,2,FALSE),FALSE))),"")</f>
        <v/>
      </c>
      <c r="M819" s="14" t="str">
        <f>IFERROR((VLOOKUP($A819,'[1]import success seats course'!$A:AA,HLOOKUP('[1]Course Totals'!M$4,'[1]import success seats course'!$1:$2,2,FALSE),FALSE)/(VLOOKUP($A819,'[1]import graded seats course pivo'!$A:AK,HLOOKUP('[1]Course Totals'!M$4,'[1]import graded seats course pivo'!$1:$2,2,FALSE),FALSE))),"")</f>
        <v/>
      </c>
      <c r="N819" s="14" t="str">
        <f>IFERROR((VLOOKUP($A819,'[1]import success seats course'!$A:AB,HLOOKUP('[1]Course Totals'!N$4,'[1]import success seats course'!$1:$2,2,FALSE),FALSE)/(VLOOKUP($A819,'[1]import graded seats course pivo'!$A:AL,HLOOKUP('[1]Course Totals'!N$4,'[1]import graded seats course pivo'!$1:$2,2,FALSE),FALSE))),"")</f>
        <v/>
      </c>
      <c r="O819" s="14" t="str">
        <f>IFERROR((VLOOKUP($A819,'[1]import success seats course'!$A:AC,HLOOKUP('[1]Course Totals'!O$4,'[1]import success seats course'!$1:$2,2,FALSE),FALSE)/(VLOOKUP($A819,'[1]import graded seats course pivo'!$A:AM,HLOOKUP('[1]Course Totals'!O$4,'[1]import graded seats course pivo'!$1:$2,2,FALSE),FALSE))),"")</f>
        <v/>
      </c>
      <c r="P819" s="14" t="str">
        <f>IFERROR((VLOOKUP($A819,'[1]import success seats course'!$A:AD,HLOOKUP('[1]Course Totals'!P$4,'[1]import success seats course'!$1:$2,2,FALSE),FALSE)/(VLOOKUP($A819,'[1]import graded seats course pivo'!$A:AN,HLOOKUP('[1]Course Totals'!P$4,'[1]import graded seats course pivo'!$1:$2,2,FALSE),FALSE))),"")</f>
        <v/>
      </c>
      <c r="Q819" s="14" t="str">
        <f>IFERROR((VLOOKUP($A819,'[1]import success seats course'!$A:AE,HLOOKUP('[1]Course Totals'!Q$4,'[1]import success seats course'!$1:$2,2,FALSE),FALSE)/(VLOOKUP($A819,'[1]import graded seats course pivo'!$A:AO,HLOOKUP('[1]Course Totals'!Q$4,'[1]import graded seats course pivo'!$1:$2,2,FALSE),FALSE))),"")</f>
        <v/>
      </c>
      <c r="R819" s="14" t="str">
        <f>IFERROR((VLOOKUP($A819,'[1]import success seats course'!$A:AF,HLOOKUP('[1]Course Totals'!R$4,'[1]import success seats course'!$1:$2,2,FALSE),FALSE)/(VLOOKUP($A819,'[1]import graded seats course pivo'!$A:AP,HLOOKUP('[1]Course Totals'!R$4,'[1]import graded seats course pivo'!$1:$2,2,FALSE),FALSE))),"")</f>
        <v/>
      </c>
      <c r="S819" s="14" t="str">
        <f>IFERROR((VLOOKUP($A819,'[1]import success seats course'!$A:AG,HLOOKUP('[1]Course Totals'!S$4,'[1]import success seats course'!$1:$2,2,FALSE),FALSE)/(VLOOKUP($A819,'[1]import graded seats course pivo'!$A:AQ,HLOOKUP('[1]Course Totals'!S$4,'[1]import graded seats course pivo'!$1:$2,2,FALSE),FALSE))),"")</f>
        <v/>
      </c>
      <c r="Z819" s="7"/>
      <c r="AA819" s="7"/>
      <c r="AB819" s="7"/>
      <c r="AC819" s="7"/>
    </row>
    <row r="820" spans="1:29" ht="15.75" customHeight="1" x14ac:dyDescent="0.25">
      <c r="A820" s="12" t="s">
        <v>854</v>
      </c>
      <c r="B820" s="14" t="str">
        <f>IFERROR((VLOOKUP($A820,'[1]import success seats course'!$A:P,HLOOKUP('[1]Course Totals'!B$4,'[1]import success seats course'!$1:$2,2,FALSE),FALSE)/(VLOOKUP($A820,'[1]import graded seats course pivo'!$A:Z,HLOOKUP('[1]Course Totals'!B$4,'[1]import graded seats course pivo'!$1:$2,2,FALSE),FALSE))),"")</f>
        <v/>
      </c>
      <c r="C820" s="14" t="str">
        <f>IFERROR((VLOOKUP($A820,'[1]import success seats course'!$A:Q,HLOOKUP('[1]Course Totals'!C$4,'[1]import success seats course'!$1:$2,2,FALSE),FALSE)/(VLOOKUP($A820,'[1]import graded seats course pivo'!$A:AA,HLOOKUP('[1]Course Totals'!C$4,'[1]import graded seats course pivo'!$1:$2,2,FALSE),FALSE))),"")</f>
        <v/>
      </c>
      <c r="D820" s="14" t="str">
        <f>IFERROR((VLOOKUP($A820,'[1]import success seats course'!$A:R,HLOOKUP('[1]Course Totals'!D$4,'[1]import success seats course'!$1:$2,2,FALSE),FALSE)/(VLOOKUP($A820,'[1]import graded seats course pivo'!$A:AB,HLOOKUP('[1]Course Totals'!D$4,'[1]import graded seats course pivo'!$1:$2,2,FALSE),FALSE))),"")</f>
        <v/>
      </c>
      <c r="E820" s="14" t="str">
        <f>IFERROR((VLOOKUP($A820,'[1]import success seats course'!$A:S,HLOOKUP('[1]Course Totals'!E$4,'[1]import success seats course'!$1:$2,2,FALSE),FALSE)/(VLOOKUP($A820,'[1]import graded seats course pivo'!$A:AC,HLOOKUP('[1]Course Totals'!E$4,'[1]import graded seats course pivo'!$1:$2,2,FALSE),FALSE))),"")</f>
        <v/>
      </c>
      <c r="F820" s="14" t="str">
        <f>IFERROR((VLOOKUP($A820,'[1]import success seats course'!$A:T,HLOOKUP('[1]Course Totals'!F$4,'[1]import success seats course'!$1:$2,2,FALSE),FALSE)/(VLOOKUP($A820,'[1]import graded seats course pivo'!$A:AD,HLOOKUP('[1]Course Totals'!F$4,'[1]import graded seats course pivo'!$1:$2,2,FALSE),FALSE))),"")</f>
        <v/>
      </c>
      <c r="G820" s="14" t="str">
        <f>IFERROR((VLOOKUP($A820,'[1]import success seats course'!$A:U,HLOOKUP('[1]Course Totals'!G$4,'[1]import success seats course'!$1:$2,2,FALSE),FALSE)/(VLOOKUP($A820,'[1]import graded seats course pivo'!$A:AE,HLOOKUP('[1]Course Totals'!G$4,'[1]import graded seats course pivo'!$1:$2,2,FALSE),FALSE))),"")</f>
        <v/>
      </c>
      <c r="H820" s="14" t="str">
        <f>IFERROR((VLOOKUP($A820,'[1]import success seats course'!$A:V,HLOOKUP('[1]Course Totals'!H$4,'[1]import success seats course'!$1:$2,2,FALSE),FALSE)/(VLOOKUP($A820,'[1]import graded seats course pivo'!$A:AF,HLOOKUP('[1]Course Totals'!H$4,'[1]import graded seats course pivo'!$1:$2,2,FALSE),FALSE))),"")</f>
        <v/>
      </c>
      <c r="I820" s="14" t="str">
        <f>IFERROR((VLOOKUP($A820,'[1]import success seats course'!$A:W,HLOOKUP('[1]Course Totals'!I$4,'[1]import success seats course'!$1:$2,2,FALSE),FALSE)/(VLOOKUP($A820,'[1]import graded seats course pivo'!$A:AG,HLOOKUP('[1]Course Totals'!I$4,'[1]import graded seats course pivo'!$1:$2,2,FALSE),FALSE))),"")</f>
        <v/>
      </c>
      <c r="J820" s="14" t="str">
        <f>IFERROR((VLOOKUP($A820,'[1]import success seats course'!$A:X,HLOOKUP('[1]Course Totals'!J$4,'[1]import success seats course'!$1:$2,2,FALSE),FALSE)/(VLOOKUP($A820,'[1]import graded seats course pivo'!$A:AH,HLOOKUP('[1]Course Totals'!J$4,'[1]import graded seats course pivo'!$1:$2,2,FALSE),FALSE))),"")</f>
        <v/>
      </c>
      <c r="K820" s="14" t="str">
        <f>IFERROR((VLOOKUP($A820,'[1]import success seats course'!$A:Y,HLOOKUP('[1]Course Totals'!K$4,'[1]import success seats course'!$1:$2,2,FALSE),FALSE)/(VLOOKUP($A820,'[1]import graded seats course pivo'!$A:AI,HLOOKUP('[1]Course Totals'!K$4,'[1]import graded seats course pivo'!$1:$2,2,FALSE),FALSE))),"")</f>
        <v/>
      </c>
      <c r="L820" s="14" t="str">
        <f>IFERROR((VLOOKUP($A820,'[1]import success seats course'!$A:Z,HLOOKUP('[1]Course Totals'!L$4,'[1]import success seats course'!$1:$2,2,FALSE),FALSE)/(VLOOKUP($A820,'[1]import graded seats course pivo'!$A:AJ,HLOOKUP('[1]Course Totals'!L$4,'[1]import graded seats course pivo'!$1:$2,2,FALSE),FALSE))),"")</f>
        <v/>
      </c>
      <c r="M820" s="14" t="str">
        <f>IFERROR((VLOOKUP($A820,'[1]import success seats course'!$A:AA,HLOOKUP('[1]Course Totals'!M$4,'[1]import success seats course'!$1:$2,2,FALSE),FALSE)/(VLOOKUP($A820,'[1]import graded seats course pivo'!$A:AK,HLOOKUP('[1]Course Totals'!M$4,'[1]import graded seats course pivo'!$1:$2,2,FALSE),FALSE))),"")</f>
        <v/>
      </c>
      <c r="N820" s="14" t="str">
        <f>IFERROR((VLOOKUP($A820,'[1]import success seats course'!$A:AB,HLOOKUP('[1]Course Totals'!N$4,'[1]import success seats course'!$1:$2,2,FALSE),FALSE)/(VLOOKUP($A820,'[1]import graded seats course pivo'!$A:AL,HLOOKUP('[1]Course Totals'!N$4,'[1]import graded seats course pivo'!$1:$2,2,FALSE),FALSE))),"")</f>
        <v/>
      </c>
      <c r="O820" s="14">
        <f>IFERROR((VLOOKUP($A820,'[1]import success seats course'!$A:AC,HLOOKUP('[1]Course Totals'!O$4,'[1]import success seats course'!$1:$2,2,FALSE),FALSE)/(VLOOKUP($A820,'[1]import graded seats course pivo'!$A:AM,HLOOKUP('[1]Course Totals'!O$4,'[1]import graded seats course pivo'!$1:$2,2,FALSE),FALSE))),"")</f>
        <v>0.66666666666666663</v>
      </c>
      <c r="P820" s="14">
        <f>IFERROR((VLOOKUP($A820,'[1]import success seats course'!$A:AD,HLOOKUP('[1]Course Totals'!P$4,'[1]import success seats course'!$1:$2,2,FALSE),FALSE)/(VLOOKUP($A820,'[1]import graded seats course pivo'!$A:AN,HLOOKUP('[1]Course Totals'!P$4,'[1]import graded seats course pivo'!$1:$2,2,FALSE),FALSE))),"")</f>
        <v>0.75</v>
      </c>
      <c r="Q820" s="14" t="str">
        <f>IFERROR((VLOOKUP($A820,'[1]import success seats course'!$A:AE,HLOOKUP('[1]Course Totals'!Q$4,'[1]import success seats course'!$1:$2,2,FALSE),FALSE)/(VLOOKUP($A820,'[1]import graded seats course pivo'!$A:AO,HLOOKUP('[1]Course Totals'!Q$4,'[1]import graded seats course pivo'!$1:$2,2,FALSE),FALSE))),"")</f>
        <v/>
      </c>
      <c r="R820" s="14" t="str">
        <f>IFERROR((VLOOKUP($A820,'[1]import success seats course'!$A:AF,HLOOKUP('[1]Course Totals'!R$4,'[1]import success seats course'!$1:$2,2,FALSE),FALSE)/(VLOOKUP($A820,'[1]import graded seats course pivo'!$A:AP,HLOOKUP('[1]Course Totals'!R$4,'[1]import graded seats course pivo'!$1:$2,2,FALSE),FALSE))),"")</f>
        <v/>
      </c>
      <c r="S820" s="14">
        <f>IFERROR((VLOOKUP($A820,'[1]import success seats course'!$A:AG,HLOOKUP('[1]Course Totals'!S$4,'[1]import success seats course'!$1:$2,2,FALSE),FALSE)/(VLOOKUP($A820,'[1]import graded seats course pivo'!$A:AQ,HLOOKUP('[1]Course Totals'!S$4,'[1]import graded seats course pivo'!$1:$2,2,FALSE),FALSE))),"")</f>
        <v>0.90909090909090906</v>
      </c>
      <c r="Z820" s="7"/>
      <c r="AA820" s="7"/>
      <c r="AB820" s="7"/>
      <c r="AC820" s="7"/>
    </row>
    <row r="821" spans="1:29" ht="15.75" customHeight="1" x14ac:dyDescent="0.25">
      <c r="A821" s="12" t="s">
        <v>381</v>
      </c>
      <c r="B821" s="14" t="str">
        <f>IFERROR((VLOOKUP($A821,'[1]import success seats course'!$A:P,HLOOKUP('[1]Course Totals'!B$4,'[1]import success seats course'!$1:$2,2,FALSE),FALSE)/(VLOOKUP($A821,'[1]import graded seats course pivo'!$A:Z,HLOOKUP('[1]Course Totals'!B$4,'[1]import graded seats course pivo'!$1:$2,2,FALSE),FALSE))),"")</f>
        <v/>
      </c>
      <c r="C821" s="14">
        <f>IFERROR((VLOOKUP($A821,'[1]import success seats course'!$A:Q,HLOOKUP('[1]Course Totals'!C$4,'[1]import success seats course'!$1:$2,2,FALSE),FALSE)/(VLOOKUP($A821,'[1]import graded seats course pivo'!$A:AA,HLOOKUP('[1]Course Totals'!C$4,'[1]import graded seats course pivo'!$1:$2,2,FALSE),FALSE))),"")</f>
        <v>0.8666666666666667</v>
      </c>
      <c r="D821" s="14">
        <f>IFERROR((VLOOKUP($A821,'[1]import success seats course'!$A:R,HLOOKUP('[1]Course Totals'!D$4,'[1]import success seats course'!$1:$2,2,FALSE),FALSE)/(VLOOKUP($A821,'[1]import graded seats course pivo'!$A:AB,HLOOKUP('[1]Course Totals'!D$4,'[1]import graded seats course pivo'!$1:$2,2,FALSE),FALSE))),"")</f>
        <v>0.76</v>
      </c>
      <c r="E821" s="14" t="str">
        <f>IFERROR((VLOOKUP($A821,'[1]import success seats course'!$A:S,HLOOKUP('[1]Course Totals'!E$4,'[1]import success seats course'!$1:$2,2,FALSE),FALSE)/(VLOOKUP($A821,'[1]import graded seats course pivo'!$A:AC,HLOOKUP('[1]Course Totals'!E$4,'[1]import graded seats course pivo'!$1:$2,2,FALSE),FALSE))),"")</f>
        <v/>
      </c>
      <c r="F821" s="14">
        <f>IFERROR((VLOOKUP($A821,'[1]import success seats course'!$A:T,HLOOKUP('[1]Course Totals'!F$4,'[1]import success seats course'!$1:$2,2,FALSE),FALSE)/(VLOOKUP($A821,'[1]import graded seats course pivo'!$A:AD,HLOOKUP('[1]Course Totals'!F$4,'[1]import graded seats course pivo'!$1:$2,2,FALSE),FALSE))),"")</f>
        <v>0.8214285714285714</v>
      </c>
      <c r="G821" s="14">
        <f>IFERROR((VLOOKUP($A821,'[1]import success seats course'!$A:U,HLOOKUP('[1]Course Totals'!G$4,'[1]import success seats course'!$1:$2,2,FALSE),FALSE)/(VLOOKUP($A821,'[1]import graded seats course pivo'!$A:AE,HLOOKUP('[1]Course Totals'!G$4,'[1]import graded seats course pivo'!$1:$2,2,FALSE),FALSE))),"")</f>
        <v>0.6875</v>
      </c>
      <c r="H821" s="14" t="str">
        <f>IFERROR((VLOOKUP($A821,'[1]import success seats course'!$A:V,HLOOKUP('[1]Course Totals'!H$4,'[1]import success seats course'!$1:$2,2,FALSE),FALSE)/(VLOOKUP($A821,'[1]import graded seats course pivo'!$A:AF,HLOOKUP('[1]Course Totals'!H$4,'[1]import graded seats course pivo'!$1:$2,2,FALSE),FALSE))),"")</f>
        <v/>
      </c>
      <c r="I821" s="14">
        <f>IFERROR((VLOOKUP($A821,'[1]import success seats course'!$A:W,HLOOKUP('[1]Course Totals'!I$4,'[1]import success seats course'!$1:$2,2,FALSE),FALSE)/(VLOOKUP($A821,'[1]import graded seats course pivo'!$A:AG,HLOOKUP('[1]Course Totals'!I$4,'[1]import graded seats course pivo'!$1:$2,2,FALSE),FALSE))),"")</f>
        <v>0.80555555555555558</v>
      </c>
      <c r="J821" s="14">
        <f>IFERROR((VLOOKUP($A821,'[1]import success seats course'!$A:X,HLOOKUP('[1]Course Totals'!J$4,'[1]import success seats course'!$1:$2,2,FALSE),FALSE)/(VLOOKUP($A821,'[1]import graded seats course pivo'!$A:AH,HLOOKUP('[1]Course Totals'!J$4,'[1]import graded seats course pivo'!$1:$2,2,FALSE),FALSE))),"")</f>
        <v>0.7931034482758621</v>
      </c>
      <c r="K821" s="14" t="str">
        <f>IFERROR((VLOOKUP($A821,'[1]import success seats course'!$A:Y,HLOOKUP('[1]Course Totals'!K$4,'[1]import success seats course'!$1:$2,2,FALSE),FALSE)/(VLOOKUP($A821,'[1]import graded seats course pivo'!$A:AI,HLOOKUP('[1]Course Totals'!K$4,'[1]import graded seats course pivo'!$1:$2,2,FALSE),FALSE))),"")</f>
        <v/>
      </c>
      <c r="L821" s="14">
        <f>IFERROR((VLOOKUP($A821,'[1]import success seats course'!$A:Z,HLOOKUP('[1]Course Totals'!L$4,'[1]import success seats course'!$1:$2,2,FALSE),FALSE)/(VLOOKUP($A821,'[1]import graded seats course pivo'!$A:AJ,HLOOKUP('[1]Course Totals'!L$4,'[1]import graded seats course pivo'!$1:$2,2,FALSE),FALSE))),"")</f>
        <v>0.8</v>
      </c>
      <c r="M821" s="14">
        <f>IFERROR((VLOOKUP($A821,'[1]import success seats course'!$A:AA,HLOOKUP('[1]Course Totals'!M$4,'[1]import success seats course'!$1:$2,2,FALSE),FALSE)/(VLOOKUP($A821,'[1]import graded seats course pivo'!$A:AK,HLOOKUP('[1]Course Totals'!M$4,'[1]import graded seats course pivo'!$1:$2,2,FALSE),FALSE))),"")</f>
        <v>0.7857142857142857</v>
      </c>
      <c r="N821" s="14" t="str">
        <f>IFERROR((VLOOKUP($A821,'[1]import success seats course'!$A:AB,HLOOKUP('[1]Course Totals'!N$4,'[1]import success seats course'!$1:$2,2,FALSE),FALSE)/(VLOOKUP($A821,'[1]import graded seats course pivo'!$A:AL,HLOOKUP('[1]Course Totals'!N$4,'[1]import graded seats course pivo'!$1:$2,2,FALSE),FALSE))),"")</f>
        <v/>
      </c>
      <c r="O821" s="14">
        <f>IFERROR((VLOOKUP($A821,'[1]import success seats course'!$A:AC,HLOOKUP('[1]Course Totals'!O$4,'[1]import success seats course'!$1:$2,2,FALSE),FALSE)/(VLOOKUP($A821,'[1]import graded seats course pivo'!$A:AM,HLOOKUP('[1]Course Totals'!O$4,'[1]import graded seats course pivo'!$1:$2,2,FALSE),FALSE))),"")</f>
        <v>0.8214285714285714</v>
      </c>
      <c r="P821" s="14" t="str">
        <f>IFERROR((VLOOKUP($A821,'[1]import success seats course'!$A:AD,HLOOKUP('[1]Course Totals'!P$4,'[1]import success seats course'!$1:$2,2,FALSE),FALSE)/(VLOOKUP($A821,'[1]import graded seats course pivo'!$A:AN,HLOOKUP('[1]Course Totals'!P$4,'[1]import graded seats course pivo'!$1:$2,2,FALSE),FALSE))),"")</f>
        <v/>
      </c>
      <c r="Q821" s="14" t="str">
        <f>IFERROR((VLOOKUP($A821,'[1]import success seats course'!$A:AE,HLOOKUP('[1]Course Totals'!Q$4,'[1]import success seats course'!$1:$2,2,FALSE),FALSE)/(VLOOKUP($A821,'[1]import graded seats course pivo'!$A:AO,HLOOKUP('[1]Course Totals'!Q$4,'[1]import graded seats course pivo'!$1:$2,2,FALSE),FALSE))),"")</f>
        <v/>
      </c>
      <c r="R821" s="14">
        <f>IFERROR((VLOOKUP($A821,'[1]import success seats course'!$A:AF,HLOOKUP('[1]Course Totals'!R$4,'[1]import success seats course'!$1:$2,2,FALSE),FALSE)/(VLOOKUP($A821,'[1]import graded seats course pivo'!$A:AP,HLOOKUP('[1]Course Totals'!R$4,'[1]import graded seats course pivo'!$1:$2,2,FALSE),FALSE))),"")</f>
        <v>0.73529411764705888</v>
      </c>
      <c r="S821" s="14" t="str">
        <f>IFERROR((VLOOKUP($A821,'[1]import success seats course'!$A:AG,HLOOKUP('[1]Course Totals'!S$4,'[1]import success seats course'!$1:$2,2,FALSE),FALSE)/(VLOOKUP($A821,'[1]import graded seats course pivo'!$A:AQ,HLOOKUP('[1]Course Totals'!S$4,'[1]import graded seats course pivo'!$1:$2,2,FALSE),FALSE))),"")</f>
        <v/>
      </c>
      <c r="Z821" s="7"/>
      <c r="AA821" s="7"/>
      <c r="AB821" s="7"/>
      <c r="AC821" s="7"/>
    </row>
    <row r="822" spans="1:29" ht="15.75" customHeight="1" x14ac:dyDescent="0.25">
      <c r="A822" s="12" t="s">
        <v>643</v>
      </c>
      <c r="B822" s="14" t="str">
        <f>IFERROR((VLOOKUP($A822,'[1]import success seats course'!$A:P,HLOOKUP('[1]Course Totals'!B$4,'[1]import success seats course'!$1:$2,2,FALSE),FALSE)/(VLOOKUP($A822,'[1]import graded seats course pivo'!$A:Z,HLOOKUP('[1]Course Totals'!B$4,'[1]import graded seats course pivo'!$1:$2,2,FALSE),FALSE))),"")</f>
        <v/>
      </c>
      <c r="C822" s="14" t="str">
        <f>IFERROR((VLOOKUP($A822,'[1]import success seats course'!$A:Q,HLOOKUP('[1]Course Totals'!C$4,'[1]import success seats course'!$1:$2,2,FALSE),FALSE)/(VLOOKUP($A822,'[1]import graded seats course pivo'!$A:AA,HLOOKUP('[1]Course Totals'!C$4,'[1]import graded seats course pivo'!$1:$2,2,FALSE),FALSE))),"")</f>
        <v/>
      </c>
      <c r="D822" s="14">
        <f>IFERROR((VLOOKUP($A822,'[1]import success seats course'!$A:R,HLOOKUP('[1]Course Totals'!D$4,'[1]import success seats course'!$1:$2,2,FALSE),FALSE)/(VLOOKUP($A822,'[1]import graded seats course pivo'!$A:AB,HLOOKUP('[1]Course Totals'!D$4,'[1]import graded seats course pivo'!$1:$2,2,FALSE),FALSE))),"")</f>
        <v>0.60869565217391308</v>
      </c>
      <c r="E822" s="14" t="str">
        <f>IFERROR((VLOOKUP($A822,'[1]import success seats course'!$A:S,HLOOKUP('[1]Course Totals'!E$4,'[1]import success seats course'!$1:$2,2,FALSE),FALSE)/(VLOOKUP($A822,'[1]import graded seats course pivo'!$A:AC,HLOOKUP('[1]Course Totals'!E$4,'[1]import graded seats course pivo'!$1:$2,2,FALSE),FALSE))),"")</f>
        <v/>
      </c>
      <c r="F822" s="14">
        <f>IFERROR((VLOOKUP($A822,'[1]import success seats course'!$A:T,HLOOKUP('[1]Course Totals'!F$4,'[1]import success seats course'!$1:$2,2,FALSE),FALSE)/(VLOOKUP($A822,'[1]import graded seats course pivo'!$A:AD,HLOOKUP('[1]Course Totals'!F$4,'[1]import graded seats course pivo'!$1:$2,2,FALSE),FALSE))),"")</f>
        <v>0.9285714285714286</v>
      </c>
      <c r="G822" s="14">
        <f>IFERROR((VLOOKUP($A822,'[1]import success seats course'!$A:U,HLOOKUP('[1]Course Totals'!G$4,'[1]import success seats course'!$1:$2,2,FALSE),FALSE)/(VLOOKUP($A822,'[1]import graded seats course pivo'!$A:AE,HLOOKUP('[1]Course Totals'!G$4,'[1]import graded seats course pivo'!$1:$2,2,FALSE),FALSE))),"")</f>
        <v>0.73076923076923073</v>
      </c>
      <c r="H822" s="14" t="str">
        <f>IFERROR((VLOOKUP($A822,'[1]import success seats course'!$A:V,HLOOKUP('[1]Course Totals'!H$4,'[1]import success seats course'!$1:$2,2,FALSE),FALSE)/(VLOOKUP($A822,'[1]import graded seats course pivo'!$A:AF,HLOOKUP('[1]Course Totals'!H$4,'[1]import graded seats course pivo'!$1:$2,2,FALSE),FALSE))),"")</f>
        <v/>
      </c>
      <c r="I822" s="14">
        <f>IFERROR((VLOOKUP($A822,'[1]import success seats course'!$A:W,HLOOKUP('[1]Course Totals'!I$4,'[1]import success seats course'!$1:$2,2,FALSE),FALSE)/(VLOOKUP($A822,'[1]import graded seats course pivo'!$A:AG,HLOOKUP('[1]Course Totals'!I$4,'[1]import graded seats course pivo'!$1:$2,2,FALSE),FALSE))),"")</f>
        <v>0.7857142857142857</v>
      </c>
      <c r="J822" s="14">
        <f>IFERROR((VLOOKUP($A822,'[1]import success seats course'!$A:X,HLOOKUP('[1]Course Totals'!J$4,'[1]import success seats course'!$1:$2,2,FALSE),FALSE)/(VLOOKUP($A822,'[1]import graded seats course pivo'!$A:AH,HLOOKUP('[1]Course Totals'!J$4,'[1]import graded seats course pivo'!$1:$2,2,FALSE),FALSE))),"")</f>
        <v>0.75</v>
      </c>
      <c r="K822" s="14" t="str">
        <f>IFERROR((VLOOKUP($A822,'[1]import success seats course'!$A:Y,HLOOKUP('[1]Course Totals'!K$4,'[1]import success seats course'!$1:$2,2,FALSE),FALSE)/(VLOOKUP($A822,'[1]import graded seats course pivo'!$A:AI,HLOOKUP('[1]Course Totals'!K$4,'[1]import graded seats course pivo'!$1:$2,2,FALSE),FALSE))),"")</f>
        <v/>
      </c>
      <c r="L822" s="14">
        <f>IFERROR((VLOOKUP($A822,'[1]import success seats course'!$A:Z,HLOOKUP('[1]Course Totals'!L$4,'[1]import success seats course'!$1:$2,2,FALSE),FALSE)/(VLOOKUP($A822,'[1]import graded seats course pivo'!$A:AJ,HLOOKUP('[1]Course Totals'!L$4,'[1]import graded seats course pivo'!$1:$2,2,FALSE),FALSE))),"")</f>
        <v>0.69230769230769229</v>
      </c>
      <c r="M822" s="14">
        <f>IFERROR((VLOOKUP($A822,'[1]import success seats course'!$A:AA,HLOOKUP('[1]Course Totals'!M$4,'[1]import success seats course'!$1:$2,2,FALSE),FALSE)/(VLOOKUP($A822,'[1]import graded seats course pivo'!$A:AK,HLOOKUP('[1]Course Totals'!M$4,'[1]import graded seats course pivo'!$1:$2,2,FALSE),FALSE))),"")</f>
        <v>0.61538461538461542</v>
      </c>
      <c r="N822" s="14" t="str">
        <f>IFERROR((VLOOKUP($A822,'[1]import success seats course'!$A:AB,HLOOKUP('[1]Course Totals'!N$4,'[1]import success seats course'!$1:$2,2,FALSE),FALSE)/(VLOOKUP($A822,'[1]import graded seats course pivo'!$A:AL,HLOOKUP('[1]Course Totals'!N$4,'[1]import graded seats course pivo'!$1:$2,2,FALSE),FALSE))),"")</f>
        <v/>
      </c>
      <c r="O822" s="14" t="str">
        <f>IFERROR((VLOOKUP($A822,'[1]import success seats course'!$A:AC,HLOOKUP('[1]Course Totals'!O$4,'[1]import success seats course'!$1:$2,2,FALSE),FALSE)/(VLOOKUP($A822,'[1]import graded seats course pivo'!$A:AM,HLOOKUP('[1]Course Totals'!O$4,'[1]import graded seats course pivo'!$1:$2,2,FALSE),FALSE))),"")</f>
        <v/>
      </c>
      <c r="P822" s="14">
        <f>IFERROR((VLOOKUP($A822,'[1]import success seats course'!$A:AD,HLOOKUP('[1]Course Totals'!P$4,'[1]import success seats course'!$1:$2,2,FALSE),FALSE)/(VLOOKUP($A822,'[1]import graded seats course pivo'!$A:AN,HLOOKUP('[1]Course Totals'!P$4,'[1]import graded seats course pivo'!$1:$2,2,FALSE),FALSE))),"")</f>
        <v>0.74193548387096775</v>
      </c>
      <c r="Q822" s="14" t="str">
        <f>IFERROR((VLOOKUP($A822,'[1]import success seats course'!$A:AE,HLOOKUP('[1]Course Totals'!Q$4,'[1]import success seats course'!$1:$2,2,FALSE),FALSE)/(VLOOKUP($A822,'[1]import graded seats course pivo'!$A:AO,HLOOKUP('[1]Course Totals'!Q$4,'[1]import graded seats course pivo'!$1:$2,2,FALSE),FALSE))),"")</f>
        <v/>
      </c>
      <c r="R822" s="14" t="str">
        <f>IFERROR((VLOOKUP($A822,'[1]import success seats course'!$A:AF,HLOOKUP('[1]Course Totals'!R$4,'[1]import success seats course'!$1:$2,2,FALSE),FALSE)/(VLOOKUP($A822,'[1]import graded seats course pivo'!$A:AP,HLOOKUP('[1]Course Totals'!R$4,'[1]import graded seats course pivo'!$1:$2,2,FALSE),FALSE))),"")</f>
        <v/>
      </c>
      <c r="S822" s="14">
        <f>IFERROR((VLOOKUP($A822,'[1]import success seats course'!$A:AG,HLOOKUP('[1]Course Totals'!S$4,'[1]import success seats course'!$1:$2,2,FALSE),FALSE)/(VLOOKUP($A822,'[1]import graded seats course pivo'!$A:AQ,HLOOKUP('[1]Course Totals'!S$4,'[1]import graded seats course pivo'!$1:$2,2,FALSE),FALSE))),"")</f>
        <v>0.76470588235294112</v>
      </c>
      <c r="Z822" s="7"/>
      <c r="AA822" s="7"/>
      <c r="AB822" s="7"/>
      <c r="AC822" s="7"/>
    </row>
    <row r="823" spans="1:29" ht="15.75" hidden="1" customHeight="1" x14ac:dyDescent="0.25">
      <c r="A823" s="12" t="s">
        <v>382</v>
      </c>
      <c r="B823" s="14" t="str">
        <f>IFERROR((VLOOKUP($A823,'[1]import success seats course'!$A:P,HLOOKUP('[1]Course Totals'!B$4,'[1]import success seats course'!$1:$2,2,FALSE),FALSE)/(VLOOKUP($A823,'[1]import graded seats course pivo'!$A:Z,HLOOKUP('[1]Course Totals'!B$4,'[1]import graded seats course pivo'!$1:$2,2,FALSE),FALSE))),"")</f>
        <v/>
      </c>
      <c r="C823" s="14" t="str">
        <f>IFERROR((VLOOKUP($A823,'[1]import success seats course'!$A:Q,HLOOKUP('[1]Course Totals'!C$4,'[1]import success seats course'!$1:$2,2,FALSE),FALSE)/(VLOOKUP($A823,'[1]import graded seats course pivo'!$A:AA,HLOOKUP('[1]Course Totals'!C$4,'[1]import graded seats course pivo'!$1:$2,2,FALSE),FALSE))),"")</f>
        <v/>
      </c>
      <c r="D823" s="14" t="str">
        <f>IFERROR((VLOOKUP($A823,'[1]import success seats course'!$A:R,HLOOKUP('[1]Course Totals'!D$4,'[1]import success seats course'!$1:$2,2,FALSE),FALSE)/(VLOOKUP($A823,'[1]import graded seats course pivo'!$A:AB,HLOOKUP('[1]Course Totals'!D$4,'[1]import graded seats course pivo'!$1:$2,2,FALSE),FALSE))),"")</f>
        <v/>
      </c>
      <c r="E823" s="14" t="str">
        <f>IFERROR((VLOOKUP($A823,'[1]import success seats course'!$A:S,HLOOKUP('[1]Course Totals'!E$4,'[1]import success seats course'!$1:$2,2,FALSE),FALSE)/(VLOOKUP($A823,'[1]import graded seats course pivo'!$A:AC,HLOOKUP('[1]Course Totals'!E$4,'[1]import graded seats course pivo'!$1:$2,2,FALSE),FALSE))),"")</f>
        <v/>
      </c>
      <c r="F823" s="14" t="str">
        <f>IFERROR((VLOOKUP($A823,'[1]import success seats course'!$A:T,HLOOKUP('[1]Course Totals'!F$4,'[1]import success seats course'!$1:$2,2,FALSE),FALSE)/(VLOOKUP($A823,'[1]import graded seats course pivo'!$A:AD,HLOOKUP('[1]Course Totals'!F$4,'[1]import graded seats course pivo'!$1:$2,2,FALSE),FALSE))),"")</f>
        <v/>
      </c>
      <c r="G823" s="14" t="str">
        <f>IFERROR((VLOOKUP($A823,'[1]import success seats course'!$A:U,HLOOKUP('[1]Course Totals'!G$4,'[1]import success seats course'!$1:$2,2,FALSE),FALSE)/(VLOOKUP($A823,'[1]import graded seats course pivo'!$A:AE,HLOOKUP('[1]Course Totals'!G$4,'[1]import graded seats course pivo'!$1:$2,2,FALSE),FALSE))),"")</f>
        <v/>
      </c>
      <c r="H823" s="14" t="str">
        <f>IFERROR((VLOOKUP($A823,'[1]import success seats course'!$A:V,HLOOKUP('[1]Course Totals'!H$4,'[1]import success seats course'!$1:$2,2,FALSE),FALSE)/(VLOOKUP($A823,'[1]import graded seats course pivo'!$A:AF,HLOOKUP('[1]Course Totals'!H$4,'[1]import graded seats course pivo'!$1:$2,2,FALSE),FALSE))),"")</f>
        <v/>
      </c>
      <c r="I823" s="14" t="str">
        <f>IFERROR((VLOOKUP($A823,'[1]import success seats course'!$A:W,HLOOKUP('[1]Course Totals'!I$4,'[1]import success seats course'!$1:$2,2,FALSE),FALSE)/(VLOOKUP($A823,'[1]import graded seats course pivo'!$A:AG,HLOOKUP('[1]Course Totals'!I$4,'[1]import graded seats course pivo'!$1:$2,2,FALSE),FALSE))),"")</f>
        <v/>
      </c>
      <c r="J823" s="14" t="str">
        <f>IFERROR((VLOOKUP($A823,'[1]import success seats course'!$A:X,HLOOKUP('[1]Course Totals'!J$4,'[1]import success seats course'!$1:$2,2,FALSE),FALSE)/(VLOOKUP($A823,'[1]import graded seats course pivo'!$A:AH,HLOOKUP('[1]Course Totals'!J$4,'[1]import graded seats course pivo'!$1:$2,2,FALSE),FALSE))),"")</f>
        <v/>
      </c>
      <c r="K823" s="14" t="str">
        <f>IFERROR((VLOOKUP($A823,'[1]import success seats course'!$A:Y,HLOOKUP('[1]Course Totals'!K$4,'[1]import success seats course'!$1:$2,2,FALSE),FALSE)/(VLOOKUP($A823,'[1]import graded seats course pivo'!$A:AI,HLOOKUP('[1]Course Totals'!K$4,'[1]import graded seats course pivo'!$1:$2,2,FALSE),FALSE))),"")</f>
        <v/>
      </c>
      <c r="L823" s="14" t="str">
        <f>IFERROR((VLOOKUP($A823,'[1]import success seats course'!$A:Z,HLOOKUP('[1]Course Totals'!L$4,'[1]import success seats course'!$1:$2,2,FALSE),FALSE)/(VLOOKUP($A823,'[1]import graded seats course pivo'!$A:AJ,HLOOKUP('[1]Course Totals'!L$4,'[1]import graded seats course pivo'!$1:$2,2,FALSE),FALSE))),"")</f>
        <v/>
      </c>
      <c r="M823" s="14" t="str">
        <f>IFERROR((VLOOKUP($A823,'[1]import success seats course'!$A:AA,HLOOKUP('[1]Course Totals'!M$4,'[1]import success seats course'!$1:$2,2,FALSE),FALSE)/(VLOOKUP($A823,'[1]import graded seats course pivo'!$A:AK,HLOOKUP('[1]Course Totals'!M$4,'[1]import graded seats course pivo'!$1:$2,2,FALSE),FALSE))),"")</f>
        <v/>
      </c>
      <c r="N823" s="14" t="str">
        <f>IFERROR((VLOOKUP($A823,'[1]import success seats course'!$A:AB,HLOOKUP('[1]Course Totals'!N$4,'[1]import success seats course'!$1:$2,2,FALSE),FALSE)/(VLOOKUP($A823,'[1]import graded seats course pivo'!$A:AL,HLOOKUP('[1]Course Totals'!N$4,'[1]import graded seats course pivo'!$1:$2,2,FALSE),FALSE))),"")</f>
        <v/>
      </c>
      <c r="O823" s="14" t="str">
        <f>IFERROR((VLOOKUP($A823,'[1]import success seats course'!$A:AC,HLOOKUP('[1]Course Totals'!O$4,'[1]import success seats course'!$1:$2,2,FALSE),FALSE)/(VLOOKUP($A823,'[1]import graded seats course pivo'!$A:AM,HLOOKUP('[1]Course Totals'!O$4,'[1]import graded seats course pivo'!$1:$2,2,FALSE),FALSE))),"")</f>
        <v/>
      </c>
      <c r="P823" s="14" t="str">
        <f>IFERROR((VLOOKUP($A823,'[1]import success seats course'!$A:AD,HLOOKUP('[1]Course Totals'!P$4,'[1]import success seats course'!$1:$2,2,FALSE),FALSE)/(VLOOKUP($A823,'[1]import graded seats course pivo'!$A:AN,HLOOKUP('[1]Course Totals'!P$4,'[1]import graded seats course pivo'!$1:$2,2,FALSE),FALSE))),"")</f>
        <v/>
      </c>
      <c r="Q823" s="14" t="str">
        <f>IFERROR((VLOOKUP($A823,'[1]import success seats course'!$A:AE,HLOOKUP('[1]Course Totals'!Q$4,'[1]import success seats course'!$1:$2,2,FALSE),FALSE)/(VLOOKUP($A823,'[1]import graded seats course pivo'!$A:AO,HLOOKUP('[1]Course Totals'!Q$4,'[1]import graded seats course pivo'!$1:$2,2,FALSE),FALSE))),"")</f>
        <v/>
      </c>
      <c r="R823" s="14" t="str">
        <f>IFERROR((VLOOKUP($A823,'[1]import success seats course'!$A:AF,HLOOKUP('[1]Course Totals'!R$4,'[1]import success seats course'!$1:$2,2,FALSE),FALSE)/(VLOOKUP($A823,'[1]import graded seats course pivo'!$A:AP,HLOOKUP('[1]Course Totals'!R$4,'[1]import graded seats course pivo'!$1:$2,2,FALSE),FALSE))),"")</f>
        <v/>
      </c>
      <c r="S823" s="14" t="str">
        <f>IFERROR((VLOOKUP($A823,'[1]import success seats course'!$A:AG,HLOOKUP('[1]Course Totals'!S$4,'[1]import success seats course'!$1:$2,2,FALSE),FALSE)/(VLOOKUP($A823,'[1]import graded seats course pivo'!$A:AQ,HLOOKUP('[1]Course Totals'!S$4,'[1]import graded seats course pivo'!$1:$2,2,FALSE),FALSE))),"")</f>
        <v/>
      </c>
      <c r="Z823" s="7"/>
      <c r="AA823" s="7"/>
      <c r="AB823" s="7"/>
      <c r="AC823" s="7"/>
    </row>
    <row r="824" spans="1:29" ht="15.75" customHeight="1" x14ac:dyDescent="0.25">
      <c r="A824" s="12" t="s">
        <v>383</v>
      </c>
      <c r="B824" s="14">
        <f>IFERROR((VLOOKUP($A824,'[1]import success seats course'!$A:P,HLOOKUP('[1]Course Totals'!B$4,'[1]import success seats course'!$1:$2,2,FALSE),FALSE)/(VLOOKUP($A824,'[1]import graded seats course pivo'!$A:Z,HLOOKUP('[1]Course Totals'!B$4,'[1]import graded seats course pivo'!$1:$2,2,FALSE),FALSE))),"")</f>
        <v>0.95</v>
      </c>
      <c r="C824" s="14">
        <f>IFERROR((VLOOKUP($A824,'[1]import success seats course'!$A:Q,HLOOKUP('[1]Course Totals'!C$4,'[1]import success seats course'!$1:$2,2,FALSE),FALSE)/(VLOOKUP($A824,'[1]import graded seats course pivo'!$A:AA,HLOOKUP('[1]Course Totals'!C$4,'[1]import graded seats course pivo'!$1:$2,2,FALSE),FALSE))),"")</f>
        <v>0.8571428571428571</v>
      </c>
      <c r="D824" s="14">
        <f>IFERROR((VLOOKUP($A824,'[1]import success seats course'!$A:R,HLOOKUP('[1]Course Totals'!D$4,'[1]import success seats course'!$1:$2,2,FALSE),FALSE)/(VLOOKUP($A824,'[1]import graded seats course pivo'!$A:AB,HLOOKUP('[1]Course Totals'!D$4,'[1]import graded seats course pivo'!$1:$2,2,FALSE),FALSE))),"")</f>
        <v>0.78947368421052633</v>
      </c>
      <c r="E824" s="14">
        <f>IFERROR((VLOOKUP($A824,'[1]import success seats course'!$A:S,HLOOKUP('[1]Course Totals'!E$4,'[1]import success seats course'!$1:$2,2,FALSE),FALSE)/(VLOOKUP($A824,'[1]import graded seats course pivo'!$A:AC,HLOOKUP('[1]Course Totals'!E$4,'[1]import graded seats course pivo'!$1:$2,2,FALSE),FALSE))),"")</f>
        <v>1</v>
      </c>
      <c r="F824" s="14">
        <f>IFERROR((VLOOKUP($A824,'[1]import success seats course'!$A:T,HLOOKUP('[1]Course Totals'!F$4,'[1]import success seats course'!$1:$2,2,FALSE),FALSE)/(VLOOKUP($A824,'[1]import graded seats course pivo'!$A:AD,HLOOKUP('[1]Course Totals'!F$4,'[1]import graded seats course pivo'!$1:$2,2,FALSE),FALSE))),"")</f>
        <v>0.91428571428571426</v>
      </c>
      <c r="G824" s="14">
        <f>IFERROR((VLOOKUP($A824,'[1]import success seats course'!$A:U,HLOOKUP('[1]Course Totals'!G$4,'[1]import success seats course'!$1:$2,2,FALSE),FALSE)/(VLOOKUP($A824,'[1]import graded seats course pivo'!$A:AE,HLOOKUP('[1]Course Totals'!G$4,'[1]import graded seats course pivo'!$1:$2,2,FALSE),FALSE))),"")</f>
        <v>0.82352941176470584</v>
      </c>
      <c r="H824" s="14" t="str">
        <f>IFERROR((VLOOKUP($A824,'[1]import success seats course'!$A:V,HLOOKUP('[1]Course Totals'!H$4,'[1]import success seats course'!$1:$2,2,FALSE),FALSE)/(VLOOKUP($A824,'[1]import graded seats course pivo'!$A:AF,HLOOKUP('[1]Course Totals'!H$4,'[1]import graded seats course pivo'!$1:$2,2,FALSE),FALSE))),"")</f>
        <v/>
      </c>
      <c r="I824" s="14">
        <f>IFERROR((VLOOKUP($A824,'[1]import success seats course'!$A:W,HLOOKUP('[1]Course Totals'!I$4,'[1]import success seats course'!$1:$2,2,FALSE),FALSE)/(VLOOKUP($A824,'[1]import graded seats course pivo'!$A:AG,HLOOKUP('[1]Course Totals'!I$4,'[1]import graded seats course pivo'!$1:$2,2,FALSE),FALSE))),"")</f>
        <v>0.87142857142857144</v>
      </c>
      <c r="J824" s="14">
        <f>IFERROR((VLOOKUP($A824,'[1]import success seats course'!$A:X,HLOOKUP('[1]Course Totals'!J$4,'[1]import success seats course'!$1:$2,2,FALSE),FALSE)/(VLOOKUP($A824,'[1]import graded seats course pivo'!$A:AH,HLOOKUP('[1]Course Totals'!J$4,'[1]import graded seats course pivo'!$1:$2,2,FALSE),FALSE))),"")</f>
        <v>0.73076923076923073</v>
      </c>
      <c r="K824" s="14" t="str">
        <f>IFERROR((VLOOKUP($A824,'[1]import success seats course'!$A:Y,HLOOKUP('[1]Course Totals'!K$4,'[1]import success seats course'!$1:$2,2,FALSE),FALSE)/(VLOOKUP($A824,'[1]import graded seats course pivo'!$A:AI,HLOOKUP('[1]Course Totals'!K$4,'[1]import graded seats course pivo'!$1:$2,2,FALSE),FALSE))),"")</f>
        <v/>
      </c>
      <c r="L824" s="14">
        <f>IFERROR((VLOOKUP($A824,'[1]import success seats course'!$A:Z,HLOOKUP('[1]Course Totals'!L$4,'[1]import success seats course'!$1:$2,2,FALSE),FALSE)/(VLOOKUP($A824,'[1]import graded seats course pivo'!$A:AJ,HLOOKUP('[1]Course Totals'!L$4,'[1]import graded seats course pivo'!$1:$2,2,FALSE),FALSE))),"")</f>
        <v>0.77464788732394363</v>
      </c>
      <c r="M824" s="14">
        <f>IFERROR((VLOOKUP($A824,'[1]import success seats course'!$A:AA,HLOOKUP('[1]Course Totals'!M$4,'[1]import success seats course'!$1:$2,2,FALSE),FALSE)/(VLOOKUP($A824,'[1]import graded seats course pivo'!$A:AK,HLOOKUP('[1]Course Totals'!M$4,'[1]import graded seats course pivo'!$1:$2,2,FALSE),FALSE))),"")</f>
        <v>0.88095238095238093</v>
      </c>
      <c r="N824" s="14" t="str">
        <f>IFERROR((VLOOKUP($A824,'[1]import success seats course'!$A:AB,HLOOKUP('[1]Course Totals'!N$4,'[1]import success seats course'!$1:$2,2,FALSE),FALSE)/(VLOOKUP($A824,'[1]import graded seats course pivo'!$A:AL,HLOOKUP('[1]Course Totals'!N$4,'[1]import graded seats course pivo'!$1:$2,2,FALSE),FALSE))),"")</f>
        <v/>
      </c>
      <c r="O824" s="14">
        <f>IFERROR((VLOOKUP($A824,'[1]import success seats course'!$A:AC,HLOOKUP('[1]Course Totals'!O$4,'[1]import success seats course'!$1:$2,2,FALSE),FALSE)/(VLOOKUP($A824,'[1]import graded seats course pivo'!$A:AM,HLOOKUP('[1]Course Totals'!O$4,'[1]import graded seats course pivo'!$1:$2,2,FALSE),FALSE))),"")</f>
        <v>0.86363636363636365</v>
      </c>
      <c r="P824" s="14">
        <f>IFERROR((VLOOKUP($A824,'[1]import success seats course'!$A:AD,HLOOKUP('[1]Course Totals'!P$4,'[1]import success seats course'!$1:$2,2,FALSE),FALSE)/(VLOOKUP($A824,'[1]import graded seats course pivo'!$A:AN,HLOOKUP('[1]Course Totals'!P$4,'[1]import graded seats course pivo'!$1:$2,2,FALSE),FALSE))),"")</f>
        <v>0.78723404255319152</v>
      </c>
      <c r="Q824" s="14" t="str">
        <f>IFERROR((VLOOKUP($A824,'[1]import success seats course'!$A:AE,HLOOKUP('[1]Course Totals'!Q$4,'[1]import success seats course'!$1:$2,2,FALSE),FALSE)/(VLOOKUP($A824,'[1]import graded seats course pivo'!$A:AO,HLOOKUP('[1]Course Totals'!Q$4,'[1]import graded seats course pivo'!$1:$2,2,FALSE),FALSE))),"")</f>
        <v/>
      </c>
      <c r="R824" s="14">
        <f>IFERROR((VLOOKUP($A824,'[1]import success seats course'!$A:AF,HLOOKUP('[1]Course Totals'!R$4,'[1]import success seats course'!$1:$2,2,FALSE),FALSE)/(VLOOKUP($A824,'[1]import graded seats course pivo'!$A:AP,HLOOKUP('[1]Course Totals'!R$4,'[1]import graded seats course pivo'!$1:$2,2,FALSE),FALSE))),"")</f>
        <v>0.84444444444444444</v>
      </c>
      <c r="S824" s="14">
        <f>IFERROR((VLOOKUP($A824,'[1]import success seats course'!$A:AG,HLOOKUP('[1]Course Totals'!S$4,'[1]import success seats course'!$1:$2,2,FALSE),FALSE)/(VLOOKUP($A824,'[1]import graded seats course pivo'!$A:AQ,HLOOKUP('[1]Course Totals'!S$4,'[1]import graded seats course pivo'!$1:$2,2,FALSE),FALSE))),"")</f>
        <v>0.91836734693877553</v>
      </c>
      <c r="Z824" s="7"/>
      <c r="AA824" s="7"/>
      <c r="AB824" s="7"/>
      <c r="AC824" s="7"/>
    </row>
    <row r="825" spans="1:29" ht="15.75" customHeight="1" x14ac:dyDescent="0.25">
      <c r="A825" s="12" t="s">
        <v>384</v>
      </c>
      <c r="B825" s="14">
        <f>IFERROR((VLOOKUP($A825,'[1]import success seats course'!$A:P,HLOOKUP('[1]Course Totals'!B$4,'[1]import success seats course'!$1:$2,2,FALSE),FALSE)/(VLOOKUP($A825,'[1]import graded seats course pivo'!$A:Z,HLOOKUP('[1]Course Totals'!B$4,'[1]import graded seats course pivo'!$1:$2,2,FALSE),FALSE))),"")</f>
        <v>1</v>
      </c>
      <c r="C825" s="14">
        <f>IFERROR((VLOOKUP($A825,'[1]import success seats course'!$A:Q,HLOOKUP('[1]Course Totals'!C$4,'[1]import success seats course'!$1:$2,2,FALSE),FALSE)/(VLOOKUP($A825,'[1]import graded seats course pivo'!$A:AA,HLOOKUP('[1]Course Totals'!C$4,'[1]import graded seats course pivo'!$1:$2,2,FALSE),FALSE))),"")</f>
        <v>1</v>
      </c>
      <c r="D825" s="14">
        <f>IFERROR((VLOOKUP($A825,'[1]import success seats course'!$A:R,HLOOKUP('[1]Course Totals'!D$4,'[1]import success seats course'!$1:$2,2,FALSE),FALSE)/(VLOOKUP($A825,'[1]import graded seats course pivo'!$A:AB,HLOOKUP('[1]Course Totals'!D$4,'[1]import graded seats course pivo'!$1:$2,2,FALSE),FALSE))),"")</f>
        <v>0.84615384615384615</v>
      </c>
      <c r="E825" s="14">
        <f>IFERROR((VLOOKUP($A825,'[1]import success seats course'!$A:S,HLOOKUP('[1]Course Totals'!E$4,'[1]import success seats course'!$1:$2,2,FALSE),FALSE)/(VLOOKUP($A825,'[1]import graded seats course pivo'!$A:AC,HLOOKUP('[1]Course Totals'!E$4,'[1]import graded seats course pivo'!$1:$2,2,FALSE),FALSE))),"")</f>
        <v>1</v>
      </c>
      <c r="F825" s="14">
        <f>IFERROR((VLOOKUP($A825,'[1]import success seats course'!$A:T,HLOOKUP('[1]Course Totals'!F$4,'[1]import success seats course'!$1:$2,2,FALSE),FALSE)/(VLOOKUP($A825,'[1]import graded seats course pivo'!$A:AD,HLOOKUP('[1]Course Totals'!F$4,'[1]import graded seats course pivo'!$1:$2,2,FALSE),FALSE))),"")</f>
        <v>0.8</v>
      </c>
      <c r="G825" s="14">
        <f>IFERROR((VLOOKUP($A825,'[1]import success seats course'!$A:U,HLOOKUP('[1]Course Totals'!G$4,'[1]import success seats course'!$1:$2,2,FALSE),FALSE)/(VLOOKUP($A825,'[1]import graded seats course pivo'!$A:AE,HLOOKUP('[1]Course Totals'!G$4,'[1]import graded seats course pivo'!$1:$2,2,FALSE),FALSE))),"")</f>
        <v>1</v>
      </c>
      <c r="H825" s="14" t="str">
        <f>IFERROR((VLOOKUP($A825,'[1]import success seats course'!$A:V,HLOOKUP('[1]Course Totals'!H$4,'[1]import success seats course'!$1:$2,2,FALSE),FALSE)/(VLOOKUP($A825,'[1]import graded seats course pivo'!$A:AF,HLOOKUP('[1]Course Totals'!H$4,'[1]import graded seats course pivo'!$1:$2,2,FALSE),FALSE))),"")</f>
        <v/>
      </c>
      <c r="I825" s="14">
        <f>IFERROR((VLOOKUP($A825,'[1]import success seats course'!$A:W,HLOOKUP('[1]Course Totals'!I$4,'[1]import success seats course'!$1:$2,2,FALSE),FALSE)/(VLOOKUP($A825,'[1]import graded seats course pivo'!$A:AG,HLOOKUP('[1]Course Totals'!I$4,'[1]import graded seats course pivo'!$1:$2,2,FALSE),FALSE))),"")</f>
        <v>0.875</v>
      </c>
      <c r="J825" s="14">
        <f>IFERROR((VLOOKUP($A825,'[1]import success seats course'!$A:X,HLOOKUP('[1]Course Totals'!J$4,'[1]import success seats course'!$1:$2,2,FALSE),FALSE)/(VLOOKUP($A825,'[1]import graded seats course pivo'!$A:AH,HLOOKUP('[1]Course Totals'!J$4,'[1]import graded seats course pivo'!$1:$2,2,FALSE),FALSE))),"")</f>
        <v>1</v>
      </c>
      <c r="K825" s="14" t="str">
        <f>IFERROR((VLOOKUP($A825,'[1]import success seats course'!$A:Y,HLOOKUP('[1]Course Totals'!K$4,'[1]import success seats course'!$1:$2,2,FALSE),FALSE)/(VLOOKUP($A825,'[1]import graded seats course pivo'!$A:AI,HLOOKUP('[1]Course Totals'!K$4,'[1]import graded seats course pivo'!$1:$2,2,FALSE),FALSE))),"")</f>
        <v/>
      </c>
      <c r="L825" s="14">
        <f>IFERROR((VLOOKUP($A825,'[1]import success seats course'!$A:Z,HLOOKUP('[1]Course Totals'!L$4,'[1]import success seats course'!$1:$2,2,FALSE),FALSE)/(VLOOKUP($A825,'[1]import graded seats course pivo'!$A:AJ,HLOOKUP('[1]Course Totals'!L$4,'[1]import graded seats course pivo'!$1:$2,2,FALSE),FALSE))),"")</f>
        <v>0.9285714285714286</v>
      </c>
      <c r="M825" s="14">
        <f>IFERROR((VLOOKUP($A825,'[1]import success seats course'!$A:AA,HLOOKUP('[1]Course Totals'!M$4,'[1]import success seats course'!$1:$2,2,FALSE),FALSE)/(VLOOKUP($A825,'[1]import graded seats course pivo'!$A:AK,HLOOKUP('[1]Course Totals'!M$4,'[1]import graded seats course pivo'!$1:$2,2,FALSE),FALSE))),"")</f>
        <v>1</v>
      </c>
      <c r="N825" s="14" t="str">
        <f>IFERROR((VLOOKUP($A825,'[1]import success seats course'!$A:AB,HLOOKUP('[1]Course Totals'!N$4,'[1]import success seats course'!$1:$2,2,FALSE),FALSE)/(VLOOKUP($A825,'[1]import graded seats course pivo'!$A:AL,HLOOKUP('[1]Course Totals'!N$4,'[1]import graded seats course pivo'!$1:$2,2,FALSE),FALSE))),"")</f>
        <v/>
      </c>
      <c r="O825" s="14">
        <f>IFERROR((VLOOKUP($A825,'[1]import success seats course'!$A:AC,HLOOKUP('[1]Course Totals'!O$4,'[1]import success seats course'!$1:$2,2,FALSE),FALSE)/(VLOOKUP($A825,'[1]import graded seats course pivo'!$A:AM,HLOOKUP('[1]Course Totals'!O$4,'[1]import graded seats course pivo'!$1:$2,2,FALSE),FALSE))),"")</f>
        <v>0.88888888888888884</v>
      </c>
      <c r="P825" s="14">
        <f>IFERROR((VLOOKUP($A825,'[1]import success seats course'!$A:AD,HLOOKUP('[1]Course Totals'!P$4,'[1]import success seats course'!$1:$2,2,FALSE),FALSE)/(VLOOKUP($A825,'[1]import graded seats course pivo'!$A:AN,HLOOKUP('[1]Course Totals'!P$4,'[1]import graded seats course pivo'!$1:$2,2,FALSE),FALSE))),"")</f>
        <v>0.77777777777777779</v>
      </c>
      <c r="Q825" s="14" t="str">
        <f>IFERROR((VLOOKUP($A825,'[1]import success seats course'!$A:AE,HLOOKUP('[1]Course Totals'!Q$4,'[1]import success seats course'!$1:$2,2,FALSE),FALSE)/(VLOOKUP($A825,'[1]import graded seats course pivo'!$A:AO,HLOOKUP('[1]Course Totals'!Q$4,'[1]import graded seats course pivo'!$1:$2,2,FALSE),FALSE))),"")</f>
        <v/>
      </c>
      <c r="R825" s="14">
        <f>IFERROR((VLOOKUP($A825,'[1]import success seats course'!$A:AF,HLOOKUP('[1]Course Totals'!R$4,'[1]import success seats course'!$1:$2,2,FALSE),FALSE)/(VLOOKUP($A825,'[1]import graded seats course pivo'!$A:AP,HLOOKUP('[1]Course Totals'!R$4,'[1]import graded seats course pivo'!$1:$2,2,FALSE),FALSE))),"")</f>
        <v>0.83333333333333337</v>
      </c>
      <c r="S825" s="14">
        <f>IFERROR((VLOOKUP($A825,'[1]import success seats course'!$A:AG,HLOOKUP('[1]Course Totals'!S$4,'[1]import success seats course'!$1:$2,2,FALSE),FALSE)/(VLOOKUP($A825,'[1]import graded seats course pivo'!$A:AQ,HLOOKUP('[1]Course Totals'!S$4,'[1]import graded seats course pivo'!$1:$2,2,FALSE),FALSE))),"")</f>
        <v>1</v>
      </c>
      <c r="Z825" s="7"/>
      <c r="AA825" s="7"/>
      <c r="AB825" s="7"/>
      <c r="AC825" s="7"/>
    </row>
    <row r="826" spans="1:29" ht="15.75" hidden="1" customHeight="1" x14ac:dyDescent="0.25">
      <c r="A826" s="12" t="s">
        <v>385</v>
      </c>
      <c r="B826" s="14" t="str">
        <f>IFERROR((VLOOKUP($A826,'[1]import success seats course'!$A:P,HLOOKUP('[1]Course Totals'!B$4,'[1]import success seats course'!$1:$2,2,FALSE),FALSE)/(VLOOKUP($A826,'[1]import graded seats course pivo'!$A:Z,HLOOKUP('[1]Course Totals'!B$4,'[1]import graded seats course pivo'!$1:$2,2,FALSE),FALSE))),"")</f>
        <v/>
      </c>
      <c r="C826" s="14" t="str">
        <f>IFERROR((VLOOKUP($A826,'[1]import success seats course'!$A:Q,HLOOKUP('[1]Course Totals'!C$4,'[1]import success seats course'!$1:$2,2,FALSE),FALSE)/(VLOOKUP($A826,'[1]import graded seats course pivo'!$A:AA,HLOOKUP('[1]Course Totals'!C$4,'[1]import graded seats course pivo'!$1:$2,2,FALSE),FALSE))),"")</f>
        <v/>
      </c>
      <c r="D826" s="14" t="str">
        <f>IFERROR((VLOOKUP($A826,'[1]import success seats course'!$A:R,HLOOKUP('[1]Course Totals'!D$4,'[1]import success seats course'!$1:$2,2,FALSE),FALSE)/(VLOOKUP($A826,'[1]import graded seats course pivo'!$A:AB,HLOOKUP('[1]Course Totals'!D$4,'[1]import graded seats course pivo'!$1:$2,2,FALSE),FALSE))),"")</f>
        <v/>
      </c>
      <c r="E826" s="14" t="str">
        <f>IFERROR((VLOOKUP($A826,'[1]import success seats course'!$A:S,HLOOKUP('[1]Course Totals'!E$4,'[1]import success seats course'!$1:$2,2,FALSE),FALSE)/(VLOOKUP($A826,'[1]import graded seats course pivo'!$A:AC,HLOOKUP('[1]Course Totals'!E$4,'[1]import graded seats course pivo'!$1:$2,2,FALSE),FALSE))),"")</f>
        <v/>
      </c>
      <c r="F826" s="14" t="str">
        <f>IFERROR((VLOOKUP($A826,'[1]import success seats course'!$A:T,HLOOKUP('[1]Course Totals'!F$4,'[1]import success seats course'!$1:$2,2,FALSE),FALSE)/(VLOOKUP($A826,'[1]import graded seats course pivo'!$A:AD,HLOOKUP('[1]Course Totals'!F$4,'[1]import graded seats course pivo'!$1:$2,2,FALSE),FALSE))),"")</f>
        <v/>
      </c>
      <c r="G826" s="14" t="str">
        <f>IFERROR((VLOOKUP($A826,'[1]import success seats course'!$A:U,HLOOKUP('[1]Course Totals'!G$4,'[1]import success seats course'!$1:$2,2,FALSE),FALSE)/(VLOOKUP($A826,'[1]import graded seats course pivo'!$A:AE,HLOOKUP('[1]Course Totals'!G$4,'[1]import graded seats course pivo'!$1:$2,2,FALSE),FALSE))),"")</f>
        <v/>
      </c>
      <c r="H826" s="14" t="str">
        <f>IFERROR((VLOOKUP($A826,'[1]import success seats course'!$A:V,HLOOKUP('[1]Course Totals'!H$4,'[1]import success seats course'!$1:$2,2,FALSE),FALSE)/(VLOOKUP($A826,'[1]import graded seats course pivo'!$A:AF,HLOOKUP('[1]Course Totals'!H$4,'[1]import graded seats course pivo'!$1:$2,2,FALSE),FALSE))),"")</f>
        <v/>
      </c>
      <c r="I826" s="14" t="str">
        <f>IFERROR((VLOOKUP($A826,'[1]import success seats course'!$A:W,HLOOKUP('[1]Course Totals'!I$4,'[1]import success seats course'!$1:$2,2,FALSE),FALSE)/(VLOOKUP($A826,'[1]import graded seats course pivo'!$A:AG,HLOOKUP('[1]Course Totals'!I$4,'[1]import graded seats course pivo'!$1:$2,2,FALSE),FALSE))),"")</f>
        <v/>
      </c>
      <c r="J826" s="14" t="str">
        <f>IFERROR((VLOOKUP($A826,'[1]import success seats course'!$A:X,HLOOKUP('[1]Course Totals'!J$4,'[1]import success seats course'!$1:$2,2,FALSE),FALSE)/(VLOOKUP($A826,'[1]import graded seats course pivo'!$A:AH,HLOOKUP('[1]Course Totals'!J$4,'[1]import graded seats course pivo'!$1:$2,2,FALSE),FALSE))),"")</f>
        <v/>
      </c>
      <c r="K826" s="14" t="str">
        <f>IFERROR((VLOOKUP($A826,'[1]import success seats course'!$A:Y,HLOOKUP('[1]Course Totals'!K$4,'[1]import success seats course'!$1:$2,2,FALSE),FALSE)/(VLOOKUP($A826,'[1]import graded seats course pivo'!$A:AI,HLOOKUP('[1]Course Totals'!K$4,'[1]import graded seats course pivo'!$1:$2,2,FALSE),FALSE))),"")</f>
        <v/>
      </c>
      <c r="L826" s="14" t="str">
        <f>IFERROR((VLOOKUP($A826,'[1]import success seats course'!$A:Z,HLOOKUP('[1]Course Totals'!L$4,'[1]import success seats course'!$1:$2,2,FALSE),FALSE)/(VLOOKUP($A826,'[1]import graded seats course pivo'!$A:AJ,HLOOKUP('[1]Course Totals'!L$4,'[1]import graded seats course pivo'!$1:$2,2,FALSE),FALSE))),"")</f>
        <v/>
      </c>
      <c r="M826" s="14" t="str">
        <f>IFERROR((VLOOKUP($A826,'[1]import success seats course'!$A:AA,HLOOKUP('[1]Course Totals'!M$4,'[1]import success seats course'!$1:$2,2,FALSE),FALSE)/(VLOOKUP($A826,'[1]import graded seats course pivo'!$A:AK,HLOOKUP('[1]Course Totals'!M$4,'[1]import graded seats course pivo'!$1:$2,2,FALSE),FALSE))),"")</f>
        <v/>
      </c>
      <c r="N826" s="14" t="str">
        <f>IFERROR((VLOOKUP($A826,'[1]import success seats course'!$A:AB,HLOOKUP('[1]Course Totals'!N$4,'[1]import success seats course'!$1:$2,2,FALSE),FALSE)/(VLOOKUP($A826,'[1]import graded seats course pivo'!$A:AL,HLOOKUP('[1]Course Totals'!N$4,'[1]import graded seats course pivo'!$1:$2,2,FALSE),FALSE))),"")</f>
        <v/>
      </c>
      <c r="O826" s="14" t="str">
        <f>IFERROR((VLOOKUP($A826,'[1]import success seats course'!$A:AC,HLOOKUP('[1]Course Totals'!O$4,'[1]import success seats course'!$1:$2,2,FALSE),FALSE)/(VLOOKUP($A826,'[1]import graded seats course pivo'!$A:AM,HLOOKUP('[1]Course Totals'!O$4,'[1]import graded seats course pivo'!$1:$2,2,FALSE),FALSE))),"")</f>
        <v/>
      </c>
      <c r="P826" s="14" t="str">
        <f>IFERROR((VLOOKUP($A826,'[1]import success seats course'!$A:AD,HLOOKUP('[1]Course Totals'!P$4,'[1]import success seats course'!$1:$2,2,FALSE),FALSE)/(VLOOKUP($A826,'[1]import graded seats course pivo'!$A:AN,HLOOKUP('[1]Course Totals'!P$4,'[1]import graded seats course pivo'!$1:$2,2,FALSE),FALSE))),"")</f>
        <v/>
      </c>
      <c r="Q826" s="14" t="str">
        <f>IFERROR((VLOOKUP($A826,'[1]import success seats course'!$A:AE,HLOOKUP('[1]Course Totals'!Q$4,'[1]import success seats course'!$1:$2,2,FALSE),FALSE)/(VLOOKUP($A826,'[1]import graded seats course pivo'!$A:AO,HLOOKUP('[1]Course Totals'!Q$4,'[1]import graded seats course pivo'!$1:$2,2,FALSE),FALSE))),"")</f>
        <v/>
      </c>
      <c r="R826" s="14" t="str">
        <f>IFERROR((VLOOKUP($A826,'[1]import success seats course'!$A:AF,HLOOKUP('[1]Course Totals'!R$4,'[1]import success seats course'!$1:$2,2,FALSE),FALSE)/(VLOOKUP($A826,'[1]import graded seats course pivo'!$A:AP,HLOOKUP('[1]Course Totals'!R$4,'[1]import graded seats course pivo'!$1:$2,2,FALSE),FALSE))),"")</f>
        <v/>
      </c>
      <c r="S826" s="14" t="str">
        <f>IFERROR((VLOOKUP($A826,'[1]import success seats course'!$A:AG,HLOOKUP('[1]Course Totals'!S$4,'[1]import success seats course'!$1:$2,2,FALSE),FALSE)/(VLOOKUP($A826,'[1]import graded seats course pivo'!$A:AQ,HLOOKUP('[1]Course Totals'!S$4,'[1]import graded seats course pivo'!$1:$2,2,FALSE),FALSE))),"")</f>
        <v/>
      </c>
      <c r="Z826" s="7"/>
      <c r="AA826" s="7"/>
      <c r="AB826" s="7"/>
      <c r="AC826" s="7"/>
    </row>
    <row r="827" spans="1:29" ht="15.75" hidden="1" customHeight="1" x14ac:dyDescent="0.25">
      <c r="A827" s="12" t="s">
        <v>386</v>
      </c>
      <c r="B827" s="14" t="str">
        <f>IFERROR((VLOOKUP($A827,'[1]import success seats course'!$A:P,HLOOKUP('[1]Course Totals'!B$4,'[1]import success seats course'!$1:$2,2,FALSE),FALSE)/(VLOOKUP($A827,'[1]import graded seats course pivo'!$A:Z,HLOOKUP('[1]Course Totals'!B$4,'[1]import graded seats course pivo'!$1:$2,2,FALSE),FALSE))),"")</f>
        <v/>
      </c>
      <c r="C827" s="14" t="str">
        <f>IFERROR((VLOOKUP($A827,'[1]import success seats course'!$A:Q,HLOOKUP('[1]Course Totals'!C$4,'[1]import success seats course'!$1:$2,2,FALSE),FALSE)/(VLOOKUP($A827,'[1]import graded seats course pivo'!$A:AA,HLOOKUP('[1]Course Totals'!C$4,'[1]import graded seats course pivo'!$1:$2,2,FALSE),FALSE))),"")</f>
        <v/>
      </c>
      <c r="D827" s="14" t="str">
        <f>IFERROR((VLOOKUP($A827,'[1]import success seats course'!$A:R,HLOOKUP('[1]Course Totals'!D$4,'[1]import success seats course'!$1:$2,2,FALSE),FALSE)/(VLOOKUP($A827,'[1]import graded seats course pivo'!$A:AB,HLOOKUP('[1]Course Totals'!D$4,'[1]import graded seats course pivo'!$1:$2,2,FALSE),FALSE))),"")</f>
        <v/>
      </c>
      <c r="E827" s="14" t="str">
        <f>IFERROR((VLOOKUP($A827,'[1]import success seats course'!$A:S,HLOOKUP('[1]Course Totals'!E$4,'[1]import success seats course'!$1:$2,2,FALSE),FALSE)/(VLOOKUP($A827,'[1]import graded seats course pivo'!$A:AC,HLOOKUP('[1]Course Totals'!E$4,'[1]import graded seats course pivo'!$1:$2,2,FALSE),FALSE))),"")</f>
        <v/>
      </c>
      <c r="F827" s="14" t="str">
        <f>IFERROR((VLOOKUP($A827,'[1]import success seats course'!$A:T,HLOOKUP('[1]Course Totals'!F$4,'[1]import success seats course'!$1:$2,2,FALSE),FALSE)/(VLOOKUP($A827,'[1]import graded seats course pivo'!$A:AD,HLOOKUP('[1]Course Totals'!F$4,'[1]import graded seats course pivo'!$1:$2,2,FALSE),FALSE))),"")</f>
        <v/>
      </c>
      <c r="G827" s="14" t="str">
        <f>IFERROR((VLOOKUP($A827,'[1]import success seats course'!$A:U,HLOOKUP('[1]Course Totals'!G$4,'[1]import success seats course'!$1:$2,2,FALSE),FALSE)/(VLOOKUP($A827,'[1]import graded seats course pivo'!$A:AE,HLOOKUP('[1]Course Totals'!G$4,'[1]import graded seats course pivo'!$1:$2,2,FALSE),FALSE))),"")</f>
        <v/>
      </c>
      <c r="H827" s="14" t="str">
        <f>IFERROR((VLOOKUP($A827,'[1]import success seats course'!$A:V,HLOOKUP('[1]Course Totals'!H$4,'[1]import success seats course'!$1:$2,2,FALSE),FALSE)/(VLOOKUP($A827,'[1]import graded seats course pivo'!$A:AF,HLOOKUP('[1]Course Totals'!H$4,'[1]import graded seats course pivo'!$1:$2,2,FALSE),FALSE))),"")</f>
        <v/>
      </c>
      <c r="I827" s="14" t="str">
        <f>IFERROR((VLOOKUP($A827,'[1]import success seats course'!$A:W,HLOOKUP('[1]Course Totals'!I$4,'[1]import success seats course'!$1:$2,2,FALSE),FALSE)/(VLOOKUP($A827,'[1]import graded seats course pivo'!$A:AG,HLOOKUP('[1]Course Totals'!I$4,'[1]import graded seats course pivo'!$1:$2,2,FALSE),FALSE))),"")</f>
        <v/>
      </c>
      <c r="J827" s="14" t="str">
        <f>IFERROR((VLOOKUP($A827,'[1]import success seats course'!$A:X,HLOOKUP('[1]Course Totals'!J$4,'[1]import success seats course'!$1:$2,2,FALSE),FALSE)/(VLOOKUP($A827,'[1]import graded seats course pivo'!$A:AH,HLOOKUP('[1]Course Totals'!J$4,'[1]import graded seats course pivo'!$1:$2,2,FALSE),FALSE))),"")</f>
        <v/>
      </c>
      <c r="K827" s="14" t="str">
        <f>IFERROR((VLOOKUP($A827,'[1]import success seats course'!$A:Y,HLOOKUP('[1]Course Totals'!K$4,'[1]import success seats course'!$1:$2,2,FALSE),FALSE)/(VLOOKUP($A827,'[1]import graded seats course pivo'!$A:AI,HLOOKUP('[1]Course Totals'!K$4,'[1]import graded seats course pivo'!$1:$2,2,FALSE),FALSE))),"")</f>
        <v/>
      </c>
      <c r="L827" s="14" t="str">
        <f>IFERROR((VLOOKUP($A827,'[1]import success seats course'!$A:Z,HLOOKUP('[1]Course Totals'!L$4,'[1]import success seats course'!$1:$2,2,FALSE),FALSE)/(VLOOKUP($A827,'[1]import graded seats course pivo'!$A:AJ,HLOOKUP('[1]Course Totals'!L$4,'[1]import graded seats course pivo'!$1:$2,2,FALSE),FALSE))),"")</f>
        <v/>
      </c>
      <c r="M827" s="14" t="str">
        <f>IFERROR((VLOOKUP($A827,'[1]import success seats course'!$A:AA,HLOOKUP('[1]Course Totals'!M$4,'[1]import success seats course'!$1:$2,2,FALSE),FALSE)/(VLOOKUP($A827,'[1]import graded seats course pivo'!$A:AK,HLOOKUP('[1]Course Totals'!M$4,'[1]import graded seats course pivo'!$1:$2,2,FALSE),FALSE))),"")</f>
        <v/>
      </c>
      <c r="N827" s="14" t="str">
        <f>IFERROR((VLOOKUP($A827,'[1]import success seats course'!$A:AB,HLOOKUP('[1]Course Totals'!N$4,'[1]import success seats course'!$1:$2,2,FALSE),FALSE)/(VLOOKUP($A827,'[1]import graded seats course pivo'!$A:AL,HLOOKUP('[1]Course Totals'!N$4,'[1]import graded seats course pivo'!$1:$2,2,FALSE),FALSE))),"")</f>
        <v/>
      </c>
      <c r="O827" s="14" t="str">
        <f>IFERROR((VLOOKUP($A827,'[1]import success seats course'!$A:AC,HLOOKUP('[1]Course Totals'!O$4,'[1]import success seats course'!$1:$2,2,FALSE),FALSE)/(VLOOKUP($A827,'[1]import graded seats course pivo'!$A:AM,HLOOKUP('[1]Course Totals'!O$4,'[1]import graded seats course pivo'!$1:$2,2,FALSE),FALSE))),"")</f>
        <v/>
      </c>
      <c r="P827" s="14" t="str">
        <f>IFERROR((VLOOKUP($A827,'[1]import success seats course'!$A:AD,HLOOKUP('[1]Course Totals'!P$4,'[1]import success seats course'!$1:$2,2,FALSE),FALSE)/(VLOOKUP($A827,'[1]import graded seats course pivo'!$A:AN,HLOOKUP('[1]Course Totals'!P$4,'[1]import graded seats course pivo'!$1:$2,2,FALSE),FALSE))),"")</f>
        <v/>
      </c>
      <c r="Q827" s="14" t="str">
        <f>IFERROR((VLOOKUP($A827,'[1]import success seats course'!$A:AE,HLOOKUP('[1]Course Totals'!Q$4,'[1]import success seats course'!$1:$2,2,FALSE),FALSE)/(VLOOKUP($A827,'[1]import graded seats course pivo'!$A:AO,HLOOKUP('[1]Course Totals'!Q$4,'[1]import graded seats course pivo'!$1:$2,2,FALSE),FALSE))),"")</f>
        <v/>
      </c>
      <c r="R827" s="14" t="str">
        <f>IFERROR((VLOOKUP($A827,'[1]import success seats course'!$A:AF,HLOOKUP('[1]Course Totals'!R$4,'[1]import success seats course'!$1:$2,2,FALSE),FALSE)/(VLOOKUP($A827,'[1]import graded seats course pivo'!$A:AP,HLOOKUP('[1]Course Totals'!R$4,'[1]import graded seats course pivo'!$1:$2,2,FALSE),FALSE))),"")</f>
        <v/>
      </c>
      <c r="S827" s="14" t="str">
        <f>IFERROR((VLOOKUP($A827,'[1]import success seats course'!$A:AG,HLOOKUP('[1]Course Totals'!S$4,'[1]import success seats course'!$1:$2,2,FALSE),FALSE)/(VLOOKUP($A827,'[1]import graded seats course pivo'!$A:AQ,HLOOKUP('[1]Course Totals'!S$4,'[1]import graded seats course pivo'!$1:$2,2,FALSE),FALSE))),"")</f>
        <v/>
      </c>
      <c r="Z827" s="7"/>
      <c r="AA827" s="7"/>
      <c r="AB827" s="7"/>
      <c r="AC827" s="7"/>
    </row>
    <row r="828" spans="1:29" ht="15.75" hidden="1" customHeight="1" x14ac:dyDescent="0.25">
      <c r="A828" s="12" t="s">
        <v>387</v>
      </c>
      <c r="B828" s="14" t="str">
        <f>IFERROR((VLOOKUP($A828,'[1]import success seats course'!$A:P,HLOOKUP('[1]Course Totals'!B$4,'[1]import success seats course'!$1:$2,2,FALSE),FALSE)/(VLOOKUP($A828,'[1]import graded seats course pivo'!$A:Z,HLOOKUP('[1]Course Totals'!B$4,'[1]import graded seats course pivo'!$1:$2,2,FALSE),FALSE))),"")</f>
        <v/>
      </c>
      <c r="C828" s="14" t="str">
        <f>IFERROR((VLOOKUP($A828,'[1]import success seats course'!$A:Q,HLOOKUP('[1]Course Totals'!C$4,'[1]import success seats course'!$1:$2,2,FALSE),FALSE)/(VLOOKUP($A828,'[1]import graded seats course pivo'!$A:AA,HLOOKUP('[1]Course Totals'!C$4,'[1]import graded seats course pivo'!$1:$2,2,FALSE),FALSE))),"")</f>
        <v/>
      </c>
      <c r="D828" s="14" t="str">
        <f>IFERROR((VLOOKUP($A828,'[1]import success seats course'!$A:R,HLOOKUP('[1]Course Totals'!D$4,'[1]import success seats course'!$1:$2,2,FALSE),FALSE)/(VLOOKUP($A828,'[1]import graded seats course pivo'!$A:AB,HLOOKUP('[1]Course Totals'!D$4,'[1]import graded seats course pivo'!$1:$2,2,FALSE),FALSE))),"")</f>
        <v/>
      </c>
      <c r="E828" s="14" t="str">
        <f>IFERROR((VLOOKUP($A828,'[1]import success seats course'!$A:S,HLOOKUP('[1]Course Totals'!E$4,'[1]import success seats course'!$1:$2,2,FALSE),FALSE)/(VLOOKUP($A828,'[1]import graded seats course pivo'!$A:AC,HLOOKUP('[1]Course Totals'!E$4,'[1]import graded seats course pivo'!$1:$2,2,FALSE),FALSE))),"")</f>
        <v/>
      </c>
      <c r="F828" s="14" t="str">
        <f>IFERROR((VLOOKUP($A828,'[1]import success seats course'!$A:T,HLOOKUP('[1]Course Totals'!F$4,'[1]import success seats course'!$1:$2,2,FALSE),FALSE)/(VLOOKUP($A828,'[1]import graded seats course pivo'!$A:AD,HLOOKUP('[1]Course Totals'!F$4,'[1]import graded seats course pivo'!$1:$2,2,FALSE),FALSE))),"")</f>
        <v/>
      </c>
      <c r="G828" s="14" t="str">
        <f>IFERROR((VLOOKUP($A828,'[1]import success seats course'!$A:U,HLOOKUP('[1]Course Totals'!G$4,'[1]import success seats course'!$1:$2,2,FALSE),FALSE)/(VLOOKUP($A828,'[1]import graded seats course pivo'!$A:AE,HLOOKUP('[1]Course Totals'!G$4,'[1]import graded seats course pivo'!$1:$2,2,FALSE),FALSE))),"")</f>
        <v/>
      </c>
      <c r="H828" s="14" t="str">
        <f>IFERROR((VLOOKUP($A828,'[1]import success seats course'!$A:V,HLOOKUP('[1]Course Totals'!H$4,'[1]import success seats course'!$1:$2,2,FALSE),FALSE)/(VLOOKUP($A828,'[1]import graded seats course pivo'!$A:AF,HLOOKUP('[1]Course Totals'!H$4,'[1]import graded seats course pivo'!$1:$2,2,FALSE),FALSE))),"")</f>
        <v/>
      </c>
      <c r="I828" s="14" t="str">
        <f>IFERROR((VLOOKUP($A828,'[1]import success seats course'!$A:W,HLOOKUP('[1]Course Totals'!I$4,'[1]import success seats course'!$1:$2,2,FALSE),FALSE)/(VLOOKUP($A828,'[1]import graded seats course pivo'!$A:AG,HLOOKUP('[1]Course Totals'!I$4,'[1]import graded seats course pivo'!$1:$2,2,FALSE),FALSE))),"")</f>
        <v/>
      </c>
      <c r="J828" s="14" t="str">
        <f>IFERROR((VLOOKUP($A828,'[1]import success seats course'!$A:X,HLOOKUP('[1]Course Totals'!J$4,'[1]import success seats course'!$1:$2,2,FALSE),FALSE)/(VLOOKUP($A828,'[1]import graded seats course pivo'!$A:AH,HLOOKUP('[1]Course Totals'!J$4,'[1]import graded seats course pivo'!$1:$2,2,FALSE),FALSE))),"")</f>
        <v/>
      </c>
      <c r="K828" s="14" t="str">
        <f>IFERROR((VLOOKUP($A828,'[1]import success seats course'!$A:Y,HLOOKUP('[1]Course Totals'!K$4,'[1]import success seats course'!$1:$2,2,FALSE),FALSE)/(VLOOKUP($A828,'[1]import graded seats course pivo'!$A:AI,HLOOKUP('[1]Course Totals'!K$4,'[1]import graded seats course pivo'!$1:$2,2,FALSE),FALSE))),"")</f>
        <v/>
      </c>
      <c r="L828" s="14" t="str">
        <f>IFERROR((VLOOKUP($A828,'[1]import success seats course'!$A:Z,HLOOKUP('[1]Course Totals'!L$4,'[1]import success seats course'!$1:$2,2,FALSE),FALSE)/(VLOOKUP($A828,'[1]import graded seats course pivo'!$A:AJ,HLOOKUP('[1]Course Totals'!L$4,'[1]import graded seats course pivo'!$1:$2,2,FALSE),FALSE))),"")</f>
        <v/>
      </c>
      <c r="M828" s="14" t="str">
        <f>IFERROR((VLOOKUP($A828,'[1]import success seats course'!$A:AA,HLOOKUP('[1]Course Totals'!M$4,'[1]import success seats course'!$1:$2,2,FALSE),FALSE)/(VLOOKUP($A828,'[1]import graded seats course pivo'!$A:AK,HLOOKUP('[1]Course Totals'!M$4,'[1]import graded seats course pivo'!$1:$2,2,FALSE),FALSE))),"")</f>
        <v/>
      </c>
      <c r="N828" s="14" t="str">
        <f>IFERROR((VLOOKUP($A828,'[1]import success seats course'!$A:AB,HLOOKUP('[1]Course Totals'!N$4,'[1]import success seats course'!$1:$2,2,FALSE),FALSE)/(VLOOKUP($A828,'[1]import graded seats course pivo'!$A:AL,HLOOKUP('[1]Course Totals'!N$4,'[1]import graded seats course pivo'!$1:$2,2,FALSE),FALSE))),"")</f>
        <v/>
      </c>
      <c r="O828" s="14" t="str">
        <f>IFERROR((VLOOKUP($A828,'[1]import success seats course'!$A:AC,HLOOKUP('[1]Course Totals'!O$4,'[1]import success seats course'!$1:$2,2,FALSE),FALSE)/(VLOOKUP($A828,'[1]import graded seats course pivo'!$A:AM,HLOOKUP('[1]Course Totals'!O$4,'[1]import graded seats course pivo'!$1:$2,2,FALSE),FALSE))),"")</f>
        <v/>
      </c>
      <c r="P828" s="14" t="str">
        <f>IFERROR((VLOOKUP($A828,'[1]import success seats course'!$A:AD,HLOOKUP('[1]Course Totals'!P$4,'[1]import success seats course'!$1:$2,2,FALSE),FALSE)/(VLOOKUP($A828,'[1]import graded seats course pivo'!$A:AN,HLOOKUP('[1]Course Totals'!P$4,'[1]import graded seats course pivo'!$1:$2,2,FALSE),FALSE))),"")</f>
        <v/>
      </c>
      <c r="Q828" s="14" t="str">
        <f>IFERROR((VLOOKUP($A828,'[1]import success seats course'!$A:AE,HLOOKUP('[1]Course Totals'!Q$4,'[1]import success seats course'!$1:$2,2,FALSE),FALSE)/(VLOOKUP($A828,'[1]import graded seats course pivo'!$A:AO,HLOOKUP('[1]Course Totals'!Q$4,'[1]import graded seats course pivo'!$1:$2,2,FALSE),FALSE))),"")</f>
        <v/>
      </c>
      <c r="R828" s="14" t="str">
        <f>IFERROR((VLOOKUP($A828,'[1]import success seats course'!$A:AF,HLOOKUP('[1]Course Totals'!R$4,'[1]import success seats course'!$1:$2,2,FALSE),FALSE)/(VLOOKUP($A828,'[1]import graded seats course pivo'!$A:AP,HLOOKUP('[1]Course Totals'!R$4,'[1]import graded seats course pivo'!$1:$2,2,FALSE),FALSE))),"")</f>
        <v/>
      </c>
      <c r="S828" s="14" t="str">
        <f>IFERROR((VLOOKUP($A828,'[1]import success seats course'!$A:AG,HLOOKUP('[1]Course Totals'!S$4,'[1]import success seats course'!$1:$2,2,FALSE),FALSE)/(VLOOKUP($A828,'[1]import graded seats course pivo'!$A:AQ,HLOOKUP('[1]Course Totals'!S$4,'[1]import graded seats course pivo'!$1:$2,2,FALSE),FALSE))),"")</f>
        <v/>
      </c>
      <c r="Z828" s="7"/>
      <c r="AA828" s="7"/>
      <c r="AB828" s="7"/>
      <c r="AC828" s="7"/>
    </row>
    <row r="829" spans="1:29" ht="15.75" hidden="1" customHeight="1" x14ac:dyDescent="0.25">
      <c r="A829" s="12" t="s">
        <v>388</v>
      </c>
      <c r="B829" s="14" t="str">
        <f>IFERROR((VLOOKUP($A829,'[1]import success seats course'!$A:P,HLOOKUP('[1]Course Totals'!B$4,'[1]import success seats course'!$1:$2,2,FALSE),FALSE)/(VLOOKUP($A829,'[1]import graded seats course pivo'!$A:Z,HLOOKUP('[1]Course Totals'!B$4,'[1]import graded seats course pivo'!$1:$2,2,FALSE),FALSE))),"")</f>
        <v/>
      </c>
      <c r="C829" s="14" t="str">
        <f>IFERROR((VLOOKUP($A829,'[1]import success seats course'!$A:Q,HLOOKUP('[1]Course Totals'!C$4,'[1]import success seats course'!$1:$2,2,FALSE),FALSE)/(VLOOKUP($A829,'[1]import graded seats course pivo'!$A:AA,HLOOKUP('[1]Course Totals'!C$4,'[1]import graded seats course pivo'!$1:$2,2,FALSE),FALSE))),"")</f>
        <v/>
      </c>
      <c r="D829" s="14" t="str">
        <f>IFERROR((VLOOKUP($A829,'[1]import success seats course'!$A:R,HLOOKUP('[1]Course Totals'!D$4,'[1]import success seats course'!$1:$2,2,FALSE),FALSE)/(VLOOKUP($A829,'[1]import graded seats course pivo'!$A:AB,HLOOKUP('[1]Course Totals'!D$4,'[1]import graded seats course pivo'!$1:$2,2,FALSE),FALSE))),"")</f>
        <v/>
      </c>
      <c r="E829" s="14" t="str">
        <f>IFERROR((VLOOKUP($A829,'[1]import success seats course'!$A:S,HLOOKUP('[1]Course Totals'!E$4,'[1]import success seats course'!$1:$2,2,FALSE),FALSE)/(VLOOKUP($A829,'[1]import graded seats course pivo'!$A:AC,HLOOKUP('[1]Course Totals'!E$4,'[1]import graded seats course pivo'!$1:$2,2,FALSE),FALSE))),"")</f>
        <v/>
      </c>
      <c r="F829" s="14" t="str">
        <f>IFERROR((VLOOKUP($A829,'[1]import success seats course'!$A:T,HLOOKUP('[1]Course Totals'!F$4,'[1]import success seats course'!$1:$2,2,FALSE),FALSE)/(VLOOKUP($A829,'[1]import graded seats course pivo'!$A:AD,HLOOKUP('[1]Course Totals'!F$4,'[1]import graded seats course pivo'!$1:$2,2,FALSE),FALSE))),"")</f>
        <v/>
      </c>
      <c r="G829" s="14" t="str">
        <f>IFERROR((VLOOKUP($A829,'[1]import success seats course'!$A:U,HLOOKUP('[1]Course Totals'!G$4,'[1]import success seats course'!$1:$2,2,FALSE),FALSE)/(VLOOKUP($A829,'[1]import graded seats course pivo'!$A:AE,HLOOKUP('[1]Course Totals'!G$4,'[1]import graded seats course pivo'!$1:$2,2,FALSE),FALSE))),"")</f>
        <v/>
      </c>
      <c r="H829" s="14" t="str">
        <f>IFERROR((VLOOKUP($A829,'[1]import success seats course'!$A:V,HLOOKUP('[1]Course Totals'!H$4,'[1]import success seats course'!$1:$2,2,FALSE),FALSE)/(VLOOKUP($A829,'[1]import graded seats course pivo'!$A:AF,HLOOKUP('[1]Course Totals'!H$4,'[1]import graded seats course pivo'!$1:$2,2,FALSE),FALSE))),"")</f>
        <v/>
      </c>
      <c r="I829" s="14" t="str">
        <f>IFERROR((VLOOKUP($A829,'[1]import success seats course'!$A:W,HLOOKUP('[1]Course Totals'!I$4,'[1]import success seats course'!$1:$2,2,FALSE),FALSE)/(VLOOKUP($A829,'[1]import graded seats course pivo'!$A:AG,HLOOKUP('[1]Course Totals'!I$4,'[1]import graded seats course pivo'!$1:$2,2,FALSE),FALSE))),"")</f>
        <v/>
      </c>
      <c r="J829" s="14" t="str">
        <f>IFERROR((VLOOKUP($A829,'[1]import success seats course'!$A:X,HLOOKUP('[1]Course Totals'!J$4,'[1]import success seats course'!$1:$2,2,FALSE),FALSE)/(VLOOKUP($A829,'[1]import graded seats course pivo'!$A:AH,HLOOKUP('[1]Course Totals'!J$4,'[1]import graded seats course pivo'!$1:$2,2,FALSE),FALSE))),"")</f>
        <v/>
      </c>
      <c r="K829" s="14" t="str">
        <f>IFERROR((VLOOKUP($A829,'[1]import success seats course'!$A:Y,HLOOKUP('[1]Course Totals'!K$4,'[1]import success seats course'!$1:$2,2,FALSE),FALSE)/(VLOOKUP($A829,'[1]import graded seats course pivo'!$A:AI,HLOOKUP('[1]Course Totals'!K$4,'[1]import graded seats course pivo'!$1:$2,2,FALSE),FALSE))),"")</f>
        <v/>
      </c>
      <c r="L829" s="14" t="str">
        <f>IFERROR((VLOOKUP($A829,'[1]import success seats course'!$A:Z,HLOOKUP('[1]Course Totals'!L$4,'[1]import success seats course'!$1:$2,2,FALSE),FALSE)/(VLOOKUP($A829,'[1]import graded seats course pivo'!$A:AJ,HLOOKUP('[1]Course Totals'!L$4,'[1]import graded seats course pivo'!$1:$2,2,FALSE),FALSE))),"")</f>
        <v/>
      </c>
      <c r="M829" s="14" t="str">
        <f>IFERROR((VLOOKUP($A829,'[1]import success seats course'!$A:AA,HLOOKUP('[1]Course Totals'!M$4,'[1]import success seats course'!$1:$2,2,FALSE),FALSE)/(VLOOKUP($A829,'[1]import graded seats course pivo'!$A:AK,HLOOKUP('[1]Course Totals'!M$4,'[1]import graded seats course pivo'!$1:$2,2,FALSE),FALSE))),"")</f>
        <v/>
      </c>
      <c r="N829" s="14" t="str">
        <f>IFERROR((VLOOKUP($A829,'[1]import success seats course'!$A:AB,HLOOKUP('[1]Course Totals'!N$4,'[1]import success seats course'!$1:$2,2,FALSE),FALSE)/(VLOOKUP($A829,'[1]import graded seats course pivo'!$A:AL,HLOOKUP('[1]Course Totals'!N$4,'[1]import graded seats course pivo'!$1:$2,2,FALSE),FALSE))),"")</f>
        <v/>
      </c>
      <c r="O829" s="14" t="str">
        <f>IFERROR((VLOOKUP($A829,'[1]import success seats course'!$A:AC,HLOOKUP('[1]Course Totals'!O$4,'[1]import success seats course'!$1:$2,2,FALSE),FALSE)/(VLOOKUP($A829,'[1]import graded seats course pivo'!$A:AM,HLOOKUP('[1]Course Totals'!O$4,'[1]import graded seats course pivo'!$1:$2,2,FALSE),FALSE))),"")</f>
        <v/>
      </c>
      <c r="P829" s="14" t="str">
        <f>IFERROR((VLOOKUP($A829,'[1]import success seats course'!$A:AD,HLOOKUP('[1]Course Totals'!P$4,'[1]import success seats course'!$1:$2,2,FALSE),FALSE)/(VLOOKUP($A829,'[1]import graded seats course pivo'!$A:AN,HLOOKUP('[1]Course Totals'!P$4,'[1]import graded seats course pivo'!$1:$2,2,FALSE),FALSE))),"")</f>
        <v/>
      </c>
      <c r="Q829" s="14" t="str">
        <f>IFERROR((VLOOKUP($A829,'[1]import success seats course'!$A:AE,HLOOKUP('[1]Course Totals'!Q$4,'[1]import success seats course'!$1:$2,2,FALSE),FALSE)/(VLOOKUP($A829,'[1]import graded seats course pivo'!$A:AO,HLOOKUP('[1]Course Totals'!Q$4,'[1]import graded seats course pivo'!$1:$2,2,FALSE),FALSE))),"")</f>
        <v/>
      </c>
      <c r="R829" s="14" t="str">
        <f>IFERROR((VLOOKUP($A829,'[1]import success seats course'!$A:AF,HLOOKUP('[1]Course Totals'!R$4,'[1]import success seats course'!$1:$2,2,FALSE),FALSE)/(VLOOKUP($A829,'[1]import graded seats course pivo'!$A:AP,HLOOKUP('[1]Course Totals'!R$4,'[1]import graded seats course pivo'!$1:$2,2,FALSE),FALSE))),"")</f>
        <v/>
      </c>
      <c r="S829" s="14" t="str">
        <f>IFERROR((VLOOKUP($A829,'[1]import success seats course'!$A:AG,HLOOKUP('[1]Course Totals'!S$4,'[1]import success seats course'!$1:$2,2,FALSE),FALSE)/(VLOOKUP($A829,'[1]import graded seats course pivo'!$A:AQ,HLOOKUP('[1]Course Totals'!S$4,'[1]import graded seats course pivo'!$1:$2,2,FALSE),FALSE))),"")</f>
        <v/>
      </c>
      <c r="Z829" s="7"/>
      <c r="AA829" s="7"/>
      <c r="AB829" s="7"/>
      <c r="AC829" s="7"/>
    </row>
    <row r="830" spans="1:29" ht="15.75" hidden="1" customHeight="1" x14ac:dyDescent="0.25">
      <c r="A830" s="12" t="s">
        <v>389</v>
      </c>
      <c r="B830" s="14" t="str">
        <f>IFERROR((VLOOKUP($A830,'[1]import success seats course'!$A:P,HLOOKUP('[1]Course Totals'!B$4,'[1]import success seats course'!$1:$2,2,FALSE),FALSE)/(VLOOKUP($A830,'[1]import graded seats course pivo'!$A:Z,HLOOKUP('[1]Course Totals'!B$4,'[1]import graded seats course pivo'!$1:$2,2,FALSE),FALSE))),"")</f>
        <v/>
      </c>
      <c r="C830" s="14" t="str">
        <f>IFERROR((VLOOKUP($A830,'[1]import success seats course'!$A:Q,HLOOKUP('[1]Course Totals'!C$4,'[1]import success seats course'!$1:$2,2,FALSE),FALSE)/(VLOOKUP($A830,'[1]import graded seats course pivo'!$A:AA,HLOOKUP('[1]Course Totals'!C$4,'[1]import graded seats course pivo'!$1:$2,2,FALSE),FALSE))),"")</f>
        <v/>
      </c>
      <c r="D830" s="14" t="str">
        <f>IFERROR((VLOOKUP($A830,'[1]import success seats course'!$A:R,HLOOKUP('[1]Course Totals'!D$4,'[1]import success seats course'!$1:$2,2,FALSE),FALSE)/(VLOOKUP($A830,'[1]import graded seats course pivo'!$A:AB,HLOOKUP('[1]Course Totals'!D$4,'[1]import graded seats course pivo'!$1:$2,2,FALSE),FALSE))),"")</f>
        <v/>
      </c>
      <c r="E830" s="14" t="str">
        <f>IFERROR((VLOOKUP($A830,'[1]import success seats course'!$A:S,HLOOKUP('[1]Course Totals'!E$4,'[1]import success seats course'!$1:$2,2,FALSE),FALSE)/(VLOOKUP($A830,'[1]import graded seats course pivo'!$A:AC,HLOOKUP('[1]Course Totals'!E$4,'[1]import graded seats course pivo'!$1:$2,2,FALSE),FALSE))),"")</f>
        <v/>
      </c>
      <c r="F830" s="14" t="str">
        <f>IFERROR((VLOOKUP($A830,'[1]import success seats course'!$A:T,HLOOKUP('[1]Course Totals'!F$4,'[1]import success seats course'!$1:$2,2,FALSE),FALSE)/(VLOOKUP($A830,'[1]import graded seats course pivo'!$A:AD,HLOOKUP('[1]Course Totals'!F$4,'[1]import graded seats course pivo'!$1:$2,2,FALSE),FALSE))),"")</f>
        <v/>
      </c>
      <c r="G830" s="14" t="str">
        <f>IFERROR((VLOOKUP($A830,'[1]import success seats course'!$A:U,HLOOKUP('[1]Course Totals'!G$4,'[1]import success seats course'!$1:$2,2,FALSE),FALSE)/(VLOOKUP($A830,'[1]import graded seats course pivo'!$A:AE,HLOOKUP('[1]Course Totals'!G$4,'[1]import graded seats course pivo'!$1:$2,2,FALSE),FALSE))),"")</f>
        <v/>
      </c>
      <c r="H830" s="14" t="str">
        <f>IFERROR((VLOOKUP($A830,'[1]import success seats course'!$A:V,HLOOKUP('[1]Course Totals'!H$4,'[1]import success seats course'!$1:$2,2,FALSE),FALSE)/(VLOOKUP($A830,'[1]import graded seats course pivo'!$A:AF,HLOOKUP('[1]Course Totals'!H$4,'[1]import graded seats course pivo'!$1:$2,2,FALSE),FALSE))),"")</f>
        <v/>
      </c>
      <c r="I830" s="14" t="str">
        <f>IFERROR((VLOOKUP($A830,'[1]import success seats course'!$A:W,HLOOKUP('[1]Course Totals'!I$4,'[1]import success seats course'!$1:$2,2,FALSE),FALSE)/(VLOOKUP($A830,'[1]import graded seats course pivo'!$A:AG,HLOOKUP('[1]Course Totals'!I$4,'[1]import graded seats course pivo'!$1:$2,2,FALSE),FALSE))),"")</f>
        <v/>
      </c>
      <c r="J830" s="14" t="str">
        <f>IFERROR((VLOOKUP($A830,'[1]import success seats course'!$A:X,HLOOKUP('[1]Course Totals'!J$4,'[1]import success seats course'!$1:$2,2,FALSE),FALSE)/(VLOOKUP($A830,'[1]import graded seats course pivo'!$A:AH,HLOOKUP('[1]Course Totals'!J$4,'[1]import graded seats course pivo'!$1:$2,2,FALSE),FALSE))),"")</f>
        <v/>
      </c>
      <c r="K830" s="14" t="str">
        <f>IFERROR((VLOOKUP($A830,'[1]import success seats course'!$A:Y,HLOOKUP('[1]Course Totals'!K$4,'[1]import success seats course'!$1:$2,2,FALSE),FALSE)/(VLOOKUP($A830,'[1]import graded seats course pivo'!$A:AI,HLOOKUP('[1]Course Totals'!K$4,'[1]import graded seats course pivo'!$1:$2,2,FALSE),FALSE))),"")</f>
        <v/>
      </c>
      <c r="L830" s="14" t="str">
        <f>IFERROR((VLOOKUP($A830,'[1]import success seats course'!$A:Z,HLOOKUP('[1]Course Totals'!L$4,'[1]import success seats course'!$1:$2,2,FALSE),FALSE)/(VLOOKUP($A830,'[1]import graded seats course pivo'!$A:AJ,HLOOKUP('[1]Course Totals'!L$4,'[1]import graded seats course pivo'!$1:$2,2,FALSE),FALSE))),"")</f>
        <v/>
      </c>
      <c r="M830" s="14" t="str">
        <f>IFERROR((VLOOKUP($A830,'[1]import success seats course'!$A:AA,HLOOKUP('[1]Course Totals'!M$4,'[1]import success seats course'!$1:$2,2,FALSE),FALSE)/(VLOOKUP($A830,'[1]import graded seats course pivo'!$A:AK,HLOOKUP('[1]Course Totals'!M$4,'[1]import graded seats course pivo'!$1:$2,2,FALSE),FALSE))),"")</f>
        <v/>
      </c>
      <c r="N830" s="14" t="str">
        <f>IFERROR((VLOOKUP($A830,'[1]import success seats course'!$A:AB,HLOOKUP('[1]Course Totals'!N$4,'[1]import success seats course'!$1:$2,2,FALSE),FALSE)/(VLOOKUP($A830,'[1]import graded seats course pivo'!$A:AL,HLOOKUP('[1]Course Totals'!N$4,'[1]import graded seats course pivo'!$1:$2,2,FALSE),FALSE))),"")</f>
        <v/>
      </c>
      <c r="O830" s="14" t="str">
        <f>IFERROR((VLOOKUP($A830,'[1]import success seats course'!$A:AC,HLOOKUP('[1]Course Totals'!O$4,'[1]import success seats course'!$1:$2,2,FALSE),FALSE)/(VLOOKUP($A830,'[1]import graded seats course pivo'!$A:AM,HLOOKUP('[1]Course Totals'!O$4,'[1]import graded seats course pivo'!$1:$2,2,FALSE),FALSE))),"")</f>
        <v/>
      </c>
      <c r="P830" s="14" t="str">
        <f>IFERROR((VLOOKUP($A830,'[1]import success seats course'!$A:AD,HLOOKUP('[1]Course Totals'!P$4,'[1]import success seats course'!$1:$2,2,FALSE),FALSE)/(VLOOKUP($A830,'[1]import graded seats course pivo'!$A:AN,HLOOKUP('[1]Course Totals'!P$4,'[1]import graded seats course pivo'!$1:$2,2,FALSE),FALSE))),"")</f>
        <v/>
      </c>
      <c r="Q830" s="14" t="str">
        <f>IFERROR((VLOOKUP($A830,'[1]import success seats course'!$A:AE,HLOOKUP('[1]Course Totals'!Q$4,'[1]import success seats course'!$1:$2,2,FALSE),FALSE)/(VLOOKUP($A830,'[1]import graded seats course pivo'!$A:AO,HLOOKUP('[1]Course Totals'!Q$4,'[1]import graded seats course pivo'!$1:$2,2,FALSE),FALSE))),"")</f>
        <v/>
      </c>
      <c r="R830" s="14" t="str">
        <f>IFERROR((VLOOKUP($A830,'[1]import success seats course'!$A:AF,HLOOKUP('[1]Course Totals'!R$4,'[1]import success seats course'!$1:$2,2,FALSE),FALSE)/(VLOOKUP($A830,'[1]import graded seats course pivo'!$A:AP,HLOOKUP('[1]Course Totals'!R$4,'[1]import graded seats course pivo'!$1:$2,2,FALSE),FALSE))),"")</f>
        <v/>
      </c>
      <c r="S830" s="14" t="str">
        <f>IFERROR((VLOOKUP($A830,'[1]import success seats course'!$A:AG,HLOOKUP('[1]Course Totals'!S$4,'[1]import success seats course'!$1:$2,2,FALSE),FALSE)/(VLOOKUP($A830,'[1]import graded seats course pivo'!$A:AQ,HLOOKUP('[1]Course Totals'!S$4,'[1]import graded seats course pivo'!$1:$2,2,FALSE),FALSE))),"")</f>
        <v/>
      </c>
      <c r="Z830" s="7"/>
      <c r="AA830" s="7"/>
      <c r="AB830" s="7"/>
      <c r="AC830" s="7"/>
    </row>
    <row r="831" spans="1:29" ht="15.75" hidden="1" customHeight="1" x14ac:dyDescent="0.25">
      <c r="A831" s="12" t="s">
        <v>932</v>
      </c>
      <c r="B831" s="14" t="str">
        <f>IFERROR((VLOOKUP($A831,'[1]import success seats course'!$A:P,HLOOKUP('[1]Course Totals'!B$4,'[1]import success seats course'!$1:$2,2,FALSE),FALSE)/(VLOOKUP($A831,'[1]import graded seats course pivo'!$A:Z,HLOOKUP('[1]Course Totals'!B$4,'[1]import graded seats course pivo'!$1:$2,2,FALSE),FALSE))),"")</f>
        <v/>
      </c>
      <c r="C831" s="14" t="str">
        <f>IFERROR((VLOOKUP($A831,'[1]import success seats course'!$A:Q,HLOOKUP('[1]Course Totals'!C$4,'[1]import success seats course'!$1:$2,2,FALSE),FALSE)/(VLOOKUP($A831,'[1]import graded seats course pivo'!$A:AA,HLOOKUP('[1]Course Totals'!C$4,'[1]import graded seats course pivo'!$1:$2,2,FALSE),FALSE))),"")</f>
        <v/>
      </c>
      <c r="D831" s="14" t="str">
        <f>IFERROR((VLOOKUP($A831,'[1]import success seats course'!$A:R,HLOOKUP('[1]Course Totals'!D$4,'[1]import success seats course'!$1:$2,2,FALSE),FALSE)/(VLOOKUP($A831,'[1]import graded seats course pivo'!$A:AB,HLOOKUP('[1]Course Totals'!D$4,'[1]import graded seats course pivo'!$1:$2,2,FALSE),FALSE))),"")</f>
        <v/>
      </c>
      <c r="E831" s="14" t="str">
        <f>IFERROR((VLOOKUP($A831,'[1]import success seats course'!$A:S,HLOOKUP('[1]Course Totals'!E$4,'[1]import success seats course'!$1:$2,2,FALSE),FALSE)/(VLOOKUP($A831,'[1]import graded seats course pivo'!$A:AC,HLOOKUP('[1]Course Totals'!E$4,'[1]import graded seats course pivo'!$1:$2,2,FALSE),FALSE))),"")</f>
        <v/>
      </c>
      <c r="F831" s="14" t="str">
        <f>IFERROR((VLOOKUP($A831,'[1]import success seats course'!$A:T,HLOOKUP('[1]Course Totals'!F$4,'[1]import success seats course'!$1:$2,2,FALSE),FALSE)/(VLOOKUP($A831,'[1]import graded seats course pivo'!$A:AD,HLOOKUP('[1]Course Totals'!F$4,'[1]import graded seats course pivo'!$1:$2,2,FALSE),FALSE))),"")</f>
        <v/>
      </c>
      <c r="G831" s="14" t="str">
        <f>IFERROR((VLOOKUP($A831,'[1]import success seats course'!$A:U,HLOOKUP('[1]Course Totals'!G$4,'[1]import success seats course'!$1:$2,2,FALSE),FALSE)/(VLOOKUP($A831,'[1]import graded seats course pivo'!$A:AE,HLOOKUP('[1]Course Totals'!G$4,'[1]import graded seats course pivo'!$1:$2,2,FALSE),FALSE))),"")</f>
        <v/>
      </c>
      <c r="H831" s="14" t="str">
        <f>IFERROR((VLOOKUP($A831,'[1]import success seats course'!$A:V,HLOOKUP('[1]Course Totals'!H$4,'[1]import success seats course'!$1:$2,2,FALSE),FALSE)/(VLOOKUP($A831,'[1]import graded seats course pivo'!$A:AF,HLOOKUP('[1]Course Totals'!H$4,'[1]import graded seats course pivo'!$1:$2,2,FALSE),FALSE))),"")</f>
        <v/>
      </c>
      <c r="I831" s="14" t="str">
        <f>IFERROR((VLOOKUP($A831,'[1]import success seats course'!$A:W,HLOOKUP('[1]Course Totals'!I$4,'[1]import success seats course'!$1:$2,2,FALSE),FALSE)/(VLOOKUP($A831,'[1]import graded seats course pivo'!$A:AG,HLOOKUP('[1]Course Totals'!I$4,'[1]import graded seats course pivo'!$1:$2,2,FALSE),FALSE))),"")</f>
        <v/>
      </c>
      <c r="J831" s="14" t="str">
        <f>IFERROR((VLOOKUP($A831,'[1]import success seats course'!$A:X,HLOOKUP('[1]Course Totals'!J$4,'[1]import success seats course'!$1:$2,2,FALSE),FALSE)/(VLOOKUP($A831,'[1]import graded seats course pivo'!$A:AH,HLOOKUP('[1]Course Totals'!J$4,'[1]import graded seats course pivo'!$1:$2,2,FALSE),FALSE))),"")</f>
        <v/>
      </c>
      <c r="K831" s="14" t="str">
        <f>IFERROR((VLOOKUP($A831,'[1]import success seats course'!$A:Y,HLOOKUP('[1]Course Totals'!K$4,'[1]import success seats course'!$1:$2,2,FALSE),FALSE)/(VLOOKUP($A831,'[1]import graded seats course pivo'!$A:AI,HLOOKUP('[1]Course Totals'!K$4,'[1]import graded seats course pivo'!$1:$2,2,FALSE),FALSE))),"")</f>
        <v/>
      </c>
      <c r="L831" s="14" t="str">
        <f>IFERROR((VLOOKUP($A831,'[1]import success seats course'!$A:Z,HLOOKUP('[1]Course Totals'!L$4,'[1]import success seats course'!$1:$2,2,FALSE),FALSE)/(VLOOKUP($A831,'[1]import graded seats course pivo'!$A:AJ,HLOOKUP('[1]Course Totals'!L$4,'[1]import graded seats course pivo'!$1:$2,2,FALSE),FALSE))),"")</f>
        <v/>
      </c>
      <c r="M831" s="14" t="str">
        <f>IFERROR((VLOOKUP($A831,'[1]import success seats course'!$A:AA,HLOOKUP('[1]Course Totals'!M$4,'[1]import success seats course'!$1:$2,2,FALSE),FALSE)/(VLOOKUP($A831,'[1]import graded seats course pivo'!$A:AK,HLOOKUP('[1]Course Totals'!M$4,'[1]import graded seats course pivo'!$1:$2,2,FALSE),FALSE))),"")</f>
        <v/>
      </c>
      <c r="N831" s="14" t="str">
        <f>IFERROR((VLOOKUP($A831,'[1]import success seats course'!$A:AB,HLOOKUP('[1]Course Totals'!N$4,'[1]import success seats course'!$1:$2,2,FALSE),FALSE)/(VLOOKUP($A831,'[1]import graded seats course pivo'!$A:AL,HLOOKUP('[1]Course Totals'!N$4,'[1]import graded seats course pivo'!$1:$2,2,FALSE),FALSE))),"")</f>
        <v/>
      </c>
      <c r="O831" s="14" t="str">
        <f>IFERROR((VLOOKUP($A831,'[1]import success seats course'!$A:AC,HLOOKUP('[1]Course Totals'!O$4,'[1]import success seats course'!$1:$2,2,FALSE),FALSE)/(VLOOKUP($A831,'[1]import graded seats course pivo'!$A:AM,HLOOKUP('[1]Course Totals'!O$4,'[1]import graded seats course pivo'!$1:$2,2,FALSE),FALSE))),"")</f>
        <v/>
      </c>
      <c r="P831" s="14" t="str">
        <f>IFERROR((VLOOKUP($A831,'[1]import success seats course'!$A:AD,HLOOKUP('[1]Course Totals'!P$4,'[1]import success seats course'!$1:$2,2,FALSE),FALSE)/(VLOOKUP($A831,'[1]import graded seats course pivo'!$A:AN,HLOOKUP('[1]Course Totals'!P$4,'[1]import graded seats course pivo'!$1:$2,2,FALSE),FALSE))),"")</f>
        <v/>
      </c>
      <c r="Q831" s="14" t="str">
        <f>IFERROR((VLOOKUP($A831,'[1]import success seats course'!$A:AE,HLOOKUP('[1]Course Totals'!Q$4,'[1]import success seats course'!$1:$2,2,FALSE),FALSE)/(VLOOKUP($A831,'[1]import graded seats course pivo'!$A:AO,HLOOKUP('[1]Course Totals'!Q$4,'[1]import graded seats course pivo'!$1:$2,2,FALSE),FALSE))),"")</f>
        <v/>
      </c>
      <c r="R831" s="14" t="str">
        <f>IFERROR((VLOOKUP($A831,'[1]import success seats course'!$A:AF,HLOOKUP('[1]Course Totals'!R$4,'[1]import success seats course'!$1:$2,2,FALSE),FALSE)/(VLOOKUP($A831,'[1]import graded seats course pivo'!$A:AP,HLOOKUP('[1]Course Totals'!R$4,'[1]import graded seats course pivo'!$1:$2,2,FALSE),FALSE))),"")</f>
        <v/>
      </c>
      <c r="S831" s="14" t="str">
        <f>IFERROR((VLOOKUP($A831,'[1]import success seats course'!$A:AG,HLOOKUP('[1]Course Totals'!S$4,'[1]import success seats course'!$1:$2,2,FALSE),FALSE)/(VLOOKUP($A831,'[1]import graded seats course pivo'!$A:AQ,HLOOKUP('[1]Course Totals'!S$4,'[1]import graded seats course pivo'!$1:$2,2,FALSE),FALSE))),"")</f>
        <v/>
      </c>
      <c r="Z831" s="7"/>
      <c r="AA831" s="7"/>
      <c r="AB831" s="7"/>
      <c r="AC831" s="7"/>
    </row>
    <row r="832" spans="1:29" ht="15.75" hidden="1" customHeight="1" x14ac:dyDescent="0.25">
      <c r="A832" s="12" t="s">
        <v>933</v>
      </c>
      <c r="B832" s="14" t="str">
        <f>IFERROR((VLOOKUP($A832,'[1]import success seats course'!$A:P,HLOOKUP('[1]Course Totals'!B$4,'[1]import success seats course'!$1:$2,2,FALSE),FALSE)/(VLOOKUP($A832,'[1]import graded seats course pivo'!$A:Z,HLOOKUP('[1]Course Totals'!B$4,'[1]import graded seats course pivo'!$1:$2,2,FALSE),FALSE))),"")</f>
        <v/>
      </c>
      <c r="C832" s="14" t="str">
        <f>IFERROR((VLOOKUP($A832,'[1]import success seats course'!$A:Q,HLOOKUP('[1]Course Totals'!C$4,'[1]import success seats course'!$1:$2,2,FALSE),FALSE)/(VLOOKUP($A832,'[1]import graded seats course pivo'!$A:AA,HLOOKUP('[1]Course Totals'!C$4,'[1]import graded seats course pivo'!$1:$2,2,FALSE),FALSE))),"")</f>
        <v/>
      </c>
      <c r="D832" s="14" t="str">
        <f>IFERROR((VLOOKUP($A832,'[1]import success seats course'!$A:R,HLOOKUP('[1]Course Totals'!D$4,'[1]import success seats course'!$1:$2,2,FALSE),FALSE)/(VLOOKUP($A832,'[1]import graded seats course pivo'!$A:AB,HLOOKUP('[1]Course Totals'!D$4,'[1]import graded seats course pivo'!$1:$2,2,FALSE),FALSE))),"")</f>
        <v/>
      </c>
      <c r="E832" s="14" t="str">
        <f>IFERROR((VLOOKUP($A832,'[1]import success seats course'!$A:S,HLOOKUP('[1]Course Totals'!E$4,'[1]import success seats course'!$1:$2,2,FALSE),FALSE)/(VLOOKUP($A832,'[1]import graded seats course pivo'!$A:AC,HLOOKUP('[1]Course Totals'!E$4,'[1]import graded seats course pivo'!$1:$2,2,FALSE),FALSE))),"")</f>
        <v/>
      </c>
      <c r="F832" s="14" t="str">
        <f>IFERROR((VLOOKUP($A832,'[1]import success seats course'!$A:T,HLOOKUP('[1]Course Totals'!F$4,'[1]import success seats course'!$1:$2,2,FALSE),FALSE)/(VLOOKUP($A832,'[1]import graded seats course pivo'!$A:AD,HLOOKUP('[1]Course Totals'!F$4,'[1]import graded seats course pivo'!$1:$2,2,FALSE),FALSE))),"")</f>
        <v/>
      </c>
      <c r="G832" s="14" t="str">
        <f>IFERROR((VLOOKUP($A832,'[1]import success seats course'!$A:U,HLOOKUP('[1]Course Totals'!G$4,'[1]import success seats course'!$1:$2,2,FALSE),FALSE)/(VLOOKUP($A832,'[1]import graded seats course pivo'!$A:AE,HLOOKUP('[1]Course Totals'!G$4,'[1]import graded seats course pivo'!$1:$2,2,FALSE),FALSE))),"")</f>
        <v/>
      </c>
      <c r="H832" s="14" t="str">
        <f>IFERROR((VLOOKUP($A832,'[1]import success seats course'!$A:V,HLOOKUP('[1]Course Totals'!H$4,'[1]import success seats course'!$1:$2,2,FALSE),FALSE)/(VLOOKUP($A832,'[1]import graded seats course pivo'!$A:AF,HLOOKUP('[1]Course Totals'!H$4,'[1]import graded seats course pivo'!$1:$2,2,FALSE),FALSE))),"")</f>
        <v/>
      </c>
      <c r="I832" s="14" t="str">
        <f>IFERROR((VLOOKUP($A832,'[1]import success seats course'!$A:W,HLOOKUP('[1]Course Totals'!I$4,'[1]import success seats course'!$1:$2,2,FALSE),FALSE)/(VLOOKUP($A832,'[1]import graded seats course pivo'!$A:AG,HLOOKUP('[1]Course Totals'!I$4,'[1]import graded seats course pivo'!$1:$2,2,FALSE),FALSE))),"")</f>
        <v/>
      </c>
      <c r="J832" s="14" t="str">
        <f>IFERROR((VLOOKUP($A832,'[1]import success seats course'!$A:X,HLOOKUP('[1]Course Totals'!J$4,'[1]import success seats course'!$1:$2,2,FALSE),FALSE)/(VLOOKUP($A832,'[1]import graded seats course pivo'!$A:AH,HLOOKUP('[1]Course Totals'!J$4,'[1]import graded seats course pivo'!$1:$2,2,FALSE),FALSE))),"")</f>
        <v/>
      </c>
      <c r="K832" s="14" t="str">
        <f>IFERROR((VLOOKUP($A832,'[1]import success seats course'!$A:Y,HLOOKUP('[1]Course Totals'!K$4,'[1]import success seats course'!$1:$2,2,FALSE),FALSE)/(VLOOKUP($A832,'[1]import graded seats course pivo'!$A:AI,HLOOKUP('[1]Course Totals'!K$4,'[1]import graded seats course pivo'!$1:$2,2,FALSE),FALSE))),"")</f>
        <v/>
      </c>
      <c r="L832" s="14" t="str">
        <f>IFERROR((VLOOKUP($A832,'[1]import success seats course'!$A:Z,HLOOKUP('[1]Course Totals'!L$4,'[1]import success seats course'!$1:$2,2,FALSE),FALSE)/(VLOOKUP($A832,'[1]import graded seats course pivo'!$A:AJ,HLOOKUP('[1]Course Totals'!L$4,'[1]import graded seats course pivo'!$1:$2,2,FALSE),FALSE))),"")</f>
        <v/>
      </c>
      <c r="M832" s="14" t="str">
        <f>IFERROR((VLOOKUP($A832,'[1]import success seats course'!$A:AA,HLOOKUP('[1]Course Totals'!M$4,'[1]import success seats course'!$1:$2,2,FALSE),FALSE)/(VLOOKUP($A832,'[1]import graded seats course pivo'!$A:AK,HLOOKUP('[1]Course Totals'!M$4,'[1]import graded seats course pivo'!$1:$2,2,FALSE),FALSE))),"")</f>
        <v/>
      </c>
      <c r="N832" s="14" t="str">
        <f>IFERROR((VLOOKUP($A832,'[1]import success seats course'!$A:AB,HLOOKUP('[1]Course Totals'!N$4,'[1]import success seats course'!$1:$2,2,FALSE),FALSE)/(VLOOKUP($A832,'[1]import graded seats course pivo'!$A:AL,HLOOKUP('[1]Course Totals'!N$4,'[1]import graded seats course pivo'!$1:$2,2,FALSE),FALSE))),"")</f>
        <v/>
      </c>
      <c r="O832" s="14" t="str">
        <f>IFERROR((VLOOKUP($A832,'[1]import success seats course'!$A:AC,HLOOKUP('[1]Course Totals'!O$4,'[1]import success seats course'!$1:$2,2,FALSE),FALSE)/(VLOOKUP($A832,'[1]import graded seats course pivo'!$A:AM,HLOOKUP('[1]Course Totals'!O$4,'[1]import graded seats course pivo'!$1:$2,2,FALSE),FALSE))),"")</f>
        <v/>
      </c>
      <c r="P832" s="14" t="str">
        <f>IFERROR((VLOOKUP($A832,'[1]import success seats course'!$A:AD,HLOOKUP('[1]Course Totals'!P$4,'[1]import success seats course'!$1:$2,2,FALSE),FALSE)/(VLOOKUP($A832,'[1]import graded seats course pivo'!$A:AN,HLOOKUP('[1]Course Totals'!P$4,'[1]import graded seats course pivo'!$1:$2,2,FALSE),FALSE))),"")</f>
        <v/>
      </c>
      <c r="Q832" s="14" t="str">
        <f>IFERROR((VLOOKUP($A832,'[1]import success seats course'!$A:AE,HLOOKUP('[1]Course Totals'!Q$4,'[1]import success seats course'!$1:$2,2,FALSE),FALSE)/(VLOOKUP($A832,'[1]import graded seats course pivo'!$A:AO,HLOOKUP('[1]Course Totals'!Q$4,'[1]import graded seats course pivo'!$1:$2,2,FALSE),FALSE))),"")</f>
        <v/>
      </c>
      <c r="R832" s="14" t="str">
        <f>IFERROR((VLOOKUP($A832,'[1]import success seats course'!$A:AF,HLOOKUP('[1]Course Totals'!R$4,'[1]import success seats course'!$1:$2,2,FALSE),FALSE)/(VLOOKUP($A832,'[1]import graded seats course pivo'!$A:AP,HLOOKUP('[1]Course Totals'!R$4,'[1]import graded seats course pivo'!$1:$2,2,FALSE),FALSE))),"")</f>
        <v/>
      </c>
      <c r="S832" s="14" t="str">
        <f>IFERROR((VLOOKUP($A832,'[1]import success seats course'!$A:AG,HLOOKUP('[1]Course Totals'!S$4,'[1]import success seats course'!$1:$2,2,FALSE),FALSE)/(VLOOKUP($A832,'[1]import graded seats course pivo'!$A:AQ,HLOOKUP('[1]Course Totals'!S$4,'[1]import graded seats course pivo'!$1:$2,2,FALSE),FALSE))),"")</f>
        <v/>
      </c>
      <c r="Z832" s="7"/>
      <c r="AA832" s="7"/>
      <c r="AB832" s="7"/>
      <c r="AC832" s="7"/>
    </row>
    <row r="833" spans="1:29" ht="15.75" hidden="1" customHeight="1" x14ac:dyDescent="0.25">
      <c r="A833" s="12" t="s">
        <v>390</v>
      </c>
      <c r="B833" s="14" t="str">
        <f>IFERROR((VLOOKUP($A833,'[1]import success seats course'!$A:P,HLOOKUP('[1]Course Totals'!B$4,'[1]import success seats course'!$1:$2,2,FALSE),FALSE)/(VLOOKUP($A833,'[1]import graded seats course pivo'!$A:Z,HLOOKUP('[1]Course Totals'!B$4,'[1]import graded seats course pivo'!$1:$2,2,FALSE),FALSE))),"")</f>
        <v/>
      </c>
      <c r="C833" s="14" t="str">
        <f>IFERROR((VLOOKUP($A833,'[1]import success seats course'!$A:Q,HLOOKUP('[1]Course Totals'!C$4,'[1]import success seats course'!$1:$2,2,FALSE),FALSE)/(VLOOKUP($A833,'[1]import graded seats course pivo'!$A:AA,HLOOKUP('[1]Course Totals'!C$4,'[1]import graded seats course pivo'!$1:$2,2,FALSE),FALSE))),"")</f>
        <v/>
      </c>
      <c r="D833" s="14" t="str">
        <f>IFERROR((VLOOKUP($A833,'[1]import success seats course'!$A:R,HLOOKUP('[1]Course Totals'!D$4,'[1]import success seats course'!$1:$2,2,FALSE),FALSE)/(VLOOKUP($A833,'[1]import graded seats course pivo'!$A:AB,HLOOKUP('[1]Course Totals'!D$4,'[1]import graded seats course pivo'!$1:$2,2,FALSE),FALSE))),"")</f>
        <v/>
      </c>
      <c r="E833" s="14" t="str">
        <f>IFERROR((VLOOKUP($A833,'[1]import success seats course'!$A:S,HLOOKUP('[1]Course Totals'!E$4,'[1]import success seats course'!$1:$2,2,FALSE),FALSE)/(VLOOKUP($A833,'[1]import graded seats course pivo'!$A:AC,HLOOKUP('[1]Course Totals'!E$4,'[1]import graded seats course pivo'!$1:$2,2,FALSE),FALSE))),"")</f>
        <v/>
      </c>
      <c r="F833" s="14" t="str">
        <f>IFERROR((VLOOKUP($A833,'[1]import success seats course'!$A:T,HLOOKUP('[1]Course Totals'!F$4,'[1]import success seats course'!$1:$2,2,FALSE),FALSE)/(VLOOKUP($A833,'[1]import graded seats course pivo'!$A:AD,HLOOKUP('[1]Course Totals'!F$4,'[1]import graded seats course pivo'!$1:$2,2,FALSE),FALSE))),"")</f>
        <v/>
      </c>
      <c r="G833" s="14" t="str">
        <f>IFERROR((VLOOKUP($A833,'[1]import success seats course'!$A:U,HLOOKUP('[1]Course Totals'!G$4,'[1]import success seats course'!$1:$2,2,FALSE),FALSE)/(VLOOKUP($A833,'[1]import graded seats course pivo'!$A:AE,HLOOKUP('[1]Course Totals'!G$4,'[1]import graded seats course pivo'!$1:$2,2,FALSE),FALSE))),"")</f>
        <v/>
      </c>
      <c r="H833" s="14" t="str">
        <f>IFERROR((VLOOKUP($A833,'[1]import success seats course'!$A:V,HLOOKUP('[1]Course Totals'!H$4,'[1]import success seats course'!$1:$2,2,FALSE),FALSE)/(VLOOKUP($A833,'[1]import graded seats course pivo'!$A:AF,HLOOKUP('[1]Course Totals'!H$4,'[1]import graded seats course pivo'!$1:$2,2,FALSE),FALSE))),"")</f>
        <v/>
      </c>
      <c r="I833" s="14" t="str">
        <f>IFERROR((VLOOKUP($A833,'[1]import success seats course'!$A:W,HLOOKUP('[1]Course Totals'!I$4,'[1]import success seats course'!$1:$2,2,FALSE),FALSE)/(VLOOKUP($A833,'[1]import graded seats course pivo'!$A:AG,HLOOKUP('[1]Course Totals'!I$4,'[1]import graded seats course pivo'!$1:$2,2,FALSE),FALSE))),"")</f>
        <v/>
      </c>
      <c r="J833" s="14" t="str">
        <f>IFERROR((VLOOKUP($A833,'[1]import success seats course'!$A:X,HLOOKUP('[1]Course Totals'!J$4,'[1]import success seats course'!$1:$2,2,FALSE),FALSE)/(VLOOKUP($A833,'[1]import graded seats course pivo'!$A:AH,HLOOKUP('[1]Course Totals'!J$4,'[1]import graded seats course pivo'!$1:$2,2,FALSE),FALSE))),"")</f>
        <v/>
      </c>
      <c r="K833" s="14" t="str">
        <f>IFERROR((VLOOKUP($A833,'[1]import success seats course'!$A:Y,HLOOKUP('[1]Course Totals'!K$4,'[1]import success seats course'!$1:$2,2,FALSE),FALSE)/(VLOOKUP($A833,'[1]import graded seats course pivo'!$A:AI,HLOOKUP('[1]Course Totals'!K$4,'[1]import graded seats course pivo'!$1:$2,2,FALSE),FALSE))),"")</f>
        <v/>
      </c>
      <c r="L833" s="14" t="str">
        <f>IFERROR((VLOOKUP($A833,'[1]import success seats course'!$A:Z,HLOOKUP('[1]Course Totals'!L$4,'[1]import success seats course'!$1:$2,2,FALSE),FALSE)/(VLOOKUP($A833,'[1]import graded seats course pivo'!$A:AJ,HLOOKUP('[1]Course Totals'!L$4,'[1]import graded seats course pivo'!$1:$2,2,FALSE),FALSE))),"")</f>
        <v/>
      </c>
      <c r="M833" s="14" t="str">
        <f>IFERROR((VLOOKUP($A833,'[1]import success seats course'!$A:AA,HLOOKUP('[1]Course Totals'!M$4,'[1]import success seats course'!$1:$2,2,FALSE),FALSE)/(VLOOKUP($A833,'[1]import graded seats course pivo'!$A:AK,HLOOKUP('[1]Course Totals'!M$4,'[1]import graded seats course pivo'!$1:$2,2,FALSE),FALSE))),"")</f>
        <v/>
      </c>
      <c r="N833" s="14" t="str">
        <f>IFERROR((VLOOKUP($A833,'[1]import success seats course'!$A:AB,HLOOKUP('[1]Course Totals'!N$4,'[1]import success seats course'!$1:$2,2,FALSE),FALSE)/(VLOOKUP($A833,'[1]import graded seats course pivo'!$A:AL,HLOOKUP('[1]Course Totals'!N$4,'[1]import graded seats course pivo'!$1:$2,2,FALSE),FALSE))),"")</f>
        <v/>
      </c>
      <c r="O833" s="14" t="str">
        <f>IFERROR((VLOOKUP($A833,'[1]import success seats course'!$A:AC,HLOOKUP('[1]Course Totals'!O$4,'[1]import success seats course'!$1:$2,2,FALSE),FALSE)/(VLOOKUP($A833,'[1]import graded seats course pivo'!$A:AM,HLOOKUP('[1]Course Totals'!O$4,'[1]import graded seats course pivo'!$1:$2,2,FALSE),FALSE))),"")</f>
        <v/>
      </c>
      <c r="P833" s="14" t="str">
        <f>IFERROR((VLOOKUP($A833,'[1]import success seats course'!$A:AD,HLOOKUP('[1]Course Totals'!P$4,'[1]import success seats course'!$1:$2,2,FALSE),FALSE)/(VLOOKUP($A833,'[1]import graded seats course pivo'!$A:AN,HLOOKUP('[1]Course Totals'!P$4,'[1]import graded seats course pivo'!$1:$2,2,FALSE),FALSE))),"")</f>
        <v/>
      </c>
      <c r="Q833" s="14" t="str">
        <f>IFERROR((VLOOKUP($A833,'[1]import success seats course'!$A:AE,HLOOKUP('[1]Course Totals'!Q$4,'[1]import success seats course'!$1:$2,2,FALSE),FALSE)/(VLOOKUP($A833,'[1]import graded seats course pivo'!$A:AO,HLOOKUP('[1]Course Totals'!Q$4,'[1]import graded seats course pivo'!$1:$2,2,FALSE),FALSE))),"")</f>
        <v/>
      </c>
      <c r="R833" s="14" t="str">
        <f>IFERROR((VLOOKUP($A833,'[1]import success seats course'!$A:AF,HLOOKUP('[1]Course Totals'!R$4,'[1]import success seats course'!$1:$2,2,FALSE),FALSE)/(VLOOKUP($A833,'[1]import graded seats course pivo'!$A:AP,HLOOKUP('[1]Course Totals'!R$4,'[1]import graded seats course pivo'!$1:$2,2,FALSE),FALSE))),"")</f>
        <v/>
      </c>
      <c r="S833" s="14" t="str">
        <f>IFERROR((VLOOKUP($A833,'[1]import success seats course'!$A:AG,HLOOKUP('[1]Course Totals'!S$4,'[1]import success seats course'!$1:$2,2,FALSE),FALSE)/(VLOOKUP($A833,'[1]import graded seats course pivo'!$A:AQ,HLOOKUP('[1]Course Totals'!S$4,'[1]import graded seats course pivo'!$1:$2,2,FALSE),FALSE))),"")</f>
        <v/>
      </c>
      <c r="Z833" s="7"/>
      <c r="AA833" s="7"/>
      <c r="AB833" s="7"/>
      <c r="AC833" s="7"/>
    </row>
    <row r="834" spans="1:29" ht="15.75" customHeight="1" x14ac:dyDescent="0.25">
      <c r="A834" s="12" t="s">
        <v>391</v>
      </c>
      <c r="B834" s="14" t="str">
        <f>IFERROR((VLOOKUP($A834,'[1]import success seats course'!$A:P,HLOOKUP('[1]Course Totals'!B$4,'[1]import success seats course'!$1:$2,2,FALSE),FALSE)/(VLOOKUP($A834,'[1]import graded seats course pivo'!$A:Z,HLOOKUP('[1]Course Totals'!B$4,'[1]import graded seats course pivo'!$1:$2,2,FALSE),FALSE))),"")</f>
        <v/>
      </c>
      <c r="C834" s="14">
        <f>IFERROR((VLOOKUP($A834,'[1]import success seats course'!$A:Q,HLOOKUP('[1]Course Totals'!C$4,'[1]import success seats course'!$1:$2,2,FALSE),FALSE)/(VLOOKUP($A834,'[1]import graded seats course pivo'!$A:AA,HLOOKUP('[1]Course Totals'!C$4,'[1]import graded seats course pivo'!$1:$2,2,FALSE),FALSE))),"")</f>
        <v>0.83333333333333337</v>
      </c>
      <c r="D834" s="14">
        <f>IFERROR((VLOOKUP($A834,'[1]import success seats course'!$A:R,HLOOKUP('[1]Course Totals'!D$4,'[1]import success seats course'!$1:$2,2,FALSE),FALSE)/(VLOOKUP($A834,'[1]import graded seats course pivo'!$A:AB,HLOOKUP('[1]Course Totals'!D$4,'[1]import graded seats course pivo'!$1:$2,2,FALSE),FALSE))),"")</f>
        <v>0.75</v>
      </c>
      <c r="E834" s="14" t="str">
        <f>IFERROR((VLOOKUP($A834,'[1]import success seats course'!$A:S,HLOOKUP('[1]Course Totals'!E$4,'[1]import success seats course'!$1:$2,2,FALSE),FALSE)/(VLOOKUP($A834,'[1]import graded seats course pivo'!$A:AC,HLOOKUP('[1]Course Totals'!E$4,'[1]import graded seats course pivo'!$1:$2,2,FALSE),FALSE))),"")</f>
        <v/>
      </c>
      <c r="F834" s="14">
        <f>IFERROR((VLOOKUP($A834,'[1]import success seats course'!$A:T,HLOOKUP('[1]Course Totals'!F$4,'[1]import success seats course'!$1:$2,2,FALSE),FALSE)/(VLOOKUP($A834,'[1]import graded seats course pivo'!$A:AD,HLOOKUP('[1]Course Totals'!F$4,'[1]import graded seats course pivo'!$1:$2,2,FALSE),FALSE))),"")</f>
        <v>1</v>
      </c>
      <c r="G834" s="14">
        <f>IFERROR((VLOOKUP($A834,'[1]import success seats course'!$A:U,HLOOKUP('[1]Course Totals'!G$4,'[1]import success seats course'!$1:$2,2,FALSE),FALSE)/(VLOOKUP($A834,'[1]import graded seats course pivo'!$A:AE,HLOOKUP('[1]Course Totals'!G$4,'[1]import graded seats course pivo'!$1:$2,2,FALSE),FALSE))),"")</f>
        <v>1</v>
      </c>
      <c r="H834" s="14" t="str">
        <f>IFERROR((VLOOKUP($A834,'[1]import success seats course'!$A:V,HLOOKUP('[1]Course Totals'!H$4,'[1]import success seats course'!$1:$2,2,FALSE),FALSE)/(VLOOKUP($A834,'[1]import graded seats course pivo'!$A:AF,HLOOKUP('[1]Course Totals'!H$4,'[1]import graded seats course pivo'!$1:$2,2,FALSE),FALSE))),"")</f>
        <v/>
      </c>
      <c r="I834" s="14">
        <f>IFERROR((VLOOKUP($A834,'[1]import success seats course'!$A:W,HLOOKUP('[1]Course Totals'!I$4,'[1]import success seats course'!$1:$2,2,FALSE),FALSE)/(VLOOKUP($A834,'[1]import graded seats course pivo'!$A:AG,HLOOKUP('[1]Course Totals'!I$4,'[1]import graded seats course pivo'!$1:$2,2,FALSE),FALSE))),"")</f>
        <v>1</v>
      </c>
      <c r="J834" s="14">
        <f>IFERROR((VLOOKUP($A834,'[1]import success seats course'!$A:X,HLOOKUP('[1]Course Totals'!J$4,'[1]import success seats course'!$1:$2,2,FALSE),FALSE)/(VLOOKUP($A834,'[1]import graded seats course pivo'!$A:AH,HLOOKUP('[1]Course Totals'!J$4,'[1]import graded seats course pivo'!$1:$2,2,FALSE),FALSE))),"")</f>
        <v>1</v>
      </c>
      <c r="K834" s="14" t="str">
        <f>IFERROR((VLOOKUP($A834,'[1]import success seats course'!$A:Y,HLOOKUP('[1]Course Totals'!K$4,'[1]import success seats course'!$1:$2,2,FALSE),FALSE)/(VLOOKUP($A834,'[1]import graded seats course pivo'!$A:AI,HLOOKUP('[1]Course Totals'!K$4,'[1]import graded seats course pivo'!$1:$2,2,FALSE),FALSE))),"")</f>
        <v/>
      </c>
      <c r="L834" s="14">
        <f>IFERROR((VLOOKUP($A834,'[1]import success seats course'!$A:Z,HLOOKUP('[1]Course Totals'!L$4,'[1]import success seats course'!$1:$2,2,FALSE),FALSE)/(VLOOKUP($A834,'[1]import graded seats course pivo'!$A:AJ,HLOOKUP('[1]Course Totals'!L$4,'[1]import graded seats course pivo'!$1:$2,2,FALSE),FALSE))),"")</f>
        <v>0.5714285714285714</v>
      </c>
      <c r="M834" s="14">
        <f>IFERROR((VLOOKUP($A834,'[1]import success seats course'!$A:AA,HLOOKUP('[1]Course Totals'!M$4,'[1]import success seats course'!$1:$2,2,FALSE),FALSE)/(VLOOKUP($A834,'[1]import graded seats course pivo'!$A:AK,HLOOKUP('[1]Course Totals'!M$4,'[1]import graded seats course pivo'!$1:$2,2,FALSE),FALSE))),"")</f>
        <v>1</v>
      </c>
      <c r="N834" s="14" t="str">
        <f>IFERROR((VLOOKUP($A834,'[1]import success seats course'!$A:AB,HLOOKUP('[1]Course Totals'!N$4,'[1]import success seats course'!$1:$2,2,FALSE),FALSE)/(VLOOKUP($A834,'[1]import graded seats course pivo'!$A:AL,HLOOKUP('[1]Course Totals'!N$4,'[1]import graded seats course pivo'!$1:$2,2,FALSE),FALSE))),"")</f>
        <v/>
      </c>
      <c r="O834" s="14">
        <f>IFERROR((VLOOKUP($A834,'[1]import success seats course'!$A:AC,HLOOKUP('[1]Course Totals'!O$4,'[1]import success seats course'!$1:$2,2,FALSE),FALSE)/(VLOOKUP($A834,'[1]import graded seats course pivo'!$A:AM,HLOOKUP('[1]Course Totals'!O$4,'[1]import graded seats course pivo'!$1:$2,2,FALSE),FALSE))),"")</f>
        <v>0.76923076923076927</v>
      </c>
      <c r="P834" s="14">
        <f>IFERROR((VLOOKUP($A834,'[1]import success seats course'!$A:AD,HLOOKUP('[1]Course Totals'!P$4,'[1]import success seats course'!$1:$2,2,FALSE),FALSE)/(VLOOKUP($A834,'[1]import graded seats course pivo'!$A:AN,HLOOKUP('[1]Course Totals'!P$4,'[1]import graded seats course pivo'!$1:$2,2,FALSE),FALSE))),"")</f>
        <v>1</v>
      </c>
      <c r="Q834" s="14" t="str">
        <f>IFERROR((VLOOKUP($A834,'[1]import success seats course'!$A:AE,HLOOKUP('[1]Course Totals'!Q$4,'[1]import success seats course'!$1:$2,2,FALSE),FALSE)/(VLOOKUP($A834,'[1]import graded seats course pivo'!$A:AO,HLOOKUP('[1]Course Totals'!Q$4,'[1]import graded seats course pivo'!$1:$2,2,FALSE),FALSE))),"")</f>
        <v/>
      </c>
      <c r="R834" s="14">
        <f>IFERROR((VLOOKUP($A834,'[1]import success seats course'!$A:AF,HLOOKUP('[1]Course Totals'!R$4,'[1]import success seats course'!$1:$2,2,FALSE),FALSE)/(VLOOKUP($A834,'[1]import graded seats course pivo'!$A:AP,HLOOKUP('[1]Course Totals'!R$4,'[1]import graded seats course pivo'!$1:$2,2,FALSE),FALSE))),"")</f>
        <v>0.875</v>
      </c>
      <c r="S834" s="14">
        <f>IFERROR((VLOOKUP($A834,'[1]import success seats course'!$A:AG,HLOOKUP('[1]Course Totals'!S$4,'[1]import success seats course'!$1:$2,2,FALSE),FALSE)/(VLOOKUP($A834,'[1]import graded seats course pivo'!$A:AQ,HLOOKUP('[1]Course Totals'!S$4,'[1]import graded seats course pivo'!$1:$2,2,FALSE),FALSE))),"")</f>
        <v>0.92307692307692313</v>
      </c>
      <c r="Z834" s="7"/>
      <c r="AA834" s="7"/>
      <c r="AB834" s="7"/>
      <c r="AC834" s="7"/>
    </row>
    <row r="835" spans="1:29" ht="15.75" customHeight="1" x14ac:dyDescent="0.25">
      <c r="A835" s="12" t="s">
        <v>995</v>
      </c>
      <c r="B835" s="14" t="str">
        <f>IFERROR((VLOOKUP($A835,'[1]import success seats course'!$A:P,HLOOKUP('[1]Course Totals'!B$4,'[1]import success seats course'!$1:$2,2,FALSE),FALSE)/(VLOOKUP($A835,'[1]import graded seats course pivo'!$A:Z,HLOOKUP('[1]Course Totals'!B$4,'[1]import graded seats course pivo'!$1:$2,2,FALSE),FALSE))),"")</f>
        <v/>
      </c>
      <c r="C835" s="14" t="str">
        <f>IFERROR((VLOOKUP($A835,'[1]import success seats course'!$A:Q,HLOOKUP('[1]Course Totals'!C$4,'[1]import success seats course'!$1:$2,2,FALSE),FALSE)/(VLOOKUP($A835,'[1]import graded seats course pivo'!$A:AA,HLOOKUP('[1]Course Totals'!C$4,'[1]import graded seats course pivo'!$1:$2,2,FALSE),FALSE))),"")</f>
        <v/>
      </c>
      <c r="D835" s="14" t="str">
        <f>IFERROR((VLOOKUP($A835,'[1]import success seats course'!$A:R,HLOOKUP('[1]Course Totals'!D$4,'[1]import success seats course'!$1:$2,2,FALSE),FALSE)/(VLOOKUP($A835,'[1]import graded seats course pivo'!$A:AB,HLOOKUP('[1]Course Totals'!D$4,'[1]import graded seats course pivo'!$1:$2,2,FALSE),FALSE))),"")</f>
        <v/>
      </c>
      <c r="E835" s="14" t="str">
        <f>IFERROR((VLOOKUP($A835,'[1]import success seats course'!$A:S,HLOOKUP('[1]Course Totals'!E$4,'[1]import success seats course'!$1:$2,2,FALSE),FALSE)/(VLOOKUP($A835,'[1]import graded seats course pivo'!$A:AC,HLOOKUP('[1]Course Totals'!E$4,'[1]import graded seats course pivo'!$1:$2,2,FALSE),FALSE))),"")</f>
        <v/>
      </c>
      <c r="F835" s="14" t="str">
        <f>IFERROR((VLOOKUP($A835,'[1]import success seats course'!$A:T,HLOOKUP('[1]Course Totals'!F$4,'[1]import success seats course'!$1:$2,2,FALSE),FALSE)/(VLOOKUP($A835,'[1]import graded seats course pivo'!$A:AD,HLOOKUP('[1]Course Totals'!F$4,'[1]import graded seats course pivo'!$1:$2,2,FALSE),FALSE))),"")</f>
        <v/>
      </c>
      <c r="G835" s="14">
        <f>IFERROR((VLOOKUP($A835,'[1]import success seats course'!$A:U,HLOOKUP('[1]Course Totals'!G$4,'[1]import success seats course'!$1:$2,2,FALSE),FALSE)/(VLOOKUP($A835,'[1]import graded seats course pivo'!$A:AE,HLOOKUP('[1]Course Totals'!G$4,'[1]import graded seats course pivo'!$1:$2,2,FALSE),FALSE))),"")</f>
        <v>1</v>
      </c>
      <c r="H835" s="14" t="str">
        <f>IFERROR((VLOOKUP($A835,'[1]import success seats course'!$A:V,HLOOKUP('[1]Course Totals'!H$4,'[1]import success seats course'!$1:$2,2,FALSE),FALSE)/(VLOOKUP($A835,'[1]import graded seats course pivo'!$A:AF,HLOOKUP('[1]Course Totals'!H$4,'[1]import graded seats course pivo'!$1:$2,2,FALSE),FALSE))),"")</f>
        <v/>
      </c>
      <c r="I835" s="14" t="str">
        <f>IFERROR((VLOOKUP($A835,'[1]import success seats course'!$A:W,HLOOKUP('[1]Course Totals'!I$4,'[1]import success seats course'!$1:$2,2,FALSE),FALSE)/(VLOOKUP($A835,'[1]import graded seats course pivo'!$A:AG,HLOOKUP('[1]Course Totals'!I$4,'[1]import graded seats course pivo'!$1:$2,2,FALSE),FALSE))),"")</f>
        <v/>
      </c>
      <c r="J835" s="14" t="str">
        <f>IFERROR((VLOOKUP($A835,'[1]import success seats course'!$A:X,HLOOKUP('[1]Course Totals'!J$4,'[1]import success seats course'!$1:$2,2,FALSE),FALSE)/(VLOOKUP($A835,'[1]import graded seats course pivo'!$A:AH,HLOOKUP('[1]Course Totals'!J$4,'[1]import graded seats course pivo'!$1:$2,2,FALSE),FALSE))),"")</f>
        <v/>
      </c>
      <c r="K835" s="14" t="str">
        <f>IFERROR((VLOOKUP($A835,'[1]import success seats course'!$A:Y,HLOOKUP('[1]Course Totals'!K$4,'[1]import success seats course'!$1:$2,2,FALSE),FALSE)/(VLOOKUP($A835,'[1]import graded seats course pivo'!$A:AI,HLOOKUP('[1]Course Totals'!K$4,'[1]import graded seats course pivo'!$1:$2,2,FALSE),FALSE))),"")</f>
        <v/>
      </c>
      <c r="L835" s="14" t="str">
        <f>IFERROR((VLOOKUP($A835,'[1]import success seats course'!$A:Z,HLOOKUP('[1]Course Totals'!L$4,'[1]import success seats course'!$1:$2,2,FALSE),FALSE)/(VLOOKUP($A835,'[1]import graded seats course pivo'!$A:AJ,HLOOKUP('[1]Course Totals'!L$4,'[1]import graded seats course pivo'!$1:$2,2,FALSE),FALSE))),"")</f>
        <v/>
      </c>
      <c r="M835" s="14" t="str">
        <f>IFERROR((VLOOKUP($A835,'[1]import success seats course'!$A:AA,HLOOKUP('[1]Course Totals'!M$4,'[1]import success seats course'!$1:$2,2,FALSE),FALSE)/(VLOOKUP($A835,'[1]import graded seats course pivo'!$A:AK,HLOOKUP('[1]Course Totals'!M$4,'[1]import graded seats course pivo'!$1:$2,2,FALSE),FALSE))),"")</f>
        <v/>
      </c>
      <c r="N835" s="14" t="str">
        <f>IFERROR((VLOOKUP($A835,'[1]import success seats course'!$A:AB,HLOOKUP('[1]Course Totals'!N$4,'[1]import success seats course'!$1:$2,2,FALSE),FALSE)/(VLOOKUP($A835,'[1]import graded seats course pivo'!$A:AL,HLOOKUP('[1]Course Totals'!N$4,'[1]import graded seats course pivo'!$1:$2,2,FALSE),FALSE))),"")</f>
        <v/>
      </c>
      <c r="O835" s="14" t="str">
        <f>IFERROR((VLOOKUP($A835,'[1]import success seats course'!$A:AC,HLOOKUP('[1]Course Totals'!O$4,'[1]import success seats course'!$1:$2,2,FALSE),FALSE)/(VLOOKUP($A835,'[1]import graded seats course pivo'!$A:AM,HLOOKUP('[1]Course Totals'!O$4,'[1]import graded seats course pivo'!$1:$2,2,FALSE),FALSE))),"")</f>
        <v/>
      </c>
      <c r="P835" s="14" t="str">
        <f>IFERROR((VLOOKUP($A835,'[1]import success seats course'!$A:AD,HLOOKUP('[1]Course Totals'!P$4,'[1]import success seats course'!$1:$2,2,FALSE),FALSE)/(VLOOKUP($A835,'[1]import graded seats course pivo'!$A:AN,HLOOKUP('[1]Course Totals'!P$4,'[1]import graded seats course pivo'!$1:$2,2,FALSE),FALSE))),"")</f>
        <v/>
      </c>
      <c r="Q835" s="14" t="str">
        <f>IFERROR((VLOOKUP($A835,'[1]import success seats course'!$A:AE,HLOOKUP('[1]Course Totals'!Q$4,'[1]import success seats course'!$1:$2,2,FALSE),FALSE)/(VLOOKUP($A835,'[1]import graded seats course pivo'!$A:AO,HLOOKUP('[1]Course Totals'!Q$4,'[1]import graded seats course pivo'!$1:$2,2,FALSE),FALSE))),"")</f>
        <v/>
      </c>
      <c r="R835" s="14" t="str">
        <f>IFERROR((VLOOKUP($A835,'[1]import success seats course'!$A:AF,HLOOKUP('[1]Course Totals'!R$4,'[1]import success seats course'!$1:$2,2,FALSE),FALSE)/(VLOOKUP($A835,'[1]import graded seats course pivo'!$A:AP,HLOOKUP('[1]Course Totals'!R$4,'[1]import graded seats course pivo'!$1:$2,2,FALSE),FALSE))),"")</f>
        <v/>
      </c>
      <c r="S835" s="14" t="str">
        <f>IFERROR((VLOOKUP($A835,'[1]import success seats course'!$A:AG,HLOOKUP('[1]Course Totals'!S$4,'[1]import success seats course'!$1:$2,2,FALSE),FALSE)/(VLOOKUP($A835,'[1]import graded seats course pivo'!$A:AQ,HLOOKUP('[1]Course Totals'!S$4,'[1]import graded seats course pivo'!$1:$2,2,FALSE),FALSE))),"")</f>
        <v/>
      </c>
      <c r="Z835" s="7"/>
      <c r="AA835" s="7"/>
      <c r="AB835" s="7"/>
      <c r="AC835" s="7"/>
    </row>
    <row r="836" spans="1:29" ht="15.75" customHeight="1" x14ac:dyDescent="0.25">
      <c r="A836" s="12" t="s">
        <v>392</v>
      </c>
      <c r="B836" s="14" t="str">
        <f>IFERROR((VLOOKUP($A836,'[1]import success seats course'!$A:P,HLOOKUP('[1]Course Totals'!B$4,'[1]import success seats course'!$1:$2,2,FALSE),FALSE)/(VLOOKUP($A836,'[1]import graded seats course pivo'!$A:Z,HLOOKUP('[1]Course Totals'!B$4,'[1]import graded seats course pivo'!$1:$2,2,FALSE),FALSE))),"")</f>
        <v/>
      </c>
      <c r="C836" s="14">
        <f>IFERROR((VLOOKUP($A836,'[1]import success seats course'!$A:Q,HLOOKUP('[1]Course Totals'!C$4,'[1]import success seats course'!$1:$2,2,FALSE),FALSE)/(VLOOKUP($A836,'[1]import graded seats course pivo'!$A:AA,HLOOKUP('[1]Course Totals'!C$4,'[1]import graded seats course pivo'!$1:$2,2,FALSE),FALSE))),"")</f>
        <v>0.83333333333333337</v>
      </c>
      <c r="D836" s="14">
        <f>IFERROR((VLOOKUP($A836,'[1]import success seats course'!$A:R,HLOOKUP('[1]Course Totals'!D$4,'[1]import success seats course'!$1:$2,2,FALSE),FALSE)/(VLOOKUP($A836,'[1]import graded seats course pivo'!$A:AB,HLOOKUP('[1]Course Totals'!D$4,'[1]import graded seats course pivo'!$1:$2,2,FALSE),FALSE))),"")</f>
        <v>0.44444444444444442</v>
      </c>
      <c r="E836" s="14" t="str">
        <f>IFERROR((VLOOKUP($A836,'[1]import success seats course'!$A:S,HLOOKUP('[1]Course Totals'!E$4,'[1]import success seats course'!$1:$2,2,FALSE),FALSE)/(VLOOKUP($A836,'[1]import graded seats course pivo'!$A:AC,HLOOKUP('[1]Course Totals'!E$4,'[1]import graded seats course pivo'!$1:$2,2,FALSE),FALSE))),"")</f>
        <v/>
      </c>
      <c r="F836" s="14">
        <f>IFERROR((VLOOKUP($A836,'[1]import success seats course'!$A:T,HLOOKUP('[1]Course Totals'!F$4,'[1]import success seats course'!$1:$2,2,FALSE),FALSE)/(VLOOKUP($A836,'[1]import graded seats course pivo'!$A:AD,HLOOKUP('[1]Course Totals'!F$4,'[1]import graded seats course pivo'!$1:$2,2,FALSE),FALSE))),"")</f>
        <v>0.5625</v>
      </c>
      <c r="G836" s="14">
        <f>IFERROR((VLOOKUP($A836,'[1]import success seats course'!$A:U,HLOOKUP('[1]Course Totals'!G$4,'[1]import success seats course'!$1:$2,2,FALSE),FALSE)/(VLOOKUP($A836,'[1]import graded seats course pivo'!$A:AE,HLOOKUP('[1]Course Totals'!G$4,'[1]import graded seats course pivo'!$1:$2,2,FALSE),FALSE))),"")</f>
        <v>1</v>
      </c>
      <c r="H836" s="14" t="str">
        <f>IFERROR((VLOOKUP($A836,'[1]import success seats course'!$A:V,HLOOKUP('[1]Course Totals'!H$4,'[1]import success seats course'!$1:$2,2,FALSE),FALSE)/(VLOOKUP($A836,'[1]import graded seats course pivo'!$A:AF,HLOOKUP('[1]Course Totals'!H$4,'[1]import graded seats course pivo'!$1:$2,2,FALSE),FALSE))),"")</f>
        <v/>
      </c>
      <c r="I836" s="14">
        <f>IFERROR((VLOOKUP($A836,'[1]import success seats course'!$A:W,HLOOKUP('[1]Course Totals'!I$4,'[1]import success seats course'!$1:$2,2,FALSE),FALSE)/(VLOOKUP($A836,'[1]import graded seats course pivo'!$A:AG,HLOOKUP('[1]Course Totals'!I$4,'[1]import graded seats course pivo'!$1:$2,2,FALSE),FALSE))),"")</f>
        <v>0.6428571428571429</v>
      </c>
      <c r="J836" s="14">
        <f>IFERROR((VLOOKUP($A836,'[1]import success seats course'!$A:X,HLOOKUP('[1]Course Totals'!J$4,'[1]import success seats course'!$1:$2,2,FALSE),FALSE)/(VLOOKUP($A836,'[1]import graded seats course pivo'!$A:AH,HLOOKUP('[1]Course Totals'!J$4,'[1]import graded seats course pivo'!$1:$2,2,FALSE),FALSE))),"")</f>
        <v>0.52631578947368418</v>
      </c>
      <c r="K836" s="14" t="str">
        <f>IFERROR((VLOOKUP($A836,'[1]import success seats course'!$A:Y,HLOOKUP('[1]Course Totals'!K$4,'[1]import success seats course'!$1:$2,2,FALSE),FALSE)/(VLOOKUP($A836,'[1]import graded seats course pivo'!$A:AI,HLOOKUP('[1]Course Totals'!K$4,'[1]import graded seats course pivo'!$1:$2,2,FALSE),FALSE))),"")</f>
        <v/>
      </c>
      <c r="L836" s="14">
        <f>IFERROR((VLOOKUP($A836,'[1]import success seats course'!$A:Z,HLOOKUP('[1]Course Totals'!L$4,'[1]import success seats course'!$1:$2,2,FALSE),FALSE)/(VLOOKUP($A836,'[1]import graded seats course pivo'!$A:AJ,HLOOKUP('[1]Course Totals'!L$4,'[1]import graded seats course pivo'!$1:$2,2,FALSE),FALSE))),"")</f>
        <v>0.8666666666666667</v>
      </c>
      <c r="M836" s="14">
        <f>IFERROR((VLOOKUP($A836,'[1]import success seats course'!$A:AA,HLOOKUP('[1]Course Totals'!M$4,'[1]import success seats course'!$1:$2,2,FALSE),FALSE)/(VLOOKUP($A836,'[1]import graded seats course pivo'!$A:AK,HLOOKUP('[1]Course Totals'!M$4,'[1]import graded seats course pivo'!$1:$2,2,FALSE),FALSE))),"")</f>
        <v>0.5</v>
      </c>
      <c r="N836" s="14" t="str">
        <f>IFERROR((VLOOKUP($A836,'[1]import success seats course'!$A:AB,HLOOKUP('[1]Course Totals'!N$4,'[1]import success seats course'!$1:$2,2,FALSE),FALSE)/(VLOOKUP($A836,'[1]import graded seats course pivo'!$A:AL,HLOOKUP('[1]Course Totals'!N$4,'[1]import graded seats course pivo'!$1:$2,2,FALSE),FALSE))),"")</f>
        <v/>
      </c>
      <c r="O836" s="14">
        <f>IFERROR((VLOOKUP($A836,'[1]import success seats course'!$A:AC,HLOOKUP('[1]Course Totals'!O$4,'[1]import success seats course'!$1:$2,2,FALSE),FALSE)/(VLOOKUP($A836,'[1]import graded seats course pivo'!$A:AM,HLOOKUP('[1]Course Totals'!O$4,'[1]import graded seats course pivo'!$1:$2,2,FALSE),FALSE))),"")</f>
        <v>0.84615384615384615</v>
      </c>
      <c r="P836" s="14">
        <f>IFERROR((VLOOKUP($A836,'[1]import success seats course'!$A:AD,HLOOKUP('[1]Course Totals'!P$4,'[1]import success seats course'!$1:$2,2,FALSE),FALSE)/(VLOOKUP($A836,'[1]import graded seats course pivo'!$A:AN,HLOOKUP('[1]Course Totals'!P$4,'[1]import graded seats course pivo'!$1:$2,2,FALSE),FALSE))),"")</f>
        <v>0.625</v>
      </c>
      <c r="Q836" s="14" t="str">
        <f>IFERROR((VLOOKUP($A836,'[1]import success seats course'!$A:AE,HLOOKUP('[1]Course Totals'!Q$4,'[1]import success seats course'!$1:$2,2,FALSE),FALSE)/(VLOOKUP($A836,'[1]import graded seats course pivo'!$A:AO,HLOOKUP('[1]Course Totals'!Q$4,'[1]import graded seats course pivo'!$1:$2,2,FALSE),FALSE))),"")</f>
        <v/>
      </c>
      <c r="R836" s="14">
        <f>IFERROR((VLOOKUP($A836,'[1]import success seats course'!$A:AF,HLOOKUP('[1]Course Totals'!R$4,'[1]import success seats course'!$1:$2,2,FALSE),FALSE)/(VLOOKUP($A836,'[1]import graded seats course pivo'!$A:AP,HLOOKUP('[1]Course Totals'!R$4,'[1]import graded seats course pivo'!$1:$2,2,FALSE),FALSE))),"")</f>
        <v>0.7142857142857143</v>
      </c>
      <c r="S836" s="14">
        <f>IFERROR((VLOOKUP($A836,'[1]import success seats course'!$A:AG,HLOOKUP('[1]Course Totals'!S$4,'[1]import success seats course'!$1:$2,2,FALSE),FALSE)/(VLOOKUP($A836,'[1]import graded seats course pivo'!$A:AQ,HLOOKUP('[1]Course Totals'!S$4,'[1]import graded seats course pivo'!$1:$2,2,FALSE),FALSE))),"")</f>
        <v>1</v>
      </c>
      <c r="Z836" s="7"/>
      <c r="AA836" s="7"/>
      <c r="AB836" s="7"/>
      <c r="AC836" s="7"/>
    </row>
    <row r="837" spans="1:29" ht="15.75" customHeight="1" x14ac:dyDescent="0.25">
      <c r="A837" s="12" t="s">
        <v>801</v>
      </c>
      <c r="B837" s="14" t="str">
        <f>IFERROR((VLOOKUP($A837,'[1]import success seats course'!$A:P,HLOOKUP('[1]Course Totals'!B$4,'[1]import success seats course'!$1:$2,2,FALSE),FALSE)/(VLOOKUP($A837,'[1]import graded seats course pivo'!$A:Z,HLOOKUP('[1]Course Totals'!B$4,'[1]import graded seats course pivo'!$1:$2,2,FALSE),FALSE))),"")</f>
        <v/>
      </c>
      <c r="C837" s="14" t="str">
        <f>IFERROR((VLOOKUP($A837,'[1]import success seats course'!$A:Q,HLOOKUP('[1]Course Totals'!C$4,'[1]import success seats course'!$1:$2,2,FALSE),FALSE)/(VLOOKUP($A837,'[1]import graded seats course pivo'!$A:AA,HLOOKUP('[1]Course Totals'!C$4,'[1]import graded seats course pivo'!$1:$2,2,FALSE),FALSE))),"")</f>
        <v/>
      </c>
      <c r="D837" s="14">
        <f>IFERROR((VLOOKUP($A837,'[1]import success seats course'!$A:R,HLOOKUP('[1]Course Totals'!D$4,'[1]import success seats course'!$1:$2,2,FALSE),FALSE)/(VLOOKUP($A837,'[1]import graded seats course pivo'!$A:AB,HLOOKUP('[1]Course Totals'!D$4,'[1]import graded seats course pivo'!$1:$2,2,FALSE),FALSE))),"")</f>
        <v>1</v>
      </c>
      <c r="E837" s="14" t="str">
        <f>IFERROR((VLOOKUP($A837,'[1]import success seats course'!$A:S,HLOOKUP('[1]Course Totals'!E$4,'[1]import success seats course'!$1:$2,2,FALSE),FALSE)/(VLOOKUP($A837,'[1]import graded seats course pivo'!$A:AC,HLOOKUP('[1]Course Totals'!E$4,'[1]import graded seats course pivo'!$1:$2,2,FALSE),FALSE))),"")</f>
        <v/>
      </c>
      <c r="F837" s="14" t="str">
        <f>IFERROR((VLOOKUP($A837,'[1]import success seats course'!$A:T,HLOOKUP('[1]Course Totals'!F$4,'[1]import success seats course'!$1:$2,2,FALSE),FALSE)/(VLOOKUP($A837,'[1]import graded seats course pivo'!$A:AD,HLOOKUP('[1]Course Totals'!F$4,'[1]import graded seats course pivo'!$1:$2,2,FALSE),FALSE))),"")</f>
        <v/>
      </c>
      <c r="G837" s="14">
        <f>IFERROR((VLOOKUP($A837,'[1]import success seats course'!$A:U,HLOOKUP('[1]Course Totals'!G$4,'[1]import success seats course'!$1:$2,2,FALSE),FALSE)/(VLOOKUP($A837,'[1]import graded seats course pivo'!$A:AE,HLOOKUP('[1]Course Totals'!G$4,'[1]import graded seats course pivo'!$1:$2,2,FALSE),FALSE))),"")</f>
        <v>1</v>
      </c>
      <c r="H837" s="14" t="str">
        <f>IFERROR((VLOOKUP($A837,'[1]import success seats course'!$A:V,HLOOKUP('[1]Course Totals'!H$4,'[1]import success seats course'!$1:$2,2,FALSE),FALSE)/(VLOOKUP($A837,'[1]import graded seats course pivo'!$A:AF,HLOOKUP('[1]Course Totals'!H$4,'[1]import graded seats course pivo'!$1:$2,2,FALSE),FALSE))),"")</f>
        <v/>
      </c>
      <c r="I837" s="14" t="str">
        <f>IFERROR((VLOOKUP($A837,'[1]import success seats course'!$A:W,HLOOKUP('[1]Course Totals'!I$4,'[1]import success seats course'!$1:$2,2,FALSE),FALSE)/(VLOOKUP($A837,'[1]import graded seats course pivo'!$A:AG,HLOOKUP('[1]Course Totals'!I$4,'[1]import graded seats course pivo'!$1:$2,2,FALSE),FALSE))),"")</f>
        <v/>
      </c>
      <c r="J837" s="14">
        <f>IFERROR((VLOOKUP($A837,'[1]import success seats course'!$A:X,HLOOKUP('[1]Course Totals'!J$4,'[1]import success seats course'!$1:$2,2,FALSE),FALSE)/(VLOOKUP($A837,'[1]import graded seats course pivo'!$A:AH,HLOOKUP('[1]Course Totals'!J$4,'[1]import graded seats course pivo'!$1:$2,2,FALSE),FALSE))),"")</f>
        <v>0.90909090909090906</v>
      </c>
      <c r="K837" s="14" t="str">
        <f>IFERROR((VLOOKUP($A837,'[1]import success seats course'!$A:Y,HLOOKUP('[1]Course Totals'!K$4,'[1]import success seats course'!$1:$2,2,FALSE),FALSE)/(VLOOKUP($A837,'[1]import graded seats course pivo'!$A:AI,HLOOKUP('[1]Course Totals'!K$4,'[1]import graded seats course pivo'!$1:$2,2,FALSE),FALSE))),"")</f>
        <v/>
      </c>
      <c r="L837" s="14">
        <f>IFERROR((VLOOKUP($A837,'[1]import success seats course'!$A:Z,HLOOKUP('[1]Course Totals'!L$4,'[1]import success seats course'!$1:$2,2,FALSE),FALSE)/(VLOOKUP($A837,'[1]import graded seats course pivo'!$A:AJ,HLOOKUP('[1]Course Totals'!L$4,'[1]import graded seats course pivo'!$1:$2,2,FALSE),FALSE))),"")</f>
        <v>1</v>
      </c>
      <c r="M837" s="14">
        <f>IFERROR((VLOOKUP($A837,'[1]import success seats course'!$A:AA,HLOOKUP('[1]Course Totals'!M$4,'[1]import success seats course'!$1:$2,2,FALSE),FALSE)/(VLOOKUP($A837,'[1]import graded seats course pivo'!$A:AK,HLOOKUP('[1]Course Totals'!M$4,'[1]import graded seats course pivo'!$1:$2,2,FALSE),FALSE))),"")</f>
        <v>0.75</v>
      </c>
      <c r="N837" s="14" t="str">
        <f>IFERROR((VLOOKUP($A837,'[1]import success seats course'!$A:AB,HLOOKUP('[1]Course Totals'!N$4,'[1]import success seats course'!$1:$2,2,FALSE),FALSE)/(VLOOKUP($A837,'[1]import graded seats course pivo'!$A:AL,HLOOKUP('[1]Course Totals'!N$4,'[1]import graded seats course pivo'!$1:$2,2,FALSE),FALSE))),"")</f>
        <v/>
      </c>
      <c r="O837" s="14">
        <f>IFERROR((VLOOKUP($A837,'[1]import success seats course'!$A:AC,HLOOKUP('[1]Course Totals'!O$4,'[1]import success seats course'!$1:$2,2,FALSE),FALSE)/(VLOOKUP($A837,'[1]import graded seats course pivo'!$A:AM,HLOOKUP('[1]Course Totals'!O$4,'[1]import graded seats course pivo'!$1:$2,2,FALSE),FALSE))),"")</f>
        <v>0.7142857142857143</v>
      </c>
      <c r="P837" s="14">
        <f>IFERROR((VLOOKUP($A837,'[1]import success seats course'!$A:AD,HLOOKUP('[1]Course Totals'!P$4,'[1]import success seats course'!$1:$2,2,FALSE),FALSE)/(VLOOKUP($A837,'[1]import graded seats course pivo'!$A:AN,HLOOKUP('[1]Course Totals'!P$4,'[1]import graded seats course pivo'!$1:$2,2,FALSE),FALSE))),"")</f>
        <v>1</v>
      </c>
      <c r="Q837" s="14" t="str">
        <f>IFERROR((VLOOKUP($A837,'[1]import success seats course'!$A:AE,HLOOKUP('[1]Course Totals'!Q$4,'[1]import success seats course'!$1:$2,2,FALSE),FALSE)/(VLOOKUP($A837,'[1]import graded seats course pivo'!$A:AO,HLOOKUP('[1]Course Totals'!Q$4,'[1]import graded seats course pivo'!$1:$2,2,FALSE),FALSE))),"")</f>
        <v/>
      </c>
      <c r="R837" s="14">
        <f>IFERROR((VLOOKUP($A837,'[1]import success seats course'!$A:AF,HLOOKUP('[1]Course Totals'!R$4,'[1]import success seats course'!$1:$2,2,FALSE),FALSE)/(VLOOKUP($A837,'[1]import graded seats course pivo'!$A:AP,HLOOKUP('[1]Course Totals'!R$4,'[1]import graded seats course pivo'!$1:$2,2,FALSE),FALSE))),"")</f>
        <v>1</v>
      </c>
      <c r="S837" s="14">
        <f>IFERROR((VLOOKUP($A837,'[1]import success seats course'!$A:AG,HLOOKUP('[1]Course Totals'!S$4,'[1]import success seats course'!$1:$2,2,FALSE),FALSE)/(VLOOKUP($A837,'[1]import graded seats course pivo'!$A:AQ,HLOOKUP('[1]Course Totals'!S$4,'[1]import graded seats course pivo'!$1:$2,2,FALSE),FALSE))),"")</f>
        <v>0.9</v>
      </c>
      <c r="Z837" s="7"/>
      <c r="AA837" s="7"/>
      <c r="AB837" s="7"/>
      <c r="AC837" s="7"/>
    </row>
    <row r="838" spans="1:29" ht="15.75" customHeight="1" x14ac:dyDescent="0.25">
      <c r="A838" s="12" t="s">
        <v>393</v>
      </c>
      <c r="B838" s="14" t="str">
        <f>IFERROR((VLOOKUP($A838,'[1]import success seats course'!$A:P,HLOOKUP('[1]Course Totals'!B$4,'[1]import success seats course'!$1:$2,2,FALSE),FALSE)/(VLOOKUP($A838,'[1]import graded seats course pivo'!$A:Z,HLOOKUP('[1]Course Totals'!B$4,'[1]import graded seats course pivo'!$1:$2,2,FALSE),FALSE))),"")</f>
        <v/>
      </c>
      <c r="C838" s="14">
        <f>IFERROR((VLOOKUP($A838,'[1]import success seats course'!$A:Q,HLOOKUP('[1]Course Totals'!C$4,'[1]import success seats course'!$1:$2,2,FALSE),FALSE)/(VLOOKUP($A838,'[1]import graded seats course pivo'!$A:AA,HLOOKUP('[1]Course Totals'!C$4,'[1]import graded seats course pivo'!$1:$2,2,FALSE),FALSE))),"")</f>
        <v>0.4</v>
      </c>
      <c r="D838" s="14" t="str">
        <f>IFERROR((VLOOKUP($A838,'[1]import success seats course'!$A:R,HLOOKUP('[1]Course Totals'!D$4,'[1]import success seats course'!$1:$2,2,FALSE),FALSE)/(VLOOKUP($A838,'[1]import graded seats course pivo'!$A:AB,HLOOKUP('[1]Course Totals'!D$4,'[1]import graded seats course pivo'!$1:$2,2,FALSE),FALSE))),"")</f>
        <v/>
      </c>
      <c r="E838" s="14" t="str">
        <f>IFERROR((VLOOKUP($A838,'[1]import success seats course'!$A:S,HLOOKUP('[1]Course Totals'!E$4,'[1]import success seats course'!$1:$2,2,FALSE),FALSE)/(VLOOKUP($A838,'[1]import graded seats course pivo'!$A:AC,HLOOKUP('[1]Course Totals'!E$4,'[1]import graded seats course pivo'!$1:$2,2,FALSE),FALSE))),"")</f>
        <v/>
      </c>
      <c r="F838" s="14" t="str">
        <f>IFERROR((VLOOKUP($A838,'[1]import success seats course'!$A:T,HLOOKUP('[1]Course Totals'!F$4,'[1]import success seats course'!$1:$2,2,FALSE),FALSE)/(VLOOKUP($A838,'[1]import graded seats course pivo'!$A:AD,HLOOKUP('[1]Course Totals'!F$4,'[1]import graded seats course pivo'!$1:$2,2,FALSE),FALSE))),"")</f>
        <v/>
      </c>
      <c r="G838" s="14" t="str">
        <f>IFERROR((VLOOKUP($A838,'[1]import success seats course'!$A:U,HLOOKUP('[1]Course Totals'!G$4,'[1]import success seats course'!$1:$2,2,FALSE),FALSE)/(VLOOKUP($A838,'[1]import graded seats course pivo'!$A:AE,HLOOKUP('[1]Course Totals'!G$4,'[1]import graded seats course pivo'!$1:$2,2,FALSE),FALSE))),"")</f>
        <v/>
      </c>
      <c r="H838" s="14" t="str">
        <f>IFERROR((VLOOKUP($A838,'[1]import success seats course'!$A:V,HLOOKUP('[1]Course Totals'!H$4,'[1]import success seats course'!$1:$2,2,FALSE),FALSE)/(VLOOKUP($A838,'[1]import graded seats course pivo'!$A:AF,HLOOKUP('[1]Course Totals'!H$4,'[1]import graded seats course pivo'!$1:$2,2,FALSE),FALSE))),"")</f>
        <v/>
      </c>
      <c r="I838" s="14" t="str">
        <f>IFERROR((VLOOKUP($A838,'[1]import success seats course'!$A:W,HLOOKUP('[1]Course Totals'!I$4,'[1]import success seats course'!$1:$2,2,FALSE),FALSE)/(VLOOKUP($A838,'[1]import graded seats course pivo'!$A:AG,HLOOKUP('[1]Course Totals'!I$4,'[1]import graded seats course pivo'!$1:$2,2,FALSE),FALSE))),"")</f>
        <v/>
      </c>
      <c r="J838" s="14" t="str">
        <f>IFERROR((VLOOKUP($A838,'[1]import success seats course'!$A:X,HLOOKUP('[1]Course Totals'!J$4,'[1]import success seats course'!$1:$2,2,FALSE),FALSE)/(VLOOKUP($A838,'[1]import graded seats course pivo'!$A:AH,HLOOKUP('[1]Course Totals'!J$4,'[1]import graded seats course pivo'!$1:$2,2,FALSE),FALSE))),"")</f>
        <v/>
      </c>
      <c r="K838" s="14" t="str">
        <f>IFERROR((VLOOKUP($A838,'[1]import success seats course'!$A:Y,HLOOKUP('[1]Course Totals'!K$4,'[1]import success seats course'!$1:$2,2,FALSE),FALSE)/(VLOOKUP($A838,'[1]import graded seats course pivo'!$A:AI,HLOOKUP('[1]Course Totals'!K$4,'[1]import graded seats course pivo'!$1:$2,2,FALSE),FALSE))),"")</f>
        <v/>
      </c>
      <c r="L838" s="14" t="str">
        <f>IFERROR((VLOOKUP($A838,'[1]import success seats course'!$A:Z,HLOOKUP('[1]Course Totals'!L$4,'[1]import success seats course'!$1:$2,2,FALSE),FALSE)/(VLOOKUP($A838,'[1]import graded seats course pivo'!$A:AJ,HLOOKUP('[1]Course Totals'!L$4,'[1]import graded seats course pivo'!$1:$2,2,FALSE),FALSE))),"")</f>
        <v/>
      </c>
      <c r="M838" s="14" t="str">
        <f>IFERROR((VLOOKUP($A838,'[1]import success seats course'!$A:AA,HLOOKUP('[1]Course Totals'!M$4,'[1]import success seats course'!$1:$2,2,FALSE),FALSE)/(VLOOKUP($A838,'[1]import graded seats course pivo'!$A:AK,HLOOKUP('[1]Course Totals'!M$4,'[1]import graded seats course pivo'!$1:$2,2,FALSE),FALSE))),"")</f>
        <v/>
      </c>
      <c r="N838" s="14" t="str">
        <f>IFERROR((VLOOKUP($A838,'[1]import success seats course'!$A:AB,HLOOKUP('[1]Course Totals'!N$4,'[1]import success seats course'!$1:$2,2,FALSE),FALSE)/(VLOOKUP($A838,'[1]import graded seats course pivo'!$A:AL,HLOOKUP('[1]Course Totals'!N$4,'[1]import graded seats course pivo'!$1:$2,2,FALSE),FALSE))),"")</f>
        <v/>
      </c>
      <c r="O838" s="14" t="str">
        <f>IFERROR((VLOOKUP($A838,'[1]import success seats course'!$A:AC,HLOOKUP('[1]Course Totals'!O$4,'[1]import success seats course'!$1:$2,2,FALSE),FALSE)/(VLOOKUP($A838,'[1]import graded seats course pivo'!$A:AM,HLOOKUP('[1]Course Totals'!O$4,'[1]import graded seats course pivo'!$1:$2,2,FALSE),FALSE))),"")</f>
        <v/>
      </c>
      <c r="P838" s="14" t="str">
        <f>IFERROR((VLOOKUP($A838,'[1]import success seats course'!$A:AD,HLOOKUP('[1]Course Totals'!P$4,'[1]import success seats course'!$1:$2,2,FALSE),FALSE)/(VLOOKUP($A838,'[1]import graded seats course pivo'!$A:AN,HLOOKUP('[1]Course Totals'!P$4,'[1]import graded seats course pivo'!$1:$2,2,FALSE),FALSE))),"")</f>
        <v/>
      </c>
      <c r="Q838" s="14" t="str">
        <f>IFERROR((VLOOKUP($A838,'[1]import success seats course'!$A:AE,HLOOKUP('[1]Course Totals'!Q$4,'[1]import success seats course'!$1:$2,2,FALSE),FALSE)/(VLOOKUP($A838,'[1]import graded seats course pivo'!$A:AO,HLOOKUP('[1]Course Totals'!Q$4,'[1]import graded seats course pivo'!$1:$2,2,FALSE),FALSE))),"")</f>
        <v/>
      </c>
      <c r="R838" s="14" t="str">
        <f>IFERROR((VLOOKUP($A838,'[1]import success seats course'!$A:AF,HLOOKUP('[1]Course Totals'!R$4,'[1]import success seats course'!$1:$2,2,FALSE),FALSE)/(VLOOKUP($A838,'[1]import graded seats course pivo'!$A:AP,HLOOKUP('[1]Course Totals'!R$4,'[1]import graded seats course pivo'!$1:$2,2,FALSE),FALSE))),"")</f>
        <v/>
      </c>
      <c r="S838" s="14" t="str">
        <f>IFERROR((VLOOKUP($A838,'[1]import success seats course'!$A:AG,HLOOKUP('[1]Course Totals'!S$4,'[1]import success seats course'!$1:$2,2,FALSE),FALSE)/(VLOOKUP($A838,'[1]import graded seats course pivo'!$A:AQ,HLOOKUP('[1]Course Totals'!S$4,'[1]import graded seats course pivo'!$1:$2,2,FALSE),FALSE))),"")</f>
        <v/>
      </c>
      <c r="Z838" s="7"/>
      <c r="AA838" s="7"/>
      <c r="AB838" s="7"/>
      <c r="AC838" s="7"/>
    </row>
    <row r="839" spans="1:29" ht="15.75" customHeight="1" x14ac:dyDescent="0.25">
      <c r="A839" s="12" t="s">
        <v>394</v>
      </c>
      <c r="B839" s="14" t="str">
        <f>IFERROR((VLOOKUP($A839,'[1]import success seats course'!$A:P,HLOOKUP('[1]Course Totals'!B$4,'[1]import success seats course'!$1:$2,2,FALSE),FALSE)/(VLOOKUP($A839,'[1]import graded seats course pivo'!$A:Z,HLOOKUP('[1]Course Totals'!B$4,'[1]import graded seats course pivo'!$1:$2,2,FALSE),FALSE))),"")</f>
        <v/>
      </c>
      <c r="C839" s="14">
        <f>IFERROR((VLOOKUP($A839,'[1]import success seats course'!$A:Q,HLOOKUP('[1]Course Totals'!C$4,'[1]import success seats course'!$1:$2,2,FALSE),FALSE)/(VLOOKUP($A839,'[1]import graded seats course pivo'!$A:AA,HLOOKUP('[1]Course Totals'!C$4,'[1]import graded seats course pivo'!$1:$2,2,FALSE),FALSE))),"")</f>
        <v>0.75</v>
      </c>
      <c r="D839" s="14">
        <f>IFERROR((VLOOKUP($A839,'[1]import success seats course'!$A:R,HLOOKUP('[1]Course Totals'!D$4,'[1]import success seats course'!$1:$2,2,FALSE),FALSE)/(VLOOKUP($A839,'[1]import graded seats course pivo'!$A:AB,HLOOKUP('[1]Course Totals'!D$4,'[1]import graded seats course pivo'!$1:$2,2,FALSE),FALSE))),"")</f>
        <v>0.88235294117647056</v>
      </c>
      <c r="E839" s="14" t="str">
        <f>IFERROR((VLOOKUP($A839,'[1]import success seats course'!$A:S,HLOOKUP('[1]Course Totals'!E$4,'[1]import success seats course'!$1:$2,2,FALSE),FALSE)/(VLOOKUP($A839,'[1]import graded seats course pivo'!$A:AC,HLOOKUP('[1]Course Totals'!E$4,'[1]import graded seats course pivo'!$1:$2,2,FALSE),FALSE))),"")</f>
        <v/>
      </c>
      <c r="F839" s="14">
        <f>IFERROR((VLOOKUP($A839,'[1]import success seats course'!$A:T,HLOOKUP('[1]Course Totals'!F$4,'[1]import success seats course'!$1:$2,2,FALSE),FALSE)/(VLOOKUP($A839,'[1]import graded seats course pivo'!$A:AD,HLOOKUP('[1]Course Totals'!F$4,'[1]import graded seats course pivo'!$1:$2,2,FALSE),FALSE))),"")</f>
        <v>0.88235294117647056</v>
      </c>
      <c r="G839" s="14">
        <f>IFERROR((VLOOKUP($A839,'[1]import success seats course'!$A:U,HLOOKUP('[1]Course Totals'!G$4,'[1]import success seats course'!$1:$2,2,FALSE),FALSE)/(VLOOKUP($A839,'[1]import graded seats course pivo'!$A:AE,HLOOKUP('[1]Course Totals'!G$4,'[1]import graded seats course pivo'!$1:$2,2,FALSE),FALSE))),"")</f>
        <v>0.66666666666666663</v>
      </c>
      <c r="H839" s="14" t="str">
        <f>IFERROR((VLOOKUP($A839,'[1]import success seats course'!$A:V,HLOOKUP('[1]Course Totals'!H$4,'[1]import success seats course'!$1:$2,2,FALSE),FALSE)/(VLOOKUP($A839,'[1]import graded seats course pivo'!$A:AF,HLOOKUP('[1]Course Totals'!H$4,'[1]import graded seats course pivo'!$1:$2,2,FALSE),FALSE))),"")</f>
        <v/>
      </c>
      <c r="I839" s="14">
        <f>IFERROR((VLOOKUP($A839,'[1]import success seats course'!$A:W,HLOOKUP('[1]Course Totals'!I$4,'[1]import success seats course'!$1:$2,2,FALSE),FALSE)/(VLOOKUP($A839,'[1]import graded seats course pivo'!$A:AG,HLOOKUP('[1]Course Totals'!I$4,'[1]import graded seats course pivo'!$1:$2,2,FALSE),FALSE))),"")</f>
        <v>0.93333333333333335</v>
      </c>
      <c r="J839" s="14">
        <f>IFERROR((VLOOKUP($A839,'[1]import success seats course'!$A:X,HLOOKUP('[1]Course Totals'!J$4,'[1]import success seats course'!$1:$2,2,FALSE),FALSE)/(VLOOKUP($A839,'[1]import graded seats course pivo'!$A:AH,HLOOKUP('[1]Course Totals'!J$4,'[1]import graded seats course pivo'!$1:$2,2,FALSE),FALSE))),"")</f>
        <v>1</v>
      </c>
      <c r="K839" s="14" t="str">
        <f>IFERROR((VLOOKUP($A839,'[1]import success seats course'!$A:Y,HLOOKUP('[1]Course Totals'!K$4,'[1]import success seats course'!$1:$2,2,FALSE),FALSE)/(VLOOKUP($A839,'[1]import graded seats course pivo'!$A:AI,HLOOKUP('[1]Course Totals'!K$4,'[1]import graded seats course pivo'!$1:$2,2,FALSE),FALSE))),"")</f>
        <v/>
      </c>
      <c r="L839" s="14">
        <f>IFERROR((VLOOKUP($A839,'[1]import success seats course'!$A:Z,HLOOKUP('[1]Course Totals'!L$4,'[1]import success seats course'!$1:$2,2,FALSE),FALSE)/(VLOOKUP($A839,'[1]import graded seats course pivo'!$A:AJ,HLOOKUP('[1]Course Totals'!L$4,'[1]import graded seats course pivo'!$1:$2,2,FALSE),FALSE))),"")</f>
        <v>0.8666666666666667</v>
      </c>
      <c r="M839" s="14">
        <f>IFERROR((VLOOKUP($A839,'[1]import success seats course'!$A:AA,HLOOKUP('[1]Course Totals'!M$4,'[1]import success seats course'!$1:$2,2,FALSE),FALSE)/(VLOOKUP($A839,'[1]import graded seats course pivo'!$A:AK,HLOOKUP('[1]Course Totals'!M$4,'[1]import graded seats course pivo'!$1:$2,2,FALSE),FALSE))),"")</f>
        <v>0.90909090909090906</v>
      </c>
      <c r="N839" s="14" t="str">
        <f>IFERROR((VLOOKUP($A839,'[1]import success seats course'!$A:AB,HLOOKUP('[1]Course Totals'!N$4,'[1]import success seats course'!$1:$2,2,FALSE),FALSE)/(VLOOKUP($A839,'[1]import graded seats course pivo'!$A:AL,HLOOKUP('[1]Course Totals'!N$4,'[1]import graded seats course pivo'!$1:$2,2,FALSE),FALSE))),"")</f>
        <v/>
      </c>
      <c r="O839" s="14">
        <f>IFERROR((VLOOKUP($A839,'[1]import success seats course'!$A:AC,HLOOKUP('[1]Course Totals'!O$4,'[1]import success seats course'!$1:$2,2,FALSE),FALSE)/(VLOOKUP($A839,'[1]import graded seats course pivo'!$A:AM,HLOOKUP('[1]Course Totals'!O$4,'[1]import graded seats course pivo'!$1:$2,2,FALSE),FALSE))),"")</f>
        <v>0.88461538461538458</v>
      </c>
      <c r="P839" s="14">
        <f>IFERROR((VLOOKUP($A839,'[1]import success seats course'!$A:AD,HLOOKUP('[1]Course Totals'!P$4,'[1]import success seats course'!$1:$2,2,FALSE),FALSE)/(VLOOKUP($A839,'[1]import graded seats course pivo'!$A:AN,HLOOKUP('[1]Course Totals'!P$4,'[1]import graded seats course pivo'!$1:$2,2,FALSE),FALSE))),"")</f>
        <v>0.90909090909090906</v>
      </c>
      <c r="Q839" s="14" t="str">
        <f>IFERROR((VLOOKUP($A839,'[1]import success seats course'!$A:AE,HLOOKUP('[1]Course Totals'!Q$4,'[1]import success seats course'!$1:$2,2,FALSE),FALSE)/(VLOOKUP($A839,'[1]import graded seats course pivo'!$A:AO,HLOOKUP('[1]Course Totals'!Q$4,'[1]import graded seats course pivo'!$1:$2,2,FALSE),FALSE))),"")</f>
        <v/>
      </c>
      <c r="R839" s="14">
        <f>IFERROR((VLOOKUP($A839,'[1]import success seats course'!$A:AF,HLOOKUP('[1]Course Totals'!R$4,'[1]import success seats course'!$1:$2,2,FALSE),FALSE)/(VLOOKUP($A839,'[1]import graded seats course pivo'!$A:AP,HLOOKUP('[1]Course Totals'!R$4,'[1]import graded seats course pivo'!$1:$2,2,FALSE),FALSE))),"")</f>
        <v>0.90909090909090906</v>
      </c>
      <c r="S839" s="14">
        <f>IFERROR((VLOOKUP($A839,'[1]import success seats course'!$A:AG,HLOOKUP('[1]Course Totals'!S$4,'[1]import success seats course'!$1:$2,2,FALSE),FALSE)/(VLOOKUP($A839,'[1]import graded seats course pivo'!$A:AQ,HLOOKUP('[1]Course Totals'!S$4,'[1]import graded seats course pivo'!$1:$2,2,FALSE),FALSE))),"")</f>
        <v>0.88888888888888884</v>
      </c>
      <c r="Z839" s="7"/>
      <c r="AA839" s="7"/>
      <c r="AB839" s="7"/>
      <c r="AC839" s="7"/>
    </row>
    <row r="840" spans="1:29" ht="15.75" customHeight="1" x14ac:dyDescent="0.25">
      <c r="A840" s="12" t="s">
        <v>644</v>
      </c>
      <c r="B840" s="14" t="str">
        <f>IFERROR((VLOOKUP($A840,'[1]import success seats course'!$A:P,HLOOKUP('[1]Course Totals'!B$4,'[1]import success seats course'!$1:$2,2,FALSE),FALSE)/(VLOOKUP($A840,'[1]import graded seats course pivo'!$A:Z,HLOOKUP('[1]Course Totals'!B$4,'[1]import graded seats course pivo'!$1:$2,2,FALSE),FALSE))),"")</f>
        <v/>
      </c>
      <c r="C840" s="14" t="str">
        <f>IFERROR((VLOOKUP($A840,'[1]import success seats course'!$A:Q,HLOOKUP('[1]Course Totals'!C$4,'[1]import success seats course'!$1:$2,2,FALSE),FALSE)/(VLOOKUP($A840,'[1]import graded seats course pivo'!$A:AA,HLOOKUP('[1]Course Totals'!C$4,'[1]import graded seats course pivo'!$1:$2,2,FALSE),FALSE))),"")</f>
        <v/>
      </c>
      <c r="D840" s="14">
        <f>IFERROR((VLOOKUP($A840,'[1]import success seats course'!$A:R,HLOOKUP('[1]Course Totals'!D$4,'[1]import success seats course'!$1:$2,2,FALSE),FALSE)/(VLOOKUP($A840,'[1]import graded seats course pivo'!$A:AB,HLOOKUP('[1]Course Totals'!D$4,'[1]import graded seats course pivo'!$1:$2,2,FALSE),FALSE))),"")</f>
        <v>1</v>
      </c>
      <c r="E840" s="14" t="str">
        <f>IFERROR((VLOOKUP($A840,'[1]import success seats course'!$A:S,HLOOKUP('[1]Course Totals'!E$4,'[1]import success seats course'!$1:$2,2,FALSE),FALSE)/(VLOOKUP($A840,'[1]import graded seats course pivo'!$A:AC,HLOOKUP('[1]Course Totals'!E$4,'[1]import graded seats course pivo'!$1:$2,2,FALSE),FALSE))),"")</f>
        <v/>
      </c>
      <c r="F840" s="14">
        <f>IFERROR((VLOOKUP($A840,'[1]import success seats course'!$A:T,HLOOKUP('[1]Course Totals'!F$4,'[1]import success seats course'!$1:$2,2,FALSE),FALSE)/(VLOOKUP($A840,'[1]import graded seats course pivo'!$A:AD,HLOOKUP('[1]Course Totals'!F$4,'[1]import graded seats course pivo'!$1:$2,2,FALSE),FALSE))),"")</f>
        <v>1</v>
      </c>
      <c r="G840" s="14">
        <f>IFERROR((VLOOKUP($A840,'[1]import success seats course'!$A:U,HLOOKUP('[1]Course Totals'!G$4,'[1]import success seats course'!$1:$2,2,FALSE),FALSE)/(VLOOKUP($A840,'[1]import graded seats course pivo'!$A:AE,HLOOKUP('[1]Course Totals'!G$4,'[1]import graded seats course pivo'!$1:$2,2,FALSE),FALSE))),"")</f>
        <v>1</v>
      </c>
      <c r="H840" s="14" t="str">
        <f>IFERROR((VLOOKUP($A840,'[1]import success seats course'!$A:V,HLOOKUP('[1]Course Totals'!H$4,'[1]import success seats course'!$1:$2,2,FALSE),FALSE)/(VLOOKUP($A840,'[1]import graded seats course pivo'!$A:AF,HLOOKUP('[1]Course Totals'!H$4,'[1]import graded seats course pivo'!$1:$2,2,FALSE),FALSE))),"")</f>
        <v/>
      </c>
      <c r="I840" s="14">
        <f>IFERROR((VLOOKUP($A840,'[1]import success seats course'!$A:W,HLOOKUP('[1]Course Totals'!I$4,'[1]import success seats course'!$1:$2,2,FALSE),FALSE)/(VLOOKUP($A840,'[1]import graded seats course pivo'!$A:AG,HLOOKUP('[1]Course Totals'!I$4,'[1]import graded seats course pivo'!$1:$2,2,FALSE),FALSE))),"")</f>
        <v>1</v>
      </c>
      <c r="J840" s="14" t="str">
        <f>IFERROR((VLOOKUP($A840,'[1]import success seats course'!$A:X,HLOOKUP('[1]Course Totals'!J$4,'[1]import success seats course'!$1:$2,2,FALSE),FALSE)/(VLOOKUP($A840,'[1]import graded seats course pivo'!$A:AH,HLOOKUP('[1]Course Totals'!J$4,'[1]import graded seats course pivo'!$1:$2,2,FALSE),FALSE))),"")</f>
        <v/>
      </c>
      <c r="K840" s="14" t="str">
        <f>IFERROR((VLOOKUP($A840,'[1]import success seats course'!$A:Y,HLOOKUP('[1]Course Totals'!K$4,'[1]import success seats course'!$1:$2,2,FALSE),FALSE)/(VLOOKUP($A840,'[1]import graded seats course pivo'!$A:AI,HLOOKUP('[1]Course Totals'!K$4,'[1]import graded seats course pivo'!$1:$2,2,FALSE),FALSE))),"")</f>
        <v/>
      </c>
      <c r="L840" s="14">
        <f>IFERROR((VLOOKUP($A840,'[1]import success seats course'!$A:Z,HLOOKUP('[1]Course Totals'!L$4,'[1]import success seats course'!$1:$2,2,FALSE),FALSE)/(VLOOKUP($A840,'[1]import graded seats course pivo'!$A:AJ,HLOOKUP('[1]Course Totals'!L$4,'[1]import graded seats course pivo'!$1:$2,2,FALSE),FALSE))),"")</f>
        <v>1</v>
      </c>
      <c r="M840" s="14">
        <f>IFERROR((VLOOKUP($A840,'[1]import success seats course'!$A:AA,HLOOKUP('[1]Course Totals'!M$4,'[1]import success seats course'!$1:$2,2,FALSE),FALSE)/(VLOOKUP($A840,'[1]import graded seats course pivo'!$A:AK,HLOOKUP('[1]Course Totals'!M$4,'[1]import graded seats course pivo'!$1:$2,2,FALSE),FALSE))),"")</f>
        <v>1</v>
      </c>
      <c r="N840" s="14" t="str">
        <f>IFERROR((VLOOKUP($A840,'[1]import success seats course'!$A:AB,HLOOKUP('[1]Course Totals'!N$4,'[1]import success seats course'!$1:$2,2,FALSE),FALSE)/(VLOOKUP($A840,'[1]import graded seats course pivo'!$A:AL,HLOOKUP('[1]Course Totals'!N$4,'[1]import graded seats course pivo'!$1:$2,2,FALSE),FALSE))),"")</f>
        <v/>
      </c>
      <c r="O840" s="14">
        <f>IFERROR((VLOOKUP($A840,'[1]import success seats course'!$A:AC,HLOOKUP('[1]Course Totals'!O$4,'[1]import success seats course'!$1:$2,2,FALSE),FALSE)/(VLOOKUP($A840,'[1]import graded seats course pivo'!$A:AM,HLOOKUP('[1]Course Totals'!O$4,'[1]import graded seats course pivo'!$1:$2,2,FALSE),FALSE))),"")</f>
        <v>1</v>
      </c>
      <c r="P840" s="14">
        <f>IFERROR((VLOOKUP($A840,'[1]import success seats course'!$A:AD,HLOOKUP('[1]Course Totals'!P$4,'[1]import success seats course'!$1:$2,2,FALSE),FALSE)/(VLOOKUP($A840,'[1]import graded seats course pivo'!$A:AN,HLOOKUP('[1]Course Totals'!P$4,'[1]import graded seats course pivo'!$1:$2,2,FALSE),FALSE))),"")</f>
        <v>0.8</v>
      </c>
      <c r="Q840" s="14" t="str">
        <f>IFERROR((VLOOKUP($A840,'[1]import success seats course'!$A:AE,HLOOKUP('[1]Course Totals'!Q$4,'[1]import success seats course'!$1:$2,2,FALSE),FALSE)/(VLOOKUP($A840,'[1]import graded seats course pivo'!$A:AO,HLOOKUP('[1]Course Totals'!Q$4,'[1]import graded seats course pivo'!$1:$2,2,FALSE),FALSE))),"")</f>
        <v/>
      </c>
      <c r="R840" s="14">
        <f>IFERROR((VLOOKUP($A840,'[1]import success seats course'!$A:AF,HLOOKUP('[1]Course Totals'!R$4,'[1]import success seats course'!$1:$2,2,FALSE),FALSE)/(VLOOKUP($A840,'[1]import graded seats course pivo'!$A:AP,HLOOKUP('[1]Course Totals'!R$4,'[1]import graded seats course pivo'!$1:$2,2,FALSE),FALSE))),"")</f>
        <v>1</v>
      </c>
      <c r="S840" s="14">
        <f>IFERROR((VLOOKUP($A840,'[1]import success seats course'!$A:AG,HLOOKUP('[1]Course Totals'!S$4,'[1]import success seats course'!$1:$2,2,FALSE),FALSE)/(VLOOKUP($A840,'[1]import graded seats course pivo'!$A:AQ,HLOOKUP('[1]Course Totals'!S$4,'[1]import graded seats course pivo'!$1:$2,2,FALSE),FALSE))),"")</f>
        <v>1</v>
      </c>
      <c r="Z840" s="7"/>
      <c r="AA840" s="7"/>
      <c r="AB840" s="7"/>
      <c r="AC840" s="7"/>
    </row>
    <row r="841" spans="1:29" ht="15.75" hidden="1" customHeight="1" x14ac:dyDescent="0.25">
      <c r="A841" s="12" t="s">
        <v>802</v>
      </c>
      <c r="B841" s="14" t="str">
        <f>IFERROR((VLOOKUP($A841,'[1]import success seats course'!$A:P,HLOOKUP('[1]Course Totals'!B$4,'[1]import success seats course'!$1:$2,2,FALSE),FALSE)/(VLOOKUP($A841,'[1]import graded seats course pivo'!$A:Z,HLOOKUP('[1]Course Totals'!B$4,'[1]import graded seats course pivo'!$1:$2,2,FALSE),FALSE))),"")</f>
        <v/>
      </c>
      <c r="C841" s="14" t="str">
        <f>IFERROR((VLOOKUP($A841,'[1]import success seats course'!$A:Q,HLOOKUP('[1]Course Totals'!C$4,'[1]import success seats course'!$1:$2,2,FALSE),FALSE)/(VLOOKUP($A841,'[1]import graded seats course pivo'!$A:AA,HLOOKUP('[1]Course Totals'!C$4,'[1]import graded seats course pivo'!$1:$2,2,FALSE),FALSE))),"")</f>
        <v/>
      </c>
      <c r="D841" s="14" t="str">
        <f>IFERROR((VLOOKUP($A841,'[1]import success seats course'!$A:R,HLOOKUP('[1]Course Totals'!D$4,'[1]import success seats course'!$1:$2,2,FALSE),FALSE)/(VLOOKUP($A841,'[1]import graded seats course pivo'!$A:AB,HLOOKUP('[1]Course Totals'!D$4,'[1]import graded seats course pivo'!$1:$2,2,FALSE),FALSE))),"")</f>
        <v/>
      </c>
      <c r="E841" s="14" t="str">
        <f>IFERROR((VLOOKUP($A841,'[1]import success seats course'!$A:S,HLOOKUP('[1]Course Totals'!E$4,'[1]import success seats course'!$1:$2,2,FALSE),FALSE)/(VLOOKUP($A841,'[1]import graded seats course pivo'!$A:AC,HLOOKUP('[1]Course Totals'!E$4,'[1]import graded seats course pivo'!$1:$2,2,FALSE),FALSE))),"")</f>
        <v/>
      </c>
      <c r="F841" s="14" t="str">
        <f>IFERROR((VLOOKUP($A841,'[1]import success seats course'!$A:T,HLOOKUP('[1]Course Totals'!F$4,'[1]import success seats course'!$1:$2,2,FALSE),FALSE)/(VLOOKUP($A841,'[1]import graded seats course pivo'!$A:AD,HLOOKUP('[1]Course Totals'!F$4,'[1]import graded seats course pivo'!$1:$2,2,FALSE),FALSE))),"")</f>
        <v/>
      </c>
      <c r="G841" s="14" t="str">
        <f>IFERROR((VLOOKUP($A841,'[1]import success seats course'!$A:U,HLOOKUP('[1]Course Totals'!G$4,'[1]import success seats course'!$1:$2,2,FALSE),FALSE)/(VLOOKUP($A841,'[1]import graded seats course pivo'!$A:AE,HLOOKUP('[1]Course Totals'!G$4,'[1]import graded seats course pivo'!$1:$2,2,FALSE),FALSE))),"")</f>
        <v/>
      </c>
      <c r="H841" s="14" t="str">
        <f>IFERROR((VLOOKUP($A841,'[1]import success seats course'!$A:V,HLOOKUP('[1]Course Totals'!H$4,'[1]import success seats course'!$1:$2,2,FALSE),FALSE)/(VLOOKUP($A841,'[1]import graded seats course pivo'!$A:AF,HLOOKUP('[1]Course Totals'!H$4,'[1]import graded seats course pivo'!$1:$2,2,FALSE),FALSE))),"")</f>
        <v/>
      </c>
      <c r="I841" s="14" t="str">
        <f>IFERROR((VLOOKUP($A841,'[1]import success seats course'!$A:W,HLOOKUP('[1]Course Totals'!I$4,'[1]import success seats course'!$1:$2,2,FALSE),FALSE)/(VLOOKUP($A841,'[1]import graded seats course pivo'!$A:AG,HLOOKUP('[1]Course Totals'!I$4,'[1]import graded seats course pivo'!$1:$2,2,FALSE),FALSE))),"")</f>
        <v/>
      </c>
      <c r="J841" s="14" t="str">
        <f>IFERROR((VLOOKUP($A841,'[1]import success seats course'!$A:X,HLOOKUP('[1]Course Totals'!J$4,'[1]import success seats course'!$1:$2,2,FALSE),FALSE)/(VLOOKUP($A841,'[1]import graded seats course pivo'!$A:AH,HLOOKUP('[1]Course Totals'!J$4,'[1]import graded seats course pivo'!$1:$2,2,FALSE),FALSE))),"")</f>
        <v/>
      </c>
      <c r="K841" s="14" t="str">
        <f>IFERROR((VLOOKUP($A841,'[1]import success seats course'!$A:Y,HLOOKUP('[1]Course Totals'!K$4,'[1]import success seats course'!$1:$2,2,FALSE),FALSE)/(VLOOKUP($A841,'[1]import graded seats course pivo'!$A:AI,HLOOKUP('[1]Course Totals'!K$4,'[1]import graded seats course pivo'!$1:$2,2,FALSE),FALSE))),"")</f>
        <v/>
      </c>
      <c r="L841" s="14" t="str">
        <f>IFERROR((VLOOKUP($A841,'[1]import success seats course'!$A:Z,HLOOKUP('[1]Course Totals'!L$4,'[1]import success seats course'!$1:$2,2,FALSE),FALSE)/(VLOOKUP($A841,'[1]import graded seats course pivo'!$A:AJ,HLOOKUP('[1]Course Totals'!L$4,'[1]import graded seats course pivo'!$1:$2,2,FALSE),FALSE))),"")</f>
        <v/>
      </c>
      <c r="M841" s="14" t="str">
        <f>IFERROR((VLOOKUP($A841,'[1]import success seats course'!$A:AA,HLOOKUP('[1]Course Totals'!M$4,'[1]import success seats course'!$1:$2,2,FALSE),FALSE)/(VLOOKUP($A841,'[1]import graded seats course pivo'!$A:AK,HLOOKUP('[1]Course Totals'!M$4,'[1]import graded seats course pivo'!$1:$2,2,FALSE),FALSE))),"")</f>
        <v/>
      </c>
      <c r="N841" s="14" t="str">
        <f>IFERROR((VLOOKUP($A841,'[1]import success seats course'!$A:AB,HLOOKUP('[1]Course Totals'!N$4,'[1]import success seats course'!$1:$2,2,FALSE),FALSE)/(VLOOKUP($A841,'[1]import graded seats course pivo'!$A:AL,HLOOKUP('[1]Course Totals'!N$4,'[1]import graded seats course pivo'!$1:$2,2,FALSE),FALSE))),"")</f>
        <v/>
      </c>
      <c r="O841" s="14" t="str">
        <f>IFERROR((VLOOKUP($A841,'[1]import success seats course'!$A:AC,HLOOKUP('[1]Course Totals'!O$4,'[1]import success seats course'!$1:$2,2,FALSE),FALSE)/(VLOOKUP($A841,'[1]import graded seats course pivo'!$A:AM,HLOOKUP('[1]Course Totals'!O$4,'[1]import graded seats course pivo'!$1:$2,2,FALSE),FALSE))),"")</f>
        <v/>
      </c>
      <c r="P841" s="14" t="str">
        <f>IFERROR((VLOOKUP($A841,'[1]import success seats course'!$A:AD,HLOOKUP('[1]Course Totals'!P$4,'[1]import success seats course'!$1:$2,2,FALSE),FALSE)/(VLOOKUP($A841,'[1]import graded seats course pivo'!$A:AN,HLOOKUP('[1]Course Totals'!P$4,'[1]import graded seats course pivo'!$1:$2,2,FALSE),FALSE))),"")</f>
        <v/>
      </c>
      <c r="Q841" s="14" t="str">
        <f>IFERROR((VLOOKUP($A841,'[1]import success seats course'!$A:AE,HLOOKUP('[1]Course Totals'!Q$4,'[1]import success seats course'!$1:$2,2,FALSE),FALSE)/(VLOOKUP($A841,'[1]import graded seats course pivo'!$A:AO,HLOOKUP('[1]Course Totals'!Q$4,'[1]import graded seats course pivo'!$1:$2,2,FALSE),FALSE))),"")</f>
        <v/>
      </c>
      <c r="R841" s="14" t="str">
        <f>IFERROR((VLOOKUP($A841,'[1]import success seats course'!$A:AF,HLOOKUP('[1]Course Totals'!R$4,'[1]import success seats course'!$1:$2,2,FALSE),FALSE)/(VLOOKUP($A841,'[1]import graded seats course pivo'!$A:AP,HLOOKUP('[1]Course Totals'!R$4,'[1]import graded seats course pivo'!$1:$2,2,FALSE),FALSE))),"")</f>
        <v/>
      </c>
      <c r="S841" s="14" t="str">
        <f>IFERROR((VLOOKUP($A841,'[1]import success seats course'!$A:AG,HLOOKUP('[1]Course Totals'!S$4,'[1]import success seats course'!$1:$2,2,FALSE),FALSE)/(VLOOKUP($A841,'[1]import graded seats course pivo'!$A:AQ,HLOOKUP('[1]Course Totals'!S$4,'[1]import graded seats course pivo'!$1:$2,2,FALSE),FALSE))),"")</f>
        <v/>
      </c>
      <c r="Z841" s="7"/>
      <c r="AA841" s="7"/>
      <c r="AB841" s="7"/>
      <c r="AC841" s="7"/>
    </row>
    <row r="842" spans="1:29" ht="15.75" customHeight="1" x14ac:dyDescent="0.25">
      <c r="A842" s="12" t="s">
        <v>395</v>
      </c>
      <c r="B842" s="14" t="str">
        <f>IFERROR((VLOOKUP($A842,'[1]import success seats course'!$A:P,HLOOKUP('[1]Course Totals'!B$4,'[1]import success seats course'!$1:$2,2,FALSE),FALSE)/(VLOOKUP($A842,'[1]import graded seats course pivo'!$A:Z,HLOOKUP('[1]Course Totals'!B$4,'[1]import graded seats course pivo'!$1:$2,2,FALSE),FALSE))),"")</f>
        <v/>
      </c>
      <c r="C842" s="14">
        <f>IFERROR((VLOOKUP($A842,'[1]import success seats course'!$A:Q,HLOOKUP('[1]Course Totals'!C$4,'[1]import success seats course'!$1:$2,2,FALSE),FALSE)/(VLOOKUP($A842,'[1]import graded seats course pivo'!$A:AA,HLOOKUP('[1]Course Totals'!C$4,'[1]import graded seats course pivo'!$1:$2,2,FALSE),FALSE))),"")</f>
        <v>0.90909090909090906</v>
      </c>
      <c r="D842" s="14" t="str">
        <f>IFERROR((VLOOKUP($A842,'[1]import success seats course'!$A:R,HLOOKUP('[1]Course Totals'!D$4,'[1]import success seats course'!$1:$2,2,FALSE),FALSE)/(VLOOKUP($A842,'[1]import graded seats course pivo'!$A:AB,HLOOKUP('[1]Course Totals'!D$4,'[1]import graded seats course pivo'!$1:$2,2,FALSE),FALSE))),"")</f>
        <v/>
      </c>
      <c r="E842" s="14" t="str">
        <f>IFERROR((VLOOKUP($A842,'[1]import success seats course'!$A:S,HLOOKUP('[1]Course Totals'!E$4,'[1]import success seats course'!$1:$2,2,FALSE),FALSE)/(VLOOKUP($A842,'[1]import graded seats course pivo'!$A:AC,HLOOKUP('[1]Course Totals'!E$4,'[1]import graded seats course pivo'!$1:$2,2,FALSE),FALSE))),"")</f>
        <v/>
      </c>
      <c r="F842" s="14" t="str">
        <f>IFERROR((VLOOKUP($A842,'[1]import success seats course'!$A:T,HLOOKUP('[1]Course Totals'!F$4,'[1]import success seats course'!$1:$2,2,FALSE),FALSE)/(VLOOKUP($A842,'[1]import graded seats course pivo'!$A:AD,HLOOKUP('[1]Course Totals'!F$4,'[1]import graded seats course pivo'!$1:$2,2,FALSE),FALSE))),"")</f>
        <v/>
      </c>
      <c r="G842" s="14" t="str">
        <f>IFERROR((VLOOKUP($A842,'[1]import success seats course'!$A:U,HLOOKUP('[1]Course Totals'!G$4,'[1]import success seats course'!$1:$2,2,FALSE),FALSE)/(VLOOKUP($A842,'[1]import graded seats course pivo'!$A:AE,HLOOKUP('[1]Course Totals'!G$4,'[1]import graded seats course pivo'!$1:$2,2,FALSE),FALSE))),"")</f>
        <v/>
      </c>
      <c r="H842" s="14" t="str">
        <f>IFERROR((VLOOKUP($A842,'[1]import success seats course'!$A:V,HLOOKUP('[1]Course Totals'!H$4,'[1]import success seats course'!$1:$2,2,FALSE),FALSE)/(VLOOKUP($A842,'[1]import graded seats course pivo'!$A:AF,HLOOKUP('[1]Course Totals'!H$4,'[1]import graded seats course pivo'!$1:$2,2,FALSE),FALSE))),"")</f>
        <v/>
      </c>
      <c r="I842" s="14" t="str">
        <f>IFERROR((VLOOKUP($A842,'[1]import success seats course'!$A:W,HLOOKUP('[1]Course Totals'!I$4,'[1]import success seats course'!$1:$2,2,FALSE),FALSE)/(VLOOKUP($A842,'[1]import graded seats course pivo'!$A:AG,HLOOKUP('[1]Course Totals'!I$4,'[1]import graded seats course pivo'!$1:$2,2,FALSE),FALSE))),"")</f>
        <v/>
      </c>
      <c r="J842" s="14" t="str">
        <f>IFERROR((VLOOKUP($A842,'[1]import success seats course'!$A:X,HLOOKUP('[1]Course Totals'!J$4,'[1]import success seats course'!$1:$2,2,FALSE),FALSE)/(VLOOKUP($A842,'[1]import graded seats course pivo'!$A:AH,HLOOKUP('[1]Course Totals'!J$4,'[1]import graded seats course pivo'!$1:$2,2,FALSE),FALSE))),"")</f>
        <v/>
      </c>
      <c r="K842" s="14" t="str">
        <f>IFERROR((VLOOKUP($A842,'[1]import success seats course'!$A:Y,HLOOKUP('[1]Course Totals'!K$4,'[1]import success seats course'!$1:$2,2,FALSE),FALSE)/(VLOOKUP($A842,'[1]import graded seats course pivo'!$A:AI,HLOOKUP('[1]Course Totals'!K$4,'[1]import graded seats course pivo'!$1:$2,2,FALSE),FALSE))),"")</f>
        <v/>
      </c>
      <c r="L842" s="14" t="str">
        <f>IFERROR((VLOOKUP($A842,'[1]import success seats course'!$A:Z,HLOOKUP('[1]Course Totals'!L$4,'[1]import success seats course'!$1:$2,2,FALSE),FALSE)/(VLOOKUP($A842,'[1]import graded seats course pivo'!$A:AJ,HLOOKUP('[1]Course Totals'!L$4,'[1]import graded seats course pivo'!$1:$2,2,FALSE),FALSE))),"")</f>
        <v/>
      </c>
      <c r="M842" s="14" t="str">
        <f>IFERROR((VLOOKUP($A842,'[1]import success seats course'!$A:AA,HLOOKUP('[1]Course Totals'!M$4,'[1]import success seats course'!$1:$2,2,FALSE),FALSE)/(VLOOKUP($A842,'[1]import graded seats course pivo'!$A:AK,HLOOKUP('[1]Course Totals'!M$4,'[1]import graded seats course pivo'!$1:$2,2,FALSE),FALSE))),"")</f>
        <v/>
      </c>
      <c r="N842" s="14" t="str">
        <f>IFERROR((VLOOKUP($A842,'[1]import success seats course'!$A:AB,HLOOKUP('[1]Course Totals'!N$4,'[1]import success seats course'!$1:$2,2,FALSE),FALSE)/(VLOOKUP($A842,'[1]import graded seats course pivo'!$A:AL,HLOOKUP('[1]Course Totals'!N$4,'[1]import graded seats course pivo'!$1:$2,2,FALSE),FALSE))),"")</f>
        <v/>
      </c>
      <c r="O842" s="14" t="str">
        <f>IFERROR((VLOOKUP($A842,'[1]import success seats course'!$A:AC,HLOOKUP('[1]Course Totals'!O$4,'[1]import success seats course'!$1:$2,2,FALSE),FALSE)/(VLOOKUP($A842,'[1]import graded seats course pivo'!$A:AM,HLOOKUP('[1]Course Totals'!O$4,'[1]import graded seats course pivo'!$1:$2,2,FALSE),FALSE))),"")</f>
        <v/>
      </c>
      <c r="P842" s="14" t="str">
        <f>IFERROR((VLOOKUP($A842,'[1]import success seats course'!$A:AD,HLOOKUP('[1]Course Totals'!P$4,'[1]import success seats course'!$1:$2,2,FALSE),FALSE)/(VLOOKUP($A842,'[1]import graded seats course pivo'!$A:AN,HLOOKUP('[1]Course Totals'!P$4,'[1]import graded seats course pivo'!$1:$2,2,FALSE),FALSE))),"")</f>
        <v/>
      </c>
      <c r="Q842" s="14" t="str">
        <f>IFERROR((VLOOKUP($A842,'[1]import success seats course'!$A:AE,HLOOKUP('[1]Course Totals'!Q$4,'[1]import success seats course'!$1:$2,2,FALSE),FALSE)/(VLOOKUP($A842,'[1]import graded seats course pivo'!$A:AO,HLOOKUP('[1]Course Totals'!Q$4,'[1]import graded seats course pivo'!$1:$2,2,FALSE),FALSE))),"")</f>
        <v/>
      </c>
      <c r="R842" s="14" t="str">
        <f>IFERROR((VLOOKUP($A842,'[1]import success seats course'!$A:AF,HLOOKUP('[1]Course Totals'!R$4,'[1]import success seats course'!$1:$2,2,FALSE),FALSE)/(VLOOKUP($A842,'[1]import graded seats course pivo'!$A:AP,HLOOKUP('[1]Course Totals'!R$4,'[1]import graded seats course pivo'!$1:$2,2,FALSE),FALSE))),"")</f>
        <v/>
      </c>
      <c r="S842" s="14" t="str">
        <f>IFERROR((VLOOKUP($A842,'[1]import success seats course'!$A:AG,HLOOKUP('[1]Course Totals'!S$4,'[1]import success seats course'!$1:$2,2,FALSE),FALSE)/(VLOOKUP($A842,'[1]import graded seats course pivo'!$A:AQ,HLOOKUP('[1]Course Totals'!S$4,'[1]import graded seats course pivo'!$1:$2,2,FALSE),FALSE))),"")</f>
        <v/>
      </c>
      <c r="Z842" s="7"/>
      <c r="AA842" s="7"/>
      <c r="AB842" s="7"/>
      <c r="AC842" s="7"/>
    </row>
    <row r="843" spans="1:29" ht="15.75" customHeight="1" x14ac:dyDescent="0.25">
      <c r="A843" s="12" t="s">
        <v>396</v>
      </c>
      <c r="B843" s="14" t="str">
        <f>IFERROR((VLOOKUP($A843,'[1]import success seats course'!$A:P,HLOOKUP('[1]Course Totals'!B$4,'[1]import success seats course'!$1:$2,2,FALSE),FALSE)/(VLOOKUP($A843,'[1]import graded seats course pivo'!$A:Z,HLOOKUP('[1]Course Totals'!B$4,'[1]import graded seats course pivo'!$1:$2,2,FALSE),FALSE))),"")</f>
        <v/>
      </c>
      <c r="C843" s="14">
        <f>IFERROR((VLOOKUP($A843,'[1]import success seats course'!$A:Q,HLOOKUP('[1]Course Totals'!C$4,'[1]import success seats course'!$1:$2,2,FALSE),FALSE)/(VLOOKUP($A843,'[1]import graded seats course pivo'!$A:AA,HLOOKUP('[1]Course Totals'!C$4,'[1]import graded seats course pivo'!$1:$2,2,FALSE),FALSE))),"")</f>
        <v>0.94117647058823528</v>
      </c>
      <c r="D843" s="14">
        <f>IFERROR((VLOOKUP($A843,'[1]import success seats course'!$A:R,HLOOKUP('[1]Course Totals'!D$4,'[1]import success seats course'!$1:$2,2,FALSE),FALSE)/(VLOOKUP($A843,'[1]import graded seats course pivo'!$A:AB,HLOOKUP('[1]Course Totals'!D$4,'[1]import graded seats course pivo'!$1:$2,2,FALSE),FALSE))),"")</f>
        <v>1</v>
      </c>
      <c r="E843" s="14" t="str">
        <f>IFERROR((VLOOKUP($A843,'[1]import success seats course'!$A:S,HLOOKUP('[1]Course Totals'!E$4,'[1]import success seats course'!$1:$2,2,FALSE),FALSE)/(VLOOKUP($A843,'[1]import graded seats course pivo'!$A:AC,HLOOKUP('[1]Course Totals'!E$4,'[1]import graded seats course pivo'!$1:$2,2,FALSE),FALSE))),"")</f>
        <v/>
      </c>
      <c r="F843" s="14">
        <f>IFERROR((VLOOKUP($A843,'[1]import success seats course'!$A:T,HLOOKUP('[1]Course Totals'!F$4,'[1]import success seats course'!$1:$2,2,FALSE),FALSE)/(VLOOKUP($A843,'[1]import graded seats course pivo'!$A:AD,HLOOKUP('[1]Course Totals'!F$4,'[1]import graded seats course pivo'!$1:$2,2,FALSE),FALSE))),"")</f>
        <v>1</v>
      </c>
      <c r="G843" s="14">
        <f>IFERROR((VLOOKUP($A843,'[1]import success seats course'!$A:U,HLOOKUP('[1]Course Totals'!G$4,'[1]import success seats course'!$1:$2,2,FALSE),FALSE)/(VLOOKUP($A843,'[1]import graded seats course pivo'!$A:AE,HLOOKUP('[1]Course Totals'!G$4,'[1]import graded seats course pivo'!$1:$2,2,FALSE),FALSE))),"")</f>
        <v>0.91666666666666663</v>
      </c>
      <c r="H843" s="14" t="str">
        <f>IFERROR((VLOOKUP($A843,'[1]import success seats course'!$A:V,HLOOKUP('[1]Course Totals'!H$4,'[1]import success seats course'!$1:$2,2,FALSE),FALSE)/(VLOOKUP($A843,'[1]import graded seats course pivo'!$A:AF,HLOOKUP('[1]Course Totals'!H$4,'[1]import graded seats course pivo'!$1:$2,2,FALSE),FALSE))),"")</f>
        <v/>
      </c>
      <c r="I843" s="14">
        <f>IFERROR((VLOOKUP($A843,'[1]import success seats course'!$A:W,HLOOKUP('[1]Course Totals'!I$4,'[1]import success seats course'!$1:$2,2,FALSE),FALSE)/(VLOOKUP($A843,'[1]import graded seats course pivo'!$A:AG,HLOOKUP('[1]Course Totals'!I$4,'[1]import graded seats course pivo'!$1:$2,2,FALSE),FALSE))),"")</f>
        <v>1</v>
      </c>
      <c r="J843" s="14">
        <f>IFERROR((VLOOKUP($A843,'[1]import success seats course'!$A:X,HLOOKUP('[1]Course Totals'!J$4,'[1]import success seats course'!$1:$2,2,FALSE),FALSE)/(VLOOKUP($A843,'[1]import graded seats course pivo'!$A:AH,HLOOKUP('[1]Course Totals'!J$4,'[1]import graded seats course pivo'!$1:$2,2,FALSE),FALSE))),"")</f>
        <v>1</v>
      </c>
      <c r="K843" s="14" t="str">
        <f>IFERROR((VLOOKUP($A843,'[1]import success seats course'!$A:Y,HLOOKUP('[1]Course Totals'!K$4,'[1]import success seats course'!$1:$2,2,FALSE),FALSE)/(VLOOKUP($A843,'[1]import graded seats course pivo'!$A:AI,HLOOKUP('[1]Course Totals'!K$4,'[1]import graded seats course pivo'!$1:$2,2,FALSE),FALSE))),"")</f>
        <v/>
      </c>
      <c r="L843" s="14">
        <f>IFERROR((VLOOKUP($A843,'[1]import success seats course'!$A:Z,HLOOKUP('[1]Course Totals'!L$4,'[1]import success seats course'!$1:$2,2,FALSE),FALSE)/(VLOOKUP($A843,'[1]import graded seats course pivo'!$A:AJ,HLOOKUP('[1]Course Totals'!L$4,'[1]import graded seats course pivo'!$1:$2,2,FALSE),FALSE))),"")</f>
        <v>1</v>
      </c>
      <c r="M843" s="14">
        <f>IFERROR((VLOOKUP($A843,'[1]import success seats course'!$A:AA,HLOOKUP('[1]Course Totals'!M$4,'[1]import success seats course'!$1:$2,2,FALSE),FALSE)/(VLOOKUP($A843,'[1]import graded seats course pivo'!$A:AK,HLOOKUP('[1]Course Totals'!M$4,'[1]import graded seats course pivo'!$1:$2,2,FALSE),FALSE))),"")</f>
        <v>1</v>
      </c>
      <c r="N843" s="14" t="str">
        <f>IFERROR((VLOOKUP($A843,'[1]import success seats course'!$A:AB,HLOOKUP('[1]Course Totals'!N$4,'[1]import success seats course'!$1:$2,2,FALSE),FALSE)/(VLOOKUP($A843,'[1]import graded seats course pivo'!$A:AL,HLOOKUP('[1]Course Totals'!N$4,'[1]import graded seats course pivo'!$1:$2,2,FALSE),FALSE))),"")</f>
        <v/>
      </c>
      <c r="O843" s="14">
        <f>IFERROR((VLOOKUP($A843,'[1]import success seats course'!$A:AC,HLOOKUP('[1]Course Totals'!O$4,'[1]import success seats course'!$1:$2,2,FALSE),FALSE)/(VLOOKUP($A843,'[1]import graded seats course pivo'!$A:AM,HLOOKUP('[1]Course Totals'!O$4,'[1]import graded seats course pivo'!$1:$2,2,FALSE),FALSE))),"")</f>
        <v>1</v>
      </c>
      <c r="P843" s="14">
        <f>IFERROR((VLOOKUP($A843,'[1]import success seats course'!$A:AD,HLOOKUP('[1]Course Totals'!P$4,'[1]import success seats course'!$1:$2,2,FALSE),FALSE)/(VLOOKUP($A843,'[1]import graded seats course pivo'!$A:AN,HLOOKUP('[1]Course Totals'!P$4,'[1]import graded seats course pivo'!$1:$2,2,FALSE),FALSE))),"")</f>
        <v>1</v>
      </c>
      <c r="Q843" s="14" t="str">
        <f>IFERROR((VLOOKUP($A843,'[1]import success seats course'!$A:AE,HLOOKUP('[1]Course Totals'!Q$4,'[1]import success seats course'!$1:$2,2,FALSE),FALSE)/(VLOOKUP($A843,'[1]import graded seats course pivo'!$A:AO,HLOOKUP('[1]Course Totals'!Q$4,'[1]import graded seats course pivo'!$1:$2,2,FALSE),FALSE))),"")</f>
        <v/>
      </c>
      <c r="R843" s="14">
        <f>IFERROR((VLOOKUP($A843,'[1]import success seats course'!$A:AF,HLOOKUP('[1]Course Totals'!R$4,'[1]import success seats course'!$1:$2,2,FALSE),FALSE)/(VLOOKUP($A843,'[1]import graded seats course pivo'!$A:AP,HLOOKUP('[1]Course Totals'!R$4,'[1]import graded seats course pivo'!$1:$2,2,FALSE),FALSE))),"")</f>
        <v>0.91666666666666663</v>
      </c>
      <c r="S843" s="14">
        <f>IFERROR((VLOOKUP($A843,'[1]import success seats course'!$A:AG,HLOOKUP('[1]Course Totals'!S$4,'[1]import success seats course'!$1:$2,2,FALSE),FALSE)/(VLOOKUP($A843,'[1]import graded seats course pivo'!$A:AQ,HLOOKUP('[1]Course Totals'!S$4,'[1]import graded seats course pivo'!$1:$2,2,FALSE),FALSE))),"")</f>
        <v>1</v>
      </c>
      <c r="Z843" s="7"/>
      <c r="AA843" s="7"/>
      <c r="AB843" s="7"/>
      <c r="AC843" s="7"/>
    </row>
    <row r="844" spans="1:29" ht="15.75" customHeight="1" x14ac:dyDescent="0.25">
      <c r="A844" s="12" t="s">
        <v>397</v>
      </c>
      <c r="B844" s="14" t="str">
        <f>IFERROR((VLOOKUP($A844,'[1]import success seats course'!$A:P,HLOOKUP('[1]Course Totals'!B$4,'[1]import success seats course'!$1:$2,2,FALSE),FALSE)/(VLOOKUP($A844,'[1]import graded seats course pivo'!$A:Z,HLOOKUP('[1]Course Totals'!B$4,'[1]import graded seats course pivo'!$1:$2,2,FALSE),FALSE))),"")</f>
        <v/>
      </c>
      <c r="C844" s="14">
        <f>IFERROR((VLOOKUP($A844,'[1]import success seats course'!$A:Q,HLOOKUP('[1]Course Totals'!C$4,'[1]import success seats course'!$1:$2,2,FALSE),FALSE)/(VLOOKUP($A844,'[1]import graded seats course pivo'!$A:AA,HLOOKUP('[1]Course Totals'!C$4,'[1]import graded seats course pivo'!$1:$2,2,FALSE),FALSE))),"")</f>
        <v>1</v>
      </c>
      <c r="D844" s="14">
        <f>IFERROR((VLOOKUP($A844,'[1]import success seats course'!$A:R,HLOOKUP('[1]Course Totals'!D$4,'[1]import success seats course'!$1:$2,2,FALSE),FALSE)/(VLOOKUP($A844,'[1]import graded seats course pivo'!$A:AB,HLOOKUP('[1]Course Totals'!D$4,'[1]import graded seats course pivo'!$1:$2,2,FALSE),FALSE))),"")</f>
        <v>1</v>
      </c>
      <c r="E844" s="14" t="str">
        <f>IFERROR((VLOOKUP($A844,'[1]import success seats course'!$A:S,HLOOKUP('[1]Course Totals'!E$4,'[1]import success seats course'!$1:$2,2,FALSE),FALSE)/(VLOOKUP($A844,'[1]import graded seats course pivo'!$A:AC,HLOOKUP('[1]Course Totals'!E$4,'[1]import graded seats course pivo'!$1:$2,2,FALSE),FALSE))),"")</f>
        <v/>
      </c>
      <c r="F844" s="14">
        <f>IFERROR((VLOOKUP($A844,'[1]import success seats course'!$A:T,HLOOKUP('[1]Course Totals'!F$4,'[1]import success seats course'!$1:$2,2,FALSE),FALSE)/(VLOOKUP($A844,'[1]import graded seats course pivo'!$A:AD,HLOOKUP('[1]Course Totals'!F$4,'[1]import graded seats course pivo'!$1:$2,2,FALSE),FALSE))),"")</f>
        <v>1</v>
      </c>
      <c r="G844" s="14">
        <f>IFERROR((VLOOKUP($A844,'[1]import success seats course'!$A:U,HLOOKUP('[1]Course Totals'!G$4,'[1]import success seats course'!$1:$2,2,FALSE),FALSE)/(VLOOKUP($A844,'[1]import graded seats course pivo'!$A:AE,HLOOKUP('[1]Course Totals'!G$4,'[1]import graded seats course pivo'!$1:$2,2,FALSE),FALSE))),"")</f>
        <v>1</v>
      </c>
      <c r="H844" s="14" t="str">
        <f>IFERROR((VLOOKUP($A844,'[1]import success seats course'!$A:V,HLOOKUP('[1]Course Totals'!H$4,'[1]import success seats course'!$1:$2,2,FALSE),FALSE)/(VLOOKUP($A844,'[1]import graded seats course pivo'!$A:AF,HLOOKUP('[1]Course Totals'!H$4,'[1]import graded seats course pivo'!$1:$2,2,FALSE),FALSE))),"")</f>
        <v/>
      </c>
      <c r="I844" s="14" t="str">
        <f>IFERROR((VLOOKUP($A844,'[1]import success seats course'!$A:W,HLOOKUP('[1]Course Totals'!I$4,'[1]import success seats course'!$1:$2,2,FALSE),FALSE)/(VLOOKUP($A844,'[1]import graded seats course pivo'!$A:AG,HLOOKUP('[1]Course Totals'!I$4,'[1]import graded seats course pivo'!$1:$2,2,FALSE),FALSE))),"")</f>
        <v/>
      </c>
      <c r="J844" s="14" t="str">
        <f>IFERROR((VLOOKUP($A844,'[1]import success seats course'!$A:X,HLOOKUP('[1]Course Totals'!J$4,'[1]import success seats course'!$1:$2,2,FALSE),FALSE)/(VLOOKUP($A844,'[1]import graded seats course pivo'!$A:AH,HLOOKUP('[1]Course Totals'!J$4,'[1]import graded seats course pivo'!$1:$2,2,FALSE),FALSE))),"")</f>
        <v/>
      </c>
      <c r="K844" s="14" t="str">
        <f>IFERROR((VLOOKUP($A844,'[1]import success seats course'!$A:Y,HLOOKUP('[1]Course Totals'!K$4,'[1]import success seats course'!$1:$2,2,FALSE),FALSE)/(VLOOKUP($A844,'[1]import graded seats course pivo'!$A:AI,HLOOKUP('[1]Course Totals'!K$4,'[1]import graded seats course pivo'!$1:$2,2,FALSE),FALSE))),"")</f>
        <v/>
      </c>
      <c r="L844" s="14">
        <f>IFERROR((VLOOKUP($A844,'[1]import success seats course'!$A:Z,HLOOKUP('[1]Course Totals'!L$4,'[1]import success seats course'!$1:$2,2,FALSE),FALSE)/(VLOOKUP($A844,'[1]import graded seats course pivo'!$A:AJ,HLOOKUP('[1]Course Totals'!L$4,'[1]import graded seats course pivo'!$1:$2,2,FALSE),FALSE))),"")</f>
        <v>1</v>
      </c>
      <c r="M844" s="14">
        <f>IFERROR((VLOOKUP($A844,'[1]import success seats course'!$A:AA,HLOOKUP('[1]Course Totals'!M$4,'[1]import success seats course'!$1:$2,2,FALSE),FALSE)/(VLOOKUP($A844,'[1]import graded seats course pivo'!$A:AK,HLOOKUP('[1]Course Totals'!M$4,'[1]import graded seats course pivo'!$1:$2,2,FALSE),FALSE))),"")</f>
        <v>1</v>
      </c>
      <c r="N844" s="14" t="str">
        <f>IFERROR((VLOOKUP($A844,'[1]import success seats course'!$A:AB,HLOOKUP('[1]Course Totals'!N$4,'[1]import success seats course'!$1:$2,2,FALSE),FALSE)/(VLOOKUP($A844,'[1]import graded seats course pivo'!$A:AL,HLOOKUP('[1]Course Totals'!N$4,'[1]import graded seats course pivo'!$1:$2,2,FALSE),FALSE))),"")</f>
        <v/>
      </c>
      <c r="O844" s="14" t="str">
        <f>IFERROR((VLOOKUP($A844,'[1]import success seats course'!$A:AC,HLOOKUP('[1]Course Totals'!O$4,'[1]import success seats course'!$1:$2,2,FALSE),FALSE)/(VLOOKUP($A844,'[1]import graded seats course pivo'!$A:AM,HLOOKUP('[1]Course Totals'!O$4,'[1]import graded seats course pivo'!$1:$2,2,FALSE),FALSE))),"")</f>
        <v/>
      </c>
      <c r="P844" s="14">
        <f>IFERROR((VLOOKUP($A844,'[1]import success seats course'!$A:AD,HLOOKUP('[1]Course Totals'!P$4,'[1]import success seats course'!$1:$2,2,FALSE),FALSE)/(VLOOKUP($A844,'[1]import graded seats course pivo'!$A:AN,HLOOKUP('[1]Course Totals'!P$4,'[1]import graded seats course pivo'!$1:$2,2,FALSE),FALSE))),"")</f>
        <v>1</v>
      </c>
      <c r="Q844" s="14" t="str">
        <f>IFERROR((VLOOKUP($A844,'[1]import success seats course'!$A:AE,HLOOKUP('[1]Course Totals'!Q$4,'[1]import success seats course'!$1:$2,2,FALSE),FALSE)/(VLOOKUP($A844,'[1]import graded seats course pivo'!$A:AO,HLOOKUP('[1]Course Totals'!Q$4,'[1]import graded seats course pivo'!$1:$2,2,FALSE),FALSE))),"")</f>
        <v/>
      </c>
      <c r="R844" s="14">
        <f>IFERROR((VLOOKUP($A844,'[1]import success seats course'!$A:AF,HLOOKUP('[1]Course Totals'!R$4,'[1]import success seats course'!$1:$2,2,FALSE),FALSE)/(VLOOKUP($A844,'[1]import graded seats course pivo'!$A:AP,HLOOKUP('[1]Course Totals'!R$4,'[1]import graded seats course pivo'!$1:$2,2,FALSE),FALSE))),"")</f>
        <v>1</v>
      </c>
      <c r="S844" s="14">
        <f>IFERROR((VLOOKUP($A844,'[1]import success seats course'!$A:AG,HLOOKUP('[1]Course Totals'!S$4,'[1]import success seats course'!$1:$2,2,FALSE),FALSE)/(VLOOKUP($A844,'[1]import graded seats course pivo'!$A:AQ,HLOOKUP('[1]Course Totals'!S$4,'[1]import graded seats course pivo'!$1:$2,2,FALSE),FALSE))),"")</f>
        <v>1</v>
      </c>
      <c r="Z844" s="7"/>
      <c r="AA844" s="7"/>
      <c r="AB844" s="7"/>
      <c r="AC844" s="7"/>
    </row>
    <row r="845" spans="1:29" ht="15.75" customHeight="1" x14ac:dyDescent="0.25">
      <c r="A845" s="12" t="s">
        <v>803</v>
      </c>
      <c r="B845" s="14" t="str">
        <f>IFERROR((VLOOKUP($A845,'[1]import success seats course'!$A:P,HLOOKUP('[1]Course Totals'!B$4,'[1]import success seats course'!$1:$2,2,FALSE),FALSE)/(VLOOKUP($A845,'[1]import graded seats course pivo'!$A:Z,HLOOKUP('[1]Course Totals'!B$4,'[1]import graded seats course pivo'!$1:$2,2,FALSE),FALSE))),"")</f>
        <v/>
      </c>
      <c r="C845" s="14" t="str">
        <f>IFERROR((VLOOKUP($A845,'[1]import success seats course'!$A:Q,HLOOKUP('[1]Course Totals'!C$4,'[1]import success seats course'!$1:$2,2,FALSE),FALSE)/(VLOOKUP($A845,'[1]import graded seats course pivo'!$A:AA,HLOOKUP('[1]Course Totals'!C$4,'[1]import graded seats course pivo'!$1:$2,2,FALSE),FALSE))),"")</f>
        <v/>
      </c>
      <c r="D845" s="14" t="str">
        <f>IFERROR((VLOOKUP($A845,'[1]import success seats course'!$A:R,HLOOKUP('[1]Course Totals'!D$4,'[1]import success seats course'!$1:$2,2,FALSE),FALSE)/(VLOOKUP($A845,'[1]import graded seats course pivo'!$A:AB,HLOOKUP('[1]Course Totals'!D$4,'[1]import graded seats course pivo'!$1:$2,2,FALSE),FALSE))),"")</f>
        <v/>
      </c>
      <c r="E845" s="14" t="str">
        <f>IFERROR((VLOOKUP($A845,'[1]import success seats course'!$A:S,HLOOKUP('[1]Course Totals'!E$4,'[1]import success seats course'!$1:$2,2,FALSE),FALSE)/(VLOOKUP($A845,'[1]import graded seats course pivo'!$A:AC,HLOOKUP('[1]Course Totals'!E$4,'[1]import graded seats course pivo'!$1:$2,2,FALSE),FALSE))),"")</f>
        <v/>
      </c>
      <c r="F845" s="14" t="str">
        <f>IFERROR((VLOOKUP($A845,'[1]import success seats course'!$A:T,HLOOKUP('[1]Course Totals'!F$4,'[1]import success seats course'!$1:$2,2,FALSE),FALSE)/(VLOOKUP($A845,'[1]import graded seats course pivo'!$A:AD,HLOOKUP('[1]Course Totals'!F$4,'[1]import graded seats course pivo'!$1:$2,2,FALSE),FALSE))),"")</f>
        <v/>
      </c>
      <c r="G845" s="14" t="str">
        <f>IFERROR((VLOOKUP($A845,'[1]import success seats course'!$A:U,HLOOKUP('[1]Course Totals'!G$4,'[1]import success seats course'!$1:$2,2,FALSE),FALSE)/(VLOOKUP($A845,'[1]import graded seats course pivo'!$A:AE,HLOOKUP('[1]Course Totals'!G$4,'[1]import graded seats course pivo'!$1:$2,2,FALSE),FALSE))),"")</f>
        <v/>
      </c>
      <c r="H845" s="14" t="str">
        <f>IFERROR((VLOOKUP($A845,'[1]import success seats course'!$A:V,HLOOKUP('[1]Course Totals'!H$4,'[1]import success seats course'!$1:$2,2,FALSE),FALSE)/(VLOOKUP($A845,'[1]import graded seats course pivo'!$A:AF,HLOOKUP('[1]Course Totals'!H$4,'[1]import graded seats course pivo'!$1:$2,2,FALSE),FALSE))),"")</f>
        <v/>
      </c>
      <c r="I845" s="14" t="str">
        <f>IFERROR((VLOOKUP($A845,'[1]import success seats course'!$A:W,HLOOKUP('[1]Course Totals'!I$4,'[1]import success seats course'!$1:$2,2,FALSE),FALSE)/(VLOOKUP($A845,'[1]import graded seats course pivo'!$A:AG,HLOOKUP('[1]Course Totals'!I$4,'[1]import graded seats course pivo'!$1:$2,2,FALSE),FALSE))),"")</f>
        <v/>
      </c>
      <c r="J845" s="14" t="str">
        <f>IFERROR((VLOOKUP($A845,'[1]import success seats course'!$A:X,HLOOKUP('[1]Course Totals'!J$4,'[1]import success seats course'!$1:$2,2,FALSE),FALSE)/(VLOOKUP($A845,'[1]import graded seats course pivo'!$A:AH,HLOOKUP('[1]Course Totals'!J$4,'[1]import graded seats course pivo'!$1:$2,2,FALSE),FALSE))),"")</f>
        <v/>
      </c>
      <c r="K845" s="14" t="str">
        <f>IFERROR((VLOOKUP($A845,'[1]import success seats course'!$A:Y,HLOOKUP('[1]Course Totals'!K$4,'[1]import success seats course'!$1:$2,2,FALSE),FALSE)/(VLOOKUP($A845,'[1]import graded seats course pivo'!$A:AI,HLOOKUP('[1]Course Totals'!K$4,'[1]import graded seats course pivo'!$1:$2,2,FALSE),FALSE))),"")</f>
        <v/>
      </c>
      <c r="L845" s="14">
        <f>IFERROR((VLOOKUP($A845,'[1]import success seats course'!$A:Z,HLOOKUP('[1]Course Totals'!L$4,'[1]import success seats course'!$1:$2,2,FALSE),FALSE)/(VLOOKUP($A845,'[1]import graded seats course pivo'!$A:AJ,HLOOKUP('[1]Course Totals'!L$4,'[1]import graded seats course pivo'!$1:$2,2,FALSE),FALSE))),"")</f>
        <v>1</v>
      </c>
      <c r="M845" s="14">
        <f>IFERROR((VLOOKUP($A845,'[1]import success seats course'!$A:AA,HLOOKUP('[1]Course Totals'!M$4,'[1]import success seats course'!$1:$2,2,FALSE),FALSE)/(VLOOKUP($A845,'[1]import graded seats course pivo'!$A:AK,HLOOKUP('[1]Course Totals'!M$4,'[1]import graded seats course pivo'!$1:$2,2,FALSE),FALSE))),"")</f>
        <v>0.93333333333333335</v>
      </c>
      <c r="N845" s="14" t="str">
        <f>IFERROR((VLOOKUP($A845,'[1]import success seats course'!$A:AB,HLOOKUP('[1]Course Totals'!N$4,'[1]import success seats course'!$1:$2,2,FALSE),FALSE)/(VLOOKUP($A845,'[1]import graded seats course pivo'!$A:AL,HLOOKUP('[1]Course Totals'!N$4,'[1]import graded seats course pivo'!$1:$2,2,FALSE),FALSE))),"")</f>
        <v/>
      </c>
      <c r="O845" s="14">
        <f>IFERROR((VLOOKUP($A845,'[1]import success seats course'!$A:AC,HLOOKUP('[1]Course Totals'!O$4,'[1]import success seats course'!$1:$2,2,FALSE),FALSE)/(VLOOKUP($A845,'[1]import graded seats course pivo'!$A:AM,HLOOKUP('[1]Course Totals'!O$4,'[1]import graded seats course pivo'!$1:$2,2,FALSE),FALSE))),"")</f>
        <v>1</v>
      </c>
      <c r="P845" s="14">
        <f>IFERROR((VLOOKUP($A845,'[1]import success seats course'!$A:AD,HLOOKUP('[1]Course Totals'!P$4,'[1]import success seats course'!$1:$2,2,FALSE),FALSE)/(VLOOKUP($A845,'[1]import graded seats course pivo'!$A:AN,HLOOKUP('[1]Course Totals'!P$4,'[1]import graded seats course pivo'!$1:$2,2,FALSE),FALSE))),"")</f>
        <v>1</v>
      </c>
      <c r="Q845" s="14" t="str">
        <f>IFERROR((VLOOKUP($A845,'[1]import success seats course'!$A:AE,HLOOKUP('[1]Course Totals'!Q$4,'[1]import success seats course'!$1:$2,2,FALSE),FALSE)/(VLOOKUP($A845,'[1]import graded seats course pivo'!$A:AO,HLOOKUP('[1]Course Totals'!Q$4,'[1]import graded seats course pivo'!$1:$2,2,FALSE),FALSE))),"")</f>
        <v/>
      </c>
      <c r="R845" s="14">
        <f>IFERROR((VLOOKUP($A845,'[1]import success seats course'!$A:AF,HLOOKUP('[1]Course Totals'!R$4,'[1]import success seats course'!$1:$2,2,FALSE),FALSE)/(VLOOKUP($A845,'[1]import graded seats course pivo'!$A:AP,HLOOKUP('[1]Course Totals'!R$4,'[1]import graded seats course pivo'!$1:$2,2,FALSE),FALSE))),"")</f>
        <v>1</v>
      </c>
      <c r="S845" s="14">
        <f>IFERROR((VLOOKUP($A845,'[1]import success seats course'!$A:AG,HLOOKUP('[1]Course Totals'!S$4,'[1]import success seats course'!$1:$2,2,FALSE),FALSE)/(VLOOKUP($A845,'[1]import graded seats course pivo'!$A:AQ,HLOOKUP('[1]Course Totals'!S$4,'[1]import graded seats course pivo'!$1:$2,2,FALSE),FALSE))),"")</f>
        <v>1</v>
      </c>
      <c r="Z845" s="7"/>
      <c r="AA845" s="7"/>
      <c r="AB845" s="7"/>
      <c r="AC845" s="7"/>
    </row>
    <row r="846" spans="1:29" ht="15.75" customHeight="1" x14ac:dyDescent="0.25">
      <c r="A846" s="12" t="s">
        <v>804</v>
      </c>
      <c r="B846" s="14" t="str">
        <f>IFERROR((VLOOKUP($A846,'[1]import success seats course'!$A:P,HLOOKUP('[1]Course Totals'!B$4,'[1]import success seats course'!$1:$2,2,FALSE),FALSE)/(VLOOKUP($A846,'[1]import graded seats course pivo'!$A:Z,HLOOKUP('[1]Course Totals'!B$4,'[1]import graded seats course pivo'!$1:$2,2,FALSE),FALSE))),"")</f>
        <v/>
      </c>
      <c r="C846" s="14" t="str">
        <f>IFERROR((VLOOKUP($A846,'[1]import success seats course'!$A:Q,HLOOKUP('[1]Course Totals'!C$4,'[1]import success seats course'!$1:$2,2,FALSE),FALSE)/(VLOOKUP($A846,'[1]import graded seats course pivo'!$A:AA,HLOOKUP('[1]Course Totals'!C$4,'[1]import graded seats course pivo'!$1:$2,2,FALSE),FALSE))),"")</f>
        <v/>
      </c>
      <c r="D846" s="14">
        <f>IFERROR((VLOOKUP($A846,'[1]import success seats course'!$A:R,HLOOKUP('[1]Course Totals'!D$4,'[1]import success seats course'!$1:$2,2,FALSE),FALSE)/(VLOOKUP($A846,'[1]import graded seats course pivo'!$A:AB,HLOOKUP('[1]Course Totals'!D$4,'[1]import graded seats course pivo'!$1:$2,2,FALSE),FALSE))),"")</f>
        <v>0.625</v>
      </c>
      <c r="E846" s="14" t="str">
        <f>IFERROR((VLOOKUP($A846,'[1]import success seats course'!$A:S,HLOOKUP('[1]Course Totals'!E$4,'[1]import success seats course'!$1:$2,2,FALSE),FALSE)/(VLOOKUP($A846,'[1]import graded seats course pivo'!$A:AC,HLOOKUP('[1]Course Totals'!E$4,'[1]import graded seats course pivo'!$1:$2,2,FALSE),FALSE))),"")</f>
        <v/>
      </c>
      <c r="F846" s="14" t="str">
        <f>IFERROR((VLOOKUP($A846,'[1]import success seats course'!$A:T,HLOOKUP('[1]Course Totals'!F$4,'[1]import success seats course'!$1:$2,2,FALSE),FALSE)/(VLOOKUP($A846,'[1]import graded seats course pivo'!$A:AD,HLOOKUP('[1]Course Totals'!F$4,'[1]import graded seats course pivo'!$1:$2,2,FALSE),FALSE))),"")</f>
        <v/>
      </c>
      <c r="G846" s="14">
        <f>IFERROR((VLOOKUP($A846,'[1]import success seats course'!$A:U,HLOOKUP('[1]Course Totals'!G$4,'[1]import success seats course'!$1:$2,2,FALSE),FALSE)/(VLOOKUP($A846,'[1]import graded seats course pivo'!$A:AE,HLOOKUP('[1]Course Totals'!G$4,'[1]import graded seats course pivo'!$1:$2,2,FALSE),FALSE))),"")</f>
        <v>1</v>
      </c>
      <c r="H846" s="14" t="str">
        <f>IFERROR((VLOOKUP($A846,'[1]import success seats course'!$A:V,HLOOKUP('[1]Course Totals'!H$4,'[1]import success seats course'!$1:$2,2,FALSE),FALSE)/(VLOOKUP($A846,'[1]import graded seats course pivo'!$A:AF,HLOOKUP('[1]Course Totals'!H$4,'[1]import graded seats course pivo'!$1:$2,2,FALSE),FALSE))),"")</f>
        <v/>
      </c>
      <c r="I846" s="14" t="str">
        <f>IFERROR((VLOOKUP($A846,'[1]import success seats course'!$A:W,HLOOKUP('[1]Course Totals'!I$4,'[1]import success seats course'!$1:$2,2,FALSE),FALSE)/(VLOOKUP($A846,'[1]import graded seats course pivo'!$A:AG,HLOOKUP('[1]Course Totals'!I$4,'[1]import graded seats course pivo'!$1:$2,2,FALSE),FALSE))),"")</f>
        <v/>
      </c>
      <c r="J846" s="14">
        <f>IFERROR((VLOOKUP($A846,'[1]import success seats course'!$A:X,HLOOKUP('[1]Course Totals'!J$4,'[1]import success seats course'!$1:$2,2,FALSE),FALSE)/(VLOOKUP($A846,'[1]import graded seats course pivo'!$A:AH,HLOOKUP('[1]Course Totals'!J$4,'[1]import graded seats course pivo'!$1:$2,2,FALSE),FALSE))),"")</f>
        <v>1</v>
      </c>
      <c r="K846" s="14" t="str">
        <f>IFERROR((VLOOKUP($A846,'[1]import success seats course'!$A:Y,HLOOKUP('[1]Course Totals'!K$4,'[1]import success seats course'!$1:$2,2,FALSE),FALSE)/(VLOOKUP($A846,'[1]import graded seats course pivo'!$A:AI,HLOOKUP('[1]Course Totals'!K$4,'[1]import graded seats course pivo'!$1:$2,2,FALSE),FALSE))),"")</f>
        <v/>
      </c>
      <c r="L846" s="14">
        <f>IFERROR((VLOOKUP($A846,'[1]import success seats course'!$A:Z,HLOOKUP('[1]Course Totals'!L$4,'[1]import success seats course'!$1:$2,2,FALSE),FALSE)/(VLOOKUP($A846,'[1]import graded seats course pivo'!$A:AJ,HLOOKUP('[1]Course Totals'!L$4,'[1]import graded seats course pivo'!$1:$2,2,FALSE),FALSE))),"")</f>
        <v>1</v>
      </c>
      <c r="M846" s="14" t="str">
        <f>IFERROR((VLOOKUP($A846,'[1]import success seats course'!$A:AA,HLOOKUP('[1]Course Totals'!M$4,'[1]import success seats course'!$1:$2,2,FALSE),FALSE)/(VLOOKUP($A846,'[1]import graded seats course pivo'!$A:AK,HLOOKUP('[1]Course Totals'!M$4,'[1]import graded seats course pivo'!$1:$2,2,FALSE),FALSE))),"")</f>
        <v/>
      </c>
      <c r="N846" s="14" t="str">
        <f>IFERROR((VLOOKUP($A846,'[1]import success seats course'!$A:AB,HLOOKUP('[1]Course Totals'!N$4,'[1]import success seats course'!$1:$2,2,FALSE),FALSE)/(VLOOKUP($A846,'[1]import graded seats course pivo'!$A:AL,HLOOKUP('[1]Course Totals'!N$4,'[1]import graded seats course pivo'!$1:$2,2,FALSE),FALSE))),"")</f>
        <v/>
      </c>
      <c r="O846" s="14">
        <f>IFERROR((VLOOKUP($A846,'[1]import success seats course'!$A:AC,HLOOKUP('[1]Course Totals'!O$4,'[1]import success seats course'!$1:$2,2,FALSE),FALSE)/(VLOOKUP($A846,'[1]import graded seats course pivo'!$A:AM,HLOOKUP('[1]Course Totals'!O$4,'[1]import graded seats course pivo'!$1:$2,2,FALSE),FALSE))),"")</f>
        <v>0.91666666666666663</v>
      </c>
      <c r="P846" s="14" t="str">
        <f>IFERROR((VLOOKUP($A846,'[1]import success seats course'!$A:AD,HLOOKUP('[1]Course Totals'!P$4,'[1]import success seats course'!$1:$2,2,FALSE),FALSE)/(VLOOKUP($A846,'[1]import graded seats course pivo'!$A:AN,HLOOKUP('[1]Course Totals'!P$4,'[1]import graded seats course pivo'!$1:$2,2,FALSE),FALSE))),"")</f>
        <v/>
      </c>
      <c r="Q846" s="14" t="str">
        <f>IFERROR((VLOOKUP($A846,'[1]import success seats course'!$A:AE,HLOOKUP('[1]Course Totals'!Q$4,'[1]import success seats course'!$1:$2,2,FALSE),FALSE)/(VLOOKUP($A846,'[1]import graded seats course pivo'!$A:AO,HLOOKUP('[1]Course Totals'!Q$4,'[1]import graded seats course pivo'!$1:$2,2,FALSE),FALSE))),"")</f>
        <v/>
      </c>
      <c r="R846" s="14">
        <f>IFERROR((VLOOKUP($A846,'[1]import success seats course'!$A:AF,HLOOKUP('[1]Course Totals'!R$4,'[1]import success seats course'!$1:$2,2,FALSE),FALSE)/(VLOOKUP($A846,'[1]import graded seats course pivo'!$A:AP,HLOOKUP('[1]Course Totals'!R$4,'[1]import graded seats course pivo'!$1:$2,2,FALSE),FALSE))),"")</f>
        <v>0.8571428571428571</v>
      </c>
      <c r="S846" s="14" t="str">
        <f>IFERROR((VLOOKUP($A846,'[1]import success seats course'!$A:AG,HLOOKUP('[1]Course Totals'!S$4,'[1]import success seats course'!$1:$2,2,FALSE),FALSE)/(VLOOKUP($A846,'[1]import graded seats course pivo'!$A:AQ,HLOOKUP('[1]Course Totals'!S$4,'[1]import graded seats course pivo'!$1:$2,2,FALSE),FALSE))),"")</f>
        <v/>
      </c>
      <c r="Z846" s="7"/>
      <c r="AA846" s="7"/>
      <c r="AB846" s="7"/>
      <c r="AC846" s="7"/>
    </row>
    <row r="847" spans="1:29" ht="15.75" customHeight="1" x14ac:dyDescent="0.25">
      <c r="A847" s="12" t="s">
        <v>398</v>
      </c>
      <c r="B847" s="14" t="str">
        <f>IFERROR((VLOOKUP($A847,'[1]import success seats course'!$A:P,HLOOKUP('[1]Course Totals'!B$4,'[1]import success seats course'!$1:$2,2,FALSE),FALSE)/(VLOOKUP($A847,'[1]import graded seats course pivo'!$A:Z,HLOOKUP('[1]Course Totals'!B$4,'[1]import graded seats course pivo'!$1:$2,2,FALSE),FALSE))),"")</f>
        <v/>
      </c>
      <c r="C847" s="14">
        <f>IFERROR((VLOOKUP($A847,'[1]import success seats course'!$A:Q,HLOOKUP('[1]Course Totals'!C$4,'[1]import success seats course'!$1:$2,2,FALSE),FALSE)/(VLOOKUP($A847,'[1]import graded seats course pivo'!$A:AA,HLOOKUP('[1]Course Totals'!C$4,'[1]import graded seats course pivo'!$1:$2,2,FALSE),FALSE))),"")</f>
        <v>1</v>
      </c>
      <c r="D847" s="14">
        <f>IFERROR((VLOOKUP($A847,'[1]import success seats course'!$A:R,HLOOKUP('[1]Course Totals'!D$4,'[1]import success seats course'!$1:$2,2,FALSE),FALSE)/(VLOOKUP($A847,'[1]import graded seats course pivo'!$A:AB,HLOOKUP('[1]Course Totals'!D$4,'[1]import graded seats course pivo'!$1:$2,2,FALSE),FALSE))),"")</f>
        <v>1</v>
      </c>
      <c r="E847" s="14" t="str">
        <f>IFERROR((VLOOKUP($A847,'[1]import success seats course'!$A:S,HLOOKUP('[1]Course Totals'!E$4,'[1]import success seats course'!$1:$2,2,FALSE),FALSE)/(VLOOKUP($A847,'[1]import graded seats course pivo'!$A:AC,HLOOKUP('[1]Course Totals'!E$4,'[1]import graded seats course pivo'!$1:$2,2,FALSE),FALSE))),"")</f>
        <v/>
      </c>
      <c r="F847" s="14">
        <f>IFERROR((VLOOKUP($A847,'[1]import success seats course'!$A:T,HLOOKUP('[1]Course Totals'!F$4,'[1]import success seats course'!$1:$2,2,FALSE),FALSE)/(VLOOKUP($A847,'[1]import graded seats course pivo'!$A:AD,HLOOKUP('[1]Course Totals'!F$4,'[1]import graded seats course pivo'!$1:$2,2,FALSE),FALSE))),"")</f>
        <v>1</v>
      </c>
      <c r="G847" s="14">
        <f>IFERROR((VLOOKUP($A847,'[1]import success seats course'!$A:U,HLOOKUP('[1]Course Totals'!G$4,'[1]import success seats course'!$1:$2,2,FALSE),FALSE)/(VLOOKUP($A847,'[1]import graded seats course pivo'!$A:AE,HLOOKUP('[1]Course Totals'!G$4,'[1]import graded seats course pivo'!$1:$2,2,FALSE),FALSE))),"")</f>
        <v>1</v>
      </c>
      <c r="H847" s="14" t="str">
        <f>IFERROR((VLOOKUP($A847,'[1]import success seats course'!$A:V,HLOOKUP('[1]Course Totals'!H$4,'[1]import success seats course'!$1:$2,2,FALSE),FALSE)/(VLOOKUP($A847,'[1]import graded seats course pivo'!$A:AF,HLOOKUP('[1]Course Totals'!H$4,'[1]import graded seats course pivo'!$1:$2,2,FALSE),FALSE))),"")</f>
        <v/>
      </c>
      <c r="I847" s="14">
        <f>IFERROR((VLOOKUP($A847,'[1]import success seats course'!$A:W,HLOOKUP('[1]Course Totals'!I$4,'[1]import success seats course'!$1:$2,2,FALSE),FALSE)/(VLOOKUP($A847,'[1]import graded seats course pivo'!$A:AG,HLOOKUP('[1]Course Totals'!I$4,'[1]import graded seats course pivo'!$1:$2,2,FALSE),FALSE))),"")</f>
        <v>1</v>
      </c>
      <c r="J847" s="14">
        <f>IFERROR((VLOOKUP($A847,'[1]import success seats course'!$A:X,HLOOKUP('[1]Course Totals'!J$4,'[1]import success seats course'!$1:$2,2,FALSE),FALSE)/(VLOOKUP($A847,'[1]import graded seats course pivo'!$A:AH,HLOOKUP('[1]Course Totals'!J$4,'[1]import graded seats course pivo'!$1:$2,2,FALSE),FALSE))),"")</f>
        <v>1</v>
      </c>
      <c r="K847" s="14" t="str">
        <f>IFERROR((VLOOKUP($A847,'[1]import success seats course'!$A:Y,HLOOKUP('[1]Course Totals'!K$4,'[1]import success seats course'!$1:$2,2,FALSE),FALSE)/(VLOOKUP($A847,'[1]import graded seats course pivo'!$A:AI,HLOOKUP('[1]Course Totals'!K$4,'[1]import graded seats course pivo'!$1:$2,2,FALSE),FALSE))),"")</f>
        <v/>
      </c>
      <c r="L847" s="14">
        <f>IFERROR((VLOOKUP($A847,'[1]import success seats course'!$A:Z,HLOOKUP('[1]Course Totals'!L$4,'[1]import success seats course'!$1:$2,2,FALSE),FALSE)/(VLOOKUP($A847,'[1]import graded seats course pivo'!$A:AJ,HLOOKUP('[1]Course Totals'!L$4,'[1]import graded seats course pivo'!$1:$2,2,FALSE),FALSE))),"")</f>
        <v>1</v>
      </c>
      <c r="M847" s="14">
        <f>IFERROR((VLOOKUP($A847,'[1]import success seats course'!$A:AA,HLOOKUP('[1]Course Totals'!M$4,'[1]import success seats course'!$1:$2,2,FALSE),FALSE)/(VLOOKUP($A847,'[1]import graded seats course pivo'!$A:AK,HLOOKUP('[1]Course Totals'!M$4,'[1]import graded seats course pivo'!$1:$2,2,FALSE),FALSE))),"")</f>
        <v>1</v>
      </c>
      <c r="N847" s="14" t="str">
        <f>IFERROR((VLOOKUP($A847,'[1]import success seats course'!$A:AB,HLOOKUP('[1]Course Totals'!N$4,'[1]import success seats course'!$1:$2,2,FALSE),FALSE)/(VLOOKUP($A847,'[1]import graded seats course pivo'!$A:AL,HLOOKUP('[1]Course Totals'!N$4,'[1]import graded seats course pivo'!$1:$2,2,FALSE),FALSE))),"")</f>
        <v/>
      </c>
      <c r="O847" s="14">
        <f>IFERROR((VLOOKUP($A847,'[1]import success seats course'!$A:AC,HLOOKUP('[1]Course Totals'!O$4,'[1]import success seats course'!$1:$2,2,FALSE),FALSE)/(VLOOKUP($A847,'[1]import graded seats course pivo'!$A:AM,HLOOKUP('[1]Course Totals'!O$4,'[1]import graded seats course pivo'!$1:$2,2,FALSE),FALSE))),"")</f>
        <v>1</v>
      </c>
      <c r="P847" s="14" t="str">
        <f>IFERROR((VLOOKUP($A847,'[1]import success seats course'!$A:AD,HLOOKUP('[1]Course Totals'!P$4,'[1]import success seats course'!$1:$2,2,FALSE),FALSE)/(VLOOKUP($A847,'[1]import graded seats course pivo'!$A:AN,HLOOKUP('[1]Course Totals'!P$4,'[1]import graded seats course pivo'!$1:$2,2,FALSE),FALSE))),"")</f>
        <v/>
      </c>
      <c r="Q847" s="14" t="str">
        <f>IFERROR((VLOOKUP($A847,'[1]import success seats course'!$A:AE,HLOOKUP('[1]Course Totals'!Q$4,'[1]import success seats course'!$1:$2,2,FALSE),FALSE)/(VLOOKUP($A847,'[1]import graded seats course pivo'!$A:AO,HLOOKUP('[1]Course Totals'!Q$4,'[1]import graded seats course pivo'!$1:$2,2,FALSE),FALSE))),"")</f>
        <v/>
      </c>
      <c r="R847" s="14" t="str">
        <f>IFERROR((VLOOKUP($A847,'[1]import success seats course'!$A:AF,HLOOKUP('[1]Course Totals'!R$4,'[1]import success seats course'!$1:$2,2,FALSE),FALSE)/(VLOOKUP($A847,'[1]import graded seats course pivo'!$A:AP,HLOOKUP('[1]Course Totals'!R$4,'[1]import graded seats course pivo'!$1:$2,2,FALSE),FALSE))),"")</f>
        <v/>
      </c>
      <c r="S847" s="14">
        <f>IFERROR((VLOOKUP($A847,'[1]import success seats course'!$A:AG,HLOOKUP('[1]Course Totals'!S$4,'[1]import success seats course'!$1:$2,2,FALSE),FALSE)/(VLOOKUP($A847,'[1]import graded seats course pivo'!$A:AQ,HLOOKUP('[1]Course Totals'!S$4,'[1]import graded seats course pivo'!$1:$2,2,FALSE),FALSE))),"")</f>
        <v>1</v>
      </c>
      <c r="Z847" s="7"/>
      <c r="AA847" s="7"/>
      <c r="AB847" s="7"/>
      <c r="AC847" s="7"/>
    </row>
    <row r="848" spans="1:29" ht="15.75" x14ac:dyDescent="0.25">
      <c r="A848" s="9" t="s">
        <v>1139</v>
      </c>
      <c r="B848" s="67" t="str">
        <f>'[1]Subject TOTALS'!$B$1:$P$1</f>
        <v xml:space="preserve">MVC Retention Rates </v>
      </c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Z848" s="7"/>
      <c r="AA848" s="7"/>
      <c r="AB848" s="7"/>
      <c r="AC848" s="7"/>
    </row>
    <row r="849" spans="1:29" ht="15.75" customHeight="1" thickBot="1" x14ac:dyDescent="0.3">
      <c r="A849" s="8" t="str">
        <f>'[1]SUBJECTS BASE'!H48</f>
        <v>Networking</v>
      </c>
      <c r="B849" s="38" t="s">
        <v>1046</v>
      </c>
      <c r="C849" s="39" t="s">
        <v>0</v>
      </c>
      <c r="D849" s="40" t="s">
        <v>868</v>
      </c>
      <c r="E849" s="41" t="s">
        <v>1052</v>
      </c>
      <c r="F849" s="42" t="s">
        <v>546</v>
      </c>
      <c r="G849" s="43" t="s">
        <v>959</v>
      </c>
      <c r="H849" s="44" t="s">
        <v>1060</v>
      </c>
      <c r="I849" s="39" t="s">
        <v>675</v>
      </c>
      <c r="J849" s="45" t="s">
        <v>1006</v>
      </c>
      <c r="K849" s="46" t="s">
        <v>1062</v>
      </c>
      <c r="L849" s="42" t="s">
        <v>762</v>
      </c>
      <c r="M849" s="43" t="s">
        <v>1022</v>
      </c>
      <c r="N849" s="44" t="s">
        <v>1063</v>
      </c>
      <c r="O849" s="39" t="s">
        <v>822</v>
      </c>
      <c r="P849" s="40" t="s">
        <v>1042</v>
      </c>
      <c r="Q849" s="46" t="s">
        <v>1153</v>
      </c>
      <c r="R849" s="42" t="s">
        <v>1154</v>
      </c>
      <c r="S849" s="43" t="s">
        <v>1155</v>
      </c>
      <c r="Z849" s="7"/>
      <c r="AA849" s="7"/>
      <c r="AB849" s="7"/>
      <c r="AC849" s="7"/>
    </row>
    <row r="850" spans="1:29" ht="15.75" customHeight="1" x14ac:dyDescent="0.25">
      <c r="A850" s="12" t="s">
        <v>645</v>
      </c>
      <c r="B850" s="14" t="str">
        <f>IFERROR((VLOOKUP($A850,'[1]import success seats course'!$A:P,HLOOKUP('[1]Course Totals'!B$4,'[1]import success seats course'!$1:$2,2,FALSE),FALSE)/(VLOOKUP($A850,'[1]import graded seats course pivo'!$A:Z,HLOOKUP('[1]Course Totals'!B$4,'[1]import graded seats course pivo'!$1:$2,2,FALSE),FALSE))),"")</f>
        <v/>
      </c>
      <c r="C850" s="14" t="str">
        <f>IFERROR((VLOOKUP($A850,'[1]import success seats course'!$A:Q,HLOOKUP('[1]Course Totals'!C$4,'[1]import success seats course'!$1:$2,2,FALSE),FALSE)/(VLOOKUP($A850,'[1]import graded seats course pivo'!$A:AA,HLOOKUP('[1]Course Totals'!C$4,'[1]import graded seats course pivo'!$1:$2,2,FALSE),FALSE))),"")</f>
        <v/>
      </c>
      <c r="D850" s="14">
        <f>IFERROR((VLOOKUP($A850,'[1]import success seats course'!$A:R,HLOOKUP('[1]Course Totals'!D$4,'[1]import success seats course'!$1:$2,2,FALSE),FALSE)/(VLOOKUP($A850,'[1]import graded seats course pivo'!$A:AB,HLOOKUP('[1]Course Totals'!D$4,'[1]import graded seats course pivo'!$1:$2,2,FALSE),FALSE))),"")</f>
        <v>1</v>
      </c>
      <c r="E850" s="14" t="str">
        <f>IFERROR((VLOOKUP($A850,'[1]import success seats course'!$A:S,HLOOKUP('[1]Course Totals'!E$4,'[1]import success seats course'!$1:$2,2,FALSE),FALSE)/(VLOOKUP($A850,'[1]import graded seats course pivo'!$A:AC,HLOOKUP('[1]Course Totals'!E$4,'[1]import graded seats course pivo'!$1:$2,2,FALSE),FALSE))),"")</f>
        <v/>
      </c>
      <c r="F850" s="14">
        <f>IFERROR((VLOOKUP($A850,'[1]import success seats course'!$A:T,HLOOKUP('[1]Course Totals'!F$4,'[1]import success seats course'!$1:$2,2,FALSE),FALSE)/(VLOOKUP($A850,'[1]import graded seats course pivo'!$A:AD,HLOOKUP('[1]Course Totals'!F$4,'[1]import graded seats course pivo'!$1:$2,2,FALSE),FALSE))),"")</f>
        <v>0.92307692307692313</v>
      </c>
      <c r="G850" s="14" t="str">
        <f>IFERROR((VLOOKUP($A850,'[1]import success seats course'!$A:U,HLOOKUP('[1]Course Totals'!G$4,'[1]import success seats course'!$1:$2,2,FALSE),FALSE)/(VLOOKUP($A850,'[1]import graded seats course pivo'!$A:AE,HLOOKUP('[1]Course Totals'!G$4,'[1]import graded seats course pivo'!$1:$2,2,FALSE),FALSE))),"")</f>
        <v/>
      </c>
      <c r="H850" s="14" t="str">
        <f>IFERROR((VLOOKUP($A850,'[1]import success seats course'!$A:V,HLOOKUP('[1]Course Totals'!H$4,'[1]import success seats course'!$1:$2,2,FALSE),FALSE)/(VLOOKUP($A850,'[1]import graded seats course pivo'!$A:AF,HLOOKUP('[1]Course Totals'!H$4,'[1]import graded seats course pivo'!$1:$2,2,FALSE),FALSE))),"")</f>
        <v/>
      </c>
      <c r="I850" s="14">
        <f>IFERROR((VLOOKUP($A850,'[1]import success seats course'!$A:W,HLOOKUP('[1]Course Totals'!I$4,'[1]import success seats course'!$1:$2,2,FALSE),FALSE)/(VLOOKUP($A850,'[1]import graded seats course pivo'!$A:AG,HLOOKUP('[1]Course Totals'!I$4,'[1]import graded seats course pivo'!$1:$2,2,FALSE),FALSE))),"")</f>
        <v>0.8666666666666667</v>
      </c>
      <c r="J850" s="14">
        <f>IFERROR((VLOOKUP($A850,'[1]import success seats course'!$A:X,HLOOKUP('[1]Course Totals'!J$4,'[1]import success seats course'!$1:$2,2,FALSE),FALSE)/(VLOOKUP($A850,'[1]import graded seats course pivo'!$A:AH,HLOOKUP('[1]Course Totals'!J$4,'[1]import graded seats course pivo'!$1:$2,2,FALSE),FALSE))),"")</f>
        <v>1</v>
      </c>
      <c r="K850" s="14" t="str">
        <f>IFERROR((VLOOKUP($A850,'[1]import success seats course'!$A:Y,HLOOKUP('[1]Course Totals'!K$4,'[1]import success seats course'!$1:$2,2,FALSE),FALSE)/(VLOOKUP($A850,'[1]import graded seats course pivo'!$A:AI,HLOOKUP('[1]Course Totals'!K$4,'[1]import graded seats course pivo'!$1:$2,2,FALSE),FALSE))),"")</f>
        <v/>
      </c>
      <c r="L850" s="14">
        <f>IFERROR((VLOOKUP($A850,'[1]import success seats course'!$A:Z,HLOOKUP('[1]Course Totals'!L$4,'[1]import success seats course'!$1:$2,2,FALSE),FALSE)/(VLOOKUP($A850,'[1]import graded seats course pivo'!$A:AJ,HLOOKUP('[1]Course Totals'!L$4,'[1]import graded seats course pivo'!$1:$2,2,FALSE),FALSE))),"")</f>
        <v>0.66666666666666663</v>
      </c>
      <c r="M850" s="14">
        <f>IFERROR((VLOOKUP($A850,'[1]import success seats course'!$A:AA,HLOOKUP('[1]Course Totals'!M$4,'[1]import success seats course'!$1:$2,2,FALSE),FALSE)/(VLOOKUP($A850,'[1]import graded seats course pivo'!$A:AK,HLOOKUP('[1]Course Totals'!M$4,'[1]import graded seats course pivo'!$1:$2,2,FALSE),FALSE))),"")</f>
        <v>0.83333333333333337</v>
      </c>
      <c r="N850" s="14" t="str">
        <f>IFERROR((VLOOKUP($A850,'[1]import success seats course'!$A:AB,HLOOKUP('[1]Course Totals'!N$4,'[1]import success seats course'!$1:$2,2,FALSE),FALSE)/(VLOOKUP($A850,'[1]import graded seats course pivo'!$A:AL,HLOOKUP('[1]Course Totals'!N$4,'[1]import graded seats course pivo'!$1:$2,2,FALSE),FALSE))),"")</f>
        <v/>
      </c>
      <c r="O850" s="14" t="str">
        <f>IFERROR((VLOOKUP($A850,'[1]import success seats course'!$A:AC,HLOOKUP('[1]Course Totals'!O$4,'[1]import success seats course'!$1:$2,2,FALSE),FALSE)/(VLOOKUP($A850,'[1]import graded seats course pivo'!$A:AM,HLOOKUP('[1]Course Totals'!O$4,'[1]import graded seats course pivo'!$1:$2,2,FALSE),FALSE))),"")</f>
        <v/>
      </c>
      <c r="P850" s="14" t="str">
        <f>IFERROR((VLOOKUP($A850,'[1]import success seats course'!$A:AD,HLOOKUP('[1]Course Totals'!P$4,'[1]import success seats course'!$1:$2,2,FALSE),FALSE)/(VLOOKUP($A850,'[1]import graded seats course pivo'!$A:AN,HLOOKUP('[1]Course Totals'!P$4,'[1]import graded seats course pivo'!$1:$2,2,FALSE),FALSE))),"")</f>
        <v/>
      </c>
      <c r="Q850" s="14" t="str">
        <f>IFERROR((VLOOKUP($A850,'[1]import success seats course'!$A:AE,HLOOKUP('[1]Course Totals'!Q$4,'[1]import success seats course'!$1:$2,2,FALSE),FALSE)/(VLOOKUP($A850,'[1]import graded seats course pivo'!$A:AO,HLOOKUP('[1]Course Totals'!Q$4,'[1]import graded seats course pivo'!$1:$2,2,FALSE),FALSE))),"")</f>
        <v/>
      </c>
      <c r="R850" s="14" t="str">
        <f>IFERROR((VLOOKUP($A850,'[1]import success seats course'!$A:AF,HLOOKUP('[1]Course Totals'!R$4,'[1]import success seats course'!$1:$2,2,FALSE),FALSE)/(VLOOKUP($A850,'[1]import graded seats course pivo'!$A:AP,HLOOKUP('[1]Course Totals'!R$4,'[1]import graded seats course pivo'!$1:$2,2,FALSE),FALSE))),"")</f>
        <v/>
      </c>
      <c r="S850" s="14" t="str">
        <f>IFERROR((VLOOKUP($A850,'[1]import success seats course'!$A:AG,HLOOKUP('[1]Course Totals'!S$4,'[1]import success seats course'!$1:$2,2,FALSE),FALSE)/(VLOOKUP($A850,'[1]import graded seats course pivo'!$A:AQ,HLOOKUP('[1]Course Totals'!S$4,'[1]import graded seats course pivo'!$1:$2,2,FALSE),FALSE))),"")</f>
        <v/>
      </c>
      <c r="Z850" s="7"/>
      <c r="AA850" s="7"/>
      <c r="AB850" s="7"/>
      <c r="AC850" s="7"/>
    </row>
    <row r="851" spans="1:29" ht="15.75" customHeight="1" x14ac:dyDescent="0.25">
      <c r="A851" s="12" t="s">
        <v>646</v>
      </c>
      <c r="B851" s="14" t="str">
        <f>IFERROR((VLOOKUP($A851,'[1]import success seats course'!$A:P,HLOOKUP('[1]Course Totals'!B$4,'[1]import success seats course'!$1:$2,2,FALSE),FALSE)/(VLOOKUP($A851,'[1]import graded seats course pivo'!$A:Z,HLOOKUP('[1]Course Totals'!B$4,'[1]import graded seats course pivo'!$1:$2,2,FALSE),FALSE))),"")</f>
        <v/>
      </c>
      <c r="C851" s="14" t="str">
        <f>IFERROR((VLOOKUP($A851,'[1]import success seats course'!$A:Q,HLOOKUP('[1]Course Totals'!C$4,'[1]import success seats course'!$1:$2,2,FALSE),FALSE)/(VLOOKUP($A851,'[1]import graded seats course pivo'!$A:AA,HLOOKUP('[1]Course Totals'!C$4,'[1]import graded seats course pivo'!$1:$2,2,FALSE),FALSE))),"")</f>
        <v/>
      </c>
      <c r="D851" s="14" t="str">
        <f>IFERROR((VLOOKUP($A851,'[1]import success seats course'!$A:R,HLOOKUP('[1]Course Totals'!D$4,'[1]import success seats course'!$1:$2,2,FALSE),FALSE)/(VLOOKUP($A851,'[1]import graded seats course pivo'!$A:AB,HLOOKUP('[1]Course Totals'!D$4,'[1]import graded seats course pivo'!$1:$2,2,FALSE),FALSE))),"")</f>
        <v/>
      </c>
      <c r="E851" s="14" t="str">
        <f>IFERROR((VLOOKUP($A851,'[1]import success seats course'!$A:S,HLOOKUP('[1]Course Totals'!E$4,'[1]import success seats course'!$1:$2,2,FALSE),FALSE)/(VLOOKUP($A851,'[1]import graded seats course pivo'!$A:AC,HLOOKUP('[1]Course Totals'!E$4,'[1]import graded seats course pivo'!$1:$2,2,FALSE),FALSE))),"")</f>
        <v/>
      </c>
      <c r="F851" s="14">
        <f>IFERROR((VLOOKUP($A851,'[1]import success seats course'!$A:T,HLOOKUP('[1]Course Totals'!F$4,'[1]import success seats course'!$1:$2,2,FALSE),FALSE)/(VLOOKUP($A851,'[1]import graded seats course pivo'!$A:AD,HLOOKUP('[1]Course Totals'!F$4,'[1]import graded seats course pivo'!$1:$2,2,FALSE),FALSE))),"")</f>
        <v>0.93333333333333335</v>
      </c>
      <c r="G851" s="14" t="str">
        <f>IFERROR((VLOOKUP($A851,'[1]import success seats course'!$A:U,HLOOKUP('[1]Course Totals'!G$4,'[1]import success seats course'!$1:$2,2,FALSE),FALSE)/(VLOOKUP($A851,'[1]import graded seats course pivo'!$A:AE,HLOOKUP('[1]Course Totals'!G$4,'[1]import graded seats course pivo'!$1:$2,2,FALSE),FALSE))),"")</f>
        <v/>
      </c>
      <c r="H851" s="14" t="str">
        <f>IFERROR((VLOOKUP($A851,'[1]import success seats course'!$A:V,HLOOKUP('[1]Course Totals'!H$4,'[1]import success seats course'!$1:$2,2,FALSE),FALSE)/(VLOOKUP($A851,'[1]import graded seats course pivo'!$A:AF,HLOOKUP('[1]Course Totals'!H$4,'[1]import graded seats course pivo'!$1:$2,2,FALSE),FALSE))),"")</f>
        <v/>
      </c>
      <c r="I851" s="14" t="str">
        <f>IFERROR((VLOOKUP($A851,'[1]import success seats course'!$A:W,HLOOKUP('[1]Course Totals'!I$4,'[1]import success seats course'!$1:$2,2,FALSE),FALSE)/(VLOOKUP($A851,'[1]import graded seats course pivo'!$A:AG,HLOOKUP('[1]Course Totals'!I$4,'[1]import graded seats course pivo'!$1:$2,2,FALSE),FALSE))),"")</f>
        <v/>
      </c>
      <c r="J851" s="14">
        <f>IFERROR((VLOOKUP($A851,'[1]import success seats course'!$A:X,HLOOKUP('[1]Course Totals'!J$4,'[1]import success seats course'!$1:$2,2,FALSE),FALSE)/(VLOOKUP($A851,'[1]import graded seats course pivo'!$A:AH,HLOOKUP('[1]Course Totals'!J$4,'[1]import graded seats course pivo'!$1:$2,2,FALSE),FALSE))),"")</f>
        <v>0.8571428571428571</v>
      </c>
      <c r="K851" s="14" t="str">
        <f>IFERROR((VLOOKUP($A851,'[1]import success seats course'!$A:Y,HLOOKUP('[1]Course Totals'!K$4,'[1]import success seats course'!$1:$2,2,FALSE),FALSE)/(VLOOKUP($A851,'[1]import graded seats course pivo'!$A:AI,HLOOKUP('[1]Course Totals'!K$4,'[1]import graded seats course pivo'!$1:$2,2,FALSE),FALSE))),"")</f>
        <v/>
      </c>
      <c r="L851" s="14">
        <f>IFERROR((VLOOKUP($A851,'[1]import success seats course'!$A:Z,HLOOKUP('[1]Course Totals'!L$4,'[1]import success seats course'!$1:$2,2,FALSE),FALSE)/(VLOOKUP($A851,'[1]import graded seats course pivo'!$A:AJ,HLOOKUP('[1]Course Totals'!L$4,'[1]import graded seats course pivo'!$1:$2,2,FALSE),FALSE))),"")</f>
        <v>1</v>
      </c>
      <c r="M851" s="14">
        <f>IFERROR((VLOOKUP($A851,'[1]import success seats course'!$A:AA,HLOOKUP('[1]Course Totals'!M$4,'[1]import success seats course'!$1:$2,2,FALSE),FALSE)/(VLOOKUP($A851,'[1]import graded seats course pivo'!$A:AK,HLOOKUP('[1]Course Totals'!M$4,'[1]import graded seats course pivo'!$1:$2,2,FALSE),FALSE))),"")</f>
        <v>1</v>
      </c>
      <c r="N851" s="14" t="str">
        <f>IFERROR((VLOOKUP($A851,'[1]import success seats course'!$A:AB,HLOOKUP('[1]Course Totals'!N$4,'[1]import success seats course'!$1:$2,2,FALSE),FALSE)/(VLOOKUP($A851,'[1]import graded seats course pivo'!$A:AL,HLOOKUP('[1]Course Totals'!N$4,'[1]import graded seats course pivo'!$1:$2,2,FALSE),FALSE))),"")</f>
        <v/>
      </c>
      <c r="O851" s="14" t="str">
        <f>IFERROR((VLOOKUP($A851,'[1]import success seats course'!$A:AC,HLOOKUP('[1]Course Totals'!O$4,'[1]import success seats course'!$1:$2,2,FALSE),FALSE)/(VLOOKUP($A851,'[1]import graded seats course pivo'!$A:AM,HLOOKUP('[1]Course Totals'!O$4,'[1]import graded seats course pivo'!$1:$2,2,FALSE),FALSE))),"")</f>
        <v/>
      </c>
      <c r="P851" s="14" t="str">
        <f>IFERROR((VLOOKUP($A851,'[1]import success seats course'!$A:AD,HLOOKUP('[1]Course Totals'!P$4,'[1]import success seats course'!$1:$2,2,FALSE),FALSE)/(VLOOKUP($A851,'[1]import graded seats course pivo'!$A:AN,HLOOKUP('[1]Course Totals'!P$4,'[1]import graded seats course pivo'!$1:$2,2,FALSE),FALSE))),"")</f>
        <v/>
      </c>
      <c r="Q851" s="14" t="str">
        <f>IFERROR((VLOOKUP($A851,'[1]import success seats course'!$A:AE,HLOOKUP('[1]Course Totals'!Q$4,'[1]import success seats course'!$1:$2,2,FALSE),FALSE)/(VLOOKUP($A851,'[1]import graded seats course pivo'!$A:AO,HLOOKUP('[1]Course Totals'!Q$4,'[1]import graded seats course pivo'!$1:$2,2,FALSE),FALSE))),"")</f>
        <v/>
      </c>
      <c r="R851" s="14" t="str">
        <f>IFERROR((VLOOKUP($A851,'[1]import success seats course'!$A:AF,HLOOKUP('[1]Course Totals'!R$4,'[1]import success seats course'!$1:$2,2,FALSE),FALSE)/(VLOOKUP($A851,'[1]import graded seats course pivo'!$A:AP,HLOOKUP('[1]Course Totals'!R$4,'[1]import graded seats course pivo'!$1:$2,2,FALSE),FALSE))),"")</f>
        <v/>
      </c>
      <c r="S851" s="14" t="str">
        <f>IFERROR((VLOOKUP($A851,'[1]import success seats course'!$A:AG,HLOOKUP('[1]Course Totals'!S$4,'[1]import success seats course'!$1:$2,2,FALSE),FALSE)/(VLOOKUP($A851,'[1]import graded seats course pivo'!$A:AQ,HLOOKUP('[1]Course Totals'!S$4,'[1]import graded seats course pivo'!$1:$2,2,FALSE),FALSE))),"")</f>
        <v/>
      </c>
      <c r="Z851" s="7"/>
      <c r="AA851" s="7"/>
      <c r="AB851" s="7"/>
      <c r="AC851" s="7"/>
    </row>
    <row r="852" spans="1:29" ht="15.75" customHeight="1" x14ac:dyDescent="0.25">
      <c r="A852" s="12" t="s">
        <v>747</v>
      </c>
      <c r="B852" s="14" t="str">
        <f>IFERROR((VLOOKUP($A852,'[1]import success seats course'!$A:P,HLOOKUP('[1]Course Totals'!B$4,'[1]import success seats course'!$1:$2,2,FALSE),FALSE)/(VLOOKUP($A852,'[1]import graded seats course pivo'!$A:Z,HLOOKUP('[1]Course Totals'!B$4,'[1]import graded seats course pivo'!$1:$2,2,FALSE),FALSE))),"")</f>
        <v/>
      </c>
      <c r="C852" s="14" t="str">
        <f>IFERROR((VLOOKUP($A852,'[1]import success seats course'!$A:Q,HLOOKUP('[1]Course Totals'!C$4,'[1]import success seats course'!$1:$2,2,FALSE),FALSE)/(VLOOKUP($A852,'[1]import graded seats course pivo'!$A:AA,HLOOKUP('[1]Course Totals'!C$4,'[1]import graded seats course pivo'!$1:$2,2,FALSE),FALSE))),"")</f>
        <v/>
      </c>
      <c r="D852" s="14">
        <f>IFERROR((VLOOKUP($A852,'[1]import success seats course'!$A:R,HLOOKUP('[1]Course Totals'!D$4,'[1]import success seats course'!$1:$2,2,FALSE),FALSE)/(VLOOKUP($A852,'[1]import graded seats course pivo'!$A:AB,HLOOKUP('[1]Course Totals'!D$4,'[1]import graded seats course pivo'!$1:$2,2,FALSE),FALSE))),"")</f>
        <v>1</v>
      </c>
      <c r="E852" s="14" t="str">
        <f>IFERROR((VLOOKUP($A852,'[1]import success seats course'!$A:S,HLOOKUP('[1]Course Totals'!E$4,'[1]import success seats course'!$1:$2,2,FALSE),FALSE)/(VLOOKUP($A852,'[1]import graded seats course pivo'!$A:AC,HLOOKUP('[1]Course Totals'!E$4,'[1]import graded seats course pivo'!$1:$2,2,FALSE),FALSE))),"")</f>
        <v/>
      </c>
      <c r="F852" s="14" t="str">
        <f>IFERROR((VLOOKUP($A852,'[1]import success seats course'!$A:T,HLOOKUP('[1]Course Totals'!F$4,'[1]import success seats course'!$1:$2,2,FALSE),FALSE)/(VLOOKUP($A852,'[1]import graded seats course pivo'!$A:AD,HLOOKUP('[1]Course Totals'!F$4,'[1]import graded seats course pivo'!$1:$2,2,FALSE),FALSE))),"")</f>
        <v/>
      </c>
      <c r="G852" s="14" t="str">
        <f>IFERROR((VLOOKUP($A852,'[1]import success seats course'!$A:U,HLOOKUP('[1]Course Totals'!G$4,'[1]import success seats course'!$1:$2,2,FALSE),FALSE)/(VLOOKUP($A852,'[1]import graded seats course pivo'!$A:AE,HLOOKUP('[1]Course Totals'!G$4,'[1]import graded seats course pivo'!$1:$2,2,FALSE),FALSE))),"")</f>
        <v/>
      </c>
      <c r="H852" s="14" t="str">
        <f>IFERROR((VLOOKUP($A852,'[1]import success seats course'!$A:V,HLOOKUP('[1]Course Totals'!H$4,'[1]import success seats course'!$1:$2,2,FALSE),FALSE)/(VLOOKUP($A852,'[1]import graded seats course pivo'!$A:AF,HLOOKUP('[1]Course Totals'!H$4,'[1]import graded seats course pivo'!$1:$2,2,FALSE),FALSE))),"")</f>
        <v/>
      </c>
      <c r="I852" s="14">
        <f>IFERROR((VLOOKUP($A852,'[1]import success seats course'!$A:W,HLOOKUP('[1]Course Totals'!I$4,'[1]import success seats course'!$1:$2,2,FALSE),FALSE)/(VLOOKUP($A852,'[1]import graded seats course pivo'!$A:AG,HLOOKUP('[1]Course Totals'!I$4,'[1]import graded seats course pivo'!$1:$2,2,FALSE),FALSE))),"")</f>
        <v>1</v>
      </c>
      <c r="J852" s="14">
        <f>IFERROR((VLOOKUP($A852,'[1]import success seats course'!$A:X,HLOOKUP('[1]Course Totals'!J$4,'[1]import success seats course'!$1:$2,2,FALSE),FALSE)/(VLOOKUP($A852,'[1]import graded seats course pivo'!$A:AH,HLOOKUP('[1]Course Totals'!J$4,'[1]import graded seats course pivo'!$1:$2,2,FALSE),FALSE))),"")</f>
        <v>1</v>
      </c>
      <c r="K852" s="14" t="str">
        <f>IFERROR((VLOOKUP($A852,'[1]import success seats course'!$A:Y,HLOOKUP('[1]Course Totals'!K$4,'[1]import success seats course'!$1:$2,2,FALSE),FALSE)/(VLOOKUP($A852,'[1]import graded seats course pivo'!$A:AI,HLOOKUP('[1]Course Totals'!K$4,'[1]import graded seats course pivo'!$1:$2,2,FALSE),FALSE))),"")</f>
        <v/>
      </c>
      <c r="L852" s="14">
        <f>IFERROR((VLOOKUP($A852,'[1]import success seats course'!$A:Z,HLOOKUP('[1]Course Totals'!L$4,'[1]import success seats course'!$1:$2,2,FALSE),FALSE)/(VLOOKUP($A852,'[1]import graded seats course pivo'!$A:AJ,HLOOKUP('[1]Course Totals'!L$4,'[1]import graded seats course pivo'!$1:$2,2,FALSE),FALSE))),"")</f>
        <v>0.75</v>
      </c>
      <c r="M852" s="14">
        <f>IFERROR((VLOOKUP($A852,'[1]import success seats course'!$A:AA,HLOOKUP('[1]Course Totals'!M$4,'[1]import success seats course'!$1:$2,2,FALSE),FALSE)/(VLOOKUP($A852,'[1]import graded seats course pivo'!$A:AK,HLOOKUP('[1]Course Totals'!M$4,'[1]import graded seats course pivo'!$1:$2,2,FALSE),FALSE))),"")</f>
        <v>0.75</v>
      </c>
      <c r="N852" s="14" t="str">
        <f>IFERROR((VLOOKUP($A852,'[1]import success seats course'!$A:AB,HLOOKUP('[1]Course Totals'!N$4,'[1]import success seats course'!$1:$2,2,FALSE),FALSE)/(VLOOKUP($A852,'[1]import graded seats course pivo'!$A:AL,HLOOKUP('[1]Course Totals'!N$4,'[1]import graded seats course pivo'!$1:$2,2,FALSE),FALSE))),"")</f>
        <v/>
      </c>
      <c r="O852" s="14" t="str">
        <f>IFERROR((VLOOKUP($A852,'[1]import success seats course'!$A:AC,HLOOKUP('[1]Course Totals'!O$4,'[1]import success seats course'!$1:$2,2,FALSE),FALSE)/(VLOOKUP($A852,'[1]import graded seats course pivo'!$A:AM,HLOOKUP('[1]Course Totals'!O$4,'[1]import graded seats course pivo'!$1:$2,2,FALSE),FALSE))),"")</f>
        <v/>
      </c>
      <c r="P852" s="14" t="str">
        <f>IFERROR((VLOOKUP($A852,'[1]import success seats course'!$A:AD,HLOOKUP('[1]Course Totals'!P$4,'[1]import success seats course'!$1:$2,2,FALSE),FALSE)/(VLOOKUP($A852,'[1]import graded seats course pivo'!$A:AN,HLOOKUP('[1]Course Totals'!P$4,'[1]import graded seats course pivo'!$1:$2,2,FALSE),FALSE))),"")</f>
        <v/>
      </c>
      <c r="Q852" s="14" t="str">
        <f>IFERROR((VLOOKUP($A852,'[1]import success seats course'!$A:AE,HLOOKUP('[1]Course Totals'!Q$4,'[1]import success seats course'!$1:$2,2,FALSE),FALSE)/(VLOOKUP($A852,'[1]import graded seats course pivo'!$A:AO,HLOOKUP('[1]Course Totals'!Q$4,'[1]import graded seats course pivo'!$1:$2,2,FALSE),FALSE))),"")</f>
        <v/>
      </c>
      <c r="R852" s="14" t="str">
        <f>IFERROR((VLOOKUP($A852,'[1]import success seats course'!$A:AF,HLOOKUP('[1]Course Totals'!R$4,'[1]import success seats course'!$1:$2,2,FALSE),FALSE)/(VLOOKUP($A852,'[1]import graded seats course pivo'!$A:AP,HLOOKUP('[1]Course Totals'!R$4,'[1]import graded seats course pivo'!$1:$2,2,FALSE),FALSE))),"")</f>
        <v/>
      </c>
      <c r="S852" s="14" t="str">
        <f>IFERROR((VLOOKUP($A852,'[1]import success seats course'!$A:AG,HLOOKUP('[1]Course Totals'!S$4,'[1]import success seats course'!$1:$2,2,FALSE),FALSE)/(VLOOKUP($A852,'[1]import graded seats course pivo'!$A:AQ,HLOOKUP('[1]Course Totals'!S$4,'[1]import graded seats course pivo'!$1:$2,2,FALSE),FALSE))),"")</f>
        <v/>
      </c>
      <c r="Z852" s="7"/>
      <c r="AA852" s="7"/>
      <c r="AB852" s="7"/>
      <c r="AC852" s="7"/>
    </row>
    <row r="853" spans="1:29" ht="15.75" customHeight="1" x14ac:dyDescent="0.25">
      <c r="A853" s="12" t="s">
        <v>399</v>
      </c>
      <c r="B853" s="14" t="str">
        <f>IFERROR((VLOOKUP($A853,'[1]import success seats course'!$A:P,HLOOKUP('[1]Course Totals'!B$4,'[1]import success seats course'!$1:$2,2,FALSE),FALSE)/(VLOOKUP($A853,'[1]import graded seats course pivo'!$A:Z,HLOOKUP('[1]Course Totals'!B$4,'[1]import graded seats course pivo'!$1:$2,2,FALSE),FALSE))),"")</f>
        <v/>
      </c>
      <c r="C853" s="14">
        <f>IFERROR((VLOOKUP($A853,'[1]import success seats course'!$A:Q,HLOOKUP('[1]Course Totals'!C$4,'[1]import success seats course'!$1:$2,2,FALSE),FALSE)/(VLOOKUP($A853,'[1]import graded seats course pivo'!$A:AA,HLOOKUP('[1]Course Totals'!C$4,'[1]import graded seats course pivo'!$1:$2,2,FALSE),FALSE))),"")</f>
        <v>0.93333333333333335</v>
      </c>
      <c r="D853" s="14" t="str">
        <f>IFERROR((VLOOKUP($A853,'[1]import success seats course'!$A:R,HLOOKUP('[1]Course Totals'!D$4,'[1]import success seats course'!$1:$2,2,FALSE),FALSE)/(VLOOKUP($A853,'[1]import graded seats course pivo'!$A:AB,HLOOKUP('[1]Course Totals'!D$4,'[1]import graded seats course pivo'!$1:$2,2,FALSE),FALSE))),"")</f>
        <v/>
      </c>
      <c r="E853" s="14" t="str">
        <f>IFERROR((VLOOKUP($A853,'[1]import success seats course'!$A:S,HLOOKUP('[1]Course Totals'!E$4,'[1]import success seats course'!$1:$2,2,FALSE),FALSE)/(VLOOKUP($A853,'[1]import graded seats course pivo'!$A:AC,HLOOKUP('[1]Course Totals'!E$4,'[1]import graded seats course pivo'!$1:$2,2,FALSE),FALSE))),"")</f>
        <v/>
      </c>
      <c r="F853" s="14">
        <f>IFERROR((VLOOKUP($A853,'[1]import success seats course'!$A:T,HLOOKUP('[1]Course Totals'!F$4,'[1]import success seats course'!$1:$2,2,FALSE),FALSE)/(VLOOKUP($A853,'[1]import graded seats course pivo'!$A:AD,HLOOKUP('[1]Course Totals'!F$4,'[1]import graded seats course pivo'!$1:$2,2,FALSE),FALSE))),"")</f>
        <v>1</v>
      </c>
      <c r="G853" s="14">
        <f>IFERROR((VLOOKUP($A853,'[1]import success seats course'!$A:U,HLOOKUP('[1]Course Totals'!G$4,'[1]import success seats course'!$1:$2,2,FALSE),FALSE)/(VLOOKUP($A853,'[1]import graded seats course pivo'!$A:AE,HLOOKUP('[1]Course Totals'!G$4,'[1]import graded seats course pivo'!$1:$2,2,FALSE),FALSE))),"")</f>
        <v>0.94444444444444442</v>
      </c>
      <c r="H853" s="14" t="str">
        <f>IFERROR((VLOOKUP($A853,'[1]import success seats course'!$A:V,HLOOKUP('[1]Course Totals'!H$4,'[1]import success seats course'!$1:$2,2,FALSE),FALSE)/(VLOOKUP($A853,'[1]import graded seats course pivo'!$A:AF,HLOOKUP('[1]Course Totals'!H$4,'[1]import graded seats course pivo'!$1:$2,2,FALSE),FALSE))),"")</f>
        <v/>
      </c>
      <c r="I853" s="14" t="str">
        <f>IFERROR((VLOOKUP($A853,'[1]import success seats course'!$A:W,HLOOKUP('[1]Course Totals'!I$4,'[1]import success seats course'!$1:$2,2,FALSE),FALSE)/(VLOOKUP($A853,'[1]import graded seats course pivo'!$A:AG,HLOOKUP('[1]Course Totals'!I$4,'[1]import graded seats course pivo'!$1:$2,2,FALSE),FALSE))),"")</f>
        <v/>
      </c>
      <c r="J853" s="14" t="str">
        <f>IFERROR((VLOOKUP($A853,'[1]import success seats course'!$A:X,HLOOKUP('[1]Course Totals'!J$4,'[1]import success seats course'!$1:$2,2,FALSE),FALSE)/(VLOOKUP($A853,'[1]import graded seats course pivo'!$A:AH,HLOOKUP('[1]Course Totals'!J$4,'[1]import graded seats course pivo'!$1:$2,2,FALSE),FALSE))),"")</f>
        <v/>
      </c>
      <c r="K853" s="14" t="str">
        <f>IFERROR((VLOOKUP($A853,'[1]import success seats course'!$A:Y,HLOOKUP('[1]Course Totals'!K$4,'[1]import success seats course'!$1:$2,2,FALSE),FALSE)/(VLOOKUP($A853,'[1]import graded seats course pivo'!$A:AI,HLOOKUP('[1]Course Totals'!K$4,'[1]import graded seats course pivo'!$1:$2,2,FALSE),FALSE))),"")</f>
        <v/>
      </c>
      <c r="L853" s="14">
        <f>IFERROR((VLOOKUP($A853,'[1]import success seats course'!$A:Z,HLOOKUP('[1]Course Totals'!L$4,'[1]import success seats course'!$1:$2,2,FALSE),FALSE)/(VLOOKUP($A853,'[1]import graded seats course pivo'!$A:AJ,HLOOKUP('[1]Course Totals'!L$4,'[1]import graded seats course pivo'!$1:$2,2,FALSE),FALSE))),"")</f>
        <v>0.81818181818181823</v>
      </c>
      <c r="M853" s="14">
        <f>IFERROR((VLOOKUP($A853,'[1]import success seats course'!$A:AA,HLOOKUP('[1]Course Totals'!M$4,'[1]import success seats course'!$1:$2,2,FALSE),FALSE)/(VLOOKUP($A853,'[1]import graded seats course pivo'!$A:AK,HLOOKUP('[1]Course Totals'!M$4,'[1]import graded seats course pivo'!$1:$2,2,FALSE),FALSE))),"")</f>
        <v>0.55555555555555558</v>
      </c>
      <c r="N853" s="14" t="str">
        <f>IFERROR((VLOOKUP($A853,'[1]import success seats course'!$A:AB,HLOOKUP('[1]Course Totals'!N$4,'[1]import success seats course'!$1:$2,2,FALSE),FALSE)/(VLOOKUP($A853,'[1]import graded seats course pivo'!$A:AL,HLOOKUP('[1]Course Totals'!N$4,'[1]import graded seats course pivo'!$1:$2,2,FALSE),FALSE))),"")</f>
        <v/>
      </c>
      <c r="O853" s="14">
        <f>IFERROR((VLOOKUP($A853,'[1]import success seats course'!$A:AC,HLOOKUP('[1]Course Totals'!O$4,'[1]import success seats course'!$1:$2,2,FALSE),FALSE)/(VLOOKUP($A853,'[1]import graded seats course pivo'!$A:AM,HLOOKUP('[1]Course Totals'!O$4,'[1]import graded seats course pivo'!$1:$2,2,FALSE),FALSE))),"")</f>
        <v>0.9</v>
      </c>
      <c r="P853" s="14">
        <f>IFERROR((VLOOKUP($A853,'[1]import success seats course'!$A:AD,HLOOKUP('[1]Course Totals'!P$4,'[1]import success seats course'!$1:$2,2,FALSE),FALSE)/(VLOOKUP($A853,'[1]import graded seats course pivo'!$A:AN,HLOOKUP('[1]Course Totals'!P$4,'[1]import graded seats course pivo'!$1:$2,2,FALSE),FALSE))),"")</f>
        <v>0.6</v>
      </c>
      <c r="Q853" s="14" t="str">
        <f>IFERROR((VLOOKUP($A853,'[1]import success seats course'!$A:AE,HLOOKUP('[1]Course Totals'!Q$4,'[1]import success seats course'!$1:$2,2,FALSE),FALSE)/(VLOOKUP($A853,'[1]import graded seats course pivo'!$A:AO,HLOOKUP('[1]Course Totals'!Q$4,'[1]import graded seats course pivo'!$1:$2,2,FALSE),FALSE))),"")</f>
        <v/>
      </c>
      <c r="R853" s="14" t="str">
        <f>IFERROR((VLOOKUP($A853,'[1]import success seats course'!$A:AF,HLOOKUP('[1]Course Totals'!R$4,'[1]import success seats course'!$1:$2,2,FALSE),FALSE)/(VLOOKUP($A853,'[1]import graded seats course pivo'!$A:AP,HLOOKUP('[1]Course Totals'!R$4,'[1]import graded seats course pivo'!$1:$2,2,FALSE),FALSE))),"")</f>
        <v/>
      </c>
      <c r="S853" s="14" t="str">
        <f>IFERROR((VLOOKUP($A853,'[1]import success seats course'!$A:AG,HLOOKUP('[1]Course Totals'!S$4,'[1]import success seats course'!$1:$2,2,FALSE),FALSE)/(VLOOKUP($A853,'[1]import graded seats course pivo'!$A:AQ,HLOOKUP('[1]Course Totals'!S$4,'[1]import graded seats course pivo'!$1:$2,2,FALSE),FALSE))),"")</f>
        <v/>
      </c>
      <c r="Z853" s="7"/>
      <c r="AA853" s="7"/>
      <c r="AB853" s="7"/>
      <c r="AC853" s="7"/>
    </row>
    <row r="854" spans="1:29" ht="15.75" customHeight="1" x14ac:dyDescent="0.25">
      <c r="A854" s="12" t="s">
        <v>805</v>
      </c>
      <c r="B854" s="14" t="str">
        <f>IFERROR((VLOOKUP($A854,'[1]import success seats course'!$A:P,HLOOKUP('[1]Course Totals'!B$4,'[1]import success seats course'!$1:$2,2,FALSE),FALSE)/(VLOOKUP($A854,'[1]import graded seats course pivo'!$A:Z,HLOOKUP('[1]Course Totals'!B$4,'[1]import graded seats course pivo'!$1:$2,2,FALSE),FALSE))),"")</f>
        <v/>
      </c>
      <c r="C854" s="14" t="str">
        <f>IFERROR((VLOOKUP($A854,'[1]import success seats course'!$A:Q,HLOOKUP('[1]Course Totals'!C$4,'[1]import success seats course'!$1:$2,2,FALSE),FALSE)/(VLOOKUP($A854,'[1]import graded seats course pivo'!$A:AA,HLOOKUP('[1]Course Totals'!C$4,'[1]import graded seats course pivo'!$1:$2,2,FALSE),FALSE))),"")</f>
        <v/>
      </c>
      <c r="D854" s="14">
        <f>IFERROR((VLOOKUP($A854,'[1]import success seats course'!$A:R,HLOOKUP('[1]Course Totals'!D$4,'[1]import success seats course'!$1:$2,2,FALSE),FALSE)/(VLOOKUP($A854,'[1]import graded seats course pivo'!$A:AB,HLOOKUP('[1]Course Totals'!D$4,'[1]import graded seats course pivo'!$1:$2,2,FALSE),FALSE))),"")</f>
        <v>0.9375</v>
      </c>
      <c r="E854" s="14" t="str">
        <f>IFERROR((VLOOKUP($A854,'[1]import success seats course'!$A:S,HLOOKUP('[1]Course Totals'!E$4,'[1]import success seats course'!$1:$2,2,FALSE),FALSE)/(VLOOKUP($A854,'[1]import graded seats course pivo'!$A:AC,HLOOKUP('[1]Course Totals'!E$4,'[1]import graded seats course pivo'!$1:$2,2,FALSE),FALSE))),"")</f>
        <v/>
      </c>
      <c r="F854" s="14" t="str">
        <f>IFERROR((VLOOKUP($A854,'[1]import success seats course'!$A:T,HLOOKUP('[1]Course Totals'!F$4,'[1]import success seats course'!$1:$2,2,FALSE),FALSE)/(VLOOKUP($A854,'[1]import graded seats course pivo'!$A:AD,HLOOKUP('[1]Course Totals'!F$4,'[1]import graded seats course pivo'!$1:$2,2,FALSE),FALSE))),"")</f>
        <v/>
      </c>
      <c r="G854" s="14">
        <f>IFERROR((VLOOKUP($A854,'[1]import success seats course'!$A:U,HLOOKUP('[1]Course Totals'!G$4,'[1]import success seats course'!$1:$2,2,FALSE),FALSE)/(VLOOKUP($A854,'[1]import graded seats course pivo'!$A:AE,HLOOKUP('[1]Course Totals'!G$4,'[1]import graded seats course pivo'!$1:$2,2,FALSE),FALSE))),"")</f>
        <v>0.95238095238095233</v>
      </c>
      <c r="H854" s="14" t="str">
        <f>IFERROR((VLOOKUP($A854,'[1]import success seats course'!$A:V,HLOOKUP('[1]Course Totals'!H$4,'[1]import success seats course'!$1:$2,2,FALSE),FALSE)/(VLOOKUP($A854,'[1]import graded seats course pivo'!$A:AF,HLOOKUP('[1]Course Totals'!H$4,'[1]import graded seats course pivo'!$1:$2,2,FALSE),FALSE))),"")</f>
        <v/>
      </c>
      <c r="I854" s="14" t="str">
        <f>IFERROR((VLOOKUP($A854,'[1]import success seats course'!$A:W,HLOOKUP('[1]Course Totals'!I$4,'[1]import success seats course'!$1:$2,2,FALSE),FALSE)/(VLOOKUP($A854,'[1]import graded seats course pivo'!$A:AG,HLOOKUP('[1]Course Totals'!I$4,'[1]import graded seats course pivo'!$1:$2,2,FALSE),FALSE))),"")</f>
        <v/>
      </c>
      <c r="J854" s="14" t="str">
        <f>IFERROR((VLOOKUP($A854,'[1]import success seats course'!$A:X,HLOOKUP('[1]Course Totals'!J$4,'[1]import success seats course'!$1:$2,2,FALSE),FALSE)/(VLOOKUP($A854,'[1]import graded seats course pivo'!$A:AH,HLOOKUP('[1]Course Totals'!J$4,'[1]import graded seats course pivo'!$1:$2,2,FALSE),FALSE))),"")</f>
        <v/>
      </c>
      <c r="K854" s="14" t="str">
        <f>IFERROR((VLOOKUP($A854,'[1]import success seats course'!$A:Y,HLOOKUP('[1]Course Totals'!K$4,'[1]import success seats course'!$1:$2,2,FALSE),FALSE)/(VLOOKUP($A854,'[1]import graded seats course pivo'!$A:AI,HLOOKUP('[1]Course Totals'!K$4,'[1]import graded seats course pivo'!$1:$2,2,FALSE),FALSE))),"")</f>
        <v/>
      </c>
      <c r="L854" s="14">
        <f>IFERROR((VLOOKUP($A854,'[1]import success seats course'!$A:Z,HLOOKUP('[1]Course Totals'!L$4,'[1]import success seats course'!$1:$2,2,FALSE),FALSE)/(VLOOKUP($A854,'[1]import graded seats course pivo'!$A:AJ,HLOOKUP('[1]Course Totals'!L$4,'[1]import graded seats course pivo'!$1:$2,2,FALSE),FALSE))),"")</f>
        <v>1</v>
      </c>
      <c r="M854" s="14">
        <f>IFERROR((VLOOKUP($A854,'[1]import success seats course'!$A:AA,HLOOKUP('[1]Course Totals'!M$4,'[1]import success seats course'!$1:$2,2,FALSE),FALSE)/(VLOOKUP($A854,'[1]import graded seats course pivo'!$A:AK,HLOOKUP('[1]Course Totals'!M$4,'[1]import graded seats course pivo'!$1:$2,2,FALSE),FALSE))),"")</f>
        <v>0.83333333333333337</v>
      </c>
      <c r="N854" s="14" t="str">
        <f>IFERROR((VLOOKUP($A854,'[1]import success seats course'!$A:AB,HLOOKUP('[1]Course Totals'!N$4,'[1]import success seats course'!$1:$2,2,FALSE),FALSE)/(VLOOKUP($A854,'[1]import graded seats course pivo'!$A:AL,HLOOKUP('[1]Course Totals'!N$4,'[1]import graded seats course pivo'!$1:$2,2,FALSE),FALSE))),"")</f>
        <v/>
      </c>
      <c r="O854" s="14">
        <f>IFERROR((VLOOKUP($A854,'[1]import success seats course'!$A:AC,HLOOKUP('[1]Course Totals'!O$4,'[1]import success seats course'!$1:$2,2,FALSE),FALSE)/(VLOOKUP($A854,'[1]import graded seats course pivo'!$A:AM,HLOOKUP('[1]Course Totals'!O$4,'[1]import graded seats course pivo'!$1:$2,2,FALSE),FALSE))),"")</f>
        <v>1</v>
      </c>
      <c r="P854" s="14">
        <f>IFERROR((VLOOKUP($A854,'[1]import success seats course'!$A:AD,HLOOKUP('[1]Course Totals'!P$4,'[1]import success seats course'!$1:$2,2,FALSE),FALSE)/(VLOOKUP($A854,'[1]import graded seats course pivo'!$A:AN,HLOOKUP('[1]Course Totals'!P$4,'[1]import graded seats course pivo'!$1:$2,2,FALSE),FALSE))),"")</f>
        <v>1</v>
      </c>
      <c r="Q854" s="14" t="str">
        <f>IFERROR((VLOOKUP($A854,'[1]import success seats course'!$A:AE,HLOOKUP('[1]Course Totals'!Q$4,'[1]import success seats course'!$1:$2,2,FALSE),FALSE)/(VLOOKUP($A854,'[1]import graded seats course pivo'!$A:AO,HLOOKUP('[1]Course Totals'!Q$4,'[1]import graded seats course pivo'!$1:$2,2,FALSE),FALSE))),"")</f>
        <v/>
      </c>
      <c r="R854" s="14" t="str">
        <f>IFERROR((VLOOKUP($A854,'[1]import success seats course'!$A:AF,HLOOKUP('[1]Course Totals'!R$4,'[1]import success seats course'!$1:$2,2,FALSE),FALSE)/(VLOOKUP($A854,'[1]import graded seats course pivo'!$A:AP,HLOOKUP('[1]Course Totals'!R$4,'[1]import graded seats course pivo'!$1:$2,2,FALSE),FALSE))),"")</f>
        <v/>
      </c>
      <c r="S854" s="14" t="str">
        <f>IFERROR((VLOOKUP($A854,'[1]import success seats course'!$A:AG,HLOOKUP('[1]Course Totals'!S$4,'[1]import success seats course'!$1:$2,2,FALSE),FALSE)/(VLOOKUP($A854,'[1]import graded seats course pivo'!$A:AQ,HLOOKUP('[1]Course Totals'!S$4,'[1]import graded seats course pivo'!$1:$2,2,FALSE),FALSE))),"")</f>
        <v/>
      </c>
      <c r="Z854" s="7"/>
      <c r="AA854" s="7"/>
      <c r="AB854" s="7"/>
      <c r="AC854" s="7"/>
    </row>
    <row r="855" spans="1:29" ht="15.75" customHeight="1" x14ac:dyDescent="0.25">
      <c r="A855" s="12" t="s">
        <v>647</v>
      </c>
      <c r="B855" s="14" t="str">
        <f>IFERROR((VLOOKUP($A855,'[1]import success seats course'!$A:P,HLOOKUP('[1]Course Totals'!B$4,'[1]import success seats course'!$1:$2,2,FALSE),FALSE)/(VLOOKUP($A855,'[1]import graded seats course pivo'!$A:Z,HLOOKUP('[1]Course Totals'!B$4,'[1]import graded seats course pivo'!$1:$2,2,FALSE),FALSE))),"")</f>
        <v/>
      </c>
      <c r="C855" s="14" t="str">
        <f>IFERROR((VLOOKUP($A855,'[1]import success seats course'!$A:Q,HLOOKUP('[1]Course Totals'!C$4,'[1]import success seats course'!$1:$2,2,FALSE),FALSE)/(VLOOKUP($A855,'[1]import graded seats course pivo'!$A:AA,HLOOKUP('[1]Course Totals'!C$4,'[1]import graded seats course pivo'!$1:$2,2,FALSE),FALSE))),"")</f>
        <v/>
      </c>
      <c r="D855" s="14" t="str">
        <f>IFERROR((VLOOKUP($A855,'[1]import success seats course'!$A:R,HLOOKUP('[1]Course Totals'!D$4,'[1]import success seats course'!$1:$2,2,FALSE),FALSE)/(VLOOKUP($A855,'[1]import graded seats course pivo'!$A:AB,HLOOKUP('[1]Course Totals'!D$4,'[1]import graded seats course pivo'!$1:$2,2,FALSE),FALSE))),"")</f>
        <v/>
      </c>
      <c r="E855" s="14" t="str">
        <f>IFERROR((VLOOKUP($A855,'[1]import success seats course'!$A:S,HLOOKUP('[1]Course Totals'!E$4,'[1]import success seats course'!$1:$2,2,FALSE),FALSE)/(VLOOKUP($A855,'[1]import graded seats course pivo'!$A:AC,HLOOKUP('[1]Course Totals'!E$4,'[1]import graded seats course pivo'!$1:$2,2,FALSE),FALSE))),"")</f>
        <v/>
      </c>
      <c r="F855" s="14">
        <f>IFERROR((VLOOKUP($A855,'[1]import success seats course'!$A:T,HLOOKUP('[1]Course Totals'!F$4,'[1]import success seats course'!$1:$2,2,FALSE),FALSE)/(VLOOKUP($A855,'[1]import graded seats course pivo'!$A:AD,HLOOKUP('[1]Course Totals'!F$4,'[1]import graded seats course pivo'!$1:$2,2,FALSE),FALSE))),"")</f>
        <v>0.96</v>
      </c>
      <c r="G855" s="14" t="str">
        <f>IFERROR((VLOOKUP($A855,'[1]import success seats course'!$A:U,HLOOKUP('[1]Course Totals'!G$4,'[1]import success seats course'!$1:$2,2,FALSE),FALSE)/(VLOOKUP($A855,'[1]import graded seats course pivo'!$A:AE,HLOOKUP('[1]Course Totals'!G$4,'[1]import graded seats course pivo'!$1:$2,2,FALSE),FALSE))),"")</f>
        <v/>
      </c>
      <c r="H855" s="14" t="str">
        <f>IFERROR((VLOOKUP($A855,'[1]import success seats course'!$A:V,HLOOKUP('[1]Course Totals'!H$4,'[1]import success seats course'!$1:$2,2,FALSE),FALSE)/(VLOOKUP($A855,'[1]import graded seats course pivo'!$A:AF,HLOOKUP('[1]Course Totals'!H$4,'[1]import graded seats course pivo'!$1:$2,2,FALSE),FALSE))),"")</f>
        <v/>
      </c>
      <c r="I855" s="14">
        <f>IFERROR((VLOOKUP($A855,'[1]import success seats course'!$A:W,HLOOKUP('[1]Course Totals'!I$4,'[1]import success seats course'!$1:$2,2,FALSE),FALSE)/(VLOOKUP($A855,'[1]import graded seats course pivo'!$A:AG,HLOOKUP('[1]Course Totals'!I$4,'[1]import graded seats course pivo'!$1:$2,2,FALSE),FALSE))),"")</f>
        <v>0.92307692307692313</v>
      </c>
      <c r="J855" s="14" t="str">
        <f>IFERROR((VLOOKUP($A855,'[1]import success seats course'!$A:X,HLOOKUP('[1]Course Totals'!J$4,'[1]import success seats course'!$1:$2,2,FALSE),FALSE)/(VLOOKUP($A855,'[1]import graded seats course pivo'!$A:AH,HLOOKUP('[1]Course Totals'!J$4,'[1]import graded seats course pivo'!$1:$2,2,FALSE),FALSE))),"")</f>
        <v/>
      </c>
      <c r="K855" s="14" t="str">
        <f>IFERROR((VLOOKUP($A855,'[1]import success seats course'!$A:Y,HLOOKUP('[1]Course Totals'!K$4,'[1]import success seats course'!$1:$2,2,FALSE),FALSE)/(VLOOKUP($A855,'[1]import graded seats course pivo'!$A:AI,HLOOKUP('[1]Course Totals'!K$4,'[1]import graded seats course pivo'!$1:$2,2,FALSE),FALSE))),"")</f>
        <v/>
      </c>
      <c r="L855" s="14">
        <f>IFERROR((VLOOKUP($A855,'[1]import success seats course'!$A:Z,HLOOKUP('[1]Course Totals'!L$4,'[1]import success seats course'!$1:$2,2,FALSE),FALSE)/(VLOOKUP($A855,'[1]import graded seats course pivo'!$A:AJ,HLOOKUP('[1]Course Totals'!L$4,'[1]import graded seats course pivo'!$1:$2,2,FALSE),FALSE))),"")</f>
        <v>0</v>
      </c>
      <c r="M855" s="14">
        <f>IFERROR((VLOOKUP($A855,'[1]import success seats course'!$A:AA,HLOOKUP('[1]Course Totals'!M$4,'[1]import success seats course'!$1:$2,2,FALSE),FALSE)/(VLOOKUP($A855,'[1]import graded seats course pivo'!$A:AK,HLOOKUP('[1]Course Totals'!M$4,'[1]import graded seats course pivo'!$1:$2,2,FALSE),FALSE))),"")</f>
        <v>1</v>
      </c>
      <c r="N855" s="14" t="str">
        <f>IFERROR((VLOOKUP($A855,'[1]import success seats course'!$A:AB,HLOOKUP('[1]Course Totals'!N$4,'[1]import success seats course'!$1:$2,2,FALSE),FALSE)/(VLOOKUP($A855,'[1]import graded seats course pivo'!$A:AL,HLOOKUP('[1]Course Totals'!N$4,'[1]import graded seats course pivo'!$1:$2,2,FALSE),FALSE))),"")</f>
        <v/>
      </c>
      <c r="O855" s="14">
        <f>IFERROR((VLOOKUP($A855,'[1]import success seats course'!$A:AC,HLOOKUP('[1]Course Totals'!O$4,'[1]import success seats course'!$1:$2,2,FALSE),FALSE)/(VLOOKUP($A855,'[1]import graded seats course pivo'!$A:AM,HLOOKUP('[1]Course Totals'!O$4,'[1]import graded seats course pivo'!$1:$2,2,FALSE),FALSE))),"")</f>
        <v>1</v>
      </c>
      <c r="P855" s="14">
        <f>IFERROR((VLOOKUP($A855,'[1]import success seats course'!$A:AD,HLOOKUP('[1]Course Totals'!P$4,'[1]import success seats course'!$1:$2,2,FALSE),FALSE)/(VLOOKUP($A855,'[1]import graded seats course pivo'!$A:AN,HLOOKUP('[1]Course Totals'!P$4,'[1]import graded seats course pivo'!$1:$2,2,FALSE),FALSE))),"")</f>
        <v>1</v>
      </c>
      <c r="Q855" s="14" t="str">
        <f>IFERROR((VLOOKUP($A855,'[1]import success seats course'!$A:AE,HLOOKUP('[1]Course Totals'!Q$4,'[1]import success seats course'!$1:$2,2,FALSE),FALSE)/(VLOOKUP($A855,'[1]import graded seats course pivo'!$A:AO,HLOOKUP('[1]Course Totals'!Q$4,'[1]import graded seats course pivo'!$1:$2,2,FALSE),FALSE))),"")</f>
        <v/>
      </c>
      <c r="R855" s="14" t="str">
        <f>IFERROR((VLOOKUP($A855,'[1]import success seats course'!$A:AF,HLOOKUP('[1]Course Totals'!R$4,'[1]import success seats course'!$1:$2,2,FALSE),FALSE)/(VLOOKUP($A855,'[1]import graded seats course pivo'!$A:AP,HLOOKUP('[1]Course Totals'!R$4,'[1]import graded seats course pivo'!$1:$2,2,FALSE),FALSE))),"")</f>
        <v/>
      </c>
      <c r="S855" s="14" t="str">
        <f>IFERROR((VLOOKUP($A855,'[1]import success seats course'!$A:AG,HLOOKUP('[1]Course Totals'!S$4,'[1]import success seats course'!$1:$2,2,FALSE),FALSE)/(VLOOKUP($A855,'[1]import graded seats course pivo'!$A:AQ,HLOOKUP('[1]Course Totals'!S$4,'[1]import graded seats course pivo'!$1:$2,2,FALSE),FALSE))),"")</f>
        <v/>
      </c>
      <c r="Z855" s="7"/>
      <c r="AA855" s="7"/>
      <c r="AB855" s="7"/>
      <c r="AC855" s="7"/>
    </row>
    <row r="856" spans="1:29" ht="15.75" customHeight="1" x14ac:dyDescent="0.25">
      <c r="A856" s="12" t="s">
        <v>400</v>
      </c>
      <c r="B856" s="14" t="str">
        <f>IFERROR((VLOOKUP($A856,'[1]import success seats course'!$A:P,HLOOKUP('[1]Course Totals'!B$4,'[1]import success seats course'!$1:$2,2,FALSE),FALSE)/(VLOOKUP($A856,'[1]import graded seats course pivo'!$A:Z,HLOOKUP('[1]Course Totals'!B$4,'[1]import graded seats course pivo'!$1:$2,2,FALSE),FALSE))),"")</f>
        <v/>
      </c>
      <c r="C856" s="14">
        <f>IFERROR((VLOOKUP($A856,'[1]import success seats course'!$A:Q,HLOOKUP('[1]Course Totals'!C$4,'[1]import success seats course'!$1:$2,2,FALSE),FALSE)/(VLOOKUP($A856,'[1]import graded seats course pivo'!$A:AA,HLOOKUP('[1]Course Totals'!C$4,'[1]import graded seats course pivo'!$1:$2,2,FALSE),FALSE))),"")</f>
        <v>1</v>
      </c>
      <c r="D856" s="14" t="str">
        <f>IFERROR((VLOOKUP($A856,'[1]import success seats course'!$A:R,HLOOKUP('[1]Course Totals'!D$4,'[1]import success seats course'!$1:$2,2,FALSE),FALSE)/(VLOOKUP($A856,'[1]import graded seats course pivo'!$A:AB,HLOOKUP('[1]Course Totals'!D$4,'[1]import graded seats course pivo'!$1:$2,2,FALSE),FALSE))),"")</f>
        <v/>
      </c>
      <c r="E856" s="14" t="str">
        <f>IFERROR((VLOOKUP($A856,'[1]import success seats course'!$A:S,HLOOKUP('[1]Course Totals'!E$4,'[1]import success seats course'!$1:$2,2,FALSE),FALSE)/(VLOOKUP($A856,'[1]import graded seats course pivo'!$A:AC,HLOOKUP('[1]Course Totals'!E$4,'[1]import graded seats course pivo'!$1:$2,2,FALSE),FALSE))),"")</f>
        <v/>
      </c>
      <c r="F856" s="14" t="str">
        <f>IFERROR((VLOOKUP($A856,'[1]import success seats course'!$A:T,HLOOKUP('[1]Course Totals'!F$4,'[1]import success seats course'!$1:$2,2,FALSE),FALSE)/(VLOOKUP($A856,'[1]import graded seats course pivo'!$A:AD,HLOOKUP('[1]Course Totals'!F$4,'[1]import graded seats course pivo'!$1:$2,2,FALSE),FALSE))),"")</f>
        <v/>
      </c>
      <c r="G856" s="14" t="str">
        <f>IFERROR((VLOOKUP($A856,'[1]import success seats course'!$A:U,HLOOKUP('[1]Course Totals'!G$4,'[1]import success seats course'!$1:$2,2,FALSE),FALSE)/(VLOOKUP($A856,'[1]import graded seats course pivo'!$A:AE,HLOOKUP('[1]Course Totals'!G$4,'[1]import graded seats course pivo'!$1:$2,2,FALSE),FALSE))),"")</f>
        <v/>
      </c>
      <c r="H856" s="14" t="str">
        <f>IFERROR((VLOOKUP($A856,'[1]import success seats course'!$A:V,HLOOKUP('[1]Course Totals'!H$4,'[1]import success seats course'!$1:$2,2,FALSE),FALSE)/(VLOOKUP($A856,'[1]import graded seats course pivo'!$A:AF,HLOOKUP('[1]Course Totals'!H$4,'[1]import graded seats course pivo'!$1:$2,2,FALSE),FALSE))),"")</f>
        <v/>
      </c>
      <c r="I856" s="14" t="str">
        <f>IFERROR((VLOOKUP($A856,'[1]import success seats course'!$A:W,HLOOKUP('[1]Course Totals'!I$4,'[1]import success seats course'!$1:$2,2,FALSE),FALSE)/(VLOOKUP($A856,'[1]import graded seats course pivo'!$A:AG,HLOOKUP('[1]Course Totals'!I$4,'[1]import graded seats course pivo'!$1:$2,2,FALSE),FALSE))),"")</f>
        <v/>
      </c>
      <c r="J856" s="14" t="str">
        <f>IFERROR((VLOOKUP($A856,'[1]import success seats course'!$A:X,HLOOKUP('[1]Course Totals'!J$4,'[1]import success seats course'!$1:$2,2,FALSE),FALSE)/(VLOOKUP($A856,'[1]import graded seats course pivo'!$A:AH,HLOOKUP('[1]Course Totals'!J$4,'[1]import graded seats course pivo'!$1:$2,2,FALSE),FALSE))),"")</f>
        <v/>
      </c>
      <c r="K856" s="14" t="str">
        <f>IFERROR((VLOOKUP($A856,'[1]import success seats course'!$A:Y,HLOOKUP('[1]Course Totals'!K$4,'[1]import success seats course'!$1:$2,2,FALSE),FALSE)/(VLOOKUP($A856,'[1]import graded seats course pivo'!$A:AI,HLOOKUP('[1]Course Totals'!K$4,'[1]import graded seats course pivo'!$1:$2,2,FALSE),FALSE))),"")</f>
        <v/>
      </c>
      <c r="L856" s="14" t="str">
        <f>IFERROR((VLOOKUP($A856,'[1]import success seats course'!$A:Z,HLOOKUP('[1]Course Totals'!L$4,'[1]import success seats course'!$1:$2,2,FALSE),FALSE)/(VLOOKUP($A856,'[1]import graded seats course pivo'!$A:AJ,HLOOKUP('[1]Course Totals'!L$4,'[1]import graded seats course pivo'!$1:$2,2,FALSE),FALSE))),"")</f>
        <v/>
      </c>
      <c r="M856" s="14" t="str">
        <f>IFERROR((VLOOKUP($A856,'[1]import success seats course'!$A:AA,HLOOKUP('[1]Course Totals'!M$4,'[1]import success seats course'!$1:$2,2,FALSE),FALSE)/(VLOOKUP($A856,'[1]import graded seats course pivo'!$A:AK,HLOOKUP('[1]Course Totals'!M$4,'[1]import graded seats course pivo'!$1:$2,2,FALSE),FALSE))),"")</f>
        <v/>
      </c>
      <c r="N856" s="14" t="str">
        <f>IFERROR((VLOOKUP($A856,'[1]import success seats course'!$A:AB,HLOOKUP('[1]Course Totals'!N$4,'[1]import success seats course'!$1:$2,2,FALSE),FALSE)/(VLOOKUP($A856,'[1]import graded seats course pivo'!$A:AL,HLOOKUP('[1]Course Totals'!N$4,'[1]import graded seats course pivo'!$1:$2,2,FALSE),FALSE))),"")</f>
        <v/>
      </c>
      <c r="O856" s="14" t="str">
        <f>IFERROR((VLOOKUP($A856,'[1]import success seats course'!$A:AC,HLOOKUP('[1]Course Totals'!O$4,'[1]import success seats course'!$1:$2,2,FALSE),FALSE)/(VLOOKUP($A856,'[1]import graded seats course pivo'!$A:AM,HLOOKUP('[1]Course Totals'!O$4,'[1]import graded seats course pivo'!$1:$2,2,FALSE),FALSE))),"")</f>
        <v/>
      </c>
      <c r="P856" s="14" t="str">
        <f>IFERROR((VLOOKUP($A856,'[1]import success seats course'!$A:AD,HLOOKUP('[1]Course Totals'!P$4,'[1]import success seats course'!$1:$2,2,FALSE),FALSE)/(VLOOKUP($A856,'[1]import graded seats course pivo'!$A:AN,HLOOKUP('[1]Course Totals'!P$4,'[1]import graded seats course pivo'!$1:$2,2,FALSE),FALSE))),"")</f>
        <v/>
      </c>
      <c r="Q856" s="14" t="str">
        <f>IFERROR((VLOOKUP($A856,'[1]import success seats course'!$A:AE,HLOOKUP('[1]Course Totals'!Q$4,'[1]import success seats course'!$1:$2,2,FALSE),FALSE)/(VLOOKUP($A856,'[1]import graded seats course pivo'!$A:AO,HLOOKUP('[1]Course Totals'!Q$4,'[1]import graded seats course pivo'!$1:$2,2,FALSE),FALSE))),"")</f>
        <v/>
      </c>
      <c r="R856" s="14" t="str">
        <f>IFERROR((VLOOKUP($A856,'[1]import success seats course'!$A:AF,HLOOKUP('[1]Course Totals'!R$4,'[1]import success seats course'!$1:$2,2,FALSE),FALSE)/(VLOOKUP($A856,'[1]import graded seats course pivo'!$A:AP,HLOOKUP('[1]Course Totals'!R$4,'[1]import graded seats course pivo'!$1:$2,2,FALSE),FALSE))),"")</f>
        <v/>
      </c>
      <c r="S856" s="14" t="str">
        <f>IFERROR((VLOOKUP($A856,'[1]import success seats course'!$A:AG,HLOOKUP('[1]Course Totals'!S$4,'[1]import success seats course'!$1:$2,2,FALSE),FALSE)/(VLOOKUP($A856,'[1]import graded seats course pivo'!$A:AQ,HLOOKUP('[1]Course Totals'!S$4,'[1]import graded seats course pivo'!$1:$2,2,FALSE),FALSE))),"")</f>
        <v/>
      </c>
      <c r="Z856" s="7"/>
      <c r="AA856" s="7"/>
      <c r="AB856" s="7"/>
      <c r="AC856" s="7"/>
    </row>
    <row r="857" spans="1:29" ht="15.75" customHeight="1" thickBot="1" x14ac:dyDescent="0.3">
      <c r="A857" s="8" t="str">
        <f>'[1]SUBJECTS BASE'!H49</f>
        <v>Nursing</v>
      </c>
      <c r="B857" s="38" t="s">
        <v>1046</v>
      </c>
      <c r="C857" s="39" t="s">
        <v>0</v>
      </c>
      <c r="D857" s="40" t="s">
        <v>868</v>
      </c>
      <c r="E857" s="41" t="s">
        <v>1052</v>
      </c>
      <c r="F857" s="42" t="s">
        <v>546</v>
      </c>
      <c r="G857" s="43" t="s">
        <v>959</v>
      </c>
      <c r="H857" s="44" t="s">
        <v>1060</v>
      </c>
      <c r="I857" s="39" t="s">
        <v>675</v>
      </c>
      <c r="J857" s="45" t="s">
        <v>1006</v>
      </c>
      <c r="K857" s="46" t="s">
        <v>1062</v>
      </c>
      <c r="L857" s="42" t="s">
        <v>762</v>
      </c>
      <c r="M857" s="43" t="s">
        <v>1022</v>
      </c>
      <c r="N857" s="44" t="s">
        <v>1063</v>
      </c>
      <c r="O857" s="39" t="s">
        <v>822</v>
      </c>
      <c r="P857" s="40" t="s">
        <v>1042</v>
      </c>
      <c r="Q857" s="46" t="s">
        <v>1153</v>
      </c>
      <c r="R857" s="42" t="s">
        <v>1154</v>
      </c>
      <c r="S857" s="43" t="s">
        <v>1155</v>
      </c>
      <c r="Z857" s="7"/>
      <c r="AA857" s="7"/>
      <c r="AB857" s="7"/>
      <c r="AC857" s="7"/>
    </row>
    <row r="858" spans="1:29" ht="15.75" customHeight="1" x14ac:dyDescent="0.25">
      <c r="A858" s="12" t="s">
        <v>806</v>
      </c>
      <c r="B858" s="14" t="str">
        <f>IFERROR((VLOOKUP($A858,'[1]import success seats course'!$A:P,HLOOKUP('[1]Course Totals'!B$4,'[1]import success seats course'!$1:$2,2,FALSE),FALSE)/(VLOOKUP($A858,'[1]import graded seats course pivo'!$A:Z,HLOOKUP('[1]Course Totals'!B$4,'[1]import graded seats course pivo'!$1:$2,2,FALSE),FALSE))),"")</f>
        <v/>
      </c>
      <c r="C858" s="14" t="str">
        <f>IFERROR((VLOOKUP($A858,'[1]import success seats course'!$A:Q,HLOOKUP('[1]Course Totals'!C$4,'[1]import success seats course'!$1:$2,2,FALSE),FALSE)/(VLOOKUP($A858,'[1]import graded seats course pivo'!$A:AA,HLOOKUP('[1]Course Totals'!C$4,'[1]import graded seats course pivo'!$1:$2,2,FALSE),FALSE))),"")</f>
        <v/>
      </c>
      <c r="D858" s="14" t="str">
        <f>IFERROR((VLOOKUP($A858,'[1]import success seats course'!$A:R,HLOOKUP('[1]Course Totals'!D$4,'[1]import success seats course'!$1:$2,2,FALSE),FALSE)/(VLOOKUP($A858,'[1]import graded seats course pivo'!$A:AB,HLOOKUP('[1]Course Totals'!D$4,'[1]import graded seats course pivo'!$1:$2,2,FALSE),FALSE))),"")</f>
        <v/>
      </c>
      <c r="E858" s="14" t="str">
        <f>IFERROR((VLOOKUP($A858,'[1]import success seats course'!$A:S,HLOOKUP('[1]Course Totals'!E$4,'[1]import success seats course'!$1:$2,2,FALSE),FALSE)/(VLOOKUP($A858,'[1]import graded seats course pivo'!$A:AC,HLOOKUP('[1]Course Totals'!E$4,'[1]import graded seats course pivo'!$1:$2,2,FALSE),FALSE))),"")</f>
        <v/>
      </c>
      <c r="F858" s="14" t="str">
        <f>IFERROR((VLOOKUP($A858,'[1]import success seats course'!$A:T,HLOOKUP('[1]Course Totals'!F$4,'[1]import success seats course'!$1:$2,2,FALSE),FALSE)/(VLOOKUP($A858,'[1]import graded seats course pivo'!$A:AD,HLOOKUP('[1]Course Totals'!F$4,'[1]import graded seats course pivo'!$1:$2,2,FALSE),FALSE))),"")</f>
        <v/>
      </c>
      <c r="G858" s="14" t="str">
        <f>IFERROR((VLOOKUP($A858,'[1]import success seats course'!$A:U,HLOOKUP('[1]Course Totals'!G$4,'[1]import success seats course'!$1:$2,2,FALSE),FALSE)/(VLOOKUP($A858,'[1]import graded seats course pivo'!$A:AE,HLOOKUP('[1]Course Totals'!G$4,'[1]import graded seats course pivo'!$1:$2,2,FALSE),FALSE))),"")</f>
        <v/>
      </c>
      <c r="H858" s="14" t="str">
        <f>IFERROR((VLOOKUP($A858,'[1]import success seats course'!$A:V,HLOOKUP('[1]Course Totals'!H$4,'[1]import success seats course'!$1:$2,2,FALSE),FALSE)/(VLOOKUP($A858,'[1]import graded seats course pivo'!$A:AF,HLOOKUP('[1]Course Totals'!H$4,'[1]import graded seats course pivo'!$1:$2,2,FALSE),FALSE))),"")</f>
        <v/>
      </c>
      <c r="I858" s="14" t="str">
        <f>IFERROR((VLOOKUP($A858,'[1]import success seats course'!$A:W,HLOOKUP('[1]Course Totals'!I$4,'[1]import success seats course'!$1:$2,2,FALSE),FALSE)/(VLOOKUP($A858,'[1]import graded seats course pivo'!$A:AG,HLOOKUP('[1]Course Totals'!I$4,'[1]import graded seats course pivo'!$1:$2,2,FALSE),FALSE))),"")</f>
        <v/>
      </c>
      <c r="J858" s="14" t="str">
        <f>IFERROR((VLOOKUP($A858,'[1]import success seats course'!$A:X,HLOOKUP('[1]Course Totals'!J$4,'[1]import success seats course'!$1:$2,2,FALSE),FALSE)/(VLOOKUP($A858,'[1]import graded seats course pivo'!$A:AH,HLOOKUP('[1]Course Totals'!J$4,'[1]import graded seats course pivo'!$1:$2,2,FALSE),FALSE))),"")</f>
        <v/>
      </c>
      <c r="K858" s="14" t="str">
        <f>IFERROR((VLOOKUP($A858,'[1]import success seats course'!$A:Y,HLOOKUP('[1]Course Totals'!K$4,'[1]import success seats course'!$1:$2,2,FALSE),FALSE)/(VLOOKUP($A858,'[1]import graded seats course pivo'!$A:AI,HLOOKUP('[1]Course Totals'!K$4,'[1]import graded seats course pivo'!$1:$2,2,FALSE),FALSE))),"")</f>
        <v/>
      </c>
      <c r="L858" s="14">
        <f>IFERROR((VLOOKUP($A858,'[1]import success seats course'!$A:Z,HLOOKUP('[1]Course Totals'!L$4,'[1]import success seats course'!$1:$2,2,FALSE),FALSE)/(VLOOKUP($A858,'[1]import graded seats course pivo'!$A:AJ,HLOOKUP('[1]Course Totals'!L$4,'[1]import graded seats course pivo'!$1:$2,2,FALSE),FALSE))),"")</f>
        <v>1</v>
      </c>
      <c r="M858" s="14" t="str">
        <f>IFERROR((VLOOKUP($A858,'[1]import success seats course'!$A:AA,HLOOKUP('[1]Course Totals'!M$4,'[1]import success seats course'!$1:$2,2,FALSE),FALSE)/(VLOOKUP($A858,'[1]import graded seats course pivo'!$A:AK,HLOOKUP('[1]Course Totals'!M$4,'[1]import graded seats course pivo'!$1:$2,2,FALSE),FALSE))),"")</f>
        <v/>
      </c>
      <c r="N858" s="14" t="str">
        <f>IFERROR((VLOOKUP($A858,'[1]import success seats course'!$A:AB,HLOOKUP('[1]Course Totals'!N$4,'[1]import success seats course'!$1:$2,2,FALSE),FALSE)/(VLOOKUP($A858,'[1]import graded seats course pivo'!$A:AL,HLOOKUP('[1]Course Totals'!N$4,'[1]import graded seats course pivo'!$1:$2,2,FALSE),FALSE))),"")</f>
        <v/>
      </c>
      <c r="O858" s="14" t="str">
        <f>IFERROR((VLOOKUP($A858,'[1]import success seats course'!$A:AC,HLOOKUP('[1]Course Totals'!O$4,'[1]import success seats course'!$1:$2,2,FALSE),FALSE)/(VLOOKUP($A858,'[1]import graded seats course pivo'!$A:AM,HLOOKUP('[1]Course Totals'!O$4,'[1]import graded seats course pivo'!$1:$2,2,FALSE),FALSE))),"")</f>
        <v/>
      </c>
      <c r="P858" s="14" t="str">
        <f>IFERROR((VLOOKUP($A858,'[1]import success seats course'!$A:AD,HLOOKUP('[1]Course Totals'!P$4,'[1]import success seats course'!$1:$2,2,FALSE),FALSE)/(VLOOKUP($A858,'[1]import graded seats course pivo'!$A:AN,HLOOKUP('[1]Course Totals'!P$4,'[1]import graded seats course pivo'!$1:$2,2,FALSE),FALSE))),"")</f>
        <v/>
      </c>
      <c r="Q858" s="14" t="str">
        <f>IFERROR((VLOOKUP($A858,'[1]import success seats course'!$A:AE,HLOOKUP('[1]Course Totals'!Q$4,'[1]import success seats course'!$1:$2,2,FALSE),FALSE)/(VLOOKUP($A858,'[1]import graded seats course pivo'!$A:AO,HLOOKUP('[1]Course Totals'!Q$4,'[1]import graded seats course pivo'!$1:$2,2,FALSE),FALSE))),"")</f>
        <v/>
      </c>
      <c r="R858" s="14" t="str">
        <f>IFERROR((VLOOKUP($A858,'[1]import success seats course'!$A:AF,HLOOKUP('[1]Course Totals'!R$4,'[1]import success seats course'!$1:$2,2,FALSE),FALSE)/(VLOOKUP($A858,'[1]import graded seats course pivo'!$A:AP,HLOOKUP('[1]Course Totals'!R$4,'[1]import graded seats course pivo'!$1:$2,2,FALSE),FALSE))),"")</f>
        <v/>
      </c>
      <c r="S858" s="14" t="str">
        <f>IFERROR((VLOOKUP($A858,'[1]import success seats course'!$A:AG,HLOOKUP('[1]Course Totals'!S$4,'[1]import success seats course'!$1:$2,2,FALSE),FALSE)/(VLOOKUP($A858,'[1]import graded seats course pivo'!$A:AQ,HLOOKUP('[1]Course Totals'!S$4,'[1]import graded seats course pivo'!$1:$2,2,FALSE),FALSE))),"")</f>
        <v/>
      </c>
      <c r="Z858" s="7"/>
      <c r="AA858" s="7"/>
      <c r="AB858" s="7"/>
      <c r="AC858" s="7"/>
    </row>
    <row r="859" spans="1:29" ht="15.75" customHeight="1" x14ac:dyDescent="0.25">
      <c r="A859" s="12" t="s">
        <v>401</v>
      </c>
      <c r="B859" s="14" t="str">
        <f>IFERROR((VLOOKUP($A859,'[1]import success seats course'!$A:P,HLOOKUP('[1]Course Totals'!B$4,'[1]import success seats course'!$1:$2,2,FALSE),FALSE)/(VLOOKUP($A859,'[1]import graded seats course pivo'!$A:Z,HLOOKUP('[1]Course Totals'!B$4,'[1]import graded seats course pivo'!$1:$2,2,FALSE),FALSE))),"")</f>
        <v/>
      </c>
      <c r="C859" s="14">
        <f>IFERROR((VLOOKUP($A859,'[1]import success seats course'!$A:Q,HLOOKUP('[1]Course Totals'!C$4,'[1]import success seats course'!$1:$2,2,FALSE),FALSE)/(VLOOKUP($A859,'[1]import graded seats course pivo'!$A:AA,HLOOKUP('[1]Course Totals'!C$4,'[1]import graded seats course pivo'!$1:$2,2,FALSE),FALSE))),"")</f>
        <v>0.90384615384615385</v>
      </c>
      <c r="D859" s="14">
        <f>IFERROR((VLOOKUP($A859,'[1]import success seats course'!$A:R,HLOOKUP('[1]Course Totals'!D$4,'[1]import success seats course'!$1:$2,2,FALSE),FALSE)/(VLOOKUP($A859,'[1]import graded seats course pivo'!$A:AB,HLOOKUP('[1]Course Totals'!D$4,'[1]import graded seats course pivo'!$1:$2,2,FALSE),FALSE))),"")</f>
        <v>0.95454545454545459</v>
      </c>
      <c r="E859" s="14" t="str">
        <f>IFERROR((VLOOKUP($A859,'[1]import success seats course'!$A:S,HLOOKUP('[1]Course Totals'!E$4,'[1]import success seats course'!$1:$2,2,FALSE),FALSE)/(VLOOKUP($A859,'[1]import graded seats course pivo'!$A:AC,HLOOKUP('[1]Course Totals'!E$4,'[1]import graded seats course pivo'!$1:$2,2,FALSE),FALSE))),"")</f>
        <v/>
      </c>
      <c r="F859" s="14">
        <f>IFERROR((VLOOKUP($A859,'[1]import success seats course'!$A:T,HLOOKUP('[1]Course Totals'!F$4,'[1]import success seats course'!$1:$2,2,FALSE),FALSE)/(VLOOKUP($A859,'[1]import graded seats course pivo'!$A:AD,HLOOKUP('[1]Course Totals'!F$4,'[1]import graded seats course pivo'!$1:$2,2,FALSE),FALSE))),"")</f>
        <v>0.98305084745762716</v>
      </c>
      <c r="G859" s="14">
        <f>IFERROR((VLOOKUP($A859,'[1]import success seats course'!$A:U,HLOOKUP('[1]Course Totals'!G$4,'[1]import success seats course'!$1:$2,2,FALSE),FALSE)/(VLOOKUP($A859,'[1]import graded seats course pivo'!$A:AE,HLOOKUP('[1]Course Totals'!G$4,'[1]import graded seats course pivo'!$1:$2,2,FALSE),FALSE))),"")</f>
        <v>0.94736842105263153</v>
      </c>
      <c r="H859" s="14" t="str">
        <f>IFERROR((VLOOKUP($A859,'[1]import success seats course'!$A:V,HLOOKUP('[1]Course Totals'!H$4,'[1]import success seats course'!$1:$2,2,FALSE),FALSE)/(VLOOKUP($A859,'[1]import graded seats course pivo'!$A:AF,HLOOKUP('[1]Course Totals'!H$4,'[1]import graded seats course pivo'!$1:$2,2,FALSE),FALSE))),"")</f>
        <v/>
      </c>
      <c r="I859" s="14">
        <f>IFERROR((VLOOKUP($A859,'[1]import success seats course'!$A:W,HLOOKUP('[1]Course Totals'!I$4,'[1]import success seats course'!$1:$2,2,FALSE),FALSE)/(VLOOKUP($A859,'[1]import graded seats course pivo'!$A:AG,HLOOKUP('[1]Course Totals'!I$4,'[1]import graded seats course pivo'!$1:$2,2,FALSE),FALSE))),"")</f>
        <v>0.97014925373134331</v>
      </c>
      <c r="J859" s="14">
        <f>IFERROR((VLOOKUP($A859,'[1]import success seats course'!$A:X,HLOOKUP('[1]Course Totals'!J$4,'[1]import success seats course'!$1:$2,2,FALSE),FALSE)/(VLOOKUP($A859,'[1]import graded seats course pivo'!$A:AH,HLOOKUP('[1]Course Totals'!J$4,'[1]import graded seats course pivo'!$1:$2,2,FALSE),FALSE))),"")</f>
        <v>0.96551724137931039</v>
      </c>
      <c r="K859" s="14" t="str">
        <f>IFERROR((VLOOKUP($A859,'[1]import success seats course'!$A:Y,HLOOKUP('[1]Course Totals'!K$4,'[1]import success seats course'!$1:$2,2,FALSE),FALSE)/(VLOOKUP($A859,'[1]import graded seats course pivo'!$A:AI,HLOOKUP('[1]Course Totals'!K$4,'[1]import graded seats course pivo'!$1:$2,2,FALSE),FALSE))),"")</f>
        <v/>
      </c>
      <c r="L859" s="14">
        <f>IFERROR((VLOOKUP($A859,'[1]import success seats course'!$A:Z,HLOOKUP('[1]Course Totals'!L$4,'[1]import success seats course'!$1:$2,2,FALSE),FALSE)/(VLOOKUP($A859,'[1]import graded seats course pivo'!$A:AJ,HLOOKUP('[1]Course Totals'!L$4,'[1]import graded seats course pivo'!$1:$2,2,FALSE),FALSE))),"")</f>
        <v>0.96491228070175439</v>
      </c>
      <c r="M859" s="14">
        <f>IFERROR((VLOOKUP($A859,'[1]import success seats course'!$A:AA,HLOOKUP('[1]Course Totals'!M$4,'[1]import success seats course'!$1:$2,2,FALSE),FALSE)/(VLOOKUP($A859,'[1]import graded seats course pivo'!$A:AK,HLOOKUP('[1]Course Totals'!M$4,'[1]import graded seats course pivo'!$1:$2,2,FALSE),FALSE))),"")</f>
        <v>0.9107142857142857</v>
      </c>
      <c r="N859" s="14" t="str">
        <f>IFERROR((VLOOKUP($A859,'[1]import success seats course'!$A:AB,HLOOKUP('[1]Course Totals'!N$4,'[1]import success seats course'!$1:$2,2,FALSE),FALSE)/(VLOOKUP($A859,'[1]import graded seats course pivo'!$A:AL,HLOOKUP('[1]Course Totals'!N$4,'[1]import graded seats course pivo'!$1:$2,2,FALSE),FALSE))),"")</f>
        <v/>
      </c>
      <c r="O859" s="14" t="str">
        <f>IFERROR((VLOOKUP($A859,'[1]import success seats course'!$A:AC,HLOOKUP('[1]Course Totals'!O$4,'[1]import success seats course'!$1:$2,2,FALSE),FALSE)/(VLOOKUP($A859,'[1]import graded seats course pivo'!$A:AM,HLOOKUP('[1]Course Totals'!O$4,'[1]import graded seats course pivo'!$1:$2,2,FALSE),FALSE))),"")</f>
        <v/>
      </c>
      <c r="P859" s="14">
        <f>IFERROR((VLOOKUP($A859,'[1]import success seats course'!$A:AD,HLOOKUP('[1]Course Totals'!P$4,'[1]import success seats course'!$1:$2,2,FALSE),FALSE)/(VLOOKUP($A859,'[1]import graded seats course pivo'!$A:AN,HLOOKUP('[1]Course Totals'!P$4,'[1]import graded seats course pivo'!$1:$2,2,FALSE),FALSE))),"")</f>
        <v>1</v>
      </c>
      <c r="Q859" s="14" t="str">
        <f>IFERROR((VLOOKUP($A859,'[1]import success seats course'!$A:AE,HLOOKUP('[1]Course Totals'!Q$4,'[1]import success seats course'!$1:$2,2,FALSE),FALSE)/(VLOOKUP($A859,'[1]import graded seats course pivo'!$A:AO,HLOOKUP('[1]Course Totals'!Q$4,'[1]import graded seats course pivo'!$1:$2,2,FALSE),FALSE))),"")</f>
        <v/>
      </c>
      <c r="R859" s="14">
        <f>IFERROR((VLOOKUP($A859,'[1]import success seats course'!$A:AF,HLOOKUP('[1]Course Totals'!R$4,'[1]import success seats course'!$1:$2,2,FALSE),FALSE)/(VLOOKUP($A859,'[1]import graded seats course pivo'!$A:AP,HLOOKUP('[1]Course Totals'!R$4,'[1]import graded seats course pivo'!$1:$2,2,FALSE),FALSE))),"")</f>
        <v>1</v>
      </c>
      <c r="S859" s="14">
        <f>IFERROR((VLOOKUP($A859,'[1]import success seats course'!$A:AG,HLOOKUP('[1]Course Totals'!S$4,'[1]import success seats course'!$1:$2,2,FALSE),FALSE)/(VLOOKUP($A859,'[1]import graded seats course pivo'!$A:AQ,HLOOKUP('[1]Course Totals'!S$4,'[1]import graded seats course pivo'!$1:$2,2,FALSE),FALSE))),"")</f>
        <v>1</v>
      </c>
      <c r="Z859" s="7"/>
      <c r="AA859" s="7"/>
      <c r="AB859" s="7"/>
      <c r="AC859" s="7"/>
    </row>
    <row r="860" spans="1:29" ht="15.75" customHeight="1" x14ac:dyDescent="0.25">
      <c r="A860" s="12" t="s">
        <v>402</v>
      </c>
      <c r="B860" s="14" t="str">
        <f>IFERROR((VLOOKUP($A860,'[1]import success seats course'!$A:P,HLOOKUP('[1]Course Totals'!B$4,'[1]import success seats course'!$1:$2,2,FALSE),FALSE)/(VLOOKUP($A860,'[1]import graded seats course pivo'!$A:Z,HLOOKUP('[1]Course Totals'!B$4,'[1]import graded seats course pivo'!$1:$2,2,FALSE),FALSE))),"")</f>
        <v/>
      </c>
      <c r="C860" s="14">
        <f>IFERROR((VLOOKUP($A860,'[1]import success seats course'!$A:Q,HLOOKUP('[1]Course Totals'!C$4,'[1]import success seats course'!$1:$2,2,FALSE),FALSE)/(VLOOKUP($A860,'[1]import graded seats course pivo'!$A:AA,HLOOKUP('[1]Course Totals'!C$4,'[1]import graded seats course pivo'!$1:$2,2,FALSE),FALSE))),"")</f>
        <v>0.92537313432835822</v>
      </c>
      <c r="D860" s="14">
        <f>IFERROR((VLOOKUP($A860,'[1]import success seats course'!$A:R,HLOOKUP('[1]Course Totals'!D$4,'[1]import success seats course'!$1:$2,2,FALSE),FALSE)/(VLOOKUP($A860,'[1]import graded seats course pivo'!$A:AB,HLOOKUP('[1]Course Totals'!D$4,'[1]import graded seats course pivo'!$1:$2,2,FALSE),FALSE))),"")</f>
        <v>0.98484848484848486</v>
      </c>
      <c r="E860" s="14" t="str">
        <f>IFERROR((VLOOKUP($A860,'[1]import success seats course'!$A:S,HLOOKUP('[1]Course Totals'!E$4,'[1]import success seats course'!$1:$2,2,FALSE),FALSE)/(VLOOKUP($A860,'[1]import graded seats course pivo'!$A:AC,HLOOKUP('[1]Course Totals'!E$4,'[1]import graded seats course pivo'!$1:$2,2,FALSE),FALSE))),"")</f>
        <v/>
      </c>
      <c r="F860" s="14">
        <f>IFERROR((VLOOKUP($A860,'[1]import success seats course'!$A:T,HLOOKUP('[1]Course Totals'!F$4,'[1]import success seats course'!$1:$2,2,FALSE),FALSE)/(VLOOKUP($A860,'[1]import graded seats course pivo'!$A:AD,HLOOKUP('[1]Course Totals'!F$4,'[1]import graded seats course pivo'!$1:$2,2,FALSE),FALSE))),"")</f>
        <v>0.94117647058823528</v>
      </c>
      <c r="G860" s="14">
        <f>IFERROR((VLOOKUP($A860,'[1]import success seats course'!$A:U,HLOOKUP('[1]Course Totals'!G$4,'[1]import success seats course'!$1:$2,2,FALSE),FALSE)/(VLOOKUP($A860,'[1]import graded seats course pivo'!$A:AE,HLOOKUP('[1]Course Totals'!G$4,'[1]import graded seats course pivo'!$1:$2,2,FALSE),FALSE))),"")</f>
        <v>0.95833333333333337</v>
      </c>
      <c r="H860" s="14" t="str">
        <f>IFERROR((VLOOKUP($A860,'[1]import success seats course'!$A:V,HLOOKUP('[1]Course Totals'!H$4,'[1]import success seats course'!$1:$2,2,FALSE),FALSE)/(VLOOKUP($A860,'[1]import graded seats course pivo'!$A:AF,HLOOKUP('[1]Course Totals'!H$4,'[1]import graded seats course pivo'!$1:$2,2,FALSE),FALSE))),"")</f>
        <v/>
      </c>
      <c r="I860" s="14">
        <f>IFERROR((VLOOKUP($A860,'[1]import success seats course'!$A:W,HLOOKUP('[1]Course Totals'!I$4,'[1]import success seats course'!$1:$2,2,FALSE),FALSE)/(VLOOKUP($A860,'[1]import graded seats course pivo'!$A:AG,HLOOKUP('[1]Course Totals'!I$4,'[1]import graded seats course pivo'!$1:$2,2,FALSE),FALSE))),"")</f>
        <v>0.93333333333333335</v>
      </c>
      <c r="J860" s="14">
        <f>IFERROR((VLOOKUP($A860,'[1]import success seats course'!$A:X,HLOOKUP('[1]Course Totals'!J$4,'[1]import success seats course'!$1:$2,2,FALSE),FALSE)/(VLOOKUP($A860,'[1]import graded seats course pivo'!$A:AH,HLOOKUP('[1]Course Totals'!J$4,'[1]import graded seats course pivo'!$1:$2,2,FALSE),FALSE))),"")</f>
        <v>0.9452054794520548</v>
      </c>
      <c r="K860" s="14" t="str">
        <f>IFERROR((VLOOKUP($A860,'[1]import success seats course'!$A:Y,HLOOKUP('[1]Course Totals'!K$4,'[1]import success seats course'!$1:$2,2,FALSE),FALSE)/(VLOOKUP($A860,'[1]import graded seats course pivo'!$A:AI,HLOOKUP('[1]Course Totals'!K$4,'[1]import graded seats course pivo'!$1:$2,2,FALSE),FALSE))),"")</f>
        <v/>
      </c>
      <c r="L860" s="14">
        <f>IFERROR((VLOOKUP($A860,'[1]import success seats course'!$A:Z,HLOOKUP('[1]Course Totals'!L$4,'[1]import success seats course'!$1:$2,2,FALSE),FALSE)/(VLOOKUP($A860,'[1]import graded seats course pivo'!$A:AJ,HLOOKUP('[1]Course Totals'!L$4,'[1]import graded seats course pivo'!$1:$2,2,FALSE),FALSE))),"")</f>
        <v>0.9538461538461539</v>
      </c>
      <c r="M860" s="14">
        <f>IFERROR((VLOOKUP($A860,'[1]import success seats course'!$A:AA,HLOOKUP('[1]Course Totals'!M$4,'[1]import success seats course'!$1:$2,2,FALSE),FALSE)/(VLOOKUP($A860,'[1]import graded seats course pivo'!$A:AK,HLOOKUP('[1]Course Totals'!M$4,'[1]import graded seats course pivo'!$1:$2,2,FALSE),FALSE))),"")</f>
        <v>0.98275862068965514</v>
      </c>
      <c r="N860" s="14" t="str">
        <f>IFERROR((VLOOKUP($A860,'[1]import success seats course'!$A:AB,HLOOKUP('[1]Course Totals'!N$4,'[1]import success seats course'!$1:$2,2,FALSE),FALSE)/(VLOOKUP($A860,'[1]import graded seats course pivo'!$A:AL,HLOOKUP('[1]Course Totals'!N$4,'[1]import graded seats course pivo'!$1:$2,2,FALSE),FALSE))),"")</f>
        <v/>
      </c>
      <c r="O860" s="14">
        <f>IFERROR((VLOOKUP($A860,'[1]import success seats course'!$A:AC,HLOOKUP('[1]Course Totals'!O$4,'[1]import success seats course'!$1:$2,2,FALSE),FALSE)/(VLOOKUP($A860,'[1]import graded seats course pivo'!$A:AM,HLOOKUP('[1]Course Totals'!O$4,'[1]import graded seats course pivo'!$1:$2,2,FALSE),FALSE))),"")</f>
        <v>1</v>
      </c>
      <c r="P860" s="14">
        <f>IFERROR((VLOOKUP($A860,'[1]import success seats course'!$A:AD,HLOOKUP('[1]Course Totals'!P$4,'[1]import success seats course'!$1:$2,2,FALSE),FALSE)/(VLOOKUP($A860,'[1]import graded seats course pivo'!$A:AN,HLOOKUP('[1]Course Totals'!P$4,'[1]import graded seats course pivo'!$1:$2,2,FALSE),FALSE))),"")</f>
        <v>1</v>
      </c>
      <c r="Q860" s="14" t="str">
        <f>IFERROR((VLOOKUP($A860,'[1]import success seats course'!$A:AE,HLOOKUP('[1]Course Totals'!Q$4,'[1]import success seats course'!$1:$2,2,FALSE),FALSE)/(VLOOKUP($A860,'[1]import graded seats course pivo'!$A:AO,HLOOKUP('[1]Course Totals'!Q$4,'[1]import graded seats course pivo'!$1:$2,2,FALSE),FALSE))),"")</f>
        <v/>
      </c>
      <c r="R860" s="14" t="str">
        <f>IFERROR((VLOOKUP($A860,'[1]import success seats course'!$A:AF,HLOOKUP('[1]Course Totals'!R$4,'[1]import success seats course'!$1:$2,2,FALSE),FALSE)/(VLOOKUP($A860,'[1]import graded seats course pivo'!$A:AP,HLOOKUP('[1]Course Totals'!R$4,'[1]import graded seats course pivo'!$1:$2,2,FALSE),FALSE))),"")</f>
        <v/>
      </c>
      <c r="S860" s="14" t="str">
        <f>IFERROR((VLOOKUP($A860,'[1]import success seats course'!$A:AG,HLOOKUP('[1]Course Totals'!S$4,'[1]import success seats course'!$1:$2,2,FALSE),FALSE)/(VLOOKUP($A860,'[1]import graded seats course pivo'!$A:AQ,HLOOKUP('[1]Course Totals'!S$4,'[1]import graded seats course pivo'!$1:$2,2,FALSE),FALSE))),"")</f>
        <v/>
      </c>
      <c r="Z860" s="7"/>
      <c r="AA860" s="7"/>
      <c r="AB860" s="7"/>
      <c r="AC860" s="7"/>
    </row>
    <row r="861" spans="1:29" ht="15.75" customHeight="1" x14ac:dyDescent="0.25">
      <c r="A861" s="12" t="s">
        <v>403</v>
      </c>
      <c r="B861" s="14" t="str">
        <f>IFERROR((VLOOKUP($A861,'[1]import success seats course'!$A:P,HLOOKUP('[1]Course Totals'!B$4,'[1]import success seats course'!$1:$2,2,FALSE),FALSE)/(VLOOKUP($A861,'[1]import graded seats course pivo'!$A:Z,HLOOKUP('[1]Course Totals'!B$4,'[1]import graded seats course pivo'!$1:$2,2,FALSE),FALSE))),"")</f>
        <v/>
      </c>
      <c r="C861" s="14">
        <f>IFERROR((VLOOKUP($A861,'[1]import success seats course'!$A:Q,HLOOKUP('[1]Course Totals'!C$4,'[1]import success seats course'!$1:$2,2,FALSE),FALSE)/(VLOOKUP($A861,'[1]import graded seats course pivo'!$A:AA,HLOOKUP('[1]Course Totals'!C$4,'[1]import graded seats course pivo'!$1:$2,2,FALSE),FALSE))),"")</f>
        <v>0.98550724637681164</v>
      </c>
      <c r="D861" s="14">
        <f>IFERROR((VLOOKUP($A861,'[1]import success seats course'!$A:R,HLOOKUP('[1]Course Totals'!D$4,'[1]import success seats course'!$1:$2,2,FALSE),FALSE)/(VLOOKUP($A861,'[1]import graded seats course pivo'!$A:AB,HLOOKUP('[1]Course Totals'!D$4,'[1]import graded seats course pivo'!$1:$2,2,FALSE),FALSE))),"")</f>
        <v>0.95679012345679015</v>
      </c>
      <c r="E861" s="14" t="str">
        <f>IFERROR((VLOOKUP($A861,'[1]import success seats course'!$A:S,HLOOKUP('[1]Course Totals'!E$4,'[1]import success seats course'!$1:$2,2,FALSE),FALSE)/(VLOOKUP($A861,'[1]import graded seats course pivo'!$A:AC,HLOOKUP('[1]Course Totals'!E$4,'[1]import graded seats course pivo'!$1:$2,2,FALSE),FALSE))),"")</f>
        <v/>
      </c>
      <c r="F861" s="14">
        <f>IFERROR((VLOOKUP($A861,'[1]import success seats course'!$A:T,HLOOKUP('[1]Course Totals'!F$4,'[1]import success seats course'!$1:$2,2,FALSE),FALSE)/(VLOOKUP($A861,'[1]import graded seats course pivo'!$A:AD,HLOOKUP('[1]Course Totals'!F$4,'[1]import graded seats course pivo'!$1:$2,2,FALSE),FALSE))),"")</f>
        <v>0.98360655737704916</v>
      </c>
      <c r="G861" s="14">
        <f>IFERROR((VLOOKUP($A861,'[1]import success seats course'!$A:U,HLOOKUP('[1]Course Totals'!G$4,'[1]import success seats course'!$1:$2,2,FALSE),FALSE)/(VLOOKUP($A861,'[1]import graded seats course pivo'!$A:AE,HLOOKUP('[1]Course Totals'!G$4,'[1]import graded seats course pivo'!$1:$2,2,FALSE),FALSE))),"")</f>
        <v>0.92052980132450335</v>
      </c>
      <c r="H861" s="14">
        <f>IFERROR((VLOOKUP($A861,'[1]import success seats course'!$A:V,HLOOKUP('[1]Course Totals'!H$4,'[1]import success seats course'!$1:$2,2,FALSE),FALSE)/(VLOOKUP($A861,'[1]import graded seats course pivo'!$A:AF,HLOOKUP('[1]Course Totals'!H$4,'[1]import graded seats course pivo'!$1:$2,2,FALSE),FALSE))),"")</f>
        <v>1</v>
      </c>
      <c r="I861" s="14">
        <f>IFERROR((VLOOKUP($A861,'[1]import success seats course'!$A:W,HLOOKUP('[1]Course Totals'!I$4,'[1]import success seats course'!$1:$2,2,FALSE),FALSE)/(VLOOKUP($A861,'[1]import graded seats course pivo'!$A:AG,HLOOKUP('[1]Course Totals'!I$4,'[1]import graded seats course pivo'!$1:$2,2,FALSE),FALSE))),"")</f>
        <v>0.9932432432432432</v>
      </c>
      <c r="J861" s="14">
        <f>IFERROR((VLOOKUP($A861,'[1]import success seats course'!$A:X,HLOOKUP('[1]Course Totals'!J$4,'[1]import success seats course'!$1:$2,2,FALSE),FALSE)/(VLOOKUP($A861,'[1]import graded seats course pivo'!$A:AH,HLOOKUP('[1]Course Totals'!J$4,'[1]import graded seats course pivo'!$1:$2,2,FALSE),FALSE))),"")</f>
        <v>0.967741935483871</v>
      </c>
      <c r="K861" s="14" t="str">
        <f>IFERROR((VLOOKUP($A861,'[1]import success seats course'!$A:Y,HLOOKUP('[1]Course Totals'!K$4,'[1]import success seats course'!$1:$2,2,FALSE),FALSE)/(VLOOKUP($A861,'[1]import graded seats course pivo'!$A:AI,HLOOKUP('[1]Course Totals'!K$4,'[1]import graded seats course pivo'!$1:$2,2,FALSE),FALSE))),"")</f>
        <v/>
      </c>
      <c r="L861" s="14">
        <f>IFERROR((VLOOKUP($A861,'[1]import success seats course'!$A:Z,HLOOKUP('[1]Course Totals'!L$4,'[1]import success seats course'!$1:$2,2,FALSE),FALSE)/(VLOOKUP($A861,'[1]import graded seats course pivo'!$A:AJ,HLOOKUP('[1]Course Totals'!L$4,'[1]import graded seats course pivo'!$1:$2,2,FALSE),FALSE))),"")</f>
        <v>1</v>
      </c>
      <c r="M861" s="14">
        <f>IFERROR((VLOOKUP($A861,'[1]import success seats course'!$A:AA,HLOOKUP('[1]Course Totals'!M$4,'[1]import success seats course'!$1:$2,2,FALSE),FALSE)/(VLOOKUP($A861,'[1]import graded seats course pivo'!$A:AK,HLOOKUP('[1]Course Totals'!M$4,'[1]import graded seats course pivo'!$1:$2,2,FALSE),FALSE))),"")</f>
        <v>0.95522388059701491</v>
      </c>
      <c r="N861" s="14" t="str">
        <f>IFERROR((VLOOKUP($A861,'[1]import success seats course'!$A:AB,HLOOKUP('[1]Course Totals'!N$4,'[1]import success seats course'!$1:$2,2,FALSE),FALSE)/(VLOOKUP($A861,'[1]import graded seats course pivo'!$A:AL,HLOOKUP('[1]Course Totals'!N$4,'[1]import graded seats course pivo'!$1:$2,2,FALSE),FALSE))),"")</f>
        <v/>
      </c>
      <c r="O861" s="14">
        <f>IFERROR((VLOOKUP($A861,'[1]import success seats course'!$A:AC,HLOOKUP('[1]Course Totals'!O$4,'[1]import success seats course'!$1:$2,2,FALSE),FALSE)/(VLOOKUP($A861,'[1]import graded seats course pivo'!$A:AM,HLOOKUP('[1]Course Totals'!O$4,'[1]import graded seats course pivo'!$1:$2,2,FALSE),FALSE))),"")</f>
        <v>0.99115044247787609</v>
      </c>
      <c r="P861" s="14">
        <f>IFERROR((VLOOKUP($A861,'[1]import success seats course'!$A:AD,HLOOKUP('[1]Course Totals'!P$4,'[1]import success seats course'!$1:$2,2,FALSE),FALSE)/(VLOOKUP($A861,'[1]import graded seats course pivo'!$A:AN,HLOOKUP('[1]Course Totals'!P$4,'[1]import graded seats course pivo'!$1:$2,2,FALSE),FALSE))),"")</f>
        <v>1</v>
      </c>
      <c r="Q861" s="14" t="str">
        <f>IFERROR((VLOOKUP($A861,'[1]import success seats course'!$A:AE,HLOOKUP('[1]Course Totals'!Q$4,'[1]import success seats course'!$1:$2,2,FALSE),FALSE)/(VLOOKUP($A861,'[1]import graded seats course pivo'!$A:AO,HLOOKUP('[1]Course Totals'!Q$4,'[1]import graded seats course pivo'!$1:$2,2,FALSE),FALSE))),"")</f>
        <v/>
      </c>
      <c r="R861" s="14">
        <f>IFERROR((VLOOKUP($A861,'[1]import success seats course'!$A:AF,HLOOKUP('[1]Course Totals'!R$4,'[1]import success seats course'!$1:$2,2,FALSE),FALSE)/(VLOOKUP($A861,'[1]import graded seats course pivo'!$A:AP,HLOOKUP('[1]Course Totals'!R$4,'[1]import graded seats course pivo'!$1:$2,2,FALSE),FALSE))),"")</f>
        <v>1</v>
      </c>
      <c r="S861" s="14">
        <f>IFERROR((VLOOKUP($A861,'[1]import success seats course'!$A:AG,HLOOKUP('[1]Course Totals'!S$4,'[1]import success seats course'!$1:$2,2,FALSE),FALSE)/(VLOOKUP($A861,'[1]import graded seats course pivo'!$A:AQ,HLOOKUP('[1]Course Totals'!S$4,'[1]import graded seats course pivo'!$1:$2,2,FALSE),FALSE))),"")</f>
        <v>1</v>
      </c>
      <c r="Z861" s="7"/>
      <c r="AA861" s="7"/>
      <c r="AB861" s="7"/>
      <c r="AC861" s="7"/>
    </row>
    <row r="862" spans="1:29" ht="15.75" customHeight="1" x14ac:dyDescent="0.25">
      <c r="A862" s="12" t="s">
        <v>404</v>
      </c>
      <c r="B862" s="14" t="str">
        <f>IFERROR((VLOOKUP($A862,'[1]import success seats course'!$A:P,HLOOKUP('[1]Course Totals'!B$4,'[1]import success seats course'!$1:$2,2,FALSE),FALSE)/(VLOOKUP($A862,'[1]import graded seats course pivo'!$A:Z,HLOOKUP('[1]Course Totals'!B$4,'[1]import graded seats course pivo'!$1:$2,2,FALSE),FALSE))),"")</f>
        <v/>
      </c>
      <c r="C862" s="14">
        <f>IFERROR((VLOOKUP($A862,'[1]import success seats course'!$A:Q,HLOOKUP('[1]Course Totals'!C$4,'[1]import success seats course'!$1:$2,2,FALSE),FALSE)/(VLOOKUP($A862,'[1]import graded seats course pivo'!$A:AA,HLOOKUP('[1]Course Totals'!C$4,'[1]import graded seats course pivo'!$1:$2,2,FALSE),FALSE))),"")</f>
        <v>0.82352941176470584</v>
      </c>
      <c r="D862" s="14">
        <f>IFERROR((VLOOKUP($A862,'[1]import success seats course'!$A:R,HLOOKUP('[1]Course Totals'!D$4,'[1]import success seats course'!$1:$2,2,FALSE),FALSE)/(VLOOKUP($A862,'[1]import graded seats course pivo'!$A:AB,HLOOKUP('[1]Course Totals'!D$4,'[1]import graded seats course pivo'!$1:$2,2,FALSE),FALSE))),"")</f>
        <v>0.93442622950819676</v>
      </c>
      <c r="E862" s="14" t="str">
        <f>IFERROR((VLOOKUP($A862,'[1]import success seats course'!$A:S,HLOOKUP('[1]Course Totals'!E$4,'[1]import success seats course'!$1:$2,2,FALSE),FALSE)/(VLOOKUP($A862,'[1]import graded seats course pivo'!$A:AC,HLOOKUP('[1]Course Totals'!E$4,'[1]import graded seats course pivo'!$1:$2,2,FALSE),FALSE))),"")</f>
        <v/>
      </c>
      <c r="F862" s="14" t="str">
        <f>IFERROR((VLOOKUP($A862,'[1]import success seats course'!$A:T,HLOOKUP('[1]Course Totals'!F$4,'[1]import success seats course'!$1:$2,2,FALSE),FALSE)/(VLOOKUP($A862,'[1]import graded seats course pivo'!$A:AD,HLOOKUP('[1]Course Totals'!F$4,'[1]import graded seats course pivo'!$1:$2,2,FALSE),FALSE))),"")</f>
        <v/>
      </c>
      <c r="G862" s="14">
        <f>IFERROR((VLOOKUP($A862,'[1]import success seats course'!$A:U,HLOOKUP('[1]Course Totals'!G$4,'[1]import success seats course'!$1:$2,2,FALSE),FALSE)/(VLOOKUP($A862,'[1]import graded seats course pivo'!$A:AE,HLOOKUP('[1]Course Totals'!G$4,'[1]import graded seats course pivo'!$1:$2,2,FALSE),FALSE))),"")</f>
        <v>0.93220338983050843</v>
      </c>
      <c r="H862" s="14" t="str">
        <f>IFERROR((VLOOKUP($A862,'[1]import success seats course'!$A:V,HLOOKUP('[1]Course Totals'!H$4,'[1]import success seats course'!$1:$2,2,FALSE),FALSE)/(VLOOKUP($A862,'[1]import graded seats course pivo'!$A:AF,HLOOKUP('[1]Course Totals'!H$4,'[1]import graded seats course pivo'!$1:$2,2,FALSE),FALSE))),"")</f>
        <v/>
      </c>
      <c r="I862" s="14">
        <f>IFERROR((VLOOKUP($A862,'[1]import success seats course'!$A:W,HLOOKUP('[1]Course Totals'!I$4,'[1]import success seats course'!$1:$2,2,FALSE),FALSE)/(VLOOKUP($A862,'[1]import graded seats course pivo'!$A:AG,HLOOKUP('[1]Course Totals'!I$4,'[1]import graded seats course pivo'!$1:$2,2,FALSE),FALSE))),"")</f>
        <v>0.94915254237288138</v>
      </c>
      <c r="J862" s="14">
        <f>IFERROR((VLOOKUP($A862,'[1]import success seats course'!$A:X,HLOOKUP('[1]Course Totals'!J$4,'[1]import success seats course'!$1:$2,2,FALSE),FALSE)/(VLOOKUP($A862,'[1]import graded seats course pivo'!$A:AH,HLOOKUP('[1]Course Totals'!J$4,'[1]import graded seats course pivo'!$1:$2,2,FALSE),FALSE))),"")</f>
        <v>0.96610169491525422</v>
      </c>
      <c r="K862" s="14" t="str">
        <f>IFERROR((VLOOKUP($A862,'[1]import success seats course'!$A:Y,HLOOKUP('[1]Course Totals'!K$4,'[1]import success seats course'!$1:$2,2,FALSE),FALSE)/(VLOOKUP($A862,'[1]import graded seats course pivo'!$A:AI,HLOOKUP('[1]Course Totals'!K$4,'[1]import graded seats course pivo'!$1:$2,2,FALSE),FALSE))),"")</f>
        <v/>
      </c>
      <c r="L862" s="14">
        <f>IFERROR((VLOOKUP($A862,'[1]import success seats course'!$A:Z,HLOOKUP('[1]Course Totals'!L$4,'[1]import success seats course'!$1:$2,2,FALSE),FALSE)/(VLOOKUP($A862,'[1]import graded seats course pivo'!$A:AJ,HLOOKUP('[1]Course Totals'!L$4,'[1]import graded seats course pivo'!$1:$2,2,FALSE),FALSE))),"")</f>
        <v>0.96491228070175439</v>
      </c>
      <c r="M862" s="14">
        <f>IFERROR((VLOOKUP($A862,'[1]import success seats course'!$A:AA,HLOOKUP('[1]Course Totals'!M$4,'[1]import success seats course'!$1:$2,2,FALSE),FALSE)/(VLOOKUP($A862,'[1]import graded seats course pivo'!$A:AK,HLOOKUP('[1]Course Totals'!M$4,'[1]import graded seats course pivo'!$1:$2,2,FALSE),FALSE))),"")</f>
        <v>0.9107142857142857</v>
      </c>
      <c r="N862" s="14" t="str">
        <f>IFERROR((VLOOKUP($A862,'[1]import success seats course'!$A:AB,HLOOKUP('[1]Course Totals'!N$4,'[1]import success seats course'!$1:$2,2,FALSE),FALSE)/(VLOOKUP($A862,'[1]import graded seats course pivo'!$A:AL,HLOOKUP('[1]Course Totals'!N$4,'[1]import graded seats course pivo'!$1:$2,2,FALSE),FALSE))),"")</f>
        <v/>
      </c>
      <c r="O862" s="14" t="str">
        <f>IFERROR((VLOOKUP($A862,'[1]import success seats course'!$A:AC,HLOOKUP('[1]Course Totals'!O$4,'[1]import success seats course'!$1:$2,2,FALSE),FALSE)/(VLOOKUP($A862,'[1]import graded seats course pivo'!$A:AM,HLOOKUP('[1]Course Totals'!O$4,'[1]import graded seats course pivo'!$1:$2,2,FALSE),FALSE))),"")</f>
        <v/>
      </c>
      <c r="P862" s="14">
        <f>IFERROR((VLOOKUP($A862,'[1]import success seats course'!$A:AD,HLOOKUP('[1]Course Totals'!P$4,'[1]import success seats course'!$1:$2,2,FALSE),FALSE)/(VLOOKUP($A862,'[1]import graded seats course pivo'!$A:AN,HLOOKUP('[1]Course Totals'!P$4,'[1]import graded seats course pivo'!$1:$2,2,FALSE),FALSE))),"")</f>
        <v>1</v>
      </c>
      <c r="Q862" s="14" t="str">
        <f>IFERROR((VLOOKUP($A862,'[1]import success seats course'!$A:AE,HLOOKUP('[1]Course Totals'!Q$4,'[1]import success seats course'!$1:$2,2,FALSE),FALSE)/(VLOOKUP($A862,'[1]import graded seats course pivo'!$A:AO,HLOOKUP('[1]Course Totals'!Q$4,'[1]import graded seats course pivo'!$1:$2,2,FALSE),FALSE))),"")</f>
        <v/>
      </c>
      <c r="R862" s="14">
        <f>IFERROR((VLOOKUP($A862,'[1]import success seats course'!$A:AF,HLOOKUP('[1]Course Totals'!R$4,'[1]import success seats course'!$1:$2,2,FALSE),FALSE)/(VLOOKUP($A862,'[1]import graded seats course pivo'!$A:AP,HLOOKUP('[1]Course Totals'!R$4,'[1]import graded seats course pivo'!$1:$2,2,FALSE),FALSE))),"")</f>
        <v>1</v>
      </c>
      <c r="S862" s="14">
        <f>IFERROR((VLOOKUP($A862,'[1]import success seats course'!$A:AG,HLOOKUP('[1]Course Totals'!S$4,'[1]import success seats course'!$1:$2,2,FALSE),FALSE)/(VLOOKUP($A862,'[1]import graded seats course pivo'!$A:AQ,HLOOKUP('[1]Course Totals'!S$4,'[1]import graded seats course pivo'!$1:$2,2,FALSE),FALSE))),"")</f>
        <v>1</v>
      </c>
      <c r="Z862" s="7"/>
      <c r="AA862" s="7"/>
      <c r="AB862" s="7"/>
      <c r="AC862" s="7"/>
    </row>
    <row r="863" spans="1:29" ht="15.75" customHeight="1" x14ac:dyDescent="0.25">
      <c r="A863" s="12" t="s">
        <v>1057</v>
      </c>
      <c r="B863" s="14" t="str">
        <f>IFERROR((VLOOKUP($A863,'[1]import success seats course'!$A:P,HLOOKUP('[1]Course Totals'!B$4,'[1]import success seats course'!$1:$2,2,FALSE),FALSE)/(VLOOKUP($A863,'[1]import graded seats course pivo'!$A:Z,HLOOKUP('[1]Course Totals'!B$4,'[1]import graded seats course pivo'!$1:$2,2,FALSE),FALSE))),"")</f>
        <v/>
      </c>
      <c r="C863" s="14" t="str">
        <f>IFERROR((VLOOKUP($A863,'[1]import success seats course'!$A:Q,HLOOKUP('[1]Course Totals'!C$4,'[1]import success seats course'!$1:$2,2,FALSE),FALSE)/(VLOOKUP($A863,'[1]import graded seats course pivo'!$A:AA,HLOOKUP('[1]Course Totals'!C$4,'[1]import graded seats course pivo'!$1:$2,2,FALSE),FALSE))),"")</f>
        <v/>
      </c>
      <c r="D863" s="14" t="str">
        <f>IFERROR((VLOOKUP($A863,'[1]import success seats course'!$A:R,HLOOKUP('[1]Course Totals'!D$4,'[1]import success seats course'!$1:$2,2,FALSE),FALSE)/(VLOOKUP($A863,'[1]import graded seats course pivo'!$A:AB,HLOOKUP('[1]Course Totals'!D$4,'[1]import graded seats course pivo'!$1:$2,2,FALSE),FALSE))),"")</f>
        <v/>
      </c>
      <c r="E863" s="14">
        <f>IFERROR((VLOOKUP($A863,'[1]import success seats course'!$A:S,HLOOKUP('[1]Course Totals'!E$4,'[1]import success seats course'!$1:$2,2,FALSE),FALSE)/(VLOOKUP($A863,'[1]import graded seats course pivo'!$A:AC,HLOOKUP('[1]Course Totals'!E$4,'[1]import graded seats course pivo'!$1:$2,2,FALSE),FALSE))),"")</f>
        <v>0.8</v>
      </c>
      <c r="F863" s="14" t="str">
        <f>IFERROR((VLOOKUP($A863,'[1]import success seats course'!$A:T,HLOOKUP('[1]Course Totals'!F$4,'[1]import success seats course'!$1:$2,2,FALSE),FALSE)/(VLOOKUP($A863,'[1]import graded seats course pivo'!$A:AD,HLOOKUP('[1]Course Totals'!F$4,'[1]import graded seats course pivo'!$1:$2,2,FALSE),FALSE))),"")</f>
        <v/>
      </c>
      <c r="G863" s="14" t="str">
        <f>IFERROR((VLOOKUP($A863,'[1]import success seats course'!$A:U,HLOOKUP('[1]Course Totals'!G$4,'[1]import success seats course'!$1:$2,2,FALSE),FALSE)/(VLOOKUP($A863,'[1]import graded seats course pivo'!$A:AE,HLOOKUP('[1]Course Totals'!G$4,'[1]import graded seats course pivo'!$1:$2,2,FALSE),FALSE))),"")</f>
        <v/>
      </c>
      <c r="H863" s="14">
        <f>IFERROR((VLOOKUP($A863,'[1]import success seats course'!$A:V,HLOOKUP('[1]Course Totals'!H$4,'[1]import success seats course'!$1:$2,2,FALSE),FALSE)/(VLOOKUP($A863,'[1]import graded seats course pivo'!$A:AF,HLOOKUP('[1]Course Totals'!H$4,'[1]import graded seats course pivo'!$1:$2,2,FALSE),FALSE))),"")</f>
        <v>0.8666666666666667</v>
      </c>
      <c r="I863" s="14" t="str">
        <f>IFERROR((VLOOKUP($A863,'[1]import success seats course'!$A:W,HLOOKUP('[1]Course Totals'!I$4,'[1]import success seats course'!$1:$2,2,FALSE),FALSE)/(VLOOKUP($A863,'[1]import graded seats course pivo'!$A:AG,HLOOKUP('[1]Course Totals'!I$4,'[1]import graded seats course pivo'!$1:$2,2,FALSE),FALSE))),"")</f>
        <v/>
      </c>
      <c r="J863" s="14" t="str">
        <f>IFERROR((VLOOKUP($A863,'[1]import success seats course'!$A:X,HLOOKUP('[1]Course Totals'!J$4,'[1]import success seats course'!$1:$2,2,FALSE),FALSE)/(VLOOKUP($A863,'[1]import graded seats course pivo'!$A:AH,HLOOKUP('[1]Course Totals'!J$4,'[1]import graded seats course pivo'!$1:$2,2,FALSE),FALSE))),"")</f>
        <v/>
      </c>
      <c r="K863" s="14">
        <f>IFERROR((VLOOKUP($A863,'[1]import success seats course'!$A:Y,HLOOKUP('[1]Course Totals'!K$4,'[1]import success seats course'!$1:$2,2,FALSE),FALSE)/(VLOOKUP($A863,'[1]import graded seats course pivo'!$A:AI,HLOOKUP('[1]Course Totals'!K$4,'[1]import graded seats course pivo'!$1:$2,2,FALSE),FALSE))),"")</f>
        <v>1</v>
      </c>
      <c r="L863" s="14" t="str">
        <f>IFERROR((VLOOKUP($A863,'[1]import success seats course'!$A:Z,HLOOKUP('[1]Course Totals'!L$4,'[1]import success seats course'!$1:$2,2,FALSE),FALSE)/(VLOOKUP($A863,'[1]import graded seats course pivo'!$A:AJ,HLOOKUP('[1]Course Totals'!L$4,'[1]import graded seats course pivo'!$1:$2,2,FALSE),FALSE))),"")</f>
        <v/>
      </c>
      <c r="M863" s="14" t="str">
        <f>IFERROR((VLOOKUP($A863,'[1]import success seats course'!$A:AA,HLOOKUP('[1]Course Totals'!M$4,'[1]import success seats course'!$1:$2,2,FALSE),FALSE)/(VLOOKUP($A863,'[1]import graded seats course pivo'!$A:AK,HLOOKUP('[1]Course Totals'!M$4,'[1]import graded seats course pivo'!$1:$2,2,FALSE),FALSE))),"")</f>
        <v/>
      </c>
      <c r="N863" s="14" t="str">
        <f>IFERROR((VLOOKUP($A863,'[1]import success seats course'!$A:AB,HLOOKUP('[1]Course Totals'!N$4,'[1]import success seats course'!$1:$2,2,FALSE),FALSE)/(VLOOKUP($A863,'[1]import graded seats course pivo'!$A:AL,HLOOKUP('[1]Course Totals'!N$4,'[1]import graded seats course pivo'!$1:$2,2,FALSE),FALSE))),"")</f>
        <v/>
      </c>
      <c r="O863" s="14" t="str">
        <f>IFERROR((VLOOKUP($A863,'[1]import success seats course'!$A:AC,HLOOKUP('[1]Course Totals'!O$4,'[1]import success seats course'!$1:$2,2,FALSE),FALSE)/(VLOOKUP($A863,'[1]import graded seats course pivo'!$A:AM,HLOOKUP('[1]Course Totals'!O$4,'[1]import graded seats course pivo'!$1:$2,2,FALSE),FALSE))),"")</f>
        <v/>
      </c>
      <c r="P863" s="14" t="str">
        <f>IFERROR((VLOOKUP($A863,'[1]import success seats course'!$A:AD,HLOOKUP('[1]Course Totals'!P$4,'[1]import success seats course'!$1:$2,2,FALSE),FALSE)/(VLOOKUP($A863,'[1]import graded seats course pivo'!$A:AN,HLOOKUP('[1]Course Totals'!P$4,'[1]import graded seats course pivo'!$1:$2,2,FALSE),FALSE))),"")</f>
        <v/>
      </c>
      <c r="Q863" s="14" t="str">
        <f>IFERROR((VLOOKUP($A863,'[1]import success seats course'!$A:AE,HLOOKUP('[1]Course Totals'!Q$4,'[1]import success seats course'!$1:$2,2,FALSE),FALSE)/(VLOOKUP($A863,'[1]import graded seats course pivo'!$A:AO,HLOOKUP('[1]Course Totals'!Q$4,'[1]import graded seats course pivo'!$1:$2,2,FALSE),FALSE))),"")</f>
        <v/>
      </c>
      <c r="R863" s="14" t="str">
        <f>IFERROR((VLOOKUP($A863,'[1]import success seats course'!$A:AF,HLOOKUP('[1]Course Totals'!R$4,'[1]import success seats course'!$1:$2,2,FALSE),FALSE)/(VLOOKUP($A863,'[1]import graded seats course pivo'!$A:AP,HLOOKUP('[1]Course Totals'!R$4,'[1]import graded seats course pivo'!$1:$2,2,FALSE),FALSE))),"")</f>
        <v/>
      </c>
      <c r="S863" s="14" t="str">
        <f>IFERROR((VLOOKUP($A863,'[1]import success seats course'!$A:AG,HLOOKUP('[1]Course Totals'!S$4,'[1]import success seats course'!$1:$2,2,FALSE),FALSE)/(VLOOKUP($A863,'[1]import graded seats course pivo'!$A:AQ,HLOOKUP('[1]Course Totals'!S$4,'[1]import graded seats course pivo'!$1:$2,2,FALSE),FALSE))),"")</f>
        <v/>
      </c>
      <c r="Z863" s="7"/>
      <c r="AA863" s="7"/>
      <c r="AB863" s="7"/>
      <c r="AC863" s="7"/>
    </row>
    <row r="864" spans="1:29" ht="15.75" customHeight="1" x14ac:dyDescent="0.25">
      <c r="A864" s="12" t="s">
        <v>405</v>
      </c>
      <c r="B864" s="14">
        <f>IFERROR((VLOOKUP($A864,'[1]import success seats course'!$A:P,HLOOKUP('[1]Course Totals'!B$4,'[1]import success seats course'!$1:$2,2,FALSE),FALSE)/(VLOOKUP($A864,'[1]import graded seats course pivo'!$A:Z,HLOOKUP('[1]Course Totals'!B$4,'[1]import graded seats course pivo'!$1:$2,2,FALSE),FALSE))),"")</f>
        <v>1</v>
      </c>
      <c r="C864" s="14">
        <f>IFERROR((VLOOKUP($A864,'[1]import success seats course'!$A:Q,HLOOKUP('[1]Course Totals'!C$4,'[1]import success seats course'!$1:$2,2,FALSE),FALSE)/(VLOOKUP($A864,'[1]import graded seats course pivo'!$A:AA,HLOOKUP('[1]Course Totals'!C$4,'[1]import graded seats course pivo'!$1:$2,2,FALSE),FALSE))),"")</f>
        <v>1</v>
      </c>
      <c r="D864" s="14" t="str">
        <f>IFERROR((VLOOKUP($A864,'[1]import success seats course'!$A:R,HLOOKUP('[1]Course Totals'!D$4,'[1]import success seats course'!$1:$2,2,FALSE),FALSE)/(VLOOKUP($A864,'[1]import graded seats course pivo'!$A:AB,HLOOKUP('[1]Course Totals'!D$4,'[1]import graded seats course pivo'!$1:$2,2,FALSE),FALSE))),"")</f>
        <v/>
      </c>
      <c r="E864" s="14">
        <f>IFERROR((VLOOKUP($A864,'[1]import success seats course'!$A:S,HLOOKUP('[1]Course Totals'!E$4,'[1]import success seats course'!$1:$2,2,FALSE),FALSE)/(VLOOKUP($A864,'[1]import graded seats course pivo'!$A:AC,HLOOKUP('[1]Course Totals'!E$4,'[1]import graded seats course pivo'!$1:$2,2,FALSE),FALSE))),"")</f>
        <v>1</v>
      </c>
      <c r="F864" s="14">
        <f>IFERROR((VLOOKUP($A864,'[1]import success seats course'!$A:T,HLOOKUP('[1]Course Totals'!F$4,'[1]import success seats course'!$1:$2,2,FALSE),FALSE)/(VLOOKUP($A864,'[1]import graded seats course pivo'!$A:AD,HLOOKUP('[1]Course Totals'!F$4,'[1]import graded seats course pivo'!$1:$2,2,FALSE),FALSE))),"")</f>
        <v>1</v>
      </c>
      <c r="G864" s="14" t="str">
        <f>IFERROR((VLOOKUP($A864,'[1]import success seats course'!$A:U,HLOOKUP('[1]Course Totals'!G$4,'[1]import success seats course'!$1:$2,2,FALSE),FALSE)/(VLOOKUP($A864,'[1]import graded seats course pivo'!$A:AE,HLOOKUP('[1]Course Totals'!G$4,'[1]import graded seats course pivo'!$1:$2,2,FALSE),FALSE))),"")</f>
        <v/>
      </c>
      <c r="H864" s="14">
        <f>IFERROR((VLOOKUP($A864,'[1]import success seats course'!$A:V,HLOOKUP('[1]Course Totals'!H$4,'[1]import success seats course'!$1:$2,2,FALSE),FALSE)/(VLOOKUP($A864,'[1]import graded seats course pivo'!$A:AF,HLOOKUP('[1]Course Totals'!H$4,'[1]import graded seats course pivo'!$1:$2,2,FALSE),FALSE))),"")</f>
        <v>1</v>
      </c>
      <c r="I864" s="14">
        <f>IFERROR((VLOOKUP($A864,'[1]import success seats course'!$A:W,HLOOKUP('[1]Course Totals'!I$4,'[1]import success seats course'!$1:$2,2,FALSE),FALSE)/(VLOOKUP($A864,'[1]import graded seats course pivo'!$A:AG,HLOOKUP('[1]Course Totals'!I$4,'[1]import graded seats course pivo'!$1:$2,2,FALSE),FALSE))),"")</f>
        <v>1</v>
      </c>
      <c r="J864" s="14" t="str">
        <f>IFERROR((VLOOKUP($A864,'[1]import success seats course'!$A:X,HLOOKUP('[1]Course Totals'!J$4,'[1]import success seats course'!$1:$2,2,FALSE),FALSE)/(VLOOKUP($A864,'[1]import graded seats course pivo'!$A:AH,HLOOKUP('[1]Course Totals'!J$4,'[1]import graded seats course pivo'!$1:$2,2,FALSE),FALSE))),"")</f>
        <v/>
      </c>
      <c r="K864" s="14">
        <f>IFERROR((VLOOKUP($A864,'[1]import success seats course'!$A:Y,HLOOKUP('[1]Course Totals'!K$4,'[1]import success seats course'!$1:$2,2,FALSE),FALSE)/(VLOOKUP($A864,'[1]import graded seats course pivo'!$A:AI,HLOOKUP('[1]Course Totals'!K$4,'[1]import graded seats course pivo'!$1:$2,2,FALSE),FALSE))),"")</f>
        <v>1</v>
      </c>
      <c r="L864" s="14" t="str">
        <f>IFERROR((VLOOKUP($A864,'[1]import success seats course'!$A:Z,HLOOKUP('[1]Course Totals'!L$4,'[1]import success seats course'!$1:$2,2,FALSE),FALSE)/(VLOOKUP($A864,'[1]import graded seats course pivo'!$A:AJ,HLOOKUP('[1]Course Totals'!L$4,'[1]import graded seats course pivo'!$1:$2,2,FALSE),FALSE))),"")</f>
        <v/>
      </c>
      <c r="M864" s="14" t="str">
        <f>IFERROR((VLOOKUP($A864,'[1]import success seats course'!$A:AA,HLOOKUP('[1]Course Totals'!M$4,'[1]import success seats course'!$1:$2,2,FALSE),FALSE)/(VLOOKUP($A864,'[1]import graded seats course pivo'!$A:AK,HLOOKUP('[1]Course Totals'!M$4,'[1]import graded seats course pivo'!$1:$2,2,FALSE),FALSE))),"")</f>
        <v/>
      </c>
      <c r="N864" s="14" t="str">
        <f>IFERROR((VLOOKUP($A864,'[1]import success seats course'!$A:AB,HLOOKUP('[1]Course Totals'!N$4,'[1]import success seats course'!$1:$2,2,FALSE),FALSE)/(VLOOKUP($A864,'[1]import graded seats course pivo'!$A:AL,HLOOKUP('[1]Course Totals'!N$4,'[1]import graded seats course pivo'!$1:$2,2,FALSE),FALSE))),"")</f>
        <v/>
      </c>
      <c r="O864" s="14" t="str">
        <f>IFERROR((VLOOKUP($A864,'[1]import success seats course'!$A:AC,HLOOKUP('[1]Course Totals'!O$4,'[1]import success seats course'!$1:$2,2,FALSE),FALSE)/(VLOOKUP($A864,'[1]import graded seats course pivo'!$A:AM,HLOOKUP('[1]Course Totals'!O$4,'[1]import graded seats course pivo'!$1:$2,2,FALSE),FALSE))),"")</f>
        <v/>
      </c>
      <c r="P864" s="14" t="str">
        <f>IFERROR((VLOOKUP($A864,'[1]import success seats course'!$A:AD,HLOOKUP('[1]Course Totals'!P$4,'[1]import success seats course'!$1:$2,2,FALSE),FALSE)/(VLOOKUP($A864,'[1]import graded seats course pivo'!$A:AN,HLOOKUP('[1]Course Totals'!P$4,'[1]import graded seats course pivo'!$1:$2,2,FALSE),FALSE))),"")</f>
        <v/>
      </c>
      <c r="Q864" s="14" t="str">
        <f>IFERROR((VLOOKUP($A864,'[1]import success seats course'!$A:AE,HLOOKUP('[1]Course Totals'!Q$4,'[1]import success seats course'!$1:$2,2,FALSE),FALSE)/(VLOOKUP($A864,'[1]import graded seats course pivo'!$A:AO,HLOOKUP('[1]Course Totals'!Q$4,'[1]import graded seats course pivo'!$1:$2,2,FALSE),FALSE))),"")</f>
        <v/>
      </c>
      <c r="R864" s="14" t="str">
        <f>IFERROR((VLOOKUP($A864,'[1]import success seats course'!$A:AF,HLOOKUP('[1]Course Totals'!R$4,'[1]import success seats course'!$1:$2,2,FALSE),FALSE)/(VLOOKUP($A864,'[1]import graded seats course pivo'!$A:AP,HLOOKUP('[1]Course Totals'!R$4,'[1]import graded seats course pivo'!$1:$2,2,FALSE),FALSE))),"")</f>
        <v/>
      </c>
      <c r="S864" s="14" t="str">
        <f>IFERROR((VLOOKUP($A864,'[1]import success seats course'!$A:AG,HLOOKUP('[1]Course Totals'!S$4,'[1]import success seats course'!$1:$2,2,FALSE),FALSE)/(VLOOKUP($A864,'[1]import graded seats course pivo'!$A:AQ,HLOOKUP('[1]Course Totals'!S$4,'[1]import graded seats course pivo'!$1:$2,2,FALSE),FALSE))),"")</f>
        <v/>
      </c>
      <c r="Z864" s="7"/>
      <c r="AA864" s="7"/>
      <c r="AB864" s="7"/>
      <c r="AC864" s="7"/>
    </row>
    <row r="865" spans="1:29" ht="15.75" customHeight="1" x14ac:dyDescent="0.25">
      <c r="A865" s="12" t="s">
        <v>406</v>
      </c>
      <c r="B865" s="14">
        <f>IFERROR((VLOOKUP($A865,'[1]import success seats course'!$A:P,HLOOKUP('[1]Course Totals'!B$4,'[1]import success seats course'!$1:$2,2,FALSE),FALSE)/(VLOOKUP($A865,'[1]import graded seats course pivo'!$A:Z,HLOOKUP('[1]Course Totals'!B$4,'[1]import graded seats course pivo'!$1:$2,2,FALSE),FALSE))),"")</f>
        <v>0.86363636363636365</v>
      </c>
      <c r="C865" s="14">
        <f>IFERROR((VLOOKUP($A865,'[1]import success seats course'!$A:Q,HLOOKUP('[1]Course Totals'!C$4,'[1]import success seats course'!$1:$2,2,FALSE),FALSE)/(VLOOKUP($A865,'[1]import graded seats course pivo'!$A:AA,HLOOKUP('[1]Course Totals'!C$4,'[1]import graded seats course pivo'!$1:$2,2,FALSE),FALSE))),"")</f>
        <v>0.83333333333333337</v>
      </c>
      <c r="D865" s="14">
        <f>IFERROR((VLOOKUP($A865,'[1]import success seats course'!$A:R,HLOOKUP('[1]Course Totals'!D$4,'[1]import success seats course'!$1:$2,2,FALSE),FALSE)/(VLOOKUP($A865,'[1]import graded seats course pivo'!$A:AB,HLOOKUP('[1]Course Totals'!D$4,'[1]import graded seats course pivo'!$1:$2,2,FALSE),FALSE))),"")</f>
        <v>0.7191011235955056</v>
      </c>
      <c r="E865" s="14">
        <f>IFERROR((VLOOKUP($A865,'[1]import success seats course'!$A:S,HLOOKUP('[1]Course Totals'!E$4,'[1]import success seats course'!$1:$2,2,FALSE),FALSE)/(VLOOKUP($A865,'[1]import graded seats course pivo'!$A:AC,HLOOKUP('[1]Course Totals'!E$4,'[1]import graded seats course pivo'!$1:$2,2,FALSE),FALSE))),"")</f>
        <v>0.68181818181818177</v>
      </c>
      <c r="F865" s="14">
        <f>IFERROR((VLOOKUP($A865,'[1]import success seats course'!$A:T,HLOOKUP('[1]Course Totals'!F$4,'[1]import success seats course'!$1:$2,2,FALSE),FALSE)/(VLOOKUP($A865,'[1]import graded seats course pivo'!$A:AD,HLOOKUP('[1]Course Totals'!F$4,'[1]import graded seats course pivo'!$1:$2,2,FALSE),FALSE))),"")</f>
        <v>0.7</v>
      </c>
      <c r="G865" s="14">
        <f>IFERROR((VLOOKUP($A865,'[1]import success seats course'!$A:U,HLOOKUP('[1]Course Totals'!G$4,'[1]import success seats course'!$1:$2,2,FALSE),FALSE)/(VLOOKUP($A865,'[1]import graded seats course pivo'!$A:AE,HLOOKUP('[1]Course Totals'!G$4,'[1]import graded seats course pivo'!$1:$2,2,FALSE),FALSE))),"")</f>
        <v>0.6428571428571429</v>
      </c>
      <c r="H865" s="14" t="str">
        <f>IFERROR((VLOOKUP($A865,'[1]import success seats course'!$A:V,HLOOKUP('[1]Course Totals'!H$4,'[1]import success seats course'!$1:$2,2,FALSE),FALSE)/(VLOOKUP($A865,'[1]import graded seats course pivo'!$A:AF,HLOOKUP('[1]Course Totals'!H$4,'[1]import graded seats course pivo'!$1:$2,2,FALSE),FALSE))),"")</f>
        <v/>
      </c>
      <c r="I865" s="14">
        <f>IFERROR((VLOOKUP($A865,'[1]import success seats course'!$A:W,HLOOKUP('[1]Course Totals'!I$4,'[1]import success seats course'!$1:$2,2,FALSE),FALSE)/(VLOOKUP($A865,'[1]import graded seats course pivo'!$A:AG,HLOOKUP('[1]Course Totals'!I$4,'[1]import graded seats course pivo'!$1:$2,2,FALSE),FALSE))),"")</f>
        <v>0.6607142857142857</v>
      </c>
      <c r="J865" s="14">
        <f>IFERROR((VLOOKUP($A865,'[1]import success seats course'!$A:X,HLOOKUP('[1]Course Totals'!J$4,'[1]import success seats course'!$1:$2,2,FALSE),FALSE)/(VLOOKUP($A865,'[1]import graded seats course pivo'!$A:AH,HLOOKUP('[1]Course Totals'!J$4,'[1]import graded seats course pivo'!$1:$2,2,FALSE),FALSE))),"")</f>
        <v>0.875</v>
      </c>
      <c r="K865" s="14" t="str">
        <f>IFERROR((VLOOKUP($A865,'[1]import success seats course'!$A:Y,HLOOKUP('[1]Course Totals'!K$4,'[1]import success seats course'!$1:$2,2,FALSE),FALSE)/(VLOOKUP($A865,'[1]import graded seats course pivo'!$A:AI,HLOOKUP('[1]Course Totals'!K$4,'[1]import graded seats course pivo'!$1:$2,2,FALSE),FALSE))),"")</f>
        <v/>
      </c>
      <c r="L865" s="14">
        <f>IFERROR((VLOOKUP($A865,'[1]import success seats course'!$A:Z,HLOOKUP('[1]Course Totals'!L$4,'[1]import success seats course'!$1:$2,2,FALSE),FALSE)/(VLOOKUP($A865,'[1]import graded seats course pivo'!$A:AJ,HLOOKUP('[1]Course Totals'!L$4,'[1]import graded seats course pivo'!$1:$2,2,FALSE),FALSE))),"")</f>
        <v>0.77777777777777779</v>
      </c>
      <c r="M865" s="14">
        <f>IFERROR((VLOOKUP($A865,'[1]import success seats course'!$A:AA,HLOOKUP('[1]Course Totals'!M$4,'[1]import success seats course'!$1:$2,2,FALSE),FALSE)/(VLOOKUP($A865,'[1]import graded seats course pivo'!$A:AK,HLOOKUP('[1]Course Totals'!M$4,'[1]import graded seats course pivo'!$1:$2,2,FALSE),FALSE))),"")</f>
        <v>0.82352941176470584</v>
      </c>
      <c r="N865" s="14" t="str">
        <f>IFERROR((VLOOKUP($A865,'[1]import success seats course'!$A:AB,HLOOKUP('[1]Course Totals'!N$4,'[1]import success seats course'!$1:$2,2,FALSE),FALSE)/(VLOOKUP($A865,'[1]import graded seats course pivo'!$A:AL,HLOOKUP('[1]Course Totals'!N$4,'[1]import graded seats course pivo'!$1:$2,2,FALSE),FALSE))),"")</f>
        <v/>
      </c>
      <c r="O865" s="14">
        <f>IFERROR((VLOOKUP($A865,'[1]import success seats course'!$A:AC,HLOOKUP('[1]Course Totals'!O$4,'[1]import success seats course'!$1:$2,2,FALSE),FALSE)/(VLOOKUP($A865,'[1]import graded seats course pivo'!$A:AM,HLOOKUP('[1]Course Totals'!O$4,'[1]import graded seats course pivo'!$1:$2,2,FALSE),FALSE))),"")</f>
        <v>0.7857142857142857</v>
      </c>
      <c r="P865" s="14">
        <f>IFERROR((VLOOKUP($A865,'[1]import success seats course'!$A:AD,HLOOKUP('[1]Course Totals'!P$4,'[1]import success seats course'!$1:$2,2,FALSE),FALSE)/(VLOOKUP($A865,'[1]import graded seats course pivo'!$A:AN,HLOOKUP('[1]Course Totals'!P$4,'[1]import graded seats course pivo'!$1:$2,2,FALSE),FALSE))),"")</f>
        <v>0.83333333333333337</v>
      </c>
      <c r="Q865" s="14" t="str">
        <f>IFERROR((VLOOKUP($A865,'[1]import success seats course'!$A:AE,HLOOKUP('[1]Course Totals'!Q$4,'[1]import success seats course'!$1:$2,2,FALSE),FALSE)/(VLOOKUP($A865,'[1]import graded seats course pivo'!$A:AO,HLOOKUP('[1]Course Totals'!Q$4,'[1]import graded seats course pivo'!$1:$2,2,FALSE),FALSE))),"")</f>
        <v/>
      </c>
      <c r="R865" s="14" t="str">
        <f>IFERROR((VLOOKUP($A865,'[1]import success seats course'!$A:AF,HLOOKUP('[1]Course Totals'!R$4,'[1]import success seats course'!$1:$2,2,FALSE),FALSE)/(VLOOKUP($A865,'[1]import graded seats course pivo'!$A:AP,HLOOKUP('[1]Course Totals'!R$4,'[1]import graded seats course pivo'!$1:$2,2,FALSE),FALSE))),"")</f>
        <v/>
      </c>
      <c r="S865" s="14" t="str">
        <f>IFERROR((VLOOKUP($A865,'[1]import success seats course'!$A:AG,HLOOKUP('[1]Course Totals'!S$4,'[1]import success seats course'!$1:$2,2,FALSE),FALSE)/(VLOOKUP($A865,'[1]import graded seats course pivo'!$A:AQ,HLOOKUP('[1]Course Totals'!S$4,'[1]import graded seats course pivo'!$1:$2,2,FALSE),FALSE))),"")</f>
        <v/>
      </c>
      <c r="Z865" s="7"/>
      <c r="AA865" s="7"/>
      <c r="AB865" s="7"/>
      <c r="AC865" s="7"/>
    </row>
    <row r="866" spans="1:29" ht="15.75" customHeight="1" x14ac:dyDescent="0.25">
      <c r="A866" s="12" t="s">
        <v>407</v>
      </c>
      <c r="B866" s="14" t="str">
        <f>IFERROR((VLOOKUP($A866,'[1]import success seats course'!$A:P,HLOOKUP('[1]Course Totals'!B$4,'[1]import success seats course'!$1:$2,2,FALSE),FALSE)/(VLOOKUP($A866,'[1]import graded seats course pivo'!$A:Z,HLOOKUP('[1]Course Totals'!B$4,'[1]import graded seats course pivo'!$1:$2,2,FALSE),FALSE))),"")</f>
        <v/>
      </c>
      <c r="C866" s="14">
        <f>IFERROR((VLOOKUP($A866,'[1]import success seats course'!$A:Q,HLOOKUP('[1]Course Totals'!C$4,'[1]import success seats course'!$1:$2,2,FALSE),FALSE)/(VLOOKUP($A866,'[1]import graded seats course pivo'!$A:AA,HLOOKUP('[1]Course Totals'!C$4,'[1]import graded seats course pivo'!$1:$2,2,FALSE),FALSE))),"")</f>
        <v>0.88888888888888884</v>
      </c>
      <c r="D866" s="14">
        <f>IFERROR((VLOOKUP($A866,'[1]import success seats course'!$A:R,HLOOKUP('[1]Course Totals'!D$4,'[1]import success seats course'!$1:$2,2,FALSE),FALSE)/(VLOOKUP($A866,'[1]import graded seats course pivo'!$A:AB,HLOOKUP('[1]Course Totals'!D$4,'[1]import graded seats course pivo'!$1:$2,2,FALSE),FALSE))),"")</f>
        <v>1</v>
      </c>
      <c r="E866" s="14" t="str">
        <f>IFERROR((VLOOKUP($A866,'[1]import success seats course'!$A:S,HLOOKUP('[1]Course Totals'!E$4,'[1]import success seats course'!$1:$2,2,FALSE),FALSE)/(VLOOKUP($A866,'[1]import graded seats course pivo'!$A:AC,HLOOKUP('[1]Course Totals'!E$4,'[1]import graded seats course pivo'!$1:$2,2,FALSE),FALSE))),"")</f>
        <v/>
      </c>
      <c r="F866" s="14">
        <f>IFERROR((VLOOKUP($A866,'[1]import success seats course'!$A:T,HLOOKUP('[1]Course Totals'!F$4,'[1]import success seats course'!$1:$2,2,FALSE),FALSE)/(VLOOKUP($A866,'[1]import graded seats course pivo'!$A:AD,HLOOKUP('[1]Course Totals'!F$4,'[1]import graded seats course pivo'!$1:$2,2,FALSE),FALSE))),"")</f>
        <v>0.91666666666666663</v>
      </c>
      <c r="G866" s="14">
        <f>IFERROR((VLOOKUP($A866,'[1]import success seats course'!$A:U,HLOOKUP('[1]Course Totals'!G$4,'[1]import success seats course'!$1:$2,2,FALSE),FALSE)/(VLOOKUP($A866,'[1]import graded seats course pivo'!$A:AE,HLOOKUP('[1]Course Totals'!G$4,'[1]import graded seats course pivo'!$1:$2,2,FALSE),FALSE))),"")</f>
        <v>1</v>
      </c>
      <c r="H866" s="14" t="str">
        <f>IFERROR((VLOOKUP($A866,'[1]import success seats course'!$A:V,HLOOKUP('[1]Course Totals'!H$4,'[1]import success seats course'!$1:$2,2,FALSE),FALSE)/(VLOOKUP($A866,'[1]import graded seats course pivo'!$A:AF,HLOOKUP('[1]Course Totals'!H$4,'[1]import graded seats course pivo'!$1:$2,2,FALSE),FALSE))),"")</f>
        <v/>
      </c>
      <c r="I866" s="14">
        <f>IFERROR((VLOOKUP($A866,'[1]import success seats course'!$A:W,HLOOKUP('[1]Course Totals'!I$4,'[1]import success seats course'!$1:$2,2,FALSE),FALSE)/(VLOOKUP($A866,'[1]import graded seats course pivo'!$A:AG,HLOOKUP('[1]Course Totals'!I$4,'[1]import graded seats course pivo'!$1:$2,2,FALSE),FALSE))),"")</f>
        <v>0.81818181818181823</v>
      </c>
      <c r="J866" s="14">
        <f>IFERROR((VLOOKUP($A866,'[1]import success seats course'!$A:X,HLOOKUP('[1]Course Totals'!J$4,'[1]import success seats course'!$1:$2,2,FALSE),FALSE)/(VLOOKUP($A866,'[1]import graded seats course pivo'!$A:AH,HLOOKUP('[1]Course Totals'!J$4,'[1]import graded seats course pivo'!$1:$2,2,FALSE),FALSE))),"")</f>
        <v>0.83333333333333337</v>
      </c>
      <c r="K866" s="14" t="str">
        <f>IFERROR((VLOOKUP($A866,'[1]import success seats course'!$A:Y,HLOOKUP('[1]Course Totals'!K$4,'[1]import success seats course'!$1:$2,2,FALSE),FALSE)/(VLOOKUP($A866,'[1]import graded seats course pivo'!$A:AI,HLOOKUP('[1]Course Totals'!K$4,'[1]import graded seats course pivo'!$1:$2,2,FALSE),FALSE))),"")</f>
        <v/>
      </c>
      <c r="L866" s="14">
        <f>IFERROR((VLOOKUP($A866,'[1]import success seats course'!$A:Z,HLOOKUP('[1]Course Totals'!L$4,'[1]import success seats course'!$1:$2,2,FALSE),FALSE)/(VLOOKUP($A866,'[1]import graded seats course pivo'!$A:AJ,HLOOKUP('[1]Course Totals'!L$4,'[1]import graded seats course pivo'!$1:$2,2,FALSE),FALSE))),"")</f>
        <v>0.90909090909090906</v>
      </c>
      <c r="M866" s="14" t="str">
        <f>IFERROR((VLOOKUP($A866,'[1]import success seats course'!$A:AA,HLOOKUP('[1]Course Totals'!M$4,'[1]import success seats course'!$1:$2,2,FALSE),FALSE)/(VLOOKUP($A866,'[1]import graded seats course pivo'!$A:AK,HLOOKUP('[1]Course Totals'!M$4,'[1]import graded seats course pivo'!$1:$2,2,FALSE),FALSE))),"")</f>
        <v/>
      </c>
      <c r="N866" s="14" t="str">
        <f>IFERROR((VLOOKUP($A866,'[1]import success seats course'!$A:AB,HLOOKUP('[1]Course Totals'!N$4,'[1]import success seats course'!$1:$2,2,FALSE),FALSE)/(VLOOKUP($A866,'[1]import graded seats course pivo'!$A:AL,HLOOKUP('[1]Course Totals'!N$4,'[1]import graded seats course pivo'!$1:$2,2,FALSE),FALSE))),"")</f>
        <v/>
      </c>
      <c r="O866" s="14" t="str">
        <f>IFERROR((VLOOKUP($A866,'[1]import success seats course'!$A:AC,HLOOKUP('[1]Course Totals'!O$4,'[1]import success seats course'!$1:$2,2,FALSE),FALSE)/(VLOOKUP($A866,'[1]import graded seats course pivo'!$A:AM,HLOOKUP('[1]Course Totals'!O$4,'[1]import graded seats course pivo'!$1:$2,2,FALSE),FALSE))),"")</f>
        <v/>
      </c>
      <c r="P866" s="14" t="str">
        <f>IFERROR((VLOOKUP($A866,'[1]import success seats course'!$A:AD,HLOOKUP('[1]Course Totals'!P$4,'[1]import success seats course'!$1:$2,2,FALSE),FALSE)/(VLOOKUP($A866,'[1]import graded seats course pivo'!$A:AN,HLOOKUP('[1]Course Totals'!P$4,'[1]import graded seats course pivo'!$1:$2,2,FALSE),FALSE))),"")</f>
        <v/>
      </c>
      <c r="Q866" s="14" t="str">
        <f>IFERROR((VLOOKUP($A866,'[1]import success seats course'!$A:AE,HLOOKUP('[1]Course Totals'!Q$4,'[1]import success seats course'!$1:$2,2,FALSE),FALSE)/(VLOOKUP($A866,'[1]import graded seats course pivo'!$A:AO,HLOOKUP('[1]Course Totals'!Q$4,'[1]import graded seats course pivo'!$1:$2,2,FALSE),FALSE))),"")</f>
        <v/>
      </c>
      <c r="R866" s="14" t="str">
        <f>IFERROR((VLOOKUP($A866,'[1]import success seats course'!$A:AF,HLOOKUP('[1]Course Totals'!R$4,'[1]import success seats course'!$1:$2,2,FALSE),FALSE)/(VLOOKUP($A866,'[1]import graded seats course pivo'!$A:AP,HLOOKUP('[1]Course Totals'!R$4,'[1]import graded seats course pivo'!$1:$2,2,FALSE),FALSE))),"")</f>
        <v/>
      </c>
      <c r="S866" s="14" t="str">
        <f>IFERROR((VLOOKUP($A866,'[1]import success seats course'!$A:AG,HLOOKUP('[1]Course Totals'!S$4,'[1]import success seats course'!$1:$2,2,FALSE),FALSE)/(VLOOKUP($A866,'[1]import graded seats course pivo'!$A:AQ,HLOOKUP('[1]Course Totals'!S$4,'[1]import graded seats course pivo'!$1:$2,2,FALSE),FALSE))),"")</f>
        <v/>
      </c>
      <c r="Z866" s="7"/>
      <c r="AA866" s="7"/>
      <c r="AB866" s="7"/>
      <c r="AC866" s="7"/>
    </row>
    <row r="867" spans="1:29" ht="15.75" customHeight="1" x14ac:dyDescent="0.25">
      <c r="A867" s="12" t="s">
        <v>408</v>
      </c>
      <c r="B867" s="14" t="str">
        <f>IFERROR((VLOOKUP($A867,'[1]import success seats course'!$A:P,HLOOKUP('[1]Course Totals'!B$4,'[1]import success seats course'!$1:$2,2,FALSE),FALSE)/(VLOOKUP($A867,'[1]import graded seats course pivo'!$A:Z,HLOOKUP('[1]Course Totals'!B$4,'[1]import graded seats course pivo'!$1:$2,2,FALSE),FALSE))),"")</f>
        <v/>
      </c>
      <c r="C867" s="14">
        <f>IFERROR((VLOOKUP($A867,'[1]import success seats course'!$A:Q,HLOOKUP('[1]Course Totals'!C$4,'[1]import success seats course'!$1:$2,2,FALSE),FALSE)/(VLOOKUP($A867,'[1]import graded seats course pivo'!$A:AA,HLOOKUP('[1]Course Totals'!C$4,'[1]import graded seats course pivo'!$1:$2,2,FALSE),FALSE))),"")</f>
        <v>0.77777777777777779</v>
      </c>
      <c r="D867" s="14">
        <f>IFERROR((VLOOKUP($A867,'[1]import success seats course'!$A:R,HLOOKUP('[1]Course Totals'!D$4,'[1]import success seats course'!$1:$2,2,FALSE),FALSE)/(VLOOKUP($A867,'[1]import graded seats course pivo'!$A:AB,HLOOKUP('[1]Course Totals'!D$4,'[1]import graded seats course pivo'!$1:$2,2,FALSE),FALSE))),"")</f>
        <v>1</v>
      </c>
      <c r="E867" s="14" t="str">
        <f>IFERROR((VLOOKUP($A867,'[1]import success seats course'!$A:S,HLOOKUP('[1]Course Totals'!E$4,'[1]import success seats course'!$1:$2,2,FALSE),FALSE)/(VLOOKUP($A867,'[1]import graded seats course pivo'!$A:AC,HLOOKUP('[1]Course Totals'!E$4,'[1]import graded seats course pivo'!$1:$2,2,FALSE),FALSE))),"")</f>
        <v/>
      </c>
      <c r="F867" s="14">
        <f>IFERROR((VLOOKUP($A867,'[1]import success seats course'!$A:T,HLOOKUP('[1]Course Totals'!F$4,'[1]import success seats course'!$1:$2,2,FALSE),FALSE)/(VLOOKUP($A867,'[1]import graded seats course pivo'!$A:AD,HLOOKUP('[1]Course Totals'!F$4,'[1]import graded seats course pivo'!$1:$2,2,FALSE),FALSE))),"")</f>
        <v>1</v>
      </c>
      <c r="G867" s="14">
        <f>IFERROR((VLOOKUP($A867,'[1]import success seats course'!$A:U,HLOOKUP('[1]Course Totals'!G$4,'[1]import success seats course'!$1:$2,2,FALSE),FALSE)/(VLOOKUP($A867,'[1]import graded seats course pivo'!$A:AE,HLOOKUP('[1]Course Totals'!G$4,'[1]import graded seats course pivo'!$1:$2,2,FALSE),FALSE))),"")</f>
        <v>0.91666666666666663</v>
      </c>
      <c r="H867" s="14" t="str">
        <f>IFERROR((VLOOKUP($A867,'[1]import success seats course'!$A:V,HLOOKUP('[1]Course Totals'!H$4,'[1]import success seats course'!$1:$2,2,FALSE),FALSE)/(VLOOKUP($A867,'[1]import graded seats course pivo'!$A:AF,HLOOKUP('[1]Course Totals'!H$4,'[1]import graded seats course pivo'!$1:$2,2,FALSE),FALSE))),"")</f>
        <v/>
      </c>
      <c r="I867" s="14">
        <f>IFERROR((VLOOKUP($A867,'[1]import success seats course'!$A:W,HLOOKUP('[1]Course Totals'!I$4,'[1]import success seats course'!$1:$2,2,FALSE),FALSE)/(VLOOKUP($A867,'[1]import graded seats course pivo'!$A:AG,HLOOKUP('[1]Course Totals'!I$4,'[1]import graded seats course pivo'!$1:$2,2,FALSE),FALSE))),"")</f>
        <v>0.91666666666666663</v>
      </c>
      <c r="J867" s="14">
        <f>IFERROR((VLOOKUP($A867,'[1]import success seats course'!$A:X,HLOOKUP('[1]Course Totals'!J$4,'[1]import success seats course'!$1:$2,2,FALSE),FALSE)/(VLOOKUP($A867,'[1]import graded seats course pivo'!$A:AH,HLOOKUP('[1]Course Totals'!J$4,'[1]import graded seats course pivo'!$1:$2,2,FALSE),FALSE))),"")</f>
        <v>0.88888888888888884</v>
      </c>
      <c r="K867" s="14" t="str">
        <f>IFERROR((VLOOKUP($A867,'[1]import success seats course'!$A:Y,HLOOKUP('[1]Course Totals'!K$4,'[1]import success seats course'!$1:$2,2,FALSE),FALSE)/(VLOOKUP($A867,'[1]import graded seats course pivo'!$A:AI,HLOOKUP('[1]Course Totals'!K$4,'[1]import graded seats course pivo'!$1:$2,2,FALSE),FALSE))),"")</f>
        <v/>
      </c>
      <c r="L867" s="14">
        <f>IFERROR((VLOOKUP($A867,'[1]import success seats course'!$A:Z,HLOOKUP('[1]Course Totals'!L$4,'[1]import success seats course'!$1:$2,2,FALSE),FALSE)/(VLOOKUP($A867,'[1]import graded seats course pivo'!$A:AJ,HLOOKUP('[1]Course Totals'!L$4,'[1]import graded seats course pivo'!$1:$2,2,FALSE),FALSE))),"")</f>
        <v>1</v>
      </c>
      <c r="M867" s="14">
        <f>IFERROR((VLOOKUP($A867,'[1]import success seats course'!$A:AA,HLOOKUP('[1]Course Totals'!M$4,'[1]import success seats course'!$1:$2,2,FALSE),FALSE)/(VLOOKUP($A867,'[1]import graded seats course pivo'!$A:AK,HLOOKUP('[1]Course Totals'!M$4,'[1]import graded seats course pivo'!$1:$2,2,FALSE),FALSE))),"")</f>
        <v>1</v>
      </c>
      <c r="N867" s="14" t="str">
        <f>IFERROR((VLOOKUP($A867,'[1]import success seats course'!$A:AB,HLOOKUP('[1]Course Totals'!N$4,'[1]import success seats course'!$1:$2,2,FALSE),FALSE)/(VLOOKUP($A867,'[1]import graded seats course pivo'!$A:AL,HLOOKUP('[1]Course Totals'!N$4,'[1]import graded seats course pivo'!$1:$2,2,FALSE),FALSE))),"")</f>
        <v/>
      </c>
      <c r="O867" s="14" t="str">
        <f>IFERROR((VLOOKUP($A867,'[1]import success seats course'!$A:AC,HLOOKUP('[1]Course Totals'!O$4,'[1]import success seats course'!$1:$2,2,FALSE),FALSE)/(VLOOKUP($A867,'[1]import graded seats course pivo'!$A:AM,HLOOKUP('[1]Course Totals'!O$4,'[1]import graded seats course pivo'!$1:$2,2,FALSE),FALSE))),"")</f>
        <v/>
      </c>
      <c r="P867" s="14" t="str">
        <f>IFERROR((VLOOKUP($A867,'[1]import success seats course'!$A:AD,HLOOKUP('[1]Course Totals'!P$4,'[1]import success seats course'!$1:$2,2,FALSE),FALSE)/(VLOOKUP($A867,'[1]import graded seats course pivo'!$A:AN,HLOOKUP('[1]Course Totals'!P$4,'[1]import graded seats course pivo'!$1:$2,2,FALSE),FALSE))),"")</f>
        <v/>
      </c>
      <c r="Q867" s="14" t="str">
        <f>IFERROR((VLOOKUP($A867,'[1]import success seats course'!$A:AE,HLOOKUP('[1]Course Totals'!Q$4,'[1]import success seats course'!$1:$2,2,FALSE),FALSE)/(VLOOKUP($A867,'[1]import graded seats course pivo'!$A:AO,HLOOKUP('[1]Course Totals'!Q$4,'[1]import graded seats course pivo'!$1:$2,2,FALSE),FALSE))),"")</f>
        <v/>
      </c>
      <c r="R867" s="14" t="str">
        <f>IFERROR((VLOOKUP($A867,'[1]import success seats course'!$A:AF,HLOOKUP('[1]Course Totals'!R$4,'[1]import success seats course'!$1:$2,2,FALSE),FALSE)/(VLOOKUP($A867,'[1]import graded seats course pivo'!$A:AP,HLOOKUP('[1]Course Totals'!R$4,'[1]import graded seats course pivo'!$1:$2,2,FALSE),FALSE))),"")</f>
        <v/>
      </c>
      <c r="S867" s="14" t="str">
        <f>IFERROR((VLOOKUP($A867,'[1]import success seats course'!$A:AG,HLOOKUP('[1]Course Totals'!S$4,'[1]import success seats course'!$1:$2,2,FALSE),FALSE)/(VLOOKUP($A867,'[1]import graded seats course pivo'!$A:AQ,HLOOKUP('[1]Course Totals'!S$4,'[1]import graded seats course pivo'!$1:$2,2,FALSE),FALSE))),"")</f>
        <v/>
      </c>
      <c r="Z867" s="7"/>
      <c r="AA867" s="7"/>
      <c r="AB867" s="7"/>
      <c r="AC867" s="7"/>
    </row>
    <row r="868" spans="1:29" ht="15.75" customHeight="1" x14ac:dyDescent="0.25">
      <c r="A868" s="12" t="s">
        <v>409</v>
      </c>
      <c r="B868" s="14" t="str">
        <f>IFERROR((VLOOKUP($A868,'[1]import success seats course'!$A:P,HLOOKUP('[1]Course Totals'!B$4,'[1]import success seats course'!$1:$2,2,FALSE),FALSE)/(VLOOKUP($A868,'[1]import graded seats course pivo'!$A:Z,HLOOKUP('[1]Course Totals'!B$4,'[1]import graded seats course pivo'!$1:$2,2,FALSE),FALSE))),"")</f>
        <v/>
      </c>
      <c r="C868" s="14">
        <f>IFERROR((VLOOKUP($A868,'[1]import success seats course'!$A:Q,HLOOKUP('[1]Course Totals'!C$4,'[1]import success seats course'!$1:$2,2,FALSE),FALSE)/(VLOOKUP($A868,'[1]import graded seats course pivo'!$A:AA,HLOOKUP('[1]Course Totals'!C$4,'[1]import graded seats course pivo'!$1:$2,2,FALSE),FALSE))),"")</f>
        <v>0.8571428571428571</v>
      </c>
      <c r="D868" s="14">
        <f>IFERROR((VLOOKUP($A868,'[1]import success seats course'!$A:R,HLOOKUP('[1]Course Totals'!D$4,'[1]import success seats course'!$1:$2,2,FALSE),FALSE)/(VLOOKUP($A868,'[1]import graded seats course pivo'!$A:AB,HLOOKUP('[1]Course Totals'!D$4,'[1]import graded seats course pivo'!$1:$2,2,FALSE),FALSE))),"")</f>
        <v>1</v>
      </c>
      <c r="E868" s="14" t="str">
        <f>IFERROR((VLOOKUP($A868,'[1]import success seats course'!$A:S,HLOOKUP('[1]Course Totals'!E$4,'[1]import success seats course'!$1:$2,2,FALSE),FALSE)/(VLOOKUP($A868,'[1]import graded seats course pivo'!$A:AC,HLOOKUP('[1]Course Totals'!E$4,'[1]import graded seats course pivo'!$1:$2,2,FALSE),FALSE))),"")</f>
        <v/>
      </c>
      <c r="F868" s="14">
        <f>IFERROR((VLOOKUP($A868,'[1]import success seats course'!$A:T,HLOOKUP('[1]Course Totals'!F$4,'[1]import success seats course'!$1:$2,2,FALSE),FALSE)/(VLOOKUP($A868,'[1]import graded seats course pivo'!$A:AD,HLOOKUP('[1]Course Totals'!F$4,'[1]import graded seats course pivo'!$1:$2,2,FALSE),FALSE))),"")</f>
        <v>1</v>
      </c>
      <c r="G868" s="14">
        <f>IFERROR((VLOOKUP($A868,'[1]import success seats course'!$A:U,HLOOKUP('[1]Course Totals'!G$4,'[1]import success seats course'!$1:$2,2,FALSE),FALSE)/(VLOOKUP($A868,'[1]import graded seats course pivo'!$A:AE,HLOOKUP('[1]Course Totals'!G$4,'[1]import graded seats course pivo'!$1:$2,2,FALSE),FALSE))),"")</f>
        <v>1</v>
      </c>
      <c r="H868" s="14" t="str">
        <f>IFERROR((VLOOKUP($A868,'[1]import success seats course'!$A:V,HLOOKUP('[1]Course Totals'!H$4,'[1]import success seats course'!$1:$2,2,FALSE),FALSE)/(VLOOKUP($A868,'[1]import graded seats course pivo'!$A:AF,HLOOKUP('[1]Course Totals'!H$4,'[1]import graded seats course pivo'!$1:$2,2,FALSE),FALSE))),"")</f>
        <v/>
      </c>
      <c r="I868" s="14">
        <f>IFERROR((VLOOKUP($A868,'[1]import success seats course'!$A:W,HLOOKUP('[1]Course Totals'!I$4,'[1]import success seats course'!$1:$2,2,FALSE),FALSE)/(VLOOKUP($A868,'[1]import graded seats course pivo'!$A:AG,HLOOKUP('[1]Course Totals'!I$4,'[1]import graded seats course pivo'!$1:$2,2,FALSE),FALSE))),"")</f>
        <v>1</v>
      </c>
      <c r="J868" s="14">
        <f>IFERROR((VLOOKUP($A868,'[1]import success seats course'!$A:X,HLOOKUP('[1]Course Totals'!J$4,'[1]import success seats course'!$1:$2,2,FALSE),FALSE)/(VLOOKUP($A868,'[1]import graded seats course pivo'!$A:AH,HLOOKUP('[1]Course Totals'!J$4,'[1]import graded seats course pivo'!$1:$2,2,FALSE),FALSE))),"")</f>
        <v>1</v>
      </c>
      <c r="K868" s="14" t="str">
        <f>IFERROR((VLOOKUP($A868,'[1]import success seats course'!$A:Y,HLOOKUP('[1]Course Totals'!K$4,'[1]import success seats course'!$1:$2,2,FALSE),FALSE)/(VLOOKUP($A868,'[1]import graded seats course pivo'!$A:AI,HLOOKUP('[1]Course Totals'!K$4,'[1]import graded seats course pivo'!$1:$2,2,FALSE),FALSE))),"")</f>
        <v/>
      </c>
      <c r="L868" s="14">
        <f>IFERROR((VLOOKUP($A868,'[1]import success seats course'!$A:Z,HLOOKUP('[1]Course Totals'!L$4,'[1]import success seats course'!$1:$2,2,FALSE),FALSE)/(VLOOKUP($A868,'[1]import graded seats course pivo'!$A:AJ,HLOOKUP('[1]Course Totals'!L$4,'[1]import graded seats course pivo'!$1:$2,2,FALSE),FALSE))),"")</f>
        <v>1</v>
      </c>
      <c r="M868" s="14">
        <f>IFERROR((VLOOKUP($A868,'[1]import success seats course'!$A:AA,HLOOKUP('[1]Course Totals'!M$4,'[1]import success seats course'!$1:$2,2,FALSE),FALSE)/(VLOOKUP($A868,'[1]import graded seats course pivo'!$A:AK,HLOOKUP('[1]Course Totals'!M$4,'[1]import graded seats course pivo'!$1:$2,2,FALSE),FALSE))),"")</f>
        <v>1</v>
      </c>
      <c r="N868" s="14" t="str">
        <f>IFERROR((VLOOKUP($A868,'[1]import success seats course'!$A:AB,HLOOKUP('[1]Course Totals'!N$4,'[1]import success seats course'!$1:$2,2,FALSE),FALSE)/(VLOOKUP($A868,'[1]import graded seats course pivo'!$A:AL,HLOOKUP('[1]Course Totals'!N$4,'[1]import graded seats course pivo'!$1:$2,2,FALSE),FALSE))),"")</f>
        <v/>
      </c>
      <c r="O868" s="14">
        <f>IFERROR((VLOOKUP($A868,'[1]import success seats course'!$A:AC,HLOOKUP('[1]Course Totals'!O$4,'[1]import success seats course'!$1:$2,2,FALSE),FALSE)/(VLOOKUP($A868,'[1]import graded seats course pivo'!$A:AM,HLOOKUP('[1]Course Totals'!O$4,'[1]import graded seats course pivo'!$1:$2,2,FALSE),FALSE))),"")</f>
        <v>1</v>
      </c>
      <c r="P868" s="14" t="str">
        <f>IFERROR((VLOOKUP($A868,'[1]import success seats course'!$A:AD,HLOOKUP('[1]Course Totals'!P$4,'[1]import success seats course'!$1:$2,2,FALSE),FALSE)/(VLOOKUP($A868,'[1]import graded seats course pivo'!$A:AN,HLOOKUP('[1]Course Totals'!P$4,'[1]import graded seats course pivo'!$1:$2,2,FALSE),FALSE))),"")</f>
        <v/>
      </c>
      <c r="Q868" s="14" t="str">
        <f>IFERROR((VLOOKUP($A868,'[1]import success seats course'!$A:AE,HLOOKUP('[1]Course Totals'!Q$4,'[1]import success seats course'!$1:$2,2,FALSE),FALSE)/(VLOOKUP($A868,'[1]import graded seats course pivo'!$A:AO,HLOOKUP('[1]Course Totals'!Q$4,'[1]import graded seats course pivo'!$1:$2,2,FALSE),FALSE))),"")</f>
        <v/>
      </c>
      <c r="R868" s="14" t="str">
        <f>IFERROR((VLOOKUP($A868,'[1]import success seats course'!$A:AF,HLOOKUP('[1]Course Totals'!R$4,'[1]import success seats course'!$1:$2,2,FALSE),FALSE)/(VLOOKUP($A868,'[1]import graded seats course pivo'!$A:AP,HLOOKUP('[1]Course Totals'!R$4,'[1]import graded seats course pivo'!$1:$2,2,FALSE),FALSE))),"")</f>
        <v/>
      </c>
      <c r="S868" s="14" t="str">
        <f>IFERROR((VLOOKUP($A868,'[1]import success seats course'!$A:AG,HLOOKUP('[1]Course Totals'!S$4,'[1]import success seats course'!$1:$2,2,FALSE),FALSE)/(VLOOKUP($A868,'[1]import graded seats course pivo'!$A:AQ,HLOOKUP('[1]Course Totals'!S$4,'[1]import graded seats course pivo'!$1:$2,2,FALSE),FALSE))),"")</f>
        <v/>
      </c>
      <c r="Z868" s="7"/>
      <c r="AA868" s="7"/>
      <c r="AB868" s="7"/>
      <c r="AC868" s="7"/>
    </row>
    <row r="869" spans="1:29" ht="15.75" customHeight="1" x14ac:dyDescent="0.25">
      <c r="A869" s="12" t="s">
        <v>410</v>
      </c>
      <c r="B869" s="14" t="str">
        <f>IFERROR((VLOOKUP($A869,'[1]import success seats course'!$A:P,HLOOKUP('[1]Course Totals'!B$4,'[1]import success seats course'!$1:$2,2,FALSE),FALSE)/(VLOOKUP($A869,'[1]import graded seats course pivo'!$A:Z,HLOOKUP('[1]Course Totals'!B$4,'[1]import graded seats course pivo'!$1:$2,2,FALSE),FALSE))),"")</f>
        <v/>
      </c>
      <c r="C869" s="14">
        <f>IFERROR((VLOOKUP($A869,'[1]import success seats course'!$A:Q,HLOOKUP('[1]Course Totals'!C$4,'[1]import success seats course'!$1:$2,2,FALSE),FALSE)/(VLOOKUP($A869,'[1]import graded seats course pivo'!$A:AA,HLOOKUP('[1]Course Totals'!C$4,'[1]import graded seats course pivo'!$1:$2,2,FALSE),FALSE))),"")</f>
        <v>1</v>
      </c>
      <c r="D869" s="14">
        <f>IFERROR((VLOOKUP($A869,'[1]import success seats course'!$A:R,HLOOKUP('[1]Course Totals'!D$4,'[1]import success seats course'!$1:$2,2,FALSE),FALSE)/(VLOOKUP($A869,'[1]import graded seats course pivo'!$A:AB,HLOOKUP('[1]Course Totals'!D$4,'[1]import graded seats course pivo'!$1:$2,2,FALSE),FALSE))),"")</f>
        <v>1</v>
      </c>
      <c r="E869" s="14" t="str">
        <f>IFERROR((VLOOKUP($A869,'[1]import success seats course'!$A:S,HLOOKUP('[1]Course Totals'!E$4,'[1]import success seats course'!$1:$2,2,FALSE),FALSE)/(VLOOKUP($A869,'[1]import graded seats course pivo'!$A:AC,HLOOKUP('[1]Course Totals'!E$4,'[1]import graded seats course pivo'!$1:$2,2,FALSE),FALSE))),"")</f>
        <v/>
      </c>
      <c r="F869" s="14">
        <f>IFERROR((VLOOKUP($A869,'[1]import success seats course'!$A:T,HLOOKUP('[1]Course Totals'!F$4,'[1]import success seats course'!$1:$2,2,FALSE),FALSE)/(VLOOKUP($A869,'[1]import graded seats course pivo'!$A:AD,HLOOKUP('[1]Course Totals'!F$4,'[1]import graded seats course pivo'!$1:$2,2,FALSE),FALSE))),"")</f>
        <v>1</v>
      </c>
      <c r="G869" s="14">
        <f>IFERROR((VLOOKUP($A869,'[1]import success seats course'!$A:U,HLOOKUP('[1]Course Totals'!G$4,'[1]import success seats course'!$1:$2,2,FALSE),FALSE)/(VLOOKUP($A869,'[1]import graded seats course pivo'!$A:AE,HLOOKUP('[1]Course Totals'!G$4,'[1]import graded seats course pivo'!$1:$2,2,FALSE),FALSE))),"")</f>
        <v>1</v>
      </c>
      <c r="H869" s="14" t="str">
        <f>IFERROR((VLOOKUP($A869,'[1]import success seats course'!$A:V,HLOOKUP('[1]Course Totals'!H$4,'[1]import success seats course'!$1:$2,2,FALSE),FALSE)/(VLOOKUP($A869,'[1]import graded seats course pivo'!$A:AF,HLOOKUP('[1]Course Totals'!H$4,'[1]import graded seats course pivo'!$1:$2,2,FALSE),FALSE))),"")</f>
        <v/>
      </c>
      <c r="I869" s="14">
        <f>IFERROR((VLOOKUP($A869,'[1]import success seats course'!$A:W,HLOOKUP('[1]Course Totals'!I$4,'[1]import success seats course'!$1:$2,2,FALSE),FALSE)/(VLOOKUP($A869,'[1]import graded seats course pivo'!$A:AG,HLOOKUP('[1]Course Totals'!I$4,'[1]import graded seats course pivo'!$1:$2,2,FALSE),FALSE))),"")</f>
        <v>1</v>
      </c>
      <c r="J869" s="14">
        <f>IFERROR((VLOOKUP($A869,'[1]import success seats course'!$A:X,HLOOKUP('[1]Course Totals'!J$4,'[1]import success seats course'!$1:$2,2,FALSE),FALSE)/(VLOOKUP($A869,'[1]import graded seats course pivo'!$A:AH,HLOOKUP('[1]Course Totals'!J$4,'[1]import graded seats course pivo'!$1:$2,2,FALSE),FALSE))),"")</f>
        <v>1</v>
      </c>
      <c r="K869" s="14" t="str">
        <f>IFERROR((VLOOKUP($A869,'[1]import success seats course'!$A:Y,HLOOKUP('[1]Course Totals'!K$4,'[1]import success seats course'!$1:$2,2,FALSE),FALSE)/(VLOOKUP($A869,'[1]import graded seats course pivo'!$A:AI,HLOOKUP('[1]Course Totals'!K$4,'[1]import graded seats course pivo'!$1:$2,2,FALSE),FALSE))),"")</f>
        <v/>
      </c>
      <c r="L869" s="14">
        <f>IFERROR((VLOOKUP($A869,'[1]import success seats course'!$A:Z,HLOOKUP('[1]Course Totals'!L$4,'[1]import success seats course'!$1:$2,2,FALSE),FALSE)/(VLOOKUP($A869,'[1]import graded seats course pivo'!$A:AJ,HLOOKUP('[1]Course Totals'!L$4,'[1]import graded seats course pivo'!$1:$2,2,FALSE),FALSE))),"")</f>
        <v>1</v>
      </c>
      <c r="M869" s="14">
        <f>IFERROR((VLOOKUP($A869,'[1]import success seats course'!$A:AA,HLOOKUP('[1]Course Totals'!M$4,'[1]import success seats course'!$1:$2,2,FALSE),FALSE)/(VLOOKUP($A869,'[1]import graded seats course pivo'!$A:AK,HLOOKUP('[1]Course Totals'!M$4,'[1]import graded seats course pivo'!$1:$2,2,FALSE),FALSE))),"")</f>
        <v>1</v>
      </c>
      <c r="N869" s="14" t="str">
        <f>IFERROR((VLOOKUP($A869,'[1]import success seats course'!$A:AB,HLOOKUP('[1]Course Totals'!N$4,'[1]import success seats course'!$1:$2,2,FALSE),FALSE)/(VLOOKUP($A869,'[1]import graded seats course pivo'!$A:AL,HLOOKUP('[1]Course Totals'!N$4,'[1]import graded seats course pivo'!$1:$2,2,FALSE),FALSE))),"")</f>
        <v/>
      </c>
      <c r="O869" s="14">
        <f>IFERROR((VLOOKUP($A869,'[1]import success seats course'!$A:AC,HLOOKUP('[1]Course Totals'!O$4,'[1]import success seats course'!$1:$2,2,FALSE),FALSE)/(VLOOKUP($A869,'[1]import graded seats course pivo'!$A:AM,HLOOKUP('[1]Course Totals'!O$4,'[1]import graded seats course pivo'!$1:$2,2,FALSE),FALSE))),"")</f>
        <v>1</v>
      </c>
      <c r="P869" s="14">
        <f>IFERROR((VLOOKUP($A869,'[1]import success seats course'!$A:AD,HLOOKUP('[1]Course Totals'!P$4,'[1]import success seats course'!$1:$2,2,FALSE),FALSE)/(VLOOKUP($A869,'[1]import graded seats course pivo'!$A:AN,HLOOKUP('[1]Course Totals'!P$4,'[1]import graded seats course pivo'!$1:$2,2,FALSE),FALSE))),"")</f>
        <v>1</v>
      </c>
      <c r="Q869" s="14" t="str">
        <f>IFERROR((VLOOKUP($A869,'[1]import success seats course'!$A:AE,HLOOKUP('[1]Course Totals'!Q$4,'[1]import success seats course'!$1:$2,2,FALSE),FALSE)/(VLOOKUP($A869,'[1]import graded seats course pivo'!$A:AO,HLOOKUP('[1]Course Totals'!Q$4,'[1]import graded seats course pivo'!$1:$2,2,FALSE),FALSE))),"")</f>
        <v/>
      </c>
      <c r="R869" s="14" t="str">
        <f>IFERROR((VLOOKUP($A869,'[1]import success seats course'!$A:AF,HLOOKUP('[1]Course Totals'!R$4,'[1]import success seats course'!$1:$2,2,FALSE),FALSE)/(VLOOKUP($A869,'[1]import graded seats course pivo'!$A:AP,HLOOKUP('[1]Course Totals'!R$4,'[1]import graded seats course pivo'!$1:$2,2,FALSE),FALSE))),"")</f>
        <v/>
      </c>
      <c r="S869" s="14" t="str">
        <f>IFERROR((VLOOKUP($A869,'[1]import success seats course'!$A:AG,HLOOKUP('[1]Course Totals'!S$4,'[1]import success seats course'!$1:$2,2,FALSE),FALSE)/(VLOOKUP($A869,'[1]import graded seats course pivo'!$A:AQ,HLOOKUP('[1]Course Totals'!S$4,'[1]import graded seats course pivo'!$1:$2,2,FALSE),FALSE))),"")</f>
        <v/>
      </c>
      <c r="Z869" s="7"/>
      <c r="AA869" s="7"/>
      <c r="AB869" s="7"/>
      <c r="AC869" s="7"/>
    </row>
    <row r="870" spans="1:29" ht="15.75" customHeight="1" x14ac:dyDescent="0.25">
      <c r="A870" s="12" t="s">
        <v>411</v>
      </c>
      <c r="B870" s="14" t="str">
        <f>IFERROR((VLOOKUP($A870,'[1]import success seats course'!$A:P,HLOOKUP('[1]Course Totals'!B$4,'[1]import success seats course'!$1:$2,2,FALSE),FALSE)/(VLOOKUP($A870,'[1]import graded seats course pivo'!$A:Z,HLOOKUP('[1]Course Totals'!B$4,'[1]import graded seats course pivo'!$1:$2,2,FALSE),FALSE))),"")</f>
        <v/>
      </c>
      <c r="C870" s="14">
        <f>IFERROR((VLOOKUP($A870,'[1]import success seats course'!$A:Q,HLOOKUP('[1]Course Totals'!C$4,'[1]import success seats course'!$1:$2,2,FALSE),FALSE)/(VLOOKUP($A870,'[1]import graded seats course pivo'!$A:AA,HLOOKUP('[1]Course Totals'!C$4,'[1]import graded seats course pivo'!$1:$2,2,FALSE),FALSE))),"")</f>
        <v>1</v>
      </c>
      <c r="D870" s="14">
        <f>IFERROR((VLOOKUP($A870,'[1]import success seats course'!$A:R,HLOOKUP('[1]Course Totals'!D$4,'[1]import success seats course'!$1:$2,2,FALSE),FALSE)/(VLOOKUP($A870,'[1]import graded seats course pivo'!$A:AB,HLOOKUP('[1]Course Totals'!D$4,'[1]import graded seats course pivo'!$1:$2,2,FALSE),FALSE))),"")</f>
        <v>0.91666666666666663</v>
      </c>
      <c r="E870" s="14" t="str">
        <f>IFERROR((VLOOKUP($A870,'[1]import success seats course'!$A:S,HLOOKUP('[1]Course Totals'!E$4,'[1]import success seats course'!$1:$2,2,FALSE),FALSE)/(VLOOKUP($A870,'[1]import graded seats course pivo'!$A:AC,HLOOKUP('[1]Course Totals'!E$4,'[1]import graded seats course pivo'!$1:$2,2,FALSE),FALSE))),"")</f>
        <v/>
      </c>
      <c r="F870" s="14">
        <f>IFERROR((VLOOKUP($A870,'[1]import success seats course'!$A:T,HLOOKUP('[1]Course Totals'!F$4,'[1]import success seats course'!$1:$2,2,FALSE),FALSE)/(VLOOKUP($A870,'[1]import graded seats course pivo'!$A:AD,HLOOKUP('[1]Course Totals'!F$4,'[1]import graded seats course pivo'!$1:$2,2,FALSE),FALSE))),"")</f>
        <v>0.91666666666666663</v>
      </c>
      <c r="G870" s="14">
        <f>IFERROR((VLOOKUP($A870,'[1]import success seats course'!$A:U,HLOOKUP('[1]Course Totals'!G$4,'[1]import success seats course'!$1:$2,2,FALSE),FALSE)/(VLOOKUP($A870,'[1]import graded seats course pivo'!$A:AE,HLOOKUP('[1]Course Totals'!G$4,'[1]import graded seats course pivo'!$1:$2,2,FALSE),FALSE))),"")</f>
        <v>0.91666666666666663</v>
      </c>
      <c r="H870" s="14" t="str">
        <f>IFERROR((VLOOKUP($A870,'[1]import success seats course'!$A:V,HLOOKUP('[1]Course Totals'!H$4,'[1]import success seats course'!$1:$2,2,FALSE),FALSE)/(VLOOKUP($A870,'[1]import graded seats course pivo'!$A:AF,HLOOKUP('[1]Course Totals'!H$4,'[1]import graded seats course pivo'!$1:$2,2,FALSE),FALSE))),"")</f>
        <v/>
      </c>
      <c r="I870" s="14">
        <f>IFERROR((VLOOKUP($A870,'[1]import success seats course'!$A:W,HLOOKUP('[1]Course Totals'!I$4,'[1]import success seats course'!$1:$2,2,FALSE),FALSE)/(VLOOKUP($A870,'[1]import graded seats course pivo'!$A:AG,HLOOKUP('[1]Course Totals'!I$4,'[1]import graded seats course pivo'!$1:$2,2,FALSE),FALSE))),"")</f>
        <v>0.83333333333333337</v>
      </c>
      <c r="J870" s="14">
        <f>IFERROR((VLOOKUP($A870,'[1]import success seats course'!$A:X,HLOOKUP('[1]Course Totals'!J$4,'[1]import success seats course'!$1:$2,2,FALSE),FALSE)/(VLOOKUP($A870,'[1]import graded seats course pivo'!$A:AH,HLOOKUP('[1]Course Totals'!J$4,'[1]import graded seats course pivo'!$1:$2,2,FALSE),FALSE))),"")</f>
        <v>0.83333333333333337</v>
      </c>
      <c r="K870" s="14" t="str">
        <f>IFERROR((VLOOKUP($A870,'[1]import success seats course'!$A:Y,HLOOKUP('[1]Course Totals'!K$4,'[1]import success seats course'!$1:$2,2,FALSE),FALSE)/(VLOOKUP($A870,'[1]import graded seats course pivo'!$A:AI,HLOOKUP('[1]Course Totals'!K$4,'[1]import graded seats course pivo'!$1:$2,2,FALSE),FALSE))),"")</f>
        <v/>
      </c>
      <c r="L870" s="14">
        <f>IFERROR((VLOOKUP($A870,'[1]import success seats course'!$A:Z,HLOOKUP('[1]Course Totals'!L$4,'[1]import success seats course'!$1:$2,2,FALSE),FALSE)/(VLOOKUP($A870,'[1]import graded seats course pivo'!$A:AJ,HLOOKUP('[1]Course Totals'!L$4,'[1]import graded seats course pivo'!$1:$2,2,FALSE),FALSE))),"")</f>
        <v>1</v>
      </c>
      <c r="M870" s="14">
        <f>IFERROR((VLOOKUP($A870,'[1]import success seats course'!$A:AA,HLOOKUP('[1]Course Totals'!M$4,'[1]import success seats course'!$1:$2,2,FALSE),FALSE)/(VLOOKUP($A870,'[1]import graded seats course pivo'!$A:AK,HLOOKUP('[1]Course Totals'!M$4,'[1]import graded seats course pivo'!$1:$2,2,FALSE),FALSE))),"")</f>
        <v>0.8571428571428571</v>
      </c>
      <c r="N870" s="14" t="str">
        <f>IFERROR((VLOOKUP($A870,'[1]import success seats course'!$A:AB,HLOOKUP('[1]Course Totals'!N$4,'[1]import success seats course'!$1:$2,2,FALSE),FALSE)/(VLOOKUP($A870,'[1]import graded seats course pivo'!$A:AL,HLOOKUP('[1]Course Totals'!N$4,'[1]import graded seats course pivo'!$1:$2,2,FALSE),FALSE))),"")</f>
        <v/>
      </c>
      <c r="O870" s="14" t="str">
        <f>IFERROR((VLOOKUP($A870,'[1]import success seats course'!$A:AC,HLOOKUP('[1]Course Totals'!O$4,'[1]import success seats course'!$1:$2,2,FALSE),FALSE)/(VLOOKUP($A870,'[1]import graded seats course pivo'!$A:AM,HLOOKUP('[1]Course Totals'!O$4,'[1]import graded seats course pivo'!$1:$2,2,FALSE),FALSE))),"")</f>
        <v/>
      </c>
      <c r="P870" s="14" t="str">
        <f>IFERROR((VLOOKUP($A870,'[1]import success seats course'!$A:AD,HLOOKUP('[1]Course Totals'!P$4,'[1]import success seats course'!$1:$2,2,FALSE),FALSE)/(VLOOKUP($A870,'[1]import graded seats course pivo'!$A:AN,HLOOKUP('[1]Course Totals'!P$4,'[1]import graded seats course pivo'!$1:$2,2,FALSE),FALSE))),"")</f>
        <v/>
      </c>
      <c r="Q870" s="14" t="str">
        <f>IFERROR((VLOOKUP($A870,'[1]import success seats course'!$A:AE,HLOOKUP('[1]Course Totals'!Q$4,'[1]import success seats course'!$1:$2,2,FALSE),FALSE)/(VLOOKUP($A870,'[1]import graded seats course pivo'!$A:AO,HLOOKUP('[1]Course Totals'!Q$4,'[1]import graded seats course pivo'!$1:$2,2,FALSE),FALSE))),"")</f>
        <v/>
      </c>
      <c r="R870" s="14" t="str">
        <f>IFERROR((VLOOKUP($A870,'[1]import success seats course'!$A:AF,HLOOKUP('[1]Course Totals'!R$4,'[1]import success seats course'!$1:$2,2,FALSE),FALSE)/(VLOOKUP($A870,'[1]import graded seats course pivo'!$A:AP,HLOOKUP('[1]Course Totals'!R$4,'[1]import graded seats course pivo'!$1:$2,2,FALSE),FALSE))),"")</f>
        <v/>
      </c>
      <c r="S870" s="14" t="str">
        <f>IFERROR((VLOOKUP($A870,'[1]import success seats course'!$A:AG,HLOOKUP('[1]Course Totals'!S$4,'[1]import success seats course'!$1:$2,2,FALSE),FALSE)/(VLOOKUP($A870,'[1]import graded seats course pivo'!$A:AQ,HLOOKUP('[1]Course Totals'!S$4,'[1]import graded seats course pivo'!$1:$2,2,FALSE),FALSE))),"")</f>
        <v/>
      </c>
      <c r="Z870" s="7"/>
      <c r="AA870" s="7"/>
      <c r="AB870" s="7"/>
      <c r="AC870" s="7"/>
    </row>
    <row r="871" spans="1:29" ht="15.75" customHeight="1" x14ac:dyDescent="0.25">
      <c r="A871" s="12" t="s">
        <v>412</v>
      </c>
      <c r="B871" s="14">
        <f>IFERROR((VLOOKUP($A871,'[1]import success seats course'!$A:P,HLOOKUP('[1]Course Totals'!B$4,'[1]import success seats course'!$1:$2,2,FALSE),FALSE)/(VLOOKUP($A871,'[1]import graded seats course pivo'!$A:Z,HLOOKUP('[1]Course Totals'!B$4,'[1]import graded seats course pivo'!$1:$2,2,FALSE),FALSE))),"")</f>
        <v>0.86956521739130432</v>
      </c>
      <c r="C871" s="14">
        <f>IFERROR((VLOOKUP($A871,'[1]import success seats course'!$A:Q,HLOOKUP('[1]Course Totals'!C$4,'[1]import success seats course'!$1:$2,2,FALSE),FALSE)/(VLOOKUP($A871,'[1]import graded seats course pivo'!$A:AA,HLOOKUP('[1]Course Totals'!C$4,'[1]import graded seats course pivo'!$1:$2,2,FALSE),FALSE))),"")</f>
        <v>0.80701754385964908</v>
      </c>
      <c r="D871" s="14">
        <f>IFERROR((VLOOKUP($A871,'[1]import success seats course'!$A:R,HLOOKUP('[1]Course Totals'!D$4,'[1]import success seats course'!$1:$2,2,FALSE),FALSE)/(VLOOKUP($A871,'[1]import graded seats course pivo'!$A:AB,HLOOKUP('[1]Course Totals'!D$4,'[1]import graded seats course pivo'!$1:$2,2,FALSE),FALSE))),"")</f>
        <v>0.90740740740740744</v>
      </c>
      <c r="E871" s="14">
        <f>IFERROR((VLOOKUP($A871,'[1]import success seats course'!$A:S,HLOOKUP('[1]Course Totals'!E$4,'[1]import success seats course'!$1:$2,2,FALSE),FALSE)/(VLOOKUP($A871,'[1]import graded seats course pivo'!$A:AC,HLOOKUP('[1]Course Totals'!E$4,'[1]import graded seats course pivo'!$1:$2,2,FALSE),FALSE))),"")</f>
        <v>0.96153846153846156</v>
      </c>
      <c r="F871" s="14">
        <f>IFERROR((VLOOKUP($A871,'[1]import success seats course'!$A:T,HLOOKUP('[1]Course Totals'!F$4,'[1]import success seats course'!$1:$2,2,FALSE),FALSE)/(VLOOKUP($A871,'[1]import graded seats course pivo'!$A:AD,HLOOKUP('[1]Course Totals'!F$4,'[1]import graded seats course pivo'!$1:$2,2,FALSE),FALSE))),"")</f>
        <v>0.8783783783783784</v>
      </c>
      <c r="G871" s="14">
        <f>IFERROR((VLOOKUP($A871,'[1]import success seats course'!$A:U,HLOOKUP('[1]Course Totals'!G$4,'[1]import success seats course'!$1:$2,2,FALSE),FALSE)/(VLOOKUP($A871,'[1]import graded seats course pivo'!$A:AE,HLOOKUP('[1]Course Totals'!G$4,'[1]import graded seats course pivo'!$1:$2,2,FALSE),FALSE))),"")</f>
        <v>0.73015873015873012</v>
      </c>
      <c r="H871" s="14" t="str">
        <f>IFERROR((VLOOKUP($A871,'[1]import success seats course'!$A:V,HLOOKUP('[1]Course Totals'!H$4,'[1]import success seats course'!$1:$2,2,FALSE),FALSE)/(VLOOKUP($A871,'[1]import graded seats course pivo'!$A:AF,HLOOKUP('[1]Course Totals'!H$4,'[1]import graded seats course pivo'!$1:$2,2,FALSE),FALSE))),"")</f>
        <v/>
      </c>
      <c r="I871" s="14">
        <f>IFERROR((VLOOKUP($A871,'[1]import success seats course'!$A:W,HLOOKUP('[1]Course Totals'!I$4,'[1]import success seats course'!$1:$2,2,FALSE),FALSE)/(VLOOKUP($A871,'[1]import graded seats course pivo'!$A:AG,HLOOKUP('[1]Course Totals'!I$4,'[1]import graded seats course pivo'!$1:$2,2,FALSE),FALSE))),"")</f>
        <v>0.85897435897435892</v>
      </c>
      <c r="J871" s="14">
        <f>IFERROR((VLOOKUP($A871,'[1]import success seats course'!$A:X,HLOOKUP('[1]Course Totals'!J$4,'[1]import success seats course'!$1:$2,2,FALSE),FALSE)/(VLOOKUP($A871,'[1]import graded seats course pivo'!$A:AH,HLOOKUP('[1]Course Totals'!J$4,'[1]import graded seats course pivo'!$1:$2,2,FALSE),FALSE))),"")</f>
        <v>0.84848484848484851</v>
      </c>
      <c r="K871" s="14" t="str">
        <f>IFERROR((VLOOKUP($A871,'[1]import success seats course'!$A:Y,HLOOKUP('[1]Course Totals'!K$4,'[1]import success seats course'!$1:$2,2,FALSE),FALSE)/(VLOOKUP($A871,'[1]import graded seats course pivo'!$A:AI,HLOOKUP('[1]Course Totals'!K$4,'[1]import graded seats course pivo'!$1:$2,2,FALSE),FALSE))),"")</f>
        <v/>
      </c>
      <c r="L871" s="14">
        <f>IFERROR((VLOOKUP($A871,'[1]import success seats course'!$A:Z,HLOOKUP('[1]Course Totals'!L$4,'[1]import success seats course'!$1:$2,2,FALSE),FALSE)/(VLOOKUP($A871,'[1]import graded seats course pivo'!$A:AJ,HLOOKUP('[1]Course Totals'!L$4,'[1]import graded seats course pivo'!$1:$2,2,FALSE),FALSE))),"")</f>
        <v>0.96296296296296291</v>
      </c>
      <c r="M871" s="14">
        <f>IFERROR((VLOOKUP($A871,'[1]import success seats course'!$A:AA,HLOOKUP('[1]Course Totals'!M$4,'[1]import success seats course'!$1:$2,2,FALSE),FALSE)/(VLOOKUP($A871,'[1]import graded seats course pivo'!$A:AK,HLOOKUP('[1]Course Totals'!M$4,'[1]import graded seats course pivo'!$1:$2,2,FALSE),FALSE))),"")</f>
        <v>0.85858585858585856</v>
      </c>
      <c r="N871" s="14" t="str">
        <f>IFERROR((VLOOKUP($A871,'[1]import success seats course'!$A:AB,HLOOKUP('[1]Course Totals'!N$4,'[1]import success seats course'!$1:$2,2,FALSE),FALSE)/(VLOOKUP($A871,'[1]import graded seats course pivo'!$A:AL,HLOOKUP('[1]Course Totals'!N$4,'[1]import graded seats course pivo'!$1:$2,2,FALSE),FALSE))),"")</f>
        <v/>
      </c>
      <c r="O871" s="14">
        <f>IFERROR((VLOOKUP($A871,'[1]import success seats course'!$A:AC,HLOOKUP('[1]Course Totals'!O$4,'[1]import success seats course'!$1:$2,2,FALSE),FALSE)/(VLOOKUP($A871,'[1]import graded seats course pivo'!$A:AM,HLOOKUP('[1]Course Totals'!O$4,'[1]import graded seats course pivo'!$1:$2,2,FALSE),FALSE))),"")</f>
        <v>0.88372093023255816</v>
      </c>
      <c r="P871" s="14">
        <f>IFERROR((VLOOKUP($A871,'[1]import success seats course'!$A:AD,HLOOKUP('[1]Course Totals'!P$4,'[1]import success seats course'!$1:$2,2,FALSE),FALSE)/(VLOOKUP($A871,'[1]import graded seats course pivo'!$A:AN,HLOOKUP('[1]Course Totals'!P$4,'[1]import graded seats course pivo'!$1:$2,2,FALSE),FALSE))),"")</f>
        <v>0.828125</v>
      </c>
      <c r="Q871" s="14" t="str">
        <f>IFERROR((VLOOKUP($A871,'[1]import success seats course'!$A:AE,HLOOKUP('[1]Course Totals'!Q$4,'[1]import success seats course'!$1:$2,2,FALSE),FALSE)/(VLOOKUP($A871,'[1]import graded seats course pivo'!$A:AO,HLOOKUP('[1]Course Totals'!Q$4,'[1]import graded seats course pivo'!$1:$2,2,FALSE),FALSE))),"")</f>
        <v/>
      </c>
      <c r="R871" s="14" t="str">
        <f>IFERROR((VLOOKUP($A871,'[1]import success seats course'!$A:AF,HLOOKUP('[1]Course Totals'!R$4,'[1]import success seats course'!$1:$2,2,FALSE),FALSE)/(VLOOKUP($A871,'[1]import graded seats course pivo'!$A:AP,HLOOKUP('[1]Course Totals'!R$4,'[1]import graded seats course pivo'!$1:$2,2,FALSE),FALSE))),"")</f>
        <v/>
      </c>
      <c r="S871" s="14" t="str">
        <f>IFERROR((VLOOKUP($A871,'[1]import success seats course'!$A:AG,HLOOKUP('[1]Course Totals'!S$4,'[1]import success seats course'!$1:$2,2,FALSE),FALSE)/(VLOOKUP($A871,'[1]import graded seats course pivo'!$A:AQ,HLOOKUP('[1]Course Totals'!S$4,'[1]import graded seats course pivo'!$1:$2,2,FALSE),FALSE))),"")</f>
        <v/>
      </c>
      <c r="Z871" s="7"/>
      <c r="AA871" s="7"/>
      <c r="AB871" s="7"/>
      <c r="AC871" s="7"/>
    </row>
    <row r="872" spans="1:29" ht="15.75" customHeight="1" x14ac:dyDescent="0.25">
      <c r="A872" s="12" t="s">
        <v>413</v>
      </c>
      <c r="B872" s="14" t="str">
        <f>IFERROR((VLOOKUP($A872,'[1]import success seats course'!$A:P,HLOOKUP('[1]Course Totals'!B$4,'[1]import success seats course'!$1:$2,2,FALSE),FALSE)/(VLOOKUP($A872,'[1]import graded seats course pivo'!$A:Z,HLOOKUP('[1]Course Totals'!B$4,'[1]import graded seats course pivo'!$1:$2,2,FALSE),FALSE))),"")</f>
        <v/>
      </c>
      <c r="C872" s="14">
        <f>IFERROR((VLOOKUP($A872,'[1]import success seats course'!$A:Q,HLOOKUP('[1]Course Totals'!C$4,'[1]import success seats course'!$1:$2,2,FALSE),FALSE)/(VLOOKUP($A872,'[1]import graded seats course pivo'!$A:AA,HLOOKUP('[1]Course Totals'!C$4,'[1]import graded seats course pivo'!$1:$2,2,FALSE),FALSE))),"")</f>
        <v>0.95</v>
      </c>
      <c r="D872" s="14">
        <f>IFERROR((VLOOKUP($A872,'[1]import success seats course'!$A:R,HLOOKUP('[1]Course Totals'!D$4,'[1]import success seats course'!$1:$2,2,FALSE),FALSE)/(VLOOKUP($A872,'[1]import graded seats course pivo'!$A:AB,HLOOKUP('[1]Course Totals'!D$4,'[1]import graded seats course pivo'!$1:$2,2,FALSE),FALSE))),"")</f>
        <v>0.95454545454545459</v>
      </c>
      <c r="E872" s="14" t="str">
        <f>IFERROR((VLOOKUP($A872,'[1]import success seats course'!$A:S,HLOOKUP('[1]Course Totals'!E$4,'[1]import success seats course'!$1:$2,2,FALSE),FALSE)/(VLOOKUP($A872,'[1]import graded seats course pivo'!$A:AC,HLOOKUP('[1]Course Totals'!E$4,'[1]import graded seats course pivo'!$1:$2,2,FALSE),FALSE))),"")</f>
        <v/>
      </c>
      <c r="F872" s="14">
        <f>IFERROR((VLOOKUP($A872,'[1]import success seats course'!$A:T,HLOOKUP('[1]Course Totals'!F$4,'[1]import success seats course'!$1:$2,2,FALSE),FALSE)/(VLOOKUP($A872,'[1]import graded seats course pivo'!$A:AD,HLOOKUP('[1]Course Totals'!F$4,'[1]import graded seats course pivo'!$1:$2,2,FALSE),FALSE))),"")</f>
        <v>0.85</v>
      </c>
      <c r="G872" s="14">
        <f>IFERROR((VLOOKUP($A872,'[1]import success seats course'!$A:U,HLOOKUP('[1]Course Totals'!G$4,'[1]import success seats course'!$1:$2,2,FALSE),FALSE)/(VLOOKUP($A872,'[1]import graded seats course pivo'!$A:AE,HLOOKUP('[1]Course Totals'!G$4,'[1]import graded seats course pivo'!$1:$2,2,FALSE),FALSE))),"")</f>
        <v>0.83333333333333337</v>
      </c>
      <c r="H872" s="14" t="str">
        <f>IFERROR((VLOOKUP($A872,'[1]import success seats course'!$A:V,HLOOKUP('[1]Course Totals'!H$4,'[1]import success seats course'!$1:$2,2,FALSE),FALSE)/(VLOOKUP($A872,'[1]import graded seats course pivo'!$A:AF,HLOOKUP('[1]Course Totals'!H$4,'[1]import graded seats course pivo'!$1:$2,2,FALSE),FALSE))),"")</f>
        <v/>
      </c>
      <c r="I872" s="14">
        <f>IFERROR((VLOOKUP($A872,'[1]import success seats course'!$A:W,HLOOKUP('[1]Course Totals'!I$4,'[1]import success seats course'!$1:$2,2,FALSE),FALSE)/(VLOOKUP($A872,'[1]import graded seats course pivo'!$A:AG,HLOOKUP('[1]Course Totals'!I$4,'[1]import graded seats course pivo'!$1:$2,2,FALSE),FALSE))),"")</f>
        <v>0.91304347826086951</v>
      </c>
      <c r="J872" s="14">
        <f>IFERROR((VLOOKUP($A872,'[1]import success seats course'!$A:X,HLOOKUP('[1]Course Totals'!J$4,'[1]import success seats course'!$1:$2,2,FALSE),FALSE)/(VLOOKUP($A872,'[1]import graded seats course pivo'!$A:AH,HLOOKUP('[1]Course Totals'!J$4,'[1]import graded seats course pivo'!$1:$2,2,FALSE),FALSE))),"")</f>
        <v>0.79166666666666663</v>
      </c>
      <c r="K872" s="14" t="str">
        <f>IFERROR((VLOOKUP($A872,'[1]import success seats course'!$A:Y,HLOOKUP('[1]Course Totals'!K$4,'[1]import success seats course'!$1:$2,2,FALSE),FALSE)/(VLOOKUP($A872,'[1]import graded seats course pivo'!$A:AI,HLOOKUP('[1]Course Totals'!K$4,'[1]import graded seats course pivo'!$1:$2,2,FALSE),FALSE))),"")</f>
        <v/>
      </c>
      <c r="L872" s="14">
        <f>IFERROR((VLOOKUP($A872,'[1]import success seats course'!$A:Z,HLOOKUP('[1]Course Totals'!L$4,'[1]import success seats course'!$1:$2,2,FALSE),FALSE)/(VLOOKUP($A872,'[1]import graded seats course pivo'!$A:AJ,HLOOKUP('[1]Course Totals'!L$4,'[1]import graded seats course pivo'!$1:$2,2,FALSE),FALSE))),"")</f>
        <v>0.95454545454545459</v>
      </c>
      <c r="M872" s="14">
        <f>IFERROR((VLOOKUP($A872,'[1]import success seats course'!$A:AA,HLOOKUP('[1]Course Totals'!M$4,'[1]import success seats course'!$1:$2,2,FALSE),FALSE)/(VLOOKUP($A872,'[1]import graded seats course pivo'!$A:AK,HLOOKUP('[1]Course Totals'!M$4,'[1]import graded seats course pivo'!$1:$2,2,FALSE),FALSE))),"")</f>
        <v>0.92307692307692313</v>
      </c>
      <c r="N872" s="14" t="str">
        <f>IFERROR((VLOOKUP($A872,'[1]import success seats course'!$A:AB,HLOOKUP('[1]Course Totals'!N$4,'[1]import success seats course'!$1:$2,2,FALSE),FALSE)/(VLOOKUP($A872,'[1]import graded seats course pivo'!$A:AL,HLOOKUP('[1]Course Totals'!N$4,'[1]import graded seats course pivo'!$1:$2,2,FALSE),FALSE))),"")</f>
        <v/>
      </c>
      <c r="O872" s="14" t="str">
        <f>IFERROR((VLOOKUP($A872,'[1]import success seats course'!$A:AC,HLOOKUP('[1]Course Totals'!O$4,'[1]import success seats course'!$1:$2,2,FALSE),FALSE)/(VLOOKUP($A872,'[1]import graded seats course pivo'!$A:AM,HLOOKUP('[1]Course Totals'!O$4,'[1]import graded seats course pivo'!$1:$2,2,FALSE),FALSE))),"")</f>
        <v/>
      </c>
      <c r="P872" s="14" t="str">
        <f>IFERROR((VLOOKUP($A872,'[1]import success seats course'!$A:AD,HLOOKUP('[1]Course Totals'!P$4,'[1]import success seats course'!$1:$2,2,FALSE),FALSE)/(VLOOKUP($A872,'[1]import graded seats course pivo'!$A:AN,HLOOKUP('[1]Course Totals'!P$4,'[1]import graded seats course pivo'!$1:$2,2,FALSE),FALSE))),"")</f>
        <v/>
      </c>
      <c r="Q872" s="14" t="str">
        <f>IFERROR((VLOOKUP($A872,'[1]import success seats course'!$A:AE,HLOOKUP('[1]Course Totals'!Q$4,'[1]import success seats course'!$1:$2,2,FALSE),FALSE)/(VLOOKUP($A872,'[1]import graded seats course pivo'!$A:AO,HLOOKUP('[1]Course Totals'!Q$4,'[1]import graded seats course pivo'!$1:$2,2,FALSE),FALSE))),"")</f>
        <v/>
      </c>
      <c r="R872" s="14" t="str">
        <f>IFERROR((VLOOKUP($A872,'[1]import success seats course'!$A:AF,HLOOKUP('[1]Course Totals'!R$4,'[1]import success seats course'!$1:$2,2,FALSE),FALSE)/(VLOOKUP($A872,'[1]import graded seats course pivo'!$A:AP,HLOOKUP('[1]Course Totals'!R$4,'[1]import graded seats course pivo'!$1:$2,2,FALSE),FALSE))),"")</f>
        <v/>
      </c>
      <c r="S872" s="14" t="str">
        <f>IFERROR((VLOOKUP($A872,'[1]import success seats course'!$A:AG,HLOOKUP('[1]Course Totals'!S$4,'[1]import success seats course'!$1:$2,2,FALSE),FALSE)/(VLOOKUP($A872,'[1]import graded seats course pivo'!$A:AQ,HLOOKUP('[1]Course Totals'!S$4,'[1]import graded seats course pivo'!$1:$2,2,FALSE),FALSE))),"")</f>
        <v/>
      </c>
      <c r="Z872" s="7"/>
      <c r="AA872" s="7"/>
      <c r="AB872" s="7"/>
      <c r="AC872" s="7"/>
    </row>
    <row r="873" spans="1:29" ht="15.75" customHeight="1" x14ac:dyDescent="0.25">
      <c r="A873" s="12" t="s">
        <v>414</v>
      </c>
      <c r="B873" s="14" t="str">
        <f>IFERROR((VLOOKUP($A873,'[1]import success seats course'!$A:P,HLOOKUP('[1]Course Totals'!B$4,'[1]import success seats course'!$1:$2,2,FALSE),FALSE)/(VLOOKUP($A873,'[1]import graded seats course pivo'!$A:Z,HLOOKUP('[1]Course Totals'!B$4,'[1]import graded seats course pivo'!$1:$2,2,FALSE),FALSE))),"")</f>
        <v/>
      </c>
      <c r="C873" s="14">
        <f>IFERROR((VLOOKUP($A873,'[1]import success seats course'!$A:Q,HLOOKUP('[1]Course Totals'!C$4,'[1]import success seats course'!$1:$2,2,FALSE),FALSE)/(VLOOKUP($A873,'[1]import graded seats course pivo'!$A:AA,HLOOKUP('[1]Course Totals'!C$4,'[1]import graded seats course pivo'!$1:$2,2,FALSE),FALSE))),"")</f>
        <v>1</v>
      </c>
      <c r="D873" s="14">
        <f>IFERROR((VLOOKUP($A873,'[1]import success seats course'!$A:R,HLOOKUP('[1]Course Totals'!D$4,'[1]import success seats course'!$1:$2,2,FALSE),FALSE)/(VLOOKUP($A873,'[1]import graded seats course pivo'!$A:AB,HLOOKUP('[1]Course Totals'!D$4,'[1]import graded seats course pivo'!$1:$2,2,FALSE),FALSE))),"")</f>
        <v>1</v>
      </c>
      <c r="E873" s="14" t="str">
        <f>IFERROR((VLOOKUP($A873,'[1]import success seats course'!$A:S,HLOOKUP('[1]Course Totals'!E$4,'[1]import success seats course'!$1:$2,2,FALSE),FALSE)/(VLOOKUP($A873,'[1]import graded seats course pivo'!$A:AC,HLOOKUP('[1]Course Totals'!E$4,'[1]import graded seats course pivo'!$1:$2,2,FALSE),FALSE))),"")</f>
        <v/>
      </c>
      <c r="F873" s="14">
        <f>IFERROR((VLOOKUP($A873,'[1]import success seats course'!$A:T,HLOOKUP('[1]Course Totals'!F$4,'[1]import success seats course'!$1:$2,2,FALSE),FALSE)/(VLOOKUP($A873,'[1]import graded seats course pivo'!$A:AD,HLOOKUP('[1]Course Totals'!F$4,'[1]import graded seats course pivo'!$1:$2,2,FALSE),FALSE))),"")</f>
        <v>0.63636363636363635</v>
      </c>
      <c r="G873" s="14">
        <f>IFERROR((VLOOKUP($A873,'[1]import success seats course'!$A:U,HLOOKUP('[1]Course Totals'!G$4,'[1]import success seats course'!$1:$2,2,FALSE),FALSE)/(VLOOKUP($A873,'[1]import graded seats course pivo'!$A:AE,HLOOKUP('[1]Course Totals'!G$4,'[1]import graded seats course pivo'!$1:$2,2,FALSE),FALSE))),"")</f>
        <v>1</v>
      </c>
      <c r="H873" s="14" t="str">
        <f>IFERROR((VLOOKUP($A873,'[1]import success seats course'!$A:V,HLOOKUP('[1]Course Totals'!H$4,'[1]import success seats course'!$1:$2,2,FALSE),FALSE)/(VLOOKUP($A873,'[1]import graded seats course pivo'!$A:AF,HLOOKUP('[1]Course Totals'!H$4,'[1]import graded seats course pivo'!$1:$2,2,FALSE),FALSE))),"")</f>
        <v/>
      </c>
      <c r="I873" s="14">
        <f>IFERROR((VLOOKUP($A873,'[1]import success seats course'!$A:W,HLOOKUP('[1]Course Totals'!I$4,'[1]import success seats course'!$1:$2,2,FALSE),FALSE)/(VLOOKUP($A873,'[1]import graded seats course pivo'!$A:AG,HLOOKUP('[1]Course Totals'!I$4,'[1]import graded seats course pivo'!$1:$2,2,FALSE),FALSE))),"")</f>
        <v>1</v>
      </c>
      <c r="J873" s="14">
        <f>IFERROR((VLOOKUP($A873,'[1]import success seats course'!$A:X,HLOOKUP('[1]Course Totals'!J$4,'[1]import success seats course'!$1:$2,2,FALSE),FALSE)/(VLOOKUP($A873,'[1]import graded seats course pivo'!$A:AH,HLOOKUP('[1]Course Totals'!J$4,'[1]import graded seats course pivo'!$1:$2,2,FALSE),FALSE))),"")</f>
        <v>1</v>
      </c>
      <c r="K873" s="14" t="str">
        <f>IFERROR((VLOOKUP($A873,'[1]import success seats course'!$A:Y,HLOOKUP('[1]Course Totals'!K$4,'[1]import success seats course'!$1:$2,2,FALSE),FALSE)/(VLOOKUP($A873,'[1]import graded seats course pivo'!$A:AI,HLOOKUP('[1]Course Totals'!K$4,'[1]import graded seats course pivo'!$1:$2,2,FALSE),FALSE))),"")</f>
        <v/>
      </c>
      <c r="L873" s="14">
        <f>IFERROR((VLOOKUP($A873,'[1]import success seats course'!$A:Z,HLOOKUP('[1]Course Totals'!L$4,'[1]import success seats course'!$1:$2,2,FALSE),FALSE)/(VLOOKUP($A873,'[1]import graded seats course pivo'!$A:AJ,HLOOKUP('[1]Course Totals'!L$4,'[1]import graded seats course pivo'!$1:$2,2,FALSE),FALSE))),"")</f>
        <v>0.875</v>
      </c>
      <c r="M873" s="14">
        <f>IFERROR((VLOOKUP($A873,'[1]import success seats course'!$A:AA,HLOOKUP('[1]Course Totals'!M$4,'[1]import success seats course'!$1:$2,2,FALSE),FALSE)/(VLOOKUP($A873,'[1]import graded seats course pivo'!$A:AK,HLOOKUP('[1]Course Totals'!M$4,'[1]import graded seats course pivo'!$1:$2,2,FALSE),FALSE))),"")</f>
        <v>1</v>
      </c>
      <c r="N873" s="14" t="str">
        <f>IFERROR((VLOOKUP($A873,'[1]import success seats course'!$A:AB,HLOOKUP('[1]Course Totals'!N$4,'[1]import success seats course'!$1:$2,2,FALSE),FALSE)/(VLOOKUP($A873,'[1]import graded seats course pivo'!$A:AL,HLOOKUP('[1]Course Totals'!N$4,'[1]import graded seats course pivo'!$1:$2,2,FALSE),FALSE))),"")</f>
        <v/>
      </c>
      <c r="O873" s="14">
        <f>IFERROR((VLOOKUP($A873,'[1]import success seats course'!$A:AC,HLOOKUP('[1]Course Totals'!O$4,'[1]import success seats course'!$1:$2,2,FALSE),FALSE)/(VLOOKUP($A873,'[1]import graded seats course pivo'!$A:AM,HLOOKUP('[1]Course Totals'!O$4,'[1]import graded seats course pivo'!$1:$2,2,FALSE),FALSE))),"")</f>
        <v>1</v>
      </c>
      <c r="P873" s="14" t="str">
        <f>IFERROR((VLOOKUP($A873,'[1]import success seats course'!$A:AD,HLOOKUP('[1]Course Totals'!P$4,'[1]import success seats course'!$1:$2,2,FALSE),FALSE)/(VLOOKUP($A873,'[1]import graded seats course pivo'!$A:AN,HLOOKUP('[1]Course Totals'!P$4,'[1]import graded seats course pivo'!$1:$2,2,FALSE),FALSE))),"")</f>
        <v/>
      </c>
      <c r="Q873" s="14" t="str">
        <f>IFERROR((VLOOKUP($A873,'[1]import success seats course'!$A:AE,HLOOKUP('[1]Course Totals'!Q$4,'[1]import success seats course'!$1:$2,2,FALSE),FALSE)/(VLOOKUP($A873,'[1]import graded seats course pivo'!$A:AO,HLOOKUP('[1]Course Totals'!Q$4,'[1]import graded seats course pivo'!$1:$2,2,FALSE),FALSE))),"")</f>
        <v/>
      </c>
      <c r="R873" s="14" t="str">
        <f>IFERROR((VLOOKUP($A873,'[1]import success seats course'!$A:AF,HLOOKUP('[1]Course Totals'!R$4,'[1]import success seats course'!$1:$2,2,FALSE),FALSE)/(VLOOKUP($A873,'[1]import graded seats course pivo'!$A:AP,HLOOKUP('[1]Course Totals'!R$4,'[1]import graded seats course pivo'!$1:$2,2,FALSE),FALSE))),"")</f>
        <v/>
      </c>
      <c r="S873" s="14" t="str">
        <f>IFERROR((VLOOKUP($A873,'[1]import success seats course'!$A:AG,HLOOKUP('[1]Course Totals'!S$4,'[1]import success seats course'!$1:$2,2,FALSE),FALSE)/(VLOOKUP($A873,'[1]import graded seats course pivo'!$A:AQ,HLOOKUP('[1]Course Totals'!S$4,'[1]import graded seats course pivo'!$1:$2,2,FALSE),FALSE))),"")</f>
        <v/>
      </c>
      <c r="Z873" s="7"/>
      <c r="AA873" s="7"/>
      <c r="AB873" s="7"/>
      <c r="AC873" s="7"/>
    </row>
    <row r="874" spans="1:29" ht="15.75" customHeight="1" x14ac:dyDescent="0.25">
      <c r="A874" s="12" t="s">
        <v>415</v>
      </c>
      <c r="B874" s="14" t="str">
        <f>IFERROR((VLOOKUP($A874,'[1]import success seats course'!$A:P,HLOOKUP('[1]Course Totals'!B$4,'[1]import success seats course'!$1:$2,2,FALSE),FALSE)/(VLOOKUP($A874,'[1]import graded seats course pivo'!$A:Z,HLOOKUP('[1]Course Totals'!B$4,'[1]import graded seats course pivo'!$1:$2,2,FALSE),FALSE))),"")</f>
        <v/>
      </c>
      <c r="C874" s="14">
        <f>IFERROR((VLOOKUP($A874,'[1]import success seats course'!$A:Q,HLOOKUP('[1]Course Totals'!C$4,'[1]import success seats course'!$1:$2,2,FALSE),FALSE)/(VLOOKUP($A874,'[1]import graded seats course pivo'!$A:AA,HLOOKUP('[1]Course Totals'!C$4,'[1]import graded seats course pivo'!$1:$2,2,FALSE),FALSE))),"")</f>
        <v>0.94117647058823528</v>
      </c>
      <c r="D874" s="14">
        <f>IFERROR((VLOOKUP($A874,'[1]import success seats course'!$A:R,HLOOKUP('[1]Course Totals'!D$4,'[1]import success seats course'!$1:$2,2,FALSE),FALSE)/(VLOOKUP($A874,'[1]import graded seats course pivo'!$A:AB,HLOOKUP('[1]Course Totals'!D$4,'[1]import graded seats course pivo'!$1:$2,2,FALSE),FALSE))),"")</f>
        <v>1</v>
      </c>
      <c r="E874" s="14" t="str">
        <f>IFERROR((VLOOKUP($A874,'[1]import success seats course'!$A:S,HLOOKUP('[1]Course Totals'!E$4,'[1]import success seats course'!$1:$2,2,FALSE),FALSE)/(VLOOKUP($A874,'[1]import graded seats course pivo'!$A:AC,HLOOKUP('[1]Course Totals'!E$4,'[1]import graded seats course pivo'!$1:$2,2,FALSE),FALSE))),"")</f>
        <v/>
      </c>
      <c r="F874" s="14">
        <f>IFERROR((VLOOKUP($A874,'[1]import success seats course'!$A:T,HLOOKUP('[1]Course Totals'!F$4,'[1]import success seats course'!$1:$2,2,FALSE),FALSE)/(VLOOKUP($A874,'[1]import graded seats course pivo'!$A:AD,HLOOKUP('[1]Course Totals'!F$4,'[1]import graded seats course pivo'!$1:$2,2,FALSE),FALSE))),"")</f>
        <v>0.80952380952380953</v>
      </c>
      <c r="G874" s="14">
        <f>IFERROR((VLOOKUP($A874,'[1]import success seats course'!$A:U,HLOOKUP('[1]Course Totals'!G$4,'[1]import success seats course'!$1:$2,2,FALSE),FALSE)/(VLOOKUP($A874,'[1]import graded seats course pivo'!$A:AE,HLOOKUP('[1]Course Totals'!G$4,'[1]import graded seats course pivo'!$1:$2,2,FALSE),FALSE))),"")</f>
        <v>0.95454545454545459</v>
      </c>
      <c r="H874" s="14" t="str">
        <f>IFERROR((VLOOKUP($A874,'[1]import success seats course'!$A:V,HLOOKUP('[1]Course Totals'!H$4,'[1]import success seats course'!$1:$2,2,FALSE),FALSE)/(VLOOKUP($A874,'[1]import graded seats course pivo'!$A:AF,HLOOKUP('[1]Course Totals'!H$4,'[1]import graded seats course pivo'!$1:$2,2,FALSE),FALSE))),"")</f>
        <v/>
      </c>
      <c r="I874" s="14">
        <f>IFERROR((VLOOKUP($A874,'[1]import success seats course'!$A:W,HLOOKUP('[1]Course Totals'!I$4,'[1]import success seats course'!$1:$2,2,FALSE),FALSE)/(VLOOKUP($A874,'[1]import graded seats course pivo'!$A:AG,HLOOKUP('[1]Course Totals'!I$4,'[1]import graded seats course pivo'!$1:$2,2,FALSE),FALSE))),"")</f>
        <v>0.95833333333333337</v>
      </c>
      <c r="J874" s="14">
        <f>IFERROR((VLOOKUP($A874,'[1]import success seats course'!$A:X,HLOOKUP('[1]Course Totals'!J$4,'[1]import success seats course'!$1:$2,2,FALSE),FALSE)/(VLOOKUP($A874,'[1]import graded seats course pivo'!$A:AH,HLOOKUP('[1]Course Totals'!J$4,'[1]import graded seats course pivo'!$1:$2,2,FALSE),FALSE))),"")</f>
        <v>0.95238095238095233</v>
      </c>
      <c r="K874" s="14" t="str">
        <f>IFERROR((VLOOKUP($A874,'[1]import success seats course'!$A:Y,HLOOKUP('[1]Course Totals'!K$4,'[1]import success seats course'!$1:$2,2,FALSE),FALSE)/(VLOOKUP($A874,'[1]import graded seats course pivo'!$A:AI,HLOOKUP('[1]Course Totals'!K$4,'[1]import graded seats course pivo'!$1:$2,2,FALSE),FALSE))),"")</f>
        <v/>
      </c>
      <c r="L874" s="14">
        <f>IFERROR((VLOOKUP($A874,'[1]import success seats course'!$A:Z,HLOOKUP('[1]Course Totals'!L$4,'[1]import success seats course'!$1:$2,2,FALSE),FALSE)/(VLOOKUP($A874,'[1]import graded seats course pivo'!$A:AJ,HLOOKUP('[1]Course Totals'!L$4,'[1]import graded seats course pivo'!$1:$2,2,FALSE),FALSE))),"")</f>
        <v>0.9375</v>
      </c>
      <c r="M874" s="14">
        <f>IFERROR((VLOOKUP($A874,'[1]import success seats course'!$A:AA,HLOOKUP('[1]Course Totals'!M$4,'[1]import success seats course'!$1:$2,2,FALSE),FALSE)/(VLOOKUP($A874,'[1]import graded seats course pivo'!$A:AK,HLOOKUP('[1]Course Totals'!M$4,'[1]import graded seats course pivo'!$1:$2,2,FALSE),FALSE))),"")</f>
        <v>1</v>
      </c>
      <c r="N874" s="14" t="str">
        <f>IFERROR((VLOOKUP($A874,'[1]import success seats course'!$A:AB,HLOOKUP('[1]Course Totals'!N$4,'[1]import success seats course'!$1:$2,2,FALSE),FALSE)/(VLOOKUP($A874,'[1]import graded seats course pivo'!$A:AL,HLOOKUP('[1]Course Totals'!N$4,'[1]import graded seats course pivo'!$1:$2,2,FALSE),FALSE))),"")</f>
        <v/>
      </c>
      <c r="O874" s="14">
        <f>IFERROR((VLOOKUP($A874,'[1]import success seats course'!$A:AC,HLOOKUP('[1]Course Totals'!O$4,'[1]import success seats course'!$1:$2,2,FALSE),FALSE)/(VLOOKUP($A874,'[1]import graded seats course pivo'!$A:AM,HLOOKUP('[1]Course Totals'!O$4,'[1]import graded seats course pivo'!$1:$2,2,FALSE),FALSE))),"")</f>
        <v>1</v>
      </c>
      <c r="P874" s="14" t="str">
        <f>IFERROR((VLOOKUP($A874,'[1]import success seats course'!$A:AD,HLOOKUP('[1]Course Totals'!P$4,'[1]import success seats course'!$1:$2,2,FALSE),FALSE)/(VLOOKUP($A874,'[1]import graded seats course pivo'!$A:AN,HLOOKUP('[1]Course Totals'!P$4,'[1]import graded seats course pivo'!$1:$2,2,FALSE),FALSE))),"")</f>
        <v/>
      </c>
      <c r="Q874" s="14" t="str">
        <f>IFERROR((VLOOKUP($A874,'[1]import success seats course'!$A:AE,HLOOKUP('[1]Course Totals'!Q$4,'[1]import success seats course'!$1:$2,2,FALSE),FALSE)/(VLOOKUP($A874,'[1]import graded seats course pivo'!$A:AO,HLOOKUP('[1]Course Totals'!Q$4,'[1]import graded seats course pivo'!$1:$2,2,FALSE),FALSE))),"")</f>
        <v/>
      </c>
      <c r="R874" s="14" t="str">
        <f>IFERROR((VLOOKUP($A874,'[1]import success seats course'!$A:AF,HLOOKUP('[1]Course Totals'!R$4,'[1]import success seats course'!$1:$2,2,FALSE),FALSE)/(VLOOKUP($A874,'[1]import graded seats course pivo'!$A:AP,HLOOKUP('[1]Course Totals'!R$4,'[1]import graded seats course pivo'!$1:$2,2,FALSE),FALSE))),"")</f>
        <v/>
      </c>
      <c r="S874" s="14" t="str">
        <f>IFERROR((VLOOKUP($A874,'[1]import success seats course'!$A:AG,HLOOKUP('[1]Course Totals'!S$4,'[1]import success seats course'!$1:$2,2,FALSE),FALSE)/(VLOOKUP($A874,'[1]import graded seats course pivo'!$A:AQ,HLOOKUP('[1]Course Totals'!S$4,'[1]import graded seats course pivo'!$1:$2,2,FALSE),FALSE))),"")</f>
        <v/>
      </c>
      <c r="Z874" s="7"/>
      <c r="AA874" s="7"/>
      <c r="AB874" s="7"/>
      <c r="AC874" s="7"/>
    </row>
    <row r="875" spans="1:29" ht="15.75" customHeight="1" x14ac:dyDescent="0.25">
      <c r="A875" s="12" t="s">
        <v>416</v>
      </c>
      <c r="B875" s="14" t="str">
        <f>IFERROR((VLOOKUP($A875,'[1]import success seats course'!$A:P,HLOOKUP('[1]Course Totals'!B$4,'[1]import success seats course'!$1:$2,2,FALSE),FALSE)/(VLOOKUP($A875,'[1]import graded seats course pivo'!$A:Z,HLOOKUP('[1]Course Totals'!B$4,'[1]import graded seats course pivo'!$1:$2,2,FALSE),FALSE))),"")</f>
        <v/>
      </c>
      <c r="C875" s="14">
        <f>IFERROR((VLOOKUP($A875,'[1]import success seats course'!$A:Q,HLOOKUP('[1]Course Totals'!C$4,'[1]import success seats course'!$1:$2,2,FALSE),FALSE)/(VLOOKUP($A875,'[1]import graded seats course pivo'!$A:AA,HLOOKUP('[1]Course Totals'!C$4,'[1]import graded seats course pivo'!$1:$2,2,FALSE),FALSE))),"")</f>
        <v>0.81818181818181823</v>
      </c>
      <c r="D875" s="14">
        <f>IFERROR((VLOOKUP($A875,'[1]import success seats course'!$A:R,HLOOKUP('[1]Course Totals'!D$4,'[1]import success seats course'!$1:$2,2,FALSE),FALSE)/(VLOOKUP($A875,'[1]import graded seats course pivo'!$A:AB,HLOOKUP('[1]Course Totals'!D$4,'[1]import graded seats course pivo'!$1:$2,2,FALSE),FALSE))),"")</f>
        <v>0.875</v>
      </c>
      <c r="E875" s="14" t="str">
        <f>IFERROR((VLOOKUP($A875,'[1]import success seats course'!$A:S,HLOOKUP('[1]Course Totals'!E$4,'[1]import success seats course'!$1:$2,2,FALSE),FALSE)/(VLOOKUP($A875,'[1]import graded seats course pivo'!$A:AC,HLOOKUP('[1]Course Totals'!E$4,'[1]import graded seats course pivo'!$1:$2,2,FALSE),FALSE))),"")</f>
        <v/>
      </c>
      <c r="F875" s="14">
        <f>IFERROR((VLOOKUP($A875,'[1]import success seats course'!$A:T,HLOOKUP('[1]Course Totals'!F$4,'[1]import success seats course'!$1:$2,2,FALSE),FALSE)/(VLOOKUP($A875,'[1]import graded seats course pivo'!$A:AD,HLOOKUP('[1]Course Totals'!F$4,'[1]import graded seats course pivo'!$1:$2,2,FALSE),FALSE))),"")</f>
        <v>0.76190476190476186</v>
      </c>
      <c r="G875" s="14">
        <f>IFERROR((VLOOKUP($A875,'[1]import success seats course'!$A:U,HLOOKUP('[1]Course Totals'!G$4,'[1]import success seats course'!$1:$2,2,FALSE),FALSE)/(VLOOKUP($A875,'[1]import graded seats course pivo'!$A:AE,HLOOKUP('[1]Course Totals'!G$4,'[1]import graded seats course pivo'!$1:$2,2,FALSE),FALSE))),"")</f>
        <v>0.72222222222222221</v>
      </c>
      <c r="H875" s="14" t="str">
        <f>IFERROR((VLOOKUP($A875,'[1]import success seats course'!$A:V,HLOOKUP('[1]Course Totals'!H$4,'[1]import success seats course'!$1:$2,2,FALSE),FALSE)/(VLOOKUP($A875,'[1]import graded seats course pivo'!$A:AF,HLOOKUP('[1]Course Totals'!H$4,'[1]import graded seats course pivo'!$1:$2,2,FALSE),FALSE))),"")</f>
        <v/>
      </c>
      <c r="I875" s="14">
        <f>IFERROR((VLOOKUP($A875,'[1]import success seats course'!$A:W,HLOOKUP('[1]Course Totals'!I$4,'[1]import success seats course'!$1:$2,2,FALSE),FALSE)/(VLOOKUP($A875,'[1]import graded seats course pivo'!$A:AG,HLOOKUP('[1]Course Totals'!I$4,'[1]import graded seats course pivo'!$1:$2,2,FALSE),FALSE))),"")</f>
        <v>0.95454545454545459</v>
      </c>
      <c r="J875" s="14">
        <f>IFERROR((VLOOKUP($A875,'[1]import success seats course'!$A:X,HLOOKUP('[1]Course Totals'!J$4,'[1]import success seats course'!$1:$2,2,FALSE),FALSE)/(VLOOKUP($A875,'[1]import graded seats course pivo'!$A:AH,HLOOKUP('[1]Course Totals'!J$4,'[1]import graded seats course pivo'!$1:$2,2,FALSE),FALSE))),"")</f>
        <v>0.94736842105263153</v>
      </c>
      <c r="K875" s="14" t="str">
        <f>IFERROR((VLOOKUP($A875,'[1]import success seats course'!$A:Y,HLOOKUP('[1]Course Totals'!K$4,'[1]import success seats course'!$1:$2,2,FALSE),FALSE)/(VLOOKUP($A875,'[1]import graded seats course pivo'!$A:AI,HLOOKUP('[1]Course Totals'!K$4,'[1]import graded seats course pivo'!$1:$2,2,FALSE),FALSE))),"")</f>
        <v/>
      </c>
      <c r="L875" s="14">
        <f>IFERROR((VLOOKUP($A875,'[1]import success seats course'!$A:Z,HLOOKUP('[1]Course Totals'!L$4,'[1]import success seats course'!$1:$2,2,FALSE),FALSE)/(VLOOKUP($A875,'[1]import graded seats course pivo'!$A:AJ,HLOOKUP('[1]Course Totals'!L$4,'[1]import graded seats course pivo'!$1:$2,2,FALSE),FALSE))),"")</f>
        <v>0.94736842105263153</v>
      </c>
      <c r="M875" s="14">
        <f>IFERROR((VLOOKUP($A875,'[1]import success seats course'!$A:AA,HLOOKUP('[1]Course Totals'!M$4,'[1]import success seats course'!$1:$2,2,FALSE),FALSE)/(VLOOKUP($A875,'[1]import graded seats course pivo'!$A:AK,HLOOKUP('[1]Course Totals'!M$4,'[1]import graded seats course pivo'!$1:$2,2,FALSE),FALSE))),"")</f>
        <v>1</v>
      </c>
      <c r="N875" s="14" t="str">
        <f>IFERROR((VLOOKUP($A875,'[1]import success seats course'!$A:AB,HLOOKUP('[1]Course Totals'!N$4,'[1]import success seats course'!$1:$2,2,FALSE),FALSE)/(VLOOKUP($A875,'[1]import graded seats course pivo'!$A:AL,HLOOKUP('[1]Course Totals'!N$4,'[1]import graded seats course pivo'!$1:$2,2,FALSE),FALSE))),"")</f>
        <v/>
      </c>
      <c r="O875" s="14">
        <f>IFERROR((VLOOKUP($A875,'[1]import success seats course'!$A:AC,HLOOKUP('[1]Course Totals'!O$4,'[1]import success seats course'!$1:$2,2,FALSE),FALSE)/(VLOOKUP($A875,'[1]import graded seats course pivo'!$A:AM,HLOOKUP('[1]Course Totals'!O$4,'[1]import graded seats course pivo'!$1:$2,2,FALSE),FALSE))),"")</f>
        <v>1</v>
      </c>
      <c r="P875" s="14" t="str">
        <f>IFERROR((VLOOKUP($A875,'[1]import success seats course'!$A:AD,HLOOKUP('[1]Course Totals'!P$4,'[1]import success seats course'!$1:$2,2,FALSE),FALSE)/(VLOOKUP($A875,'[1]import graded seats course pivo'!$A:AN,HLOOKUP('[1]Course Totals'!P$4,'[1]import graded seats course pivo'!$1:$2,2,FALSE),FALSE))),"")</f>
        <v/>
      </c>
      <c r="Q875" s="14" t="str">
        <f>IFERROR((VLOOKUP($A875,'[1]import success seats course'!$A:AE,HLOOKUP('[1]Course Totals'!Q$4,'[1]import success seats course'!$1:$2,2,FALSE),FALSE)/(VLOOKUP($A875,'[1]import graded seats course pivo'!$A:AO,HLOOKUP('[1]Course Totals'!Q$4,'[1]import graded seats course pivo'!$1:$2,2,FALSE),FALSE))),"")</f>
        <v/>
      </c>
      <c r="R875" s="14" t="str">
        <f>IFERROR((VLOOKUP($A875,'[1]import success seats course'!$A:AF,HLOOKUP('[1]Course Totals'!R$4,'[1]import success seats course'!$1:$2,2,FALSE),FALSE)/(VLOOKUP($A875,'[1]import graded seats course pivo'!$A:AP,HLOOKUP('[1]Course Totals'!R$4,'[1]import graded seats course pivo'!$1:$2,2,FALSE),FALSE))),"")</f>
        <v/>
      </c>
      <c r="S875" s="14" t="str">
        <f>IFERROR((VLOOKUP($A875,'[1]import success seats course'!$A:AG,HLOOKUP('[1]Course Totals'!S$4,'[1]import success seats course'!$1:$2,2,FALSE),FALSE)/(VLOOKUP($A875,'[1]import graded seats course pivo'!$A:AQ,HLOOKUP('[1]Course Totals'!S$4,'[1]import graded seats course pivo'!$1:$2,2,FALSE),FALSE))),"")</f>
        <v/>
      </c>
      <c r="Z875" s="7"/>
      <c r="AA875" s="7"/>
      <c r="AB875" s="7"/>
      <c r="AC875" s="7"/>
    </row>
    <row r="876" spans="1:29" ht="15.75" customHeight="1" x14ac:dyDescent="0.25">
      <c r="A876" s="12" t="s">
        <v>417</v>
      </c>
      <c r="B876" s="14" t="str">
        <f>IFERROR((VLOOKUP($A876,'[1]import success seats course'!$A:P,HLOOKUP('[1]Course Totals'!B$4,'[1]import success seats course'!$1:$2,2,FALSE),FALSE)/(VLOOKUP($A876,'[1]import graded seats course pivo'!$A:Z,HLOOKUP('[1]Course Totals'!B$4,'[1]import graded seats course pivo'!$1:$2,2,FALSE),FALSE))),"")</f>
        <v/>
      </c>
      <c r="C876" s="14">
        <f>IFERROR((VLOOKUP($A876,'[1]import success seats course'!$A:Q,HLOOKUP('[1]Course Totals'!C$4,'[1]import success seats course'!$1:$2,2,FALSE),FALSE)/(VLOOKUP($A876,'[1]import graded seats course pivo'!$A:AA,HLOOKUP('[1]Course Totals'!C$4,'[1]import graded seats course pivo'!$1:$2,2,FALSE),FALSE))),"")</f>
        <v>0.81818181818181823</v>
      </c>
      <c r="D876" s="14">
        <f>IFERROR((VLOOKUP($A876,'[1]import success seats course'!$A:R,HLOOKUP('[1]Course Totals'!D$4,'[1]import success seats course'!$1:$2,2,FALSE),FALSE)/(VLOOKUP($A876,'[1]import graded seats course pivo'!$A:AB,HLOOKUP('[1]Course Totals'!D$4,'[1]import graded seats course pivo'!$1:$2,2,FALSE),FALSE))),"")</f>
        <v>0.95238095238095233</v>
      </c>
      <c r="E876" s="14" t="str">
        <f>IFERROR((VLOOKUP($A876,'[1]import success seats course'!$A:S,HLOOKUP('[1]Course Totals'!E$4,'[1]import success seats course'!$1:$2,2,FALSE),FALSE)/(VLOOKUP($A876,'[1]import graded seats course pivo'!$A:AC,HLOOKUP('[1]Course Totals'!E$4,'[1]import graded seats course pivo'!$1:$2,2,FALSE),FALSE))),"")</f>
        <v/>
      </c>
      <c r="F876" s="14">
        <f>IFERROR((VLOOKUP($A876,'[1]import success seats course'!$A:T,HLOOKUP('[1]Course Totals'!F$4,'[1]import success seats course'!$1:$2,2,FALSE),FALSE)/(VLOOKUP($A876,'[1]import graded seats course pivo'!$A:AD,HLOOKUP('[1]Course Totals'!F$4,'[1]import graded seats course pivo'!$1:$2,2,FALSE),FALSE))),"")</f>
        <v>1</v>
      </c>
      <c r="G876" s="14">
        <f>IFERROR((VLOOKUP($A876,'[1]import success seats course'!$A:U,HLOOKUP('[1]Course Totals'!G$4,'[1]import success seats course'!$1:$2,2,FALSE),FALSE)/(VLOOKUP($A876,'[1]import graded seats course pivo'!$A:AE,HLOOKUP('[1]Course Totals'!G$4,'[1]import graded seats course pivo'!$1:$2,2,FALSE),FALSE))),"")</f>
        <v>1</v>
      </c>
      <c r="H876" s="14" t="str">
        <f>IFERROR((VLOOKUP($A876,'[1]import success seats course'!$A:V,HLOOKUP('[1]Course Totals'!H$4,'[1]import success seats course'!$1:$2,2,FALSE),FALSE)/(VLOOKUP($A876,'[1]import graded seats course pivo'!$A:AF,HLOOKUP('[1]Course Totals'!H$4,'[1]import graded seats course pivo'!$1:$2,2,FALSE),FALSE))),"")</f>
        <v/>
      </c>
      <c r="I876" s="14">
        <f>IFERROR((VLOOKUP($A876,'[1]import success seats course'!$A:W,HLOOKUP('[1]Course Totals'!I$4,'[1]import success seats course'!$1:$2,2,FALSE),FALSE)/(VLOOKUP($A876,'[1]import graded seats course pivo'!$A:AG,HLOOKUP('[1]Course Totals'!I$4,'[1]import graded seats course pivo'!$1:$2,2,FALSE),FALSE))),"")</f>
        <v>1</v>
      </c>
      <c r="J876" s="14">
        <f>IFERROR((VLOOKUP($A876,'[1]import success seats course'!$A:X,HLOOKUP('[1]Course Totals'!J$4,'[1]import success seats course'!$1:$2,2,FALSE),FALSE)/(VLOOKUP($A876,'[1]import graded seats course pivo'!$A:AH,HLOOKUP('[1]Course Totals'!J$4,'[1]import graded seats course pivo'!$1:$2,2,FALSE),FALSE))),"")</f>
        <v>1</v>
      </c>
      <c r="K876" s="14" t="str">
        <f>IFERROR((VLOOKUP($A876,'[1]import success seats course'!$A:Y,HLOOKUP('[1]Course Totals'!K$4,'[1]import success seats course'!$1:$2,2,FALSE),FALSE)/(VLOOKUP($A876,'[1]import graded seats course pivo'!$A:AI,HLOOKUP('[1]Course Totals'!K$4,'[1]import graded seats course pivo'!$1:$2,2,FALSE),FALSE))),"")</f>
        <v/>
      </c>
      <c r="L876" s="14">
        <f>IFERROR((VLOOKUP($A876,'[1]import success seats course'!$A:Z,HLOOKUP('[1]Course Totals'!L$4,'[1]import success seats course'!$1:$2,2,FALSE),FALSE)/(VLOOKUP($A876,'[1]import graded seats course pivo'!$A:AJ,HLOOKUP('[1]Course Totals'!L$4,'[1]import graded seats course pivo'!$1:$2,2,FALSE),FALSE))),"")</f>
        <v>1</v>
      </c>
      <c r="M876" s="14">
        <f>IFERROR((VLOOKUP($A876,'[1]import success seats course'!$A:AA,HLOOKUP('[1]Course Totals'!M$4,'[1]import success seats course'!$1:$2,2,FALSE),FALSE)/(VLOOKUP($A876,'[1]import graded seats course pivo'!$A:AK,HLOOKUP('[1]Course Totals'!M$4,'[1]import graded seats course pivo'!$1:$2,2,FALSE),FALSE))),"")</f>
        <v>1</v>
      </c>
      <c r="N876" s="14" t="str">
        <f>IFERROR((VLOOKUP($A876,'[1]import success seats course'!$A:AB,HLOOKUP('[1]Course Totals'!N$4,'[1]import success seats course'!$1:$2,2,FALSE),FALSE)/(VLOOKUP($A876,'[1]import graded seats course pivo'!$A:AL,HLOOKUP('[1]Course Totals'!N$4,'[1]import graded seats course pivo'!$1:$2,2,FALSE),FALSE))),"")</f>
        <v/>
      </c>
      <c r="O876" s="14">
        <f>IFERROR((VLOOKUP($A876,'[1]import success seats course'!$A:AC,HLOOKUP('[1]Course Totals'!O$4,'[1]import success seats course'!$1:$2,2,FALSE),FALSE)/(VLOOKUP($A876,'[1]import graded seats course pivo'!$A:AM,HLOOKUP('[1]Course Totals'!O$4,'[1]import graded seats course pivo'!$1:$2,2,FALSE),FALSE))),"")</f>
        <v>0.95454545454545459</v>
      </c>
      <c r="P876" s="14">
        <f>IFERROR((VLOOKUP($A876,'[1]import success seats course'!$A:AD,HLOOKUP('[1]Course Totals'!P$4,'[1]import success seats course'!$1:$2,2,FALSE),FALSE)/(VLOOKUP($A876,'[1]import graded seats course pivo'!$A:AN,HLOOKUP('[1]Course Totals'!P$4,'[1]import graded seats course pivo'!$1:$2,2,FALSE),FALSE))),"")</f>
        <v>0.92</v>
      </c>
      <c r="Q876" s="14" t="str">
        <f>IFERROR((VLOOKUP($A876,'[1]import success seats course'!$A:AE,HLOOKUP('[1]Course Totals'!Q$4,'[1]import success seats course'!$1:$2,2,FALSE),FALSE)/(VLOOKUP($A876,'[1]import graded seats course pivo'!$A:AO,HLOOKUP('[1]Course Totals'!Q$4,'[1]import graded seats course pivo'!$1:$2,2,FALSE),FALSE))),"")</f>
        <v/>
      </c>
      <c r="R876" s="14">
        <f>IFERROR((VLOOKUP($A876,'[1]import success seats course'!$A:AF,HLOOKUP('[1]Course Totals'!R$4,'[1]import success seats course'!$1:$2,2,FALSE),FALSE)/(VLOOKUP($A876,'[1]import graded seats course pivo'!$A:AP,HLOOKUP('[1]Course Totals'!R$4,'[1]import graded seats course pivo'!$1:$2,2,FALSE),FALSE))),"")</f>
        <v>1</v>
      </c>
      <c r="S876" s="14">
        <f>IFERROR((VLOOKUP($A876,'[1]import success seats course'!$A:AG,HLOOKUP('[1]Course Totals'!S$4,'[1]import success seats course'!$1:$2,2,FALSE),FALSE)/(VLOOKUP($A876,'[1]import graded seats course pivo'!$A:AQ,HLOOKUP('[1]Course Totals'!S$4,'[1]import graded seats course pivo'!$1:$2,2,FALSE),FALSE))),"")</f>
        <v>1</v>
      </c>
      <c r="Z876" s="7"/>
      <c r="AA876" s="7"/>
      <c r="AB876" s="7"/>
      <c r="AC876" s="7"/>
    </row>
    <row r="877" spans="1:29" ht="15.75" customHeight="1" x14ac:dyDescent="0.25">
      <c r="A877" s="12" t="s">
        <v>418</v>
      </c>
      <c r="B877" s="14" t="str">
        <f>IFERROR((VLOOKUP($A877,'[1]import success seats course'!$A:P,HLOOKUP('[1]Course Totals'!B$4,'[1]import success seats course'!$1:$2,2,FALSE),FALSE)/(VLOOKUP($A877,'[1]import graded seats course pivo'!$A:Z,HLOOKUP('[1]Course Totals'!B$4,'[1]import graded seats course pivo'!$1:$2,2,FALSE),FALSE))),"")</f>
        <v/>
      </c>
      <c r="C877" s="14">
        <f>IFERROR((VLOOKUP($A877,'[1]import success seats course'!$A:Q,HLOOKUP('[1]Course Totals'!C$4,'[1]import success seats course'!$1:$2,2,FALSE),FALSE)/(VLOOKUP($A877,'[1]import graded seats course pivo'!$A:AA,HLOOKUP('[1]Course Totals'!C$4,'[1]import graded seats course pivo'!$1:$2,2,FALSE),FALSE))),"")</f>
        <v>1</v>
      </c>
      <c r="D877" s="14">
        <f>IFERROR((VLOOKUP($A877,'[1]import success seats course'!$A:R,HLOOKUP('[1]Course Totals'!D$4,'[1]import success seats course'!$1:$2,2,FALSE),FALSE)/(VLOOKUP($A877,'[1]import graded seats course pivo'!$A:AB,HLOOKUP('[1]Course Totals'!D$4,'[1]import graded seats course pivo'!$1:$2,2,FALSE),FALSE))),"")</f>
        <v>1</v>
      </c>
      <c r="E877" s="14" t="str">
        <f>IFERROR((VLOOKUP($A877,'[1]import success seats course'!$A:S,HLOOKUP('[1]Course Totals'!E$4,'[1]import success seats course'!$1:$2,2,FALSE),FALSE)/(VLOOKUP($A877,'[1]import graded seats course pivo'!$A:AC,HLOOKUP('[1]Course Totals'!E$4,'[1]import graded seats course pivo'!$1:$2,2,FALSE),FALSE))),"")</f>
        <v/>
      </c>
      <c r="F877" s="14">
        <f>IFERROR((VLOOKUP($A877,'[1]import success seats course'!$A:T,HLOOKUP('[1]Course Totals'!F$4,'[1]import success seats course'!$1:$2,2,FALSE),FALSE)/(VLOOKUP($A877,'[1]import graded seats course pivo'!$A:AD,HLOOKUP('[1]Course Totals'!F$4,'[1]import graded seats course pivo'!$1:$2,2,FALSE),FALSE))),"")</f>
        <v>1</v>
      </c>
      <c r="G877" s="14">
        <f>IFERROR((VLOOKUP($A877,'[1]import success seats course'!$A:U,HLOOKUP('[1]Course Totals'!G$4,'[1]import success seats course'!$1:$2,2,FALSE),FALSE)/(VLOOKUP($A877,'[1]import graded seats course pivo'!$A:AE,HLOOKUP('[1]Course Totals'!G$4,'[1]import graded seats course pivo'!$1:$2,2,FALSE),FALSE))),"")</f>
        <v>1</v>
      </c>
      <c r="H877" s="14" t="str">
        <f>IFERROR((VLOOKUP($A877,'[1]import success seats course'!$A:V,HLOOKUP('[1]Course Totals'!H$4,'[1]import success seats course'!$1:$2,2,FALSE),FALSE)/(VLOOKUP($A877,'[1]import graded seats course pivo'!$A:AF,HLOOKUP('[1]Course Totals'!H$4,'[1]import graded seats course pivo'!$1:$2,2,FALSE),FALSE))),"")</f>
        <v/>
      </c>
      <c r="I877" s="14">
        <f>IFERROR((VLOOKUP($A877,'[1]import success seats course'!$A:W,HLOOKUP('[1]Course Totals'!I$4,'[1]import success seats course'!$1:$2,2,FALSE),FALSE)/(VLOOKUP($A877,'[1]import graded seats course pivo'!$A:AG,HLOOKUP('[1]Course Totals'!I$4,'[1]import graded seats course pivo'!$1:$2,2,FALSE),FALSE))),"")</f>
        <v>1</v>
      </c>
      <c r="J877" s="14">
        <f>IFERROR((VLOOKUP($A877,'[1]import success seats course'!$A:X,HLOOKUP('[1]Course Totals'!J$4,'[1]import success seats course'!$1:$2,2,FALSE),FALSE)/(VLOOKUP($A877,'[1]import graded seats course pivo'!$A:AH,HLOOKUP('[1]Course Totals'!J$4,'[1]import graded seats course pivo'!$1:$2,2,FALSE),FALSE))),"")</f>
        <v>1</v>
      </c>
      <c r="K877" s="14" t="str">
        <f>IFERROR((VLOOKUP($A877,'[1]import success seats course'!$A:Y,HLOOKUP('[1]Course Totals'!K$4,'[1]import success seats course'!$1:$2,2,FALSE),FALSE)/(VLOOKUP($A877,'[1]import graded seats course pivo'!$A:AI,HLOOKUP('[1]Course Totals'!K$4,'[1]import graded seats course pivo'!$1:$2,2,FALSE),FALSE))),"")</f>
        <v/>
      </c>
      <c r="L877" s="14">
        <f>IFERROR((VLOOKUP($A877,'[1]import success seats course'!$A:Z,HLOOKUP('[1]Course Totals'!L$4,'[1]import success seats course'!$1:$2,2,FALSE),FALSE)/(VLOOKUP($A877,'[1]import graded seats course pivo'!$A:AJ,HLOOKUP('[1]Course Totals'!L$4,'[1]import graded seats course pivo'!$1:$2,2,FALSE),FALSE))),"")</f>
        <v>0.88888888888888884</v>
      </c>
      <c r="M877" s="14">
        <f>IFERROR((VLOOKUP($A877,'[1]import success seats course'!$A:AA,HLOOKUP('[1]Course Totals'!M$4,'[1]import success seats course'!$1:$2,2,FALSE),FALSE)/(VLOOKUP($A877,'[1]import graded seats course pivo'!$A:AK,HLOOKUP('[1]Course Totals'!M$4,'[1]import graded seats course pivo'!$1:$2,2,FALSE),FALSE))),"")</f>
        <v>1</v>
      </c>
      <c r="N877" s="14" t="str">
        <f>IFERROR((VLOOKUP($A877,'[1]import success seats course'!$A:AB,HLOOKUP('[1]Course Totals'!N$4,'[1]import success seats course'!$1:$2,2,FALSE),FALSE)/(VLOOKUP($A877,'[1]import graded seats course pivo'!$A:AL,HLOOKUP('[1]Course Totals'!N$4,'[1]import graded seats course pivo'!$1:$2,2,FALSE),FALSE))),"")</f>
        <v/>
      </c>
      <c r="O877" s="14">
        <f>IFERROR((VLOOKUP($A877,'[1]import success seats course'!$A:AC,HLOOKUP('[1]Course Totals'!O$4,'[1]import success seats course'!$1:$2,2,FALSE),FALSE)/(VLOOKUP($A877,'[1]import graded seats course pivo'!$A:AM,HLOOKUP('[1]Course Totals'!O$4,'[1]import graded seats course pivo'!$1:$2,2,FALSE),FALSE))),"")</f>
        <v>1</v>
      </c>
      <c r="P877" s="14">
        <f>IFERROR((VLOOKUP($A877,'[1]import success seats course'!$A:AD,HLOOKUP('[1]Course Totals'!P$4,'[1]import success seats course'!$1:$2,2,FALSE),FALSE)/(VLOOKUP($A877,'[1]import graded seats course pivo'!$A:AN,HLOOKUP('[1]Course Totals'!P$4,'[1]import graded seats course pivo'!$1:$2,2,FALSE),FALSE))),"")</f>
        <v>1</v>
      </c>
      <c r="Q877" s="14" t="str">
        <f>IFERROR((VLOOKUP($A877,'[1]import success seats course'!$A:AE,HLOOKUP('[1]Course Totals'!Q$4,'[1]import success seats course'!$1:$2,2,FALSE),FALSE)/(VLOOKUP($A877,'[1]import graded seats course pivo'!$A:AO,HLOOKUP('[1]Course Totals'!Q$4,'[1]import graded seats course pivo'!$1:$2,2,FALSE),FALSE))),"")</f>
        <v/>
      </c>
      <c r="R877" s="14" t="str">
        <f>IFERROR((VLOOKUP($A877,'[1]import success seats course'!$A:AF,HLOOKUP('[1]Course Totals'!R$4,'[1]import success seats course'!$1:$2,2,FALSE),FALSE)/(VLOOKUP($A877,'[1]import graded seats course pivo'!$A:AP,HLOOKUP('[1]Course Totals'!R$4,'[1]import graded seats course pivo'!$1:$2,2,FALSE),FALSE))),"")</f>
        <v/>
      </c>
      <c r="S877" s="14" t="str">
        <f>IFERROR((VLOOKUP($A877,'[1]import success seats course'!$A:AG,HLOOKUP('[1]Course Totals'!S$4,'[1]import success seats course'!$1:$2,2,FALSE),FALSE)/(VLOOKUP($A877,'[1]import graded seats course pivo'!$A:AQ,HLOOKUP('[1]Course Totals'!S$4,'[1]import graded seats course pivo'!$1:$2,2,FALSE),FALSE))),"")</f>
        <v/>
      </c>
      <c r="Z877" s="7"/>
      <c r="AA877" s="7"/>
      <c r="AB877" s="7"/>
      <c r="AC877" s="7"/>
    </row>
    <row r="878" spans="1:29" ht="15.75" customHeight="1" x14ac:dyDescent="0.25">
      <c r="A878" s="12" t="s">
        <v>419</v>
      </c>
      <c r="B878" s="14" t="str">
        <f>IFERROR((VLOOKUP($A878,'[1]import success seats course'!$A:P,HLOOKUP('[1]Course Totals'!B$4,'[1]import success seats course'!$1:$2,2,FALSE),FALSE)/(VLOOKUP($A878,'[1]import graded seats course pivo'!$A:Z,HLOOKUP('[1]Course Totals'!B$4,'[1]import graded seats course pivo'!$1:$2,2,FALSE),FALSE))),"")</f>
        <v/>
      </c>
      <c r="C878" s="14">
        <f>IFERROR((VLOOKUP($A878,'[1]import success seats course'!$A:Q,HLOOKUP('[1]Course Totals'!C$4,'[1]import success seats course'!$1:$2,2,FALSE),FALSE)/(VLOOKUP($A878,'[1]import graded seats course pivo'!$A:AA,HLOOKUP('[1]Course Totals'!C$4,'[1]import graded seats course pivo'!$1:$2,2,FALSE),FALSE))),"")</f>
        <v>0.81818181818181823</v>
      </c>
      <c r="D878" s="14">
        <f>IFERROR((VLOOKUP($A878,'[1]import success seats course'!$A:R,HLOOKUP('[1]Course Totals'!D$4,'[1]import success seats course'!$1:$2,2,FALSE),FALSE)/(VLOOKUP($A878,'[1]import graded seats course pivo'!$A:AB,HLOOKUP('[1]Course Totals'!D$4,'[1]import graded seats course pivo'!$1:$2,2,FALSE),FALSE))),"")</f>
        <v>0.95238095238095233</v>
      </c>
      <c r="E878" s="14" t="str">
        <f>IFERROR((VLOOKUP($A878,'[1]import success seats course'!$A:S,HLOOKUP('[1]Course Totals'!E$4,'[1]import success seats course'!$1:$2,2,FALSE),FALSE)/(VLOOKUP($A878,'[1]import graded seats course pivo'!$A:AC,HLOOKUP('[1]Course Totals'!E$4,'[1]import graded seats course pivo'!$1:$2,2,FALSE),FALSE))),"")</f>
        <v/>
      </c>
      <c r="F878" s="14">
        <f>IFERROR((VLOOKUP($A878,'[1]import success seats course'!$A:T,HLOOKUP('[1]Course Totals'!F$4,'[1]import success seats course'!$1:$2,2,FALSE),FALSE)/(VLOOKUP($A878,'[1]import graded seats course pivo'!$A:AD,HLOOKUP('[1]Course Totals'!F$4,'[1]import graded seats course pivo'!$1:$2,2,FALSE),FALSE))),"")</f>
        <v>1</v>
      </c>
      <c r="G878" s="14">
        <f>IFERROR((VLOOKUP($A878,'[1]import success seats course'!$A:U,HLOOKUP('[1]Course Totals'!G$4,'[1]import success seats course'!$1:$2,2,FALSE),FALSE)/(VLOOKUP($A878,'[1]import graded seats course pivo'!$A:AE,HLOOKUP('[1]Course Totals'!G$4,'[1]import graded seats course pivo'!$1:$2,2,FALSE),FALSE))),"")</f>
        <v>1</v>
      </c>
      <c r="H878" s="14" t="str">
        <f>IFERROR((VLOOKUP($A878,'[1]import success seats course'!$A:V,HLOOKUP('[1]Course Totals'!H$4,'[1]import success seats course'!$1:$2,2,FALSE),FALSE)/(VLOOKUP($A878,'[1]import graded seats course pivo'!$A:AF,HLOOKUP('[1]Course Totals'!H$4,'[1]import graded seats course pivo'!$1:$2,2,FALSE),FALSE))),"")</f>
        <v/>
      </c>
      <c r="I878" s="14">
        <f>IFERROR((VLOOKUP($A878,'[1]import success seats course'!$A:W,HLOOKUP('[1]Course Totals'!I$4,'[1]import success seats course'!$1:$2,2,FALSE),FALSE)/(VLOOKUP($A878,'[1]import graded seats course pivo'!$A:AG,HLOOKUP('[1]Course Totals'!I$4,'[1]import graded seats course pivo'!$1:$2,2,FALSE),FALSE))),"")</f>
        <v>1</v>
      </c>
      <c r="J878" s="14">
        <f>IFERROR((VLOOKUP($A878,'[1]import success seats course'!$A:X,HLOOKUP('[1]Course Totals'!J$4,'[1]import success seats course'!$1:$2,2,FALSE),FALSE)/(VLOOKUP($A878,'[1]import graded seats course pivo'!$A:AH,HLOOKUP('[1]Course Totals'!J$4,'[1]import graded seats course pivo'!$1:$2,2,FALSE),FALSE))),"")</f>
        <v>1</v>
      </c>
      <c r="K878" s="14" t="str">
        <f>IFERROR((VLOOKUP($A878,'[1]import success seats course'!$A:Y,HLOOKUP('[1]Course Totals'!K$4,'[1]import success seats course'!$1:$2,2,FALSE),FALSE)/(VLOOKUP($A878,'[1]import graded seats course pivo'!$A:AI,HLOOKUP('[1]Course Totals'!K$4,'[1]import graded seats course pivo'!$1:$2,2,FALSE),FALSE))),"")</f>
        <v/>
      </c>
      <c r="L878" s="14">
        <f>IFERROR((VLOOKUP($A878,'[1]import success seats course'!$A:Z,HLOOKUP('[1]Course Totals'!L$4,'[1]import success seats course'!$1:$2,2,FALSE),FALSE)/(VLOOKUP($A878,'[1]import graded seats course pivo'!$A:AJ,HLOOKUP('[1]Course Totals'!L$4,'[1]import graded seats course pivo'!$1:$2,2,FALSE),FALSE))),"")</f>
        <v>1</v>
      </c>
      <c r="M878" s="14">
        <f>IFERROR((VLOOKUP($A878,'[1]import success seats course'!$A:AA,HLOOKUP('[1]Course Totals'!M$4,'[1]import success seats course'!$1:$2,2,FALSE),FALSE)/(VLOOKUP($A878,'[1]import graded seats course pivo'!$A:AK,HLOOKUP('[1]Course Totals'!M$4,'[1]import graded seats course pivo'!$1:$2,2,FALSE),FALSE))),"")</f>
        <v>1</v>
      </c>
      <c r="N878" s="14" t="str">
        <f>IFERROR((VLOOKUP($A878,'[1]import success seats course'!$A:AB,HLOOKUP('[1]Course Totals'!N$4,'[1]import success seats course'!$1:$2,2,FALSE),FALSE)/(VLOOKUP($A878,'[1]import graded seats course pivo'!$A:AL,HLOOKUP('[1]Course Totals'!N$4,'[1]import graded seats course pivo'!$1:$2,2,FALSE),FALSE))),"")</f>
        <v/>
      </c>
      <c r="O878" s="14">
        <f>IFERROR((VLOOKUP($A878,'[1]import success seats course'!$A:AC,HLOOKUP('[1]Course Totals'!O$4,'[1]import success seats course'!$1:$2,2,FALSE),FALSE)/(VLOOKUP($A878,'[1]import graded seats course pivo'!$A:AM,HLOOKUP('[1]Course Totals'!O$4,'[1]import graded seats course pivo'!$1:$2,2,FALSE),FALSE))),"")</f>
        <v>0.95454545454545459</v>
      </c>
      <c r="P878" s="14">
        <f>IFERROR((VLOOKUP($A878,'[1]import success seats course'!$A:AD,HLOOKUP('[1]Course Totals'!P$4,'[1]import success seats course'!$1:$2,2,FALSE),FALSE)/(VLOOKUP($A878,'[1]import graded seats course pivo'!$A:AN,HLOOKUP('[1]Course Totals'!P$4,'[1]import graded seats course pivo'!$1:$2,2,FALSE),FALSE))),"")</f>
        <v>0.92307692307692313</v>
      </c>
      <c r="Q878" s="14" t="str">
        <f>IFERROR((VLOOKUP($A878,'[1]import success seats course'!$A:AE,HLOOKUP('[1]Course Totals'!Q$4,'[1]import success seats course'!$1:$2,2,FALSE),FALSE)/(VLOOKUP($A878,'[1]import graded seats course pivo'!$A:AO,HLOOKUP('[1]Course Totals'!Q$4,'[1]import graded seats course pivo'!$1:$2,2,FALSE),FALSE))),"")</f>
        <v/>
      </c>
      <c r="R878" s="14">
        <f>IFERROR((VLOOKUP($A878,'[1]import success seats course'!$A:AF,HLOOKUP('[1]Course Totals'!R$4,'[1]import success seats course'!$1:$2,2,FALSE),FALSE)/(VLOOKUP($A878,'[1]import graded seats course pivo'!$A:AP,HLOOKUP('[1]Course Totals'!R$4,'[1]import graded seats course pivo'!$1:$2,2,FALSE),FALSE))),"")</f>
        <v>1</v>
      </c>
      <c r="S878" s="14">
        <f>IFERROR((VLOOKUP($A878,'[1]import success seats course'!$A:AG,HLOOKUP('[1]Course Totals'!S$4,'[1]import success seats course'!$1:$2,2,FALSE),FALSE)/(VLOOKUP($A878,'[1]import graded seats course pivo'!$A:AQ,HLOOKUP('[1]Course Totals'!S$4,'[1]import graded seats course pivo'!$1:$2,2,FALSE),FALSE))),"")</f>
        <v>1</v>
      </c>
      <c r="Z878" s="7"/>
      <c r="AA878" s="7"/>
      <c r="AB878" s="7"/>
      <c r="AC878" s="7"/>
    </row>
    <row r="879" spans="1:29" ht="15.75" customHeight="1" x14ac:dyDescent="0.25">
      <c r="A879" s="12" t="s">
        <v>420</v>
      </c>
      <c r="B879" s="14" t="str">
        <f>IFERROR((VLOOKUP($A879,'[1]import success seats course'!$A:P,HLOOKUP('[1]Course Totals'!B$4,'[1]import success seats course'!$1:$2,2,FALSE),FALSE)/(VLOOKUP($A879,'[1]import graded seats course pivo'!$A:Z,HLOOKUP('[1]Course Totals'!B$4,'[1]import graded seats course pivo'!$1:$2,2,FALSE),FALSE))),"")</f>
        <v/>
      </c>
      <c r="C879" s="14">
        <f>IFERROR((VLOOKUP($A879,'[1]import success seats course'!$A:Q,HLOOKUP('[1]Course Totals'!C$4,'[1]import success seats course'!$1:$2,2,FALSE),FALSE)/(VLOOKUP($A879,'[1]import graded seats course pivo'!$A:AA,HLOOKUP('[1]Course Totals'!C$4,'[1]import graded seats course pivo'!$1:$2,2,FALSE),FALSE))),"")</f>
        <v>1</v>
      </c>
      <c r="D879" s="14">
        <f>IFERROR((VLOOKUP($A879,'[1]import success seats course'!$A:R,HLOOKUP('[1]Course Totals'!D$4,'[1]import success seats course'!$1:$2,2,FALSE),FALSE)/(VLOOKUP($A879,'[1]import graded seats course pivo'!$A:AB,HLOOKUP('[1]Course Totals'!D$4,'[1]import graded seats course pivo'!$1:$2,2,FALSE),FALSE))),"")</f>
        <v>1</v>
      </c>
      <c r="E879" s="14" t="str">
        <f>IFERROR((VLOOKUP($A879,'[1]import success seats course'!$A:S,HLOOKUP('[1]Course Totals'!E$4,'[1]import success seats course'!$1:$2,2,FALSE),FALSE)/(VLOOKUP($A879,'[1]import graded seats course pivo'!$A:AC,HLOOKUP('[1]Course Totals'!E$4,'[1]import graded seats course pivo'!$1:$2,2,FALSE),FALSE))),"")</f>
        <v/>
      </c>
      <c r="F879" s="14">
        <f>IFERROR((VLOOKUP($A879,'[1]import success seats course'!$A:T,HLOOKUP('[1]Course Totals'!F$4,'[1]import success seats course'!$1:$2,2,FALSE),FALSE)/(VLOOKUP($A879,'[1]import graded seats course pivo'!$A:AD,HLOOKUP('[1]Course Totals'!F$4,'[1]import graded seats course pivo'!$1:$2,2,FALSE),FALSE))),"")</f>
        <v>0.91666666666666663</v>
      </c>
      <c r="G879" s="14">
        <f>IFERROR((VLOOKUP($A879,'[1]import success seats course'!$A:U,HLOOKUP('[1]Course Totals'!G$4,'[1]import success seats course'!$1:$2,2,FALSE),FALSE)/(VLOOKUP($A879,'[1]import graded seats course pivo'!$A:AE,HLOOKUP('[1]Course Totals'!G$4,'[1]import graded seats course pivo'!$1:$2,2,FALSE),FALSE))),"")</f>
        <v>1</v>
      </c>
      <c r="H879" s="14" t="str">
        <f>IFERROR((VLOOKUP($A879,'[1]import success seats course'!$A:V,HLOOKUP('[1]Course Totals'!H$4,'[1]import success seats course'!$1:$2,2,FALSE),FALSE)/(VLOOKUP($A879,'[1]import graded seats course pivo'!$A:AF,HLOOKUP('[1]Course Totals'!H$4,'[1]import graded seats course pivo'!$1:$2,2,FALSE),FALSE))),"")</f>
        <v/>
      </c>
      <c r="I879" s="14">
        <f>IFERROR((VLOOKUP($A879,'[1]import success seats course'!$A:W,HLOOKUP('[1]Course Totals'!I$4,'[1]import success seats course'!$1:$2,2,FALSE),FALSE)/(VLOOKUP($A879,'[1]import graded seats course pivo'!$A:AG,HLOOKUP('[1]Course Totals'!I$4,'[1]import graded seats course pivo'!$1:$2,2,FALSE),FALSE))),"")</f>
        <v>1</v>
      </c>
      <c r="J879" s="14">
        <f>IFERROR((VLOOKUP($A879,'[1]import success seats course'!$A:X,HLOOKUP('[1]Course Totals'!J$4,'[1]import success seats course'!$1:$2,2,FALSE),FALSE)/(VLOOKUP($A879,'[1]import graded seats course pivo'!$A:AH,HLOOKUP('[1]Course Totals'!J$4,'[1]import graded seats course pivo'!$1:$2,2,FALSE),FALSE))),"")</f>
        <v>1</v>
      </c>
      <c r="K879" s="14" t="str">
        <f>IFERROR((VLOOKUP($A879,'[1]import success seats course'!$A:Y,HLOOKUP('[1]Course Totals'!K$4,'[1]import success seats course'!$1:$2,2,FALSE),FALSE)/(VLOOKUP($A879,'[1]import graded seats course pivo'!$A:AI,HLOOKUP('[1]Course Totals'!K$4,'[1]import graded seats course pivo'!$1:$2,2,FALSE),FALSE))),"")</f>
        <v/>
      </c>
      <c r="L879" s="14">
        <f>IFERROR((VLOOKUP($A879,'[1]import success seats course'!$A:Z,HLOOKUP('[1]Course Totals'!L$4,'[1]import success seats course'!$1:$2,2,FALSE),FALSE)/(VLOOKUP($A879,'[1]import graded seats course pivo'!$A:AJ,HLOOKUP('[1]Course Totals'!L$4,'[1]import graded seats course pivo'!$1:$2,2,FALSE),FALSE))),"")</f>
        <v>1</v>
      </c>
      <c r="M879" s="14">
        <f>IFERROR((VLOOKUP($A879,'[1]import success seats course'!$A:AA,HLOOKUP('[1]Course Totals'!M$4,'[1]import success seats course'!$1:$2,2,FALSE),FALSE)/(VLOOKUP($A879,'[1]import graded seats course pivo'!$A:AK,HLOOKUP('[1]Course Totals'!M$4,'[1]import graded seats course pivo'!$1:$2,2,FALSE),FALSE))),"")</f>
        <v>0.96969696969696972</v>
      </c>
      <c r="N879" s="14" t="str">
        <f>IFERROR((VLOOKUP($A879,'[1]import success seats course'!$A:AB,HLOOKUP('[1]Course Totals'!N$4,'[1]import success seats course'!$1:$2,2,FALSE),FALSE)/(VLOOKUP($A879,'[1]import graded seats course pivo'!$A:AL,HLOOKUP('[1]Course Totals'!N$4,'[1]import graded seats course pivo'!$1:$2,2,FALSE),FALSE))),"")</f>
        <v/>
      </c>
      <c r="O879" s="14">
        <f>IFERROR((VLOOKUP($A879,'[1]import success seats course'!$A:AC,HLOOKUP('[1]Course Totals'!O$4,'[1]import success seats course'!$1:$2,2,FALSE),FALSE)/(VLOOKUP($A879,'[1]import graded seats course pivo'!$A:AM,HLOOKUP('[1]Course Totals'!O$4,'[1]import graded seats course pivo'!$1:$2,2,FALSE),FALSE))),"")</f>
        <v>0.95833333333333337</v>
      </c>
      <c r="P879" s="14">
        <f>IFERROR((VLOOKUP($A879,'[1]import success seats course'!$A:AD,HLOOKUP('[1]Course Totals'!P$4,'[1]import success seats course'!$1:$2,2,FALSE),FALSE)/(VLOOKUP($A879,'[1]import graded seats course pivo'!$A:AN,HLOOKUP('[1]Course Totals'!P$4,'[1]import graded seats course pivo'!$1:$2,2,FALSE),FALSE))),"")</f>
        <v>1</v>
      </c>
      <c r="Q879" s="14" t="str">
        <f>IFERROR((VLOOKUP($A879,'[1]import success seats course'!$A:AE,HLOOKUP('[1]Course Totals'!Q$4,'[1]import success seats course'!$1:$2,2,FALSE),FALSE)/(VLOOKUP($A879,'[1]import graded seats course pivo'!$A:AO,HLOOKUP('[1]Course Totals'!Q$4,'[1]import graded seats course pivo'!$1:$2,2,FALSE),FALSE))),"")</f>
        <v/>
      </c>
      <c r="R879" s="14">
        <f>IFERROR((VLOOKUP($A879,'[1]import success seats course'!$A:AF,HLOOKUP('[1]Course Totals'!R$4,'[1]import success seats course'!$1:$2,2,FALSE),FALSE)/(VLOOKUP($A879,'[1]import graded seats course pivo'!$A:AP,HLOOKUP('[1]Course Totals'!R$4,'[1]import graded seats course pivo'!$1:$2,2,FALSE),FALSE))),"")</f>
        <v>1</v>
      </c>
      <c r="S879" s="14">
        <f>IFERROR((VLOOKUP($A879,'[1]import success seats course'!$A:AG,HLOOKUP('[1]Course Totals'!S$4,'[1]import success seats course'!$1:$2,2,FALSE),FALSE)/(VLOOKUP($A879,'[1]import graded seats course pivo'!$A:AQ,HLOOKUP('[1]Course Totals'!S$4,'[1]import graded seats course pivo'!$1:$2,2,FALSE),FALSE))),"")</f>
        <v>1</v>
      </c>
      <c r="Z879" s="7"/>
      <c r="AA879" s="7"/>
      <c r="AB879" s="7"/>
      <c r="AC879" s="7"/>
    </row>
    <row r="880" spans="1:29" ht="15.75" customHeight="1" x14ac:dyDescent="0.25">
      <c r="A880" s="12" t="s">
        <v>421</v>
      </c>
      <c r="B880" s="14" t="str">
        <f>IFERROR((VLOOKUP($A880,'[1]import success seats course'!$A:P,HLOOKUP('[1]Course Totals'!B$4,'[1]import success seats course'!$1:$2,2,FALSE),FALSE)/(VLOOKUP($A880,'[1]import graded seats course pivo'!$A:Z,HLOOKUP('[1]Course Totals'!B$4,'[1]import graded seats course pivo'!$1:$2,2,FALSE),FALSE))),"")</f>
        <v/>
      </c>
      <c r="C880" s="14">
        <f>IFERROR((VLOOKUP($A880,'[1]import success seats course'!$A:Q,HLOOKUP('[1]Course Totals'!C$4,'[1]import success seats course'!$1:$2,2,FALSE),FALSE)/(VLOOKUP($A880,'[1]import graded seats course pivo'!$A:AA,HLOOKUP('[1]Course Totals'!C$4,'[1]import graded seats course pivo'!$1:$2,2,FALSE),FALSE))),"")</f>
        <v>1</v>
      </c>
      <c r="D880" s="14" t="str">
        <f>IFERROR((VLOOKUP($A880,'[1]import success seats course'!$A:R,HLOOKUP('[1]Course Totals'!D$4,'[1]import success seats course'!$1:$2,2,FALSE),FALSE)/(VLOOKUP($A880,'[1]import graded seats course pivo'!$A:AB,HLOOKUP('[1]Course Totals'!D$4,'[1]import graded seats course pivo'!$1:$2,2,FALSE),FALSE))),"")</f>
        <v/>
      </c>
      <c r="E880" s="14" t="str">
        <f>IFERROR((VLOOKUP($A880,'[1]import success seats course'!$A:S,HLOOKUP('[1]Course Totals'!E$4,'[1]import success seats course'!$1:$2,2,FALSE),FALSE)/(VLOOKUP($A880,'[1]import graded seats course pivo'!$A:AC,HLOOKUP('[1]Course Totals'!E$4,'[1]import graded seats course pivo'!$1:$2,2,FALSE),FALSE))),"")</f>
        <v/>
      </c>
      <c r="F880" s="14" t="str">
        <f>IFERROR((VLOOKUP($A880,'[1]import success seats course'!$A:T,HLOOKUP('[1]Course Totals'!F$4,'[1]import success seats course'!$1:$2,2,FALSE),FALSE)/(VLOOKUP($A880,'[1]import graded seats course pivo'!$A:AD,HLOOKUP('[1]Course Totals'!F$4,'[1]import graded seats course pivo'!$1:$2,2,FALSE),FALSE))),"")</f>
        <v/>
      </c>
      <c r="G880" s="14" t="str">
        <f>IFERROR((VLOOKUP($A880,'[1]import success seats course'!$A:U,HLOOKUP('[1]Course Totals'!G$4,'[1]import success seats course'!$1:$2,2,FALSE),FALSE)/(VLOOKUP($A880,'[1]import graded seats course pivo'!$A:AE,HLOOKUP('[1]Course Totals'!G$4,'[1]import graded seats course pivo'!$1:$2,2,FALSE),FALSE))),"")</f>
        <v/>
      </c>
      <c r="H880" s="14" t="str">
        <f>IFERROR((VLOOKUP($A880,'[1]import success seats course'!$A:V,HLOOKUP('[1]Course Totals'!H$4,'[1]import success seats course'!$1:$2,2,FALSE),FALSE)/(VLOOKUP($A880,'[1]import graded seats course pivo'!$A:AF,HLOOKUP('[1]Course Totals'!H$4,'[1]import graded seats course pivo'!$1:$2,2,FALSE),FALSE))),"")</f>
        <v/>
      </c>
      <c r="I880" s="14" t="str">
        <f>IFERROR((VLOOKUP($A880,'[1]import success seats course'!$A:W,HLOOKUP('[1]Course Totals'!I$4,'[1]import success seats course'!$1:$2,2,FALSE),FALSE)/(VLOOKUP($A880,'[1]import graded seats course pivo'!$A:AG,HLOOKUP('[1]Course Totals'!I$4,'[1]import graded seats course pivo'!$1:$2,2,FALSE),FALSE))),"")</f>
        <v/>
      </c>
      <c r="J880" s="14" t="str">
        <f>IFERROR((VLOOKUP($A880,'[1]import success seats course'!$A:X,HLOOKUP('[1]Course Totals'!J$4,'[1]import success seats course'!$1:$2,2,FALSE),FALSE)/(VLOOKUP($A880,'[1]import graded seats course pivo'!$A:AH,HLOOKUP('[1]Course Totals'!J$4,'[1]import graded seats course pivo'!$1:$2,2,FALSE),FALSE))),"")</f>
        <v/>
      </c>
      <c r="K880" s="14" t="str">
        <f>IFERROR((VLOOKUP($A880,'[1]import success seats course'!$A:Y,HLOOKUP('[1]Course Totals'!K$4,'[1]import success seats course'!$1:$2,2,FALSE),FALSE)/(VLOOKUP($A880,'[1]import graded seats course pivo'!$A:AI,HLOOKUP('[1]Course Totals'!K$4,'[1]import graded seats course pivo'!$1:$2,2,FALSE),FALSE))),"")</f>
        <v/>
      </c>
      <c r="L880" s="14" t="str">
        <f>IFERROR((VLOOKUP($A880,'[1]import success seats course'!$A:Z,HLOOKUP('[1]Course Totals'!L$4,'[1]import success seats course'!$1:$2,2,FALSE),FALSE)/(VLOOKUP($A880,'[1]import graded seats course pivo'!$A:AJ,HLOOKUP('[1]Course Totals'!L$4,'[1]import graded seats course pivo'!$1:$2,2,FALSE),FALSE))),"")</f>
        <v/>
      </c>
      <c r="M880" s="14" t="str">
        <f>IFERROR((VLOOKUP($A880,'[1]import success seats course'!$A:AA,HLOOKUP('[1]Course Totals'!M$4,'[1]import success seats course'!$1:$2,2,FALSE),FALSE)/(VLOOKUP($A880,'[1]import graded seats course pivo'!$A:AK,HLOOKUP('[1]Course Totals'!M$4,'[1]import graded seats course pivo'!$1:$2,2,FALSE),FALSE))),"")</f>
        <v/>
      </c>
      <c r="N880" s="14" t="str">
        <f>IFERROR((VLOOKUP($A880,'[1]import success seats course'!$A:AB,HLOOKUP('[1]Course Totals'!N$4,'[1]import success seats course'!$1:$2,2,FALSE),FALSE)/(VLOOKUP($A880,'[1]import graded seats course pivo'!$A:AL,HLOOKUP('[1]Course Totals'!N$4,'[1]import graded seats course pivo'!$1:$2,2,FALSE),FALSE))),"")</f>
        <v/>
      </c>
      <c r="O880" s="14" t="str">
        <f>IFERROR((VLOOKUP($A880,'[1]import success seats course'!$A:AC,HLOOKUP('[1]Course Totals'!O$4,'[1]import success seats course'!$1:$2,2,FALSE),FALSE)/(VLOOKUP($A880,'[1]import graded seats course pivo'!$A:AM,HLOOKUP('[1]Course Totals'!O$4,'[1]import graded seats course pivo'!$1:$2,2,FALSE),FALSE))),"")</f>
        <v/>
      </c>
      <c r="P880" s="14" t="str">
        <f>IFERROR((VLOOKUP($A880,'[1]import success seats course'!$A:AD,HLOOKUP('[1]Course Totals'!P$4,'[1]import success seats course'!$1:$2,2,FALSE),FALSE)/(VLOOKUP($A880,'[1]import graded seats course pivo'!$A:AN,HLOOKUP('[1]Course Totals'!P$4,'[1]import graded seats course pivo'!$1:$2,2,FALSE),FALSE))),"")</f>
        <v/>
      </c>
      <c r="Q880" s="14" t="str">
        <f>IFERROR((VLOOKUP($A880,'[1]import success seats course'!$A:AE,HLOOKUP('[1]Course Totals'!Q$4,'[1]import success seats course'!$1:$2,2,FALSE),FALSE)/(VLOOKUP($A880,'[1]import graded seats course pivo'!$A:AO,HLOOKUP('[1]Course Totals'!Q$4,'[1]import graded seats course pivo'!$1:$2,2,FALSE),FALSE))),"")</f>
        <v/>
      </c>
      <c r="R880" s="14" t="str">
        <f>IFERROR((VLOOKUP($A880,'[1]import success seats course'!$A:AF,HLOOKUP('[1]Course Totals'!R$4,'[1]import success seats course'!$1:$2,2,FALSE),FALSE)/(VLOOKUP($A880,'[1]import graded seats course pivo'!$A:AP,HLOOKUP('[1]Course Totals'!R$4,'[1]import graded seats course pivo'!$1:$2,2,FALSE),FALSE))),"")</f>
        <v/>
      </c>
      <c r="S880" s="14" t="str">
        <f>IFERROR((VLOOKUP($A880,'[1]import success seats course'!$A:AG,HLOOKUP('[1]Course Totals'!S$4,'[1]import success seats course'!$1:$2,2,FALSE),FALSE)/(VLOOKUP($A880,'[1]import graded seats course pivo'!$A:AQ,HLOOKUP('[1]Course Totals'!S$4,'[1]import graded seats course pivo'!$1:$2,2,FALSE),FALSE))),"")</f>
        <v/>
      </c>
      <c r="Z880" s="7"/>
      <c r="AA880" s="7"/>
      <c r="AB880" s="7"/>
      <c r="AC880" s="7"/>
    </row>
    <row r="881" spans="1:29" ht="15.75" customHeight="1" x14ac:dyDescent="0.25">
      <c r="A881" s="12" t="s">
        <v>422</v>
      </c>
      <c r="B881" s="14" t="str">
        <f>IFERROR((VLOOKUP($A881,'[1]import success seats course'!$A:P,HLOOKUP('[1]Course Totals'!B$4,'[1]import success seats course'!$1:$2,2,FALSE),FALSE)/(VLOOKUP($A881,'[1]import graded seats course pivo'!$A:Z,HLOOKUP('[1]Course Totals'!B$4,'[1]import graded seats course pivo'!$1:$2,2,FALSE),FALSE))),"")</f>
        <v/>
      </c>
      <c r="C881" s="14">
        <f>IFERROR((VLOOKUP($A881,'[1]import success seats course'!$A:Q,HLOOKUP('[1]Course Totals'!C$4,'[1]import success seats course'!$1:$2,2,FALSE),FALSE)/(VLOOKUP($A881,'[1]import graded seats course pivo'!$A:AA,HLOOKUP('[1]Course Totals'!C$4,'[1]import graded seats course pivo'!$1:$2,2,FALSE),FALSE))),"")</f>
        <v>1</v>
      </c>
      <c r="D881" s="14" t="str">
        <f>IFERROR((VLOOKUP($A881,'[1]import success seats course'!$A:R,HLOOKUP('[1]Course Totals'!D$4,'[1]import success seats course'!$1:$2,2,FALSE),FALSE)/(VLOOKUP($A881,'[1]import graded seats course pivo'!$A:AB,HLOOKUP('[1]Course Totals'!D$4,'[1]import graded seats course pivo'!$1:$2,2,FALSE),FALSE))),"")</f>
        <v/>
      </c>
      <c r="E881" s="14" t="str">
        <f>IFERROR((VLOOKUP($A881,'[1]import success seats course'!$A:S,HLOOKUP('[1]Course Totals'!E$4,'[1]import success seats course'!$1:$2,2,FALSE),FALSE)/(VLOOKUP($A881,'[1]import graded seats course pivo'!$A:AC,HLOOKUP('[1]Course Totals'!E$4,'[1]import graded seats course pivo'!$1:$2,2,FALSE),FALSE))),"")</f>
        <v/>
      </c>
      <c r="F881" s="14" t="str">
        <f>IFERROR((VLOOKUP($A881,'[1]import success seats course'!$A:T,HLOOKUP('[1]Course Totals'!F$4,'[1]import success seats course'!$1:$2,2,FALSE),FALSE)/(VLOOKUP($A881,'[1]import graded seats course pivo'!$A:AD,HLOOKUP('[1]Course Totals'!F$4,'[1]import graded seats course pivo'!$1:$2,2,FALSE),FALSE))),"")</f>
        <v/>
      </c>
      <c r="G881" s="14" t="str">
        <f>IFERROR((VLOOKUP($A881,'[1]import success seats course'!$A:U,HLOOKUP('[1]Course Totals'!G$4,'[1]import success seats course'!$1:$2,2,FALSE),FALSE)/(VLOOKUP($A881,'[1]import graded seats course pivo'!$A:AE,HLOOKUP('[1]Course Totals'!G$4,'[1]import graded seats course pivo'!$1:$2,2,FALSE),FALSE))),"")</f>
        <v/>
      </c>
      <c r="H881" s="14" t="str">
        <f>IFERROR((VLOOKUP($A881,'[1]import success seats course'!$A:V,HLOOKUP('[1]Course Totals'!H$4,'[1]import success seats course'!$1:$2,2,FALSE),FALSE)/(VLOOKUP($A881,'[1]import graded seats course pivo'!$A:AF,HLOOKUP('[1]Course Totals'!H$4,'[1]import graded seats course pivo'!$1:$2,2,FALSE),FALSE))),"")</f>
        <v/>
      </c>
      <c r="I881" s="14" t="str">
        <f>IFERROR((VLOOKUP($A881,'[1]import success seats course'!$A:W,HLOOKUP('[1]Course Totals'!I$4,'[1]import success seats course'!$1:$2,2,FALSE),FALSE)/(VLOOKUP($A881,'[1]import graded seats course pivo'!$A:AG,HLOOKUP('[1]Course Totals'!I$4,'[1]import graded seats course pivo'!$1:$2,2,FALSE),FALSE))),"")</f>
        <v/>
      </c>
      <c r="J881" s="14" t="str">
        <f>IFERROR((VLOOKUP($A881,'[1]import success seats course'!$A:X,HLOOKUP('[1]Course Totals'!J$4,'[1]import success seats course'!$1:$2,2,FALSE),FALSE)/(VLOOKUP($A881,'[1]import graded seats course pivo'!$A:AH,HLOOKUP('[1]Course Totals'!J$4,'[1]import graded seats course pivo'!$1:$2,2,FALSE),FALSE))),"")</f>
        <v/>
      </c>
      <c r="K881" s="14" t="str">
        <f>IFERROR((VLOOKUP($A881,'[1]import success seats course'!$A:Y,HLOOKUP('[1]Course Totals'!K$4,'[1]import success seats course'!$1:$2,2,FALSE),FALSE)/(VLOOKUP($A881,'[1]import graded seats course pivo'!$A:AI,HLOOKUP('[1]Course Totals'!K$4,'[1]import graded seats course pivo'!$1:$2,2,FALSE),FALSE))),"")</f>
        <v/>
      </c>
      <c r="L881" s="14" t="str">
        <f>IFERROR((VLOOKUP($A881,'[1]import success seats course'!$A:Z,HLOOKUP('[1]Course Totals'!L$4,'[1]import success seats course'!$1:$2,2,FALSE),FALSE)/(VLOOKUP($A881,'[1]import graded seats course pivo'!$A:AJ,HLOOKUP('[1]Course Totals'!L$4,'[1]import graded seats course pivo'!$1:$2,2,FALSE),FALSE))),"")</f>
        <v/>
      </c>
      <c r="M881" s="14" t="str">
        <f>IFERROR((VLOOKUP($A881,'[1]import success seats course'!$A:AA,HLOOKUP('[1]Course Totals'!M$4,'[1]import success seats course'!$1:$2,2,FALSE),FALSE)/(VLOOKUP($A881,'[1]import graded seats course pivo'!$A:AK,HLOOKUP('[1]Course Totals'!M$4,'[1]import graded seats course pivo'!$1:$2,2,FALSE),FALSE))),"")</f>
        <v/>
      </c>
      <c r="N881" s="14" t="str">
        <f>IFERROR((VLOOKUP($A881,'[1]import success seats course'!$A:AB,HLOOKUP('[1]Course Totals'!N$4,'[1]import success seats course'!$1:$2,2,FALSE),FALSE)/(VLOOKUP($A881,'[1]import graded seats course pivo'!$A:AL,HLOOKUP('[1]Course Totals'!N$4,'[1]import graded seats course pivo'!$1:$2,2,FALSE),FALSE))),"")</f>
        <v/>
      </c>
      <c r="O881" s="14" t="str">
        <f>IFERROR((VLOOKUP($A881,'[1]import success seats course'!$A:AC,HLOOKUP('[1]Course Totals'!O$4,'[1]import success seats course'!$1:$2,2,FALSE),FALSE)/(VLOOKUP($A881,'[1]import graded seats course pivo'!$A:AM,HLOOKUP('[1]Course Totals'!O$4,'[1]import graded seats course pivo'!$1:$2,2,FALSE),FALSE))),"")</f>
        <v/>
      </c>
      <c r="P881" s="14" t="str">
        <f>IFERROR((VLOOKUP($A881,'[1]import success seats course'!$A:AD,HLOOKUP('[1]Course Totals'!P$4,'[1]import success seats course'!$1:$2,2,FALSE),FALSE)/(VLOOKUP($A881,'[1]import graded seats course pivo'!$A:AN,HLOOKUP('[1]Course Totals'!P$4,'[1]import graded seats course pivo'!$1:$2,2,FALSE),FALSE))),"")</f>
        <v/>
      </c>
      <c r="Q881" s="14" t="str">
        <f>IFERROR((VLOOKUP($A881,'[1]import success seats course'!$A:AE,HLOOKUP('[1]Course Totals'!Q$4,'[1]import success seats course'!$1:$2,2,FALSE),FALSE)/(VLOOKUP($A881,'[1]import graded seats course pivo'!$A:AO,HLOOKUP('[1]Course Totals'!Q$4,'[1]import graded seats course pivo'!$1:$2,2,FALSE),FALSE))),"")</f>
        <v/>
      </c>
      <c r="R881" s="14" t="str">
        <f>IFERROR((VLOOKUP($A881,'[1]import success seats course'!$A:AF,HLOOKUP('[1]Course Totals'!R$4,'[1]import success seats course'!$1:$2,2,FALSE),FALSE)/(VLOOKUP($A881,'[1]import graded seats course pivo'!$A:AP,HLOOKUP('[1]Course Totals'!R$4,'[1]import graded seats course pivo'!$1:$2,2,FALSE),FALSE))),"")</f>
        <v/>
      </c>
      <c r="S881" s="14" t="str">
        <f>IFERROR((VLOOKUP($A881,'[1]import success seats course'!$A:AG,HLOOKUP('[1]Course Totals'!S$4,'[1]import success seats course'!$1:$2,2,FALSE),FALSE)/(VLOOKUP($A881,'[1]import graded seats course pivo'!$A:AQ,HLOOKUP('[1]Course Totals'!S$4,'[1]import graded seats course pivo'!$1:$2,2,FALSE),FALSE))),"")</f>
        <v/>
      </c>
      <c r="Z881" s="7"/>
      <c r="AA881" s="7"/>
      <c r="AB881" s="7"/>
      <c r="AC881" s="7"/>
    </row>
    <row r="882" spans="1:29" ht="15.75" customHeight="1" x14ac:dyDescent="0.25">
      <c r="A882" s="12" t="s">
        <v>648</v>
      </c>
      <c r="B882" s="14" t="str">
        <f>IFERROR((VLOOKUP($A882,'[1]import success seats course'!$A:P,HLOOKUP('[1]Course Totals'!B$4,'[1]import success seats course'!$1:$2,2,FALSE),FALSE)/(VLOOKUP($A882,'[1]import graded seats course pivo'!$A:Z,HLOOKUP('[1]Course Totals'!B$4,'[1]import graded seats course pivo'!$1:$2,2,FALSE),FALSE))),"")</f>
        <v/>
      </c>
      <c r="C882" s="14" t="str">
        <f>IFERROR((VLOOKUP($A882,'[1]import success seats course'!$A:Q,HLOOKUP('[1]Course Totals'!C$4,'[1]import success seats course'!$1:$2,2,FALSE),FALSE)/(VLOOKUP($A882,'[1]import graded seats course pivo'!$A:AA,HLOOKUP('[1]Course Totals'!C$4,'[1]import graded seats course pivo'!$1:$2,2,FALSE),FALSE))),"")</f>
        <v/>
      </c>
      <c r="D882" s="14">
        <f>IFERROR((VLOOKUP($A882,'[1]import success seats course'!$A:R,HLOOKUP('[1]Course Totals'!D$4,'[1]import success seats course'!$1:$2,2,FALSE),FALSE)/(VLOOKUP($A882,'[1]import graded seats course pivo'!$A:AB,HLOOKUP('[1]Course Totals'!D$4,'[1]import graded seats course pivo'!$1:$2,2,FALSE),FALSE))),"")</f>
        <v>1</v>
      </c>
      <c r="E882" s="14" t="str">
        <f>IFERROR((VLOOKUP($A882,'[1]import success seats course'!$A:S,HLOOKUP('[1]Course Totals'!E$4,'[1]import success seats course'!$1:$2,2,FALSE),FALSE)/(VLOOKUP($A882,'[1]import graded seats course pivo'!$A:AC,HLOOKUP('[1]Course Totals'!E$4,'[1]import graded seats course pivo'!$1:$2,2,FALSE),FALSE))),"")</f>
        <v/>
      </c>
      <c r="F882" s="14">
        <f>IFERROR((VLOOKUP($A882,'[1]import success seats course'!$A:T,HLOOKUP('[1]Course Totals'!F$4,'[1]import success seats course'!$1:$2,2,FALSE),FALSE)/(VLOOKUP($A882,'[1]import graded seats course pivo'!$A:AD,HLOOKUP('[1]Course Totals'!F$4,'[1]import graded seats course pivo'!$1:$2,2,FALSE),FALSE))),"")</f>
        <v>1</v>
      </c>
      <c r="G882" s="14">
        <f>IFERROR((VLOOKUP($A882,'[1]import success seats course'!$A:U,HLOOKUP('[1]Course Totals'!G$4,'[1]import success seats course'!$1:$2,2,FALSE),FALSE)/(VLOOKUP($A882,'[1]import graded seats course pivo'!$A:AE,HLOOKUP('[1]Course Totals'!G$4,'[1]import graded seats course pivo'!$1:$2,2,FALSE),FALSE))),"")</f>
        <v>1</v>
      </c>
      <c r="H882" s="14" t="str">
        <f>IFERROR((VLOOKUP($A882,'[1]import success seats course'!$A:V,HLOOKUP('[1]Course Totals'!H$4,'[1]import success seats course'!$1:$2,2,FALSE),FALSE)/(VLOOKUP($A882,'[1]import graded seats course pivo'!$A:AF,HLOOKUP('[1]Course Totals'!H$4,'[1]import graded seats course pivo'!$1:$2,2,FALSE),FALSE))),"")</f>
        <v/>
      </c>
      <c r="I882" s="14">
        <f>IFERROR((VLOOKUP($A882,'[1]import success seats course'!$A:W,HLOOKUP('[1]Course Totals'!I$4,'[1]import success seats course'!$1:$2,2,FALSE),FALSE)/(VLOOKUP($A882,'[1]import graded seats course pivo'!$A:AG,HLOOKUP('[1]Course Totals'!I$4,'[1]import graded seats course pivo'!$1:$2,2,FALSE),FALSE))),"")</f>
        <v>1</v>
      </c>
      <c r="J882" s="14">
        <f>IFERROR((VLOOKUP($A882,'[1]import success seats course'!$A:X,HLOOKUP('[1]Course Totals'!J$4,'[1]import success seats course'!$1:$2,2,FALSE),FALSE)/(VLOOKUP($A882,'[1]import graded seats course pivo'!$A:AH,HLOOKUP('[1]Course Totals'!J$4,'[1]import graded seats course pivo'!$1:$2,2,FALSE),FALSE))),"")</f>
        <v>1</v>
      </c>
      <c r="K882" s="14" t="str">
        <f>IFERROR((VLOOKUP($A882,'[1]import success seats course'!$A:Y,HLOOKUP('[1]Course Totals'!K$4,'[1]import success seats course'!$1:$2,2,FALSE),FALSE)/(VLOOKUP($A882,'[1]import graded seats course pivo'!$A:AI,HLOOKUP('[1]Course Totals'!K$4,'[1]import graded seats course pivo'!$1:$2,2,FALSE),FALSE))),"")</f>
        <v/>
      </c>
      <c r="L882" s="14">
        <f>IFERROR((VLOOKUP($A882,'[1]import success seats course'!$A:Z,HLOOKUP('[1]Course Totals'!L$4,'[1]import success seats course'!$1:$2,2,FALSE),FALSE)/(VLOOKUP($A882,'[1]import graded seats course pivo'!$A:AJ,HLOOKUP('[1]Course Totals'!L$4,'[1]import graded seats course pivo'!$1:$2,2,FALSE),FALSE))),"")</f>
        <v>1</v>
      </c>
      <c r="M882" s="14">
        <f>IFERROR((VLOOKUP($A882,'[1]import success seats course'!$A:AA,HLOOKUP('[1]Course Totals'!M$4,'[1]import success seats course'!$1:$2,2,FALSE),FALSE)/(VLOOKUP($A882,'[1]import graded seats course pivo'!$A:AK,HLOOKUP('[1]Course Totals'!M$4,'[1]import graded seats course pivo'!$1:$2,2,FALSE),FALSE))),"")</f>
        <v>1</v>
      </c>
      <c r="N882" s="14" t="str">
        <f>IFERROR((VLOOKUP($A882,'[1]import success seats course'!$A:AB,HLOOKUP('[1]Course Totals'!N$4,'[1]import success seats course'!$1:$2,2,FALSE),FALSE)/(VLOOKUP($A882,'[1]import graded seats course pivo'!$A:AL,HLOOKUP('[1]Course Totals'!N$4,'[1]import graded seats course pivo'!$1:$2,2,FALSE),FALSE))),"")</f>
        <v/>
      </c>
      <c r="O882" s="14">
        <f>IFERROR((VLOOKUP($A882,'[1]import success seats course'!$A:AC,HLOOKUP('[1]Course Totals'!O$4,'[1]import success seats course'!$1:$2,2,FALSE),FALSE)/(VLOOKUP($A882,'[1]import graded seats course pivo'!$A:AM,HLOOKUP('[1]Course Totals'!O$4,'[1]import graded seats course pivo'!$1:$2,2,FALSE),FALSE))),"")</f>
        <v>1</v>
      </c>
      <c r="P882" s="14">
        <f>IFERROR((VLOOKUP($A882,'[1]import success seats course'!$A:AD,HLOOKUP('[1]Course Totals'!P$4,'[1]import success seats course'!$1:$2,2,FALSE),FALSE)/(VLOOKUP($A882,'[1]import graded seats course pivo'!$A:AN,HLOOKUP('[1]Course Totals'!P$4,'[1]import graded seats course pivo'!$1:$2,2,FALSE),FALSE))),"")</f>
        <v>1</v>
      </c>
      <c r="Q882" s="14" t="str">
        <f>IFERROR((VLOOKUP($A882,'[1]import success seats course'!$A:AE,HLOOKUP('[1]Course Totals'!Q$4,'[1]import success seats course'!$1:$2,2,FALSE),FALSE)/(VLOOKUP($A882,'[1]import graded seats course pivo'!$A:AO,HLOOKUP('[1]Course Totals'!Q$4,'[1]import graded seats course pivo'!$1:$2,2,FALSE),FALSE))),"")</f>
        <v/>
      </c>
      <c r="R882" s="14">
        <f>IFERROR((VLOOKUP($A882,'[1]import success seats course'!$A:AF,HLOOKUP('[1]Course Totals'!R$4,'[1]import success seats course'!$1:$2,2,FALSE),FALSE)/(VLOOKUP($A882,'[1]import graded seats course pivo'!$A:AP,HLOOKUP('[1]Course Totals'!R$4,'[1]import graded seats course pivo'!$1:$2,2,FALSE),FALSE))),"")</f>
        <v>1</v>
      </c>
      <c r="S882" s="14">
        <f>IFERROR((VLOOKUP($A882,'[1]import success seats course'!$A:AG,HLOOKUP('[1]Course Totals'!S$4,'[1]import success seats course'!$1:$2,2,FALSE),FALSE)/(VLOOKUP($A882,'[1]import graded seats course pivo'!$A:AQ,HLOOKUP('[1]Course Totals'!S$4,'[1]import graded seats course pivo'!$1:$2,2,FALSE),FALSE))),"")</f>
        <v>1</v>
      </c>
      <c r="Z882" s="7"/>
      <c r="AA882" s="7"/>
      <c r="AB882" s="7"/>
      <c r="AC882" s="7"/>
    </row>
    <row r="883" spans="1:29" ht="15.75" customHeight="1" x14ac:dyDescent="0.25">
      <c r="A883" s="12" t="s">
        <v>649</v>
      </c>
      <c r="B883" s="14" t="str">
        <f>IFERROR((VLOOKUP($A883,'[1]import success seats course'!$A:P,HLOOKUP('[1]Course Totals'!B$4,'[1]import success seats course'!$1:$2,2,FALSE),FALSE)/(VLOOKUP($A883,'[1]import graded seats course pivo'!$A:Z,HLOOKUP('[1]Course Totals'!B$4,'[1]import graded seats course pivo'!$1:$2,2,FALSE),FALSE))),"")</f>
        <v/>
      </c>
      <c r="C883" s="14" t="str">
        <f>IFERROR((VLOOKUP($A883,'[1]import success seats course'!$A:Q,HLOOKUP('[1]Course Totals'!C$4,'[1]import success seats course'!$1:$2,2,FALSE),FALSE)/(VLOOKUP($A883,'[1]import graded seats course pivo'!$A:AA,HLOOKUP('[1]Course Totals'!C$4,'[1]import graded seats course pivo'!$1:$2,2,FALSE),FALSE))),"")</f>
        <v/>
      </c>
      <c r="D883" s="14">
        <f>IFERROR((VLOOKUP($A883,'[1]import success seats course'!$A:R,HLOOKUP('[1]Course Totals'!D$4,'[1]import success seats course'!$1:$2,2,FALSE),FALSE)/(VLOOKUP($A883,'[1]import graded seats course pivo'!$A:AB,HLOOKUP('[1]Course Totals'!D$4,'[1]import graded seats course pivo'!$1:$2,2,FALSE),FALSE))),"")</f>
        <v>1</v>
      </c>
      <c r="E883" s="14" t="str">
        <f>IFERROR((VLOOKUP($A883,'[1]import success seats course'!$A:S,HLOOKUP('[1]Course Totals'!E$4,'[1]import success seats course'!$1:$2,2,FALSE),FALSE)/(VLOOKUP($A883,'[1]import graded seats course pivo'!$A:AC,HLOOKUP('[1]Course Totals'!E$4,'[1]import graded seats course pivo'!$1:$2,2,FALSE),FALSE))),"")</f>
        <v/>
      </c>
      <c r="F883" s="14">
        <f>IFERROR((VLOOKUP($A883,'[1]import success seats course'!$A:T,HLOOKUP('[1]Course Totals'!F$4,'[1]import success seats course'!$1:$2,2,FALSE),FALSE)/(VLOOKUP($A883,'[1]import graded seats course pivo'!$A:AD,HLOOKUP('[1]Course Totals'!F$4,'[1]import graded seats course pivo'!$1:$2,2,FALSE),FALSE))),"")</f>
        <v>0.97499999999999998</v>
      </c>
      <c r="G883" s="14">
        <f>IFERROR((VLOOKUP($A883,'[1]import success seats course'!$A:U,HLOOKUP('[1]Course Totals'!G$4,'[1]import success seats course'!$1:$2,2,FALSE),FALSE)/(VLOOKUP($A883,'[1]import graded seats course pivo'!$A:AE,HLOOKUP('[1]Course Totals'!G$4,'[1]import graded seats course pivo'!$1:$2,2,FALSE),FALSE))),"")</f>
        <v>1</v>
      </c>
      <c r="H883" s="14" t="str">
        <f>IFERROR((VLOOKUP($A883,'[1]import success seats course'!$A:V,HLOOKUP('[1]Course Totals'!H$4,'[1]import success seats course'!$1:$2,2,FALSE),FALSE)/(VLOOKUP($A883,'[1]import graded seats course pivo'!$A:AF,HLOOKUP('[1]Course Totals'!H$4,'[1]import graded seats course pivo'!$1:$2,2,FALSE),FALSE))),"")</f>
        <v/>
      </c>
      <c r="I883" s="14">
        <f>IFERROR((VLOOKUP($A883,'[1]import success seats course'!$A:W,HLOOKUP('[1]Course Totals'!I$4,'[1]import success seats course'!$1:$2,2,FALSE),FALSE)/(VLOOKUP($A883,'[1]import graded seats course pivo'!$A:AG,HLOOKUP('[1]Course Totals'!I$4,'[1]import graded seats course pivo'!$1:$2,2,FALSE),FALSE))),"")</f>
        <v>1</v>
      </c>
      <c r="J883" s="14">
        <f>IFERROR((VLOOKUP($A883,'[1]import success seats course'!$A:X,HLOOKUP('[1]Course Totals'!J$4,'[1]import success seats course'!$1:$2,2,FALSE),FALSE)/(VLOOKUP($A883,'[1]import graded seats course pivo'!$A:AH,HLOOKUP('[1]Course Totals'!J$4,'[1]import graded seats course pivo'!$1:$2,2,FALSE),FALSE))),"")</f>
        <v>1</v>
      </c>
      <c r="K883" s="14" t="str">
        <f>IFERROR((VLOOKUP($A883,'[1]import success seats course'!$A:Y,HLOOKUP('[1]Course Totals'!K$4,'[1]import success seats course'!$1:$2,2,FALSE),FALSE)/(VLOOKUP($A883,'[1]import graded seats course pivo'!$A:AI,HLOOKUP('[1]Course Totals'!K$4,'[1]import graded seats course pivo'!$1:$2,2,FALSE),FALSE))),"")</f>
        <v/>
      </c>
      <c r="L883" s="14">
        <f>IFERROR((VLOOKUP($A883,'[1]import success seats course'!$A:Z,HLOOKUP('[1]Course Totals'!L$4,'[1]import success seats course'!$1:$2,2,FALSE),FALSE)/(VLOOKUP($A883,'[1]import graded seats course pivo'!$A:AJ,HLOOKUP('[1]Course Totals'!L$4,'[1]import graded seats course pivo'!$1:$2,2,FALSE),FALSE))),"")</f>
        <v>1</v>
      </c>
      <c r="M883" s="14">
        <f>IFERROR((VLOOKUP($A883,'[1]import success seats course'!$A:AA,HLOOKUP('[1]Course Totals'!M$4,'[1]import success seats course'!$1:$2,2,FALSE),FALSE)/(VLOOKUP($A883,'[1]import graded seats course pivo'!$A:AK,HLOOKUP('[1]Course Totals'!M$4,'[1]import graded seats course pivo'!$1:$2,2,FALSE),FALSE))),"")</f>
        <v>1</v>
      </c>
      <c r="N883" s="14" t="str">
        <f>IFERROR((VLOOKUP($A883,'[1]import success seats course'!$A:AB,HLOOKUP('[1]Course Totals'!N$4,'[1]import success seats course'!$1:$2,2,FALSE),FALSE)/(VLOOKUP($A883,'[1]import graded seats course pivo'!$A:AL,HLOOKUP('[1]Course Totals'!N$4,'[1]import graded seats course pivo'!$1:$2,2,FALSE),FALSE))),"")</f>
        <v/>
      </c>
      <c r="O883" s="14">
        <f>IFERROR((VLOOKUP($A883,'[1]import success seats course'!$A:AC,HLOOKUP('[1]Course Totals'!O$4,'[1]import success seats course'!$1:$2,2,FALSE),FALSE)/(VLOOKUP($A883,'[1]import graded seats course pivo'!$A:AM,HLOOKUP('[1]Course Totals'!O$4,'[1]import graded seats course pivo'!$1:$2,2,FALSE),FALSE))),"")</f>
        <v>1</v>
      </c>
      <c r="P883" s="14">
        <f>IFERROR((VLOOKUP($A883,'[1]import success seats course'!$A:AD,HLOOKUP('[1]Course Totals'!P$4,'[1]import success seats course'!$1:$2,2,FALSE),FALSE)/(VLOOKUP($A883,'[1]import graded seats course pivo'!$A:AN,HLOOKUP('[1]Course Totals'!P$4,'[1]import graded seats course pivo'!$1:$2,2,FALSE),FALSE))),"")</f>
        <v>1</v>
      </c>
      <c r="Q883" s="14" t="str">
        <f>IFERROR((VLOOKUP($A883,'[1]import success seats course'!$A:AE,HLOOKUP('[1]Course Totals'!Q$4,'[1]import success seats course'!$1:$2,2,FALSE),FALSE)/(VLOOKUP($A883,'[1]import graded seats course pivo'!$A:AO,HLOOKUP('[1]Course Totals'!Q$4,'[1]import graded seats course pivo'!$1:$2,2,FALSE),FALSE))),"")</f>
        <v/>
      </c>
      <c r="R883" s="14">
        <f>IFERROR((VLOOKUP($A883,'[1]import success seats course'!$A:AF,HLOOKUP('[1]Course Totals'!R$4,'[1]import success seats course'!$1:$2,2,FALSE),FALSE)/(VLOOKUP($A883,'[1]import graded seats course pivo'!$A:AP,HLOOKUP('[1]Course Totals'!R$4,'[1]import graded seats course pivo'!$1:$2,2,FALSE),FALSE))),"")</f>
        <v>1</v>
      </c>
      <c r="S883" s="14">
        <f>IFERROR((VLOOKUP($A883,'[1]import success seats course'!$A:AG,HLOOKUP('[1]Course Totals'!S$4,'[1]import success seats course'!$1:$2,2,FALSE),FALSE)/(VLOOKUP($A883,'[1]import graded seats course pivo'!$A:AQ,HLOOKUP('[1]Course Totals'!S$4,'[1]import graded seats course pivo'!$1:$2,2,FALSE),FALSE))),"")</f>
        <v>1</v>
      </c>
      <c r="Z883" s="7"/>
      <c r="AA883" s="7"/>
      <c r="AB883" s="7"/>
      <c r="AC883" s="7"/>
    </row>
    <row r="884" spans="1:29" ht="15.75" customHeight="1" x14ac:dyDescent="0.25">
      <c r="A884" s="12" t="s">
        <v>650</v>
      </c>
      <c r="B884" s="14" t="str">
        <f>IFERROR((VLOOKUP($A884,'[1]import success seats course'!$A:P,HLOOKUP('[1]Course Totals'!B$4,'[1]import success seats course'!$1:$2,2,FALSE),FALSE)/(VLOOKUP($A884,'[1]import graded seats course pivo'!$A:Z,HLOOKUP('[1]Course Totals'!B$4,'[1]import graded seats course pivo'!$1:$2,2,FALSE),FALSE))),"")</f>
        <v/>
      </c>
      <c r="C884" s="14" t="str">
        <f>IFERROR((VLOOKUP($A884,'[1]import success seats course'!$A:Q,HLOOKUP('[1]Course Totals'!C$4,'[1]import success seats course'!$1:$2,2,FALSE),FALSE)/(VLOOKUP($A884,'[1]import graded seats course pivo'!$A:AA,HLOOKUP('[1]Course Totals'!C$4,'[1]import graded seats course pivo'!$1:$2,2,FALSE),FALSE))),"")</f>
        <v/>
      </c>
      <c r="D884" s="14">
        <f>IFERROR((VLOOKUP($A884,'[1]import success seats course'!$A:R,HLOOKUP('[1]Course Totals'!D$4,'[1]import success seats course'!$1:$2,2,FALSE),FALSE)/(VLOOKUP($A884,'[1]import graded seats course pivo'!$A:AB,HLOOKUP('[1]Course Totals'!D$4,'[1]import graded seats course pivo'!$1:$2,2,FALSE),FALSE))),"")</f>
        <v>1</v>
      </c>
      <c r="E884" s="14" t="str">
        <f>IFERROR((VLOOKUP($A884,'[1]import success seats course'!$A:S,HLOOKUP('[1]Course Totals'!E$4,'[1]import success seats course'!$1:$2,2,FALSE),FALSE)/(VLOOKUP($A884,'[1]import graded seats course pivo'!$A:AC,HLOOKUP('[1]Course Totals'!E$4,'[1]import graded seats course pivo'!$1:$2,2,FALSE),FALSE))),"")</f>
        <v/>
      </c>
      <c r="F884" s="14">
        <f>IFERROR((VLOOKUP($A884,'[1]import success seats course'!$A:T,HLOOKUP('[1]Course Totals'!F$4,'[1]import success seats course'!$1:$2,2,FALSE),FALSE)/(VLOOKUP($A884,'[1]import graded seats course pivo'!$A:AD,HLOOKUP('[1]Course Totals'!F$4,'[1]import graded seats course pivo'!$1:$2,2,FALSE),FALSE))),"")</f>
        <v>1</v>
      </c>
      <c r="G884" s="14">
        <f>IFERROR((VLOOKUP($A884,'[1]import success seats course'!$A:U,HLOOKUP('[1]Course Totals'!G$4,'[1]import success seats course'!$1:$2,2,FALSE),FALSE)/(VLOOKUP($A884,'[1]import graded seats course pivo'!$A:AE,HLOOKUP('[1]Course Totals'!G$4,'[1]import graded seats course pivo'!$1:$2,2,FALSE),FALSE))),"")</f>
        <v>1</v>
      </c>
      <c r="H884" s="14" t="str">
        <f>IFERROR((VLOOKUP($A884,'[1]import success seats course'!$A:V,HLOOKUP('[1]Course Totals'!H$4,'[1]import success seats course'!$1:$2,2,FALSE),FALSE)/(VLOOKUP($A884,'[1]import graded seats course pivo'!$A:AF,HLOOKUP('[1]Course Totals'!H$4,'[1]import graded seats course pivo'!$1:$2,2,FALSE),FALSE))),"")</f>
        <v/>
      </c>
      <c r="I884" s="14">
        <f>IFERROR((VLOOKUP($A884,'[1]import success seats course'!$A:W,HLOOKUP('[1]Course Totals'!I$4,'[1]import success seats course'!$1:$2,2,FALSE),FALSE)/(VLOOKUP($A884,'[1]import graded seats course pivo'!$A:AG,HLOOKUP('[1]Course Totals'!I$4,'[1]import graded seats course pivo'!$1:$2,2,FALSE),FALSE))),"")</f>
        <v>1</v>
      </c>
      <c r="J884" s="14" t="str">
        <f>IFERROR((VLOOKUP($A884,'[1]import success seats course'!$A:X,HLOOKUP('[1]Course Totals'!J$4,'[1]import success seats course'!$1:$2,2,FALSE),FALSE)/(VLOOKUP($A884,'[1]import graded seats course pivo'!$A:AH,HLOOKUP('[1]Course Totals'!J$4,'[1]import graded seats course pivo'!$1:$2,2,FALSE),FALSE))),"")</f>
        <v/>
      </c>
      <c r="K884" s="14" t="str">
        <f>IFERROR((VLOOKUP($A884,'[1]import success seats course'!$A:Y,HLOOKUP('[1]Course Totals'!K$4,'[1]import success seats course'!$1:$2,2,FALSE),FALSE)/(VLOOKUP($A884,'[1]import graded seats course pivo'!$A:AI,HLOOKUP('[1]Course Totals'!K$4,'[1]import graded seats course pivo'!$1:$2,2,FALSE),FALSE))),"")</f>
        <v/>
      </c>
      <c r="L884" s="14">
        <f>IFERROR((VLOOKUP($A884,'[1]import success seats course'!$A:Z,HLOOKUP('[1]Course Totals'!L$4,'[1]import success seats course'!$1:$2,2,FALSE),FALSE)/(VLOOKUP($A884,'[1]import graded seats course pivo'!$A:AJ,HLOOKUP('[1]Course Totals'!L$4,'[1]import graded seats course pivo'!$1:$2,2,FALSE),FALSE))),"")</f>
        <v>1</v>
      </c>
      <c r="M884" s="14">
        <f>IFERROR((VLOOKUP($A884,'[1]import success seats course'!$A:AA,HLOOKUP('[1]Course Totals'!M$4,'[1]import success seats course'!$1:$2,2,FALSE),FALSE)/(VLOOKUP($A884,'[1]import graded seats course pivo'!$A:AK,HLOOKUP('[1]Course Totals'!M$4,'[1]import graded seats course pivo'!$1:$2,2,FALSE),FALSE))),"")</f>
        <v>1</v>
      </c>
      <c r="N884" s="14" t="str">
        <f>IFERROR((VLOOKUP($A884,'[1]import success seats course'!$A:AB,HLOOKUP('[1]Course Totals'!N$4,'[1]import success seats course'!$1:$2,2,FALSE),FALSE)/(VLOOKUP($A884,'[1]import graded seats course pivo'!$A:AL,HLOOKUP('[1]Course Totals'!N$4,'[1]import graded seats course pivo'!$1:$2,2,FALSE),FALSE))),"")</f>
        <v/>
      </c>
      <c r="O884" s="14">
        <f>IFERROR((VLOOKUP($A884,'[1]import success seats course'!$A:AC,HLOOKUP('[1]Course Totals'!O$4,'[1]import success seats course'!$1:$2,2,FALSE),FALSE)/(VLOOKUP($A884,'[1]import graded seats course pivo'!$A:AM,HLOOKUP('[1]Course Totals'!O$4,'[1]import graded seats course pivo'!$1:$2,2,FALSE),FALSE))),"")</f>
        <v>1</v>
      </c>
      <c r="P884" s="14">
        <f>IFERROR((VLOOKUP($A884,'[1]import success seats course'!$A:AD,HLOOKUP('[1]Course Totals'!P$4,'[1]import success seats course'!$1:$2,2,FALSE),FALSE)/(VLOOKUP($A884,'[1]import graded seats course pivo'!$A:AN,HLOOKUP('[1]Course Totals'!P$4,'[1]import graded seats course pivo'!$1:$2,2,FALSE),FALSE))),"")</f>
        <v>1</v>
      </c>
      <c r="Q884" s="14" t="str">
        <f>IFERROR((VLOOKUP($A884,'[1]import success seats course'!$A:AE,HLOOKUP('[1]Course Totals'!Q$4,'[1]import success seats course'!$1:$2,2,FALSE),FALSE)/(VLOOKUP($A884,'[1]import graded seats course pivo'!$A:AO,HLOOKUP('[1]Course Totals'!Q$4,'[1]import graded seats course pivo'!$1:$2,2,FALSE),FALSE))),"")</f>
        <v/>
      </c>
      <c r="R884" s="14">
        <f>IFERROR((VLOOKUP($A884,'[1]import success seats course'!$A:AF,HLOOKUP('[1]Course Totals'!R$4,'[1]import success seats course'!$1:$2,2,FALSE),FALSE)/(VLOOKUP($A884,'[1]import graded seats course pivo'!$A:AP,HLOOKUP('[1]Course Totals'!R$4,'[1]import graded seats course pivo'!$1:$2,2,FALSE),FALSE))),"")</f>
        <v>1</v>
      </c>
      <c r="S884" s="14">
        <f>IFERROR((VLOOKUP($A884,'[1]import success seats course'!$A:AG,HLOOKUP('[1]Course Totals'!S$4,'[1]import success seats course'!$1:$2,2,FALSE),FALSE)/(VLOOKUP($A884,'[1]import graded seats course pivo'!$A:AQ,HLOOKUP('[1]Course Totals'!S$4,'[1]import graded seats course pivo'!$1:$2,2,FALSE),FALSE))),"")</f>
        <v>1</v>
      </c>
      <c r="Z884" s="7"/>
      <c r="AA884" s="7"/>
      <c r="AB884" s="7"/>
      <c r="AC884" s="7"/>
    </row>
    <row r="885" spans="1:29" ht="15.75" customHeight="1" x14ac:dyDescent="0.25">
      <c r="A885" s="12" t="s">
        <v>423</v>
      </c>
      <c r="B885" s="14" t="str">
        <f>IFERROR((VLOOKUP($A885,'[1]import success seats course'!$A:P,HLOOKUP('[1]Course Totals'!B$4,'[1]import success seats course'!$1:$2,2,FALSE),FALSE)/(VLOOKUP($A885,'[1]import graded seats course pivo'!$A:Z,HLOOKUP('[1]Course Totals'!B$4,'[1]import graded seats course pivo'!$1:$2,2,FALSE),FALSE))),"")</f>
        <v/>
      </c>
      <c r="C885" s="14">
        <f>IFERROR((VLOOKUP($A885,'[1]import success seats course'!$A:Q,HLOOKUP('[1]Course Totals'!C$4,'[1]import success seats course'!$1:$2,2,FALSE),FALSE)/(VLOOKUP($A885,'[1]import graded seats course pivo'!$A:AA,HLOOKUP('[1]Course Totals'!C$4,'[1]import graded seats course pivo'!$1:$2,2,FALSE),FALSE))),"")</f>
        <v>1</v>
      </c>
      <c r="D885" s="14">
        <f>IFERROR((VLOOKUP($A885,'[1]import success seats course'!$A:R,HLOOKUP('[1]Course Totals'!D$4,'[1]import success seats course'!$1:$2,2,FALSE),FALSE)/(VLOOKUP($A885,'[1]import graded seats course pivo'!$A:AB,HLOOKUP('[1]Course Totals'!D$4,'[1]import graded seats course pivo'!$1:$2,2,FALSE),FALSE))),"")</f>
        <v>0.97727272727272729</v>
      </c>
      <c r="E885" s="14" t="str">
        <f>IFERROR((VLOOKUP($A885,'[1]import success seats course'!$A:S,HLOOKUP('[1]Course Totals'!E$4,'[1]import success seats course'!$1:$2,2,FALSE),FALSE)/(VLOOKUP($A885,'[1]import graded seats course pivo'!$A:AC,HLOOKUP('[1]Course Totals'!E$4,'[1]import graded seats course pivo'!$1:$2,2,FALSE),FALSE))),"")</f>
        <v/>
      </c>
      <c r="F885" s="14" t="str">
        <f>IFERROR((VLOOKUP($A885,'[1]import success seats course'!$A:T,HLOOKUP('[1]Course Totals'!F$4,'[1]import success seats course'!$1:$2,2,FALSE),FALSE)/(VLOOKUP($A885,'[1]import graded seats course pivo'!$A:AD,HLOOKUP('[1]Course Totals'!F$4,'[1]import graded seats course pivo'!$1:$2,2,FALSE),FALSE))),"")</f>
        <v/>
      </c>
      <c r="G885" s="14" t="str">
        <f>IFERROR((VLOOKUP($A885,'[1]import success seats course'!$A:U,HLOOKUP('[1]Course Totals'!G$4,'[1]import success seats course'!$1:$2,2,FALSE),FALSE)/(VLOOKUP($A885,'[1]import graded seats course pivo'!$A:AE,HLOOKUP('[1]Course Totals'!G$4,'[1]import graded seats course pivo'!$1:$2,2,FALSE),FALSE))),"")</f>
        <v/>
      </c>
      <c r="H885" s="14" t="str">
        <f>IFERROR((VLOOKUP($A885,'[1]import success seats course'!$A:V,HLOOKUP('[1]Course Totals'!H$4,'[1]import success seats course'!$1:$2,2,FALSE),FALSE)/(VLOOKUP($A885,'[1]import graded seats course pivo'!$A:AF,HLOOKUP('[1]Course Totals'!H$4,'[1]import graded seats course pivo'!$1:$2,2,FALSE),FALSE))),"")</f>
        <v/>
      </c>
      <c r="I885" s="14" t="str">
        <f>IFERROR((VLOOKUP($A885,'[1]import success seats course'!$A:W,HLOOKUP('[1]Course Totals'!I$4,'[1]import success seats course'!$1:$2,2,FALSE),FALSE)/(VLOOKUP($A885,'[1]import graded seats course pivo'!$A:AG,HLOOKUP('[1]Course Totals'!I$4,'[1]import graded seats course pivo'!$1:$2,2,FALSE),FALSE))),"")</f>
        <v/>
      </c>
      <c r="J885" s="14" t="str">
        <f>IFERROR((VLOOKUP($A885,'[1]import success seats course'!$A:X,HLOOKUP('[1]Course Totals'!J$4,'[1]import success seats course'!$1:$2,2,FALSE),FALSE)/(VLOOKUP($A885,'[1]import graded seats course pivo'!$A:AH,HLOOKUP('[1]Course Totals'!J$4,'[1]import graded seats course pivo'!$1:$2,2,FALSE),FALSE))),"")</f>
        <v/>
      </c>
      <c r="K885" s="14" t="str">
        <f>IFERROR((VLOOKUP($A885,'[1]import success seats course'!$A:Y,HLOOKUP('[1]Course Totals'!K$4,'[1]import success seats course'!$1:$2,2,FALSE),FALSE)/(VLOOKUP($A885,'[1]import graded seats course pivo'!$A:AI,HLOOKUP('[1]Course Totals'!K$4,'[1]import graded seats course pivo'!$1:$2,2,FALSE),FALSE))),"")</f>
        <v/>
      </c>
      <c r="L885" s="14" t="str">
        <f>IFERROR((VLOOKUP($A885,'[1]import success seats course'!$A:Z,HLOOKUP('[1]Course Totals'!L$4,'[1]import success seats course'!$1:$2,2,FALSE),FALSE)/(VLOOKUP($A885,'[1]import graded seats course pivo'!$A:AJ,HLOOKUP('[1]Course Totals'!L$4,'[1]import graded seats course pivo'!$1:$2,2,FALSE),FALSE))),"")</f>
        <v/>
      </c>
      <c r="M885" s="14" t="str">
        <f>IFERROR((VLOOKUP($A885,'[1]import success seats course'!$A:AA,HLOOKUP('[1]Course Totals'!M$4,'[1]import success seats course'!$1:$2,2,FALSE),FALSE)/(VLOOKUP($A885,'[1]import graded seats course pivo'!$A:AK,HLOOKUP('[1]Course Totals'!M$4,'[1]import graded seats course pivo'!$1:$2,2,FALSE),FALSE))),"")</f>
        <v/>
      </c>
      <c r="N885" s="14" t="str">
        <f>IFERROR((VLOOKUP($A885,'[1]import success seats course'!$A:AB,HLOOKUP('[1]Course Totals'!N$4,'[1]import success seats course'!$1:$2,2,FALSE),FALSE)/(VLOOKUP($A885,'[1]import graded seats course pivo'!$A:AL,HLOOKUP('[1]Course Totals'!N$4,'[1]import graded seats course pivo'!$1:$2,2,FALSE),FALSE))),"")</f>
        <v/>
      </c>
      <c r="O885" s="14" t="str">
        <f>IFERROR((VLOOKUP($A885,'[1]import success seats course'!$A:AC,HLOOKUP('[1]Course Totals'!O$4,'[1]import success seats course'!$1:$2,2,FALSE),FALSE)/(VLOOKUP($A885,'[1]import graded seats course pivo'!$A:AM,HLOOKUP('[1]Course Totals'!O$4,'[1]import graded seats course pivo'!$1:$2,2,FALSE),FALSE))),"")</f>
        <v/>
      </c>
      <c r="P885" s="14" t="str">
        <f>IFERROR((VLOOKUP($A885,'[1]import success seats course'!$A:AD,HLOOKUP('[1]Course Totals'!P$4,'[1]import success seats course'!$1:$2,2,FALSE),FALSE)/(VLOOKUP($A885,'[1]import graded seats course pivo'!$A:AN,HLOOKUP('[1]Course Totals'!P$4,'[1]import graded seats course pivo'!$1:$2,2,FALSE),FALSE))),"")</f>
        <v/>
      </c>
      <c r="Q885" s="14" t="str">
        <f>IFERROR((VLOOKUP($A885,'[1]import success seats course'!$A:AE,HLOOKUP('[1]Course Totals'!Q$4,'[1]import success seats course'!$1:$2,2,FALSE),FALSE)/(VLOOKUP($A885,'[1]import graded seats course pivo'!$A:AO,HLOOKUP('[1]Course Totals'!Q$4,'[1]import graded seats course pivo'!$1:$2,2,FALSE),FALSE))),"")</f>
        <v/>
      </c>
      <c r="R885" s="14" t="str">
        <f>IFERROR((VLOOKUP($A885,'[1]import success seats course'!$A:AF,HLOOKUP('[1]Course Totals'!R$4,'[1]import success seats course'!$1:$2,2,FALSE),FALSE)/(VLOOKUP($A885,'[1]import graded seats course pivo'!$A:AP,HLOOKUP('[1]Course Totals'!R$4,'[1]import graded seats course pivo'!$1:$2,2,FALSE),FALSE))),"")</f>
        <v/>
      </c>
      <c r="S885" s="14" t="str">
        <f>IFERROR((VLOOKUP($A885,'[1]import success seats course'!$A:AG,HLOOKUP('[1]Course Totals'!S$4,'[1]import success seats course'!$1:$2,2,FALSE),FALSE)/(VLOOKUP($A885,'[1]import graded seats course pivo'!$A:AQ,HLOOKUP('[1]Course Totals'!S$4,'[1]import graded seats course pivo'!$1:$2,2,FALSE),FALSE))),"")</f>
        <v/>
      </c>
      <c r="Z885" s="7"/>
      <c r="AA885" s="7"/>
      <c r="AB885" s="7"/>
      <c r="AC885" s="7"/>
    </row>
    <row r="886" spans="1:29" ht="15.75" customHeight="1" x14ac:dyDescent="0.25">
      <c r="A886" s="12" t="s">
        <v>424</v>
      </c>
      <c r="B886" s="14" t="str">
        <f>IFERROR((VLOOKUP($A886,'[1]import success seats course'!$A:P,HLOOKUP('[1]Course Totals'!B$4,'[1]import success seats course'!$1:$2,2,FALSE),FALSE)/(VLOOKUP($A886,'[1]import graded seats course pivo'!$A:Z,HLOOKUP('[1]Course Totals'!B$4,'[1]import graded seats course pivo'!$1:$2,2,FALSE),FALSE))),"")</f>
        <v/>
      </c>
      <c r="C886" s="14">
        <f>IFERROR((VLOOKUP($A886,'[1]import success seats course'!$A:Q,HLOOKUP('[1]Course Totals'!C$4,'[1]import success seats course'!$1:$2,2,FALSE),FALSE)/(VLOOKUP($A886,'[1]import graded seats course pivo'!$A:AA,HLOOKUP('[1]Course Totals'!C$4,'[1]import graded seats course pivo'!$1:$2,2,FALSE),FALSE))),"")</f>
        <v>0.97619047619047616</v>
      </c>
      <c r="D886" s="14">
        <f>IFERROR((VLOOKUP($A886,'[1]import success seats course'!$A:R,HLOOKUP('[1]Course Totals'!D$4,'[1]import success seats course'!$1:$2,2,FALSE),FALSE)/(VLOOKUP($A886,'[1]import graded seats course pivo'!$A:AB,HLOOKUP('[1]Course Totals'!D$4,'[1]import graded seats course pivo'!$1:$2,2,FALSE),FALSE))),"")</f>
        <v>1</v>
      </c>
      <c r="E886" s="14" t="str">
        <f>IFERROR((VLOOKUP($A886,'[1]import success seats course'!$A:S,HLOOKUP('[1]Course Totals'!E$4,'[1]import success seats course'!$1:$2,2,FALSE),FALSE)/(VLOOKUP($A886,'[1]import graded seats course pivo'!$A:AC,HLOOKUP('[1]Course Totals'!E$4,'[1]import graded seats course pivo'!$1:$2,2,FALSE),FALSE))),"")</f>
        <v/>
      </c>
      <c r="F886" s="14" t="str">
        <f>IFERROR((VLOOKUP($A886,'[1]import success seats course'!$A:T,HLOOKUP('[1]Course Totals'!F$4,'[1]import success seats course'!$1:$2,2,FALSE),FALSE)/(VLOOKUP($A886,'[1]import graded seats course pivo'!$A:AD,HLOOKUP('[1]Course Totals'!F$4,'[1]import graded seats course pivo'!$1:$2,2,FALSE),FALSE))),"")</f>
        <v/>
      </c>
      <c r="G886" s="14" t="str">
        <f>IFERROR((VLOOKUP($A886,'[1]import success seats course'!$A:U,HLOOKUP('[1]Course Totals'!G$4,'[1]import success seats course'!$1:$2,2,FALSE),FALSE)/(VLOOKUP($A886,'[1]import graded seats course pivo'!$A:AE,HLOOKUP('[1]Course Totals'!G$4,'[1]import graded seats course pivo'!$1:$2,2,FALSE),FALSE))),"")</f>
        <v/>
      </c>
      <c r="H886" s="14" t="str">
        <f>IFERROR((VLOOKUP($A886,'[1]import success seats course'!$A:V,HLOOKUP('[1]Course Totals'!H$4,'[1]import success seats course'!$1:$2,2,FALSE),FALSE)/(VLOOKUP($A886,'[1]import graded seats course pivo'!$A:AF,HLOOKUP('[1]Course Totals'!H$4,'[1]import graded seats course pivo'!$1:$2,2,FALSE),FALSE))),"")</f>
        <v/>
      </c>
      <c r="I886" s="14" t="str">
        <f>IFERROR((VLOOKUP($A886,'[1]import success seats course'!$A:W,HLOOKUP('[1]Course Totals'!I$4,'[1]import success seats course'!$1:$2,2,FALSE),FALSE)/(VLOOKUP($A886,'[1]import graded seats course pivo'!$A:AG,HLOOKUP('[1]Course Totals'!I$4,'[1]import graded seats course pivo'!$1:$2,2,FALSE),FALSE))),"")</f>
        <v/>
      </c>
      <c r="J886" s="14" t="str">
        <f>IFERROR((VLOOKUP($A886,'[1]import success seats course'!$A:X,HLOOKUP('[1]Course Totals'!J$4,'[1]import success seats course'!$1:$2,2,FALSE),FALSE)/(VLOOKUP($A886,'[1]import graded seats course pivo'!$A:AH,HLOOKUP('[1]Course Totals'!J$4,'[1]import graded seats course pivo'!$1:$2,2,FALSE),FALSE))),"")</f>
        <v/>
      </c>
      <c r="K886" s="14" t="str">
        <f>IFERROR((VLOOKUP($A886,'[1]import success seats course'!$A:Y,HLOOKUP('[1]Course Totals'!K$4,'[1]import success seats course'!$1:$2,2,FALSE),FALSE)/(VLOOKUP($A886,'[1]import graded seats course pivo'!$A:AI,HLOOKUP('[1]Course Totals'!K$4,'[1]import graded seats course pivo'!$1:$2,2,FALSE),FALSE))),"")</f>
        <v/>
      </c>
      <c r="L886" s="14" t="str">
        <f>IFERROR((VLOOKUP($A886,'[1]import success seats course'!$A:Z,HLOOKUP('[1]Course Totals'!L$4,'[1]import success seats course'!$1:$2,2,FALSE),FALSE)/(VLOOKUP($A886,'[1]import graded seats course pivo'!$A:AJ,HLOOKUP('[1]Course Totals'!L$4,'[1]import graded seats course pivo'!$1:$2,2,FALSE),FALSE))),"")</f>
        <v/>
      </c>
      <c r="M886" s="14" t="str">
        <f>IFERROR((VLOOKUP($A886,'[1]import success seats course'!$A:AA,HLOOKUP('[1]Course Totals'!M$4,'[1]import success seats course'!$1:$2,2,FALSE),FALSE)/(VLOOKUP($A886,'[1]import graded seats course pivo'!$A:AK,HLOOKUP('[1]Course Totals'!M$4,'[1]import graded seats course pivo'!$1:$2,2,FALSE),FALSE))),"")</f>
        <v/>
      </c>
      <c r="N886" s="14" t="str">
        <f>IFERROR((VLOOKUP($A886,'[1]import success seats course'!$A:AB,HLOOKUP('[1]Course Totals'!N$4,'[1]import success seats course'!$1:$2,2,FALSE),FALSE)/(VLOOKUP($A886,'[1]import graded seats course pivo'!$A:AL,HLOOKUP('[1]Course Totals'!N$4,'[1]import graded seats course pivo'!$1:$2,2,FALSE),FALSE))),"")</f>
        <v/>
      </c>
      <c r="O886" s="14" t="str">
        <f>IFERROR((VLOOKUP($A886,'[1]import success seats course'!$A:AC,HLOOKUP('[1]Course Totals'!O$4,'[1]import success seats course'!$1:$2,2,FALSE),FALSE)/(VLOOKUP($A886,'[1]import graded seats course pivo'!$A:AM,HLOOKUP('[1]Course Totals'!O$4,'[1]import graded seats course pivo'!$1:$2,2,FALSE),FALSE))),"")</f>
        <v/>
      </c>
      <c r="P886" s="14" t="str">
        <f>IFERROR((VLOOKUP($A886,'[1]import success seats course'!$A:AD,HLOOKUP('[1]Course Totals'!P$4,'[1]import success seats course'!$1:$2,2,FALSE),FALSE)/(VLOOKUP($A886,'[1]import graded seats course pivo'!$A:AN,HLOOKUP('[1]Course Totals'!P$4,'[1]import graded seats course pivo'!$1:$2,2,FALSE),FALSE))),"")</f>
        <v/>
      </c>
      <c r="Q886" s="14" t="str">
        <f>IFERROR((VLOOKUP($A886,'[1]import success seats course'!$A:AE,HLOOKUP('[1]Course Totals'!Q$4,'[1]import success seats course'!$1:$2,2,FALSE),FALSE)/(VLOOKUP($A886,'[1]import graded seats course pivo'!$A:AO,HLOOKUP('[1]Course Totals'!Q$4,'[1]import graded seats course pivo'!$1:$2,2,FALSE),FALSE))),"")</f>
        <v/>
      </c>
      <c r="R886" s="14" t="str">
        <f>IFERROR((VLOOKUP($A886,'[1]import success seats course'!$A:AF,HLOOKUP('[1]Course Totals'!R$4,'[1]import success seats course'!$1:$2,2,FALSE),FALSE)/(VLOOKUP($A886,'[1]import graded seats course pivo'!$A:AP,HLOOKUP('[1]Course Totals'!R$4,'[1]import graded seats course pivo'!$1:$2,2,FALSE),FALSE))),"")</f>
        <v/>
      </c>
      <c r="S886" s="14" t="str">
        <f>IFERROR((VLOOKUP($A886,'[1]import success seats course'!$A:AG,HLOOKUP('[1]Course Totals'!S$4,'[1]import success seats course'!$1:$2,2,FALSE),FALSE)/(VLOOKUP($A886,'[1]import graded seats course pivo'!$A:AQ,HLOOKUP('[1]Course Totals'!S$4,'[1]import graded seats course pivo'!$1:$2,2,FALSE),FALSE))),"")</f>
        <v/>
      </c>
      <c r="Z886" s="7"/>
      <c r="AA886" s="7"/>
      <c r="AB886" s="7"/>
      <c r="AC886" s="7"/>
    </row>
    <row r="887" spans="1:29" ht="15.75" customHeight="1" x14ac:dyDescent="0.25">
      <c r="A887" s="12" t="s">
        <v>934</v>
      </c>
      <c r="B887" s="14" t="str">
        <f>IFERROR((VLOOKUP($A887,'[1]import success seats course'!$A:P,HLOOKUP('[1]Course Totals'!B$4,'[1]import success seats course'!$1:$2,2,FALSE),FALSE)/(VLOOKUP($A887,'[1]import graded seats course pivo'!$A:Z,HLOOKUP('[1]Course Totals'!B$4,'[1]import graded seats course pivo'!$1:$2,2,FALSE),FALSE))),"")</f>
        <v/>
      </c>
      <c r="C887" s="14" t="str">
        <f>IFERROR((VLOOKUP($A887,'[1]import success seats course'!$A:Q,HLOOKUP('[1]Course Totals'!C$4,'[1]import success seats course'!$1:$2,2,FALSE),FALSE)/(VLOOKUP($A887,'[1]import graded seats course pivo'!$A:AA,HLOOKUP('[1]Course Totals'!C$4,'[1]import graded seats course pivo'!$1:$2,2,FALSE),FALSE))),"")</f>
        <v/>
      </c>
      <c r="D887" s="14">
        <f>IFERROR((VLOOKUP($A887,'[1]import success seats course'!$A:R,HLOOKUP('[1]Course Totals'!D$4,'[1]import success seats course'!$1:$2,2,FALSE),FALSE)/(VLOOKUP($A887,'[1]import graded seats course pivo'!$A:AB,HLOOKUP('[1]Course Totals'!D$4,'[1]import graded seats course pivo'!$1:$2,2,FALSE),FALSE))),"")</f>
        <v>0.92</v>
      </c>
      <c r="E887" s="14" t="str">
        <f>IFERROR((VLOOKUP($A887,'[1]import success seats course'!$A:S,HLOOKUP('[1]Course Totals'!E$4,'[1]import success seats course'!$1:$2,2,FALSE),FALSE)/(VLOOKUP($A887,'[1]import graded seats course pivo'!$A:AC,HLOOKUP('[1]Course Totals'!E$4,'[1]import graded seats course pivo'!$1:$2,2,FALSE),FALSE))),"")</f>
        <v/>
      </c>
      <c r="F887" s="14" t="str">
        <f>IFERROR((VLOOKUP($A887,'[1]import success seats course'!$A:T,HLOOKUP('[1]Course Totals'!F$4,'[1]import success seats course'!$1:$2,2,FALSE),FALSE)/(VLOOKUP($A887,'[1]import graded seats course pivo'!$A:AD,HLOOKUP('[1]Course Totals'!F$4,'[1]import graded seats course pivo'!$1:$2,2,FALSE),FALSE))),"")</f>
        <v/>
      </c>
      <c r="G887" s="14">
        <f>IFERROR((VLOOKUP($A887,'[1]import success seats course'!$A:U,HLOOKUP('[1]Course Totals'!G$4,'[1]import success seats course'!$1:$2,2,FALSE),FALSE)/(VLOOKUP($A887,'[1]import graded seats course pivo'!$A:AE,HLOOKUP('[1]Course Totals'!G$4,'[1]import graded seats course pivo'!$1:$2,2,FALSE),FALSE))),"")</f>
        <v>0.91304347826086951</v>
      </c>
      <c r="H887" s="14">
        <f>IFERROR((VLOOKUP($A887,'[1]import success seats course'!$A:V,HLOOKUP('[1]Course Totals'!H$4,'[1]import success seats course'!$1:$2,2,FALSE),FALSE)/(VLOOKUP($A887,'[1]import graded seats course pivo'!$A:AF,HLOOKUP('[1]Course Totals'!H$4,'[1]import graded seats course pivo'!$1:$2,2,FALSE),FALSE))),"")</f>
        <v>1</v>
      </c>
      <c r="I887" s="14" t="str">
        <f>IFERROR((VLOOKUP($A887,'[1]import success seats course'!$A:W,HLOOKUP('[1]Course Totals'!I$4,'[1]import success seats course'!$1:$2,2,FALSE),FALSE)/(VLOOKUP($A887,'[1]import graded seats course pivo'!$A:AG,HLOOKUP('[1]Course Totals'!I$4,'[1]import graded seats course pivo'!$1:$2,2,FALSE),FALSE))),"")</f>
        <v/>
      </c>
      <c r="J887" s="14">
        <f>IFERROR((VLOOKUP($A887,'[1]import success seats course'!$A:X,HLOOKUP('[1]Course Totals'!J$4,'[1]import success seats course'!$1:$2,2,FALSE),FALSE)/(VLOOKUP($A887,'[1]import graded seats course pivo'!$A:AH,HLOOKUP('[1]Course Totals'!J$4,'[1]import graded seats course pivo'!$1:$2,2,FALSE),FALSE))),"")</f>
        <v>0.91666666666666663</v>
      </c>
      <c r="K887" s="14" t="str">
        <f>IFERROR((VLOOKUP($A887,'[1]import success seats course'!$A:Y,HLOOKUP('[1]Course Totals'!K$4,'[1]import success seats course'!$1:$2,2,FALSE),FALSE)/(VLOOKUP($A887,'[1]import graded seats course pivo'!$A:AI,HLOOKUP('[1]Course Totals'!K$4,'[1]import graded seats course pivo'!$1:$2,2,FALSE),FALSE))),"")</f>
        <v/>
      </c>
      <c r="L887" s="14" t="str">
        <f>IFERROR((VLOOKUP($A887,'[1]import success seats course'!$A:Z,HLOOKUP('[1]Course Totals'!L$4,'[1]import success seats course'!$1:$2,2,FALSE),FALSE)/(VLOOKUP($A887,'[1]import graded seats course pivo'!$A:AJ,HLOOKUP('[1]Course Totals'!L$4,'[1]import graded seats course pivo'!$1:$2,2,FALSE),FALSE))),"")</f>
        <v/>
      </c>
      <c r="M887" s="14">
        <f>IFERROR((VLOOKUP($A887,'[1]import success seats course'!$A:AA,HLOOKUP('[1]Course Totals'!M$4,'[1]import success seats course'!$1:$2,2,FALSE),FALSE)/(VLOOKUP($A887,'[1]import graded seats course pivo'!$A:AK,HLOOKUP('[1]Course Totals'!M$4,'[1]import graded seats course pivo'!$1:$2,2,FALSE),FALSE))),"")</f>
        <v>1</v>
      </c>
      <c r="N887" s="14" t="str">
        <f>IFERROR((VLOOKUP($A887,'[1]import success seats course'!$A:AB,HLOOKUP('[1]Course Totals'!N$4,'[1]import success seats course'!$1:$2,2,FALSE),FALSE)/(VLOOKUP($A887,'[1]import graded seats course pivo'!$A:AL,HLOOKUP('[1]Course Totals'!N$4,'[1]import graded seats course pivo'!$1:$2,2,FALSE),FALSE))),"")</f>
        <v/>
      </c>
      <c r="O887" s="14" t="str">
        <f>IFERROR((VLOOKUP($A887,'[1]import success seats course'!$A:AC,HLOOKUP('[1]Course Totals'!O$4,'[1]import success seats course'!$1:$2,2,FALSE),FALSE)/(VLOOKUP($A887,'[1]import graded seats course pivo'!$A:AM,HLOOKUP('[1]Course Totals'!O$4,'[1]import graded seats course pivo'!$1:$2,2,FALSE),FALSE))),"")</f>
        <v/>
      </c>
      <c r="P887" s="14">
        <f>IFERROR((VLOOKUP($A887,'[1]import success seats course'!$A:AD,HLOOKUP('[1]Course Totals'!P$4,'[1]import success seats course'!$1:$2,2,FALSE),FALSE)/(VLOOKUP($A887,'[1]import graded seats course pivo'!$A:AN,HLOOKUP('[1]Course Totals'!P$4,'[1]import graded seats course pivo'!$1:$2,2,FALSE),FALSE))),"")</f>
        <v>0.5</v>
      </c>
      <c r="Q887" s="14" t="str">
        <f>IFERROR((VLOOKUP($A887,'[1]import success seats course'!$A:AE,HLOOKUP('[1]Course Totals'!Q$4,'[1]import success seats course'!$1:$2,2,FALSE),FALSE)/(VLOOKUP($A887,'[1]import graded seats course pivo'!$A:AO,HLOOKUP('[1]Course Totals'!Q$4,'[1]import graded seats course pivo'!$1:$2,2,FALSE),FALSE))),"")</f>
        <v/>
      </c>
      <c r="R887" s="14" t="str">
        <f>IFERROR((VLOOKUP($A887,'[1]import success seats course'!$A:AF,HLOOKUP('[1]Course Totals'!R$4,'[1]import success seats course'!$1:$2,2,FALSE),FALSE)/(VLOOKUP($A887,'[1]import graded seats course pivo'!$A:AP,HLOOKUP('[1]Course Totals'!R$4,'[1]import graded seats course pivo'!$1:$2,2,FALSE),FALSE))),"")</f>
        <v/>
      </c>
      <c r="S887" s="14">
        <f>IFERROR((VLOOKUP($A887,'[1]import success seats course'!$A:AG,HLOOKUP('[1]Course Totals'!S$4,'[1]import success seats course'!$1:$2,2,FALSE),FALSE)/(VLOOKUP($A887,'[1]import graded seats course pivo'!$A:AQ,HLOOKUP('[1]Course Totals'!S$4,'[1]import graded seats course pivo'!$1:$2,2,FALSE),FALSE))),"")</f>
        <v>0.58333333333333337</v>
      </c>
      <c r="Z887" s="7"/>
      <c r="AA887" s="7"/>
      <c r="AB887" s="7"/>
      <c r="AC887" s="7"/>
    </row>
    <row r="888" spans="1:29" ht="15.75" customHeight="1" x14ac:dyDescent="0.25">
      <c r="A888" s="12" t="s">
        <v>651</v>
      </c>
      <c r="B888" s="14" t="str">
        <f>IFERROR((VLOOKUP($A888,'[1]import success seats course'!$A:P,HLOOKUP('[1]Course Totals'!B$4,'[1]import success seats course'!$1:$2,2,FALSE),FALSE)/(VLOOKUP($A888,'[1]import graded seats course pivo'!$A:Z,HLOOKUP('[1]Course Totals'!B$4,'[1]import graded seats course pivo'!$1:$2,2,FALSE),FALSE))),"")</f>
        <v/>
      </c>
      <c r="C888" s="14" t="str">
        <f>IFERROR((VLOOKUP($A888,'[1]import success seats course'!$A:Q,HLOOKUP('[1]Course Totals'!C$4,'[1]import success seats course'!$1:$2,2,FALSE),FALSE)/(VLOOKUP($A888,'[1]import graded seats course pivo'!$A:AA,HLOOKUP('[1]Course Totals'!C$4,'[1]import graded seats course pivo'!$1:$2,2,FALSE),FALSE))),"")</f>
        <v/>
      </c>
      <c r="D888" s="14" t="str">
        <f>IFERROR((VLOOKUP($A888,'[1]import success seats course'!$A:R,HLOOKUP('[1]Course Totals'!D$4,'[1]import success seats course'!$1:$2,2,FALSE),FALSE)/(VLOOKUP($A888,'[1]import graded seats course pivo'!$A:AB,HLOOKUP('[1]Course Totals'!D$4,'[1]import graded seats course pivo'!$1:$2,2,FALSE),FALSE))),"")</f>
        <v/>
      </c>
      <c r="E888" s="14" t="str">
        <f>IFERROR((VLOOKUP($A888,'[1]import success seats course'!$A:S,HLOOKUP('[1]Course Totals'!E$4,'[1]import success seats course'!$1:$2,2,FALSE),FALSE)/(VLOOKUP($A888,'[1]import graded seats course pivo'!$A:AC,HLOOKUP('[1]Course Totals'!E$4,'[1]import graded seats course pivo'!$1:$2,2,FALSE),FALSE))),"")</f>
        <v/>
      </c>
      <c r="F888" s="14">
        <f>IFERROR((VLOOKUP($A888,'[1]import success seats course'!$A:T,HLOOKUP('[1]Course Totals'!F$4,'[1]import success seats course'!$1:$2,2,FALSE),FALSE)/(VLOOKUP($A888,'[1]import graded seats course pivo'!$A:AD,HLOOKUP('[1]Course Totals'!F$4,'[1]import graded seats course pivo'!$1:$2,2,FALSE),FALSE))),"")</f>
        <v>0.96551724137931039</v>
      </c>
      <c r="G888" s="14">
        <f>IFERROR((VLOOKUP($A888,'[1]import success seats course'!$A:U,HLOOKUP('[1]Course Totals'!G$4,'[1]import success seats course'!$1:$2,2,FALSE),FALSE)/(VLOOKUP($A888,'[1]import graded seats course pivo'!$A:AE,HLOOKUP('[1]Course Totals'!G$4,'[1]import graded seats course pivo'!$1:$2,2,FALSE),FALSE))),"")</f>
        <v>1</v>
      </c>
      <c r="H888" s="14" t="str">
        <f>IFERROR((VLOOKUP($A888,'[1]import success seats course'!$A:V,HLOOKUP('[1]Course Totals'!H$4,'[1]import success seats course'!$1:$2,2,FALSE),FALSE)/(VLOOKUP($A888,'[1]import graded seats course pivo'!$A:AF,HLOOKUP('[1]Course Totals'!H$4,'[1]import graded seats course pivo'!$1:$2,2,FALSE),FALSE))),"")</f>
        <v/>
      </c>
      <c r="I888" s="14">
        <f>IFERROR((VLOOKUP($A888,'[1]import success seats course'!$A:W,HLOOKUP('[1]Course Totals'!I$4,'[1]import success seats course'!$1:$2,2,FALSE),FALSE)/(VLOOKUP($A888,'[1]import graded seats course pivo'!$A:AG,HLOOKUP('[1]Course Totals'!I$4,'[1]import graded seats course pivo'!$1:$2,2,FALSE),FALSE))),"")</f>
        <v>1</v>
      </c>
      <c r="J888" s="14">
        <f>IFERROR((VLOOKUP($A888,'[1]import success seats course'!$A:X,HLOOKUP('[1]Course Totals'!J$4,'[1]import success seats course'!$1:$2,2,FALSE),FALSE)/(VLOOKUP($A888,'[1]import graded seats course pivo'!$A:AH,HLOOKUP('[1]Course Totals'!J$4,'[1]import graded seats course pivo'!$1:$2,2,FALSE),FALSE))),"")</f>
        <v>1</v>
      </c>
      <c r="K888" s="14" t="str">
        <f>IFERROR((VLOOKUP($A888,'[1]import success seats course'!$A:Y,HLOOKUP('[1]Course Totals'!K$4,'[1]import success seats course'!$1:$2,2,FALSE),FALSE)/(VLOOKUP($A888,'[1]import graded seats course pivo'!$A:AI,HLOOKUP('[1]Course Totals'!K$4,'[1]import graded seats course pivo'!$1:$2,2,FALSE),FALSE))),"")</f>
        <v/>
      </c>
      <c r="L888" s="14">
        <f>IFERROR((VLOOKUP($A888,'[1]import success seats course'!$A:Z,HLOOKUP('[1]Course Totals'!L$4,'[1]import success seats course'!$1:$2,2,FALSE),FALSE)/(VLOOKUP($A888,'[1]import graded seats course pivo'!$A:AJ,HLOOKUP('[1]Course Totals'!L$4,'[1]import graded seats course pivo'!$1:$2,2,FALSE),FALSE))),"")</f>
        <v>0.97058823529411764</v>
      </c>
      <c r="M888" s="14">
        <f>IFERROR((VLOOKUP($A888,'[1]import success seats course'!$A:AA,HLOOKUP('[1]Course Totals'!M$4,'[1]import success seats course'!$1:$2,2,FALSE),FALSE)/(VLOOKUP($A888,'[1]import graded seats course pivo'!$A:AK,HLOOKUP('[1]Course Totals'!M$4,'[1]import graded seats course pivo'!$1:$2,2,FALSE),FALSE))),"")</f>
        <v>1</v>
      </c>
      <c r="N888" s="14" t="str">
        <f>IFERROR((VLOOKUP($A888,'[1]import success seats course'!$A:AB,HLOOKUP('[1]Course Totals'!N$4,'[1]import success seats course'!$1:$2,2,FALSE),FALSE)/(VLOOKUP($A888,'[1]import graded seats course pivo'!$A:AL,HLOOKUP('[1]Course Totals'!N$4,'[1]import graded seats course pivo'!$1:$2,2,FALSE),FALSE))),"")</f>
        <v/>
      </c>
      <c r="O888" s="14">
        <f>IFERROR((VLOOKUP($A888,'[1]import success seats course'!$A:AC,HLOOKUP('[1]Course Totals'!O$4,'[1]import success seats course'!$1:$2,2,FALSE),FALSE)/(VLOOKUP($A888,'[1]import graded seats course pivo'!$A:AM,HLOOKUP('[1]Course Totals'!O$4,'[1]import graded seats course pivo'!$1:$2,2,FALSE),FALSE))),"")</f>
        <v>0.93939393939393945</v>
      </c>
      <c r="P888" s="14">
        <f>IFERROR((VLOOKUP($A888,'[1]import success seats course'!$A:AD,HLOOKUP('[1]Course Totals'!P$4,'[1]import success seats course'!$1:$2,2,FALSE),FALSE)/(VLOOKUP($A888,'[1]import graded seats course pivo'!$A:AN,HLOOKUP('[1]Course Totals'!P$4,'[1]import graded seats course pivo'!$1:$2,2,FALSE),FALSE))),"")</f>
        <v>0.96551724137931039</v>
      </c>
      <c r="Q888" s="14" t="str">
        <f>IFERROR((VLOOKUP($A888,'[1]import success seats course'!$A:AE,HLOOKUP('[1]Course Totals'!Q$4,'[1]import success seats course'!$1:$2,2,FALSE),FALSE)/(VLOOKUP($A888,'[1]import graded seats course pivo'!$A:AO,HLOOKUP('[1]Course Totals'!Q$4,'[1]import graded seats course pivo'!$1:$2,2,FALSE),FALSE))),"")</f>
        <v/>
      </c>
      <c r="R888" s="14">
        <f>IFERROR((VLOOKUP($A888,'[1]import success seats course'!$A:AF,HLOOKUP('[1]Course Totals'!R$4,'[1]import success seats course'!$1:$2,2,FALSE),FALSE)/(VLOOKUP($A888,'[1]import graded seats course pivo'!$A:AP,HLOOKUP('[1]Course Totals'!R$4,'[1]import graded seats course pivo'!$1:$2,2,FALSE),FALSE))),"")</f>
        <v>1</v>
      </c>
      <c r="S888" s="14">
        <f>IFERROR((VLOOKUP($A888,'[1]import success seats course'!$A:AG,HLOOKUP('[1]Course Totals'!S$4,'[1]import success seats course'!$1:$2,2,FALSE),FALSE)/(VLOOKUP($A888,'[1]import graded seats course pivo'!$A:AQ,HLOOKUP('[1]Course Totals'!S$4,'[1]import graded seats course pivo'!$1:$2,2,FALSE),FALSE))),"")</f>
        <v>1</v>
      </c>
      <c r="Z888" s="7"/>
      <c r="AA888" s="7"/>
      <c r="AB888" s="7"/>
      <c r="AC888" s="7"/>
    </row>
    <row r="889" spans="1:29" ht="15.75" customHeight="1" x14ac:dyDescent="0.25">
      <c r="A889" s="12" t="s">
        <v>652</v>
      </c>
      <c r="B889" s="14" t="str">
        <f>IFERROR((VLOOKUP($A889,'[1]import success seats course'!$A:P,HLOOKUP('[1]Course Totals'!B$4,'[1]import success seats course'!$1:$2,2,FALSE),FALSE)/(VLOOKUP($A889,'[1]import graded seats course pivo'!$A:Z,HLOOKUP('[1]Course Totals'!B$4,'[1]import graded seats course pivo'!$1:$2,2,FALSE),FALSE))),"")</f>
        <v/>
      </c>
      <c r="C889" s="14" t="str">
        <f>IFERROR((VLOOKUP($A889,'[1]import success seats course'!$A:Q,HLOOKUP('[1]Course Totals'!C$4,'[1]import success seats course'!$1:$2,2,FALSE),FALSE)/(VLOOKUP($A889,'[1]import graded seats course pivo'!$A:AA,HLOOKUP('[1]Course Totals'!C$4,'[1]import graded seats course pivo'!$1:$2,2,FALSE),FALSE))),"")</f>
        <v/>
      </c>
      <c r="D889" s="14" t="str">
        <f>IFERROR((VLOOKUP($A889,'[1]import success seats course'!$A:R,HLOOKUP('[1]Course Totals'!D$4,'[1]import success seats course'!$1:$2,2,FALSE),FALSE)/(VLOOKUP($A889,'[1]import graded seats course pivo'!$A:AB,HLOOKUP('[1]Course Totals'!D$4,'[1]import graded seats course pivo'!$1:$2,2,FALSE),FALSE))),"")</f>
        <v/>
      </c>
      <c r="E889" s="14" t="str">
        <f>IFERROR((VLOOKUP($A889,'[1]import success seats course'!$A:S,HLOOKUP('[1]Course Totals'!E$4,'[1]import success seats course'!$1:$2,2,FALSE),FALSE)/(VLOOKUP($A889,'[1]import graded seats course pivo'!$A:AC,HLOOKUP('[1]Course Totals'!E$4,'[1]import graded seats course pivo'!$1:$2,2,FALSE),FALSE))),"")</f>
        <v/>
      </c>
      <c r="F889" s="14">
        <f>IFERROR((VLOOKUP($A889,'[1]import success seats course'!$A:T,HLOOKUP('[1]Course Totals'!F$4,'[1]import success seats course'!$1:$2,2,FALSE),FALSE)/(VLOOKUP($A889,'[1]import graded seats course pivo'!$A:AD,HLOOKUP('[1]Course Totals'!F$4,'[1]import graded seats course pivo'!$1:$2,2,FALSE),FALSE))),"")</f>
        <v>1</v>
      </c>
      <c r="G889" s="14">
        <f>IFERROR((VLOOKUP($A889,'[1]import success seats course'!$A:U,HLOOKUP('[1]Course Totals'!G$4,'[1]import success seats course'!$1:$2,2,FALSE),FALSE)/(VLOOKUP($A889,'[1]import graded seats course pivo'!$A:AE,HLOOKUP('[1]Course Totals'!G$4,'[1]import graded seats course pivo'!$1:$2,2,FALSE),FALSE))),"")</f>
        <v>1</v>
      </c>
      <c r="H889" s="14" t="str">
        <f>IFERROR((VLOOKUP($A889,'[1]import success seats course'!$A:V,HLOOKUP('[1]Course Totals'!H$4,'[1]import success seats course'!$1:$2,2,FALSE),FALSE)/(VLOOKUP($A889,'[1]import graded seats course pivo'!$A:AF,HLOOKUP('[1]Course Totals'!H$4,'[1]import graded seats course pivo'!$1:$2,2,FALSE),FALSE))),"")</f>
        <v/>
      </c>
      <c r="I889" s="14">
        <f>IFERROR((VLOOKUP($A889,'[1]import success seats course'!$A:W,HLOOKUP('[1]Course Totals'!I$4,'[1]import success seats course'!$1:$2,2,FALSE),FALSE)/(VLOOKUP($A889,'[1]import graded seats course pivo'!$A:AG,HLOOKUP('[1]Course Totals'!I$4,'[1]import graded seats course pivo'!$1:$2,2,FALSE),FALSE))),"")</f>
        <v>1</v>
      </c>
      <c r="J889" s="14">
        <f>IFERROR((VLOOKUP($A889,'[1]import success seats course'!$A:X,HLOOKUP('[1]Course Totals'!J$4,'[1]import success seats course'!$1:$2,2,FALSE),FALSE)/(VLOOKUP($A889,'[1]import graded seats course pivo'!$A:AH,HLOOKUP('[1]Course Totals'!J$4,'[1]import graded seats course pivo'!$1:$2,2,FALSE),FALSE))),"")</f>
        <v>1</v>
      </c>
      <c r="K889" s="14" t="str">
        <f>IFERROR((VLOOKUP($A889,'[1]import success seats course'!$A:Y,HLOOKUP('[1]Course Totals'!K$4,'[1]import success seats course'!$1:$2,2,FALSE),FALSE)/(VLOOKUP($A889,'[1]import graded seats course pivo'!$A:AI,HLOOKUP('[1]Course Totals'!K$4,'[1]import graded seats course pivo'!$1:$2,2,FALSE),FALSE))),"")</f>
        <v/>
      </c>
      <c r="L889" s="14">
        <f>IFERROR((VLOOKUP($A889,'[1]import success seats course'!$A:Z,HLOOKUP('[1]Course Totals'!L$4,'[1]import success seats course'!$1:$2,2,FALSE),FALSE)/(VLOOKUP($A889,'[1]import graded seats course pivo'!$A:AJ,HLOOKUP('[1]Course Totals'!L$4,'[1]import graded seats course pivo'!$1:$2,2,FALSE),FALSE))),"")</f>
        <v>1</v>
      </c>
      <c r="M889" s="14">
        <f>IFERROR((VLOOKUP($A889,'[1]import success seats course'!$A:AA,HLOOKUP('[1]Course Totals'!M$4,'[1]import success seats course'!$1:$2,2,FALSE),FALSE)/(VLOOKUP($A889,'[1]import graded seats course pivo'!$A:AK,HLOOKUP('[1]Course Totals'!M$4,'[1]import graded seats course pivo'!$1:$2,2,FALSE),FALSE))),"")</f>
        <v>1</v>
      </c>
      <c r="N889" s="14" t="str">
        <f>IFERROR((VLOOKUP($A889,'[1]import success seats course'!$A:AB,HLOOKUP('[1]Course Totals'!N$4,'[1]import success seats course'!$1:$2,2,FALSE),FALSE)/(VLOOKUP($A889,'[1]import graded seats course pivo'!$A:AL,HLOOKUP('[1]Course Totals'!N$4,'[1]import graded seats course pivo'!$1:$2,2,FALSE),FALSE))),"")</f>
        <v/>
      </c>
      <c r="O889" s="14">
        <f>IFERROR((VLOOKUP($A889,'[1]import success seats course'!$A:AC,HLOOKUP('[1]Course Totals'!O$4,'[1]import success seats course'!$1:$2,2,FALSE),FALSE)/(VLOOKUP($A889,'[1]import graded seats course pivo'!$A:AM,HLOOKUP('[1]Course Totals'!O$4,'[1]import graded seats course pivo'!$1:$2,2,FALSE),FALSE))),"")</f>
        <v>1</v>
      </c>
      <c r="P889" s="14">
        <f>IFERROR((VLOOKUP($A889,'[1]import success seats course'!$A:AD,HLOOKUP('[1]Course Totals'!P$4,'[1]import success seats course'!$1:$2,2,FALSE),FALSE)/(VLOOKUP($A889,'[1]import graded seats course pivo'!$A:AN,HLOOKUP('[1]Course Totals'!P$4,'[1]import graded seats course pivo'!$1:$2,2,FALSE),FALSE))),"")</f>
        <v>1</v>
      </c>
      <c r="Q889" s="14" t="str">
        <f>IFERROR((VLOOKUP($A889,'[1]import success seats course'!$A:AE,HLOOKUP('[1]Course Totals'!Q$4,'[1]import success seats course'!$1:$2,2,FALSE),FALSE)/(VLOOKUP($A889,'[1]import graded seats course pivo'!$A:AO,HLOOKUP('[1]Course Totals'!Q$4,'[1]import graded seats course pivo'!$1:$2,2,FALSE),FALSE))),"")</f>
        <v/>
      </c>
      <c r="R889" s="14">
        <f>IFERROR((VLOOKUP($A889,'[1]import success seats course'!$A:AF,HLOOKUP('[1]Course Totals'!R$4,'[1]import success seats course'!$1:$2,2,FALSE),FALSE)/(VLOOKUP($A889,'[1]import graded seats course pivo'!$A:AP,HLOOKUP('[1]Course Totals'!R$4,'[1]import graded seats course pivo'!$1:$2,2,FALSE),FALSE))),"")</f>
        <v>1</v>
      </c>
      <c r="S889" s="14">
        <f>IFERROR((VLOOKUP($A889,'[1]import success seats course'!$A:AG,HLOOKUP('[1]Course Totals'!S$4,'[1]import success seats course'!$1:$2,2,FALSE),FALSE)/(VLOOKUP($A889,'[1]import graded seats course pivo'!$A:AQ,HLOOKUP('[1]Course Totals'!S$4,'[1]import graded seats course pivo'!$1:$2,2,FALSE),FALSE))),"")</f>
        <v>1</v>
      </c>
      <c r="Z889" s="7"/>
      <c r="AA889" s="7"/>
      <c r="AB889" s="7"/>
      <c r="AC889" s="7"/>
    </row>
    <row r="890" spans="1:29" ht="15.75" customHeight="1" x14ac:dyDescent="0.25">
      <c r="A890" s="12" t="s">
        <v>653</v>
      </c>
      <c r="B890" s="14" t="str">
        <f>IFERROR((VLOOKUP($A890,'[1]import success seats course'!$A:P,HLOOKUP('[1]Course Totals'!B$4,'[1]import success seats course'!$1:$2,2,FALSE),FALSE)/(VLOOKUP($A890,'[1]import graded seats course pivo'!$A:Z,HLOOKUP('[1]Course Totals'!B$4,'[1]import graded seats course pivo'!$1:$2,2,FALSE),FALSE))),"")</f>
        <v/>
      </c>
      <c r="C890" s="14" t="str">
        <f>IFERROR((VLOOKUP($A890,'[1]import success seats course'!$A:Q,HLOOKUP('[1]Course Totals'!C$4,'[1]import success seats course'!$1:$2,2,FALSE),FALSE)/(VLOOKUP($A890,'[1]import graded seats course pivo'!$A:AA,HLOOKUP('[1]Course Totals'!C$4,'[1]import graded seats course pivo'!$1:$2,2,FALSE),FALSE))),"")</f>
        <v/>
      </c>
      <c r="D890" s="14" t="str">
        <f>IFERROR((VLOOKUP($A890,'[1]import success seats course'!$A:R,HLOOKUP('[1]Course Totals'!D$4,'[1]import success seats course'!$1:$2,2,FALSE),FALSE)/(VLOOKUP($A890,'[1]import graded seats course pivo'!$A:AB,HLOOKUP('[1]Course Totals'!D$4,'[1]import graded seats course pivo'!$1:$2,2,FALSE),FALSE))),"")</f>
        <v/>
      </c>
      <c r="E890" s="14" t="str">
        <f>IFERROR((VLOOKUP($A890,'[1]import success seats course'!$A:S,HLOOKUP('[1]Course Totals'!E$4,'[1]import success seats course'!$1:$2,2,FALSE),FALSE)/(VLOOKUP($A890,'[1]import graded seats course pivo'!$A:AC,HLOOKUP('[1]Course Totals'!E$4,'[1]import graded seats course pivo'!$1:$2,2,FALSE),FALSE))),"")</f>
        <v/>
      </c>
      <c r="F890" s="14">
        <f>IFERROR((VLOOKUP($A890,'[1]import success seats course'!$A:T,HLOOKUP('[1]Course Totals'!F$4,'[1]import success seats course'!$1:$2,2,FALSE),FALSE)/(VLOOKUP($A890,'[1]import graded seats course pivo'!$A:AD,HLOOKUP('[1]Course Totals'!F$4,'[1]import graded seats course pivo'!$1:$2,2,FALSE),FALSE))),"")</f>
        <v>1</v>
      </c>
      <c r="G890" s="14">
        <f>IFERROR((VLOOKUP($A890,'[1]import success seats course'!$A:U,HLOOKUP('[1]Course Totals'!G$4,'[1]import success seats course'!$1:$2,2,FALSE),FALSE)/(VLOOKUP($A890,'[1]import graded seats course pivo'!$A:AE,HLOOKUP('[1]Course Totals'!G$4,'[1]import graded seats course pivo'!$1:$2,2,FALSE),FALSE))),"")</f>
        <v>1</v>
      </c>
      <c r="H890" s="14" t="str">
        <f>IFERROR((VLOOKUP($A890,'[1]import success seats course'!$A:V,HLOOKUP('[1]Course Totals'!H$4,'[1]import success seats course'!$1:$2,2,FALSE),FALSE)/(VLOOKUP($A890,'[1]import graded seats course pivo'!$A:AF,HLOOKUP('[1]Course Totals'!H$4,'[1]import graded seats course pivo'!$1:$2,2,FALSE),FALSE))),"")</f>
        <v/>
      </c>
      <c r="I890" s="14">
        <f>IFERROR((VLOOKUP($A890,'[1]import success seats course'!$A:W,HLOOKUP('[1]Course Totals'!I$4,'[1]import success seats course'!$1:$2,2,FALSE),FALSE)/(VLOOKUP($A890,'[1]import graded seats course pivo'!$A:AG,HLOOKUP('[1]Course Totals'!I$4,'[1]import graded seats course pivo'!$1:$2,2,FALSE),FALSE))),"")</f>
        <v>1</v>
      </c>
      <c r="J890" s="14">
        <f>IFERROR((VLOOKUP($A890,'[1]import success seats course'!$A:X,HLOOKUP('[1]Course Totals'!J$4,'[1]import success seats course'!$1:$2,2,FALSE),FALSE)/(VLOOKUP($A890,'[1]import graded seats course pivo'!$A:AH,HLOOKUP('[1]Course Totals'!J$4,'[1]import graded seats course pivo'!$1:$2,2,FALSE),FALSE))),"")</f>
        <v>1</v>
      </c>
      <c r="K890" s="14" t="str">
        <f>IFERROR((VLOOKUP($A890,'[1]import success seats course'!$A:Y,HLOOKUP('[1]Course Totals'!K$4,'[1]import success seats course'!$1:$2,2,FALSE),FALSE)/(VLOOKUP($A890,'[1]import graded seats course pivo'!$A:AI,HLOOKUP('[1]Course Totals'!K$4,'[1]import graded seats course pivo'!$1:$2,2,FALSE),FALSE))),"")</f>
        <v/>
      </c>
      <c r="L890" s="14">
        <f>IFERROR((VLOOKUP($A890,'[1]import success seats course'!$A:Z,HLOOKUP('[1]Course Totals'!L$4,'[1]import success seats course'!$1:$2,2,FALSE),FALSE)/(VLOOKUP($A890,'[1]import graded seats course pivo'!$A:AJ,HLOOKUP('[1]Course Totals'!L$4,'[1]import graded seats course pivo'!$1:$2,2,FALSE),FALSE))),"")</f>
        <v>1</v>
      </c>
      <c r="M890" s="14">
        <f>IFERROR((VLOOKUP($A890,'[1]import success seats course'!$A:AA,HLOOKUP('[1]Course Totals'!M$4,'[1]import success seats course'!$1:$2,2,FALSE),FALSE)/(VLOOKUP($A890,'[1]import graded seats course pivo'!$A:AK,HLOOKUP('[1]Course Totals'!M$4,'[1]import graded seats course pivo'!$1:$2,2,FALSE),FALSE))),"")</f>
        <v>1</v>
      </c>
      <c r="N890" s="14" t="str">
        <f>IFERROR((VLOOKUP($A890,'[1]import success seats course'!$A:AB,HLOOKUP('[1]Course Totals'!N$4,'[1]import success seats course'!$1:$2,2,FALSE),FALSE)/(VLOOKUP($A890,'[1]import graded seats course pivo'!$A:AL,HLOOKUP('[1]Course Totals'!N$4,'[1]import graded seats course pivo'!$1:$2,2,FALSE),FALSE))),"")</f>
        <v/>
      </c>
      <c r="O890" s="14">
        <f>IFERROR((VLOOKUP($A890,'[1]import success seats course'!$A:AC,HLOOKUP('[1]Course Totals'!O$4,'[1]import success seats course'!$1:$2,2,FALSE),FALSE)/(VLOOKUP($A890,'[1]import graded seats course pivo'!$A:AM,HLOOKUP('[1]Course Totals'!O$4,'[1]import graded seats course pivo'!$1:$2,2,FALSE),FALSE))),"")</f>
        <v>1</v>
      </c>
      <c r="P890" s="14">
        <f>IFERROR((VLOOKUP($A890,'[1]import success seats course'!$A:AD,HLOOKUP('[1]Course Totals'!P$4,'[1]import success seats course'!$1:$2,2,FALSE),FALSE)/(VLOOKUP($A890,'[1]import graded seats course pivo'!$A:AN,HLOOKUP('[1]Course Totals'!P$4,'[1]import graded seats course pivo'!$1:$2,2,FALSE),FALSE))),"")</f>
        <v>0.96666666666666667</v>
      </c>
      <c r="Q890" s="14" t="str">
        <f>IFERROR((VLOOKUP($A890,'[1]import success seats course'!$A:AE,HLOOKUP('[1]Course Totals'!Q$4,'[1]import success seats course'!$1:$2,2,FALSE),FALSE)/(VLOOKUP($A890,'[1]import graded seats course pivo'!$A:AO,HLOOKUP('[1]Course Totals'!Q$4,'[1]import graded seats course pivo'!$1:$2,2,FALSE),FALSE))),"")</f>
        <v/>
      </c>
      <c r="R890" s="14">
        <f>IFERROR((VLOOKUP($A890,'[1]import success seats course'!$A:AF,HLOOKUP('[1]Course Totals'!R$4,'[1]import success seats course'!$1:$2,2,FALSE),FALSE)/(VLOOKUP($A890,'[1]import graded seats course pivo'!$A:AP,HLOOKUP('[1]Course Totals'!R$4,'[1]import graded seats course pivo'!$1:$2,2,FALSE),FALSE))),"")</f>
        <v>1</v>
      </c>
      <c r="S890" s="14">
        <f>IFERROR((VLOOKUP($A890,'[1]import success seats course'!$A:AG,HLOOKUP('[1]Course Totals'!S$4,'[1]import success seats course'!$1:$2,2,FALSE),FALSE)/(VLOOKUP($A890,'[1]import graded seats course pivo'!$A:AQ,HLOOKUP('[1]Course Totals'!S$4,'[1]import graded seats course pivo'!$1:$2,2,FALSE),FALSE))),"")</f>
        <v>1</v>
      </c>
      <c r="Z890" s="7"/>
      <c r="AA890" s="7"/>
      <c r="AB890" s="7"/>
      <c r="AC890" s="7"/>
    </row>
    <row r="891" spans="1:29" ht="15.75" customHeight="1" x14ac:dyDescent="0.25">
      <c r="A891" s="12" t="s">
        <v>425</v>
      </c>
      <c r="B891" s="14" t="str">
        <f>IFERROR((VLOOKUP($A891,'[1]import success seats course'!$A:P,HLOOKUP('[1]Course Totals'!B$4,'[1]import success seats course'!$1:$2,2,FALSE),FALSE)/(VLOOKUP($A891,'[1]import graded seats course pivo'!$A:Z,HLOOKUP('[1]Course Totals'!B$4,'[1]import graded seats course pivo'!$1:$2,2,FALSE),FALSE))),"")</f>
        <v/>
      </c>
      <c r="C891" s="14">
        <f>IFERROR((VLOOKUP($A891,'[1]import success seats course'!$A:Q,HLOOKUP('[1]Course Totals'!C$4,'[1]import success seats course'!$1:$2,2,FALSE),FALSE)/(VLOOKUP($A891,'[1]import graded seats course pivo'!$A:AA,HLOOKUP('[1]Course Totals'!C$4,'[1]import graded seats course pivo'!$1:$2,2,FALSE),FALSE))),"")</f>
        <v>1</v>
      </c>
      <c r="D891" s="14">
        <f>IFERROR((VLOOKUP($A891,'[1]import success seats course'!$A:R,HLOOKUP('[1]Course Totals'!D$4,'[1]import success seats course'!$1:$2,2,FALSE),FALSE)/(VLOOKUP($A891,'[1]import graded seats course pivo'!$A:AB,HLOOKUP('[1]Course Totals'!D$4,'[1]import graded seats course pivo'!$1:$2,2,FALSE),FALSE))),"")</f>
        <v>0.97560975609756095</v>
      </c>
      <c r="E891" s="14" t="str">
        <f>IFERROR((VLOOKUP($A891,'[1]import success seats course'!$A:S,HLOOKUP('[1]Course Totals'!E$4,'[1]import success seats course'!$1:$2,2,FALSE),FALSE)/(VLOOKUP($A891,'[1]import graded seats course pivo'!$A:AC,HLOOKUP('[1]Course Totals'!E$4,'[1]import graded seats course pivo'!$1:$2,2,FALSE),FALSE))),"")</f>
        <v/>
      </c>
      <c r="F891" s="14">
        <f>IFERROR((VLOOKUP($A891,'[1]import success seats course'!$A:T,HLOOKUP('[1]Course Totals'!F$4,'[1]import success seats course'!$1:$2,2,FALSE),FALSE)/(VLOOKUP($A891,'[1]import graded seats course pivo'!$A:AD,HLOOKUP('[1]Course Totals'!F$4,'[1]import graded seats course pivo'!$1:$2,2,FALSE),FALSE))),"")</f>
        <v>0.97674418604651159</v>
      </c>
      <c r="G891" s="14" t="str">
        <f>IFERROR((VLOOKUP($A891,'[1]import success seats course'!$A:U,HLOOKUP('[1]Course Totals'!G$4,'[1]import success seats course'!$1:$2,2,FALSE),FALSE)/(VLOOKUP($A891,'[1]import graded seats course pivo'!$A:AE,HLOOKUP('[1]Course Totals'!G$4,'[1]import graded seats course pivo'!$1:$2,2,FALSE),FALSE))),"")</f>
        <v/>
      </c>
      <c r="H891" s="14" t="str">
        <f>IFERROR((VLOOKUP($A891,'[1]import success seats course'!$A:V,HLOOKUP('[1]Course Totals'!H$4,'[1]import success seats course'!$1:$2,2,FALSE),FALSE)/(VLOOKUP($A891,'[1]import graded seats course pivo'!$A:AF,HLOOKUP('[1]Course Totals'!H$4,'[1]import graded seats course pivo'!$1:$2,2,FALSE),FALSE))),"")</f>
        <v/>
      </c>
      <c r="I891" s="14" t="str">
        <f>IFERROR((VLOOKUP($A891,'[1]import success seats course'!$A:W,HLOOKUP('[1]Course Totals'!I$4,'[1]import success seats course'!$1:$2,2,FALSE),FALSE)/(VLOOKUP($A891,'[1]import graded seats course pivo'!$A:AG,HLOOKUP('[1]Course Totals'!I$4,'[1]import graded seats course pivo'!$1:$2,2,FALSE),FALSE))),"")</f>
        <v/>
      </c>
      <c r="J891" s="14" t="str">
        <f>IFERROR((VLOOKUP($A891,'[1]import success seats course'!$A:X,HLOOKUP('[1]Course Totals'!J$4,'[1]import success seats course'!$1:$2,2,FALSE),FALSE)/(VLOOKUP($A891,'[1]import graded seats course pivo'!$A:AH,HLOOKUP('[1]Course Totals'!J$4,'[1]import graded seats course pivo'!$1:$2,2,FALSE),FALSE))),"")</f>
        <v/>
      </c>
      <c r="K891" s="14" t="str">
        <f>IFERROR((VLOOKUP($A891,'[1]import success seats course'!$A:Y,HLOOKUP('[1]Course Totals'!K$4,'[1]import success seats course'!$1:$2,2,FALSE),FALSE)/(VLOOKUP($A891,'[1]import graded seats course pivo'!$A:AI,HLOOKUP('[1]Course Totals'!K$4,'[1]import graded seats course pivo'!$1:$2,2,FALSE),FALSE))),"")</f>
        <v/>
      </c>
      <c r="L891" s="14" t="str">
        <f>IFERROR((VLOOKUP($A891,'[1]import success seats course'!$A:Z,HLOOKUP('[1]Course Totals'!L$4,'[1]import success seats course'!$1:$2,2,FALSE),FALSE)/(VLOOKUP($A891,'[1]import graded seats course pivo'!$A:AJ,HLOOKUP('[1]Course Totals'!L$4,'[1]import graded seats course pivo'!$1:$2,2,FALSE),FALSE))),"")</f>
        <v/>
      </c>
      <c r="M891" s="14" t="str">
        <f>IFERROR((VLOOKUP($A891,'[1]import success seats course'!$A:AA,HLOOKUP('[1]Course Totals'!M$4,'[1]import success seats course'!$1:$2,2,FALSE),FALSE)/(VLOOKUP($A891,'[1]import graded seats course pivo'!$A:AK,HLOOKUP('[1]Course Totals'!M$4,'[1]import graded seats course pivo'!$1:$2,2,FALSE),FALSE))),"")</f>
        <v/>
      </c>
      <c r="N891" s="14" t="str">
        <f>IFERROR((VLOOKUP($A891,'[1]import success seats course'!$A:AB,HLOOKUP('[1]Course Totals'!N$4,'[1]import success seats course'!$1:$2,2,FALSE),FALSE)/(VLOOKUP($A891,'[1]import graded seats course pivo'!$A:AL,HLOOKUP('[1]Course Totals'!N$4,'[1]import graded seats course pivo'!$1:$2,2,FALSE),FALSE))),"")</f>
        <v/>
      </c>
      <c r="O891" s="14" t="str">
        <f>IFERROR((VLOOKUP($A891,'[1]import success seats course'!$A:AC,HLOOKUP('[1]Course Totals'!O$4,'[1]import success seats course'!$1:$2,2,FALSE),FALSE)/(VLOOKUP($A891,'[1]import graded seats course pivo'!$A:AM,HLOOKUP('[1]Course Totals'!O$4,'[1]import graded seats course pivo'!$1:$2,2,FALSE),FALSE))),"")</f>
        <v/>
      </c>
      <c r="P891" s="14" t="str">
        <f>IFERROR((VLOOKUP($A891,'[1]import success seats course'!$A:AD,HLOOKUP('[1]Course Totals'!P$4,'[1]import success seats course'!$1:$2,2,FALSE),FALSE)/(VLOOKUP($A891,'[1]import graded seats course pivo'!$A:AN,HLOOKUP('[1]Course Totals'!P$4,'[1]import graded seats course pivo'!$1:$2,2,FALSE),FALSE))),"")</f>
        <v/>
      </c>
      <c r="Q891" s="14" t="str">
        <f>IFERROR((VLOOKUP($A891,'[1]import success seats course'!$A:AE,HLOOKUP('[1]Course Totals'!Q$4,'[1]import success seats course'!$1:$2,2,FALSE),FALSE)/(VLOOKUP($A891,'[1]import graded seats course pivo'!$A:AO,HLOOKUP('[1]Course Totals'!Q$4,'[1]import graded seats course pivo'!$1:$2,2,FALSE),FALSE))),"")</f>
        <v/>
      </c>
      <c r="R891" s="14" t="str">
        <f>IFERROR((VLOOKUP($A891,'[1]import success seats course'!$A:AF,HLOOKUP('[1]Course Totals'!R$4,'[1]import success seats course'!$1:$2,2,FALSE),FALSE)/(VLOOKUP($A891,'[1]import graded seats course pivo'!$A:AP,HLOOKUP('[1]Course Totals'!R$4,'[1]import graded seats course pivo'!$1:$2,2,FALSE),FALSE))),"")</f>
        <v/>
      </c>
      <c r="S891" s="14" t="str">
        <f>IFERROR((VLOOKUP($A891,'[1]import success seats course'!$A:AG,HLOOKUP('[1]Course Totals'!S$4,'[1]import success seats course'!$1:$2,2,FALSE),FALSE)/(VLOOKUP($A891,'[1]import graded seats course pivo'!$A:AQ,HLOOKUP('[1]Course Totals'!S$4,'[1]import graded seats course pivo'!$1:$2,2,FALSE),FALSE))),"")</f>
        <v/>
      </c>
      <c r="Z891" s="7"/>
      <c r="AA891" s="7"/>
      <c r="AB891" s="7"/>
      <c r="AC891" s="7"/>
    </row>
    <row r="892" spans="1:29" ht="15.75" customHeight="1" x14ac:dyDescent="0.25">
      <c r="A892" s="12" t="s">
        <v>748</v>
      </c>
      <c r="B892" s="14" t="str">
        <f>IFERROR((VLOOKUP($A892,'[1]import success seats course'!$A:P,HLOOKUP('[1]Course Totals'!B$4,'[1]import success seats course'!$1:$2,2,FALSE),FALSE)/(VLOOKUP($A892,'[1]import graded seats course pivo'!$A:Z,HLOOKUP('[1]Course Totals'!B$4,'[1]import graded seats course pivo'!$1:$2,2,FALSE),FALSE))),"")</f>
        <v/>
      </c>
      <c r="C892" s="14" t="str">
        <f>IFERROR((VLOOKUP($A892,'[1]import success seats course'!$A:Q,HLOOKUP('[1]Course Totals'!C$4,'[1]import success seats course'!$1:$2,2,FALSE),FALSE)/(VLOOKUP($A892,'[1]import graded seats course pivo'!$A:AA,HLOOKUP('[1]Course Totals'!C$4,'[1]import graded seats course pivo'!$1:$2,2,FALSE),FALSE))),"")</f>
        <v/>
      </c>
      <c r="D892" s="14" t="str">
        <f>IFERROR((VLOOKUP($A892,'[1]import success seats course'!$A:R,HLOOKUP('[1]Course Totals'!D$4,'[1]import success seats course'!$1:$2,2,FALSE),FALSE)/(VLOOKUP($A892,'[1]import graded seats course pivo'!$A:AB,HLOOKUP('[1]Course Totals'!D$4,'[1]import graded seats course pivo'!$1:$2,2,FALSE),FALSE))),"")</f>
        <v/>
      </c>
      <c r="E892" s="14" t="str">
        <f>IFERROR((VLOOKUP($A892,'[1]import success seats course'!$A:S,HLOOKUP('[1]Course Totals'!E$4,'[1]import success seats course'!$1:$2,2,FALSE),FALSE)/(VLOOKUP($A892,'[1]import graded seats course pivo'!$A:AC,HLOOKUP('[1]Course Totals'!E$4,'[1]import graded seats course pivo'!$1:$2,2,FALSE),FALSE))),"")</f>
        <v/>
      </c>
      <c r="F892" s="14" t="str">
        <f>IFERROR((VLOOKUP($A892,'[1]import success seats course'!$A:T,HLOOKUP('[1]Course Totals'!F$4,'[1]import success seats course'!$1:$2,2,FALSE),FALSE)/(VLOOKUP($A892,'[1]import graded seats course pivo'!$A:AD,HLOOKUP('[1]Course Totals'!F$4,'[1]import graded seats course pivo'!$1:$2,2,FALSE),FALSE))),"")</f>
        <v/>
      </c>
      <c r="G892" s="14">
        <f>IFERROR((VLOOKUP($A892,'[1]import success seats course'!$A:U,HLOOKUP('[1]Course Totals'!G$4,'[1]import success seats course'!$1:$2,2,FALSE),FALSE)/(VLOOKUP($A892,'[1]import graded seats course pivo'!$A:AE,HLOOKUP('[1]Course Totals'!G$4,'[1]import graded seats course pivo'!$1:$2,2,FALSE),FALSE))),"")</f>
        <v>1</v>
      </c>
      <c r="H892" s="14" t="str">
        <f>IFERROR((VLOOKUP($A892,'[1]import success seats course'!$A:V,HLOOKUP('[1]Course Totals'!H$4,'[1]import success seats course'!$1:$2,2,FALSE),FALSE)/(VLOOKUP($A892,'[1]import graded seats course pivo'!$A:AF,HLOOKUP('[1]Course Totals'!H$4,'[1]import graded seats course pivo'!$1:$2,2,FALSE),FALSE))),"")</f>
        <v/>
      </c>
      <c r="I892" s="14">
        <f>IFERROR((VLOOKUP($A892,'[1]import success seats course'!$A:W,HLOOKUP('[1]Course Totals'!I$4,'[1]import success seats course'!$1:$2,2,FALSE),FALSE)/(VLOOKUP($A892,'[1]import graded seats course pivo'!$A:AG,HLOOKUP('[1]Course Totals'!I$4,'[1]import graded seats course pivo'!$1:$2,2,FALSE),FALSE))),"")</f>
        <v>1</v>
      </c>
      <c r="J892" s="14">
        <f>IFERROR((VLOOKUP($A892,'[1]import success seats course'!$A:X,HLOOKUP('[1]Course Totals'!J$4,'[1]import success seats course'!$1:$2,2,FALSE),FALSE)/(VLOOKUP($A892,'[1]import graded seats course pivo'!$A:AH,HLOOKUP('[1]Course Totals'!J$4,'[1]import graded seats course pivo'!$1:$2,2,FALSE),FALSE))),"")</f>
        <v>0.92307692307692313</v>
      </c>
      <c r="K892" s="14" t="str">
        <f>IFERROR((VLOOKUP($A892,'[1]import success seats course'!$A:Y,HLOOKUP('[1]Course Totals'!K$4,'[1]import success seats course'!$1:$2,2,FALSE),FALSE)/(VLOOKUP($A892,'[1]import graded seats course pivo'!$A:AI,HLOOKUP('[1]Course Totals'!K$4,'[1]import graded seats course pivo'!$1:$2,2,FALSE),FALSE))),"")</f>
        <v/>
      </c>
      <c r="L892" s="14">
        <f>IFERROR((VLOOKUP($A892,'[1]import success seats course'!$A:Z,HLOOKUP('[1]Course Totals'!L$4,'[1]import success seats course'!$1:$2,2,FALSE),FALSE)/(VLOOKUP($A892,'[1]import graded seats course pivo'!$A:AJ,HLOOKUP('[1]Course Totals'!L$4,'[1]import graded seats course pivo'!$1:$2,2,FALSE),FALSE))),"")</f>
        <v>1</v>
      </c>
      <c r="M892" s="14">
        <f>IFERROR((VLOOKUP($A892,'[1]import success seats course'!$A:AA,HLOOKUP('[1]Course Totals'!M$4,'[1]import success seats course'!$1:$2,2,FALSE),FALSE)/(VLOOKUP($A892,'[1]import graded seats course pivo'!$A:AK,HLOOKUP('[1]Course Totals'!M$4,'[1]import graded seats course pivo'!$1:$2,2,FALSE),FALSE))),"")</f>
        <v>1</v>
      </c>
      <c r="N892" s="14" t="str">
        <f>IFERROR((VLOOKUP($A892,'[1]import success seats course'!$A:AB,HLOOKUP('[1]Course Totals'!N$4,'[1]import success seats course'!$1:$2,2,FALSE),FALSE)/(VLOOKUP($A892,'[1]import graded seats course pivo'!$A:AL,HLOOKUP('[1]Course Totals'!N$4,'[1]import graded seats course pivo'!$1:$2,2,FALSE),FALSE))),"")</f>
        <v/>
      </c>
      <c r="O892" s="14">
        <f>IFERROR((VLOOKUP($A892,'[1]import success seats course'!$A:AC,HLOOKUP('[1]Course Totals'!O$4,'[1]import success seats course'!$1:$2,2,FALSE),FALSE)/(VLOOKUP($A892,'[1]import graded seats course pivo'!$A:AM,HLOOKUP('[1]Course Totals'!O$4,'[1]import graded seats course pivo'!$1:$2,2,FALSE),FALSE))),"")</f>
        <v>1</v>
      </c>
      <c r="P892" s="14">
        <f>IFERROR((VLOOKUP($A892,'[1]import success seats course'!$A:AD,HLOOKUP('[1]Course Totals'!P$4,'[1]import success seats course'!$1:$2,2,FALSE),FALSE)/(VLOOKUP($A892,'[1]import graded seats course pivo'!$A:AN,HLOOKUP('[1]Course Totals'!P$4,'[1]import graded seats course pivo'!$1:$2,2,FALSE),FALSE))),"")</f>
        <v>0.967741935483871</v>
      </c>
      <c r="Q892" s="14" t="str">
        <f>IFERROR((VLOOKUP($A892,'[1]import success seats course'!$A:AE,HLOOKUP('[1]Course Totals'!Q$4,'[1]import success seats course'!$1:$2,2,FALSE),FALSE)/(VLOOKUP($A892,'[1]import graded seats course pivo'!$A:AO,HLOOKUP('[1]Course Totals'!Q$4,'[1]import graded seats course pivo'!$1:$2,2,FALSE),FALSE))),"")</f>
        <v/>
      </c>
      <c r="R892" s="14">
        <f>IFERROR((VLOOKUP($A892,'[1]import success seats course'!$A:AF,HLOOKUP('[1]Course Totals'!R$4,'[1]import success seats course'!$1:$2,2,FALSE),FALSE)/(VLOOKUP($A892,'[1]import graded seats course pivo'!$A:AP,HLOOKUP('[1]Course Totals'!R$4,'[1]import graded seats course pivo'!$1:$2,2,FALSE),FALSE))),"")</f>
        <v>1</v>
      </c>
      <c r="S892" s="14">
        <f>IFERROR((VLOOKUP($A892,'[1]import success seats course'!$A:AG,HLOOKUP('[1]Course Totals'!S$4,'[1]import success seats course'!$1:$2,2,FALSE),FALSE)/(VLOOKUP($A892,'[1]import graded seats course pivo'!$A:AQ,HLOOKUP('[1]Course Totals'!S$4,'[1]import graded seats course pivo'!$1:$2,2,FALSE),FALSE))),"")</f>
        <v>1</v>
      </c>
      <c r="Z892" s="7"/>
      <c r="AA892" s="7"/>
      <c r="AB892" s="7"/>
      <c r="AC892" s="7"/>
    </row>
    <row r="893" spans="1:29" ht="15.75" customHeight="1" x14ac:dyDescent="0.25">
      <c r="A893" s="12" t="s">
        <v>749</v>
      </c>
      <c r="B893" s="14" t="str">
        <f>IFERROR((VLOOKUP($A893,'[1]import success seats course'!$A:P,HLOOKUP('[1]Course Totals'!B$4,'[1]import success seats course'!$1:$2,2,FALSE),FALSE)/(VLOOKUP($A893,'[1]import graded seats course pivo'!$A:Z,HLOOKUP('[1]Course Totals'!B$4,'[1]import graded seats course pivo'!$1:$2,2,FALSE),FALSE))),"")</f>
        <v/>
      </c>
      <c r="C893" s="14" t="str">
        <f>IFERROR((VLOOKUP($A893,'[1]import success seats course'!$A:Q,HLOOKUP('[1]Course Totals'!C$4,'[1]import success seats course'!$1:$2,2,FALSE),FALSE)/(VLOOKUP($A893,'[1]import graded seats course pivo'!$A:AA,HLOOKUP('[1]Course Totals'!C$4,'[1]import graded seats course pivo'!$1:$2,2,FALSE),FALSE))),"")</f>
        <v/>
      </c>
      <c r="D893" s="14" t="str">
        <f>IFERROR((VLOOKUP($A893,'[1]import success seats course'!$A:R,HLOOKUP('[1]Course Totals'!D$4,'[1]import success seats course'!$1:$2,2,FALSE),FALSE)/(VLOOKUP($A893,'[1]import graded seats course pivo'!$A:AB,HLOOKUP('[1]Course Totals'!D$4,'[1]import graded seats course pivo'!$1:$2,2,FALSE),FALSE))),"")</f>
        <v/>
      </c>
      <c r="E893" s="14" t="str">
        <f>IFERROR((VLOOKUP($A893,'[1]import success seats course'!$A:S,HLOOKUP('[1]Course Totals'!E$4,'[1]import success seats course'!$1:$2,2,FALSE),FALSE)/(VLOOKUP($A893,'[1]import graded seats course pivo'!$A:AC,HLOOKUP('[1]Course Totals'!E$4,'[1]import graded seats course pivo'!$1:$2,2,FALSE),FALSE))),"")</f>
        <v/>
      </c>
      <c r="F893" s="14" t="str">
        <f>IFERROR((VLOOKUP($A893,'[1]import success seats course'!$A:T,HLOOKUP('[1]Course Totals'!F$4,'[1]import success seats course'!$1:$2,2,FALSE),FALSE)/(VLOOKUP($A893,'[1]import graded seats course pivo'!$A:AD,HLOOKUP('[1]Course Totals'!F$4,'[1]import graded seats course pivo'!$1:$2,2,FALSE),FALSE))),"")</f>
        <v/>
      </c>
      <c r="G893" s="14">
        <f>IFERROR((VLOOKUP($A893,'[1]import success seats course'!$A:U,HLOOKUP('[1]Course Totals'!G$4,'[1]import success seats course'!$1:$2,2,FALSE),FALSE)/(VLOOKUP($A893,'[1]import graded seats course pivo'!$A:AE,HLOOKUP('[1]Course Totals'!G$4,'[1]import graded seats course pivo'!$1:$2,2,FALSE),FALSE))),"")</f>
        <v>1</v>
      </c>
      <c r="H893" s="14" t="str">
        <f>IFERROR((VLOOKUP($A893,'[1]import success seats course'!$A:V,HLOOKUP('[1]Course Totals'!H$4,'[1]import success seats course'!$1:$2,2,FALSE),FALSE)/(VLOOKUP($A893,'[1]import graded seats course pivo'!$A:AF,HLOOKUP('[1]Course Totals'!H$4,'[1]import graded seats course pivo'!$1:$2,2,FALSE),FALSE))),"")</f>
        <v/>
      </c>
      <c r="I893" s="14">
        <f>IFERROR((VLOOKUP($A893,'[1]import success seats course'!$A:W,HLOOKUP('[1]Course Totals'!I$4,'[1]import success seats course'!$1:$2,2,FALSE),FALSE)/(VLOOKUP($A893,'[1]import graded seats course pivo'!$A:AG,HLOOKUP('[1]Course Totals'!I$4,'[1]import graded seats course pivo'!$1:$2,2,FALSE),FALSE))),"")</f>
        <v>1</v>
      </c>
      <c r="J893" s="14">
        <f>IFERROR((VLOOKUP($A893,'[1]import success seats course'!$A:X,HLOOKUP('[1]Course Totals'!J$4,'[1]import success seats course'!$1:$2,2,FALSE),FALSE)/(VLOOKUP($A893,'[1]import graded seats course pivo'!$A:AH,HLOOKUP('[1]Course Totals'!J$4,'[1]import graded seats course pivo'!$1:$2,2,FALSE),FALSE))),"")</f>
        <v>1</v>
      </c>
      <c r="K893" s="14" t="str">
        <f>IFERROR((VLOOKUP($A893,'[1]import success seats course'!$A:Y,HLOOKUP('[1]Course Totals'!K$4,'[1]import success seats course'!$1:$2,2,FALSE),FALSE)/(VLOOKUP($A893,'[1]import graded seats course pivo'!$A:AI,HLOOKUP('[1]Course Totals'!K$4,'[1]import graded seats course pivo'!$1:$2,2,FALSE),FALSE))),"")</f>
        <v/>
      </c>
      <c r="L893" s="14">
        <f>IFERROR((VLOOKUP($A893,'[1]import success seats course'!$A:Z,HLOOKUP('[1]Course Totals'!L$4,'[1]import success seats course'!$1:$2,2,FALSE),FALSE)/(VLOOKUP($A893,'[1]import graded seats course pivo'!$A:AJ,HLOOKUP('[1]Course Totals'!L$4,'[1]import graded seats course pivo'!$1:$2,2,FALSE),FALSE))),"")</f>
        <v>1</v>
      </c>
      <c r="M893" s="14">
        <f>IFERROR((VLOOKUP($A893,'[1]import success seats course'!$A:AA,HLOOKUP('[1]Course Totals'!M$4,'[1]import success seats course'!$1:$2,2,FALSE),FALSE)/(VLOOKUP($A893,'[1]import graded seats course pivo'!$A:AK,HLOOKUP('[1]Course Totals'!M$4,'[1]import graded seats course pivo'!$1:$2,2,FALSE),FALSE))),"")</f>
        <v>1</v>
      </c>
      <c r="N893" s="14" t="str">
        <f>IFERROR((VLOOKUP($A893,'[1]import success seats course'!$A:AB,HLOOKUP('[1]Course Totals'!N$4,'[1]import success seats course'!$1:$2,2,FALSE),FALSE)/(VLOOKUP($A893,'[1]import graded seats course pivo'!$A:AL,HLOOKUP('[1]Course Totals'!N$4,'[1]import graded seats course pivo'!$1:$2,2,FALSE),FALSE))),"")</f>
        <v/>
      </c>
      <c r="O893" s="14">
        <f>IFERROR((VLOOKUP($A893,'[1]import success seats course'!$A:AC,HLOOKUP('[1]Course Totals'!O$4,'[1]import success seats course'!$1:$2,2,FALSE),FALSE)/(VLOOKUP($A893,'[1]import graded seats course pivo'!$A:AM,HLOOKUP('[1]Course Totals'!O$4,'[1]import graded seats course pivo'!$1:$2,2,FALSE),FALSE))),"")</f>
        <v>1</v>
      </c>
      <c r="P893" s="14">
        <f>IFERROR((VLOOKUP($A893,'[1]import success seats course'!$A:AD,HLOOKUP('[1]Course Totals'!P$4,'[1]import success seats course'!$1:$2,2,FALSE),FALSE)/(VLOOKUP($A893,'[1]import graded seats course pivo'!$A:AN,HLOOKUP('[1]Course Totals'!P$4,'[1]import graded seats course pivo'!$1:$2,2,FALSE),FALSE))),"")</f>
        <v>1</v>
      </c>
      <c r="Q893" s="14" t="str">
        <f>IFERROR((VLOOKUP($A893,'[1]import success seats course'!$A:AE,HLOOKUP('[1]Course Totals'!Q$4,'[1]import success seats course'!$1:$2,2,FALSE),FALSE)/(VLOOKUP($A893,'[1]import graded seats course pivo'!$A:AO,HLOOKUP('[1]Course Totals'!Q$4,'[1]import graded seats course pivo'!$1:$2,2,FALSE),FALSE))),"")</f>
        <v/>
      </c>
      <c r="R893" s="14">
        <f>IFERROR((VLOOKUP($A893,'[1]import success seats course'!$A:AF,HLOOKUP('[1]Course Totals'!R$4,'[1]import success seats course'!$1:$2,2,FALSE),FALSE)/(VLOOKUP($A893,'[1]import graded seats course pivo'!$A:AP,HLOOKUP('[1]Course Totals'!R$4,'[1]import graded seats course pivo'!$1:$2,2,FALSE),FALSE))),"")</f>
        <v>1</v>
      </c>
      <c r="S893" s="14">
        <f>IFERROR((VLOOKUP($A893,'[1]import success seats course'!$A:AG,HLOOKUP('[1]Course Totals'!S$4,'[1]import success seats course'!$1:$2,2,FALSE),FALSE)/(VLOOKUP($A893,'[1]import graded seats course pivo'!$A:AQ,HLOOKUP('[1]Course Totals'!S$4,'[1]import graded seats course pivo'!$1:$2,2,FALSE),FALSE))),"")</f>
        <v>1</v>
      </c>
      <c r="Z893" s="7"/>
      <c r="AA893" s="7"/>
      <c r="AB893" s="7"/>
      <c r="AC893" s="7"/>
    </row>
    <row r="894" spans="1:29" ht="15.75" customHeight="1" x14ac:dyDescent="0.25">
      <c r="A894" s="12" t="s">
        <v>426</v>
      </c>
      <c r="B894" s="14" t="str">
        <f>IFERROR((VLOOKUP($A894,'[1]import success seats course'!$A:P,HLOOKUP('[1]Course Totals'!B$4,'[1]import success seats course'!$1:$2,2,FALSE),FALSE)/(VLOOKUP($A894,'[1]import graded seats course pivo'!$A:Z,HLOOKUP('[1]Course Totals'!B$4,'[1]import graded seats course pivo'!$1:$2,2,FALSE),FALSE))),"")</f>
        <v/>
      </c>
      <c r="C894" s="14" t="str">
        <f>IFERROR((VLOOKUP($A894,'[1]import success seats course'!$A:Q,HLOOKUP('[1]Course Totals'!C$4,'[1]import success seats course'!$1:$2,2,FALSE),FALSE)/(VLOOKUP($A894,'[1]import graded seats course pivo'!$A:AA,HLOOKUP('[1]Course Totals'!C$4,'[1]import graded seats course pivo'!$1:$2,2,FALSE),FALSE))),"")</f>
        <v/>
      </c>
      <c r="D894" s="14">
        <f>IFERROR((VLOOKUP($A894,'[1]import success seats course'!$A:R,HLOOKUP('[1]Course Totals'!D$4,'[1]import success seats course'!$1:$2,2,FALSE),FALSE)/(VLOOKUP($A894,'[1]import graded seats course pivo'!$A:AB,HLOOKUP('[1]Course Totals'!D$4,'[1]import graded seats course pivo'!$1:$2,2,FALSE),FALSE))),"")</f>
        <v>1</v>
      </c>
      <c r="E894" s="14" t="str">
        <f>IFERROR((VLOOKUP($A894,'[1]import success seats course'!$A:S,HLOOKUP('[1]Course Totals'!E$4,'[1]import success seats course'!$1:$2,2,FALSE),FALSE)/(VLOOKUP($A894,'[1]import graded seats course pivo'!$A:AC,HLOOKUP('[1]Course Totals'!E$4,'[1]import graded seats course pivo'!$1:$2,2,FALSE),FALSE))),"")</f>
        <v/>
      </c>
      <c r="F894" s="14">
        <f>IFERROR((VLOOKUP($A894,'[1]import success seats course'!$A:T,HLOOKUP('[1]Course Totals'!F$4,'[1]import success seats course'!$1:$2,2,FALSE),FALSE)/(VLOOKUP($A894,'[1]import graded seats course pivo'!$A:AD,HLOOKUP('[1]Course Totals'!F$4,'[1]import graded seats course pivo'!$1:$2,2,FALSE),FALSE))),"")</f>
        <v>0.88888888888888884</v>
      </c>
      <c r="G894" s="14">
        <f>IFERROR((VLOOKUP($A894,'[1]import success seats course'!$A:U,HLOOKUP('[1]Course Totals'!G$4,'[1]import success seats course'!$1:$2,2,FALSE),FALSE)/(VLOOKUP($A894,'[1]import graded seats course pivo'!$A:AE,HLOOKUP('[1]Course Totals'!G$4,'[1]import graded seats course pivo'!$1:$2,2,FALSE),FALSE))),"")</f>
        <v>1</v>
      </c>
      <c r="H894" s="14" t="str">
        <f>IFERROR((VLOOKUP($A894,'[1]import success seats course'!$A:V,HLOOKUP('[1]Course Totals'!H$4,'[1]import success seats course'!$1:$2,2,FALSE),FALSE)/(VLOOKUP($A894,'[1]import graded seats course pivo'!$A:AF,HLOOKUP('[1]Course Totals'!H$4,'[1]import graded seats course pivo'!$1:$2,2,FALSE),FALSE))),"")</f>
        <v/>
      </c>
      <c r="I894" s="14" t="str">
        <f>IFERROR((VLOOKUP($A894,'[1]import success seats course'!$A:W,HLOOKUP('[1]Course Totals'!I$4,'[1]import success seats course'!$1:$2,2,FALSE),FALSE)/(VLOOKUP($A894,'[1]import graded seats course pivo'!$A:AG,HLOOKUP('[1]Course Totals'!I$4,'[1]import graded seats course pivo'!$1:$2,2,FALSE),FALSE))),"")</f>
        <v/>
      </c>
      <c r="J894" s="14" t="str">
        <f>IFERROR((VLOOKUP($A894,'[1]import success seats course'!$A:X,HLOOKUP('[1]Course Totals'!J$4,'[1]import success seats course'!$1:$2,2,FALSE),FALSE)/(VLOOKUP($A894,'[1]import graded seats course pivo'!$A:AH,HLOOKUP('[1]Course Totals'!J$4,'[1]import graded seats course pivo'!$1:$2,2,FALSE),FALSE))),"")</f>
        <v/>
      </c>
      <c r="K894" s="14" t="str">
        <f>IFERROR((VLOOKUP($A894,'[1]import success seats course'!$A:Y,HLOOKUP('[1]Course Totals'!K$4,'[1]import success seats course'!$1:$2,2,FALSE),FALSE)/(VLOOKUP($A894,'[1]import graded seats course pivo'!$A:AI,HLOOKUP('[1]Course Totals'!K$4,'[1]import graded seats course pivo'!$1:$2,2,FALSE),FALSE))),"")</f>
        <v/>
      </c>
      <c r="L894" s="14" t="str">
        <f>IFERROR((VLOOKUP($A894,'[1]import success seats course'!$A:Z,HLOOKUP('[1]Course Totals'!L$4,'[1]import success seats course'!$1:$2,2,FALSE),FALSE)/(VLOOKUP($A894,'[1]import graded seats course pivo'!$A:AJ,HLOOKUP('[1]Course Totals'!L$4,'[1]import graded seats course pivo'!$1:$2,2,FALSE),FALSE))),"")</f>
        <v/>
      </c>
      <c r="M894" s="14" t="str">
        <f>IFERROR((VLOOKUP($A894,'[1]import success seats course'!$A:AA,HLOOKUP('[1]Course Totals'!M$4,'[1]import success seats course'!$1:$2,2,FALSE),FALSE)/(VLOOKUP($A894,'[1]import graded seats course pivo'!$A:AK,HLOOKUP('[1]Course Totals'!M$4,'[1]import graded seats course pivo'!$1:$2,2,FALSE),FALSE))),"")</f>
        <v/>
      </c>
      <c r="N894" s="14" t="str">
        <f>IFERROR((VLOOKUP($A894,'[1]import success seats course'!$A:AB,HLOOKUP('[1]Course Totals'!N$4,'[1]import success seats course'!$1:$2,2,FALSE),FALSE)/(VLOOKUP($A894,'[1]import graded seats course pivo'!$A:AL,HLOOKUP('[1]Course Totals'!N$4,'[1]import graded seats course pivo'!$1:$2,2,FALSE),FALSE))),"")</f>
        <v/>
      </c>
      <c r="O894" s="14" t="str">
        <f>IFERROR((VLOOKUP($A894,'[1]import success seats course'!$A:AC,HLOOKUP('[1]Course Totals'!O$4,'[1]import success seats course'!$1:$2,2,FALSE),FALSE)/(VLOOKUP($A894,'[1]import graded seats course pivo'!$A:AM,HLOOKUP('[1]Course Totals'!O$4,'[1]import graded seats course pivo'!$1:$2,2,FALSE),FALSE))),"")</f>
        <v/>
      </c>
      <c r="P894" s="14" t="str">
        <f>IFERROR((VLOOKUP($A894,'[1]import success seats course'!$A:AD,HLOOKUP('[1]Course Totals'!P$4,'[1]import success seats course'!$1:$2,2,FALSE),FALSE)/(VLOOKUP($A894,'[1]import graded seats course pivo'!$A:AN,HLOOKUP('[1]Course Totals'!P$4,'[1]import graded seats course pivo'!$1:$2,2,FALSE),FALSE))),"")</f>
        <v/>
      </c>
      <c r="Q894" s="14" t="str">
        <f>IFERROR((VLOOKUP($A894,'[1]import success seats course'!$A:AE,HLOOKUP('[1]Course Totals'!Q$4,'[1]import success seats course'!$1:$2,2,FALSE),FALSE)/(VLOOKUP($A894,'[1]import graded seats course pivo'!$A:AO,HLOOKUP('[1]Course Totals'!Q$4,'[1]import graded seats course pivo'!$1:$2,2,FALSE),FALSE))),"")</f>
        <v/>
      </c>
      <c r="R894" s="14" t="str">
        <f>IFERROR((VLOOKUP($A894,'[1]import success seats course'!$A:AF,HLOOKUP('[1]Course Totals'!R$4,'[1]import success seats course'!$1:$2,2,FALSE),FALSE)/(VLOOKUP($A894,'[1]import graded seats course pivo'!$A:AP,HLOOKUP('[1]Course Totals'!R$4,'[1]import graded seats course pivo'!$1:$2,2,FALSE),FALSE))),"")</f>
        <v/>
      </c>
      <c r="S894" s="14" t="str">
        <f>IFERROR((VLOOKUP($A894,'[1]import success seats course'!$A:AG,HLOOKUP('[1]Course Totals'!S$4,'[1]import success seats course'!$1:$2,2,FALSE),FALSE)/(VLOOKUP($A894,'[1]import graded seats course pivo'!$A:AQ,HLOOKUP('[1]Course Totals'!S$4,'[1]import graded seats course pivo'!$1:$2,2,FALSE),FALSE))),"")</f>
        <v/>
      </c>
      <c r="Z894" s="7"/>
      <c r="AA894" s="7"/>
      <c r="AB894" s="7"/>
      <c r="AC894" s="7"/>
    </row>
    <row r="895" spans="1:29" ht="15.75" x14ac:dyDescent="0.25">
      <c r="A895" s="9" t="s">
        <v>1139</v>
      </c>
      <c r="B895" s="67" t="str">
        <f>'[1]Subject TOTALS'!$B$1:$P$1</f>
        <v xml:space="preserve">MVC Retention Rates </v>
      </c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Z895" s="7"/>
      <c r="AA895" s="7"/>
      <c r="AB895" s="7"/>
      <c r="AC895" s="7"/>
    </row>
    <row r="896" spans="1:29" ht="15.75" customHeight="1" thickBot="1" x14ac:dyDescent="0.3">
      <c r="A896" s="8" t="str">
        <f>'[1]SUBJECTS BASE'!H50</f>
        <v>Nutrition</v>
      </c>
      <c r="B896" s="38" t="s">
        <v>1046</v>
      </c>
      <c r="C896" s="39" t="s">
        <v>0</v>
      </c>
      <c r="D896" s="40" t="s">
        <v>868</v>
      </c>
      <c r="E896" s="41" t="s">
        <v>1052</v>
      </c>
      <c r="F896" s="42" t="s">
        <v>546</v>
      </c>
      <c r="G896" s="43" t="s">
        <v>959</v>
      </c>
      <c r="H896" s="44" t="s">
        <v>1060</v>
      </c>
      <c r="I896" s="39" t="s">
        <v>675</v>
      </c>
      <c r="J896" s="45" t="s">
        <v>1006</v>
      </c>
      <c r="K896" s="46" t="s">
        <v>1062</v>
      </c>
      <c r="L896" s="42" t="s">
        <v>762</v>
      </c>
      <c r="M896" s="43" t="s">
        <v>1022</v>
      </c>
      <c r="N896" s="44" t="s">
        <v>1063</v>
      </c>
      <c r="O896" s="39" t="s">
        <v>822</v>
      </c>
      <c r="P896" s="40" t="s">
        <v>1042</v>
      </c>
      <c r="Q896" s="46" t="s">
        <v>1153</v>
      </c>
      <c r="R896" s="42" t="s">
        <v>1154</v>
      </c>
      <c r="S896" s="43" t="s">
        <v>1155</v>
      </c>
      <c r="Z896" s="7"/>
      <c r="AA896" s="7"/>
      <c r="AB896" s="7"/>
      <c r="AC896" s="7"/>
    </row>
    <row r="897" spans="1:29" ht="15.75" customHeight="1" x14ac:dyDescent="0.25">
      <c r="A897" s="12" t="s">
        <v>427</v>
      </c>
      <c r="B897" s="14">
        <f>IFERROR((VLOOKUP($A897,'[1]import success seats course'!$A:P,HLOOKUP('[1]Course Totals'!B$4,'[1]import success seats course'!$1:$2,2,FALSE),FALSE)/(VLOOKUP($A897,'[1]import graded seats course pivo'!$A:Z,HLOOKUP('[1]Course Totals'!B$4,'[1]import graded seats course pivo'!$1:$2,2,FALSE),FALSE))),"")</f>
        <v>1</v>
      </c>
      <c r="C897" s="14">
        <f>IFERROR((VLOOKUP($A897,'[1]import success seats course'!$A:Q,HLOOKUP('[1]Course Totals'!C$4,'[1]import success seats course'!$1:$2,2,FALSE),FALSE)/(VLOOKUP($A897,'[1]import graded seats course pivo'!$A:AA,HLOOKUP('[1]Course Totals'!C$4,'[1]import graded seats course pivo'!$1:$2,2,FALSE),FALSE))),"")</f>
        <v>0.86075949367088611</v>
      </c>
      <c r="D897" s="14">
        <f>IFERROR((VLOOKUP($A897,'[1]import success seats course'!$A:R,HLOOKUP('[1]Course Totals'!D$4,'[1]import success seats course'!$1:$2,2,FALSE),FALSE)/(VLOOKUP($A897,'[1]import graded seats course pivo'!$A:AB,HLOOKUP('[1]Course Totals'!D$4,'[1]import graded seats course pivo'!$1:$2,2,FALSE),FALSE))),"")</f>
        <v>0.87804878048780488</v>
      </c>
      <c r="E897" s="14" t="str">
        <f>IFERROR((VLOOKUP($A897,'[1]import success seats course'!$A:S,HLOOKUP('[1]Course Totals'!E$4,'[1]import success seats course'!$1:$2,2,FALSE),FALSE)/(VLOOKUP($A897,'[1]import graded seats course pivo'!$A:AC,HLOOKUP('[1]Course Totals'!E$4,'[1]import graded seats course pivo'!$1:$2,2,FALSE),FALSE))),"")</f>
        <v/>
      </c>
      <c r="F897" s="14">
        <f>IFERROR((VLOOKUP($A897,'[1]import success seats course'!$A:T,HLOOKUP('[1]Course Totals'!F$4,'[1]import success seats course'!$1:$2,2,FALSE),FALSE)/(VLOOKUP($A897,'[1]import graded seats course pivo'!$A:AD,HLOOKUP('[1]Course Totals'!F$4,'[1]import graded seats course pivo'!$1:$2,2,FALSE),FALSE))),"")</f>
        <v>0.90697674418604646</v>
      </c>
      <c r="G897" s="14">
        <f>IFERROR((VLOOKUP($A897,'[1]import success seats course'!$A:U,HLOOKUP('[1]Course Totals'!G$4,'[1]import success seats course'!$1:$2,2,FALSE),FALSE)/(VLOOKUP($A897,'[1]import graded seats course pivo'!$A:AE,HLOOKUP('[1]Course Totals'!G$4,'[1]import graded seats course pivo'!$1:$2,2,FALSE),FALSE))),"")</f>
        <v>0.91891891891891897</v>
      </c>
      <c r="H897" s="14" t="str">
        <f>IFERROR((VLOOKUP($A897,'[1]import success seats course'!$A:V,HLOOKUP('[1]Course Totals'!H$4,'[1]import success seats course'!$1:$2,2,FALSE),FALSE)/(VLOOKUP($A897,'[1]import graded seats course pivo'!$A:AF,HLOOKUP('[1]Course Totals'!H$4,'[1]import graded seats course pivo'!$1:$2,2,FALSE),FALSE))),"")</f>
        <v/>
      </c>
      <c r="I897" s="14">
        <f>IFERROR((VLOOKUP($A897,'[1]import success seats course'!$A:W,HLOOKUP('[1]Course Totals'!I$4,'[1]import success seats course'!$1:$2,2,FALSE),FALSE)/(VLOOKUP($A897,'[1]import graded seats course pivo'!$A:AG,HLOOKUP('[1]Course Totals'!I$4,'[1]import graded seats course pivo'!$1:$2,2,FALSE),FALSE))),"")</f>
        <v>0.95</v>
      </c>
      <c r="J897" s="14">
        <f>IFERROR((VLOOKUP($A897,'[1]import success seats course'!$A:X,HLOOKUP('[1]Course Totals'!J$4,'[1]import success seats course'!$1:$2,2,FALSE),FALSE)/(VLOOKUP($A897,'[1]import graded seats course pivo'!$A:AH,HLOOKUP('[1]Course Totals'!J$4,'[1]import graded seats course pivo'!$1:$2,2,FALSE),FALSE))),"")</f>
        <v>0.97826086956521741</v>
      </c>
      <c r="K897" s="14" t="str">
        <f>IFERROR((VLOOKUP($A897,'[1]import success seats course'!$A:Y,HLOOKUP('[1]Course Totals'!K$4,'[1]import success seats course'!$1:$2,2,FALSE),FALSE)/(VLOOKUP($A897,'[1]import graded seats course pivo'!$A:AI,HLOOKUP('[1]Course Totals'!K$4,'[1]import graded seats course pivo'!$1:$2,2,FALSE),FALSE))),"")</f>
        <v/>
      </c>
      <c r="L897" s="14">
        <f>IFERROR((VLOOKUP($A897,'[1]import success seats course'!$A:Z,HLOOKUP('[1]Course Totals'!L$4,'[1]import success seats course'!$1:$2,2,FALSE),FALSE)/(VLOOKUP($A897,'[1]import graded seats course pivo'!$A:AJ,HLOOKUP('[1]Course Totals'!L$4,'[1]import graded seats course pivo'!$1:$2,2,FALSE),FALSE))),"")</f>
        <v>0.97499999999999998</v>
      </c>
      <c r="M897" s="14">
        <f>IFERROR((VLOOKUP($A897,'[1]import success seats course'!$A:AA,HLOOKUP('[1]Course Totals'!M$4,'[1]import success seats course'!$1:$2,2,FALSE),FALSE)/(VLOOKUP($A897,'[1]import graded seats course pivo'!$A:AK,HLOOKUP('[1]Course Totals'!M$4,'[1]import graded seats course pivo'!$1:$2,2,FALSE),FALSE))),"")</f>
        <v>1</v>
      </c>
      <c r="N897" s="14" t="str">
        <f>IFERROR((VLOOKUP($A897,'[1]import success seats course'!$A:AB,HLOOKUP('[1]Course Totals'!N$4,'[1]import success seats course'!$1:$2,2,FALSE),FALSE)/(VLOOKUP($A897,'[1]import graded seats course pivo'!$A:AL,HLOOKUP('[1]Course Totals'!N$4,'[1]import graded seats course pivo'!$1:$2,2,FALSE),FALSE))),"")</f>
        <v/>
      </c>
      <c r="O897" s="14">
        <f>IFERROR((VLOOKUP($A897,'[1]import success seats course'!$A:AC,HLOOKUP('[1]Course Totals'!O$4,'[1]import success seats course'!$1:$2,2,FALSE),FALSE)/(VLOOKUP($A897,'[1]import graded seats course pivo'!$A:AM,HLOOKUP('[1]Course Totals'!O$4,'[1]import graded seats course pivo'!$1:$2,2,FALSE),FALSE))),"")</f>
        <v>0.88372093023255816</v>
      </c>
      <c r="P897" s="14">
        <f>IFERROR((VLOOKUP($A897,'[1]import success seats course'!$A:AD,HLOOKUP('[1]Course Totals'!P$4,'[1]import success seats course'!$1:$2,2,FALSE),FALSE)/(VLOOKUP($A897,'[1]import graded seats course pivo'!$A:AN,HLOOKUP('[1]Course Totals'!P$4,'[1]import graded seats course pivo'!$1:$2,2,FALSE),FALSE))),"")</f>
        <v>0.89473684210526316</v>
      </c>
      <c r="Q897" s="14" t="str">
        <f>IFERROR((VLOOKUP($A897,'[1]import success seats course'!$A:AE,HLOOKUP('[1]Course Totals'!Q$4,'[1]import success seats course'!$1:$2,2,FALSE),FALSE)/(VLOOKUP($A897,'[1]import graded seats course pivo'!$A:AO,HLOOKUP('[1]Course Totals'!Q$4,'[1]import graded seats course pivo'!$1:$2,2,FALSE),FALSE))),"")</f>
        <v/>
      </c>
      <c r="R897" s="14">
        <f>IFERROR((VLOOKUP($A897,'[1]import success seats course'!$A:AF,HLOOKUP('[1]Course Totals'!R$4,'[1]import success seats course'!$1:$2,2,FALSE),FALSE)/(VLOOKUP($A897,'[1]import graded seats course pivo'!$A:AP,HLOOKUP('[1]Course Totals'!R$4,'[1]import graded seats course pivo'!$1:$2,2,FALSE),FALSE))),"")</f>
        <v>1</v>
      </c>
      <c r="S897" s="14">
        <f>IFERROR((VLOOKUP($A897,'[1]import success seats course'!$A:AG,HLOOKUP('[1]Course Totals'!S$4,'[1]import success seats course'!$1:$2,2,FALSE),FALSE)/(VLOOKUP($A897,'[1]import graded seats course pivo'!$A:AQ,HLOOKUP('[1]Course Totals'!S$4,'[1]import graded seats course pivo'!$1:$2,2,FALSE),FALSE))),"")</f>
        <v>0.9642857142857143</v>
      </c>
      <c r="Z897" s="7"/>
      <c r="AA897" s="7"/>
      <c r="AB897" s="7"/>
      <c r="AC897" s="7"/>
    </row>
    <row r="898" spans="1:29" ht="15.75" customHeight="1" x14ac:dyDescent="0.25">
      <c r="A898" s="12" t="s">
        <v>428</v>
      </c>
      <c r="B898" s="14">
        <f>IFERROR((VLOOKUP($A898,'[1]import success seats course'!$A:P,HLOOKUP('[1]Course Totals'!B$4,'[1]import success seats course'!$1:$2,2,FALSE),FALSE)/(VLOOKUP($A898,'[1]import graded seats course pivo'!$A:Z,HLOOKUP('[1]Course Totals'!B$4,'[1]import graded seats course pivo'!$1:$2,2,FALSE),FALSE))),"")</f>
        <v>0.8928571428571429</v>
      </c>
      <c r="C898" s="14">
        <f>IFERROR((VLOOKUP($A898,'[1]import success seats course'!$A:Q,HLOOKUP('[1]Course Totals'!C$4,'[1]import success seats course'!$1:$2,2,FALSE),FALSE)/(VLOOKUP($A898,'[1]import graded seats course pivo'!$A:AA,HLOOKUP('[1]Course Totals'!C$4,'[1]import graded seats course pivo'!$1:$2,2,FALSE),FALSE))),"")</f>
        <v>0.88073394495412849</v>
      </c>
      <c r="D898" s="14">
        <f>IFERROR((VLOOKUP($A898,'[1]import success seats course'!$A:R,HLOOKUP('[1]Course Totals'!D$4,'[1]import success seats course'!$1:$2,2,FALSE),FALSE)/(VLOOKUP($A898,'[1]import graded seats course pivo'!$A:AB,HLOOKUP('[1]Course Totals'!D$4,'[1]import graded seats course pivo'!$1:$2,2,FALSE),FALSE))),"")</f>
        <v>0.88034188034188032</v>
      </c>
      <c r="E898" s="14">
        <f>IFERROR((VLOOKUP($A898,'[1]import success seats course'!$A:S,HLOOKUP('[1]Course Totals'!E$4,'[1]import success seats course'!$1:$2,2,FALSE),FALSE)/(VLOOKUP($A898,'[1]import graded seats course pivo'!$A:AC,HLOOKUP('[1]Course Totals'!E$4,'[1]import graded seats course pivo'!$1:$2,2,FALSE),FALSE))),"")</f>
        <v>0.87096774193548387</v>
      </c>
      <c r="F898" s="14">
        <f>IFERROR((VLOOKUP($A898,'[1]import success seats course'!$A:T,HLOOKUP('[1]Course Totals'!F$4,'[1]import success seats course'!$1:$2,2,FALSE),FALSE)/(VLOOKUP($A898,'[1]import graded seats course pivo'!$A:AD,HLOOKUP('[1]Course Totals'!F$4,'[1]import graded seats course pivo'!$1:$2,2,FALSE),FALSE))),"")</f>
        <v>0.86399999999999999</v>
      </c>
      <c r="G898" s="14">
        <f>IFERROR((VLOOKUP($A898,'[1]import success seats course'!$A:U,HLOOKUP('[1]Course Totals'!G$4,'[1]import success seats course'!$1:$2,2,FALSE),FALSE)/(VLOOKUP($A898,'[1]import graded seats course pivo'!$A:AE,HLOOKUP('[1]Course Totals'!G$4,'[1]import graded seats course pivo'!$1:$2,2,FALSE),FALSE))),"")</f>
        <v>0.92105263157894735</v>
      </c>
      <c r="H898" s="14" t="str">
        <f>IFERROR((VLOOKUP($A898,'[1]import success seats course'!$A:V,HLOOKUP('[1]Course Totals'!H$4,'[1]import success seats course'!$1:$2,2,FALSE),FALSE)/(VLOOKUP($A898,'[1]import graded seats course pivo'!$A:AF,HLOOKUP('[1]Course Totals'!H$4,'[1]import graded seats course pivo'!$1:$2,2,FALSE),FALSE))),"")</f>
        <v/>
      </c>
      <c r="I898" s="14">
        <f>IFERROR((VLOOKUP($A898,'[1]import success seats course'!$A:W,HLOOKUP('[1]Course Totals'!I$4,'[1]import success seats course'!$1:$2,2,FALSE),FALSE)/(VLOOKUP($A898,'[1]import graded seats course pivo'!$A:AG,HLOOKUP('[1]Course Totals'!I$4,'[1]import graded seats course pivo'!$1:$2,2,FALSE),FALSE))),"")</f>
        <v>0.88505747126436785</v>
      </c>
      <c r="J898" s="14">
        <f>IFERROR((VLOOKUP($A898,'[1]import success seats course'!$A:X,HLOOKUP('[1]Course Totals'!J$4,'[1]import success seats course'!$1:$2,2,FALSE),FALSE)/(VLOOKUP($A898,'[1]import graded seats course pivo'!$A:AH,HLOOKUP('[1]Course Totals'!J$4,'[1]import graded seats course pivo'!$1:$2,2,FALSE),FALSE))),"")</f>
        <v>0.92222222222222228</v>
      </c>
      <c r="K898" s="14" t="str">
        <f>IFERROR((VLOOKUP($A898,'[1]import success seats course'!$A:Y,HLOOKUP('[1]Course Totals'!K$4,'[1]import success seats course'!$1:$2,2,FALSE),FALSE)/(VLOOKUP($A898,'[1]import graded seats course pivo'!$A:AI,HLOOKUP('[1]Course Totals'!K$4,'[1]import graded seats course pivo'!$1:$2,2,FALSE),FALSE))),"")</f>
        <v/>
      </c>
      <c r="L898" s="14">
        <f>IFERROR((VLOOKUP($A898,'[1]import success seats course'!$A:Z,HLOOKUP('[1]Course Totals'!L$4,'[1]import success seats course'!$1:$2,2,FALSE),FALSE)/(VLOOKUP($A898,'[1]import graded seats course pivo'!$A:AJ,HLOOKUP('[1]Course Totals'!L$4,'[1]import graded seats course pivo'!$1:$2,2,FALSE),FALSE))),"")</f>
        <v>0.88607594936708856</v>
      </c>
      <c r="M898" s="14">
        <f>IFERROR((VLOOKUP($A898,'[1]import success seats course'!$A:AA,HLOOKUP('[1]Course Totals'!M$4,'[1]import success seats course'!$1:$2,2,FALSE),FALSE)/(VLOOKUP($A898,'[1]import graded seats course pivo'!$A:AK,HLOOKUP('[1]Course Totals'!M$4,'[1]import graded seats course pivo'!$1:$2,2,FALSE),FALSE))),"")</f>
        <v>0.94871794871794868</v>
      </c>
      <c r="N898" s="14" t="str">
        <f>IFERROR((VLOOKUP($A898,'[1]import success seats course'!$A:AB,HLOOKUP('[1]Course Totals'!N$4,'[1]import success seats course'!$1:$2,2,FALSE),FALSE)/(VLOOKUP($A898,'[1]import graded seats course pivo'!$A:AL,HLOOKUP('[1]Course Totals'!N$4,'[1]import graded seats course pivo'!$1:$2,2,FALSE),FALSE))),"")</f>
        <v/>
      </c>
      <c r="O898" s="14">
        <f>IFERROR((VLOOKUP($A898,'[1]import success seats course'!$A:AC,HLOOKUP('[1]Course Totals'!O$4,'[1]import success seats course'!$1:$2,2,FALSE),FALSE)/(VLOOKUP($A898,'[1]import graded seats course pivo'!$A:AM,HLOOKUP('[1]Course Totals'!O$4,'[1]import graded seats course pivo'!$1:$2,2,FALSE),FALSE))),"")</f>
        <v>0.93975903614457834</v>
      </c>
      <c r="P898" s="14">
        <f>IFERROR((VLOOKUP($A898,'[1]import success seats course'!$A:AD,HLOOKUP('[1]Course Totals'!P$4,'[1]import success seats course'!$1:$2,2,FALSE),FALSE)/(VLOOKUP($A898,'[1]import graded seats course pivo'!$A:AN,HLOOKUP('[1]Course Totals'!P$4,'[1]import graded seats course pivo'!$1:$2,2,FALSE),FALSE))),"")</f>
        <v>0.9</v>
      </c>
      <c r="Q898" s="14" t="str">
        <f>IFERROR((VLOOKUP($A898,'[1]import success seats course'!$A:AE,HLOOKUP('[1]Course Totals'!Q$4,'[1]import success seats course'!$1:$2,2,FALSE),FALSE)/(VLOOKUP($A898,'[1]import graded seats course pivo'!$A:AO,HLOOKUP('[1]Course Totals'!Q$4,'[1]import graded seats course pivo'!$1:$2,2,FALSE),FALSE))),"")</f>
        <v/>
      </c>
      <c r="R898" s="14">
        <f>IFERROR((VLOOKUP($A898,'[1]import success seats course'!$A:AF,HLOOKUP('[1]Course Totals'!R$4,'[1]import success seats course'!$1:$2,2,FALSE),FALSE)/(VLOOKUP($A898,'[1]import graded seats course pivo'!$A:AP,HLOOKUP('[1]Course Totals'!R$4,'[1]import graded seats course pivo'!$1:$2,2,FALSE),FALSE))),"")</f>
        <v>0.9285714285714286</v>
      </c>
      <c r="S898" s="14">
        <f>IFERROR((VLOOKUP($A898,'[1]import success seats course'!$A:AG,HLOOKUP('[1]Course Totals'!S$4,'[1]import success seats course'!$1:$2,2,FALSE),FALSE)/(VLOOKUP($A898,'[1]import graded seats course pivo'!$A:AQ,HLOOKUP('[1]Course Totals'!S$4,'[1]import graded seats course pivo'!$1:$2,2,FALSE),FALSE))),"")</f>
        <v>0.90666666666666662</v>
      </c>
      <c r="Z898" s="7"/>
      <c r="AA898" s="7"/>
      <c r="AB898" s="7"/>
      <c r="AC898" s="7"/>
    </row>
    <row r="899" spans="1:29" ht="15.75" customHeight="1" thickBot="1" x14ac:dyDescent="0.3">
      <c r="A899" s="8" t="str">
        <f>'[1]SUBJECTS BASE'!H51</f>
        <v>Occupational Internship</v>
      </c>
      <c r="B899" s="38" t="s">
        <v>1046</v>
      </c>
      <c r="C899" s="39" t="s">
        <v>0</v>
      </c>
      <c r="D899" s="40" t="s">
        <v>868</v>
      </c>
      <c r="E899" s="41" t="s">
        <v>1052</v>
      </c>
      <c r="F899" s="42" t="s">
        <v>546</v>
      </c>
      <c r="G899" s="43" t="s">
        <v>959</v>
      </c>
      <c r="H899" s="44" t="s">
        <v>1060</v>
      </c>
      <c r="I899" s="39" t="s">
        <v>675</v>
      </c>
      <c r="J899" s="45" t="s">
        <v>1006</v>
      </c>
      <c r="K899" s="46" t="s">
        <v>1062</v>
      </c>
      <c r="L899" s="42" t="s">
        <v>762</v>
      </c>
      <c r="M899" s="43" t="s">
        <v>1022</v>
      </c>
      <c r="N899" s="44" t="s">
        <v>1063</v>
      </c>
      <c r="O899" s="39" t="s">
        <v>822</v>
      </c>
      <c r="P899" s="40" t="s">
        <v>1042</v>
      </c>
      <c r="Q899" s="46" t="s">
        <v>1153</v>
      </c>
      <c r="R899" s="42" t="s">
        <v>1154</v>
      </c>
      <c r="S899" s="43" t="s">
        <v>1155</v>
      </c>
      <c r="Z899" s="7"/>
      <c r="AA899" s="7"/>
      <c r="AB899" s="7"/>
      <c r="AC899" s="7"/>
    </row>
    <row r="900" spans="1:29" ht="15.75" customHeight="1" x14ac:dyDescent="0.25">
      <c r="A900" s="12" t="s">
        <v>429</v>
      </c>
      <c r="B900" s="14" t="str">
        <f>IFERROR((VLOOKUP($A900,'[1]import success seats course'!$A:P,HLOOKUP('[1]Course Totals'!B$4,'[1]import success seats course'!$1:$2,2,FALSE),FALSE)/(VLOOKUP($A900,'[1]import graded seats course pivo'!$A:Z,HLOOKUP('[1]Course Totals'!B$4,'[1]import graded seats course pivo'!$1:$2,2,FALSE),FALSE))),"")</f>
        <v/>
      </c>
      <c r="C900" s="14">
        <f>IFERROR((VLOOKUP($A900,'[1]import success seats course'!$A:Q,HLOOKUP('[1]Course Totals'!C$4,'[1]import success seats course'!$1:$2,2,FALSE),FALSE)/(VLOOKUP($A900,'[1]import graded seats course pivo'!$A:AA,HLOOKUP('[1]Course Totals'!C$4,'[1]import graded seats course pivo'!$1:$2,2,FALSE),FALSE))),"")</f>
        <v>0.875</v>
      </c>
      <c r="D900" s="14">
        <f>IFERROR((VLOOKUP($A900,'[1]import success seats course'!$A:R,HLOOKUP('[1]Course Totals'!D$4,'[1]import success seats course'!$1:$2,2,FALSE),FALSE)/(VLOOKUP($A900,'[1]import graded seats course pivo'!$A:AB,HLOOKUP('[1]Course Totals'!D$4,'[1]import graded seats course pivo'!$1:$2,2,FALSE),FALSE))),"")</f>
        <v>0.91666666666666663</v>
      </c>
      <c r="E900" s="14" t="str">
        <f>IFERROR((VLOOKUP($A900,'[1]import success seats course'!$A:S,HLOOKUP('[1]Course Totals'!E$4,'[1]import success seats course'!$1:$2,2,FALSE),FALSE)/(VLOOKUP($A900,'[1]import graded seats course pivo'!$A:AC,HLOOKUP('[1]Course Totals'!E$4,'[1]import graded seats course pivo'!$1:$2,2,FALSE),FALSE))),"")</f>
        <v/>
      </c>
      <c r="F900" s="14">
        <f>IFERROR((VLOOKUP($A900,'[1]import success seats course'!$A:T,HLOOKUP('[1]Course Totals'!F$4,'[1]import success seats course'!$1:$2,2,FALSE),FALSE)/(VLOOKUP($A900,'[1]import graded seats course pivo'!$A:AD,HLOOKUP('[1]Course Totals'!F$4,'[1]import graded seats course pivo'!$1:$2,2,FALSE),FALSE))),"")</f>
        <v>0.5</v>
      </c>
      <c r="G900" s="14">
        <f>IFERROR((VLOOKUP($A900,'[1]import success seats course'!$A:U,HLOOKUP('[1]Course Totals'!G$4,'[1]import success seats course'!$1:$2,2,FALSE),FALSE)/(VLOOKUP($A900,'[1]import graded seats course pivo'!$A:AE,HLOOKUP('[1]Course Totals'!G$4,'[1]import graded seats course pivo'!$1:$2,2,FALSE),FALSE))),"")</f>
        <v>0.92307692307692313</v>
      </c>
      <c r="H900" s="14" t="str">
        <f>IFERROR((VLOOKUP($A900,'[1]import success seats course'!$A:V,HLOOKUP('[1]Course Totals'!H$4,'[1]import success seats course'!$1:$2,2,FALSE),FALSE)/(VLOOKUP($A900,'[1]import graded seats course pivo'!$A:AF,HLOOKUP('[1]Course Totals'!H$4,'[1]import graded seats course pivo'!$1:$2,2,FALSE),FALSE))),"")</f>
        <v/>
      </c>
      <c r="I900" s="14" t="str">
        <f>IFERROR((VLOOKUP($A900,'[1]import success seats course'!$A:W,HLOOKUP('[1]Course Totals'!I$4,'[1]import success seats course'!$1:$2,2,FALSE),FALSE)/(VLOOKUP($A900,'[1]import graded seats course pivo'!$A:AG,HLOOKUP('[1]Course Totals'!I$4,'[1]import graded seats course pivo'!$1:$2,2,FALSE),FALSE))),"")</f>
        <v/>
      </c>
      <c r="J900" s="14" t="str">
        <f>IFERROR((VLOOKUP($A900,'[1]import success seats course'!$A:X,HLOOKUP('[1]Course Totals'!J$4,'[1]import success seats course'!$1:$2,2,FALSE),FALSE)/(VLOOKUP($A900,'[1]import graded seats course pivo'!$A:AH,HLOOKUP('[1]Course Totals'!J$4,'[1]import graded seats course pivo'!$1:$2,2,FALSE),FALSE))),"")</f>
        <v/>
      </c>
      <c r="K900" s="14" t="str">
        <f>IFERROR((VLOOKUP($A900,'[1]import success seats course'!$A:Y,HLOOKUP('[1]Course Totals'!K$4,'[1]import success seats course'!$1:$2,2,FALSE),FALSE)/(VLOOKUP($A900,'[1]import graded seats course pivo'!$A:AI,HLOOKUP('[1]Course Totals'!K$4,'[1]import graded seats course pivo'!$1:$2,2,FALSE),FALSE))),"")</f>
        <v/>
      </c>
      <c r="L900" s="14" t="str">
        <f>IFERROR((VLOOKUP($A900,'[1]import success seats course'!$A:Z,HLOOKUP('[1]Course Totals'!L$4,'[1]import success seats course'!$1:$2,2,FALSE),FALSE)/(VLOOKUP($A900,'[1]import graded seats course pivo'!$A:AJ,HLOOKUP('[1]Course Totals'!L$4,'[1]import graded seats course pivo'!$1:$2,2,FALSE),FALSE))),"")</f>
        <v/>
      </c>
      <c r="M900" s="14" t="str">
        <f>IFERROR((VLOOKUP($A900,'[1]import success seats course'!$A:AA,HLOOKUP('[1]Course Totals'!M$4,'[1]import success seats course'!$1:$2,2,FALSE),FALSE)/(VLOOKUP($A900,'[1]import graded seats course pivo'!$A:AK,HLOOKUP('[1]Course Totals'!M$4,'[1]import graded seats course pivo'!$1:$2,2,FALSE),FALSE))),"")</f>
        <v/>
      </c>
      <c r="N900" s="14" t="str">
        <f>IFERROR((VLOOKUP($A900,'[1]import success seats course'!$A:AB,HLOOKUP('[1]Course Totals'!N$4,'[1]import success seats course'!$1:$2,2,FALSE),FALSE)/(VLOOKUP($A900,'[1]import graded seats course pivo'!$A:AL,HLOOKUP('[1]Course Totals'!N$4,'[1]import graded seats course pivo'!$1:$2,2,FALSE),FALSE))),"")</f>
        <v/>
      </c>
      <c r="O900" s="14" t="str">
        <f>IFERROR((VLOOKUP($A900,'[1]import success seats course'!$A:AC,HLOOKUP('[1]Course Totals'!O$4,'[1]import success seats course'!$1:$2,2,FALSE),FALSE)/(VLOOKUP($A900,'[1]import graded seats course pivo'!$A:AM,HLOOKUP('[1]Course Totals'!O$4,'[1]import graded seats course pivo'!$1:$2,2,FALSE),FALSE))),"")</f>
        <v/>
      </c>
      <c r="P900" s="14">
        <f>IFERROR((VLOOKUP($A900,'[1]import success seats course'!$A:AD,HLOOKUP('[1]Course Totals'!P$4,'[1]import success seats course'!$1:$2,2,FALSE),FALSE)/(VLOOKUP($A900,'[1]import graded seats course pivo'!$A:AN,HLOOKUP('[1]Course Totals'!P$4,'[1]import graded seats course pivo'!$1:$2,2,FALSE),FALSE))),"")</f>
        <v>1</v>
      </c>
      <c r="Q900" s="14" t="str">
        <f>IFERROR((VLOOKUP($A900,'[1]import success seats course'!$A:AE,HLOOKUP('[1]Course Totals'!Q$4,'[1]import success seats course'!$1:$2,2,FALSE),FALSE)/(VLOOKUP($A900,'[1]import graded seats course pivo'!$A:AO,HLOOKUP('[1]Course Totals'!Q$4,'[1]import graded seats course pivo'!$1:$2,2,FALSE),FALSE))),"")</f>
        <v/>
      </c>
      <c r="R900" s="14" t="str">
        <f>IFERROR((VLOOKUP($A900,'[1]import success seats course'!$A:AF,HLOOKUP('[1]Course Totals'!R$4,'[1]import success seats course'!$1:$2,2,FALSE),FALSE)/(VLOOKUP($A900,'[1]import graded seats course pivo'!$A:AP,HLOOKUP('[1]Course Totals'!R$4,'[1]import graded seats course pivo'!$1:$2,2,FALSE),FALSE))),"")</f>
        <v/>
      </c>
      <c r="S900" s="14">
        <f>IFERROR((VLOOKUP($A900,'[1]import success seats course'!$A:AG,HLOOKUP('[1]Course Totals'!S$4,'[1]import success seats course'!$1:$2,2,FALSE),FALSE)/(VLOOKUP($A900,'[1]import graded seats course pivo'!$A:AQ,HLOOKUP('[1]Course Totals'!S$4,'[1]import graded seats course pivo'!$1:$2,2,FALSE),FALSE))),"")</f>
        <v>1</v>
      </c>
      <c r="Z900" s="7"/>
      <c r="AA900" s="7"/>
      <c r="AB900" s="7"/>
      <c r="AC900" s="7"/>
    </row>
    <row r="901" spans="1:29" ht="15.75" customHeight="1" thickBot="1" x14ac:dyDescent="0.3">
      <c r="A901" s="8" t="str">
        <f>'[1]SUBJECTS BASE'!H52</f>
        <v>Office Technology</v>
      </c>
      <c r="B901" s="38" t="s">
        <v>1046</v>
      </c>
      <c r="C901" s="39" t="s">
        <v>0</v>
      </c>
      <c r="D901" s="40" t="s">
        <v>868</v>
      </c>
      <c r="E901" s="41" t="s">
        <v>1052</v>
      </c>
      <c r="F901" s="42" t="s">
        <v>546</v>
      </c>
      <c r="G901" s="43" t="s">
        <v>959</v>
      </c>
      <c r="H901" s="44" t="s">
        <v>1060</v>
      </c>
      <c r="I901" s="39" t="s">
        <v>675</v>
      </c>
      <c r="J901" s="45" t="s">
        <v>1006</v>
      </c>
      <c r="K901" s="46" t="s">
        <v>1062</v>
      </c>
      <c r="L901" s="42" t="s">
        <v>762</v>
      </c>
      <c r="M901" s="43" t="s">
        <v>1022</v>
      </c>
      <c r="N901" s="44" t="s">
        <v>1063</v>
      </c>
      <c r="O901" s="39" t="s">
        <v>822</v>
      </c>
      <c r="P901" s="40" t="s">
        <v>1042</v>
      </c>
      <c r="Q901" s="46" t="s">
        <v>1153</v>
      </c>
      <c r="R901" s="42" t="s">
        <v>1154</v>
      </c>
      <c r="S901" s="43" t="s">
        <v>1155</v>
      </c>
      <c r="Z901" s="7"/>
      <c r="AA901" s="7"/>
      <c r="AB901" s="7"/>
      <c r="AC901" s="7"/>
    </row>
    <row r="902" spans="1:29" ht="15.75" hidden="1" customHeight="1" x14ac:dyDescent="0.25">
      <c r="A902" s="12" t="s">
        <v>807</v>
      </c>
      <c r="B902" s="14" t="str">
        <f>IFERROR((VLOOKUP($A902,'[1]import success seats course'!$A:P,HLOOKUP('[1]Course Totals'!B$4,'[1]import success seats course'!$1:$2,2,FALSE),FALSE)/(VLOOKUP($A902,'[1]import graded seats course pivo'!$A:Z,HLOOKUP('[1]Course Totals'!B$4,'[1]import graded seats course pivo'!$1:$2,2,FALSE),FALSE))),"")</f>
        <v/>
      </c>
      <c r="C902" s="14" t="str">
        <f>IFERROR((VLOOKUP($A902,'[1]import success seats course'!$A:Q,HLOOKUP('[1]Course Totals'!C$4,'[1]import success seats course'!$1:$2,2,FALSE),FALSE)/(VLOOKUP($A902,'[1]import graded seats course pivo'!$A:AA,HLOOKUP('[1]Course Totals'!C$4,'[1]import graded seats course pivo'!$1:$2,2,FALSE),FALSE))),"")</f>
        <v/>
      </c>
      <c r="D902" s="14" t="str">
        <f>IFERROR((VLOOKUP($A902,'[1]import success seats course'!$A:R,HLOOKUP('[1]Course Totals'!D$4,'[1]import success seats course'!$1:$2,2,FALSE),FALSE)/(VLOOKUP($A902,'[1]import graded seats course pivo'!$A:AB,HLOOKUP('[1]Course Totals'!D$4,'[1]import graded seats course pivo'!$1:$2,2,FALSE),FALSE))),"")</f>
        <v/>
      </c>
      <c r="E902" s="14" t="str">
        <f>IFERROR((VLOOKUP($A902,'[1]import success seats course'!$A:S,HLOOKUP('[1]Course Totals'!E$4,'[1]import success seats course'!$1:$2,2,FALSE),FALSE)/(VLOOKUP($A902,'[1]import graded seats course pivo'!$A:AC,HLOOKUP('[1]Course Totals'!E$4,'[1]import graded seats course pivo'!$1:$2,2,FALSE),FALSE))),"")</f>
        <v/>
      </c>
      <c r="F902" s="14" t="str">
        <f>IFERROR((VLOOKUP($A902,'[1]import success seats course'!$A:T,HLOOKUP('[1]Course Totals'!F$4,'[1]import success seats course'!$1:$2,2,FALSE),FALSE)/(VLOOKUP($A902,'[1]import graded seats course pivo'!$A:AD,HLOOKUP('[1]Course Totals'!F$4,'[1]import graded seats course pivo'!$1:$2,2,FALSE),FALSE))),"")</f>
        <v/>
      </c>
      <c r="G902" s="14" t="str">
        <f>IFERROR((VLOOKUP($A902,'[1]import success seats course'!$A:U,HLOOKUP('[1]Course Totals'!G$4,'[1]import success seats course'!$1:$2,2,FALSE),FALSE)/(VLOOKUP($A902,'[1]import graded seats course pivo'!$A:AE,HLOOKUP('[1]Course Totals'!G$4,'[1]import graded seats course pivo'!$1:$2,2,FALSE),FALSE))),"")</f>
        <v/>
      </c>
      <c r="H902" s="14" t="str">
        <f>IFERROR((VLOOKUP($A902,'[1]import success seats course'!$A:V,HLOOKUP('[1]Course Totals'!H$4,'[1]import success seats course'!$1:$2,2,FALSE),FALSE)/(VLOOKUP($A902,'[1]import graded seats course pivo'!$A:AF,HLOOKUP('[1]Course Totals'!H$4,'[1]import graded seats course pivo'!$1:$2,2,FALSE),FALSE))),"")</f>
        <v/>
      </c>
      <c r="I902" s="14" t="str">
        <f>IFERROR((VLOOKUP($A902,'[1]import success seats course'!$A:W,HLOOKUP('[1]Course Totals'!I$4,'[1]import success seats course'!$1:$2,2,FALSE),FALSE)/(VLOOKUP($A902,'[1]import graded seats course pivo'!$A:AG,HLOOKUP('[1]Course Totals'!I$4,'[1]import graded seats course pivo'!$1:$2,2,FALSE),FALSE))),"")</f>
        <v/>
      </c>
      <c r="J902" s="14" t="str">
        <f>IFERROR((VLOOKUP($A902,'[1]import success seats course'!$A:X,HLOOKUP('[1]Course Totals'!J$4,'[1]import success seats course'!$1:$2,2,FALSE),FALSE)/(VLOOKUP($A902,'[1]import graded seats course pivo'!$A:AH,HLOOKUP('[1]Course Totals'!J$4,'[1]import graded seats course pivo'!$1:$2,2,FALSE),FALSE))),"")</f>
        <v/>
      </c>
      <c r="K902" s="14" t="str">
        <f>IFERROR((VLOOKUP($A902,'[1]import success seats course'!$A:Y,HLOOKUP('[1]Course Totals'!K$4,'[1]import success seats course'!$1:$2,2,FALSE),FALSE)/(VLOOKUP($A902,'[1]import graded seats course pivo'!$A:AI,HLOOKUP('[1]Course Totals'!K$4,'[1]import graded seats course pivo'!$1:$2,2,FALSE),FALSE))),"")</f>
        <v/>
      </c>
      <c r="L902" s="14" t="str">
        <f>IFERROR((VLOOKUP($A902,'[1]import success seats course'!$A:Z,HLOOKUP('[1]Course Totals'!L$4,'[1]import success seats course'!$1:$2,2,FALSE),FALSE)/(VLOOKUP($A902,'[1]import graded seats course pivo'!$A:AJ,HLOOKUP('[1]Course Totals'!L$4,'[1]import graded seats course pivo'!$1:$2,2,FALSE),FALSE))),"")</f>
        <v/>
      </c>
      <c r="M902" s="14" t="str">
        <f>IFERROR((VLOOKUP($A902,'[1]import success seats course'!$A:AA,HLOOKUP('[1]Course Totals'!M$4,'[1]import success seats course'!$1:$2,2,FALSE),FALSE)/(VLOOKUP($A902,'[1]import graded seats course pivo'!$A:AK,HLOOKUP('[1]Course Totals'!M$4,'[1]import graded seats course pivo'!$1:$2,2,FALSE),FALSE))),"")</f>
        <v/>
      </c>
      <c r="N902" s="14" t="str">
        <f>IFERROR((VLOOKUP($A902,'[1]import success seats course'!$A:AB,HLOOKUP('[1]Course Totals'!N$4,'[1]import success seats course'!$1:$2,2,FALSE),FALSE)/(VLOOKUP($A902,'[1]import graded seats course pivo'!$A:AL,HLOOKUP('[1]Course Totals'!N$4,'[1]import graded seats course pivo'!$1:$2,2,FALSE),FALSE))),"")</f>
        <v/>
      </c>
      <c r="O902" s="14" t="str">
        <f>IFERROR((VLOOKUP($A902,'[1]import success seats course'!$A:AC,HLOOKUP('[1]Course Totals'!O$4,'[1]import success seats course'!$1:$2,2,FALSE),FALSE)/(VLOOKUP($A902,'[1]import graded seats course pivo'!$A:AM,HLOOKUP('[1]Course Totals'!O$4,'[1]import graded seats course pivo'!$1:$2,2,FALSE),FALSE))),"")</f>
        <v/>
      </c>
      <c r="P902" s="14" t="str">
        <f>IFERROR((VLOOKUP($A902,'[1]import success seats course'!$A:AD,HLOOKUP('[1]Course Totals'!P$4,'[1]import success seats course'!$1:$2,2,FALSE),FALSE)/(VLOOKUP($A902,'[1]import graded seats course pivo'!$A:AN,HLOOKUP('[1]Course Totals'!P$4,'[1]import graded seats course pivo'!$1:$2,2,FALSE),FALSE))),"")</f>
        <v/>
      </c>
      <c r="Q902" s="14" t="str">
        <f>IFERROR((VLOOKUP($A902,'[1]import success seats course'!$A:AE,HLOOKUP('[1]Course Totals'!Q$4,'[1]import success seats course'!$1:$2,2,FALSE),FALSE)/(VLOOKUP($A902,'[1]import graded seats course pivo'!$A:AO,HLOOKUP('[1]Course Totals'!Q$4,'[1]import graded seats course pivo'!$1:$2,2,FALSE),FALSE))),"")</f>
        <v/>
      </c>
      <c r="R902" s="14" t="str">
        <f>IFERROR((VLOOKUP($A902,'[1]import success seats course'!$A:AF,HLOOKUP('[1]Course Totals'!R$4,'[1]import success seats course'!$1:$2,2,FALSE),FALSE)/(VLOOKUP($A902,'[1]import graded seats course pivo'!$A:AP,HLOOKUP('[1]Course Totals'!R$4,'[1]import graded seats course pivo'!$1:$2,2,FALSE),FALSE))),"")</f>
        <v/>
      </c>
      <c r="S902" s="14" t="str">
        <f>IFERROR((VLOOKUP($A902,'[1]import success seats course'!$A:AG,HLOOKUP('[1]Course Totals'!S$4,'[1]import success seats course'!$1:$2,2,FALSE),FALSE)/(VLOOKUP($A902,'[1]import graded seats course pivo'!$A:AQ,HLOOKUP('[1]Course Totals'!S$4,'[1]import graded seats course pivo'!$1:$2,2,FALSE),FALSE))),"")</f>
        <v/>
      </c>
      <c r="Z902" s="7"/>
      <c r="AA902" s="7"/>
      <c r="AB902" s="7"/>
      <c r="AC902" s="7"/>
    </row>
    <row r="903" spans="1:29" ht="15.75" customHeight="1" x14ac:dyDescent="0.25">
      <c r="A903" s="12" t="s">
        <v>430</v>
      </c>
      <c r="B903" s="14" t="str">
        <f>IFERROR((VLOOKUP($A903,'[1]import success seats course'!$A:P,HLOOKUP('[1]Course Totals'!B$4,'[1]import success seats course'!$1:$2,2,FALSE),FALSE)/(VLOOKUP($A903,'[1]import graded seats course pivo'!$A:Z,HLOOKUP('[1]Course Totals'!B$4,'[1]import graded seats course pivo'!$1:$2,2,FALSE),FALSE))),"")</f>
        <v/>
      </c>
      <c r="C903" s="14">
        <f>IFERROR((VLOOKUP($A903,'[1]import success seats course'!$A:Q,HLOOKUP('[1]Course Totals'!C$4,'[1]import success seats course'!$1:$2,2,FALSE),FALSE)/(VLOOKUP($A903,'[1]import graded seats course pivo'!$A:AA,HLOOKUP('[1]Course Totals'!C$4,'[1]import graded seats course pivo'!$1:$2,2,FALSE),FALSE))),"")</f>
        <v>1</v>
      </c>
      <c r="D903" s="14" t="str">
        <f>IFERROR((VLOOKUP($A903,'[1]import success seats course'!$A:R,HLOOKUP('[1]Course Totals'!D$4,'[1]import success seats course'!$1:$2,2,FALSE),FALSE)/(VLOOKUP($A903,'[1]import graded seats course pivo'!$A:AB,HLOOKUP('[1]Course Totals'!D$4,'[1]import graded seats course pivo'!$1:$2,2,FALSE),FALSE))),"")</f>
        <v/>
      </c>
      <c r="E903" s="14" t="str">
        <f>IFERROR((VLOOKUP($A903,'[1]import success seats course'!$A:S,HLOOKUP('[1]Course Totals'!E$4,'[1]import success seats course'!$1:$2,2,FALSE),FALSE)/(VLOOKUP($A903,'[1]import graded seats course pivo'!$A:AC,HLOOKUP('[1]Course Totals'!E$4,'[1]import graded seats course pivo'!$1:$2,2,FALSE),FALSE))),"")</f>
        <v/>
      </c>
      <c r="F903" s="14" t="str">
        <f>IFERROR((VLOOKUP($A903,'[1]import success seats course'!$A:T,HLOOKUP('[1]Course Totals'!F$4,'[1]import success seats course'!$1:$2,2,FALSE),FALSE)/(VLOOKUP($A903,'[1]import graded seats course pivo'!$A:AD,HLOOKUP('[1]Course Totals'!F$4,'[1]import graded seats course pivo'!$1:$2,2,FALSE),FALSE))),"")</f>
        <v/>
      </c>
      <c r="G903" s="14" t="str">
        <f>IFERROR((VLOOKUP($A903,'[1]import success seats course'!$A:U,HLOOKUP('[1]Course Totals'!G$4,'[1]import success seats course'!$1:$2,2,FALSE),FALSE)/(VLOOKUP($A903,'[1]import graded seats course pivo'!$A:AE,HLOOKUP('[1]Course Totals'!G$4,'[1]import graded seats course pivo'!$1:$2,2,FALSE),FALSE))),"")</f>
        <v/>
      </c>
      <c r="H903" s="14" t="str">
        <f>IFERROR((VLOOKUP($A903,'[1]import success seats course'!$A:V,HLOOKUP('[1]Course Totals'!H$4,'[1]import success seats course'!$1:$2,2,FALSE),FALSE)/(VLOOKUP($A903,'[1]import graded seats course pivo'!$A:AF,HLOOKUP('[1]Course Totals'!H$4,'[1]import graded seats course pivo'!$1:$2,2,FALSE),FALSE))),"")</f>
        <v/>
      </c>
      <c r="I903" s="14" t="str">
        <f>IFERROR((VLOOKUP($A903,'[1]import success seats course'!$A:W,HLOOKUP('[1]Course Totals'!I$4,'[1]import success seats course'!$1:$2,2,FALSE),FALSE)/(VLOOKUP($A903,'[1]import graded seats course pivo'!$A:AG,HLOOKUP('[1]Course Totals'!I$4,'[1]import graded seats course pivo'!$1:$2,2,FALSE),FALSE))),"")</f>
        <v/>
      </c>
      <c r="J903" s="14" t="str">
        <f>IFERROR((VLOOKUP($A903,'[1]import success seats course'!$A:X,HLOOKUP('[1]Course Totals'!J$4,'[1]import success seats course'!$1:$2,2,FALSE),FALSE)/(VLOOKUP($A903,'[1]import graded seats course pivo'!$A:AH,HLOOKUP('[1]Course Totals'!J$4,'[1]import graded seats course pivo'!$1:$2,2,FALSE),FALSE))),"")</f>
        <v/>
      </c>
      <c r="K903" s="14" t="str">
        <f>IFERROR((VLOOKUP($A903,'[1]import success seats course'!$A:Y,HLOOKUP('[1]Course Totals'!K$4,'[1]import success seats course'!$1:$2,2,FALSE),FALSE)/(VLOOKUP($A903,'[1]import graded seats course pivo'!$A:AI,HLOOKUP('[1]Course Totals'!K$4,'[1]import graded seats course pivo'!$1:$2,2,FALSE),FALSE))),"")</f>
        <v/>
      </c>
      <c r="L903" s="14" t="str">
        <f>IFERROR((VLOOKUP($A903,'[1]import success seats course'!$A:Z,HLOOKUP('[1]Course Totals'!L$4,'[1]import success seats course'!$1:$2,2,FALSE),FALSE)/(VLOOKUP($A903,'[1]import graded seats course pivo'!$A:AJ,HLOOKUP('[1]Course Totals'!L$4,'[1]import graded seats course pivo'!$1:$2,2,FALSE),FALSE))),"")</f>
        <v/>
      </c>
      <c r="M903" s="14" t="str">
        <f>IFERROR((VLOOKUP($A903,'[1]import success seats course'!$A:AA,HLOOKUP('[1]Course Totals'!M$4,'[1]import success seats course'!$1:$2,2,FALSE),FALSE)/(VLOOKUP($A903,'[1]import graded seats course pivo'!$A:AK,HLOOKUP('[1]Course Totals'!M$4,'[1]import graded seats course pivo'!$1:$2,2,FALSE),FALSE))),"")</f>
        <v/>
      </c>
      <c r="N903" s="14" t="str">
        <f>IFERROR((VLOOKUP($A903,'[1]import success seats course'!$A:AB,HLOOKUP('[1]Course Totals'!N$4,'[1]import success seats course'!$1:$2,2,FALSE),FALSE)/(VLOOKUP($A903,'[1]import graded seats course pivo'!$A:AL,HLOOKUP('[1]Course Totals'!N$4,'[1]import graded seats course pivo'!$1:$2,2,FALSE),FALSE))),"")</f>
        <v/>
      </c>
      <c r="O903" s="14" t="str">
        <f>IFERROR((VLOOKUP($A903,'[1]import success seats course'!$A:AC,HLOOKUP('[1]Course Totals'!O$4,'[1]import success seats course'!$1:$2,2,FALSE),FALSE)/(VLOOKUP($A903,'[1]import graded seats course pivo'!$A:AM,HLOOKUP('[1]Course Totals'!O$4,'[1]import graded seats course pivo'!$1:$2,2,FALSE),FALSE))),"")</f>
        <v/>
      </c>
      <c r="P903" s="14" t="str">
        <f>IFERROR((VLOOKUP($A903,'[1]import success seats course'!$A:AD,HLOOKUP('[1]Course Totals'!P$4,'[1]import success seats course'!$1:$2,2,FALSE),FALSE)/(VLOOKUP($A903,'[1]import graded seats course pivo'!$A:AN,HLOOKUP('[1]Course Totals'!P$4,'[1]import graded seats course pivo'!$1:$2,2,FALSE),FALSE))),"")</f>
        <v/>
      </c>
      <c r="Q903" s="14" t="str">
        <f>IFERROR((VLOOKUP($A903,'[1]import success seats course'!$A:AE,HLOOKUP('[1]Course Totals'!Q$4,'[1]import success seats course'!$1:$2,2,FALSE),FALSE)/(VLOOKUP($A903,'[1]import graded seats course pivo'!$A:AO,HLOOKUP('[1]Course Totals'!Q$4,'[1]import graded seats course pivo'!$1:$2,2,FALSE),FALSE))),"")</f>
        <v/>
      </c>
      <c r="R903" s="14" t="str">
        <f>IFERROR((VLOOKUP($A903,'[1]import success seats course'!$A:AF,HLOOKUP('[1]Course Totals'!R$4,'[1]import success seats course'!$1:$2,2,FALSE),FALSE)/(VLOOKUP($A903,'[1]import graded seats course pivo'!$A:AP,HLOOKUP('[1]Course Totals'!R$4,'[1]import graded seats course pivo'!$1:$2,2,FALSE),FALSE))),"")</f>
        <v/>
      </c>
      <c r="S903" s="14" t="str">
        <f>IFERROR((VLOOKUP($A903,'[1]import success seats course'!$A:AG,HLOOKUP('[1]Course Totals'!S$4,'[1]import success seats course'!$1:$2,2,FALSE),FALSE)/(VLOOKUP($A903,'[1]import graded seats course pivo'!$A:AQ,HLOOKUP('[1]Course Totals'!S$4,'[1]import graded seats course pivo'!$1:$2,2,FALSE),FALSE))),"")</f>
        <v/>
      </c>
      <c r="Z903" s="7"/>
      <c r="AA903" s="7"/>
      <c r="AB903" s="7"/>
      <c r="AC903" s="7"/>
    </row>
    <row r="904" spans="1:29" ht="15.75" customHeight="1" x14ac:dyDescent="0.25">
      <c r="A904" s="12" t="s">
        <v>654</v>
      </c>
      <c r="B904" s="14" t="str">
        <f>IFERROR((VLOOKUP($A904,'[1]import success seats course'!$A:P,HLOOKUP('[1]Course Totals'!B$4,'[1]import success seats course'!$1:$2,2,FALSE),FALSE)/(VLOOKUP($A904,'[1]import graded seats course pivo'!$A:Z,HLOOKUP('[1]Course Totals'!B$4,'[1]import graded seats course pivo'!$1:$2,2,FALSE),FALSE))),"")</f>
        <v/>
      </c>
      <c r="C904" s="14" t="str">
        <f>IFERROR((VLOOKUP($A904,'[1]import success seats course'!$A:Q,HLOOKUP('[1]Course Totals'!C$4,'[1]import success seats course'!$1:$2,2,FALSE),FALSE)/(VLOOKUP($A904,'[1]import graded seats course pivo'!$A:AA,HLOOKUP('[1]Course Totals'!C$4,'[1]import graded seats course pivo'!$1:$2,2,FALSE),FALSE))),"")</f>
        <v/>
      </c>
      <c r="D904" s="14">
        <f>IFERROR((VLOOKUP($A904,'[1]import success seats course'!$A:R,HLOOKUP('[1]Course Totals'!D$4,'[1]import success seats course'!$1:$2,2,FALSE),FALSE)/(VLOOKUP($A904,'[1]import graded seats course pivo'!$A:AB,HLOOKUP('[1]Course Totals'!D$4,'[1]import graded seats course pivo'!$1:$2,2,FALSE),FALSE))),"")</f>
        <v>0.86956521739130432</v>
      </c>
      <c r="E904" s="14" t="str">
        <f>IFERROR((VLOOKUP($A904,'[1]import success seats course'!$A:S,HLOOKUP('[1]Course Totals'!E$4,'[1]import success seats course'!$1:$2,2,FALSE),FALSE)/(VLOOKUP($A904,'[1]import graded seats course pivo'!$A:AC,HLOOKUP('[1]Course Totals'!E$4,'[1]import graded seats course pivo'!$1:$2,2,FALSE),FALSE))),"")</f>
        <v/>
      </c>
      <c r="F904" s="14">
        <f>IFERROR((VLOOKUP($A904,'[1]import success seats course'!$A:T,HLOOKUP('[1]Course Totals'!F$4,'[1]import success seats course'!$1:$2,2,FALSE),FALSE)/(VLOOKUP($A904,'[1]import graded seats course pivo'!$A:AD,HLOOKUP('[1]Course Totals'!F$4,'[1]import graded seats course pivo'!$1:$2,2,FALSE),FALSE))),"")</f>
        <v>0.9285714285714286</v>
      </c>
      <c r="G904" s="14" t="str">
        <f>IFERROR((VLOOKUP($A904,'[1]import success seats course'!$A:U,HLOOKUP('[1]Course Totals'!G$4,'[1]import success seats course'!$1:$2,2,FALSE),FALSE)/(VLOOKUP($A904,'[1]import graded seats course pivo'!$A:AE,HLOOKUP('[1]Course Totals'!G$4,'[1]import graded seats course pivo'!$1:$2,2,FALSE),FALSE))),"")</f>
        <v/>
      </c>
      <c r="H904" s="14" t="str">
        <f>IFERROR((VLOOKUP($A904,'[1]import success seats course'!$A:V,HLOOKUP('[1]Course Totals'!H$4,'[1]import success seats course'!$1:$2,2,FALSE),FALSE)/(VLOOKUP($A904,'[1]import graded seats course pivo'!$A:AF,HLOOKUP('[1]Course Totals'!H$4,'[1]import graded seats course pivo'!$1:$2,2,FALSE),FALSE))),"")</f>
        <v/>
      </c>
      <c r="I904" s="14" t="str">
        <f>IFERROR((VLOOKUP($A904,'[1]import success seats course'!$A:W,HLOOKUP('[1]Course Totals'!I$4,'[1]import success seats course'!$1:$2,2,FALSE),FALSE)/(VLOOKUP($A904,'[1]import graded seats course pivo'!$A:AG,HLOOKUP('[1]Course Totals'!I$4,'[1]import graded seats course pivo'!$1:$2,2,FALSE),FALSE))),"")</f>
        <v/>
      </c>
      <c r="J904" s="14">
        <f>IFERROR((VLOOKUP($A904,'[1]import success seats course'!$A:X,HLOOKUP('[1]Course Totals'!J$4,'[1]import success seats course'!$1:$2,2,FALSE),FALSE)/(VLOOKUP($A904,'[1]import graded seats course pivo'!$A:AH,HLOOKUP('[1]Course Totals'!J$4,'[1]import graded seats course pivo'!$1:$2,2,FALSE),FALSE))),"")</f>
        <v>1</v>
      </c>
      <c r="K904" s="14" t="str">
        <f>IFERROR((VLOOKUP($A904,'[1]import success seats course'!$A:Y,HLOOKUP('[1]Course Totals'!K$4,'[1]import success seats course'!$1:$2,2,FALSE),FALSE)/(VLOOKUP($A904,'[1]import graded seats course pivo'!$A:AI,HLOOKUP('[1]Course Totals'!K$4,'[1]import graded seats course pivo'!$1:$2,2,FALSE),FALSE))),"")</f>
        <v/>
      </c>
      <c r="L904" s="14" t="str">
        <f>IFERROR((VLOOKUP($A904,'[1]import success seats course'!$A:Z,HLOOKUP('[1]Course Totals'!L$4,'[1]import success seats course'!$1:$2,2,FALSE),FALSE)/(VLOOKUP($A904,'[1]import graded seats course pivo'!$A:AJ,HLOOKUP('[1]Course Totals'!L$4,'[1]import graded seats course pivo'!$1:$2,2,FALSE),FALSE))),"")</f>
        <v/>
      </c>
      <c r="M904" s="14" t="str">
        <f>IFERROR((VLOOKUP($A904,'[1]import success seats course'!$A:AA,HLOOKUP('[1]Course Totals'!M$4,'[1]import success seats course'!$1:$2,2,FALSE),FALSE)/(VLOOKUP($A904,'[1]import graded seats course pivo'!$A:AK,HLOOKUP('[1]Course Totals'!M$4,'[1]import graded seats course pivo'!$1:$2,2,FALSE),FALSE))),"")</f>
        <v/>
      </c>
      <c r="N904" s="14" t="str">
        <f>IFERROR((VLOOKUP($A904,'[1]import success seats course'!$A:AB,HLOOKUP('[1]Course Totals'!N$4,'[1]import success seats course'!$1:$2,2,FALSE),FALSE)/(VLOOKUP($A904,'[1]import graded seats course pivo'!$A:AL,HLOOKUP('[1]Course Totals'!N$4,'[1]import graded seats course pivo'!$1:$2,2,FALSE),FALSE))),"")</f>
        <v/>
      </c>
      <c r="O904" s="14" t="str">
        <f>IFERROR((VLOOKUP($A904,'[1]import success seats course'!$A:AC,HLOOKUP('[1]Course Totals'!O$4,'[1]import success seats course'!$1:$2,2,FALSE),FALSE)/(VLOOKUP($A904,'[1]import graded seats course pivo'!$A:AM,HLOOKUP('[1]Course Totals'!O$4,'[1]import graded seats course pivo'!$1:$2,2,FALSE),FALSE))),"")</f>
        <v/>
      </c>
      <c r="P904" s="14" t="str">
        <f>IFERROR((VLOOKUP($A904,'[1]import success seats course'!$A:AD,HLOOKUP('[1]Course Totals'!P$4,'[1]import success seats course'!$1:$2,2,FALSE),FALSE)/(VLOOKUP($A904,'[1]import graded seats course pivo'!$A:AN,HLOOKUP('[1]Course Totals'!P$4,'[1]import graded seats course pivo'!$1:$2,2,FALSE),FALSE))),"")</f>
        <v/>
      </c>
      <c r="Q904" s="14" t="str">
        <f>IFERROR((VLOOKUP($A904,'[1]import success seats course'!$A:AE,HLOOKUP('[1]Course Totals'!Q$4,'[1]import success seats course'!$1:$2,2,FALSE),FALSE)/(VLOOKUP($A904,'[1]import graded seats course pivo'!$A:AO,HLOOKUP('[1]Course Totals'!Q$4,'[1]import graded seats course pivo'!$1:$2,2,FALSE),FALSE))),"")</f>
        <v/>
      </c>
      <c r="R904" s="14" t="str">
        <f>IFERROR((VLOOKUP($A904,'[1]import success seats course'!$A:AF,HLOOKUP('[1]Course Totals'!R$4,'[1]import success seats course'!$1:$2,2,FALSE),FALSE)/(VLOOKUP($A904,'[1]import graded seats course pivo'!$A:AP,HLOOKUP('[1]Course Totals'!R$4,'[1]import graded seats course pivo'!$1:$2,2,FALSE),FALSE))),"")</f>
        <v/>
      </c>
      <c r="S904" s="14" t="str">
        <f>IFERROR((VLOOKUP($A904,'[1]import success seats course'!$A:AG,HLOOKUP('[1]Course Totals'!S$4,'[1]import success seats course'!$1:$2,2,FALSE),FALSE)/(VLOOKUP($A904,'[1]import graded seats course pivo'!$A:AQ,HLOOKUP('[1]Course Totals'!S$4,'[1]import graded seats course pivo'!$1:$2,2,FALSE),FALSE))),"")</f>
        <v/>
      </c>
      <c r="Z904" s="7"/>
      <c r="AA904" s="7"/>
      <c r="AB904" s="7"/>
      <c r="AC904" s="7"/>
    </row>
    <row r="905" spans="1:29" ht="15.75" customHeight="1" x14ac:dyDescent="0.25">
      <c r="A905" s="12" t="s">
        <v>431</v>
      </c>
      <c r="B905" s="14">
        <f>IFERROR((VLOOKUP($A905,'[1]import success seats course'!$A:P,HLOOKUP('[1]Course Totals'!B$4,'[1]import success seats course'!$1:$2,2,FALSE),FALSE)/(VLOOKUP($A905,'[1]import graded seats course pivo'!$A:Z,HLOOKUP('[1]Course Totals'!B$4,'[1]import graded seats course pivo'!$1:$2,2,FALSE),FALSE))),"")</f>
        <v>0.93333333333333335</v>
      </c>
      <c r="C905" s="14">
        <f>IFERROR((VLOOKUP($A905,'[1]import success seats course'!$A:Q,HLOOKUP('[1]Course Totals'!C$4,'[1]import success seats course'!$1:$2,2,FALSE),FALSE)/(VLOOKUP($A905,'[1]import graded seats course pivo'!$A:AA,HLOOKUP('[1]Course Totals'!C$4,'[1]import graded seats course pivo'!$1:$2,2,FALSE),FALSE))),"")</f>
        <v>0.83333333333333337</v>
      </c>
      <c r="D905" s="14">
        <f>IFERROR((VLOOKUP($A905,'[1]import success seats course'!$A:R,HLOOKUP('[1]Course Totals'!D$4,'[1]import success seats course'!$1:$2,2,FALSE),FALSE)/(VLOOKUP($A905,'[1]import graded seats course pivo'!$A:AB,HLOOKUP('[1]Course Totals'!D$4,'[1]import graded seats course pivo'!$1:$2,2,FALSE),FALSE))),"")</f>
        <v>0.8936170212765957</v>
      </c>
      <c r="E905" s="14" t="str">
        <f>IFERROR((VLOOKUP($A905,'[1]import success seats course'!$A:S,HLOOKUP('[1]Course Totals'!E$4,'[1]import success seats course'!$1:$2,2,FALSE),FALSE)/(VLOOKUP($A905,'[1]import graded seats course pivo'!$A:AC,HLOOKUP('[1]Course Totals'!E$4,'[1]import graded seats course pivo'!$1:$2,2,FALSE),FALSE))),"")</f>
        <v/>
      </c>
      <c r="F905" s="14">
        <f>IFERROR((VLOOKUP($A905,'[1]import success seats course'!$A:T,HLOOKUP('[1]Course Totals'!F$4,'[1]import success seats course'!$1:$2,2,FALSE),FALSE)/(VLOOKUP($A905,'[1]import graded seats course pivo'!$A:AD,HLOOKUP('[1]Course Totals'!F$4,'[1]import graded seats course pivo'!$1:$2,2,FALSE),FALSE))),"")</f>
        <v>0.86440677966101698</v>
      </c>
      <c r="G905" s="14">
        <f>IFERROR((VLOOKUP($A905,'[1]import success seats course'!$A:U,HLOOKUP('[1]Course Totals'!G$4,'[1]import success seats course'!$1:$2,2,FALSE),FALSE)/(VLOOKUP($A905,'[1]import graded seats course pivo'!$A:AE,HLOOKUP('[1]Course Totals'!G$4,'[1]import graded seats course pivo'!$1:$2,2,FALSE),FALSE))),"")</f>
        <v>0.87931034482758619</v>
      </c>
      <c r="H905" s="14" t="str">
        <f>IFERROR((VLOOKUP($A905,'[1]import success seats course'!$A:V,HLOOKUP('[1]Course Totals'!H$4,'[1]import success seats course'!$1:$2,2,FALSE),FALSE)/(VLOOKUP($A905,'[1]import graded seats course pivo'!$A:AF,HLOOKUP('[1]Course Totals'!H$4,'[1]import graded seats course pivo'!$1:$2,2,FALSE),FALSE))),"")</f>
        <v/>
      </c>
      <c r="I905" s="14">
        <f>IFERROR((VLOOKUP($A905,'[1]import success seats course'!$A:W,HLOOKUP('[1]Course Totals'!I$4,'[1]import success seats course'!$1:$2,2,FALSE),FALSE)/(VLOOKUP($A905,'[1]import graded seats course pivo'!$A:AG,HLOOKUP('[1]Course Totals'!I$4,'[1]import graded seats course pivo'!$1:$2,2,FALSE),FALSE))),"")</f>
        <v>0.84482758620689657</v>
      </c>
      <c r="J905" s="14">
        <f>IFERROR((VLOOKUP($A905,'[1]import success seats course'!$A:X,HLOOKUP('[1]Course Totals'!J$4,'[1]import success seats course'!$1:$2,2,FALSE),FALSE)/(VLOOKUP($A905,'[1]import graded seats course pivo'!$A:AH,HLOOKUP('[1]Course Totals'!J$4,'[1]import graded seats course pivo'!$1:$2,2,FALSE),FALSE))),"")</f>
        <v>0.9152542372881356</v>
      </c>
      <c r="K905" s="14" t="str">
        <f>IFERROR((VLOOKUP($A905,'[1]import success seats course'!$A:Y,HLOOKUP('[1]Course Totals'!K$4,'[1]import success seats course'!$1:$2,2,FALSE),FALSE)/(VLOOKUP($A905,'[1]import graded seats course pivo'!$A:AI,HLOOKUP('[1]Course Totals'!K$4,'[1]import graded seats course pivo'!$1:$2,2,FALSE),FALSE))),"")</f>
        <v/>
      </c>
      <c r="L905" s="14">
        <f>IFERROR((VLOOKUP($A905,'[1]import success seats course'!$A:Z,HLOOKUP('[1]Course Totals'!L$4,'[1]import success seats course'!$1:$2,2,FALSE),FALSE)/(VLOOKUP($A905,'[1]import graded seats course pivo'!$A:AJ,HLOOKUP('[1]Course Totals'!L$4,'[1]import graded seats course pivo'!$1:$2,2,FALSE),FALSE))),"")</f>
        <v>0.96491228070175439</v>
      </c>
      <c r="M905" s="14">
        <f>IFERROR((VLOOKUP($A905,'[1]import success seats course'!$A:AA,HLOOKUP('[1]Course Totals'!M$4,'[1]import success seats course'!$1:$2,2,FALSE),FALSE)/(VLOOKUP($A905,'[1]import graded seats course pivo'!$A:AK,HLOOKUP('[1]Course Totals'!M$4,'[1]import graded seats course pivo'!$1:$2,2,FALSE),FALSE))),"")</f>
        <v>0.78181818181818186</v>
      </c>
      <c r="N905" s="14" t="str">
        <f>IFERROR((VLOOKUP($A905,'[1]import success seats course'!$A:AB,HLOOKUP('[1]Course Totals'!N$4,'[1]import success seats course'!$1:$2,2,FALSE),FALSE)/(VLOOKUP($A905,'[1]import graded seats course pivo'!$A:AL,HLOOKUP('[1]Course Totals'!N$4,'[1]import graded seats course pivo'!$1:$2,2,FALSE),FALSE))),"")</f>
        <v/>
      </c>
      <c r="O905" s="14">
        <f>IFERROR((VLOOKUP($A905,'[1]import success seats course'!$A:AC,HLOOKUP('[1]Course Totals'!O$4,'[1]import success seats course'!$1:$2,2,FALSE),FALSE)/(VLOOKUP($A905,'[1]import graded seats course pivo'!$A:AM,HLOOKUP('[1]Course Totals'!O$4,'[1]import graded seats course pivo'!$1:$2,2,FALSE),FALSE))),"")</f>
        <v>0.8035714285714286</v>
      </c>
      <c r="P905" s="14">
        <f>IFERROR((VLOOKUP($A905,'[1]import success seats course'!$A:AD,HLOOKUP('[1]Course Totals'!P$4,'[1]import success seats course'!$1:$2,2,FALSE),FALSE)/(VLOOKUP($A905,'[1]import graded seats course pivo'!$A:AN,HLOOKUP('[1]Course Totals'!P$4,'[1]import graded seats course pivo'!$1:$2,2,FALSE),FALSE))),"")</f>
        <v>0.92592592592592593</v>
      </c>
      <c r="Q905" s="14" t="str">
        <f>IFERROR((VLOOKUP($A905,'[1]import success seats course'!$A:AE,HLOOKUP('[1]Course Totals'!Q$4,'[1]import success seats course'!$1:$2,2,FALSE),FALSE)/(VLOOKUP($A905,'[1]import graded seats course pivo'!$A:AO,HLOOKUP('[1]Course Totals'!Q$4,'[1]import graded seats course pivo'!$1:$2,2,FALSE),FALSE))),"")</f>
        <v/>
      </c>
      <c r="R905" s="14">
        <f>IFERROR((VLOOKUP($A905,'[1]import success seats course'!$A:AF,HLOOKUP('[1]Course Totals'!R$4,'[1]import success seats course'!$1:$2,2,FALSE),FALSE)/(VLOOKUP($A905,'[1]import graded seats course pivo'!$A:AP,HLOOKUP('[1]Course Totals'!R$4,'[1]import graded seats course pivo'!$1:$2,2,FALSE),FALSE))),"")</f>
        <v>0.86792452830188682</v>
      </c>
      <c r="S905" s="14">
        <f>IFERROR((VLOOKUP($A905,'[1]import success seats course'!$A:AG,HLOOKUP('[1]Course Totals'!S$4,'[1]import success seats course'!$1:$2,2,FALSE),FALSE)/(VLOOKUP($A905,'[1]import graded seats course pivo'!$A:AQ,HLOOKUP('[1]Course Totals'!S$4,'[1]import graded seats course pivo'!$1:$2,2,FALSE),FALSE))),"")</f>
        <v>0.9107142857142857</v>
      </c>
      <c r="Z905" s="7"/>
      <c r="AA905" s="7"/>
      <c r="AB905" s="7"/>
      <c r="AC905" s="7"/>
    </row>
    <row r="906" spans="1:29" ht="15.75" hidden="1" customHeight="1" x14ac:dyDescent="0.25">
      <c r="A906" s="12" t="s">
        <v>432</v>
      </c>
      <c r="B906" s="14" t="str">
        <f>IFERROR((VLOOKUP($A906,'[1]import success seats course'!$A:P,HLOOKUP('[1]Course Totals'!B$4,'[1]import success seats course'!$1:$2,2,FALSE),FALSE)/(VLOOKUP($A906,'[1]import graded seats course pivo'!$A:Z,HLOOKUP('[1]Course Totals'!B$4,'[1]import graded seats course pivo'!$1:$2,2,FALSE),FALSE))),"")</f>
        <v/>
      </c>
      <c r="C906" s="14" t="str">
        <f>IFERROR((VLOOKUP($A906,'[1]import success seats course'!$A:Q,HLOOKUP('[1]Course Totals'!C$4,'[1]import success seats course'!$1:$2,2,FALSE),FALSE)/(VLOOKUP($A906,'[1]import graded seats course pivo'!$A:AA,HLOOKUP('[1]Course Totals'!C$4,'[1]import graded seats course pivo'!$1:$2,2,FALSE),FALSE))),"")</f>
        <v/>
      </c>
      <c r="D906" s="14" t="str">
        <f>IFERROR((VLOOKUP($A906,'[1]import success seats course'!$A:R,HLOOKUP('[1]Course Totals'!D$4,'[1]import success seats course'!$1:$2,2,FALSE),FALSE)/(VLOOKUP($A906,'[1]import graded seats course pivo'!$A:AB,HLOOKUP('[1]Course Totals'!D$4,'[1]import graded seats course pivo'!$1:$2,2,FALSE),FALSE))),"")</f>
        <v/>
      </c>
      <c r="E906" s="14" t="str">
        <f>IFERROR((VLOOKUP($A906,'[1]import success seats course'!$A:S,HLOOKUP('[1]Course Totals'!E$4,'[1]import success seats course'!$1:$2,2,FALSE),FALSE)/(VLOOKUP($A906,'[1]import graded seats course pivo'!$A:AC,HLOOKUP('[1]Course Totals'!E$4,'[1]import graded seats course pivo'!$1:$2,2,FALSE),FALSE))),"")</f>
        <v/>
      </c>
      <c r="F906" s="14" t="str">
        <f>IFERROR((VLOOKUP($A906,'[1]import success seats course'!$A:T,HLOOKUP('[1]Course Totals'!F$4,'[1]import success seats course'!$1:$2,2,FALSE),FALSE)/(VLOOKUP($A906,'[1]import graded seats course pivo'!$A:AD,HLOOKUP('[1]Course Totals'!F$4,'[1]import graded seats course pivo'!$1:$2,2,FALSE),FALSE))),"")</f>
        <v/>
      </c>
      <c r="G906" s="14" t="str">
        <f>IFERROR((VLOOKUP($A906,'[1]import success seats course'!$A:U,HLOOKUP('[1]Course Totals'!G$4,'[1]import success seats course'!$1:$2,2,FALSE),FALSE)/(VLOOKUP($A906,'[1]import graded seats course pivo'!$A:AE,HLOOKUP('[1]Course Totals'!G$4,'[1]import graded seats course pivo'!$1:$2,2,FALSE),FALSE))),"")</f>
        <v/>
      </c>
      <c r="H906" s="14" t="str">
        <f>IFERROR((VLOOKUP($A906,'[1]import success seats course'!$A:V,HLOOKUP('[1]Course Totals'!H$4,'[1]import success seats course'!$1:$2,2,FALSE),FALSE)/(VLOOKUP($A906,'[1]import graded seats course pivo'!$A:AF,HLOOKUP('[1]Course Totals'!H$4,'[1]import graded seats course pivo'!$1:$2,2,FALSE),FALSE))),"")</f>
        <v/>
      </c>
      <c r="I906" s="14" t="str">
        <f>IFERROR((VLOOKUP($A906,'[1]import success seats course'!$A:W,HLOOKUP('[1]Course Totals'!I$4,'[1]import success seats course'!$1:$2,2,FALSE),FALSE)/(VLOOKUP($A906,'[1]import graded seats course pivo'!$A:AG,HLOOKUP('[1]Course Totals'!I$4,'[1]import graded seats course pivo'!$1:$2,2,FALSE),FALSE))),"")</f>
        <v/>
      </c>
      <c r="J906" s="14" t="str">
        <f>IFERROR((VLOOKUP($A906,'[1]import success seats course'!$A:X,HLOOKUP('[1]Course Totals'!J$4,'[1]import success seats course'!$1:$2,2,FALSE),FALSE)/(VLOOKUP($A906,'[1]import graded seats course pivo'!$A:AH,HLOOKUP('[1]Course Totals'!J$4,'[1]import graded seats course pivo'!$1:$2,2,FALSE),FALSE))),"")</f>
        <v/>
      </c>
      <c r="K906" s="14" t="str">
        <f>IFERROR((VLOOKUP($A906,'[1]import success seats course'!$A:Y,HLOOKUP('[1]Course Totals'!K$4,'[1]import success seats course'!$1:$2,2,FALSE),FALSE)/(VLOOKUP($A906,'[1]import graded seats course pivo'!$A:AI,HLOOKUP('[1]Course Totals'!K$4,'[1]import graded seats course pivo'!$1:$2,2,FALSE),FALSE))),"")</f>
        <v/>
      </c>
      <c r="L906" s="14" t="str">
        <f>IFERROR((VLOOKUP($A906,'[1]import success seats course'!$A:Z,HLOOKUP('[1]Course Totals'!L$4,'[1]import success seats course'!$1:$2,2,FALSE),FALSE)/(VLOOKUP($A906,'[1]import graded seats course pivo'!$A:AJ,HLOOKUP('[1]Course Totals'!L$4,'[1]import graded seats course pivo'!$1:$2,2,FALSE),FALSE))),"")</f>
        <v/>
      </c>
      <c r="M906" s="14" t="str">
        <f>IFERROR((VLOOKUP($A906,'[1]import success seats course'!$A:AA,HLOOKUP('[1]Course Totals'!M$4,'[1]import success seats course'!$1:$2,2,FALSE),FALSE)/(VLOOKUP($A906,'[1]import graded seats course pivo'!$A:AK,HLOOKUP('[1]Course Totals'!M$4,'[1]import graded seats course pivo'!$1:$2,2,FALSE),FALSE))),"")</f>
        <v/>
      </c>
      <c r="N906" s="14" t="str">
        <f>IFERROR((VLOOKUP($A906,'[1]import success seats course'!$A:AB,HLOOKUP('[1]Course Totals'!N$4,'[1]import success seats course'!$1:$2,2,FALSE),FALSE)/(VLOOKUP($A906,'[1]import graded seats course pivo'!$A:AL,HLOOKUP('[1]Course Totals'!N$4,'[1]import graded seats course pivo'!$1:$2,2,FALSE),FALSE))),"")</f>
        <v/>
      </c>
      <c r="O906" s="14" t="str">
        <f>IFERROR((VLOOKUP($A906,'[1]import success seats course'!$A:AC,HLOOKUP('[1]Course Totals'!O$4,'[1]import success seats course'!$1:$2,2,FALSE),FALSE)/(VLOOKUP($A906,'[1]import graded seats course pivo'!$A:AM,HLOOKUP('[1]Course Totals'!O$4,'[1]import graded seats course pivo'!$1:$2,2,FALSE),FALSE))),"")</f>
        <v/>
      </c>
      <c r="P906" s="14" t="str">
        <f>IFERROR((VLOOKUP($A906,'[1]import success seats course'!$A:AD,HLOOKUP('[1]Course Totals'!P$4,'[1]import success seats course'!$1:$2,2,FALSE),FALSE)/(VLOOKUP($A906,'[1]import graded seats course pivo'!$A:AN,HLOOKUP('[1]Course Totals'!P$4,'[1]import graded seats course pivo'!$1:$2,2,FALSE),FALSE))),"")</f>
        <v/>
      </c>
      <c r="Q906" s="14" t="str">
        <f>IFERROR((VLOOKUP($A906,'[1]import success seats course'!$A:AE,HLOOKUP('[1]Course Totals'!Q$4,'[1]import success seats course'!$1:$2,2,FALSE),FALSE)/(VLOOKUP($A906,'[1]import graded seats course pivo'!$A:AO,HLOOKUP('[1]Course Totals'!Q$4,'[1]import graded seats course pivo'!$1:$2,2,FALSE),FALSE))),"")</f>
        <v/>
      </c>
      <c r="R906" s="14" t="str">
        <f>IFERROR((VLOOKUP($A906,'[1]import success seats course'!$A:AF,HLOOKUP('[1]Course Totals'!R$4,'[1]import success seats course'!$1:$2,2,FALSE),FALSE)/(VLOOKUP($A906,'[1]import graded seats course pivo'!$A:AP,HLOOKUP('[1]Course Totals'!R$4,'[1]import graded seats course pivo'!$1:$2,2,FALSE),FALSE))),"")</f>
        <v/>
      </c>
      <c r="S906" s="14" t="str">
        <f>IFERROR((VLOOKUP($A906,'[1]import success seats course'!$A:AG,HLOOKUP('[1]Course Totals'!S$4,'[1]import success seats course'!$1:$2,2,FALSE),FALSE)/(VLOOKUP($A906,'[1]import graded seats course pivo'!$A:AQ,HLOOKUP('[1]Course Totals'!S$4,'[1]import graded seats course pivo'!$1:$2,2,FALSE),FALSE))),"")</f>
        <v/>
      </c>
      <c r="Z906" s="7"/>
      <c r="AA906" s="7"/>
      <c r="AB906" s="7"/>
      <c r="AC906" s="7"/>
    </row>
    <row r="907" spans="1:29" ht="15.75" hidden="1" customHeight="1" x14ac:dyDescent="0.25">
      <c r="A907" s="12" t="s">
        <v>750</v>
      </c>
      <c r="B907" s="14" t="str">
        <f>IFERROR((VLOOKUP($A907,'[1]import success seats course'!$A:P,HLOOKUP('[1]Course Totals'!B$4,'[1]import success seats course'!$1:$2,2,FALSE),FALSE)/(VLOOKUP($A907,'[1]import graded seats course pivo'!$A:Z,HLOOKUP('[1]Course Totals'!B$4,'[1]import graded seats course pivo'!$1:$2,2,FALSE),FALSE))),"")</f>
        <v/>
      </c>
      <c r="C907" s="14" t="str">
        <f>IFERROR((VLOOKUP($A907,'[1]import success seats course'!$A:Q,HLOOKUP('[1]Course Totals'!C$4,'[1]import success seats course'!$1:$2,2,FALSE),FALSE)/(VLOOKUP($A907,'[1]import graded seats course pivo'!$A:AA,HLOOKUP('[1]Course Totals'!C$4,'[1]import graded seats course pivo'!$1:$2,2,FALSE),FALSE))),"")</f>
        <v/>
      </c>
      <c r="D907" s="14" t="str">
        <f>IFERROR((VLOOKUP($A907,'[1]import success seats course'!$A:R,HLOOKUP('[1]Course Totals'!D$4,'[1]import success seats course'!$1:$2,2,FALSE),FALSE)/(VLOOKUP($A907,'[1]import graded seats course pivo'!$A:AB,HLOOKUP('[1]Course Totals'!D$4,'[1]import graded seats course pivo'!$1:$2,2,FALSE),FALSE))),"")</f>
        <v/>
      </c>
      <c r="E907" s="14" t="str">
        <f>IFERROR((VLOOKUP($A907,'[1]import success seats course'!$A:S,HLOOKUP('[1]Course Totals'!E$4,'[1]import success seats course'!$1:$2,2,FALSE),FALSE)/(VLOOKUP($A907,'[1]import graded seats course pivo'!$A:AC,HLOOKUP('[1]Course Totals'!E$4,'[1]import graded seats course pivo'!$1:$2,2,FALSE),FALSE))),"")</f>
        <v/>
      </c>
      <c r="F907" s="14" t="str">
        <f>IFERROR((VLOOKUP($A907,'[1]import success seats course'!$A:T,HLOOKUP('[1]Course Totals'!F$4,'[1]import success seats course'!$1:$2,2,FALSE),FALSE)/(VLOOKUP($A907,'[1]import graded seats course pivo'!$A:AD,HLOOKUP('[1]Course Totals'!F$4,'[1]import graded seats course pivo'!$1:$2,2,FALSE),FALSE))),"")</f>
        <v/>
      </c>
      <c r="G907" s="14" t="str">
        <f>IFERROR((VLOOKUP($A907,'[1]import success seats course'!$A:U,HLOOKUP('[1]Course Totals'!G$4,'[1]import success seats course'!$1:$2,2,FALSE),FALSE)/(VLOOKUP($A907,'[1]import graded seats course pivo'!$A:AE,HLOOKUP('[1]Course Totals'!G$4,'[1]import graded seats course pivo'!$1:$2,2,FALSE),FALSE))),"")</f>
        <v/>
      </c>
      <c r="H907" s="14" t="str">
        <f>IFERROR((VLOOKUP($A907,'[1]import success seats course'!$A:V,HLOOKUP('[1]Course Totals'!H$4,'[1]import success seats course'!$1:$2,2,FALSE),FALSE)/(VLOOKUP($A907,'[1]import graded seats course pivo'!$A:AF,HLOOKUP('[1]Course Totals'!H$4,'[1]import graded seats course pivo'!$1:$2,2,FALSE),FALSE))),"")</f>
        <v/>
      </c>
      <c r="I907" s="14" t="str">
        <f>IFERROR((VLOOKUP($A907,'[1]import success seats course'!$A:W,HLOOKUP('[1]Course Totals'!I$4,'[1]import success seats course'!$1:$2,2,FALSE),FALSE)/(VLOOKUP($A907,'[1]import graded seats course pivo'!$A:AG,HLOOKUP('[1]Course Totals'!I$4,'[1]import graded seats course pivo'!$1:$2,2,FALSE),FALSE))),"")</f>
        <v/>
      </c>
      <c r="J907" s="14" t="str">
        <f>IFERROR((VLOOKUP($A907,'[1]import success seats course'!$A:X,HLOOKUP('[1]Course Totals'!J$4,'[1]import success seats course'!$1:$2,2,FALSE),FALSE)/(VLOOKUP($A907,'[1]import graded seats course pivo'!$A:AH,HLOOKUP('[1]Course Totals'!J$4,'[1]import graded seats course pivo'!$1:$2,2,FALSE),FALSE))),"")</f>
        <v/>
      </c>
      <c r="K907" s="14" t="str">
        <f>IFERROR((VLOOKUP($A907,'[1]import success seats course'!$A:Y,HLOOKUP('[1]Course Totals'!K$4,'[1]import success seats course'!$1:$2,2,FALSE),FALSE)/(VLOOKUP($A907,'[1]import graded seats course pivo'!$A:AI,HLOOKUP('[1]Course Totals'!K$4,'[1]import graded seats course pivo'!$1:$2,2,FALSE),FALSE))),"")</f>
        <v/>
      </c>
      <c r="L907" s="14" t="str">
        <f>IFERROR((VLOOKUP($A907,'[1]import success seats course'!$A:Z,HLOOKUP('[1]Course Totals'!L$4,'[1]import success seats course'!$1:$2,2,FALSE),FALSE)/(VLOOKUP($A907,'[1]import graded seats course pivo'!$A:AJ,HLOOKUP('[1]Course Totals'!L$4,'[1]import graded seats course pivo'!$1:$2,2,FALSE),FALSE))),"")</f>
        <v/>
      </c>
      <c r="M907" s="14" t="str">
        <f>IFERROR((VLOOKUP($A907,'[1]import success seats course'!$A:AA,HLOOKUP('[1]Course Totals'!M$4,'[1]import success seats course'!$1:$2,2,FALSE),FALSE)/(VLOOKUP($A907,'[1]import graded seats course pivo'!$A:AK,HLOOKUP('[1]Course Totals'!M$4,'[1]import graded seats course pivo'!$1:$2,2,FALSE),FALSE))),"")</f>
        <v/>
      </c>
      <c r="N907" s="14" t="str">
        <f>IFERROR((VLOOKUP($A907,'[1]import success seats course'!$A:AB,HLOOKUP('[1]Course Totals'!N$4,'[1]import success seats course'!$1:$2,2,FALSE),FALSE)/(VLOOKUP($A907,'[1]import graded seats course pivo'!$A:AL,HLOOKUP('[1]Course Totals'!N$4,'[1]import graded seats course pivo'!$1:$2,2,FALSE),FALSE))),"")</f>
        <v/>
      </c>
      <c r="O907" s="14" t="str">
        <f>IFERROR((VLOOKUP($A907,'[1]import success seats course'!$A:AC,HLOOKUP('[1]Course Totals'!O$4,'[1]import success seats course'!$1:$2,2,FALSE),FALSE)/(VLOOKUP($A907,'[1]import graded seats course pivo'!$A:AM,HLOOKUP('[1]Course Totals'!O$4,'[1]import graded seats course pivo'!$1:$2,2,FALSE),FALSE))),"")</f>
        <v/>
      </c>
      <c r="P907" s="14" t="str">
        <f>IFERROR((VLOOKUP($A907,'[1]import success seats course'!$A:AD,HLOOKUP('[1]Course Totals'!P$4,'[1]import success seats course'!$1:$2,2,FALSE),FALSE)/(VLOOKUP($A907,'[1]import graded seats course pivo'!$A:AN,HLOOKUP('[1]Course Totals'!P$4,'[1]import graded seats course pivo'!$1:$2,2,FALSE),FALSE))),"")</f>
        <v/>
      </c>
      <c r="Q907" s="14" t="str">
        <f>IFERROR((VLOOKUP($A907,'[1]import success seats course'!$A:AE,HLOOKUP('[1]Course Totals'!Q$4,'[1]import success seats course'!$1:$2,2,FALSE),FALSE)/(VLOOKUP($A907,'[1]import graded seats course pivo'!$A:AO,HLOOKUP('[1]Course Totals'!Q$4,'[1]import graded seats course pivo'!$1:$2,2,FALSE),FALSE))),"")</f>
        <v/>
      </c>
      <c r="R907" s="14" t="str">
        <f>IFERROR((VLOOKUP($A907,'[1]import success seats course'!$A:AF,HLOOKUP('[1]Course Totals'!R$4,'[1]import success seats course'!$1:$2,2,FALSE),FALSE)/(VLOOKUP($A907,'[1]import graded seats course pivo'!$A:AP,HLOOKUP('[1]Course Totals'!R$4,'[1]import graded seats course pivo'!$1:$2,2,FALSE),FALSE))),"")</f>
        <v/>
      </c>
      <c r="S907" s="14" t="str">
        <f>IFERROR((VLOOKUP($A907,'[1]import success seats course'!$A:AG,HLOOKUP('[1]Course Totals'!S$4,'[1]import success seats course'!$1:$2,2,FALSE),FALSE)/(VLOOKUP($A907,'[1]import graded seats course pivo'!$A:AQ,HLOOKUP('[1]Course Totals'!S$4,'[1]import graded seats course pivo'!$1:$2,2,FALSE),FALSE))),"")</f>
        <v/>
      </c>
      <c r="Z907" s="7"/>
      <c r="AA907" s="7"/>
      <c r="AB907" s="7"/>
      <c r="AC907" s="7"/>
    </row>
    <row r="908" spans="1:29" ht="15.75" hidden="1" customHeight="1" x14ac:dyDescent="0.25">
      <c r="A908" s="12" t="s">
        <v>655</v>
      </c>
      <c r="B908" s="14" t="str">
        <f>IFERROR((VLOOKUP($A908,'[1]import success seats course'!$A:P,HLOOKUP('[1]Course Totals'!B$4,'[1]import success seats course'!$1:$2,2,FALSE),FALSE)/(VLOOKUP($A908,'[1]import graded seats course pivo'!$A:Z,HLOOKUP('[1]Course Totals'!B$4,'[1]import graded seats course pivo'!$1:$2,2,FALSE),FALSE))),"")</f>
        <v/>
      </c>
      <c r="C908" s="14" t="str">
        <f>IFERROR((VLOOKUP($A908,'[1]import success seats course'!$A:Q,HLOOKUP('[1]Course Totals'!C$4,'[1]import success seats course'!$1:$2,2,FALSE),FALSE)/(VLOOKUP($A908,'[1]import graded seats course pivo'!$A:AA,HLOOKUP('[1]Course Totals'!C$4,'[1]import graded seats course pivo'!$1:$2,2,FALSE),FALSE))),"")</f>
        <v/>
      </c>
      <c r="D908" s="14" t="str">
        <f>IFERROR((VLOOKUP($A908,'[1]import success seats course'!$A:R,HLOOKUP('[1]Course Totals'!D$4,'[1]import success seats course'!$1:$2,2,FALSE),FALSE)/(VLOOKUP($A908,'[1]import graded seats course pivo'!$A:AB,HLOOKUP('[1]Course Totals'!D$4,'[1]import graded seats course pivo'!$1:$2,2,FALSE),FALSE))),"")</f>
        <v/>
      </c>
      <c r="E908" s="14" t="str">
        <f>IFERROR((VLOOKUP($A908,'[1]import success seats course'!$A:S,HLOOKUP('[1]Course Totals'!E$4,'[1]import success seats course'!$1:$2,2,FALSE),FALSE)/(VLOOKUP($A908,'[1]import graded seats course pivo'!$A:AC,HLOOKUP('[1]Course Totals'!E$4,'[1]import graded seats course pivo'!$1:$2,2,FALSE),FALSE))),"")</f>
        <v/>
      </c>
      <c r="F908" s="14" t="str">
        <f>IFERROR((VLOOKUP($A908,'[1]import success seats course'!$A:T,HLOOKUP('[1]Course Totals'!F$4,'[1]import success seats course'!$1:$2,2,FALSE),FALSE)/(VLOOKUP($A908,'[1]import graded seats course pivo'!$A:AD,HLOOKUP('[1]Course Totals'!F$4,'[1]import graded seats course pivo'!$1:$2,2,FALSE),FALSE))),"")</f>
        <v/>
      </c>
      <c r="G908" s="14" t="str">
        <f>IFERROR((VLOOKUP($A908,'[1]import success seats course'!$A:U,HLOOKUP('[1]Course Totals'!G$4,'[1]import success seats course'!$1:$2,2,FALSE),FALSE)/(VLOOKUP($A908,'[1]import graded seats course pivo'!$A:AE,HLOOKUP('[1]Course Totals'!G$4,'[1]import graded seats course pivo'!$1:$2,2,FALSE),FALSE))),"")</f>
        <v/>
      </c>
      <c r="H908" s="14" t="str">
        <f>IFERROR((VLOOKUP($A908,'[1]import success seats course'!$A:V,HLOOKUP('[1]Course Totals'!H$4,'[1]import success seats course'!$1:$2,2,FALSE),FALSE)/(VLOOKUP($A908,'[1]import graded seats course pivo'!$A:AF,HLOOKUP('[1]Course Totals'!H$4,'[1]import graded seats course pivo'!$1:$2,2,FALSE),FALSE))),"")</f>
        <v/>
      </c>
      <c r="I908" s="14" t="str">
        <f>IFERROR((VLOOKUP($A908,'[1]import success seats course'!$A:W,HLOOKUP('[1]Course Totals'!I$4,'[1]import success seats course'!$1:$2,2,FALSE),FALSE)/(VLOOKUP($A908,'[1]import graded seats course pivo'!$A:AG,HLOOKUP('[1]Course Totals'!I$4,'[1]import graded seats course pivo'!$1:$2,2,FALSE),FALSE))),"")</f>
        <v/>
      </c>
      <c r="J908" s="14" t="str">
        <f>IFERROR((VLOOKUP($A908,'[1]import success seats course'!$A:X,HLOOKUP('[1]Course Totals'!J$4,'[1]import success seats course'!$1:$2,2,FALSE),FALSE)/(VLOOKUP($A908,'[1]import graded seats course pivo'!$A:AH,HLOOKUP('[1]Course Totals'!J$4,'[1]import graded seats course pivo'!$1:$2,2,FALSE),FALSE))),"")</f>
        <v/>
      </c>
      <c r="K908" s="14" t="str">
        <f>IFERROR((VLOOKUP($A908,'[1]import success seats course'!$A:Y,HLOOKUP('[1]Course Totals'!K$4,'[1]import success seats course'!$1:$2,2,FALSE),FALSE)/(VLOOKUP($A908,'[1]import graded seats course pivo'!$A:AI,HLOOKUP('[1]Course Totals'!K$4,'[1]import graded seats course pivo'!$1:$2,2,FALSE),FALSE))),"")</f>
        <v/>
      </c>
      <c r="L908" s="14" t="str">
        <f>IFERROR((VLOOKUP($A908,'[1]import success seats course'!$A:Z,HLOOKUP('[1]Course Totals'!L$4,'[1]import success seats course'!$1:$2,2,FALSE),FALSE)/(VLOOKUP($A908,'[1]import graded seats course pivo'!$A:AJ,HLOOKUP('[1]Course Totals'!L$4,'[1]import graded seats course pivo'!$1:$2,2,FALSE),FALSE))),"")</f>
        <v/>
      </c>
      <c r="M908" s="14" t="str">
        <f>IFERROR((VLOOKUP($A908,'[1]import success seats course'!$A:AA,HLOOKUP('[1]Course Totals'!M$4,'[1]import success seats course'!$1:$2,2,FALSE),FALSE)/(VLOOKUP($A908,'[1]import graded seats course pivo'!$A:AK,HLOOKUP('[1]Course Totals'!M$4,'[1]import graded seats course pivo'!$1:$2,2,FALSE),FALSE))),"")</f>
        <v/>
      </c>
      <c r="N908" s="14" t="str">
        <f>IFERROR((VLOOKUP($A908,'[1]import success seats course'!$A:AB,HLOOKUP('[1]Course Totals'!N$4,'[1]import success seats course'!$1:$2,2,FALSE),FALSE)/(VLOOKUP($A908,'[1]import graded seats course pivo'!$A:AL,HLOOKUP('[1]Course Totals'!N$4,'[1]import graded seats course pivo'!$1:$2,2,FALSE),FALSE))),"")</f>
        <v/>
      </c>
      <c r="O908" s="14" t="str">
        <f>IFERROR((VLOOKUP($A908,'[1]import success seats course'!$A:AC,HLOOKUP('[1]Course Totals'!O$4,'[1]import success seats course'!$1:$2,2,FALSE),FALSE)/(VLOOKUP($A908,'[1]import graded seats course pivo'!$A:AM,HLOOKUP('[1]Course Totals'!O$4,'[1]import graded seats course pivo'!$1:$2,2,FALSE),FALSE))),"")</f>
        <v/>
      </c>
      <c r="P908" s="14" t="str">
        <f>IFERROR((VLOOKUP($A908,'[1]import success seats course'!$A:AD,HLOOKUP('[1]Course Totals'!P$4,'[1]import success seats course'!$1:$2,2,FALSE),FALSE)/(VLOOKUP($A908,'[1]import graded seats course pivo'!$A:AN,HLOOKUP('[1]Course Totals'!P$4,'[1]import graded seats course pivo'!$1:$2,2,FALSE),FALSE))),"")</f>
        <v/>
      </c>
      <c r="Q908" s="14" t="str">
        <f>IFERROR((VLOOKUP($A908,'[1]import success seats course'!$A:AE,HLOOKUP('[1]Course Totals'!Q$4,'[1]import success seats course'!$1:$2,2,FALSE),FALSE)/(VLOOKUP($A908,'[1]import graded seats course pivo'!$A:AO,HLOOKUP('[1]Course Totals'!Q$4,'[1]import graded seats course pivo'!$1:$2,2,FALSE),FALSE))),"")</f>
        <v/>
      </c>
      <c r="R908" s="14" t="str">
        <f>IFERROR((VLOOKUP($A908,'[1]import success seats course'!$A:AF,HLOOKUP('[1]Course Totals'!R$4,'[1]import success seats course'!$1:$2,2,FALSE),FALSE)/(VLOOKUP($A908,'[1]import graded seats course pivo'!$A:AP,HLOOKUP('[1]Course Totals'!R$4,'[1]import graded seats course pivo'!$1:$2,2,FALSE),FALSE))),"")</f>
        <v/>
      </c>
      <c r="S908" s="14" t="str">
        <f>IFERROR((VLOOKUP($A908,'[1]import success seats course'!$A:AG,HLOOKUP('[1]Course Totals'!S$4,'[1]import success seats course'!$1:$2,2,FALSE),FALSE)/(VLOOKUP($A908,'[1]import graded seats course pivo'!$A:AQ,HLOOKUP('[1]Course Totals'!S$4,'[1]import graded seats course pivo'!$1:$2,2,FALSE),FALSE))),"")</f>
        <v/>
      </c>
      <c r="Z908" s="7"/>
      <c r="AA908" s="7"/>
      <c r="AB908" s="7"/>
      <c r="AC908" s="7"/>
    </row>
    <row r="909" spans="1:29" ht="15.75" hidden="1" customHeight="1" x14ac:dyDescent="0.25">
      <c r="A909" s="12" t="s">
        <v>935</v>
      </c>
      <c r="B909" s="14" t="str">
        <f>IFERROR((VLOOKUP($A909,'[1]import success seats course'!$A:P,HLOOKUP('[1]Course Totals'!B$4,'[1]import success seats course'!$1:$2,2,FALSE),FALSE)/(VLOOKUP($A909,'[1]import graded seats course pivo'!$A:Z,HLOOKUP('[1]Course Totals'!B$4,'[1]import graded seats course pivo'!$1:$2,2,FALSE),FALSE))),"")</f>
        <v/>
      </c>
      <c r="C909" s="14" t="str">
        <f>IFERROR((VLOOKUP($A909,'[1]import success seats course'!$A:Q,HLOOKUP('[1]Course Totals'!C$4,'[1]import success seats course'!$1:$2,2,FALSE),FALSE)/(VLOOKUP($A909,'[1]import graded seats course pivo'!$A:AA,HLOOKUP('[1]Course Totals'!C$4,'[1]import graded seats course pivo'!$1:$2,2,FALSE),FALSE))),"")</f>
        <v/>
      </c>
      <c r="D909" s="14" t="str">
        <f>IFERROR((VLOOKUP($A909,'[1]import success seats course'!$A:R,HLOOKUP('[1]Course Totals'!D$4,'[1]import success seats course'!$1:$2,2,FALSE),FALSE)/(VLOOKUP($A909,'[1]import graded seats course pivo'!$A:AB,HLOOKUP('[1]Course Totals'!D$4,'[1]import graded seats course pivo'!$1:$2,2,FALSE),FALSE))),"")</f>
        <v/>
      </c>
      <c r="E909" s="14" t="str">
        <f>IFERROR((VLOOKUP($A909,'[1]import success seats course'!$A:S,HLOOKUP('[1]Course Totals'!E$4,'[1]import success seats course'!$1:$2,2,FALSE),FALSE)/(VLOOKUP($A909,'[1]import graded seats course pivo'!$A:AC,HLOOKUP('[1]Course Totals'!E$4,'[1]import graded seats course pivo'!$1:$2,2,FALSE),FALSE))),"")</f>
        <v/>
      </c>
      <c r="F909" s="14" t="str">
        <f>IFERROR((VLOOKUP($A909,'[1]import success seats course'!$A:T,HLOOKUP('[1]Course Totals'!F$4,'[1]import success seats course'!$1:$2,2,FALSE),FALSE)/(VLOOKUP($A909,'[1]import graded seats course pivo'!$A:AD,HLOOKUP('[1]Course Totals'!F$4,'[1]import graded seats course pivo'!$1:$2,2,FALSE),FALSE))),"")</f>
        <v/>
      </c>
      <c r="G909" s="14" t="str">
        <f>IFERROR((VLOOKUP($A909,'[1]import success seats course'!$A:U,HLOOKUP('[1]Course Totals'!G$4,'[1]import success seats course'!$1:$2,2,FALSE),FALSE)/(VLOOKUP($A909,'[1]import graded seats course pivo'!$A:AE,HLOOKUP('[1]Course Totals'!G$4,'[1]import graded seats course pivo'!$1:$2,2,FALSE),FALSE))),"")</f>
        <v/>
      </c>
      <c r="H909" s="14" t="str">
        <f>IFERROR((VLOOKUP($A909,'[1]import success seats course'!$A:V,HLOOKUP('[1]Course Totals'!H$4,'[1]import success seats course'!$1:$2,2,FALSE),FALSE)/(VLOOKUP($A909,'[1]import graded seats course pivo'!$A:AF,HLOOKUP('[1]Course Totals'!H$4,'[1]import graded seats course pivo'!$1:$2,2,FALSE),FALSE))),"")</f>
        <v/>
      </c>
      <c r="I909" s="14" t="str">
        <f>IFERROR((VLOOKUP($A909,'[1]import success seats course'!$A:W,HLOOKUP('[1]Course Totals'!I$4,'[1]import success seats course'!$1:$2,2,FALSE),FALSE)/(VLOOKUP($A909,'[1]import graded seats course pivo'!$A:AG,HLOOKUP('[1]Course Totals'!I$4,'[1]import graded seats course pivo'!$1:$2,2,FALSE),FALSE))),"")</f>
        <v/>
      </c>
      <c r="J909" s="14" t="str">
        <f>IFERROR((VLOOKUP($A909,'[1]import success seats course'!$A:X,HLOOKUP('[1]Course Totals'!J$4,'[1]import success seats course'!$1:$2,2,FALSE),FALSE)/(VLOOKUP($A909,'[1]import graded seats course pivo'!$A:AH,HLOOKUP('[1]Course Totals'!J$4,'[1]import graded seats course pivo'!$1:$2,2,FALSE),FALSE))),"")</f>
        <v/>
      </c>
      <c r="K909" s="14" t="str">
        <f>IFERROR((VLOOKUP($A909,'[1]import success seats course'!$A:Y,HLOOKUP('[1]Course Totals'!K$4,'[1]import success seats course'!$1:$2,2,FALSE),FALSE)/(VLOOKUP($A909,'[1]import graded seats course pivo'!$A:AI,HLOOKUP('[1]Course Totals'!K$4,'[1]import graded seats course pivo'!$1:$2,2,FALSE),FALSE))),"")</f>
        <v/>
      </c>
      <c r="L909" s="14" t="str">
        <f>IFERROR((VLOOKUP($A909,'[1]import success seats course'!$A:Z,HLOOKUP('[1]Course Totals'!L$4,'[1]import success seats course'!$1:$2,2,FALSE),FALSE)/(VLOOKUP($A909,'[1]import graded seats course pivo'!$A:AJ,HLOOKUP('[1]Course Totals'!L$4,'[1]import graded seats course pivo'!$1:$2,2,FALSE),FALSE))),"")</f>
        <v/>
      </c>
      <c r="M909" s="14" t="str">
        <f>IFERROR((VLOOKUP($A909,'[1]import success seats course'!$A:AA,HLOOKUP('[1]Course Totals'!M$4,'[1]import success seats course'!$1:$2,2,FALSE),FALSE)/(VLOOKUP($A909,'[1]import graded seats course pivo'!$A:AK,HLOOKUP('[1]Course Totals'!M$4,'[1]import graded seats course pivo'!$1:$2,2,FALSE),FALSE))),"")</f>
        <v/>
      </c>
      <c r="N909" s="14" t="str">
        <f>IFERROR((VLOOKUP($A909,'[1]import success seats course'!$A:AB,HLOOKUP('[1]Course Totals'!N$4,'[1]import success seats course'!$1:$2,2,FALSE),FALSE)/(VLOOKUP($A909,'[1]import graded seats course pivo'!$A:AL,HLOOKUP('[1]Course Totals'!N$4,'[1]import graded seats course pivo'!$1:$2,2,FALSE),FALSE))),"")</f>
        <v/>
      </c>
      <c r="O909" s="14" t="str">
        <f>IFERROR((VLOOKUP($A909,'[1]import success seats course'!$A:AC,HLOOKUP('[1]Course Totals'!O$4,'[1]import success seats course'!$1:$2,2,FALSE),FALSE)/(VLOOKUP($A909,'[1]import graded seats course pivo'!$A:AM,HLOOKUP('[1]Course Totals'!O$4,'[1]import graded seats course pivo'!$1:$2,2,FALSE),FALSE))),"")</f>
        <v/>
      </c>
      <c r="P909" s="14" t="str">
        <f>IFERROR((VLOOKUP($A909,'[1]import success seats course'!$A:AD,HLOOKUP('[1]Course Totals'!P$4,'[1]import success seats course'!$1:$2,2,FALSE),FALSE)/(VLOOKUP($A909,'[1]import graded seats course pivo'!$A:AN,HLOOKUP('[1]Course Totals'!P$4,'[1]import graded seats course pivo'!$1:$2,2,FALSE),FALSE))),"")</f>
        <v/>
      </c>
      <c r="Q909" s="14" t="str">
        <f>IFERROR((VLOOKUP($A909,'[1]import success seats course'!$A:AE,HLOOKUP('[1]Course Totals'!Q$4,'[1]import success seats course'!$1:$2,2,FALSE),FALSE)/(VLOOKUP($A909,'[1]import graded seats course pivo'!$A:AO,HLOOKUP('[1]Course Totals'!Q$4,'[1]import graded seats course pivo'!$1:$2,2,FALSE),FALSE))),"")</f>
        <v/>
      </c>
      <c r="R909" s="14" t="str">
        <f>IFERROR((VLOOKUP($A909,'[1]import success seats course'!$A:AF,HLOOKUP('[1]Course Totals'!R$4,'[1]import success seats course'!$1:$2,2,FALSE),FALSE)/(VLOOKUP($A909,'[1]import graded seats course pivo'!$A:AP,HLOOKUP('[1]Course Totals'!R$4,'[1]import graded seats course pivo'!$1:$2,2,FALSE),FALSE))),"")</f>
        <v/>
      </c>
      <c r="S909" s="14" t="str">
        <f>IFERROR((VLOOKUP($A909,'[1]import success seats course'!$A:AG,HLOOKUP('[1]Course Totals'!S$4,'[1]import success seats course'!$1:$2,2,FALSE),FALSE)/(VLOOKUP($A909,'[1]import graded seats course pivo'!$A:AQ,HLOOKUP('[1]Course Totals'!S$4,'[1]import graded seats course pivo'!$1:$2,2,FALSE),FALSE))),"")</f>
        <v/>
      </c>
      <c r="Z909" s="7"/>
      <c r="AA909" s="7"/>
      <c r="AB909" s="7"/>
      <c r="AC909" s="7"/>
    </row>
    <row r="910" spans="1:29" ht="15.75" hidden="1" customHeight="1" x14ac:dyDescent="0.25">
      <c r="A910" s="12" t="s">
        <v>996</v>
      </c>
      <c r="B910" s="14" t="str">
        <f>IFERROR((VLOOKUP($A910,'[1]import success seats course'!$A:P,HLOOKUP('[1]Course Totals'!B$4,'[1]import success seats course'!$1:$2,2,FALSE),FALSE)/(VLOOKUP($A910,'[1]import graded seats course pivo'!$A:Z,HLOOKUP('[1]Course Totals'!B$4,'[1]import graded seats course pivo'!$1:$2,2,FALSE),FALSE))),"")</f>
        <v/>
      </c>
      <c r="C910" s="14" t="str">
        <f>IFERROR((VLOOKUP($A910,'[1]import success seats course'!$A:Q,HLOOKUP('[1]Course Totals'!C$4,'[1]import success seats course'!$1:$2,2,FALSE),FALSE)/(VLOOKUP($A910,'[1]import graded seats course pivo'!$A:AA,HLOOKUP('[1]Course Totals'!C$4,'[1]import graded seats course pivo'!$1:$2,2,FALSE),FALSE))),"")</f>
        <v/>
      </c>
      <c r="D910" s="14" t="str">
        <f>IFERROR((VLOOKUP($A910,'[1]import success seats course'!$A:R,HLOOKUP('[1]Course Totals'!D$4,'[1]import success seats course'!$1:$2,2,FALSE),FALSE)/(VLOOKUP($A910,'[1]import graded seats course pivo'!$A:AB,HLOOKUP('[1]Course Totals'!D$4,'[1]import graded seats course pivo'!$1:$2,2,FALSE),FALSE))),"")</f>
        <v/>
      </c>
      <c r="E910" s="14" t="str">
        <f>IFERROR((VLOOKUP($A910,'[1]import success seats course'!$A:S,HLOOKUP('[1]Course Totals'!E$4,'[1]import success seats course'!$1:$2,2,FALSE),FALSE)/(VLOOKUP($A910,'[1]import graded seats course pivo'!$A:AC,HLOOKUP('[1]Course Totals'!E$4,'[1]import graded seats course pivo'!$1:$2,2,FALSE),FALSE))),"")</f>
        <v/>
      </c>
      <c r="F910" s="14" t="str">
        <f>IFERROR((VLOOKUP($A910,'[1]import success seats course'!$A:T,HLOOKUP('[1]Course Totals'!F$4,'[1]import success seats course'!$1:$2,2,FALSE),FALSE)/(VLOOKUP($A910,'[1]import graded seats course pivo'!$A:AD,HLOOKUP('[1]Course Totals'!F$4,'[1]import graded seats course pivo'!$1:$2,2,FALSE),FALSE))),"")</f>
        <v/>
      </c>
      <c r="G910" s="14" t="str">
        <f>IFERROR((VLOOKUP($A910,'[1]import success seats course'!$A:U,HLOOKUP('[1]Course Totals'!G$4,'[1]import success seats course'!$1:$2,2,FALSE),FALSE)/(VLOOKUP($A910,'[1]import graded seats course pivo'!$A:AE,HLOOKUP('[1]Course Totals'!G$4,'[1]import graded seats course pivo'!$1:$2,2,FALSE),FALSE))),"")</f>
        <v/>
      </c>
      <c r="H910" s="14" t="str">
        <f>IFERROR((VLOOKUP($A910,'[1]import success seats course'!$A:V,HLOOKUP('[1]Course Totals'!H$4,'[1]import success seats course'!$1:$2,2,FALSE),FALSE)/(VLOOKUP($A910,'[1]import graded seats course pivo'!$A:AF,HLOOKUP('[1]Course Totals'!H$4,'[1]import graded seats course pivo'!$1:$2,2,FALSE),FALSE))),"")</f>
        <v/>
      </c>
      <c r="I910" s="14" t="str">
        <f>IFERROR((VLOOKUP($A910,'[1]import success seats course'!$A:W,HLOOKUP('[1]Course Totals'!I$4,'[1]import success seats course'!$1:$2,2,FALSE),FALSE)/(VLOOKUP($A910,'[1]import graded seats course pivo'!$A:AG,HLOOKUP('[1]Course Totals'!I$4,'[1]import graded seats course pivo'!$1:$2,2,FALSE),FALSE))),"")</f>
        <v/>
      </c>
      <c r="J910" s="14" t="str">
        <f>IFERROR((VLOOKUP($A910,'[1]import success seats course'!$A:X,HLOOKUP('[1]Course Totals'!J$4,'[1]import success seats course'!$1:$2,2,FALSE),FALSE)/(VLOOKUP($A910,'[1]import graded seats course pivo'!$A:AH,HLOOKUP('[1]Course Totals'!J$4,'[1]import graded seats course pivo'!$1:$2,2,FALSE),FALSE))),"")</f>
        <v/>
      </c>
      <c r="K910" s="14" t="str">
        <f>IFERROR((VLOOKUP($A910,'[1]import success seats course'!$A:Y,HLOOKUP('[1]Course Totals'!K$4,'[1]import success seats course'!$1:$2,2,FALSE),FALSE)/(VLOOKUP($A910,'[1]import graded seats course pivo'!$A:AI,HLOOKUP('[1]Course Totals'!K$4,'[1]import graded seats course pivo'!$1:$2,2,FALSE),FALSE))),"")</f>
        <v/>
      </c>
      <c r="L910" s="14" t="str">
        <f>IFERROR((VLOOKUP($A910,'[1]import success seats course'!$A:Z,HLOOKUP('[1]Course Totals'!L$4,'[1]import success seats course'!$1:$2,2,FALSE),FALSE)/(VLOOKUP($A910,'[1]import graded seats course pivo'!$A:AJ,HLOOKUP('[1]Course Totals'!L$4,'[1]import graded seats course pivo'!$1:$2,2,FALSE),FALSE))),"")</f>
        <v/>
      </c>
      <c r="M910" s="14" t="str">
        <f>IFERROR((VLOOKUP($A910,'[1]import success seats course'!$A:AA,HLOOKUP('[1]Course Totals'!M$4,'[1]import success seats course'!$1:$2,2,FALSE),FALSE)/(VLOOKUP($A910,'[1]import graded seats course pivo'!$A:AK,HLOOKUP('[1]Course Totals'!M$4,'[1]import graded seats course pivo'!$1:$2,2,FALSE),FALSE))),"")</f>
        <v/>
      </c>
      <c r="N910" s="14" t="str">
        <f>IFERROR((VLOOKUP($A910,'[1]import success seats course'!$A:AB,HLOOKUP('[1]Course Totals'!N$4,'[1]import success seats course'!$1:$2,2,FALSE),FALSE)/(VLOOKUP($A910,'[1]import graded seats course pivo'!$A:AL,HLOOKUP('[1]Course Totals'!N$4,'[1]import graded seats course pivo'!$1:$2,2,FALSE),FALSE))),"")</f>
        <v/>
      </c>
      <c r="O910" s="14" t="str">
        <f>IFERROR((VLOOKUP($A910,'[1]import success seats course'!$A:AC,HLOOKUP('[1]Course Totals'!O$4,'[1]import success seats course'!$1:$2,2,FALSE),FALSE)/(VLOOKUP($A910,'[1]import graded seats course pivo'!$A:AM,HLOOKUP('[1]Course Totals'!O$4,'[1]import graded seats course pivo'!$1:$2,2,FALSE),FALSE))),"")</f>
        <v/>
      </c>
      <c r="P910" s="14" t="str">
        <f>IFERROR((VLOOKUP($A910,'[1]import success seats course'!$A:AD,HLOOKUP('[1]Course Totals'!P$4,'[1]import success seats course'!$1:$2,2,FALSE),FALSE)/(VLOOKUP($A910,'[1]import graded seats course pivo'!$A:AN,HLOOKUP('[1]Course Totals'!P$4,'[1]import graded seats course pivo'!$1:$2,2,FALSE),FALSE))),"")</f>
        <v/>
      </c>
      <c r="Q910" s="14" t="str">
        <f>IFERROR((VLOOKUP($A910,'[1]import success seats course'!$A:AE,HLOOKUP('[1]Course Totals'!Q$4,'[1]import success seats course'!$1:$2,2,FALSE),FALSE)/(VLOOKUP($A910,'[1]import graded seats course pivo'!$A:AO,HLOOKUP('[1]Course Totals'!Q$4,'[1]import graded seats course pivo'!$1:$2,2,FALSE),FALSE))),"")</f>
        <v/>
      </c>
      <c r="R910" s="14" t="str">
        <f>IFERROR((VLOOKUP($A910,'[1]import success seats course'!$A:AF,HLOOKUP('[1]Course Totals'!R$4,'[1]import success seats course'!$1:$2,2,FALSE),FALSE)/(VLOOKUP($A910,'[1]import graded seats course pivo'!$A:AP,HLOOKUP('[1]Course Totals'!R$4,'[1]import graded seats course pivo'!$1:$2,2,FALSE),FALSE))),"")</f>
        <v/>
      </c>
      <c r="S910" s="14" t="str">
        <f>IFERROR((VLOOKUP($A910,'[1]import success seats course'!$A:AG,HLOOKUP('[1]Course Totals'!S$4,'[1]import success seats course'!$1:$2,2,FALSE),FALSE)/(VLOOKUP($A910,'[1]import graded seats course pivo'!$A:AQ,HLOOKUP('[1]Course Totals'!S$4,'[1]import graded seats course pivo'!$1:$2,2,FALSE),FALSE))),"")</f>
        <v/>
      </c>
      <c r="Z910" s="7"/>
      <c r="AA910" s="7"/>
      <c r="AB910" s="7"/>
      <c r="AC910" s="7"/>
    </row>
    <row r="911" spans="1:29" ht="15.75" customHeight="1" x14ac:dyDescent="0.25">
      <c r="A911" s="12" t="s">
        <v>433</v>
      </c>
      <c r="B911" s="14" t="str">
        <f>IFERROR((VLOOKUP($A911,'[1]import success seats course'!$A:P,HLOOKUP('[1]Course Totals'!B$4,'[1]import success seats course'!$1:$2,2,FALSE),FALSE)/(VLOOKUP($A911,'[1]import graded seats course pivo'!$A:Z,HLOOKUP('[1]Course Totals'!B$4,'[1]import graded seats course pivo'!$1:$2,2,FALSE),FALSE))),"")</f>
        <v/>
      </c>
      <c r="C911" s="14" t="str">
        <f>IFERROR((VLOOKUP($A911,'[1]import success seats course'!$A:Q,HLOOKUP('[1]Course Totals'!C$4,'[1]import success seats course'!$1:$2,2,FALSE),FALSE)/(VLOOKUP($A911,'[1]import graded seats course pivo'!$A:AA,HLOOKUP('[1]Course Totals'!C$4,'[1]import graded seats course pivo'!$1:$2,2,FALSE),FALSE))),"")</f>
        <v/>
      </c>
      <c r="D911" s="14" t="str">
        <f>IFERROR((VLOOKUP($A911,'[1]import success seats course'!$A:R,HLOOKUP('[1]Course Totals'!D$4,'[1]import success seats course'!$1:$2,2,FALSE),FALSE)/(VLOOKUP($A911,'[1]import graded seats course pivo'!$A:AB,HLOOKUP('[1]Course Totals'!D$4,'[1]import graded seats course pivo'!$1:$2,2,FALSE),FALSE))),"")</f>
        <v/>
      </c>
      <c r="E911" s="14" t="str">
        <f>IFERROR((VLOOKUP($A911,'[1]import success seats course'!$A:S,HLOOKUP('[1]Course Totals'!E$4,'[1]import success seats course'!$1:$2,2,FALSE),FALSE)/(VLOOKUP($A911,'[1]import graded seats course pivo'!$A:AC,HLOOKUP('[1]Course Totals'!E$4,'[1]import graded seats course pivo'!$1:$2,2,FALSE),FALSE))),"")</f>
        <v/>
      </c>
      <c r="F911" s="14" t="str">
        <f>IFERROR((VLOOKUP($A911,'[1]import success seats course'!$A:T,HLOOKUP('[1]Course Totals'!F$4,'[1]import success seats course'!$1:$2,2,FALSE),FALSE)/(VLOOKUP($A911,'[1]import graded seats course pivo'!$A:AD,HLOOKUP('[1]Course Totals'!F$4,'[1]import graded seats course pivo'!$1:$2,2,FALSE),FALSE))),"")</f>
        <v/>
      </c>
      <c r="G911" s="14" t="str">
        <f>IFERROR((VLOOKUP($A911,'[1]import success seats course'!$A:U,HLOOKUP('[1]Course Totals'!G$4,'[1]import success seats course'!$1:$2,2,FALSE),FALSE)/(VLOOKUP($A911,'[1]import graded seats course pivo'!$A:AE,HLOOKUP('[1]Course Totals'!G$4,'[1]import graded seats course pivo'!$1:$2,2,FALSE),FALSE))),"")</f>
        <v/>
      </c>
      <c r="H911" s="14" t="str">
        <f>IFERROR((VLOOKUP($A911,'[1]import success seats course'!$A:V,HLOOKUP('[1]Course Totals'!H$4,'[1]import success seats course'!$1:$2,2,FALSE),FALSE)/(VLOOKUP($A911,'[1]import graded seats course pivo'!$A:AF,HLOOKUP('[1]Course Totals'!H$4,'[1]import graded seats course pivo'!$1:$2,2,FALSE),FALSE))),"")</f>
        <v/>
      </c>
      <c r="I911" s="14" t="str">
        <f>IFERROR((VLOOKUP($A911,'[1]import success seats course'!$A:W,HLOOKUP('[1]Course Totals'!I$4,'[1]import success seats course'!$1:$2,2,FALSE),FALSE)/(VLOOKUP($A911,'[1]import graded seats course pivo'!$A:AG,HLOOKUP('[1]Course Totals'!I$4,'[1]import graded seats course pivo'!$1:$2,2,FALSE),FALSE))),"")</f>
        <v/>
      </c>
      <c r="J911" s="14" t="str">
        <f>IFERROR((VLOOKUP($A911,'[1]import success seats course'!$A:X,HLOOKUP('[1]Course Totals'!J$4,'[1]import success seats course'!$1:$2,2,FALSE),FALSE)/(VLOOKUP($A911,'[1]import graded seats course pivo'!$A:AH,HLOOKUP('[1]Course Totals'!J$4,'[1]import graded seats course pivo'!$1:$2,2,FALSE),FALSE))),"")</f>
        <v/>
      </c>
      <c r="K911" s="14" t="str">
        <f>IFERROR((VLOOKUP($A911,'[1]import success seats course'!$A:Y,HLOOKUP('[1]Course Totals'!K$4,'[1]import success seats course'!$1:$2,2,FALSE),FALSE)/(VLOOKUP($A911,'[1]import graded seats course pivo'!$A:AI,HLOOKUP('[1]Course Totals'!K$4,'[1]import graded seats course pivo'!$1:$2,2,FALSE),FALSE))),"")</f>
        <v/>
      </c>
      <c r="L911" s="14" t="str">
        <f>IFERROR((VLOOKUP($A911,'[1]import success seats course'!$A:Z,HLOOKUP('[1]Course Totals'!L$4,'[1]import success seats course'!$1:$2,2,FALSE),FALSE)/(VLOOKUP($A911,'[1]import graded seats course pivo'!$A:AJ,HLOOKUP('[1]Course Totals'!L$4,'[1]import graded seats course pivo'!$1:$2,2,FALSE),FALSE))),"")</f>
        <v/>
      </c>
      <c r="M911" s="14" t="str">
        <f>IFERROR((VLOOKUP($A911,'[1]import success seats course'!$A:AA,HLOOKUP('[1]Course Totals'!M$4,'[1]import success seats course'!$1:$2,2,FALSE),FALSE)/(VLOOKUP($A911,'[1]import graded seats course pivo'!$A:AK,HLOOKUP('[1]Course Totals'!M$4,'[1]import graded seats course pivo'!$1:$2,2,FALSE),FALSE))),"")</f>
        <v/>
      </c>
      <c r="N911" s="14" t="str">
        <f>IFERROR((VLOOKUP($A911,'[1]import success seats course'!$A:AB,HLOOKUP('[1]Course Totals'!N$4,'[1]import success seats course'!$1:$2,2,FALSE),FALSE)/(VLOOKUP($A911,'[1]import graded seats course pivo'!$A:AL,HLOOKUP('[1]Course Totals'!N$4,'[1]import graded seats course pivo'!$1:$2,2,FALSE),FALSE))),"")</f>
        <v/>
      </c>
      <c r="O911" s="14" t="str">
        <f>IFERROR((VLOOKUP($A911,'[1]import success seats course'!$A:AC,HLOOKUP('[1]Course Totals'!O$4,'[1]import success seats course'!$1:$2,2,FALSE),FALSE)/(VLOOKUP($A911,'[1]import graded seats course pivo'!$A:AM,HLOOKUP('[1]Course Totals'!O$4,'[1]import graded seats course pivo'!$1:$2,2,FALSE),FALSE))),"")</f>
        <v/>
      </c>
      <c r="P911" s="14">
        <f>IFERROR((VLOOKUP($A911,'[1]import success seats course'!$A:AD,HLOOKUP('[1]Course Totals'!P$4,'[1]import success seats course'!$1:$2,2,FALSE),FALSE)/(VLOOKUP($A911,'[1]import graded seats course pivo'!$A:AN,HLOOKUP('[1]Course Totals'!P$4,'[1]import graded seats course pivo'!$1:$2,2,FALSE),FALSE))),"")</f>
        <v>0.70833333333333337</v>
      </c>
      <c r="Q911" s="14" t="str">
        <f>IFERROR((VLOOKUP($A911,'[1]import success seats course'!$A:AE,HLOOKUP('[1]Course Totals'!Q$4,'[1]import success seats course'!$1:$2,2,FALSE),FALSE)/(VLOOKUP($A911,'[1]import graded seats course pivo'!$A:AO,HLOOKUP('[1]Course Totals'!Q$4,'[1]import graded seats course pivo'!$1:$2,2,FALSE),FALSE))),"")</f>
        <v/>
      </c>
      <c r="R911" s="14" t="str">
        <f>IFERROR((VLOOKUP($A911,'[1]import success seats course'!$A:AF,HLOOKUP('[1]Course Totals'!R$4,'[1]import success seats course'!$1:$2,2,FALSE),FALSE)/(VLOOKUP($A911,'[1]import graded seats course pivo'!$A:AP,HLOOKUP('[1]Course Totals'!R$4,'[1]import graded seats course pivo'!$1:$2,2,FALSE),FALSE))),"")</f>
        <v/>
      </c>
      <c r="S911" s="14" t="str">
        <f>IFERROR((VLOOKUP($A911,'[1]import success seats course'!$A:AG,HLOOKUP('[1]Course Totals'!S$4,'[1]import success seats course'!$1:$2,2,FALSE),FALSE)/(VLOOKUP($A911,'[1]import graded seats course pivo'!$A:AQ,HLOOKUP('[1]Course Totals'!S$4,'[1]import graded seats course pivo'!$1:$2,2,FALSE),FALSE))),"")</f>
        <v/>
      </c>
      <c r="Z911" s="7"/>
      <c r="AA911" s="7"/>
      <c r="AB911" s="7"/>
      <c r="AC911" s="7"/>
    </row>
    <row r="912" spans="1:29" ht="15.75" customHeight="1" x14ac:dyDescent="0.25">
      <c r="A912" s="12" t="s">
        <v>751</v>
      </c>
      <c r="B912" s="14" t="str">
        <f>IFERROR((VLOOKUP($A912,'[1]import success seats course'!$A:P,HLOOKUP('[1]Course Totals'!B$4,'[1]import success seats course'!$1:$2,2,FALSE),FALSE)/(VLOOKUP($A912,'[1]import graded seats course pivo'!$A:Z,HLOOKUP('[1]Course Totals'!B$4,'[1]import graded seats course pivo'!$1:$2,2,FALSE),FALSE))),"")</f>
        <v/>
      </c>
      <c r="C912" s="14" t="str">
        <f>IFERROR((VLOOKUP($A912,'[1]import success seats course'!$A:Q,HLOOKUP('[1]Course Totals'!C$4,'[1]import success seats course'!$1:$2,2,FALSE),FALSE)/(VLOOKUP($A912,'[1]import graded seats course pivo'!$A:AA,HLOOKUP('[1]Course Totals'!C$4,'[1]import graded seats course pivo'!$1:$2,2,FALSE),FALSE))),"")</f>
        <v/>
      </c>
      <c r="D912" s="14" t="str">
        <f>IFERROR((VLOOKUP($A912,'[1]import success seats course'!$A:R,HLOOKUP('[1]Course Totals'!D$4,'[1]import success seats course'!$1:$2,2,FALSE),FALSE)/(VLOOKUP($A912,'[1]import graded seats course pivo'!$A:AB,HLOOKUP('[1]Course Totals'!D$4,'[1]import graded seats course pivo'!$1:$2,2,FALSE),FALSE))),"")</f>
        <v/>
      </c>
      <c r="E912" s="14" t="str">
        <f>IFERROR((VLOOKUP($A912,'[1]import success seats course'!$A:S,HLOOKUP('[1]Course Totals'!E$4,'[1]import success seats course'!$1:$2,2,FALSE),FALSE)/(VLOOKUP($A912,'[1]import graded seats course pivo'!$A:AC,HLOOKUP('[1]Course Totals'!E$4,'[1]import graded seats course pivo'!$1:$2,2,FALSE),FALSE))),"")</f>
        <v/>
      </c>
      <c r="F912" s="14" t="str">
        <f>IFERROR((VLOOKUP($A912,'[1]import success seats course'!$A:T,HLOOKUP('[1]Course Totals'!F$4,'[1]import success seats course'!$1:$2,2,FALSE),FALSE)/(VLOOKUP($A912,'[1]import graded seats course pivo'!$A:AD,HLOOKUP('[1]Course Totals'!F$4,'[1]import graded seats course pivo'!$1:$2,2,FALSE),FALSE))),"")</f>
        <v/>
      </c>
      <c r="G912" s="14" t="str">
        <f>IFERROR((VLOOKUP($A912,'[1]import success seats course'!$A:U,HLOOKUP('[1]Course Totals'!G$4,'[1]import success seats course'!$1:$2,2,FALSE),FALSE)/(VLOOKUP($A912,'[1]import graded seats course pivo'!$A:AE,HLOOKUP('[1]Course Totals'!G$4,'[1]import graded seats course pivo'!$1:$2,2,FALSE),FALSE))),"")</f>
        <v/>
      </c>
      <c r="H912" s="14" t="str">
        <f>IFERROR((VLOOKUP($A912,'[1]import success seats course'!$A:V,HLOOKUP('[1]Course Totals'!H$4,'[1]import success seats course'!$1:$2,2,FALSE),FALSE)/(VLOOKUP($A912,'[1]import graded seats course pivo'!$A:AF,HLOOKUP('[1]Course Totals'!H$4,'[1]import graded seats course pivo'!$1:$2,2,FALSE),FALSE))),"")</f>
        <v/>
      </c>
      <c r="I912" s="14" t="str">
        <f>IFERROR((VLOOKUP($A912,'[1]import success seats course'!$A:W,HLOOKUP('[1]Course Totals'!I$4,'[1]import success seats course'!$1:$2,2,FALSE),FALSE)/(VLOOKUP($A912,'[1]import graded seats course pivo'!$A:AG,HLOOKUP('[1]Course Totals'!I$4,'[1]import graded seats course pivo'!$1:$2,2,FALSE),FALSE))),"")</f>
        <v/>
      </c>
      <c r="J912" s="14" t="str">
        <f>IFERROR((VLOOKUP($A912,'[1]import success seats course'!$A:X,HLOOKUP('[1]Course Totals'!J$4,'[1]import success seats course'!$1:$2,2,FALSE),FALSE)/(VLOOKUP($A912,'[1]import graded seats course pivo'!$A:AH,HLOOKUP('[1]Course Totals'!J$4,'[1]import graded seats course pivo'!$1:$2,2,FALSE),FALSE))),"")</f>
        <v/>
      </c>
      <c r="K912" s="14" t="str">
        <f>IFERROR((VLOOKUP($A912,'[1]import success seats course'!$A:Y,HLOOKUP('[1]Course Totals'!K$4,'[1]import success seats course'!$1:$2,2,FALSE),FALSE)/(VLOOKUP($A912,'[1]import graded seats course pivo'!$A:AI,HLOOKUP('[1]Course Totals'!K$4,'[1]import graded seats course pivo'!$1:$2,2,FALSE),FALSE))),"")</f>
        <v/>
      </c>
      <c r="L912" s="14" t="str">
        <f>IFERROR((VLOOKUP($A912,'[1]import success seats course'!$A:Z,HLOOKUP('[1]Course Totals'!L$4,'[1]import success seats course'!$1:$2,2,FALSE),FALSE)/(VLOOKUP($A912,'[1]import graded seats course pivo'!$A:AJ,HLOOKUP('[1]Course Totals'!L$4,'[1]import graded seats course pivo'!$1:$2,2,FALSE),FALSE))),"")</f>
        <v/>
      </c>
      <c r="M912" s="14" t="str">
        <f>IFERROR((VLOOKUP($A912,'[1]import success seats course'!$A:AA,HLOOKUP('[1]Course Totals'!M$4,'[1]import success seats course'!$1:$2,2,FALSE),FALSE)/(VLOOKUP($A912,'[1]import graded seats course pivo'!$A:AK,HLOOKUP('[1]Course Totals'!M$4,'[1]import graded seats course pivo'!$1:$2,2,FALSE),FALSE))),"")</f>
        <v/>
      </c>
      <c r="N912" s="14" t="str">
        <f>IFERROR((VLOOKUP($A912,'[1]import success seats course'!$A:AB,HLOOKUP('[1]Course Totals'!N$4,'[1]import success seats course'!$1:$2,2,FALSE),FALSE)/(VLOOKUP($A912,'[1]import graded seats course pivo'!$A:AL,HLOOKUP('[1]Course Totals'!N$4,'[1]import graded seats course pivo'!$1:$2,2,FALSE),FALSE))),"")</f>
        <v/>
      </c>
      <c r="O912" s="14">
        <f>IFERROR((VLOOKUP($A912,'[1]import success seats course'!$A:AC,HLOOKUP('[1]Course Totals'!O$4,'[1]import success seats course'!$1:$2,2,FALSE),FALSE)/(VLOOKUP($A912,'[1]import graded seats course pivo'!$A:AM,HLOOKUP('[1]Course Totals'!O$4,'[1]import graded seats course pivo'!$1:$2,2,FALSE),FALSE))),"")</f>
        <v>0.81481481481481477</v>
      </c>
      <c r="P912" s="14" t="str">
        <f>IFERROR((VLOOKUP($A912,'[1]import success seats course'!$A:AD,HLOOKUP('[1]Course Totals'!P$4,'[1]import success seats course'!$1:$2,2,FALSE),FALSE)/(VLOOKUP($A912,'[1]import graded seats course pivo'!$A:AN,HLOOKUP('[1]Course Totals'!P$4,'[1]import graded seats course pivo'!$1:$2,2,FALSE),FALSE))),"")</f>
        <v/>
      </c>
      <c r="Q912" s="14" t="str">
        <f>IFERROR((VLOOKUP($A912,'[1]import success seats course'!$A:AE,HLOOKUP('[1]Course Totals'!Q$4,'[1]import success seats course'!$1:$2,2,FALSE),FALSE)/(VLOOKUP($A912,'[1]import graded seats course pivo'!$A:AO,HLOOKUP('[1]Course Totals'!Q$4,'[1]import graded seats course pivo'!$1:$2,2,FALSE),FALSE))),"")</f>
        <v/>
      </c>
      <c r="R912" s="14" t="str">
        <f>IFERROR((VLOOKUP($A912,'[1]import success seats course'!$A:AF,HLOOKUP('[1]Course Totals'!R$4,'[1]import success seats course'!$1:$2,2,FALSE),FALSE)/(VLOOKUP($A912,'[1]import graded seats course pivo'!$A:AP,HLOOKUP('[1]Course Totals'!R$4,'[1]import graded seats course pivo'!$1:$2,2,FALSE),FALSE))),"")</f>
        <v/>
      </c>
      <c r="S912" s="14" t="str">
        <f>IFERROR((VLOOKUP($A912,'[1]import success seats course'!$A:AG,HLOOKUP('[1]Course Totals'!S$4,'[1]import success seats course'!$1:$2,2,FALSE),FALSE)/(VLOOKUP($A912,'[1]import graded seats course pivo'!$A:AQ,HLOOKUP('[1]Course Totals'!S$4,'[1]import graded seats course pivo'!$1:$2,2,FALSE),FALSE))),"")</f>
        <v/>
      </c>
      <c r="Z912" s="7"/>
      <c r="AA912" s="7"/>
      <c r="AB912" s="7"/>
      <c r="AC912" s="7"/>
    </row>
    <row r="913" spans="1:29" ht="15.75" customHeight="1" thickBot="1" x14ac:dyDescent="0.3">
      <c r="A913" s="8" t="str">
        <f>'[1]SUBJECTS BASE'!H53</f>
        <v>Physical Education</v>
      </c>
      <c r="B913" s="38" t="s">
        <v>1046</v>
      </c>
      <c r="C913" s="39" t="s">
        <v>0</v>
      </c>
      <c r="D913" s="40" t="s">
        <v>868</v>
      </c>
      <c r="E913" s="41" t="s">
        <v>1052</v>
      </c>
      <c r="F913" s="42" t="s">
        <v>546</v>
      </c>
      <c r="G913" s="43" t="s">
        <v>959</v>
      </c>
      <c r="H913" s="44" t="s">
        <v>1060</v>
      </c>
      <c r="I913" s="39" t="s">
        <v>675</v>
      </c>
      <c r="J913" s="45" t="s">
        <v>1006</v>
      </c>
      <c r="K913" s="46" t="s">
        <v>1062</v>
      </c>
      <c r="L913" s="42" t="s">
        <v>762</v>
      </c>
      <c r="M913" s="43" t="s">
        <v>1022</v>
      </c>
      <c r="N913" s="44" t="s">
        <v>1063</v>
      </c>
      <c r="O913" s="39" t="s">
        <v>822</v>
      </c>
      <c r="P913" s="40" t="s">
        <v>1042</v>
      </c>
      <c r="Q913" s="46" t="s">
        <v>1153</v>
      </c>
      <c r="R913" s="42" t="s">
        <v>1154</v>
      </c>
      <c r="S913" s="43" t="s">
        <v>1155</v>
      </c>
      <c r="Z913" s="7"/>
      <c r="AA913" s="7"/>
      <c r="AB913" s="7"/>
      <c r="AC913" s="7"/>
    </row>
    <row r="914" spans="1:29" ht="15.75" hidden="1" customHeight="1" x14ac:dyDescent="0.25">
      <c r="A914" s="12" t="s">
        <v>434</v>
      </c>
      <c r="B914" s="14" t="str">
        <f>IFERROR((VLOOKUP($A914,'[1]import success seats course'!$A:P,HLOOKUP('[1]Course Totals'!B$4,'[1]import success seats course'!$1:$2,2,FALSE),FALSE)/(VLOOKUP($A914,'[1]import graded seats course pivo'!$A:Z,HLOOKUP('[1]Course Totals'!B$4,'[1]import graded seats course pivo'!$1:$2,2,FALSE),FALSE))),"")</f>
        <v/>
      </c>
      <c r="C914" s="14" t="str">
        <f>IFERROR((VLOOKUP($A914,'[1]import success seats course'!$A:Q,HLOOKUP('[1]Course Totals'!C$4,'[1]import success seats course'!$1:$2,2,FALSE),FALSE)/(VLOOKUP($A914,'[1]import graded seats course pivo'!$A:AA,HLOOKUP('[1]Course Totals'!C$4,'[1]import graded seats course pivo'!$1:$2,2,FALSE),FALSE))),"")</f>
        <v/>
      </c>
      <c r="D914" s="14" t="str">
        <f>IFERROR((VLOOKUP($A914,'[1]import success seats course'!$A:R,HLOOKUP('[1]Course Totals'!D$4,'[1]import success seats course'!$1:$2,2,FALSE),FALSE)/(VLOOKUP($A914,'[1]import graded seats course pivo'!$A:AB,HLOOKUP('[1]Course Totals'!D$4,'[1]import graded seats course pivo'!$1:$2,2,FALSE),FALSE))),"")</f>
        <v/>
      </c>
      <c r="E914" s="14" t="str">
        <f>IFERROR((VLOOKUP($A914,'[1]import success seats course'!$A:S,HLOOKUP('[1]Course Totals'!E$4,'[1]import success seats course'!$1:$2,2,FALSE),FALSE)/(VLOOKUP($A914,'[1]import graded seats course pivo'!$A:AC,HLOOKUP('[1]Course Totals'!E$4,'[1]import graded seats course pivo'!$1:$2,2,FALSE),FALSE))),"")</f>
        <v/>
      </c>
      <c r="F914" s="14" t="str">
        <f>IFERROR((VLOOKUP($A914,'[1]import success seats course'!$A:T,HLOOKUP('[1]Course Totals'!F$4,'[1]import success seats course'!$1:$2,2,FALSE),FALSE)/(VLOOKUP($A914,'[1]import graded seats course pivo'!$A:AD,HLOOKUP('[1]Course Totals'!F$4,'[1]import graded seats course pivo'!$1:$2,2,FALSE),FALSE))),"")</f>
        <v/>
      </c>
      <c r="G914" s="14" t="str">
        <f>IFERROR((VLOOKUP($A914,'[1]import success seats course'!$A:U,HLOOKUP('[1]Course Totals'!G$4,'[1]import success seats course'!$1:$2,2,FALSE),FALSE)/(VLOOKUP($A914,'[1]import graded seats course pivo'!$A:AE,HLOOKUP('[1]Course Totals'!G$4,'[1]import graded seats course pivo'!$1:$2,2,FALSE),FALSE))),"")</f>
        <v/>
      </c>
      <c r="H914" s="14" t="str">
        <f>IFERROR((VLOOKUP($A914,'[1]import success seats course'!$A:V,HLOOKUP('[1]Course Totals'!H$4,'[1]import success seats course'!$1:$2,2,FALSE),FALSE)/(VLOOKUP($A914,'[1]import graded seats course pivo'!$A:AF,HLOOKUP('[1]Course Totals'!H$4,'[1]import graded seats course pivo'!$1:$2,2,FALSE),FALSE))),"")</f>
        <v/>
      </c>
      <c r="I914" s="14" t="str">
        <f>IFERROR((VLOOKUP($A914,'[1]import success seats course'!$A:W,HLOOKUP('[1]Course Totals'!I$4,'[1]import success seats course'!$1:$2,2,FALSE),FALSE)/(VLOOKUP($A914,'[1]import graded seats course pivo'!$A:AG,HLOOKUP('[1]Course Totals'!I$4,'[1]import graded seats course pivo'!$1:$2,2,FALSE),FALSE))),"")</f>
        <v/>
      </c>
      <c r="J914" s="14" t="str">
        <f>IFERROR((VLOOKUP($A914,'[1]import success seats course'!$A:X,HLOOKUP('[1]Course Totals'!J$4,'[1]import success seats course'!$1:$2,2,FALSE),FALSE)/(VLOOKUP($A914,'[1]import graded seats course pivo'!$A:AH,HLOOKUP('[1]Course Totals'!J$4,'[1]import graded seats course pivo'!$1:$2,2,FALSE),FALSE))),"")</f>
        <v/>
      </c>
      <c r="K914" s="14" t="str">
        <f>IFERROR((VLOOKUP($A914,'[1]import success seats course'!$A:Y,HLOOKUP('[1]Course Totals'!K$4,'[1]import success seats course'!$1:$2,2,FALSE),FALSE)/(VLOOKUP($A914,'[1]import graded seats course pivo'!$A:AI,HLOOKUP('[1]Course Totals'!K$4,'[1]import graded seats course pivo'!$1:$2,2,FALSE),FALSE))),"")</f>
        <v/>
      </c>
      <c r="L914" s="14" t="str">
        <f>IFERROR((VLOOKUP($A914,'[1]import success seats course'!$A:Z,HLOOKUP('[1]Course Totals'!L$4,'[1]import success seats course'!$1:$2,2,FALSE),FALSE)/(VLOOKUP($A914,'[1]import graded seats course pivo'!$A:AJ,HLOOKUP('[1]Course Totals'!L$4,'[1]import graded seats course pivo'!$1:$2,2,FALSE),FALSE))),"")</f>
        <v/>
      </c>
      <c r="M914" s="14" t="str">
        <f>IFERROR((VLOOKUP($A914,'[1]import success seats course'!$A:AA,HLOOKUP('[1]Course Totals'!M$4,'[1]import success seats course'!$1:$2,2,FALSE),FALSE)/(VLOOKUP($A914,'[1]import graded seats course pivo'!$A:AK,HLOOKUP('[1]Course Totals'!M$4,'[1]import graded seats course pivo'!$1:$2,2,FALSE),FALSE))),"")</f>
        <v/>
      </c>
      <c r="N914" s="14" t="str">
        <f>IFERROR((VLOOKUP($A914,'[1]import success seats course'!$A:AB,HLOOKUP('[1]Course Totals'!N$4,'[1]import success seats course'!$1:$2,2,FALSE),FALSE)/(VLOOKUP($A914,'[1]import graded seats course pivo'!$A:AL,HLOOKUP('[1]Course Totals'!N$4,'[1]import graded seats course pivo'!$1:$2,2,FALSE),FALSE))),"")</f>
        <v/>
      </c>
      <c r="O914" s="14" t="str">
        <f>IFERROR((VLOOKUP($A914,'[1]import success seats course'!$A:AC,HLOOKUP('[1]Course Totals'!O$4,'[1]import success seats course'!$1:$2,2,FALSE),FALSE)/(VLOOKUP($A914,'[1]import graded seats course pivo'!$A:AM,HLOOKUP('[1]Course Totals'!O$4,'[1]import graded seats course pivo'!$1:$2,2,FALSE),FALSE))),"")</f>
        <v/>
      </c>
      <c r="P914" s="14" t="str">
        <f>IFERROR((VLOOKUP($A914,'[1]import success seats course'!$A:AD,HLOOKUP('[1]Course Totals'!P$4,'[1]import success seats course'!$1:$2,2,FALSE),FALSE)/(VLOOKUP($A914,'[1]import graded seats course pivo'!$A:AN,HLOOKUP('[1]Course Totals'!P$4,'[1]import graded seats course pivo'!$1:$2,2,FALSE),FALSE))),"")</f>
        <v/>
      </c>
      <c r="Q914" s="14" t="str">
        <f>IFERROR((VLOOKUP($A914,'[1]import success seats course'!$A:AE,HLOOKUP('[1]Course Totals'!Q$4,'[1]import success seats course'!$1:$2,2,FALSE),FALSE)/(VLOOKUP($A914,'[1]import graded seats course pivo'!$A:AO,HLOOKUP('[1]Course Totals'!Q$4,'[1]import graded seats course pivo'!$1:$2,2,FALSE),FALSE))),"")</f>
        <v/>
      </c>
      <c r="R914" s="14" t="str">
        <f>IFERROR((VLOOKUP($A914,'[1]import success seats course'!$A:AF,HLOOKUP('[1]Course Totals'!R$4,'[1]import success seats course'!$1:$2,2,FALSE),FALSE)/(VLOOKUP($A914,'[1]import graded seats course pivo'!$A:AP,HLOOKUP('[1]Course Totals'!R$4,'[1]import graded seats course pivo'!$1:$2,2,FALSE),FALSE))),"")</f>
        <v/>
      </c>
      <c r="S914" s="14" t="str">
        <f>IFERROR((VLOOKUP($A914,'[1]import success seats course'!$A:AG,HLOOKUP('[1]Course Totals'!S$4,'[1]import success seats course'!$1:$2,2,FALSE),FALSE)/(VLOOKUP($A914,'[1]import graded seats course pivo'!$A:AQ,HLOOKUP('[1]Course Totals'!S$4,'[1]import graded seats course pivo'!$1:$2,2,FALSE),FALSE))),"")</f>
        <v/>
      </c>
      <c r="Z914" s="7"/>
      <c r="AA914" s="7"/>
      <c r="AB914" s="7"/>
      <c r="AC914" s="7"/>
    </row>
    <row r="915" spans="1:29" ht="15.75" customHeight="1" x14ac:dyDescent="0.25">
      <c r="A915" s="12" t="s">
        <v>435</v>
      </c>
      <c r="B915" s="14" t="str">
        <f>IFERROR((VLOOKUP($A915,'[1]import success seats course'!$A:P,HLOOKUP('[1]Course Totals'!B$4,'[1]import success seats course'!$1:$2,2,FALSE),FALSE)/(VLOOKUP($A915,'[1]import graded seats course pivo'!$A:Z,HLOOKUP('[1]Course Totals'!B$4,'[1]import graded seats course pivo'!$1:$2,2,FALSE),FALSE))),"")</f>
        <v/>
      </c>
      <c r="C915" s="14">
        <f>IFERROR((VLOOKUP($A915,'[1]import success seats course'!$A:Q,HLOOKUP('[1]Course Totals'!C$4,'[1]import success seats course'!$1:$2,2,FALSE),FALSE)/(VLOOKUP($A915,'[1]import graded seats course pivo'!$A:AA,HLOOKUP('[1]Course Totals'!C$4,'[1]import graded seats course pivo'!$1:$2,2,FALSE),FALSE))),"")</f>
        <v>0.83333333333333337</v>
      </c>
      <c r="D915" s="14">
        <f>IFERROR((VLOOKUP($A915,'[1]import success seats course'!$A:R,HLOOKUP('[1]Course Totals'!D$4,'[1]import success seats course'!$1:$2,2,FALSE),FALSE)/(VLOOKUP($A915,'[1]import graded seats course pivo'!$A:AB,HLOOKUP('[1]Course Totals'!D$4,'[1]import graded seats course pivo'!$1:$2,2,FALSE),FALSE))),"")</f>
        <v>1</v>
      </c>
      <c r="E915" s="14" t="str">
        <f>IFERROR((VLOOKUP($A915,'[1]import success seats course'!$A:S,HLOOKUP('[1]Course Totals'!E$4,'[1]import success seats course'!$1:$2,2,FALSE),FALSE)/(VLOOKUP($A915,'[1]import graded seats course pivo'!$A:AC,HLOOKUP('[1]Course Totals'!E$4,'[1]import graded seats course pivo'!$1:$2,2,FALSE),FALSE))),"")</f>
        <v/>
      </c>
      <c r="F915" s="14">
        <f>IFERROR((VLOOKUP($A915,'[1]import success seats course'!$A:T,HLOOKUP('[1]Course Totals'!F$4,'[1]import success seats course'!$1:$2,2,FALSE),FALSE)/(VLOOKUP($A915,'[1]import graded seats course pivo'!$A:AD,HLOOKUP('[1]Course Totals'!F$4,'[1]import graded seats course pivo'!$1:$2,2,FALSE),FALSE))),"")</f>
        <v>0.81481481481481477</v>
      </c>
      <c r="G915" s="14">
        <f>IFERROR((VLOOKUP($A915,'[1]import success seats course'!$A:U,HLOOKUP('[1]Course Totals'!G$4,'[1]import success seats course'!$1:$2,2,FALSE),FALSE)/(VLOOKUP($A915,'[1]import graded seats course pivo'!$A:AE,HLOOKUP('[1]Course Totals'!G$4,'[1]import graded seats course pivo'!$1:$2,2,FALSE),FALSE))),"")</f>
        <v>0.93617021276595747</v>
      </c>
      <c r="H915" s="14" t="str">
        <f>IFERROR((VLOOKUP($A915,'[1]import success seats course'!$A:V,HLOOKUP('[1]Course Totals'!H$4,'[1]import success seats course'!$1:$2,2,FALSE),FALSE)/(VLOOKUP($A915,'[1]import graded seats course pivo'!$A:AF,HLOOKUP('[1]Course Totals'!H$4,'[1]import graded seats course pivo'!$1:$2,2,FALSE),FALSE))),"")</f>
        <v/>
      </c>
      <c r="I915" s="14">
        <f>IFERROR((VLOOKUP($A915,'[1]import success seats course'!$A:W,HLOOKUP('[1]Course Totals'!I$4,'[1]import success seats course'!$1:$2,2,FALSE),FALSE)/(VLOOKUP($A915,'[1]import graded seats course pivo'!$A:AG,HLOOKUP('[1]Course Totals'!I$4,'[1]import graded seats course pivo'!$1:$2,2,FALSE),FALSE))),"")</f>
        <v>0.91489361702127658</v>
      </c>
      <c r="J915" s="14">
        <f>IFERROR((VLOOKUP($A915,'[1]import success seats course'!$A:X,HLOOKUP('[1]Course Totals'!J$4,'[1]import success seats course'!$1:$2,2,FALSE),FALSE)/(VLOOKUP($A915,'[1]import graded seats course pivo'!$A:AH,HLOOKUP('[1]Course Totals'!J$4,'[1]import graded seats course pivo'!$1:$2,2,FALSE),FALSE))),"")</f>
        <v>0.94</v>
      </c>
      <c r="K915" s="14" t="str">
        <f>IFERROR((VLOOKUP($A915,'[1]import success seats course'!$A:Y,HLOOKUP('[1]Course Totals'!K$4,'[1]import success seats course'!$1:$2,2,FALSE),FALSE)/(VLOOKUP($A915,'[1]import graded seats course pivo'!$A:AI,HLOOKUP('[1]Course Totals'!K$4,'[1]import graded seats course pivo'!$1:$2,2,FALSE),FALSE))),"")</f>
        <v/>
      </c>
      <c r="L915" s="14">
        <f>IFERROR((VLOOKUP($A915,'[1]import success seats course'!$A:Z,HLOOKUP('[1]Course Totals'!L$4,'[1]import success seats course'!$1:$2,2,FALSE),FALSE)/(VLOOKUP($A915,'[1]import graded seats course pivo'!$A:AJ,HLOOKUP('[1]Course Totals'!L$4,'[1]import graded seats course pivo'!$1:$2,2,FALSE),FALSE))),"")</f>
        <v>1</v>
      </c>
      <c r="M915" s="14">
        <f>IFERROR((VLOOKUP($A915,'[1]import success seats course'!$A:AA,HLOOKUP('[1]Course Totals'!M$4,'[1]import success seats course'!$1:$2,2,FALSE),FALSE)/(VLOOKUP($A915,'[1]import graded seats course pivo'!$A:AK,HLOOKUP('[1]Course Totals'!M$4,'[1]import graded seats course pivo'!$1:$2,2,FALSE),FALSE))),"")</f>
        <v>0.94871794871794868</v>
      </c>
      <c r="N915" s="14" t="str">
        <f>IFERROR((VLOOKUP($A915,'[1]import success seats course'!$A:AB,HLOOKUP('[1]Course Totals'!N$4,'[1]import success seats course'!$1:$2,2,FALSE),FALSE)/(VLOOKUP($A915,'[1]import graded seats course pivo'!$A:AL,HLOOKUP('[1]Course Totals'!N$4,'[1]import graded seats course pivo'!$1:$2,2,FALSE),FALSE))),"")</f>
        <v/>
      </c>
      <c r="O915" s="14">
        <f>IFERROR((VLOOKUP($A915,'[1]import success seats course'!$A:AC,HLOOKUP('[1]Course Totals'!O$4,'[1]import success seats course'!$1:$2,2,FALSE),FALSE)/(VLOOKUP($A915,'[1]import graded seats course pivo'!$A:AM,HLOOKUP('[1]Course Totals'!O$4,'[1]import graded seats course pivo'!$1:$2,2,FALSE),FALSE))),"")</f>
        <v>0.91891891891891897</v>
      </c>
      <c r="P915" s="14">
        <f>IFERROR((VLOOKUP($A915,'[1]import success seats course'!$A:AD,HLOOKUP('[1]Course Totals'!P$4,'[1]import success seats course'!$1:$2,2,FALSE),FALSE)/(VLOOKUP($A915,'[1]import graded seats course pivo'!$A:AN,HLOOKUP('[1]Course Totals'!P$4,'[1]import graded seats course pivo'!$1:$2,2,FALSE),FALSE))),"")</f>
        <v>0.88636363636363635</v>
      </c>
      <c r="Q915" s="14" t="str">
        <f>IFERROR((VLOOKUP($A915,'[1]import success seats course'!$A:AE,HLOOKUP('[1]Course Totals'!Q$4,'[1]import success seats course'!$1:$2,2,FALSE),FALSE)/(VLOOKUP($A915,'[1]import graded seats course pivo'!$A:AO,HLOOKUP('[1]Course Totals'!Q$4,'[1]import graded seats course pivo'!$1:$2,2,FALSE),FALSE))),"")</f>
        <v/>
      </c>
      <c r="R915" s="14" t="str">
        <f>IFERROR((VLOOKUP($A915,'[1]import success seats course'!$A:AF,HLOOKUP('[1]Course Totals'!R$4,'[1]import success seats course'!$1:$2,2,FALSE),FALSE)/(VLOOKUP($A915,'[1]import graded seats course pivo'!$A:AP,HLOOKUP('[1]Course Totals'!R$4,'[1]import graded seats course pivo'!$1:$2,2,FALSE),FALSE))),"")</f>
        <v/>
      </c>
      <c r="S915" s="14" t="str">
        <f>IFERROR((VLOOKUP($A915,'[1]import success seats course'!$A:AG,HLOOKUP('[1]Course Totals'!S$4,'[1]import success seats course'!$1:$2,2,FALSE),FALSE)/(VLOOKUP($A915,'[1]import graded seats course pivo'!$A:AQ,HLOOKUP('[1]Course Totals'!S$4,'[1]import graded seats course pivo'!$1:$2,2,FALSE),FALSE))),"")</f>
        <v/>
      </c>
      <c r="Z915" s="7"/>
      <c r="AA915" s="7"/>
      <c r="AB915" s="7"/>
      <c r="AC915" s="7"/>
    </row>
    <row r="916" spans="1:29" ht="15.75" hidden="1" customHeight="1" x14ac:dyDescent="0.25">
      <c r="A916" s="12" t="s">
        <v>1050</v>
      </c>
      <c r="B916" s="14" t="str">
        <f>IFERROR((VLOOKUP($A916,'[1]import success seats course'!$A:P,HLOOKUP('[1]Course Totals'!B$4,'[1]import success seats course'!$1:$2,2,FALSE),FALSE)/(VLOOKUP($A916,'[1]import graded seats course pivo'!$A:Z,HLOOKUP('[1]Course Totals'!B$4,'[1]import graded seats course pivo'!$1:$2,2,FALSE),FALSE))),"")</f>
        <v/>
      </c>
      <c r="C916" s="14" t="str">
        <f>IFERROR((VLOOKUP($A916,'[1]import success seats course'!$A:Q,HLOOKUP('[1]Course Totals'!C$4,'[1]import success seats course'!$1:$2,2,FALSE),FALSE)/(VLOOKUP($A916,'[1]import graded seats course pivo'!$A:AA,HLOOKUP('[1]Course Totals'!C$4,'[1]import graded seats course pivo'!$1:$2,2,FALSE),FALSE))),"")</f>
        <v/>
      </c>
      <c r="D916" s="14" t="str">
        <f>IFERROR((VLOOKUP($A916,'[1]import success seats course'!$A:R,HLOOKUP('[1]Course Totals'!D$4,'[1]import success seats course'!$1:$2,2,FALSE),FALSE)/(VLOOKUP($A916,'[1]import graded seats course pivo'!$A:AB,HLOOKUP('[1]Course Totals'!D$4,'[1]import graded seats course pivo'!$1:$2,2,FALSE),FALSE))),"")</f>
        <v/>
      </c>
      <c r="E916" s="14" t="str">
        <f>IFERROR((VLOOKUP($A916,'[1]import success seats course'!$A:S,HLOOKUP('[1]Course Totals'!E$4,'[1]import success seats course'!$1:$2,2,FALSE),FALSE)/(VLOOKUP($A916,'[1]import graded seats course pivo'!$A:AC,HLOOKUP('[1]Course Totals'!E$4,'[1]import graded seats course pivo'!$1:$2,2,FALSE),FALSE))),"")</f>
        <v/>
      </c>
      <c r="F916" s="14" t="str">
        <f>IFERROR((VLOOKUP($A916,'[1]import success seats course'!$A:T,HLOOKUP('[1]Course Totals'!F$4,'[1]import success seats course'!$1:$2,2,FALSE),FALSE)/(VLOOKUP($A916,'[1]import graded seats course pivo'!$A:AD,HLOOKUP('[1]Course Totals'!F$4,'[1]import graded seats course pivo'!$1:$2,2,FALSE),FALSE))),"")</f>
        <v/>
      </c>
      <c r="G916" s="14" t="str">
        <f>IFERROR((VLOOKUP($A916,'[1]import success seats course'!$A:U,HLOOKUP('[1]Course Totals'!G$4,'[1]import success seats course'!$1:$2,2,FALSE),FALSE)/(VLOOKUP($A916,'[1]import graded seats course pivo'!$A:AE,HLOOKUP('[1]Course Totals'!G$4,'[1]import graded seats course pivo'!$1:$2,2,FALSE),FALSE))),"")</f>
        <v/>
      </c>
      <c r="H916" s="14" t="str">
        <f>IFERROR((VLOOKUP($A916,'[1]import success seats course'!$A:V,HLOOKUP('[1]Course Totals'!H$4,'[1]import success seats course'!$1:$2,2,FALSE),FALSE)/(VLOOKUP($A916,'[1]import graded seats course pivo'!$A:AF,HLOOKUP('[1]Course Totals'!H$4,'[1]import graded seats course pivo'!$1:$2,2,FALSE),FALSE))),"")</f>
        <v/>
      </c>
      <c r="I916" s="14" t="str">
        <f>IFERROR((VLOOKUP($A916,'[1]import success seats course'!$A:W,HLOOKUP('[1]Course Totals'!I$4,'[1]import success seats course'!$1:$2,2,FALSE),FALSE)/(VLOOKUP($A916,'[1]import graded seats course pivo'!$A:AG,HLOOKUP('[1]Course Totals'!I$4,'[1]import graded seats course pivo'!$1:$2,2,FALSE),FALSE))),"")</f>
        <v/>
      </c>
      <c r="J916" s="14" t="str">
        <f>IFERROR((VLOOKUP($A916,'[1]import success seats course'!$A:X,HLOOKUP('[1]Course Totals'!J$4,'[1]import success seats course'!$1:$2,2,FALSE),FALSE)/(VLOOKUP($A916,'[1]import graded seats course pivo'!$A:AH,HLOOKUP('[1]Course Totals'!J$4,'[1]import graded seats course pivo'!$1:$2,2,FALSE),FALSE))),"")</f>
        <v/>
      </c>
      <c r="K916" s="14" t="str">
        <f>IFERROR((VLOOKUP($A916,'[1]import success seats course'!$A:Y,HLOOKUP('[1]Course Totals'!K$4,'[1]import success seats course'!$1:$2,2,FALSE),FALSE)/(VLOOKUP($A916,'[1]import graded seats course pivo'!$A:AI,HLOOKUP('[1]Course Totals'!K$4,'[1]import graded seats course pivo'!$1:$2,2,FALSE),FALSE))),"")</f>
        <v/>
      </c>
      <c r="L916" s="14" t="str">
        <f>IFERROR((VLOOKUP($A916,'[1]import success seats course'!$A:Z,HLOOKUP('[1]Course Totals'!L$4,'[1]import success seats course'!$1:$2,2,FALSE),FALSE)/(VLOOKUP($A916,'[1]import graded seats course pivo'!$A:AJ,HLOOKUP('[1]Course Totals'!L$4,'[1]import graded seats course pivo'!$1:$2,2,FALSE),FALSE))),"")</f>
        <v/>
      </c>
      <c r="M916" s="14" t="str">
        <f>IFERROR((VLOOKUP($A916,'[1]import success seats course'!$A:AA,HLOOKUP('[1]Course Totals'!M$4,'[1]import success seats course'!$1:$2,2,FALSE),FALSE)/(VLOOKUP($A916,'[1]import graded seats course pivo'!$A:AK,HLOOKUP('[1]Course Totals'!M$4,'[1]import graded seats course pivo'!$1:$2,2,FALSE),FALSE))),"")</f>
        <v/>
      </c>
      <c r="N916" s="14" t="str">
        <f>IFERROR((VLOOKUP($A916,'[1]import success seats course'!$A:AB,HLOOKUP('[1]Course Totals'!N$4,'[1]import success seats course'!$1:$2,2,FALSE),FALSE)/(VLOOKUP($A916,'[1]import graded seats course pivo'!$A:AL,HLOOKUP('[1]Course Totals'!N$4,'[1]import graded seats course pivo'!$1:$2,2,FALSE),FALSE))),"")</f>
        <v/>
      </c>
      <c r="O916" s="14" t="str">
        <f>IFERROR((VLOOKUP($A916,'[1]import success seats course'!$A:AC,HLOOKUP('[1]Course Totals'!O$4,'[1]import success seats course'!$1:$2,2,FALSE),FALSE)/(VLOOKUP($A916,'[1]import graded seats course pivo'!$A:AM,HLOOKUP('[1]Course Totals'!O$4,'[1]import graded seats course pivo'!$1:$2,2,FALSE),FALSE))),"")</f>
        <v/>
      </c>
      <c r="P916" s="14" t="str">
        <f>IFERROR((VLOOKUP($A916,'[1]import success seats course'!$A:AD,HLOOKUP('[1]Course Totals'!P$4,'[1]import success seats course'!$1:$2,2,FALSE),FALSE)/(VLOOKUP($A916,'[1]import graded seats course pivo'!$A:AN,HLOOKUP('[1]Course Totals'!P$4,'[1]import graded seats course pivo'!$1:$2,2,FALSE),FALSE))),"")</f>
        <v/>
      </c>
      <c r="Q916" s="14" t="str">
        <f>IFERROR((VLOOKUP($A916,'[1]import success seats course'!$A:AE,HLOOKUP('[1]Course Totals'!Q$4,'[1]import success seats course'!$1:$2,2,FALSE),FALSE)/(VLOOKUP($A916,'[1]import graded seats course pivo'!$A:AO,HLOOKUP('[1]Course Totals'!Q$4,'[1]import graded seats course pivo'!$1:$2,2,FALSE),FALSE))),"")</f>
        <v/>
      </c>
      <c r="R916" s="14" t="str">
        <f>IFERROR((VLOOKUP($A916,'[1]import success seats course'!$A:AF,HLOOKUP('[1]Course Totals'!R$4,'[1]import success seats course'!$1:$2,2,FALSE),FALSE)/(VLOOKUP($A916,'[1]import graded seats course pivo'!$A:AP,HLOOKUP('[1]Course Totals'!R$4,'[1]import graded seats course pivo'!$1:$2,2,FALSE),FALSE))),"")</f>
        <v/>
      </c>
      <c r="S916" s="14" t="str">
        <f>IFERROR((VLOOKUP($A916,'[1]import success seats course'!$A:AG,HLOOKUP('[1]Course Totals'!S$4,'[1]import success seats course'!$1:$2,2,FALSE),FALSE)/(VLOOKUP($A916,'[1]import graded seats course pivo'!$A:AQ,HLOOKUP('[1]Course Totals'!S$4,'[1]import graded seats course pivo'!$1:$2,2,FALSE),FALSE))),"")</f>
        <v/>
      </c>
      <c r="Z916" s="7"/>
      <c r="AA916" s="7"/>
      <c r="AB916" s="7"/>
      <c r="AC916" s="7"/>
    </row>
    <row r="917" spans="1:29" ht="15.75" hidden="1" customHeight="1" x14ac:dyDescent="0.25">
      <c r="A917" s="12" t="s">
        <v>436</v>
      </c>
      <c r="B917" s="14" t="str">
        <f>IFERROR((VLOOKUP($A917,'[1]import success seats course'!$A:P,HLOOKUP('[1]Course Totals'!B$4,'[1]import success seats course'!$1:$2,2,FALSE),FALSE)/(VLOOKUP($A917,'[1]import graded seats course pivo'!$A:Z,HLOOKUP('[1]Course Totals'!B$4,'[1]import graded seats course pivo'!$1:$2,2,FALSE),FALSE))),"")</f>
        <v/>
      </c>
      <c r="C917" s="14" t="str">
        <f>IFERROR((VLOOKUP($A917,'[1]import success seats course'!$A:Q,HLOOKUP('[1]Course Totals'!C$4,'[1]import success seats course'!$1:$2,2,FALSE),FALSE)/(VLOOKUP($A917,'[1]import graded seats course pivo'!$A:AA,HLOOKUP('[1]Course Totals'!C$4,'[1]import graded seats course pivo'!$1:$2,2,FALSE),FALSE))),"")</f>
        <v/>
      </c>
      <c r="D917" s="14" t="str">
        <f>IFERROR((VLOOKUP($A917,'[1]import success seats course'!$A:R,HLOOKUP('[1]Course Totals'!D$4,'[1]import success seats course'!$1:$2,2,FALSE),FALSE)/(VLOOKUP($A917,'[1]import graded seats course pivo'!$A:AB,HLOOKUP('[1]Course Totals'!D$4,'[1]import graded seats course pivo'!$1:$2,2,FALSE),FALSE))),"")</f>
        <v/>
      </c>
      <c r="E917" s="14" t="str">
        <f>IFERROR((VLOOKUP($A917,'[1]import success seats course'!$A:S,HLOOKUP('[1]Course Totals'!E$4,'[1]import success seats course'!$1:$2,2,FALSE),FALSE)/(VLOOKUP($A917,'[1]import graded seats course pivo'!$A:AC,HLOOKUP('[1]Course Totals'!E$4,'[1]import graded seats course pivo'!$1:$2,2,FALSE),FALSE))),"")</f>
        <v/>
      </c>
      <c r="F917" s="14" t="str">
        <f>IFERROR((VLOOKUP($A917,'[1]import success seats course'!$A:T,HLOOKUP('[1]Course Totals'!F$4,'[1]import success seats course'!$1:$2,2,FALSE),FALSE)/(VLOOKUP($A917,'[1]import graded seats course pivo'!$A:AD,HLOOKUP('[1]Course Totals'!F$4,'[1]import graded seats course pivo'!$1:$2,2,FALSE),FALSE))),"")</f>
        <v/>
      </c>
      <c r="G917" s="14" t="str">
        <f>IFERROR((VLOOKUP($A917,'[1]import success seats course'!$A:U,HLOOKUP('[1]Course Totals'!G$4,'[1]import success seats course'!$1:$2,2,FALSE),FALSE)/(VLOOKUP($A917,'[1]import graded seats course pivo'!$A:AE,HLOOKUP('[1]Course Totals'!G$4,'[1]import graded seats course pivo'!$1:$2,2,FALSE),FALSE))),"")</f>
        <v/>
      </c>
      <c r="H917" s="14" t="str">
        <f>IFERROR((VLOOKUP($A917,'[1]import success seats course'!$A:V,HLOOKUP('[1]Course Totals'!H$4,'[1]import success seats course'!$1:$2,2,FALSE),FALSE)/(VLOOKUP($A917,'[1]import graded seats course pivo'!$A:AF,HLOOKUP('[1]Course Totals'!H$4,'[1]import graded seats course pivo'!$1:$2,2,FALSE),FALSE))),"")</f>
        <v/>
      </c>
      <c r="I917" s="14" t="str">
        <f>IFERROR((VLOOKUP($A917,'[1]import success seats course'!$A:W,HLOOKUP('[1]Course Totals'!I$4,'[1]import success seats course'!$1:$2,2,FALSE),FALSE)/(VLOOKUP($A917,'[1]import graded seats course pivo'!$A:AG,HLOOKUP('[1]Course Totals'!I$4,'[1]import graded seats course pivo'!$1:$2,2,FALSE),FALSE))),"")</f>
        <v/>
      </c>
      <c r="J917" s="14" t="str">
        <f>IFERROR((VLOOKUP($A917,'[1]import success seats course'!$A:X,HLOOKUP('[1]Course Totals'!J$4,'[1]import success seats course'!$1:$2,2,FALSE),FALSE)/(VLOOKUP($A917,'[1]import graded seats course pivo'!$A:AH,HLOOKUP('[1]Course Totals'!J$4,'[1]import graded seats course pivo'!$1:$2,2,FALSE),FALSE))),"")</f>
        <v/>
      </c>
      <c r="K917" s="14" t="str">
        <f>IFERROR((VLOOKUP($A917,'[1]import success seats course'!$A:Y,HLOOKUP('[1]Course Totals'!K$4,'[1]import success seats course'!$1:$2,2,FALSE),FALSE)/(VLOOKUP($A917,'[1]import graded seats course pivo'!$A:AI,HLOOKUP('[1]Course Totals'!K$4,'[1]import graded seats course pivo'!$1:$2,2,FALSE),FALSE))),"")</f>
        <v/>
      </c>
      <c r="L917" s="14" t="str">
        <f>IFERROR((VLOOKUP($A917,'[1]import success seats course'!$A:Z,HLOOKUP('[1]Course Totals'!L$4,'[1]import success seats course'!$1:$2,2,FALSE),FALSE)/(VLOOKUP($A917,'[1]import graded seats course pivo'!$A:AJ,HLOOKUP('[1]Course Totals'!L$4,'[1]import graded seats course pivo'!$1:$2,2,FALSE),FALSE))),"")</f>
        <v/>
      </c>
      <c r="M917" s="14" t="str">
        <f>IFERROR((VLOOKUP($A917,'[1]import success seats course'!$A:AA,HLOOKUP('[1]Course Totals'!M$4,'[1]import success seats course'!$1:$2,2,FALSE),FALSE)/(VLOOKUP($A917,'[1]import graded seats course pivo'!$A:AK,HLOOKUP('[1]Course Totals'!M$4,'[1]import graded seats course pivo'!$1:$2,2,FALSE),FALSE))),"")</f>
        <v/>
      </c>
      <c r="N917" s="14" t="str">
        <f>IFERROR((VLOOKUP($A917,'[1]import success seats course'!$A:AB,HLOOKUP('[1]Course Totals'!N$4,'[1]import success seats course'!$1:$2,2,FALSE),FALSE)/(VLOOKUP($A917,'[1]import graded seats course pivo'!$A:AL,HLOOKUP('[1]Course Totals'!N$4,'[1]import graded seats course pivo'!$1:$2,2,FALSE),FALSE))),"")</f>
        <v/>
      </c>
      <c r="O917" s="14" t="str">
        <f>IFERROR((VLOOKUP($A917,'[1]import success seats course'!$A:AC,HLOOKUP('[1]Course Totals'!O$4,'[1]import success seats course'!$1:$2,2,FALSE),FALSE)/(VLOOKUP($A917,'[1]import graded seats course pivo'!$A:AM,HLOOKUP('[1]Course Totals'!O$4,'[1]import graded seats course pivo'!$1:$2,2,FALSE),FALSE))),"")</f>
        <v/>
      </c>
      <c r="P917" s="14" t="str">
        <f>IFERROR((VLOOKUP($A917,'[1]import success seats course'!$A:AD,HLOOKUP('[1]Course Totals'!P$4,'[1]import success seats course'!$1:$2,2,FALSE),FALSE)/(VLOOKUP($A917,'[1]import graded seats course pivo'!$A:AN,HLOOKUP('[1]Course Totals'!P$4,'[1]import graded seats course pivo'!$1:$2,2,FALSE),FALSE))),"")</f>
        <v/>
      </c>
      <c r="Q917" s="14" t="str">
        <f>IFERROR((VLOOKUP($A917,'[1]import success seats course'!$A:AE,HLOOKUP('[1]Course Totals'!Q$4,'[1]import success seats course'!$1:$2,2,FALSE),FALSE)/(VLOOKUP($A917,'[1]import graded seats course pivo'!$A:AO,HLOOKUP('[1]Course Totals'!Q$4,'[1]import graded seats course pivo'!$1:$2,2,FALSE),FALSE))),"")</f>
        <v/>
      </c>
      <c r="R917" s="14" t="str">
        <f>IFERROR((VLOOKUP($A917,'[1]import success seats course'!$A:AF,HLOOKUP('[1]Course Totals'!R$4,'[1]import success seats course'!$1:$2,2,FALSE),FALSE)/(VLOOKUP($A917,'[1]import graded seats course pivo'!$A:AP,HLOOKUP('[1]Course Totals'!R$4,'[1]import graded seats course pivo'!$1:$2,2,FALSE),FALSE))),"")</f>
        <v/>
      </c>
      <c r="S917" s="14" t="str">
        <f>IFERROR((VLOOKUP($A917,'[1]import success seats course'!$A:AG,HLOOKUP('[1]Course Totals'!S$4,'[1]import success seats course'!$1:$2,2,FALSE),FALSE)/(VLOOKUP($A917,'[1]import graded seats course pivo'!$A:AQ,HLOOKUP('[1]Course Totals'!S$4,'[1]import graded seats course pivo'!$1:$2,2,FALSE),FALSE))),"")</f>
        <v/>
      </c>
      <c r="Z917" s="7"/>
      <c r="AA917" s="7"/>
      <c r="AB917" s="7"/>
      <c r="AC917" s="7"/>
    </row>
    <row r="918" spans="1:29" ht="15.75" hidden="1" customHeight="1" x14ac:dyDescent="0.25">
      <c r="A918" s="12" t="s">
        <v>437</v>
      </c>
      <c r="B918" s="14" t="str">
        <f>IFERROR((VLOOKUP($A918,'[1]import success seats course'!$A:P,HLOOKUP('[1]Course Totals'!B$4,'[1]import success seats course'!$1:$2,2,FALSE),FALSE)/(VLOOKUP($A918,'[1]import graded seats course pivo'!$A:Z,HLOOKUP('[1]Course Totals'!B$4,'[1]import graded seats course pivo'!$1:$2,2,FALSE),FALSE))),"")</f>
        <v/>
      </c>
      <c r="C918" s="14" t="str">
        <f>IFERROR((VLOOKUP($A918,'[1]import success seats course'!$A:Q,HLOOKUP('[1]Course Totals'!C$4,'[1]import success seats course'!$1:$2,2,FALSE),FALSE)/(VLOOKUP($A918,'[1]import graded seats course pivo'!$A:AA,HLOOKUP('[1]Course Totals'!C$4,'[1]import graded seats course pivo'!$1:$2,2,FALSE),FALSE))),"")</f>
        <v/>
      </c>
      <c r="D918" s="14" t="str">
        <f>IFERROR((VLOOKUP($A918,'[1]import success seats course'!$A:R,HLOOKUP('[1]Course Totals'!D$4,'[1]import success seats course'!$1:$2,2,FALSE),FALSE)/(VLOOKUP($A918,'[1]import graded seats course pivo'!$A:AB,HLOOKUP('[1]Course Totals'!D$4,'[1]import graded seats course pivo'!$1:$2,2,FALSE),FALSE))),"")</f>
        <v/>
      </c>
      <c r="E918" s="14" t="str">
        <f>IFERROR((VLOOKUP($A918,'[1]import success seats course'!$A:S,HLOOKUP('[1]Course Totals'!E$4,'[1]import success seats course'!$1:$2,2,FALSE),FALSE)/(VLOOKUP($A918,'[1]import graded seats course pivo'!$A:AC,HLOOKUP('[1]Course Totals'!E$4,'[1]import graded seats course pivo'!$1:$2,2,FALSE),FALSE))),"")</f>
        <v/>
      </c>
      <c r="F918" s="14" t="str">
        <f>IFERROR((VLOOKUP($A918,'[1]import success seats course'!$A:T,HLOOKUP('[1]Course Totals'!F$4,'[1]import success seats course'!$1:$2,2,FALSE),FALSE)/(VLOOKUP($A918,'[1]import graded seats course pivo'!$A:AD,HLOOKUP('[1]Course Totals'!F$4,'[1]import graded seats course pivo'!$1:$2,2,FALSE),FALSE))),"")</f>
        <v/>
      </c>
      <c r="G918" s="14" t="str">
        <f>IFERROR((VLOOKUP($A918,'[1]import success seats course'!$A:U,HLOOKUP('[1]Course Totals'!G$4,'[1]import success seats course'!$1:$2,2,FALSE),FALSE)/(VLOOKUP($A918,'[1]import graded seats course pivo'!$A:AE,HLOOKUP('[1]Course Totals'!G$4,'[1]import graded seats course pivo'!$1:$2,2,FALSE),FALSE))),"")</f>
        <v/>
      </c>
      <c r="H918" s="14" t="str">
        <f>IFERROR((VLOOKUP($A918,'[1]import success seats course'!$A:V,HLOOKUP('[1]Course Totals'!H$4,'[1]import success seats course'!$1:$2,2,FALSE),FALSE)/(VLOOKUP($A918,'[1]import graded seats course pivo'!$A:AF,HLOOKUP('[1]Course Totals'!H$4,'[1]import graded seats course pivo'!$1:$2,2,FALSE),FALSE))),"")</f>
        <v/>
      </c>
      <c r="I918" s="14" t="str">
        <f>IFERROR((VLOOKUP($A918,'[1]import success seats course'!$A:W,HLOOKUP('[1]Course Totals'!I$4,'[1]import success seats course'!$1:$2,2,FALSE),FALSE)/(VLOOKUP($A918,'[1]import graded seats course pivo'!$A:AG,HLOOKUP('[1]Course Totals'!I$4,'[1]import graded seats course pivo'!$1:$2,2,FALSE),FALSE))),"")</f>
        <v/>
      </c>
      <c r="J918" s="14" t="str">
        <f>IFERROR((VLOOKUP($A918,'[1]import success seats course'!$A:X,HLOOKUP('[1]Course Totals'!J$4,'[1]import success seats course'!$1:$2,2,FALSE),FALSE)/(VLOOKUP($A918,'[1]import graded seats course pivo'!$A:AH,HLOOKUP('[1]Course Totals'!J$4,'[1]import graded seats course pivo'!$1:$2,2,FALSE),FALSE))),"")</f>
        <v/>
      </c>
      <c r="K918" s="14" t="str">
        <f>IFERROR((VLOOKUP($A918,'[1]import success seats course'!$A:Y,HLOOKUP('[1]Course Totals'!K$4,'[1]import success seats course'!$1:$2,2,FALSE),FALSE)/(VLOOKUP($A918,'[1]import graded seats course pivo'!$A:AI,HLOOKUP('[1]Course Totals'!K$4,'[1]import graded seats course pivo'!$1:$2,2,FALSE),FALSE))),"")</f>
        <v/>
      </c>
      <c r="L918" s="14" t="str">
        <f>IFERROR((VLOOKUP($A918,'[1]import success seats course'!$A:Z,HLOOKUP('[1]Course Totals'!L$4,'[1]import success seats course'!$1:$2,2,FALSE),FALSE)/(VLOOKUP($A918,'[1]import graded seats course pivo'!$A:AJ,HLOOKUP('[1]Course Totals'!L$4,'[1]import graded seats course pivo'!$1:$2,2,FALSE),FALSE))),"")</f>
        <v/>
      </c>
      <c r="M918" s="14" t="str">
        <f>IFERROR((VLOOKUP($A918,'[1]import success seats course'!$A:AA,HLOOKUP('[1]Course Totals'!M$4,'[1]import success seats course'!$1:$2,2,FALSE),FALSE)/(VLOOKUP($A918,'[1]import graded seats course pivo'!$A:AK,HLOOKUP('[1]Course Totals'!M$4,'[1]import graded seats course pivo'!$1:$2,2,FALSE),FALSE))),"")</f>
        <v/>
      </c>
      <c r="N918" s="14" t="str">
        <f>IFERROR((VLOOKUP($A918,'[1]import success seats course'!$A:AB,HLOOKUP('[1]Course Totals'!N$4,'[1]import success seats course'!$1:$2,2,FALSE),FALSE)/(VLOOKUP($A918,'[1]import graded seats course pivo'!$A:AL,HLOOKUP('[1]Course Totals'!N$4,'[1]import graded seats course pivo'!$1:$2,2,FALSE),FALSE))),"")</f>
        <v/>
      </c>
      <c r="O918" s="14" t="str">
        <f>IFERROR((VLOOKUP($A918,'[1]import success seats course'!$A:AC,HLOOKUP('[1]Course Totals'!O$4,'[1]import success seats course'!$1:$2,2,FALSE),FALSE)/(VLOOKUP($A918,'[1]import graded seats course pivo'!$A:AM,HLOOKUP('[1]Course Totals'!O$4,'[1]import graded seats course pivo'!$1:$2,2,FALSE),FALSE))),"")</f>
        <v/>
      </c>
      <c r="P918" s="14" t="str">
        <f>IFERROR((VLOOKUP($A918,'[1]import success seats course'!$A:AD,HLOOKUP('[1]Course Totals'!P$4,'[1]import success seats course'!$1:$2,2,FALSE),FALSE)/(VLOOKUP($A918,'[1]import graded seats course pivo'!$A:AN,HLOOKUP('[1]Course Totals'!P$4,'[1]import graded seats course pivo'!$1:$2,2,FALSE),FALSE))),"")</f>
        <v/>
      </c>
      <c r="Q918" s="14" t="str">
        <f>IFERROR((VLOOKUP($A918,'[1]import success seats course'!$A:AE,HLOOKUP('[1]Course Totals'!Q$4,'[1]import success seats course'!$1:$2,2,FALSE),FALSE)/(VLOOKUP($A918,'[1]import graded seats course pivo'!$A:AO,HLOOKUP('[1]Course Totals'!Q$4,'[1]import graded seats course pivo'!$1:$2,2,FALSE),FALSE))),"")</f>
        <v/>
      </c>
      <c r="R918" s="14" t="str">
        <f>IFERROR((VLOOKUP($A918,'[1]import success seats course'!$A:AF,HLOOKUP('[1]Course Totals'!R$4,'[1]import success seats course'!$1:$2,2,FALSE),FALSE)/(VLOOKUP($A918,'[1]import graded seats course pivo'!$A:AP,HLOOKUP('[1]Course Totals'!R$4,'[1]import graded seats course pivo'!$1:$2,2,FALSE),FALSE))),"")</f>
        <v/>
      </c>
      <c r="S918" s="14" t="str">
        <f>IFERROR((VLOOKUP($A918,'[1]import success seats course'!$A:AG,HLOOKUP('[1]Course Totals'!S$4,'[1]import success seats course'!$1:$2,2,FALSE),FALSE)/(VLOOKUP($A918,'[1]import graded seats course pivo'!$A:AQ,HLOOKUP('[1]Course Totals'!S$4,'[1]import graded seats course pivo'!$1:$2,2,FALSE),FALSE))),"")</f>
        <v/>
      </c>
      <c r="Z918" s="7"/>
      <c r="AA918" s="7"/>
      <c r="AB918" s="7"/>
      <c r="AC918" s="7"/>
    </row>
    <row r="919" spans="1:29" ht="15.75" hidden="1" customHeight="1" x14ac:dyDescent="0.25">
      <c r="A919" s="12" t="s">
        <v>438</v>
      </c>
      <c r="B919" s="14" t="str">
        <f>IFERROR((VLOOKUP($A919,'[1]import success seats course'!$A:P,HLOOKUP('[1]Course Totals'!B$4,'[1]import success seats course'!$1:$2,2,FALSE),FALSE)/(VLOOKUP($A919,'[1]import graded seats course pivo'!$A:Z,HLOOKUP('[1]Course Totals'!B$4,'[1]import graded seats course pivo'!$1:$2,2,FALSE),FALSE))),"")</f>
        <v/>
      </c>
      <c r="C919" s="14" t="str">
        <f>IFERROR((VLOOKUP($A919,'[1]import success seats course'!$A:Q,HLOOKUP('[1]Course Totals'!C$4,'[1]import success seats course'!$1:$2,2,FALSE),FALSE)/(VLOOKUP($A919,'[1]import graded seats course pivo'!$A:AA,HLOOKUP('[1]Course Totals'!C$4,'[1]import graded seats course pivo'!$1:$2,2,FALSE),FALSE))),"")</f>
        <v/>
      </c>
      <c r="D919" s="14" t="str">
        <f>IFERROR((VLOOKUP($A919,'[1]import success seats course'!$A:R,HLOOKUP('[1]Course Totals'!D$4,'[1]import success seats course'!$1:$2,2,FALSE),FALSE)/(VLOOKUP($A919,'[1]import graded seats course pivo'!$A:AB,HLOOKUP('[1]Course Totals'!D$4,'[1]import graded seats course pivo'!$1:$2,2,FALSE),FALSE))),"")</f>
        <v/>
      </c>
      <c r="E919" s="14" t="str">
        <f>IFERROR((VLOOKUP($A919,'[1]import success seats course'!$A:S,HLOOKUP('[1]Course Totals'!E$4,'[1]import success seats course'!$1:$2,2,FALSE),FALSE)/(VLOOKUP($A919,'[1]import graded seats course pivo'!$A:AC,HLOOKUP('[1]Course Totals'!E$4,'[1]import graded seats course pivo'!$1:$2,2,FALSE),FALSE))),"")</f>
        <v/>
      </c>
      <c r="F919" s="14" t="str">
        <f>IFERROR((VLOOKUP($A919,'[1]import success seats course'!$A:T,HLOOKUP('[1]Course Totals'!F$4,'[1]import success seats course'!$1:$2,2,FALSE),FALSE)/(VLOOKUP($A919,'[1]import graded seats course pivo'!$A:AD,HLOOKUP('[1]Course Totals'!F$4,'[1]import graded seats course pivo'!$1:$2,2,FALSE),FALSE))),"")</f>
        <v/>
      </c>
      <c r="G919" s="14" t="str">
        <f>IFERROR((VLOOKUP($A919,'[1]import success seats course'!$A:U,HLOOKUP('[1]Course Totals'!G$4,'[1]import success seats course'!$1:$2,2,FALSE),FALSE)/(VLOOKUP($A919,'[1]import graded seats course pivo'!$A:AE,HLOOKUP('[1]Course Totals'!G$4,'[1]import graded seats course pivo'!$1:$2,2,FALSE),FALSE))),"")</f>
        <v/>
      </c>
      <c r="H919" s="14" t="str">
        <f>IFERROR((VLOOKUP($A919,'[1]import success seats course'!$A:V,HLOOKUP('[1]Course Totals'!H$4,'[1]import success seats course'!$1:$2,2,FALSE),FALSE)/(VLOOKUP($A919,'[1]import graded seats course pivo'!$A:AF,HLOOKUP('[1]Course Totals'!H$4,'[1]import graded seats course pivo'!$1:$2,2,FALSE),FALSE))),"")</f>
        <v/>
      </c>
      <c r="I919" s="14" t="str">
        <f>IFERROR((VLOOKUP($A919,'[1]import success seats course'!$A:W,HLOOKUP('[1]Course Totals'!I$4,'[1]import success seats course'!$1:$2,2,FALSE),FALSE)/(VLOOKUP($A919,'[1]import graded seats course pivo'!$A:AG,HLOOKUP('[1]Course Totals'!I$4,'[1]import graded seats course pivo'!$1:$2,2,FALSE),FALSE))),"")</f>
        <v/>
      </c>
      <c r="J919" s="14" t="str">
        <f>IFERROR((VLOOKUP($A919,'[1]import success seats course'!$A:X,HLOOKUP('[1]Course Totals'!J$4,'[1]import success seats course'!$1:$2,2,FALSE),FALSE)/(VLOOKUP($A919,'[1]import graded seats course pivo'!$A:AH,HLOOKUP('[1]Course Totals'!J$4,'[1]import graded seats course pivo'!$1:$2,2,FALSE),FALSE))),"")</f>
        <v/>
      </c>
      <c r="K919" s="14" t="str">
        <f>IFERROR((VLOOKUP($A919,'[1]import success seats course'!$A:Y,HLOOKUP('[1]Course Totals'!K$4,'[1]import success seats course'!$1:$2,2,FALSE),FALSE)/(VLOOKUP($A919,'[1]import graded seats course pivo'!$A:AI,HLOOKUP('[1]Course Totals'!K$4,'[1]import graded seats course pivo'!$1:$2,2,FALSE),FALSE))),"")</f>
        <v/>
      </c>
      <c r="L919" s="14" t="str">
        <f>IFERROR((VLOOKUP($A919,'[1]import success seats course'!$A:Z,HLOOKUP('[1]Course Totals'!L$4,'[1]import success seats course'!$1:$2,2,FALSE),FALSE)/(VLOOKUP($A919,'[1]import graded seats course pivo'!$A:AJ,HLOOKUP('[1]Course Totals'!L$4,'[1]import graded seats course pivo'!$1:$2,2,FALSE),FALSE))),"")</f>
        <v/>
      </c>
      <c r="M919" s="14" t="str">
        <f>IFERROR((VLOOKUP($A919,'[1]import success seats course'!$A:AA,HLOOKUP('[1]Course Totals'!M$4,'[1]import success seats course'!$1:$2,2,FALSE),FALSE)/(VLOOKUP($A919,'[1]import graded seats course pivo'!$A:AK,HLOOKUP('[1]Course Totals'!M$4,'[1]import graded seats course pivo'!$1:$2,2,FALSE),FALSE))),"")</f>
        <v/>
      </c>
      <c r="N919" s="14" t="str">
        <f>IFERROR((VLOOKUP($A919,'[1]import success seats course'!$A:AB,HLOOKUP('[1]Course Totals'!N$4,'[1]import success seats course'!$1:$2,2,FALSE),FALSE)/(VLOOKUP($A919,'[1]import graded seats course pivo'!$A:AL,HLOOKUP('[1]Course Totals'!N$4,'[1]import graded seats course pivo'!$1:$2,2,FALSE),FALSE))),"")</f>
        <v/>
      </c>
      <c r="O919" s="14" t="str">
        <f>IFERROR((VLOOKUP($A919,'[1]import success seats course'!$A:AC,HLOOKUP('[1]Course Totals'!O$4,'[1]import success seats course'!$1:$2,2,FALSE),FALSE)/(VLOOKUP($A919,'[1]import graded seats course pivo'!$A:AM,HLOOKUP('[1]Course Totals'!O$4,'[1]import graded seats course pivo'!$1:$2,2,FALSE),FALSE))),"")</f>
        <v/>
      </c>
      <c r="P919" s="14" t="str">
        <f>IFERROR((VLOOKUP($A919,'[1]import success seats course'!$A:AD,HLOOKUP('[1]Course Totals'!P$4,'[1]import success seats course'!$1:$2,2,FALSE),FALSE)/(VLOOKUP($A919,'[1]import graded seats course pivo'!$A:AN,HLOOKUP('[1]Course Totals'!P$4,'[1]import graded seats course pivo'!$1:$2,2,FALSE),FALSE))),"")</f>
        <v/>
      </c>
      <c r="Q919" s="14" t="str">
        <f>IFERROR((VLOOKUP($A919,'[1]import success seats course'!$A:AE,HLOOKUP('[1]Course Totals'!Q$4,'[1]import success seats course'!$1:$2,2,FALSE),FALSE)/(VLOOKUP($A919,'[1]import graded seats course pivo'!$A:AO,HLOOKUP('[1]Course Totals'!Q$4,'[1]import graded seats course pivo'!$1:$2,2,FALSE),FALSE))),"")</f>
        <v/>
      </c>
      <c r="R919" s="14" t="str">
        <f>IFERROR((VLOOKUP($A919,'[1]import success seats course'!$A:AF,HLOOKUP('[1]Course Totals'!R$4,'[1]import success seats course'!$1:$2,2,FALSE),FALSE)/(VLOOKUP($A919,'[1]import graded seats course pivo'!$A:AP,HLOOKUP('[1]Course Totals'!R$4,'[1]import graded seats course pivo'!$1:$2,2,FALSE),FALSE))),"")</f>
        <v/>
      </c>
      <c r="S919" s="14" t="str">
        <f>IFERROR((VLOOKUP($A919,'[1]import success seats course'!$A:AG,HLOOKUP('[1]Course Totals'!S$4,'[1]import success seats course'!$1:$2,2,FALSE),FALSE)/(VLOOKUP($A919,'[1]import graded seats course pivo'!$A:AQ,HLOOKUP('[1]Course Totals'!S$4,'[1]import graded seats course pivo'!$1:$2,2,FALSE),FALSE))),"")</f>
        <v/>
      </c>
      <c r="Z919" s="7"/>
      <c r="AA919" s="7"/>
      <c r="AB919" s="7"/>
      <c r="AC919" s="7"/>
    </row>
    <row r="920" spans="1:29" ht="15.75" hidden="1" customHeight="1" x14ac:dyDescent="0.25">
      <c r="A920" s="12" t="s">
        <v>439</v>
      </c>
      <c r="B920" s="14" t="str">
        <f>IFERROR((VLOOKUP($A920,'[1]import success seats course'!$A:P,HLOOKUP('[1]Course Totals'!B$4,'[1]import success seats course'!$1:$2,2,FALSE),FALSE)/(VLOOKUP($A920,'[1]import graded seats course pivo'!$A:Z,HLOOKUP('[1]Course Totals'!B$4,'[1]import graded seats course pivo'!$1:$2,2,FALSE),FALSE))),"")</f>
        <v/>
      </c>
      <c r="C920" s="14" t="str">
        <f>IFERROR((VLOOKUP($A920,'[1]import success seats course'!$A:Q,HLOOKUP('[1]Course Totals'!C$4,'[1]import success seats course'!$1:$2,2,FALSE),FALSE)/(VLOOKUP($A920,'[1]import graded seats course pivo'!$A:AA,HLOOKUP('[1]Course Totals'!C$4,'[1]import graded seats course pivo'!$1:$2,2,FALSE),FALSE))),"")</f>
        <v/>
      </c>
      <c r="D920" s="14" t="str">
        <f>IFERROR((VLOOKUP($A920,'[1]import success seats course'!$A:R,HLOOKUP('[1]Course Totals'!D$4,'[1]import success seats course'!$1:$2,2,FALSE),FALSE)/(VLOOKUP($A920,'[1]import graded seats course pivo'!$A:AB,HLOOKUP('[1]Course Totals'!D$4,'[1]import graded seats course pivo'!$1:$2,2,FALSE),FALSE))),"")</f>
        <v/>
      </c>
      <c r="E920" s="14" t="str">
        <f>IFERROR((VLOOKUP($A920,'[1]import success seats course'!$A:S,HLOOKUP('[1]Course Totals'!E$4,'[1]import success seats course'!$1:$2,2,FALSE),FALSE)/(VLOOKUP($A920,'[1]import graded seats course pivo'!$A:AC,HLOOKUP('[1]Course Totals'!E$4,'[1]import graded seats course pivo'!$1:$2,2,FALSE),FALSE))),"")</f>
        <v/>
      </c>
      <c r="F920" s="14" t="str">
        <f>IFERROR((VLOOKUP($A920,'[1]import success seats course'!$A:T,HLOOKUP('[1]Course Totals'!F$4,'[1]import success seats course'!$1:$2,2,FALSE),FALSE)/(VLOOKUP($A920,'[1]import graded seats course pivo'!$A:AD,HLOOKUP('[1]Course Totals'!F$4,'[1]import graded seats course pivo'!$1:$2,2,FALSE),FALSE))),"")</f>
        <v/>
      </c>
      <c r="G920" s="14" t="str">
        <f>IFERROR((VLOOKUP($A920,'[1]import success seats course'!$A:U,HLOOKUP('[1]Course Totals'!G$4,'[1]import success seats course'!$1:$2,2,FALSE),FALSE)/(VLOOKUP($A920,'[1]import graded seats course pivo'!$A:AE,HLOOKUP('[1]Course Totals'!G$4,'[1]import graded seats course pivo'!$1:$2,2,FALSE),FALSE))),"")</f>
        <v/>
      </c>
      <c r="H920" s="14" t="str">
        <f>IFERROR((VLOOKUP($A920,'[1]import success seats course'!$A:V,HLOOKUP('[1]Course Totals'!H$4,'[1]import success seats course'!$1:$2,2,FALSE),FALSE)/(VLOOKUP($A920,'[1]import graded seats course pivo'!$A:AF,HLOOKUP('[1]Course Totals'!H$4,'[1]import graded seats course pivo'!$1:$2,2,FALSE),FALSE))),"")</f>
        <v/>
      </c>
      <c r="I920" s="14" t="str">
        <f>IFERROR((VLOOKUP($A920,'[1]import success seats course'!$A:W,HLOOKUP('[1]Course Totals'!I$4,'[1]import success seats course'!$1:$2,2,FALSE),FALSE)/(VLOOKUP($A920,'[1]import graded seats course pivo'!$A:AG,HLOOKUP('[1]Course Totals'!I$4,'[1]import graded seats course pivo'!$1:$2,2,FALSE),FALSE))),"")</f>
        <v/>
      </c>
      <c r="J920" s="14" t="str">
        <f>IFERROR((VLOOKUP($A920,'[1]import success seats course'!$A:X,HLOOKUP('[1]Course Totals'!J$4,'[1]import success seats course'!$1:$2,2,FALSE),FALSE)/(VLOOKUP($A920,'[1]import graded seats course pivo'!$A:AH,HLOOKUP('[1]Course Totals'!J$4,'[1]import graded seats course pivo'!$1:$2,2,FALSE),FALSE))),"")</f>
        <v/>
      </c>
      <c r="K920" s="14" t="str">
        <f>IFERROR((VLOOKUP($A920,'[1]import success seats course'!$A:Y,HLOOKUP('[1]Course Totals'!K$4,'[1]import success seats course'!$1:$2,2,FALSE),FALSE)/(VLOOKUP($A920,'[1]import graded seats course pivo'!$A:AI,HLOOKUP('[1]Course Totals'!K$4,'[1]import graded seats course pivo'!$1:$2,2,FALSE),FALSE))),"")</f>
        <v/>
      </c>
      <c r="L920" s="14" t="str">
        <f>IFERROR((VLOOKUP($A920,'[1]import success seats course'!$A:Z,HLOOKUP('[1]Course Totals'!L$4,'[1]import success seats course'!$1:$2,2,FALSE),FALSE)/(VLOOKUP($A920,'[1]import graded seats course pivo'!$A:AJ,HLOOKUP('[1]Course Totals'!L$4,'[1]import graded seats course pivo'!$1:$2,2,FALSE),FALSE))),"")</f>
        <v/>
      </c>
      <c r="M920" s="14" t="str">
        <f>IFERROR((VLOOKUP($A920,'[1]import success seats course'!$A:AA,HLOOKUP('[1]Course Totals'!M$4,'[1]import success seats course'!$1:$2,2,FALSE),FALSE)/(VLOOKUP($A920,'[1]import graded seats course pivo'!$A:AK,HLOOKUP('[1]Course Totals'!M$4,'[1]import graded seats course pivo'!$1:$2,2,FALSE),FALSE))),"")</f>
        <v/>
      </c>
      <c r="N920" s="14" t="str">
        <f>IFERROR((VLOOKUP($A920,'[1]import success seats course'!$A:AB,HLOOKUP('[1]Course Totals'!N$4,'[1]import success seats course'!$1:$2,2,FALSE),FALSE)/(VLOOKUP($A920,'[1]import graded seats course pivo'!$A:AL,HLOOKUP('[1]Course Totals'!N$4,'[1]import graded seats course pivo'!$1:$2,2,FALSE),FALSE))),"")</f>
        <v/>
      </c>
      <c r="O920" s="14" t="str">
        <f>IFERROR((VLOOKUP($A920,'[1]import success seats course'!$A:AC,HLOOKUP('[1]Course Totals'!O$4,'[1]import success seats course'!$1:$2,2,FALSE),FALSE)/(VLOOKUP($A920,'[1]import graded seats course pivo'!$A:AM,HLOOKUP('[1]Course Totals'!O$4,'[1]import graded seats course pivo'!$1:$2,2,FALSE),FALSE))),"")</f>
        <v/>
      </c>
      <c r="P920" s="14" t="str">
        <f>IFERROR((VLOOKUP($A920,'[1]import success seats course'!$A:AD,HLOOKUP('[1]Course Totals'!P$4,'[1]import success seats course'!$1:$2,2,FALSE),FALSE)/(VLOOKUP($A920,'[1]import graded seats course pivo'!$A:AN,HLOOKUP('[1]Course Totals'!P$4,'[1]import graded seats course pivo'!$1:$2,2,FALSE),FALSE))),"")</f>
        <v/>
      </c>
      <c r="Q920" s="14" t="str">
        <f>IFERROR((VLOOKUP($A920,'[1]import success seats course'!$A:AE,HLOOKUP('[1]Course Totals'!Q$4,'[1]import success seats course'!$1:$2,2,FALSE),FALSE)/(VLOOKUP($A920,'[1]import graded seats course pivo'!$A:AO,HLOOKUP('[1]Course Totals'!Q$4,'[1]import graded seats course pivo'!$1:$2,2,FALSE),FALSE))),"")</f>
        <v/>
      </c>
      <c r="R920" s="14" t="str">
        <f>IFERROR((VLOOKUP($A920,'[1]import success seats course'!$A:AF,HLOOKUP('[1]Course Totals'!R$4,'[1]import success seats course'!$1:$2,2,FALSE),FALSE)/(VLOOKUP($A920,'[1]import graded seats course pivo'!$A:AP,HLOOKUP('[1]Course Totals'!R$4,'[1]import graded seats course pivo'!$1:$2,2,FALSE),FALSE))),"")</f>
        <v/>
      </c>
      <c r="S920" s="14" t="str">
        <f>IFERROR((VLOOKUP($A920,'[1]import success seats course'!$A:AG,HLOOKUP('[1]Course Totals'!S$4,'[1]import success seats course'!$1:$2,2,FALSE),FALSE)/(VLOOKUP($A920,'[1]import graded seats course pivo'!$A:AQ,HLOOKUP('[1]Course Totals'!S$4,'[1]import graded seats course pivo'!$1:$2,2,FALSE),FALSE))),"")</f>
        <v/>
      </c>
      <c r="Z920" s="7"/>
      <c r="AA920" s="7"/>
      <c r="AB920" s="7"/>
      <c r="AC920" s="7"/>
    </row>
    <row r="921" spans="1:29" ht="15.75" customHeight="1" x14ac:dyDescent="0.25">
      <c r="A921" s="12" t="s">
        <v>936</v>
      </c>
      <c r="B921" s="14">
        <f>IFERROR((VLOOKUP($A921,'[1]import success seats course'!$A:P,HLOOKUP('[1]Course Totals'!B$4,'[1]import success seats course'!$1:$2,2,FALSE),FALSE)/(VLOOKUP($A921,'[1]import graded seats course pivo'!$A:Z,HLOOKUP('[1]Course Totals'!B$4,'[1]import graded seats course pivo'!$1:$2,2,FALSE),FALSE))),"")</f>
        <v>1</v>
      </c>
      <c r="C921" s="14" t="str">
        <f>IFERROR((VLOOKUP($A921,'[1]import success seats course'!$A:Q,HLOOKUP('[1]Course Totals'!C$4,'[1]import success seats course'!$1:$2,2,FALSE),FALSE)/(VLOOKUP($A921,'[1]import graded seats course pivo'!$A:AA,HLOOKUP('[1]Course Totals'!C$4,'[1]import graded seats course pivo'!$1:$2,2,FALSE),FALSE))),"")</f>
        <v/>
      </c>
      <c r="D921" s="14">
        <f>IFERROR((VLOOKUP($A921,'[1]import success seats course'!$A:R,HLOOKUP('[1]Course Totals'!D$4,'[1]import success seats course'!$1:$2,2,FALSE),FALSE)/(VLOOKUP($A921,'[1]import graded seats course pivo'!$A:AB,HLOOKUP('[1]Course Totals'!D$4,'[1]import graded seats course pivo'!$1:$2,2,FALSE),FALSE))),"")</f>
        <v>1</v>
      </c>
      <c r="E921" s="14">
        <f>IFERROR((VLOOKUP($A921,'[1]import success seats course'!$A:S,HLOOKUP('[1]Course Totals'!E$4,'[1]import success seats course'!$1:$2,2,FALSE),FALSE)/(VLOOKUP($A921,'[1]import graded seats course pivo'!$A:AC,HLOOKUP('[1]Course Totals'!E$4,'[1]import graded seats course pivo'!$1:$2,2,FALSE),FALSE))),"")</f>
        <v>1</v>
      </c>
      <c r="F921" s="14" t="str">
        <f>IFERROR((VLOOKUP($A921,'[1]import success seats course'!$A:T,HLOOKUP('[1]Course Totals'!F$4,'[1]import success seats course'!$1:$2,2,FALSE),FALSE)/(VLOOKUP($A921,'[1]import graded seats course pivo'!$A:AD,HLOOKUP('[1]Course Totals'!F$4,'[1]import graded seats course pivo'!$1:$2,2,FALSE),FALSE))),"")</f>
        <v/>
      </c>
      <c r="G921" s="14">
        <f>IFERROR((VLOOKUP($A921,'[1]import success seats course'!$A:U,HLOOKUP('[1]Course Totals'!G$4,'[1]import success seats course'!$1:$2,2,FALSE),FALSE)/(VLOOKUP($A921,'[1]import graded seats course pivo'!$A:AE,HLOOKUP('[1]Course Totals'!G$4,'[1]import graded seats course pivo'!$1:$2,2,FALSE),FALSE))),"")</f>
        <v>1</v>
      </c>
      <c r="H921" s="14">
        <f>IFERROR((VLOOKUP($A921,'[1]import success seats course'!$A:V,HLOOKUP('[1]Course Totals'!H$4,'[1]import success seats course'!$1:$2,2,FALSE),FALSE)/(VLOOKUP($A921,'[1]import graded seats course pivo'!$A:AF,HLOOKUP('[1]Course Totals'!H$4,'[1]import graded seats course pivo'!$1:$2,2,FALSE),FALSE))),"")</f>
        <v>0.93548387096774188</v>
      </c>
      <c r="I921" s="14" t="str">
        <f>IFERROR((VLOOKUP($A921,'[1]import success seats course'!$A:W,HLOOKUP('[1]Course Totals'!I$4,'[1]import success seats course'!$1:$2,2,FALSE),FALSE)/(VLOOKUP($A921,'[1]import graded seats course pivo'!$A:AG,HLOOKUP('[1]Course Totals'!I$4,'[1]import graded seats course pivo'!$1:$2,2,FALSE),FALSE))),"")</f>
        <v/>
      </c>
      <c r="J921" s="14">
        <f>IFERROR((VLOOKUP($A921,'[1]import success seats course'!$A:X,HLOOKUP('[1]Course Totals'!J$4,'[1]import success seats course'!$1:$2,2,FALSE),FALSE)/(VLOOKUP($A921,'[1]import graded seats course pivo'!$A:AH,HLOOKUP('[1]Course Totals'!J$4,'[1]import graded seats course pivo'!$1:$2,2,FALSE),FALSE))),"")</f>
        <v>0.84615384615384615</v>
      </c>
      <c r="K921" s="14">
        <f>IFERROR((VLOOKUP($A921,'[1]import success seats course'!$A:Y,HLOOKUP('[1]Course Totals'!K$4,'[1]import success seats course'!$1:$2,2,FALSE),FALSE)/(VLOOKUP($A921,'[1]import graded seats course pivo'!$A:AI,HLOOKUP('[1]Course Totals'!K$4,'[1]import graded seats course pivo'!$1:$2,2,FALSE),FALSE))),"")</f>
        <v>0.86956521739130432</v>
      </c>
      <c r="L921" s="14" t="str">
        <f>IFERROR((VLOOKUP($A921,'[1]import success seats course'!$A:Z,HLOOKUP('[1]Course Totals'!L$4,'[1]import success seats course'!$1:$2,2,FALSE),FALSE)/(VLOOKUP($A921,'[1]import graded seats course pivo'!$A:AJ,HLOOKUP('[1]Course Totals'!L$4,'[1]import graded seats course pivo'!$1:$2,2,FALSE),FALSE))),"")</f>
        <v/>
      </c>
      <c r="M921" s="14">
        <f>IFERROR((VLOOKUP($A921,'[1]import success seats course'!$A:AA,HLOOKUP('[1]Course Totals'!M$4,'[1]import success seats course'!$1:$2,2,FALSE),FALSE)/(VLOOKUP($A921,'[1]import graded seats course pivo'!$A:AK,HLOOKUP('[1]Course Totals'!M$4,'[1]import graded seats course pivo'!$1:$2,2,FALSE),FALSE))),"")</f>
        <v>0.84615384615384615</v>
      </c>
      <c r="N921" s="14" t="str">
        <f>IFERROR((VLOOKUP($A921,'[1]import success seats course'!$A:AB,HLOOKUP('[1]Course Totals'!N$4,'[1]import success seats course'!$1:$2,2,FALSE),FALSE)/(VLOOKUP($A921,'[1]import graded seats course pivo'!$A:AL,HLOOKUP('[1]Course Totals'!N$4,'[1]import graded seats course pivo'!$1:$2,2,FALSE),FALSE))),"")</f>
        <v/>
      </c>
      <c r="O921" s="14" t="str">
        <f>IFERROR((VLOOKUP($A921,'[1]import success seats course'!$A:AC,HLOOKUP('[1]Course Totals'!O$4,'[1]import success seats course'!$1:$2,2,FALSE),FALSE)/(VLOOKUP($A921,'[1]import graded seats course pivo'!$A:AM,HLOOKUP('[1]Course Totals'!O$4,'[1]import graded seats course pivo'!$1:$2,2,FALSE),FALSE))),"")</f>
        <v/>
      </c>
      <c r="P921" s="14" t="str">
        <f>IFERROR((VLOOKUP($A921,'[1]import success seats course'!$A:AD,HLOOKUP('[1]Course Totals'!P$4,'[1]import success seats course'!$1:$2,2,FALSE),FALSE)/(VLOOKUP($A921,'[1]import graded seats course pivo'!$A:AN,HLOOKUP('[1]Course Totals'!P$4,'[1]import graded seats course pivo'!$1:$2,2,FALSE),FALSE))),"")</f>
        <v/>
      </c>
      <c r="Q921" s="14" t="str">
        <f>IFERROR((VLOOKUP($A921,'[1]import success seats course'!$A:AE,HLOOKUP('[1]Course Totals'!Q$4,'[1]import success seats course'!$1:$2,2,FALSE),FALSE)/(VLOOKUP($A921,'[1]import graded seats course pivo'!$A:AO,HLOOKUP('[1]Course Totals'!Q$4,'[1]import graded seats course pivo'!$1:$2,2,FALSE),FALSE))),"")</f>
        <v/>
      </c>
      <c r="R921" s="14">
        <f>IFERROR((VLOOKUP($A921,'[1]import success seats course'!$A:AF,HLOOKUP('[1]Course Totals'!R$4,'[1]import success seats course'!$1:$2,2,FALSE),FALSE)/(VLOOKUP($A921,'[1]import graded seats course pivo'!$A:AP,HLOOKUP('[1]Course Totals'!R$4,'[1]import graded seats course pivo'!$1:$2,2,FALSE),FALSE))),"")</f>
        <v>0.9375</v>
      </c>
      <c r="S921" s="14" t="str">
        <f>IFERROR((VLOOKUP($A921,'[1]import success seats course'!$A:AG,HLOOKUP('[1]Course Totals'!S$4,'[1]import success seats course'!$1:$2,2,FALSE),FALSE)/(VLOOKUP($A921,'[1]import graded seats course pivo'!$A:AQ,HLOOKUP('[1]Course Totals'!S$4,'[1]import graded seats course pivo'!$1:$2,2,FALSE),FALSE))),"")</f>
        <v/>
      </c>
      <c r="Z921" s="7"/>
      <c r="AA921" s="7"/>
      <c r="AB921" s="7"/>
      <c r="AC921" s="7"/>
    </row>
    <row r="922" spans="1:29" ht="15.75" hidden="1" customHeight="1" x14ac:dyDescent="0.25">
      <c r="A922" s="12" t="s">
        <v>937</v>
      </c>
      <c r="B922" s="14" t="str">
        <f>IFERROR((VLOOKUP($A922,'[1]import success seats course'!$A:P,HLOOKUP('[1]Course Totals'!B$4,'[1]import success seats course'!$1:$2,2,FALSE),FALSE)/(VLOOKUP($A922,'[1]import graded seats course pivo'!$A:Z,HLOOKUP('[1]Course Totals'!B$4,'[1]import graded seats course pivo'!$1:$2,2,FALSE),FALSE))),"")</f>
        <v/>
      </c>
      <c r="C922" s="14" t="str">
        <f>IFERROR((VLOOKUP($A922,'[1]import success seats course'!$A:Q,HLOOKUP('[1]Course Totals'!C$4,'[1]import success seats course'!$1:$2,2,FALSE),FALSE)/(VLOOKUP($A922,'[1]import graded seats course pivo'!$A:AA,HLOOKUP('[1]Course Totals'!C$4,'[1]import graded seats course pivo'!$1:$2,2,FALSE),FALSE))),"")</f>
        <v/>
      </c>
      <c r="D922" s="14" t="str">
        <f>IFERROR((VLOOKUP($A922,'[1]import success seats course'!$A:R,HLOOKUP('[1]Course Totals'!D$4,'[1]import success seats course'!$1:$2,2,FALSE),FALSE)/(VLOOKUP($A922,'[1]import graded seats course pivo'!$A:AB,HLOOKUP('[1]Course Totals'!D$4,'[1]import graded seats course pivo'!$1:$2,2,FALSE),FALSE))),"")</f>
        <v/>
      </c>
      <c r="E922" s="14" t="str">
        <f>IFERROR((VLOOKUP($A922,'[1]import success seats course'!$A:S,HLOOKUP('[1]Course Totals'!E$4,'[1]import success seats course'!$1:$2,2,FALSE),FALSE)/(VLOOKUP($A922,'[1]import graded seats course pivo'!$A:AC,HLOOKUP('[1]Course Totals'!E$4,'[1]import graded seats course pivo'!$1:$2,2,FALSE),FALSE))),"")</f>
        <v/>
      </c>
      <c r="F922" s="14" t="str">
        <f>IFERROR((VLOOKUP($A922,'[1]import success seats course'!$A:T,HLOOKUP('[1]Course Totals'!F$4,'[1]import success seats course'!$1:$2,2,FALSE),FALSE)/(VLOOKUP($A922,'[1]import graded seats course pivo'!$A:AD,HLOOKUP('[1]Course Totals'!F$4,'[1]import graded seats course pivo'!$1:$2,2,FALSE),FALSE))),"")</f>
        <v/>
      </c>
      <c r="G922" s="14" t="str">
        <f>IFERROR((VLOOKUP($A922,'[1]import success seats course'!$A:U,HLOOKUP('[1]Course Totals'!G$4,'[1]import success seats course'!$1:$2,2,FALSE),FALSE)/(VLOOKUP($A922,'[1]import graded seats course pivo'!$A:AE,HLOOKUP('[1]Course Totals'!G$4,'[1]import graded seats course pivo'!$1:$2,2,FALSE),FALSE))),"")</f>
        <v/>
      </c>
      <c r="H922" s="14" t="str">
        <f>IFERROR((VLOOKUP($A922,'[1]import success seats course'!$A:V,HLOOKUP('[1]Course Totals'!H$4,'[1]import success seats course'!$1:$2,2,FALSE),FALSE)/(VLOOKUP($A922,'[1]import graded seats course pivo'!$A:AF,HLOOKUP('[1]Course Totals'!H$4,'[1]import graded seats course pivo'!$1:$2,2,FALSE),FALSE))),"")</f>
        <v/>
      </c>
      <c r="I922" s="14" t="str">
        <f>IFERROR((VLOOKUP($A922,'[1]import success seats course'!$A:W,HLOOKUP('[1]Course Totals'!I$4,'[1]import success seats course'!$1:$2,2,FALSE),FALSE)/(VLOOKUP($A922,'[1]import graded seats course pivo'!$A:AG,HLOOKUP('[1]Course Totals'!I$4,'[1]import graded seats course pivo'!$1:$2,2,FALSE),FALSE))),"")</f>
        <v/>
      </c>
      <c r="J922" s="14" t="str">
        <f>IFERROR((VLOOKUP($A922,'[1]import success seats course'!$A:X,HLOOKUP('[1]Course Totals'!J$4,'[1]import success seats course'!$1:$2,2,FALSE),FALSE)/(VLOOKUP($A922,'[1]import graded seats course pivo'!$A:AH,HLOOKUP('[1]Course Totals'!J$4,'[1]import graded seats course pivo'!$1:$2,2,FALSE),FALSE))),"")</f>
        <v/>
      </c>
      <c r="K922" s="14" t="str">
        <f>IFERROR((VLOOKUP($A922,'[1]import success seats course'!$A:Y,HLOOKUP('[1]Course Totals'!K$4,'[1]import success seats course'!$1:$2,2,FALSE),FALSE)/(VLOOKUP($A922,'[1]import graded seats course pivo'!$A:AI,HLOOKUP('[1]Course Totals'!K$4,'[1]import graded seats course pivo'!$1:$2,2,FALSE),FALSE))),"")</f>
        <v/>
      </c>
      <c r="L922" s="14" t="str">
        <f>IFERROR((VLOOKUP($A922,'[1]import success seats course'!$A:Z,HLOOKUP('[1]Course Totals'!L$4,'[1]import success seats course'!$1:$2,2,FALSE),FALSE)/(VLOOKUP($A922,'[1]import graded seats course pivo'!$A:AJ,HLOOKUP('[1]Course Totals'!L$4,'[1]import graded seats course pivo'!$1:$2,2,FALSE),FALSE))),"")</f>
        <v/>
      </c>
      <c r="M922" s="14" t="str">
        <f>IFERROR((VLOOKUP($A922,'[1]import success seats course'!$A:AA,HLOOKUP('[1]Course Totals'!M$4,'[1]import success seats course'!$1:$2,2,FALSE),FALSE)/(VLOOKUP($A922,'[1]import graded seats course pivo'!$A:AK,HLOOKUP('[1]Course Totals'!M$4,'[1]import graded seats course pivo'!$1:$2,2,FALSE),FALSE))),"")</f>
        <v/>
      </c>
      <c r="N922" s="14" t="str">
        <f>IFERROR((VLOOKUP($A922,'[1]import success seats course'!$A:AB,HLOOKUP('[1]Course Totals'!N$4,'[1]import success seats course'!$1:$2,2,FALSE),FALSE)/(VLOOKUP($A922,'[1]import graded seats course pivo'!$A:AL,HLOOKUP('[1]Course Totals'!N$4,'[1]import graded seats course pivo'!$1:$2,2,FALSE),FALSE))),"")</f>
        <v/>
      </c>
      <c r="O922" s="14" t="str">
        <f>IFERROR((VLOOKUP($A922,'[1]import success seats course'!$A:AC,HLOOKUP('[1]Course Totals'!O$4,'[1]import success seats course'!$1:$2,2,FALSE),FALSE)/(VLOOKUP($A922,'[1]import graded seats course pivo'!$A:AM,HLOOKUP('[1]Course Totals'!O$4,'[1]import graded seats course pivo'!$1:$2,2,FALSE),FALSE))),"")</f>
        <v/>
      </c>
      <c r="P922" s="14" t="str">
        <f>IFERROR((VLOOKUP($A922,'[1]import success seats course'!$A:AD,HLOOKUP('[1]Course Totals'!P$4,'[1]import success seats course'!$1:$2,2,FALSE),FALSE)/(VLOOKUP($A922,'[1]import graded seats course pivo'!$A:AN,HLOOKUP('[1]Course Totals'!P$4,'[1]import graded seats course pivo'!$1:$2,2,FALSE),FALSE))),"")</f>
        <v/>
      </c>
      <c r="Q922" s="14" t="str">
        <f>IFERROR((VLOOKUP($A922,'[1]import success seats course'!$A:AE,HLOOKUP('[1]Course Totals'!Q$4,'[1]import success seats course'!$1:$2,2,FALSE),FALSE)/(VLOOKUP($A922,'[1]import graded seats course pivo'!$A:AO,HLOOKUP('[1]Course Totals'!Q$4,'[1]import graded seats course pivo'!$1:$2,2,FALSE),FALSE))),"")</f>
        <v/>
      </c>
      <c r="R922" s="14" t="str">
        <f>IFERROR((VLOOKUP($A922,'[1]import success seats course'!$A:AF,HLOOKUP('[1]Course Totals'!R$4,'[1]import success seats course'!$1:$2,2,FALSE),FALSE)/(VLOOKUP($A922,'[1]import graded seats course pivo'!$A:AP,HLOOKUP('[1]Course Totals'!R$4,'[1]import graded seats course pivo'!$1:$2,2,FALSE),FALSE))),"")</f>
        <v/>
      </c>
      <c r="S922" s="14" t="str">
        <f>IFERROR((VLOOKUP($A922,'[1]import success seats course'!$A:AG,HLOOKUP('[1]Course Totals'!S$4,'[1]import success seats course'!$1:$2,2,FALSE),FALSE)/(VLOOKUP($A922,'[1]import graded seats course pivo'!$A:AQ,HLOOKUP('[1]Course Totals'!S$4,'[1]import graded seats course pivo'!$1:$2,2,FALSE),FALSE))),"")</f>
        <v/>
      </c>
      <c r="Z922" s="7"/>
      <c r="AA922" s="7"/>
      <c r="AB922" s="7"/>
      <c r="AC922" s="7"/>
    </row>
    <row r="923" spans="1:29" ht="15.75" hidden="1" customHeight="1" x14ac:dyDescent="0.25">
      <c r="A923" s="12" t="s">
        <v>440</v>
      </c>
      <c r="B923" s="14" t="str">
        <f>IFERROR((VLOOKUP($A923,'[1]import success seats course'!$A:P,HLOOKUP('[1]Course Totals'!B$4,'[1]import success seats course'!$1:$2,2,FALSE),FALSE)/(VLOOKUP($A923,'[1]import graded seats course pivo'!$A:Z,HLOOKUP('[1]Course Totals'!B$4,'[1]import graded seats course pivo'!$1:$2,2,FALSE),FALSE))),"")</f>
        <v/>
      </c>
      <c r="C923" s="14" t="str">
        <f>IFERROR((VLOOKUP($A923,'[1]import success seats course'!$A:Q,HLOOKUP('[1]Course Totals'!C$4,'[1]import success seats course'!$1:$2,2,FALSE),FALSE)/(VLOOKUP($A923,'[1]import graded seats course pivo'!$A:AA,HLOOKUP('[1]Course Totals'!C$4,'[1]import graded seats course pivo'!$1:$2,2,FALSE),FALSE))),"")</f>
        <v/>
      </c>
      <c r="D923" s="14" t="str">
        <f>IFERROR((VLOOKUP($A923,'[1]import success seats course'!$A:R,HLOOKUP('[1]Course Totals'!D$4,'[1]import success seats course'!$1:$2,2,FALSE),FALSE)/(VLOOKUP($A923,'[1]import graded seats course pivo'!$A:AB,HLOOKUP('[1]Course Totals'!D$4,'[1]import graded seats course pivo'!$1:$2,2,FALSE),FALSE))),"")</f>
        <v/>
      </c>
      <c r="E923" s="14" t="str">
        <f>IFERROR((VLOOKUP($A923,'[1]import success seats course'!$A:S,HLOOKUP('[1]Course Totals'!E$4,'[1]import success seats course'!$1:$2,2,FALSE),FALSE)/(VLOOKUP($A923,'[1]import graded seats course pivo'!$A:AC,HLOOKUP('[1]Course Totals'!E$4,'[1]import graded seats course pivo'!$1:$2,2,FALSE),FALSE))),"")</f>
        <v/>
      </c>
      <c r="F923" s="14" t="str">
        <f>IFERROR((VLOOKUP($A923,'[1]import success seats course'!$A:T,HLOOKUP('[1]Course Totals'!F$4,'[1]import success seats course'!$1:$2,2,FALSE),FALSE)/(VLOOKUP($A923,'[1]import graded seats course pivo'!$A:AD,HLOOKUP('[1]Course Totals'!F$4,'[1]import graded seats course pivo'!$1:$2,2,FALSE),FALSE))),"")</f>
        <v/>
      </c>
      <c r="G923" s="14" t="str">
        <f>IFERROR((VLOOKUP($A923,'[1]import success seats course'!$A:U,HLOOKUP('[1]Course Totals'!G$4,'[1]import success seats course'!$1:$2,2,FALSE),FALSE)/(VLOOKUP($A923,'[1]import graded seats course pivo'!$A:AE,HLOOKUP('[1]Course Totals'!G$4,'[1]import graded seats course pivo'!$1:$2,2,FALSE),FALSE))),"")</f>
        <v/>
      </c>
      <c r="H923" s="14" t="str">
        <f>IFERROR((VLOOKUP($A923,'[1]import success seats course'!$A:V,HLOOKUP('[1]Course Totals'!H$4,'[1]import success seats course'!$1:$2,2,FALSE),FALSE)/(VLOOKUP($A923,'[1]import graded seats course pivo'!$A:AF,HLOOKUP('[1]Course Totals'!H$4,'[1]import graded seats course pivo'!$1:$2,2,FALSE),FALSE))),"")</f>
        <v/>
      </c>
      <c r="I923" s="14" t="str">
        <f>IFERROR((VLOOKUP($A923,'[1]import success seats course'!$A:W,HLOOKUP('[1]Course Totals'!I$4,'[1]import success seats course'!$1:$2,2,FALSE),FALSE)/(VLOOKUP($A923,'[1]import graded seats course pivo'!$A:AG,HLOOKUP('[1]Course Totals'!I$4,'[1]import graded seats course pivo'!$1:$2,2,FALSE),FALSE))),"")</f>
        <v/>
      </c>
      <c r="J923" s="14" t="str">
        <f>IFERROR((VLOOKUP($A923,'[1]import success seats course'!$A:X,HLOOKUP('[1]Course Totals'!J$4,'[1]import success seats course'!$1:$2,2,FALSE),FALSE)/(VLOOKUP($A923,'[1]import graded seats course pivo'!$A:AH,HLOOKUP('[1]Course Totals'!J$4,'[1]import graded seats course pivo'!$1:$2,2,FALSE),FALSE))),"")</f>
        <v/>
      </c>
      <c r="K923" s="14" t="str">
        <f>IFERROR((VLOOKUP($A923,'[1]import success seats course'!$A:Y,HLOOKUP('[1]Course Totals'!K$4,'[1]import success seats course'!$1:$2,2,FALSE),FALSE)/(VLOOKUP($A923,'[1]import graded seats course pivo'!$A:AI,HLOOKUP('[1]Course Totals'!K$4,'[1]import graded seats course pivo'!$1:$2,2,FALSE),FALSE))),"")</f>
        <v/>
      </c>
      <c r="L923" s="14" t="str">
        <f>IFERROR((VLOOKUP($A923,'[1]import success seats course'!$A:Z,HLOOKUP('[1]Course Totals'!L$4,'[1]import success seats course'!$1:$2,2,FALSE),FALSE)/(VLOOKUP($A923,'[1]import graded seats course pivo'!$A:AJ,HLOOKUP('[1]Course Totals'!L$4,'[1]import graded seats course pivo'!$1:$2,2,FALSE),FALSE))),"")</f>
        <v/>
      </c>
      <c r="M923" s="14" t="str">
        <f>IFERROR((VLOOKUP($A923,'[1]import success seats course'!$A:AA,HLOOKUP('[1]Course Totals'!M$4,'[1]import success seats course'!$1:$2,2,FALSE),FALSE)/(VLOOKUP($A923,'[1]import graded seats course pivo'!$A:AK,HLOOKUP('[1]Course Totals'!M$4,'[1]import graded seats course pivo'!$1:$2,2,FALSE),FALSE))),"")</f>
        <v/>
      </c>
      <c r="N923" s="14" t="str">
        <f>IFERROR((VLOOKUP($A923,'[1]import success seats course'!$A:AB,HLOOKUP('[1]Course Totals'!N$4,'[1]import success seats course'!$1:$2,2,FALSE),FALSE)/(VLOOKUP($A923,'[1]import graded seats course pivo'!$A:AL,HLOOKUP('[1]Course Totals'!N$4,'[1]import graded seats course pivo'!$1:$2,2,FALSE),FALSE))),"")</f>
        <v/>
      </c>
      <c r="O923" s="14" t="str">
        <f>IFERROR((VLOOKUP($A923,'[1]import success seats course'!$A:AC,HLOOKUP('[1]Course Totals'!O$4,'[1]import success seats course'!$1:$2,2,FALSE),FALSE)/(VLOOKUP($A923,'[1]import graded seats course pivo'!$A:AM,HLOOKUP('[1]Course Totals'!O$4,'[1]import graded seats course pivo'!$1:$2,2,FALSE),FALSE))),"")</f>
        <v/>
      </c>
      <c r="P923" s="14" t="str">
        <f>IFERROR((VLOOKUP($A923,'[1]import success seats course'!$A:AD,HLOOKUP('[1]Course Totals'!P$4,'[1]import success seats course'!$1:$2,2,FALSE),FALSE)/(VLOOKUP($A923,'[1]import graded seats course pivo'!$A:AN,HLOOKUP('[1]Course Totals'!P$4,'[1]import graded seats course pivo'!$1:$2,2,FALSE),FALSE))),"")</f>
        <v/>
      </c>
      <c r="Q923" s="14" t="str">
        <f>IFERROR((VLOOKUP($A923,'[1]import success seats course'!$A:AE,HLOOKUP('[1]Course Totals'!Q$4,'[1]import success seats course'!$1:$2,2,FALSE),FALSE)/(VLOOKUP($A923,'[1]import graded seats course pivo'!$A:AO,HLOOKUP('[1]Course Totals'!Q$4,'[1]import graded seats course pivo'!$1:$2,2,FALSE),FALSE))),"")</f>
        <v/>
      </c>
      <c r="R923" s="14" t="str">
        <f>IFERROR((VLOOKUP($A923,'[1]import success seats course'!$A:AF,HLOOKUP('[1]Course Totals'!R$4,'[1]import success seats course'!$1:$2,2,FALSE),FALSE)/(VLOOKUP($A923,'[1]import graded seats course pivo'!$A:AP,HLOOKUP('[1]Course Totals'!R$4,'[1]import graded seats course pivo'!$1:$2,2,FALSE),FALSE))),"")</f>
        <v/>
      </c>
      <c r="S923" s="14" t="str">
        <f>IFERROR((VLOOKUP($A923,'[1]import success seats course'!$A:AG,HLOOKUP('[1]Course Totals'!S$4,'[1]import success seats course'!$1:$2,2,FALSE),FALSE)/(VLOOKUP($A923,'[1]import graded seats course pivo'!$A:AQ,HLOOKUP('[1]Course Totals'!S$4,'[1]import graded seats course pivo'!$1:$2,2,FALSE),FALSE))),"")</f>
        <v/>
      </c>
      <c r="Z923" s="7"/>
      <c r="AA923" s="7"/>
      <c r="AB923" s="7"/>
      <c r="AC923" s="7"/>
    </row>
    <row r="924" spans="1:29" ht="15.75" customHeight="1" x14ac:dyDescent="0.25">
      <c r="A924" s="12" t="s">
        <v>441</v>
      </c>
      <c r="B924" s="14" t="str">
        <f>IFERROR((VLOOKUP($A924,'[1]import success seats course'!$A:P,HLOOKUP('[1]Course Totals'!B$4,'[1]import success seats course'!$1:$2,2,FALSE),FALSE)/(VLOOKUP($A924,'[1]import graded seats course pivo'!$A:Z,HLOOKUP('[1]Course Totals'!B$4,'[1]import graded seats course pivo'!$1:$2,2,FALSE),FALSE))),"")</f>
        <v/>
      </c>
      <c r="C924" s="14" t="str">
        <f>IFERROR((VLOOKUP($A924,'[1]import success seats course'!$A:Q,HLOOKUP('[1]Course Totals'!C$4,'[1]import success seats course'!$1:$2,2,FALSE),FALSE)/(VLOOKUP($A924,'[1]import graded seats course pivo'!$A:AA,HLOOKUP('[1]Course Totals'!C$4,'[1]import graded seats course pivo'!$1:$2,2,FALSE),FALSE))),"")</f>
        <v/>
      </c>
      <c r="D924" s="14">
        <f>IFERROR((VLOOKUP($A924,'[1]import success seats course'!$A:R,HLOOKUP('[1]Course Totals'!D$4,'[1]import success seats course'!$1:$2,2,FALSE),FALSE)/(VLOOKUP($A924,'[1]import graded seats course pivo'!$A:AB,HLOOKUP('[1]Course Totals'!D$4,'[1]import graded seats course pivo'!$1:$2,2,FALSE),FALSE))),"")</f>
        <v>1</v>
      </c>
      <c r="E924" s="14" t="str">
        <f>IFERROR((VLOOKUP($A924,'[1]import success seats course'!$A:S,HLOOKUP('[1]Course Totals'!E$4,'[1]import success seats course'!$1:$2,2,FALSE),FALSE)/(VLOOKUP($A924,'[1]import graded seats course pivo'!$A:AC,HLOOKUP('[1]Course Totals'!E$4,'[1]import graded seats course pivo'!$1:$2,2,FALSE),FALSE))),"")</f>
        <v/>
      </c>
      <c r="F924" s="14">
        <f>IFERROR((VLOOKUP($A924,'[1]import success seats course'!$A:T,HLOOKUP('[1]Course Totals'!F$4,'[1]import success seats course'!$1:$2,2,FALSE),FALSE)/(VLOOKUP($A924,'[1]import graded seats course pivo'!$A:AD,HLOOKUP('[1]Course Totals'!F$4,'[1]import graded seats course pivo'!$1:$2,2,FALSE),FALSE))),"")</f>
        <v>0.95652173913043481</v>
      </c>
      <c r="G924" s="14">
        <f>IFERROR((VLOOKUP($A924,'[1]import success seats course'!$A:U,HLOOKUP('[1]Course Totals'!G$4,'[1]import success seats course'!$1:$2,2,FALSE),FALSE)/(VLOOKUP($A924,'[1]import graded seats course pivo'!$A:AE,HLOOKUP('[1]Course Totals'!G$4,'[1]import graded seats course pivo'!$1:$2,2,FALSE),FALSE))),"")</f>
        <v>0.92</v>
      </c>
      <c r="H924" s="14" t="str">
        <f>IFERROR((VLOOKUP($A924,'[1]import success seats course'!$A:V,HLOOKUP('[1]Course Totals'!H$4,'[1]import success seats course'!$1:$2,2,FALSE),FALSE)/(VLOOKUP($A924,'[1]import graded seats course pivo'!$A:AF,HLOOKUP('[1]Course Totals'!H$4,'[1]import graded seats course pivo'!$1:$2,2,FALSE),FALSE))),"")</f>
        <v/>
      </c>
      <c r="I924" s="14">
        <f>IFERROR((VLOOKUP($A924,'[1]import success seats course'!$A:W,HLOOKUP('[1]Course Totals'!I$4,'[1]import success seats course'!$1:$2,2,FALSE),FALSE)/(VLOOKUP($A924,'[1]import graded seats course pivo'!$A:AG,HLOOKUP('[1]Course Totals'!I$4,'[1]import graded seats course pivo'!$1:$2,2,FALSE),FALSE))),"")</f>
        <v>0.97222222222222221</v>
      </c>
      <c r="J924" s="14">
        <f>IFERROR((VLOOKUP($A924,'[1]import success seats course'!$A:X,HLOOKUP('[1]Course Totals'!J$4,'[1]import success seats course'!$1:$2,2,FALSE),FALSE)/(VLOOKUP($A924,'[1]import graded seats course pivo'!$A:AH,HLOOKUP('[1]Course Totals'!J$4,'[1]import graded seats course pivo'!$1:$2,2,FALSE),FALSE))),"")</f>
        <v>0.90243902439024393</v>
      </c>
      <c r="K924" s="14" t="str">
        <f>IFERROR((VLOOKUP($A924,'[1]import success seats course'!$A:Y,HLOOKUP('[1]Course Totals'!K$4,'[1]import success seats course'!$1:$2,2,FALSE),FALSE)/(VLOOKUP($A924,'[1]import graded seats course pivo'!$A:AI,HLOOKUP('[1]Course Totals'!K$4,'[1]import graded seats course pivo'!$1:$2,2,FALSE),FALSE))),"")</f>
        <v/>
      </c>
      <c r="L924" s="14">
        <f>IFERROR((VLOOKUP($A924,'[1]import success seats course'!$A:Z,HLOOKUP('[1]Course Totals'!L$4,'[1]import success seats course'!$1:$2,2,FALSE),FALSE)/(VLOOKUP($A924,'[1]import graded seats course pivo'!$A:AJ,HLOOKUP('[1]Course Totals'!L$4,'[1]import graded seats course pivo'!$1:$2,2,FALSE),FALSE))),"")</f>
        <v>0.97368421052631582</v>
      </c>
      <c r="M924" s="14">
        <f>IFERROR((VLOOKUP($A924,'[1]import success seats course'!$A:AA,HLOOKUP('[1]Course Totals'!M$4,'[1]import success seats course'!$1:$2,2,FALSE),FALSE)/(VLOOKUP($A924,'[1]import graded seats course pivo'!$A:AK,HLOOKUP('[1]Course Totals'!M$4,'[1]import graded seats course pivo'!$1:$2,2,FALSE),FALSE))),"")</f>
        <v>0.90625</v>
      </c>
      <c r="N924" s="14" t="str">
        <f>IFERROR((VLOOKUP($A924,'[1]import success seats course'!$A:AB,HLOOKUP('[1]Course Totals'!N$4,'[1]import success seats course'!$1:$2,2,FALSE),FALSE)/(VLOOKUP($A924,'[1]import graded seats course pivo'!$A:AL,HLOOKUP('[1]Course Totals'!N$4,'[1]import graded seats course pivo'!$1:$2,2,FALSE),FALSE))),"")</f>
        <v/>
      </c>
      <c r="O924" s="14" t="str">
        <f>IFERROR((VLOOKUP($A924,'[1]import success seats course'!$A:AC,HLOOKUP('[1]Course Totals'!O$4,'[1]import success seats course'!$1:$2,2,FALSE),FALSE)/(VLOOKUP($A924,'[1]import graded seats course pivo'!$A:AM,HLOOKUP('[1]Course Totals'!O$4,'[1]import graded seats course pivo'!$1:$2,2,FALSE),FALSE))),"")</f>
        <v/>
      </c>
      <c r="P924" s="14">
        <f>IFERROR((VLOOKUP($A924,'[1]import success seats course'!$A:AD,HLOOKUP('[1]Course Totals'!P$4,'[1]import success seats course'!$1:$2,2,FALSE),FALSE)/(VLOOKUP($A924,'[1]import graded seats course pivo'!$A:AN,HLOOKUP('[1]Course Totals'!P$4,'[1]import graded seats course pivo'!$1:$2,2,FALSE),FALSE))),"")</f>
        <v>0.94117647058823528</v>
      </c>
      <c r="Q924" s="14" t="str">
        <f>IFERROR((VLOOKUP($A924,'[1]import success seats course'!$A:AE,HLOOKUP('[1]Course Totals'!Q$4,'[1]import success seats course'!$1:$2,2,FALSE),FALSE)/(VLOOKUP($A924,'[1]import graded seats course pivo'!$A:AO,HLOOKUP('[1]Course Totals'!Q$4,'[1]import graded seats course pivo'!$1:$2,2,FALSE),FALSE))),"")</f>
        <v/>
      </c>
      <c r="R924" s="14" t="str">
        <f>IFERROR((VLOOKUP($A924,'[1]import success seats course'!$A:AF,HLOOKUP('[1]Course Totals'!R$4,'[1]import success seats course'!$1:$2,2,FALSE),FALSE)/(VLOOKUP($A924,'[1]import graded seats course pivo'!$A:AP,HLOOKUP('[1]Course Totals'!R$4,'[1]import graded seats course pivo'!$1:$2,2,FALSE),FALSE))),"")</f>
        <v/>
      </c>
      <c r="S924" s="14" t="str">
        <f>IFERROR((VLOOKUP($A924,'[1]import success seats course'!$A:AG,HLOOKUP('[1]Course Totals'!S$4,'[1]import success seats course'!$1:$2,2,FALSE),FALSE)/(VLOOKUP($A924,'[1]import graded seats course pivo'!$A:AQ,HLOOKUP('[1]Course Totals'!S$4,'[1]import graded seats course pivo'!$1:$2,2,FALSE),FALSE))),"")</f>
        <v/>
      </c>
      <c r="Z924" s="7"/>
      <c r="AA924" s="7"/>
      <c r="AB924" s="7"/>
      <c r="AC924" s="7"/>
    </row>
    <row r="925" spans="1:29" ht="15.75" customHeight="1" x14ac:dyDescent="0.25">
      <c r="A925" s="12" t="s">
        <v>442</v>
      </c>
      <c r="B925" s="14">
        <f>IFERROR((VLOOKUP($A925,'[1]import success seats course'!$A:P,HLOOKUP('[1]Course Totals'!B$4,'[1]import success seats course'!$1:$2,2,FALSE),FALSE)/(VLOOKUP($A925,'[1]import graded seats course pivo'!$A:Z,HLOOKUP('[1]Course Totals'!B$4,'[1]import graded seats course pivo'!$1:$2,2,FALSE),FALSE))),"")</f>
        <v>0.91666666666666663</v>
      </c>
      <c r="C925" s="14">
        <f>IFERROR((VLOOKUP($A925,'[1]import success seats course'!$A:Q,HLOOKUP('[1]Course Totals'!C$4,'[1]import success seats course'!$1:$2,2,FALSE),FALSE)/(VLOOKUP($A925,'[1]import graded seats course pivo'!$A:AA,HLOOKUP('[1]Course Totals'!C$4,'[1]import graded seats course pivo'!$1:$2,2,FALSE),FALSE))),"")</f>
        <v>0.82089552238805974</v>
      </c>
      <c r="D925" s="14">
        <f>IFERROR((VLOOKUP($A925,'[1]import success seats course'!$A:R,HLOOKUP('[1]Course Totals'!D$4,'[1]import success seats course'!$1:$2,2,FALSE),FALSE)/(VLOOKUP($A925,'[1]import graded seats course pivo'!$A:AB,HLOOKUP('[1]Course Totals'!D$4,'[1]import graded seats course pivo'!$1:$2,2,FALSE),FALSE))),"")</f>
        <v>0.84615384615384615</v>
      </c>
      <c r="E925" s="14">
        <f>IFERROR((VLOOKUP($A925,'[1]import success seats course'!$A:S,HLOOKUP('[1]Course Totals'!E$4,'[1]import success seats course'!$1:$2,2,FALSE),FALSE)/(VLOOKUP($A925,'[1]import graded seats course pivo'!$A:AC,HLOOKUP('[1]Course Totals'!E$4,'[1]import graded seats course pivo'!$1:$2,2,FALSE),FALSE))),"")</f>
        <v>0.86956521739130432</v>
      </c>
      <c r="F925" s="14">
        <f>IFERROR((VLOOKUP($A925,'[1]import success seats course'!$A:T,HLOOKUP('[1]Course Totals'!F$4,'[1]import success seats course'!$1:$2,2,FALSE),FALSE)/(VLOOKUP($A925,'[1]import graded seats course pivo'!$A:AD,HLOOKUP('[1]Course Totals'!F$4,'[1]import graded seats course pivo'!$1:$2,2,FALSE),FALSE))),"")</f>
        <v>0.84313725490196079</v>
      </c>
      <c r="G925" s="14">
        <f>IFERROR((VLOOKUP($A925,'[1]import success seats course'!$A:U,HLOOKUP('[1]Course Totals'!G$4,'[1]import success seats course'!$1:$2,2,FALSE),FALSE)/(VLOOKUP($A925,'[1]import graded seats course pivo'!$A:AE,HLOOKUP('[1]Course Totals'!G$4,'[1]import graded seats course pivo'!$1:$2,2,FALSE),FALSE))),"")</f>
        <v>0.76271186440677963</v>
      </c>
      <c r="H925" s="14" t="str">
        <f>IFERROR((VLOOKUP($A925,'[1]import success seats course'!$A:V,HLOOKUP('[1]Course Totals'!H$4,'[1]import success seats course'!$1:$2,2,FALSE),FALSE)/(VLOOKUP($A925,'[1]import graded seats course pivo'!$A:AF,HLOOKUP('[1]Course Totals'!H$4,'[1]import graded seats course pivo'!$1:$2,2,FALSE),FALSE))),"")</f>
        <v/>
      </c>
      <c r="I925" s="14">
        <f>IFERROR((VLOOKUP($A925,'[1]import success seats course'!$A:W,HLOOKUP('[1]Course Totals'!I$4,'[1]import success seats course'!$1:$2,2,FALSE),FALSE)/(VLOOKUP($A925,'[1]import graded seats course pivo'!$A:AG,HLOOKUP('[1]Course Totals'!I$4,'[1]import graded seats course pivo'!$1:$2,2,FALSE),FALSE))),"")</f>
        <v>0.84615384615384615</v>
      </c>
      <c r="J925" s="14">
        <f>IFERROR((VLOOKUP($A925,'[1]import success seats course'!$A:X,HLOOKUP('[1]Course Totals'!J$4,'[1]import success seats course'!$1:$2,2,FALSE),FALSE)/(VLOOKUP($A925,'[1]import graded seats course pivo'!$A:AH,HLOOKUP('[1]Course Totals'!J$4,'[1]import graded seats course pivo'!$1:$2,2,FALSE),FALSE))),"")</f>
        <v>0.89308176100628933</v>
      </c>
      <c r="K925" s="14" t="str">
        <f>IFERROR((VLOOKUP($A925,'[1]import success seats course'!$A:Y,HLOOKUP('[1]Course Totals'!K$4,'[1]import success seats course'!$1:$2,2,FALSE),FALSE)/(VLOOKUP($A925,'[1]import graded seats course pivo'!$A:AI,HLOOKUP('[1]Course Totals'!K$4,'[1]import graded seats course pivo'!$1:$2,2,FALSE),FALSE))),"")</f>
        <v/>
      </c>
      <c r="L925" s="14">
        <f>IFERROR((VLOOKUP($A925,'[1]import success seats course'!$A:Z,HLOOKUP('[1]Course Totals'!L$4,'[1]import success seats course'!$1:$2,2,FALSE),FALSE)/(VLOOKUP($A925,'[1]import graded seats course pivo'!$A:AJ,HLOOKUP('[1]Course Totals'!L$4,'[1]import graded seats course pivo'!$1:$2,2,FALSE),FALSE))),"")</f>
        <v>0.86301369863013699</v>
      </c>
      <c r="M925" s="14">
        <f>IFERROR((VLOOKUP($A925,'[1]import success seats course'!$A:AA,HLOOKUP('[1]Course Totals'!M$4,'[1]import success seats course'!$1:$2,2,FALSE),FALSE)/(VLOOKUP($A925,'[1]import graded seats course pivo'!$A:AK,HLOOKUP('[1]Course Totals'!M$4,'[1]import graded seats course pivo'!$1:$2,2,FALSE),FALSE))),"")</f>
        <v>0.8571428571428571</v>
      </c>
      <c r="N925" s="14" t="str">
        <f>IFERROR((VLOOKUP($A925,'[1]import success seats course'!$A:AB,HLOOKUP('[1]Course Totals'!N$4,'[1]import success seats course'!$1:$2,2,FALSE),FALSE)/(VLOOKUP($A925,'[1]import graded seats course pivo'!$A:AL,HLOOKUP('[1]Course Totals'!N$4,'[1]import graded seats course pivo'!$1:$2,2,FALSE),FALSE))),"")</f>
        <v/>
      </c>
      <c r="O925" s="14">
        <f>IFERROR((VLOOKUP($A925,'[1]import success seats course'!$A:AC,HLOOKUP('[1]Course Totals'!O$4,'[1]import success seats course'!$1:$2,2,FALSE),FALSE)/(VLOOKUP($A925,'[1]import graded seats course pivo'!$A:AM,HLOOKUP('[1]Course Totals'!O$4,'[1]import graded seats course pivo'!$1:$2,2,FALSE),FALSE))),"")</f>
        <v>0.79194630872483218</v>
      </c>
      <c r="P925" s="14">
        <f>IFERROR((VLOOKUP($A925,'[1]import success seats course'!$A:AD,HLOOKUP('[1]Course Totals'!P$4,'[1]import success seats course'!$1:$2,2,FALSE),FALSE)/(VLOOKUP($A925,'[1]import graded seats course pivo'!$A:AN,HLOOKUP('[1]Course Totals'!P$4,'[1]import graded seats course pivo'!$1:$2,2,FALSE),FALSE))),"")</f>
        <v>0.8413793103448276</v>
      </c>
      <c r="Q925" s="14" t="str">
        <f>IFERROR((VLOOKUP($A925,'[1]import success seats course'!$A:AE,HLOOKUP('[1]Course Totals'!Q$4,'[1]import success seats course'!$1:$2,2,FALSE),FALSE)/(VLOOKUP($A925,'[1]import graded seats course pivo'!$A:AO,HLOOKUP('[1]Course Totals'!Q$4,'[1]import graded seats course pivo'!$1:$2,2,FALSE),FALSE))),"")</f>
        <v/>
      </c>
      <c r="R925" s="14">
        <f>IFERROR((VLOOKUP($A925,'[1]import success seats course'!$A:AF,HLOOKUP('[1]Course Totals'!R$4,'[1]import success seats course'!$1:$2,2,FALSE),FALSE)/(VLOOKUP($A925,'[1]import graded seats course pivo'!$A:AP,HLOOKUP('[1]Course Totals'!R$4,'[1]import graded seats course pivo'!$1:$2,2,FALSE),FALSE))),"")</f>
        <v>0.87394957983193278</v>
      </c>
      <c r="S925" s="14" t="str">
        <f>IFERROR((VLOOKUP($A925,'[1]import success seats course'!$A:AG,HLOOKUP('[1]Course Totals'!S$4,'[1]import success seats course'!$1:$2,2,FALSE),FALSE)/(VLOOKUP($A925,'[1]import graded seats course pivo'!$A:AQ,HLOOKUP('[1]Course Totals'!S$4,'[1]import graded seats course pivo'!$1:$2,2,FALSE),FALSE))),"")</f>
        <v/>
      </c>
      <c r="Z925" s="7"/>
      <c r="AA925" s="7"/>
      <c r="AB925" s="7"/>
      <c r="AC925" s="7"/>
    </row>
    <row r="926" spans="1:29" ht="15.75" hidden="1" customHeight="1" x14ac:dyDescent="0.25">
      <c r="A926" s="12" t="s">
        <v>808</v>
      </c>
      <c r="B926" s="14" t="str">
        <f>IFERROR((VLOOKUP($A926,'[1]import success seats course'!$A:P,HLOOKUP('[1]Course Totals'!B$4,'[1]import success seats course'!$1:$2,2,FALSE),FALSE)/(VLOOKUP($A926,'[1]import graded seats course pivo'!$A:Z,HLOOKUP('[1]Course Totals'!B$4,'[1]import graded seats course pivo'!$1:$2,2,FALSE),FALSE))),"")</f>
        <v/>
      </c>
      <c r="C926" s="14" t="str">
        <f>IFERROR((VLOOKUP($A926,'[1]import success seats course'!$A:Q,HLOOKUP('[1]Course Totals'!C$4,'[1]import success seats course'!$1:$2,2,FALSE),FALSE)/(VLOOKUP($A926,'[1]import graded seats course pivo'!$A:AA,HLOOKUP('[1]Course Totals'!C$4,'[1]import graded seats course pivo'!$1:$2,2,FALSE),FALSE))),"")</f>
        <v/>
      </c>
      <c r="D926" s="14" t="str">
        <f>IFERROR((VLOOKUP($A926,'[1]import success seats course'!$A:R,HLOOKUP('[1]Course Totals'!D$4,'[1]import success seats course'!$1:$2,2,FALSE),FALSE)/(VLOOKUP($A926,'[1]import graded seats course pivo'!$A:AB,HLOOKUP('[1]Course Totals'!D$4,'[1]import graded seats course pivo'!$1:$2,2,FALSE),FALSE))),"")</f>
        <v/>
      </c>
      <c r="E926" s="14" t="str">
        <f>IFERROR((VLOOKUP($A926,'[1]import success seats course'!$A:S,HLOOKUP('[1]Course Totals'!E$4,'[1]import success seats course'!$1:$2,2,FALSE),FALSE)/(VLOOKUP($A926,'[1]import graded seats course pivo'!$A:AC,HLOOKUP('[1]Course Totals'!E$4,'[1]import graded seats course pivo'!$1:$2,2,FALSE),FALSE))),"")</f>
        <v/>
      </c>
      <c r="F926" s="14" t="str">
        <f>IFERROR((VLOOKUP($A926,'[1]import success seats course'!$A:T,HLOOKUP('[1]Course Totals'!F$4,'[1]import success seats course'!$1:$2,2,FALSE),FALSE)/(VLOOKUP($A926,'[1]import graded seats course pivo'!$A:AD,HLOOKUP('[1]Course Totals'!F$4,'[1]import graded seats course pivo'!$1:$2,2,FALSE),FALSE))),"")</f>
        <v/>
      </c>
      <c r="G926" s="14" t="str">
        <f>IFERROR((VLOOKUP($A926,'[1]import success seats course'!$A:U,HLOOKUP('[1]Course Totals'!G$4,'[1]import success seats course'!$1:$2,2,FALSE),FALSE)/(VLOOKUP($A926,'[1]import graded seats course pivo'!$A:AE,HLOOKUP('[1]Course Totals'!G$4,'[1]import graded seats course pivo'!$1:$2,2,FALSE),FALSE))),"")</f>
        <v/>
      </c>
      <c r="H926" s="14" t="str">
        <f>IFERROR((VLOOKUP($A926,'[1]import success seats course'!$A:V,HLOOKUP('[1]Course Totals'!H$4,'[1]import success seats course'!$1:$2,2,FALSE),FALSE)/(VLOOKUP($A926,'[1]import graded seats course pivo'!$A:AF,HLOOKUP('[1]Course Totals'!H$4,'[1]import graded seats course pivo'!$1:$2,2,FALSE),FALSE))),"")</f>
        <v/>
      </c>
      <c r="I926" s="14" t="str">
        <f>IFERROR((VLOOKUP($A926,'[1]import success seats course'!$A:W,HLOOKUP('[1]Course Totals'!I$4,'[1]import success seats course'!$1:$2,2,FALSE),FALSE)/(VLOOKUP($A926,'[1]import graded seats course pivo'!$A:AG,HLOOKUP('[1]Course Totals'!I$4,'[1]import graded seats course pivo'!$1:$2,2,FALSE),FALSE))),"")</f>
        <v/>
      </c>
      <c r="J926" s="14" t="str">
        <f>IFERROR((VLOOKUP($A926,'[1]import success seats course'!$A:X,HLOOKUP('[1]Course Totals'!J$4,'[1]import success seats course'!$1:$2,2,FALSE),FALSE)/(VLOOKUP($A926,'[1]import graded seats course pivo'!$A:AH,HLOOKUP('[1]Course Totals'!J$4,'[1]import graded seats course pivo'!$1:$2,2,FALSE),FALSE))),"")</f>
        <v/>
      </c>
      <c r="K926" s="14" t="str">
        <f>IFERROR((VLOOKUP($A926,'[1]import success seats course'!$A:Y,HLOOKUP('[1]Course Totals'!K$4,'[1]import success seats course'!$1:$2,2,FALSE),FALSE)/(VLOOKUP($A926,'[1]import graded seats course pivo'!$A:AI,HLOOKUP('[1]Course Totals'!K$4,'[1]import graded seats course pivo'!$1:$2,2,FALSE),FALSE))),"")</f>
        <v/>
      </c>
      <c r="L926" s="14" t="str">
        <f>IFERROR((VLOOKUP($A926,'[1]import success seats course'!$A:Z,HLOOKUP('[1]Course Totals'!L$4,'[1]import success seats course'!$1:$2,2,FALSE),FALSE)/(VLOOKUP($A926,'[1]import graded seats course pivo'!$A:AJ,HLOOKUP('[1]Course Totals'!L$4,'[1]import graded seats course pivo'!$1:$2,2,FALSE),FALSE))),"")</f>
        <v/>
      </c>
      <c r="M926" s="14" t="str">
        <f>IFERROR((VLOOKUP($A926,'[1]import success seats course'!$A:AA,HLOOKUP('[1]Course Totals'!M$4,'[1]import success seats course'!$1:$2,2,FALSE),FALSE)/(VLOOKUP($A926,'[1]import graded seats course pivo'!$A:AK,HLOOKUP('[1]Course Totals'!M$4,'[1]import graded seats course pivo'!$1:$2,2,FALSE),FALSE))),"")</f>
        <v/>
      </c>
      <c r="N926" s="14" t="str">
        <f>IFERROR((VLOOKUP($A926,'[1]import success seats course'!$A:AB,HLOOKUP('[1]Course Totals'!N$4,'[1]import success seats course'!$1:$2,2,FALSE),FALSE)/(VLOOKUP($A926,'[1]import graded seats course pivo'!$A:AL,HLOOKUP('[1]Course Totals'!N$4,'[1]import graded seats course pivo'!$1:$2,2,FALSE),FALSE))),"")</f>
        <v/>
      </c>
      <c r="O926" s="14" t="str">
        <f>IFERROR((VLOOKUP($A926,'[1]import success seats course'!$A:AC,HLOOKUP('[1]Course Totals'!O$4,'[1]import success seats course'!$1:$2,2,FALSE),FALSE)/(VLOOKUP($A926,'[1]import graded seats course pivo'!$A:AM,HLOOKUP('[1]Course Totals'!O$4,'[1]import graded seats course pivo'!$1:$2,2,FALSE),FALSE))),"")</f>
        <v/>
      </c>
      <c r="P926" s="14" t="str">
        <f>IFERROR((VLOOKUP($A926,'[1]import success seats course'!$A:AD,HLOOKUP('[1]Course Totals'!P$4,'[1]import success seats course'!$1:$2,2,FALSE),FALSE)/(VLOOKUP($A926,'[1]import graded seats course pivo'!$A:AN,HLOOKUP('[1]Course Totals'!P$4,'[1]import graded seats course pivo'!$1:$2,2,FALSE),FALSE))),"")</f>
        <v/>
      </c>
      <c r="Q926" s="14" t="str">
        <f>IFERROR((VLOOKUP($A926,'[1]import success seats course'!$A:AE,HLOOKUP('[1]Course Totals'!Q$4,'[1]import success seats course'!$1:$2,2,FALSE),FALSE)/(VLOOKUP($A926,'[1]import graded seats course pivo'!$A:AO,HLOOKUP('[1]Course Totals'!Q$4,'[1]import graded seats course pivo'!$1:$2,2,FALSE),FALSE))),"")</f>
        <v/>
      </c>
      <c r="R926" s="14" t="str">
        <f>IFERROR((VLOOKUP($A926,'[1]import success seats course'!$A:AF,HLOOKUP('[1]Course Totals'!R$4,'[1]import success seats course'!$1:$2,2,FALSE),FALSE)/(VLOOKUP($A926,'[1]import graded seats course pivo'!$A:AP,HLOOKUP('[1]Course Totals'!R$4,'[1]import graded seats course pivo'!$1:$2,2,FALSE),FALSE))),"")</f>
        <v/>
      </c>
      <c r="S926" s="14" t="str">
        <f>IFERROR((VLOOKUP($A926,'[1]import success seats course'!$A:AG,HLOOKUP('[1]Course Totals'!S$4,'[1]import success seats course'!$1:$2,2,FALSE),FALSE)/(VLOOKUP($A926,'[1]import graded seats course pivo'!$A:AQ,HLOOKUP('[1]Course Totals'!S$4,'[1]import graded seats course pivo'!$1:$2,2,FALSE),FALSE))),"")</f>
        <v/>
      </c>
      <c r="Z926" s="7"/>
      <c r="AA926" s="7"/>
      <c r="AB926" s="7"/>
      <c r="AC926" s="7"/>
    </row>
    <row r="927" spans="1:29" ht="15.75" customHeight="1" x14ac:dyDescent="0.25">
      <c r="A927" s="12" t="s">
        <v>938</v>
      </c>
      <c r="B927" s="14" t="str">
        <f>IFERROR((VLOOKUP($A927,'[1]import success seats course'!$A:P,HLOOKUP('[1]Course Totals'!B$4,'[1]import success seats course'!$1:$2,2,FALSE),FALSE)/(VLOOKUP($A927,'[1]import graded seats course pivo'!$A:Z,HLOOKUP('[1]Course Totals'!B$4,'[1]import graded seats course pivo'!$1:$2,2,FALSE),FALSE))),"")</f>
        <v/>
      </c>
      <c r="C927" s="14" t="str">
        <f>IFERROR((VLOOKUP($A927,'[1]import success seats course'!$A:Q,HLOOKUP('[1]Course Totals'!C$4,'[1]import success seats course'!$1:$2,2,FALSE),FALSE)/(VLOOKUP($A927,'[1]import graded seats course pivo'!$A:AA,HLOOKUP('[1]Course Totals'!C$4,'[1]import graded seats course pivo'!$1:$2,2,FALSE),FALSE))),"")</f>
        <v/>
      </c>
      <c r="D927" s="14">
        <f>IFERROR((VLOOKUP($A927,'[1]import success seats course'!$A:R,HLOOKUP('[1]Course Totals'!D$4,'[1]import success seats course'!$1:$2,2,FALSE),FALSE)/(VLOOKUP($A927,'[1]import graded seats course pivo'!$A:AB,HLOOKUP('[1]Course Totals'!D$4,'[1]import graded seats course pivo'!$1:$2,2,FALSE),FALSE))),"")</f>
        <v>1</v>
      </c>
      <c r="E927" s="14" t="str">
        <f>IFERROR((VLOOKUP($A927,'[1]import success seats course'!$A:S,HLOOKUP('[1]Course Totals'!E$4,'[1]import success seats course'!$1:$2,2,FALSE),FALSE)/(VLOOKUP($A927,'[1]import graded seats course pivo'!$A:AC,HLOOKUP('[1]Course Totals'!E$4,'[1]import graded seats course pivo'!$1:$2,2,FALSE),FALSE))),"")</f>
        <v/>
      </c>
      <c r="F927" s="14" t="str">
        <f>IFERROR((VLOOKUP($A927,'[1]import success seats course'!$A:T,HLOOKUP('[1]Course Totals'!F$4,'[1]import success seats course'!$1:$2,2,FALSE),FALSE)/(VLOOKUP($A927,'[1]import graded seats course pivo'!$A:AD,HLOOKUP('[1]Course Totals'!F$4,'[1]import graded seats course pivo'!$1:$2,2,FALSE),FALSE))),"")</f>
        <v/>
      </c>
      <c r="G927" s="14" t="str">
        <f>IFERROR((VLOOKUP($A927,'[1]import success seats course'!$A:U,HLOOKUP('[1]Course Totals'!G$4,'[1]import success seats course'!$1:$2,2,FALSE),FALSE)/(VLOOKUP($A927,'[1]import graded seats course pivo'!$A:AE,HLOOKUP('[1]Course Totals'!G$4,'[1]import graded seats course pivo'!$1:$2,2,FALSE),FALSE))),"")</f>
        <v/>
      </c>
      <c r="H927" s="14" t="str">
        <f>IFERROR((VLOOKUP($A927,'[1]import success seats course'!$A:V,HLOOKUP('[1]Course Totals'!H$4,'[1]import success seats course'!$1:$2,2,FALSE),FALSE)/(VLOOKUP($A927,'[1]import graded seats course pivo'!$A:AF,HLOOKUP('[1]Course Totals'!H$4,'[1]import graded seats course pivo'!$1:$2,2,FALSE),FALSE))),"")</f>
        <v/>
      </c>
      <c r="I927" s="14" t="str">
        <f>IFERROR((VLOOKUP($A927,'[1]import success seats course'!$A:W,HLOOKUP('[1]Course Totals'!I$4,'[1]import success seats course'!$1:$2,2,FALSE),FALSE)/(VLOOKUP($A927,'[1]import graded seats course pivo'!$A:AG,HLOOKUP('[1]Course Totals'!I$4,'[1]import graded seats course pivo'!$1:$2,2,FALSE),FALSE))),"")</f>
        <v/>
      </c>
      <c r="J927" s="14" t="str">
        <f>IFERROR((VLOOKUP($A927,'[1]import success seats course'!$A:X,HLOOKUP('[1]Course Totals'!J$4,'[1]import success seats course'!$1:$2,2,FALSE),FALSE)/(VLOOKUP($A927,'[1]import graded seats course pivo'!$A:AH,HLOOKUP('[1]Course Totals'!J$4,'[1]import graded seats course pivo'!$1:$2,2,FALSE),FALSE))),"")</f>
        <v/>
      </c>
      <c r="K927" s="14" t="str">
        <f>IFERROR((VLOOKUP($A927,'[1]import success seats course'!$A:Y,HLOOKUP('[1]Course Totals'!K$4,'[1]import success seats course'!$1:$2,2,FALSE),FALSE)/(VLOOKUP($A927,'[1]import graded seats course pivo'!$A:AI,HLOOKUP('[1]Course Totals'!K$4,'[1]import graded seats course pivo'!$1:$2,2,FALSE),FALSE))),"")</f>
        <v/>
      </c>
      <c r="L927" s="14" t="str">
        <f>IFERROR((VLOOKUP($A927,'[1]import success seats course'!$A:Z,HLOOKUP('[1]Course Totals'!L$4,'[1]import success seats course'!$1:$2,2,FALSE),FALSE)/(VLOOKUP($A927,'[1]import graded seats course pivo'!$A:AJ,HLOOKUP('[1]Course Totals'!L$4,'[1]import graded seats course pivo'!$1:$2,2,FALSE),FALSE))),"")</f>
        <v/>
      </c>
      <c r="M927" s="14">
        <f>IFERROR((VLOOKUP($A927,'[1]import success seats course'!$A:AA,HLOOKUP('[1]Course Totals'!M$4,'[1]import success seats course'!$1:$2,2,FALSE),FALSE)/(VLOOKUP($A927,'[1]import graded seats course pivo'!$A:AK,HLOOKUP('[1]Course Totals'!M$4,'[1]import graded seats course pivo'!$1:$2,2,FALSE),FALSE))),"")</f>
        <v>1</v>
      </c>
      <c r="N927" s="14" t="str">
        <f>IFERROR((VLOOKUP($A927,'[1]import success seats course'!$A:AB,HLOOKUP('[1]Course Totals'!N$4,'[1]import success seats course'!$1:$2,2,FALSE),FALSE)/(VLOOKUP($A927,'[1]import graded seats course pivo'!$A:AL,HLOOKUP('[1]Course Totals'!N$4,'[1]import graded seats course pivo'!$1:$2,2,FALSE),FALSE))),"")</f>
        <v/>
      </c>
      <c r="O927" s="14" t="str">
        <f>IFERROR((VLOOKUP($A927,'[1]import success seats course'!$A:AC,HLOOKUP('[1]Course Totals'!O$4,'[1]import success seats course'!$1:$2,2,FALSE),FALSE)/(VLOOKUP($A927,'[1]import graded seats course pivo'!$A:AM,HLOOKUP('[1]Course Totals'!O$4,'[1]import graded seats course pivo'!$1:$2,2,FALSE),FALSE))),"")</f>
        <v/>
      </c>
      <c r="P927" s="14">
        <f>IFERROR((VLOOKUP($A927,'[1]import success seats course'!$A:AD,HLOOKUP('[1]Course Totals'!P$4,'[1]import success seats course'!$1:$2,2,FALSE),FALSE)/(VLOOKUP($A927,'[1]import graded seats course pivo'!$A:AN,HLOOKUP('[1]Course Totals'!P$4,'[1]import graded seats course pivo'!$1:$2,2,FALSE),FALSE))),"")</f>
        <v>1</v>
      </c>
      <c r="Q927" s="14" t="str">
        <f>IFERROR((VLOOKUP($A927,'[1]import success seats course'!$A:AE,HLOOKUP('[1]Course Totals'!Q$4,'[1]import success seats course'!$1:$2,2,FALSE),FALSE)/(VLOOKUP($A927,'[1]import graded seats course pivo'!$A:AO,HLOOKUP('[1]Course Totals'!Q$4,'[1]import graded seats course pivo'!$1:$2,2,FALSE),FALSE))),"")</f>
        <v/>
      </c>
      <c r="R927" s="14" t="str">
        <f>IFERROR((VLOOKUP($A927,'[1]import success seats course'!$A:AF,HLOOKUP('[1]Course Totals'!R$4,'[1]import success seats course'!$1:$2,2,FALSE),FALSE)/(VLOOKUP($A927,'[1]import graded seats course pivo'!$A:AP,HLOOKUP('[1]Course Totals'!R$4,'[1]import graded seats course pivo'!$1:$2,2,FALSE),FALSE))),"")</f>
        <v/>
      </c>
      <c r="S927" s="14" t="str">
        <f>IFERROR((VLOOKUP($A927,'[1]import success seats course'!$A:AG,HLOOKUP('[1]Course Totals'!S$4,'[1]import success seats course'!$1:$2,2,FALSE),FALSE)/(VLOOKUP($A927,'[1]import graded seats course pivo'!$A:AQ,HLOOKUP('[1]Course Totals'!S$4,'[1]import graded seats course pivo'!$1:$2,2,FALSE),FALSE))),"")</f>
        <v/>
      </c>
      <c r="Z927" s="7"/>
      <c r="AA927" s="7"/>
      <c r="AB927" s="7"/>
      <c r="AC927" s="7"/>
    </row>
    <row r="928" spans="1:29" ht="15.75" customHeight="1" x14ac:dyDescent="0.25">
      <c r="A928" s="12" t="s">
        <v>443</v>
      </c>
      <c r="B928" s="14" t="str">
        <f>IFERROR((VLOOKUP($A928,'[1]import success seats course'!$A:P,HLOOKUP('[1]Course Totals'!B$4,'[1]import success seats course'!$1:$2,2,FALSE),FALSE)/(VLOOKUP($A928,'[1]import graded seats course pivo'!$A:Z,HLOOKUP('[1]Course Totals'!B$4,'[1]import graded seats course pivo'!$1:$2,2,FALSE),FALSE))),"")</f>
        <v/>
      </c>
      <c r="C928" s="14">
        <f>IFERROR((VLOOKUP($A928,'[1]import success seats course'!$A:Q,HLOOKUP('[1]Course Totals'!C$4,'[1]import success seats course'!$1:$2,2,FALSE),FALSE)/(VLOOKUP($A928,'[1]import graded seats course pivo'!$A:AA,HLOOKUP('[1]Course Totals'!C$4,'[1]import graded seats course pivo'!$1:$2,2,FALSE),FALSE))),"")</f>
        <v>0.7142857142857143</v>
      </c>
      <c r="D928" s="14">
        <f>IFERROR((VLOOKUP($A928,'[1]import success seats course'!$A:R,HLOOKUP('[1]Course Totals'!D$4,'[1]import success seats course'!$1:$2,2,FALSE),FALSE)/(VLOOKUP($A928,'[1]import graded seats course pivo'!$A:AB,HLOOKUP('[1]Course Totals'!D$4,'[1]import graded seats course pivo'!$1:$2,2,FALSE),FALSE))),"")</f>
        <v>0.8</v>
      </c>
      <c r="E928" s="14" t="str">
        <f>IFERROR((VLOOKUP($A928,'[1]import success seats course'!$A:S,HLOOKUP('[1]Course Totals'!E$4,'[1]import success seats course'!$1:$2,2,FALSE),FALSE)/(VLOOKUP($A928,'[1]import graded seats course pivo'!$A:AC,HLOOKUP('[1]Course Totals'!E$4,'[1]import graded seats course pivo'!$1:$2,2,FALSE),FALSE))),"")</f>
        <v/>
      </c>
      <c r="F928" s="14">
        <f>IFERROR((VLOOKUP($A928,'[1]import success seats course'!$A:T,HLOOKUP('[1]Course Totals'!F$4,'[1]import success seats course'!$1:$2,2,FALSE),FALSE)/(VLOOKUP($A928,'[1]import graded seats course pivo'!$A:AD,HLOOKUP('[1]Course Totals'!F$4,'[1]import graded seats course pivo'!$1:$2,2,FALSE),FALSE))),"")</f>
        <v>0.58333333333333337</v>
      </c>
      <c r="G928" s="14">
        <f>IFERROR((VLOOKUP($A928,'[1]import success seats course'!$A:U,HLOOKUP('[1]Course Totals'!G$4,'[1]import success seats course'!$1:$2,2,FALSE),FALSE)/(VLOOKUP($A928,'[1]import graded seats course pivo'!$A:AE,HLOOKUP('[1]Course Totals'!G$4,'[1]import graded seats course pivo'!$1:$2,2,FALSE),FALSE))),"")</f>
        <v>0.59259259259259256</v>
      </c>
      <c r="H928" s="14" t="str">
        <f>IFERROR((VLOOKUP($A928,'[1]import success seats course'!$A:V,HLOOKUP('[1]Course Totals'!H$4,'[1]import success seats course'!$1:$2,2,FALSE),FALSE)/(VLOOKUP($A928,'[1]import graded seats course pivo'!$A:AF,HLOOKUP('[1]Course Totals'!H$4,'[1]import graded seats course pivo'!$1:$2,2,FALSE),FALSE))),"")</f>
        <v/>
      </c>
      <c r="I928" s="14">
        <f>IFERROR((VLOOKUP($A928,'[1]import success seats course'!$A:W,HLOOKUP('[1]Course Totals'!I$4,'[1]import success seats course'!$1:$2,2,FALSE),FALSE)/(VLOOKUP($A928,'[1]import graded seats course pivo'!$A:AG,HLOOKUP('[1]Course Totals'!I$4,'[1]import graded seats course pivo'!$1:$2,2,FALSE),FALSE))),"")</f>
        <v>0.76</v>
      </c>
      <c r="J928" s="14">
        <f>IFERROR((VLOOKUP($A928,'[1]import success seats course'!$A:X,HLOOKUP('[1]Course Totals'!J$4,'[1]import success seats course'!$1:$2,2,FALSE),FALSE)/(VLOOKUP($A928,'[1]import graded seats course pivo'!$A:AH,HLOOKUP('[1]Course Totals'!J$4,'[1]import graded seats course pivo'!$1:$2,2,FALSE),FALSE))),"")</f>
        <v>0.5</v>
      </c>
      <c r="K928" s="14" t="str">
        <f>IFERROR((VLOOKUP($A928,'[1]import success seats course'!$A:Y,HLOOKUP('[1]Course Totals'!K$4,'[1]import success seats course'!$1:$2,2,FALSE),FALSE)/(VLOOKUP($A928,'[1]import graded seats course pivo'!$A:AI,HLOOKUP('[1]Course Totals'!K$4,'[1]import graded seats course pivo'!$1:$2,2,FALSE),FALSE))),"")</f>
        <v/>
      </c>
      <c r="L928" s="14">
        <f>IFERROR((VLOOKUP($A928,'[1]import success seats course'!$A:Z,HLOOKUP('[1]Course Totals'!L$4,'[1]import success seats course'!$1:$2,2,FALSE),FALSE)/(VLOOKUP($A928,'[1]import graded seats course pivo'!$A:AJ,HLOOKUP('[1]Course Totals'!L$4,'[1]import graded seats course pivo'!$1:$2,2,FALSE),FALSE))),"")</f>
        <v>0.83333333333333337</v>
      </c>
      <c r="M928" s="14">
        <f>IFERROR((VLOOKUP($A928,'[1]import success seats course'!$A:AA,HLOOKUP('[1]Course Totals'!M$4,'[1]import success seats course'!$1:$2,2,FALSE),FALSE)/(VLOOKUP($A928,'[1]import graded seats course pivo'!$A:AK,HLOOKUP('[1]Course Totals'!M$4,'[1]import graded seats course pivo'!$1:$2,2,FALSE),FALSE))),"")</f>
        <v>0.75</v>
      </c>
      <c r="N928" s="14" t="str">
        <f>IFERROR((VLOOKUP($A928,'[1]import success seats course'!$A:AB,HLOOKUP('[1]Course Totals'!N$4,'[1]import success seats course'!$1:$2,2,FALSE),FALSE)/(VLOOKUP($A928,'[1]import graded seats course pivo'!$A:AL,HLOOKUP('[1]Course Totals'!N$4,'[1]import graded seats course pivo'!$1:$2,2,FALSE),FALSE))),"")</f>
        <v/>
      </c>
      <c r="O928" s="14">
        <f>IFERROR((VLOOKUP($A928,'[1]import success seats course'!$A:AC,HLOOKUP('[1]Course Totals'!O$4,'[1]import success seats course'!$1:$2,2,FALSE),FALSE)/(VLOOKUP($A928,'[1]import graded seats course pivo'!$A:AM,HLOOKUP('[1]Course Totals'!O$4,'[1]import graded seats course pivo'!$1:$2,2,FALSE),FALSE))),"")</f>
        <v>0.6875</v>
      </c>
      <c r="P928" s="14">
        <f>IFERROR((VLOOKUP($A928,'[1]import success seats course'!$A:AD,HLOOKUP('[1]Course Totals'!P$4,'[1]import success seats course'!$1:$2,2,FALSE),FALSE)/(VLOOKUP($A928,'[1]import graded seats course pivo'!$A:AN,HLOOKUP('[1]Course Totals'!P$4,'[1]import graded seats course pivo'!$1:$2,2,FALSE),FALSE))),"")</f>
        <v>0.75862068965517238</v>
      </c>
      <c r="Q928" s="14" t="str">
        <f>IFERROR((VLOOKUP($A928,'[1]import success seats course'!$A:AE,HLOOKUP('[1]Course Totals'!Q$4,'[1]import success seats course'!$1:$2,2,FALSE),FALSE)/(VLOOKUP($A928,'[1]import graded seats course pivo'!$A:AO,HLOOKUP('[1]Course Totals'!Q$4,'[1]import graded seats course pivo'!$1:$2,2,FALSE),FALSE))),"")</f>
        <v/>
      </c>
      <c r="R928" s="14">
        <f>IFERROR((VLOOKUP($A928,'[1]import success seats course'!$A:AF,HLOOKUP('[1]Course Totals'!R$4,'[1]import success seats course'!$1:$2,2,FALSE),FALSE)/(VLOOKUP($A928,'[1]import graded seats course pivo'!$A:AP,HLOOKUP('[1]Course Totals'!R$4,'[1]import graded seats course pivo'!$1:$2,2,FALSE),FALSE))),"")</f>
        <v>0.8214285714285714</v>
      </c>
      <c r="S928" s="14" t="str">
        <f>IFERROR((VLOOKUP($A928,'[1]import success seats course'!$A:AG,HLOOKUP('[1]Course Totals'!S$4,'[1]import success seats course'!$1:$2,2,FALSE),FALSE)/(VLOOKUP($A928,'[1]import graded seats course pivo'!$A:AQ,HLOOKUP('[1]Course Totals'!S$4,'[1]import graded seats course pivo'!$1:$2,2,FALSE),FALSE))),"")</f>
        <v/>
      </c>
      <c r="Z928" s="7"/>
      <c r="AA928" s="7"/>
      <c r="AB928" s="7"/>
      <c r="AC928" s="7"/>
    </row>
    <row r="929" spans="1:29" ht="15.75" customHeight="1" x14ac:dyDescent="0.25">
      <c r="A929" s="12" t="s">
        <v>444</v>
      </c>
      <c r="B929" s="14" t="str">
        <f>IFERROR((VLOOKUP($A929,'[1]import success seats course'!$A:P,HLOOKUP('[1]Course Totals'!B$4,'[1]import success seats course'!$1:$2,2,FALSE),FALSE)/(VLOOKUP($A929,'[1]import graded seats course pivo'!$A:Z,HLOOKUP('[1]Course Totals'!B$4,'[1]import graded seats course pivo'!$1:$2,2,FALSE),FALSE))),"")</f>
        <v/>
      </c>
      <c r="C929" s="14">
        <f>IFERROR((VLOOKUP($A929,'[1]import success seats course'!$A:Q,HLOOKUP('[1]Course Totals'!C$4,'[1]import success seats course'!$1:$2,2,FALSE),FALSE)/(VLOOKUP($A929,'[1]import graded seats course pivo'!$A:AA,HLOOKUP('[1]Course Totals'!C$4,'[1]import graded seats course pivo'!$1:$2,2,FALSE),FALSE))),"")</f>
        <v>0.88888888888888884</v>
      </c>
      <c r="D929" s="14">
        <f>IFERROR((VLOOKUP($A929,'[1]import success seats course'!$A:R,HLOOKUP('[1]Course Totals'!D$4,'[1]import success seats course'!$1:$2,2,FALSE),FALSE)/(VLOOKUP($A929,'[1]import graded seats course pivo'!$A:AB,HLOOKUP('[1]Course Totals'!D$4,'[1]import graded seats course pivo'!$1:$2,2,FALSE),FALSE))),"")</f>
        <v>0.95</v>
      </c>
      <c r="E929" s="14" t="str">
        <f>IFERROR((VLOOKUP($A929,'[1]import success seats course'!$A:S,HLOOKUP('[1]Course Totals'!E$4,'[1]import success seats course'!$1:$2,2,FALSE),FALSE)/(VLOOKUP($A929,'[1]import graded seats course pivo'!$A:AC,HLOOKUP('[1]Course Totals'!E$4,'[1]import graded seats course pivo'!$1:$2,2,FALSE),FALSE))),"")</f>
        <v/>
      </c>
      <c r="F929" s="14">
        <f>IFERROR((VLOOKUP($A929,'[1]import success seats course'!$A:T,HLOOKUP('[1]Course Totals'!F$4,'[1]import success seats course'!$1:$2,2,FALSE),FALSE)/(VLOOKUP($A929,'[1]import graded seats course pivo'!$A:AD,HLOOKUP('[1]Course Totals'!F$4,'[1]import graded seats course pivo'!$1:$2,2,FALSE),FALSE))),"")</f>
        <v>0.72</v>
      </c>
      <c r="G929" s="14">
        <f>IFERROR((VLOOKUP($A929,'[1]import success seats course'!$A:U,HLOOKUP('[1]Course Totals'!G$4,'[1]import success seats course'!$1:$2,2,FALSE),FALSE)/(VLOOKUP($A929,'[1]import graded seats course pivo'!$A:AE,HLOOKUP('[1]Course Totals'!G$4,'[1]import graded seats course pivo'!$1:$2,2,FALSE),FALSE))),"")</f>
        <v>0.88</v>
      </c>
      <c r="H929" s="14" t="str">
        <f>IFERROR((VLOOKUP($A929,'[1]import success seats course'!$A:V,HLOOKUP('[1]Course Totals'!H$4,'[1]import success seats course'!$1:$2,2,FALSE),FALSE)/(VLOOKUP($A929,'[1]import graded seats course pivo'!$A:AF,HLOOKUP('[1]Course Totals'!H$4,'[1]import graded seats course pivo'!$1:$2,2,FALSE),FALSE))),"")</f>
        <v/>
      </c>
      <c r="I929" s="14">
        <f>IFERROR((VLOOKUP($A929,'[1]import success seats course'!$A:W,HLOOKUP('[1]Course Totals'!I$4,'[1]import success seats course'!$1:$2,2,FALSE),FALSE)/(VLOOKUP($A929,'[1]import graded seats course pivo'!$A:AG,HLOOKUP('[1]Course Totals'!I$4,'[1]import graded seats course pivo'!$1:$2,2,FALSE),FALSE))),"")</f>
        <v>0.84375</v>
      </c>
      <c r="J929" s="14">
        <f>IFERROR((VLOOKUP($A929,'[1]import success seats course'!$A:X,HLOOKUP('[1]Course Totals'!J$4,'[1]import success seats course'!$1:$2,2,FALSE),FALSE)/(VLOOKUP($A929,'[1]import graded seats course pivo'!$A:AH,HLOOKUP('[1]Course Totals'!J$4,'[1]import graded seats course pivo'!$1:$2,2,FALSE),FALSE))),"")</f>
        <v>0.8</v>
      </c>
      <c r="K929" s="14" t="str">
        <f>IFERROR((VLOOKUP($A929,'[1]import success seats course'!$A:Y,HLOOKUP('[1]Course Totals'!K$4,'[1]import success seats course'!$1:$2,2,FALSE),FALSE)/(VLOOKUP($A929,'[1]import graded seats course pivo'!$A:AI,HLOOKUP('[1]Course Totals'!K$4,'[1]import graded seats course pivo'!$1:$2,2,FALSE),FALSE))),"")</f>
        <v/>
      </c>
      <c r="L929" s="14" t="str">
        <f>IFERROR((VLOOKUP($A929,'[1]import success seats course'!$A:Z,HLOOKUP('[1]Course Totals'!L$4,'[1]import success seats course'!$1:$2,2,FALSE),FALSE)/(VLOOKUP($A929,'[1]import graded seats course pivo'!$A:AJ,HLOOKUP('[1]Course Totals'!L$4,'[1]import graded seats course pivo'!$1:$2,2,FALSE),FALSE))),"")</f>
        <v/>
      </c>
      <c r="M929" s="14" t="str">
        <f>IFERROR((VLOOKUP($A929,'[1]import success seats course'!$A:AA,HLOOKUP('[1]Course Totals'!M$4,'[1]import success seats course'!$1:$2,2,FALSE),FALSE)/(VLOOKUP($A929,'[1]import graded seats course pivo'!$A:AK,HLOOKUP('[1]Course Totals'!M$4,'[1]import graded seats course pivo'!$1:$2,2,FALSE),FALSE))),"")</f>
        <v/>
      </c>
      <c r="N929" s="14" t="str">
        <f>IFERROR((VLOOKUP($A929,'[1]import success seats course'!$A:AB,HLOOKUP('[1]Course Totals'!N$4,'[1]import success seats course'!$1:$2,2,FALSE),FALSE)/(VLOOKUP($A929,'[1]import graded seats course pivo'!$A:AL,HLOOKUP('[1]Course Totals'!N$4,'[1]import graded seats course pivo'!$1:$2,2,FALSE),FALSE))),"")</f>
        <v/>
      </c>
      <c r="O929" s="14" t="str">
        <f>IFERROR((VLOOKUP($A929,'[1]import success seats course'!$A:AC,HLOOKUP('[1]Course Totals'!O$4,'[1]import success seats course'!$1:$2,2,FALSE),FALSE)/(VLOOKUP($A929,'[1]import graded seats course pivo'!$A:AM,HLOOKUP('[1]Course Totals'!O$4,'[1]import graded seats course pivo'!$1:$2,2,FALSE),FALSE))),"")</f>
        <v/>
      </c>
      <c r="P929" s="14" t="str">
        <f>IFERROR((VLOOKUP($A929,'[1]import success seats course'!$A:AD,HLOOKUP('[1]Course Totals'!P$4,'[1]import success seats course'!$1:$2,2,FALSE),FALSE)/(VLOOKUP($A929,'[1]import graded seats course pivo'!$A:AN,HLOOKUP('[1]Course Totals'!P$4,'[1]import graded seats course pivo'!$1:$2,2,FALSE),FALSE))),"")</f>
        <v/>
      </c>
      <c r="Q929" s="14" t="str">
        <f>IFERROR((VLOOKUP($A929,'[1]import success seats course'!$A:AE,HLOOKUP('[1]Course Totals'!Q$4,'[1]import success seats course'!$1:$2,2,FALSE),FALSE)/(VLOOKUP($A929,'[1]import graded seats course pivo'!$A:AO,HLOOKUP('[1]Course Totals'!Q$4,'[1]import graded seats course pivo'!$1:$2,2,FALSE),FALSE))),"")</f>
        <v/>
      </c>
      <c r="R929" s="14" t="str">
        <f>IFERROR((VLOOKUP($A929,'[1]import success seats course'!$A:AF,HLOOKUP('[1]Course Totals'!R$4,'[1]import success seats course'!$1:$2,2,FALSE),FALSE)/(VLOOKUP($A929,'[1]import graded seats course pivo'!$A:AP,HLOOKUP('[1]Course Totals'!R$4,'[1]import graded seats course pivo'!$1:$2,2,FALSE),FALSE))),"")</f>
        <v/>
      </c>
      <c r="S929" s="14" t="str">
        <f>IFERROR((VLOOKUP($A929,'[1]import success seats course'!$A:AG,HLOOKUP('[1]Course Totals'!S$4,'[1]import success seats course'!$1:$2,2,FALSE),FALSE)/(VLOOKUP($A929,'[1]import graded seats course pivo'!$A:AQ,HLOOKUP('[1]Course Totals'!S$4,'[1]import graded seats course pivo'!$1:$2,2,FALSE),FALSE))),"")</f>
        <v/>
      </c>
      <c r="Z929" s="7"/>
      <c r="AA929" s="7"/>
      <c r="AB929" s="7"/>
      <c r="AC929" s="7"/>
    </row>
    <row r="930" spans="1:29" ht="15.75" hidden="1" customHeight="1" x14ac:dyDescent="0.25">
      <c r="A930" s="12" t="s">
        <v>809</v>
      </c>
      <c r="B930" s="14" t="str">
        <f>IFERROR((VLOOKUP($A930,'[1]import success seats course'!$A:P,HLOOKUP('[1]Course Totals'!B$4,'[1]import success seats course'!$1:$2,2,FALSE),FALSE)/(VLOOKUP($A930,'[1]import graded seats course pivo'!$A:Z,HLOOKUP('[1]Course Totals'!B$4,'[1]import graded seats course pivo'!$1:$2,2,FALSE),FALSE))),"")</f>
        <v/>
      </c>
      <c r="C930" s="14" t="str">
        <f>IFERROR((VLOOKUP($A930,'[1]import success seats course'!$A:Q,HLOOKUP('[1]Course Totals'!C$4,'[1]import success seats course'!$1:$2,2,FALSE),FALSE)/(VLOOKUP($A930,'[1]import graded seats course pivo'!$A:AA,HLOOKUP('[1]Course Totals'!C$4,'[1]import graded seats course pivo'!$1:$2,2,FALSE),FALSE))),"")</f>
        <v/>
      </c>
      <c r="D930" s="14" t="str">
        <f>IFERROR((VLOOKUP($A930,'[1]import success seats course'!$A:R,HLOOKUP('[1]Course Totals'!D$4,'[1]import success seats course'!$1:$2,2,FALSE),FALSE)/(VLOOKUP($A930,'[1]import graded seats course pivo'!$A:AB,HLOOKUP('[1]Course Totals'!D$4,'[1]import graded seats course pivo'!$1:$2,2,FALSE),FALSE))),"")</f>
        <v/>
      </c>
      <c r="E930" s="14" t="str">
        <f>IFERROR((VLOOKUP($A930,'[1]import success seats course'!$A:S,HLOOKUP('[1]Course Totals'!E$4,'[1]import success seats course'!$1:$2,2,FALSE),FALSE)/(VLOOKUP($A930,'[1]import graded seats course pivo'!$A:AC,HLOOKUP('[1]Course Totals'!E$4,'[1]import graded seats course pivo'!$1:$2,2,FALSE),FALSE))),"")</f>
        <v/>
      </c>
      <c r="F930" s="14" t="str">
        <f>IFERROR((VLOOKUP($A930,'[1]import success seats course'!$A:T,HLOOKUP('[1]Course Totals'!F$4,'[1]import success seats course'!$1:$2,2,FALSE),FALSE)/(VLOOKUP($A930,'[1]import graded seats course pivo'!$A:AD,HLOOKUP('[1]Course Totals'!F$4,'[1]import graded seats course pivo'!$1:$2,2,FALSE),FALSE))),"")</f>
        <v/>
      </c>
      <c r="G930" s="14" t="str">
        <f>IFERROR((VLOOKUP($A930,'[1]import success seats course'!$A:U,HLOOKUP('[1]Course Totals'!G$4,'[1]import success seats course'!$1:$2,2,FALSE),FALSE)/(VLOOKUP($A930,'[1]import graded seats course pivo'!$A:AE,HLOOKUP('[1]Course Totals'!G$4,'[1]import graded seats course pivo'!$1:$2,2,FALSE),FALSE))),"")</f>
        <v/>
      </c>
      <c r="H930" s="14" t="str">
        <f>IFERROR((VLOOKUP($A930,'[1]import success seats course'!$A:V,HLOOKUP('[1]Course Totals'!H$4,'[1]import success seats course'!$1:$2,2,FALSE),FALSE)/(VLOOKUP($A930,'[1]import graded seats course pivo'!$A:AF,HLOOKUP('[1]Course Totals'!H$4,'[1]import graded seats course pivo'!$1:$2,2,FALSE),FALSE))),"")</f>
        <v/>
      </c>
      <c r="I930" s="14" t="str">
        <f>IFERROR((VLOOKUP($A930,'[1]import success seats course'!$A:W,HLOOKUP('[1]Course Totals'!I$4,'[1]import success seats course'!$1:$2,2,FALSE),FALSE)/(VLOOKUP($A930,'[1]import graded seats course pivo'!$A:AG,HLOOKUP('[1]Course Totals'!I$4,'[1]import graded seats course pivo'!$1:$2,2,FALSE),FALSE))),"")</f>
        <v/>
      </c>
      <c r="J930" s="14" t="str">
        <f>IFERROR((VLOOKUP($A930,'[1]import success seats course'!$A:X,HLOOKUP('[1]Course Totals'!J$4,'[1]import success seats course'!$1:$2,2,FALSE),FALSE)/(VLOOKUP($A930,'[1]import graded seats course pivo'!$A:AH,HLOOKUP('[1]Course Totals'!J$4,'[1]import graded seats course pivo'!$1:$2,2,FALSE),FALSE))),"")</f>
        <v/>
      </c>
      <c r="K930" s="14" t="str">
        <f>IFERROR((VLOOKUP($A930,'[1]import success seats course'!$A:Y,HLOOKUP('[1]Course Totals'!K$4,'[1]import success seats course'!$1:$2,2,FALSE),FALSE)/(VLOOKUP($A930,'[1]import graded seats course pivo'!$A:AI,HLOOKUP('[1]Course Totals'!K$4,'[1]import graded seats course pivo'!$1:$2,2,FALSE),FALSE))),"")</f>
        <v/>
      </c>
      <c r="L930" s="14" t="str">
        <f>IFERROR((VLOOKUP($A930,'[1]import success seats course'!$A:Z,HLOOKUP('[1]Course Totals'!L$4,'[1]import success seats course'!$1:$2,2,FALSE),FALSE)/(VLOOKUP($A930,'[1]import graded seats course pivo'!$A:AJ,HLOOKUP('[1]Course Totals'!L$4,'[1]import graded seats course pivo'!$1:$2,2,FALSE),FALSE))),"")</f>
        <v/>
      </c>
      <c r="M930" s="14" t="str">
        <f>IFERROR((VLOOKUP($A930,'[1]import success seats course'!$A:AA,HLOOKUP('[1]Course Totals'!M$4,'[1]import success seats course'!$1:$2,2,FALSE),FALSE)/(VLOOKUP($A930,'[1]import graded seats course pivo'!$A:AK,HLOOKUP('[1]Course Totals'!M$4,'[1]import graded seats course pivo'!$1:$2,2,FALSE),FALSE))),"")</f>
        <v/>
      </c>
      <c r="N930" s="14" t="str">
        <f>IFERROR((VLOOKUP($A930,'[1]import success seats course'!$A:AB,HLOOKUP('[1]Course Totals'!N$4,'[1]import success seats course'!$1:$2,2,FALSE),FALSE)/(VLOOKUP($A930,'[1]import graded seats course pivo'!$A:AL,HLOOKUP('[1]Course Totals'!N$4,'[1]import graded seats course pivo'!$1:$2,2,FALSE),FALSE))),"")</f>
        <v/>
      </c>
      <c r="O930" s="14" t="str">
        <f>IFERROR((VLOOKUP($A930,'[1]import success seats course'!$A:AC,HLOOKUP('[1]Course Totals'!O$4,'[1]import success seats course'!$1:$2,2,FALSE),FALSE)/(VLOOKUP($A930,'[1]import graded seats course pivo'!$A:AM,HLOOKUP('[1]Course Totals'!O$4,'[1]import graded seats course pivo'!$1:$2,2,FALSE),FALSE))),"")</f>
        <v/>
      </c>
      <c r="P930" s="14" t="str">
        <f>IFERROR((VLOOKUP($A930,'[1]import success seats course'!$A:AD,HLOOKUP('[1]Course Totals'!P$4,'[1]import success seats course'!$1:$2,2,FALSE),FALSE)/(VLOOKUP($A930,'[1]import graded seats course pivo'!$A:AN,HLOOKUP('[1]Course Totals'!P$4,'[1]import graded seats course pivo'!$1:$2,2,FALSE),FALSE))),"")</f>
        <v/>
      </c>
      <c r="Q930" s="14" t="str">
        <f>IFERROR((VLOOKUP($A930,'[1]import success seats course'!$A:AE,HLOOKUP('[1]Course Totals'!Q$4,'[1]import success seats course'!$1:$2,2,FALSE),FALSE)/(VLOOKUP($A930,'[1]import graded seats course pivo'!$A:AO,HLOOKUP('[1]Course Totals'!Q$4,'[1]import graded seats course pivo'!$1:$2,2,FALSE),FALSE))),"")</f>
        <v/>
      </c>
      <c r="R930" s="14" t="str">
        <f>IFERROR((VLOOKUP($A930,'[1]import success seats course'!$A:AF,HLOOKUP('[1]Course Totals'!R$4,'[1]import success seats course'!$1:$2,2,FALSE),FALSE)/(VLOOKUP($A930,'[1]import graded seats course pivo'!$A:AP,HLOOKUP('[1]Course Totals'!R$4,'[1]import graded seats course pivo'!$1:$2,2,FALSE),FALSE))),"")</f>
        <v/>
      </c>
      <c r="S930" s="14" t="str">
        <f>IFERROR((VLOOKUP($A930,'[1]import success seats course'!$A:AG,HLOOKUP('[1]Course Totals'!S$4,'[1]import success seats course'!$1:$2,2,FALSE),FALSE)/(VLOOKUP($A930,'[1]import graded seats course pivo'!$A:AQ,HLOOKUP('[1]Course Totals'!S$4,'[1]import graded seats course pivo'!$1:$2,2,FALSE),FALSE))),"")</f>
        <v/>
      </c>
      <c r="Z930" s="7"/>
      <c r="AA930" s="7"/>
      <c r="AB930" s="7"/>
      <c r="AC930" s="7"/>
    </row>
    <row r="931" spans="1:29" ht="15.75" hidden="1" customHeight="1" x14ac:dyDescent="0.25">
      <c r="A931" s="12" t="s">
        <v>810</v>
      </c>
      <c r="B931" s="14" t="str">
        <f>IFERROR((VLOOKUP($A931,'[1]import success seats course'!$A:P,HLOOKUP('[1]Course Totals'!B$4,'[1]import success seats course'!$1:$2,2,FALSE),FALSE)/(VLOOKUP($A931,'[1]import graded seats course pivo'!$A:Z,HLOOKUP('[1]Course Totals'!B$4,'[1]import graded seats course pivo'!$1:$2,2,FALSE),FALSE))),"")</f>
        <v/>
      </c>
      <c r="C931" s="14" t="str">
        <f>IFERROR((VLOOKUP($A931,'[1]import success seats course'!$A:Q,HLOOKUP('[1]Course Totals'!C$4,'[1]import success seats course'!$1:$2,2,FALSE),FALSE)/(VLOOKUP($A931,'[1]import graded seats course pivo'!$A:AA,HLOOKUP('[1]Course Totals'!C$4,'[1]import graded seats course pivo'!$1:$2,2,FALSE),FALSE))),"")</f>
        <v/>
      </c>
      <c r="D931" s="14" t="str">
        <f>IFERROR((VLOOKUP($A931,'[1]import success seats course'!$A:R,HLOOKUP('[1]Course Totals'!D$4,'[1]import success seats course'!$1:$2,2,FALSE),FALSE)/(VLOOKUP($A931,'[1]import graded seats course pivo'!$A:AB,HLOOKUP('[1]Course Totals'!D$4,'[1]import graded seats course pivo'!$1:$2,2,FALSE),FALSE))),"")</f>
        <v/>
      </c>
      <c r="E931" s="14" t="str">
        <f>IFERROR((VLOOKUP($A931,'[1]import success seats course'!$A:S,HLOOKUP('[1]Course Totals'!E$4,'[1]import success seats course'!$1:$2,2,FALSE),FALSE)/(VLOOKUP($A931,'[1]import graded seats course pivo'!$A:AC,HLOOKUP('[1]Course Totals'!E$4,'[1]import graded seats course pivo'!$1:$2,2,FALSE),FALSE))),"")</f>
        <v/>
      </c>
      <c r="F931" s="14" t="str">
        <f>IFERROR((VLOOKUP($A931,'[1]import success seats course'!$A:T,HLOOKUP('[1]Course Totals'!F$4,'[1]import success seats course'!$1:$2,2,FALSE),FALSE)/(VLOOKUP($A931,'[1]import graded seats course pivo'!$A:AD,HLOOKUP('[1]Course Totals'!F$4,'[1]import graded seats course pivo'!$1:$2,2,FALSE),FALSE))),"")</f>
        <v/>
      </c>
      <c r="G931" s="14" t="str">
        <f>IFERROR((VLOOKUP($A931,'[1]import success seats course'!$A:U,HLOOKUP('[1]Course Totals'!G$4,'[1]import success seats course'!$1:$2,2,FALSE),FALSE)/(VLOOKUP($A931,'[1]import graded seats course pivo'!$A:AE,HLOOKUP('[1]Course Totals'!G$4,'[1]import graded seats course pivo'!$1:$2,2,FALSE),FALSE))),"")</f>
        <v/>
      </c>
      <c r="H931" s="14" t="str">
        <f>IFERROR((VLOOKUP($A931,'[1]import success seats course'!$A:V,HLOOKUP('[1]Course Totals'!H$4,'[1]import success seats course'!$1:$2,2,FALSE),FALSE)/(VLOOKUP($A931,'[1]import graded seats course pivo'!$A:AF,HLOOKUP('[1]Course Totals'!H$4,'[1]import graded seats course pivo'!$1:$2,2,FALSE),FALSE))),"")</f>
        <v/>
      </c>
      <c r="I931" s="14" t="str">
        <f>IFERROR((VLOOKUP($A931,'[1]import success seats course'!$A:W,HLOOKUP('[1]Course Totals'!I$4,'[1]import success seats course'!$1:$2,2,FALSE),FALSE)/(VLOOKUP($A931,'[1]import graded seats course pivo'!$A:AG,HLOOKUP('[1]Course Totals'!I$4,'[1]import graded seats course pivo'!$1:$2,2,FALSE),FALSE))),"")</f>
        <v/>
      </c>
      <c r="J931" s="14" t="str">
        <f>IFERROR((VLOOKUP($A931,'[1]import success seats course'!$A:X,HLOOKUP('[1]Course Totals'!J$4,'[1]import success seats course'!$1:$2,2,FALSE),FALSE)/(VLOOKUP($A931,'[1]import graded seats course pivo'!$A:AH,HLOOKUP('[1]Course Totals'!J$4,'[1]import graded seats course pivo'!$1:$2,2,FALSE),FALSE))),"")</f>
        <v/>
      </c>
      <c r="K931" s="14" t="str">
        <f>IFERROR((VLOOKUP($A931,'[1]import success seats course'!$A:Y,HLOOKUP('[1]Course Totals'!K$4,'[1]import success seats course'!$1:$2,2,FALSE),FALSE)/(VLOOKUP($A931,'[1]import graded seats course pivo'!$A:AI,HLOOKUP('[1]Course Totals'!K$4,'[1]import graded seats course pivo'!$1:$2,2,FALSE),FALSE))),"")</f>
        <v/>
      </c>
      <c r="L931" s="14" t="str">
        <f>IFERROR((VLOOKUP($A931,'[1]import success seats course'!$A:Z,HLOOKUP('[1]Course Totals'!L$4,'[1]import success seats course'!$1:$2,2,FALSE),FALSE)/(VLOOKUP($A931,'[1]import graded seats course pivo'!$A:AJ,HLOOKUP('[1]Course Totals'!L$4,'[1]import graded seats course pivo'!$1:$2,2,FALSE),FALSE))),"")</f>
        <v/>
      </c>
      <c r="M931" s="14" t="str">
        <f>IFERROR((VLOOKUP($A931,'[1]import success seats course'!$A:AA,HLOOKUP('[1]Course Totals'!M$4,'[1]import success seats course'!$1:$2,2,FALSE),FALSE)/(VLOOKUP($A931,'[1]import graded seats course pivo'!$A:AK,HLOOKUP('[1]Course Totals'!M$4,'[1]import graded seats course pivo'!$1:$2,2,FALSE),FALSE))),"")</f>
        <v/>
      </c>
      <c r="N931" s="14" t="str">
        <f>IFERROR((VLOOKUP($A931,'[1]import success seats course'!$A:AB,HLOOKUP('[1]Course Totals'!N$4,'[1]import success seats course'!$1:$2,2,FALSE),FALSE)/(VLOOKUP($A931,'[1]import graded seats course pivo'!$A:AL,HLOOKUP('[1]Course Totals'!N$4,'[1]import graded seats course pivo'!$1:$2,2,FALSE),FALSE))),"")</f>
        <v/>
      </c>
      <c r="O931" s="14" t="str">
        <f>IFERROR((VLOOKUP($A931,'[1]import success seats course'!$A:AC,HLOOKUP('[1]Course Totals'!O$4,'[1]import success seats course'!$1:$2,2,FALSE),FALSE)/(VLOOKUP($A931,'[1]import graded seats course pivo'!$A:AM,HLOOKUP('[1]Course Totals'!O$4,'[1]import graded seats course pivo'!$1:$2,2,FALSE),FALSE))),"")</f>
        <v/>
      </c>
      <c r="P931" s="14" t="str">
        <f>IFERROR((VLOOKUP($A931,'[1]import success seats course'!$A:AD,HLOOKUP('[1]Course Totals'!P$4,'[1]import success seats course'!$1:$2,2,FALSE),FALSE)/(VLOOKUP($A931,'[1]import graded seats course pivo'!$A:AN,HLOOKUP('[1]Course Totals'!P$4,'[1]import graded seats course pivo'!$1:$2,2,FALSE),FALSE))),"")</f>
        <v/>
      </c>
      <c r="Q931" s="14" t="str">
        <f>IFERROR((VLOOKUP($A931,'[1]import success seats course'!$A:AE,HLOOKUP('[1]Course Totals'!Q$4,'[1]import success seats course'!$1:$2,2,FALSE),FALSE)/(VLOOKUP($A931,'[1]import graded seats course pivo'!$A:AO,HLOOKUP('[1]Course Totals'!Q$4,'[1]import graded seats course pivo'!$1:$2,2,FALSE),FALSE))),"")</f>
        <v/>
      </c>
      <c r="R931" s="14" t="str">
        <f>IFERROR((VLOOKUP($A931,'[1]import success seats course'!$A:AF,HLOOKUP('[1]Course Totals'!R$4,'[1]import success seats course'!$1:$2,2,FALSE),FALSE)/(VLOOKUP($A931,'[1]import graded seats course pivo'!$A:AP,HLOOKUP('[1]Course Totals'!R$4,'[1]import graded seats course pivo'!$1:$2,2,FALSE),FALSE))),"")</f>
        <v/>
      </c>
      <c r="S931" s="14" t="str">
        <f>IFERROR((VLOOKUP($A931,'[1]import success seats course'!$A:AG,HLOOKUP('[1]Course Totals'!S$4,'[1]import success seats course'!$1:$2,2,FALSE),FALSE)/(VLOOKUP($A931,'[1]import graded seats course pivo'!$A:AQ,HLOOKUP('[1]Course Totals'!S$4,'[1]import graded seats course pivo'!$1:$2,2,FALSE),FALSE))),"")</f>
        <v/>
      </c>
      <c r="Z931" s="7"/>
      <c r="AA931" s="7"/>
      <c r="AB931" s="7"/>
      <c r="AC931" s="7"/>
    </row>
    <row r="932" spans="1:29" ht="15.75" hidden="1" customHeight="1" x14ac:dyDescent="0.25">
      <c r="A932" s="12" t="s">
        <v>811</v>
      </c>
      <c r="B932" s="14" t="str">
        <f>IFERROR((VLOOKUP($A932,'[1]import success seats course'!$A:P,HLOOKUP('[1]Course Totals'!B$4,'[1]import success seats course'!$1:$2,2,FALSE),FALSE)/(VLOOKUP($A932,'[1]import graded seats course pivo'!$A:Z,HLOOKUP('[1]Course Totals'!B$4,'[1]import graded seats course pivo'!$1:$2,2,FALSE),FALSE))),"")</f>
        <v/>
      </c>
      <c r="C932" s="14" t="str">
        <f>IFERROR((VLOOKUP($A932,'[1]import success seats course'!$A:Q,HLOOKUP('[1]Course Totals'!C$4,'[1]import success seats course'!$1:$2,2,FALSE),FALSE)/(VLOOKUP($A932,'[1]import graded seats course pivo'!$A:AA,HLOOKUP('[1]Course Totals'!C$4,'[1]import graded seats course pivo'!$1:$2,2,FALSE),FALSE))),"")</f>
        <v/>
      </c>
      <c r="D932" s="14" t="str">
        <f>IFERROR((VLOOKUP($A932,'[1]import success seats course'!$A:R,HLOOKUP('[1]Course Totals'!D$4,'[1]import success seats course'!$1:$2,2,FALSE),FALSE)/(VLOOKUP($A932,'[1]import graded seats course pivo'!$A:AB,HLOOKUP('[1]Course Totals'!D$4,'[1]import graded seats course pivo'!$1:$2,2,FALSE),FALSE))),"")</f>
        <v/>
      </c>
      <c r="E932" s="14" t="str">
        <f>IFERROR((VLOOKUP($A932,'[1]import success seats course'!$A:S,HLOOKUP('[1]Course Totals'!E$4,'[1]import success seats course'!$1:$2,2,FALSE),FALSE)/(VLOOKUP($A932,'[1]import graded seats course pivo'!$A:AC,HLOOKUP('[1]Course Totals'!E$4,'[1]import graded seats course pivo'!$1:$2,2,FALSE),FALSE))),"")</f>
        <v/>
      </c>
      <c r="F932" s="14" t="str">
        <f>IFERROR((VLOOKUP($A932,'[1]import success seats course'!$A:T,HLOOKUP('[1]Course Totals'!F$4,'[1]import success seats course'!$1:$2,2,FALSE),FALSE)/(VLOOKUP($A932,'[1]import graded seats course pivo'!$A:AD,HLOOKUP('[1]Course Totals'!F$4,'[1]import graded seats course pivo'!$1:$2,2,FALSE),FALSE))),"")</f>
        <v/>
      </c>
      <c r="G932" s="14" t="str">
        <f>IFERROR((VLOOKUP($A932,'[1]import success seats course'!$A:U,HLOOKUP('[1]Course Totals'!G$4,'[1]import success seats course'!$1:$2,2,FALSE),FALSE)/(VLOOKUP($A932,'[1]import graded seats course pivo'!$A:AE,HLOOKUP('[1]Course Totals'!G$4,'[1]import graded seats course pivo'!$1:$2,2,FALSE),FALSE))),"")</f>
        <v/>
      </c>
      <c r="H932" s="14" t="str">
        <f>IFERROR((VLOOKUP($A932,'[1]import success seats course'!$A:V,HLOOKUP('[1]Course Totals'!H$4,'[1]import success seats course'!$1:$2,2,FALSE),FALSE)/(VLOOKUP($A932,'[1]import graded seats course pivo'!$A:AF,HLOOKUP('[1]Course Totals'!H$4,'[1]import graded seats course pivo'!$1:$2,2,FALSE),FALSE))),"")</f>
        <v/>
      </c>
      <c r="I932" s="14" t="str">
        <f>IFERROR((VLOOKUP($A932,'[1]import success seats course'!$A:W,HLOOKUP('[1]Course Totals'!I$4,'[1]import success seats course'!$1:$2,2,FALSE),FALSE)/(VLOOKUP($A932,'[1]import graded seats course pivo'!$A:AG,HLOOKUP('[1]Course Totals'!I$4,'[1]import graded seats course pivo'!$1:$2,2,FALSE),FALSE))),"")</f>
        <v/>
      </c>
      <c r="J932" s="14" t="str">
        <f>IFERROR((VLOOKUP($A932,'[1]import success seats course'!$A:X,HLOOKUP('[1]Course Totals'!J$4,'[1]import success seats course'!$1:$2,2,FALSE),FALSE)/(VLOOKUP($A932,'[1]import graded seats course pivo'!$A:AH,HLOOKUP('[1]Course Totals'!J$4,'[1]import graded seats course pivo'!$1:$2,2,FALSE),FALSE))),"")</f>
        <v/>
      </c>
      <c r="K932" s="14" t="str">
        <f>IFERROR((VLOOKUP($A932,'[1]import success seats course'!$A:Y,HLOOKUP('[1]Course Totals'!K$4,'[1]import success seats course'!$1:$2,2,FALSE),FALSE)/(VLOOKUP($A932,'[1]import graded seats course pivo'!$A:AI,HLOOKUP('[1]Course Totals'!K$4,'[1]import graded seats course pivo'!$1:$2,2,FALSE),FALSE))),"")</f>
        <v/>
      </c>
      <c r="L932" s="14" t="str">
        <f>IFERROR((VLOOKUP($A932,'[1]import success seats course'!$A:Z,HLOOKUP('[1]Course Totals'!L$4,'[1]import success seats course'!$1:$2,2,FALSE),FALSE)/(VLOOKUP($A932,'[1]import graded seats course pivo'!$A:AJ,HLOOKUP('[1]Course Totals'!L$4,'[1]import graded seats course pivo'!$1:$2,2,FALSE),FALSE))),"")</f>
        <v/>
      </c>
      <c r="M932" s="14" t="str">
        <f>IFERROR((VLOOKUP($A932,'[1]import success seats course'!$A:AA,HLOOKUP('[1]Course Totals'!M$4,'[1]import success seats course'!$1:$2,2,FALSE),FALSE)/(VLOOKUP($A932,'[1]import graded seats course pivo'!$A:AK,HLOOKUP('[1]Course Totals'!M$4,'[1]import graded seats course pivo'!$1:$2,2,FALSE),FALSE))),"")</f>
        <v/>
      </c>
      <c r="N932" s="14" t="str">
        <f>IFERROR((VLOOKUP($A932,'[1]import success seats course'!$A:AB,HLOOKUP('[1]Course Totals'!N$4,'[1]import success seats course'!$1:$2,2,FALSE),FALSE)/(VLOOKUP($A932,'[1]import graded seats course pivo'!$A:AL,HLOOKUP('[1]Course Totals'!N$4,'[1]import graded seats course pivo'!$1:$2,2,FALSE),FALSE))),"")</f>
        <v/>
      </c>
      <c r="O932" s="14" t="str">
        <f>IFERROR((VLOOKUP($A932,'[1]import success seats course'!$A:AC,HLOOKUP('[1]Course Totals'!O$4,'[1]import success seats course'!$1:$2,2,FALSE),FALSE)/(VLOOKUP($A932,'[1]import graded seats course pivo'!$A:AM,HLOOKUP('[1]Course Totals'!O$4,'[1]import graded seats course pivo'!$1:$2,2,FALSE),FALSE))),"")</f>
        <v/>
      </c>
      <c r="P932" s="14" t="str">
        <f>IFERROR((VLOOKUP($A932,'[1]import success seats course'!$A:AD,HLOOKUP('[1]Course Totals'!P$4,'[1]import success seats course'!$1:$2,2,FALSE),FALSE)/(VLOOKUP($A932,'[1]import graded seats course pivo'!$A:AN,HLOOKUP('[1]Course Totals'!P$4,'[1]import graded seats course pivo'!$1:$2,2,FALSE),FALSE))),"")</f>
        <v/>
      </c>
      <c r="Q932" s="14" t="str">
        <f>IFERROR((VLOOKUP($A932,'[1]import success seats course'!$A:AE,HLOOKUP('[1]Course Totals'!Q$4,'[1]import success seats course'!$1:$2,2,FALSE),FALSE)/(VLOOKUP($A932,'[1]import graded seats course pivo'!$A:AO,HLOOKUP('[1]Course Totals'!Q$4,'[1]import graded seats course pivo'!$1:$2,2,FALSE),FALSE))),"")</f>
        <v/>
      </c>
      <c r="R932" s="14" t="str">
        <f>IFERROR((VLOOKUP($A932,'[1]import success seats course'!$A:AF,HLOOKUP('[1]Course Totals'!R$4,'[1]import success seats course'!$1:$2,2,FALSE),FALSE)/(VLOOKUP($A932,'[1]import graded seats course pivo'!$A:AP,HLOOKUP('[1]Course Totals'!R$4,'[1]import graded seats course pivo'!$1:$2,2,FALSE),FALSE))),"")</f>
        <v/>
      </c>
      <c r="S932" s="14" t="str">
        <f>IFERROR((VLOOKUP($A932,'[1]import success seats course'!$A:AG,HLOOKUP('[1]Course Totals'!S$4,'[1]import success seats course'!$1:$2,2,FALSE),FALSE)/(VLOOKUP($A932,'[1]import graded seats course pivo'!$A:AQ,HLOOKUP('[1]Course Totals'!S$4,'[1]import graded seats course pivo'!$1:$2,2,FALSE),FALSE))),"")</f>
        <v/>
      </c>
      <c r="Z932" s="7"/>
      <c r="AA932" s="7"/>
      <c r="AB932" s="7"/>
      <c r="AC932" s="7"/>
    </row>
    <row r="933" spans="1:29" ht="15.75" customHeight="1" x14ac:dyDescent="0.25">
      <c r="A933" s="12" t="s">
        <v>445</v>
      </c>
      <c r="B933" s="14">
        <f>IFERROR((VLOOKUP($A933,'[1]import success seats course'!$A:P,HLOOKUP('[1]Course Totals'!B$4,'[1]import success seats course'!$1:$2,2,FALSE),FALSE)/(VLOOKUP($A933,'[1]import graded seats course pivo'!$A:Z,HLOOKUP('[1]Course Totals'!B$4,'[1]import graded seats course pivo'!$1:$2,2,FALSE),FALSE))),"")</f>
        <v>0.94736842105263153</v>
      </c>
      <c r="C933" s="14">
        <f>IFERROR((VLOOKUP($A933,'[1]import success seats course'!$A:Q,HLOOKUP('[1]Course Totals'!C$4,'[1]import success seats course'!$1:$2,2,FALSE),FALSE)/(VLOOKUP($A933,'[1]import graded seats course pivo'!$A:AA,HLOOKUP('[1]Course Totals'!C$4,'[1]import graded seats course pivo'!$1:$2,2,FALSE),FALSE))),"")</f>
        <v>0.89473684210526316</v>
      </c>
      <c r="D933" s="14">
        <f>IFERROR((VLOOKUP($A933,'[1]import success seats course'!$A:R,HLOOKUP('[1]Course Totals'!D$4,'[1]import success seats course'!$1:$2,2,FALSE),FALSE)/(VLOOKUP($A933,'[1]import graded seats course pivo'!$A:AB,HLOOKUP('[1]Course Totals'!D$4,'[1]import graded seats course pivo'!$1:$2,2,FALSE),FALSE))),"")</f>
        <v>0.83132530120481929</v>
      </c>
      <c r="E933" s="14">
        <f>IFERROR((VLOOKUP($A933,'[1]import success seats course'!$A:S,HLOOKUP('[1]Course Totals'!E$4,'[1]import success seats course'!$1:$2,2,FALSE),FALSE)/(VLOOKUP($A933,'[1]import graded seats course pivo'!$A:AC,HLOOKUP('[1]Course Totals'!E$4,'[1]import graded seats course pivo'!$1:$2,2,FALSE),FALSE))),"")</f>
        <v>0.95833333333333337</v>
      </c>
      <c r="F933" s="14">
        <f>IFERROR((VLOOKUP($A933,'[1]import success seats course'!$A:T,HLOOKUP('[1]Course Totals'!F$4,'[1]import success seats course'!$1:$2,2,FALSE),FALSE)/(VLOOKUP($A933,'[1]import graded seats course pivo'!$A:AD,HLOOKUP('[1]Course Totals'!F$4,'[1]import graded seats course pivo'!$1:$2,2,FALSE),FALSE))),"")</f>
        <v>0.90697674418604646</v>
      </c>
      <c r="G933" s="14">
        <f>IFERROR((VLOOKUP($A933,'[1]import success seats course'!$A:U,HLOOKUP('[1]Course Totals'!G$4,'[1]import success seats course'!$1:$2,2,FALSE),FALSE)/(VLOOKUP($A933,'[1]import graded seats course pivo'!$A:AE,HLOOKUP('[1]Course Totals'!G$4,'[1]import graded seats course pivo'!$1:$2,2,FALSE),FALSE))),"")</f>
        <v>0.83898305084745761</v>
      </c>
      <c r="H933" s="14" t="str">
        <f>IFERROR((VLOOKUP($A933,'[1]import success seats course'!$A:V,HLOOKUP('[1]Course Totals'!H$4,'[1]import success seats course'!$1:$2,2,FALSE),FALSE)/(VLOOKUP($A933,'[1]import graded seats course pivo'!$A:AF,HLOOKUP('[1]Course Totals'!H$4,'[1]import graded seats course pivo'!$1:$2,2,FALSE),FALSE))),"")</f>
        <v/>
      </c>
      <c r="I933" s="14">
        <f>IFERROR((VLOOKUP($A933,'[1]import success seats course'!$A:W,HLOOKUP('[1]Course Totals'!I$4,'[1]import success seats course'!$1:$2,2,FALSE),FALSE)/(VLOOKUP($A933,'[1]import graded seats course pivo'!$A:AG,HLOOKUP('[1]Course Totals'!I$4,'[1]import graded seats course pivo'!$1:$2,2,FALSE),FALSE))),"")</f>
        <v>0.92783505154639179</v>
      </c>
      <c r="J933" s="14">
        <f>IFERROR((VLOOKUP($A933,'[1]import success seats course'!$A:X,HLOOKUP('[1]Course Totals'!J$4,'[1]import success seats course'!$1:$2,2,FALSE),FALSE)/(VLOOKUP($A933,'[1]import graded seats course pivo'!$A:AH,HLOOKUP('[1]Course Totals'!J$4,'[1]import graded seats course pivo'!$1:$2,2,FALSE),FALSE))),"")</f>
        <v>0.89795918367346939</v>
      </c>
      <c r="K933" s="14" t="str">
        <f>IFERROR((VLOOKUP($A933,'[1]import success seats course'!$A:Y,HLOOKUP('[1]Course Totals'!K$4,'[1]import success seats course'!$1:$2,2,FALSE),FALSE)/(VLOOKUP($A933,'[1]import graded seats course pivo'!$A:AI,HLOOKUP('[1]Course Totals'!K$4,'[1]import graded seats course pivo'!$1:$2,2,FALSE),FALSE))),"")</f>
        <v/>
      </c>
      <c r="L933" s="14">
        <f>IFERROR((VLOOKUP($A933,'[1]import success seats course'!$A:Z,HLOOKUP('[1]Course Totals'!L$4,'[1]import success seats course'!$1:$2,2,FALSE),FALSE)/(VLOOKUP($A933,'[1]import graded seats course pivo'!$A:AJ,HLOOKUP('[1]Course Totals'!L$4,'[1]import graded seats course pivo'!$1:$2,2,FALSE),FALSE))),"")</f>
        <v>0.95370370370370372</v>
      </c>
      <c r="M933" s="14">
        <f>IFERROR((VLOOKUP($A933,'[1]import success seats course'!$A:AA,HLOOKUP('[1]Course Totals'!M$4,'[1]import success seats course'!$1:$2,2,FALSE),FALSE)/(VLOOKUP($A933,'[1]import graded seats course pivo'!$A:AK,HLOOKUP('[1]Course Totals'!M$4,'[1]import graded seats course pivo'!$1:$2,2,FALSE),FALSE))),"")</f>
        <v>0.96296296296296291</v>
      </c>
      <c r="N933" s="14" t="str">
        <f>IFERROR((VLOOKUP($A933,'[1]import success seats course'!$A:AB,HLOOKUP('[1]Course Totals'!N$4,'[1]import success seats course'!$1:$2,2,FALSE),FALSE)/(VLOOKUP($A933,'[1]import graded seats course pivo'!$A:AL,HLOOKUP('[1]Course Totals'!N$4,'[1]import graded seats course pivo'!$1:$2,2,FALSE),FALSE))),"")</f>
        <v/>
      </c>
      <c r="O933" s="14">
        <f>IFERROR((VLOOKUP($A933,'[1]import success seats course'!$A:AC,HLOOKUP('[1]Course Totals'!O$4,'[1]import success seats course'!$1:$2,2,FALSE),FALSE)/(VLOOKUP($A933,'[1]import graded seats course pivo'!$A:AM,HLOOKUP('[1]Course Totals'!O$4,'[1]import graded seats course pivo'!$1:$2,2,FALSE),FALSE))),"")</f>
        <v>0.90625</v>
      </c>
      <c r="P933" s="14">
        <f>IFERROR((VLOOKUP($A933,'[1]import success seats course'!$A:AD,HLOOKUP('[1]Course Totals'!P$4,'[1]import success seats course'!$1:$2,2,FALSE),FALSE)/(VLOOKUP($A933,'[1]import graded seats course pivo'!$A:AN,HLOOKUP('[1]Course Totals'!P$4,'[1]import graded seats course pivo'!$1:$2,2,FALSE),FALSE))),"")</f>
        <v>0.9042553191489362</v>
      </c>
      <c r="Q933" s="14" t="str">
        <f>IFERROR((VLOOKUP($A933,'[1]import success seats course'!$A:AE,HLOOKUP('[1]Course Totals'!Q$4,'[1]import success seats course'!$1:$2,2,FALSE),FALSE)/(VLOOKUP($A933,'[1]import graded seats course pivo'!$A:AO,HLOOKUP('[1]Course Totals'!Q$4,'[1]import graded seats course pivo'!$1:$2,2,FALSE),FALSE))),"")</f>
        <v/>
      </c>
      <c r="R933" s="14">
        <f>IFERROR((VLOOKUP($A933,'[1]import success seats course'!$A:AF,HLOOKUP('[1]Course Totals'!R$4,'[1]import success seats course'!$1:$2,2,FALSE),FALSE)/(VLOOKUP($A933,'[1]import graded seats course pivo'!$A:AP,HLOOKUP('[1]Course Totals'!R$4,'[1]import graded seats course pivo'!$1:$2,2,FALSE),FALSE))),"")</f>
        <v>0.95412844036697253</v>
      </c>
      <c r="S933" s="14" t="str">
        <f>IFERROR((VLOOKUP($A933,'[1]import success seats course'!$A:AG,HLOOKUP('[1]Course Totals'!S$4,'[1]import success seats course'!$1:$2,2,FALSE),FALSE)/(VLOOKUP($A933,'[1]import graded seats course pivo'!$A:AQ,HLOOKUP('[1]Course Totals'!S$4,'[1]import graded seats course pivo'!$1:$2,2,FALSE),FALSE))),"")</f>
        <v/>
      </c>
      <c r="Z933" s="7"/>
      <c r="AA933" s="7"/>
      <c r="AB933" s="7"/>
      <c r="AC933" s="7"/>
    </row>
    <row r="934" spans="1:29" ht="15.75" customHeight="1" x14ac:dyDescent="0.25">
      <c r="A934" s="12" t="s">
        <v>446</v>
      </c>
      <c r="B934" s="14" t="str">
        <f>IFERROR((VLOOKUP($A934,'[1]import success seats course'!$A:P,HLOOKUP('[1]Course Totals'!B$4,'[1]import success seats course'!$1:$2,2,FALSE),FALSE)/(VLOOKUP($A934,'[1]import graded seats course pivo'!$A:Z,HLOOKUP('[1]Course Totals'!B$4,'[1]import graded seats course pivo'!$1:$2,2,FALSE),FALSE))),"")</f>
        <v/>
      </c>
      <c r="C934" s="14">
        <f>IFERROR((VLOOKUP($A934,'[1]import success seats course'!$A:Q,HLOOKUP('[1]Course Totals'!C$4,'[1]import success seats course'!$1:$2,2,FALSE),FALSE)/(VLOOKUP($A934,'[1]import graded seats course pivo'!$A:AA,HLOOKUP('[1]Course Totals'!C$4,'[1]import graded seats course pivo'!$1:$2,2,FALSE),FALSE))),"")</f>
        <v>0.76190476190476186</v>
      </c>
      <c r="D934" s="14" t="str">
        <f>IFERROR((VLOOKUP($A934,'[1]import success seats course'!$A:R,HLOOKUP('[1]Course Totals'!D$4,'[1]import success seats course'!$1:$2,2,FALSE),FALSE)/(VLOOKUP($A934,'[1]import graded seats course pivo'!$A:AB,HLOOKUP('[1]Course Totals'!D$4,'[1]import graded seats course pivo'!$1:$2,2,FALSE),FALSE))),"")</f>
        <v/>
      </c>
      <c r="E934" s="14" t="str">
        <f>IFERROR((VLOOKUP($A934,'[1]import success seats course'!$A:S,HLOOKUP('[1]Course Totals'!E$4,'[1]import success seats course'!$1:$2,2,FALSE),FALSE)/(VLOOKUP($A934,'[1]import graded seats course pivo'!$A:AC,HLOOKUP('[1]Course Totals'!E$4,'[1]import graded seats course pivo'!$1:$2,2,FALSE),FALSE))),"")</f>
        <v/>
      </c>
      <c r="F934" s="14">
        <f>IFERROR((VLOOKUP($A934,'[1]import success seats course'!$A:T,HLOOKUP('[1]Course Totals'!F$4,'[1]import success seats course'!$1:$2,2,FALSE),FALSE)/(VLOOKUP($A934,'[1]import graded seats course pivo'!$A:AD,HLOOKUP('[1]Course Totals'!F$4,'[1]import graded seats course pivo'!$1:$2,2,FALSE),FALSE))),"")</f>
        <v>0.88235294117647056</v>
      </c>
      <c r="G934" s="14" t="str">
        <f>IFERROR((VLOOKUP($A934,'[1]import success seats course'!$A:U,HLOOKUP('[1]Course Totals'!G$4,'[1]import success seats course'!$1:$2,2,FALSE),FALSE)/(VLOOKUP($A934,'[1]import graded seats course pivo'!$A:AE,HLOOKUP('[1]Course Totals'!G$4,'[1]import graded seats course pivo'!$1:$2,2,FALSE),FALSE))),"")</f>
        <v/>
      </c>
      <c r="H934" s="14" t="str">
        <f>IFERROR((VLOOKUP($A934,'[1]import success seats course'!$A:V,HLOOKUP('[1]Course Totals'!H$4,'[1]import success seats course'!$1:$2,2,FALSE),FALSE)/(VLOOKUP($A934,'[1]import graded seats course pivo'!$A:AF,HLOOKUP('[1]Course Totals'!H$4,'[1]import graded seats course pivo'!$1:$2,2,FALSE),FALSE))),"")</f>
        <v/>
      </c>
      <c r="I934" s="14">
        <f>IFERROR((VLOOKUP($A934,'[1]import success seats course'!$A:W,HLOOKUP('[1]Course Totals'!I$4,'[1]import success seats course'!$1:$2,2,FALSE),FALSE)/(VLOOKUP($A934,'[1]import graded seats course pivo'!$A:AG,HLOOKUP('[1]Course Totals'!I$4,'[1]import graded seats course pivo'!$1:$2,2,FALSE),FALSE))),"")</f>
        <v>1</v>
      </c>
      <c r="J934" s="14" t="str">
        <f>IFERROR((VLOOKUP($A934,'[1]import success seats course'!$A:X,HLOOKUP('[1]Course Totals'!J$4,'[1]import success seats course'!$1:$2,2,FALSE),FALSE)/(VLOOKUP($A934,'[1]import graded seats course pivo'!$A:AH,HLOOKUP('[1]Course Totals'!J$4,'[1]import graded seats course pivo'!$1:$2,2,FALSE),FALSE))),"")</f>
        <v/>
      </c>
      <c r="K934" s="14">
        <f>IFERROR((VLOOKUP($A934,'[1]import success seats course'!$A:Y,HLOOKUP('[1]Course Totals'!K$4,'[1]import success seats course'!$1:$2,2,FALSE),FALSE)/(VLOOKUP($A934,'[1]import graded seats course pivo'!$A:AI,HLOOKUP('[1]Course Totals'!K$4,'[1]import graded seats course pivo'!$1:$2,2,FALSE),FALSE))),"")</f>
        <v>0.78125</v>
      </c>
      <c r="L934" s="14">
        <f>IFERROR((VLOOKUP($A934,'[1]import success seats course'!$A:Z,HLOOKUP('[1]Course Totals'!L$4,'[1]import success seats course'!$1:$2,2,FALSE),FALSE)/(VLOOKUP($A934,'[1]import graded seats course pivo'!$A:AJ,HLOOKUP('[1]Course Totals'!L$4,'[1]import graded seats course pivo'!$1:$2,2,FALSE),FALSE))),"")</f>
        <v>0.88235294117647056</v>
      </c>
      <c r="M934" s="14" t="str">
        <f>IFERROR((VLOOKUP($A934,'[1]import success seats course'!$A:AA,HLOOKUP('[1]Course Totals'!M$4,'[1]import success seats course'!$1:$2,2,FALSE),FALSE)/(VLOOKUP($A934,'[1]import graded seats course pivo'!$A:AK,HLOOKUP('[1]Course Totals'!M$4,'[1]import graded seats course pivo'!$1:$2,2,FALSE),FALSE))),"")</f>
        <v/>
      </c>
      <c r="N934" s="14" t="str">
        <f>IFERROR((VLOOKUP($A934,'[1]import success seats course'!$A:AB,HLOOKUP('[1]Course Totals'!N$4,'[1]import success seats course'!$1:$2,2,FALSE),FALSE)/(VLOOKUP($A934,'[1]import graded seats course pivo'!$A:AL,HLOOKUP('[1]Course Totals'!N$4,'[1]import graded seats course pivo'!$1:$2,2,FALSE),FALSE))),"")</f>
        <v/>
      </c>
      <c r="O934" s="14" t="str">
        <f>IFERROR((VLOOKUP($A934,'[1]import success seats course'!$A:AC,HLOOKUP('[1]Course Totals'!O$4,'[1]import success seats course'!$1:$2,2,FALSE),FALSE)/(VLOOKUP($A934,'[1]import graded seats course pivo'!$A:AM,HLOOKUP('[1]Course Totals'!O$4,'[1]import graded seats course pivo'!$1:$2,2,FALSE),FALSE))),"")</f>
        <v/>
      </c>
      <c r="P934" s="14" t="str">
        <f>IFERROR((VLOOKUP($A934,'[1]import success seats course'!$A:AD,HLOOKUP('[1]Course Totals'!P$4,'[1]import success seats course'!$1:$2,2,FALSE),FALSE)/(VLOOKUP($A934,'[1]import graded seats course pivo'!$A:AN,HLOOKUP('[1]Course Totals'!P$4,'[1]import graded seats course pivo'!$1:$2,2,FALSE),FALSE))),"")</f>
        <v/>
      </c>
      <c r="Q934" s="14" t="str">
        <f>IFERROR((VLOOKUP($A934,'[1]import success seats course'!$A:AE,HLOOKUP('[1]Course Totals'!Q$4,'[1]import success seats course'!$1:$2,2,FALSE),FALSE)/(VLOOKUP($A934,'[1]import graded seats course pivo'!$A:AO,HLOOKUP('[1]Course Totals'!Q$4,'[1]import graded seats course pivo'!$1:$2,2,FALSE),FALSE))),"")</f>
        <v/>
      </c>
      <c r="R934" s="14" t="str">
        <f>IFERROR((VLOOKUP($A934,'[1]import success seats course'!$A:AF,HLOOKUP('[1]Course Totals'!R$4,'[1]import success seats course'!$1:$2,2,FALSE),FALSE)/(VLOOKUP($A934,'[1]import graded seats course pivo'!$A:AP,HLOOKUP('[1]Course Totals'!R$4,'[1]import graded seats course pivo'!$1:$2,2,FALSE),FALSE))),"")</f>
        <v/>
      </c>
      <c r="S934" s="14" t="str">
        <f>IFERROR((VLOOKUP($A934,'[1]import success seats course'!$A:AG,HLOOKUP('[1]Course Totals'!S$4,'[1]import success seats course'!$1:$2,2,FALSE),FALSE)/(VLOOKUP($A934,'[1]import graded seats course pivo'!$A:AQ,HLOOKUP('[1]Course Totals'!S$4,'[1]import graded seats course pivo'!$1:$2,2,FALSE),FALSE))),"")</f>
        <v/>
      </c>
      <c r="Z934" s="7"/>
      <c r="AA934" s="7"/>
      <c r="AB934" s="7"/>
      <c r="AC934" s="7"/>
    </row>
    <row r="935" spans="1:29" ht="15.75" customHeight="1" x14ac:dyDescent="0.25">
      <c r="A935" s="12" t="s">
        <v>447</v>
      </c>
      <c r="B935" s="14" t="str">
        <f>IFERROR((VLOOKUP($A935,'[1]import success seats course'!$A:P,HLOOKUP('[1]Course Totals'!B$4,'[1]import success seats course'!$1:$2,2,FALSE),FALSE)/(VLOOKUP($A935,'[1]import graded seats course pivo'!$A:Z,HLOOKUP('[1]Course Totals'!B$4,'[1]import graded seats course pivo'!$1:$2,2,FALSE),FALSE))),"")</f>
        <v/>
      </c>
      <c r="C935" s="14">
        <f>IFERROR((VLOOKUP($A935,'[1]import success seats course'!$A:Q,HLOOKUP('[1]Course Totals'!C$4,'[1]import success seats course'!$1:$2,2,FALSE),FALSE)/(VLOOKUP($A935,'[1]import graded seats course pivo'!$A:AA,HLOOKUP('[1]Course Totals'!C$4,'[1]import graded seats course pivo'!$1:$2,2,FALSE),FALSE))),"")</f>
        <v>0.88461538461538458</v>
      </c>
      <c r="D935" s="14">
        <f>IFERROR((VLOOKUP($A935,'[1]import success seats course'!$A:R,HLOOKUP('[1]Course Totals'!D$4,'[1]import success seats course'!$1:$2,2,FALSE),FALSE)/(VLOOKUP($A935,'[1]import graded seats course pivo'!$A:AB,HLOOKUP('[1]Course Totals'!D$4,'[1]import graded seats course pivo'!$1:$2,2,FALSE),FALSE))),"")</f>
        <v>0.81632653061224492</v>
      </c>
      <c r="E935" s="14" t="str">
        <f>IFERROR((VLOOKUP($A935,'[1]import success seats course'!$A:S,HLOOKUP('[1]Course Totals'!E$4,'[1]import success seats course'!$1:$2,2,FALSE),FALSE)/(VLOOKUP($A935,'[1]import graded seats course pivo'!$A:AC,HLOOKUP('[1]Course Totals'!E$4,'[1]import graded seats course pivo'!$1:$2,2,FALSE),FALSE))),"")</f>
        <v/>
      </c>
      <c r="F935" s="14">
        <f>IFERROR((VLOOKUP($A935,'[1]import success seats course'!$A:T,HLOOKUP('[1]Course Totals'!F$4,'[1]import success seats course'!$1:$2,2,FALSE),FALSE)/(VLOOKUP($A935,'[1]import graded seats course pivo'!$A:AD,HLOOKUP('[1]Course Totals'!F$4,'[1]import graded seats course pivo'!$1:$2,2,FALSE),FALSE))),"")</f>
        <v>0.76470588235294112</v>
      </c>
      <c r="G935" s="14">
        <f>IFERROR((VLOOKUP($A935,'[1]import success seats course'!$A:U,HLOOKUP('[1]Course Totals'!G$4,'[1]import success seats course'!$1:$2,2,FALSE),FALSE)/(VLOOKUP($A935,'[1]import graded seats course pivo'!$A:AE,HLOOKUP('[1]Course Totals'!G$4,'[1]import graded seats course pivo'!$1:$2,2,FALSE),FALSE))),"")</f>
        <v>0.8783783783783784</v>
      </c>
      <c r="H935" s="14" t="str">
        <f>IFERROR((VLOOKUP($A935,'[1]import success seats course'!$A:V,HLOOKUP('[1]Course Totals'!H$4,'[1]import success seats course'!$1:$2,2,FALSE),FALSE)/(VLOOKUP($A935,'[1]import graded seats course pivo'!$A:AF,HLOOKUP('[1]Course Totals'!H$4,'[1]import graded seats course pivo'!$1:$2,2,FALSE),FALSE))),"")</f>
        <v/>
      </c>
      <c r="I935" s="14">
        <f>IFERROR((VLOOKUP($A935,'[1]import success seats course'!$A:W,HLOOKUP('[1]Course Totals'!I$4,'[1]import success seats course'!$1:$2,2,FALSE),FALSE)/(VLOOKUP($A935,'[1]import graded seats course pivo'!$A:AG,HLOOKUP('[1]Course Totals'!I$4,'[1]import graded seats course pivo'!$1:$2,2,FALSE),FALSE))),"")</f>
        <v>0.898876404494382</v>
      </c>
      <c r="J935" s="14">
        <f>IFERROR((VLOOKUP($A935,'[1]import success seats course'!$A:X,HLOOKUP('[1]Course Totals'!J$4,'[1]import success seats course'!$1:$2,2,FALSE),FALSE)/(VLOOKUP($A935,'[1]import graded seats course pivo'!$A:AH,HLOOKUP('[1]Course Totals'!J$4,'[1]import graded seats course pivo'!$1:$2,2,FALSE),FALSE))),"")</f>
        <v>0.9</v>
      </c>
      <c r="K935" s="14" t="str">
        <f>IFERROR((VLOOKUP($A935,'[1]import success seats course'!$A:Y,HLOOKUP('[1]Course Totals'!K$4,'[1]import success seats course'!$1:$2,2,FALSE),FALSE)/(VLOOKUP($A935,'[1]import graded seats course pivo'!$A:AI,HLOOKUP('[1]Course Totals'!K$4,'[1]import graded seats course pivo'!$1:$2,2,FALSE),FALSE))),"")</f>
        <v/>
      </c>
      <c r="L935" s="14">
        <f>IFERROR((VLOOKUP($A935,'[1]import success seats course'!$A:Z,HLOOKUP('[1]Course Totals'!L$4,'[1]import success seats course'!$1:$2,2,FALSE),FALSE)/(VLOOKUP($A935,'[1]import graded seats course pivo'!$A:AJ,HLOOKUP('[1]Course Totals'!L$4,'[1]import graded seats course pivo'!$1:$2,2,FALSE),FALSE))),"")</f>
        <v>0.94444444444444442</v>
      </c>
      <c r="M935" s="14">
        <f>IFERROR((VLOOKUP($A935,'[1]import success seats course'!$A:AA,HLOOKUP('[1]Course Totals'!M$4,'[1]import success seats course'!$1:$2,2,FALSE),FALSE)/(VLOOKUP($A935,'[1]import graded seats course pivo'!$A:AK,HLOOKUP('[1]Course Totals'!M$4,'[1]import graded seats course pivo'!$1:$2,2,FALSE),FALSE))),"")</f>
        <v>0.8833333333333333</v>
      </c>
      <c r="N935" s="14" t="str">
        <f>IFERROR((VLOOKUP($A935,'[1]import success seats course'!$A:AB,HLOOKUP('[1]Course Totals'!N$4,'[1]import success seats course'!$1:$2,2,FALSE),FALSE)/(VLOOKUP($A935,'[1]import graded seats course pivo'!$A:AL,HLOOKUP('[1]Course Totals'!N$4,'[1]import graded seats course pivo'!$1:$2,2,FALSE),FALSE))),"")</f>
        <v/>
      </c>
      <c r="O935" s="14">
        <f>IFERROR((VLOOKUP($A935,'[1]import success seats course'!$A:AC,HLOOKUP('[1]Course Totals'!O$4,'[1]import success seats course'!$1:$2,2,FALSE),FALSE)/(VLOOKUP($A935,'[1]import graded seats course pivo'!$A:AM,HLOOKUP('[1]Course Totals'!O$4,'[1]import graded seats course pivo'!$1:$2,2,FALSE),FALSE))),"")</f>
        <v>0.8035714285714286</v>
      </c>
      <c r="P935" s="14">
        <f>IFERROR((VLOOKUP($A935,'[1]import success seats course'!$A:AD,HLOOKUP('[1]Course Totals'!P$4,'[1]import success seats course'!$1:$2,2,FALSE),FALSE)/(VLOOKUP($A935,'[1]import graded seats course pivo'!$A:AN,HLOOKUP('[1]Course Totals'!P$4,'[1]import graded seats course pivo'!$1:$2,2,FALSE),FALSE))),"")</f>
        <v>0.9</v>
      </c>
      <c r="Q935" s="14" t="str">
        <f>IFERROR((VLOOKUP($A935,'[1]import success seats course'!$A:AE,HLOOKUP('[1]Course Totals'!Q$4,'[1]import success seats course'!$1:$2,2,FALSE),FALSE)/(VLOOKUP($A935,'[1]import graded seats course pivo'!$A:AO,HLOOKUP('[1]Course Totals'!Q$4,'[1]import graded seats course pivo'!$1:$2,2,FALSE),FALSE))),"")</f>
        <v/>
      </c>
      <c r="R935" s="14">
        <f>IFERROR((VLOOKUP($A935,'[1]import success seats course'!$A:AF,HLOOKUP('[1]Course Totals'!R$4,'[1]import success seats course'!$1:$2,2,FALSE),FALSE)/(VLOOKUP($A935,'[1]import graded seats course pivo'!$A:AP,HLOOKUP('[1]Course Totals'!R$4,'[1]import graded seats course pivo'!$1:$2,2,FALSE),FALSE))),"")</f>
        <v>0.953125</v>
      </c>
      <c r="S935" s="14" t="str">
        <f>IFERROR((VLOOKUP($A935,'[1]import success seats course'!$A:AG,HLOOKUP('[1]Course Totals'!S$4,'[1]import success seats course'!$1:$2,2,FALSE),FALSE)/(VLOOKUP($A935,'[1]import graded seats course pivo'!$A:AQ,HLOOKUP('[1]Course Totals'!S$4,'[1]import graded seats course pivo'!$1:$2,2,FALSE),FALSE))),"")</f>
        <v/>
      </c>
      <c r="Z935" s="7"/>
      <c r="AA935" s="7"/>
      <c r="AB935" s="7"/>
      <c r="AC935" s="7"/>
    </row>
    <row r="936" spans="1:29" ht="15.75" hidden="1" customHeight="1" x14ac:dyDescent="0.25">
      <c r="A936" s="12" t="s">
        <v>855</v>
      </c>
      <c r="B936" s="14" t="str">
        <f>IFERROR((VLOOKUP($A936,'[1]import success seats course'!$A:P,HLOOKUP('[1]Course Totals'!B$4,'[1]import success seats course'!$1:$2,2,FALSE),FALSE)/(VLOOKUP($A936,'[1]import graded seats course pivo'!$A:Z,HLOOKUP('[1]Course Totals'!B$4,'[1]import graded seats course pivo'!$1:$2,2,FALSE),FALSE))),"")</f>
        <v/>
      </c>
      <c r="C936" s="14" t="str">
        <f>IFERROR((VLOOKUP($A936,'[1]import success seats course'!$A:Q,HLOOKUP('[1]Course Totals'!C$4,'[1]import success seats course'!$1:$2,2,FALSE),FALSE)/(VLOOKUP($A936,'[1]import graded seats course pivo'!$A:AA,HLOOKUP('[1]Course Totals'!C$4,'[1]import graded seats course pivo'!$1:$2,2,FALSE),FALSE))),"")</f>
        <v/>
      </c>
      <c r="D936" s="14" t="str">
        <f>IFERROR((VLOOKUP($A936,'[1]import success seats course'!$A:R,HLOOKUP('[1]Course Totals'!D$4,'[1]import success seats course'!$1:$2,2,FALSE),FALSE)/(VLOOKUP($A936,'[1]import graded seats course pivo'!$A:AB,HLOOKUP('[1]Course Totals'!D$4,'[1]import graded seats course pivo'!$1:$2,2,FALSE),FALSE))),"")</f>
        <v/>
      </c>
      <c r="E936" s="14" t="str">
        <f>IFERROR((VLOOKUP($A936,'[1]import success seats course'!$A:S,HLOOKUP('[1]Course Totals'!E$4,'[1]import success seats course'!$1:$2,2,FALSE),FALSE)/(VLOOKUP($A936,'[1]import graded seats course pivo'!$A:AC,HLOOKUP('[1]Course Totals'!E$4,'[1]import graded seats course pivo'!$1:$2,2,FALSE),FALSE))),"")</f>
        <v/>
      </c>
      <c r="F936" s="14" t="str">
        <f>IFERROR((VLOOKUP($A936,'[1]import success seats course'!$A:T,HLOOKUP('[1]Course Totals'!F$4,'[1]import success seats course'!$1:$2,2,FALSE),FALSE)/(VLOOKUP($A936,'[1]import graded seats course pivo'!$A:AD,HLOOKUP('[1]Course Totals'!F$4,'[1]import graded seats course pivo'!$1:$2,2,FALSE),FALSE))),"")</f>
        <v/>
      </c>
      <c r="G936" s="14" t="str">
        <f>IFERROR((VLOOKUP($A936,'[1]import success seats course'!$A:U,HLOOKUP('[1]Course Totals'!G$4,'[1]import success seats course'!$1:$2,2,FALSE),FALSE)/(VLOOKUP($A936,'[1]import graded seats course pivo'!$A:AE,HLOOKUP('[1]Course Totals'!G$4,'[1]import graded seats course pivo'!$1:$2,2,FALSE),FALSE))),"")</f>
        <v/>
      </c>
      <c r="H936" s="14" t="str">
        <f>IFERROR((VLOOKUP($A936,'[1]import success seats course'!$A:V,HLOOKUP('[1]Course Totals'!H$4,'[1]import success seats course'!$1:$2,2,FALSE),FALSE)/(VLOOKUP($A936,'[1]import graded seats course pivo'!$A:AF,HLOOKUP('[1]Course Totals'!H$4,'[1]import graded seats course pivo'!$1:$2,2,FALSE),FALSE))),"")</f>
        <v/>
      </c>
      <c r="I936" s="14" t="str">
        <f>IFERROR((VLOOKUP($A936,'[1]import success seats course'!$A:W,HLOOKUP('[1]Course Totals'!I$4,'[1]import success seats course'!$1:$2,2,FALSE),FALSE)/(VLOOKUP($A936,'[1]import graded seats course pivo'!$A:AG,HLOOKUP('[1]Course Totals'!I$4,'[1]import graded seats course pivo'!$1:$2,2,FALSE),FALSE))),"")</f>
        <v/>
      </c>
      <c r="J936" s="14" t="str">
        <f>IFERROR((VLOOKUP($A936,'[1]import success seats course'!$A:X,HLOOKUP('[1]Course Totals'!J$4,'[1]import success seats course'!$1:$2,2,FALSE),FALSE)/(VLOOKUP($A936,'[1]import graded seats course pivo'!$A:AH,HLOOKUP('[1]Course Totals'!J$4,'[1]import graded seats course pivo'!$1:$2,2,FALSE),FALSE))),"")</f>
        <v/>
      </c>
      <c r="K936" s="14" t="str">
        <f>IFERROR((VLOOKUP($A936,'[1]import success seats course'!$A:Y,HLOOKUP('[1]Course Totals'!K$4,'[1]import success seats course'!$1:$2,2,FALSE),FALSE)/(VLOOKUP($A936,'[1]import graded seats course pivo'!$A:AI,HLOOKUP('[1]Course Totals'!K$4,'[1]import graded seats course pivo'!$1:$2,2,FALSE),FALSE))),"")</f>
        <v/>
      </c>
      <c r="L936" s="14" t="str">
        <f>IFERROR((VLOOKUP($A936,'[1]import success seats course'!$A:Z,HLOOKUP('[1]Course Totals'!L$4,'[1]import success seats course'!$1:$2,2,FALSE),FALSE)/(VLOOKUP($A936,'[1]import graded seats course pivo'!$A:AJ,HLOOKUP('[1]Course Totals'!L$4,'[1]import graded seats course pivo'!$1:$2,2,FALSE),FALSE))),"")</f>
        <v/>
      </c>
      <c r="M936" s="14" t="str">
        <f>IFERROR((VLOOKUP($A936,'[1]import success seats course'!$A:AA,HLOOKUP('[1]Course Totals'!M$4,'[1]import success seats course'!$1:$2,2,FALSE),FALSE)/(VLOOKUP($A936,'[1]import graded seats course pivo'!$A:AK,HLOOKUP('[1]Course Totals'!M$4,'[1]import graded seats course pivo'!$1:$2,2,FALSE),FALSE))),"")</f>
        <v/>
      </c>
      <c r="N936" s="14" t="str">
        <f>IFERROR((VLOOKUP($A936,'[1]import success seats course'!$A:AB,HLOOKUP('[1]Course Totals'!N$4,'[1]import success seats course'!$1:$2,2,FALSE),FALSE)/(VLOOKUP($A936,'[1]import graded seats course pivo'!$A:AL,HLOOKUP('[1]Course Totals'!N$4,'[1]import graded seats course pivo'!$1:$2,2,FALSE),FALSE))),"")</f>
        <v/>
      </c>
      <c r="O936" s="14" t="str">
        <f>IFERROR((VLOOKUP($A936,'[1]import success seats course'!$A:AC,HLOOKUP('[1]Course Totals'!O$4,'[1]import success seats course'!$1:$2,2,FALSE),FALSE)/(VLOOKUP($A936,'[1]import graded seats course pivo'!$A:AM,HLOOKUP('[1]Course Totals'!O$4,'[1]import graded seats course pivo'!$1:$2,2,FALSE),FALSE))),"")</f>
        <v/>
      </c>
      <c r="P936" s="14" t="str">
        <f>IFERROR((VLOOKUP($A936,'[1]import success seats course'!$A:AD,HLOOKUP('[1]Course Totals'!P$4,'[1]import success seats course'!$1:$2,2,FALSE),FALSE)/(VLOOKUP($A936,'[1]import graded seats course pivo'!$A:AN,HLOOKUP('[1]Course Totals'!P$4,'[1]import graded seats course pivo'!$1:$2,2,FALSE),FALSE))),"")</f>
        <v/>
      </c>
      <c r="Q936" s="14" t="str">
        <f>IFERROR((VLOOKUP($A936,'[1]import success seats course'!$A:AE,HLOOKUP('[1]Course Totals'!Q$4,'[1]import success seats course'!$1:$2,2,FALSE),FALSE)/(VLOOKUP($A936,'[1]import graded seats course pivo'!$A:AO,HLOOKUP('[1]Course Totals'!Q$4,'[1]import graded seats course pivo'!$1:$2,2,FALSE),FALSE))),"")</f>
        <v/>
      </c>
      <c r="R936" s="14" t="str">
        <f>IFERROR((VLOOKUP($A936,'[1]import success seats course'!$A:AF,HLOOKUP('[1]Course Totals'!R$4,'[1]import success seats course'!$1:$2,2,FALSE),FALSE)/(VLOOKUP($A936,'[1]import graded seats course pivo'!$A:AP,HLOOKUP('[1]Course Totals'!R$4,'[1]import graded seats course pivo'!$1:$2,2,FALSE),FALSE))),"")</f>
        <v/>
      </c>
      <c r="S936" s="14" t="str">
        <f>IFERROR((VLOOKUP($A936,'[1]import success seats course'!$A:AG,HLOOKUP('[1]Course Totals'!S$4,'[1]import success seats course'!$1:$2,2,FALSE),FALSE)/(VLOOKUP($A936,'[1]import graded seats course pivo'!$A:AQ,HLOOKUP('[1]Course Totals'!S$4,'[1]import graded seats course pivo'!$1:$2,2,FALSE),FALSE))),"")</f>
        <v/>
      </c>
      <c r="Z936" s="7"/>
      <c r="AA936" s="7"/>
      <c r="AB936" s="7"/>
      <c r="AC936" s="7"/>
    </row>
    <row r="937" spans="1:29" ht="15.75" customHeight="1" x14ac:dyDescent="0.25">
      <c r="A937" s="12" t="s">
        <v>448</v>
      </c>
      <c r="B937" s="14" t="str">
        <f>IFERROR((VLOOKUP($A937,'[1]import success seats course'!$A:P,HLOOKUP('[1]Course Totals'!B$4,'[1]import success seats course'!$1:$2,2,FALSE),FALSE)/(VLOOKUP($A937,'[1]import graded seats course pivo'!$A:Z,HLOOKUP('[1]Course Totals'!B$4,'[1]import graded seats course pivo'!$1:$2,2,FALSE),FALSE))),"")</f>
        <v/>
      </c>
      <c r="C937" s="14">
        <f>IFERROR((VLOOKUP($A937,'[1]import success seats course'!$A:Q,HLOOKUP('[1]Course Totals'!C$4,'[1]import success seats course'!$1:$2,2,FALSE),FALSE)/(VLOOKUP($A937,'[1]import graded seats course pivo'!$A:AA,HLOOKUP('[1]Course Totals'!C$4,'[1]import graded seats course pivo'!$1:$2,2,FALSE),FALSE))),"")</f>
        <v>0.90909090909090906</v>
      </c>
      <c r="D937" s="14">
        <f>IFERROR((VLOOKUP($A937,'[1]import success seats course'!$A:R,HLOOKUP('[1]Course Totals'!D$4,'[1]import success seats course'!$1:$2,2,FALSE),FALSE)/(VLOOKUP($A937,'[1]import graded seats course pivo'!$A:AB,HLOOKUP('[1]Course Totals'!D$4,'[1]import graded seats course pivo'!$1:$2,2,FALSE),FALSE))),"")</f>
        <v>0.9642857142857143</v>
      </c>
      <c r="E937" s="14" t="str">
        <f>IFERROR((VLOOKUP($A937,'[1]import success seats course'!$A:S,HLOOKUP('[1]Course Totals'!E$4,'[1]import success seats course'!$1:$2,2,FALSE),FALSE)/(VLOOKUP($A937,'[1]import graded seats course pivo'!$A:AC,HLOOKUP('[1]Course Totals'!E$4,'[1]import graded seats course pivo'!$1:$2,2,FALSE),FALSE))),"")</f>
        <v/>
      </c>
      <c r="F937" s="14">
        <f>IFERROR((VLOOKUP($A937,'[1]import success seats course'!$A:T,HLOOKUP('[1]Course Totals'!F$4,'[1]import success seats course'!$1:$2,2,FALSE),FALSE)/(VLOOKUP($A937,'[1]import graded seats course pivo'!$A:AD,HLOOKUP('[1]Course Totals'!F$4,'[1]import graded seats course pivo'!$1:$2,2,FALSE),FALSE))),"")</f>
        <v>0.90909090909090906</v>
      </c>
      <c r="G937" s="14">
        <f>IFERROR((VLOOKUP($A937,'[1]import success seats course'!$A:U,HLOOKUP('[1]Course Totals'!G$4,'[1]import success seats course'!$1:$2,2,FALSE),FALSE)/(VLOOKUP($A937,'[1]import graded seats course pivo'!$A:AE,HLOOKUP('[1]Course Totals'!G$4,'[1]import graded seats course pivo'!$1:$2,2,FALSE),FALSE))),"")</f>
        <v>0.87096774193548387</v>
      </c>
      <c r="H937" s="14" t="str">
        <f>IFERROR((VLOOKUP($A937,'[1]import success seats course'!$A:V,HLOOKUP('[1]Course Totals'!H$4,'[1]import success seats course'!$1:$2,2,FALSE),FALSE)/(VLOOKUP($A937,'[1]import graded seats course pivo'!$A:AF,HLOOKUP('[1]Course Totals'!H$4,'[1]import graded seats course pivo'!$1:$2,2,FALSE),FALSE))),"")</f>
        <v/>
      </c>
      <c r="I937" s="14">
        <f>IFERROR((VLOOKUP($A937,'[1]import success seats course'!$A:W,HLOOKUP('[1]Course Totals'!I$4,'[1]import success seats course'!$1:$2,2,FALSE),FALSE)/(VLOOKUP($A937,'[1]import graded seats course pivo'!$A:AG,HLOOKUP('[1]Course Totals'!I$4,'[1]import graded seats course pivo'!$1:$2,2,FALSE),FALSE))),"")</f>
        <v>0.8928571428571429</v>
      </c>
      <c r="J937" s="14" t="str">
        <f>IFERROR((VLOOKUP($A937,'[1]import success seats course'!$A:X,HLOOKUP('[1]Course Totals'!J$4,'[1]import success seats course'!$1:$2,2,FALSE),FALSE)/(VLOOKUP($A937,'[1]import graded seats course pivo'!$A:AH,HLOOKUP('[1]Course Totals'!J$4,'[1]import graded seats course pivo'!$1:$2,2,FALSE),FALSE))),"")</f>
        <v/>
      </c>
      <c r="K937" s="14" t="str">
        <f>IFERROR((VLOOKUP($A937,'[1]import success seats course'!$A:Y,HLOOKUP('[1]Course Totals'!K$4,'[1]import success seats course'!$1:$2,2,FALSE),FALSE)/(VLOOKUP($A937,'[1]import graded seats course pivo'!$A:AI,HLOOKUP('[1]Course Totals'!K$4,'[1]import graded seats course pivo'!$1:$2,2,FALSE),FALSE))),"")</f>
        <v/>
      </c>
      <c r="L937" s="14" t="str">
        <f>IFERROR((VLOOKUP($A937,'[1]import success seats course'!$A:Z,HLOOKUP('[1]Course Totals'!L$4,'[1]import success seats course'!$1:$2,2,FALSE),FALSE)/(VLOOKUP($A937,'[1]import graded seats course pivo'!$A:AJ,HLOOKUP('[1]Course Totals'!L$4,'[1]import graded seats course pivo'!$1:$2,2,FALSE),FALSE))),"")</f>
        <v/>
      </c>
      <c r="M937" s="14" t="str">
        <f>IFERROR((VLOOKUP($A937,'[1]import success seats course'!$A:AA,HLOOKUP('[1]Course Totals'!M$4,'[1]import success seats course'!$1:$2,2,FALSE),FALSE)/(VLOOKUP($A937,'[1]import graded seats course pivo'!$A:AK,HLOOKUP('[1]Course Totals'!M$4,'[1]import graded seats course pivo'!$1:$2,2,FALSE),FALSE))),"")</f>
        <v/>
      </c>
      <c r="N937" s="14" t="str">
        <f>IFERROR((VLOOKUP($A937,'[1]import success seats course'!$A:AB,HLOOKUP('[1]Course Totals'!N$4,'[1]import success seats course'!$1:$2,2,FALSE),FALSE)/(VLOOKUP($A937,'[1]import graded seats course pivo'!$A:AL,HLOOKUP('[1]Course Totals'!N$4,'[1]import graded seats course pivo'!$1:$2,2,FALSE),FALSE))),"")</f>
        <v/>
      </c>
      <c r="O937" s="14" t="str">
        <f>IFERROR((VLOOKUP($A937,'[1]import success seats course'!$A:AC,HLOOKUP('[1]Course Totals'!O$4,'[1]import success seats course'!$1:$2,2,FALSE),FALSE)/(VLOOKUP($A937,'[1]import graded seats course pivo'!$A:AM,HLOOKUP('[1]Course Totals'!O$4,'[1]import graded seats course pivo'!$1:$2,2,FALSE),FALSE))),"")</f>
        <v/>
      </c>
      <c r="P937" s="14" t="str">
        <f>IFERROR((VLOOKUP($A937,'[1]import success seats course'!$A:AD,HLOOKUP('[1]Course Totals'!P$4,'[1]import success seats course'!$1:$2,2,FALSE),FALSE)/(VLOOKUP($A937,'[1]import graded seats course pivo'!$A:AN,HLOOKUP('[1]Course Totals'!P$4,'[1]import graded seats course pivo'!$1:$2,2,FALSE),FALSE))),"")</f>
        <v/>
      </c>
      <c r="Q937" s="14" t="str">
        <f>IFERROR((VLOOKUP($A937,'[1]import success seats course'!$A:AE,HLOOKUP('[1]Course Totals'!Q$4,'[1]import success seats course'!$1:$2,2,FALSE),FALSE)/(VLOOKUP($A937,'[1]import graded seats course pivo'!$A:AO,HLOOKUP('[1]Course Totals'!Q$4,'[1]import graded seats course pivo'!$1:$2,2,FALSE),FALSE))),"")</f>
        <v/>
      </c>
      <c r="R937" s="14" t="str">
        <f>IFERROR((VLOOKUP($A937,'[1]import success seats course'!$A:AF,HLOOKUP('[1]Course Totals'!R$4,'[1]import success seats course'!$1:$2,2,FALSE),FALSE)/(VLOOKUP($A937,'[1]import graded seats course pivo'!$A:AP,HLOOKUP('[1]Course Totals'!R$4,'[1]import graded seats course pivo'!$1:$2,2,FALSE),FALSE))),"")</f>
        <v/>
      </c>
      <c r="S937" s="14" t="str">
        <f>IFERROR((VLOOKUP($A937,'[1]import success seats course'!$A:AG,HLOOKUP('[1]Course Totals'!S$4,'[1]import success seats course'!$1:$2,2,FALSE),FALSE)/(VLOOKUP($A937,'[1]import graded seats course pivo'!$A:AQ,HLOOKUP('[1]Course Totals'!S$4,'[1]import graded seats course pivo'!$1:$2,2,FALSE),FALSE))),"")</f>
        <v/>
      </c>
      <c r="Z937" s="7"/>
      <c r="AA937" s="7"/>
      <c r="AB937" s="7"/>
      <c r="AC937" s="7"/>
    </row>
    <row r="938" spans="1:29" ht="15.75" customHeight="1" x14ac:dyDescent="0.25">
      <c r="A938" s="12" t="s">
        <v>449</v>
      </c>
      <c r="B938" s="14" t="str">
        <f>IFERROR((VLOOKUP($A938,'[1]import success seats course'!$A:P,HLOOKUP('[1]Course Totals'!B$4,'[1]import success seats course'!$1:$2,2,FALSE),FALSE)/(VLOOKUP($A938,'[1]import graded seats course pivo'!$A:Z,HLOOKUP('[1]Course Totals'!B$4,'[1]import graded seats course pivo'!$1:$2,2,FALSE),FALSE))),"")</f>
        <v/>
      </c>
      <c r="C938" s="14" t="str">
        <f>IFERROR((VLOOKUP($A938,'[1]import success seats course'!$A:Q,HLOOKUP('[1]Course Totals'!C$4,'[1]import success seats course'!$1:$2,2,FALSE),FALSE)/(VLOOKUP($A938,'[1]import graded seats course pivo'!$A:AA,HLOOKUP('[1]Course Totals'!C$4,'[1]import graded seats course pivo'!$1:$2,2,FALSE),FALSE))),"")</f>
        <v/>
      </c>
      <c r="D938" s="14" t="str">
        <f>IFERROR((VLOOKUP($A938,'[1]import success seats course'!$A:R,HLOOKUP('[1]Course Totals'!D$4,'[1]import success seats course'!$1:$2,2,FALSE),FALSE)/(VLOOKUP($A938,'[1]import graded seats course pivo'!$A:AB,HLOOKUP('[1]Course Totals'!D$4,'[1]import graded seats course pivo'!$1:$2,2,FALSE),FALSE))),"")</f>
        <v/>
      </c>
      <c r="E938" s="14" t="str">
        <f>IFERROR((VLOOKUP($A938,'[1]import success seats course'!$A:S,HLOOKUP('[1]Course Totals'!E$4,'[1]import success seats course'!$1:$2,2,FALSE),FALSE)/(VLOOKUP($A938,'[1]import graded seats course pivo'!$A:AC,HLOOKUP('[1]Course Totals'!E$4,'[1]import graded seats course pivo'!$1:$2,2,FALSE),FALSE))),"")</f>
        <v/>
      </c>
      <c r="F938" s="14" t="str">
        <f>IFERROR((VLOOKUP($A938,'[1]import success seats course'!$A:T,HLOOKUP('[1]Course Totals'!F$4,'[1]import success seats course'!$1:$2,2,FALSE),FALSE)/(VLOOKUP($A938,'[1]import graded seats course pivo'!$A:AD,HLOOKUP('[1]Course Totals'!F$4,'[1]import graded seats course pivo'!$1:$2,2,FALSE),FALSE))),"")</f>
        <v/>
      </c>
      <c r="G938" s="14" t="str">
        <f>IFERROR((VLOOKUP($A938,'[1]import success seats course'!$A:U,HLOOKUP('[1]Course Totals'!G$4,'[1]import success seats course'!$1:$2,2,FALSE),FALSE)/(VLOOKUP($A938,'[1]import graded seats course pivo'!$A:AE,HLOOKUP('[1]Course Totals'!G$4,'[1]import graded seats course pivo'!$1:$2,2,FALSE),FALSE))),"")</f>
        <v/>
      </c>
      <c r="H938" s="14" t="str">
        <f>IFERROR((VLOOKUP($A938,'[1]import success seats course'!$A:V,HLOOKUP('[1]Course Totals'!H$4,'[1]import success seats course'!$1:$2,2,FALSE),FALSE)/(VLOOKUP($A938,'[1]import graded seats course pivo'!$A:AF,HLOOKUP('[1]Course Totals'!H$4,'[1]import graded seats course pivo'!$1:$2,2,FALSE),FALSE))),"")</f>
        <v/>
      </c>
      <c r="I938" s="14" t="str">
        <f>IFERROR((VLOOKUP($A938,'[1]import success seats course'!$A:W,HLOOKUP('[1]Course Totals'!I$4,'[1]import success seats course'!$1:$2,2,FALSE),FALSE)/(VLOOKUP($A938,'[1]import graded seats course pivo'!$A:AG,HLOOKUP('[1]Course Totals'!I$4,'[1]import graded seats course pivo'!$1:$2,2,FALSE),FALSE))),"")</f>
        <v/>
      </c>
      <c r="J938" s="14" t="str">
        <f>IFERROR((VLOOKUP($A938,'[1]import success seats course'!$A:X,HLOOKUP('[1]Course Totals'!J$4,'[1]import success seats course'!$1:$2,2,FALSE),FALSE)/(VLOOKUP($A938,'[1]import graded seats course pivo'!$A:AH,HLOOKUP('[1]Course Totals'!J$4,'[1]import graded seats course pivo'!$1:$2,2,FALSE),FALSE))),"")</f>
        <v/>
      </c>
      <c r="K938" s="14" t="str">
        <f>IFERROR((VLOOKUP($A938,'[1]import success seats course'!$A:Y,HLOOKUP('[1]Course Totals'!K$4,'[1]import success seats course'!$1:$2,2,FALSE),FALSE)/(VLOOKUP($A938,'[1]import graded seats course pivo'!$A:AI,HLOOKUP('[1]Course Totals'!K$4,'[1]import graded seats course pivo'!$1:$2,2,FALSE),FALSE))),"")</f>
        <v/>
      </c>
      <c r="L938" s="14" t="str">
        <f>IFERROR((VLOOKUP($A938,'[1]import success seats course'!$A:Z,HLOOKUP('[1]Course Totals'!L$4,'[1]import success seats course'!$1:$2,2,FALSE),FALSE)/(VLOOKUP($A938,'[1]import graded seats course pivo'!$A:AJ,HLOOKUP('[1]Course Totals'!L$4,'[1]import graded seats course pivo'!$1:$2,2,FALSE),FALSE))),"")</f>
        <v/>
      </c>
      <c r="M938" s="14" t="str">
        <f>IFERROR((VLOOKUP($A938,'[1]import success seats course'!$A:AA,HLOOKUP('[1]Course Totals'!M$4,'[1]import success seats course'!$1:$2,2,FALSE),FALSE)/(VLOOKUP($A938,'[1]import graded seats course pivo'!$A:AK,HLOOKUP('[1]Course Totals'!M$4,'[1]import graded seats course pivo'!$1:$2,2,FALSE),FALSE))),"")</f>
        <v/>
      </c>
      <c r="N938" s="14" t="str">
        <f>IFERROR((VLOOKUP($A938,'[1]import success seats course'!$A:AB,HLOOKUP('[1]Course Totals'!N$4,'[1]import success seats course'!$1:$2,2,FALSE),FALSE)/(VLOOKUP($A938,'[1]import graded seats course pivo'!$A:AL,HLOOKUP('[1]Course Totals'!N$4,'[1]import graded seats course pivo'!$1:$2,2,FALSE),FALSE))),"")</f>
        <v/>
      </c>
      <c r="O938" s="14" t="str">
        <f>IFERROR((VLOOKUP($A938,'[1]import success seats course'!$A:AC,HLOOKUP('[1]Course Totals'!O$4,'[1]import success seats course'!$1:$2,2,FALSE),FALSE)/(VLOOKUP($A938,'[1]import graded seats course pivo'!$A:AM,HLOOKUP('[1]Course Totals'!O$4,'[1]import graded seats course pivo'!$1:$2,2,FALSE),FALSE))),"")</f>
        <v/>
      </c>
      <c r="P938" s="14" t="str">
        <f>IFERROR((VLOOKUP($A938,'[1]import success seats course'!$A:AD,HLOOKUP('[1]Course Totals'!P$4,'[1]import success seats course'!$1:$2,2,FALSE),FALSE)/(VLOOKUP($A938,'[1]import graded seats course pivo'!$A:AN,HLOOKUP('[1]Course Totals'!P$4,'[1]import graded seats course pivo'!$1:$2,2,FALSE),FALSE))),"")</f>
        <v/>
      </c>
      <c r="Q938" s="14" t="str">
        <f>IFERROR((VLOOKUP($A938,'[1]import success seats course'!$A:AE,HLOOKUP('[1]Course Totals'!Q$4,'[1]import success seats course'!$1:$2,2,FALSE),FALSE)/(VLOOKUP($A938,'[1]import graded seats course pivo'!$A:AO,HLOOKUP('[1]Course Totals'!Q$4,'[1]import graded seats course pivo'!$1:$2,2,FALSE),FALSE))),"")</f>
        <v/>
      </c>
      <c r="R938" s="14">
        <f>IFERROR((VLOOKUP($A938,'[1]import success seats course'!$A:AF,HLOOKUP('[1]Course Totals'!R$4,'[1]import success seats course'!$1:$2,2,FALSE),FALSE)/(VLOOKUP($A938,'[1]import graded seats course pivo'!$A:AP,HLOOKUP('[1]Course Totals'!R$4,'[1]import graded seats course pivo'!$1:$2,2,FALSE),FALSE))),"")</f>
        <v>0.97297297297297303</v>
      </c>
      <c r="S938" s="14" t="str">
        <f>IFERROR((VLOOKUP($A938,'[1]import success seats course'!$A:AG,HLOOKUP('[1]Course Totals'!S$4,'[1]import success seats course'!$1:$2,2,FALSE),FALSE)/(VLOOKUP($A938,'[1]import graded seats course pivo'!$A:AQ,HLOOKUP('[1]Course Totals'!S$4,'[1]import graded seats course pivo'!$1:$2,2,FALSE),FALSE))),"")</f>
        <v/>
      </c>
      <c r="Z938" s="7"/>
      <c r="AA938" s="7"/>
      <c r="AB938" s="7"/>
      <c r="AC938" s="7"/>
    </row>
    <row r="939" spans="1:29" ht="15.75" hidden="1" customHeight="1" x14ac:dyDescent="0.25">
      <c r="A939" s="12" t="s">
        <v>939</v>
      </c>
      <c r="B939" s="14" t="str">
        <f>IFERROR((VLOOKUP($A939,'[1]import success seats course'!$A:P,HLOOKUP('[1]Course Totals'!B$4,'[1]import success seats course'!$1:$2,2,FALSE),FALSE)/(VLOOKUP($A939,'[1]import graded seats course pivo'!$A:Z,HLOOKUP('[1]Course Totals'!B$4,'[1]import graded seats course pivo'!$1:$2,2,FALSE),FALSE))),"")</f>
        <v/>
      </c>
      <c r="C939" s="14" t="str">
        <f>IFERROR((VLOOKUP($A939,'[1]import success seats course'!$A:Q,HLOOKUP('[1]Course Totals'!C$4,'[1]import success seats course'!$1:$2,2,FALSE),FALSE)/(VLOOKUP($A939,'[1]import graded seats course pivo'!$A:AA,HLOOKUP('[1]Course Totals'!C$4,'[1]import graded seats course pivo'!$1:$2,2,FALSE),FALSE))),"")</f>
        <v/>
      </c>
      <c r="D939" s="14" t="str">
        <f>IFERROR((VLOOKUP($A939,'[1]import success seats course'!$A:R,HLOOKUP('[1]Course Totals'!D$4,'[1]import success seats course'!$1:$2,2,FALSE),FALSE)/(VLOOKUP($A939,'[1]import graded seats course pivo'!$A:AB,HLOOKUP('[1]Course Totals'!D$4,'[1]import graded seats course pivo'!$1:$2,2,FALSE),FALSE))),"")</f>
        <v/>
      </c>
      <c r="E939" s="14" t="str">
        <f>IFERROR((VLOOKUP($A939,'[1]import success seats course'!$A:S,HLOOKUP('[1]Course Totals'!E$4,'[1]import success seats course'!$1:$2,2,FALSE),FALSE)/(VLOOKUP($A939,'[1]import graded seats course pivo'!$A:AC,HLOOKUP('[1]Course Totals'!E$4,'[1]import graded seats course pivo'!$1:$2,2,FALSE),FALSE))),"")</f>
        <v/>
      </c>
      <c r="F939" s="14" t="str">
        <f>IFERROR((VLOOKUP($A939,'[1]import success seats course'!$A:T,HLOOKUP('[1]Course Totals'!F$4,'[1]import success seats course'!$1:$2,2,FALSE),FALSE)/(VLOOKUP($A939,'[1]import graded seats course pivo'!$A:AD,HLOOKUP('[1]Course Totals'!F$4,'[1]import graded seats course pivo'!$1:$2,2,FALSE),FALSE))),"")</f>
        <v/>
      </c>
      <c r="G939" s="14" t="str">
        <f>IFERROR((VLOOKUP($A939,'[1]import success seats course'!$A:U,HLOOKUP('[1]Course Totals'!G$4,'[1]import success seats course'!$1:$2,2,FALSE),FALSE)/(VLOOKUP($A939,'[1]import graded seats course pivo'!$A:AE,HLOOKUP('[1]Course Totals'!G$4,'[1]import graded seats course pivo'!$1:$2,2,FALSE),FALSE))),"")</f>
        <v/>
      </c>
      <c r="H939" s="14" t="str">
        <f>IFERROR((VLOOKUP($A939,'[1]import success seats course'!$A:V,HLOOKUP('[1]Course Totals'!H$4,'[1]import success seats course'!$1:$2,2,FALSE),FALSE)/(VLOOKUP($A939,'[1]import graded seats course pivo'!$A:AF,HLOOKUP('[1]Course Totals'!H$4,'[1]import graded seats course pivo'!$1:$2,2,FALSE),FALSE))),"")</f>
        <v/>
      </c>
      <c r="I939" s="14" t="str">
        <f>IFERROR((VLOOKUP($A939,'[1]import success seats course'!$A:W,HLOOKUP('[1]Course Totals'!I$4,'[1]import success seats course'!$1:$2,2,FALSE),FALSE)/(VLOOKUP($A939,'[1]import graded seats course pivo'!$A:AG,HLOOKUP('[1]Course Totals'!I$4,'[1]import graded seats course pivo'!$1:$2,2,FALSE),FALSE))),"")</f>
        <v/>
      </c>
      <c r="J939" s="14" t="str">
        <f>IFERROR((VLOOKUP($A939,'[1]import success seats course'!$A:X,HLOOKUP('[1]Course Totals'!J$4,'[1]import success seats course'!$1:$2,2,FALSE),FALSE)/(VLOOKUP($A939,'[1]import graded seats course pivo'!$A:AH,HLOOKUP('[1]Course Totals'!J$4,'[1]import graded seats course pivo'!$1:$2,2,FALSE),FALSE))),"")</f>
        <v/>
      </c>
      <c r="K939" s="14" t="str">
        <f>IFERROR((VLOOKUP($A939,'[1]import success seats course'!$A:Y,HLOOKUP('[1]Course Totals'!K$4,'[1]import success seats course'!$1:$2,2,FALSE),FALSE)/(VLOOKUP($A939,'[1]import graded seats course pivo'!$A:AI,HLOOKUP('[1]Course Totals'!K$4,'[1]import graded seats course pivo'!$1:$2,2,FALSE),FALSE))),"")</f>
        <v/>
      </c>
      <c r="L939" s="14" t="str">
        <f>IFERROR((VLOOKUP($A939,'[1]import success seats course'!$A:Z,HLOOKUP('[1]Course Totals'!L$4,'[1]import success seats course'!$1:$2,2,FALSE),FALSE)/(VLOOKUP($A939,'[1]import graded seats course pivo'!$A:AJ,HLOOKUP('[1]Course Totals'!L$4,'[1]import graded seats course pivo'!$1:$2,2,FALSE),FALSE))),"")</f>
        <v/>
      </c>
      <c r="M939" s="14" t="str">
        <f>IFERROR((VLOOKUP($A939,'[1]import success seats course'!$A:AA,HLOOKUP('[1]Course Totals'!M$4,'[1]import success seats course'!$1:$2,2,FALSE),FALSE)/(VLOOKUP($A939,'[1]import graded seats course pivo'!$A:AK,HLOOKUP('[1]Course Totals'!M$4,'[1]import graded seats course pivo'!$1:$2,2,FALSE),FALSE))),"")</f>
        <v/>
      </c>
      <c r="N939" s="14" t="str">
        <f>IFERROR((VLOOKUP($A939,'[1]import success seats course'!$A:AB,HLOOKUP('[1]Course Totals'!N$4,'[1]import success seats course'!$1:$2,2,FALSE),FALSE)/(VLOOKUP($A939,'[1]import graded seats course pivo'!$A:AL,HLOOKUP('[1]Course Totals'!N$4,'[1]import graded seats course pivo'!$1:$2,2,FALSE),FALSE))),"")</f>
        <v/>
      </c>
      <c r="O939" s="14" t="str">
        <f>IFERROR((VLOOKUP($A939,'[1]import success seats course'!$A:AC,HLOOKUP('[1]Course Totals'!O$4,'[1]import success seats course'!$1:$2,2,FALSE),FALSE)/(VLOOKUP($A939,'[1]import graded seats course pivo'!$A:AM,HLOOKUP('[1]Course Totals'!O$4,'[1]import graded seats course pivo'!$1:$2,2,FALSE),FALSE))),"")</f>
        <v/>
      </c>
      <c r="P939" s="14" t="str">
        <f>IFERROR((VLOOKUP($A939,'[1]import success seats course'!$A:AD,HLOOKUP('[1]Course Totals'!P$4,'[1]import success seats course'!$1:$2,2,FALSE),FALSE)/(VLOOKUP($A939,'[1]import graded seats course pivo'!$A:AN,HLOOKUP('[1]Course Totals'!P$4,'[1]import graded seats course pivo'!$1:$2,2,FALSE),FALSE))),"")</f>
        <v/>
      </c>
      <c r="Q939" s="14" t="str">
        <f>IFERROR((VLOOKUP($A939,'[1]import success seats course'!$A:AE,HLOOKUP('[1]Course Totals'!Q$4,'[1]import success seats course'!$1:$2,2,FALSE),FALSE)/(VLOOKUP($A939,'[1]import graded seats course pivo'!$A:AO,HLOOKUP('[1]Course Totals'!Q$4,'[1]import graded seats course pivo'!$1:$2,2,FALSE),FALSE))),"")</f>
        <v/>
      </c>
      <c r="R939" s="14" t="str">
        <f>IFERROR((VLOOKUP($A939,'[1]import success seats course'!$A:AF,HLOOKUP('[1]Course Totals'!R$4,'[1]import success seats course'!$1:$2,2,FALSE),FALSE)/(VLOOKUP($A939,'[1]import graded seats course pivo'!$A:AP,HLOOKUP('[1]Course Totals'!R$4,'[1]import graded seats course pivo'!$1:$2,2,FALSE),FALSE))),"")</f>
        <v/>
      </c>
      <c r="S939" s="14" t="str">
        <f>IFERROR((VLOOKUP($A939,'[1]import success seats course'!$A:AG,HLOOKUP('[1]Course Totals'!S$4,'[1]import success seats course'!$1:$2,2,FALSE),FALSE)/(VLOOKUP($A939,'[1]import graded seats course pivo'!$A:AQ,HLOOKUP('[1]Course Totals'!S$4,'[1]import graded seats course pivo'!$1:$2,2,FALSE),FALSE))),"")</f>
        <v/>
      </c>
      <c r="Z939" s="7"/>
      <c r="AA939" s="7"/>
      <c r="AB939" s="7"/>
      <c r="AC939" s="7"/>
    </row>
    <row r="940" spans="1:29" ht="15.75" hidden="1" customHeight="1" x14ac:dyDescent="0.25">
      <c r="A940" s="12" t="s">
        <v>1058</v>
      </c>
      <c r="B940" s="14" t="str">
        <f>IFERROR((VLOOKUP($A940,'[1]import success seats course'!$A:P,HLOOKUP('[1]Course Totals'!B$4,'[1]import success seats course'!$1:$2,2,FALSE),FALSE)/(VLOOKUP($A940,'[1]import graded seats course pivo'!$A:Z,HLOOKUP('[1]Course Totals'!B$4,'[1]import graded seats course pivo'!$1:$2,2,FALSE),FALSE))),"")</f>
        <v/>
      </c>
      <c r="C940" s="14" t="str">
        <f>IFERROR((VLOOKUP($A940,'[1]import success seats course'!$A:Q,HLOOKUP('[1]Course Totals'!C$4,'[1]import success seats course'!$1:$2,2,FALSE),FALSE)/(VLOOKUP($A940,'[1]import graded seats course pivo'!$A:AA,HLOOKUP('[1]Course Totals'!C$4,'[1]import graded seats course pivo'!$1:$2,2,FALSE),FALSE))),"")</f>
        <v/>
      </c>
      <c r="D940" s="14" t="str">
        <f>IFERROR((VLOOKUP($A940,'[1]import success seats course'!$A:R,HLOOKUP('[1]Course Totals'!D$4,'[1]import success seats course'!$1:$2,2,FALSE),FALSE)/(VLOOKUP($A940,'[1]import graded seats course pivo'!$A:AB,HLOOKUP('[1]Course Totals'!D$4,'[1]import graded seats course pivo'!$1:$2,2,FALSE),FALSE))),"")</f>
        <v/>
      </c>
      <c r="E940" s="14" t="str">
        <f>IFERROR((VLOOKUP($A940,'[1]import success seats course'!$A:S,HLOOKUP('[1]Course Totals'!E$4,'[1]import success seats course'!$1:$2,2,FALSE),FALSE)/(VLOOKUP($A940,'[1]import graded seats course pivo'!$A:AC,HLOOKUP('[1]Course Totals'!E$4,'[1]import graded seats course pivo'!$1:$2,2,FALSE),FALSE))),"")</f>
        <v/>
      </c>
      <c r="F940" s="14" t="str">
        <f>IFERROR((VLOOKUP($A940,'[1]import success seats course'!$A:T,HLOOKUP('[1]Course Totals'!F$4,'[1]import success seats course'!$1:$2,2,FALSE),FALSE)/(VLOOKUP($A940,'[1]import graded seats course pivo'!$A:AD,HLOOKUP('[1]Course Totals'!F$4,'[1]import graded seats course pivo'!$1:$2,2,FALSE),FALSE))),"")</f>
        <v/>
      </c>
      <c r="G940" s="14" t="str">
        <f>IFERROR((VLOOKUP($A940,'[1]import success seats course'!$A:U,HLOOKUP('[1]Course Totals'!G$4,'[1]import success seats course'!$1:$2,2,FALSE),FALSE)/(VLOOKUP($A940,'[1]import graded seats course pivo'!$A:AE,HLOOKUP('[1]Course Totals'!G$4,'[1]import graded seats course pivo'!$1:$2,2,FALSE),FALSE))),"")</f>
        <v/>
      </c>
      <c r="H940" s="14" t="str">
        <f>IFERROR((VLOOKUP($A940,'[1]import success seats course'!$A:V,HLOOKUP('[1]Course Totals'!H$4,'[1]import success seats course'!$1:$2,2,FALSE),FALSE)/(VLOOKUP($A940,'[1]import graded seats course pivo'!$A:AF,HLOOKUP('[1]Course Totals'!H$4,'[1]import graded seats course pivo'!$1:$2,2,FALSE),FALSE))),"")</f>
        <v/>
      </c>
      <c r="I940" s="14" t="str">
        <f>IFERROR((VLOOKUP($A940,'[1]import success seats course'!$A:W,HLOOKUP('[1]Course Totals'!I$4,'[1]import success seats course'!$1:$2,2,FALSE),FALSE)/(VLOOKUP($A940,'[1]import graded seats course pivo'!$A:AG,HLOOKUP('[1]Course Totals'!I$4,'[1]import graded seats course pivo'!$1:$2,2,FALSE),FALSE))),"")</f>
        <v/>
      </c>
      <c r="J940" s="14" t="str">
        <f>IFERROR((VLOOKUP($A940,'[1]import success seats course'!$A:X,HLOOKUP('[1]Course Totals'!J$4,'[1]import success seats course'!$1:$2,2,FALSE),FALSE)/(VLOOKUP($A940,'[1]import graded seats course pivo'!$A:AH,HLOOKUP('[1]Course Totals'!J$4,'[1]import graded seats course pivo'!$1:$2,2,FALSE),FALSE))),"")</f>
        <v/>
      </c>
      <c r="K940" s="14" t="str">
        <f>IFERROR((VLOOKUP($A940,'[1]import success seats course'!$A:Y,HLOOKUP('[1]Course Totals'!K$4,'[1]import success seats course'!$1:$2,2,FALSE),FALSE)/(VLOOKUP($A940,'[1]import graded seats course pivo'!$A:AI,HLOOKUP('[1]Course Totals'!K$4,'[1]import graded seats course pivo'!$1:$2,2,FALSE),FALSE))),"")</f>
        <v/>
      </c>
      <c r="L940" s="14" t="str">
        <f>IFERROR((VLOOKUP($A940,'[1]import success seats course'!$A:Z,HLOOKUP('[1]Course Totals'!L$4,'[1]import success seats course'!$1:$2,2,FALSE),FALSE)/(VLOOKUP($A940,'[1]import graded seats course pivo'!$A:AJ,HLOOKUP('[1]Course Totals'!L$4,'[1]import graded seats course pivo'!$1:$2,2,FALSE),FALSE))),"")</f>
        <v/>
      </c>
      <c r="M940" s="14" t="str">
        <f>IFERROR((VLOOKUP($A940,'[1]import success seats course'!$A:AA,HLOOKUP('[1]Course Totals'!M$4,'[1]import success seats course'!$1:$2,2,FALSE),FALSE)/(VLOOKUP($A940,'[1]import graded seats course pivo'!$A:AK,HLOOKUP('[1]Course Totals'!M$4,'[1]import graded seats course pivo'!$1:$2,2,FALSE),FALSE))),"")</f>
        <v/>
      </c>
      <c r="N940" s="14" t="str">
        <f>IFERROR((VLOOKUP($A940,'[1]import success seats course'!$A:AB,HLOOKUP('[1]Course Totals'!N$4,'[1]import success seats course'!$1:$2,2,FALSE),FALSE)/(VLOOKUP($A940,'[1]import graded seats course pivo'!$A:AL,HLOOKUP('[1]Course Totals'!N$4,'[1]import graded seats course pivo'!$1:$2,2,FALSE),FALSE))),"")</f>
        <v/>
      </c>
      <c r="O940" s="14" t="str">
        <f>IFERROR((VLOOKUP($A940,'[1]import success seats course'!$A:AC,HLOOKUP('[1]Course Totals'!O$4,'[1]import success seats course'!$1:$2,2,FALSE),FALSE)/(VLOOKUP($A940,'[1]import graded seats course pivo'!$A:AM,HLOOKUP('[1]Course Totals'!O$4,'[1]import graded seats course pivo'!$1:$2,2,FALSE),FALSE))),"")</f>
        <v/>
      </c>
      <c r="P940" s="14" t="str">
        <f>IFERROR((VLOOKUP($A940,'[1]import success seats course'!$A:AD,HLOOKUP('[1]Course Totals'!P$4,'[1]import success seats course'!$1:$2,2,FALSE),FALSE)/(VLOOKUP($A940,'[1]import graded seats course pivo'!$A:AN,HLOOKUP('[1]Course Totals'!P$4,'[1]import graded seats course pivo'!$1:$2,2,FALSE),FALSE))),"")</f>
        <v/>
      </c>
      <c r="Q940" s="14" t="str">
        <f>IFERROR((VLOOKUP($A940,'[1]import success seats course'!$A:AE,HLOOKUP('[1]Course Totals'!Q$4,'[1]import success seats course'!$1:$2,2,FALSE),FALSE)/(VLOOKUP($A940,'[1]import graded seats course pivo'!$A:AO,HLOOKUP('[1]Course Totals'!Q$4,'[1]import graded seats course pivo'!$1:$2,2,FALSE),FALSE))),"")</f>
        <v/>
      </c>
      <c r="R940" s="14" t="str">
        <f>IFERROR((VLOOKUP($A940,'[1]import success seats course'!$A:AF,HLOOKUP('[1]Course Totals'!R$4,'[1]import success seats course'!$1:$2,2,FALSE),FALSE)/(VLOOKUP($A940,'[1]import graded seats course pivo'!$A:AP,HLOOKUP('[1]Course Totals'!R$4,'[1]import graded seats course pivo'!$1:$2,2,FALSE),FALSE))),"")</f>
        <v/>
      </c>
      <c r="S940" s="14" t="str">
        <f>IFERROR((VLOOKUP($A940,'[1]import success seats course'!$A:AG,HLOOKUP('[1]Course Totals'!S$4,'[1]import success seats course'!$1:$2,2,FALSE),FALSE)/(VLOOKUP($A940,'[1]import graded seats course pivo'!$A:AQ,HLOOKUP('[1]Course Totals'!S$4,'[1]import graded seats course pivo'!$1:$2,2,FALSE),FALSE))),"")</f>
        <v/>
      </c>
      <c r="Z940" s="7"/>
      <c r="AA940" s="7"/>
      <c r="AB940" s="7"/>
      <c r="AC940" s="7"/>
    </row>
    <row r="941" spans="1:29" ht="15.75" hidden="1" customHeight="1" x14ac:dyDescent="0.25">
      <c r="A941" s="12" t="s">
        <v>856</v>
      </c>
      <c r="B941" s="14" t="str">
        <f>IFERROR((VLOOKUP($A941,'[1]import success seats course'!$A:P,HLOOKUP('[1]Course Totals'!B$4,'[1]import success seats course'!$1:$2,2,FALSE),FALSE)/(VLOOKUP($A941,'[1]import graded seats course pivo'!$A:Z,HLOOKUP('[1]Course Totals'!B$4,'[1]import graded seats course pivo'!$1:$2,2,FALSE),FALSE))),"")</f>
        <v/>
      </c>
      <c r="C941" s="14" t="str">
        <f>IFERROR((VLOOKUP($A941,'[1]import success seats course'!$A:Q,HLOOKUP('[1]Course Totals'!C$4,'[1]import success seats course'!$1:$2,2,FALSE),FALSE)/(VLOOKUP($A941,'[1]import graded seats course pivo'!$A:AA,HLOOKUP('[1]Course Totals'!C$4,'[1]import graded seats course pivo'!$1:$2,2,FALSE),FALSE))),"")</f>
        <v/>
      </c>
      <c r="D941" s="14" t="str">
        <f>IFERROR((VLOOKUP($A941,'[1]import success seats course'!$A:R,HLOOKUP('[1]Course Totals'!D$4,'[1]import success seats course'!$1:$2,2,FALSE),FALSE)/(VLOOKUP($A941,'[1]import graded seats course pivo'!$A:AB,HLOOKUP('[1]Course Totals'!D$4,'[1]import graded seats course pivo'!$1:$2,2,FALSE),FALSE))),"")</f>
        <v/>
      </c>
      <c r="E941" s="14" t="str">
        <f>IFERROR((VLOOKUP($A941,'[1]import success seats course'!$A:S,HLOOKUP('[1]Course Totals'!E$4,'[1]import success seats course'!$1:$2,2,FALSE),FALSE)/(VLOOKUP($A941,'[1]import graded seats course pivo'!$A:AC,HLOOKUP('[1]Course Totals'!E$4,'[1]import graded seats course pivo'!$1:$2,2,FALSE),FALSE))),"")</f>
        <v/>
      </c>
      <c r="F941" s="14" t="str">
        <f>IFERROR((VLOOKUP($A941,'[1]import success seats course'!$A:T,HLOOKUP('[1]Course Totals'!F$4,'[1]import success seats course'!$1:$2,2,FALSE),FALSE)/(VLOOKUP($A941,'[1]import graded seats course pivo'!$A:AD,HLOOKUP('[1]Course Totals'!F$4,'[1]import graded seats course pivo'!$1:$2,2,FALSE),FALSE))),"")</f>
        <v/>
      </c>
      <c r="G941" s="14" t="str">
        <f>IFERROR((VLOOKUP($A941,'[1]import success seats course'!$A:U,HLOOKUP('[1]Course Totals'!G$4,'[1]import success seats course'!$1:$2,2,FALSE),FALSE)/(VLOOKUP($A941,'[1]import graded seats course pivo'!$A:AE,HLOOKUP('[1]Course Totals'!G$4,'[1]import graded seats course pivo'!$1:$2,2,FALSE),FALSE))),"")</f>
        <v/>
      </c>
      <c r="H941" s="14" t="str">
        <f>IFERROR((VLOOKUP($A941,'[1]import success seats course'!$A:V,HLOOKUP('[1]Course Totals'!H$4,'[1]import success seats course'!$1:$2,2,FALSE),FALSE)/(VLOOKUP($A941,'[1]import graded seats course pivo'!$A:AF,HLOOKUP('[1]Course Totals'!H$4,'[1]import graded seats course pivo'!$1:$2,2,FALSE),FALSE))),"")</f>
        <v/>
      </c>
      <c r="I941" s="14" t="str">
        <f>IFERROR((VLOOKUP($A941,'[1]import success seats course'!$A:W,HLOOKUP('[1]Course Totals'!I$4,'[1]import success seats course'!$1:$2,2,FALSE),FALSE)/(VLOOKUP($A941,'[1]import graded seats course pivo'!$A:AG,HLOOKUP('[1]Course Totals'!I$4,'[1]import graded seats course pivo'!$1:$2,2,FALSE),FALSE))),"")</f>
        <v/>
      </c>
      <c r="J941" s="14" t="str">
        <f>IFERROR((VLOOKUP($A941,'[1]import success seats course'!$A:X,HLOOKUP('[1]Course Totals'!J$4,'[1]import success seats course'!$1:$2,2,FALSE),FALSE)/(VLOOKUP($A941,'[1]import graded seats course pivo'!$A:AH,HLOOKUP('[1]Course Totals'!J$4,'[1]import graded seats course pivo'!$1:$2,2,FALSE),FALSE))),"")</f>
        <v/>
      </c>
      <c r="K941" s="14" t="str">
        <f>IFERROR((VLOOKUP($A941,'[1]import success seats course'!$A:Y,HLOOKUP('[1]Course Totals'!K$4,'[1]import success seats course'!$1:$2,2,FALSE),FALSE)/(VLOOKUP($A941,'[1]import graded seats course pivo'!$A:AI,HLOOKUP('[1]Course Totals'!K$4,'[1]import graded seats course pivo'!$1:$2,2,FALSE),FALSE))),"")</f>
        <v/>
      </c>
      <c r="L941" s="14" t="str">
        <f>IFERROR((VLOOKUP($A941,'[1]import success seats course'!$A:Z,HLOOKUP('[1]Course Totals'!L$4,'[1]import success seats course'!$1:$2,2,FALSE),FALSE)/(VLOOKUP($A941,'[1]import graded seats course pivo'!$A:AJ,HLOOKUP('[1]Course Totals'!L$4,'[1]import graded seats course pivo'!$1:$2,2,FALSE),FALSE))),"")</f>
        <v/>
      </c>
      <c r="M941" s="14" t="str">
        <f>IFERROR((VLOOKUP($A941,'[1]import success seats course'!$A:AA,HLOOKUP('[1]Course Totals'!M$4,'[1]import success seats course'!$1:$2,2,FALSE),FALSE)/(VLOOKUP($A941,'[1]import graded seats course pivo'!$A:AK,HLOOKUP('[1]Course Totals'!M$4,'[1]import graded seats course pivo'!$1:$2,2,FALSE),FALSE))),"")</f>
        <v/>
      </c>
      <c r="N941" s="14" t="str">
        <f>IFERROR((VLOOKUP($A941,'[1]import success seats course'!$A:AB,HLOOKUP('[1]Course Totals'!N$4,'[1]import success seats course'!$1:$2,2,FALSE),FALSE)/(VLOOKUP($A941,'[1]import graded seats course pivo'!$A:AL,HLOOKUP('[1]Course Totals'!N$4,'[1]import graded seats course pivo'!$1:$2,2,FALSE),FALSE))),"")</f>
        <v/>
      </c>
      <c r="O941" s="14" t="str">
        <f>IFERROR((VLOOKUP($A941,'[1]import success seats course'!$A:AC,HLOOKUP('[1]Course Totals'!O$4,'[1]import success seats course'!$1:$2,2,FALSE),FALSE)/(VLOOKUP($A941,'[1]import graded seats course pivo'!$A:AM,HLOOKUP('[1]Course Totals'!O$4,'[1]import graded seats course pivo'!$1:$2,2,FALSE),FALSE))),"")</f>
        <v/>
      </c>
      <c r="P941" s="14" t="str">
        <f>IFERROR((VLOOKUP($A941,'[1]import success seats course'!$A:AD,HLOOKUP('[1]Course Totals'!P$4,'[1]import success seats course'!$1:$2,2,FALSE),FALSE)/(VLOOKUP($A941,'[1]import graded seats course pivo'!$A:AN,HLOOKUP('[1]Course Totals'!P$4,'[1]import graded seats course pivo'!$1:$2,2,FALSE),FALSE))),"")</f>
        <v/>
      </c>
      <c r="Q941" s="14" t="str">
        <f>IFERROR((VLOOKUP($A941,'[1]import success seats course'!$A:AE,HLOOKUP('[1]Course Totals'!Q$4,'[1]import success seats course'!$1:$2,2,FALSE),FALSE)/(VLOOKUP($A941,'[1]import graded seats course pivo'!$A:AO,HLOOKUP('[1]Course Totals'!Q$4,'[1]import graded seats course pivo'!$1:$2,2,FALSE),FALSE))),"")</f>
        <v/>
      </c>
      <c r="R941" s="14" t="str">
        <f>IFERROR((VLOOKUP($A941,'[1]import success seats course'!$A:AF,HLOOKUP('[1]Course Totals'!R$4,'[1]import success seats course'!$1:$2,2,FALSE),FALSE)/(VLOOKUP($A941,'[1]import graded seats course pivo'!$A:AP,HLOOKUP('[1]Course Totals'!R$4,'[1]import graded seats course pivo'!$1:$2,2,FALSE),FALSE))),"")</f>
        <v/>
      </c>
      <c r="S941" s="14" t="str">
        <f>IFERROR((VLOOKUP($A941,'[1]import success seats course'!$A:AG,HLOOKUP('[1]Course Totals'!S$4,'[1]import success seats course'!$1:$2,2,FALSE),FALSE)/(VLOOKUP($A941,'[1]import graded seats course pivo'!$A:AQ,HLOOKUP('[1]Course Totals'!S$4,'[1]import graded seats course pivo'!$1:$2,2,FALSE),FALSE))),"")</f>
        <v/>
      </c>
      <c r="Z941" s="7"/>
      <c r="AA941" s="7"/>
      <c r="AB941" s="7"/>
      <c r="AC941" s="7"/>
    </row>
    <row r="942" spans="1:29" ht="15.75" hidden="1" customHeight="1" x14ac:dyDescent="0.25">
      <c r="A942" s="12" t="s">
        <v>857</v>
      </c>
      <c r="B942" s="14" t="str">
        <f>IFERROR((VLOOKUP($A942,'[1]import success seats course'!$A:P,HLOOKUP('[1]Course Totals'!B$4,'[1]import success seats course'!$1:$2,2,FALSE),FALSE)/(VLOOKUP($A942,'[1]import graded seats course pivo'!$A:Z,HLOOKUP('[1]Course Totals'!B$4,'[1]import graded seats course pivo'!$1:$2,2,FALSE),FALSE))),"")</f>
        <v/>
      </c>
      <c r="C942" s="14" t="str">
        <f>IFERROR((VLOOKUP($A942,'[1]import success seats course'!$A:Q,HLOOKUP('[1]Course Totals'!C$4,'[1]import success seats course'!$1:$2,2,FALSE),FALSE)/(VLOOKUP($A942,'[1]import graded seats course pivo'!$A:AA,HLOOKUP('[1]Course Totals'!C$4,'[1]import graded seats course pivo'!$1:$2,2,FALSE),FALSE))),"")</f>
        <v/>
      </c>
      <c r="D942" s="14" t="str">
        <f>IFERROR((VLOOKUP($A942,'[1]import success seats course'!$A:R,HLOOKUP('[1]Course Totals'!D$4,'[1]import success seats course'!$1:$2,2,FALSE),FALSE)/(VLOOKUP($A942,'[1]import graded seats course pivo'!$A:AB,HLOOKUP('[1]Course Totals'!D$4,'[1]import graded seats course pivo'!$1:$2,2,FALSE),FALSE))),"")</f>
        <v/>
      </c>
      <c r="E942" s="14" t="str">
        <f>IFERROR((VLOOKUP($A942,'[1]import success seats course'!$A:S,HLOOKUP('[1]Course Totals'!E$4,'[1]import success seats course'!$1:$2,2,FALSE),FALSE)/(VLOOKUP($A942,'[1]import graded seats course pivo'!$A:AC,HLOOKUP('[1]Course Totals'!E$4,'[1]import graded seats course pivo'!$1:$2,2,FALSE),FALSE))),"")</f>
        <v/>
      </c>
      <c r="F942" s="14" t="str">
        <f>IFERROR((VLOOKUP($A942,'[1]import success seats course'!$A:T,HLOOKUP('[1]Course Totals'!F$4,'[1]import success seats course'!$1:$2,2,FALSE),FALSE)/(VLOOKUP($A942,'[1]import graded seats course pivo'!$A:AD,HLOOKUP('[1]Course Totals'!F$4,'[1]import graded seats course pivo'!$1:$2,2,FALSE),FALSE))),"")</f>
        <v/>
      </c>
      <c r="G942" s="14" t="str">
        <f>IFERROR((VLOOKUP($A942,'[1]import success seats course'!$A:U,HLOOKUP('[1]Course Totals'!G$4,'[1]import success seats course'!$1:$2,2,FALSE),FALSE)/(VLOOKUP($A942,'[1]import graded seats course pivo'!$A:AE,HLOOKUP('[1]Course Totals'!G$4,'[1]import graded seats course pivo'!$1:$2,2,FALSE),FALSE))),"")</f>
        <v/>
      </c>
      <c r="H942" s="14" t="str">
        <f>IFERROR((VLOOKUP($A942,'[1]import success seats course'!$A:V,HLOOKUP('[1]Course Totals'!H$4,'[1]import success seats course'!$1:$2,2,FALSE),FALSE)/(VLOOKUP($A942,'[1]import graded seats course pivo'!$A:AF,HLOOKUP('[1]Course Totals'!H$4,'[1]import graded seats course pivo'!$1:$2,2,FALSE),FALSE))),"")</f>
        <v/>
      </c>
      <c r="I942" s="14" t="str">
        <f>IFERROR((VLOOKUP($A942,'[1]import success seats course'!$A:W,HLOOKUP('[1]Course Totals'!I$4,'[1]import success seats course'!$1:$2,2,FALSE),FALSE)/(VLOOKUP($A942,'[1]import graded seats course pivo'!$A:AG,HLOOKUP('[1]Course Totals'!I$4,'[1]import graded seats course pivo'!$1:$2,2,FALSE),FALSE))),"")</f>
        <v/>
      </c>
      <c r="J942" s="14" t="str">
        <f>IFERROR((VLOOKUP($A942,'[1]import success seats course'!$A:X,HLOOKUP('[1]Course Totals'!J$4,'[1]import success seats course'!$1:$2,2,FALSE),FALSE)/(VLOOKUP($A942,'[1]import graded seats course pivo'!$A:AH,HLOOKUP('[1]Course Totals'!J$4,'[1]import graded seats course pivo'!$1:$2,2,FALSE),FALSE))),"")</f>
        <v/>
      </c>
      <c r="K942" s="14" t="str">
        <f>IFERROR((VLOOKUP($A942,'[1]import success seats course'!$A:Y,HLOOKUP('[1]Course Totals'!K$4,'[1]import success seats course'!$1:$2,2,FALSE),FALSE)/(VLOOKUP($A942,'[1]import graded seats course pivo'!$A:AI,HLOOKUP('[1]Course Totals'!K$4,'[1]import graded seats course pivo'!$1:$2,2,FALSE),FALSE))),"")</f>
        <v/>
      </c>
      <c r="L942" s="14" t="str">
        <f>IFERROR((VLOOKUP($A942,'[1]import success seats course'!$A:Z,HLOOKUP('[1]Course Totals'!L$4,'[1]import success seats course'!$1:$2,2,FALSE),FALSE)/(VLOOKUP($A942,'[1]import graded seats course pivo'!$A:AJ,HLOOKUP('[1]Course Totals'!L$4,'[1]import graded seats course pivo'!$1:$2,2,FALSE),FALSE))),"")</f>
        <v/>
      </c>
      <c r="M942" s="14" t="str">
        <f>IFERROR((VLOOKUP($A942,'[1]import success seats course'!$A:AA,HLOOKUP('[1]Course Totals'!M$4,'[1]import success seats course'!$1:$2,2,FALSE),FALSE)/(VLOOKUP($A942,'[1]import graded seats course pivo'!$A:AK,HLOOKUP('[1]Course Totals'!M$4,'[1]import graded seats course pivo'!$1:$2,2,FALSE),FALSE))),"")</f>
        <v/>
      </c>
      <c r="N942" s="14" t="str">
        <f>IFERROR((VLOOKUP($A942,'[1]import success seats course'!$A:AB,HLOOKUP('[1]Course Totals'!N$4,'[1]import success seats course'!$1:$2,2,FALSE),FALSE)/(VLOOKUP($A942,'[1]import graded seats course pivo'!$A:AL,HLOOKUP('[1]Course Totals'!N$4,'[1]import graded seats course pivo'!$1:$2,2,FALSE),FALSE))),"")</f>
        <v/>
      </c>
      <c r="O942" s="14" t="str">
        <f>IFERROR((VLOOKUP($A942,'[1]import success seats course'!$A:AC,HLOOKUP('[1]Course Totals'!O$4,'[1]import success seats course'!$1:$2,2,FALSE),FALSE)/(VLOOKUP($A942,'[1]import graded seats course pivo'!$A:AM,HLOOKUP('[1]Course Totals'!O$4,'[1]import graded seats course pivo'!$1:$2,2,FALSE),FALSE))),"")</f>
        <v/>
      </c>
      <c r="P942" s="14" t="str">
        <f>IFERROR((VLOOKUP($A942,'[1]import success seats course'!$A:AD,HLOOKUP('[1]Course Totals'!P$4,'[1]import success seats course'!$1:$2,2,FALSE),FALSE)/(VLOOKUP($A942,'[1]import graded seats course pivo'!$A:AN,HLOOKUP('[1]Course Totals'!P$4,'[1]import graded seats course pivo'!$1:$2,2,FALSE),FALSE))),"")</f>
        <v/>
      </c>
      <c r="Q942" s="14" t="str">
        <f>IFERROR((VLOOKUP($A942,'[1]import success seats course'!$A:AE,HLOOKUP('[1]Course Totals'!Q$4,'[1]import success seats course'!$1:$2,2,FALSE),FALSE)/(VLOOKUP($A942,'[1]import graded seats course pivo'!$A:AO,HLOOKUP('[1]Course Totals'!Q$4,'[1]import graded seats course pivo'!$1:$2,2,FALSE),FALSE))),"")</f>
        <v/>
      </c>
      <c r="R942" s="14" t="str">
        <f>IFERROR((VLOOKUP($A942,'[1]import success seats course'!$A:AF,HLOOKUP('[1]Course Totals'!R$4,'[1]import success seats course'!$1:$2,2,FALSE),FALSE)/(VLOOKUP($A942,'[1]import graded seats course pivo'!$A:AP,HLOOKUP('[1]Course Totals'!R$4,'[1]import graded seats course pivo'!$1:$2,2,FALSE),FALSE))),"")</f>
        <v/>
      </c>
      <c r="S942" s="14" t="str">
        <f>IFERROR((VLOOKUP($A942,'[1]import success seats course'!$A:AG,HLOOKUP('[1]Course Totals'!S$4,'[1]import success seats course'!$1:$2,2,FALSE),FALSE)/(VLOOKUP($A942,'[1]import graded seats course pivo'!$A:AQ,HLOOKUP('[1]Course Totals'!S$4,'[1]import graded seats course pivo'!$1:$2,2,FALSE),FALSE))),"")</f>
        <v/>
      </c>
      <c r="Z942" s="7"/>
      <c r="AA942" s="7"/>
      <c r="AB942" s="7"/>
      <c r="AC942" s="7"/>
    </row>
    <row r="943" spans="1:29" ht="15.75" hidden="1" customHeight="1" x14ac:dyDescent="0.25">
      <c r="A943" s="12" t="s">
        <v>1045</v>
      </c>
      <c r="B943" s="14" t="str">
        <f>IFERROR((VLOOKUP($A943,'[1]import success seats course'!$A:P,HLOOKUP('[1]Course Totals'!B$4,'[1]import success seats course'!$1:$2,2,FALSE),FALSE)/(VLOOKUP($A943,'[1]import graded seats course pivo'!$A:Z,HLOOKUP('[1]Course Totals'!B$4,'[1]import graded seats course pivo'!$1:$2,2,FALSE),FALSE))),"")</f>
        <v/>
      </c>
      <c r="C943" s="14" t="str">
        <f>IFERROR((VLOOKUP($A943,'[1]import success seats course'!$A:Q,HLOOKUP('[1]Course Totals'!C$4,'[1]import success seats course'!$1:$2,2,FALSE),FALSE)/(VLOOKUP($A943,'[1]import graded seats course pivo'!$A:AA,HLOOKUP('[1]Course Totals'!C$4,'[1]import graded seats course pivo'!$1:$2,2,FALSE),FALSE))),"")</f>
        <v/>
      </c>
      <c r="D943" s="14" t="str">
        <f>IFERROR((VLOOKUP($A943,'[1]import success seats course'!$A:R,HLOOKUP('[1]Course Totals'!D$4,'[1]import success seats course'!$1:$2,2,FALSE),FALSE)/(VLOOKUP($A943,'[1]import graded seats course pivo'!$A:AB,HLOOKUP('[1]Course Totals'!D$4,'[1]import graded seats course pivo'!$1:$2,2,FALSE),FALSE))),"")</f>
        <v/>
      </c>
      <c r="E943" s="14" t="str">
        <f>IFERROR((VLOOKUP($A943,'[1]import success seats course'!$A:S,HLOOKUP('[1]Course Totals'!E$4,'[1]import success seats course'!$1:$2,2,FALSE),FALSE)/(VLOOKUP($A943,'[1]import graded seats course pivo'!$A:AC,HLOOKUP('[1]Course Totals'!E$4,'[1]import graded seats course pivo'!$1:$2,2,FALSE),FALSE))),"")</f>
        <v/>
      </c>
      <c r="F943" s="14" t="str">
        <f>IFERROR((VLOOKUP($A943,'[1]import success seats course'!$A:T,HLOOKUP('[1]Course Totals'!F$4,'[1]import success seats course'!$1:$2,2,FALSE),FALSE)/(VLOOKUP($A943,'[1]import graded seats course pivo'!$A:AD,HLOOKUP('[1]Course Totals'!F$4,'[1]import graded seats course pivo'!$1:$2,2,FALSE),FALSE))),"")</f>
        <v/>
      </c>
      <c r="G943" s="14" t="str">
        <f>IFERROR((VLOOKUP($A943,'[1]import success seats course'!$A:U,HLOOKUP('[1]Course Totals'!G$4,'[1]import success seats course'!$1:$2,2,FALSE),FALSE)/(VLOOKUP($A943,'[1]import graded seats course pivo'!$A:AE,HLOOKUP('[1]Course Totals'!G$4,'[1]import graded seats course pivo'!$1:$2,2,FALSE),FALSE))),"")</f>
        <v/>
      </c>
      <c r="H943" s="14" t="str">
        <f>IFERROR((VLOOKUP($A943,'[1]import success seats course'!$A:V,HLOOKUP('[1]Course Totals'!H$4,'[1]import success seats course'!$1:$2,2,FALSE),FALSE)/(VLOOKUP($A943,'[1]import graded seats course pivo'!$A:AF,HLOOKUP('[1]Course Totals'!H$4,'[1]import graded seats course pivo'!$1:$2,2,FALSE),FALSE))),"")</f>
        <v/>
      </c>
      <c r="I943" s="14" t="str">
        <f>IFERROR((VLOOKUP($A943,'[1]import success seats course'!$A:W,HLOOKUP('[1]Course Totals'!I$4,'[1]import success seats course'!$1:$2,2,FALSE),FALSE)/(VLOOKUP($A943,'[1]import graded seats course pivo'!$A:AG,HLOOKUP('[1]Course Totals'!I$4,'[1]import graded seats course pivo'!$1:$2,2,FALSE),FALSE))),"")</f>
        <v/>
      </c>
      <c r="J943" s="14" t="str">
        <f>IFERROR((VLOOKUP($A943,'[1]import success seats course'!$A:X,HLOOKUP('[1]Course Totals'!J$4,'[1]import success seats course'!$1:$2,2,FALSE),FALSE)/(VLOOKUP($A943,'[1]import graded seats course pivo'!$A:AH,HLOOKUP('[1]Course Totals'!J$4,'[1]import graded seats course pivo'!$1:$2,2,FALSE),FALSE))),"")</f>
        <v/>
      </c>
      <c r="K943" s="14" t="str">
        <f>IFERROR((VLOOKUP($A943,'[1]import success seats course'!$A:Y,HLOOKUP('[1]Course Totals'!K$4,'[1]import success seats course'!$1:$2,2,FALSE),FALSE)/(VLOOKUP($A943,'[1]import graded seats course pivo'!$A:AI,HLOOKUP('[1]Course Totals'!K$4,'[1]import graded seats course pivo'!$1:$2,2,FALSE),FALSE))),"")</f>
        <v/>
      </c>
      <c r="L943" s="14" t="str">
        <f>IFERROR((VLOOKUP($A943,'[1]import success seats course'!$A:Z,HLOOKUP('[1]Course Totals'!L$4,'[1]import success seats course'!$1:$2,2,FALSE),FALSE)/(VLOOKUP($A943,'[1]import graded seats course pivo'!$A:AJ,HLOOKUP('[1]Course Totals'!L$4,'[1]import graded seats course pivo'!$1:$2,2,FALSE),FALSE))),"")</f>
        <v/>
      </c>
      <c r="M943" s="14" t="str">
        <f>IFERROR((VLOOKUP($A943,'[1]import success seats course'!$A:AA,HLOOKUP('[1]Course Totals'!M$4,'[1]import success seats course'!$1:$2,2,FALSE),FALSE)/(VLOOKUP($A943,'[1]import graded seats course pivo'!$A:AK,HLOOKUP('[1]Course Totals'!M$4,'[1]import graded seats course pivo'!$1:$2,2,FALSE),FALSE))),"")</f>
        <v/>
      </c>
      <c r="N943" s="14" t="str">
        <f>IFERROR((VLOOKUP($A943,'[1]import success seats course'!$A:AB,HLOOKUP('[1]Course Totals'!N$4,'[1]import success seats course'!$1:$2,2,FALSE),FALSE)/(VLOOKUP($A943,'[1]import graded seats course pivo'!$A:AL,HLOOKUP('[1]Course Totals'!N$4,'[1]import graded seats course pivo'!$1:$2,2,FALSE),FALSE))),"")</f>
        <v/>
      </c>
      <c r="O943" s="14" t="str">
        <f>IFERROR((VLOOKUP($A943,'[1]import success seats course'!$A:AC,HLOOKUP('[1]Course Totals'!O$4,'[1]import success seats course'!$1:$2,2,FALSE),FALSE)/(VLOOKUP($A943,'[1]import graded seats course pivo'!$A:AM,HLOOKUP('[1]Course Totals'!O$4,'[1]import graded seats course pivo'!$1:$2,2,FALSE),FALSE))),"")</f>
        <v/>
      </c>
      <c r="P943" s="14" t="str">
        <f>IFERROR((VLOOKUP($A943,'[1]import success seats course'!$A:AD,HLOOKUP('[1]Course Totals'!P$4,'[1]import success seats course'!$1:$2,2,FALSE),FALSE)/(VLOOKUP($A943,'[1]import graded seats course pivo'!$A:AN,HLOOKUP('[1]Course Totals'!P$4,'[1]import graded seats course pivo'!$1:$2,2,FALSE),FALSE))),"")</f>
        <v/>
      </c>
      <c r="Q943" s="14" t="str">
        <f>IFERROR((VLOOKUP($A943,'[1]import success seats course'!$A:AE,HLOOKUP('[1]Course Totals'!Q$4,'[1]import success seats course'!$1:$2,2,FALSE),FALSE)/(VLOOKUP($A943,'[1]import graded seats course pivo'!$A:AO,HLOOKUP('[1]Course Totals'!Q$4,'[1]import graded seats course pivo'!$1:$2,2,FALSE),FALSE))),"")</f>
        <v/>
      </c>
      <c r="R943" s="14" t="str">
        <f>IFERROR((VLOOKUP($A943,'[1]import success seats course'!$A:AF,HLOOKUP('[1]Course Totals'!R$4,'[1]import success seats course'!$1:$2,2,FALSE),FALSE)/(VLOOKUP($A943,'[1]import graded seats course pivo'!$A:AP,HLOOKUP('[1]Course Totals'!R$4,'[1]import graded seats course pivo'!$1:$2,2,FALSE),FALSE))),"")</f>
        <v/>
      </c>
      <c r="S943" s="14" t="str">
        <f>IFERROR((VLOOKUP($A943,'[1]import success seats course'!$A:AG,HLOOKUP('[1]Course Totals'!S$4,'[1]import success seats course'!$1:$2,2,FALSE),FALSE)/(VLOOKUP($A943,'[1]import graded seats course pivo'!$A:AQ,HLOOKUP('[1]Course Totals'!S$4,'[1]import graded seats course pivo'!$1:$2,2,FALSE),FALSE))),"")</f>
        <v/>
      </c>
      <c r="Z943" s="7"/>
      <c r="AA943" s="7"/>
      <c r="AB943" s="7"/>
      <c r="AC943" s="7"/>
    </row>
    <row r="944" spans="1:29" ht="15.75" hidden="1" customHeight="1" x14ac:dyDescent="0.25">
      <c r="A944" s="12" t="s">
        <v>450</v>
      </c>
      <c r="B944" s="14" t="str">
        <f>IFERROR((VLOOKUP($A944,'[1]import success seats course'!$A:P,HLOOKUP('[1]Course Totals'!B$4,'[1]import success seats course'!$1:$2,2,FALSE),FALSE)/(VLOOKUP($A944,'[1]import graded seats course pivo'!$A:Z,HLOOKUP('[1]Course Totals'!B$4,'[1]import graded seats course pivo'!$1:$2,2,FALSE),FALSE))),"")</f>
        <v/>
      </c>
      <c r="C944" s="14" t="str">
        <f>IFERROR((VLOOKUP($A944,'[1]import success seats course'!$A:Q,HLOOKUP('[1]Course Totals'!C$4,'[1]import success seats course'!$1:$2,2,FALSE),FALSE)/(VLOOKUP($A944,'[1]import graded seats course pivo'!$A:AA,HLOOKUP('[1]Course Totals'!C$4,'[1]import graded seats course pivo'!$1:$2,2,FALSE),FALSE))),"")</f>
        <v/>
      </c>
      <c r="D944" s="14" t="str">
        <f>IFERROR((VLOOKUP($A944,'[1]import success seats course'!$A:R,HLOOKUP('[1]Course Totals'!D$4,'[1]import success seats course'!$1:$2,2,FALSE),FALSE)/(VLOOKUP($A944,'[1]import graded seats course pivo'!$A:AB,HLOOKUP('[1]Course Totals'!D$4,'[1]import graded seats course pivo'!$1:$2,2,FALSE),FALSE))),"")</f>
        <v/>
      </c>
      <c r="E944" s="14" t="str">
        <f>IFERROR((VLOOKUP($A944,'[1]import success seats course'!$A:S,HLOOKUP('[1]Course Totals'!E$4,'[1]import success seats course'!$1:$2,2,FALSE),FALSE)/(VLOOKUP($A944,'[1]import graded seats course pivo'!$A:AC,HLOOKUP('[1]Course Totals'!E$4,'[1]import graded seats course pivo'!$1:$2,2,FALSE),FALSE))),"")</f>
        <v/>
      </c>
      <c r="F944" s="14" t="str">
        <f>IFERROR((VLOOKUP($A944,'[1]import success seats course'!$A:T,HLOOKUP('[1]Course Totals'!F$4,'[1]import success seats course'!$1:$2,2,FALSE),FALSE)/(VLOOKUP($A944,'[1]import graded seats course pivo'!$A:AD,HLOOKUP('[1]Course Totals'!F$4,'[1]import graded seats course pivo'!$1:$2,2,FALSE),FALSE))),"")</f>
        <v/>
      </c>
      <c r="G944" s="14" t="str">
        <f>IFERROR((VLOOKUP($A944,'[1]import success seats course'!$A:U,HLOOKUP('[1]Course Totals'!G$4,'[1]import success seats course'!$1:$2,2,FALSE),FALSE)/(VLOOKUP($A944,'[1]import graded seats course pivo'!$A:AE,HLOOKUP('[1]Course Totals'!G$4,'[1]import graded seats course pivo'!$1:$2,2,FALSE),FALSE))),"")</f>
        <v/>
      </c>
      <c r="H944" s="14" t="str">
        <f>IFERROR((VLOOKUP($A944,'[1]import success seats course'!$A:V,HLOOKUP('[1]Course Totals'!H$4,'[1]import success seats course'!$1:$2,2,FALSE),FALSE)/(VLOOKUP($A944,'[1]import graded seats course pivo'!$A:AF,HLOOKUP('[1]Course Totals'!H$4,'[1]import graded seats course pivo'!$1:$2,2,FALSE),FALSE))),"")</f>
        <v/>
      </c>
      <c r="I944" s="14" t="str">
        <f>IFERROR((VLOOKUP($A944,'[1]import success seats course'!$A:W,HLOOKUP('[1]Course Totals'!I$4,'[1]import success seats course'!$1:$2,2,FALSE),FALSE)/(VLOOKUP($A944,'[1]import graded seats course pivo'!$A:AG,HLOOKUP('[1]Course Totals'!I$4,'[1]import graded seats course pivo'!$1:$2,2,FALSE),FALSE))),"")</f>
        <v/>
      </c>
      <c r="J944" s="14" t="str">
        <f>IFERROR((VLOOKUP($A944,'[1]import success seats course'!$A:X,HLOOKUP('[1]Course Totals'!J$4,'[1]import success seats course'!$1:$2,2,FALSE),FALSE)/(VLOOKUP($A944,'[1]import graded seats course pivo'!$A:AH,HLOOKUP('[1]Course Totals'!J$4,'[1]import graded seats course pivo'!$1:$2,2,FALSE),FALSE))),"")</f>
        <v/>
      </c>
      <c r="K944" s="14" t="str">
        <f>IFERROR((VLOOKUP($A944,'[1]import success seats course'!$A:Y,HLOOKUP('[1]Course Totals'!K$4,'[1]import success seats course'!$1:$2,2,FALSE),FALSE)/(VLOOKUP($A944,'[1]import graded seats course pivo'!$A:AI,HLOOKUP('[1]Course Totals'!K$4,'[1]import graded seats course pivo'!$1:$2,2,FALSE),FALSE))),"")</f>
        <v/>
      </c>
      <c r="L944" s="14" t="str">
        <f>IFERROR((VLOOKUP($A944,'[1]import success seats course'!$A:Z,HLOOKUP('[1]Course Totals'!L$4,'[1]import success seats course'!$1:$2,2,FALSE),FALSE)/(VLOOKUP($A944,'[1]import graded seats course pivo'!$A:AJ,HLOOKUP('[1]Course Totals'!L$4,'[1]import graded seats course pivo'!$1:$2,2,FALSE),FALSE))),"")</f>
        <v/>
      </c>
      <c r="M944" s="14" t="str">
        <f>IFERROR((VLOOKUP($A944,'[1]import success seats course'!$A:AA,HLOOKUP('[1]Course Totals'!M$4,'[1]import success seats course'!$1:$2,2,FALSE),FALSE)/(VLOOKUP($A944,'[1]import graded seats course pivo'!$A:AK,HLOOKUP('[1]Course Totals'!M$4,'[1]import graded seats course pivo'!$1:$2,2,FALSE),FALSE))),"")</f>
        <v/>
      </c>
      <c r="N944" s="14" t="str">
        <f>IFERROR((VLOOKUP($A944,'[1]import success seats course'!$A:AB,HLOOKUP('[1]Course Totals'!N$4,'[1]import success seats course'!$1:$2,2,FALSE),FALSE)/(VLOOKUP($A944,'[1]import graded seats course pivo'!$A:AL,HLOOKUP('[1]Course Totals'!N$4,'[1]import graded seats course pivo'!$1:$2,2,FALSE),FALSE))),"")</f>
        <v/>
      </c>
      <c r="O944" s="14" t="str">
        <f>IFERROR((VLOOKUP($A944,'[1]import success seats course'!$A:AC,HLOOKUP('[1]Course Totals'!O$4,'[1]import success seats course'!$1:$2,2,FALSE),FALSE)/(VLOOKUP($A944,'[1]import graded seats course pivo'!$A:AM,HLOOKUP('[1]Course Totals'!O$4,'[1]import graded seats course pivo'!$1:$2,2,FALSE),FALSE))),"")</f>
        <v/>
      </c>
      <c r="P944" s="14" t="str">
        <f>IFERROR((VLOOKUP($A944,'[1]import success seats course'!$A:AD,HLOOKUP('[1]Course Totals'!P$4,'[1]import success seats course'!$1:$2,2,FALSE),FALSE)/(VLOOKUP($A944,'[1]import graded seats course pivo'!$A:AN,HLOOKUP('[1]Course Totals'!P$4,'[1]import graded seats course pivo'!$1:$2,2,FALSE),FALSE))),"")</f>
        <v/>
      </c>
      <c r="Q944" s="14" t="str">
        <f>IFERROR((VLOOKUP($A944,'[1]import success seats course'!$A:AE,HLOOKUP('[1]Course Totals'!Q$4,'[1]import success seats course'!$1:$2,2,FALSE),FALSE)/(VLOOKUP($A944,'[1]import graded seats course pivo'!$A:AO,HLOOKUP('[1]Course Totals'!Q$4,'[1]import graded seats course pivo'!$1:$2,2,FALSE),FALSE))),"")</f>
        <v/>
      </c>
      <c r="R944" s="14" t="str">
        <f>IFERROR((VLOOKUP($A944,'[1]import success seats course'!$A:AF,HLOOKUP('[1]Course Totals'!R$4,'[1]import success seats course'!$1:$2,2,FALSE),FALSE)/(VLOOKUP($A944,'[1]import graded seats course pivo'!$A:AP,HLOOKUP('[1]Course Totals'!R$4,'[1]import graded seats course pivo'!$1:$2,2,FALSE),FALSE))),"")</f>
        <v/>
      </c>
      <c r="S944" s="14" t="str">
        <f>IFERROR((VLOOKUP($A944,'[1]import success seats course'!$A:AG,HLOOKUP('[1]Course Totals'!S$4,'[1]import success seats course'!$1:$2,2,FALSE),FALSE)/(VLOOKUP($A944,'[1]import graded seats course pivo'!$A:AQ,HLOOKUP('[1]Course Totals'!S$4,'[1]import graded seats course pivo'!$1:$2,2,FALSE),FALSE))),"")</f>
        <v/>
      </c>
      <c r="Z944" s="7"/>
      <c r="AA944" s="7"/>
      <c r="AB944" s="7"/>
      <c r="AC944" s="7"/>
    </row>
    <row r="945" spans="1:29" ht="15.75" customHeight="1" x14ac:dyDescent="0.25">
      <c r="A945" s="12" t="s">
        <v>451</v>
      </c>
      <c r="B945" s="14" t="str">
        <f>IFERROR((VLOOKUP($A945,'[1]import success seats course'!$A:P,HLOOKUP('[1]Course Totals'!B$4,'[1]import success seats course'!$1:$2,2,FALSE),FALSE)/(VLOOKUP($A945,'[1]import graded seats course pivo'!$A:Z,HLOOKUP('[1]Course Totals'!B$4,'[1]import graded seats course pivo'!$1:$2,2,FALSE),FALSE))),"")</f>
        <v/>
      </c>
      <c r="C945" s="14">
        <f>IFERROR((VLOOKUP($A945,'[1]import success seats course'!$A:Q,HLOOKUP('[1]Course Totals'!C$4,'[1]import success seats course'!$1:$2,2,FALSE),FALSE)/(VLOOKUP($A945,'[1]import graded seats course pivo'!$A:AA,HLOOKUP('[1]Course Totals'!C$4,'[1]import graded seats course pivo'!$1:$2,2,FALSE),FALSE))),"")</f>
        <v>1</v>
      </c>
      <c r="D945" s="14">
        <f>IFERROR((VLOOKUP($A945,'[1]import success seats course'!$A:R,HLOOKUP('[1]Course Totals'!D$4,'[1]import success seats course'!$1:$2,2,FALSE),FALSE)/(VLOOKUP($A945,'[1]import graded seats course pivo'!$A:AB,HLOOKUP('[1]Course Totals'!D$4,'[1]import graded seats course pivo'!$1:$2,2,FALSE),FALSE))),"")</f>
        <v>0.82608695652173914</v>
      </c>
      <c r="E945" s="14" t="str">
        <f>IFERROR((VLOOKUP($A945,'[1]import success seats course'!$A:S,HLOOKUP('[1]Course Totals'!E$4,'[1]import success seats course'!$1:$2,2,FALSE),FALSE)/(VLOOKUP($A945,'[1]import graded seats course pivo'!$A:AC,HLOOKUP('[1]Course Totals'!E$4,'[1]import graded seats course pivo'!$1:$2,2,FALSE),FALSE))),"")</f>
        <v/>
      </c>
      <c r="F945" s="14">
        <f>IFERROR((VLOOKUP($A945,'[1]import success seats course'!$A:T,HLOOKUP('[1]Course Totals'!F$4,'[1]import success seats course'!$1:$2,2,FALSE),FALSE)/(VLOOKUP($A945,'[1]import graded seats course pivo'!$A:AD,HLOOKUP('[1]Course Totals'!F$4,'[1]import graded seats course pivo'!$1:$2,2,FALSE),FALSE))),"")</f>
        <v>0.8666666666666667</v>
      </c>
      <c r="G945" s="14">
        <f>IFERROR((VLOOKUP($A945,'[1]import success seats course'!$A:U,HLOOKUP('[1]Course Totals'!G$4,'[1]import success seats course'!$1:$2,2,FALSE),FALSE)/(VLOOKUP($A945,'[1]import graded seats course pivo'!$A:AE,HLOOKUP('[1]Course Totals'!G$4,'[1]import graded seats course pivo'!$1:$2,2,FALSE),FALSE))),"")</f>
        <v>0.96153846153846156</v>
      </c>
      <c r="H945" s="14" t="str">
        <f>IFERROR((VLOOKUP($A945,'[1]import success seats course'!$A:V,HLOOKUP('[1]Course Totals'!H$4,'[1]import success seats course'!$1:$2,2,FALSE),FALSE)/(VLOOKUP($A945,'[1]import graded seats course pivo'!$A:AF,HLOOKUP('[1]Course Totals'!H$4,'[1]import graded seats course pivo'!$1:$2,2,FALSE),FALSE))),"")</f>
        <v/>
      </c>
      <c r="I945" s="14" t="str">
        <f>IFERROR((VLOOKUP($A945,'[1]import success seats course'!$A:W,HLOOKUP('[1]Course Totals'!I$4,'[1]import success seats course'!$1:$2,2,FALSE),FALSE)/(VLOOKUP($A945,'[1]import graded seats course pivo'!$A:AG,HLOOKUP('[1]Course Totals'!I$4,'[1]import graded seats course pivo'!$1:$2,2,FALSE),FALSE))),"")</f>
        <v/>
      </c>
      <c r="J945" s="14" t="str">
        <f>IFERROR((VLOOKUP($A945,'[1]import success seats course'!$A:X,HLOOKUP('[1]Course Totals'!J$4,'[1]import success seats course'!$1:$2,2,FALSE),FALSE)/(VLOOKUP($A945,'[1]import graded seats course pivo'!$A:AH,HLOOKUP('[1]Course Totals'!J$4,'[1]import graded seats course pivo'!$1:$2,2,FALSE),FALSE))),"")</f>
        <v/>
      </c>
      <c r="K945" s="14" t="str">
        <f>IFERROR((VLOOKUP($A945,'[1]import success seats course'!$A:Y,HLOOKUP('[1]Course Totals'!K$4,'[1]import success seats course'!$1:$2,2,FALSE),FALSE)/(VLOOKUP($A945,'[1]import graded seats course pivo'!$A:AI,HLOOKUP('[1]Course Totals'!K$4,'[1]import graded seats course pivo'!$1:$2,2,FALSE),FALSE))),"")</f>
        <v/>
      </c>
      <c r="L945" s="14" t="str">
        <f>IFERROR((VLOOKUP($A945,'[1]import success seats course'!$A:Z,HLOOKUP('[1]Course Totals'!L$4,'[1]import success seats course'!$1:$2,2,FALSE),FALSE)/(VLOOKUP($A945,'[1]import graded seats course pivo'!$A:AJ,HLOOKUP('[1]Course Totals'!L$4,'[1]import graded seats course pivo'!$1:$2,2,FALSE),FALSE))),"")</f>
        <v/>
      </c>
      <c r="M945" s="14">
        <f>IFERROR((VLOOKUP($A945,'[1]import success seats course'!$A:AA,HLOOKUP('[1]Course Totals'!M$4,'[1]import success seats course'!$1:$2,2,FALSE),FALSE)/(VLOOKUP($A945,'[1]import graded seats course pivo'!$A:AK,HLOOKUP('[1]Course Totals'!M$4,'[1]import graded seats course pivo'!$1:$2,2,FALSE),FALSE))),"")</f>
        <v>0.83333333333333337</v>
      </c>
      <c r="N945" s="14" t="str">
        <f>IFERROR((VLOOKUP($A945,'[1]import success seats course'!$A:AB,HLOOKUP('[1]Course Totals'!N$4,'[1]import success seats course'!$1:$2,2,FALSE),FALSE)/(VLOOKUP($A945,'[1]import graded seats course pivo'!$A:AL,HLOOKUP('[1]Course Totals'!N$4,'[1]import graded seats course pivo'!$1:$2,2,FALSE),FALSE))),"")</f>
        <v/>
      </c>
      <c r="O945" s="14" t="str">
        <f>IFERROR((VLOOKUP($A945,'[1]import success seats course'!$A:AC,HLOOKUP('[1]Course Totals'!O$4,'[1]import success seats course'!$1:$2,2,FALSE),FALSE)/(VLOOKUP($A945,'[1]import graded seats course pivo'!$A:AM,HLOOKUP('[1]Course Totals'!O$4,'[1]import graded seats course pivo'!$1:$2,2,FALSE),FALSE))),"")</f>
        <v/>
      </c>
      <c r="P945" s="14">
        <f>IFERROR((VLOOKUP($A945,'[1]import success seats course'!$A:AD,HLOOKUP('[1]Course Totals'!P$4,'[1]import success seats course'!$1:$2,2,FALSE),FALSE)/(VLOOKUP($A945,'[1]import graded seats course pivo'!$A:AN,HLOOKUP('[1]Course Totals'!P$4,'[1]import graded seats course pivo'!$1:$2,2,FALSE),FALSE))),"")</f>
        <v>0.83333333333333337</v>
      </c>
      <c r="Q945" s="14" t="str">
        <f>IFERROR((VLOOKUP($A945,'[1]import success seats course'!$A:AE,HLOOKUP('[1]Course Totals'!Q$4,'[1]import success seats course'!$1:$2,2,FALSE),FALSE)/(VLOOKUP($A945,'[1]import graded seats course pivo'!$A:AO,HLOOKUP('[1]Course Totals'!Q$4,'[1]import graded seats course pivo'!$1:$2,2,FALSE),FALSE))),"")</f>
        <v/>
      </c>
      <c r="R945" s="14">
        <f>IFERROR((VLOOKUP($A945,'[1]import success seats course'!$A:AF,HLOOKUP('[1]Course Totals'!R$4,'[1]import success seats course'!$1:$2,2,FALSE),FALSE)/(VLOOKUP($A945,'[1]import graded seats course pivo'!$A:AP,HLOOKUP('[1]Course Totals'!R$4,'[1]import graded seats course pivo'!$1:$2,2,FALSE),FALSE))),"")</f>
        <v>0.93939393939393945</v>
      </c>
      <c r="S945" s="14" t="str">
        <f>IFERROR((VLOOKUP($A945,'[1]import success seats course'!$A:AG,HLOOKUP('[1]Course Totals'!S$4,'[1]import success seats course'!$1:$2,2,FALSE),FALSE)/(VLOOKUP($A945,'[1]import graded seats course pivo'!$A:AQ,HLOOKUP('[1]Course Totals'!S$4,'[1]import graded seats course pivo'!$1:$2,2,FALSE),FALSE))),"")</f>
        <v/>
      </c>
      <c r="Z945" s="7"/>
      <c r="AA945" s="7"/>
      <c r="AB945" s="7"/>
      <c r="AC945" s="7"/>
    </row>
    <row r="946" spans="1:29" ht="15.75" customHeight="1" x14ac:dyDescent="0.25">
      <c r="A946" s="12" t="s">
        <v>1019</v>
      </c>
      <c r="B946" s="14" t="str">
        <f>IFERROR((VLOOKUP($A946,'[1]import success seats course'!$A:P,HLOOKUP('[1]Course Totals'!B$4,'[1]import success seats course'!$1:$2,2,FALSE),FALSE)/(VLOOKUP($A946,'[1]import graded seats course pivo'!$A:Z,HLOOKUP('[1]Course Totals'!B$4,'[1]import graded seats course pivo'!$1:$2,2,FALSE),FALSE))),"")</f>
        <v/>
      </c>
      <c r="C946" s="14" t="str">
        <f>IFERROR((VLOOKUP($A946,'[1]import success seats course'!$A:Q,HLOOKUP('[1]Course Totals'!C$4,'[1]import success seats course'!$1:$2,2,FALSE),FALSE)/(VLOOKUP($A946,'[1]import graded seats course pivo'!$A:AA,HLOOKUP('[1]Course Totals'!C$4,'[1]import graded seats course pivo'!$1:$2,2,FALSE),FALSE))),"")</f>
        <v/>
      </c>
      <c r="D946" s="14" t="str">
        <f>IFERROR((VLOOKUP($A946,'[1]import success seats course'!$A:R,HLOOKUP('[1]Course Totals'!D$4,'[1]import success seats course'!$1:$2,2,FALSE),FALSE)/(VLOOKUP($A946,'[1]import graded seats course pivo'!$A:AB,HLOOKUP('[1]Course Totals'!D$4,'[1]import graded seats course pivo'!$1:$2,2,FALSE),FALSE))),"")</f>
        <v/>
      </c>
      <c r="E946" s="14" t="str">
        <f>IFERROR((VLOOKUP($A946,'[1]import success seats course'!$A:S,HLOOKUP('[1]Course Totals'!E$4,'[1]import success seats course'!$1:$2,2,FALSE),FALSE)/(VLOOKUP($A946,'[1]import graded seats course pivo'!$A:AC,HLOOKUP('[1]Course Totals'!E$4,'[1]import graded seats course pivo'!$1:$2,2,FALSE),FALSE))),"")</f>
        <v/>
      </c>
      <c r="F946" s="14" t="str">
        <f>IFERROR((VLOOKUP($A946,'[1]import success seats course'!$A:T,HLOOKUP('[1]Course Totals'!F$4,'[1]import success seats course'!$1:$2,2,FALSE),FALSE)/(VLOOKUP($A946,'[1]import graded seats course pivo'!$A:AD,HLOOKUP('[1]Course Totals'!F$4,'[1]import graded seats course pivo'!$1:$2,2,FALSE),FALSE))),"")</f>
        <v/>
      </c>
      <c r="G946" s="14" t="str">
        <f>IFERROR((VLOOKUP($A946,'[1]import success seats course'!$A:U,HLOOKUP('[1]Course Totals'!G$4,'[1]import success seats course'!$1:$2,2,FALSE),FALSE)/(VLOOKUP($A946,'[1]import graded seats course pivo'!$A:AE,HLOOKUP('[1]Course Totals'!G$4,'[1]import graded seats course pivo'!$1:$2,2,FALSE),FALSE))),"")</f>
        <v/>
      </c>
      <c r="H946" s="14" t="str">
        <f>IFERROR((VLOOKUP($A946,'[1]import success seats course'!$A:V,HLOOKUP('[1]Course Totals'!H$4,'[1]import success seats course'!$1:$2,2,FALSE),FALSE)/(VLOOKUP($A946,'[1]import graded seats course pivo'!$A:AF,HLOOKUP('[1]Course Totals'!H$4,'[1]import graded seats course pivo'!$1:$2,2,FALSE),FALSE))),"")</f>
        <v/>
      </c>
      <c r="I946" s="14" t="str">
        <f>IFERROR((VLOOKUP($A946,'[1]import success seats course'!$A:W,HLOOKUP('[1]Course Totals'!I$4,'[1]import success seats course'!$1:$2,2,FALSE),FALSE)/(VLOOKUP($A946,'[1]import graded seats course pivo'!$A:AG,HLOOKUP('[1]Course Totals'!I$4,'[1]import graded seats course pivo'!$1:$2,2,FALSE),FALSE))),"")</f>
        <v/>
      </c>
      <c r="J946" s="14">
        <f>IFERROR((VLOOKUP($A946,'[1]import success seats course'!$A:X,HLOOKUP('[1]Course Totals'!J$4,'[1]import success seats course'!$1:$2,2,FALSE),FALSE)/(VLOOKUP($A946,'[1]import graded seats course pivo'!$A:AH,HLOOKUP('[1]Course Totals'!J$4,'[1]import graded seats course pivo'!$1:$2,2,FALSE),FALSE))),"")</f>
        <v>0.8</v>
      </c>
      <c r="K946" s="14" t="str">
        <f>IFERROR((VLOOKUP($A946,'[1]import success seats course'!$A:Y,HLOOKUP('[1]Course Totals'!K$4,'[1]import success seats course'!$1:$2,2,FALSE),FALSE)/(VLOOKUP($A946,'[1]import graded seats course pivo'!$A:AI,HLOOKUP('[1]Course Totals'!K$4,'[1]import graded seats course pivo'!$1:$2,2,FALSE),FALSE))),"")</f>
        <v/>
      </c>
      <c r="L946" s="14" t="str">
        <f>IFERROR((VLOOKUP($A946,'[1]import success seats course'!$A:Z,HLOOKUP('[1]Course Totals'!L$4,'[1]import success seats course'!$1:$2,2,FALSE),FALSE)/(VLOOKUP($A946,'[1]import graded seats course pivo'!$A:AJ,HLOOKUP('[1]Course Totals'!L$4,'[1]import graded seats course pivo'!$1:$2,2,FALSE),FALSE))),"")</f>
        <v/>
      </c>
      <c r="M946" s="14" t="str">
        <f>IFERROR((VLOOKUP($A946,'[1]import success seats course'!$A:AA,HLOOKUP('[1]Course Totals'!M$4,'[1]import success seats course'!$1:$2,2,FALSE),FALSE)/(VLOOKUP($A946,'[1]import graded seats course pivo'!$A:AK,HLOOKUP('[1]Course Totals'!M$4,'[1]import graded seats course pivo'!$1:$2,2,FALSE),FALSE))),"")</f>
        <v/>
      </c>
      <c r="N946" s="14" t="str">
        <f>IFERROR((VLOOKUP($A946,'[1]import success seats course'!$A:AB,HLOOKUP('[1]Course Totals'!N$4,'[1]import success seats course'!$1:$2,2,FALSE),FALSE)/(VLOOKUP($A946,'[1]import graded seats course pivo'!$A:AL,HLOOKUP('[1]Course Totals'!N$4,'[1]import graded seats course pivo'!$1:$2,2,FALSE),FALSE))),"")</f>
        <v/>
      </c>
      <c r="O946" s="14" t="str">
        <f>IFERROR((VLOOKUP($A946,'[1]import success seats course'!$A:AC,HLOOKUP('[1]Course Totals'!O$4,'[1]import success seats course'!$1:$2,2,FALSE),FALSE)/(VLOOKUP($A946,'[1]import graded seats course pivo'!$A:AM,HLOOKUP('[1]Course Totals'!O$4,'[1]import graded seats course pivo'!$1:$2,2,FALSE),FALSE))),"")</f>
        <v/>
      </c>
      <c r="P946" s="14" t="str">
        <f>IFERROR((VLOOKUP($A946,'[1]import success seats course'!$A:AD,HLOOKUP('[1]Course Totals'!P$4,'[1]import success seats course'!$1:$2,2,FALSE),FALSE)/(VLOOKUP($A946,'[1]import graded seats course pivo'!$A:AN,HLOOKUP('[1]Course Totals'!P$4,'[1]import graded seats course pivo'!$1:$2,2,FALSE),FALSE))),"")</f>
        <v/>
      </c>
      <c r="Q946" s="14" t="str">
        <f>IFERROR((VLOOKUP($A946,'[1]import success seats course'!$A:AE,HLOOKUP('[1]Course Totals'!Q$4,'[1]import success seats course'!$1:$2,2,FALSE),FALSE)/(VLOOKUP($A946,'[1]import graded seats course pivo'!$A:AO,HLOOKUP('[1]Course Totals'!Q$4,'[1]import graded seats course pivo'!$1:$2,2,FALSE),FALSE))),"")</f>
        <v/>
      </c>
      <c r="R946" s="14" t="str">
        <f>IFERROR((VLOOKUP($A946,'[1]import success seats course'!$A:AF,HLOOKUP('[1]Course Totals'!R$4,'[1]import success seats course'!$1:$2,2,FALSE),FALSE)/(VLOOKUP($A946,'[1]import graded seats course pivo'!$A:AP,HLOOKUP('[1]Course Totals'!R$4,'[1]import graded seats course pivo'!$1:$2,2,FALSE),FALSE))),"")</f>
        <v/>
      </c>
      <c r="S946" s="14" t="str">
        <f>IFERROR((VLOOKUP($A946,'[1]import success seats course'!$A:AG,HLOOKUP('[1]Course Totals'!S$4,'[1]import success seats course'!$1:$2,2,FALSE),FALSE)/(VLOOKUP($A946,'[1]import graded seats course pivo'!$A:AQ,HLOOKUP('[1]Course Totals'!S$4,'[1]import graded seats course pivo'!$1:$2,2,FALSE),FALSE))),"")</f>
        <v/>
      </c>
      <c r="Z946" s="7"/>
      <c r="AA946" s="7"/>
      <c r="AB946" s="7"/>
      <c r="AC946" s="7"/>
    </row>
    <row r="947" spans="1:29" ht="15.75" customHeight="1" x14ac:dyDescent="0.25">
      <c r="A947" s="12" t="s">
        <v>452</v>
      </c>
      <c r="B947" s="14" t="str">
        <f>IFERROR((VLOOKUP($A947,'[1]import success seats course'!$A:P,HLOOKUP('[1]Course Totals'!B$4,'[1]import success seats course'!$1:$2,2,FALSE),FALSE)/(VLOOKUP($A947,'[1]import graded seats course pivo'!$A:Z,HLOOKUP('[1]Course Totals'!B$4,'[1]import graded seats course pivo'!$1:$2,2,FALSE),FALSE))),"")</f>
        <v/>
      </c>
      <c r="C947" s="14">
        <f>IFERROR((VLOOKUP($A947,'[1]import success seats course'!$A:Q,HLOOKUP('[1]Course Totals'!C$4,'[1]import success seats course'!$1:$2,2,FALSE),FALSE)/(VLOOKUP($A947,'[1]import graded seats course pivo'!$A:AA,HLOOKUP('[1]Course Totals'!C$4,'[1]import graded seats course pivo'!$1:$2,2,FALSE),FALSE))),"")</f>
        <v>0.9285714285714286</v>
      </c>
      <c r="D947" s="14">
        <f>IFERROR((VLOOKUP($A947,'[1]import success seats course'!$A:R,HLOOKUP('[1]Course Totals'!D$4,'[1]import success seats course'!$1:$2,2,FALSE),FALSE)/(VLOOKUP($A947,'[1]import graded seats course pivo'!$A:AB,HLOOKUP('[1]Course Totals'!D$4,'[1]import graded seats course pivo'!$1:$2,2,FALSE),FALSE))),"")</f>
        <v>0.91666666666666663</v>
      </c>
      <c r="E947" s="14" t="str">
        <f>IFERROR((VLOOKUP($A947,'[1]import success seats course'!$A:S,HLOOKUP('[1]Course Totals'!E$4,'[1]import success seats course'!$1:$2,2,FALSE),FALSE)/(VLOOKUP($A947,'[1]import graded seats course pivo'!$A:AC,HLOOKUP('[1]Course Totals'!E$4,'[1]import graded seats course pivo'!$1:$2,2,FALSE),FALSE))),"")</f>
        <v/>
      </c>
      <c r="F947" s="14">
        <f>IFERROR((VLOOKUP($A947,'[1]import success seats course'!$A:T,HLOOKUP('[1]Course Totals'!F$4,'[1]import success seats course'!$1:$2,2,FALSE),FALSE)/(VLOOKUP($A947,'[1]import graded seats course pivo'!$A:AD,HLOOKUP('[1]Course Totals'!F$4,'[1]import graded seats course pivo'!$1:$2,2,FALSE),FALSE))),"")</f>
        <v>1</v>
      </c>
      <c r="G947" s="14" t="str">
        <f>IFERROR((VLOOKUP($A947,'[1]import success seats course'!$A:U,HLOOKUP('[1]Course Totals'!G$4,'[1]import success seats course'!$1:$2,2,FALSE),FALSE)/(VLOOKUP($A947,'[1]import graded seats course pivo'!$A:AE,HLOOKUP('[1]Course Totals'!G$4,'[1]import graded seats course pivo'!$1:$2,2,FALSE),FALSE))),"")</f>
        <v/>
      </c>
      <c r="H947" s="14" t="str">
        <f>IFERROR((VLOOKUP($A947,'[1]import success seats course'!$A:V,HLOOKUP('[1]Course Totals'!H$4,'[1]import success seats course'!$1:$2,2,FALSE),FALSE)/(VLOOKUP($A947,'[1]import graded seats course pivo'!$A:AF,HLOOKUP('[1]Course Totals'!H$4,'[1]import graded seats course pivo'!$1:$2,2,FALSE),FALSE))),"")</f>
        <v/>
      </c>
      <c r="I947" s="14" t="str">
        <f>IFERROR((VLOOKUP($A947,'[1]import success seats course'!$A:W,HLOOKUP('[1]Course Totals'!I$4,'[1]import success seats course'!$1:$2,2,FALSE),FALSE)/(VLOOKUP($A947,'[1]import graded seats course pivo'!$A:AG,HLOOKUP('[1]Course Totals'!I$4,'[1]import graded seats course pivo'!$1:$2,2,FALSE),FALSE))),"")</f>
        <v/>
      </c>
      <c r="J947" s="14" t="str">
        <f>IFERROR((VLOOKUP($A947,'[1]import success seats course'!$A:X,HLOOKUP('[1]Course Totals'!J$4,'[1]import success seats course'!$1:$2,2,FALSE),FALSE)/(VLOOKUP($A947,'[1]import graded seats course pivo'!$A:AH,HLOOKUP('[1]Course Totals'!J$4,'[1]import graded seats course pivo'!$1:$2,2,FALSE),FALSE))),"")</f>
        <v/>
      </c>
      <c r="K947" s="14" t="str">
        <f>IFERROR((VLOOKUP($A947,'[1]import success seats course'!$A:Y,HLOOKUP('[1]Course Totals'!K$4,'[1]import success seats course'!$1:$2,2,FALSE),FALSE)/(VLOOKUP($A947,'[1]import graded seats course pivo'!$A:AI,HLOOKUP('[1]Course Totals'!K$4,'[1]import graded seats course pivo'!$1:$2,2,FALSE),FALSE))),"")</f>
        <v/>
      </c>
      <c r="L947" s="14" t="str">
        <f>IFERROR((VLOOKUP($A947,'[1]import success seats course'!$A:Z,HLOOKUP('[1]Course Totals'!L$4,'[1]import success seats course'!$1:$2,2,FALSE),FALSE)/(VLOOKUP($A947,'[1]import graded seats course pivo'!$A:AJ,HLOOKUP('[1]Course Totals'!L$4,'[1]import graded seats course pivo'!$1:$2,2,FALSE),FALSE))),"")</f>
        <v/>
      </c>
      <c r="M947" s="14" t="str">
        <f>IFERROR((VLOOKUP($A947,'[1]import success seats course'!$A:AA,HLOOKUP('[1]Course Totals'!M$4,'[1]import success seats course'!$1:$2,2,FALSE),FALSE)/(VLOOKUP($A947,'[1]import graded seats course pivo'!$A:AK,HLOOKUP('[1]Course Totals'!M$4,'[1]import graded seats course pivo'!$1:$2,2,FALSE),FALSE))),"")</f>
        <v/>
      </c>
      <c r="N947" s="14" t="str">
        <f>IFERROR((VLOOKUP($A947,'[1]import success seats course'!$A:AB,HLOOKUP('[1]Course Totals'!N$4,'[1]import success seats course'!$1:$2,2,FALSE),FALSE)/(VLOOKUP($A947,'[1]import graded seats course pivo'!$A:AL,HLOOKUP('[1]Course Totals'!N$4,'[1]import graded seats course pivo'!$1:$2,2,FALSE),FALSE))),"")</f>
        <v/>
      </c>
      <c r="O947" s="14" t="str">
        <f>IFERROR((VLOOKUP($A947,'[1]import success seats course'!$A:AC,HLOOKUP('[1]Course Totals'!O$4,'[1]import success seats course'!$1:$2,2,FALSE),FALSE)/(VLOOKUP($A947,'[1]import graded seats course pivo'!$A:AM,HLOOKUP('[1]Course Totals'!O$4,'[1]import graded seats course pivo'!$1:$2,2,FALSE),FALSE))),"")</f>
        <v/>
      </c>
      <c r="P947" s="14" t="str">
        <f>IFERROR((VLOOKUP($A947,'[1]import success seats course'!$A:AD,HLOOKUP('[1]Course Totals'!P$4,'[1]import success seats course'!$1:$2,2,FALSE),FALSE)/(VLOOKUP($A947,'[1]import graded seats course pivo'!$A:AN,HLOOKUP('[1]Course Totals'!P$4,'[1]import graded seats course pivo'!$1:$2,2,FALSE),FALSE))),"")</f>
        <v/>
      </c>
      <c r="Q947" s="14" t="str">
        <f>IFERROR((VLOOKUP($A947,'[1]import success seats course'!$A:AE,HLOOKUP('[1]Course Totals'!Q$4,'[1]import success seats course'!$1:$2,2,FALSE),FALSE)/(VLOOKUP($A947,'[1]import graded seats course pivo'!$A:AO,HLOOKUP('[1]Course Totals'!Q$4,'[1]import graded seats course pivo'!$1:$2,2,FALSE),FALSE))),"")</f>
        <v/>
      </c>
      <c r="R947" s="14" t="str">
        <f>IFERROR((VLOOKUP($A947,'[1]import success seats course'!$A:AF,HLOOKUP('[1]Course Totals'!R$4,'[1]import success seats course'!$1:$2,2,FALSE),FALSE)/(VLOOKUP($A947,'[1]import graded seats course pivo'!$A:AP,HLOOKUP('[1]Course Totals'!R$4,'[1]import graded seats course pivo'!$1:$2,2,FALSE),FALSE))),"")</f>
        <v/>
      </c>
      <c r="S947" s="14" t="str">
        <f>IFERROR((VLOOKUP($A947,'[1]import success seats course'!$A:AG,HLOOKUP('[1]Course Totals'!S$4,'[1]import success seats course'!$1:$2,2,FALSE),FALSE)/(VLOOKUP($A947,'[1]import graded seats course pivo'!$A:AQ,HLOOKUP('[1]Course Totals'!S$4,'[1]import graded seats course pivo'!$1:$2,2,FALSE),FALSE))),"")</f>
        <v/>
      </c>
      <c r="Z947" s="7"/>
      <c r="AA947" s="7"/>
      <c r="AB947" s="7"/>
      <c r="AC947" s="7"/>
    </row>
    <row r="948" spans="1:29" ht="15.75" customHeight="1" x14ac:dyDescent="0.25">
      <c r="A948" s="12" t="s">
        <v>453</v>
      </c>
      <c r="B948" s="14">
        <f>IFERROR((VLOOKUP($A948,'[1]import success seats course'!$A:P,HLOOKUP('[1]Course Totals'!B$4,'[1]import success seats course'!$1:$2,2,FALSE),FALSE)/(VLOOKUP($A948,'[1]import graded seats course pivo'!$A:Z,HLOOKUP('[1]Course Totals'!B$4,'[1]import graded seats course pivo'!$1:$2,2,FALSE),FALSE))),"")</f>
        <v>1</v>
      </c>
      <c r="C948" s="14">
        <f>IFERROR((VLOOKUP($A948,'[1]import success seats course'!$A:Q,HLOOKUP('[1]Course Totals'!C$4,'[1]import success seats course'!$1:$2,2,FALSE),FALSE)/(VLOOKUP($A948,'[1]import graded seats course pivo'!$A:AA,HLOOKUP('[1]Course Totals'!C$4,'[1]import graded seats course pivo'!$1:$2,2,FALSE),FALSE))),"")</f>
        <v>0.94736842105263153</v>
      </c>
      <c r="D948" s="14">
        <f>IFERROR((VLOOKUP($A948,'[1]import success seats course'!$A:R,HLOOKUP('[1]Course Totals'!D$4,'[1]import success seats course'!$1:$2,2,FALSE),FALSE)/(VLOOKUP($A948,'[1]import graded seats course pivo'!$A:AB,HLOOKUP('[1]Course Totals'!D$4,'[1]import graded seats course pivo'!$1:$2,2,FALSE),FALSE))),"")</f>
        <v>1</v>
      </c>
      <c r="E948" s="14" t="str">
        <f>IFERROR((VLOOKUP($A948,'[1]import success seats course'!$A:S,HLOOKUP('[1]Course Totals'!E$4,'[1]import success seats course'!$1:$2,2,FALSE),FALSE)/(VLOOKUP($A948,'[1]import graded seats course pivo'!$A:AC,HLOOKUP('[1]Course Totals'!E$4,'[1]import graded seats course pivo'!$1:$2,2,FALSE),FALSE))),"")</f>
        <v/>
      </c>
      <c r="F948" s="14">
        <f>IFERROR((VLOOKUP($A948,'[1]import success seats course'!$A:T,HLOOKUP('[1]Course Totals'!F$4,'[1]import success seats course'!$1:$2,2,FALSE),FALSE)/(VLOOKUP($A948,'[1]import graded seats course pivo'!$A:AD,HLOOKUP('[1]Course Totals'!F$4,'[1]import graded seats course pivo'!$1:$2,2,FALSE),FALSE))),"")</f>
        <v>0.88888888888888884</v>
      </c>
      <c r="G948" s="14" t="str">
        <f>IFERROR((VLOOKUP($A948,'[1]import success seats course'!$A:U,HLOOKUP('[1]Course Totals'!G$4,'[1]import success seats course'!$1:$2,2,FALSE),FALSE)/(VLOOKUP($A948,'[1]import graded seats course pivo'!$A:AE,HLOOKUP('[1]Course Totals'!G$4,'[1]import graded seats course pivo'!$1:$2,2,FALSE),FALSE))),"")</f>
        <v/>
      </c>
      <c r="H948" s="14" t="str">
        <f>IFERROR((VLOOKUP($A948,'[1]import success seats course'!$A:V,HLOOKUP('[1]Course Totals'!H$4,'[1]import success seats course'!$1:$2,2,FALSE),FALSE)/(VLOOKUP($A948,'[1]import graded seats course pivo'!$A:AF,HLOOKUP('[1]Course Totals'!H$4,'[1]import graded seats course pivo'!$1:$2,2,FALSE),FALSE))),"")</f>
        <v/>
      </c>
      <c r="I948" s="14" t="str">
        <f>IFERROR((VLOOKUP($A948,'[1]import success seats course'!$A:W,HLOOKUP('[1]Course Totals'!I$4,'[1]import success seats course'!$1:$2,2,FALSE),FALSE)/(VLOOKUP($A948,'[1]import graded seats course pivo'!$A:AG,HLOOKUP('[1]Course Totals'!I$4,'[1]import graded seats course pivo'!$1:$2,2,FALSE),FALSE))),"")</f>
        <v/>
      </c>
      <c r="J948" s="14" t="str">
        <f>IFERROR((VLOOKUP($A948,'[1]import success seats course'!$A:X,HLOOKUP('[1]Course Totals'!J$4,'[1]import success seats course'!$1:$2,2,FALSE),FALSE)/(VLOOKUP($A948,'[1]import graded seats course pivo'!$A:AH,HLOOKUP('[1]Course Totals'!J$4,'[1]import graded seats course pivo'!$1:$2,2,FALSE),FALSE))),"")</f>
        <v/>
      </c>
      <c r="K948" s="14" t="str">
        <f>IFERROR((VLOOKUP($A948,'[1]import success seats course'!$A:Y,HLOOKUP('[1]Course Totals'!K$4,'[1]import success seats course'!$1:$2,2,FALSE),FALSE)/(VLOOKUP($A948,'[1]import graded seats course pivo'!$A:AI,HLOOKUP('[1]Course Totals'!K$4,'[1]import graded seats course pivo'!$1:$2,2,FALSE),FALSE))),"")</f>
        <v/>
      </c>
      <c r="L948" s="14" t="str">
        <f>IFERROR((VLOOKUP($A948,'[1]import success seats course'!$A:Z,HLOOKUP('[1]Course Totals'!L$4,'[1]import success seats course'!$1:$2,2,FALSE),FALSE)/(VLOOKUP($A948,'[1]import graded seats course pivo'!$A:AJ,HLOOKUP('[1]Course Totals'!L$4,'[1]import graded seats course pivo'!$1:$2,2,FALSE),FALSE))),"")</f>
        <v/>
      </c>
      <c r="M948" s="14" t="str">
        <f>IFERROR((VLOOKUP($A948,'[1]import success seats course'!$A:AA,HLOOKUP('[1]Course Totals'!M$4,'[1]import success seats course'!$1:$2,2,FALSE),FALSE)/(VLOOKUP($A948,'[1]import graded seats course pivo'!$A:AK,HLOOKUP('[1]Course Totals'!M$4,'[1]import graded seats course pivo'!$1:$2,2,FALSE),FALSE))),"")</f>
        <v/>
      </c>
      <c r="N948" s="14" t="str">
        <f>IFERROR((VLOOKUP($A948,'[1]import success seats course'!$A:AB,HLOOKUP('[1]Course Totals'!N$4,'[1]import success seats course'!$1:$2,2,FALSE),FALSE)/(VLOOKUP($A948,'[1]import graded seats course pivo'!$A:AL,HLOOKUP('[1]Course Totals'!N$4,'[1]import graded seats course pivo'!$1:$2,2,FALSE),FALSE))),"")</f>
        <v/>
      </c>
      <c r="O948" s="14" t="str">
        <f>IFERROR((VLOOKUP($A948,'[1]import success seats course'!$A:AC,HLOOKUP('[1]Course Totals'!O$4,'[1]import success seats course'!$1:$2,2,FALSE),FALSE)/(VLOOKUP($A948,'[1]import graded seats course pivo'!$A:AM,HLOOKUP('[1]Course Totals'!O$4,'[1]import graded seats course pivo'!$1:$2,2,FALSE),FALSE))),"")</f>
        <v/>
      </c>
      <c r="P948" s="14" t="str">
        <f>IFERROR((VLOOKUP($A948,'[1]import success seats course'!$A:AD,HLOOKUP('[1]Course Totals'!P$4,'[1]import success seats course'!$1:$2,2,FALSE),FALSE)/(VLOOKUP($A948,'[1]import graded seats course pivo'!$A:AN,HLOOKUP('[1]Course Totals'!P$4,'[1]import graded seats course pivo'!$1:$2,2,FALSE),FALSE))),"")</f>
        <v/>
      </c>
      <c r="Q948" s="14" t="str">
        <f>IFERROR((VLOOKUP($A948,'[1]import success seats course'!$A:AE,HLOOKUP('[1]Course Totals'!Q$4,'[1]import success seats course'!$1:$2,2,FALSE),FALSE)/(VLOOKUP($A948,'[1]import graded seats course pivo'!$A:AO,HLOOKUP('[1]Course Totals'!Q$4,'[1]import graded seats course pivo'!$1:$2,2,FALSE),FALSE))),"")</f>
        <v/>
      </c>
      <c r="R948" s="14" t="str">
        <f>IFERROR((VLOOKUP($A948,'[1]import success seats course'!$A:AF,HLOOKUP('[1]Course Totals'!R$4,'[1]import success seats course'!$1:$2,2,FALSE),FALSE)/(VLOOKUP($A948,'[1]import graded seats course pivo'!$A:AP,HLOOKUP('[1]Course Totals'!R$4,'[1]import graded seats course pivo'!$1:$2,2,FALSE),FALSE))),"")</f>
        <v/>
      </c>
      <c r="S948" s="14" t="str">
        <f>IFERROR((VLOOKUP($A948,'[1]import success seats course'!$A:AG,HLOOKUP('[1]Course Totals'!S$4,'[1]import success seats course'!$1:$2,2,FALSE),FALSE)/(VLOOKUP($A948,'[1]import graded seats course pivo'!$A:AQ,HLOOKUP('[1]Course Totals'!S$4,'[1]import graded seats course pivo'!$1:$2,2,FALSE),FALSE))),"")</f>
        <v/>
      </c>
      <c r="Z948" s="7"/>
      <c r="AA948" s="7"/>
      <c r="AB948" s="7"/>
      <c r="AC948" s="7"/>
    </row>
    <row r="949" spans="1:29" ht="15.75" customHeight="1" x14ac:dyDescent="0.25">
      <c r="A949" s="12" t="s">
        <v>454</v>
      </c>
      <c r="B949" s="14" t="str">
        <f>IFERROR((VLOOKUP($A949,'[1]import success seats course'!$A:P,HLOOKUP('[1]Course Totals'!B$4,'[1]import success seats course'!$1:$2,2,FALSE),FALSE)/(VLOOKUP($A949,'[1]import graded seats course pivo'!$A:Z,HLOOKUP('[1]Course Totals'!B$4,'[1]import graded seats course pivo'!$1:$2,2,FALSE),FALSE))),"")</f>
        <v/>
      </c>
      <c r="C949" s="14">
        <f>IFERROR((VLOOKUP($A949,'[1]import success seats course'!$A:Q,HLOOKUP('[1]Course Totals'!C$4,'[1]import success seats course'!$1:$2,2,FALSE),FALSE)/(VLOOKUP($A949,'[1]import graded seats course pivo'!$A:AA,HLOOKUP('[1]Course Totals'!C$4,'[1]import graded seats course pivo'!$1:$2,2,FALSE),FALSE))),"")</f>
        <v>0.91304347826086951</v>
      </c>
      <c r="D949" s="14">
        <f>IFERROR((VLOOKUP($A949,'[1]import success seats course'!$A:R,HLOOKUP('[1]Course Totals'!D$4,'[1]import success seats course'!$1:$2,2,FALSE),FALSE)/(VLOOKUP($A949,'[1]import graded seats course pivo'!$A:AB,HLOOKUP('[1]Course Totals'!D$4,'[1]import graded seats course pivo'!$1:$2,2,FALSE),FALSE))),"")</f>
        <v>0.86363636363636365</v>
      </c>
      <c r="E949" s="14" t="str">
        <f>IFERROR((VLOOKUP($A949,'[1]import success seats course'!$A:S,HLOOKUP('[1]Course Totals'!E$4,'[1]import success seats course'!$1:$2,2,FALSE),FALSE)/(VLOOKUP($A949,'[1]import graded seats course pivo'!$A:AC,HLOOKUP('[1]Course Totals'!E$4,'[1]import graded seats course pivo'!$1:$2,2,FALSE),FALSE))),"")</f>
        <v/>
      </c>
      <c r="F949" s="14">
        <f>IFERROR((VLOOKUP($A949,'[1]import success seats course'!$A:T,HLOOKUP('[1]Course Totals'!F$4,'[1]import success seats course'!$1:$2,2,FALSE),FALSE)/(VLOOKUP($A949,'[1]import graded seats course pivo'!$A:AD,HLOOKUP('[1]Course Totals'!F$4,'[1]import graded seats course pivo'!$1:$2,2,FALSE),FALSE))),"")</f>
        <v>0.9285714285714286</v>
      </c>
      <c r="G949" s="14">
        <f>IFERROR((VLOOKUP($A949,'[1]import success seats course'!$A:U,HLOOKUP('[1]Course Totals'!G$4,'[1]import success seats course'!$1:$2,2,FALSE),FALSE)/(VLOOKUP($A949,'[1]import graded seats course pivo'!$A:AE,HLOOKUP('[1]Course Totals'!G$4,'[1]import graded seats course pivo'!$1:$2,2,FALSE),FALSE))),"")</f>
        <v>0.94117647058823528</v>
      </c>
      <c r="H949" s="14" t="str">
        <f>IFERROR((VLOOKUP($A949,'[1]import success seats course'!$A:V,HLOOKUP('[1]Course Totals'!H$4,'[1]import success seats course'!$1:$2,2,FALSE),FALSE)/(VLOOKUP($A949,'[1]import graded seats course pivo'!$A:AF,HLOOKUP('[1]Course Totals'!H$4,'[1]import graded seats course pivo'!$1:$2,2,FALSE),FALSE))),"")</f>
        <v/>
      </c>
      <c r="I949" s="14" t="str">
        <f>IFERROR((VLOOKUP($A949,'[1]import success seats course'!$A:W,HLOOKUP('[1]Course Totals'!I$4,'[1]import success seats course'!$1:$2,2,FALSE),FALSE)/(VLOOKUP($A949,'[1]import graded seats course pivo'!$A:AG,HLOOKUP('[1]Course Totals'!I$4,'[1]import graded seats course pivo'!$1:$2,2,FALSE),FALSE))),"")</f>
        <v/>
      </c>
      <c r="J949" s="14">
        <f>IFERROR((VLOOKUP($A949,'[1]import success seats course'!$A:X,HLOOKUP('[1]Course Totals'!J$4,'[1]import success seats course'!$1:$2,2,FALSE),FALSE)/(VLOOKUP($A949,'[1]import graded seats course pivo'!$A:AH,HLOOKUP('[1]Course Totals'!J$4,'[1]import graded seats course pivo'!$1:$2,2,FALSE),FALSE))),"")</f>
        <v>0.91428571428571426</v>
      </c>
      <c r="K949" s="14" t="str">
        <f>IFERROR((VLOOKUP($A949,'[1]import success seats course'!$A:Y,HLOOKUP('[1]Course Totals'!K$4,'[1]import success seats course'!$1:$2,2,FALSE),FALSE)/(VLOOKUP($A949,'[1]import graded seats course pivo'!$A:AI,HLOOKUP('[1]Course Totals'!K$4,'[1]import graded seats course pivo'!$1:$2,2,FALSE),FALSE))),"")</f>
        <v/>
      </c>
      <c r="L949" s="14">
        <f>IFERROR((VLOOKUP($A949,'[1]import success seats course'!$A:Z,HLOOKUP('[1]Course Totals'!L$4,'[1]import success seats course'!$1:$2,2,FALSE),FALSE)/(VLOOKUP($A949,'[1]import graded seats course pivo'!$A:AJ,HLOOKUP('[1]Course Totals'!L$4,'[1]import graded seats course pivo'!$1:$2,2,FALSE),FALSE))),"")</f>
        <v>0.94117647058823528</v>
      </c>
      <c r="M949" s="14">
        <f>IFERROR((VLOOKUP($A949,'[1]import success seats course'!$A:AA,HLOOKUP('[1]Course Totals'!M$4,'[1]import success seats course'!$1:$2,2,FALSE),FALSE)/(VLOOKUP($A949,'[1]import graded seats course pivo'!$A:AK,HLOOKUP('[1]Course Totals'!M$4,'[1]import graded seats course pivo'!$1:$2,2,FALSE),FALSE))),"")</f>
        <v>0.96551724137931039</v>
      </c>
      <c r="N949" s="14" t="str">
        <f>IFERROR((VLOOKUP($A949,'[1]import success seats course'!$A:AB,HLOOKUP('[1]Course Totals'!N$4,'[1]import success seats course'!$1:$2,2,FALSE),FALSE)/(VLOOKUP($A949,'[1]import graded seats course pivo'!$A:AL,HLOOKUP('[1]Course Totals'!N$4,'[1]import graded seats course pivo'!$1:$2,2,FALSE),FALSE))),"")</f>
        <v/>
      </c>
      <c r="O949" s="14" t="str">
        <f>IFERROR((VLOOKUP($A949,'[1]import success seats course'!$A:AC,HLOOKUP('[1]Course Totals'!O$4,'[1]import success seats course'!$1:$2,2,FALSE),FALSE)/(VLOOKUP($A949,'[1]import graded seats course pivo'!$A:AM,HLOOKUP('[1]Course Totals'!O$4,'[1]import graded seats course pivo'!$1:$2,2,FALSE),FALSE))),"")</f>
        <v/>
      </c>
      <c r="P949" s="14">
        <f>IFERROR((VLOOKUP($A949,'[1]import success seats course'!$A:AD,HLOOKUP('[1]Course Totals'!P$4,'[1]import success seats course'!$1:$2,2,FALSE),FALSE)/(VLOOKUP($A949,'[1]import graded seats course pivo'!$A:AN,HLOOKUP('[1]Course Totals'!P$4,'[1]import graded seats course pivo'!$1:$2,2,FALSE),FALSE))),"")</f>
        <v>0.92307692307692313</v>
      </c>
      <c r="Q949" s="14" t="str">
        <f>IFERROR((VLOOKUP($A949,'[1]import success seats course'!$A:AE,HLOOKUP('[1]Course Totals'!Q$4,'[1]import success seats course'!$1:$2,2,FALSE),FALSE)/(VLOOKUP($A949,'[1]import graded seats course pivo'!$A:AO,HLOOKUP('[1]Course Totals'!Q$4,'[1]import graded seats course pivo'!$1:$2,2,FALSE),FALSE))),"")</f>
        <v/>
      </c>
      <c r="R949" s="14" t="str">
        <f>IFERROR((VLOOKUP($A949,'[1]import success seats course'!$A:AF,HLOOKUP('[1]Course Totals'!R$4,'[1]import success seats course'!$1:$2,2,FALSE),FALSE)/(VLOOKUP($A949,'[1]import graded seats course pivo'!$A:AP,HLOOKUP('[1]Course Totals'!R$4,'[1]import graded seats course pivo'!$1:$2,2,FALSE),FALSE))),"")</f>
        <v/>
      </c>
      <c r="S949" s="14" t="str">
        <f>IFERROR((VLOOKUP($A949,'[1]import success seats course'!$A:AG,HLOOKUP('[1]Course Totals'!S$4,'[1]import success seats course'!$1:$2,2,FALSE),FALSE)/(VLOOKUP($A949,'[1]import graded seats course pivo'!$A:AQ,HLOOKUP('[1]Course Totals'!S$4,'[1]import graded seats course pivo'!$1:$2,2,FALSE),FALSE))),"")</f>
        <v/>
      </c>
      <c r="Z949" s="7"/>
      <c r="AA949" s="7"/>
      <c r="AB949" s="7"/>
      <c r="AC949" s="7"/>
    </row>
    <row r="950" spans="1:29" ht="15.75" customHeight="1" x14ac:dyDescent="0.25">
      <c r="A950" s="12" t="s">
        <v>455</v>
      </c>
      <c r="B950" s="14" t="str">
        <f>IFERROR((VLOOKUP($A950,'[1]import success seats course'!$A:P,HLOOKUP('[1]Course Totals'!B$4,'[1]import success seats course'!$1:$2,2,FALSE),FALSE)/(VLOOKUP($A950,'[1]import graded seats course pivo'!$A:Z,HLOOKUP('[1]Course Totals'!B$4,'[1]import graded seats course pivo'!$1:$2,2,FALSE),FALSE))),"")</f>
        <v/>
      </c>
      <c r="C950" s="14">
        <f>IFERROR((VLOOKUP($A950,'[1]import success seats course'!$A:Q,HLOOKUP('[1]Course Totals'!C$4,'[1]import success seats course'!$1:$2,2,FALSE),FALSE)/(VLOOKUP($A950,'[1]import graded seats course pivo'!$A:AA,HLOOKUP('[1]Course Totals'!C$4,'[1]import graded seats course pivo'!$1:$2,2,FALSE),FALSE))),"")</f>
        <v>1</v>
      </c>
      <c r="D950" s="14" t="str">
        <f>IFERROR((VLOOKUP($A950,'[1]import success seats course'!$A:R,HLOOKUP('[1]Course Totals'!D$4,'[1]import success seats course'!$1:$2,2,FALSE),FALSE)/(VLOOKUP($A950,'[1]import graded seats course pivo'!$A:AB,HLOOKUP('[1]Course Totals'!D$4,'[1]import graded seats course pivo'!$1:$2,2,FALSE),FALSE))),"")</f>
        <v/>
      </c>
      <c r="E950" s="14" t="str">
        <f>IFERROR((VLOOKUP($A950,'[1]import success seats course'!$A:S,HLOOKUP('[1]Course Totals'!E$4,'[1]import success seats course'!$1:$2,2,FALSE),FALSE)/(VLOOKUP($A950,'[1]import graded seats course pivo'!$A:AC,HLOOKUP('[1]Course Totals'!E$4,'[1]import graded seats course pivo'!$1:$2,2,FALSE),FALSE))),"")</f>
        <v/>
      </c>
      <c r="F950" s="14">
        <f>IFERROR((VLOOKUP($A950,'[1]import success seats course'!$A:T,HLOOKUP('[1]Course Totals'!F$4,'[1]import success seats course'!$1:$2,2,FALSE),FALSE)/(VLOOKUP($A950,'[1]import graded seats course pivo'!$A:AD,HLOOKUP('[1]Course Totals'!F$4,'[1]import graded seats course pivo'!$1:$2,2,FALSE),FALSE))),"")</f>
        <v>0.94117647058823528</v>
      </c>
      <c r="G950" s="14" t="str">
        <f>IFERROR((VLOOKUP($A950,'[1]import success seats course'!$A:U,HLOOKUP('[1]Course Totals'!G$4,'[1]import success seats course'!$1:$2,2,FALSE),FALSE)/(VLOOKUP($A950,'[1]import graded seats course pivo'!$A:AE,HLOOKUP('[1]Course Totals'!G$4,'[1]import graded seats course pivo'!$1:$2,2,FALSE),FALSE))),"")</f>
        <v/>
      </c>
      <c r="H950" s="14" t="str">
        <f>IFERROR((VLOOKUP($A950,'[1]import success seats course'!$A:V,HLOOKUP('[1]Course Totals'!H$4,'[1]import success seats course'!$1:$2,2,FALSE),FALSE)/(VLOOKUP($A950,'[1]import graded seats course pivo'!$A:AF,HLOOKUP('[1]Course Totals'!H$4,'[1]import graded seats course pivo'!$1:$2,2,FALSE),FALSE))),"")</f>
        <v/>
      </c>
      <c r="I950" s="14">
        <f>IFERROR((VLOOKUP($A950,'[1]import success seats course'!$A:W,HLOOKUP('[1]Course Totals'!I$4,'[1]import success seats course'!$1:$2,2,FALSE),FALSE)/(VLOOKUP($A950,'[1]import graded seats course pivo'!$A:AG,HLOOKUP('[1]Course Totals'!I$4,'[1]import graded seats course pivo'!$1:$2,2,FALSE),FALSE))),"")</f>
        <v>1</v>
      </c>
      <c r="J950" s="14" t="str">
        <f>IFERROR((VLOOKUP($A950,'[1]import success seats course'!$A:X,HLOOKUP('[1]Course Totals'!J$4,'[1]import success seats course'!$1:$2,2,FALSE),FALSE)/(VLOOKUP($A950,'[1]import graded seats course pivo'!$A:AH,HLOOKUP('[1]Course Totals'!J$4,'[1]import graded seats course pivo'!$1:$2,2,FALSE),FALSE))),"")</f>
        <v/>
      </c>
      <c r="K950" s="14" t="str">
        <f>IFERROR((VLOOKUP($A950,'[1]import success seats course'!$A:Y,HLOOKUP('[1]Course Totals'!K$4,'[1]import success seats course'!$1:$2,2,FALSE),FALSE)/(VLOOKUP($A950,'[1]import graded seats course pivo'!$A:AI,HLOOKUP('[1]Course Totals'!K$4,'[1]import graded seats course pivo'!$1:$2,2,FALSE),FALSE))),"")</f>
        <v/>
      </c>
      <c r="L950" s="14">
        <f>IFERROR((VLOOKUP($A950,'[1]import success seats course'!$A:Z,HLOOKUP('[1]Course Totals'!L$4,'[1]import success seats course'!$1:$2,2,FALSE),FALSE)/(VLOOKUP($A950,'[1]import graded seats course pivo'!$A:AJ,HLOOKUP('[1]Course Totals'!L$4,'[1]import graded seats course pivo'!$1:$2,2,FALSE),FALSE))),"")</f>
        <v>1</v>
      </c>
      <c r="M950" s="14" t="str">
        <f>IFERROR((VLOOKUP($A950,'[1]import success seats course'!$A:AA,HLOOKUP('[1]Course Totals'!M$4,'[1]import success seats course'!$1:$2,2,FALSE),FALSE)/(VLOOKUP($A950,'[1]import graded seats course pivo'!$A:AK,HLOOKUP('[1]Course Totals'!M$4,'[1]import graded seats course pivo'!$1:$2,2,FALSE),FALSE))),"")</f>
        <v/>
      </c>
      <c r="N950" s="14" t="str">
        <f>IFERROR((VLOOKUP($A950,'[1]import success seats course'!$A:AB,HLOOKUP('[1]Course Totals'!N$4,'[1]import success seats course'!$1:$2,2,FALSE),FALSE)/(VLOOKUP($A950,'[1]import graded seats course pivo'!$A:AL,HLOOKUP('[1]Course Totals'!N$4,'[1]import graded seats course pivo'!$1:$2,2,FALSE),FALSE))),"")</f>
        <v/>
      </c>
      <c r="O950" s="14">
        <f>IFERROR((VLOOKUP($A950,'[1]import success seats course'!$A:AC,HLOOKUP('[1]Course Totals'!O$4,'[1]import success seats course'!$1:$2,2,FALSE),FALSE)/(VLOOKUP($A950,'[1]import graded seats course pivo'!$A:AM,HLOOKUP('[1]Course Totals'!O$4,'[1]import graded seats course pivo'!$1:$2,2,FALSE),FALSE))),"")</f>
        <v>1</v>
      </c>
      <c r="P950" s="14" t="str">
        <f>IFERROR((VLOOKUP($A950,'[1]import success seats course'!$A:AD,HLOOKUP('[1]Course Totals'!P$4,'[1]import success seats course'!$1:$2,2,FALSE),FALSE)/(VLOOKUP($A950,'[1]import graded seats course pivo'!$A:AN,HLOOKUP('[1]Course Totals'!P$4,'[1]import graded seats course pivo'!$1:$2,2,FALSE),FALSE))),"")</f>
        <v/>
      </c>
      <c r="Q950" s="14" t="str">
        <f>IFERROR((VLOOKUP($A950,'[1]import success seats course'!$A:AE,HLOOKUP('[1]Course Totals'!Q$4,'[1]import success seats course'!$1:$2,2,FALSE),FALSE)/(VLOOKUP($A950,'[1]import graded seats course pivo'!$A:AO,HLOOKUP('[1]Course Totals'!Q$4,'[1]import graded seats course pivo'!$1:$2,2,FALSE),FALSE))),"")</f>
        <v/>
      </c>
      <c r="R950" s="14">
        <f>IFERROR((VLOOKUP($A950,'[1]import success seats course'!$A:AF,HLOOKUP('[1]Course Totals'!R$4,'[1]import success seats course'!$1:$2,2,FALSE),FALSE)/(VLOOKUP($A950,'[1]import graded seats course pivo'!$A:AP,HLOOKUP('[1]Course Totals'!R$4,'[1]import graded seats course pivo'!$1:$2,2,FALSE),FALSE))),"")</f>
        <v>0.92307692307692313</v>
      </c>
      <c r="S950" s="14" t="str">
        <f>IFERROR((VLOOKUP($A950,'[1]import success seats course'!$A:AG,HLOOKUP('[1]Course Totals'!S$4,'[1]import success seats course'!$1:$2,2,FALSE),FALSE)/(VLOOKUP($A950,'[1]import graded seats course pivo'!$A:AQ,HLOOKUP('[1]Course Totals'!S$4,'[1]import graded seats course pivo'!$1:$2,2,FALSE),FALSE))),"")</f>
        <v/>
      </c>
      <c r="Z950" s="7"/>
      <c r="AA950" s="7"/>
      <c r="AB950" s="7"/>
      <c r="AC950" s="7"/>
    </row>
    <row r="951" spans="1:29" ht="15.75" hidden="1" customHeight="1" x14ac:dyDescent="0.25">
      <c r="A951" s="12" t="s">
        <v>456</v>
      </c>
      <c r="B951" s="14" t="str">
        <f>IFERROR((VLOOKUP($A951,'[1]import success seats course'!$A:P,HLOOKUP('[1]Course Totals'!B$4,'[1]import success seats course'!$1:$2,2,FALSE),FALSE)/(VLOOKUP($A951,'[1]import graded seats course pivo'!$A:Z,HLOOKUP('[1]Course Totals'!B$4,'[1]import graded seats course pivo'!$1:$2,2,FALSE),FALSE))),"")</f>
        <v/>
      </c>
      <c r="C951" s="14" t="str">
        <f>IFERROR((VLOOKUP($A951,'[1]import success seats course'!$A:Q,HLOOKUP('[1]Course Totals'!C$4,'[1]import success seats course'!$1:$2,2,FALSE),FALSE)/(VLOOKUP($A951,'[1]import graded seats course pivo'!$A:AA,HLOOKUP('[1]Course Totals'!C$4,'[1]import graded seats course pivo'!$1:$2,2,FALSE),FALSE))),"")</f>
        <v/>
      </c>
      <c r="D951" s="14" t="str">
        <f>IFERROR((VLOOKUP($A951,'[1]import success seats course'!$A:R,HLOOKUP('[1]Course Totals'!D$4,'[1]import success seats course'!$1:$2,2,FALSE),FALSE)/(VLOOKUP($A951,'[1]import graded seats course pivo'!$A:AB,HLOOKUP('[1]Course Totals'!D$4,'[1]import graded seats course pivo'!$1:$2,2,FALSE),FALSE))),"")</f>
        <v/>
      </c>
      <c r="E951" s="14" t="str">
        <f>IFERROR((VLOOKUP($A951,'[1]import success seats course'!$A:S,HLOOKUP('[1]Course Totals'!E$4,'[1]import success seats course'!$1:$2,2,FALSE),FALSE)/(VLOOKUP($A951,'[1]import graded seats course pivo'!$A:AC,HLOOKUP('[1]Course Totals'!E$4,'[1]import graded seats course pivo'!$1:$2,2,FALSE),FALSE))),"")</f>
        <v/>
      </c>
      <c r="F951" s="14" t="str">
        <f>IFERROR((VLOOKUP($A951,'[1]import success seats course'!$A:T,HLOOKUP('[1]Course Totals'!F$4,'[1]import success seats course'!$1:$2,2,FALSE),FALSE)/(VLOOKUP($A951,'[1]import graded seats course pivo'!$A:AD,HLOOKUP('[1]Course Totals'!F$4,'[1]import graded seats course pivo'!$1:$2,2,FALSE),FALSE))),"")</f>
        <v/>
      </c>
      <c r="G951" s="14" t="str">
        <f>IFERROR((VLOOKUP($A951,'[1]import success seats course'!$A:U,HLOOKUP('[1]Course Totals'!G$4,'[1]import success seats course'!$1:$2,2,FALSE),FALSE)/(VLOOKUP($A951,'[1]import graded seats course pivo'!$A:AE,HLOOKUP('[1]Course Totals'!G$4,'[1]import graded seats course pivo'!$1:$2,2,FALSE),FALSE))),"")</f>
        <v/>
      </c>
      <c r="H951" s="14" t="str">
        <f>IFERROR((VLOOKUP($A951,'[1]import success seats course'!$A:V,HLOOKUP('[1]Course Totals'!H$4,'[1]import success seats course'!$1:$2,2,FALSE),FALSE)/(VLOOKUP($A951,'[1]import graded seats course pivo'!$A:AF,HLOOKUP('[1]Course Totals'!H$4,'[1]import graded seats course pivo'!$1:$2,2,FALSE),FALSE))),"")</f>
        <v/>
      </c>
      <c r="I951" s="14" t="str">
        <f>IFERROR((VLOOKUP($A951,'[1]import success seats course'!$A:W,HLOOKUP('[1]Course Totals'!I$4,'[1]import success seats course'!$1:$2,2,FALSE),FALSE)/(VLOOKUP($A951,'[1]import graded seats course pivo'!$A:AG,HLOOKUP('[1]Course Totals'!I$4,'[1]import graded seats course pivo'!$1:$2,2,FALSE),FALSE))),"")</f>
        <v/>
      </c>
      <c r="J951" s="14" t="str">
        <f>IFERROR((VLOOKUP($A951,'[1]import success seats course'!$A:X,HLOOKUP('[1]Course Totals'!J$4,'[1]import success seats course'!$1:$2,2,FALSE),FALSE)/(VLOOKUP($A951,'[1]import graded seats course pivo'!$A:AH,HLOOKUP('[1]Course Totals'!J$4,'[1]import graded seats course pivo'!$1:$2,2,FALSE),FALSE))),"")</f>
        <v/>
      </c>
      <c r="K951" s="14" t="str">
        <f>IFERROR((VLOOKUP($A951,'[1]import success seats course'!$A:Y,HLOOKUP('[1]Course Totals'!K$4,'[1]import success seats course'!$1:$2,2,FALSE),FALSE)/(VLOOKUP($A951,'[1]import graded seats course pivo'!$A:AI,HLOOKUP('[1]Course Totals'!K$4,'[1]import graded seats course pivo'!$1:$2,2,FALSE),FALSE))),"")</f>
        <v/>
      </c>
      <c r="L951" s="14" t="str">
        <f>IFERROR((VLOOKUP($A951,'[1]import success seats course'!$A:Z,HLOOKUP('[1]Course Totals'!L$4,'[1]import success seats course'!$1:$2,2,FALSE),FALSE)/(VLOOKUP($A951,'[1]import graded seats course pivo'!$A:AJ,HLOOKUP('[1]Course Totals'!L$4,'[1]import graded seats course pivo'!$1:$2,2,FALSE),FALSE))),"")</f>
        <v/>
      </c>
      <c r="M951" s="14" t="str">
        <f>IFERROR((VLOOKUP($A951,'[1]import success seats course'!$A:AA,HLOOKUP('[1]Course Totals'!M$4,'[1]import success seats course'!$1:$2,2,FALSE),FALSE)/(VLOOKUP($A951,'[1]import graded seats course pivo'!$A:AK,HLOOKUP('[1]Course Totals'!M$4,'[1]import graded seats course pivo'!$1:$2,2,FALSE),FALSE))),"")</f>
        <v/>
      </c>
      <c r="N951" s="14" t="str">
        <f>IFERROR((VLOOKUP($A951,'[1]import success seats course'!$A:AB,HLOOKUP('[1]Course Totals'!N$4,'[1]import success seats course'!$1:$2,2,FALSE),FALSE)/(VLOOKUP($A951,'[1]import graded seats course pivo'!$A:AL,HLOOKUP('[1]Course Totals'!N$4,'[1]import graded seats course pivo'!$1:$2,2,FALSE),FALSE))),"")</f>
        <v/>
      </c>
      <c r="O951" s="14" t="str">
        <f>IFERROR((VLOOKUP($A951,'[1]import success seats course'!$A:AC,HLOOKUP('[1]Course Totals'!O$4,'[1]import success seats course'!$1:$2,2,FALSE),FALSE)/(VLOOKUP($A951,'[1]import graded seats course pivo'!$A:AM,HLOOKUP('[1]Course Totals'!O$4,'[1]import graded seats course pivo'!$1:$2,2,FALSE),FALSE))),"")</f>
        <v/>
      </c>
      <c r="P951" s="14" t="str">
        <f>IFERROR((VLOOKUP($A951,'[1]import success seats course'!$A:AD,HLOOKUP('[1]Course Totals'!P$4,'[1]import success seats course'!$1:$2,2,FALSE),FALSE)/(VLOOKUP($A951,'[1]import graded seats course pivo'!$A:AN,HLOOKUP('[1]Course Totals'!P$4,'[1]import graded seats course pivo'!$1:$2,2,FALSE),FALSE))),"")</f>
        <v/>
      </c>
      <c r="Q951" s="14" t="str">
        <f>IFERROR((VLOOKUP($A951,'[1]import success seats course'!$A:AE,HLOOKUP('[1]Course Totals'!Q$4,'[1]import success seats course'!$1:$2,2,FALSE),FALSE)/(VLOOKUP($A951,'[1]import graded seats course pivo'!$A:AO,HLOOKUP('[1]Course Totals'!Q$4,'[1]import graded seats course pivo'!$1:$2,2,FALSE),FALSE))),"")</f>
        <v/>
      </c>
      <c r="R951" s="14" t="str">
        <f>IFERROR((VLOOKUP($A951,'[1]import success seats course'!$A:AF,HLOOKUP('[1]Course Totals'!R$4,'[1]import success seats course'!$1:$2,2,FALSE),FALSE)/(VLOOKUP($A951,'[1]import graded seats course pivo'!$A:AP,HLOOKUP('[1]Course Totals'!R$4,'[1]import graded seats course pivo'!$1:$2,2,FALSE),FALSE))),"")</f>
        <v/>
      </c>
      <c r="S951" s="14" t="str">
        <f>IFERROR((VLOOKUP($A951,'[1]import success seats course'!$A:AG,HLOOKUP('[1]Course Totals'!S$4,'[1]import success seats course'!$1:$2,2,FALSE),FALSE)/(VLOOKUP($A951,'[1]import graded seats course pivo'!$A:AQ,HLOOKUP('[1]Course Totals'!S$4,'[1]import graded seats course pivo'!$1:$2,2,FALSE),FALSE))),"")</f>
        <v/>
      </c>
      <c r="Z951" s="7"/>
      <c r="AA951" s="7"/>
      <c r="AB951" s="7"/>
      <c r="AC951" s="7"/>
    </row>
    <row r="952" spans="1:29" ht="15.75" hidden="1" customHeight="1" x14ac:dyDescent="0.25">
      <c r="A952" s="12" t="s">
        <v>457</v>
      </c>
      <c r="B952" s="14" t="str">
        <f>IFERROR((VLOOKUP($A952,'[1]import success seats course'!$A:P,HLOOKUP('[1]Course Totals'!B$4,'[1]import success seats course'!$1:$2,2,FALSE),FALSE)/(VLOOKUP($A952,'[1]import graded seats course pivo'!$A:Z,HLOOKUP('[1]Course Totals'!B$4,'[1]import graded seats course pivo'!$1:$2,2,FALSE),FALSE))),"")</f>
        <v/>
      </c>
      <c r="C952" s="14" t="str">
        <f>IFERROR((VLOOKUP($A952,'[1]import success seats course'!$A:Q,HLOOKUP('[1]Course Totals'!C$4,'[1]import success seats course'!$1:$2,2,FALSE),FALSE)/(VLOOKUP($A952,'[1]import graded seats course pivo'!$A:AA,HLOOKUP('[1]Course Totals'!C$4,'[1]import graded seats course pivo'!$1:$2,2,FALSE),FALSE))),"")</f>
        <v/>
      </c>
      <c r="D952" s="14" t="str">
        <f>IFERROR((VLOOKUP($A952,'[1]import success seats course'!$A:R,HLOOKUP('[1]Course Totals'!D$4,'[1]import success seats course'!$1:$2,2,FALSE),FALSE)/(VLOOKUP($A952,'[1]import graded seats course pivo'!$A:AB,HLOOKUP('[1]Course Totals'!D$4,'[1]import graded seats course pivo'!$1:$2,2,FALSE),FALSE))),"")</f>
        <v/>
      </c>
      <c r="E952" s="14" t="str">
        <f>IFERROR((VLOOKUP($A952,'[1]import success seats course'!$A:S,HLOOKUP('[1]Course Totals'!E$4,'[1]import success seats course'!$1:$2,2,FALSE),FALSE)/(VLOOKUP($A952,'[1]import graded seats course pivo'!$A:AC,HLOOKUP('[1]Course Totals'!E$4,'[1]import graded seats course pivo'!$1:$2,2,FALSE),FALSE))),"")</f>
        <v/>
      </c>
      <c r="F952" s="14" t="str">
        <f>IFERROR((VLOOKUP($A952,'[1]import success seats course'!$A:T,HLOOKUP('[1]Course Totals'!F$4,'[1]import success seats course'!$1:$2,2,FALSE),FALSE)/(VLOOKUP($A952,'[1]import graded seats course pivo'!$A:AD,HLOOKUP('[1]Course Totals'!F$4,'[1]import graded seats course pivo'!$1:$2,2,FALSE),FALSE))),"")</f>
        <v/>
      </c>
      <c r="G952" s="14" t="str">
        <f>IFERROR((VLOOKUP($A952,'[1]import success seats course'!$A:U,HLOOKUP('[1]Course Totals'!G$4,'[1]import success seats course'!$1:$2,2,FALSE),FALSE)/(VLOOKUP($A952,'[1]import graded seats course pivo'!$A:AE,HLOOKUP('[1]Course Totals'!G$4,'[1]import graded seats course pivo'!$1:$2,2,FALSE),FALSE))),"")</f>
        <v/>
      </c>
      <c r="H952" s="14" t="str">
        <f>IFERROR((VLOOKUP($A952,'[1]import success seats course'!$A:V,HLOOKUP('[1]Course Totals'!H$4,'[1]import success seats course'!$1:$2,2,FALSE),FALSE)/(VLOOKUP($A952,'[1]import graded seats course pivo'!$A:AF,HLOOKUP('[1]Course Totals'!H$4,'[1]import graded seats course pivo'!$1:$2,2,FALSE),FALSE))),"")</f>
        <v/>
      </c>
      <c r="I952" s="14" t="str">
        <f>IFERROR((VLOOKUP($A952,'[1]import success seats course'!$A:W,HLOOKUP('[1]Course Totals'!I$4,'[1]import success seats course'!$1:$2,2,FALSE),FALSE)/(VLOOKUP($A952,'[1]import graded seats course pivo'!$A:AG,HLOOKUP('[1]Course Totals'!I$4,'[1]import graded seats course pivo'!$1:$2,2,FALSE),FALSE))),"")</f>
        <v/>
      </c>
      <c r="J952" s="14" t="str">
        <f>IFERROR((VLOOKUP($A952,'[1]import success seats course'!$A:X,HLOOKUP('[1]Course Totals'!J$4,'[1]import success seats course'!$1:$2,2,FALSE),FALSE)/(VLOOKUP($A952,'[1]import graded seats course pivo'!$A:AH,HLOOKUP('[1]Course Totals'!J$4,'[1]import graded seats course pivo'!$1:$2,2,FALSE),FALSE))),"")</f>
        <v/>
      </c>
      <c r="K952" s="14" t="str">
        <f>IFERROR((VLOOKUP($A952,'[1]import success seats course'!$A:Y,HLOOKUP('[1]Course Totals'!K$4,'[1]import success seats course'!$1:$2,2,FALSE),FALSE)/(VLOOKUP($A952,'[1]import graded seats course pivo'!$A:AI,HLOOKUP('[1]Course Totals'!K$4,'[1]import graded seats course pivo'!$1:$2,2,FALSE),FALSE))),"")</f>
        <v/>
      </c>
      <c r="L952" s="14" t="str">
        <f>IFERROR((VLOOKUP($A952,'[1]import success seats course'!$A:Z,HLOOKUP('[1]Course Totals'!L$4,'[1]import success seats course'!$1:$2,2,FALSE),FALSE)/(VLOOKUP($A952,'[1]import graded seats course pivo'!$A:AJ,HLOOKUP('[1]Course Totals'!L$4,'[1]import graded seats course pivo'!$1:$2,2,FALSE),FALSE))),"")</f>
        <v/>
      </c>
      <c r="M952" s="14" t="str">
        <f>IFERROR((VLOOKUP($A952,'[1]import success seats course'!$A:AA,HLOOKUP('[1]Course Totals'!M$4,'[1]import success seats course'!$1:$2,2,FALSE),FALSE)/(VLOOKUP($A952,'[1]import graded seats course pivo'!$A:AK,HLOOKUP('[1]Course Totals'!M$4,'[1]import graded seats course pivo'!$1:$2,2,FALSE),FALSE))),"")</f>
        <v/>
      </c>
      <c r="N952" s="14" t="str">
        <f>IFERROR((VLOOKUP($A952,'[1]import success seats course'!$A:AB,HLOOKUP('[1]Course Totals'!N$4,'[1]import success seats course'!$1:$2,2,FALSE),FALSE)/(VLOOKUP($A952,'[1]import graded seats course pivo'!$A:AL,HLOOKUP('[1]Course Totals'!N$4,'[1]import graded seats course pivo'!$1:$2,2,FALSE),FALSE))),"")</f>
        <v/>
      </c>
      <c r="O952" s="14" t="str">
        <f>IFERROR((VLOOKUP($A952,'[1]import success seats course'!$A:AC,HLOOKUP('[1]Course Totals'!O$4,'[1]import success seats course'!$1:$2,2,FALSE),FALSE)/(VLOOKUP($A952,'[1]import graded seats course pivo'!$A:AM,HLOOKUP('[1]Course Totals'!O$4,'[1]import graded seats course pivo'!$1:$2,2,FALSE),FALSE))),"")</f>
        <v/>
      </c>
      <c r="P952" s="14" t="str">
        <f>IFERROR((VLOOKUP($A952,'[1]import success seats course'!$A:AD,HLOOKUP('[1]Course Totals'!P$4,'[1]import success seats course'!$1:$2,2,FALSE),FALSE)/(VLOOKUP($A952,'[1]import graded seats course pivo'!$A:AN,HLOOKUP('[1]Course Totals'!P$4,'[1]import graded seats course pivo'!$1:$2,2,FALSE),FALSE))),"")</f>
        <v/>
      </c>
      <c r="Q952" s="14" t="str">
        <f>IFERROR((VLOOKUP($A952,'[1]import success seats course'!$A:AE,HLOOKUP('[1]Course Totals'!Q$4,'[1]import success seats course'!$1:$2,2,FALSE),FALSE)/(VLOOKUP($A952,'[1]import graded seats course pivo'!$A:AO,HLOOKUP('[1]Course Totals'!Q$4,'[1]import graded seats course pivo'!$1:$2,2,FALSE),FALSE))),"")</f>
        <v/>
      </c>
      <c r="R952" s="14" t="str">
        <f>IFERROR((VLOOKUP($A952,'[1]import success seats course'!$A:AF,HLOOKUP('[1]Course Totals'!R$4,'[1]import success seats course'!$1:$2,2,FALSE),FALSE)/(VLOOKUP($A952,'[1]import graded seats course pivo'!$A:AP,HLOOKUP('[1]Course Totals'!R$4,'[1]import graded seats course pivo'!$1:$2,2,FALSE),FALSE))),"")</f>
        <v/>
      </c>
      <c r="S952" s="14" t="str">
        <f>IFERROR((VLOOKUP($A952,'[1]import success seats course'!$A:AG,HLOOKUP('[1]Course Totals'!S$4,'[1]import success seats course'!$1:$2,2,FALSE),FALSE)/(VLOOKUP($A952,'[1]import graded seats course pivo'!$A:AQ,HLOOKUP('[1]Course Totals'!S$4,'[1]import graded seats course pivo'!$1:$2,2,FALSE),FALSE))),"")</f>
        <v/>
      </c>
      <c r="Z952" s="7"/>
      <c r="AA952" s="7"/>
      <c r="AB952" s="7"/>
      <c r="AC952" s="7"/>
    </row>
    <row r="953" spans="1:29" ht="15.75" hidden="1" customHeight="1" x14ac:dyDescent="0.25">
      <c r="A953" s="12" t="s">
        <v>458</v>
      </c>
      <c r="B953" s="14" t="str">
        <f>IFERROR((VLOOKUP($A953,'[1]import success seats course'!$A:P,HLOOKUP('[1]Course Totals'!B$4,'[1]import success seats course'!$1:$2,2,FALSE),FALSE)/(VLOOKUP($A953,'[1]import graded seats course pivo'!$A:Z,HLOOKUP('[1]Course Totals'!B$4,'[1]import graded seats course pivo'!$1:$2,2,FALSE),FALSE))),"")</f>
        <v/>
      </c>
      <c r="C953" s="14" t="str">
        <f>IFERROR((VLOOKUP($A953,'[1]import success seats course'!$A:Q,HLOOKUP('[1]Course Totals'!C$4,'[1]import success seats course'!$1:$2,2,FALSE),FALSE)/(VLOOKUP($A953,'[1]import graded seats course pivo'!$A:AA,HLOOKUP('[1]Course Totals'!C$4,'[1]import graded seats course pivo'!$1:$2,2,FALSE),FALSE))),"")</f>
        <v/>
      </c>
      <c r="D953" s="14" t="str">
        <f>IFERROR((VLOOKUP($A953,'[1]import success seats course'!$A:R,HLOOKUP('[1]Course Totals'!D$4,'[1]import success seats course'!$1:$2,2,FALSE),FALSE)/(VLOOKUP($A953,'[1]import graded seats course pivo'!$A:AB,HLOOKUP('[1]Course Totals'!D$4,'[1]import graded seats course pivo'!$1:$2,2,FALSE),FALSE))),"")</f>
        <v/>
      </c>
      <c r="E953" s="14" t="str">
        <f>IFERROR((VLOOKUP($A953,'[1]import success seats course'!$A:S,HLOOKUP('[1]Course Totals'!E$4,'[1]import success seats course'!$1:$2,2,FALSE),FALSE)/(VLOOKUP($A953,'[1]import graded seats course pivo'!$A:AC,HLOOKUP('[1]Course Totals'!E$4,'[1]import graded seats course pivo'!$1:$2,2,FALSE),FALSE))),"")</f>
        <v/>
      </c>
      <c r="F953" s="14" t="str">
        <f>IFERROR((VLOOKUP($A953,'[1]import success seats course'!$A:T,HLOOKUP('[1]Course Totals'!F$4,'[1]import success seats course'!$1:$2,2,FALSE),FALSE)/(VLOOKUP($A953,'[1]import graded seats course pivo'!$A:AD,HLOOKUP('[1]Course Totals'!F$4,'[1]import graded seats course pivo'!$1:$2,2,FALSE),FALSE))),"")</f>
        <v/>
      </c>
      <c r="G953" s="14" t="str">
        <f>IFERROR((VLOOKUP($A953,'[1]import success seats course'!$A:U,HLOOKUP('[1]Course Totals'!G$4,'[1]import success seats course'!$1:$2,2,FALSE),FALSE)/(VLOOKUP($A953,'[1]import graded seats course pivo'!$A:AE,HLOOKUP('[1]Course Totals'!G$4,'[1]import graded seats course pivo'!$1:$2,2,FALSE),FALSE))),"")</f>
        <v/>
      </c>
      <c r="H953" s="14" t="str">
        <f>IFERROR((VLOOKUP($A953,'[1]import success seats course'!$A:V,HLOOKUP('[1]Course Totals'!H$4,'[1]import success seats course'!$1:$2,2,FALSE),FALSE)/(VLOOKUP($A953,'[1]import graded seats course pivo'!$A:AF,HLOOKUP('[1]Course Totals'!H$4,'[1]import graded seats course pivo'!$1:$2,2,FALSE),FALSE))),"")</f>
        <v/>
      </c>
      <c r="I953" s="14" t="str">
        <f>IFERROR((VLOOKUP($A953,'[1]import success seats course'!$A:W,HLOOKUP('[1]Course Totals'!I$4,'[1]import success seats course'!$1:$2,2,FALSE),FALSE)/(VLOOKUP($A953,'[1]import graded seats course pivo'!$A:AG,HLOOKUP('[1]Course Totals'!I$4,'[1]import graded seats course pivo'!$1:$2,2,FALSE),FALSE))),"")</f>
        <v/>
      </c>
      <c r="J953" s="14" t="str">
        <f>IFERROR((VLOOKUP($A953,'[1]import success seats course'!$A:X,HLOOKUP('[1]Course Totals'!J$4,'[1]import success seats course'!$1:$2,2,FALSE),FALSE)/(VLOOKUP($A953,'[1]import graded seats course pivo'!$A:AH,HLOOKUP('[1]Course Totals'!J$4,'[1]import graded seats course pivo'!$1:$2,2,FALSE),FALSE))),"")</f>
        <v/>
      </c>
      <c r="K953" s="14" t="str">
        <f>IFERROR((VLOOKUP($A953,'[1]import success seats course'!$A:Y,HLOOKUP('[1]Course Totals'!K$4,'[1]import success seats course'!$1:$2,2,FALSE),FALSE)/(VLOOKUP($A953,'[1]import graded seats course pivo'!$A:AI,HLOOKUP('[1]Course Totals'!K$4,'[1]import graded seats course pivo'!$1:$2,2,FALSE),FALSE))),"")</f>
        <v/>
      </c>
      <c r="L953" s="14" t="str">
        <f>IFERROR((VLOOKUP($A953,'[1]import success seats course'!$A:Z,HLOOKUP('[1]Course Totals'!L$4,'[1]import success seats course'!$1:$2,2,FALSE),FALSE)/(VLOOKUP($A953,'[1]import graded seats course pivo'!$A:AJ,HLOOKUP('[1]Course Totals'!L$4,'[1]import graded seats course pivo'!$1:$2,2,FALSE),FALSE))),"")</f>
        <v/>
      </c>
      <c r="M953" s="14" t="str">
        <f>IFERROR((VLOOKUP($A953,'[1]import success seats course'!$A:AA,HLOOKUP('[1]Course Totals'!M$4,'[1]import success seats course'!$1:$2,2,FALSE),FALSE)/(VLOOKUP($A953,'[1]import graded seats course pivo'!$A:AK,HLOOKUP('[1]Course Totals'!M$4,'[1]import graded seats course pivo'!$1:$2,2,FALSE),FALSE))),"")</f>
        <v/>
      </c>
      <c r="N953" s="14" t="str">
        <f>IFERROR((VLOOKUP($A953,'[1]import success seats course'!$A:AB,HLOOKUP('[1]Course Totals'!N$4,'[1]import success seats course'!$1:$2,2,FALSE),FALSE)/(VLOOKUP($A953,'[1]import graded seats course pivo'!$A:AL,HLOOKUP('[1]Course Totals'!N$4,'[1]import graded seats course pivo'!$1:$2,2,FALSE),FALSE))),"")</f>
        <v/>
      </c>
      <c r="O953" s="14" t="str">
        <f>IFERROR((VLOOKUP($A953,'[1]import success seats course'!$A:AC,HLOOKUP('[1]Course Totals'!O$4,'[1]import success seats course'!$1:$2,2,FALSE),FALSE)/(VLOOKUP($A953,'[1]import graded seats course pivo'!$A:AM,HLOOKUP('[1]Course Totals'!O$4,'[1]import graded seats course pivo'!$1:$2,2,FALSE),FALSE))),"")</f>
        <v/>
      </c>
      <c r="P953" s="14" t="str">
        <f>IFERROR((VLOOKUP($A953,'[1]import success seats course'!$A:AD,HLOOKUP('[1]Course Totals'!P$4,'[1]import success seats course'!$1:$2,2,FALSE),FALSE)/(VLOOKUP($A953,'[1]import graded seats course pivo'!$A:AN,HLOOKUP('[1]Course Totals'!P$4,'[1]import graded seats course pivo'!$1:$2,2,FALSE),FALSE))),"")</f>
        <v/>
      </c>
      <c r="Q953" s="14" t="str">
        <f>IFERROR((VLOOKUP($A953,'[1]import success seats course'!$A:AE,HLOOKUP('[1]Course Totals'!Q$4,'[1]import success seats course'!$1:$2,2,FALSE),FALSE)/(VLOOKUP($A953,'[1]import graded seats course pivo'!$A:AO,HLOOKUP('[1]Course Totals'!Q$4,'[1]import graded seats course pivo'!$1:$2,2,FALSE),FALSE))),"")</f>
        <v/>
      </c>
      <c r="R953" s="14" t="str">
        <f>IFERROR((VLOOKUP($A953,'[1]import success seats course'!$A:AF,HLOOKUP('[1]Course Totals'!R$4,'[1]import success seats course'!$1:$2,2,FALSE),FALSE)/(VLOOKUP($A953,'[1]import graded seats course pivo'!$A:AP,HLOOKUP('[1]Course Totals'!R$4,'[1]import graded seats course pivo'!$1:$2,2,FALSE),FALSE))),"")</f>
        <v/>
      </c>
      <c r="S953" s="14" t="str">
        <f>IFERROR((VLOOKUP($A953,'[1]import success seats course'!$A:AG,HLOOKUP('[1]Course Totals'!S$4,'[1]import success seats course'!$1:$2,2,FALSE),FALSE)/(VLOOKUP($A953,'[1]import graded seats course pivo'!$A:AQ,HLOOKUP('[1]Course Totals'!S$4,'[1]import graded seats course pivo'!$1:$2,2,FALSE),FALSE))),"")</f>
        <v/>
      </c>
      <c r="Z953" s="7"/>
      <c r="AA953" s="7"/>
      <c r="AB953" s="7"/>
      <c r="AC953" s="7"/>
    </row>
    <row r="954" spans="1:29" ht="15.75" hidden="1" customHeight="1" x14ac:dyDescent="0.25">
      <c r="A954" s="12" t="s">
        <v>459</v>
      </c>
      <c r="B954" s="14" t="str">
        <f>IFERROR((VLOOKUP($A954,'[1]import success seats course'!$A:P,HLOOKUP('[1]Course Totals'!B$4,'[1]import success seats course'!$1:$2,2,FALSE),FALSE)/(VLOOKUP($A954,'[1]import graded seats course pivo'!$A:Z,HLOOKUP('[1]Course Totals'!B$4,'[1]import graded seats course pivo'!$1:$2,2,FALSE),FALSE))),"")</f>
        <v/>
      </c>
      <c r="C954" s="14" t="str">
        <f>IFERROR((VLOOKUP($A954,'[1]import success seats course'!$A:Q,HLOOKUP('[1]Course Totals'!C$4,'[1]import success seats course'!$1:$2,2,FALSE),FALSE)/(VLOOKUP($A954,'[1]import graded seats course pivo'!$A:AA,HLOOKUP('[1]Course Totals'!C$4,'[1]import graded seats course pivo'!$1:$2,2,FALSE),FALSE))),"")</f>
        <v/>
      </c>
      <c r="D954" s="14" t="str">
        <f>IFERROR((VLOOKUP($A954,'[1]import success seats course'!$A:R,HLOOKUP('[1]Course Totals'!D$4,'[1]import success seats course'!$1:$2,2,FALSE),FALSE)/(VLOOKUP($A954,'[1]import graded seats course pivo'!$A:AB,HLOOKUP('[1]Course Totals'!D$4,'[1]import graded seats course pivo'!$1:$2,2,FALSE),FALSE))),"")</f>
        <v/>
      </c>
      <c r="E954" s="14" t="str">
        <f>IFERROR((VLOOKUP($A954,'[1]import success seats course'!$A:S,HLOOKUP('[1]Course Totals'!E$4,'[1]import success seats course'!$1:$2,2,FALSE),FALSE)/(VLOOKUP($A954,'[1]import graded seats course pivo'!$A:AC,HLOOKUP('[1]Course Totals'!E$4,'[1]import graded seats course pivo'!$1:$2,2,FALSE),FALSE))),"")</f>
        <v/>
      </c>
      <c r="F954" s="14" t="str">
        <f>IFERROR((VLOOKUP($A954,'[1]import success seats course'!$A:T,HLOOKUP('[1]Course Totals'!F$4,'[1]import success seats course'!$1:$2,2,FALSE),FALSE)/(VLOOKUP($A954,'[1]import graded seats course pivo'!$A:AD,HLOOKUP('[1]Course Totals'!F$4,'[1]import graded seats course pivo'!$1:$2,2,FALSE),FALSE))),"")</f>
        <v/>
      </c>
      <c r="G954" s="14" t="str">
        <f>IFERROR((VLOOKUP($A954,'[1]import success seats course'!$A:U,HLOOKUP('[1]Course Totals'!G$4,'[1]import success seats course'!$1:$2,2,FALSE),FALSE)/(VLOOKUP($A954,'[1]import graded seats course pivo'!$A:AE,HLOOKUP('[1]Course Totals'!G$4,'[1]import graded seats course pivo'!$1:$2,2,FALSE),FALSE))),"")</f>
        <v/>
      </c>
      <c r="H954" s="14" t="str">
        <f>IFERROR((VLOOKUP($A954,'[1]import success seats course'!$A:V,HLOOKUP('[1]Course Totals'!H$4,'[1]import success seats course'!$1:$2,2,FALSE),FALSE)/(VLOOKUP($A954,'[1]import graded seats course pivo'!$A:AF,HLOOKUP('[1]Course Totals'!H$4,'[1]import graded seats course pivo'!$1:$2,2,FALSE),FALSE))),"")</f>
        <v/>
      </c>
      <c r="I954" s="14" t="str">
        <f>IFERROR((VLOOKUP($A954,'[1]import success seats course'!$A:W,HLOOKUP('[1]Course Totals'!I$4,'[1]import success seats course'!$1:$2,2,FALSE),FALSE)/(VLOOKUP($A954,'[1]import graded seats course pivo'!$A:AG,HLOOKUP('[1]Course Totals'!I$4,'[1]import graded seats course pivo'!$1:$2,2,FALSE),FALSE))),"")</f>
        <v/>
      </c>
      <c r="J954" s="14" t="str">
        <f>IFERROR((VLOOKUP($A954,'[1]import success seats course'!$A:X,HLOOKUP('[1]Course Totals'!J$4,'[1]import success seats course'!$1:$2,2,FALSE),FALSE)/(VLOOKUP($A954,'[1]import graded seats course pivo'!$A:AH,HLOOKUP('[1]Course Totals'!J$4,'[1]import graded seats course pivo'!$1:$2,2,FALSE),FALSE))),"")</f>
        <v/>
      </c>
      <c r="K954" s="14" t="str">
        <f>IFERROR((VLOOKUP($A954,'[1]import success seats course'!$A:Y,HLOOKUP('[1]Course Totals'!K$4,'[1]import success seats course'!$1:$2,2,FALSE),FALSE)/(VLOOKUP($A954,'[1]import graded seats course pivo'!$A:AI,HLOOKUP('[1]Course Totals'!K$4,'[1]import graded seats course pivo'!$1:$2,2,FALSE),FALSE))),"")</f>
        <v/>
      </c>
      <c r="L954" s="14" t="str">
        <f>IFERROR((VLOOKUP($A954,'[1]import success seats course'!$A:Z,HLOOKUP('[1]Course Totals'!L$4,'[1]import success seats course'!$1:$2,2,FALSE),FALSE)/(VLOOKUP($A954,'[1]import graded seats course pivo'!$A:AJ,HLOOKUP('[1]Course Totals'!L$4,'[1]import graded seats course pivo'!$1:$2,2,FALSE),FALSE))),"")</f>
        <v/>
      </c>
      <c r="M954" s="14" t="str">
        <f>IFERROR((VLOOKUP($A954,'[1]import success seats course'!$A:AA,HLOOKUP('[1]Course Totals'!M$4,'[1]import success seats course'!$1:$2,2,FALSE),FALSE)/(VLOOKUP($A954,'[1]import graded seats course pivo'!$A:AK,HLOOKUP('[1]Course Totals'!M$4,'[1]import graded seats course pivo'!$1:$2,2,FALSE),FALSE))),"")</f>
        <v/>
      </c>
      <c r="N954" s="14" t="str">
        <f>IFERROR((VLOOKUP($A954,'[1]import success seats course'!$A:AB,HLOOKUP('[1]Course Totals'!N$4,'[1]import success seats course'!$1:$2,2,FALSE),FALSE)/(VLOOKUP($A954,'[1]import graded seats course pivo'!$A:AL,HLOOKUP('[1]Course Totals'!N$4,'[1]import graded seats course pivo'!$1:$2,2,FALSE),FALSE))),"")</f>
        <v/>
      </c>
      <c r="O954" s="14" t="str">
        <f>IFERROR((VLOOKUP($A954,'[1]import success seats course'!$A:AC,HLOOKUP('[1]Course Totals'!O$4,'[1]import success seats course'!$1:$2,2,FALSE),FALSE)/(VLOOKUP($A954,'[1]import graded seats course pivo'!$A:AM,HLOOKUP('[1]Course Totals'!O$4,'[1]import graded seats course pivo'!$1:$2,2,FALSE),FALSE))),"")</f>
        <v/>
      </c>
      <c r="P954" s="14" t="str">
        <f>IFERROR((VLOOKUP($A954,'[1]import success seats course'!$A:AD,HLOOKUP('[1]Course Totals'!P$4,'[1]import success seats course'!$1:$2,2,FALSE),FALSE)/(VLOOKUP($A954,'[1]import graded seats course pivo'!$A:AN,HLOOKUP('[1]Course Totals'!P$4,'[1]import graded seats course pivo'!$1:$2,2,FALSE),FALSE))),"")</f>
        <v/>
      </c>
      <c r="Q954" s="14" t="str">
        <f>IFERROR((VLOOKUP($A954,'[1]import success seats course'!$A:AE,HLOOKUP('[1]Course Totals'!Q$4,'[1]import success seats course'!$1:$2,2,FALSE),FALSE)/(VLOOKUP($A954,'[1]import graded seats course pivo'!$A:AO,HLOOKUP('[1]Course Totals'!Q$4,'[1]import graded seats course pivo'!$1:$2,2,FALSE),FALSE))),"")</f>
        <v/>
      </c>
      <c r="R954" s="14" t="str">
        <f>IFERROR((VLOOKUP($A954,'[1]import success seats course'!$A:AF,HLOOKUP('[1]Course Totals'!R$4,'[1]import success seats course'!$1:$2,2,FALSE),FALSE)/(VLOOKUP($A954,'[1]import graded seats course pivo'!$A:AP,HLOOKUP('[1]Course Totals'!R$4,'[1]import graded seats course pivo'!$1:$2,2,FALSE),FALSE))),"")</f>
        <v/>
      </c>
      <c r="S954" s="14" t="str">
        <f>IFERROR((VLOOKUP($A954,'[1]import success seats course'!$A:AG,HLOOKUP('[1]Course Totals'!S$4,'[1]import success seats course'!$1:$2,2,FALSE),FALSE)/(VLOOKUP($A954,'[1]import graded seats course pivo'!$A:AQ,HLOOKUP('[1]Course Totals'!S$4,'[1]import graded seats course pivo'!$1:$2,2,FALSE),FALSE))),"")</f>
        <v/>
      </c>
      <c r="Z954" s="7"/>
      <c r="AA954" s="7"/>
      <c r="AB954" s="7"/>
      <c r="AC954" s="7"/>
    </row>
    <row r="955" spans="1:29" ht="15.75" hidden="1" customHeight="1" x14ac:dyDescent="0.25">
      <c r="A955" s="12" t="s">
        <v>940</v>
      </c>
      <c r="B955" s="14" t="str">
        <f>IFERROR((VLOOKUP($A955,'[1]import success seats course'!$A:P,HLOOKUP('[1]Course Totals'!B$4,'[1]import success seats course'!$1:$2,2,FALSE),FALSE)/(VLOOKUP($A955,'[1]import graded seats course pivo'!$A:Z,HLOOKUP('[1]Course Totals'!B$4,'[1]import graded seats course pivo'!$1:$2,2,FALSE),FALSE))),"")</f>
        <v/>
      </c>
      <c r="C955" s="14" t="str">
        <f>IFERROR((VLOOKUP($A955,'[1]import success seats course'!$A:Q,HLOOKUP('[1]Course Totals'!C$4,'[1]import success seats course'!$1:$2,2,FALSE),FALSE)/(VLOOKUP($A955,'[1]import graded seats course pivo'!$A:AA,HLOOKUP('[1]Course Totals'!C$4,'[1]import graded seats course pivo'!$1:$2,2,FALSE),FALSE))),"")</f>
        <v/>
      </c>
      <c r="D955" s="14" t="str">
        <f>IFERROR((VLOOKUP($A955,'[1]import success seats course'!$A:R,HLOOKUP('[1]Course Totals'!D$4,'[1]import success seats course'!$1:$2,2,FALSE),FALSE)/(VLOOKUP($A955,'[1]import graded seats course pivo'!$A:AB,HLOOKUP('[1]Course Totals'!D$4,'[1]import graded seats course pivo'!$1:$2,2,FALSE),FALSE))),"")</f>
        <v/>
      </c>
      <c r="E955" s="14" t="str">
        <f>IFERROR((VLOOKUP($A955,'[1]import success seats course'!$A:S,HLOOKUP('[1]Course Totals'!E$4,'[1]import success seats course'!$1:$2,2,FALSE),FALSE)/(VLOOKUP($A955,'[1]import graded seats course pivo'!$A:AC,HLOOKUP('[1]Course Totals'!E$4,'[1]import graded seats course pivo'!$1:$2,2,FALSE),FALSE))),"")</f>
        <v/>
      </c>
      <c r="F955" s="14" t="str">
        <f>IFERROR((VLOOKUP($A955,'[1]import success seats course'!$A:T,HLOOKUP('[1]Course Totals'!F$4,'[1]import success seats course'!$1:$2,2,FALSE),FALSE)/(VLOOKUP($A955,'[1]import graded seats course pivo'!$A:AD,HLOOKUP('[1]Course Totals'!F$4,'[1]import graded seats course pivo'!$1:$2,2,FALSE),FALSE))),"")</f>
        <v/>
      </c>
      <c r="G955" s="14" t="str">
        <f>IFERROR((VLOOKUP($A955,'[1]import success seats course'!$A:U,HLOOKUP('[1]Course Totals'!G$4,'[1]import success seats course'!$1:$2,2,FALSE),FALSE)/(VLOOKUP($A955,'[1]import graded seats course pivo'!$A:AE,HLOOKUP('[1]Course Totals'!G$4,'[1]import graded seats course pivo'!$1:$2,2,FALSE),FALSE))),"")</f>
        <v/>
      </c>
      <c r="H955" s="14" t="str">
        <f>IFERROR((VLOOKUP($A955,'[1]import success seats course'!$A:V,HLOOKUP('[1]Course Totals'!H$4,'[1]import success seats course'!$1:$2,2,FALSE),FALSE)/(VLOOKUP($A955,'[1]import graded seats course pivo'!$A:AF,HLOOKUP('[1]Course Totals'!H$4,'[1]import graded seats course pivo'!$1:$2,2,FALSE),FALSE))),"")</f>
        <v/>
      </c>
      <c r="I955" s="14" t="str">
        <f>IFERROR((VLOOKUP($A955,'[1]import success seats course'!$A:W,HLOOKUP('[1]Course Totals'!I$4,'[1]import success seats course'!$1:$2,2,FALSE),FALSE)/(VLOOKUP($A955,'[1]import graded seats course pivo'!$A:AG,HLOOKUP('[1]Course Totals'!I$4,'[1]import graded seats course pivo'!$1:$2,2,FALSE),FALSE))),"")</f>
        <v/>
      </c>
      <c r="J955" s="14" t="str">
        <f>IFERROR((VLOOKUP($A955,'[1]import success seats course'!$A:X,HLOOKUP('[1]Course Totals'!J$4,'[1]import success seats course'!$1:$2,2,FALSE),FALSE)/(VLOOKUP($A955,'[1]import graded seats course pivo'!$A:AH,HLOOKUP('[1]Course Totals'!J$4,'[1]import graded seats course pivo'!$1:$2,2,FALSE),FALSE))),"")</f>
        <v/>
      </c>
      <c r="K955" s="14" t="str">
        <f>IFERROR((VLOOKUP($A955,'[1]import success seats course'!$A:Y,HLOOKUP('[1]Course Totals'!K$4,'[1]import success seats course'!$1:$2,2,FALSE),FALSE)/(VLOOKUP($A955,'[1]import graded seats course pivo'!$A:AI,HLOOKUP('[1]Course Totals'!K$4,'[1]import graded seats course pivo'!$1:$2,2,FALSE),FALSE))),"")</f>
        <v/>
      </c>
      <c r="L955" s="14" t="str">
        <f>IFERROR((VLOOKUP($A955,'[1]import success seats course'!$A:Z,HLOOKUP('[1]Course Totals'!L$4,'[1]import success seats course'!$1:$2,2,FALSE),FALSE)/(VLOOKUP($A955,'[1]import graded seats course pivo'!$A:AJ,HLOOKUP('[1]Course Totals'!L$4,'[1]import graded seats course pivo'!$1:$2,2,FALSE),FALSE))),"")</f>
        <v/>
      </c>
      <c r="M955" s="14" t="str">
        <f>IFERROR((VLOOKUP($A955,'[1]import success seats course'!$A:AA,HLOOKUP('[1]Course Totals'!M$4,'[1]import success seats course'!$1:$2,2,FALSE),FALSE)/(VLOOKUP($A955,'[1]import graded seats course pivo'!$A:AK,HLOOKUP('[1]Course Totals'!M$4,'[1]import graded seats course pivo'!$1:$2,2,FALSE),FALSE))),"")</f>
        <v/>
      </c>
      <c r="N955" s="14" t="str">
        <f>IFERROR((VLOOKUP($A955,'[1]import success seats course'!$A:AB,HLOOKUP('[1]Course Totals'!N$4,'[1]import success seats course'!$1:$2,2,FALSE),FALSE)/(VLOOKUP($A955,'[1]import graded seats course pivo'!$A:AL,HLOOKUP('[1]Course Totals'!N$4,'[1]import graded seats course pivo'!$1:$2,2,FALSE),FALSE))),"")</f>
        <v/>
      </c>
      <c r="O955" s="14" t="str">
        <f>IFERROR((VLOOKUP($A955,'[1]import success seats course'!$A:AC,HLOOKUP('[1]Course Totals'!O$4,'[1]import success seats course'!$1:$2,2,FALSE),FALSE)/(VLOOKUP($A955,'[1]import graded seats course pivo'!$A:AM,HLOOKUP('[1]Course Totals'!O$4,'[1]import graded seats course pivo'!$1:$2,2,FALSE),FALSE))),"")</f>
        <v/>
      </c>
      <c r="P955" s="14" t="str">
        <f>IFERROR((VLOOKUP($A955,'[1]import success seats course'!$A:AD,HLOOKUP('[1]Course Totals'!P$4,'[1]import success seats course'!$1:$2,2,FALSE),FALSE)/(VLOOKUP($A955,'[1]import graded seats course pivo'!$A:AN,HLOOKUP('[1]Course Totals'!P$4,'[1]import graded seats course pivo'!$1:$2,2,FALSE),FALSE))),"")</f>
        <v/>
      </c>
      <c r="Q955" s="14" t="str">
        <f>IFERROR((VLOOKUP($A955,'[1]import success seats course'!$A:AE,HLOOKUP('[1]Course Totals'!Q$4,'[1]import success seats course'!$1:$2,2,FALSE),FALSE)/(VLOOKUP($A955,'[1]import graded seats course pivo'!$A:AO,HLOOKUP('[1]Course Totals'!Q$4,'[1]import graded seats course pivo'!$1:$2,2,FALSE),FALSE))),"")</f>
        <v/>
      </c>
      <c r="R955" s="14" t="str">
        <f>IFERROR((VLOOKUP($A955,'[1]import success seats course'!$A:AF,HLOOKUP('[1]Course Totals'!R$4,'[1]import success seats course'!$1:$2,2,FALSE),FALSE)/(VLOOKUP($A955,'[1]import graded seats course pivo'!$A:AP,HLOOKUP('[1]Course Totals'!R$4,'[1]import graded seats course pivo'!$1:$2,2,FALSE),FALSE))),"")</f>
        <v/>
      </c>
      <c r="S955" s="14" t="str">
        <f>IFERROR((VLOOKUP($A955,'[1]import success seats course'!$A:AG,HLOOKUP('[1]Course Totals'!S$4,'[1]import success seats course'!$1:$2,2,FALSE),FALSE)/(VLOOKUP($A955,'[1]import graded seats course pivo'!$A:AQ,HLOOKUP('[1]Course Totals'!S$4,'[1]import graded seats course pivo'!$1:$2,2,FALSE),FALSE))),"")</f>
        <v/>
      </c>
      <c r="Z955" s="7"/>
      <c r="AA955" s="7"/>
      <c r="AB955" s="7"/>
      <c r="AC955" s="7"/>
    </row>
    <row r="956" spans="1:29" ht="15.75" hidden="1" customHeight="1" x14ac:dyDescent="0.25">
      <c r="A956" s="12" t="s">
        <v>941</v>
      </c>
      <c r="B956" s="14" t="str">
        <f>IFERROR((VLOOKUP($A956,'[1]import success seats course'!$A:P,HLOOKUP('[1]Course Totals'!B$4,'[1]import success seats course'!$1:$2,2,FALSE),FALSE)/(VLOOKUP($A956,'[1]import graded seats course pivo'!$A:Z,HLOOKUP('[1]Course Totals'!B$4,'[1]import graded seats course pivo'!$1:$2,2,FALSE),FALSE))),"")</f>
        <v/>
      </c>
      <c r="C956" s="14" t="str">
        <f>IFERROR((VLOOKUP($A956,'[1]import success seats course'!$A:Q,HLOOKUP('[1]Course Totals'!C$4,'[1]import success seats course'!$1:$2,2,FALSE),FALSE)/(VLOOKUP($A956,'[1]import graded seats course pivo'!$A:AA,HLOOKUP('[1]Course Totals'!C$4,'[1]import graded seats course pivo'!$1:$2,2,FALSE),FALSE))),"")</f>
        <v/>
      </c>
      <c r="D956" s="14" t="str">
        <f>IFERROR((VLOOKUP($A956,'[1]import success seats course'!$A:R,HLOOKUP('[1]Course Totals'!D$4,'[1]import success seats course'!$1:$2,2,FALSE),FALSE)/(VLOOKUP($A956,'[1]import graded seats course pivo'!$A:AB,HLOOKUP('[1]Course Totals'!D$4,'[1]import graded seats course pivo'!$1:$2,2,FALSE),FALSE))),"")</f>
        <v/>
      </c>
      <c r="E956" s="14" t="str">
        <f>IFERROR((VLOOKUP($A956,'[1]import success seats course'!$A:S,HLOOKUP('[1]Course Totals'!E$4,'[1]import success seats course'!$1:$2,2,FALSE),FALSE)/(VLOOKUP($A956,'[1]import graded seats course pivo'!$A:AC,HLOOKUP('[1]Course Totals'!E$4,'[1]import graded seats course pivo'!$1:$2,2,FALSE),FALSE))),"")</f>
        <v/>
      </c>
      <c r="F956" s="14" t="str">
        <f>IFERROR((VLOOKUP($A956,'[1]import success seats course'!$A:T,HLOOKUP('[1]Course Totals'!F$4,'[1]import success seats course'!$1:$2,2,FALSE),FALSE)/(VLOOKUP($A956,'[1]import graded seats course pivo'!$A:AD,HLOOKUP('[1]Course Totals'!F$4,'[1]import graded seats course pivo'!$1:$2,2,FALSE),FALSE))),"")</f>
        <v/>
      </c>
      <c r="G956" s="14" t="str">
        <f>IFERROR((VLOOKUP($A956,'[1]import success seats course'!$A:U,HLOOKUP('[1]Course Totals'!G$4,'[1]import success seats course'!$1:$2,2,FALSE),FALSE)/(VLOOKUP($A956,'[1]import graded seats course pivo'!$A:AE,HLOOKUP('[1]Course Totals'!G$4,'[1]import graded seats course pivo'!$1:$2,2,FALSE),FALSE))),"")</f>
        <v/>
      </c>
      <c r="H956" s="14" t="str">
        <f>IFERROR((VLOOKUP($A956,'[1]import success seats course'!$A:V,HLOOKUP('[1]Course Totals'!H$4,'[1]import success seats course'!$1:$2,2,FALSE),FALSE)/(VLOOKUP($A956,'[1]import graded seats course pivo'!$A:AF,HLOOKUP('[1]Course Totals'!H$4,'[1]import graded seats course pivo'!$1:$2,2,FALSE),FALSE))),"")</f>
        <v/>
      </c>
      <c r="I956" s="14" t="str">
        <f>IFERROR((VLOOKUP($A956,'[1]import success seats course'!$A:W,HLOOKUP('[1]Course Totals'!I$4,'[1]import success seats course'!$1:$2,2,FALSE),FALSE)/(VLOOKUP($A956,'[1]import graded seats course pivo'!$A:AG,HLOOKUP('[1]Course Totals'!I$4,'[1]import graded seats course pivo'!$1:$2,2,FALSE),FALSE))),"")</f>
        <v/>
      </c>
      <c r="J956" s="14" t="str">
        <f>IFERROR((VLOOKUP($A956,'[1]import success seats course'!$A:X,HLOOKUP('[1]Course Totals'!J$4,'[1]import success seats course'!$1:$2,2,FALSE),FALSE)/(VLOOKUP($A956,'[1]import graded seats course pivo'!$A:AH,HLOOKUP('[1]Course Totals'!J$4,'[1]import graded seats course pivo'!$1:$2,2,FALSE),FALSE))),"")</f>
        <v/>
      </c>
      <c r="K956" s="14" t="str">
        <f>IFERROR((VLOOKUP($A956,'[1]import success seats course'!$A:Y,HLOOKUP('[1]Course Totals'!K$4,'[1]import success seats course'!$1:$2,2,FALSE),FALSE)/(VLOOKUP($A956,'[1]import graded seats course pivo'!$A:AI,HLOOKUP('[1]Course Totals'!K$4,'[1]import graded seats course pivo'!$1:$2,2,FALSE),FALSE))),"")</f>
        <v/>
      </c>
      <c r="L956" s="14" t="str">
        <f>IFERROR((VLOOKUP($A956,'[1]import success seats course'!$A:Z,HLOOKUP('[1]Course Totals'!L$4,'[1]import success seats course'!$1:$2,2,FALSE),FALSE)/(VLOOKUP($A956,'[1]import graded seats course pivo'!$A:AJ,HLOOKUP('[1]Course Totals'!L$4,'[1]import graded seats course pivo'!$1:$2,2,FALSE),FALSE))),"")</f>
        <v/>
      </c>
      <c r="M956" s="14" t="str">
        <f>IFERROR((VLOOKUP($A956,'[1]import success seats course'!$A:AA,HLOOKUP('[1]Course Totals'!M$4,'[1]import success seats course'!$1:$2,2,FALSE),FALSE)/(VLOOKUP($A956,'[1]import graded seats course pivo'!$A:AK,HLOOKUP('[1]Course Totals'!M$4,'[1]import graded seats course pivo'!$1:$2,2,FALSE),FALSE))),"")</f>
        <v/>
      </c>
      <c r="N956" s="14" t="str">
        <f>IFERROR((VLOOKUP($A956,'[1]import success seats course'!$A:AB,HLOOKUP('[1]Course Totals'!N$4,'[1]import success seats course'!$1:$2,2,FALSE),FALSE)/(VLOOKUP($A956,'[1]import graded seats course pivo'!$A:AL,HLOOKUP('[1]Course Totals'!N$4,'[1]import graded seats course pivo'!$1:$2,2,FALSE),FALSE))),"")</f>
        <v/>
      </c>
      <c r="O956" s="14" t="str">
        <f>IFERROR((VLOOKUP($A956,'[1]import success seats course'!$A:AC,HLOOKUP('[1]Course Totals'!O$4,'[1]import success seats course'!$1:$2,2,FALSE),FALSE)/(VLOOKUP($A956,'[1]import graded seats course pivo'!$A:AM,HLOOKUP('[1]Course Totals'!O$4,'[1]import graded seats course pivo'!$1:$2,2,FALSE),FALSE))),"")</f>
        <v/>
      </c>
      <c r="P956" s="14" t="str">
        <f>IFERROR((VLOOKUP($A956,'[1]import success seats course'!$A:AD,HLOOKUP('[1]Course Totals'!P$4,'[1]import success seats course'!$1:$2,2,FALSE),FALSE)/(VLOOKUP($A956,'[1]import graded seats course pivo'!$A:AN,HLOOKUP('[1]Course Totals'!P$4,'[1]import graded seats course pivo'!$1:$2,2,FALSE),FALSE))),"")</f>
        <v/>
      </c>
      <c r="Q956" s="14" t="str">
        <f>IFERROR((VLOOKUP($A956,'[1]import success seats course'!$A:AE,HLOOKUP('[1]Course Totals'!Q$4,'[1]import success seats course'!$1:$2,2,FALSE),FALSE)/(VLOOKUP($A956,'[1]import graded seats course pivo'!$A:AO,HLOOKUP('[1]Course Totals'!Q$4,'[1]import graded seats course pivo'!$1:$2,2,FALSE),FALSE))),"")</f>
        <v/>
      </c>
      <c r="R956" s="14" t="str">
        <f>IFERROR((VLOOKUP($A956,'[1]import success seats course'!$A:AF,HLOOKUP('[1]Course Totals'!R$4,'[1]import success seats course'!$1:$2,2,FALSE),FALSE)/(VLOOKUP($A956,'[1]import graded seats course pivo'!$A:AP,HLOOKUP('[1]Course Totals'!R$4,'[1]import graded seats course pivo'!$1:$2,2,FALSE),FALSE))),"")</f>
        <v/>
      </c>
      <c r="S956" s="14" t="str">
        <f>IFERROR((VLOOKUP($A956,'[1]import success seats course'!$A:AG,HLOOKUP('[1]Course Totals'!S$4,'[1]import success seats course'!$1:$2,2,FALSE),FALSE)/(VLOOKUP($A956,'[1]import graded seats course pivo'!$A:AQ,HLOOKUP('[1]Course Totals'!S$4,'[1]import graded seats course pivo'!$1:$2,2,FALSE),FALSE))),"")</f>
        <v/>
      </c>
      <c r="Z956" s="7"/>
      <c r="AA956" s="7"/>
      <c r="AB956" s="7"/>
      <c r="AC956" s="7"/>
    </row>
    <row r="957" spans="1:29" ht="15.75" hidden="1" customHeight="1" x14ac:dyDescent="0.25">
      <c r="A957" s="12" t="s">
        <v>942</v>
      </c>
      <c r="B957" s="14" t="str">
        <f>IFERROR((VLOOKUP($A957,'[1]import success seats course'!$A:P,HLOOKUP('[1]Course Totals'!B$4,'[1]import success seats course'!$1:$2,2,FALSE),FALSE)/(VLOOKUP($A957,'[1]import graded seats course pivo'!$A:Z,HLOOKUP('[1]Course Totals'!B$4,'[1]import graded seats course pivo'!$1:$2,2,FALSE),FALSE))),"")</f>
        <v/>
      </c>
      <c r="C957" s="14" t="str">
        <f>IFERROR((VLOOKUP($A957,'[1]import success seats course'!$A:Q,HLOOKUP('[1]Course Totals'!C$4,'[1]import success seats course'!$1:$2,2,FALSE),FALSE)/(VLOOKUP($A957,'[1]import graded seats course pivo'!$A:AA,HLOOKUP('[1]Course Totals'!C$4,'[1]import graded seats course pivo'!$1:$2,2,FALSE),FALSE))),"")</f>
        <v/>
      </c>
      <c r="D957" s="14" t="str">
        <f>IFERROR((VLOOKUP($A957,'[1]import success seats course'!$A:R,HLOOKUP('[1]Course Totals'!D$4,'[1]import success seats course'!$1:$2,2,FALSE),FALSE)/(VLOOKUP($A957,'[1]import graded seats course pivo'!$A:AB,HLOOKUP('[1]Course Totals'!D$4,'[1]import graded seats course pivo'!$1:$2,2,FALSE),FALSE))),"")</f>
        <v/>
      </c>
      <c r="E957" s="14" t="str">
        <f>IFERROR((VLOOKUP($A957,'[1]import success seats course'!$A:S,HLOOKUP('[1]Course Totals'!E$4,'[1]import success seats course'!$1:$2,2,FALSE),FALSE)/(VLOOKUP($A957,'[1]import graded seats course pivo'!$A:AC,HLOOKUP('[1]Course Totals'!E$4,'[1]import graded seats course pivo'!$1:$2,2,FALSE),FALSE))),"")</f>
        <v/>
      </c>
      <c r="F957" s="14" t="str">
        <f>IFERROR((VLOOKUP($A957,'[1]import success seats course'!$A:T,HLOOKUP('[1]Course Totals'!F$4,'[1]import success seats course'!$1:$2,2,FALSE),FALSE)/(VLOOKUP($A957,'[1]import graded seats course pivo'!$A:AD,HLOOKUP('[1]Course Totals'!F$4,'[1]import graded seats course pivo'!$1:$2,2,FALSE),FALSE))),"")</f>
        <v/>
      </c>
      <c r="G957" s="14" t="str">
        <f>IFERROR((VLOOKUP($A957,'[1]import success seats course'!$A:U,HLOOKUP('[1]Course Totals'!G$4,'[1]import success seats course'!$1:$2,2,FALSE),FALSE)/(VLOOKUP($A957,'[1]import graded seats course pivo'!$A:AE,HLOOKUP('[1]Course Totals'!G$4,'[1]import graded seats course pivo'!$1:$2,2,FALSE),FALSE))),"")</f>
        <v/>
      </c>
      <c r="H957" s="14" t="str">
        <f>IFERROR((VLOOKUP($A957,'[1]import success seats course'!$A:V,HLOOKUP('[1]Course Totals'!H$4,'[1]import success seats course'!$1:$2,2,FALSE),FALSE)/(VLOOKUP($A957,'[1]import graded seats course pivo'!$A:AF,HLOOKUP('[1]Course Totals'!H$4,'[1]import graded seats course pivo'!$1:$2,2,FALSE),FALSE))),"")</f>
        <v/>
      </c>
      <c r="I957" s="14" t="str">
        <f>IFERROR((VLOOKUP($A957,'[1]import success seats course'!$A:W,HLOOKUP('[1]Course Totals'!I$4,'[1]import success seats course'!$1:$2,2,FALSE),FALSE)/(VLOOKUP($A957,'[1]import graded seats course pivo'!$A:AG,HLOOKUP('[1]Course Totals'!I$4,'[1]import graded seats course pivo'!$1:$2,2,FALSE),FALSE))),"")</f>
        <v/>
      </c>
      <c r="J957" s="14" t="str">
        <f>IFERROR((VLOOKUP($A957,'[1]import success seats course'!$A:X,HLOOKUP('[1]Course Totals'!J$4,'[1]import success seats course'!$1:$2,2,FALSE),FALSE)/(VLOOKUP($A957,'[1]import graded seats course pivo'!$A:AH,HLOOKUP('[1]Course Totals'!J$4,'[1]import graded seats course pivo'!$1:$2,2,FALSE),FALSE))),"")</f>
        <v/>
      </c>
      <c r="K957" s="14" t="str">
        <f>IFERROR((VLOOKUP($A957,'[1]import success seats course'!$A:Y,HLOOKUP('[1]Course Totals'!K$4,'[1]import success seats course'!$1:$2,2,FALSE),FALSE)/(VLOOKUP($A957,'[1]import graded seats course pivo'!$A:AI,HLOOKUP('[1]Course Totals'!K$4,'[1]import graded seats course pivo'!$1:$2,2,FALSE),FALSE))),"")</f>
        <v/>
      </c>
      <c r="L957" s="14" t="str">
        <f>IFERROR((VLOOKUP($A957,'[1]import success seats course'!$A:Z,HLOOKUP('[1]Course Totals'!L$4,'[1]import success seats course'!$1:$2,2,FALSE),FALSE)/(VLOOKUP($A957,'[1]import graded seats course pivo'!$A:AJ,HLOOKUP('[1]Course Totals'!L$4,'[1]import graded seats course pivo'!$1:$2,2,FALSE),FALSE))),"")</f>
        <v/>
      </c>
      <c r="M957" s="14" t="str">
        <f>IFERROR((VLOOKUP($A957,'[1]import success seats course'!$A:AA,HLOOKUP('[1]Course Totals'!M$4,'[1]import success seats course'!$1:$2,2,FALSE),FALSE)/(VLOOKUP($A957,'[1]import graded seats course pivo'!$A:AK,HLOOKUP('[1]Course Totals'!M$4,'[1]import graded seats course pivo'!$1:$2,2,FALSE),FALSE))),"")</f>
        <v/>
      </c>
      <c r="N957" s="14" t="str">
        <f>IFERROR((VLOOKUP($A957,'[1]import success seats course'!$A:AB,HLOOKUP('[1]Course Totals'!N$4,'[1]import success seats course'!$1:$2,2,FALSE),FALSE)/(VLOOKUP($A957,'[1]import graded seats course pivo'!$A:AL,HLOOKUP('[1]Course Totals'!N$4,'[1]import graded seats course pivo'!$1:$2,2,FALSE),FALSE))),"")</f>
        <v/>
      </c>
      <c r="O957" s="14" t="str">
        <f>IFERROR((VLOOKUP($A957,'[1]import success seats course'!$A:AC,HLOOKUP('[1]Course Totals'!O$4,'[1]import success seats course'!$1:$2,2,FALSE),FALSE)/(VLOOKUP($A957,'[1]import graded seats course pivo'!$A:AM,HLOOKUP('[1]Course Totals'!O$4,'[1]import graded seats course pivo'!$1:$2,2,FALSE),FALSE))),"")</f>
        <v/>
      </c>
      <c r="P957" s="14" t="str">
        <f>IFERROR((VLOOKUP($A957,'[1]import success seats course'!$A:AD,HLOOKUP('[1]Course Totals'!P$4,'[1]import success seats course'!$1:$2,2,FALSE),FALSE)/(VLOOKUP($A957,'[1]import graded seats course pivo'!$A:AN,HLOOKUP('[1]Course Totals'!P$4,'[1]import graded seats course pivo'!$1:$2,2,FALSE),FALSE))),"")</f>
        <v/>
      </c>
      <c r="Q957" s="14" t="str">
        <f>IFERROR((VLOOKUP($A957,'[1]import success seats course'!$A:AE,HLOOKUP('[1]Course Totals'!Q$4,'[1]import success seats course'!$1:$2,2,FALSE),FALSE)/(VLOOKUP($A957,'[1]import graded seats course pivo'!$A:AO,HLOOKUP('[1]Course Totals'!Q$4,'[1]import graded seats course pivo'!$1:$2,2,FALSE),FALSE))),"")</f>
        <v/>
      </c>
      <c r="R957" s="14" t="str">
        <f>IFERROR((VLOOKUP($A957,'[1]import success seats course'!$A:AF,HLOOKUP('[1]Course Totals'!R$4,'[1]import success seats course'!$1:$2,2,FALSE),FALSE)/(VLOOKUP($A957,'[1]import graded seats course pivo'!$A:AP,HLOOKUP('[1]Course Totals'!R$4,'[1]import graded seats course pivo'!$1:$2,2,FALSE),FALSE))),"")</f>
        <v/>
      </c>
      <c r="S957" s="14" t="str">
        <f>IFERROR((VLOOKUP($A957,'[1]import success seats course'!$A:AG,HLOOKUP('[1]Course Totals'!S$4,'[1]import success seats course'!$1:$2,2,FALSE),FALSE)/(VLOOKUP($A957,'[1]import graded seats course pivo'!$A:AQ,HLOOKUP('[1]Course Totals'!S$4,'[1]import graded seats course pivo'!$1:$2,2,FALSE),FALSE))),"")</f>
        <v/>
      </c>
      <c r="Z957" s="7"/>
      <c r="AA957" s="7"/>
      <c r="AB957" s="7"/>
      <c r="AC957" s="7"/>
    </row>
    <row r="958" spans="1:29" ht="15.75" hidden="1" customHeight="1" x14ac:dyDescent="0.25">
      <c r="A958" s="12" t="s">
        <v>858</v>
      </c>
      <c r="B958" s="14" t="str">
        <f>IFERROR((VLOOKUP($A958,'[1]import success seats course'!$A:P,HLOOKUP('[1]Course Totals'!B$4,'[1]import success seats course'!$1:$2,2,FALSE),FALSE)/(VLOOKUP($A958,'[1]import graded seats course pivo'!$A:Z,HLOOKUP('[1]Course Totals'!B$4,'[1]import graded seats course pivo'!$1:$2,2,FALSE),FALSE))),"")</f>
        <v/>
      </c>
      <c r="C958" s="14" t="str">
        <f>IFERROR((VLOOKUP($A958,'[1]import success seats course'!$A:Q,HLOOKUP('[1]Course Totals'!C$4,'[1]import success seats course'!$1:$2,2,FALSE),FALSE)/(VLOOKUP($A958,'[1]import graded seats course pivo'!$A:AA,HLOOKUP('[1]Course Totals'!C$4,'[1]import graded seats course pivo'!$1:$2,2,FALSE),FALSE))),"")</f>
        <v/>
      </c>
      <c r="D958" s="14" t="str">
        <f>IFERROR((VLOOKUP($A958,'[1]import success seats course'!$A:R,HLOOKUP('[1]Course Totals'!D$4,'[1]import success seats course'!$1:$2,2,FALSE),FALSE)/(VLOOKUP($A958,'[1]import graded seats course pivo'!$A:AB,HLOOKUP('[1]Course Totals'!D$4,'[1]import graded seats course pivo'!$1:$2,2,FALSE),FALSE))),"")</f>
        <v/>
      </c>
      <c r="E958" s="14" t="str">
        <f>IFERROR((VLOOKUP($A958,'[1]import success seats course'!$A:S,HLOOKUP('[1]Course Totals'!E$4,'[1]import success seats course'!$1:$2,2,FALSE),FALSE)/(VLOOKUP($A958,'[1]import graded seats course pivo'!$A:AC,HLOOKUP('[1]Course Totals'!E$4,'[1]import graded seats course pivo'!$1:$2,2,FALSE),FALSE))),"")</f>
        <v/>
      </c>
      <c r="F958" s="14" t="str">
        <f>IFERROR((VLOOKUP($A958,'[1]import success seats course'!$A:T,HLOOKUP('[1]Course Totals'!F$4,'[1]import success seats course'!$1:$2,2,FALSE),FALSE)/(VLOOKUP($A958,'[1]import graded seats course pivo'!$A:AD,HLOOKUP('[1]Course Totals'!F$4,'[1]import graded seats course pivo'!$1:$2,2,FALSE),FALSE))),"")</f>
        <v/>
      </c>
      <c r="G958" s="14" t="str">
        <f>IFERROR((VLOOKUP($A958,'[1]import success seats course'!$A:U,HLOOKUP('[1]Course Totals'!G$4,'[1]import success seats course'!$1:$2,2,FALSE),FALSE)/(VLOOKUP($A958,'[1]import graded seats course pivo'!$A:AE,HLOOKUP('[1]Course Totals'!G$4,'[1]import graded seats course pivo'!$1:$2,2,FALSE),FALSE))),"")</f>
        <v/>
      </c>
      <c r="H958" s="14" t="str">
        <f>IFERROR((VLOOKUP($A958,'[1]import success seats course'!$A:V,HLOOKUP('[1]Course Totals'!H$4,'[1]import success seats course'!$1:$2,2,FALSE),FALSE)/(VLOOKUP($A958,'[1]import graded seats course pivo'!$A:AF,HLOOKUP('[1]Course Totals'!H$4,'[1]import graded seats course pivo'!$1:$2,2,FALSE),FALSE))),"")</f>
        <v/>
      </c>
      <c r="I958" s="14" t="str">
        <f>IFERROR((VLOOKUP($A958,'[1]import success seats course'!$A:W,HLOOKUP('[1]Course Totals'!I$4,'[1]import success seats course'!$1:$2,2,FALSE),FALSE)/(VLOOKUP($A958,'[1]import graded seats course pivo'!$A:AG,HLOOKUP('[1]Course Totals'!I$4,'[1]import graded seats course pivo'!$1:$2,2,FALSE),FALSE))),"")</f>
        <v/>
      </c>
      <c r="J958" s="14" t="str">
        <f>IFERROR((VLOOKUP($A958,'[1]import success seats course'!$A:X,HLOOKUP('[1]Course Totals'!J$4,'[1]import success seats course'!$1:$2,2,FALSE),FALSE)/(VLOOKUP($A958,'[1]import graded seats course pivo'!$A:AH,HLOOKUP('[1]Course Totals'!J$4,'[1]import graded seats course pivo'!$1:$2,2,FALSE),FALSE))),"")</f>
        <v/>
      </c>
      <c r="K958" s="14" t="str">
        <f>IFERROR((VLOOKUP($A958,'[1]import success seats course'!$A:Y,HLOOKUP('[1]Course Totals'!K$4,'[1]import success seats course'!$1:$2,2,FALSE),FALSE)/(VLOOKUP($A958,'[1]import graded seats course pivo'!$A:AI,HLOOKUP('[1]Course Totals'!K$4,'[1]import graded seats course pivo'!$1:$2,2,FALSE),FALSE))),"")</f>
        <v/>
      </c>
      <c r="L958" s="14" t="str">
        <f>IFERROR((VLOOKUP($A958,'[1]import success seats course'!$A:Z,HLOOKUP('[1]Course Totals'!L$4,'[1]import success seats course'!$1:$2,2,FALSE),FALSE)/(VLOOKUP($A958,'[1]import graded seats course pivo'!$A:AJ,HLOOKUP('[1]Course Totals'!L$4,'[1]import graded seats course pivo'!$1:$2,2,FALSE),FALSE))),"")</f>
        <v/>
      </c>
      <c r="M958" s="14" t="str">
        <f>IFERROR((VLOOKUP($A958,'[1]import success seats course'!$A:AA,HLOOKUP('[1]Course Totals'!M$4,'[1]import success seats course'!$1:$2,2,FALSE),FALSE)/(VLOOKUP($A958,'[1]import graded seats course pivo'!$A:AK,HLOOKUP('[1]Course Totals'!M$4,'[1]import graded seats course pivo'!$1:$2,2,FALSE),FALSE))),"")</f>
        <v/>
      </c>
      <c r="N958" s="14" t="str">
        <f>IFERROR((VLOOKUP($A958,'[1]import success seats course'!$A:AB,HLOOKUP('[1]Course Totals'!N$4,'[1]import success seats course'!$1:$2,2,FALSE),FALSE)/(VLOOKUP($A958,'[1]import graded seats course pivo'!$A:AL,HLOOKUP('[1]Course Totals'!N$4,'[1]import graded seats course pivo'!$1:$2,2,FALSE),FALSE))),"")</f>
        <v/>
      </c>
      <c r="O958" s="14" t="str">
        <f>IFERROR((VLOOKUP($A958,'[1]import success seats course'!$A:AC,HLOOKUP('[1]Course Totals'!O$4,'[1]import success seats course'!$1:$2,2,FALSE),FALSE)/(VLOOKUP($A958,'[1]import graded seats course pivo'!$A:AM,HLOOKUP('[1]Course Totals'!O$4,'[1]import graded seats course pivo'!$1:$2,2,FALSE),FALSE))),"")</f>
        <v/>
      </c>
      <c r="P958" s="14" t="str">
        <f>IFERROR((VLOOKUP($A958,'[1]import success seats course'!$A:AD,HLOOKUP('[1]Course Totals'!P$4,'[1]import success seats course'!$1:$2,2,FALSE),FALSE)/(VLOOKUP($A958,'[1]import graded seats course pivo'!$A:AN,HLOOKUP('[1]Course Totals'!P$4,'[1]import graded seats course pivo'!$1:$2,2,FALSE),FALSE))),"")</f>
        <v/>
      </c>
      <c r="Q958" s="14" t="str">
        <f>IFERROR((VLOOKUP($A958,'[1]import success seats course'!$A:AE,HLOOKUP('[1]Course Totals'!Q$4,'[1]import success seats course'!$1:$2,2,FALSE),FALSE)/(VLOOKUP($A958,'[1]import graded seats course pivo'!$A:AO,HLOOKUP('[1]Course Totals'!Q$4,'[1]import graded seats course pivo'!$1:$2,2,FALSE),FALSE))),"")</f>
        <v/>
      </c>
      <c r="R958" s="14" t="str">
        <f>IFERROR((VLOOKUP($A958,'[1]import success seats course'!$A:AF,HLOOKUP('[1]Course Totals'!R$4,'[1]import success seats course'!$1:$2,2,FALSE),FALSE)/(VLOOKUP($A958,'[1]import graded seats course pivo'!$A:AP,HLOOKUP('[1]Course Totals'!R$4,'[1]import graded seats course pivo'!$1:$2,2,FALSE),FALSE))),"")</f>
        <v/>
      </c>
      <c r="S958" s="14" t="str">
        <f>IFERROR((VLOOKUP($A958,'[1]import success seats course'!$A:AG,HLOOKUP('[1]Course Totals'!S$4,'[1]import success seats course'!$1:$2,2,FALSE),FALSE)/(VLOOKUP($A958,'[1]import graded seats course pivo'!$A:AQ,HLOOKUP('[1]Course Totals'!S$4,'[1]import graded seats course pivo'!$1:$2,2,FALSE),FALSE))),"")</f>
        <v/>
      </c>
      <c r="Z958" s="7"/>
      <c r="AA958" s="7"/>
      <c r="AB958" s="7"/>
      <c r="AC958" s="7"/>
    </row>
    <row r="959" spans="1:29" ht="15.75" customHeight="1" x14ac:dyDescent="0.25">
      <c r="A959" s="12" t="s">
        <v>943</v>
      </c>
      <c r="B959" s="14" t="str">
        <f>IFERROR((VLOOKUP($A959,'[1]import success seats course'!$A:P,HLOOKUP('[1]Course Totals'!B$4,'[1]import success seats course'!$1:$2,2,FALSE),FALSE)/(VLOOKUP($A959,'[1]import graded seats course pivo'!$A:Z,HLOOKUP('[1]Course Totals'!B$4,'[1]import graded seats course pivo'!$1:$2,2,FALSE),FALSE))),"")</f>
        <v/>
      </c>
      <c r="C959" s="14" t="str">
        <f>IFERROR((VLOOKUP($A959,'[1]import success seats course'!$A:Q,HLOOKUP('[1]Course Totals'!C$4,'[1]import success seats course'!$1:$2,2,FALSE),FALSE)/(VLOOKUP($A959,'[1]import graded seats course pivo'!$A:AA,HLOOKUP('[1]Course Totals'!C$4,'[1]import graded seats course pivo'!$1:$2,2,FALSE),FALSE))),"")</f>
        <v/>
      </c>
      <c r="D959" s="14">
        <f>IFERROR((VLOOKUP($A959,'[1]import success seats course'!$A:R,HLOOKUP('[1]Course Totals'!D$4,'[1]import success seats course'!$1:$2,2,FALSE),FALSE)/(VLOOKUP($A959,'[1]import graded seats course pivo'!$A:AB,HLOOKUP('[1]Course Totals'!D$4,'[1]import graded seats course pivo'!$1:$2,2,FALSE),FALSE))),"")</f>
        <v>1</v>
      </c>
      <c r="E959" s="14" t="str">
        <f>IFERROR((VLOOKUP($A959,'[1]import success seats course'!$A:S,HLOOKUP('[1]Course Totals'!E$4,'[1]import success seats course'!$1:$2,2,FALSE),FALSE)/(VLOOKUP($A959,'[1]import graded seats course pivo'!$A:AC,HLOOKUP('[1]Course Totals'!E$4,'[1]import graded seats course pivo'!$1:$2,2,FALSE),FALSE))),"")</f>
        <v/>
      </c>
      <c r="F959" s="14" t="str">
        <f>IFERROR((VLOOKUP($A959,'[1]import success seats course'!$A:T,HLOOKUP('[1]Course Totals'!F$4,'[1]import success seats course'!$1:$2,2,FALSE),FALSE)/(VLOOKUP($A959,'[1]import graded seats course pivo'!$A:AD,HLOOKUP('[1]Course Totals'!F$4,'[1]import graded seats course pivo'!$1:$2,2,FALSE),FALSE))),"")</f>
        <v/>
      </c>
      <c r="G959" s="14">
        <f>IFERROR((VLOOKUP($A959,'[1]import success seats course'!$A:U,HLOOKUP('[1]Course Totals'!G$4,'[1]import success seats course'!$1:$2,2,FALSE),FALSE)/(VLOOKUP($A959,'[1]import graded seats course pivo'!$A:AE,HLOOKUP('[1]Course Totals'!G$4,'[1]import graded seats course pivo'!$1:$2,2,FALSE),FALSE))),"")</f>
        <v>0.9285714285714286</v>
      </c>
      <c r="H959" s="14" t="str">
        <f>IFERROR((VLOOKUP($A959,'[1]import success seats course'!$A:V,HLOOKUP('[1]Course Totals'!H$4,'[1]import success seats course'!$1:$2,2,FALSE),FALSE)/(VLOOKUP($A959,'[1]import graded seats course pivo'!$A:AF,HLOOKUP('[1]Course Totals'!H$4,'[1]import graded seats course pivo'!$1:$2,2,FALSE),FALSE))),"")</f>
        <v/>
      </c>
      <c r="I959" s="14" t="str">
        <f>IFERROR((VLOOKUP($A959,'[1]import success seats course'!$A:W,HLOOKUP('[1]Course Totals'!I$4,'[1]import success seats course'!$1:$2,2,FALSE),FALSE)/(VLOOKUP($A959,'[1]import graded seats course pivo'!$A:AG,HLOOKUP('[1]Course Totals'!I$4,'[1]import graded seats course pivo'!$1:$2,2,FALSE),FALSE))),"")</f>
        <v/>
      </c>
      <c r="J959" s="14">
        <f>IFERROR((VLOOKUP($A959,'[1]import success seats course'!$A:X,HLOOKUP('[1]Course Totals'!J$4,'[1]import success seats course'!$1:$2,2,FALSE),FALSE)/(VLOOKUP($A959,'[1]import graded seats course pivo'!$A:AH,HLOOKUP('[1]Course Totals'!J$4,'[1]import graded seats course pivo'!$1:$2,2,FALSE),FALSE))),"")</f>
        <v>0.83333333333333337</v>
      </c>
      <c r="K959" s="14" t="str">
        <f>IFERROR((VLOOKUP($A959,'[1]import success seats course'!$A:Y,HLOOKUP('[1]Course Totals'!K$4,'[1]import success seats course'!$1:$2,2,FALSE),FALSE)/(VLOOKUP($A959,'[1]import graded seats course pivo'!$A:AI,HLOOKUP('[1]Course Totals'!K$4,'[1]import graded seats course pivo'!$1:$2,2,FALSE),FALSE))),"")</f>
        <v/>
      </c>
      <c r="L959" s="14" t="str">
        <f>IFERROR((VLOOKUP($A959,'[1]import success seats course'!$A:Z,HLOOKUP('[1]Course Totals'!L$4,'[1]import success seats course'!$1:$2,2,FALSE),FALSE)/(VLOOKUP($A959,'[1]import graded seats course pivo'!$A:AJ,HLOOKUP('[1]Course Totals'!L$4,'[1]import graded seats course pivo'!$1:$2,2,FALSE),FALSE))),"")</f>
        <v/>
      </c>
      <c r="M959" s="14">
        <f>IFERROR((VLOOKUP($A959,'[1]import success seats course'!$A:AA,HLOOKUP('[1]Course Totals'!M$4,'[1]import success seats course'!$1:$2,2,FALSE),FALSE)/(VLOOKUP($A959,'[1]import graded seats course pivo'!$A:AK,HLOOKUP('[1]Course Totals'!M$4,'[1]import graded seats course pivo'!$1:$2,2,FALSE),FALSE))),"")</f>
        <v>0.94736842105263153</v>
      </c>
      <c r="N959" s="14" t="str">
        <f>IFERROR((VLOOKUP($A959,'[1]import success seats course'!$A:AB,HLOOKUP('[1]Course Totals'!N$4,'[1]import success seats course'!$1:$2,2,FALSE),FALSE)/(VLOOKUP($A959,'[1]import graded seats course pivo'!$A:AL,HLOOKUP('[1]Course Totals'!N$4,'[1]import graded seats course pivo'!$1:$2,2,FALSE),FALSE))),"")</f>
        <v/>
      </c>
      <c r="O959" s="14" t="str">
        <f>IFERROR((VLOOKUP($A959,'[1]import success seats course'!$A:AC,HLOOKUP('[1]Course Totals'!O$4,'[1]import success seats course'!$1:$2,2,FALSE),FALSE)/(VLOOKUP($A959,'[1]import graded seats course pivo'!$A:AM,HLOOKUP('[1]Course Totals'!O$4,'[1]import graded seats course pivo'!$1:$2,2,FALSE),FALSE))),"")</f>
        <v/>
      </c>
      <c r="P959" s="14">
        <f>IFERROR((VLOOKUP($A959,'[1]import success seats course'!$A:AD,HLOOKUP('[1]Course Totals'!P$4,'[1]import success seats course'!$1:$2,2,FALSE),FALSE)/(VLOOKUP($A959,'[1]import graded seats course pivo'!$A:AN,HLOOKUP('[1]Course Totals'!P$4,'[1]import graded seats course pivo'!$1:$2,2,FALSE),FALSE))),"")</f>
        <v>0.90909090909090906</v>
      </c>
      <c r="Q959" s="14" t="str">
        <f>IFERROR((VLOOKUP($A959,'[1]import success seats course'!$A:AE,HLOOKUP('[1]Course Totals'!Q$4,'[1]import success seats course'!$1:$2,2,FALSE),FALSE)/(VLOOKUP($A959,'[1]import graded seats course pivo'!$A:AO,HLOOKUP('[1]Course Totals'!Q$4,'[1]import graded seats course pivo'!$1:$2,2,FALSE),FALSE))),"")</f>
        <v/>
      </c>
      <c r="R959" s="14" t="str">
        <f>IFERROR((VLOOKUP($A959,'[1]import success seats course'!$A:AF,HLOOKUP('[1]Course Totals'!R$4,'[1]import success seats course'!$1:$2,2,FALSE),FALSE)/(VLOOKUP($A959,'[1]import graded seats course pivo'!$A:AP,HLOOKUP('[1]Course Totals'!R$4,'[1]import graded seats course pivo'!$1:$2,2,FALSE),FALSE))),"")</f>
        <v/>
      </c>
      <c r="S959" s="14" t="str">
        <f>IFERROR((VLOOKUP($A959,'[1]import success seats course'!$A:AG,HLOOKUP('[1]Course Totals'!S$4,'[1]import success seats course'!$1:$2,2,FALSE),FALSE)/(VLOOKUP($A959,'[1]import graded seats course pivo'!$A:AQ,HLOOKUP('[1]Course Totals'!S$4,'[1]import graded seats course pivo'!$1:$2,2,FALSE),FALSE))),"")</f>
        <v/>
      </c>
      <c r="Z959" s="7"/>
      <c r="AA959" s="7"/>
      <c r="AB959" s="7"/>
      <c r="AC959" s="7"/>
    </row>
    <row r="960" spans="1:29" ht="15.75" customHeight="1" x14ac:dyDescent="0.25">
      <c r="A960" s="12" t="s">
        <v>460</v>
      </c>
      <c r="B960" s="14" t="str">
        <f>IFERROR((VLOOKUP($A960,'[1]import success seats course'!$A:P,HLOOKUP('[1]Course Totals'!B$4,'[1]import success seats course'!$1:$2,2,FALSE),FALSE)/(VLOOKUP($A960,'[1]import graded seats course pivo'!$A:Z,HLOOKUP('[1]Course Totals'!B$4,'[1]import graded seats course pivo'!$1:$2,2,FALSE),FALSE))),"")</f>
        <v/>
      </c>
      <c r="C960" s="14" t="str">
        <f>IFERROR((VLOOKUP($A960,'[1]import success seats course'!$A:Q,HLOOKUP('[1]Course Totals'!C$4,'[1]import success seats course'!$1:$2,2,FALSE),FALSE)/(VLOOKUP($A960,'[1]import graded seats course pivo'!$A:AA,HLOOKUP('[1]Course Totals'!C$4,'[1]import graded seats course pivo'!$1:$2,2,FALSE),FALSE))),"")</f>
        <v/>
      </c>
      <c r="D960" s="14">
        <f>IFERROR((VLOOKUP($A960,'[1]import success seats course'!$A:R,HLOOKUP('[1]Course Totals'!D$4,'[1]import success seats course'!$1:$2,2,FALSE),FALSE)/(VLOOKUP($A960,'[1]import graded seats course pivo'!$A:AB,HLOOKUP('[1]Course Totals'!D$4,'[1]import graded seats course pivo'!$1:$2,2,FALSE),FALSE))),"")</f>
        <v>0.94444444444444442</v>
      </c>
      <c r="E960" s="14" t="str">
        <f>IFERROR((VLOOKUP($A960,'[1]import success seats course'!$A:S,HLOOKUP('[1]Course Totals'!E$4,'[1]import success seats course'!$1:$2,2,FALSE),FALSE)/(VLOOKUP($A960,'[1]import graded seats course pivo'!$A:AC,HLOOKUP('[1]Course Totals'!E$4,'[1]import graded seats course pivo'!$1:$2,2,FALSE),FALSE))),"")</f>
        <v/>
      </c>
      <c r="F960" s="14" t="str">
        <f>IFERROR((VLOOKUP($A960,'[1]import success seats course'!$A:T,HLOOKUP('[1]Course Totals'!F$4,'[1]import success seats course'!$1:$2,2,FALSE),FALSE)/(VLOOKUP($A960,'[1]import graded seats course pivo'!$A:AD,HLOOKUP('[1]Course Totals'!F$4,'[1]import graded seats course pivo'!$1:$2,2,FALSE),FALSE))),"")</f>
        <v/>
      </c>
      <c r="G960" s="14" t="str">
        <f>IFERROR((VLOOKUP($A960,'[1]import success seats course'!$A:U,HLOOKUP('[1]Course Totals'!G$4,'[1]import success seats course'!$1:$2,2,FALSE),FALSE)/(VLOOKUP($A960,'[1]import graded seats course pivo'!$A:AE,HLOOKUP('[1]Course Totals'!G$4,'[1]import graded seats course pivo'!$1:$2,2,FALSE),FALSE))),"")</f>
        <v/>
      </c>
      <c r="H960" s="14" t="str">
        <f>IFERROR((VLOOKUP($A960,'[1]import success seats course'!$A:V,HLOOKUP('[1]Course Totals'!H$4,'[1]import success seats course'!$1:$2,2,FALSE),FALSE)/(VLOOKUP($A960,'[1]import graded seats course pivo'!$A:AF,HLOOKUP('[1]Course Totals'!H$4,'[1]import graded seats course pivo'!$1:$2,2,FALSE),FALSE))),"")</f>
        <v/>
      </c>
      <c r="I960" s="14" t="str">
        <f>IFERROR((VLOOKUP($A960,'[1]import success seats course'!$A:W,HLOOKUP('[1]Course Totals'!I$4,'[1]import success seats course'!$1:$2,2,FALSE),FALSE)/(VLOOKUP($A960,'[1]import graded seats course pivo'!$A:AG,HLOOKUP('[1]Course Totals'!I$4,'[1]import graded seats course pivo'!$1:$2,2,FALSE),FALSE))),"")</f>
        <v/>
      </c>
      <c r="J960" s="14" t="str">
        <f>IFERROR((VLOOKUP($A960,'[1]import success seats course'!$A:X,HLOOKUP('[1]Course Totals'!J$4,'[1]import success seats course'!$1:$2,2,FALSE),FALSE)/(VLOOKUP($A960,'[1]import graded seats course pivo'!$A:AH,HLOOKUP('[1]Course Totals'!J$4,'[1]import graded seats course pivo'!$1:$2,2,FALSE),FALSE))),"")</f>
        <v/>
      </c>
      <c r="K960" s="14" t="str">
        <f>IFERROR((VLOOKUP($A960,'[1]import success seats course'!$A:Y,HLOOKUP('[1]Course Totals'!K$4,'[1]import success seats course'!$1:$2,2,FALSE),FALSE)/(VLOOKUP($A960,'[1]import graded seats course pivo'!$A:AI,HLOOKUP('[1]Course Totals'!K$4,'[1]import graded seats course pivo'!$1:$2,2,FALSE),FALSE))),"")</f>
        <v/>
      </c>
      <c r="L960" s="14" t="str">
        <f>IFERROR((VLOOKUP($A960,'[1]import success seats course'!$A:Z,HLOOKUP('[1]Course Totals'!L$4,'[1]import success seats course'!$1:$2,2,FALSE),FALSE)/(VLOOKUP($A960,'[1]import graded seats course pivo'!$A:AJ,HLOOKUP('[1]Course Totals'!L$4,'[1]import graded seats course pivo'!$1:$2,2,FALSE),FALSE))),"")</f>
        <v/>
      </c>
      <c r="M960" s="14" t="str">
        <f>IFERROR((VLOOKUP($A960,'[1]import success seats course'!$A:AA,HLOOKUP('[1]Course Totals'!M$4,'[1]import success seats course'!$1:$2,2,FALSE),FALSE)/(VLOOKUP($A960,'[1]import graded seats course pivo'!$A:AK,HLOOKUP('[1]Course Totals'!M$4,'[1]import graded seats course pivo'!$1:$2,2,FALSE),FALSE))),"")</f>
        <v/>
      </c>
      <c r="N960" s="14" t="str">
        <f>IFERROR((VLOOKUP($A960,'[1]import success seats course'!$A:AB,HLOOKUP('[1]Course Totals'!N$4,'[1]import success seats course'!$1:$2,2,FALSE),FALSE)/(VLOOKUP($A960,'[1]import graded seats course pivo'!$A:AL,HLOOKUP('[1]Course Totals'!N$4,'[1]import graded seats course pivo'!$1:$2,2,FALSE),FALSE))),"")</f>
        <v/>
      </c>
      <c r="O960" s="14" t="str">
        <f>IFERROR((VLOOKUP($A960,'[1]import success seats course'!$A:AC,HLOOKUP('[1]Course Totals'!O$4,'[1]import success seats course'!$1:$2,2,FALSE),FALSE)/(VLOOKUP($A960,'[1]import graded seats course pivo'!$A:AM,HLOOKUP('[1]Course Totals'!O$4,'[1]import graded seats course pivo'!$1:$2,2,FALSE),FALSE))),"")</f>
        <v/>
      </c>
      <c r="P960" s="14" t="str">
        <f>IFERROR((VLOOKUP($A960,'[1]import success seats course'!$A:AD,HLOOKUP('[1]Course Totals'!P$4,'[1]import success seats course'!$1:$2,2,FALSE),FALSE)/(VLOOKUP($A960,'[1]import graded seats course pivo'!$A:AN,HLOOKUP('[1]Course Totals'!P$4,'[1]import graded seats course pivo'!$1:$2,2,FALSE),FALSE))),"")</f>
        <v/>
      </c>
      <c r="Q960" s="14" t="str">
        <f>IFERROR((VLOOKUP($A960,'[1]import success seats course'!$A:AE,HLOOKUP('[1]Course Totals'!Q$4,'[1]import success seats course'!$1:$2,2,FALSE),FALSE)/(VLOOKUP($A960,'[1]import graded seats course pivo'!$A:AO,HLOOKUP('[1]Course Totals'!Q$4,'[1]import graded seats course pivo'!$1:$2,2,FALSE),FALSE))),"")</f>
        <v/>
      </c>
      <c r="R960" s="14" t="str">
        <f>IFERROR((VLOOKUP($A960,'[1]import success seats course'!$A:AF,HLOOKUP('[1]Course Totals'!R$4,'[1]import success seats course'!$1:$2,2,FALSE),FALSE)/(VLOOKUP($A960,'[1]import graded seats course pivo'!$A:AP,HLOOKUP('[1]Course Totals'!R$4,'[1]import graded seats course pivo'!$1:$2,2,FALSE),FALSE))),"")</f>
        <v/>
      </c>
      <c r="S960" s="14" t="str">
        <f>IFERROR((VLOOKUP($A960,'[1]import success seats course'!$A:AG,HLOOKUP('[1]Course Totals'!S$4,'[1]import success seats course'!$1:$2,2,FALSE),FALSE)/(VLOOKUP($A960,'[1]import graded seats course pivo'!$A:AQ,HLOOKUP('[1]Course Totals'!S$4,'[1]import graded seats course pivo'!$1:$2,2,FALSE),FALSE))),"")</f>
        <v/>
      </c>
      <c r="Z960" s="7"/>
      <c r="AA960" s="7"/>
      <c r="AB960" s="7"/>
      <c r="AC960" s="7"/>
    </row>
    <row r="961" spans="1:29" ht="15.75" hidden="1" customHeight="1" x14ac:dyDescent="0.25">
      <c r="A961" s="12" t="s">
        <v>859</v>
      </c>
      <c r="B961" s="14" t="str">
        <f>IFERROR((VLOOKUP($A961,'[1]import success seats course'!$A:P,HLOOKUP('[1]Course Totals'!B$4,'[1]import success seats course'!$1:$2,2,FALSE),FALSE)/(VLOOKUP($A961,'[1]import graded seats course pivo'!$A:Z,HLOOKUP('[1]Course Totals'!B$4,'[1]import graded seats course pivo'!$1:$2,2,FALSE),FALSE))),"")</f>
        <v/>
      </c>
      <c r="C961" s="14" t="str">
        <f>IFERROR((VLOOKUP($A961,'[1]import success seats course'!$A:Q,HLOOKUP('[1]Course Totals'!C$4,'[1]import success seats course'!$1:$2,2,FALSE),FALSE)/(VLOOKUP($A961,'[1]import graded seats course pivo'!$A:AA,HLOOKUP('[1]Course Totals'!C$4,'[1]import graded seats course pivo'!$1:$2,2,FALSE),FALSE))),"")</f>
        <v/>
      </c>
      <c r="D961" s="14" t="str">
        <f>IFERROR((VLOOKUP($A961,'[1]import success seats course'!$A:R,HLOOKUP('[1]Course Totals'!D$4,'[1]import success seats course'!$1:$2,2,FALSE),FALSE)/(VLOOKUP($A961,'[1]import graded seats course pivo'!$A:AB,HLOOKUP('[1]Course Totals'!D$4,'[1]import graded seats course pivo'!$1:$2,2,FALSE),FALSE))),"")</f>
        <v/>
      </c>
      <c r="E961" s="14" t="str">
        <f>IFERROR((VLOOKUP($A961,'[1]import success seats course'!$A:S,HLOOKUP('[1]Course Totals'!E$4,'[1]import success seats course'!$1:$2,2,FALSE),FALSE)/(VLOOKUP($A961,'[1]import graded seats course pivo'!$A:AC,HLOOKUP('[1]Course Totals'!E$4,'[1]import graded seats course pivo'!$1:$2,2,FALSE),FALSE))),"")</f>
        <v/>
      </c>
      <c r="F961" s="14" t="str">
        <f>IFERROR((VLOOKUP($A961,'[1]import success seats course'!$A:T,HLOOKUP('[1]Course Totals'!F$4,'[1]import success seats course'!$1:$2,2,FALSE),FALSE)/(VLOOKUP($A961,'[1]import graded seats course pivo'!$A:AD,HLOOKUP('[1]Course Totals'!F$4,'[1]import graded seats course pivo'!$1:$2,2,FALSE),FALSE))),"")</f>
        <v/>
      </c>
      <c r="G961" s="14" t="str">
        <f>IFERROR((VLOOKUP($A961,'[1]import success seats course'!$A:U,HLOOKUP('[1]Course Totals'!G$4,'[1]import success seats course'!$1:$2,2,FALSE),FALSE)/(VLOOKUP($A961,'[1]import graded seats course pivo'!$A:AE,HLOOKUP('[1]Course Totals'!G$4,'[1]import graded seats course pivo'!$1:$2,2,FALSE),FALSE))),"")</f>
        <v/>
      </c>
      <c r="H961" s="14" t="str">
        <f>IFERROR((VLOOKUP($A961,'[1]import success seats course'!$A:V,HLOOKUP('[1]Course Totals'!H$4,'[1]import success seats course'!$1:$2,2,FALSE),FALSE)/(VLOOKUP($A961,'[1]import graded seats course pivo'!$A:AF,HLOOKUP('[1]Course Totals'!H$4,'[1]import graded seats course pivo'!$1:$2,2,FALSE),FALSE))),"")</f>
        <v/>
      </c>
      <c r="I961" s="14" t="str">
        <f>IFERROR((VLOOKUP($A961,'[1]import success seats course'!$A:W,HLOOKUP('[1]Course Totals'!I$4,'[1]import success seats course'!$1:$2,2,FALSE),FALSE)/(VLOOKUP($A961,'[1]import graded seats course pivo'!$A:AG,HLOOKUP('[1]Course Totals'!I$4,'[1]import graded seats course pivo'!$1:$2,2,FALSE),FALSE))),"")</f>
        <v/>
      </c>
      <c r="J961" s="14" t="str">
        <f>IFERROR((VLOOKUP($A961,'[1]import success seats course'!$A:X,HLOOKUP('[1]Course Totals'!J$4,'[1]import success seats course'!$1:$2,2,FALSE),FALSE)/(VLOOKUP($A961,'[1]import graded seats course pivo'!$A:AH,HLOOKUP('[1]Course Totals'!J$4,'[1]import graded seats course pivo'!$1:$2,2,FALSE),FALSE))),"")</f>
        <v/>
      </c>
      <c r="K961" s="14" t="str">
        <f>IFERROR((VLOOKUP($A961,'[1]import success seats course'!$A:Y,HLOOKUP('[1]Course Totals'!K$4,'[1]import success seats course'!$1:$2,2,FALSE),FALSE)/(VLOOKUP($A961,'[1]import graded seats course pivo'!$A:AI,HLOOKUP('[1]Course Totals'!K$4,'[1]import graded seats course pivo'!$1:$2,2,FALSE),FALSE))),"")</f>
        <v/>
      </c>
      <c r="L961" s="14" t="str">
        <f>IFERROR((VLOOKUP($A961,'[1]import success seats course'!$A:Z,HLOOKUP('[1]Course Totals'!L$4,'[1]import success seats course'!$1:$2,2,FALSE),FALSE)/(VLOOKUP($A961,'[1]import graded seats course pivo'!$A:AJ,HLOOKUP('[1]Course Totals'!L$4,'[1]import graded seats course pivo'!$1:$2,2,FALSE),FALSE))),"")</f>
        <v/>
      </c>
      <c r="M961" s="14" t="str">
        <f>IFERROR((VLOOKUP($A961,'[1]import success seats course'!$A:AA,HLOOKUP('[1]Course Totals'!M$4,'[1]import success seats course'!$1:$2,2,FALSE),FALSE)/(VLOOKUP($A961,'[1]import graded seats course pivo'!$A:AK,HLOOKUP('[1]Course Totals'!M$4,'[1]import graded seats course pivo'!$1:$2,2,FALSE),FALSE))),"")</f>
        <v/>
      </c>
      <c r="N961" s="14" t="str">
        <f>IFERROR((VLOOKUP($A961,'[1]import success seats course'!$A:AB,HLOOKUP('[1]Course Totals'!N$4,'[1]import success seats course'!$1:$2,2,FALSE),FALSE)/(VLOOKUP($A961,'[1]import graded seats course pivo'!$A:AL,HLOOKUP('[1]Course Totals'!N$4,'[1]import graded seats course pivo'!$1:$2,2,FALSE),FALSE))),"")</f>
        <v/>
      </c>
      <c r="O961" s="14" t="str">
        <f>IFERROR((VLOOKUP($A961,'[1]import success seats course'!$A:AC,HLOOKUP('[1]Course Totals'!O$4,'[1]import success seats course'!$1:$2,2,FALSE),FALSE)/(VLOOKUP($A961,'[1]import graded seats course pivo'!$A:AM,HLOOKUP('[1]Course Totals'!O$4,'[1]import graded seats course pivo'!$1:$2,2,FALSE),FALSE))),"")</f>
        <v/>
      </c>
      <c r="P961" s="14" t="str">
        <f>IFERROR((VLOOKUP($A961,'[1]import success seats course'!$A:AD,HLOOKUP('[1]Course Totals'!P$4,'[1]import success seats course'!$1:$2,2,FALSE),FALSE)/(VLOOKUP($A961,'[1]import graded seats course pivo'!$A:AN,HLOOKUP('[1]Course Totals'!P$4,'[1]import graded seats course pivo'!$1:$2,2,FALSE),FALSE))),"")</f>
        <v/>
      </c>
      <c r="Q961" s="14" t="str">
        <f>IFERROR((VLOOKUP($A961,'[1]import success seats course'!$A:AE,HLOOKUP('[1]Course Totals'!Q$4,'[1]import success seats course'!$1:$2,2,FALSE),FALSE)/(VLOOKUP($A961,'[1]import graded seats course pivo'!$A:AO,HLOOKUP('[1]Course Totals'!Q$4,'[1]import graded seats course pivo'!$1:$2,2,FALSE),FALSE))),"")</f>
        <v/>
      </c>
      <c r="R961" s="14" t="str">
        <f>IFERROR((VLOOKUP($A961,'[1]import success seats course'!$A:AF,HLOOKUP('[1]Course Totals'!R$4,'[1]import success seats course'!$1:$2,2,FALSE),FALSE)/(VLOOKUP($A961,'[1]import graded seats course pivo'!$A:AP,HLOOKUP('[1]Course Totals'!R$4,'[1]import graded seats course pivo'!$1:$2,2,FALSE),FALSE))),"")</f>
        <v/>
      </c>
      <c r="S961" s="14" t="str">
        <f>IFERROR((VLOOKUP($A961,'[1]import success seats course'!$A:AG,HLOOKUP('[1]Course Totals'!S$4,'[1]import success seats course'!$1:$2,2,FALSE),FALSE)/(VLOOKUP($A961,'[1]import graded seats course pivo'!$A:AQ,HLOOKUP('[1]Course Totals'!S$4,'[1]import graded seats course pivo'!$1:$2,2,FALSE),FALSE))),"")</f>
        <v/>
      </c>
      <c r="Z961" s="7"/>
      <c r="AA961" s="7"/>
      <c r="AB961" s="7"/>
      <c r="AC961" s="7"/>
    </row>
    <row r="962" spans="1:29" ht="15.75" customHeight="1" x14ac:dyDescent="0.25">
      <c r="A962" s="12" t="s">
        <v>656</v>
      </c>
      <c r="B962" s="14" t="str">
        <f>IFERROR((VLOOKUP($A962,'[1]import success seats course'!$A:P,HLOOKUP('[1]Course Totals'!B$4,'[1]import success seats course'!$1:$2,2,FALSE),FALSE)/(VLOOKUP($A962,'[1]import graded seats course pivo'!$A:Z,HLOOKUP('[1]Course Totals'!B$4,'[1]import graded seats course pivo'!$1:$2,2,FALSE),FALSE))),"")</f>
        <v/>
      </c>
      <c r="C962" s="14" t="str">
        <f>IFERROR((VLOOKUP($A962,'[1]import success seats course'!$A:Q,HLOOKUP('[1]Course Totals'!C$4,'[1]import success seats course'!$1:$2,2,FALSE),FALSE)/(VLOOKUP($A962,'[1]import graded seats course pivo'!$A:AA,HLOOKUP('[1]Course Totals'!C$4,'[1]import graded seats course pivo'!$1:$2,2,FALSE),FALSE))),"")</f>
        <v/>
      </c>
      <c r="D962" s="14" t="str">
        <f>IFERROR((VLOOKUP($A962,'[1]import success seats course'!$A:R,HLOOKUP('[1]Course Totals'!D$4,'[1]import success seats course'!$1:$2,2,FALSE),FALSE)/(VLOOKUP($A962,'[1]import graded seats course pivo'!$A:AB,HLOOKUP('[1]Course Totals'!D$4,'[1]import graded seats course pivo'!$1:$2,2,FALSE),FALSE))),"")</f>
        <v/>
      </c>
      <c r="E962" s="14" t="str">
        <f>IFERROR((VLOOKUP($A962,'[1]import success seats course'!$A:S,HLOOKUP('[1]Course Totals'!E$4,'[1]import success seats course'!$1:$2,2,FALSE),FALSE)/(VLOOKUP($A962,'[1]import graded seats course pivo'!$A:AC,HLOOKUP('[1]Course Totals'!E$4,'[1]import graded seats course pivo'!$1:$2,2,FALSE),FALSE))),"")</f>
        <v/>
      </c>
      <c r="F962" s="14">
        <f>IFERROR((VLOOKUP($A962,'[1]import success seats course'!$A:T,HLOOKUP('[1]Course Totals'!F$4,'[1]import success seats course'!$1:$2,2,FALSE),FALSE)/(VLOOKUP($A962,'[1]import graded seats course pivo'!$A:AD,HLOOKUP('[1]Course Totals'!F$4,'[1]import graded seats course pivo'!$1:$2,2,FALSE),FALSE))),"")</f>
        <v>1</v>
      </c>
      <c r="G962" s="14" t="str">
        <f>IFERROR((VLOOKUP($A962,'[1]import success seats course'!$A:U,HLOOKUP('[1]Course Totals'!G$4,'[1]import success seats course'!$1:$2,2,FALSE),FALSE)/(VLOOKUP($A962,'[1]import graded seats course pivo'!$A:AE,HLOOKUP('[1]Course Totals'!G$4,'[1]import graded seats course pivo'!$1:$2,2,FALSE),FALSE))),"")</f>
        <v/>
      </c>
      <c r="H962" s="14" t="str">
        <f>IFERROR((VLOOKUP($A962,'[1]import success seats course'!$A:V,HLOOKUP('[1]Course Totals'!H$4,'[1]import success seats course'!$1:$2,2,FALSE),FALSE)/(VLOOKUP($A962,'[1]import graded seats course pivo'!$A:AF,HLOOKUP('[1]Course Totals'!H$4,'[1]import graded seats course pivo'!$1:$2,2,FALSE),FALSE))),"")</f>
        <v/>
      </c>
      <c r="I962" s="14" t="str">
        <f>IFERROR((VLOOKUP($A962,'[1]import success seats course'!$A:W,HLOOKUP('[1]Course Totals'!I$4,'[1]import success seats course'!$1:$2,2,FALSE),FALSE)/(VLOOKUP($A962,'[1]import graded seats course pivo'!$A:AG,HLOOKUP('[1]Course Totals'!I$4,'[1]import graded seats course pivo'!$1:$2,2,FALSE),FALSE))),"")</f>
        <v/>
      </c>
      <c r="J962" s="14" t="str">
        <f>IFERROR((VLOOKUP($A962,'[1]import success seats course'!$A:X,HLOOKUP('[1]Course Totals'!J$4,'[1]import success seats course'!$1:$2,2,FALSE),FALSE)/(VLOOKUP($A962,'[1]import graded seats course pivo'!$A:AH,HLOOKUP('[1]Course Totals'!J$4,'[1]import graded seats course pivo'!$1:$2,2,FALSE),FALSE))),"")</f>
        <v/>
      </c>
      <c r="K962" s="14" t="str">
        <f>IFERROR((VLOOKUP($A962,'[1]import success seats course'!$A:Y,HLOOKUP('[1]Course Totals'!K$4,'[1]import success seats course'!$1:$2,2,FALSE),FALSE)/(VLOOKUP($A962,'[1]import graded seats course pivo'!$A:AI,HLOOKUP('[1]Course Totals'!K$4,'[1]import graded seats course pivo'!$1:$2,2,FALSE),FALSE))),"")</f>
        <v/>
      </c>
      <c r="L962" s="14" t="str">
        <f>IFERROR((VLOOKUP($A962,'[1]import success seats course'!$A:Z,HLOOKUP('[1]Course Totals'!L$4,'[1]import success seats course'!$1:$2,2,FALSE),FALSE)/(VLOOKUP($A962,'[1]import graded seats course pivo'!$A:AJ,HLOOKUP('[1]Course Totals'!L$4,'[1]import graded seats course pivo'!$1:$2,2,FALSE),FALSE))),"")</f>
        <v/>
      </c>
      <c r="M962" s="14" t="str">
        <f>IFERROR((VLOOKUP($A962,'[1]import success seats course'!$A:AA,HLOOKUP('[1]Course Totals'!M$4,'[1]import success seats course'!$1:$2,2,FALSE),FALSE)/(VLOOKUP($A962,'[1]import graded seats course pivo'!$A:AK,HLOOKUP('[1]Course Totals'!M$4,'[1]import graded seats course pivo'!$1:$2,2,FALSE),FALSE))),"")</f>
        <v/>
      </c>
      <c r="N962" s="14" t="str">
        <f>IFERROR((VLOOKUP($A962,'[1]import success seats course'!$A:AB,HLOOKUP('[1]Course Totals'!N$4,'[1]import success seats course'!$1:$2,2,FALSE),FALSE)/(VLOOKUP($A962,'[1]import graded seats course pivo'!$A:AL,HLOOKUP('[1]Course Totals'!N$4,'[1]import graded seats course pivo'!$1:$2,2,FALSE),FALSE))),"")</f>
        <v/>
      </c>
      <c r="O962" s="14" t="str">
        <f>IFERROR((VLOOKUP($A962,'[1]import success seats course'!$A:AC,HLOOKUP('[1]Course Totals'!O$4,'[1]import success seats course'!$1:$2,2,FALSE),FALSE)/(VLOOKUP($A962,'[1]import graded seats course pivo'!$A:AM,HLOOKUP('[1]Course Totals'!O$4,'[1]import graded seats course pivo'!$1:$2,2,FALSE),FALSE))),"")</f>
        <v/>
      </c>
      <c r="P962" s="14" t="str">
        <f>IFERROR((VLOOKUP($A962,'[1]import success seats course'!$A:AD,HLOOKUP('[1]Course Totals'!P$4,'[1]import success seats course'!$1:$2,2,FALSE),FALSE)/(VLOOKUP($A962,'[1]import graded seats course pivo'!$A:AN,HLOOKUP('[1]Course Totals'!P$4,'[1]import graded seats course pivo'!$1:$2,2,FALSE),FALSE))),"")</f>
        <v/>
      </c>
      <c r="Q962" s="14" t="str">
        <f>IFERROR((VLOOKUP($A962,'[1]import success seats course'!$A:AE,HLOOKUP('[1]Course Totals'!Q$4,'[1]import success seats course'!$1:$2,2,FALSE),FALSE)/(VLOOKUP($A962,'[1]import graded seats course pivo'!$A:AO,HLOOKUP('[1]Course Totals'!Q$4,'[1]import graded seats course pivo'!$1:$2,2,FALSE),FALSE))),"")</f>
        <v/>
      </c>
      <c r="R962" s="14" t="str">
        <f>IFERROR((VLOOKUP($A962,'[1]import success seats course'!$A:AF,HLOOKUP('[1]Course Totals'!R$4,'[1]import success seats course'!$1:$2,2,FALSE),FALSE)/(VLOOKUP($A962,'[1]import graded seats course pivo'!$A:AP,HLOOKUP('[1]Course Totals'!R$4,'[1]import graded seats course pivo'!$1:$2,2,FALSE),FALSE))),"")</f>
        <v/>
      </c>
      <c r="S962" s="14" t="str">
        <f>IFERROR((VLOOKUP($A962,'[1]import success seats course'!$A:AG,HLOOKUP('[1]Course Totals'!S$4,'[1]import success seats course'!$1:$2,2,FALSE),FALSE)/(VLOOKUP($A962,'[1]import graded seats course pivo'!$A:AQ,HLOOKUP('[1]Course Totals'!S$4,'[1]import graded seats course pivo'!$1:$2,2,FALSE),FALSE))),"")</f>
        <v/>
      </c>
      <c r="Z962" s="7"/>
      <c r="AA962" s="7"/>
      <c r="AB962" s="7"/>
      <c r="AC962" s="7"/>
    </row>
    <row r="963" spans="1:29" ht="15.75" hidden="1" customHeight="1" x14ac:dyDescent="0.25">
      <c r="A963" s="12" t="s">
        <v>1051</v>
      </c>
      <c r="B963" s="14" t="str">
        <f>IFERROR((VLOOKUP($A963,'[1]import success seats course'!$A:P,HLOOKUP('[1]Course Totals'!B$4,'[1]import success seats course'!$1:$2,2,FALSE),FALSE)/(VLOOKUP($A963,'[1]import graded seats course pivo'!$A:Z,HLOOKUP('[1]Course Totals'!B$4,'[1]import graded seats course pivo'!$1:$2,2,FALSE),FALSE))),"")</f>
        <v/>
      </c>
      <c r="C963" s="14" t="str">
        <f>IFERROR((VLOOKUP($A963,'[1]import success seats course'!$A:Q,HLOOKUP('[1]Course Totals'!C$4,'[1]import success seats course'!$1:$2,2,FALSE),FALSE)/(VLOOKUP($A963,'[1]import graded seats course pivo'!$A:AA,HLOOKUP('[1]Course Totals'!C$4,'[1]import graded seats course pivo'!$1:$2,2,FALSE),FALSE))),"")</f>
        <v/>
      </c>
      <c r="D963" s="14" t="str">
        <f>IFERROR((VLOOKUP($A963,'[1]import success seats course'!$A:R,HLOOKUP('[1]Course Totals'!D$4,'[1]import success seats course'!$1:$2,2,FALSE),FALSE)/(VLOOKUP($A963,'[1]import graded seats course pivo'!$A:AB,HLOOKUP('[1]Course Totals'!D$4,'[1]import graded seats course pivo'!$1:$2,2,FALSE),FALSE))),"")</f>
        <v/>
      </c>
      <c r="E963" s="14" t="str">
        <f>IFERROR((VLOOKUP($A963,'[1]import success seats course'!$A:S,HLOOKUP('[1]Course Totals'!E$4,'[1]import success seats course'!$1:$2,2,FALSE),FALSE)/(VLOOKUP($A963,'[1]import graded seats course pivo'!$A:AC,HLOOKUP('[1]Course Totals'!E$4,'[1]import graded seats course pivo'!$1:$2,2,FALSE),FALSE))),"")</f>
        <v/>
      </c>
      <c r="F963" s="14" t="str">
        <f>IFERROR((VLOOKUP($A963,'[1]import success seats course'!$A:T,HLOOKUP('[1]Course Totals'!F$4,'[1]import success seats course'!$1:$2,2,FALSE),FALSE)/(VLOOKUP($A963,'[1]import graded seats course pivo'!$A:AD,HLOOKUP('[1]Course Totals'!F$4,'[1]import graded seats course pivo'!$1:$2,2,FALSE),FALSE))),"")</f>
        <v/>
      </c>
      <c r="G963" s="14" t="str">
        <f>IFERROR((VLOOKUP($A963,'[1]import success seats course'!$A:U,HLOOKUP('[1]Course Totals'!G$4,'[1]import success seats course'!$1:$2,2,FALSE),FALSE)/(VLOOKUP($A963,'[1]import graded seats course pivo'!$A:AE,HLOOKUP('[1]Course Totals'!G$4,'[1]import graded seats course pivo'!$1:$2,2,FALSE),FALSE))),"")</f>
        <v/>
      </c>
      <c r="H963" s="14" t="str">
        <f>IFERROR((VLOOKUP($A963,'[1]import success seats course'!$A:V,HLOOKUP('[1]Course Totals'!H$4,'[1]import success seats course'!$1:$2,2,FALSE),FALSE)/(VLOOKUP($A963,'[1]import graded seats course pivo'!$A:AF,HLOOKUP('[1]Course Totals'!H$4,'[1]import graded seats course pivo'!$1:$2,2,FALSE),FALSE))),"")</f>
        <v/>
      </c>
      <c r="I963" s="14" t="str">
        <f>IFERROR((VLOOKUP($A963,'[1]import success seats course'!$A:W,HLOOKUP('[1]Course Totals'!I$4,'[1]import success seats course'!$1:$2,2,FALSE),FALSE)/(VLOOKUP($A963,'[1]import graded seats course pivo'!$A:AG,HLOOKUP('[1]Course Totals'!I$4,'[1]import graded seats course pivo'!$1:$2,2,FALSE),FALSE))),"")</f>
        <v/>
      </c>
      <c r="J963" s="14" t="str">
        <f>IFERROR((VLOOKUP($A963,'[1]import success seats course'!$A:X,HLOOKUP('[1]Course Totals'!J$4,'[1]import success seats course'!$1:$2,2,FALSE),FALSE)/(VLOOKUP($A963,'[1]import graded seats course pivo'!$A:AH,HLOOKUP('[1]Course Totals'!J$4,'[1]import graded seats course pivo'!$1:$2,2,FALSE),FALSE))),"")</f>
        <v/>
      </c>
      <c r="K963" s="14" t="str">
        <f>IFERROR((VLOOKUP($A963,'[1]import success seats course'!$A:Y,HLOOKUP('[1]Course Totals'!K$4,'[1]import success seats course'!$1:$2,2,FALSE),FALSE)/(VLOOKUP($A963,'[1]import graded seats course pivo'!$A:AI,HLOOKUP('[1]Course Totals'!K$4,'[1]import graded seats course pivo'!$1:$2,2,FALSE),FALSE))),"")</f>
        <v/>
      </c>
      <c r="L963" s="14" t="str">
        <f>IFERROR((VLOOKUP($A963,'[1]import success seats course'!$A:Z,HLOOKUP('[1]Course Totals'!L$4,'[1]import success seats course'!$1:$2,2,FALSE),FALSE)/(VLOOKUP($A963,'[1]import graded seats course pivo'!$A:AJ,HLOOKUP('[1]Course Totals'!L$4,'[1]import graded seats course pivo'!$1:$2,2,FALSE),FALSE))),"")</f>
        <v/>
      </c>
      <c r="M963" s="14" t="str">
        <f>IFERROR((VLOOKUP($A963,'[1]import success seats course'!$A:AA,HLOOKUP('[1]Course Totals'!M$4,'[1]import success seats course'!$1:$2,2,FALSE),FALSE)/(VLOOKUP($A963,'[1]import graded seats course pivo'!$A:AK,HLOOKUP('[1]Course Totals'!M$4,'[1]import graded seats course pivo'!$1:$2,2,FALSE),FALSE))),"")</f>
        <v/>
      </c>
      <c r="N963" s="14" t="str">
        <f>IFERROR((VLOOKUP($A963,'[1]import success seats course'!$A:AB,HLOOKUP('[1]Course Totals'!N$4,'[1]import success seats course'!$1:$2,2,FALSE),FALSE)/(VLOOKUP($A963,'[1]import graded seats course pivo'!$A:AL,HLOOKUP('[1]Course Totals'!N$4,'[1]import graded seats course pivo'!$1:$2,2,FALSE),FALSE))),"")</f>
        <v/>
      </c>
      <c r="O963" s="14" t="str">
        <f>IFERROR((VLOOKUP($A963,'[1]import success seats course'!$A:AC,HLOOKUP('[1]Course Totals'!O$4,'[1]import success seats course'!$1:$2,2,FALSE),FALSE)/(VLOOKUP($A963,'[1]import graded seats course pivo'!$A:AM,HLOOKUP('[1]Course Totals'!O$4,'[1]import graded seats course pivo'!$1:$2,2,FALSE),FALSE))),"")</f>
        <v/>
      </c>
      <c r="P963" s="14" t="str">
        <f>IFERROR((VLOOKUP($A963,'[1]import success seats course'!$A:AD,HLOOKUP('[1]Course Totals'!P$4,'[1]import success seats course'!$1:$2,2,FALSE),FALSE)/(VLOOKUP($A963,'[1]import graded seats course pivo'!$A:AN,HLOOKUP('[1]Course Totals'!P$4,'[1]import graded seats course pivo'!$1:$2,2,FALSE),FALSE))),"")</f>
        <v/>
      </c>
      <c r="Q963" s="14" t="str">
        <f>IFERROR((VLOOKUP($A963,'[1]import success seats course'!$A:AE,HLOOKUP('[1]Course Totals'!Q$4,'[1]import success seats course'!$1:$2,2,FALSE),FALSE)/(VLOOKUP($A963,'[1]import graded seats course pivo'!$A:AO,HLOOKUP('[1]Course Totals'!Q$4,'[1]import graded seats course pivo'!$1:$2,2,FALSE),FALSE))),"")</f>
        <v/>
      </c>
      <c r="R963" s="14" t="str">
        <f>IFERROR((VLOOKUP($A963,'[1]import success seats course'!$A:AF,HLOOKUP('[1]Course Totals'!R$4,'[1]import success seats course'!$1:$2,2,FALSE),FALSE)/(VLOOKUP($A963,'[1]import graded seats course pivo'!$A:AP,HLOOKUP('[1]Course Totals'!R$4,'[1]import graded seats course pivo'!$1:$2,2,FALSE),FALSE))),"")</f>
        <v/>
      </c>
      <c r="S963" s="14" t="str">
        <f>IFERROR((VLOOKUP($A963,'[1]import success seats course'!$A:AG,HLOOKUP('[1]Course Totals'!S$4,'[1]import success seats course'!$1:$2,2,FALSE),FALSE)/(VLOOKUP($A963,'[1]import graded seats course pivo'!$A:AQ,HLOOKUP('[1]Course Totals'!S$4,'[1]import graded seats course pivo'!$1:$2,2,FALSE),FALSE))),"")</f>
        <v/>
      </c>
      <c r="Z963" s="7"/>
      <c r="AA963" s="7"/>
      <c r="AB963" s="7"/>
      <c r="AC963" s="7"/>
    </row>
    <row r="964" spans="1:29" ht="15.75" customHeight="1" x14ac:dyDescent="0.25">
      <c r="A964" s="12" t="s">
        <v>461</v>
      </c>
      <c r="B964" s="14">
        <f>IFERROR((VLOOKUP($A964,'[1]import success seats course'!$A:P,HLOOKUP('[1]Course Totals'!B$4,'[1]import success seats course'!$1:$2,2,FALSE),FALSE)/(VLOOKUP($A964,'[1]import graded seats course pivo'!$A:Z,HLOOKUP('[1]Course Totals'!B$4,'[1]import graded seats course pivo'!$1:$2,2,FALSE),FALSE))),"")</f>
        <v>1</v>
      </c>
      <c r="C964" s="14" t="str">
        <f>IFERROR((VLOOKUP($A964,'[1]import success seats course'!$A:Q,HLOOKUP('[1]Course Totals'!C$4,'[1]import success seats course'!$1:$2,2,FALSE),FALSE)/(VLOOKUP($A964,'[1]import graded seats course pivo'!$A:AA,HLOOKUP('[1]Course Totals'!C$4,'[1]import graded seats course pivo'!$1:$2,2,FALSE),FALSE))),"")</f>
        <v/>
      </c>
      <c r="D964" s="14" t="str">
        <f>IFERROR((VLOOKUP($A964,'[1]import success seats course'!$A:R,HLOOKUP('[1]Course Totals'!D$4,'[1]import success seats course'!$1:$2,2,FALSE),FALSE)/(VLOOKUP($A964,'[1]import graded seats course pivo'!$A:AB,HLOOKUP('[1]Course Totals'!D$4,'[1]import graded seats course pivo'!$1:$2,2,FALSE),FALSE))),"")</f>
        <v/>
      </c>
      <c r="E964" s="14" t="str">
        <f>IFERROR((VLOOKUP($A964,'[1]import success seats course'!$A:S,HLOOKUP('[1]Course Totals'!E$4,'[1]import success seats course'!$1:$2,2,FALSE),FALSE)/(VLOOKUP($A964,'[1]import graded seats course pivo'!$A:AC,HLOOKUP('[1]Course Totals'!E$4,'[1]import graded seats course pivo'!$1:$2,2,FALSE),FALSE))),"")</f>
        <v/>
      </c>
      <c r="F964" s="14">
        <f>IFERROR((VLOOKUP($A964,'[1]import success seats course'!$A:T,HLOOKUP('[1]Course Totals'!F$4,'[1]import success seats course'!$1:$2,2,FALSE),FALSE)/(VLOOKUP($A964,'[1]import graded seats course pivo'!$A:AD,HLOOKUP('[1]Course Totals'!F$4,'[1]import graded seats course pivo'!$1:$2,2,FALSE),FALSE))),"")</f>
        <v>1</v>
      </c>
      <c r="G964" s="14" t="str">
        <f>IFERROR((VLOOKUP($A964,'[1]import success seats course'!$A:U,HLOOKUP('[1]Course Totals'!G$4,'[1]import success seats course'!$1:$2,2,FALSE),FALSE)/(VLOOKUP($A964,'[1]import graded seats course pivo'!$A:AE,HLOOKUP('[1]Course Totals'!G$4,'[1]import graded seats course pivo'!$1:$2,2,FALSE),FALSE))),"")</f>
        <v/>
      </c>
      <c r="H964" s="14" t="str">
        <f>IFERROR((VLOOKUP($A964,'[1]import success seats course'!$A:V,HLOOKUP('[1]Course Totals'!H$4,'[1]import success seats course'!$1:$2,2,FALSE),FALSE)/(VLOOKUP($A964,'[1]import graded seats course pivo'!$A:AF,HLOOKUP('[1]Course Totals'!H$4,'[1]import graded seats course pivo'!$1:$2,2,FALSE),FALSE))),"")</f>
        <v/>
      </c>
      <c r="I964" s="14">
        <f>IFERROR((VLOOKUP($A964,'[1]import success seats course'!$A:W,HLOOKUP('[1]Course Totals'!I$4,'[1]import success seats course'!$1:$2,2,FALSE),FALSE)/(VLOOKUP($A964,'[1]import graded seats course pivo'!$A:AG,HLOOKUP('[1]Course Totals'!I$4,'[1]import graded seats course pivo'!$1:$2,2,FALSE),FALSE))),"")</f>
        <v>1</v>
      </c>
      <c r="J964" s="14" t="str">
        <f>IFERROR((VLOOKUP($A964,'[1]import success seats course'!$A:X,HLOOKUP('[1]Course Totals'!J$4,'[1]import success seats course'!$1:$2,2,FALSE),FALSE)/(VLOOKUP($A964,'[1]import graded seats course pivo'!$A:AH,HLOOKUP('[1]Course Totals'!J$4,'[1]import graded seats course pivo'!$1:$2,2,FALSE),FALSE))),"")</f>
        <v/>
      </c>
      <c r="K964" s="14" t="str">
        <f>IFERROR((VLOOKUP($A964,'[1]import success seats course'!$A:Y,HLOOKUP('[1]Course Totals'!K$4,'[1]import success seats course'!$1:$2,2,FALSE),FALSE)/(VLOOKUP($A964,'[1]import graded seats course pivo'!$A:AI,HLOOKUP('[1]Course Totals'!K$4,'[1]import graded seats course pivo'!$1:$2,2,FALSE),FALSE))),"")</f>
        <v/>
      </c>
      <c r="L964" s="14" t="str">
        <f>IFERROR((VLOOKUP($A964,'[1]import success seats course'!$A:Z,HLOOKUP('[1]Course Totals'!L$4,'[1]import success seats course'!$1:$2,2,FALSE),FALSE)/(VLOOKUP($A964,'[1]import graded seats course pivo'!$A:AJ,HLOOKUP('[1]Course Totals'!L$4,'[1]import graded seats course pivo'!$1:$2,2,FALSE),FALSE))),"")</f>
        <v/>
      </c>
      <c r="M964" s="14" t="str">
        <f>IFERROR((VLOOKUP($A964,'[1]import success seats course'!$A:AA,HLOOKUP('[1]Course Totals'!M$4,'[1]import success seats course'!$1:$2,2,FALSE),FALSE)/(VLOOKUP($A964,'[1]import graded seats course pivo'!$A:AK,HLOOKUP('[1]Course Totals'!M$4,'[1]import graded seats course pivo'!$1:$2,2,FALSE),FALSE))),"")</f>
        <v/>
      </c>
      <c r="N964" s="14" t="str">
        <f>IFERROR((VLOOKUP($A964,'[1]import success seats course'!$A:AB,HLOOKUP('[1]Course Totals'!N$4,'[1]import success seats course'!$1:$2,2,FALSE),FALSE)/(VLOOKUP($A964,'[1]import graded seats course pivo'!$A:AL,HLOOKUP('[1]Course Totals'!N$4,'[1]import graded seats course pivo'!$1:$2,2,FALSE),FALSE))),"")</f>
        <v/>
      </c>
      <c r="O964" s="14" t="str">
        <f>IFERROR((VLOOKUP($A964,'[1]import success seats course'!$A:AC,HLOOKUP('[1]Course Totals'!O$4,'[1]import success seats course'!$1:$2,2,FALSE),FALSE)/(VLOOKUP($A964,'[1]import graded seats course pivo'!$A:AM,HLOOKUP('[1]Course Totals'!O$4,'[1]import graded seats course pivo'!$1:$2,2,FALSE),FALSE))),"")</f>
        <v/>
      </c>
      <c r="P964" s="14">
        <f>IFERROR((VLOOKUP($A964,'[1]import success seats course'!$A:AD,HLOOKUP('[1]Course Totals'!P$4,'[1]import success seats course'!$1:$2,2,FALSE),FALSE)/(VLOOKUP($A964,'[1]import graded seats course pivo'!$A:AN,HLOOKUP('[1]Course Totals'!P$4,'[1]import graded seats course pivo'!$1:$2,2,FALSE),FALSE))),"")</f>
        <v>1</v>
      </c>
      <c r="Q964" s="14" t="str">
        <f>IFERROR((VLOOKUP($A964,'[1]import success seats course'!$A:AE,HLOOKUP('[1]Course Totals'!Q$4,'[1]import success seats course'!$1:$2,2,FALSE),FALSE)/(VLOOKUP($A964,'[1]import graded seats course pivo'!$A:AO,HLOOKUP('[1]Course Totals'!Q$4,'[1]import graded seats course pivo'!$1:$2,2,FALSE),FALSE))),"")</f>
        <v/>
      </c>
      <c r="R964" s="14" t="str">
        <f>IFERROR((VLOOKUP($A964,'[1]import success seats course'!$A:AF,HLOOKUP('[1]Course Totals'!R$4,'[1]import success seats course'!$1:$2,2,FALSE),FALSE)/(VLOOKUP($A964,'[1]import graded seats course pivo'!$A:AP,HLOOKUP('[1]Course Totals'!R$4,'[1]import graded seats course pivo'!$1:$2,2,FALSE),FALSE))),"")</f>
        <v/>
      </c>
      <c r="S964" s="14" t="str">
        <f>IFERROR((VLOOKUP($A964,'[1]import success seats course'!$A:AG,HLOOKUP('[1]Course Totals'!S$4,'[1]import success seats course'!$1:$2,2,FALSE),FALSE)/(VLOOKUP($A964,'[1]import graded seats course pivo'!$A:AQ,HLOOKUP('[1]Course Totals'!S$4,'[1]import graded seats course pivo'!$1:$2,2,FALSE),FALSE))),"")</f>
        <v/>
      </c>
      <c r="Z964" s="7"/>
      <c r="AA964" s="7"/>
      <c r="AB964" s="7"/>
      <c r="AC964" s="7"/>
    </row>
    <row r="965" spans="1:29" ht="15.75" x14ac:dyDescent="0.25">
      <c r="A965" s="9" t="s">
        <v>1139</v>
      </c>
      <c r="B965" s="67" t="str">
        <f>'[1]Subject TOTALS'!$B$1:$P$1</f>
        <v xml:space="preserve">MVC Retention Rates </v>
      </c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Z965" s="7"/>
      <c r="AA965" s="7"/>
      <c r="AB965" s="7"/>
      <c r="AC965" s="7"/>
    </row>
    <row r="966" spans="1:29" ht="15.75" customHeight="1" thickBot="1" x14ac:dyDescent="0.3">
      <c r="A966" s="8" t="str">
        <f>'[1]SUBJECTS BASE'!H54</f>
        <v>PEIC</v>
      </c>
      <c r="B966" s="38" t="s">
        <v>1046</v>
      </c>
      <c r="C966" s="39" t="s">
        <v>0</v>
      </c>
      <c r="D966" s="40" t="s">
        <v>868</v>
      </c>
      <c r="E966" s="41" t="s">
        <v>1052</v>
      </c>
      <c r="F966" s="42" t="s">
        <v>546</v>
      </c>
      <c r="G966" s="43" t="s">
        <v>959</v>
      </c>
      <c r="H966" s="44" t="s">
        <v>1060</v>
      </c>
      <c r="I966" s="39" t="s">
        <v>675</v>
      </c>
      <c r="J966" s="45" t="s">
        <v>1006</v>
      </c>
      <c r="K966" s="46" t="s">
        <v>1062</v>
      </c>
      <c r="L966" s="42" t="s">
        <v>762</v>
      </c>
      <c r="M966" s="43" t="s">
        <v>1022</v>
      </c>
      <c r="N966" s="44" t="s">
        <v>1063</v>
      </c>
      <c r="O966" s="39" t="s">
        <v>822</v>
      </c>
      <c r="P966" s="40" t="s">
        <v>1042</v>
      </c>
      <c r="Q966" s="46" t="s">
        <v>1153</v>
      </c>
      <c r="R966" s="42" t="s">
        <v>1154</v>
      </c>
      <c r="S966" s="43" t="s">
        <v>1155</v>
      </c>
      <c r="Z966" s="7"/>
      <c r="AA966" s="7"/>
      <c r="AB966" s="7"/>
      <c r="AC966" s="7"/>
    </row>
    <row r="967" spans="1:29" ht="15.75" customHeight="1" x14ac:dyDescent="0.25">
      <c r="A967" s="12" t="s">
        <v>860</v>
      </c>
      <c r="B967" s="14" t="str">
        <f>IFERROR((VLOOKUP($A967,'[1]import success seats course'!$A:P,HLOOKUP('[1]Course Totals'!B$4,'[1]import success seats course'!$1:$2,2,FALSE),FALSE)/(VLOOKUP($A967,'[1]import graded seats course pivo'!$A:Z,HLOOKUP('[1]Course Totals'!B$4,'[1]import graded seats course pivo'!$1:$2,2,FALSE),FALSE))),"")</f>
        <v/>
      </c>
      <c r="C967" s="14" t="str">
        <f>IFERROR((VLOOKUP($A967,'[1]import success seats course'!$A:Q,HLOOKUP('[1]Course Totals'!C$4,'[1]import success seats course'!$1:$2,2,FALSE),FALSE)/(VLOOKUP($A967,'[1]import graded seats course pivo'!$A:AA,HLOOKUP('[1]Course Totals'!C$4,'[1]import graded seats course pivo'!$1:$2,2,FALSE),FALSE))),"")</f>
        <v/>
      </c>
      <c r="D967" s="14" t="str">
        <f>IFERROR((VLOOKUP($A967,'[1]import success seats course'!$A:R,HLOOKUP('[1]Course Totals'!D$4,'[1]import success seats course'!$1:$2,2,FALSE),FALSE)/(VLOOKUP($A967,'[1]import graded seats course pivo'!$A:AB,HLOOKUP('[1]Course Totals'!D$4,'[1]import graded seats course pivo'!$1:$2,2,FALSE),FALSE))),"")</f>
        <v/>
      </c>
      <c r="E967" s="14" t="str">
        <f>IFERROR((VLOOKUP($A967,'[1]import success seats course'!$A:S,HLOOKUP('[1]Course Totals'!E$4,'[1]import success seats course'!$1:$2,2,FALSE),FALSE)/(VLOOKUP($A967,'[1]import graded seats course pivo'!$A:AC,HLOOKUP('[1]Course Totals'!E$4,'[1]import graded seats course pivo'!$1:$2,2,FALSE),FALSE))),"")</f>
        <v/>
      </c>
      <c r="F967" s="14" t="str">
        <f>IFERROR((VLOOKUP($A967,'[1]import success seats course'!$A:T,HLOOKUP('[1]Course Totals'!F$4,'[1]import success seats course'!$1:$2,2,FALSE),FALSE)/(VLOOKUP($A967,'[1]import graded seats course pivo'!$A:AD,HLOOKUP('[1]Course Totals'!F$4,'[1]import graded seats course pivo'!$1:$2,2,FALSE),FALSE))),"")</f>
        <v/>
      </c>
      <c r="G967" s="14" t="str">
        <f>IFERROR((VLOOKUP($A967,'[1]import success seats course'!$A:U,HLOOKUP('[1]Course Totals'!G$4,'[1]import success seats course'!$1:$2,2,FALSE),FALSE)/(VLOOKUP($A967,'[1]import graded seats course pivo'!$A:AE,HLOOKUP('[1]Course Totals'!G$4,'[1]import graded seats course pivo'!$1:$2,2,FALSE),FALSE))),"")</f>
        <v/>
      </c>
      <c r="H967" s="14" t="str">
        <f>IFERROR((VLOOKUP($A967,'[1]import success seats course'!$A:V,HLOOKUP('[1]Course Totals'!H$4,'[1]import success seats course'!$1:$2,2,FALSE),FALSE)/(VLOOKUP($A967,'[1]import graded seats course pivo'!$A:AF,HLOOKUP('[1]Course Totals'!H$4,'[1]import graded seats course pivo'!$1:$2,2,FALSE),FALSE))),"")</f>
        <v/>
      </c>
      <c r="I967" s="14" t="str">
        <f>IFERROR((VLOOKUP($A967,'[1]import success seats course'!$A:W,HLOOKUP('[1]Course Totals'!I$4,'[1]import success seats course'!$1:$2,2,FALSE),FALSE)/(VLOOKUP($A967,'[1]import graded seats course pivo'!$A:AG,HLOOKUP('[1]Course Totals'!I$4,'[1]import graded seats course pivo'!$1:$2,2,FALSE),FALSE))),"")</f>
        <v/>
      </c>
      <c r="J967" s="14" t="str">
        <f>IFERROR((VLOOKUP($A967,'[1]import success seats course'!$A:X,HLOOKUP('[1]Course Totals'!J$4,'[1]import success seats course'!$1:$2,2,FALSE),FALSE)/(VLOOKUP($A967,'[1]import graded seats course pivo'!$A:AH,HLOOKUP('[1]Course Totals'!J$4,'[1]import graded seats course pivo'!$1:$2,2,FALSE),FALSE))),"")</f>
        <v/>
      </c>
      <c r="K967" s="14" t="str">
        <f>IFERROR((VLOOKUP($A967,'[1]import success seats course'!$A:Y,HLOOKUP('[1]Course Totals'!K$4,'[1]import success seats course'!$1:$2,2,FALSE),FALSE)/(VLOOKUP($A967,'[1]import graded seats course pivo'!$A:AI,HLOOKUP('[1]Course Totals'!K$4,'[1]import graded seats course pivo'!$1:$2,2,FALSE),FALSE))),"")</f>
        <v/>
      </c>
      <c r="L967" s="14" t="str">
        <f>IFERROR((VLOOKUP($A967,'[1]import success seats course'!$A:Z,HLOOKUP('[1]Course Totals'!L$4,'[1]import success seats course'!$1:$2,2,FALSE),FALSE)/(VLOOKUP($A967,'[1]import graded seats course pivo'!$A:AJ,HLOOKUP('[1]Course Totals'!L$4,'[1]import graded seats course pivo'!$1:$2,2,FALSE),FALSE))),"")</f>
        <v/>
      </c>
      <c r="M967" s="14" t="str">
        <f>IFERROR((VLOOKUP($A967,'[1]import success seats course'!$A:AA,HLOOKUP('[1]Course Totals'!M$4,'[1]import success seats course'!$1:$2,2,FALSE),FALSE)/(VLOOKUP($A967,'[1]import graded seats course pivo'!$A:AK,HLOOKUP('[1]Course Totals'!M$4,'[1]import graded seats course pivo'!$1:$2,2,FALSE),FALSE))),"")</f>
        <v/>
      </c>
      <c r="N967" s="14">
        <f>IFERROR((VLOOKUP($A967,'[1]import success seats course'!$A:AB,HLOOKUP('[1]Course Totals'!N$4,'[1]import success seats course'!$1:$2,2,FALSE),FALSE)/(VLOOKUP($A967,'[1]import graded seats course pivo'!$A:AL,HLOOKUP('[1]Course Totals'!N$4,'[1]import graded seats course pivo'!$1:$2,2,FALSE),FALSE))),"")</f>
        <v>1</v>
      </c>
      <c r="O967" s="14">
        <f>IFERROR((VLOOKUP($A967,'[1]import success seats course'!$A:AC,HLOOKUP('[1]Course Totals'!O$4,'[1]import success seats course'!$1:$2,2,FALSE),FALSE)/(VLOOKUP($A967,'[1]import graded seats course pivo'!$A:AM,HLOOKUP('[1]Course Totals'!O$4,'[1]import graded seats course pivo'!$1:$2,2,FALSE),FALSE))),"")</f>
        <v>1</v>
      </c>
      <c r="P967" s="14" t="str">
        <f>IFERROR((VLOOKUP($A967,'[1]import success seats course'!$A:AD,HLOOKUP('[1]Course Totals'!P$4,'[1]import success seats course'!$1:$2,2,FALSE),FALSE)/(VLOOKUP($A967,'[1]import graded seats course pivo'!$A:AN,HLOOKUP('[1]Course Totals'!P$4,'[1]import graded seats course pivo'!$1:$2,2,FALSE),FALSE))),"")</f>
        <v/>
      </c>
      <c r="Q967" s="14">
        <f>IFERROR((VLOOKUP($A967,'[1]import success seats course'!$A:AE,HLOOKUP('[1]Course Totals'!Q$4,'[1]import success seats course'!$1:$2,2,FALSE),FALSE)/(VLOOKUP($A967,'[1]import graded seats course pivo'!$A:AO,HLOOKUP('[1]Course Totals'!Q$4,'[1]import graded seats course pivo'!$1:$2,2,FALSE),FALSE))),"")</f>
        <v>0.91666666666666663</v>
      </c>
      <c r="R967" s="14">
        <f>IFERROR((VLOOKUP($A967,'[1]import success seats course'!$A:AF,HLOOKUP('[1]Course Totals'!R$4,'[1]import success seats course'!$1:$2,2,FALSE),FALSE)/(VLOOKUP($A967,'[1]import graded seats course pivo'!$A:AP,HLOOKUP('[1]Course Totals'!R$4,'[1]import graded seats course pivo'!$1:$2,2,FALSE),FALSE))),"")</f>
        <v>1</v>
      </c>
      <c r="S967" s="14" t="str">
        <f>IFERROR((VLOOKUP($A967,'[1]import success seats course'!$A:AG,HLOOKUP('[1]Course Totals'!S$4,'[1]import success seats course'!$1:$2,2,FALSE),FALSE)/(VLOOKUP($A967,'[1]import graded seats course pivo'!$A:AQ,HLOOKUP('[1]Course Totals'!S$4,'[1]import graded seats course pivo'!$1:$2,2,FALSE),FALSE))),"")</f>
        <v/>
      </c>
      <c r="Z967" s="7"/>
      <c r="AA967" s="7"/>
      <c r="AB967" s="7"/>
      <c r="AC967" s="7"/>
    </row>
    <row r="968" spans="1:29" ht="15.75" customHeight="1" x14ac:dyDescent="0.25">
      <c r="A968" s="12" t="s">
        <v>862</v>
      </c>
      <c r="B968" s="14" t="str">
        <f>IFERROR((VLOOKUP($A968,'[1]import success seats course'!$A:P,HLOOKUP('[1]Course Totals'!B$4,'[1]import success seats course'!$1:$2,2,FALSE),FALSE)/(VLOOKUP($A968,'[1]import graded seats course pivo'!$A:Z,HLOOKUP('[1]Course Totals'!B$4,'[1]import graded seats course pivo'!$1:$2,2,FALSE),FALSE))),"")</f>
        <v/>
      </c>
      <c r="C968" s="14" t="str">
        <f>IFERROR((VLOOKUP($A968,'[1]import success seats course'!$A:Q,HLOOKUP('[1]Course Totals'!C$4,'[1]import success seats course'!$1:$2,2,FALSE),FALSE)/(VLOOKUP($A968,'[1]import graded seats course pivo'!$A:AA,HLOOKUP('[1]Course Totals'!C$4,'[1]import graded seats course pivo'!$1:$2,2,FALSE),FALSE))),"")</f>
        <v/>
      </c>
      <c r="D968" s="14" t="str">
        <f>IFERROR((VLOOKUP($A968,'[1]import success seats course'!$A:R,HLOOKUP('[1]Course Totals'!D$4,'[1]import success seats course'!$1:$2,2,FALSE),FALSE)/(VLOOKUP($A968,'[1]import graded seats course pivo'!$A:AB,HLOOKUP('[1]Course Totals'!D$4,'[1]import graded seats course pivo'!$1:$2,2,FALSE),FALSE))),"")</f>
        <v/>
      </c>
      <c r="E968" s="14" t="str">
        <f>IFERROR((VLOOKUP($A968,'[1]import success seats course'!$A:S,HLOOKUP('[1]Course Totals'!E$4,'[1]import success seats course'!$1:$2,2,FALSE),FALSE)/(VLOOKUP($A968,'[1]import graded seats course pivo'!$A:AC,HLOOKUP('[1]Course Totals'!E$4,'[1]import graded seats course pivo'!$1:$2,2,FALSE),FALSE))),"")</f>
        <v/>
      </c>
      <c r="F968" s="14" t="str">
        <f>IFERROR((VLOOKUP($A968,'[1]import success seats course'!$A:T,HLOOKUP('[1]Course Totals'!F$4,'[1]import success seats course'!$1:$2,2,FALSE),FALSE)/(VLOOKUP($A968,'[1]import graded seats course pivo'!$A:AD,HLOOKUP('[1]Course Totals'!F$4,'[1]import graded seats course pivo'!$1:$2,2,FALSE),FALSE))),"")</f>
        <v/>
      </c>
      <c r="G968" s="14" t="str">
        <f>IFERROR((VLOOKUP($A968,'[1]import success seats course'!$A:U,HLOOKUP('[1]Course Totals'!G$4,'[1]import success seats course'!$1:$2,2,FALSE),FALSE)/(VLOOKUP($A968,'[1]import graded seats course pivo'!$A:AE,HLOOKUP('[1]Course Totals'!G$4,'[1]import graded seats course pivo'!$1:$2,2,FALSE),FALSE))),"")</f>
        <v/>
      </c>
      <c r="H968" s="14" t="str">
        <f>IFERROR((VLOOKUP($A968,'[1]import success seats course'!$A:V,HLOOKUP('[1]Course Totals'!H$4,'[1]import success seats course'!$1:$2,2,FALSE),FALSE)/(VLOOKUP($A968,'[1]import graded seats course pivo'!$A:AF,HLOOKUP('[1]Course Totals'!H$4,'[1]import graded seats course pivo'!$1:$2,2,FALSE),FALSE))),"")</f>
        <v/>
      </c>
      <c r="I968" s="14" t="str">
        <f>IFERROR((VLOOKUP($A968,'[1]import success seats course'!$A:W,HLOOKUP('[1]Course Totals'!I$4,'[1]import success seats course'!$1:$2,2,FALSE),FALSE)/(VLOOKUP($A968,'[1]import graded seats course pivo'!$A:AG,HLOOKUP('[1]Course Totals'!I$4,'[1]import graded seats course pivo'!$1:$2,2,FALSE),FALSE))),"")</f>
        <v/>
      </c>
      <c r="J968" s="14" t="str">
        <f>IFERROR((VLOOKUP($A968,'[1]import success seats course'!$A:X,HLOOKUP('[1]Course Totals'!J$4,'[1]import success seats course'!$1:$2,2,FALSE),FALSE)/(VLOOKUP($A968,'[1]import graded seats course pivo'!$A:AH,HLOOKUP('[1]Course Totals'!J$4,'[1]import graded seats course pivo'!$1:$2,2,FALSE),FALSE))),"")</f>
        <v/>
      </c>
      <c r="K968" s="14" t="str">
        <f>IFERROR((VLOOKUP($A968,'[1]import success seats course'!$A:Y,HLOOKUP('[1]Course Totals'!K$4,'[1]import success seats course'!$1:$2,2,FALSE),FALSE)/(VLOOKUP($A968,'[1]import graded seats course pivo'!$A:AI,HLOOKUP('[1]Course Totals'!K$4,'[1]import graded seats course pivo'!$1:$2,2,FALSE),FALSE))),"")</f>
        <v/>
      </c>
      <c r="L968" s="14" t="str">
        <f>IFERROR((VLOOKUP($A968,'[1]import success seats course'!$A:Z,HLOOKUP('[1]Course Totals'!L$4,'[1]import success seats course'!$1:$2,2,FALSE),FALSE)/(VLOOKUP($A968,'[1]import graded seats course pivo'!$A:AJ,HLOOKUP('[1]Course Totals'!L$4,'[1]import graded seats course pivo'!$1:$2,2,FALSE),FALSE))),"")</f>
        <v/>
      </c>
      <c r="M968" s="14" t="str">
        <f>IFERROR((VLOOKUP($A968,'[1]import success seats course'!$A:AA,HLOOKUP('[1]Course Totals'!M$4,'[1]import success seats course'!$1:$2,2,FALSE),FALSE)/(VLOOKUP($A968,'[1]import graded seats course pivo'!$A:AK,HLOOKUP('[1]Course Totals'!M$4,'[1]import graded seats course pivo'!$1:$2,2,FALSE),FALSE))),"")</f>
        <v/>
      </c>
      <c r="N968" s="14" t="str">
        <f>IFERROR((VLOOKUP($A968,'[1]import success seats course'!$A:AB,HLOOKUP('[1]Course Totals'!N$4,'[1]import success seats course'!$1:$2,2,FALSE),FALSE)/(VLOOKUP($A968,'[1]import graded seats course pivo'!$A:AL,HLOOKUP('[1]Course Totals'!N$4,'[1]import graded seats course pivo'!$1:$2,2,FALSE),FALSE))),"")</f>
        <v/>
      </c>
      <c r="O968" s="14">
        <f>IFERROR((VLOOKUP($A968,'[1]import success seats course'!$A:AC,HLOOKUP('[1]Course Totals'!O$4,'[1]import success seats course'!$1:$2,2,FALSE),FALSE)/(VLOOKUP($A968,'[1]import graded seats course pivo'!$A:AM,HLOOKUP('[1]Course Totals'!O$4,'[1]import graded seats course pivo'!$1:$2,2,FALSE),FALSE))),"")</f>
        <v>1</v>
      </c>
      <c r="P968" s="14">
        <f>IFERROR((VLOOKUP($A968,'[1]import success seats course'!$A:AD,HLOOKUP('[1]Course Totals'!P$4,'[1]import success seats course'!$1:$2,2,FALSE),FALSE)/(VLOOKUP($A968,'[1]import graded seats course pivo'!$A:AN,HLOOKUP('[1]Course Totals'!P$4,'[1]import graded seats course pivo'!$1:$2,2,FALSE),FALSE))),"")</f>
        <v>1</v>
      </c>
      <c r="Q968" s="14" t="str">
        <f>IFERROR((VLOOKUP($A968,'[1]import success seats course'!$A:AE,HLOOKUP('[1]Course Totals'!Q$4,'[1]import success seats course'!$1:$2,2,FALSE),FALSE)/(VLOOKUP($A968,'[1]import graded seats course pivo'!$A:AO,HLOOKUP('[1]Course Totals'!Q$4,'[1]import graded seats course pivo'!$1:$2,2,FALSE),FALSE))),"")</f>
        <v/>
      </c>
      <c r="R968" s="14" t="str">
        <f>IFERROR((VLOOKUP($A968,'[1]import success seats course'!$A:AF,HLOOKUP('[1]Course Totals'!R$4,'[1]import success seats course'!$1:$2,2,FALSE),FALSE)/(VLOOKUP($A968,'[1]import graded seats course pivo'!$A:AP,HLOOKUP('[1]Course Totals'!R$4,'[1]import graded seats course pivo'!$1:$2,2,FALSE),FALSE))),"")</f>
        <v/>
      </c>
      <c r="S968" s="14" t="str">
        <f>IFERROR((VLOOKUP($A968,'[1]import success seats course'!$A:AG,HLOOKUP('[1]Course Totals'!S$4,'[1]import success seats course'!$1:$2,2,FALSE),FALSE)/(VLOOKUP($A968,'[1]import graded seats course pivo'!$A:AQ,HLOOKUP('[1]Course Totals'!S$4,'[1]import graded seats course pivo'!$1:$2,2,FALSE),FALSE))),"")</f>
        <v/>
      </c>
      <c r="Z968" s="7"/>
      <c r="AA968" s="7"/>
      <c r="AB968" s="7"/>
      <c r="AC968" s="7"/>
    </row>
    <row r="969" spans="1:29" ht="15.75" customHeight="1" x14ac:dyDescent="0.25">
      <c r="A969" s="12" t="s">
        <v>1064</v>
      </c>
      <c r="B969" s="14" t="str">
        <f>IFERROR((VLOOKUP($A969,'[1]import success seats course'!$A:P,HLOOKUP('[1]Course Totals'!B$4,'[1]import success seats course'!$1:$2,2,FALSE),FALSE)/(VLOOKUP($A969,'[1]import graded seats course pivo'!$A:Z,HLOOKUP('[1]Course Totals'!B$4,'[1]import graded seats course pivo'!$1:$2,2,FALSE),FALSE))),"")</f>
        <v/>
      </c>
      <c r="C969" s="14" t="str">
        <f>IFERROR((VLOOKUP($A969,'[1]import success seats course'!$A:Q,HLOOKUP('[1]Course Totals'!C$4,'[1]import success seats course'!$1:$2,2,FALSE),FALSE)/(VLOOKUP($A969,'[1]import graded seats course pivo'!$A:AA,HLOOKUP('[1]Course Totals'!C$4,'[1]import graded seats course pivo'!$1:$2,2,FALSE),FALSE))),"")</f>
        <v/>
      </c>
      <c r="D969" s="14" t="str">
        <f>IFERROR((VLOOKUP($A969,'[1]import success seats course'!$A:R,HLOOKUP('[1]Course Totals'!D$4,'[1]import success seats course'!$1:$2,2,FALSE),FALSE)/(VLOOKUP($A969,'[1]import graded seats course pivo'!$A:AB,HLOOKUP('[1]Course Totals'!D$4,'[1]import graded seats course pivo'!$1:$2,2,FALSE),FALSE))),"")</f>
        <v/>
      </c>
      <c r="E969" s="14" t="str">
        <f>IFERROR((VLOOKUP($A969,'[1]import success seats course'!$A:S,HLOOKUP('[1]Course Totals'!E$4,'[1]import success seats course'!$1:$2,2,FALSE),FALSE)/(VLOOKUP($A969,'[1]import graded seats course pivo'!$A:AC,HLOOKUP('[1]Course Totals'!E$4,'[1]import graded seats course pivo'!$1:$2,2,FALSE),FALSE))),"")</f>
        <v/>
      </c>
      <c r="F969" s="14" t="str">
        <f>IFERROR((VLOOKUP($A969,'[1]import success seats course'!$A:T,HLOOKUP('[1]Course Totals'!F$4,'[1]import success seats course'!$1:$2,2,FALSE),FALSE)/(VLOOKUP($A969,'[1]import graded seats course pivo'!$A:AD,HLOOKUP('[1]Course Totals'!F$4,'[1]import graded seats course pivo'!$1:$2,2,FALSE),FALSE))),"")</f>
        <v/>
      </c>
      <c r="G969" s="14" t="str">
        <f>IFERROR((VLOOKUP($A969,'[1]import success seats course'!$A:U,HLOOKUP('[1]Course Totals'!G$4,'[1]import success seats course'!$1:$2,2,FALSE),FALSE)/(VLOOKUP($A969,'[1]import graded seats course pivo'!$A:AE,HLOOKUP('[1]Course Totals'!G$4,'[1]import graded seats course pivo'!$1:$2,2,FALSE),FALSE))),"")</f>
        <v/>
      </c>
      <c r="H969" s="14" t="str">
        <f>IFERROR((VLOOKUP($A969,'[1]import success seats course'!$A:V,HLOOKUP('[1]Course Totals'!H$4,'[1]import success seats course'!$1:$2,2,FALSE),FALSE)/(VLOOKUP($A969,'[1]import graded seats course pivo'!$A:AF,HLOOKUP('[1]Course Totals'!H$4,'[1]import graded seats course pivo'!$1:$2,2,FALSE),FALSE))),"")</f>
        <v/>
      </c>
      <c r="I969" s="14" t="str">
        <f>IFERROR((VLOOKUP($A969,'[1]import success seats course'!$A:W,HLOOKUP('[1]Course Totals'!I$4,'[1]import success seats course'!$1:$2,2,FALSE),FALSE)/(VLOOKUP($A969,'[1]import graded seats course pivo'!$A:AG,HLOOKUP('[1]Course Totals'!I$4,'[1]import graded seats course pivo'!$1:$2,2,FALSE),FALSE))),"")</f>
        <v/>
      </c>
      <c r="J969" s="14" t="str">
        <f>IFERROR((VLOOKUP($A969,'[1]import success seats course'!$A:X,HLOOKUP('[1]Course Totals'!J$4,'[1]import success seats course'!$1:$2,2,FALSE),FALSE)/(VLOOKUP($A969,'[1]import graded seats course pivo'!$A:AH,HLOOKUP('[1]Course Totals'!J$4,'[1]import graded seats course pivo'!$1:$2,2,FALSE),FALSE))),"")</f>
        <v/>
      </c>
      <c r="K969" s="14" t="str">
        <f>IFERROR((VLOOKUP($A969,'[1]import success seats course'!$A:Y,HLOOKUP('[1]Course Totals'!K$4,'[1]import success seats course'!$1:$2,2,FALSE),FALSE)/(VLOOKUP($A969,'[1]import graded seats course pivo'!$A:AI,HLOOKUP('[1]Course Totals'!K$4,'[1]import graded seats course pivo'!$1:$2,2,FALSE),FALSE))),"")</f>
        <v/>
      </c>
      <c r="L969" s="14" t="str">
        <f>IFERROR((VLOOKUP($A969,'[1]import success seats course'!$A:Z,HLOOKUP('[1]Course Totals'!L$4,'[1]import success seats course'!$1:$2,2,FALSE),FALSE)/(VLOOKUP($A969,'[1]import graded seats course pivo'!$A:AJ,HLOOKUP('[1]Course Totals'!L$4,'[1]import graded seats course pivo'!$1:$2,2,FALSE),FALSE))),"")</f>
        <v/>
      </c>
      <c r="M969" s="14" t="str">
        <f>IFERROR((VLOOKUP($A969,'[1]import success seats course'!$A:AA,HLOOKUP('[1]Course Totals'!M$4,'[1]import success seats course'!$1:$2,2,FALSE),FALSE)/(VLOOKUP($A969,'[1]import graded seats course pivo'!$A:AK,HLOOKUP('[1]Course Totals'!M$4,'[1]import graded seats course pivo'!$1:$2,2,FALSE),FALSE))),"")</f>
        <v/>
      </c>
      <c r="N969" s="14" t="str">
        <f>IFERROR((VLOOKUP($A969,'[1]import success seats course'!$A:AB,HLOOKUP('[1]Course Totals'!N$4,'[1]import success seats course'!$1:$2,2,FALSE),FALSE)/(VLOOKUP($A969,'[1]import graded seats course pivo'!$A:AL,HLOOKUP('[1]Course Totals'!N$4,'[1]import graded seats course pivo'!$1:$2,2,FALSE),FALSE))),"")</f>
        <v/>
      </c>
      <c r="O969" s="14" t="str">
        <f>IFERROR((VLOOKUP($A969,'[1]import success seats course'!$A:AC,HLOOKUP('[1]Course Totals'!O$4,'[1]import success seats course'!$1:$2,2,FALSE),FALSE)/(VLOOKUP($A969,'[1]import graded seats course pivo'!$A:AM,HLOOKUP('[1]Course Totals'!O$4,'[1]import graded seats course pivo'!$1:$2,2,FALSE),FALSE))),"")</f>
        <v/>
      </c>
      <c r="P969" s="14">
        <f>IFERROR((VLOOKUP($A969,'[1]import success seats course'!$A:AD,HLOOKUP('[1]Course Totals'!P$4,'[1]import success seats course'!$1:$2,2,FALSE),FALSE)/(VLOOKUP($A969,'[1]import graded seats course pivo'!$A:AN,HLOOKUP('[1]Course Totals'!P$4,'[1]import graded seats course pivo'!$1:$2,2,FALSE),FALSE))),"")</f>
        <v>0.9</v>
      </c>
      <c r="Q969" s="14">
        <f>IFERROR((VLOOKUP($A969,'[1]import success seats course'!$A:AE,HLOOKUP('[1]Course Totals'!Q$4,'[1]import success seats course'!$1:$2,2,FALSE),FALSE)/(VLOOKUP($A969,'[1]import graded seats course pivo'!$A:AO,HLOOKUP('[1]Course Totals'!Q$4,'[1]import graded seats course pivo'!$1:$2,2,FALSE),FALSE))),"")</f>
        <v>1</v>
      </c>
      <c r="R969" s="14" t="str">
        <f>IFERROR((VLOOKUP($A969,'[1]import success seats course'!$A:AF,HLOOKUP('[1]Course Totals'!R$4,'[1]import success seats course'!$1:$2,2,FALSE),FALSE)/(VLOOKUP($A969,'[1]import graded seats course pivo'!$A:AP,HLOOKUP('[1]Course Totals'!R$4,'[1]import graded seats course pivo'!$1:$2,2,FALSE),FALSE))),"")</f>
        <v/>
      </c>
      <c r="S969" s="14" t="str">
        <f>IFERROR((VLOOKUP($A969,'[1]import success seats course'!$A:AG,HLOOKUP('[1]Course Totals'!S$4,'[1]import success seats course'!$1:$2,2,FALSE),FALSE)/(VLOOKUP($A969,'[1]import graded seats course pivo'!$A:AQ,HLOOKUP('[1]Course Totals'!S$4,'[1]import graded seats course pivo'!$1:$2,2,FALSE),FALSE))),"")</f>
        <v/>
      </c>
      <c r="Z969" s="7"/>
      <c r="AA969" s="7"/>
      <c r="AB969" s="7"/>
      <c r="AC969" s="7"/>
    </row>
    <row r="970" spans="1:29" ht="15.75" customHeight="1" thickBot="1" x14ac:dyDescent="0.3">
      <c r="A970" s="8" t="str">
        <f>'[1]SUBJECTS BASE'!H55</f>
        <v>Philosophy</v>
      </c>
      <c r="B970" s="38" t="s">
        <v>1046</v>
      </c>
      <c r="C970" s="39" t="s">
        <v>0</v>
      </c>
      <c r="D970" s="40" t="s">
        <v>868</v>
      </c>
      <c r="E970" s="41" t="s">
        <v>1052</v>
      </c>
      <c r="F970" s="42" t="s">
        <v>546</v>
      </c>
      <c r="G970" s="43" t="s">
        <v>959</v>
      </c>
      <c r="H970" s="44" t="s">
        <v>1060</v>
      </c>
      <c r="I970" s="39" t="s">
        <v>675</v>
      </c>
      <c r="J970" s="45" t="s">
        <v>1006</v>
      </c>
      <c r="K970" s="46" t="s">
        <v>1062</v>
      </c>
      <c r="L970" s="42" t="s">
        <v>762</v>
      </c>
      <c r="M970" s="43" t="s">
        <v>1022</v>
      </c>
      <c r="N970" s="44" t="s">
        <v>1063</v>
      </c>
      <c r="O970" s="39" t="s">
        <v>822</v>
      </c>
      <c r="P970" s="40" t="s">
        <v>1042</v>
      </c>
      <c r="Q970" s="46" t="s">
        <v>1153</v>
      </c>
      <c r="R970" s="42" t="s">
        <v>1154</v>
      </c>
      <c r="S970" s="43" t="s">
        <v>1155</v>
      </c>
      <c r="Z970" s="7"/>
      <c r="AA970" s="7"/>
      <c r="AB970" s="7"/>
      <c r="AC970" s="7"/>
    </row>
    <row r="971" spans="1:29" ht="15.75" customHeight="1" x14ac:dyDescent="0.25">
      <c r="A971" s="12" t="s">
        <v>462</v>
      </c>
      <c r="B971" s="14">
        <f>IFERROR((VLOOKUP($A971,'[1]import success seats course'!$A:P,HLOOKUP('[1]Course Totals'!B$4,'[1]import success seats course'!$1:$2,2,FALSE),FALSE)/(VLOOKUP($A971,'[1]import graded seats course pivo'!$A:Z,HLOOKUP('[1]Course Totals'!B$4,'[1]import graded seats course pivo'!$1:$2,2,FALSE),FALSE))),"")</f>
        <v>1</v>
      </c>
      <c r="C971" s="14">
        <f>IFERROR((VLOOKUP($A971,'[1]import success seats course'!$A:Q,HLOOKUP('[1]Course Totals'!C$4,'[1]import success seats course'!$1:$2,2,FALSE),FALSE)/(VLOOKUP($A971,'[1]import graded seats course pivo'!$A:AA,HLOOKUP('[1]Course Totals'!C$4,'[1]import graded seats course pivo'!$1:$2,2,FALSE),FALSE))),"")</f>
        <v>0.94117647058823528</v>
      </c>
      <c r="D971" s="14">
        <f>IFERROR((VLOOKUP($A971,'[1]import success seats course'!$A:R,HLOOKUP('[1]Course Totals'!D$4,'[1]import success seats course'!$1:$2,2,FALSE),FALSE)/(VLOOKUP($A971,'[1]import graded seats course pivo'!$A:AB,HLOOKUP('[1]Course Totals'!D$4,'[1]import graded seats course pivo'!$1:$2,2,FALSE),FALSE))),"")</f>
        <v>0.83870967741935487</v>
      </c>
      <c r="E971" s="14">
        <f>IFERROR((VLOOKUP($A971,'[1]import success seats course'!$A:S,HLOOKUP('[1]Course Totals'!E$4,'[1]import success seats course'!$1:$2,2,FALSE),FALSE)/(VLOOKUP($A971,'[1]import graded seats course pivo'!$A:AC,HLOOKUP('[1]Course Totals'!E$4,'[1]import graded seats course pivo'!$1:$2,2,FALSE),FALSE))),"")</f>
        <v>0.95238095238095233</v>
      </c>
      <c r="F971" s="14">
        <f>IFERROR((VLOOKUP($A971,'[1]import success seats course'!$A:T,HLOOKUP('[1]Course Totals'!F$4,'[1]import success seats course'!$1:$2,2,FALSE),FALSE)/(VLOOKUP($A971,'[1]import graded seats course pivo'!$A:AD,HLOOKUP('[1]Course Totals'!F$4,'[1]import graded seats course pivo'!$1:$2,2,FALSE),FALSE))),"")</f>
        <v>0.93197278911564629</v>
      </c>
      <c r="G971" s="14">
        <f>IFERROR((VLOOKUP($A971,'[1]import success seats course'!$A:U,HLOOKUP('[1]Course Totals'!G$4,'[1]import success seats course'!$1:$2,2,FALSE),FALSE)/(VLOOKUP($A971,'[1]import graded seats course pivo'!$A:AE,HLOOKUP('[1]Course Totals'!G$4,'[1]import graded seats course pivo'!$1:$2,2,FALSE),FALSE))),"")</f>
        <v>0.90909090909090906</v>
      </c>
      <c r="H971" s="14" t="str">
        <f>IFERROR((VLOOKUP($A971,'[1]import success seats course'!$A:V,HLOOKUP('[1]Course Totals'!H$4,'[1]import success seats course'!$1:$2,2,FALSE),FALSE)/(VLOOKUP($A971,'[1]import graded seats course pivo'!$A:AF,HLOOKUP('[1]Course Totals'!H$4,'[1]import graded seats course pivo'!$1:$2,2,FALSE),FALSE))),"")</f>
        <v/>
      </c>
      <c r="I971" s="14">
        <f>IFERROR((VLOOKUP($A971,'[1]import success seats course'!$A:W,HLOOKUP('[1]Course Totals'!I$4,'[1]import success seats course'!$1:$2,2,FALSE),FALSE)/(VLOOKUP($A971,'[1]import graded seats course pivo'!$A:AG,HLOOKUP('[1]Course Totals'!I$4,'[1]import graded seats course pivo'!$1:$2,2,FALSE),FALSE))),"")</f>
        <v>0.90740740740740744</v>
      </c>
      <c r="J971" s="14">
        <f>IFERROR((VLOOKUP($A971,'[1]import success seats course'!$A:X,HLOOKUP('[1]Course Totals'!J$4,'[1]import success seats course'!$1:$2,2,FALSE),FALSE)/(VLOOKUP($A971,'[1]import graded seats course pivo'!$A:AH,HLOOKUP('[1]Course Totals'!J$4,'[1]import graded seats course pivo'!$1:$2,2,FALSE),FALSE))),"")</f>
        <v>0.90322580645161288</v>
      </c>
      <c r="K971" s="14" t="str">
        <f>IFERROR((VLOOKUP($A971,'[1]import success seats course'!$A:Y,HLOOKUP('[1]Course Totals'!K$4,'[1]import success seats course'!$1:$2,2,FALSE),FALSE)/(VLOOKUP($A971,'[1]import graded seats course pivo'!$A:AI,HLOOKUP('[1]Course Totals'!K$4,'[1]import graded seats course pivo'!$1:$2,2,FALSE),FALSE))),"")</f>
        <v/>
      </c>
      <c r="L971" s="14">
        <f>IFERROR((VLOOKUP($A971,'[1]import success seats course'!$A:Z,HLOOKUP('[1]Course Totals'!L$4,'[1]import success seats course'!$1:$2,2,FALSE),FALSE)/(VLOOKUP($A971,'[1]import graded seats course pivo'!$A:AJ,HLOOKUP('[1]Course Totals'!L$4,'[1]import graded seats course pivo'!$1:$2,2,FALSE),FALSE))),"")</f>
        <v>0.88157894736842102</v>
      </c>
      <c r="M971" s="14">
        <f>IFERROR((VLOOKUP($A971,'[1]import success seats course'!$A:AA,HLOOKUP('[1]Course Totals'!M$4,'[1]import success seats course'!$1:$2,2,FALSE),FALSE)/(VLOOKUP($A971,'[1]import graded seats course pivo'!$A:AK,HLOOKUP('[1]Course Totals'!M$4,'[1]import graded seats course pivo'!$1:$2,2,FALSE),FALSE))),"")</f>
        <v>0.86363636363636365</v>
      </c>
      <c r="N971" s="14" t="str">
        <f>IFERROR((VLOOKUP($A971,'[1]import success seats course'!$A:AB,HLOOKUP('[1]Course Totals'!N$4,'[1]import success seats course'!$1:$2,2,FALSE),FALSE)/(VLOOKUP($A971,'[1]import graded seats course pivo'!$A:AL,HLOOKUP('[1]Course Totals'!N$4,'[1]import graded seats course pivo'!$1:$2,2,FALSE),FALSE))),"")</f>
        <v/>
      </c>
      <c r="O971" s="14">
        <f>IFERROR((VLOOKUP($A971,'[1]import success seats course'!$A:AC,HLOOKUP('[1]Course Totals'!O$4,'[1]import success seats course'!$1:$2,2,FALSE),FALSE)/(VLOOKUP($A971,'[1]import graded seats course pivo'!$A:AM,HLOOKUP('[1]Course Totals'!O$4,'[1]import graded seats course pivo'!$1:$2,2,FALSE),FALSE))),"")</f>
        <v>0.92405063291139244</v>
      </c>
      <c r="P971" s="14">
        <f>IFERROR((VLOOKUP($A971,'[1]import success seats course'!$A:AD,HLOOKUP('[1]Course Totals'!P$4,'[1]import success seats course'!$1:$2,2,FALSE),FALSE)/(VLOOKUP($A971,'[1]import graded seats course pivo'!$A:AN,HLOOKUP('[1]Course Totals'!P$4,'[1]import graded seats course pivo'!$1:$2,2,FALSE),FALSE))),"")</f>
        <v>0.86363636363636365</v>
      </c>
      <c r="Q971" s="14" t="str">
        <f>IFERROR((VLOOKUP($A971,'[1]import success seats course'!$A:AE,HLOOKUP('[1]Course Totals'!Q$4,'[1]import success seats course'!$1:$2,2,FALSE),FALSE)/(VLOOKUP($A971,'[1]import graded seats course pivo'!$A:AO,HLOOKUP('[1]Course Totals'!Q$4,'[1]import graded seats course pivo'!$1:$2,2,FALSE),FALSE))),"")</f>
        <v/>
      </c>
      <c r="R971" s="14">
        <f>IFERROR((VLOOKUP($A971,'[1]import success seats course'!$A:AF,HLOOKUP('[1]Course Totals'!R$4,'[1]import success seats course'!$1:$2,2,FALSE),FALSE)/(VLOOKUP($A971,'[1]import graded seats course pivo'!$A:AP,HLOOKUP('[1]Course Totals'!R$4,'[1]import graded seats course pivo'!$1:$2,2,FALSE),FALSE))),"")</f>
        <v>0.86842105263157898</v>
      </c>
      <c r="S971" s="14">
        <f>IFERROR((VLOOKUP($A971,'[1]import success seats course'!$A:AG,HLOOKUP('[1]Course Totals'!S$4,'[1]import success seats course'!$1:$2,2,FALSE),FALSE)/(VLOOKUP($A971,'[1]import graded seats course pivo'!$A:AQ,HLOOKUP('[1]Course Totals'!S$4,'[1]import graded seats course pivo'!$1:$2,2,FALSE),FALSE))),"")</f>
        <v>0.7857142857142857</v>
      </c>
      <c r="Z971" s="7"/>
      <c r="AA971" s="7"/>
      <c r="AB971" s="7"/>
      <c r="AC971" s="7"/>
    </row>
    <row r="972" spans="1:29" ht="15.75" customHeight="1" x14ac:dyDescent="0.25">
      <c r="A972" s="12" t="s">
        <v>463</v>
      </c>
      <c r="B972" s="14" t="str">
        <f>IFERROR((VLOOKUP($A972,'[1]import success seats course'!$A:P,HLOOKUP('[1]Course Totals'!B$4,'[1]import success seats course'!$1:$2,2,FALSE),FALSE)/(VLOOKUP($A972,'[1]import graded seats course pivo'!$A:Z,HLOOKUP('[1]Course Totals'!B$4,'[1]import graded seats course pivo'!$1:$2,2,FALSE),FALSE))),"")</f>
        <v/>
      </c>
      <c r="C972" s="14">
        <f>IFERROR((VLOOKUP($A972,'[1]import success seats course'!$A:Q,HLOOKUP('[1]Course Totals'!C$4,'[1]import success seats course'!$1:$2,2,FALSE),FALSE)/(VLOOKUP($A972,'[1]import graded seats course pivo'!$A:AA,HLOOKUP('[1]Course Totals'!C$4,'[1]import graded seats course pivo'!$1:$2,2,FALSE),FALSE))),"")</f>
        <v>0</v>
      </c>
      <c r="D972" s="14">
        <f>IFERROR((VLOOKUP($A972,'[1]import success seats course'!$A:R,HLOOKUP('[1]Course Totals'!D$4,'[1]import success seats course'!$1:$2,2,FALSE),FALSE)/(VLOOKUP($A972,'[1]import graded seats course pivo'!$A:AB,HLOOKUP('[1]Course Totals'!D$4,'[1]import graded seats course pivo'!$1:$2,2,FALSE),FALSE))),"")</f>
        <v>1</v>
      </c>
      <c r="E972" s="14" t="str">
        <f>IFERROR((VLOOKUP($A972,'[1]import success seats course'!$A:S,HLOOKUP('[1]Course Totals'!E$4,'[1]import success seats course'!$1:$2,2,FALSE),FALSE)/(VLOOKUP($A972,'[1]import graded seats course pivo'!$A:AC,HLOOKUP('[1]Course Totals'!E$4,'[1]import graded seats course pivo'!$1:$2,2,FALSE),FALSE))),"")</f>
        <v/>
      </c>
      <c r="F972" s="14">
        <f>IFERROR((VLOOKUP($A972,'[1]import success seats course'!$A:T,HLOOKUP('[1]Course Totals'!F$4,'[1]import success seats course'!$1:$2,2,FALSE),FALSE)/(VLOOKUP($A972,'[1]import graded seats course pivo'!$A:AD,HLOOKUP('[1]Course Totals'!F$4,'[1]import graded seats course pivo'!$1:$2,2,FALSE),FALSE))),"")</f>
        <v>0.5</v>
      </c>
      <c r="G972" s="14">
        <f>IFERROR((VLOOKUP($A972,'[1]import success seats course'!$A:U,HLOOKUP('[1]Course Totals'!G$4,'[1]import success seats course'!$1:$2,2,FALSE),FALSE)/(VLOOKUP($A972,'[1]import graded seats course pivo'!$A:AE,HLOOKUP('[1]Course Totals'!G$4,'[1]import graded seats course pivo'!$1:$2,2,FALSE),FALSE))),"")</f>
        <v>1</v>
      </c>
      <c r="H972" s="14" t="str">
        <f>IFERROR((VLOOKUP($A972,'[1]import success seats course'!$A:V,HLOOKUP('[1]Course Totals'!H$4,'[1]import success seats course'!$1:$2,2,FALSE),FALSE)/(VLOOKUP($A972,'[1]import graded seats course pivo'!$A:AF,HLOOKUP('[1]Course Totals'!H$4,'[1]import graded seats course pivo'!$1:$2,2,FALSE),FALSE))),"")</f>
        <v/>
      </c>
      <c r="I972" s="14">
        <f>IFERROR((VLOOKUP($A972,'[1]import success seats course'!$A:W,HLOOKUP('[1]Course Totals'!I$4,'[1]import success seats course'!$1:$2,2,FALSE),FALSE)/(VLOOKUP($A972,'[1]import graded seats course pivo'!$A:AG,HLOOKUP('[1]Course Totals'!I$4,'[1]import graded seats course pivo'!$1:$2,2,FALSE),FALSE))),"")</f>
        <v>0.8</v>
      </c>
      <c r="J972" s="14">
        <f>IFERROR((VLOOKUP($A972,'[1]import success seats course'!$A:X,HLOOKUP('[1]Course Totals'!J$4,'[1]import success seats course'!$1:$2,2,FALSE),FALSE)/(VLOOKUP($A972,'[1]import graded seats course pivo'!$A:AH,HLOOKUP('[1]Course Totals'!J$4,'[1]import graded seats course pivo'!$1:$2,2,FALSE),FALSE))),"")</f>
        <v>1</v>
      </c>
      <c r="K972" s="14" t="str">
        <f>IFERROR((VLOOKUP($A972,'[1]import success seats course'!$A:Y,HLOOKUP('[1]Course Totals'!K$4,'[1]import success seats course'!$1:$2,2,FALSE),FALSE)/(VLOOKUP($A972,'[1]import graded seats course pivo'!$A:AI,HLOOKUP('[1]Course Totals'!K$4,'[1]import graded seats course pivo'!$1:$2,2,FALSE),FALSE))),"")</f>
        <v/>
      </c>
      <c r="L972" s="14" t="str">
        <f>IFERROR((VLOOKUP($A972,'[1]import success seats course'!$A:Z,HLOOKUP('[1]Course Totals'!L$4,'[1]import success seats course'!$1:$2,2,FALSE),FALSE)/(VLOOKUP($A972,'[1]import graded seats course pivo'!$A:AJ,HLOOKUP('[1]Course Totals'!L$4,'[1]import graded seats course pivo'!$1:$2,2,FALSE),FALSE))),"")</f>
        <v/>
      </c>
      <c r="M972" s="14">
        <f>IFERROR((VLOOKUP($A972,'[1]import success seats course'!$A:AA,HLOOKUP('[1]Course Totals'!M$4,'[1]import success seats course'!$1:$2,2,FALSE),FALSE)/(VLOOKUP($A972,'[1]import graded seats course pivo'!$A:AK,HLOOKUP('[1]Course Totals'!M$4,'[1]import graded seats course pivo'!$1:$2,2,FALSE),FALSE))),"")</f>
        <v>1</v>
      </c>
      <c r="N972" s="14" t="str">
        <f>IFERROR((VLOOKUP($A972,'[1]import success seats course'!$A:AB,HLOOKUP('[1]Course Totals'!N$4,'[1]import success seats course'!$1:$2,2,FALSE),FALSE)/(VLOOKUP($A972,'[1]import graded seats course pivo'!$A:AL,HLOOKUP('[1]Course Totals'!N$4,'[1]import graded seats course pivo'!$1:$2,2,FALSE),FALSE))),"")</f>
        <v/>
      </c>
      <c r="O972" s="14" t="str">
        <f>IFERROR((VLOOKUP($A972,'[1]import success seats course'!$A:AC,HLOOKUP('[1]Course Totals'!O$4,'[1]import success seats course'!$1:$2,2,FALSE),FALSE)/(VLOOKUP($A972,'[1]import graded seats course pivo'!$A:AM,HLOOKUP('[1]Course Totals'!O$4,'[1]import graded seats course pivo'!$1:$2,2,FALSE),FALSE))),"")</f>
        <v/>
      </c>
      <c r="P972" s="14" t="str">
        <f>IFERROR((VLOOKUP($A972,'[1]import success seats course'!$A:AD,HLOOKUP('[1]Course Totals'!P$4,'[1]import success seats course'!$1:$2,2,FALSE),FALSE)/(VLOOKUP($A972,'[1]import graded seats course pivo'!$A:AN,HLOOKUP('[1]Course Totals'!P$4,'[1]import graded seats course pivo'!$1:$2,2,FALSE),FALSE))),"")</f>
        <v/>
      </c>
      <c r="Q972" s="14" t="str">
        <f>IFERROR((VLOOKUP($A972,'[1]import success seats course'!$A:AE,HLOOKUP('[1]Course Totals'!Q$4,'[1]import success seats course'!$1:$2,2,FALSE),FALSE)/(VLOOKUP($A972,'[1]import graded seats course pivo'!$A:AO,HLOOKUP('[1]Course Totals'!Q$4,'[1]import graded seats course pivo'!$1:$2,2,FALSE),FALSE))),"")</f>
        <v/>
      </c>
      <c r="R972" s="14">
        <f>IFERROR((VLOOKUP($A972,'[1]import success seats course'!$A:AF,HLOOKUP('[1]Course Totals'!R$4,'[1]import success seats course'!$1:$2,2,FALSE),FALSE)/(VLOOKUP($A972,'[1]import graded seats course pivo'!$A:AP,HLOOKUP('[1]Course Totals'!R$4,'[1]import graded seats course pivo'!$1:$2,2,FALSE),FALSE))),"")</f>
        <v>1</v>
      </c>
      <c r="S972" s="14">
        <f>IFERROR((VLOOKUP($A972,'[1]import success seats course'!$A:AG,HLOOKUP('[1]Course Totals'!S$4,'[1]import success seats course'!$1:$2,2,FALSE),FALSE)/(VLOOKUP($A972,'[1]import graded seats course pivo'!$A:AQ,HLOOKUP('[1]Course Totals'!S$4,'[1]import graded seats course pivo'!$1:$2,2,FALSE),FALSE))),"")</f>
        <v>1</v>
      </c>
      <c r="Z972" s="7"/>
      <c r="AA972" s="7"/>
      <c r="AB972" s="7"/>
      <c r="AC972" s="7"/>
    </row>
    <row r="973" spans="1:29" ht="15.75" customHeight="1" x14ac:dyDescent="0.25">
      <c r="A973" s="12" t="s">
        <v>464</v>
      </c>
      <c r="B973" s="14">
        <f>IFERROR((VLOOKUP($A973,'[1]import success seats course'!$A:P,HLOOKUP('[1]Course Totals'!B$4,'[1]import success seats course'!$1:$2,2,FALSE),FALSE)/(VLOOKUP($A973,'[1]import graded seats course pivo'!$A:Z,HLOOKUP('[1]Course Totals'!B$4,'[1]import graded seats course pivo'!$1:$2,2,FALSE),FALSE))),"")</f>
        <v>1</v>
      </c>
      <c r="C973" s="14">
        <f>IFERROR((VLOOKUP($A973,'[1]import success seats course'!$A:Q,HLOOKUP('[1]Course Totals'!C$4,'[1]import success seats course'!$1:$2,2,FALSE),FALSE)/(VLOOKUP($A973,'[1]import graded seats course pivo'!$A:AA,HLOOKUP('[1]Course Totals'!C$4,'[1]import graded seats course pivo'!$1:$2,2,FALSE),FALSE))),"")</f>
        <v>0.78472222222222221</v>
      </c>
      <c r="D973" s="14">
        <f>IFERROR((VLOOKUP($A973,'[1]import success seats course'!$A:R,HLOOKUP('[1]Course Totals'!D$4,'[1]import success seats course'!$1:$2,2,FALSE),FALSE)/(VLOOKUP($A973,'[1]import graded seats course pivo'!$A:AB,HLOOKUP('[1]Course Totals'!D$4,'[1]import graded seats course pivo'!$1:$2,2,FALSE),FALSE))),"")</f>
        <v>0.73333333333333328</v>
      </c>
      <c r="E973" s="14" t="str">
        <f>IFERROR((VLOOKUP($A973,'[1]import success seats course'!$A:S,HLOOKUP('[1]Course Totals'!E$4,'[1]import success seats course'!$1:$2,2,FALSE),FALSE)/(VLOOKUP($A973,'[1]import graded seats course pivo'!$A:AC,HLOOKUP('[1]Course Totals'!E$4,'[1]import graded seats course pivo'!$1:$2,2,FALSE),FALSE))),"")</f>
        <v/>
      </c>
      <c r="F973" s="14">
        <f>IFERROR((VLOOKUP($A973,'[1]import success seats course'!$A:T,HLOOKUP('[1]Course Totals'!F$4,'[1]import success seats course'!$1:$2,2,FALSE),FALSE)/(VLOOKUP($A973,'[1]import graded seats course pivo'!$A:AD,HLOOKUP('[1]Course Totals'!F$4,'[1]import graded seats course pivo'!$1:$2,2,FALSE),FALSE))),"")</f>
        <v>0.84</v>
      </c>
      <c r="G973" s="14">
        <f>IFERROR((VLOOKUP($A973,'[1]import success seats course'!$A:U,HLOOKUP('[1]Course Totals'!G$4,'[1]import success seats course'!$1:$2,2,FALSE),FALSE)/(VLOOKUP($A973,'[1]import graded seats course pivo'!$A:AE,HLOOKUP('[1]Course Totals'!G$4,'[1]import graded seats course pivo'!$1:$2,2,FALSE),FALSE))),"")</f>
        <v>0.84</v>
      </c>
      <c r="H973" s="14" t="str">
        <f>IFERROR((VLOOKUP($A973,'[1]import success seats course'!$A:V,HLOOKUP('[1]Course Totals'!H$4,'[1]import success seats course'!$1:$2,2,FALSE),FALSE)/(VLOOKUP($A973,'[1]import graded seats course pivo'!$A:AF,HLOOKUP('[1]Course Totals'!H$4,'[1]import graded seats course pivo'!$1:$2,2,FALSE),FALSE))),"")</f>
        <v/>
      </c>
      <c r="I973" s="14">
        <f>IFERROR((VLOOKUP($A973,'[1]import success seats course'!$A:W,HLOOKUP('[1]Course Totals'!I$4,'[1]import success seats course'!$1:$2,2,FALSE),FALSE)/(VLOOKUP($A973,'[1]import graded seats course pivo'!$A:AG,HLOOKUP('[1]Course Totals'!I$4,'[1]import graded seats course pivo'!$1:$2,2,FALSE),FALSE))),"")</f>
        <v>0.759493670886076</v>
      </c>
      <c r="J973" s="14" t="str">
        <f>IFERROR((VLOOKUP($A973,'[1]import success seats course'!$A:X,HLOOKUP('[1]Course Totals'!J$4,'[1]import success seats course'!$1:$2,2,FALSE),FALSE)/(VLOOKUP($A973,'[1]import graded seats course pivo'!$A:AH,HLOOKUP('[1]Course Totals'!J$4,'[1]import graded seats course pivo'!$1:$2,2,FALSE),FALSE))),"")</f>
        <v/>
      </c>
      <c r="K973" s="14" t="str">
        <f>IFERROR((VLOOKUP($A973,'[1]import success seats course'!$A:Y,HLOOKUP('[1]Course Totals'!K$4,'[1]import success seats course'!$1:$2,2,FALSE),FALSE)/(VLOOKUP($A973,'[1]import graded seats course pivo'!$A:AI,HLOOKUP('[1]Course Totals'!K$4,'[1]import graded seats course pivo'!$1:$2,2,FALSE),FALSE))),"")</f>
        <v/>
      </c>
      <c r="L973" s="14">
        <f>IFERROR((VLOOKUP($A973,'[1]import success seats course'!$A:Z,HLOOKUP('[1]Course Totals'!L$4,'[1]import success seats course'!$1:$2,2,FALSE),FALSE)/(VLOOKUP($A973,'[1]import graded seats course pivo'!$A:AJ,HLOOKUP('[1]Course Totals'!L$4,'[1]import graded seats course pivo'!$1:$2,2,FALSE),FALSE))),"")</f>
        <v>0.91891891891891897</v>
      </c>
      <c r="M973" s="14" t="str">
        <f>IFERROR((VLOOKUP($A973,'[1]import success seats course'!$A:AA,HLOOKUP('[1]Course Totals'!M$4,'[1]import success seats course'!$1:$2,2,FALSE),FALSE)/(VLOOKUP($A973,'[1]import graded seats course pivo'!$A:AK,HLOOKUP('[1]Course Totals'!M$4,'[1]import graded seats course pivo'!$1:$2,2,FALSE),FALSE))),"")</f>
        <v/>
      </c>
      <c r="N973" s="14" t="str">
        <f>IFERROR((VLOOKUP($A973,'[1]import success seats course'!$A:AB,HLOOKUP('[1]Course Totals'!N$4,'[1]import success seats course'!$1:$2,2,FALSE),FALSE)/(VLOOKUP($A973,'[1]import graded seats course pivo'!$A:AL,HLOOKUP('[1]Course Totals'!N$4,'[1]import graded seats course pivo'!$1:$2,2,FALSE),FALSE))),"")</f>
        <v/>
      </c>
      <c r="O973" s="14">
        <f>IFERROR((VLOOKUP($A973,'[1]import success seats course'!$A:AC,HLOOKUP('[1]Course Totals'!O$4,'[1]import success seats course'!$1:$2,2,FALSE),FALSE)/(VLOOKUP($A973,'[1]import graded seats course pivo'!$A:AM,HLOOKUP('[1]Course Totals'!O$4,'[1]import graded seats course pivo'!$1:$2,2,FALSE),FALSE))),"")</f>
        <v>0.7441860465116279</v>
      </c>
      <c r="P973" s="14">
        <f>IFERROR((VLOOKUP($A973,'[1]import success seats course'!$A:AD,HLOOKUP('[1]Course Totals'!P$4,'[1]import success seats course'!$1:$2,2,FALSE),FALSE)/(VLOOKUP($A973,'[1]import graded seats course pivo'!$A:AN,HLOOKUP('[1]Course Totals'!P$4,'[1]import graded seats course pivo'!$1:$2,2,FALSE),FALSE))),"")</f>
        <v>0.90697674418604646</v>
      </c>
      <c r="Q973" s="14" t="str">
        <f>IFERROR((VLOOKUP($A973,'[1]import success seats course'!$A:AE,HLOOKUP('[1]Course Totals'!Q$4,'[1]import success seats course'!$1:$2,2,FALSE),FALSE)/(VLOOKUP($A973,'[1]import graded seats course pivo'!$A:AO,HLOOKUP('[1]Course Totals'!Q$4,'[1]import graded seats course pivo'!$1:$2,2,FALSE),FALSE))),"")</f>
        <v/>
      </c>
      <c r="R973" s="14">
        <f>IFERROR((VLOOKUP($A973,'[1]import success seats course'!$A:AF,HLOOKUP('[1]Course Totals'!R$4,'[1]import success seats course'!$1:$2,2,FALSE),FALSE)/(VLOOKUP($A973,'[1]import graded seats course pivo'!$A:AP,HLOOKUP('[1]Course Totals'!R$4,'[1]import graded seats course pivo'!$1:$2,2,FALSE),FALSE))),"")</f>
        <v>0.89189189189189189</v>
      </c>
      <c r="S973" s="14">
        <f>IFERROR((VLOOKUP($A973,'[1]import success seats course'!$A:AG,HLOOKUP('[1]Course Totals'!S$4,'[1]import success seats course'!$1:$2,2,FALSE),FALSE)/(VLOOKUP($A973,'[1]import graded seats course pivo'!$A:AQ,HLOOKUP('[1]Course Totals'!S$4,'[1]import graded seats course pivo'!$1:$2,2,FALSE),FALSE))),"")</f>
        <v>0.9555555555555556</v>
      </c>
      <c r="Z973" s="7"/>
      <c r="AA973" s="7"/>
      <c r="AB973" s="7"/>
      <c r="AC973" s="7"/>
    </row>
    <row r="974" spans="1:29" ht="15.75" customHeight="1" x14ac:dyDescent="0.25">
      <c r="A974" s="12" t="s">
        <v>465</v>
      </c>
      <c r="B974" s="14" t="str">
        <f>IFERROR((VLOOKUP($A974,'[1]import success seats course'!$A:P,HLOOKUP('[1]Course Totals'!B$4,'[1]import success seats course'!$1:$2,2,FALSE),FALSE)/(VLOOKUP($A974,'[1]import graded seats course pivo'!$A:Z,HLOOKUP('[1]Course Totals'!B$4,'[1]import graded seats course pivo'!$1:$2,2,FALSE),FALSE))),"")</f>
        <v/>
      </c>
      <c r="C974" s="14">
        <f>IFERROR((VLOOKUP($A974,'[1]import success seats course'!$A:Q,HLOOKUP('[1]Course Totals'!C$4,'[1]import success seats course'!$1:$2,2,FALSE),FALSE)/(VLOOKUP($A974,'[1]import graded seats course pivo'!$A:AA,HLOOKUP('[1]Course Totals'!C$4,'[1]import graded seats course pivo'!$1:$2,2,FALSE),FALSE))),"")</f>
        <v>1</v>
      </c>
      <c r="D974" s="14" t="str">
        <f>IFERROR((VLOOKUP($A974,'[1]import success seats course'!$A:R,HLOOKUP('[1]Course Totals'!D$4,'[1]import success seats course'!$1:$2,2,FALSE),FALSE)/(VLOOKUP($A974,'[1]import graded seats course pivo'!$A:AB,HLOOKUP('[1]Course Totals'!D$4,'[1]import graded seats course pivo'!$1:$2,2,FALSE),FALSE))),"")</f>
        <v/>
      </c>
      <c r="E974" s="14" t="str">
        <f>IFERROR((VLOOKUP($A974,'[1]import success seats course'!$A:S,HLOOKUP('[1]Course Totals'!E$4,'[1]import success seats course'!$1:$2,2,FALSE),FALSE)/(VLOOKUP($A974,'[1]import graded seats course pivo'!$A:AC,HLOOKUP('[1]Course Totals'!E$4,'[1]import graded seats course pivo'!$1:$2,2,FALSE),FALSE))),"")</f>
        <v/>
      </c>
      <c r="F974" s="14">
        <f>IFERROR((VLOOKUP($A974,'[1]import success seats course'!$A:T,HLOOKUP('[1]Course Totals'!F$4,'[1]import success seats course'!$1:$2,2,FALSE),FALSE)/(VLOOKUP($A974,'[1]import graded seats course pivo'!$A:AD,HLOOKUP('[1]Course Totals'!F$4,'[1]import graded seats course pivo'!$1:$2,2,FALSE),FALSE))),"")</f>
        <v>1</v>
      </c>
      <c r="G974" s="14" t="str">
        <f>IFERROR((VLOOKUP($A974,'[1]import success seats course'!$A:U,HLOOKUP('[1]Course Totals'!G$4,'[1]import success seats course'!$1:$2,2,FALSE),FALSE)/(VLOOKUP($A974,'[1]import graded seats course pivo'!$A:AE,HLOOKUP('[1]Course Totals'!G$4,'[1]import graded seats course pivo'!$1:$2,2,FALSE),FALSE))),"")</f>
        <v/>
      </c>
      <c r="H974" s="14" t="str">
        <f>IFERROR((VLOOKUP($A974,'[1]import success seats course'!$A:V,HLOOKUP('[1]Course Totals'!H$4,'[1]import success seats course'!$1:$2,2,FALSE),FALSE)/(VLOOKUP($A974,'[1]import graded seats course pivo'!$A:AF,HLOOKUP('[1]Course Totals'!H$4,'[1]import graded seats course pivo'!$1:$2,2,FALSE),FALSE))),"")</f>
        <v/>
      </c>
      <c r="I974" s="14" t="str">
        <f>IFERROR((VLOOKUP($A974,'[1]import success seats course'!$A:W,HLOOKUP('[1]Course Totals'!I$4,'[1]import success seats course'!$1:$2,2,FALSE),FALSE)/(VLOOKUP($A974,'[1]import graded seats course pivo'!$A:AG,HLOOKUP('[1]Course Totals'!I$4,'[1]import graded seats course pivo'!$1:$2,2,FALSE),FALSE))),"")</f>
        <v/>
      </c>
      <c r="J974" s="14" t="str">
        <f>IFERROR((VLOOKUP($A974,'[1]import success seats course'!$A:X,HLOOKUP('[1]Course Totals'!J$4,'[1]import success seats course'!$1:$2,2,FALSE),FALSE)/(VLOOKUP($A974,'[1]import graded seats course pivo'!$A:AH,HLOOKUP('[1]Course Totals'!J$4,'[1]import graded seats course pivo'!$1:$2,2,FALSE),FALSE))),"")</f>
        <v/>
      </c>
      <c r="K974" s="14" t="str">
        <f>IFERROR((VLOOKUP($A974,'[1]import success seats course'!$A:Y,HLOOKUP('[1]Course Totals'!K$4,'[1]import success seats course'!$1:$2,2,FALSE),FALSE)/(VLOOKUP($A974,'[1]import graded seats course pivo'!$A:AI,HLOOKUP('[1]Course Totals'!K$4,'[1]import graded seats course pivo'!$1:$2,2,FALSE),FALSE))),"")</f>
        <v/>
      </c>
      <c r="L974" s="14">
        <f>IFERROR((VLOOKUP($A974,'[1]import success seats course'!$A:Z,HLOOKUP('[1]Course Totals'!L$4,'[1]import success seats course'!$1:$2,2,FALSE),FALSE)/(VLOOKUP($A974,'[1]import graded seats course pivo'!$A:AJ,HLOOKUP('[1]Course Totals'!L$4,'[1]import graded seats course pivo'!$1:$2,2,FALSE),FALSE))),"")</f>
        <v>1</v>
      </c>
      <c r="M974" s="14" t="str">
        <f>IFERROR((VLOOKUP($A974,'[1]import success seats course'!$A:AA,HLOOKUP('[1]Course Totals'!M$4,'[1]import success seats course'!$1:$2,2,FALSE),FALSE)/(VLOOKUP($A974,'[1]import graded seats course pivo'!$A:AK,HLOOKUP('[1]Course Totals'!M$4,'[1]import graded seats course pivo'!$1:$2,2,FALSE),FALSE))),"")</f>
        <v/>
      </c>
      <c r="N974" s="14" t="str">
        <f>IFERROR((VLOOKUP($A974,'[1]import success seats course'!$A:AB,HLOOKUP('[1]Course Totals'!N$4,'[1]import success seats course'!$1:$2,2,FALSE),FALSE)/(VLOOKUP($A974,'[1]import graded seats course pivo'!$A:AL,HLOOKUP('[1]Course Totals'!N$4,'[1]import graded seats course pivo'!$1:$2,2,FALSE),FALSE))),"")</f>
        <v/>
      </c>
      <c r="O974" s="14">
        <f>IFERROR((VLOOKUP($A974,'[1]import success seats course'!$A:AC,HLOOKUP('[1]Course Totals'!O$4,'[1]import success seats course'!$1:$2,2,FALSE),FALSE)/(VLOOKUP($A974,'[1]import graded seats course pivo'!$A:AM,HLOOKUP('[1]Course Totals'!O$4,'[1]import graded seats course pivo'!$1:$2,2,FALSE),FALSE))),"")</f>
        <v>1</v>
      </c>
      <c r="P974" s="14" t="str">
        <f>IFERROR((VLOOKUP($A974,'[1]import success seats course'!$A:AD,HLOOKUP('[1]Course Totals'!P$4,'[1]import success seats course'!$1:$2,2,FALSE),FALSE)/(VLOOKUP($A974,'[1]import graded seats course pivo'!$A:AN,HLOOKUP('[1]Course Totals'!P$4,'[1]import graded seats course pivo'!$1:$2,2,FALSE),FALSE))),"")</f>
        <v/>
      </c>
      <c r="Q974" s="14" t="str">
        <f>IFERROR((VLOOKUP($A974,'[1]import success seats course'!$A:AE,HLOOKUP('[1]Course Totals'!Q$4,'[1]import success seats course'!$1:$2,2,FALSE),FALSE)/(VLOOKUP($A974,'[1]import graded seats course pivo'!$A:AO,HLOOKUP('[1]Course Totals'!Q$4,'[1]import graded seats course pivo'!$1:$2,2,FALSE),FALSE))),"")</f>
        <v/>
      </c>
      <c r="R974" s="14">
        <f>IFERROR((VLOOKUP($A974,'[1]import success seats course'!$A:AF,HLOOKUP('[1]Course Totals'!R$4,'[1]import success seats course'!$1:$2,2,FALSE),FALSE)/(VLOOKUP($A974,'[1]import graded seats course pivo'!$A:AP,HLOOKUP('[1]Course Totals'!R$4,'[1]import graded seats course pivo'!$1:$2,2,FALSE),FALSE))),"")</f>
        <v>1</v>
      </c>
      <c r="S974" s="14" t="str">
        <f>IFERROR((VLOOKUP($A974,'[1]import success seats course'!$A:AG,HLOOKUP('[1]Course Totals'!S$4,'[1]import success seats course'!$1:$2,2,FALSE),FALSE)/(VLOOKUP($A974,'[1]import graded seats course pivo'!$A:AQ,HLOOKUP('[1]Course Totals'!S$4,'[1]import graded seats course pivo'!$1:$2,2,FALSE),FALSE))),"")</f>
        <v/>
      </c>
      <c r="Z974" s="7"/>
      <c r="AA974" s="7"/>
      <c r="AB974" s="7"/>
      <c r="AC974" s="7"/>
    </row>
    <row r="975" spans="1:29" ht="15.75" customHeight="1" x14ac:dyDescent="0.25">
      <c r="A975" s="12" t="s">
        <v>466</v>
      </c>
      <c r="B975" s="14">
        <f>IFERROR((VLOOKUP($A975,'[1]import success seats course'!$A:P,HLOOKUP('[1]Course Totals'!B$4,'[1]import success seats course'!$1:$2,2,FALSE),FALSE)/(VLOOKUP($A975,'[1]import graded seats course pivo'!$A:Z,HLOOKUP('[1]Course Totals'!B$4,'[1]import graded seats course pivo'!$1:$2,2,FALSE),FALSE))),"")</f>
        <v>0.90909090909090906</v>
      </c>
      <c r="C975" s="14">
        <f>IFERROR((VLOOKUP($A975,'[1]import success seats course'!$A:Q,HLOOKUP('[1]Course Totals'!C$4,'[1]import success seats course'!$1:$2,2,FALSE),FALSE)/(VLOOKUP($A975,'[1]import graded seats course pivo'!$A:AA,HLOOKUP('[1]Course Totals'!C$4,'[1]import graded seats course pivo'!$1:$2,2,FALSE),FALSE))),"")</f>
        <v>0.796875</v>
      </c>
      <c r="D975" s="14">
        <f>IFERROR((VLOOKUP($A975,'[1]import success seats course'!$A:R,HLOOKUP('[1]Course Totals'!D$4,'[1]import success seats course'!$1:$2,2,FALSE),FALSE)/(VLOOKUP($A975,'[1]import graded seats course pivo'!$A:AB,HLOOKUP('[1]Course Totals'!D$4,'[1]import graded seats course pivo'!$1:$2,2,FALSE),FALSE))),"")</f>
        <v>0.72727272727272729</v>
      </c>
      <c r="E975" s="14">
        <f>IFERROR((VLOOKUP($A975,'[1]import success seats course'!$A:S,HLOOKUP('[1]Course Totals'!E$4,'[1]import success seats course'!$1:$2,2,FALSE),FALSE)/(VLOOKUP($A975,'[1]import graded seats course pivo'!$A:AC,HLOOKUP('[1]Course Totals'!E$4,'[1]import graded seats course pivo'!$1:$2,2,FALSE),FALSE))),"")</f>
        <v>1</v>
      </c>
      <c r="F975" s="14">
        <f>IFERROR((VLOOKUP($A975,'[1]import success seats course'!$A:T,HLOOKUP('[1]Course Totals'!F$4,'[1]import success seats course'!$1:$2,2,FALSE),FALSE)/(VLOOKUP($A975,'[1]import graded seats course pivo'!$A:AD,HLOOKUP('[1]Course Totals'!F$4,'[1]import graded seats course pivo'!$1:$2,2,FALSE),FALSE))),"")</f>
        <v>0.86206896551724133</v>
      </c>
      <c r="G975" s="14">
        <f>IFERROR((VLOOKUP($A975,'[1]import success seats course'!$A:U,HLOOKUP('[1]Course Totals'!G$4,'[1]import success seats course'!$1:$2,2,FALSE),FALSE)/(VLOOKUP($A975,'[1]import graded seats course pivo'!$A:AE,HLOOKUP('[1]Course Totals'!G$4,'[1]import graded seats course pivo'!$1:$2,2,FALSE),FALSE))),"")</f>
        <v>0.8545454545454545</v>
      </c>
      <c r="H975" s="14" t="str">
        <f>IFERROR((VLOOKUP($A975,'[1]import success seats course'!$A:V,HLOOKUP('[1]Course Totals'!H$4,'[1]import success seats course'!$1:$2,2,FALSE),FALSE)/(VLOOKUP($A975,'[1]import graded seats course pivo'!$A:AF,HLOOKUP('[1]Course Totals'!H$4,'[1]import graded seats course pivo'!$1:$2,2,FALSE),FALSE))),"")</f>
        <v/>
      </c>
      <c r="I975" s="14">
        <f>IFERROR((VLOOKUP($A975,'[1]import success seats course'!$A:W,HLOOKUP('[1]Course Totals'!I$4,'[1]import success seats course'!$1:$2,2,FALSE),FALSE)/(VLOOKUP($A975,'[1]import graded seats course pivo'!$A:AG,HLOOKUP('[1]Course Totals'!I$4,'[1]import graded seats course pivo'!$1:$2,2,FALSE),FALSE))),"")</f>
        <v>0.88235294117647056</v>
      </c>
      <c r="J975" s="14">
        <f>IFERROR((VLOOKUP($A975,'[1]import success seats course'!$A:X,HLOOKUP('[1]Course Totals'!J$4,'[1]import success seats course'!$1:$2,2,FALSE),FALSE)/(VLOOKUP($A975,'[1]import graded seats course pivo'!$A:AH,HLOOKUP('[1]Course Totals'!J$4,'[1]import graded seats course pivo'!$1:$2,2,FALSE),FALSE))),"")</f>
        <v>0.97142857142857142</v>
      </c>
      <c r="K975" s="14" t="str">
        <f>IFERROR((VLOOKUP($A975,'[1]import success seats course'!$A:Y,HLOOKUP('[1]Course Totals'!K$4,'[1]import success seats course'!$1:$2,2,FALSE),FALSE)/(VLOOKUP($A975,'[1]import graded seats course pivo'!$A:AI,HLOOKUP('[1]Course Totals'!K$4,'[1]import graded seats course pivo'!$1:$2,2,FALSE),FALSE))),"")</f>
        <v/>
      </c>
      <c r="L975" s="14">
        <f>IFERROR((VLOOKUP($A975,'[1]import success seats course'!$A:Z,HLOOKUP('[1]Course Totals'!L$4,'[1]import success seats course'!$1:$2,2,FALSE),FALSE)/(VLOOKUP($A975,'[1]import graded seats course pivo'!$A:AJ,HLOOKUP('[1]Course Totals'!L$4,'[1]import graded seats course pivo'!$1:$2,2,FALSE),FALSE))),"")</f>
        <v>0.96875</v>
      </c>
      <c r="M975" s="14">
        <f>IFERROR((VLOOKUP($A975,'[1]import success seats course'!$A:AA,HLOOKUP('[1]Course Totals'!M$4,'[1]import success seats course'!$1:$2,2,FALSE),FALSE)/(VLOOKUP($A975,'[1]import graded seats course pivo'!$A:AK,HLOOKUP('[1]Course Totals'!M$4,'[1]import graded seats course pivo'!$1:$2,2,FALSE),FALSE))),"")</f>
        <v>0.88235294117647056</v>
      </c>
      <c r="N975" s="14" t="str">
        <f>IFERROR((VLOOKUP($A975,'[1]import success seats course'!$A:AB,HLOOKUP('[1]Course Totals'!N$4,'[1]import success seats course'!$1:$2,2,FALSE),FALSE)/(VLOOKUP($A975,'[1]import graded seats course pivo'!$A:AL,HLOOKUP('[1]Course Totals'!N$4,'[1]import graded seats course pivo'!$1:$2,2,FALSE),FALSE))),"")</f>
        <v/>
      </c>
      <c r="O975" s="14">
        <f>IFERROR((VLOOKUP($A975,'[1]import success seats course'!$A:AC,HLOOKUP('[1]Course Totals'!O$4,'[1]import success seats course'!$1:$2,2,FALSE),FALSE)/(VLOOKUP($A975,'[1]import graded seats course pivo'!$A:AM,HLOOKUP('[1]Course Totals'!O$4,'[1]import graded seats course pivo'!$1:$2,2,FALSE),FALSE))),"")</f>
        <v>1</v>
      </c>
      <c r="P975" s="14">
        <f>IFERROR((VLOOKUP($A975,'[1]import success seats course'!$A:AD,HLOOKUP('[1]Course Totals'!P$4,'[1]import success seats course'!$1:$2,2,FALSE),FALSE)/(VLOOKUP($A975,'[1]import graded seats course pivo'!$A:AN,HLOOKUP('[1]Course Totals'!P$4,'[1]import graded seats course pivo'!$1:$2,2,FALSE),FALSE))),"")</f>
        <v>0.96666666666666667</v>
      </c>
      <c r="Q975" s="14" t="str">
        <f>IFERROR((VLOOKUP($A975,'[1]import success seats course'!$A:AE,HLOOKUP('[1]Course Totals'!Q$4,'[1]import success seats course'!$1:$2,2,FALSE),FALSE)/(VLOOKUP($A975,'[1]import graded seats course pivo'!$A:AO,HLOOKUP('[1]Course Totals'!Q$4,'[1]import graded seats course pivo'!$1:$2,2,FALSE),FALSE))),"")</f>
        <v/>
      </c>
      <c r="R975" s="14">
        <f>IFERROR((VLOOKUP($A975,'[1]import success seats course'!$A:AF,HLOOKUP('[1]Course Totals'!R$4,'[1]import success seats course'!$1:$2,2,FALSE),FALSE)/(VLOOKUP($A975,'[1]import graded seats course pivo'!$A:AP,HLOOKUP('[1]Course Totals'!R$4,'[1]import graded seats course pivo'!$1:$2,2,FALSE),FALSE))),"")</f>
        <v>0.98305084745762716</v>
      </c>
      <c r="S975" s="14">
        <f>IFERROR((VLOOKUP($A975,'[1]import success seats course'!$A:AG,HLOOKUP('[1]Course Totals'!S$4,'[1]import success seats course'!$1:$2,2,FALSE),FALSE)/(VLOOKUP($A975,'[1]import graded seats course pivo'!$A:AQ,HLOOKUP('[1]Course Totals'!S$4,'[1]import graded seats course pivo'!$1:$2,2,FALSE),FALSE))),"")</f>
        <v>0.96666666666666667</v>
      </c>
      <c r="Z975" s="7"/>
      <c r="AA975" s="7"/>
      <c r="AB975" s="7"/>
      <c r="AC975" s="7"/>
    </row>
    <row r="976" spans="1:29" ht="15.75" customHeight="1" x14ac:dyDescent="0.25">
      <c r="A976" s="12" t="s">
        <v>467</v>
      </c>
      <c r="B976" s="14" t="str">
        <f>IFERROR((VLOOKUP($A976,'[1]import success seats course'!$A:P,HLOOKUP('[1]Course Totals'!B$4,'[1]import success seats course'!$1:$2,2,FALSE),FALSE)/(VLOOKUP($A976,'[1]import graded seats course pivo'!$A:Z,HLOOKUP('[1]Course Totals'!B$4,'[1]import graded seats course pivo'!$1:$2,2,FALSE),FALSE))),"")</f>
        <v/>
      </c>
      <c r="C976" s="14">
        <f>IFERROR((VLOOKUP($A976,'[1]import success seats course'!$A:Q,HLOOKUP('[1]Course Totals'!C$4,'[1]import success seats course'!$1:$2,2,FALSE),FALSE)/(VLOOKUP($A976,'[1]import graded seats course pivo'!$A:AA,HLOOKUP('[1]Course Totals'!C$4,'[1]import graded seats course pivo'!$1:$2,2,FALSE),FALSE))),"")</f>
        <v>0.93103448275862066</v>
      </c>
      <c r="D976" s="14">
        <f>IFERROR((VLOOKUP($A976,'[1]import success seats course'!$A:R,HLOOKUP('[1]Course Totals'!D$4,'[1]import success seats course'!$1:$2,2,FALSE),FALSE)/(VLOOKUP($A976,'[1]import graded seats course pivo'!$A:AB,HLOOKUP('[1]Course Totals'!D$4,'[1]import graded seats course pivo'!$1:$2,2,FALSE),FALSE))),"")</f>
        <v>0.87096774193548387</v>
      </c>
      <c r="E976" s="14" t="str">
        <f>IFERROR((VLOOKUP($A976,'[1]import success seats course'!$A:S,HLOOKUP('[1]Course Totals'!E$4,'[1]import success seats course'!$1:$2,2,FALSE),FALSE)/(VLOOKUP($A976,'[1]import graded seats course pivo'!$A:AC,HLOOKUP('[1]Course Totals'!E$4,'[1]import graded seats course pivo'!$1:$2,2,FALSE),FALSE))),"")</f>
        <v/>
      </c>
      <c r="F976" s="14">
        <f>IFERROR((VLOOKUP($A976,'[1]import success seats course'!$A:T,HLOOKUP('[1]Course Totals'!F$4,'[1]import success seats course'!$1:$2,2,FALSE),FALSE)/(VLOOKUP($A976,'[1]import graded seats course pivo'!$A:AD,HLOOKUP('[1]Course Totals'!F$4,'[1]import graded seats course pivo'!$1:$2,2,FALSE),FALSE))),"")</f>
        <v>0.72413793103448276</v>
      </c>
      <c r="G976" s="14">
        <f>IFERROR((VLOOKUP($A976,'[1]import success seats course'!$A:U,HLOOKUP('[1]Course Totals'!G$4,'[1]import success seats course'!$1:$2,2,FALSE),FALSE)/(VLOOKUP($A976,'[1]import graded seats course pivo'!$A:AE,HLOOKUP('[1]Course Totals'!G$4,'[1]import graded seats course pivo'!$1:$2,2,FALSE),FALSE))),"")</f>
        <v>0.87878787878787878</v>
      </c>
      <c r="H976" s="14" t="str">
        <f>IFERROR((VLOOKUP($A976,'[1]import success seats course'!$A:V,HLOOKUP('[1]Course Totals'!H$4,'[1]import success seats course'!$1:$2,2,FALSE),FALSE)/(VLOOKUP($A976,'[1]import graded seats course pivo'!$A:AF,HLOOKUP('[1]Course Totals'!H$4,'[1]import graded seats course pivo'!$1:$2,2,FALSE),FALSE))),"")</f>
        <v/>
      </c>
      <c r="I976" s="14">
        <f>IFERROR((VLOOKUP($A976,'[1]import success seats course'!$A:W,HLOOKUP('[1]Course Totals'!I$4,'[1]import success seats course'!$1:$2,2,FALSE),FALSE)/(VLOOKUP($A976,'[1]import graded seats course pivo'!$A:AG,HLOOKUP('[1]Course Totals'!I$4,'[1]import graded seats course pivo'!$1:$2,2,FALSE),FALSE))),"")</f>
        <v>0.8571428571428571</v>
      </c>
      <c r="J976" s="14">
        <f>IFERROR((VLOOKUP($A976,'[1]import success seats course'!$A:X,HLOOKUP('[1]Course Totals'!J$4,'[1]import success seats course'!$1:$2,2,FALSE),FALSE)/(VLOOKUP($A976,'[1]import graded seats course pivo'!$A:AH,HLOOKUP('[1]Course Totals'!J$4,'[1]import graded seats course pivo'!$1:$2,2,FALSE),FALSE))),"")</f>
        <v>0.90322580645161288</v>
      </c>
      <c r="K976" s="14" t="str">
        <f>IFERROR((VLOOKUP($A976,'[1]import success seats course'!$A:Y,HLOOKUP('[1]Course Totals'!K$4,'[1]import success seats course'!$1:$2,2,FALSE),FALSE)/(VLOOKUP($A976,'[1]import graded seats course pivo'!$A:AI,HLOOKUP('[1]Course Totals'!K$4,'[1]import graded seats course pivo'!$1:$2,2,FALSE),FALSE))),"")</f>
        <v/>
      </c>
      <c r="L976" s="14">
        <f>IFERROR((VLOOKUP($A976,'[1]import success seats course'!$A:Z,HLOOKUP('[1]Course Totals'!L$4,'[1]import success seats course'!$1:$2,2,FALSE),FALSE)/(VLOOKUP($A976,'[1]import graded seats course pivo'!$A:AJ,HLOOKUP('[1]Course Totals'!L$4,'[1]import graded seats course pivo'!$1:$2,2,FALSE),FALSE))),"")</f>
        <v>0.89655172413793105</v>
      </c>
      <c r="M976" s="14">
        <f>IFERROR((VLOOKUP($A976,'[1]import success seats course'!$A:AA,HLOOKUP('[1]Course Totals'!M$4,'[1]import success seats course'!$1:$2,2,FALSE),FALSE)/(VLOOKUP($A976,'[1]import graded seats course pivo'!$A:AK,HLOOKUP('[1]Course Totals'!M$4,'[1]import graded seats course pivo'!$1:$2,2,FALSE),FALSE))),"")</f>
        <v>0.84615384615384615</v>
      </c>
      <c r="N976" s="14" t="str">
        <f>IFERROR((VLOOKUP($A976,'[1]import success seats course'!$A:AB,HLOOKUP('[1]Course Totals'!N$4,'[1]import success seats course'!$1:$2,2,FALSE),FALSE)/(VLOOKUP($A976,'[1]import graded seats course pivo'!$A:AL,HLOOKUP('[1]Course Totals'!N$4,'[1]import graded seats course pivo'!$1:$2,2,FALSE),FALSE))),"")</f>
        <v/>
      </c>
      <c r="O976" s="14">
        <f>IFERROR((VLOOKUP($A976,'[1]import success seats course'!$A:AC,HLOOKUP('[1]Course Totals'!O$4,'[1]import success seats course'!$1:$2,2,FALSE),FALSE)/(VLOOKUP($A976,'[1]import graded seats course pivo'!$A:AM,HLOOKUP('[1]Course Totals'!O$4,'[1]import graded seats course pivo'!$1:$2,2,FALSE),FALSE))),"")</f>
        <v>0.92</v>
      </c>
      <c r="P976" s="14">
        <f>IFERROR((VLOOKUP($A976,'[1]import success seats course'!$A:AD,HLOOKUP('[1]Course Totals'!P$4,'[1]import success seats course'!$1:$2,2,FALSE),FALSE)/(VLOOKUP($A976,'[1]import graded seats course pivo'!$A:AN,HLOOKUP('[1]Course Totals'!P$4,'[1]import graded seats course pivo'!$1:$2,2,FALSE),FALSE))),"")</f>
        <v>0.83333333333333337</v>
      </c>
      <c r="Q976" s="14" t="str">
        <f>IFERROR((VLOOKUP($A976,'[1]import success seats course'!$A:AE,HLOOKUP('[1]Course Totals'!Q$4,'[1]import success seats course'!$1:$2,2,FALSE),FALSE)/(VLOOKUP($A976,'[1]import graded seats course pivo'!$A:AO,HLOOKUP('[1]Course Totals'!Q$4,'[1]import graded seats course pivo'!$1:$2,2,FALSE),FALSE))),"")</f>
        <v/>
      </c>
      <c r="R976" s="14" t="str">
        <f>IFERROR((VLOOKUP($A976,'[1]import success seats course'!$A:AF,HLOOKUP('[1]Course Totals'!R$4,'[1]import success seats course'!$1:$2,2,FALSE),FALSE)/(VLOOKUP($A976,'[1]import graded seats course pivo'!$A:AP,HLOOKUP('[1]Course Totals'!R$4,'[1]import graded seats course pivo'!$1:$2,2,FALSE),FALSE))),"")</f>
        <v/>
      </c>
      <c r="S976" s="14">
        <f>IFERROR((VLOOKUP($A976,'[1]import success seats course'!$A:AG,HLOOKUP('[1]Course Totals'!S$4,'[1]import success seats course'!$1:$2,2,FALSE),FALSE)/(VLOOKUP($A976,'[1]import graded seats course pivo'!$A:AQ,HLOOKUP('[1]Course Totals'!S$4,'[1]import graded seats course pivo'!$1:$2,2,FALSE),FALSE))),"")</f>
        <v>0.93333333333333335</v>
      </c>
      <c r="Z976" s="7"/>
      <c r="AA976" s="7"/>
      <c r="AB976" s="7"/>
      <c r="AC976" s="7"/>
    </row>
    <row r="977" spans="1:29" ht="15.75" customHeight="1" x14ac:dyDescent="0.25">
      <c r="A977" s="12" t="s">
        <v>944</v>
      </c>
      <c r="B977" s="14" t="str">
        <f>IFERROR((VLOOKUP($A977,'[1]import success seats course'!$A:P,HLOOKUP('[1]Course Totals'!B$4,'[1]import success seats course'!$1:$2,2,FALSE),FALSE)/(VLOOKUP($A977,'[1]import graded seats course pivo'!$A:Z,HLOOKUP('[1]Course Totals'!B$4,'[1]import graded seats course pivo'!$1:$2,2,FALSE),FALSE))),"")</f>
        <v/>
      </c>
      <c r="C977" s="14" t="str">
        <f>IFERROR((VLOOKUP($A977,'[1]import success seats course'!$A:Q,HLOOKUP('[1]Course Totals'!C$4,'[1]import success seats course'!$1:$2,2,FALSE),FALSE)/(VLOOKUP($A977,'[1]import graded seats course pivo'!$A:AA,HLOOKUP('[1]Course Totals'!C$4,'[1]import graded seats course pivo'!$1:$2,2,FALSE),FALSE))),"")</f>
        <v/>
      </c>
      <c r="D977" s="14">
        <f>IFERROR((VLOOKUP($A977,'[1]import success seats course'!$A:R,HLOOKUP('[1]Course Totals'!D$4,'[1]import success seats course'!$1:$2,2,FALSE),FALSE)/(VLOOKUP($A977,'[1]import graded seats course pivo'!$A:AB,HLOOKUP('[1]Course Totals'!D$4,'[1]import graded seats course pivo'!$1:$2,2,FALSE),FALSE))),"")</f>
        <v>0.95833333333333337</v>
      </c>
      <c r="E977" s="14" t="str">
        <f>IFERROR((VLOOKUP($A977,'[1]import success seats course'!$A:S,HLOOKUP('[1]Course Totals'!E$4,'[1]import success seats course'!$1:$2,2,FALSE),FALSE)/(VLOOKUP($A977,'[1]import graded seats course pivo'!$A:AC,HLOOKUP('[1]Course Totals'!E$4,'[1]import graded seats course pivo'!$1:$2,2,FALSE),FALSE))),"")</f>
        <v/>
      </c>
      <c r="F977" s="14" t="str">
        <f>IFERROR((VLOOKUP($A977,'[1]import success seats course'!$A:T,HLOOKUP('[1]Course Totals'!F$4,'[1]import success seats course'!$1:$2,2,FALSE),FALSE)/(VLOOKUP($A977,'[1]import graded seats course pivo'!$A:AD,HLOOKUP('[1]Course Totals'!F$4,'[1]import graded seats course pivo'!$1:$2,2,FALSE),FALSE))),"")</f>
        <v/>
      </c>
      <c r="G977" s="14">
        <f>IFERROR((VLOOKUP($A977,'[1]import success seats course'!$A:U,HLOOKUP('[1]Course Totals'!G$4,'[1]import success seats course'!$1:$2,2,FALSE),FALSE)/(VLOOKUP($A977,'[1]import graded seats course pivo'!$A:AE,HLOOKUP('[1]Course Totals'!G$4,'[1]import graded seats course pivo'!$1:$2,2,FALSE),FALSE))),"")</f>
        <v>1</v>
      </c>
      <c r="H977" s="14" t="str">
        <f>IFERROR((VLOOKUP($A977,'[1]import success seats course'!$A:V,HLOOKUP('[1]Course Totals'!H$4,'[1]import success seats course'!$1:$2,2,FALSE),FALSE)/(VLOOKUP($A977,'[1]import graded seats course pivo'!$A:AF,HLOOKUP('[1]Course Totals'!H$4,'[1]import graded seats course pivo'!$1:$2,2,FALSE),FALSE))),"")</f>
        <v/>
      </c>
      <c r="I977" s="14" t="str">
        <f>IFERROR((VLOOKUP($A977,'[1]import success seats course'!$A:W,HLOOKUP('[1]Course Totals'!I$4,'[1]import success seats course'!$1:$2,2,FALSE),FALSE)/(VLOOKUP($A977,'[1]import graded seats course pivo'!$A:AG,HLOOKUP('[1]Course Totals'!I$4,'[1]import graded seats course pivo'!$1:$2,2,FALSE),FALSE))),"")</f>
        <v/>
      </c>
      <c r="J977" s="14" t="str">
        <f>IFERROR((VLOOKUP($A977,'[1]import success seats course'!$A:X,HLOOKUP('[1]Course Totals'!J$4,'[1]import success seats course'!$1:$2,2,FALSE),FALSE)/(VLOOKUP($A977,'[1]import graded seats course pivo'!$A:AH,HLOOKUP('[1]Course Totals'!J$4,'[1]import graded seats course pivo'!$1:$2,2,FALSE),FALSE))),"")</f>
        <v/>
      </c>
      <c r="K977" s="14" t="str">
        <f>IFERROR((VLOOKUP($A977,'[1]import success seats course'!$A:Y,HLOOKUP('[1]Course Totals'!K$4,'[1]import success seats course'!$1:$2,2,FALSE),FALSE)/(VLOOKUP($A977,'[1]import graded seats course pivo'!$A:AI,HLOOKUP('[1]Course Totals'!K$4,'[1]import graded seats course pivo'!$1:$2,2,FALSE),FALSE))),"")</f>
        <v/>
      </c>
      <c r="L977" s="14" t="str">
        <f>IFERROR((VLOOKUP($A977,'[1]import success seats course'!$A:Z,HLOOKUP('[1]Course Totals'!L$4,'[1]import success seats course'!$1:$2,2,FALSE),FALSE)/(VLOOKUP($A977,'[1]import graded seats course pivo'!$A:AJ,HLOOKUP('[1]Course Totals'!L$4,'[1]import graded seats course pivo'!$1:$2,2,FALSE),FALSE))),"")</f>
        <v/>
      </c>
      <c r="M977" s="14">
        <f>IFERROR((VLOOKUP($A977,'[1]import success seats course'!$A:AA,HLOOKUP('[1]Course Totals'!M$4,'[1]import success seats course'!$1:$2,2,FALSE),FALSE)/(VLOOKUP($A977,'[1]import graded seats course pivo'!$A:AK,HLOOKUP('[1]Course Totals'!M$4,'[1]import graded seats course pivo'!$1:$2,2,FALSE),FALSE))),"")</f>
        <v>0.86956521739130432</v>
      </c>
      <c r="N977" s="14" t="str">
        <f>IFERROR((VLOOKUP($A977,'[1]import success seats course'!$A:AB,HLOOKUP('[1]Course Totals'!N$4,'[1]import success seats course'!$1:$2,2,FALSE),FALSE)/(VLOOKUP($A977,'[1]import graded seats course pivo'!$A:AL,HLOOKUP('[1]Course Totals'!N$4,'[1]import graded seats course pivo'!$1:$2,2,FALSE),FALSE))),"")</f>
        <v/>
      </c>
      <c r="O977" s="14" t="str">
        <f>IFERROR((VLOOKUP($A977,'[1]import success seats course'!$A:AC,HLOOKUP('[1]Course Totals'!O$4,'[1]import success seats course'!$1:$2,2,FALSE),FALSE)/(VLOOKUP($A977,'[1]import graded seats course pivo'!$A:AM,HLOOKUP('[1]Course Totals'!O$4,'[1]import graded seats course pivo'!$1:$2,2,FALSE),FALSE))),"")</f>
        <v/>
      </c>
      <c r="P977" s="14">
        <f>IFERROR((VLOOKUP($A977,'[1]import success seats course'!$A:AD,HLOOKUP('[1]Course Totals'!P$4,'[1]import success seats course'!$1:$2,2,FALSE),FALSE)/(VLOOKUP($A977,'[1]import graded seats course pivo'!$A:AN,HLOOKUP('[1]Course Totals'!P$4,'[1]import graded seats course pivo'!$1:$2,2,FALSE),FALSE))),"")</f>
        <v>0.80555555555555558</v>
      </c>
      <c r="Q977" s="14" t="str">
        <f>IFERROR((VLOOKUP($A977,'[1]import success seats course'!$A:AE,HLOOKUP('[1]Course Totals'!Q$4,'[1]import success seats course'!$1:$2,2,FALSE),FALSE)/(VLOOKUP($A977,'[1]import graded seats course pivo'!$A:AO,HLOOKUP('[1]Course Totals'!Q$4,'[1]import graded seats course pivo'!$1:$2,2,FALSE),FALSE))),"")</f>
        <v/>
      </c>
      <c r="R977" s="14" t="str">
        <f>IFERROR((VLOOKUP($A977,'[1]import success seats course'!$A:AF,HLOOKUP('[1]Course Totals'!R$4,'[1]import success seats course'!$1:$2,2,FALSE),FALSE)/(VLOOKUP($A977,'[1]import graded seats course pivo'!$A:AP,HLOOKUP('[1]Course Totals'!R$4,'[1]import graded seats course pivo'!$1:$2,2,FALSE),FALSE))),"")</f>
        <v/>
      </c>
      <c r="S977" s="14">
        <f>IFERROR((VLOOKUP($A977,'[1]import success seats course'!$A:AG,HLOOKUP('[1]Course Totals'!S$4,'[1]import success seats course'!$1:$2,2,FALSE),FALSE)/(VLOOKUP($A977,'[1]import graded seats course pivo'!$A:AQ,HLOOKUP('[1]Course Totals'!S$4,'[1]import graded seats course pivo'!$1:$2,2,FALSE),FALSE))),"")</f>
        <v>0.87096774193548387</v>
      </c>
      <c r="Z977" s="7"/>
      <c r="AA977" s="7"/>
      <c r="AB977" s="7"/>
      <c r="AC977" s="7"/>
    </row>
    <row r="978" spans="1:29" ht="15.75" customHeight="1" x14ac:dyDescent="0.25">
      <c r="A978" s="12" t="s">
        <v>1037</v>
      </c>
      <c r="B978" s="14" t="str">
        <f>IFERROR((VLOOKUP($A978,'[1]import success seats course'!$A:P,HLOOKUP('[1]Course Totals'!B$4,'[1]import success seats course'!$1:$2,2,FALSE),FALSE)/(VLOOKUP($A978,'[1]import graded seats course pivo'!$A:Z,HLOOKUP('[1]Course Totals'!B$4,'[1]import graded seats course pivo'!$1:$2,2,FALSE),FALSE))),"")</f>
        <v/>
      </c>
      <c r="C978" s="14" t="str">
        <f>IFERROR((VLOOKUP($A978,'[1]import success seats course'!$A:Q,HLOOKUP('[1]Course Totals'!C$4,'[1]import success seats course'!$1:$2,2,FALSE),FALSE)/(VLOOKUP($A978,'[1]import graded seats course pivo'!$A:AA,HLOOKUP('[1]Course Totals'!C$4,'[1]import graded seats course pivo'!$1:$2,2,FALSE),FALSE))),"")</f>
        <v/>
      </c>
      <c r="D978" s="14" t="str">
        <f>IFERROR((VLOOKUP($A978,'[1]import success seats course'!$A:R,HLOOKUP('[1]Course Totals'!D$4,'[1]import success seats course'!$1:$2,2,FALSE),FALSE)/(VLOOKUP($A978,'[1]import graded seats course pivo'!$A:AB,HLOOKUP('[1]Course Totals'!D$4,'[1]import graded seats course pivo'!$1:$2,2,FALSE),FALSE))),"")</f>
        <v/>
      </c>
      <c r="E978" s="14" t="str">
        <f>IFERROR((VLOOKUP($A978,'[1]import success seats course'!$A:S,HLOOKUP('[1]Course Totals'!E$4,'[1]import success seats course'!$1:$2,2,FALSE),FALSE)/(VLOOKUP($A978,'[1]import graded seats course pivo'!$A:AC,HLOOKUP('[1]Course Totals'!E$4,'[1]import graded seats course pivo'!$1:$2,2,FALSE),FALSE))),"")</f>
        <v/>
      </c>
      <c r="F978" s="14" t="str">
        <f>IFERROR((VLOOKUP($A978,'[1]import success seats course'!$A:T,HLOOKUP('[1]Course Totals'!F$4,'[1]import success seats course'!$1:$2,2,FALSE),FALSE)/(VLOOKUP($A978,'[1]import graded seats course pivo'!$A:AD,HLOOKUP('[1]Course Totals'!F$4,'[1]import graded seats course pivo'!$1:$2,2,FALSE),FALSE))),"")</f>
        <v/>
      </c>
      <c r="G978" s="14" t="str">
        <f>IFERROR((VLOOKUP($A978,'[1]import success seats course'!$A:U,HLOOKUP('[1]Course Totals'!G$4,'[1]import success seats course'!$1:$2,2,FALSE),FALSE)/(VLOOKUP($A978,'[1]import graded seats course pivo'!$A:AE,HLOOKUP('[1]Course Totals'!G$4,'[1]import graded seats course pivo'!$1:$2,2,FALSE),FALSE))),"")</f>
        <v/>
      </c>
      <c r="H978" s="14" t="str">
        <f>IFERROR((VLOOKUP($A978,'[1]import success seats course'!$A:V,HLOOKUP('[1]Course Totals'!H$4,'[1]import success seats course'!$1:$2,2,FALSE),FALSE)/(VLOOKUP($A978,'[1]import graded seats course pivo'!$A:AF,HLOOKUP('[1]Course Totals'!H$4,'[1]import graded seats course pivo'!$1:$2,2,FALSE),FALSE))),"")</f>
        <v/>
      </c>
      <c r="I978" s="14" t="str">
        <f>IFERROR((VLOOKUP($A978,'[1]import success seats course'!$A:W,HLOOKUP('[1]Course Totals'!I$4,'[1]import success seats course'!$1:$2,2,FALSE),FALSE)/(VLOOKUP($A978,'[1]import graded seats course pivo'!$A:AG,HLOOKUP('[1]Course Totals'!I$4,'[1]import graded seats course pivo'!$1:$2,2,FALSE),FALSE))),"")</f>
        <v/>
      </c>
      <c r="J978" s="14" t="str">
        <f>IFERROR((VLOOKUP($A978,'[1]import success seats course'!$A:X,HLOOKUP('[1]Course Totals'!J$4,'[1]import success seats course'!$1:$2,2,FALSE),FALSE)/(VLOOKUP($A978,'[1]import graded seats course pivo'!$A:AH,HLOOKUP('[1]Course Totals'!J$4,'[1]import graded seats course pivo'!$1:$2,2,FALSE),FALSE))),"")</f>
        <v/>
      </c>
      <c r="K978" s="14" t="str">
        <f>IFERROR((VLOOKUP($A978,'[1]import success seats course'!$A:Y,HLOOKUP('[1]Course Totals'!K$4,'[1]import success seats course'!$1:$2,2,FALSE),FALSE)/(VLOOKUP($A978,'[1]import graded seats course pivo'!$A:AI,HLOOKUP('[1]Course Totals'!K$4,'[1]import graded seats course pivo'!$1:$2,2,FALSE),FALSE))),"")</f>
        <v/>
      </c>
      <c r="L978" s="14" t="str">
        <f>IFERROR((VLOOKUP($A978,'[1]import success seats course'!$A:Z,HLOOKUP('[1]Course Totals'!L$4,'[1]import success seats course'!$1:$2,2,FALSE),FALSE)/(VLOOKUP($A978,'[1]import graded seats course pivo'!$A:AJ,HLOOKUP('[1]Course Totals'!L$4,'[1]import graded seats course pivo'!$1:$2,2,FALSE),FALSE))),"")</f>
        <v/>
      </c>
      <c r="M978" s="14">
        <f>IFERROR((VLOOKUP($A978,'[1]import success seats course'!$A:AA,HLOOKUP('[1]Course Totals'!M$4,'[1]import success seats course'!$1:$2,2,FALSE),FALSE)/(VLOOKUP($A978,'[1]import graded seats course pivo'!$A:AK,HLOOKUP('[1]Course Totals'!M$4,'[1]import graded seats course pivo'!$1:$2,2,FALSE),FALSE))),"")</f>
        <v>1</v>
      </c>
      <c r="N978" s="14" t="str">
        <f>IFERROR((VLOOKUP($A978,'[1]import success seats course'!$A:AB,HLOOKUP('[1]Course Totals'!N$4,'[1]import success seats course'!$1:$2,2,FALSE),FALSE)/(VLOOKUP($A978,'[1]import graded seats course pivo'!$A:AL,HLOOKUP('[1]Course Totals'!N$4,'[1]import graded seats course pivo'!$1:$2,2,FALSE),FALSE))),"")</f>
        <v/>
      </c>
      <c r="O978" s="14" t="str">
        <f>IFERROR((VLOOKUP($A978,'[1]import success seats course'!$A:AC,HLOOKUP('[1]Course Totals'!O$4,'[1]import success seats course'!$1:$2,2,FALSE),FALSE)/(VLOOKUP($A978,'[1]import graded seats course pivo'!$A:AM,HLOOKUP('[1]Course Totals'!O$4,'[1]import graded seats course pivo'!$1:$2,2,FALSE),FALSE))),"")</f>
        <v/>
      </c>
      <c r="P978" s="14" t="str">
        <f>IFERROR((VLOOKUP($A978,'[1]import success seats course'!$A:AD,HLOOKUP('[1]Course Totals'!P$4,'[1]import success seats course'!$1:$2,2,FALSE),FALSE)/(VLOOKUP($A978,'[1]import graded seats course pivo'!$A:AN,HLOOKUP('[1]Course Totals'!P$4,'[1]import graded seats course pivo'!$1:$2,2,FALSE),FALSE))),"")</f>
        <v/>
      </c>
      <c r="Q978" s="14" t="str">
        <f>IFERROR((VLOOKUP($A978,'[1]import success seats course'!$A:AE,HLOOKUP('[1]Course Totals'!Q$4,'[1]import success seats course'!$1:$2,2,FALSE),FALSE)/(VLOOKUP($A978,'[1]import graded seats course pivo'!$A:AO,HLOOKUP('[1]Course Totals'!Q$4,'[1]import graded seats course pivo'!$1:$2,2,FALSE),FALSE))),"")</f>
        <v/>
      </c>
      <c r="R978" s="14" t="str">
        <f>IFERROR((VLOOKUP($A978,'[1]import success seats course'!$A:AF,HLOOKUP('[1]Course Totals'!R$4,'[1]import success seats course'!$1:$2,2,FALSE),FALSE)/(VLOOKUP($A978,'[1]import graded seats course pivo'!$A:AP,HLOOKUP('[1]Course Totals'!R$4,'[1]import graded seats course pivo'!$1:$2,2,FALSE),FALSE))),"")</f>
        <v/>
      </c>
      <c r="S978" s="14" t="str">
        <f>IFERROR((VLOOKUP($A978,'[1]import success seats course'!$A:AG,HLOOKUP('[1]Course Totals'!S$4,'[1]import success seats course'!$1:$2,2,FALSE),FALSE)/(VLOOKUP($A978,'[1]import graded seats course pivo'!$A:AQ,HLOOKUP('[1]Course Totals'!S$4,'[1]import graded seats course pivo'!$1:$2,2,FALSE),FALSE))),"")</f>
        <v/>
      </c>
      <c r="Z978" s="7"/>
      <c r="AA978" s="7"/>
      <c r="AB978" s="7"/>
      <c r="AC978" s="7"/>
    </row>
    <row r="979" spans="1:29" ht="15.75" customHeight="1" x14ac:dyDescent="0.25">
      <c r="A979" s="12" t="s">
        <v>468</v>
      </c>
      <c r="B979" s="14" t="str">
        <f>IFERROR((VLOOKUP($A979,'[1]import success seats course'!$A:P,HLOOKUP('[1]Course Totals'!B$4,'[1]import success seats course'!$1:$2,2,FALSE),FALSE)/(VLOOKUP($A979,'[1]import graded seats course pivo'!$A:Z,HLOOKUP('[1]Course Totals'!B$4,'[1]import graded seats course pivo'!$1:$2,2,FALSE),FALSE))),"")</f>
        <v/>
      </c>
      <c r="C979" s="14">
        <f>IFERROR((VLOOKUP($A979,'[1]import success seats course'!$A:Q,HLOOKUP('[1]Course Totals'!C$4,'[1]import success seats course'!$1:$2,2,FALSE),FALSE)/(VLOOKUP($A979,'[1]import graded seats course pivo'!$A:AA,HLOOKUP('[1]Course Totals'!C$4,'[1]import graded seats course pivo'!$1:$2,2,FALSE),FALSE))),"")</f>
        <v>0.79166666666666663</v>
      </c>
      <c r="D979" s="14">
        <f>IFERROR((VLOOKUP($A979,'[1]import success seats course'!$A:R,HLOOKUP('[1]Course Totals'!D$4,'[1]import success seats course'!$1:$2,2,FALSE),FALSE)/(VLOOKUP($A979,'[1]import graded seats course pivo'!$A:AB,HLOOKUP('[1]Course Totals'!D$4,'[1]import graded seats course pivo'!$1:$2,2,FALSE),FALSE))),"")</f>
        <v>0.9</v>
      </c>
      <c r="E979" s="14" t="str">
        <f>IFERROR((VLOOKUP($A979,'[1]import success seats course'!$A:S,HLOOKUP('[1]Course Totals'!E$4,'[1]import success seats course'!$1:$2,2,FALSE),FALSE)/(VLOOKUP($A979,'[1]import graded seats course pivo'!$A:AC,HLOOKUP('[1]Course Totals'!E$4,'[1]import graded seats course pivo'!$1:$2,2,FALSE),FALSE))),"")</f>
        <v/>
      </c>
      <c r="F979" s="14">
        <f>IFERROR((VLOOKUP($A979,'[1]import success seats course'!$A:T,HLOOKUP('[1]Course Totals'!F$4,'[1]import success seats course'!$1:$2,2,FALSE),FALSE)/(VLOOKUP($A979,'[1]import graded seats course pivo'!$A:AD,HLOOKUP('[1]Course Totals'!F$4,'[1]import graded seats course pivo'!$1:$2,2,FALSE),FALSE))),"")</f>
        <v>1</v>
      </c>
      <c r="G979" s="14">
        <f>IFERROR((VLOOKUP($A979,'[1]import success seats course'!$A:U,HLOOKUP('[1]Course Totals'!G$4,'[1]import success seats course'!$1:$2,2,FALSE),FALSE)/(VLOOKUP($A979,'[1]import graded seats course pivo'!$A:AE,HLOOKUP('[1]Course Totals'!G$4,'[1]import graded seats course pivo'!$1:$2,2,FALSE),FALSE))),"")</f>
        <v>0.7931034482758621</v>
      </c>
      <c r="H979" s="14" t="str">
        <f>IFERROR((VLOOKUP($A979,'[1]import success seats course'!$A:V,HLOOKUP('[1]Course Totals'!H$4,'[1]import success seats course'!$1:$2,2,FALSE),FALSE)/(VLOOKUP($A979,'[1]import graded seats course pivo'!$A:AF,HLOOKUP('[1]Course Totals'!H$4,'[1]import graded seats course pivo'!$1:$2,2,FALSE),FALSE))),"")</f>
        <v/>
      </c>
      <c r="I979" s="14">
        <f>IFERROR((VLOOKUP($A979,'[1]import success seats course'!$A:W,HLOOKUP('[1]Course Totals'!I$4,'[1]import success seats course'!$1:$2,2,FALSE),FALSE)/(VLOOKUP($A979,'[1]import graded seats course pivo'!$A:AG,HLOOKUP('[1]Course Totals'!I$4,'[1]import graded seats course pivo'!$1:$2,2,FALSE),FALSE))),"")</f>
        <v>0.875</v>
      </c>
      <c r="J979" s="14">
        <f>IFERROR((VLOOKUP($A979,'[1]import success seats course'!$A:X,HLOOKUP('[1]Course Totals'!J$4,'[1]import success seats course'!$1:$2,2,FALSE),FALSE)/(VLOOKUP($A979,'[1]import graded seats course pivo'!$A:AH,HLOOKUP('[1]Course Totals'!J$4,'[1]import graded seats course pivo'!$1:$2,2,FALSE),FALSE))),"")</f>
        <v>0.91666666666666663</v>
      </c>
      <c r="K979" s="14" t="str">
        <f>IFERROR((VLOOKUP($A979,'[1]import success seats course'!$A:Y,HLOOKUP('[1]Course Totals'!K$4,'[1]import success seats course'!$1:$2,2,FALSE),FALSE)/(VLOOKUP($A979,'[1]import graded seats course pivo'!$A:AI,HLOOKUP('[1]Course Totals'!K$4,'[1]import graded seats course pivo'!$1:$2,2,FALSE),FALSE))),"")</f>
        <v/>
      </c>
      <c r="L979" s="14">
        <f>IFERROR((VLOOKUP($A979,'[1]import success seats course'!$A:Z,HLOOKUP('[1]Course Totals'!L$4,'[1]import success seats course'!$1:$2,2,FALSE),FALSE)/(VLOOKUP($A979,'[1]import graded seats course pivo'!$A:AJ,HLOOKUP('[1]Course Totals'!L$4,'[1]import graded seats course pivo'!$1:$2,2,FALSE),FALSE))),"")</f>
        <v>0.93548387096774188</v>
      </c>
      <c r="M979" s="14">
        <f>IFERROR((VLOOKUP($A979,'[1]import success seats course'!$A:AA,HLOOKUP('[1]Course Totals'!M$4,'[1]import success seats course'!$1:$2,2,FALSE),FALSE)/(VLOOKUP($A979,'[1]import graded seats course pivo'!$A:AK,HLOOKUP('[1]Course Totals'!M$4,'[1]import graded seats course pivo'!$1:$2,2,FALSE),FALSE))),"")</f>
        <v>0.92</v>
      </c>
      <c r="N979" s="14" t="str">
        <f>IFERROR((VLOOKUP($A979,'[1]import success seats course'!$A:AB,HLOOKUP('[1]Course Totals'!N$4,'[1]import success seats course'!$1:$2,2,FALSE),FALSE)/(VLOOKUP($A979,'[1]import graded seats course pivo'!$A:AL,HLOOKUP('[1]Course Totals'!N$4,'[1]import graded seats course pivo'!$1:$2,2,FALSE),FALSE))),"")</f>
        <v/>
      </c>
      <c r="O979" s="14">
        <f>IFERROR((VLOOKUP($A979,'[1]import success seats course'!$A:AC,HLOOKUP('[1]Course Totals'!O$4,'[1]import success seats course'!$1:$2,2,FALSE),FALSE)/(VLOOKUP($A979,'[1]import graded seats course pivo'!$A:AM,HLOOKUP('[1]Course Totals'!O$4,'[1]import graded seats course pivo'!$1:$2,2,FALSE),FALSE))),"")</f>
        <v>0.96666666666666667</v>
      </c>
      <c r="P979" s="14">
        <f>IFERROR((VLOOKUP($A979,'[1]import success seats course'!$A:AD,HLOOKUP('[1]Course Totals'!P$4,'[1]import success seats course'!$1:$2,2,FALSE),FALSE)/(VLOOKUP($A979,'[1]import graded seats course pivo'!$A:AN,HLOOKUP('[1]Course Totals'!P$4,'[1]import graded seats course pivo'!$1:$2,2,FALSE),FALSE))),"")</f>
        <v>1</v>
      </c>
      <c r="Q979" s="14" t="str">
        <f>IFERROR((VLOOKUP($A979,'[1]import success seats course'!$A:AE,HLOOKUP('[1]Course Totals'!Q$4,'[1]import success seats course'!$1:$2,2,FALSE),FALSE)/(VLOOKUP($A979,'[1]import graded seats course pivo'!$A:AO,HLOOKUP('[1]Course Totals'!Q$4,'[1]import graded seats course pivo'!$1:$2,2,FALSE),FALSE))),"")</f>
        <v/>
      </c>
      <c r="R979" s="14">
        <f>IFERROR((VLOOKUP($A979,'[1]import success seats course'!$A:AF,HLOOKUP('[1]Course Totals'!R$4,'[1]import success seats course'!$1:$2,2,FALSE),FALSE)/(VLOOKUP($A979,'[1]import graded seats course pivo'!$A:AP,HLOOKUP('[1]Course Totals'!R$4,'[1]import graded seats course pivo'!$1:$2,2,FALSE),FALSE))),"")</f>
        <v>0.87096774193548387</v>
      </c>
      <c r="S979" s="14">
        <f>IFERROR((VLOOKUP($A979,'[1]import success seats course'!$A:AG,HLOOKUP('[1]Course Totals'!S$4,'[1]import success seats course'!$1:$2,2,FALSE),FALSE)/(VLOOKUP($A979,'[1]import graded seats course pivo'!$A:AQ,HLOOKUP('[1]Course Totals'!S$4,'[1]import graded seats course pivo'!$1:$2,2,FALSE),FALSE))),"")</f>
        <v>0.92727272727272725</v>
      </c>
      <c r="Z979" s="7"/>
      <c r="AA979" s="7"/>
      <c r="AB979" s="7"/>
      <c r="AC979" s="7"/>
    </row>
    <row r="980" spans="1:29" ht="15.75" customHeight="1" x14ac:dyDescent="0.25">
      <c r="A980" s="12" t="s">
        <v>812</v>
      </c>
      <c r="B980" s="14" t="str">
        <f>IFERROR((VLOOKUP($A980,'[1]import success seats course'!$A:P,HLOOKUP('[1]Course Totals'!B$4,'[1]import success seats course'!$1:$2,2,FALSE),FALSE)/(VLOOKUP($A980,'[1]import graded seats course pivo'!$A:Z,HLOOKUP('[1]Course Totals'!B$4,'[1]import graded seats course pivo'!$1:$2,2,FALSE),FALSE))),"")</f>
        <v/>
      </c>
      <c r="C980" s="14" t="str">
        <f>IFERROR((VLOOKUP($A980,'[1]import success seats course'!$A:Q,HLOOKUP('[1]Course Totals'!C$4,'[1]import success seats course'!$1:$2,2,FALSE),FALSE)/(VLOOKUP($A980,'[1]import graded seats course pivo'!$A:AA,HLOOKUP('[1]Course Totals'!C$4,'[1]import graded seats course pivo'!$1:$2,2,FALSE),FALSE))),"")</f>
        <v/>
      </c>
      <c r="D980" s="14">
        <f>IFERROR((VLOOKUP($A980,'[1]import success seats course'!$A:R,HLOOKUP('[1]Course Totals'!D$4,'[1]import success seats course'!$1:$2,2,FALSE),FALSE)/(VLOOKUP($A980,'[1]import graded seats course pivo'!$A:AB,HLOOKUP('[1]Course Totals'!D$4,'[1]import graded seats course pivo'!$1:$2,2,FALSE),FALSE))),"")</f>
        <v>0.83333333333333337</v>
      </c>
      <c r="E980" s="14" t="str">
        <f>IFERROR((VLOOKUP($A980,'[1]import success seats course'!$A:S,HLOOKUP('[1]Course Totals'!E$4,'[1]import success seats course'!$1:$2,2,FALSE),FALSE)/(VLOOKUP($A980,'[1]import graded seats course pivo'!$A:AC,HLOOKUP('[1]Course Totals'!E$4,'[1]import graded seats course pivo'!$1:$2,2,FALSE),FALSE))),"")</f>
        <v/>
      </c>
      <c r="F980" s="14" t="str">
        <f>IFERROR((VLOOKUP($A980,'[1]import success seats course'!$A:T,HLOOKUP('[1]Course Totals'!F$4,'[1]import success seats course'!$1:$2,2,FALSE),FALSE)/(VLOOKUP($A980,'[1]import graded seats course pivo'!$A:AD,HLOOKUP('[1]Course Totals'!F$4,'[1]import graded seats course pivo'!$1:$2,2,FALSE),FALSE))),"")</f>
        <v/>
      </c>
      <c r="G980" s="14">
        <f>IFERROR((VLOOKUP($A980,'[1]import success seats course'!$A:U,HLOOKUP('[1]Course Totals'!G$4,'[1]import success seats course'!$1:$2,2,FALSE),FALSE)/(VLOOKUP($A980,'[1]import graded seats course pivo'!$A:AE,HLOOKUP('[1]Course Totals'!G$4,'[1]import graded seats course pivo'!$1:$2,2,FALSE),FALSE))),"")</f>
        <v>1</v>
      </c>
      <c r="H980" s="14" t="str">
        <f>IFERROR((VLOOKUP($A980,'[1]import success seats course'!$A:V,HLOOKUP('[1]Course Totals'!H$4,'[1]import success seats course'!$1:$2,2,FALSE),FALSE)/(VLOOKUP($A980,'[1]import graded seats course pivo'!$A:AF,HLOOKUP('[1]Course Totals'!H$4,'[1]import graded seats course pivo'!$1:$2,2,FALSE),FALSE))),"")</f>
        <v/>
      </c>
      <c r="I980" s="14" t="str">
        <f>IFERROR((VLOOKUP($A980,'[1]import success seats course'!$A:W,HLOOKUP('[1]Course Totals'!I$4,'[1]import success seats course'!$1:$2,2,FALSE),FALSE)/(VLOOKUP($A980,'[1]import graded seats course pivo'!$A:AG,HLOOKUP('[1]Course Totals'!I$4,'[1]import graded seats course pivo'!$1:$2,2,FALSE),FALSE))),"")</f>
        <v/>
      </c>
      <c r="J980" s="14" t="str">
        <f>IFERROR((VLOOKUP($A980,'[1]import success seats course'!$A:X,HLOOKUP('[1]Course Totals'!J$4,'[1]import success seats course'!$1:$2,2,FALSE),FALSE)/(VLOOKUP($A980,'[1]import graded seats course pivo'!$A:AH,HLOOKUP('[1]Course Totals'!J$4,'[1]import graded seats course pivo'!$1:$2,2,FALSE),FALSE))),"")</f>
        <v/>
      </c>
      <c r="K980" s="14" t="str">
        <f>IFERROR((VLOOKUP($A980,'[1]import success seats course'!$A:Y,HLOOKUP('[1]Course Totals'!K$4,'[1]import success seats course'!$1:$2,2,FALSE),FALSE)/(VLOOKUP($A980,'[1]import graded seats course pivo'!$A:AI,HLOOKUP('[1]Course Totals'!K$4,'[1]import graded seats course pivo'!$1:$2,2,FALSE),FALSE))),"")</f>
        <v/>
      </c>
      <c r="L980" s="14">
        <f>IFERROR((VLOOKUP($A980,'[1]import success seats course'!$A:Z,HLOOKUP('[1]Course Totals'!L$4,'[1]import success seats course'!$1:$2,2,FALSE),FALSE)/(VLOOKUP($A980,'[1]import graded seats course pivo'!$A:AJ,HLOOKUP('[1]Course Totals'!L$4,'[1]import graded seats course pivo'!$1:$2,2,FALSE),FALSE))),"")</f>
        <v>1</v>
      </c>
      <c r="M980" s="14">
        <f>IFERROR((VLOOKUP($A980,'[1]import success seats course'!$A:AA,HLOOKUP('[1]Course Totals'!M$4,'[1]import success seats course'!$1:$2,2,FALSE),FALSE)/(VLOOKUP($A980,'[1]import graded seats course pivo'!$A:AK,HLOOKUP('[1]Course Totals'!M$4,'[1]import graded seats course pivo'!$1:$2,2,FALSE),FALSE))),"")</f>
        <v>1</v>
      </c>
      <c r="N980" s="14" t="str">
        <f>IFERROR((VLOOKUP($A980,'[1]import success seats course'!$A:AB,HLOOKUP('[1]Course Totals'!N$4,'[1]import success seats course'!$1:$2,2,FALSE),FALSE)/(VLOOKUP($A980,'[1]import graded seats course pivo'!$A:AL,HLOOKUP('[1]Course Totals'!N$4,'[1]import graded seats course pivo'!$1:$2,2,FALSE),FALSE))),"")</f>
        <v/>
      </c>
      <c r="O980" s="14" t="str">
        <f>IFERROR((VLOOKUP($A980,'[1]import success seats course'!$A:AC,HLOOKUP('[1]Course Totals'!O$4,'[1]import success seats course'!$1:$2,2,FALSE),FALSE)/(VLOOKUP($A980,'[1]import graded seats course pivo'!$A:AM,HLOOKUP('[1]Course Totals'!O$4,'[1]import graded seats course pivo'!$1:$2,2,FALSE),FALSE))),"")</f>
        <v/>
      </c>
      <c r="P980" s="14">
        <f>IFERROR((VLOOKUP($A980,'[1]import success seats course'!$A:AD,HLOOKUP('[1]Course Totals'!P$4,'[1]import success seats course'!$1:$2,2,FALSE),FALSE)/(VLOOKUP($A980,'[1]import graded seats course pivo'!$A:AN,HLOOKUP('[1]Course Totals'!P$4,'[1]import graded seats course pivo'!$1:$2,2,FALSE),FALSE))),"")</f>
        <v>1</v>
      </c>
      <c r="Q980" s="14" t="str">
        <f>IFERROR((VLOOKUP($A980,'[1]import success seats course'!$A:AE,HLOOKUP('[1]Course Totals'!Q$4,'[1]import success seats course'!$1:$2,2,FALSE),FALSE)/(VLOOKUP($A980,'[1]import graded seats course pivo'!$A:AO,HLOOKUP('[1]Course Totals'!Q$4,'[1]import graded seats course pivo'!$1:$2,2,FALSE),FALSE))),"")</f>
        <v/>
      </c>
      <c r="R980" s="14" t="str">
        <f>IFERROR((VLOOKUP($A980,'[1]import success seats course'!$A:AF,HLOOKUP('[1]Course Totals'!R$4,'[1]import success seats course'!$1:$2,2,FALSE),FALSE)/(VLOOKUP($A980,'[1]import graded seats course pivo'!$A:AP,HLOOKUP('[1]Course Totals'!R$4,'[1]import graded seats course pivo'!$1:$2,2,FALSE),FALSE))),"")</f>
        <v/>
      </c>
      <c r="S980" s="14">
        <f>IFERROR((VLOOKUP($A980,'[1]import success seats course'!$A:AG,HLOOKUP('[1]Course Totals'!S$4,'[1]import success seats course'!$1:$2,2,FALSE),FALSE)/(VLOOKUP($A980,'[1]import graded seats course pivo'!$A:AQ,HLOOKUP('[1]Course Totals'!S$4,'[1]import graded seats course pivo'!$1:$2,2,FALSE),FALSE))),"")</f>
        <v>1</v>
      </c>
      <c r="Z980" s="7"/>
      <c r="AA980" s="7"/>
      <c r="AB980" s="7"/>
      <c r="AC980" s="7"/>
    </row>
    <row r="981" spans="1:29" ht="15.75" hidden="1" customHeight="1" x14ac:dyDescent="0.25">
      <c r="A981" s="12" t="s">
        <v>469</v>
      </c>
      <c r="B981" s="14" t="str">
        <f>IFERROR((VLOOKUP($A981,'[1]import success seats course'!$A:P,HLOOKUP('[1]Course Totals'!B$4,'[1]import success seats course'!$1:$2,2,FALSE),FALSE)/(VLOOKUP($A981,'[1]import graded seats course pivo'!$A:Z,HLOOKUP('[1]Course Totals'!B$4,'[1]import graded seats course pivo'!$1:$2,2,FALSE),FALSE))),"")</f>
        <v/>
      </c>
      <c r="C981" s="14" t="str">
        <f>IFERROR((VLOOKUP($A981,'[1]import success seats course'!$A:Q,HLOOKUP('[1]Course Totals'!C$4,'[1]import success seats course'!$1:$2,2,FALSE),FALSE)/(VLOOKUP($A981,'[1]import graded seats course pivo'!$A:AA,HLOOKUP('[1]Course Totals'!C$4,'[1]import graded seats course pivo'!$1:$2,2,FALSE),FALSE))),"")</f>
        <v/>
      </c>
      <c r="D981" s="14" t="str">
        <f>IFERROR((VLOOKUP($A981,'[1]import success seats course'!$A:R,HLOOKUP('[1]Course Totals'!D$4,'[1]import success seats course'!$1:$2,2,FALSE),FALSE)/(VLOOKUP($A981,'[1]import graded seats course pivo'!$A:AB,HLOOKUP('[1]Course Totals'!D$4,'[1]import graded seats course pivo'!$1:$2,2,FALSE),FALSE))),"")</f>
        <v/>
      </c>
      <c r="E981" s="14" t="str">
        <f>IFERROR((VLOOKUP($A981,'[1]import success seats course'!$A:S,HLOOKUP('[1]Course Totals'!E$4,'[1]import success seats course'!$1:$2,2,FALSE),FALSE)/(VLOOKUP($A981,'[1]import graded seats course pivo'!$A:AC,HLOOKUP('[1]Course Totals'!E$4,'[1]import graded seats course pivo'!$1:$2,2,FALSE),FALSE))),"")</f>
        <v/>
      </c>
      <c r="F981" s="14" t="str">
        <f>IFERROR((VLOOKUP($A981,'[1]import success seats course'!$A:T,HLOOKUP('[1]Course Totals'!F$4,'[1]import success seats course'!$1:$2,2,FALSE),FALSE)/(VLOOKUP($A981,'[1]import graded seats course pivo'!$A:AD,HLOOKUP('[1]Course Totals'!F$4,'[1]import graded seats course pivo'!$1:$2,2,FALSE),FALSE))),"")</f>
        <v/>
      </c>
      <c r="G981" s="14" t="str">
        <f>IFERROR((VLOOKUP($A981,'[1]import success seats course'!$A:U,HLOOKUP('[1]Course Totals'!G$4,'[1]import success seats course'!$1:$2,2,FALSE),FALSE)/(VLOOKUP($A981,'[1]import graded seats course pivo'!$A:AE,HLOOKUP('[1]Course Totals'!G$4,'[1]import graded seats course pivo'!$1:$2,2,FALSE),FALSE))),"")</f>
        <v/>
      </c>
      <c r="H981" s="14" t="str">
        <f>IFERROR((VLOOKUP($A981,'[1]import success seats course'!$A:V,HLOOKUP('[1]Course Totals'!H$4,'[1]import success seats course'!$1:$2,2,FALSE),FALSE)/(VLOOKUP($A981,'[1]import graded seats course pivo'!$A:AF,HLOOKUP('[1]Course Totals'!H$4,'[1]import graded seats course pivo'!$1:$2,2,FALSE),FALSE))),"")</f>
        <v/>
      </c>
      <c r="I981" s="14" t="str">
        <f>IFERROR((VLOOKUP($A981,'[1]import success seats course'!$A:W,HLOOKUP('[1]Course Totals'!I$4,'[1]import success seats course'!$1:$2,2,FALSE),FALSE)/(VLOOKUP($A981,'[1]import graded seats course pivo'!$A:AG,HLOOKUP('[1]Course Totals'!I$4,'[1]import graded seats course pivo'!$1:$2,2,FALSE),FALSE))),"")</f>
        <v/>
      </c>
      <c r="J981" s="14" t="str">
        <f>IFERROR((VLOOKUP($A981,'[1]import success seats course'!$A:X,HLOOKUP('[1]Course Totals'!J$4,'[1]import success seats course'!$1:$2,2,FALSE),FALSE)/(VLOOKUP($A981,'[1]import graded seats course pivo'!$A:AH,HLOOKUP('[1]Course Totals'!J$4,'[1]import graded seats course pivo'!$1:$2,2,FALSE),FALSE))),"")</f>
        <v/>
      </c>
      <c r="K981" s="14" t="str">
        <f>IFERROR((VLOOKUP($A981,'[1]import success seats course'!$A:Y,HLOOKUP('[1]Course Totals'!K$4,'[1]import success seats course'!$1:$2,2,FALSE),FALSE)/(VLOOKUP($A981,'[1]import graded seats course pivo'!$A:AI,HLOOKUP('[1]Course Totals'!K$4,'[1]import graded seats course pivo'!$1:$2,2,FALSE),FALSE))),"")</f>
        <v/>
      </c>
      <c r="L981" s="14" t="str">
        <f>IFERROR((VLOOKUP($A981,'[1]import success seats course'!$A:Z,HLOOKUP('[1]Course Totals'!L$4,'[1]import success seats course'!$1:$2,2,FALSE),FALSE)/(VLOOKUP($A981,'[1]import graded seats course pivo'!$A:AJ,HLOOKUP('[1]Course Totals'!L$4,'[1]import graded seats course pivo'!$1:$2,2,FALSE),FALSE))),"")</f>
        <v/>
      </c>
      <c r="M981" s="14" t="str">
        <f>IFERROR((VLOOKUP($A981,'[1]import success seats course'!$A:AA,HLOOKUP('[1]Course Totals'!M$4,'[1]import success seats course'!$1:$2,2,FALSE),FALSE)/(VLOOKUP($A981,'[1]import graded seats course pivo'!$A:AK,HLOOKUP('[1]Course Totals'!M$4,'[1]import graded seats course pivo'!$1:$2,2,FALSE),FALSE))),"")</f>
        <v/>
      </c>
      <c r="N981" s="14" t="str">
        <f>IFERROR((VLOOKUP($A981,'[1]import success seats course'!$A:AB,HLOOKUP('[1]Course Totals'!N$4,'[1]import success seats course'!$1:$2,2,FALSE),FALSE)/(VLOOKUP($A981,'[1]import graded seats course pivo'!$A:AL,HLOOKUP('[1]Course Totals'!N$4,'[1]import graded seats course pivo'!$1:$2,2,FALSE),FALSE))),"")</f>
        <v/>
      </c>
      <c r="O981" s="14" t="str">
        <f>IFERROR((VLOOKUP($A981,'[1]import success seats course'!$A:AC,HLOOKUP('[1]Course Totals'!O$4,'[1]import success seats course'!$1:$2,2,FALSE),FALSE)/(VLOOKUP($A981,'[1]import graded seats course pivo'!$A:AM,HLOOKUP('[1]Course Totals'!O$4,'[1]import graded seats course pivo'!$1:$2,2,FALSE),FALSE))),"")</f>
        <v/>
      </c>
      <c r="P981" s="14" t="str">
        <f>IFERROR((VLOOKUP($A981,'[1]import success seats course'!$A:AD,HLOOKUP('[1]Course Totals'!P$4,'[1]import success seats course'!$1:$2,2,FALSE),FALSE)/(VLOOKUP($A981,'[1]import graded seats course pivo'!$A:AN,HLOOKUP('[1]Course Totals'!P$4,'[1]import graded seats course pivo'!$1:$2,2,FALSE),FALSE))),"")</f>
        <v/>
      </c>
      <c r="Q981" s="14" t="str">
        <f>IFERROR((VLOOKUP($A981,'[1]import success seats course'!$A:AE,HLOOKUP('[1]Course Totals'!Q$4,'[1]import success seats course'!$1:$2,2,FALSE),FALSE)/(VLOOKUP($A981,'[1]import graded seats course pivo'!$A:AO,HLOOKUP('[1]Course Totals'!Q$4,'[1]import graded seats course pivo'!$1:$2,2,FALSE),FALSE))),"")</f>
        <v/>
      </c>
      <c r="R981" s="14" t="str">
        <f>IFERROR((VLOOKUP($A981,'[1]import success seats course'!$A:AF,HLOOKUP('[1]Course Totals'!R$4,'[1]import success seats course'!$1:$2,2,FALSE),FALSE)/(VLOOKUP($A981,'[1]import graded seats course pivo'!$A:AP,HLOOKUP('[1]Course Totals'!R$4,'[1]import graded seats course pivo'!$1:$2,2,FALSE),FALSE))),"")</f>
        <v/>
      </c>
      <c r="S981" s="14" t="str">
        <f>IFERROR((VLOOKUP($A981,'[1]import success seats course'!$A:AG,HLOOKUP('[1]Course Totals'!S$4,'[1]import success seats course'!$1:$2,2,FALSE),FALSE)/(VLOOKUP($A981,'[1]import graded seats course pivo'!$A:AQ,HLOOKUP('[1]Course Totals'!S$4,'[1]import graded seats course pivo'!$1:$2,2,FALSE),FALSE))),"")</f>
        <v/>
      </c>
      <c r="Z981" s="7"/>
      <c r="AA981" s="7"/>
      <c r="AB981" s="7"/>
      <c r="AC981" s="7"/>
    </row>
    <row r="982" spans="1:29" ht="15.75" customHeight="1" thickBot="1" x14ac:dyDescent="0.3">
      <c r="A982" s="8" t="str">
        <f>'[1]SUBJECTS BASE'!H56</f>
        <v>Photography</v>
      </c>
      <c r="B982" s="38" t="s">
        <v>1046</v>
      </c>
      <c r="C982" s="39" t="s">
        <v>0</v>
      </c>
      <c r="D982" s="40" t="s">
        <v>868</v>
      </c>
      <c r="E982" s="41" t="s">
        <v>1052</v>
      </c>
      <c r="F982" s="42" t="s">
        <v>546</v>
      </c>
      <c r="G982" s="43" t="s">
        <v>959</v>
      </c>
      <c r="H982" s="44" t="s">
        <v>1060</v>
      </c>
      <c r="I982" s="39" t="s">
        <v>675</v>
      </c>
      <c r="J982" s="45" t="s">
        <v>1006</v>
      </c>
      <c r="K982" s="46" t="s">
        <v>1062</v>
      </c>
      <c r="L982" s="42" t="s">
        <v>762</v>
      </c>
      <c r="M982" s="43" t="s">
        <v>1022</v>
      </c>
      <c r="N982" s="44" t="s">
        <v>1063</v>
      </c>
      <c r="O982" s="39" t="s">
        <v>822</v>
      </c>
      <c r="P982" s="40" t="s">
        <v>1042</v>
      </c>
      <c r="Q982" s="46" t="s">
        <v>1153</v>
      </c>
      <c r="R982" s="42" t="s">
        <v>1154</v>
      </c>
      <c r="S982" s="43" t="s">
        <v>1155</v>
      </c>
      <c r="Z982" s="7"/>
      <c r="AA982" s="7"/>
      <c r="AB982" s="7"/>
      <c r="AC982" s="7"/>
    </row>
    <row r="983" spans="1:29" ht="15.75" customHeight="1" x14ac:dyDescent="0.25">
      <c r="A983" s="12" t="s">
        <v>470</v>
      </c>
      <c r="B983" s="14" t="str">
        <f>IFERROR((VLOOKUP($A983,'[1]import success seats course'!$A:P,HLOOKUP('[1]Course Totals'!B$4,'[1]import success seats course'!$1:$2,2,FALSE),FALSE)/(VLOOKUP($A983,'[1]import graded seats course pivo'!$A:Z,HLOOKUP('[1]Course Totals'!B$4,'[1]import graded seats course pivo'!$1:$2,2,FALSE),FALSE))),"")</f>
        <v/>
      </c>
      <c r="C983" s="14">
        <f>IFERROR((VLOOKUP($A983,'[1]import success seats course'!$A:Q,HLOOKUP('[1]Course Totals'!C$4,'[1]import success seats course'!$1:$2,2,FALSE),FALSE)/(VLOOKUP($A983,'[1]import graded seats course pivo'!$A:AA,HLOOKUP('[1]Course Totals'!C$4,'[1]import graded seats course pivo'!$1:$2,2,FALSE),FALSE))),"")</f>
        <v>1</v>
      </c>
      <c r="D983" s="14">
        <f>IFERROR((VLOOKUP($A983,'[1]import success seats course'!$A:R,HLOOKUP('[1]Course Totals'!D$4,'[1]import success seats course'!$1:$2,2,FALSE),FALSE)/(VLOOKUP($A983,'[1]import graded seats course pivo'!$A:AB,HLOOKUP('[1]Course Totals'!D$4,'[1]import graded seats course pivo'!$1:$2,2,FALSE),FALSE))),"")</f>
        <v>0.93103448275862066</v>
      </c>
      <c r="E983" s="14" t="str">
        <f>IFERROR((VLOOKUP($A983,'[1]import success seats course'!$A:S,HLOOKUP('[1]Course Totals'!E$4,'[1]import success seats course'!$1:$2,2,FALSE),FALSE)/(VLOOKUP($A983,'[1]import graded seats course pivo'!$A:AC,HLOOKUP('[1]Course Totals'!E$4,'[1]import graded seats course pivo'!$1:$2,2,FALSE),FALSE))),"")</f>
        <v/>
      </c>
      <c r="F983" s="14">
        <f>IFERROR((VLOOKUP($A983,'[1]import success seats course'!$A:T,HLOOKUP('[1]Course Totals'!F$4,'[1]import success seats course'!$1:$2,2,FALSE),FALSE)/(VLOOKUP($A983,'[1]import graded seats course pivo'!$A:AD,HLOOKUP('[1]Course Totals'!F$4,'[1]import graded seats course pivo'!$1:$2,2,FALSE),FALSE))),"")</f>
        <v>0.88636363636363635</v>
      </c>
      <c r="G983" s="14">
        <f>IFERROR((VLOOKUP($A983,'[1]import success seats course'!$A:U,HLOOKUP('[1]Course Totals'!G$4,'[1]import success seats course'!$1:$2,2,FALSE),FALSE)/(VLOOKUP($A983,'[1]import graded seats course pivo'!$A:AE,HLOOKUP('[1]Course Totals'!G$4,'[1]import graded seats course pivo'!$1:$2,2,FALSE),FALSE))),"")</f>
        <v>0.98113207547169812</v>
      </c>
      <c r="H983" s="14" t="str">
        <f>IFERROR((VLOOKUP($A983,'[1]import success seats course'!$A:V,HLOOKUP('[1]Course Totals'!H$4,'[1]import success seats course'!$1:$2,2,FALSE),FALSE)/(VLOOKUP($A983,'[1]import graded seats course pivo'!$A:AF,HLOOKUP('[1]Course Totals'!H$4,'[1]import graded seats course pivo'!$1:$2,2,FALSE),FALSE))),"")</f>
        <v/>
      </c>
      <c r="I983" s="14">
        <f>IFERROR((VLOOKUP($A983,'[1]import success seats course'!$A:W,HLOOKUP('[1]Course Totals'!I$4,'[1]import success seats course'!$1:$2,2,FALSE),FALSE)/(VLOOKUP($A983,'[1]import graded seats course pivo'!$A:AG,HLOOKUP('[1]Course Totals'!I$4,'[1]import graded seats course pivo'!$1:$2,2,FALSE),FALSE))),"")</f>
        <v>0.88888888888888884</v>
      </c>
      <c r="J983" s="14">
        <f>IFERROR((VLOOKUP($A983,'[1]import success seats course'!$A:X,HLOOKUP('[1]Course Totals'!J$4,'[1]import success seats course'!$1:$2,2,FALSE),FALSE)/(VLOOKUP($A983,'[1]import graded seats course pivo'!$A:AH,HLOOKUP('[1]Course Totals'!J$4,'[1]import graded seats course pivo'!$1:$2,2,FALSE),FALSE))),"")</f>
        <v>0.93478260869565222</v>
      </c>
      <c r="K983" s="14" t="str">
        <f>IFERROR((VLOOKUP($A983,'[1]import success seats course'!$A:Y,HLOOKUP('[1]Course Totals'!K$4,'[1]import success seats course'!$1:$2,2,FALSE),FALSE)/(VLOOKUP($A983,'[1]import graded seats course pivo'!$A:AI,HLOOKUP('[1]Course Totals'!K$4,'[1]import graded seats course pivo'!$1:$2,2,FALSE),FALSE))),"")</f>
        <v/>
      </c>
      <c r="L983" s="14">
        <f>IFERROR((VLOOKUP($A983,'[1]import success seats course'!$A:Z,HLOOKUP('[1]Course Totals'!L$4,'[1]import success seats course'!$1:$2,2,FALSE),FALSE)/(VLOOKUP($A983,'[1]import graded seats course pivo'!$A:AJ,HLOOKUP('[1]Course Totals'!L$4,'[1]import graded seats course pivo'!$1:$2,2,FALSE),FALSE))),"")</f>
        <v>0.95744680851063835</v>
      </c>
      <c r="M983" s="14">
        <f>IFERROR((VLOOKUP($A983,'[1]import success seats course'!$A:AA,HLOOKUP('[1]Course Totals'!M$4,'[1]import success seats course'!$1:$2,2,FALSE),FALSE)/(VLOOKUP($A983,'[1]import graded seats course pivo'!$A:AK,HLOOKUP('[1]Course Totals'!M$4,'[1]import graded seats course pivo'!$1:$2,2,FALSE),FALSE))),"")</f>
        <v>0.98076923076923073</v>
      </c>
      <c r="N983" s="14" t="str">
        <f>IFERROR((VLOOKUP($A983,'[1]import success seats course'!$A:AB,HLOOKUP('[1]Course Totals'!N$4,'[1]import success seats course'!$1:$2,2,FALSE),FALSE)/(VLOOKUP($A983,'[1]import graded seats course pivo'!$A:AL,HLOOKUP('[1]Course Totals'!N$4,'[1]import graded seats course pivo'!$1:$2,2,FALSE),FALSE))),"")</f>
        <v/>
      </c>
      <c r="O983" s="14">
        <f>IFERROR((VLOOKUP($A983,'[1]import success seats course'!$A:AC,HLOOKUP('[1]Course Totals'!O$4,'[1]import success seats course'!$1:$2,2,FALSE),FALSE)/(VLOOKUP($A983,'[1]import graded seats course pivo'!$A:AM,HLOOKUP('[1]Course Totals'!O$4,'[1]import graded seats course pivo'!$1:$2,2,FALSE),FALSE))),"")</f>
        <v>0.92307692307692313</v>
      </c>
      <c r="P983" s="14">
        <f>IFERROR((VLOOKUP($A983,'[1]import success seats course'!$A:AD,HLOOKUP('[1]Course Totals'!P$4,'[1]import success seats course'!$1:$2,2,FALSE),FALSE)/(VLOOKUP($A983,'[1]import graded seats course pivo'!$A:AN,HLOOKUP('[1]Course Totals'!P$4,'[1]import graded seats course pivo'!$1:$2,2,FALSE),FALSE))),"")</f>
        <v>0.95714285714285718</v>
      </c>
      <c r="Q983" s="14" t="str">
        <f>IFERROR((VLOOKUP($A983,'[1]import success seats course'!$A:AE,HLOOKUP('[1]Course Totals'!Q$4,'[1]import success seats course'!$1:$2,2,FALSE),FALSE)/(VLOOKUP($A983,'[1]import graded seats course pivo'!$A:AO,HLOOKUP('[1]Course Totals'!Q$4,'[1]import graded seats course pivo'!$1:$2,2,FALSE),FALSE))),"")</f>
        <v/>
      </c>
      <c r="R983" s="14">
        <f>IFERROR((VLOOKUP($A983,'[1]import success seats course'!$A:AF,HLOOKUP('[1]Course Totals'!R$4,'[1]import success seats course'!$1:$2,2,FALSE),FALSE)/(VLOOKUP($A983,'[1]import graded seats course pivo'!$A:AP,HLOOKUP('[1]Course Totals'!R$4,'[1]import graded seats course pivo'!$1:$2,2,FALSE),FALSE))),"")</f>
        <v>0.96226415094339623</v>
      </c>
      <c r="S983" s="14">
        <f>IFERROR((VLOOKUP($A983,'[1]import success seats course'!$A:AG,HLOOKUP('[1]Course Totals'!S$4,'[1]import success seats course'!$1:$2,2,FALSE),FALSE)/(VLOOKUP($A983,'[1]import graded seats course pivo'!$A:AQ,HLOOKUP('[1]Course Totals'!S$4,'[1]import graded seats course pivo'!$1:$2,2,FALSE),FALSE))),"")</f>
        <v>0.86206896551724133</v>
      </c>
      <c r="Z983" s="7"/>
      <c r="AA983" s="7"/>
      <c r="AB983" s="7"/>
      <c r="AC983" s="7"/>
    </row>
    <row r="984" spans="1:29" ht="15.75" customHeight="1" x14ac:dyDescent="0.25">
      <c r="A984" s="12" t="s">
        <v>471</v>
      </c>
      <c r="B984" s="14" t="str">
        <f>IFERROR((VLOOKUP($A984,'[1]import success seats course'!$A:P,HLOOKUP('[1]Course Totals'!B$4,'[1]import success seats course'!$1:$2,2,FALSE),FALSE)/(VLOOKUP($A984,'[1]import graded seats course pivo'!$A:Z,HLOOKUP('[1]Course Totals'!B$4,'[1]import graded seats course pivo'!$1:$2,2,FALSE),FALSE))),"")</f>
        <v/>
      </c>
      <c r="C984" s="14">
        <f>IFERROR((VLOOKUP($A984,'[1]import success seats course'!$A:Q,HLOOKUP('[1]Course Totals'!C$4,'[1]import success seats course'!$1:$2,2,FALSE),FALSE)/(VLOOKUP($A984,'[1]import graded seats course pivo'!$A:AA,HLOOKUP('[1]Course Totals'!C$4,'[1]import graded seats course pivo'!$1:$2,2,FALSE),FALSE))),"")</f>
        <v>0.84722222222222221</v>
      </c>
      <c r="D984" s="14">
        <f>IFERROR((VLOOKUP($A984,'[1]import success seats course'!$A:R,HLOOKUP('[1]Course Totals'!D$4,'[1]import success seats course'!$1:$2,2,FALSE),FALSE)/(VLOOKUP($A984,'[1]import graded seats course pivo'!$A:AB,HLOOKUP('[1]Course Totals'!D$4,'[1]import graded seats course pivo'!$1:$2,2,FALSE),FALSE))),"")</f>
        <v>0.92957746478873238</v>
      </c>
      <c r="E984" s="14" t="str">
        <f>IFERROR((VLOOKUP($A984,'[1]import success seats course'!$A:S,HLOOKUP('[1]Course Totals'!E$4,'[1]import success seats course'!$1:$2,2,FALSE),FALSE)/(VLOOKUP($A984,'[1]import graded seats course pivo'!$A:AC,HLOOKUP('[1]Course Totals'!E$4,'[1]import graded seats course pivo'!$1:$2,2,FALSE),FALSE))),"")</f>
        <v/>
      </c>
      <c r="F984" s="14">
        <f>IFERROR((VLOOKUP($A984,'[1]import success seats course'!$A:T,HLOOKUP('[1]Course Totals'!F$4,'[1]import success seats course'!$1:$2,2,FALSE),FALSE)/(VLOOKUP($A984,'[1]import graded seats course pivo'!$A:AD,HLOOKUP('[1]Course Totals'!F$4,'[1]import graded seats course pivo'!$1:$2,2,FALSE),FALSE))),"")</f>
        <v>0.82278481012658233</v>
      </c>
      <c r="G984" s="14">
        <f>IFERROR((VLOOKUP($A984,'[1]import success seats course'!$A:U,HLOOKUP('[1]Course Totals'!G$4,'[1]import success seats course'!$1:$2,2,FALSE),FALSE)/(VLOOKUP($A984,'[1]import graded seats course pivo'!$A:AE,HLOOKUP('[1]Course Totals'!G$4,'[1]import graded seats course pivo'!$1:$2,2,FALSE),FALSE))),"")</f>
        <v>0.77477477477477474</v>
      </c>
      <c r="H984" s="14" t="str">
        <f>IFERROR((VLOOKUP($A984,'[1]import success seats course'!$A:V,HLOOKUP('[1]Course Totals'!H$4,'[1]import success seats course'!$1:$2,2,FALSE),FALSE)/(VLOOKUP($A984,'[1]import graded seats course pivo'!$A:AF,HLOOKUP('[1]Course Totals'!H$4,'[1]import graded seats course pivo'!$1:$2,2,FALSE),FALSE))),"")</f>
        <v/>
      </c>
      <c r="I984" s="14">
        <f>IFERROR((VLOOKUP($A984,'[1]import success seats course'!$A:W,HLOOKUP('[1]Course Totals'!I$4,'[1]import success seats course'!$1:$2,2,FALSE),FALSE)/(VLOOKUP($A984,'[1]import graded seats course pivo'!$A:AG,HLOOKUP('[1]Course Totals'!I$4,'[1]import graded seats course pivo'!$1:$2,2,FALSE),FALSE))),"")</f>
        <v>0.86</v>
      </c>
      <c r="J984" s="14">
        <f>IFERROR((VLOOKUP($A984,'[1]import success seats course'!$A:X,HLOOKUP('[1]Course Totals'!J$4,'[1]import success seats course'!$1:$2,2,FALSE),FALSE)/(VLOOKUP($A984,'[1]import graded seats course pivo'!$A:AH,HLOOKUP('[1]Course Totals'!J$4,'[1]import graded seats course pivo'!$1:$2,2,FALSE),FALSE))),"")</f>
        <v>0.77669902912621358</v>
      </c>
      <c r="K984" s="14" t="str">
        <f>IFERROR((VLOOKUP($A984,'[1]import success seats course'!$A:Y,HLOOKUP('[1]Course Totals'!K$4,'[1]import success seats course'!$1:$2,2,FALSE),FALSE)/(VLOOKUP($A984,'[1]import graded seats course pivo'!$A:AI,HLOOKUP('[1]Course Totals'!K$4,'[1]import graded seats course pivo'!$1:$2,2,FALSE),FALSE))),"")</f>
        <v/>
      </c>
      <c r="L984" s="14">
        <f>IFERROR((VLOOKUP($A984,'[1]import success seats course'!$A:Z,HLOOKUP('[1]Course Totals'!L$4,'[1]import success seats course'!$1:$2,2,FALSE),FALSE)/(VLOOKUP($A984,'[1]import graded seats course pivo'!$A:AJ,HLOOKUP('[1]Course Totals'!L$4,'[1]import graded seats course pivo'!$1:$2,2,FALSE),FALSE))),"")</f>
        <v>0.78260869565217395</v>
      </c>
      <c r="M984" s="14">
        <f>IFERROR((VLOOKUP($A984,'[1]import success seats course'!$A:AA,HLOOKUP('[1]Course Totals'!M$4,'[1]import success seats course'!$1:$2,2,FALSE),FALSE)/(VLOOKUP($A984,'[1]import graded seats course pivo'!$A:AK,HLOOKUP('[1]Course Totals'!M$4,'[1]import graded seats course pivo'!$1:$2,2,FALSE),FALSE))),"")</f>
        <v>0.76800000000000002</v>
      </c>
      <c r="N984" s="14" t="str">
        <f>IFERROR((VLOOKUP($A984,'[1]import success seats course'!$A:AB,HLOOKUP('[1]Course Totals'!N$4,'[1]import success seats course'!$1:$2,2,FALSE),FALSE)/(VLOOKUP($A984,'[1]import graded seats course pivo'!$A:AL,HLOOKUP('[1]Course Totals'!N$4,'[1]import graded seats course pivo'!$1:$2,2,FALSE),FALSE))),"")</f>
        <v/>
      </c>
      <c r="O984" s="14">
        <f>IFERROR((VLOOKUP($A984,'[1]import success seats course'!$A:AC,HLOOKUP('[1]Course Totals'!O$4,'[1]import success seats course'!$1:$2,2,FALSE),FALSE)/(VLOOKUP($A984,'[1]import graded seats course pivo'!$A:AM,HLOOKUP('[1]Course Totals'!O$4,'[1]import graded seats course pivo'!$1:$2,2,FALSE),FALSE))),"")</f>
        <v>0.85185185185185186</v>
      </c>
      <c r="P984" s="14">
        <f>IFERROR((VLOOKUP($A984,'[1]import success seats course'!$A:AD,HLOOKUP('[1]Course Totals'!P$4,'[1]import success seats course'!$1:$2,2,FALSE),FALSE)/(VLOOKUP($A984,'[1]import graded seats course pivo'!$A:AN,HLOOKUP('[1]Course Totals'!P$4,'[1]import graded seats course pivo'!$1:$2,2,FALSE),FALSE))),"")</f>
        <v>0.81632653061224492</v>
      </c>
      <c r="Q984" s="14" t="str">
        <f>IFERROR((VLOOKUP($A984,'[1]import success seats course'!$A:AE,HLOOKUP('[1]Course Totals'!Q$4,'[1]import success seats course'!$1:$2,2,FALSE),FALSE)/(VLOOKUP($A984,'[1]import graded seats course pivo'!$A:AO,HLOOKUP('[1]Course Totals'!Q$4,'[1]import graded seats course pivo'!$1:$2,2,FALSE),FALSE))),"")</f>
        <v/>
      </c>
      <c r="R984" s="14">
        <f>IFERROR((VLOOKUP($A984,'[1]import success seats course'!$A:AF,HLOOKUP('[1]Course Totals'!R$4,'[1]import success seats course'!$1:$2,2,FALSE),FALSE)/(VLOOKUP($A984,'[1]import graded seats course pivo'!$A:AP,HLOOKUP('[1]Course Totals'!R$4,'[1]import graded seats course pivo'!$1:$2,2,FALSE),FALSE))),"")</f>
        <v>0.79605263157894735</v>
      </c>
      <c r="S984" s="14">
        <f>IFERROR((VLOOKUP($A984,'[1]import success seats course'!$A:AG,HLOOKUP('[1]Course Totals'!S$4,'[1]import success seats course'!$1:$2,2,FALSE),FALSE)/(VLOOKUP($A984,'[1]import graded seats course pivo'!$A:AQ,HLOOKUP('[1]Course Totals'!S$4,'[1]import graded seats course pivo'!$1:$2,2,FALSE),FALSE))),"")</f>
        <v>0.76027397260273977</v>
      </c>
      <c r="Z984" s="7"/>
      <c r="AA984" s="7"/>
      <c r="AB984" s="7"/>
      <c r="AC984" s="7"/>
    </row>
    <row r="985" spans="1:29" ht="15.75" customHeight="1" x14ac:dyDescent="0.25">
      <c r="A985" s="12" t="s">
        <v>472</v>
      </c>
      <c r="B985" s="14" t="str">
        <f>IFERROR((VLOOKUP($A985,'[1]import success seats course'!$A:P,HLOOKUP('[1]Course Totals'!B$4,'[1]import success seats course'!$1:$2,2,FALSE),FALSE)/(VLOOKUP($A985,'[1]import graded seats course pivo'!$A:Z,HLOOKUP('[1]Course Totals'!B$4,'[1]import graded seats course pivo'!$1:$2,2,FALSE),FALSE))),"")</f>
        <v/>
      </c>
      <c r="C985" s="14">
        <f>IFERROR((VLOOKUP($A985,'[1]import success seats course'!$A:Q,HLOOKUP('[1]Course Totals'!C$4,'[1]import success seats course'!$1:$2,2,FALSE),FALSE)/(VLOOKUP($A985,'[1]import graded seats course pivo'!$A:AA,HLOOKUP('[1]Course Totals'!C$4,'[1]import graded seats course pivo'!$1:$2,2,FALSE),FALSE))),"")</f>
        <v>0.5</v>
      </c>
      <c r="D985" s="14">
        <f>IFERROR((VLOOKUP($A985,'[1]import success seats course'!$A:R,HLOOKUP('[1]Course Totals'!D$4,'[1]import success seats course'!$1:$2,2,FALSE),FALSE)/(VLOOKUP($A985,'[1]import graded seats course pivo'!$A:AB,HLOOKUP('[1]Course Totals'!D$4,'[1]import graded seats course pivo'!$1:$2,2,FALSE),FALSE))),"")</f>
        <v>0.75</v>
      </c>
      <c r="E985" s="14" t="str">
        <f>IFERROR((VLOOKUP($A985,'[1]import success seats course'!$A:S,HLOOKUP('[1]Course Totals'!E$4,'[1]import success seats course'!$1:$2,2,FALSE),FALSE)/(VLOOKUP($A985,'[1]import graded seats course pivo'!$A:AC,HLOOKUP('[1]Course Totals'!E$4,'[1]import graded seats course pivo'!$1:$2,2,FALSE),FALSE))),"")</f>
        <v/>
      </c>
      <c r="F985" s="14" t="str">
        <f>IFERROR((VLOOKUP($A985,'[1]import success seats course'!$A:T,HLOOKUP('[1]Course Totals'!F$4,'[1]import success seats course'!$1:$2,2,FALSE),FALSE)/(VLOOKUP($A985,'[1]import graded seats course pivo'!$A:AD,HLOOKUP('[1]Course Totals'!F$4,'[1]import graded seats course pivo'!$1:$2,2,FALSE),FALSE))),"")</f>
        <v/>
      </c>
      <c r="G985" s="14" t="str">
        <f>IFERROR((VLOOKUP($A985,'[1]import success seats course'!$A:U,HLOOKUP('[1]Course Totals'!G$4,'[1]import success seats course'!$1:$2,2,FALSE),FALSE)/(VLOOKUP($A985,'[1]import graded seats course pivo'!$A:AE,HLOOKUP('[1]Course Totals'!G$4,'[1]import graded seats course pivo'!$1:$2,2,FALSE),FALSE))),"")</f>
        <v/>
      </c>
      <c r="H985" s="14" t="str">
        <f>IFERROR((VLOOKUP($A985,'[1]import success seats course'!$A:V,HLOOKUP('[1]Course Totals'!H$4,'[1]import success seats course'!$1:$2,2,FALSE),FALSE)/(VLOOKUP($A985,'[1]import graded seats course pivo'!$A:AF,HLOOKUP('[1]Course Totals'!H$4,'[1]import graded seats course pivo'!$1:$2,2,FALSE),FALSE))),"")</f>
        <v/>
      </c>
      <c r="I985" s="14" t="str">
        <f>IFERROR((VLOOKUP($A985,'[1]import success seats course'!$A:W,HLOOKUP('[1]Course Totals'!I$4,'[1]import success seats course'!$1:$2,2,FALSE),FALSE)/(VLOOKUP($A985,'[1]import graded seats course pivo'!$A:AG,HLOOKUP('[1]Course Totals'!I$4,'[1]import graded seats course pivo'!$1:$2,2,FALSE),FALSE))),"")</f>
        <v/>
      </c>
      <c r="J985" s="14" t="str">
        <f>IFERROR((VLOOKUP($A985,'[1]import success seats course'!$A:X,HLOOKUP('[1]Course Totals'!J$4,'[1]import success seats course'!$1:$2,2,FALSE),FALSE)/(VLOOKUP($A985,'[1]import graded seats course pivo'!$A:AH,HLOOKUP('[1]Course Totals'!J$4,'[1]import graded seats course pivo'!$1:$2,2,FALSE),FALSE))),"")</f>
        <v/>
      </c>
      <c r="K985" s="14" t="str">
        <f>IFERROR((VLOOKUP($A985,'[1]import success seats course'!$A:Y,HLOOKUP('[1]Course Totals'!K$4,'[1]import success seats course'!$1:$2,2,FALSE),FALSE)/(VLOOKUP($A985,'[1]import graded seats course pivo'!$A:AI,HLOOKUP('[1]Course Totals'!K$4,'[1]import graded seats course pivo'!$1:$2,2,FALSE),FALSE))),"")</f>
        <v/>
      </c>
      <c r="L985" s="14" t="str">
        <f>IFERROR((VLOOKUP($A985,'[1]import success seats course'!$A:Z,HLOOKUP('[1]Course Totals'!L$4,'[1]import success seats course'!$1:$2,2,FALSE),FALSE)/(VLOOKUP($A985,'[1]import graded seats course pivo'!$A:AJ,HLOOKUP('[1]Course Totals'!L$4,'[1]import graded seats course pivo'!$1:$2,2,FALSE),FALSE))),"")</f>
        <v/>
      </c>
      <c r="M985" s="14" t="str">
        <f>IFERROR((VLOOKUP($A985,'[1]import success seats course'!$A:AA,HLOOKUP('[1]Course Totals'!M$4,'[1]import success seats course'!$1:$2,2,FALSE),FALSE)/(VLOOKUP($A985,'[1]import graded seats course pivo'!$A:AK,HLOOKUP('[1]Course Totals'!M$4,'[1]import graded seats course pivo'!$1:$2,2,FALSE),FALSE))),"")</f>
        <v/>
      </c>
      <c r="N985" s="14" t="str">
        <f>IFERROR((VLOOKUP($A985,'[1]import success seats course'!$A:AB,HLOOKUP('[1]Course Totals'!N$4,'[1]import success seats course'!$1:$2,2,FALSE),FALSE)/(VLOOKUP($A985,'[1]import graded seats course pivo'!$A:AL,HLOOKUP('[1]Course Totals'!N$4,'[1]import graded seats course pivo'!$1:$2,2,FALSE),FALSE))),"")</f>
        <v/>
      </c>
      <c r="O985" s="14" t="str">
        <f>IFERROR((VLOOKUP($A985,'[1]import success seats course'!$A:AC,HLOOKUP('[1]Course Totals'!O$4,'[1]import success seats course'!$1:$2,2,FALSE),FALSE)/(VLOOKUP($A985,'[1]import graded seats course pivo'!$A:AM,HLOOKUP('[1]Course Totals'!O$4,'[1]import graded seats course pivo'!$1:$2,2,FALSE),FALSE))),"")</f>
        <v/>
      </c>
      <c r="P985" s="14" t="str">
        <f>IFERROR((VLOOKUP($A985,'[1]import success seats course'!$A:AD,HLOOKUP('[1]Course Totals'!P$4,'[1]import success seats course'!$1:$2,2,FALSE),FALSE)/(VLOOKUP($A985,'[1]import graded seats course pivo'!$A:AN,HLOOKUP('[1]Course Totals'!P$4,'[1]import graded seats course pivo'!$1:$2,2,FALSE),FALSE))),"")</f>
        <v/>
      </c>
      <c r="Q985" s="14" t="str">
        <f>IFERROR((VLOOKUP($A985,'[1]import success seats course'!$A:AE,HLOOKUP('[1]Course Totals'!Q$4,'[1]import success seats course'!$1:$2,2,FALSE),FALSE)/(VLOOKUP($A985,'[1]import graded seats course pivo'!$A:AO,HLOOKUP('[1]Course Totals'!Q$4,'[1]import graded seats course pivo'!$1:$2,2,FALSE),FALSE))),"")</f>
        <v/>
      </c>
      <c r="R985" s="14" t="str">
        <f>IFERROR((VLOOKUP($A985,'[1]import success seats course'!$A:AF,HLOOKUP('[1]Course Totals'!R$4,'[1]import success seats course'!$1:$2,2,FALSE),FALSE)/(VLOOKUP($A985,'[1]import graded seats course pivo'!$A:AP,HLOOKUP('[1]Course Totals'!R$4,'[1]import graded seats course pivo'!$1:$2,2,FALSE),FALSE))),"")</f>
        <v/>
      </c>
      <c r="S985" s="14" t="str">
        <f>IFERROR((VLOOKUP($A985,'[1]import success seats course'!$A:AG,HLOOKUP('[1]Course Totals'!S$4,'[1]import success seats course'!$1:$2,2,FALSE),FALSE)/(VLOOKUP($A985,'[1]import graded seats course pivo'!$A:AQ,HLOOKUP('[1]Course Totals'!S$4,'[1]import graded seats course pivo'!$1:$2,2,FALSE),FALSE))),"")</f>
        <v/>
      </c>
      <c r="Z985" s="7"/>
      <c r="AA985" s="7"/>
      <c r="AB985" s="7"/>
      <c r="AC985" s="7"/>
    </row>
    <row r="986" spans="1:29" ht="15.75" customHeight="1" x14ac:dyDescent="0.25">
      <c r="A986" s="12" t="s">
        <v>473</v>
      </c>
      <c r="B986" s="14" t="str">
        <f>IFERROR((VLOOKUP($A986,'[1]import success seats course'!$A:P,HLOOKUP('[1]Course Totals'!B$4,'[1]import success seats course'!$1:$2,2,FALSE),FALSE)/(VLOOKUP($A986,'[1]import graded seats course pivo'!$A:Z,HLOOKUP('[1]Course Totals'!B$4,'[1]import graded seats course pivo'!$1:$2,2,FALSE),FALSE))),"")</f>
        <v/>
      </c>
      <c r="C986" s="14">
        <f>IFERROR((VLOOKUP($A986,'[1]import success seats course'!$A:Q,HLOOKUP('[1]Course Totals'!C$4,'[1]import success seats course'!$1:$2,2,FALSE),FALSE)/(VLOOKUP($A986,'[1]import graded seats course pivo'!$A:AA,HLOOKUP('[1]Course Totals'!C$4,'[1]import graded seats course pivo'!$1:$2,2,FALSE),FALSE))),"")</f>
        <v>0.8666666666666667</v>
      </c>
      <c r="D986" s="14">
        <f>IFERROR((VLOOKUP($A986,'[1]import success seats course'!$A:R,HLOOKUP('[1]Course Totals'!D$4,'[1]import success seats course'!$1:$2,2,FALSE),FALSE)/(VLOOKUP($A986,'[1]import graded seats course pivo'!$A:AB,HLOOKUP('[1]Course Totals'!D$4,'[1]import graded seats course pivo'!$1:$2,2,FALSE),FALSE))),"")</f>
        <v>0.9285714285714286</v>
      </c>
      <c r="E986" s="14" t="str">
        <f>IFERROR((VLOOKUP($A986,'[1]import success seats course'!$A:S,HLOOKUP('[1]Course Totals'!E$4,'[1]import success seats course'!$1:$2,2,FALSE),FALSE)/(VLOOKUP($A986,'[1]import graded seats course pivo'!$A:AC,HLOOKUP('[1]Course Totals'!E$4,'[1]import graded seats course pivo'!$1:$2,2,FALSE),FALSE))),"")</f>
        <v/>
      </c>
      <c r="F986" s="14">
        <f>IFERROR((VLOOKUP($A986,'[1]import success seats course'!$A:T,HLOOKUP('[1]Course Totals'!F$4,'[1]import success seats course'!$1:$2,2,FALSE),FALSE)/(VLOOKUP($A986,'[1]import graded seats course pivo'!$A:AD,HLOOKUP('[1]Course Totals'!F$4,'[1]import graded seats course pivo'!$1:$2,2,FALSE),FALSE))),"")</f>
        <v>0.92</v>
      </c>
      <c r="G986" s="14">
        <f>IFERROR((VLOOKUP($A986,'[1]import success seats course'!$A:U,HLOOKUP('[1]Course Totals'!G$4,'[1]import success seats course'!$1:$2,2,FALSE),FALSE)/(VLOOKUP($A986,'[1]import graded seats course pivo'!$A:AE,HLOOKUP('[1]Course Totals'!G$4,'[1]import graded seats course pivo'!$1:$2,2,FALSE),FALSE))),"")</f>
        <v>1</v>
      </c>
      <c r="H986" s="14" t="str">
        <f>IFERROR((VLOOKUP($A986,'[1]import success seats course'!$A:V,HLOOKUP('[1]Course Totals'!H$4,'[1]import success seats course'!$1:$2,2,FALSE),FALSE)/(VLOOKUP($A986,'[1]import graded seats course pivo'!$A:AF,HLOOKUP('[1]Course Totals'!H$4,'[1]import graded seats course pivo'!$1:$2,2,FALSE),FALSE))),"")</f>
        <v/>
      </c>
      <c r="I986" s="14">
        <f>IFERROR((VLOOKUP($A986,'[1]import success seats course'!$A:W,HLOOKUP('[1]Course Totals'!I$4,'[1]import success seats course'!$1:$2,2,FALSE),FALSE)/(VLOOKUP($A986,'[1]import graded seats course pivo'!$A:AG,HLOOKUP('[1]Course Totals'!I$4,'[1]import graded seats course pivo'!$1:$2,2,FALSE),FALSE))),"")</f>
        <v>0.9</v>
      </c>
      <c r="J986" s="14">
        <f>IFERROR((VLOOKUP($A986,'[1]import success seats course'!$A:X,HLOOKUP('[1]Course Totals'!J$4,'[1]import success seats course'!$1:$2,2,FALSE),FALSE)/(VLOOKUP($A986,'[1]import graded seats course pivo'!$A:AH,HLOOKUP('[1]Course Totals'!J$4,'[1]import graded seats course pivo'!$1:$2,2,FALSE),FALSE))),"")</f>
        <v>0.95918367346938771</v>
      </c>
      <c r="K986" s="14" t="str">
        <f>IFERROR((VLOOKUP($A986,'[1]import success seats course'!$A:Y,HLOOKUP('[1]Course Totals'!K$4,'[1]import success seats course'!$1:$2,2,FALSE),FALSE)/(VLOOKUP($A986,'[1]import graded seats course pivo'!$A:AI,HLOOKUP('[1]Course Totals'!K$4,'[1]import graded seats course pivo'!$1:$2,2,FALSE),FALSE))),"")</f>
        <v/>
      </c>
      <c r="L986" s="14">
        <f>IFERROR((VLOOKUP($A986,'[1]import success seats course'!$A:Z,HLOOKUP('[1]Course Totals'!L$4,'[1]import success seats course'!$1:$2,2,FALSE),FALSE)/(VLOOKUP($A986,'[1]import graded seats course pivo'!$A:AJ,HLOOKUP('[1]Course Totals'!L$4,'[1]import graded seats course pivo'!$1:$2,2,FALSE),FALSE))),"")</f>
        <v>0.89655172413793105</v>
      </c>
      <c r="M986" s="14">
        <f>IFERROR((VLOOKUP($A986,'[1]import success seats course'!$A:AA,HLOOKUP('[1]Course Totals'!M$4,'[1]import success seats course'!$1:$2,2,FALSE),FALSE)/(VLOOKUP($A986,'[1]import graded seats course pivo'!$A:AK,HLOOKUP('[1]Course Totals'!M$4,'[1]import graded seats course pivo'!$1:$2,2,FALSE),FALSE))),"")</f>
        <v>0.9285714285714286</v>
      </c>
      <c r="N986" s="14" t="str">
        <f>IFERROR((VLOOKUP($A986,'[1]import success seats course'!$A:AB,HLOOKUP('[1]Course Totals'!N$4,'[1]import success seats course'!$1:$2,2,FALSE),FALSE)/(VLOOKUP($A986,'[1]import graded seats course pivo'!$A:AL,HLOOKUP('[1]Course Totals'!N$4,'[1]import graded seats course pivo'!$1:$2,2,FALSE),FALSE))),"")</f>
        <v/>
      </c>
      <c r="O986" s="14">
        <f>IFERROR((VLOOKUP($A986,'[1]import success seats course'!$A:AC,HLOOKUP('[1]Course Totals'!O$4,'[1]import success seats course'!$1:$2,2,FALSE),FALSE)/(VLOOKUP($A986,'[1]import graded seats course pivo'!$A:AM,HLOOKUP('[1]Course Totals'!O$4,'[1]import graded seats course pivo'!$1:$2,2,FALSE),FALSE))),"")</f>
        <v>0.97872340425531912</v>
      </c>
      <c r="P986" s="14">
        <f>IFERROR((VLOOKUP($A986,'[1]import success seats course'!$A:AD,HLOOKUP('[1]Course Totals'!P$4,'[1]import success seats course'!$1:$2,2,FALSE),FALSE)/(VLOOKUP($A986,'[1]import graded seats course pivo'!$A:AN,HLOOKUP('[1]Course Totals'!P$4,'[1]import graded seats course pivo'!$1:$2,2,FALSE),FALSE))),"")</f>
        <v>0.93181818181818177</v>
      </c>
      <c r="Q986" s="14" t="str">
        <f>IFERROR((VLOOKUP($A986,'[1]import success seats course'!$A:AE,HLOOKUP('[1]Course Totals'!Q$4,'[1]import success seats course'!$1:$2,2,FALSE),FALSE)/(VLOOKUP($A986,'[1]import graded seats course pivo'!$A:AO,HLOOKUP('[1]Course Totals'!Q$4,'[1]import graded seats course pivo'!$1:$2,2,FALSE),FALSE))),"")</f>
        <v/>
      </c>
      <c r="R986" s="14">
        <f>IFERROR((VLOOKUP($A986,'[1]import success seats course'!$A:AF,HLOOKUP('[1]Course Totals'!R$4,'[1]import success seats course'!$1:$2,2,FALSE),FALSE)/(VLOOKUP($A986,'[1]import graded seats course pivo'!$A:AP,HLOOKUP('[1]Course Totals'!R$4,'[1]import graded seats course pivo'!$1:$2,2,FALSE),FALSE))),"")</f>
        <v>0.95121951219512191</v>
      </c>
      <c r="S986" s="14">
        <f>IFERROR((VLOOKUP($A986,'[1]import success seats course'!$A:AG,HLOOKUP('[1]Course Totals'!S$4,'[1]import success seats course'!$1:$2,2,FALSE),FALSE)/(VLOOKUP($A986,'[1]import graded seats course pivo'!$A:AQ,HLOOKUP('[1]Course Totals'!S$4,'[1]import graded seats course pivo'!$1:$2,2,FALSE),FALSE))),"")</f>
        <v>0.91891891891891897</v>
      </c>
      <c r="Z986" s="7"/>
      <c r="AA986" s="7"/>
      <c r="AB986" s="7"/>
      <c r="AC986" s="7"/>
    </row>
    <row r="987" spans="1:29" ht="15.75" customHeight="1" x14ac:dyDescent="0.25">
      <c r="A987" s="12" t="s">
        <v>657</v>
      </c>
      <c r="B987" s="14" t="str">
        <f>IFERROR((VLOOKUP($A987,'[1]import success seats course'!$A:P,HLOOKUP('[1]Course Totals'!B$4,'[1]import success seats course'!$1:$2,2,FALSE),FALSE)/(VLOOKUP($A987,'[1]import graded seats course pivo'!$A:Z,HLOOKUP('[1]Course Totals'!B$4,'[1]import graded seats course pivo'!$1:$2,2,FALSE),FALSE))),"")</f>
        <v/>
      </c>
      <c r="C987" s="14" t="str">
        <f>IFERROR((VLOOKUP($A987,'[1]import success seats course'!$A:Q,HLOOKUP('[1]Course Totals'!C$4,'[1]import success seats course'!$1:$2,2,FALSE),FALSE)/(VLOOKUP($A987,'[1]import graded seats course pivo'!$A:AA,HLOOKUP('[1]Course Totals'!C$4,'[1]import graded seats course pivo'!$1:$2,2,FALSE),FALSE))),"")</f>
        <v/>
      </c>
      <c r="D987" s="14">
        <f>IFERROR((VLOOKUP($A987,'[1]import success seats course'!$A:R,HLOOKUP('[1]Course Totals'!D$4,'[1]import success seats course'!$1:$2,2,FALSE),FALSE)/(VLOOKUP($A987,'[1]import graded seats course pivo'!$A:AB,HLOOKUP('[1]Course Totals'!D$4,'[1]import graded seats course pivo'!$1:$2,2,FALSE),FALSE))),"")</f>
        <v>1</v>
      </c>
      <c r="E987" s="14" t="str">
        <f>IFERROR((VLOOKUP($A987,'[1]import success seats course'!$A:S,HLOOKUP('[1]Course Totals'!E$4,'[1]import success seats course'!$1:$2,2,FALSE),FALSE)/(VLOOKUP($A987,'[1]import graded seats course pivo'!$A:AC,HLOOKUP('[1]Course Totals'!E$4,'[1]import graded seats course pivo'!$1:$2,2,FALSE),FALSE))),"")</f>
        <v/>
      </c>
      <c r="F987" s="14">
        <f>IFERROR((VLOOKUP($A987,'[1]import success seats course'!$A:T,HLOOKUP('[1]Course Totals'!F$4,'[1]import success seats course'!$1:$2,2,FALSE),FALSE)/(VLOOKUP($A987,'[1]import graded seats course pivo'!$A:AD,HLOOKUP('[1]Course Totals'!F$4,'[1]import graded seats course pivo'!$1:$2,2,FALSE),FALSE))),"")</f>
        <v>0.92307692307692313</v>
      </c>
      <c r="G987" s="14">
        <f>IFERROR((VLOOKUP($A987,'[1]import success seats course'!$A:U,HLOOKUP('[1]Course Totals'!G$4,'[1]import success seats course'!$1:$2,2,FALSE),FALSE)/(VLOOKUP($A987,'[1]import graded seats course pivo'!$A:AE,HLOOKUP('[1]Course Totals'!G$4,'[1]import graded seats course pivo'!$1:$2,2,FALSE),FALSE))),"")</f>
        <v>0.91304347826086951</v>
      </c>
      <c r="H987" s="14" t="str">
        <f>IFERROR((VLOOKUP($A987,'[1]import success seats course'!$A:V,HLOOKUP('[1]Course Totals'!H$4,'[1]import success seats course'!$1:$2,2,FALSE),FALSE)/(VLOOKUP($A987,'[1]import graded seats course pivo'!$A:AF,HLOOKUP('[1]Course Totals'!H$4,'[1]import graded seats course pivo'!$1:$2,2,FALSE),FALSE))),"")</f>
        <v/>
      </c>
      <c r="I987" s="14">
        <f>IFERROR((VLOOKUP($A987,'[1]import success seats course'!$A:W,HLOOKUP('[1]Course Totals'!I$4,'[1]import success seats course'!$1:$2,2,FALSE),FALSE)/(VLOOKUP($A987,'[1]import graded seats course pivo'!$A:AG,HLOOKUP('[1]Course Totals'!I$4,'[1]import graded seats course pivo'!$1:$2,2,FALSE),FALSE))),"")</f>
        <v>0.94444444444444442</v>
      </c>
      <c r="J987" s="14">
        <f>IFERROR((VLOOKUP($A987,'[1]import success seats course'!$A:X,HLOOKUP('[1]Course Totals'!J$4,'[1]import success seats course'!$1:$2,2,FALSE),FALSE)/(VLOOKUP($A987,'[1]import graded seats course pivo'!$A:AH,HLOOKUP('[1]Course Totals'!J$4,'[1]import graded seats course pivo'!$1:$2,2,FALSE),FALSE))),"")</f>
        <v>1</v>
      </c>
      <c r="K987" s="14" t="str">
        <f>IFERROR((VLOOKUP($A987,'[1]import success seats course'!$A:Y,HLOOKUP('[1]Course Totals'!K$4,'[1]import success seats course'!$1:$2,2,FALSE),FALSE)/(VLOOKUP($A987,'[1]import graded seats course pivo'!$A:AI,HLOOKUP('[1]Course Totals'!K$4,'[1]import graded seats course pivo'!$1:$2,2,FALSE),FALSE))),"")</f>
        <v/>
      </c>
      <c r="L987" s="14">
        <f>IFERROR((VLOOKUP($A987,'[1]import success seats course'!$A:Z,HLOOKUP('[1]Course Totals'!L$4,'[1]import success seats course'!$1:$2,2,FALSE),FALSE)/(VLOOKUP($A987,'[1]import graded seats course pivo'!$A:AJ,HLOOKUP('[1]Course Totals'!L$4,'[1]import graded seats course pivo'!$1:$2,2,FALSE),FALSE))),"")</f>
        <v>0.94117647058823528</v>
      </c>
      <c r="M987" s="14">
        <f>IFERROR((VLOOKUP($A987,'[1]import success seats course'!$A:AA,HLOOKUP('[1]Course Totals'!M$4,'[1]import success seats course'!$1:$2,2,FALSE),FALSE)/(VLOOKUP($A987,'[1]import graded seats course pivo'!$A:AK,HLOOKUP('[1]Course Totals'!M$4,'[1]import graded seats course pivo'!$1:$2,2,FALSE),FALSE))),"")</f>
        <v>0.93548387096774188</v>
      </c>
      <c r="N987" s="14" t="str">
        <f>IFERROR((VLOOKUP($A987,'[1]import success seats course'!$A:AB,HLOOKUP('[1]Course Totals'!N$4,'[1]import success seats course'!$1:$2,2,FALSE),FALSE)/(VLOOKUP($A987,'[1]import graded seats course pivo'!$A:AL,HLOOKUP('[1]Course Totals'!N$4,'[1]import graded seats course pivo'!$1:$2,2,FALSE),FALSE))),"")</f>
        <v/>
      </c>
      <c r="O987" s="14">
        <f>IFERROR((VLOOKUP($A987,'[1]import success seats course'!$A:AC,HLOOKUP('[1]Course Totals'!O$4,'[1]import success seats course'!$1:$2,2,FALSE),FALSE)/(VLOOKUP($A987,'[1]import graded seats course pivo'!$A:AM,HLOOKUP('[1]Course Totals'!O$4,'[1]import graded seats course pivo'!$1:$2,2,FALSE),FALSE))),"")</f>
        <v>0.81081081081081086</v>
      </c>
      <c r="P987" s="14">
        <f>IFERROR((VLOOKUP($A987,'[1]import success seats course'!$A:AD,HLOOKUP('[1]Course Totals'!P$4,'[1]import success seats course'!$1:$2,2,FALSE),FALSE)/(VLOOKUP($A987,'[1]import graded seats course pivo'!$A:AN,HLOOKUP('[1]Course Totals'!P$4,'[1]import graded seats course pivo'!$1:$2,2,FALSE),FALSE))),"")</f>
        <v>0.95</v>
      </c>
      <c r="Q987" s="14" t="str">
        <f>IFERROR((VLOOKUP($A987,'[1]import success seats course'!$A:AE,HLOOKUP('[1]Course Totals'!Q$4,'[1]import success seats course'!$1:$2,2,FALSE),FALSE)/(VLOOKUP($A987,'[1]import graded seats course pivo'!$A:AO,HLOOKUP('[1]Course Totals'!Q$4,'[1]import graded seats course pivo'!$1:$2,2,FALSE),FALSE))),"")</f>
        <v/>
      </c>
      <c r="R987" s="14">
        <f>IFERROR((VLOOKUP($A987,'[1]import success seats course'!$A:AF,HLOOKUP('[1]Course Totals'!R$4,'[1]import success seats course'!$1:$2,2,FALSE),FALSE)/(VLOOKUP($A987,'[1]import graded seats course pivo'!$A:AP,HLOOKUP('[1]Course Totals'!R$4,'[1]import graded seats course pivo'!$1:$2,2,FALSE),FALSE))),"")</f>
        <v>0.93103448275862066</v>
      </c>
      <c r="S987" s="14">
        <f>IFERROR((VLOOKUP($A987,'[1]import success seats course'!$A:AG,HLOOKUP('[1]Course Totals'!S$4,'[1]import success seats course'!$1:$2,2,FALSE),FALSE)/(VLOOKUP($A987,'[1]import graded seats course pivo'!$A:AQ,HLOOKUP('[1]Course Totals'!S$4,'[1]import graded seats course pivo'!$1:$2,2,FALSE),FALSE))),"")</f>
        <v>0.7931034482758621</v>
      </c>
      <c r="Z987" s="7"/>
      <c r="AA987" s="7"/>
      <c r="AB987" s="7"/>
      <c r="AC987" s="7"/>
    </row>
    <row r="988" spans="1:29" ht="15.75" customHeight="1" x14ac:dyDescent="0.25">
      <c r="A988" s="12" t="s">
        <v>658</v>
      </c>
      <c r="B988" s="14" t="str">
        <f>IFERROR((VLOOKUP($A988,'[1]import success seats course'!$A:P,HLOOKUP('[1]Course Totals'!B$4,'[1]import success seats course'!$1:$2,2,FALSE),FALSE)/(VLOOKUP($A988,'[1]import graded seats course pivo'!$A:Z,HLOOKUP('[1]Course Totals'!B$4,'[1]import graded seats course pivo'!$1:$2,2,FALSE),FALSE))),"")</f>
        <v/>
      </c>
      <c r="C988" s="14" t="str">
        <f>IFERROR((VLOOKUP($A988,'[1]import success seats course'!$A:Q,HLOOKUP('[1]Course Totals'!C$4,'[1]import success seats course'!$1:$2,2,FALSE),FALSE)/(VLOOKUP($A988,'[1]import graded seats course pivo'!$A:AA,HLOOKUP('[1]Course Totals'!C$4,'[1]import graded seats course pivo'!$1:$2,2,FALSE),FALSE))),"")</f>
        <v/>
      </c>
      <c r="D988" s="14">
        <f>IFERROR((VLOOKUP($A988,'[1]import success seats course'!$A:R,HLOOKUP('[1]Course Totals'!D$4,'[1]import success seats course'!$1:$2,2,FALSE),FALSE)/(VLOOKUP($A988,'[1]import graded seats course pivo'!$A:AB,HLOOKUP('[1]Course Totals'!D$4,'[1]import graded seats course pivo'!$1:$2,2,FALSE),FALSE))),"")</f>
        <v>1</v>
      </c>
      <c r="E988" s="14" t="str">
        <f>IFERROR((VLOOKUP($A988,'[1]import success seats course'!$A:S,HLOOKUP('[1]Course Totals'!E$4,'[1]import success seats course'!$1:$2,2,FALSE),FALSE)/(VLOOKUP($A988,'[1]import graded seats course pivo'!$A:AC,HLOOKUP('[1]Course Totals'!E$4,'[1]import graded seats course pivo'!$1:$2,2,FALSE),FALSE))),"")</f>
        <v/>
      </c>
      <c r="F988" s="14">
        <f>IFERROR((VLOOKUP($A988,'[1]import success seats course'!$A:T,HLOOKUP('[1]Course Totals'!F$4,'[1]import success seats course'!$1:$2,2,FALSE),FALSE)/(VLOOKUP($A988,'[1]import graded seats course pivo'!$A:AD,HLOOKUP('[1]Course Totals'!F$4,'[1]import graded seats course pivo'!$1:$2,2,FALSE),FALSE))),"")</f>
        <v>1</v>
      </c>
      <c r="G988" s="14">
        <f>IFERROR((VLOOKUP($A988,'[1]import success seats course'!$A:U,HLOOKUP('[1]Course Totals'!G$4,'[1]import success seats course'!$1:$2,2,FALSE),FALSE)/(VLOOKUP($A988,'[1]import graded seats course pivo'!$A:AE,HLOOKUP('[1]Course Totals'!G$4,'[1]import graded seats course pivo'!$1:$2,2,FALSE),FALSE))),"")</f>
        <v>1</v>
      </c>
      <c r="H988" s="14" t="str">
        <f>IFERROR((VLOOKUP($A988,'[1]import success seats course'!$A:V,HLOOKUP('[1]Course Totals'!H$4,'[1]import success seats course'!$1:$2,2,FALSE),FALSE)/(VLOOKUP($A988,'[1]import graded seats course pivo'!$A:AF,HLOOKUP('[1]Course Totals'!H$4,'[1]import graded seats course pivo'!$1:$2,2,FALSE),FALSE))),"")</f>
        <v/>
      </c>
      <c r="I988" s="14" t="str">
        <f>IFERROR((VLOOKUP($A988,'[1]import success seats course'!$A:W,HLOOKUP('[1]Course Totals'!I$4,'[1]import success seats course'!$1:$2,2,FALSE),FALSE)/(VLOOKUP($A988,'[1]import graded seats course pivo'!$A:AG,HLOOKUP('[1]Course Totals'!I$4,'[1]import graded seats course pivo'!$1:$2,2,FALSE),FALSE))),"")</f>
        <v/>
      </c>
      <c r="J988" s="14" t="str">
        <f>IFERROR((VLOOKUP($A988,'[1]import success seats course'!$A:X,HLOOKUP('[1]Course Totals'!J$4,'[1]import success seats course'!$1:$2,2,FALSE),FALSE)/(VLOOKUP($A988,'[1]import graded seats course pivo'!$A:AH,HLOOKUP('[1]Course Totals'!J$4,'[1]import graded seats course pivo'!$1:$2,2,FALSE),FALSE))),"")</f>
        <v/>
      </c>
      <c r="K988" s="14" t="str">
        <f>IFERROR((VLOOKUP($A988,'[1]import success seats course'!$A:Y,HLOOKUP('[1]Course Totals'!K$4,'[1]import success seats course'!$1:$2,2,FALSE),FALSE)/(VLOOKUP($A988,'[1]import graded seats course pivo'!$A:AI,HLOOKUP('[1]Course Totals'!K$4,'[1]import graded seats course pivo'!$1:$2,2,FALSE),FALSE))),"")</f>
        <v/>
      </c>
      <c r="L988" s="14" t="str">
        <f>IFERROR((VLOOKUP($A988,'[1]import success seats course'!$A:Z,HLOOKUP('[1]Course Totals'!L$4,'[1]import success seats course'!$1:$2,2,FALSE),FALSE)/(VLOOKUP($A988,'[1]import graded seats course pivo'!$A:AJ,HLOOKUP('[1]Course Totals'!L$4,'[1]import graded seats course pivo'!$1:$2,2,FALSE),FALSE))),"")</f>
        <v/>
      </c>
      <c r="M988" s="14" t="str">
        <f>IFERROR((VLOOKUP($A988,'[1]import success seats course'!$A:AA,HLOOKUP('[1]Course Totals'!M$4,'[1]import success seats course'!$1:$2,2,FALSE),FALSE)/(VLOOKUP($A988,'[1]import graded seats course pivo'!$A:AK,HLOOKUP('[1]Course Totals'!M$4,'[1]import graded seats course pivo'!$1:$2,2,FALSE),FALSE))),"")</f>
        <v/>
      </c>
      <c r="N988" s="14" t="str">
        <f>IFERROR((VLOOKUP($A988,'[1]import success seats course'!$A:AB,HLOOKUP('[1]Course Totals'!N$4,'[1]import success seats course'!$1:$2,2,FALSE),FALSE)/(VLOOKUP($A988,'[1]import graded seats course pivo'!$A:AL,HLOOKUP('[1]Course Totals'!N$4,'[1]import graded seats course pivo'!$1:$2,2,FALSE),FALSE))),"")</f>
        <v/>
      </c>
      <c r="O988" s="14" t="str">
        <f>IFERROR((VLOOKUP($A988,'[1]import success seats course'!$A:AC,HLOOKUP('[1]Course Totals'!O$4,'[1]import success seats course'!$1:$2,2,FALSE),FALSE)/(VLOOKUP($A988,'[1]import graded seats course pivo'!$A:AM,HLOOKUP('[1]Course Totals'!O$4,'[1]import graded seats course pivo'!$1:$2,2,FALSE),FALSE))),"")</f>
        <v/>
      </c>
      <c r="P988" s="14">
        <f>IFERROR((VLOOKUP($A988,'[1]import success seats course'!$A:AD,HLOOKUP('[1]Course Totals'!P$4,'[1]import success seats course'!$1:$2,2,FALSE),FALSE)/(VLOOKUP($A988,'[1]import graded seats course pivo'!$A:AN,HLOOKUP('[1]Course Totals'!P$4,'[1]import graded seats course pivo'!$1:$2,2,FALSE),FALSE))),"")</f>
        <v>1</v>
      </c>
      <c r="Q988" s="14" t="str">
        <f>IFERROR((VLOOKUP($A988,'[1]import success seats course'!$A:AE,HLOOKUP('[1]Course Totals'!Q$4,'[1]import success seats course'!$1:$2,2,FALSE),FALSE)/(VLOOKUP($A988,'[1]import graded seats course pivo'!$A:AO,HLOOKUP('[1]Course Totals'!Q$4,'[1]import graded seats course pivo'!$1:$2,2,FALSE),FALSE))),"")</f>
        <v/>
      </c>
      <c r="R988" s="14" t="str">
        <f>IFERROR((VLOOKUP($A988,'[1]import success seats course'!$A:AF,HLOOKUP('[1]Course Totals'!R$4,'[1]import success seats course'!$1:$2,2,FALSE),FALSE)/(VLOOKUP($A988,'[1]import graded seats course pivo'!$A:AP,HLOOKUP('[1]Course Totals'!R$4,'[1]import graded seats course pivo'!$1:$2,2,FALSE),FALSE))),"")</f>
        <v/>
      </c>
      <c r="S988" s="14" t="str">
        <f>IFERROR((VLOOKUP($A988,'[1]import success seats course'!$A:AG,HLOOKUP('[1]Course Totals'!S$4,'[1]import success seats course'!$1:$2,2,FALSE),FALSE)/(VLOOKUP($A988,'[1]import graded seats course pivo'!$A:AQ,HLOOKUP('[1]Course Totals'!S$4,'[1]import graded seats course pivo'!$1:$2,2,FALSE),FALSE))),"")</f>
        <v/>
      </c>
      <c r="Z988" s="7"/>
      <c r="AA988" s="7"/>
      <c r="AB988" s="7"/>
      <c r="AC988" s="7"/>
    </row>
    <row r="989" spans="1:29" ht="15.75" x14ac:dyDescent="0.25">
      <c r="A989" s="9" t="s">
        <v>1139</v>
      </c>
      <c r="B989" s="67" t="str">
        <f>'[1]Subject TOTALS'!$B$1:$P$1</f>
        <v xml:space="preserve">MVC Retention Rates </v>
      </c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Z989" s="7"/>
      <c r="AA989" s="7"/>
      <c r="AB989" s="7"/>
      <c r="AC989" s="7"/>
    </row>
    <row r="990" spans="1:29" ht="15.75" customHeight="1" thickBot="1" x14ac:dyDescent="0.3">
      <c r="A990" s="8" t="str">
        <f>'[1]SUBJECTS BASE'!H57</f>
        <v>Physics</v>
      </c>
      <c r="B990" s="38" t="s">
        <v>1046</v>
      </c>
      <c r="C990" s="39" t="s">
        <v>0</v>
      </c>
      <c r="D990" s="40" t="s">
        <v>868</v>
      </c>
      <c r="E990" s="41" t="s">
        <v>1052</v>
      </c>
      <c r="F990" s="42" t="s">
        <v>546</v>
      </c>
      <c r="G990" s="43" t="s">
        <v>959</v>
      </c>
      <c r="H990" s="44" t="s">
        <v>1060</v>
      </c>
      <c r="I990" s="39" t="s">
        <v>675</v>
      </c>
      <c r="J990" s="45" t="s">
        <v>1006</v>
      </c>
      <c r="K990" s="46" t="s">
        <v>1062</v>
      </c>
      <c r="L990" s="42" t="s">
        <v>762</v>
      </c>
      <c r="M990" s="43" t="s">
        <v>1022</v>
      </c>
      <c r="N990" s="44" t="s">
        <v>1063</v>
      </c>
      <c r="O990" s="39" t="s">
        <v>822</v>
      </c>
      <c r="P990" s="40" t="s">
        <v>1042</v>
      </c>
      <c r="Q990" s="46" t="s">
        <v>1153</v>
      </c>
      <c r="R990" s="42" t="s">
        <v>1154</v>
      </c>
      <c r="S990" s="43" t="s">
        <v>1155</v>
      </c>
      <c r="Z990" s="7"/>
      <c r="AA990" s="7"/>
      <c r="AB990" s="7"/>
      <c r="AC990" s="7"/>
    </row>
    <row r="991" spans="1:29" ht="15.75" customHeight="1" x14ac:dyDescent="0.25">
      <c r="A991" s="12" t="s">
        <v>474</v>
      </c>
      <c r="B991" s="14">
        <f>IFERROR((VLOOKUP($A991,'[1]import success seats course'!$A:P,HLOOKUP('[1]Course Totals'!B$4,'[1]import success seats course'!$1:$2,2,FALSE),FALSE)/(VLOOKUP($A991,'[1]import graded seats course pivo'!$A:Z,HLOOKUP('[1]Course Totals'!B$4,'[1]import graded seats course pivo'!$1:$2,2,FALSE),FALSE))),"")</f>
        <v>0.89473684210526316</v>
      </c>
      <c r="C991" s="14">
        <f>IFERROR((VLOOKUP($A991,'[1]import success seats course'!$A:Q,HLOOKUP('[1]Course Totals'!C$4,'[1]import success seats course'!$1:$2,2,FALSE),FALSE)/(VLOOKUP($A991,'[1]import graded seats course pivo'!$A:AA,HLOOKUP('[1]Course Totals'!C$4,'[1]import graded seats course pivo'!$1:$2,2,FALSE),FALSE))),"")</f>
        <v>0.63218390804597702</v>
      </c>
      <c r="D991" s="14">
        <f>IFERROR((VLOOKUP($A991,'[1]import success seats course'!$A:R,HLOOKUP('[1]Course Totals'!D$4,'[1]import success seats course'!$1:$2,2,FALSE),FALSE)/(VLOOKUP($A991,'[1]import graded seats course pivo'!$A:AB,HLOOKUP('[1]Course Totals'!D$4,'[1]import graded seats course pivo'!$1:$2,2,FALSE),FALSE))),"")</f>
        <v>0.75862068965517238</v>
      </c>
      <c r="E991" s="14" t="str">
        <f>IFERROR((VLOOKUP($A991,'[1]import success seats course'!$A:S,HLOOKUP('[1]Course Totals'!E$4,'[1]import success seats course'!$1:$2,2,FALSE),FALSE)/(VLOOKUP($A991,'[1]import graded seats course pivo'!$A:AC,HLOOKUP('[1]Course Totals'!E$4,'[1]import graded seats course pivo'!$1:$2,2,FALSE),FALSE))),"")</f>
        <v/>
      </c>
      <c r="F991" s="14">
        <f>IFERROR((VLOOKUP($A991,'[1]import success seats course'!$A:T,HLOOKUP('[1]Course Totals'!F$4,'[1]import success seats course'!$1:$2,2,FALSE),FALSE)/(VLOOKUP($A991,'[1]import graded seats course pivo'!$A:AD,HLOOKUP('[1]Course Totals'!F$4,'[1]import graded seats course pivo'!$1:$2,2,FALSE),FALSE))),"")</f>
        <v>0.69911504424778759</v>
      </c>
      <c r="G991" s="14">
        <f>IFERROR((VLOOKUP($A991,'[1]import success seats course'!$A:U,HLOOKUP('[1]Course Totals'!G$4,'[1]import success seats course'!$1:$2,2,FALSE),FALSE)/(VLOOKUP($A991,'[1]import graded seats course pivo'!$A:AE,HLOOKUP('[1]Course Totals'!G$4,'[1]import graded seats course pivo'!$1:$2,2,FALSE),FALSE))),"")</f>
        <v>0.69491525423728817</v>
      </c>
      <c r="H991" s="14">
        <f>IFERROR((VLOOKUP($A991,'[1]import success seats course'!$A:V,HLOOKUP('[1]Course Totals'!H$4,'[1]import success seats course'!$1:$2,2,FALSE),FALSE)/(VLOOKUP($A991,'[1]import graded seats course pivo'!$A:AF,HLOOKUP('[1]Course Totals'!H$4,'[1]import graded seats course pivo'!$1:$2,2,FALSE),FALSE))),"")</f>
        <v>0.92592592592592593</v>
      </c>
      <c r="I991" s="14">
        <f>IFERROR((VLOOKUP($A991,'[1]import success seats course'!$A:W,HLOOKUP('[1]Course Totals'!I$4,'[1]import success seats course'!$1:$2,2,FALSE),FALSE)/(VLOOKUP($A991,'[1]import graded seats course pivo'!$A:AG,HLOOKUP('[1]Course Totals'!I$4,'[1]import graded seats course pivo'!$1:$2,2,FALSE),FALSE))),"")</f>
        <v>0.68571428571428572</v>
      </c>
      <c r="J991" s="14">
        <f>IFERROR((VLOOKUP($A991,'[1]import success seats course'!$A:X,HLOOKUP('[1]Course Totals'!J$4,'[1]import success seats course'!$1:$2,2,FALSE),FALSE)/(VLOOKUP($A991,'[1]import graded seats course pivo'!$A:AH,HLOOKUP('[1]Course Totals'!J$4,'[1]import graded seats course pivo'!$1:$2,2,FALSE),FALSE))),"")</f>
        <v>0.75</v>
      </c>
      <c r="K991" s="14" t="str">
        <f>IFERROR((VLOOKUP($A991,'[1]import success seats course'!$A:Y,HLOOKUP('[1]Course Totals'!K$4,'[1]import success seats course'!$1:$2,2,FALSE),FALSE)/(VLOOKUP($A991,'[1]import graded seats course pivo'!$A:AI,HLOOKUP('[1]Course Totals'!K$4,'[1]import graded seats course pivo'!$1:$2,2,FALSE),FALSE))),"")</f>
        <v/>
      </c>
      <c r="L991" s="14">
        <f>IFERROR((VLOOKUP($A991,'[1]import success seats course'!$A:Z,HLOOKUP('[1]Course Totals'!L$4,'[1]import success seats course'!$1:$2,2,FALSE),FALSE)/(VLOOKUP($A991,'[1]import graded seats course pivo'!$A:AJ,HLOOKUP('[1]Course Totals'!L$4,'[1]import graded seats course pivo'!$1:$2,2,FALSE),FALSE))),"")</f>
        <v>0.83333333333333337</v>
      </c>
      <c r="M991" s="14">
        <f>IFERROR((VLOOKUP($A991,'[1]import success seats course'!$A:AA,HLOOKUP('[1]Course Totals'!M$4,'[1]import success seats course'!$1:$2,2,FALSE),FALSE)/(VLOOKUP($A991,'[1]import graded seats course pivo'!$A:AK,HLOOKUP('[1]Course Totals'!M$4,'[1]import graded seats course pivo'!$1:$2,2,FALSE),FALSE))),"")</f>
        <v>0.70833333333333337</v>
      </c>
      <c r="N991" s="14" t="str">
        <f>IFERROR((VLOOKUP($A991,'[1]import success seats course'!$A:AB,HLOOKUP('[1]Course Totals'!N$4,'[1]import success seats course'!$1:$2,2,FALSE),FALSE)/(VLOOKUP($A991,'[1]import graded seats course pivo'!$A:AL,HLOOKUP('[1]Course Totals'!N$4,'[1]import graded seats course pivo'!$1:$2,2,FALSE),FALSE))),"")</f>
        <v/>
      </c>
      <c r="O991" s="14">
        <f>IFERROR((VLOOKUP($A991,'[1]import success seats course'!$A:AC,HLOOKUP('[1]Course Totals'!O$4,'[1]import success seats course'!$1:$2,2,FALSE),FALSE)/(VLOOKUP($A991,'[1]import graded seats course pivo'!$A:AM,HLOOKUP('[1]Course Totals'!O$4,'[1]import graded seats course pivo'!$1:$2,2,FALSE),FALSE))),"")</f>
        <v>0.75862068965517238</v>
      </c>
      <c r="P991" s="14">
        <f>IFERROR((VLOOKUP($A991,'[1]import success seats course'!$A:AD,HLOOKUP('[1]Course Totals'!P$4,'[1]import success seats course'!$1:$2,2,FALSE),FALSE)/(VLOOKUP($A991,'[1]import graded seats course pivo'!$A:AN,HLOOKUP('[1]Course Totals'!P$4,'[1]import graded seats course pivo'!$1:$2,2,FALSE),FALSE))),"")</f>
        <v>0.70270270270270274</v>
      </c>
      <c r="Q991" s="14" t="str">
        <f>IFERROR((VLOOKUP($A991,'[1]import success seats course'!$A:AE,HLOOKUP('[1]Course Totals'!Q$4,'[1]import success seats course'!$1:$2,2,FALSE),FALSE)/(VLOOKUP($A991,'[1]import graded seats course pivo'!$A:AO,HLOOKUP('[1]Course Totals'!Q$4,'[1]import graded seats course pivo'!$1:$2,2,FALSE),FALSE))),"")</f>
        <v/>
      </c>
      <c r="R991" s="14">
        <f>IFERROR((VLOOKUP($A991,'[1]import success seats course'!$A:AF,HLOOKUP('[1]Course Totals'!R$4,'[1]import success seats course'!$1:$2,2,FALSE),FALSE)/(VLOOKUP($A991,'[1]import graded seats course pivo'!$A:AP,HLOOKUP('[1]Course Totals'!R$4,'[1]import graded seats course pivo'!$1:$2,2,FALSE),FALSE))),"")</f>
        <v>0.75471698113207553</v>
      </c>
      <c r="S991" s="14">
        <f>IFERROR((VLOOKUP($A991,'[1]import success seats course'!$A:AG,HLOOKUP('[1]Course Totals'!S$4,'[1]import success seats course'!$1:$2,2,FALSE),FALSE)/(VLOOKUP($A991,'[1]import graded seats course pivo'!$A:AQ,HLOOKUP('[1]Course Totals'!S$4,'[1]import graded seats course pivo'!$1:$2,2,FALSE),FALSE))),"")</f>
        <v>0.92</v>
      </c>
      <c r="Z991" s="7"/>
      <c r="AA991" s="7"/>
      <c r="AB991" s="7"/>
      <c r="AC991" s="7"/>
    </row>
    <row r="992" spans="1:29" ht="15.75" customHeight="1" x14ac:dyDescent="0.25">
      <c r="A992" s="12" t="s">
        <v>475</v>
      </c>
      <c r="B992" s="14">
        <f>IFERROR((VLOOKUP($A992,'[1]import success seats course'!$A:P,HLOOKUP('[1]Course Totals'!B$4,'[1]import success seats course'!$1:$2,2,FALSE),FALSE)/(VLOOKUP($A992,'[1]import graded seats course pivo'!$A:Z,HLOOKUP('[1]Course Totals'!B$4,'[1]import graded seats course pivo'!$1:$2,2,FALSE),FALSE))),"")</f>
        <v>0.5714285714285714</v>
      </c>
      <c r="C992" s="14">
        <f>IFERROR((VLOOKUP($A992,'[1]import success seats course'!$A:Q,HLOOKUP('[1]Course Totals'!C$4,'[1]import success seats course'!$1:$2,2,FALSE),FALSE)/(VLOOKUP($A992,'[1]import graded seats course pivo'!$A:AA,HLOOKUP('[1]Course Totals'!C$4,'[1]import graded seats course pivo'!$1:$2,2,FALSE),FALSE))),"")</f>
        <v>0.4375</v>
      </c>
      <c r="D992" s="14" t="str">
        <f>IFERROR((VLOOKUP($A992,'[1]import success seats course'!$A:R,HLOOKUP('[1]Course Totals'!D$4,'[1]import success seats course'!$1:$2,2,FALSE),FALSE)/(VLOOKUP($A992,'[1]import graded seats course pivo'!$A:AB,HLOOKUP('[1]Course Totals'!D$4,'[1]import graded seats course pivo'!$1:$2,2,FALSE),FALSE))),"")</f>
        <v/>
      </c>
      <c r="E992" s="14">
        <f>IFERROR((VLOOKUP($A992,'[1]import success seats course'!$A:S,HLOOKUP('[1]Course Totals'!E$4,'[1]import success seats course'!$1:$2,2,FALSE),FALSE)/(VLOOKUP($A992,'[1]import graded seats course pivo'!$A:AC,HLOOKUP('[1]Course Totals'!E$4,'[1]import graded seats course pivo'!$1:$2,2,FALSE),FALSE))),"")</f>
        <v>0.95652173913043481</v>
      </c>
      <c r="F992" s="14">
        <f>IFERROR((VLOOKUP($A992,'[1]import success seats course'!$A:T,HLOOKUP('[1]Course Totals'!F$4,'[1]import success seats course'!$1:$2,2,FALSE),FALSE)/(VLOOKUP($A992,'[1]import graded seats course pivo'!$A:AD,HLOOKUP('[1]Course Totals'!F$4,'[1]import graded seats course pivo'!$1:$2,2,FALSE),FALSE))),"")</f>
        <v>0.80645161290322576</v>
      </c>
      <c r="G992" s="14" t="str">
        <f>IFERROR((VLOOKUP($A992,'[1]import success seats course'!$A:U,HLOOKUP('[1]Course Totals'!G$4,'[1]import success seats course'!$1:$2,2,FALSE),FALSE)/(VLOOKUP($A992,'[1]import graded seats course pivo'!$A:AE,HLOOKUP('[1]Course Totals'!G$4,'[1]import graded seats course pivo'!$1:$2,2,FALSE),FALSE))),"")</f>
        <v/>
      </c>
      <c r="H992" s="14" t="str">
        <f>IFERROR((VLOOKUP($A992,'[1]import success seats course'!$A:V,HLOOKUP('[1]Course Totals'!H$4,'[1]import success seats course'!$1:$2,2,FALSE),FALSE)/(VLOOKUP($A992,'[1]import graded seats course pivo'!$A:AF,HLOOKUP('[1]Course Totals'!H$4,'[1]import graded seats course pivo'!$1:$2,2,FALSE),FALSE))),"")</f>
        <v/>
      </c>
      <c r="I992" s="14">
        <f>IFERROR((VLOOKUP($A992,'[1]import success seats course'!$A:W,HLOOKUP('[1]Course Totals'!I$4,'[1]import success seats course'!$1:$2,2,FALSE),FALSE)/(VLOOKUP($A992,'[1]import graded seats course pivo'!$A:AG,HLOOKUP('[1]Course Totals'!I$4,'[1]import graded seats course pivo'!$1:$2,2,FALSE),FALSE))),"")</f>
        <v>0.7</v>
      </c>
      <c r="J992" s="14" t="str">
        <f>IFERROR((VLOOKUP($A992,'[1]import success seats course'!$A:X,HLOOKUP('[1]Course Totals'!J$4,'[1]import success seats course'!$1:$2,2,FALSE),FALSE)/(VLOOKUP($A992,'[1]import graded seats course pivo'!$A:AH,HLOOKUP('[1]Course Totals'!J$4,'[1]import graded seats course pivo'!$1:$2,2,FALSE),FALSE))),"")</f>
        <v/>
      </c>
      <c r="K992" s="14" t="str">
        <f>IFERROR((VLOOKUP($A992,'[1]import success seats course'!$A:Y,HLOOKUP('[1]Course Totals'!K$4,'[1]import success seats course'!$1:$2,2,FALSE),FALSE)/(VLOOKUP($A992,'[1]import graded seats course pivo'!$A:AI,HLOOKUP('[1]Course Totals'!K$4,'[1]import graded seats course pivo'!$1:$2,2,FALSE),FALSE))),"")</f>
        <v/>
      </c>
      <c r="L992" s="14">
        <f>IFERROR((VLOOKUP($A992,'[1]import success seats course'!$A:Z,HLOOKUP('[1]Course Totals'!L$4,'[1]import success seats course'!$1:$2,2,FALSE),FALSE)/(VLOOKUP($A992,'[1]import graded seats course pivo'!$A:AJ,HLOOKUP('[1]Course Totals'!L$4,'[1]import graded seats course pivo'!$1:$2,2,FALSE),FALSE))),"")</f>
        <v>0.68571428571428572</v>
      </c>
      <c r="M992" s="14">
        <f>IFERROR((VLOOKUP($A992,'[1]import success seats course'!$A:AA,HLOOKUP('[1]Course Totals'!M$4,'[1]import success seats course'!$1:$2,2,FALSE),FALSE)/(VLOOKUP($A992,'[1]import graded seats course pivo'!$A:AK,HLOOKUP('[1]Course Totals'!M$4,'[1]import graded seats course pivo'!$1:$2,2,FALSE),FALSE))),"")</f>
        <v>0.7931034482758621</v>
      </c>
      <c r="N992" s="14" t="str">
        <f>IFERROR((VLOOKUP($A992,'[1]import success seats course'!$A:AB,HLOOKUP('[1]Course Totals'!N$4,'[1]import success seats course'!$1:$2,2,FALSE),FALSE)/(VLOOKUP($A992,'[1]import graded seats course pivo'!$A:AL,HLOOKUP('[1]Course Totals'!N$4,'[1]import graded seats course pivo'!$1:$2,2,FALSE),FALSE))),"")</f>
        <v/>
      </c>
      <c r="O992" s="14">
        <f>IFERROR((VLOOKUP($A992,'[1]import success seats course'!$A:AC,HLOOKUP('[1]Course Totals'!O$4,'[1]import success seats course'!$1:$2,2,FALSE),FALSE)/(VLOOKUP($A992,'[1]import graded seats course pivo'!$A:AM,HLOOKUP('[1]Course Totals'!O$4,'[1]import graded seats course pivo'!$1:$2,2,FALSE),FALSE))),"")</f>
        <v>0.65625</v>
      </c>
      <c r="P992" s="14">
        <f>IFERROR((VLOOKUP($A992,'[1]import success seats course'!$A:AD,HLOOKUP('[1]Course Totals'!P$4,'[1]import success seats course'!$1:$2,2,FALSE),FALSE)/(VLOOKUP($A992,'[1]import graded seats course pivo'!$A:AN,HLOOKUP('[1]Course Totals'!P$4,'[1]import graded seats course pivo'!$1:$2,2,FALSE),FALSE))),"")</f>
        <v>0.6428571428571429</v>
      </c>
      <c r="Q992" s="14" t="str">
        <f>IFERROR((VLOOKUP($A992,'[1]import success seats course'!$A:AE,HLOOKUP('[1]Course Totals'!Q$4,'[1]import success seats course'!$1:$2,2,FALSE),FALSE)/(VLOOKUP($A992,'[1]import graded seats course pivo'!$A:AO,HLOOKUP('[1]Course Totals'!Q$4,'[1]import graded seats course pivo'!$1:$2,2,FALSE),FALSE))),"")</f>
        <v/>
      </c>
      <c r="R992" s="14">
        <f>IFERROR((VLOOKUP($A992,'[1]import success seats course'!$A:AF,HLOOKUP('[1]Course Totals'!R$4,'[1]import success seats course'!$1:$2,2,FALSE),FALSE)/(VLOOKUP($A992,'[1]import graded seats course pivo'!$A:AP,HLOOKUP('[1]Course Totals'!R$4,'[1]import graded seats course pivo'!$1:$2,2,FALSE),FALSE))),"")</f>
        <v>0.61538461538461542</v>
      </c>
      <c r="S992" s="14">
        <f>IFERROR((VLOOKUP($A992,'[1]import success seats course'!$A:AG,HLOOKUP('[1]Course Totals'!S$4,'[1]import success seats course'!$1:$2,2,FALSE),FALSE)/(VLOOKUP($A992,'[1]import graded seats course pivo'!$A:AQ,HLOOKUP('[1]Course Totals'!S$4,'[1]import graded seats course pivo'!$1:$2,2,FALSE),FALSE))),"")</f>
        <v>0.68965517241379315</v>
      </c>
      <c r="Z992" s="7"/>
      <c r="AA992" s="7"/>
      <c r="AB992" s="7"/>
      <c r="AC992" s="7"/>
    </row>
    <row r="993" spans="1:29" ht="15.75" customHeight="1" x14ac:dyDescent="0.25">
      <c r="A993" s="12" t="s">
        <v>945</v>
      </c>
      <c r="B993" s="14" t="str">
        <f>IFERROR((VLOOKUP($A993,'[1]import success seats course'!$A:P,HLOOKUP('[1]Course Totals'!B$4,'[1]import success seats course'!$1:$2,2,FALSE),FALSE)/(VLOOKUP($A993,'[1]import graded seats course pivo'!$A:Z,HLOOKUP('[1]Course Totals'!B$4,'[1]import graded seats course pivo'!$1:$2,2,FALSE),FALSE))),"")</f>
        <v/>
      </c>
      <c r="C993" s="14" t="str">
        <f>IFERROR((VLOOKUP($A993,'[1]import success seats course'!$A:Q,HLOOKUP('[1]Course Totals'!C$4,'[1]import success seats course'!$1:$2,2,FALSE),FALSE)/(VLOOKUP($A993,'[1]import graded seats course pivo'!$A:AA,HLOOKUP('[1]Course Totals'!C$4,'[1]import graded seats course pivo'!$1:$2,2,FALSE),FALSE))),"")</f>
        <v/>
      </c>
      <c r="D993" s="14" t="str">
        <f>IFERROR((VLOOKUP($A993,'[1]import success seats course'!$A:R,HLOOKUP('[1]Course Totals'!D$4,'[1]import success seats course'!$1:$2,2,FALSE),FALSE)/(VLOOKUP($A993,'[1]import graded seats course pivo'!$A:AB,HLOOKUP('[1]Course Totals'!D$4,'[1]import graded seats course pivo'!$1:$2,2,FALSE),FALSE))),"")</f>
        <v/>
      </c>
      <c r="E993" s="14" t="str">
        <f>IFERROR((VLOOKUP($A993,'[1]import success seats course'!$A:S,HLOOKUP('[1]Course Totals'!E$4,'[1]import success seats course'!$1:$2,2,FALSE),FALSE)/(VLOOKUP($A993,'[1]import graded seats course pivo'!$A:AC,HLOOKUP('[1]Course Totals'!E$4,'[1]import graded seats course pivo'!$1:$2,2,FALSE),FALSE))),"")</f>
        <v/>
      </c>
      <c r="F993" s="14" t="str">
        <f>IFERROR((VLOOKUP($A993,'[1]import success seats course'!$A:T,HLOOKUP('[1]Course Totals'!F$4,'[1]import success seats course'!$1:$2,2,FALSE),FALSE)/(VLOOKUP($A993,'[1]import graded seats course pivo'!$A:AD,HLOOKUP('[1]Course Totals'!F$4,'[1]import graded seats course pivo'!$1:$2,2,FALSE),FALSE))),"")</f>
        <v/>
      </c>
      <c r="G993" s="14">
        <f>IFERROR((VLOOKUP($A993,'[1]import success seats course'!$A:U,HLOOKUP('[1]Course Totals'!G$4,'[1]import success seats course'!$1:$2,2,FALSE),FALSE)/(VLOOKUP($A993,'[1]import graded seats course pivo'!$A:AE,HLOOKUP('[1]Course Totals'!G$4,'[1]import graded seats course pivo'!$1:$2,2,FALSE),FALSE))),"")</f>
        <v>1</v>
      </c>
      <c r="H993" s="14" t="str">
        <f>IFERROR((VLOOKUP($A993,'[1]import success seats course'!$A:V,HLOOKUP('[1]Course Totals'!H$4,'[1]import success seats course'!$1:$2,2,FALSE),FALSE)/(VLOOKUP($A993,'[1]import graded seats course pivo'!$A:AF,HLOOKUP('[1]Course Totals'!H$4,'[1]import graded seats course pivo'!$1:$2,2,FALSE),FALSE))),"")</f>
        <v/>
      </c>
      <c r="I993" s="14" t="str">
        <f>IFERROR((VLOOKUP($A993,'[1]import success seats course'!$A:W,HLOOKUP('[1]Course Totals'!I$4,'[1]import success seats course'!$1:$2,2,FALSE),FALSE)/(VLOOKUP($A993,'[1]import graded seats course pivo'!$A:AG,HLOOKUP('[1]Course Totals'!I$4,'[1]import graded seats course pivo'!$1:$2,2,FALSE),FALSE))),"")</f>
        <v/>
      </c>
      <c r="J993" s="14">
        <f>IFERROR((VLOOKUP($A993,'[1]import success seats course'!$A:X,HLOOKUP('[1]Course Totals'!J$4,'[1]import success seats course'!$1:$2,2,FALSE),FALSE)/(VLOOKUP($A993,'[1]import graded seats course pivo'!$A:AH,HLOOKUP('[1]Course Totals'!J$4,'[1]import graded seats course pivo'!$1:$2,2,FALSE),FALSE))),"")</f>
        <v>0.81818181818181823</v>
      </c>
      <c r="K993" s="14" t="str">
        <f>IFERROR((VLOOKUP($A993,'[1]import success seats course'!$A:Y,HLOOKUP('[1]Course Totals'!K$4,'[1]import success seats course'!$1:$2,2,FALSE),FALSE)/(VLOOKUP($A993,'[1]import graded seats course pivo'!$A:AI,HLOOKUP('[1]Course Totals'!K$4,'[1]import graded seats course pivo'!$1:$2,2,FALSE),FALSE))),"")</f>
        <v/>
      </c>
      <c r="L993" s="14" t="str">
        <f>IFERROR((VLOOKUP($A993,'[1]import success seats course'!$A:Z,HLOOKUP('[1]Course Totals'!L$4,'[1]import success seats course'!$1:$2,2,FALSE),FALSE)/(VLOOKUP($A993,'[1]import graded seats course pivo'!$A:AJ,HLOOKUP('[1]Course Totals'!L$4,'[1]import graded seats course pivo'!$1:$2,2,FALSE),FALSE))),"")</f>
        <v/>
      </c>
      <c r="M993" s="14">
        <f>IFERROR((VLOOKUP($A993,'[1]import success seats course'!$A:AA,HLOOKUP('[1]Course Totals'!M$4,'[1]import success seats course'!$1:$2,2,FALSE),FALSE)/(VLOOKUP($A993,'[1]import graded seats course pivo'!$A:AK,HLOOKUP('[1]Course Totals'!M$4,'[1]import graded seats course pivo'!$1:$2,2,FALSE),FALSE))),"")</f>
        <v>0.6428571428571429</v>
      </c>
      <c r="N993" s="14" t="str">
        <f>IFERROR((VLOOKUP($A993,'[1]import success seats course'!$A:AB,HLOOKUP('[1]Course Totals'!N$4,'[1]import success seats course'!$1:$2,2,FALSE),FALSE)/(VLOOKUP($A993,'[1]import graded seats course pivo'!$A:AL,HLOOKUP('[1]Course Totals'!N$4,'[1]import graded seats course pivo'!$1:$2,2,FALSE),FALSE))),"")</f>
        <v/>
      </c>
      <c r="O993" s="14" t="str">
        <f>IFERROR((VLOOKUP($A993,'[1]import success seats course'!$A:AC,HLOOKUP('[1]Course Totals'!O$4,'[1]import success seats course'!$1:$2,2,FALSE),FALSE)/(VLOOKUP($A993,'[1]import graded seats course pivo'!$A:AM,HLOOKUP('[1]Course Totals'!O$4,'[1]import graded seats course pivo'!$1:$2,2,FALSE),FALSE))),"")</f>
        <v/>
      </c>
      <c r="P993" s="14">
        <f>IFERROR((VLOOKUP($A993,'[1]import success seats course'!$A:AD,HLOOKUP('[1]Course Totals'!P$4,'[1]import success seats course'!$1:$2,2,FALSE),FALSE)/(VLOOKUP($A993,'[1]import graded seats course pivo'!$A:AN,HLOOKUP('[1]Course Totals'!P$4,'[1]import graded seats course pivo'!$1:$2,2,FALSE),FALSE))),"")</f>
        <v>0.66666666666666663</v>
      </c>
      <c r="Q993" s="14" t="str">
        <f>IFERROR((VLOOKUP($A993,'[1]import success seats course'!$A:AE,HLOOKUP('[1]Course Totals'!Q$4,'[1]import success seats course'!$1:$2,2,FALSE),FALSE)/(VLOOKUP($A993,'[1]import graded seats course pivo'!$A:AO,HLOOKUP('[1]Course Totals'!Q$4,'[1]import graded seats course pivo'!$1:$2,2,FALSE),FALSE))),"")</f>
        <v/>
      </c>
      <c r="R993" s="14" t="str">
        <f>IFERROR((VLOOKUP($A993,'[1]import success seats course'!$A:AF,HLOOKUP('[1]Course Totals'!R$4,'[1]import success seats course'!$1:$2,2,FALSE),FALSE)/(VLOOKUP($A993,'[1]import graded seats course pivo'!$A:AP,HLOOKUP('[1]Course Totals'!R$4,'[1]import graded seats course pivo'!$1:$2,2,FALSE),FALSE))),"")</f>
        <v/>
      </c>
      <c r="S993" s="14">
        <f>IFERROR((VLOOKUP($A993,'[1]import success seats course'!$A:AG,HLOOKUP('[1]Course Totals'!S$4,'[1]import success seats course'!$1:$2,2,FALSE),FALSE)/(VLOOKUP($A993,'[1]import graded seats course pivo'!$A:AQ,HLOOKUP('[1]Course Totals'!S$4,'[1]import graded seats course pivo'!$1:$2,2,FALSE),FALSE))),"")</f>
        <v>0.46153846153846156</v>
      </c>
      <c r="Z993" s="7"/>
      <c r="AA993" s="7"/>
      <c r="AB993" s="7"/>
      <c r="AC993" s="7"/>
    </row>
    <row r="994" spans="1:29" ht="15.75" customHeight="1" x14ac:dyDescent="0.25">
      <c r="A994" s="12" t="s">
        <v>476</v>
      </c>
      <c r="B994" s="14" t="str">
        <f>IFERROR((VLOOKUP($A994,'[1]import success seats course'!$A:P,HLOOKUP('[1]Course Totals'!B$4,'[1]import success seats course'!$1:$2,2,FALSE),FALSE)/(VLOOKUP($A994,'[1]import graded seats course pivo'!$A:Z,HLOOKUP('[1]Course Totals'!B$4,'[1]import graded seats course pivo'!$1:$2,2,FALSE),FALSE))),"")</f>
        <v/>
      </c>
      <c r="C994" s="14">
        <f>IFERROR((VLOOKUP($A994,'[1]import success seats course'!$A:Q,HLOOKUP('[1]Course Totals'!C$4,'[1]import success seats course'!$1:$2,2,FALSE),FALSE)/(VLOOKUP($A994,'[1]import graded seats course pivo'!$A:AA,HLOOKUP('[1]Course Totals'!C$4,'[1]import graded seats course pivo'!$1:$2,2,FALSE),FALSE))),"")</f>
        <v>0.70588235294117652</v>
      </c>
      <c r="D994" s="14" t="str">
        <f>IFERROR((VLOOKUP($A994,'[1]import success seats course'!$A:R,HLOOKUP('[1]Course Totals'!D$4,'[1]import success seats course'!$1:$2,2,FALSE),FALSE)/(VLOOKUP($A994,'[1]import graded seats course pivo'!$A:AB,HLOOKUP('[1]Course Totals'!D$4,'[1]import graded seats course pivo'!$1:$2,2,FALSE),FALSE))),"")</f>
        <v/>
      </c>
      <c r="E994" s="14" t="str">
        <f>IFERROR((VLOOKUP($A994,'[1]import success seats course'!$A:S,HLOOKUP('[1]Course Totals'!E$4,'[1]import success seats course'!$1:$2,2,FALSE),FALSE)/(VLOOKUP($A994,'[1]import graded seats course pivo'!$A:AC,HLOOKUP('[1]Course Totals'!E$4,'[1]import graded seats course pivo'!$1:$2,2,FALSE),FALSE))),"")</f>
        <v/>
      </c>
      <c r="F994" s="14">
        <f>IFERROR((VLOOKUP($A994,'[1]import success seats course'!$A:T,HLOOKUP('[1]Course Totals'!F$4,'[1]import success seats course'!$1:$2,2,FALSE),FALSE)/(VLOOKUP($A994,'[1]import graded seats course pivo'!$A:AD,HLOOKUP('[1]Course Totals'!F$4,'[1]import graded seats course pivo'!$1:$2,2,FALSE),FALSE))),"")</f>
        <v>0.69230769230769229</v>
      </c>
      <c r="G994" s="14" t="str">
        <f>IFERROR((VLOOKUP($A994,'[1]import success seats course'!$A:U,HLOOKUP('[1]Course Totals'!G$4,'[1]import success seats course'!$1:$2,2,FALSE),FALSE)/(VLOOKUP($A994,'[1]import graded seats course pivo'!$A:AE,HLOOKUP('[1]Course Totals'!G$4,'[1]import graded seats course pivo'!$1:$2,2,FALSE),FALSE))),"")</f>
        <v/>
      </c>
      <c r="H994" s="14" t="str">
        <f>IFERROR((VLOOKUP($A994,'[1]import success seats course'!$A:V,HLOOKUP('[1]Course Totals'!H$4,'[1]import success seats course'!$1:$2,2,FALSE),FALSE)/(VLOOKUP($A994,'[1]import graded seats course pivo'!$A:AF,HLOOKUP('[1]Course Totals'!H$4,'[1]import graded seats course pivo'!$1:$2,2,FALSE),FALSE))),"")</f>
        <v/>
      </c>
      <c r="I994" s="14">
        <f>IFERROR((VLOOKUP($A994,'[1]import success seats course'!$A:W,HLOOKUP('[1]Course Totals'!I$4,'[1]import success seats course'!$1:$2,2,FALSE),FALSE)/(VLOOKUP($A994,'[1]import graded seats course pivo'!$A:AG,HLOOKUP('[1]Course Totals'!I$4,'[1]import graded seats course pivo'!$1:$2,2,FALSE),FALSE))),"")</f>
        <v>0.83333333333333337</v>
      </c>
      <c r="J994" s="14" t="str">
        <f>IFERROR((VLOOKUP($A994,'[1]import success seats course'!$A:X,HLOOKUP('[1]Course Totals'!J$4,'[1]import success seats course'!$1:$2,2,FALSE),FALSE)/(VLOOKUP($A994,'[1]import graded seats course pivo'!$A:AH,HLOOKUP('[1]Course Totals'!J$4,'[1]import graded seats course pivo'!$1:$2,2,FALSE),FALSE))),"")</f>
        <v/>
      </c>
      <c r="K994" s="14" t="str">
        <f>IFERROR((VLOOKUP($A994,'[1]import success seats course'!$A:Y,HLOOKUP('[1]Course Totals'!K$4,'[1]import success seats course'!$1:$2,2,FALSE),FALSE)/(VLOOKUP($A994,'[1]import graded seats course pivo'!$A:AI,HLOOKUP('[1]Course Totals'!K$4,'[1]import graded seats course pivo'!$1:$2,2,FALSE),FALSE))),"")</f>
        <v/>
      </c>
      <c r="L994" s="14">
        <f>IFERROR((VLOOKUP($A994,'[1]import success seats course'!$A:Z,HLOOKUP('[1]Course Totals'!L$4,'[1]import success seats course'!$1:$2,2,FALSE),FALSE)/(VLOOKUP($A994,'[1]import graded seats course pivo'!$A:AJ,HLOOKUP('[1]Course Totals'!L$4,'[1]import graded seats course pivo'!$1:$2,2,FALSE),FALSE))),"")</f>
        <v>0.82352941176470584</v>
      </c>
      <c r="M994" s="14" t="str">
        <f>IFERROR((VLOOKUP($A994,'[1]import success seats course'!$A:AA,HLOOKUP('[1]Course Totals'!M$4,'[1]import success seats course'!$1:$2,2,FALSE),FALSE)/(VLOOKUP($A994,'[1]import graded seats course pivo'!$A:AK,HLOOKUP('[1]Course Totals'!M$4,'[1]import graded seats course pivo'!$1:$2,2,FALSE),FALSE))),"")</f>
        <v/>
      </c>
      <c r="N994" s="14" t="str">
        <f>IFERROR((VLOOKUP($A994,'[1]import success seats course'!$A:AB,HLOOKUP('[1]Course Totals'!N$4,'[1]import success seats course'!$1:$2,2,FALSE),FALSE)/(VLOOKUP($A994,'[1]import graded seats course pivo'!$A:AL,HLOOKUP('[1]Course Totals'!N$4,'[1]import graded seats course pivo'!$1:$2,2,FALSE),FALSE))),"")</f>
        <v/>
      </c>
      <c r="O994" s="14">
        <f>IFERROR((VLOOKUP($A994,'[1]import success seats course'!$A:AC,HLOOKUP('[1]Course Totals'!O$4,'[1]import success seats course'!$1:$2,2,FALSE),FALSE)/(VLOOKUP($A994,'[1]import graded seats course pivo'!$A:AM,HLOOKUP('[1]Course Totals'!O$4,'[1]import graded seats course pivo'!$1:$2,2,FALSE),FALSE))),"")</f>
        <v>0.73333333333333328</v>
      </c>
      <c r="P994" s="14" t="str">
        <f>IFERROR((VLOOKUP($A994,'[1]import success seats course'!$A:AD,HLOOKUP('[1]Course Totals'!P$4,'[1]import success seats course'!$1:$2,2,FALSE),FALSE)/(VLOOKUP($A994,'[1]import graded seats course pivo'!$A:AN,HLOOKUP('[1]Course Totals'!P$4,'[1]import graded seats course pivo'!$1:$2,2,FALSE),FALSE))),"")</f>
        <v/>
      </c>
      <c r="Q994" s="14" t="str">
        <f>IFERROR((VLOOKUP($A994,'[1]import success seats course'!$A:AE,HLOOKUP('[1]Course Totals'!Q$4,'[1]import success seats course'!$1:$2,2,FALSE),FALSE)/(VLOOKUP($A994,'[1]import graded seats course pivo'!$A:AO,HLOOKUP('[1]Course Totals'!Q$4,'[1]import graded seats course pivo'!$1:$2,2,FALSE),FALSE))),"")</f>
        <v/>
      </c>
      <c r="R994" s="14">
        <f>IFERROR((VLOOKUP($A994,'[1]import success seats course'!$A:AF,HLOOKUP('[1]Course Totals'!R$4,'[1]import success seats course'!$1:$2,2,FALSE),FALSE)/(VLOOKUP($A994,'[1]import graded seats course pivo'!$A:AP,HLOOKUP('[1]Course Totals'!R$4,'[1]import graded seats course pivo'!$1:$2,2,FALSE),FALSE))),"")</f>
        <v>0.6</v>
      </c>
      <c r="S994" s="14" t="str">
        <f>IFERROR((VLOOKUP($A994,'[1]import success seats course'!$A:AG,HLOOKUP('[1]Course Totals'!S$4,'[1]import success seats course'!$1:$2,2,FALSE),FALSE)/(VLOOKUP($A994,'[1]import graded seats course pivo'!$A:AQ,HLOOKUP('[1]Course Totals'!S$4,'[1]import graded seats course pivo'!$1:$2,2,FALSE),FALSE))),"")</f>
        <v/>
      </c>
      <c r="Z994" s="7"/>
      <c r="AA994" s="7"/>
      <c r="AB994" s="7"/>
      <c r="AC994" s="7"/>
    </row>
    <row r="995" spans="1:29" ht="15.75" customHeight="1" x14ac:dyDescent="0.25">
      <c r="A995" s="12" t="s">
        <v>946</v>
      </c>
      <c r="B995" s="14" t="str">
        <f>IFERROR((VLOOKUP($A995,'[1]import success seats course'!$A:P,HLOOKUP('[1]Course Totals'!B$4,'[1]import success seats course'!$1:$2,2,FALSE),FALSE)/(VLOOKUP($A995,'[1]import graded seats course pivo'!$A:Z,HLOOKUP('[1]Course Totals'!B$4,'[1]import graded seats course pivo'!$1:$2,2,FALSE),FALSE))),"")</f>
        <v/>
      </c>
      <c r="C995" s="14" t="str">
        <f>IFERROR((VLOOKUP($A995,'[1]import success seats course'!$A:Q,HLOOKUP('[1]Course Totals'!C$4,'[1]import success seats course'!$1:$2,2,FALSE),FALSE)/(VLOOKUP($A995,'[1]import graded seats course pivo'!$A:AA,HLOOKUP('[1]Course Totals'!C$4,'[1]import graded seats course pivo'!$1:$2,2,FALSE),FALSE))),"")</f>
        <v/>
      </c>
      <c r="D995" s="14" t="str">
        <f>IFERROR((VLOOKUP($A995,'[1]import success seats course'!$A:R,HLOOKUP('[1]Course Totals'!D$4,'[1]import success seats course'!$1:$2,2,FALSE),FALSE)/(VLOOKUP($A995,'[1]import graded seats course pivo'!$A:AB,HLOOKUP('[1]Course Totals'!D$4,'[1]import graded seats course pivo'!$1:$2,2,FALSE),FALSE))),"")</f>
        <v/>
      </c>
      <c r="E995" s="14" t="str">
        <f>IFERROR((VLOOKUP($A995,'[1]import success seats course'!$A:S,HLOOKUP('[1]Course Totals'!E$4,'[1]import success seats course'!$1:$2,2,FALSE),FALSE)/(VLOOKUP($A995,'[1]import graded seats course pivo'!$A:AC,HLOOKUP('[1]Course Totals'!E$4,'[1]import graded seats course pivo'!$1:$2,2,FALSE),FALSE))),"")</f>
        <v/>
      </c>
      <c r="F995" s="14" t="str">
        <f>IFERROR((VLOOKUP($A995,'[1]import success seats course'!$A:T,HLOOKUP('[1]Course Totals'!F$4,'[1]import success seats course'!$1:$2,2,FALSE),FALSE)/(VLOOKUP($A995,'[1]import graded seats course pivo'!$A:AD,HLOOKUP('[1]Course Totals'!F$4,'[1]import graded seats course pivo'!$1:$2,2,FALSE),FALSE))),"")</f>
        <v/>
      </c>
      <c r="G995" s="14">
        <f>IFERROR((VLOOKUP($A995,'[1]import success seats course'!$A:U,HLOOKUP('[1]Course Totals'!G$4,'[1]import success seats course'!$1:$2,2,FALSE),FALSE)/(VLOOKUP($A995,'[1]import graded seats course pivo'!$A:AE,HLOOKUP('[1]Course Totals'!G$4,'[1]import graded seats course pivo'!$1:$2,2,FALSE),FALSE))),"")</f>
        <v>1</v>
      </c>
      <c r="H995" s="14" t="str">
        <f>IFERROR((VLOOKUP($A995,'[1]import success seats course'!$A:V,HLOOKUP('[1]Course Totals'!H$4,'[1]import success seats course'!$1:$2,2,FALSE),FALSE)/(VLOOKUP($A995,'[1]import graded seats course pivo'!$A:AF,HLOOKUP('[1]Course Totals'!H$4,'[1]import graded seats course pivo'!$1:$2,2,FALSE),FALSE))),"")</f>
        <v/>
      </c>
      <c r="I995" s="14" t="str">
        <f>IFERROR((VLOOKUP($A995,'[1]import success seats course'!$A:W,HLOOKUP('[1]Course Totals'!I$4,'[1]import success seats course'!$1:$2,2,FALSE),FALSE)/(VLOOKUP($A995,'[1]import graded seats course pivo'!$A:AG,HLOOKUP('[1]Course Totals'!I$4,'[1]import graded seats course pivo'!$1:$2,2,FALSE),FALSE))),"")</f>
        <v/>
      </c>
      <c r="J995" s="14">
        <f>IFERROR((VLOOKUP($A995,'[1]import success seats course'!$A:X,HLOOKUP('[1]Course Totals'!J$4,'[1]import success seats course'!$1:$2,2,FALSE),FALSE)/(VLOOKUP($A995,'[1]import graded seats course pivo'!$A:AH,HLOOKUP('[1]Course Totals'!J$4,'[1]import graded seats course pivo'!$1:$2,2,FALSE),FALSE))),"")</f>
        <v>1</v>
      </c>
      <c r="K995" s="14" t="str">
        <f>IFERROR((VLOOKUP($A995,'[1]import success seats course'!$A:Y,HLOOKUP('[1]Course Totals'!K$4,'[1]import success seats course'!$1:$2,2,FALSE),FALSE)/(VLOOKUP($A995,'[1]import graded seats course pivo'!$A:AI,HLOOKUP('[1]Course Totals'!K$4,'[1]import graded seats course pivo'!$1:$2,2,FALSE),FALSE))),"")</f>
        <v/>
      </c>
      <c r="L995" s="14" t="str">
        <f>IFERROR((VLOOKUP($A995,'[1]import success seats course'!$A:Z,HLOOKUP('[1]Course Totals'!L$4,'[1]import success seats course'!$1:$2,2,FALSE),FALSE)/(VLOOKUP($A995,'[1]import graded seats course pivo'!$A:AJ,HLOOKUP('[1]Course Totals'!L$4,'[1]import graded seats course pivo'!$1:$2,2,FALSE),FALSE))),"")</f>
        <v/>
      </c>
      <c r="M995" s="14">
        <f>IFERROR((VLOOKUP($A995,'[1]import success seats course'!$A:AA,HLOOKUP('[1]Course Totals'!M$4,'[1]import success seats course'!$1:$2,2,FALSE),FALSE)/(VLOOKUP($A995,'[1]import graded seats course pivo'!$A:AK,HLOOKUP('[1]Course Totals'!M$4,'[1]import graded seats course pivo'!$1:$2,2,FALSE),FALSE))),"")</f>
        <v>0.94736842105263153</v>
      </c>
      <c r="N995" s="14" t="str">
        <f>IFERROR((VLOOKUP($A995,'[1]import success seats course'!$A:AB,HLOOKUP('[1]Course Totals'!N$4,'[1]import success seats course'!$1:$2,2,FALSE),FALSE)/(VLOOKUP($A995,'[1]import graded seats course pivo'!$A:AL,HLOOKUP('[1]Course Totals'!N$4,'[1]import graded seats course pivo'!$1:$2,2,FALSE),FALSE))),"")</f>
        <v/>
      </c>
      <c r="O995" s="14" t="str">
        <f>IFERROR((VLOOKUP($A995,'[1]import success seats course'!$A:AC,HLOOKUP('[1]Course Totals'!O$4,'[1]import success seats course'!$1:$2,2,FALSE),FALSE)/(VLOOKUP($A995,'[1]import graded seats course pivo'!$A:AM,HLOOKUP('[1]Course Totals'!O$4,'[1]import graded seats course pivo'!$1:$2,2,FALSE),FALSE))),"")</f>
        <v/>
      </c>
      <c r="P995" s="14">
        <f>IFERROR((VLOOKUP($A995,'[1]import success seats course'!$A:AD,HLOOKUP('[1]Course Totals'!P$4,'[1]import success seats course'!$1:$2,2,FALSE),FALSE)/(VLOOKUP($A995,'[1]import graded seats course pivo'!$A:AN,HLOOKUP('[1]Course Totals'!P$4,'[1]import graded seats course pivo'!$1:$2,2,FALSE),FALSE))),"")</f>
        <v>0.90476190476190477</v>
      </c>
      <c r="Q995" s="14" t="str">
        <f>IFERROR((VLOOKUP($A995,'[1]import success seats course'!$A:AE,HLOOKUP('[1]Course Totals'!Q$4,'[1]import success seats course'!$1:$2,2,FALSE),FALSE)/(VLOOKUP($A995,'[1]import graded seats course pivo'!$A:AO,HLOOKUP('[1]Course Totals'!Q$4,'[1]import graded seats course pivo'!$1:$2,2,FALSE),FALSE))),"")</f>
        <v/>
      </c>
      <c r="R995" s="14" t="str">
        <f>IFERROR((VLOOKUP($A995,'[1]import success seats course'!$A:AF,HLOOKUP('[1]Course Totals'!R$4,'[1]import success seats course'!$1:$2,2,FALSE),FALSE)/(VLOOKUP($A995,'[1]import graded seats course pivo'!$A:AP,HLOOKUP('[1]Course Totals'!R$4,'[1]import graded seats course pivo'!$1:$2,2,FALSE),FALSE))),"")</f>
        <v/>
      </c>
      <c r="S995" s="14">
        <f>IFERROR((VLOOKUP($A995,'[1]import success seats course'!$A:AG,HLOOKUP('[1]Course Totals'!S$4,'[1]import success seats course'!$1:$2,2,FALSE),FALSE)/(VLOOKUP($A995,'[1]import graded seats course pivo'!$A:AQ,HLOOKUP('[1]Course Totals'!S$4,'[1]import graded seats course pivo'!$1:$2,2,FALSE),FALSE))),"")</f>
        <v>0.94736842105263153</v>
      </c>
      <c r="Z995" s="7"/>
      <c r="AA995" s="7"/>
      <c r="AB995" s="7"/>
      <c r="AC995" s="7"/>
    </row>
    <row r="996" spans="1:29" ht="15.75" customHeight="1" x14ac:dyDescent="0.25">
      <c r="A996" s="12" t="s">
        <v>947</v>
      </c>
      <c r="B996" s="14" t="str">
        <f>IFERROR((VLOOKUP($A996,'[1]import success seats course'!$A:P,HLOOKUP('[1]Course Totals'!B$4,'[1]import success seats course'!$1:$2,2,FALSE),FALSE)/(VLOOKUP($A996,'[1]import graded seats course pivo'!$A:Z,HLOOKUP('[1]Course Totals'!B$4,'[1]import graded seats course pivo'!$1:$2,2,FALSE),FALSE))),"")</f>
        <v/>
      </c>
      <c r="C996" s="14" t="str">
        <f>IFERROR((VLOOKUP($A996,'[1]import success seats course'!$A:Q,HLOOKUP('[1]Course Totals'!C$4,'[1]import success seats course'!$1:$2,2,FALSE),FALSE)/(VLOOKUP($A996,'[1]import graded seats course pivo'!$A:AA,HLOOKUP('[1]Course Totals'!C$4,'[1]import graded seats course pivo'!$1:$2,2,FALSE),FALSE))),"")</f>
        <v/>
      </c>
      <c r="D996" s="14" t="str">
        <f>IFERROR((VLOOKUP($A996,'[1]import success seats course'!$A:R,HLOOKUP('[1]Course Totals'!D$4,'[1]import success seats course'!$1:$2,2,FALSE),FALSE)/(VLOOKUP($A996,'[1]import graded seats course pivo'!$A:AB,HLOOKUP('[1]Course Totals'!D$4,'[1]import graded seats course pivo'!$1:$2,2,FALSE),FALSE))),"")</f>
        <v/>
      </c>
      <c r="E996" s="14" t="str">
        <f>IFERROR((VLOOKUP($A996,'[1]import success seats course'!$A:S,HLOOKUP('[1]Course Totals'!E$4,'[1]import success seats course'!$1:$2,2,FALSE),FALSE)/(VLOOKUP($A996,'[1]import graded seats course pivo'!$A:AC,HLOOKUP('[1]Course Totals'!E$4,'[1]import graded seats course pivo'!$1:$2,2,FALSE),FALSE))),"")</f>
        <v/>
      </c>
      <c r="F996" s="14" t="str">
        <f>IFERROR((VLOOKUP($A996,'[1]import success seats course'!$A:T,HLOOKUP('[1]Course Totals'!F$4,'[1]import success seats course'!$1:$2,2,FALSE),FALSE)/(VLOOKUP($A996,'[1]import graded seats course pivo'!$A:AD,HLOOKUP('[1]Course Totals'!F$4,'[1]import graded seats course pivo'!$1:$2,2,FALSE),FALSE))),"")</f>
        <v/>
      </c>
      <c r="G996" s="14" t="str">
        <f>IFERROR((VLOOKUP($A996,'[1]import success seats course'!$A:U,HLOOKUP('[1]Course Totals'!G$4,'[1]import success seats course'!$1:$2,2,FALSE),FALSE)/(VLOOKUP($A996,'[1]import graded seats course pivo'!$A:AE,HLOOKUP('[1]Course Totals'!G$4,'[1]import graded seats course pivo'!$1:$2,2,FALSE),FALSE))),"")</f>
        <v/>
      </c>
      <c r="H996" s="14" t="str">
        <f>IFERROR((VLOOKUP($A996,'[1]import success seats course'!$A:V,HLOOKUP('[1]Course Totals'!H$4,'[1]import success seats course'!$1:$2,2,FALSE),FALSE)/(VLOOKUP($A996,'[1]import graded seats course pivo'!$A:AF,HLOOKUP('[1]Course Totals'!H$4,'[1]import graded seats course pivo'!$1:$2,2,FALSE),FALSE))),"")</f>
        <v/>
      </c>
      <c r="I996" s="14" t="str">
        <f>IFERROR((VLOOKUP($A996,'[1]import success seats course'!$A:W,HLOOKUP('[1]Course Totals'!I$4,'[1]import success seats course'!$1:$2,2,FALSE),FALSE)/(VLOOKUP($A996,'[1]import graded seats course pivo'!$A:AG,HLOOKUP('[1]Course Totals'!I$4,'[1]import graded seats course pivo'!$1:$2,2,FALSE),FALSE))),"")</f>
        <v/>
      </c>
      <c r="J996" s="14" t="str">
        <f>IFERROR((VLOOKUP($A996,'[1]import success seats course'!$A:X,HLOOKUP('[1]Course Totals'!J$4,'[1]import success seats course'!$1:$2,2,FALSE),FALSE)/(VLOOKUP($A996,'[1]import graded seats course pivo'!$A:AH,HLOOKUP('[1]Course Totals'!J$4,'[1]import graded seats course pivo'!$1:$2,2,FALSE),FALSE))),"")</f>
        <v/>
      </c>
      <c r="K996" s="14" t="str">
        <f>IFERROR((VLOOKUP($A996,'[1]import success seats course'!$A:Y,HLOOKUP('[1]Course Totals'!K$4,'[1]import success seats course'!$1:$2,2,FALSE),FALSE)/(VLOOKUP($A996,'[1]import graded seats course pivo'!$A:AI,HLOOKUP('[1]Course Totals'!K$4,'[1]import graded seats course pivo'!$1:$2,2,FALSE),FALSE))),"")</f>
        <v/>
      </c>
      <c r="L996" s="14" t="str">
        <f>IFERROR((VLOOKUP($A996,'[1]import success seats course'!$A:Z,HLOOKUP('[1]Course Totals'!L$4,'[1]import success seats course'!$1:$2,2,FALSE),FALSE)/(VLOOKUP($A996,'[1]import graded seats course pivo'!$A:AJ,HLOOKUP('[1]Course Totals'!L$4,'[1]import graded seats course pivo'!$1:$2,2,FALSE),FALSE))),"")</f>
        <v/>
      </c>
      <c r="M996" s="14">
        <f>IFERROR((VLOOKUP($A996,'[1]import success seats course'!$A:AA,HLOOKUP('[1]Course Totals'!M$4,'[1]import success seats course'!$1:$2,2,FALSE),FALSE)/(VLOOKUP($A996,'[1]import graded seats course pivo'!$A:AK,HLOOKUP('[1]Course Totals'!M$4,'[1]import graded seats course pivo'!$1:$2,2,FALSE),FALSE))),"")</f>
        <v>1</v>
      </c>
      <c r="N996" s="14" t="str">
        <f>IFERROR((VLOOKUP($A996,'[1]import success seats course'!$A:AB,HLOOKUP('[1]Course Totals'!N$4,'[1]import success seats course'!$1:$2,2,FALSE),FALSE)/(VLOOKUP($A996,'[1]import graded seats course pivo'!$A:AL,HLOOKUP('[1]Course Totals'!N$4,'[1]import graded seats course pivo'!$1:$2,2,FALSE),FALSE))),"")</f>
        <v/>
      </c>
      <c r="O996" s="14" t="str">
        <f>IFERROR((VLOOKUP($A996,'[1]import success seats course'!$A:AC,HLOOKUP('[1]Course Totals'!O$4,'[1]import success seats course'!$1:$2,2,FALSE),FALSE)/(VLOOKUP($A996,'[1]import graded seats course pivo'!$A:AM,HLOOKUP('[1]Course Totals'!O$4,'[1]import graded seats course pivo'!$1:$2,2,FALSE),FALSE))),"")</f>
        <v/>
      </c>
      <c r="P996" s="14" t="str">
        <f>IFERROR((VLOOKUP($A996,'[1]import success seats course'!$A:AD,HLOOKUP('[1]Course Totals'!P$4,'[1]import success seats course'!$1:$2,2,FALSE),FALSE)/(VLOOKUP($A996,'[1]import graded seats course pivo'!$A:AN,HLOOKUP('[1]Course Totals'!P$4,'[1]import graded seats course pivo'!$1:$2,2,FALSE),FALSE))),"")</f>
        <v/>
      </c>
      <c r="Q996" s="14" t="str">
        <f>IFERROR((VLOOKUP($A996,'[1]import success seats course'!$A:AE,HLOOKUP('[1]Course Totals'!Q$4,'[1]import success seats course'!$1:$2,2,FALSE),FALSE)/(VLOOKUP($A996,'[1]import graded seats course pivo'!$A:AO,HLOOKUP('[1]Course Totals'!Q$4,'[1]import graded seats course pivo'!$1:$2,2,FALSE),FALSE))),"")</f>
        <v/>
      </c>
      <c r="R996" s="14" t="str">
        <f>IFERROR((VLOOKUP($A996,'[1]import success seats course'!$A:AF,HLOOKUP('[1]Course Totals'!R$4,'[1]import success seats course'!$1:$2,2,FALSE),FALSE)/(VLOOKUP($A996,'[1]import graded seats course pivo'!$A:AP,HLOOKUP('[1]Course Totals'!R$4,'[1]import graded seats course pivo'!$1:$2,2,FALSE),FALSE))),"")</f>
        <v/>
      </c>
      <c r="S996" s="14" t="str">
        <f>IFERROR((VLOOKUP($A996,'[1]import success seats course'!$A:AG,HLOOKUP('[1]Course Totals'!S$4,'[1]import success seats course'!$1:$2,2,FALSE),FALSE)/(VLOOKUP($A996,'[1]import graded seats course pivo'!$A:AQ,HLOOKUP('[1]Course Totals'!S$4,'[1]import graded seats course pivo'!$1:$2,2,FALSE),FALSE))),"")</f>
        <v/>
      </c>
      <c r="Z996" s="7"/>
      <c r="AA996" s="7"/>
      <c r="AB996" s="7"/>
      <c r="AC996" s="7"/>
    </row>
    <row r="997" spans="1:29" ht="15.75" customHeight="1" x14ac:dyDescent="0.25">
      <c r="A997" s="12" t="s">
        <v>863</v>
      </c>
      <c r="B997" s="14" t="str">
        <f>IFERROR((VLOOKUP($A997,'[1]import success seats course'!$A:P,HLOOKUP('[1]Course Totals'!B$4,'[1]import success seats course'!$1:$2,2,FALSE),FALSE)/(VLOOKUP($A997,'[1]import graded seats course pivo'!$A:Z,HLOOKUP('[1]Course Totals'!B$4,'[1]import graded seats course pivo'!$1:$2,2,FALSE),FALSE))),"")</f>
        <v/>
      </c>
      <c r="C997" s="14" t="str">
        <f>IFERROR((VLOOKUP($A997,'[1]import success seats course'!$A:Q,HLOOKUP('[1]Course Totals'!C$4,'[1]import success seats course'!$1:$2,2,FALSE),FALSE)/(VLOOKUP($A997,'[1]import graded seats course pivo'!$A:AA,HLOOKUP('[1]Course Totals'!C$4,'[1]import graded seats course pivo'!$1:$2,2,FALSE),FALSE))),"")</f>
        <v/>
      </c>
      <c r="D997" s="14" t="str">
        <f>IFERROR((VLOOKUP($A997,'[1]import success seats course'!$A:R,HLOOKUP('[1]Course Totals'!D$4,'[1]import success seats course'!$1:$2,2,FALSE),FALSE)/(VLOOKUP($A997,'[1]import graded seats course pivo'!$A:AB,HLOOKUP('[1]Course Totals'!D$4,'[1]import graded seats course pivo'!$1:$2,2,FALSE),FALSE))),"")</f>
        <v/>
      </c>
      <c r="E997" s="14" t="str">
        <f>IFERROR((VLOOKUP($A997,'[1]import success seats course'!$A:S,HLOOKUP('[1]Course Totals'!E$4,'[1]import success seats course'!$1:$2,2,FALSE),FALSE)/(VLOOKUP($A997,'[1]import graded seats course pivo'!$A:AC,HLOOKUP('[1]Course Totals'!E$4,'[1]import graded seats course pivo'!$1:$2,2,FALSE),FALSE))),"")</f>
        <v/>
      </c>
      <c r="F997" s="14" t="str">
        <f>IFERROR((VLOOKUP($A997,'[1]import success seats course'!$A:T,HLOOKUP('[1]Course Totals'!F$4,'[1]import success seats course'!$1:$2,2,FALSE),FALSE)/(VLOOKUP($A997,'[1]import graded seats course pivo'!$A:AD,HLOOKUP('[1]Course Totals'!F$4,'[1]import graded seats course pivo'!$1:$2,2,FALSE),FALSE))),"")</f>
        <v/>
      </c>
      <c r="G997" s="14" t="str">
        <f>IFERROR((VLOOKUP($A997,'[1]import success seats course'!$A:U,HLOOKUP('[1]Course Totals'!G$4,'[1]import success seats course'!$1:$2,2,FALSE),FALSE)/(VLOOKUP($A997,'[1]import graded seats course pivo'!$A:AE,HLOOKUP('[1]Course Totals'!G$4,'[1]import graded seats course pivo'!$1:$2,2,FALSE),FALSE))),"")</f>
        <v/>
      </c>
      <c r="H997" s="14" t="str">
        <f>IFERROR((VLOOKUP($A997,'[1]import success seats course'!$A:V,HLOOKUP('[1]Course Totals'!H$4,'[1]import success seats course'!$1:$2,2,FALSE),FALSE)/(VLOOKUP($A997,'[1]import graded seats course pivo'!$A:AF,HLOOKUP('[1]Course Totals'!H$4,'[1]import graded seats course pivo'!$1:$2,2,FALSE),FALSE))),"")</f>
        <v/>
      </c>
      <c r="I997" s="14" t="str">
        <f>IFERROR((VLOOKUP($A997,'[1]import success seats course'!$A:W,HLOOKUP('[1]Course Totals'!I$4,'[1]import success seats course'!$1:$2,2,FALSE),FALSE)/(VLOOKUP($A997,'[1]import graded seats course pivo'!$A:AG,HLOOKUP('[1]Course Totals'!I$4,'[1]import graded seats course pivo'!$1:$2,2,FALSE),FALSE))),"")</f>
        <v/>
      </c>
      <c r="J997" s="14" t="str">
        <f>IFERROR((VLOOKUP($A997,'[1]import success seats course'!$A:X,HLOOKUP('[1]Course Totals'!J$4,'[1]import success seats course'!$1:$2,2,FALSE),FALSE)/(VLOOKUP($A997,'[1]import graded seats course pivo'!$A:AH,HLOOKUP('[1]Course Totals'!J$4,'[1]import graded seats course pivo'!$1:$2,2,FALSE),FALSE))),"")</f>
        <v/>
      </c>
      <c r="K997" s="14" t="str">
        <f>IFERROR((VLOOKUP($A997,'[1]import success seats course'!$A:Y,HLOOKUP('[1]Course Totals'!K$4,'[1]import success seats course'!$1:$2,2,FALSE),FALSE)/(VLOOKUP($A997,'[1]import graded seats course pivo'!$A:AI,HLOOKUP('[1]Course Totals'!K$4,'[1]import graded seats course pivo'!$1:$2,2,FALSE),FALSE))),"")</f>
        <v/>
      </c>
      <c r="L997" s="14" t="str">
        <f>IFERROR((VLOOKUP($A997,'[1]import success seats course'!$A:Z,HLOOKUP('[1]Course Totals'!L$4,'[1]import success seats course'!$1:$2,2,FALSE),FALSE)/(VLOOKUP($A997,'[1]import graded seats course pivo'!$A:AJ,HLOOKUP('[1]Course Totals'!L$4,'[1]import graded seats course pivo'!$1:$2,2,FALSE),FALSE))),"")</f>
        <v/>
      </c>
      <c r="M997" s="14" t="str">
        <f>IFERROR((VLOOKUP($A997,'[1]import success seats course'!$A:AA,HLOOKUP('[1]Course Totals'!M$4,'[1]import success seats course'!$1:$2,2,FALSE),FALSE)/(VLOOKUP($A997,'[1]import graded seats course pivo'!$A:AK,HLOOKUP('[1]Course Totals'!M$4,'[1]import graded seats course pivo'!$1:$2,2,FALSE),FALSE))),"")</f>
        <v/>
      </c>
      <c r="N997" s="14" t="str">
        <f>IFERROR((VLOOKUP($A997,'[1]import success seats course'!$A:AB,HLOOKUP('[1]Course Totals'!N$4,'[1]import success seats course'!$1:$2,2,FALSE),FALSE)/(VLOOKUP($A997,'[1]import graded seats course pivo'!$A:AL,HLOOKUP('[1]Course Totals'!N$4,'[1]import graded seats course pivo'!$1:$2,2,FALSE),FALSE))),"")</f>
        <v/>
      </c>
      <c r="O997" s="14">
        <f>IFERROR((VLOOKUP($A997,'[1]import success seats course'!$A:AC,HLOOKUP('[1]Course Totals'!O$4,'[1]import success seats course'!$1:$2,2,FALSE),FALSE)/(VLOOKUP($A997,'[1]import graded seats course pivo'!$A:AM,HLOOKUP('[1]Course Totals'!O$4,'[1]import graded seats course pivo'!$1:$2,2,FALSE),FALSE))),"")</f>
        <v>1</v>
      </c>
      <c r="P997" s="14" t="str">
        <f>IFERROR((VLOOKUP($A997,'[1]import success seats course'!$A:AD,HLOOKUP('[1]Course Totals'!P$4,'[1]import success seats course'!$1:$2,2,FALSE),FALSE)/(VLOOKUP($A997,'[1]import graded seats course pivo'!$A:AN,HLOOKUP('[1]Course Totals'!P$4,'[1]import graded seats course pivo'!$1:$2,2,FALSE),FALSE))),"")</f>
        <v/>
      </c>
      <c r="Q997" s="14" t="str">
        <f>IFERROR((VLOOKUP($A997,'[1]import success seats course'!$A:AE,HLOOKUP('[1]Course Totals'!Q$4,'[1]import success seats course'!$1:$2,2,FALSE),FALSE)/(VLOOKUP($A997,'[1]import graded seats course pivo'!$A:AO,HLOOKUP('[1]Course Totals'!Q$4,'[1]import graded seats course pivo'!$1:$2,2,FALSE),FALSE))),"")</f>
        <v/>
      </c>
      <c r="R997" s="14" t="str">
        <f>IFERROR((VLOOKUP($A997,'[1]import success seats course'!$A:AF,HLOOKUP('[1]Course Totals'!R$4,'[1]import success seats course'!$1:$2,2,FALSE),FALSE)/(VLOOKUP($A997,'[1]import graded seats course pivo'!$A:AP,HLOOKUP('[1]Course Totals'!R$4,'[1]import graded seats course pivo'!$1:$2,2,FALSE),FALSE))),"")</f>
        <v/>
      </c>
      <c r="S997" s="14" t="str">
        <f>IFERROR((VLOOKUP($A997,'[1]import success seats course'!$A:AG,HLOOKUP('[1]Course Totals'!S$4,'[1]import success seats course'!$1:$2,2,FALSE),FALSE)/(VLOOKUP($A997,'[1]import graded seats course pivo'!$A:AQ,HLOOKUP('[1]Course Totals'!S$4,'[1]import graded seats course pivo'!$1:$2,2,FALSE),FALSE))),"")</f>
        <v/>
      </c>
      <c r="Z997" s="7"/>
      <c r="AA997" s="7"/>
      <c r="AB997" s="7"/>
      <c r="AC997" s="7"/>
    </row>
    <row r="998" spans="1:29" ht="15.75" customHeight="1" thickBot="1" x14ac:dyDescent="0.3">
      <c r="A998" s="8" t="str">
        <f>'[1]SUBJECTS BASE'!H58</f>
        <v>Portuguese</v>
      </c>
      <c r="B998" s="38" t="s">
        <v>1046</v>
      </c>
      <c r="C998" s="39" t="s">
        <v>0</v>
      </c>
      <c r="D998" s="40" t="s">
        <v>868</v>
      </c>
      <c r="E998" s="41" t="s">
        <v>1052</v>
      </c>
      <c r="F998" s="42" t="s">
        <v>546</v>
      </c>
      <c r="G998" s="43" t="s">
        <v>959</v>
      </c>
      <c r="H998" s="44" t="s">
        <v>1060</v>
      </c>
      <c r="I998" s="39" t="s">
        <v>675</v>
      </c>
      <c r="J998" s="45" t="s">
        <v>1006</v>
      </c>
      <c r="K998" s="46" t="s">
        <v>1062</v>
      </c>
      <c r="L998" s="42" t="s">
        <v>762</v>
      </c>
      <c r="M998" s="43" t="s">
        <v>1022</v>
      </c>
      <c r="N998" s="44" t="s">
        <v>1063</v>
      </c>
      <c r="O998" s="39" t="s">
        <v>822</v>
      </c>
      <c r="P998" s="40" t="s">
        <v>1042</v>
      </c>
      <c r="Q998" s="46" t="s">
        <v>1153</v>
      </c>
      <c r="R998" s="42" t="s">
        <v>1154</v>
      </c>
      <c r="S998" s="43" t="s">
        <v>1155</v>
      </c>
      <c r="Z998" s="7"/>
      <c r="AA998" s="7"/>
      <c r="AB998" s="7"/>
      <c r="AC998" s="7"/>
    </row>
    <row r="999" spans="1:29" ht="15.75" customHeight="1" x14ac:dyDescent="0.25">
      <c r="A999" s="12" t="s">
        <v>813</v>
      </c>
      <c r="B999" s="14" t="str">
        <f>IFERROR((VLOOKUP($A999,'[1]import success seats course'!$A:P,HLOOKUP('[1]Course Totals'!B$4,'[1]import success seats course'!$1:$2,2,FALSE),FALSE)/(VLOOKUP($A999,'[1]import graded seats course pivo'!$A:Z,HLOOKUP('[1]Course Totals'!B$4,'[1]import graded seats course pivo'!$1:$2,2,FALSE),FALSE))),"")</f>
        <v/>
      </c>
      <c r="C999" s="14" t="str">
        <f>IFERROR((VLOOKUP($A999,'[1]import success seats course'!$A:Q,HLOOKUP('[1]Course Totals'!C$4,'[1]import success seats course'!$1:$2,2,FALSE),FALSE)/(VLOOKUP($A999,'[1]import graded seats course pivo'!$A:AA,HLOOKUP('[1]Course Totals'!C$4,'[1]import graded seats course pivo'!$1:$2,2,FALSE),FALSE))),"")</f>
        <v/>
      </c>
      <c r="D999" s="14" t="str">
        <f>IFERROR((VLOOKUP($A999,'[1]import success seats course'!$A:R,HLOOKUP('[1]Course Totals'!D$4,'[1]import success seats course'!$1:$2,2,FALSE),FALSE)/(VLOOKUP($A999,'[1]import graded seats course pivo'!$A:AB,HLOOKUP('[1]Course Totals'!D$4,'[1]import graded seats course pivo'!$1:$2,2,FALSE),FALSE))),"")</f>
        <v/>
      </c>
      <c r="E999" s="14" t="str">
        <f>IFERROR((VLOOKUP($A999,'[1]import success seats course'!$A:S,HLOOKUP('[1]Course Totals'!E$4,'[1]import success seats course'!$1:$2,2,FALSE),FALSE)/(VLOOKUP($A999,'[1]import graded seats course pivo'!$A:AC,HLOOKUP('[1]Course Totals'!E$4,'[1]import graded seats course pivo'!$1:$2,2,FALSE),FALSE))),"")</f>
        <v/>
      </c>
      <c r="F999" s="14" t="str">
        <f>IFERROR((VLOOKUP($A999,'[1]import success seats course'!$A:T,HLOOKUP('[1]Course Totals'!F$4,'[1]import success seats course'!$1:$2,2,FALSE),FALSE)/(VLOOKUP($A999,'[1]import graded seats course pivo'!$A:AD,HLOOKUP('[1]Course Totals'!F$4,'[1]import graded seats course pivo'!$1:$2,2,FALSE),FALSE))),"")</f>
        <v/>
      </c>
      <c r="G999" s="14" t="str">
        <f>IFERROR((VLOOKUP($A999,'[1]import success seats course'!$A:U,HLOOKUP('[1]Course Totals'!G$4,'[1]import success seats course'!$1:$2,2,FALSE),FALSE)/(VLOOKUP($A999,'[1]import graded seats course pivo'!$A:AE,HLOOKUP('[1]Course Totals'!G$4,'[1]import graded seats course pivo'!$1:$2,2,FALSE),FALSE))),"")</f>
        <v/>
      </c>
      <c r="H999" s="14" t="str">
        <f>IFERROR((VLOOKUP($A999,'[1]import success seats course'!$A:V,HLOOKUP('[1]Course Totals'!H$4,'[1]import success seats course'!$1:$2,2,FALSE),FALSE)/(VLOOKUP($A999,'[1]import graded seats course pivo'!$A:AF,HLOOKUP('[1]Course Totals'!H$4,'[1]import graded seats course pivo'!$1:$2,2,FALSE),FALSE))),"")</f>
        <v/>
      </c>
      <c r="I999" s="14" t="str">
        <f>IFERROR((VLOOKUP($A999,'[1]import success seats course'!$A:W,HLOOKUP('[1]Course Totals'!I$4,'[1]import success seats course'!$1:$2,2,FALSE),FALSE)/(VLOOKUP($A999,'[1]import graded seats course pivo'!$A:AG,HLOOKUP('[1]Course Totals'!I$4,'[1]import graded seats course pivo'!$1:$2,2,FALSE),FALSE))),"")</f>
        <v/>
      </c>
      <c r="J999" s="14">
        <f>IFERROR((VLOOKUP($A999,'[1]import success seats course'!$A:X,HLOOKUP('[1]Course Totals'!J$4,'[1]import success seats course'!$1:$2,2,FALSE),FALSE)/(VLOOKUP($A999,'[1]import graded seats course pivo'!$A:AH,HLOOKUP('[1]Course Totals'!J$4,'[1]import graded seats course pivo'!$1:$2,2,FALSE),FALSE))),"")</f>
        <v>0.84375</v>
      </c>
      <c r="K999" s="14" t="str">
        <f>IFERROR((VLOOKUP($A999,'[1]import success seats course'!$A:Y,HLOOKUP('[1]Course Totals'!K$4,'[1]import success seats course'!$1:$2,2,FALSE),FALSE)/(VLOOKUP($A999,'[1]import graded seats course pivo'!$A:AI,HLOOKUP('[1]Course Totals'!K$4,'[1]import graded seats course pivo'!$1:$2,2,FALSE),FALSE))),"")</f>
        <v/>
      </c>
      <c r="L999" s="14" t="str">
        <f>IFERROR((VLOOKUP($A999,'[1]import success seats course'!$A:Z,HLOOKUP('[1]Course Totals'!L$4,'[1]import success seats course'!$1:$2,2,FALSE),FALSE)/(VLOOKUP($A999,'[1]import graded seats course pivo'!$A:AJ,HLOOKUP('[1]Course Totals'!L$4,'[1]import graded seats course pivo'!$1:$2,2,FALSE),FALSE))),"")</f>
        <v/>
      </c>
      <c r="M999" s="14" t="str">
        <f>IFERROR((VLOOKUP($A999,'[1]import success seats course'!$A:AA,HLOOKUP('[1]Course Totals'!M$4,'[1]import success seats course'!$1:$2,2,FALSE),FALSE)/(VLOOKUP($A999,'[1]import graded seats course pivo'!$A:AK,HLOOKUP('[1]Course Totals'!M$4,'[1]import graded seats course pivo'!$1:$2,2,FALSE),FALSE))),"")</f>
        <v/>
      </c>
      <c r="N999" s="14" t="str">
        <f>IFERROR((VLOOKUP($A999,'[1]import success seats course'!$A:AB,HLOOKUP('[1]Course Totals'!N$4,'[1]import success seats course'!$1:$2,2,FALSE),FALSE)/(VLOOKUP($A999,'[1]import graded seats course pivo'!$A:AL,HLOOKUP('[1]Course Totals'!N$4,'[1]import graded seats course pivo'!$1:$2,2,FALSE),FALSE))),"")</f>
        <v/>
      </c>
      <c r="O999" s="14" t="str">
        <f>IFERROR((VLOOKUP($A999,'[1]import success seats course'!$A:AC,HLOOKUP('[1]Course Totals'!O$4,'[1]import success seats course'!$1:$2,2,FALSE),FALSE)/(VLOOKUP($A999,'[1]import graded seats course pivo'!$A:AM,HLOOKUP('[1]Course Totals'!O$4,'[1]import graded seats course pivo'!$1:$2,2,FALSE),FALSE))),"")</f>
        <v/>
      </c>
      <c r="P999" s="14" t="str">
        <f>IFERROR((VLOOKUP($A999,'[1]import success seats course'!$A:AD,HLOOKUP('[1]Course Totals'!P$4,'[1]import success seats course'!$1:$2,2,FALSE),FALSE)/(VLOOKUP($A999,'[1]import graded seats course pivo'!$A:AN,HLOOKUP('[1]Course Totals'!P$4,'[1]import graded seats course pivo'!$1:$2,2,FALSE),FALSE))),"")</f>
        <v/>
      </c>
      <c r="Q999" s="14" t="str">
        <f>IFERROR((VLOOKUP($A999,'[1]import success seats course'!$A:AE,HLOOKUP('[1]Course Totals'!Q$4,'[1]import success seats course'!$1:$2,2,FALSE),FALSE)/(VLOOKUP($A999,'[1]import graded seats course pivo'!$A:AO,HLOOKUP('[1]Course Totals'!Q$4,'[1]import graded seats course pivo'!$1:$2,2,FALSE),FALSE))),"")</f>
        <v/>
      </c>
      <c r="R999" s="14" t="str">
        <f>IFERROR((VLOOKUP($A999,'[1]import success seats course'!$A:AF,HLOOKUP('[1]Course Totals'!R$4,'[1]import success seats course'!$1:$2,2,FALSE),FALSE)/(VLOOKUP($A999,'[1]import graded seats course pivo'!$A:AP,HLOOKUP('[1]Course Totals'!R$4,'[1]import graded seats course pivo'!$1:$2,2,FALSE),FALSE))),"")</f>
        <v/>
      </c>
      <c r="S999" s="14" t="str">
        <f>IFERROR((VLOOKUP($A999,'[1]import success seats course'!$A:AG,HLOOKUP('[1]Course Totals'!S$4,'[1]import success seats course'!$1:$2,2,FALSE),FALSE)/(VLOOKUP($A999,'[1]import graded seats course pivo'!$A:AQ,HLOOKUP('[1]Course Totals'!S$4,'[1]import graded seats course pivo'!$1:$2,2,FALSE),FALSE))),"")</f>
        <v/>
      </c>
      <c r="Z999" s="7"/>
      <c r="AA999" s="7"/>
      <c r="AB999" s="7"/>
      <c r="AC999" s="7"/>
    </row>
    <row r="1000" spans="1:29" ht="15.75" customHeight="1" x14ac:dyDescent="0.25">
      <c r="A1000" s="12" t="s">
        <v>1020</v>
      </c>
      <c r="B1000" s="14" t="str">
        <f>IFERROR((VLOOKUP($A1000,'[1]import success seats course'!$A:P,HLOOKUP('[1]Course Totals'!B$4,'[1]import success seats course'!$1:$2,2,FALSE),FALSE)/(VLOOKUP($A1000,'[1]import graded seats course pivo'!$A:Z,HLOOKUP('[1]Course Totals'!B$4,'[1]import graded seats course pivo'!$1:$2,2,FALSE),FALSE))),"")</f>
        <v/>
      </c>
      <c r="C1000" s="14" t="str">
        <f>IFERROR((VLOOKUP($A1000,'[1]import success seats course'!$A:Q,HLOOKUP('[1]Course Totals'!C$4,'[1]import success seats course'!$1:$2,2,FALSE),FALSE)/(VLOOKUP($A1000,'[1]import graded seats course pivo'!$A:AA,HLOOKUP('[1]Course Totals'!C$4,'[1]import graded seats course pivo'!$1:$2,2,FALSE),FALSE))),"")</f>
        <v/>
      </c>
      <c r="D1000" s="14" t="str">
        <f>IFERROR((VLOOKUP($A1000,'[1]import success seats course'!$A:R,HLOOKUP('[1]Course Totals'!D$4,'[1]import success seats course'!$1:$2,2,FALSE),FALSE)/(VLOOKUP($A1000,'[1]import graded seats course pivo'!$A:AB,HLOOKUP('[1]Course Totals'!D$4,'[1]import graded seats course pivo'!$1:$2,2,FALSE),FALSE))),"")</f>
        <v/>
      </c>
      <c r="E1000" s="14" t="str">
        <f>IFERROR((VLOOKUP($A1000,'[1]import success seats course'!$A:S,HLOOKUP('[1]Course Totals'!E$4,'[1]import success seats course'!$1:$2,2,FALSE),FALSE)/(VLOOKUP($A1000,'[1]import graded seats course pivo'!$A:AC,HLOOKUP('[1]Course Totals'!E$4,'[1]import graded seats course pivo'!$1:$2,2,FALSE),FALSE))),"")</f>
        <v/>
      </c>
      <c r="F1000" s="14" t="str">
        <f>IFERROR((VLOOKUP($A1000,'[1]import success seats course'!$A:T,HLOOKUP('[1]Course Totals'!F$4,'[1]import success seats course'!$1:$2,2,FALSE),FALSE)/(VLOOKUP($A1000,'[1]import graded seats course pivo'!$A:AD,HLOOKUP('[1]Course Totals'!F$4,'[1]import graded seats course pivo'!$1:$2,2,FALSE),FALSE))),"")</f>
        <v/>
      </c>
      <c r="G1000" s="14" t="str">
        <f>IFERROR((VLOOKUP($A1000,'[1]import success seats course'!$A:U,HLOOKUP('[1]Course Totals'!G$4,'[1]import success seats course'!$1:$2,2,FALSE),FALSE)/(VLOOKUP($A1000,'[1]import graded seats course pivo'!$A:AE,HLOOKUP('[1]Course Totals'!G$4,'[1]import graded seats course pivo'!$1:$2,2,FALSE),FALSE))),"")</f>
        <v/>
      </c>
      <c r="H1000" s="14" t="str">
        <f>IFERROR((VLOOKUP($A1000,'[1]import success seats course'!$A:V,HLOOKUP('[1]Course Totals'!H$4,'[1]import success seats course'!$1:$2,2,FALSE),FALSE)/(VLOOKUP($A1000,'[1]import graded seats course pivo'!$A:AF,HLOOKUP('[1]Course Totals'!H$4,'[1]import graded seats course pivo'!$1:$2,2,FALSE),FALSE))),"")</f>
        <v/>
      </c>
      <c r="I1000" s="14" t="str">
        <f>IFERROR((VLOOKUP($A1000,'[1]import success seats course'!$A:W,HLOOKUP('[1]Course Totals'!I$4,'[1]import success seats course'!$1:$2,2,FALSE),FALSE)/(VLOOKUP($A1000,'[1]import graded seats course pivo'!$A:AG,HLOOKUP('[1]Course Totals'!I$4,'[1]import graded seats course pivo'!$1:$2,2,FALSE),FALSE))),"")</f>
        <v/>
      </c>
      <c r="J1000" s="14">
        <f>IFERROR((VLOOKUP($A1000,'[1]import success seats course'!$A:X,HLOOKUP('[1]Course Totals'!J$4,'[1]import success seats course'!$1:$2,2,FALSE),FALSE)/(VLOOKUP($A1000,'[1]import graded seats course pivo'!$A:AH,HLOOKUP('[1]Course Totals'!J$4,'[1]import graded seats course pivo'!$1:$2,2,FALSE),FALSE))),"")</f>
        <v>1</v>
      </c>
      <c r="K1000" s="14" t="str">
        <f>IFERROR((VLOOKUP($A1000,'[1]import success seats course'!$A:Y,HLOOKUP('[1]Course Totals'!K$4,'[1]import success seats course'!$1:$2,2,FALSE),FALSE)/(VLOOKUP($A1000,'[1]import graded seats course pivo'!$A:AI,HLOOKUP('[1]Course Totals'!K$4,'[1]import graded seats course pivo'!$1:$2,2,FALSE),FALSE))),"")</f>
        <v/>
      </c>
      <c r="L1000" s="14" t="str">
        <f>IFERROR((VLOOKUP($A1000,'[1]import success seats course'!$A:Z,HLOOKUP('[1]Course Totals'!L$4,'[1]import success seats course'!$1:$2,2,FALSE),FALSE)/(VLOOKUP($A1000,'[1]import graded seats course pivo'!$A:AJ,HLOOKUP('[1]Course Totals'!L$4,'[1]import graded seats course pivo'!$1:$2,2,FALSE),FALSE))),"")</f>
        <v/>
      </c>
      <c r="M1000" s="14" t="str">
        <f>IFERROR((VLOOKUP($A1000,'[1]import success seats course'!$A:AA,HLOOKUP('[1]Course Totals'!M$4,'[1]import success seats course'!$1:$2,2,FALSE),FALSE)/(VLOOKUP($A1000,'[1]import graded seats course pivo'!$A:AK,HLOOKUP('[1]Course Totals'!M$4,'[1]import graded seats course pivo'!$1:$2,2,FALSE),FALSE))),"")</f>
        <v/>
      </c>
      <c r="N1000" s="14" t="str">
        <f>IFERROR((VLOOKUP($A1000,'[1]import success seats course'!$A:AB,HLOOKUP('[1]Course Totals'!N$4,'[1]import success seats course'!$1:$2,2,FALSE),FALSE)/(VLOOKUP($A1000,'[1]import graded seats course pivo'!$A:AL,HLOOKUP('[1]Course Totals'!N$4,'[1]import graded seats course pivo'!$1:$2,2,FALSE),FALSE))),"")</f>
        <v/>
      </c>
      <c r="O1000" s="14" t="str">
        <f>IFERROR((VLOOKUP($A1000,'[1]import success seats course'!$A:AC,HLOOKUP('[1]Course Totals'!O$4,'[1]import success seats course'!$1:$2,2,FALSE),FALSE)/(VLOOKUP($A1000,'[1]import graded seats course pivo'!$A:AM,HLOOKUP('[1]Course Totals'!O$4,'[1]import graded seats course pivo'!$1:$2,2,FALSE),FALSE))),"")</f>
        <v/>
      </c>
      <c r="P1000" s="14" t="str">
        <f>IFERROR((VLOOKUP($A1000,'[1]import success seats course'!$A:AD,HLOOKUP('[1]Course Totals'!P$4,'[1]import success seats course'!$1:$2,2,FALSE),FALSE)/(VLOOKUP($A1000,'[1]import graded seats course pivo'!$A:AN,HLOOKUP('[1]Course Totals'!P$4,'[1]import graded seats course pivo'!$1:$2,2,FALSE),FALSE))),"")</f>
        <v/>
      </c>
      <c r="Q1000" s="14" t="str">
        <f>IFERROR((VLOOKUP($A1000,'[1]import success seats course'!$A:AE,HLOOKUP('[1]Course Totals'!Q$4,'[1]import success seats course'!$1:$2,2,FALSE),FALSE)/(VLOOKUP($A1000,'[1]import graded seats course pivo'!$A:AO,HLOOKUP('[1]Course Totals'!Q$4,'[1]import graded seats course pivo'!$1:$2,2,FALSE),FALSE))),"")</f>
        <v/>
      </c>
      <c r="R1000" s="14" t="str">
        <f>IFERROR((VLOOKUP($A1000,'[1]import success seats course'!$A:AF,HLOOKUP('[1]Course Totals'!R$4,'[1]import success seats course'!$1:$2,2,FALSE),FALSE)/(VLOOKUP($A1000,'[1]import graded seats course pivo'!$A:AP,HLOOKUP('[1]Course Totals'!R$4,'[1]import graded seats course pivo'!$1:$2,2,FALSE),FALSE))),"")</f>
        <v/>
      </c>
      <c r="S1000" s="14" t="str">
        <f>IFERROR((VLOOKUP($A1000,'[1]import success seats course'!$A:AG,HLOOKUP('[1]Course Totals'!S$4,'[1]import success seats course'!$1:$2,2,FALSE),FALSE)/(VLOOKUP($A1000,'[1]import graded seats course pivo'!$A:AQ,HLOOKUP('[1]Course Totals'!S$4,'[1]import graded seats course pivo'!$1:$2,2,FALSE),FALSE))),"")</f>
        <v/>
      </c>
      <c r="Z1000" s="7"/>
      <c r="AA1000" s="7"/>
      <c r="AB1000" s="7"/>
      <c r="AC1000" s="7"/>
    </row>
    <row r="1001" spans="1:29" ht="15.75" customHeight="1" x14ac:dyDescent="0.25">
      <c r="A1001" s="12" t="s">
        <v>814</v>
      </c>
      <c r="B1001" s="14" t="str">
        <f>IFERROR((VLOOKUP($A1001,'[1]import success seats course'!$A:P,HLOOKUP('[1]Course Totals'!B$4,'[1]import success seats course'!$1:$2,2,FALSE),FALSE)/(VLOOKUP($A1001,'[1]import graded seats course pivo'!$A:Z,HLOOKUP('[1]Course Totals'!B$4,'[1]import graded seats course pivo'!$1:$2,2,FALSE),FALSE))),"")</f>
        <v/>
      </c>
      <c r="C1001" s="14" t="str">
        <f>IFERROR((VLOOKUP($A1001,'[1]import success seats course'!$A:Q,HLOOKUP('[1]Course Totals'!C$4,'[1]import success seats course'!$1:$2,2,FALSE),FALSE)/(VLOOKUP($A1001,'[1]import graded seats course pivo'!$A:AA,HLOOKUP('[1]Course Totals'!C$4,'[1]import graded seats course pivo'!$1:$2,2,FALSE),FALSE))),"")</f>
        <v/>
      </c>
      <c r="D1001" s="14" t="str">
        <f>IFERROR((VLOOKUP($A1001,'[1]import success seats course'!$A:R,HLOOKUP('[1]Course Totals'!D$4,'[1]import success seats course'!$1:$2,2,FALSE),FALSE)/(VLOOKUP($A1001,'[1]import graded seats course pivo'!$A:AB,HLOOKUP('[1]Course Totals'!D$4,'[1]import graded seats course pivo'!$1:$2,2,FALSE),FALSE))),"")</f>
        <v/>
      </c>
      <c r="E1001" s="14" t="str">
        <f>IFERROR((VLOOKUP($A1001,'[1]import success seats course'!$A:S,HLOOKUP('[1]Course Totals'!E$4,'[1]import success seats course'!$1:$2,2,FALSE),FALSE)/(VLOOKUP($A1001,'[1]import graded seats course pivo'!$A:AC,HLOOKUP('[1]Course Totals'!E$4,'[1]import graded seats course pivo'!$1:$2,2,FALSE),FALSE))),"")</f>
        <v/>
      </c>
      <c r="F1001" s="14" t="str">
        <f>IFERROR((VLOOKUP($A1001,'[1]import success seats course'!$A:T,HLOOKUP('[1]Course Totals'!F$4,'[1]import success seats course'!$1:$2,2,FALSE),FALSE)/(VLOOKUP($A1001,'[1]import graded seats course pivo'!$A:AD,HLOOKUP('[1]Course Totals'!F$4,'[1]import graded seats course pivo'!$1:$2,2,FALSE),FALSE))),"")</f>
        <v/>
      </c>
      <c r="G1001" s="14" t="str">
        <f>IFERROR((VLOOKUP($A1001,'[1]import success seats course'!$A:U,HLOOKUP('[1]Course Totals'!G$4,'[1]import success seats course'!$1:$2,2,FALSE),FALSE)/(VLOOKUP($A1001,'[1]import graded seats course pivo'!$A:AE,HLOOKUP('[1]Course Totals'!G$4,'[1]import graded seats course pivo'!$1:$2,2,FALSE),FALSE))),"")</f>
        <v/>
      </c>
      <c r="H1001" s="14" t="str">
        <f>IFERROR((VLOOKUP($A1001,'[1]import success seats course'!$A:V,HLOOKUP('[1]Course Totals'!H$4,'[1]import success seats course'!$1:$2,2,FALSE),FALSE)/(VLOOKUP($A1001,'[1]import graded seats course pivo'!$A:AF,HLOOKUP('[1]Course Totals'!H$4,'[1]import graded seats course pivo'!$1:$2,2,FALSE),FALSE))),"")</f>
        <v/>
      </c>
      <c r="I1001" s="14" t="str">
        <f>IFERROR((VLOOKUP($A1001,'[1]import success seats course'!$A:W,HLOOKUP('[1]Course Totals'!I$4,'[1]import success seats course'!$1:$2,2,FALSE),FALSE)/(VLOOKUP($A1001,'[1]import graded seats course pivo'!$A:AG,HLOOKUP('[1]Course Totals'!I$4,'[1]import graded seats course pivo'!$1:$2,2,FALSE),FALSE))),"")</f>
        <v/>
      </c>
      <c r="J1001" s="14" t="str">
        <f>IFERROR((VLOOKUP($A1001,'[1]import success seats course'!$A:X,HLOOKUP('[1]Course Totals'!J$4,'[1]import success seats course'!$1:$2,2,FALSE),FALSE)/(VLOOKUP($A1001,'[1]import graded seats course pivo'!$A:AH,HLOOKUP('[1]Course Totals'!J$4,'[1]import graded seats course pivo'!$1:$2,2,FALSE),FALSE))),"")</f>
        <v/>
      </c>
      <c r="K1001" s="14" t="str">
        <f>IFERROR((VLOOKUP($A1001,'[1]import success seats course'!$A:Y,HLOOKUP('[1]Course Totals'!K$4,'[1]import success seats course'!$1:$2,2,FALSE),FALSE)/(VLOOKUP($A1001,'[1]import graded seats course pivo'!$A:AI,HLOOKUP('[1]Course Totals'!K$4,'[1]import graded seats course pivo'!$1:$2,2,FALSE),FALSE))),"")</f>
        <v/>
      </c>
      <c r="L1001" s="14">
        <f>IFERROR((VLOOKUP($A1001,'[1]import success seats course'!$A:Z,HLOOKUP('[1]Course Totals'!L$4,'[1]import success seats course'!$1:$2,2,FALSE),FALSE)/(VLOOKUP($A1001,'[1]import graded seats course pivo'!$A:AJ,HLOOKUP('[1]Course Totals'!L$4,'[1]import graded seats course pivo'!$1:$2,2,FALSE),FALSE))),"")</f>
        <v>0.92307692307692313</v>
      </c>
      <c r="M1001" s="14" t="str">
        <f>IFERROR((VLOOKUP($A1001,'[1]import success seats course'!$A:AA,HLOOKUP('[1]Course Totals'!M$4,'[1]import success seats course'!$1:$2,2,FALSE),FALSE)/(VLOOKUP($A1001,'[1]import graded seats course pivo'!$A:AK,HLOOKUP('[1]Course Totals'!M$4,'[1]import graded seats course pivo'!$1:$2,2,FALSE),FALSE))),"")</f>
        <v/>
      </c>
      <c r="N1001" s="14" t="str">
        <f>IFERROR((VLOOKUP($A1001,'[1]import success seats course'!$A:AB,HLOOKUP('[1]Course Totals'!N$4,'[1]import success seats course'!$1:$2,2,FALSE),FALSE)/(VLOOKUP($A1001,'[1]import graded seats course pivo'!$A:AL,HLOOKUP('[1]Course Totals'!N$4,'[1]import graded seats course pivo'!$1:$2,2,FALSE),FALSE))),"")</f>
        <v/>
      </c>
      <c r="O1001" s="14" t="str">
        <f>IFERROR((VLOOKUP($A1001,'[1]import success seats course'!$A:AC,HLOOKUP('[1]Course Totals'!O$4,'[1]import success seats course'!$1:$2,2,FALSE),FALSE)/(VLOOKUP($A1001,'[1]import graded seats course pivo'!$A:AM,HLOOKUP('[1]Course Totals'!O$4,'[1]import graded seats course pivo'!$1:$2,2,FALSE),FALSE))),"")</f>
        <v/>
      </c>
      <c r="P1001" s="14" t="str">
        <f>IFERROR((VLOOKUP($A1001,'[1]import success seats course'!$A:AD,HLOOKUP('[1]Course Totals'!P$4,'[1]import success seats course'!$1:$2,2,FALSE),FALSE)/(VLOOKUP($A1001,'[1]import graded seats course pivo'!$A:AN,HLOOKUP('[1]Course Totals'!P$4,'[1]import graded seats course pivo'!$1:$2,2,FALSE),FALSE))),"")</f>
        <v/>
      </c>
      <c r="Q1001" s="14" t="str">
        <f>IFERROR((VLOOKUP($A1001,'[1]import success seats course'!$A:AE,HLOOKUP('[1]Course Totals'!Q$4,'[1]import success seats course'!$1:$2,2,FALSE),FALSE)/(VLOOKUP($A1001,'[1]import graded seats course pivo'!$A:AO,HLOOKUP('[1]Course Totals'!Q$4,'[1]import graded seats course pivo'!$1:$2,2,FALSE),FALSE))),"")</f>
        <v/>
      </c>
      <c r="R1001" s="14" t="str">
        <f>IFERROR((VLOOKUP($A1001,'[1]import success seats course'!$A:AF,HLOOKUP('[1]Course Totals'!R$4,'[1]import success seats course'!$1:$2,2,FALSE),FALSE)/(VLOOKUP($A1001,'[1]import graded seats course pivo'!$A:AP,HLOOKUP('[1]Course Totals'!R$4,'[1]import graded seats course pivo'!$1:$2,2,FALSE),FALSE))),"")</f>
        <v/>
      </c>
      <c r="S1001" s="14" t="str">
        <f>IFERROR((VLOOKUP($A1001,'[1]import success seats course'!$A:AG,HLOOKUP('[1]Course Totals'!S$4,'[1]import success seats course'!$1:$2,2,FALSE),FALSE)/(VLOOKUP($A1001,'[1]import graded seats course pivo'!$A:AQ,HLOOKUP('[1]Course Totals'!S$4,'[1]import graded seats course pivo'!$1:$2,2,FALSE),FALSE))),"")</f>
        <v/>
      </c>
      <c r="Z1001" s="7"/>
      <c r="AA1001" s="7"/>
      <c r="AB1001" s="7"/>
      <c r="AC1001" s="7"/>
    </row>
    <row r="1002" spans="1:29" ht="15.75" customHeight="1" x14ac:dyDescent="0.25">
      <c r="A1002" s="12" t="s">
        <v>815</v>
      </c>
      <c r="B1002" s="14" t="str">
        <f>IFERROR((VLOOKUP($A1002,'[1]import success seats course'!$A:P,HLOOKUP('[1]Course Totals'!B$4,'[1]import success seats course'!$1:$2,2,FALSE),FALSE)/(VLOOKUP($A1002,'[1]import graded seats course pivo'!$A:Z,HLOOKUP('[1]Course Totals'!B$4,'[1]import graded seats course pivo'!$1:$2,2,FALSE),FALSE))),"")</f>
        <v/>
      </c>
      <c r="C1002" s="14" t="str">
        <f>IFERROR((VLOOKUP($A1002,'[1]import success seats course'!$A:Q,HLOOKUP('[1]Course Totals'!C$4,'[1]import success seats course'!$1:$2,2,FALSE),FALSE)/(VLOOKUP($A1002,'[1]import graded seats course pivo'!$A:AA,HLOOKUP('[1]Course Totals'!C$4,'[1]import graded seats course pivo'!$1:$2,2,FALSE),FALSE))),"")</f>
        <v/>
      </c>
      <c r="D1002" s="14" t="str">
        <f>IFERROR((VLOOKUP($A1002,'[1]import success seats course'!$A:R,HLOOKUP('[1]Course Totals'!D$4,'[1]import success seats course'!$1:$2,2,FALSE),FALSE)/(VLOOKUP($A1002,'[1]import graded seats course pivo'!$A:AB,HLOOKUP('[1]Course Totals'!D$4,'[1]import graded seats course pivo'!$1:$2,2,FALSE),FALSE))),"")</f>
        <v/>
      </c>
      <c r="E1002" s="14" t="str">
        <f>IFERROR((VLOOKUP($A1002,'[1]import success seats course'!$A:S,HLOOKUP('[1]Course Totals'!E$4,'[1]import success seats course'!$1:$2,2,FALSE),FALSE)/(VLOOKUP($A1002,'[1]import graded seats course pivo'!$A:AC,HLOOKUP('[1]Course Totals'!E$4,'[1]import graded seats course pivo'!$1:$2,2,FALSE),FALSE))),"")</f>
        <v/>
      </c>
      <c r="F1002" s="14" t="str">
        <f>IFERROR((VLOOKUP($A1002,'[1]import success seats course'!$A:T,HLOOKUP('[1]Course Totals'!F$4,'[1]import success seats course'!$1:$2,2,FALSE),FALSE)/(VLOOKUP($A1002,'[1]import graded seats course pivo'!$A:AD,HLOOKUP('[1]Course Totals'!F$4,'[1]import graded seats course pivo'!$1:$2,2,FALSE),FALSE))),"")</f>
        <v/>
      </c>
      <c r="G1002" s="14" t="str">
        <f>IFERROR((VLOOKUP($A1002,'[1]import success seats course'!$A:U,HLOOKUP('[1]Course Totals'!G$4,'[1]import success seats course'!$1:$2,2,FALSE),FALSE)/(VLOOKUP($A1002,'[1]import graded seats course pivo'!$A:AE,HLOOKUP('[1]Course Totals'!G$4,'[1]import graded seats course pivo'!$1:$2,2,FALSE),FALSE))),"")</f>
        <v/>
      </c>
      <c r="H1002" s="14" t="str">
        <f>IFERROR((VLOOKUP($A1002,'[1]import success seats course'!$A:V,HLOOKUP('[1]Course Totals'!H$4,'[1]import success seats course'!$1:$2,2,FALSE),FALSE)/(VLOOKUP($A1002,'[1]import graded seats course pivo'!$A:AF,HLOOKUP('[1]Course Totals'!H$4,'[1]import graded seats course pivo'!$1:$2,2,FALSE),FALSE))),"")</f>
        <v/>
      </c>
      <c r="I1002" s="14" t="str">
        <f>IFERROR((VLOOKUP($A1002,'[1]import success seats course'!$A:W,HLOOKUP('[1]Course Totals'!I$4,'[1]import success seats course'!$1:$2,2,FALSE),FALSE)/(VLOOKUP($A1002,'[1]import graded seats course pivo'!$A:AG,HLOOKUP('[1]Course Totals'!I$4,'[1]import graded seats course pivo'!$1:$2,2,FALSE),FALSE))),"")</f>
        <v/>
      </c>
      <c r="J1002" s="14" t="str">
        <f>IFERROR((VLOOKUP($A1002,'[1]import success seats course'!$A:X,HLOOKUP('[1]Course Totals'!J$4,'[1]import success seats course'!$1:$2,2,FALSE),FALSE)/(VLOOKUP($A1002,'[1]import graded seats course pivo'!$A:AH,HLOOKUP('[1]Course Totals'!J$4,'[1]import graded seats course pivo'!$1:$2,2,FALSE),FALSE))),"")</f>
        <v/>
      </c>
      <c r="K1002" s="14" t="str">
        <f>IFERROR((VLOOKUP($A1002,'[1]import success seats course'!$A:Y,HLOOKUP('[1]Course Totals'!K$4,'[1]import success seats course'!$1:$2,2,FALSE),FALSE)/(VLOOKUP($A1002,'[1]import graded seats course pivo'!$A:AI,HLOOKUP('[1]Course Totals'!K$4,'[1]import graded seats course pivo'!$1:$2,2,FALSE),FALSE))),"")</f>
        <v/>
      </c>
      <c r="L1002" s="14">
        <f>IFERROR((VLOOKUP($A1002,'[1]import success seats course'!$A:Z,HLOOKUP('[1]Course Totals'!L$4,'[1]import success seats course'!$1:$2,2,FALSE),FALSE)/(VLOOKUP($A1002,'[1]import graded seats course pivo'!$A:AJ,HLOOKUP('[1]Course Totals'!L$4,'[1]import graded seats course pivo'!$1:$2,2,FALSE),FALSE))),"")</f>
        <v>1</v>
      </c>
      <c r="M1002" s="14" t="str">
        <f>IFERROR((VLOOKUP($A1002,'[1]import success seats course'!$A:AA,HLOOKUP('[1]Course Totals'!M$4,'[1]import success seats course'!$1:$2,2,FALSE),FALSE)/(VLOOKUP($A1002,'[1]import graded seats course pivo'!$A:AK,HLOOKUP('[1]Course Totals'!M$4,'[1]import graded seats course pivo'!$1:$2,2,FALSE),FALSE))),"")</f>
        <v/>
      </c>
      <c r="N1002" s="14" t="str">
        <f>IFERROR((VLOOKUP($A1002,'[1]import success seats course'!$A:AB,HLOOKUP('[1]Course Totals'!N$4,'[1]import success seats course'!$1:$2,2,FALSE),FALSE)/(VLOOKUP($A1002,'[1]import graded seats course pivo'!$A:AL,HLOOKUP('[1]Course Totals'!N$4,'[1]import graded seats course pivo'!$1:$2,2,FALSE),FALSE))),"")</f>
        <v/>
      </c>
      <c r="O1002" s="14" t="str">
        <f>IFERROR((VLOOKUP($A1002,'[1]import success seats course'!$A:AC,HLOOKUP('[1]Course Totals'!O$4,'[1]import success seats course'!$1:$2,2,FALSE),FALSE)/(VLOOKUP($A1002,'[1]import graded seats course pivo'!$A:AM,HLOOKUP('[1]Course Totals'!O$4,'[1]import graded seats course pivo'!$1:$2,2,FALSE),FALSE))),"")</f>
        <v/>
      </c>
      <c r="P1002" s="14" t="str">
        <f>IFERROR((VLOOKUP($A1002,'[1]import success seats course'!$A:AD,HLOOKUP('[1]Course Totals'!P$4,'[1]import success seats course'!$1:$2,2,FALSE),FALSE)/(VLOOKUP($A1002,'[1]import graded seats course pivo'!$A:AN,HLOOKUP('[1]Course Totals'!P$4,'[1]import graded seats course pivo'!$1:$2,2,FALSE),FALSE))),"")</f>
        <v/>
      </c>
      <c r="Q1002" s="14" t="str">
        <f>IFERROR((VLOOKUP($A1002,'[1]import success seats course'!$A:AE,HLOOKUP('[1]Course Totals'!Q$4,'[1]import success seats course'!$1:$2,2,FALSE),FALSE)/(VLOOKUP($A1002,'[1]import graded seats course pivo'!$A:AO,HLOOKUP('[1]Course Totals'!Q$4,'[1]import graded seats course pivo'!$1:$2,2,FALSE),FALSE))),"")</f>
        <v/>
      </c>
      <c r="R1002" s="14" t="str">
        <f>IFERROR((VLOOKUP($A1002,'[1]import success seats course'!$A:AF,HLOOKUP('[1]Course Totals'!R$4,'[1]import success seats course'!$1:$2,2,FALSE),FALSE)/(VLOOKUP($A1002,'[1]import graded seats course pivo'!$A:AP,HLOOKUP('[1]Course Totals'!R$4,'[1]import graded seats course pivo'!$1:$2,2,FALSE),FALSE))),"")</f>
        <v/>
      </c>
      <c r="S1002" s="14" t="str">
        <f>IFERROR((VLOOKUP($A1002,'[1]import success seats course'!$A:AG,HLOOKUP('[1]Course Totals'!S$4,'[1]import success seats course'!$1:$2,2,FALSE),FALSE)/(VLOOKUP($A1002,'[1]import graded seats course pivo'!$A:AQ,HLOOKUP('[1]Course Totals'!S$4,'[1]import graded seats course pivo'!$1:$2,2,FALSE),FALSE))),"")</f>
        <v/>
      </c>
      <c r="Z1002" s="7"/>
      <c r="AA1002" s="7"/>
      <c r="AB1002" s="7"/>
      <c r="AC1002" s="7"/>
    </row>
    <row r="1003" spans="1:29" ht="15.75" customHeight="1" x14ac:dyDescent="0.25">
      <c r="A1003" s="12" t="s">
        <v>1038</v>
      </c>
      <c r="B1003" s="14" t="str">
        <f>IFERROR((VLOOKUP($A1003,'[1]import success seats course'!$A:P,HLOOKUP('[1]Course Totals'!B$4,'[1]import success seats course'!$1:$2,2,FALSE),FALSE)/(VLOOKUP($A1003,'[1]import graded seats course pivo'!$A:Z,HLOOKUP('[1]Course Totals'!B$4,'[1]import graded seats course pivo'!$1:$2,2,FALSE),FALSE))),"")</f>
        <v/>
      </c>
      <c r="C1003" s="14" t="str">
        <f>IFERROR((VLOOKUP($A1003,'[1]import success seats course'!$A:Q,HLOOKUP('[1]Course Totals'!C$4,'[1]import success seats course'!$1:$2,2,FALSE),FALSE)/(VLOOKUP($A1003,'[1]import graded seats course pivo'!$A:AA,HLOOKUP('[1]Course Totals'!C$4,'[1]import graded seats course pivo'!$1:$2,2,FALSE),FALSE))),"")</f>
        <v/>
      </c>
      <c r="D1003" s="14" t="str">
        <f>IFERROR((VLOOKUP($A1003,'[1]import success seats course'!$A:R,HLOOKUP('[1]Course Totals'!D$4,'[1]import success seats course'!$1:$2,2,FALSE),FALSE)/(VLOOKUP($A1003,'[1]import graded seats course pivo'!$A:AB,HLOOKUP('[1]Course Totals'!D$4,'[1]import graded seats course pivo'!$1:$2,2,FALSE),FALSE))),"")</f>
        <v/>
      </c>
      <c r="E1003" s="14" t="str">
        <f>IFERROR((VLOOKUP($A1003,'[1]import success seats course'!$A:S,HLOOKUP('[1]Course Totals'!E$4,'[1]import success seats course'!$1:$2,2,FALSE),FALSE)/(VLOOKUP($A1003,'[1]import graded seats course pivo'!$A:AC,HLOOKUP('[1]Course Totals'!E$4,'[1]import graded seats course pivo'!$1:$2,2,FALSE),FALSE))),"")</f>
        <v/>
      </c>
      <c r="F1003" s="14" t="str">
        <f>IFERROR((VLOOKUP($A1003,'[1]import success seats course'!$A:T,HLOOKUP('[1]Course Totals'!F$4,'[1]import success seats course'!$1:$2,2,FALSE),FALSE)/(VLOOKUP($A1003,'[1]import graded seats course pivo'!$A:AD,HLOOKUP('[1]Course Totals'!F$4,'[1]import graded seats course pivo'!$1:$2,2,FALSE),FALSE))),"")</f>
        <v/>
      </c>
      <c r="G1003" s="14" t="str">
        <f>IFERROR((VLOOKUP($A1003,'[1]import success seats course'!$A:U,HLOOKUP('[1]Course Totals'!G$4,'[1]import success seats course'!$1:$2,2,FALSE),FALSE)/(VLOOKUP($A1003,'[1]import graded seats course pivo'!$A:AE,HLOOKUP('[1]Course Totals'!G$4,'[1]import graded seats course pivo'!$1:$2,2,FALSE),FALSE))),"")</f>
        <v/>
      </c>
      <c r="H1003" s="14" t="str">
        <f>IFERROR((VLOOKUP($A1003,'[1]import success seats course'!$A:V,HLOOKUP('[1]Course Totals'!H$4,'[1]import success seats course'!$1:$2,2,FALSE),FALSE)/(VLOOKUP($A1003,'[1]import graded seats course pivo'!$A:AF,HLOOKUP('[1]Course Totals'!H$4,'[1]import graded seats course pivo'!$1:$2,2,FALSE),FALSE))),"")</f>
        <v/>
      </c>
      <c r="I1003" s="14" t="str">
        <f>IFERROR((VLOOKUP($A1003,'[1]import success seats course'!$A:W,HLOOKUP('[1]Course Totals'!I$4,'[1]import success seats course'!$1:$2,2,FALSE),FALSE)/(VLOOKUP($A1003,'[1]import graded seats course pivo'!$A:AG,HLOOKUP('[1]Course Totals'!I$4,'[1]import graded seats course pivo'!$1:$2,2,FALSE),FALSE))),"")</f>
        <v/>
      </c>
      <c r="J1003" s="14" t="str">
        <f>IFERROR((VLOOKUP($A1003,'[1]import success seats course'!$A:X,HLOOKUP('[1]Course Totals'!J$4,'[1]import success seats course'!$1:$2,2,FALSE),FALSE)/(VLOOKUP($A1003,'[1]import graded seats course pivo'!$A:AH,HLOOKUP('[1]Course Totals'!J$4,'[1]import graded seats course pivo'!$1:$2,2,FALSE),FALSE))),"")</f>
        <v/>
      </c>
      <c r="K1003" s="14" t="str">
        <f>IFERROR((VLOOKUP($A1003,'[1]import success seats course'!$A:Y,HLOOKUP('[1]Course Totals'!K$4,'[1]import success seats course'!$1:$2,2,FALSE),FALSE)/(VLOOKUP($A1003,'[1]import graded seats course pivo'!$A:AI,HLOOKUP('[1]Course Totals'!K$4,'[1]import graded seats course pivo'!$1:$2,2,FALSE),FALSE))),"")</f>
        <v/>
      </c>
      <c r="L1003" s="14" t="str">
        <f>IFERROR((VLOOKUP($A1003,'[1]import success seats course'!$A:Z,HLOOKUP('[1]Course Totals'!L$4,'[1]import success seats course'!$1:$2,2,FALSE),FALSE)/(VLOOKUP($A1003,'[1]import graded seats course pivo'!$A:AJ,HLOOKUP('[1]Course Totals'!L$4,'[1]import graded seats course pivo'!$1:$2,2,FALSE),FALSE))),"")</f>
        <v/>
      </c>
      <c r="M1003" s="14">
        <f>IFERROR((VLOOKUP($A1003,'[1]import success seats course'!$A:AA,HLOOKUP('[1]Course Totals'!M$4,'[1]import success seats course'!$1:$2,2,FALSE),FALSE)/(VLOOKUP($A1003,'[1]import graded seats course pivo'!$A:AK,HLOOKUP('[1]Course Totals'!M$4,'[1]import graded seats course pivo'!$1:$2,2,FALSE),FALSE))),"")</f>
        <v>0.8</v>
      </c>
      <c r="N1003" s="14" t="str">
        <f>IFERROR((VLOOKUP($A1003,'[1]import success seats course'!$A:AB,HLOOKUP('[1]Course Totals'!N$4,'[1]import success seats course'!$1:$2,2,FALSE),FALSE)/(VLOOKUP($A1003,'[1]import graded seats course pivo'!$A:AL,HLOOKUP('[1]Course Totals'!N$4,'[1]import graded seats course pivo'!$1:$2,2,FALSE),FALSE))),"")</f>
        <v/>
      </c>
      <c r="O1003" s="14" t="str">
        <f>IFERROR((VLOOKUP($A1003,'[1]import success seats course'!$A:AC,HLOOKUP('[1]Course Totals'!O$4,'[1]import success seats course'!$1:$2,2,FALSE),FALSE)/(VLOOKUP($A1003,'[1]import graded seats course pivo'!$A:AM,HLOOKUP('[1]Course Totals'!O$4,'[1]import graded seats course pivo'!$1:$2,2,FALSE),FALSE))),"")</f>
        <v/>
      </c>
      <c r="P1003" s="14" t="str">
        <f>IFERROR((VLOOKUP($A1003,'[1]import success seats course'!$A:AD,HLOOKUP('[1]Course Totals'!P$4,'[1]import success seats course'!$1:$2,2,FALSE),FALSE)/(VLOOKUP($A1003,'[1]import graded seats course pivo'!$A:AN,HLOOKUP('[1]Course Totals'!P$4,'[1]import graded seats course pivo'!$1:$2,2,FALSE),FALSE))),"")</f>
        <v/>
      </c>
      <c r="Q1003" s="14" t="str">
        <f>IFERROR((VLOOKUP($A1003,'[1]import success seats course'!$A:AE,HLOOKUP('[1]Course Totals'!Q$4,'[1]import success seats course'!$1:$2,2,FALSE),FALSE)/(VLOOKUP($A1003,'[1]import graded seats course pivo'!$A:AO,HLOOKUP('[1]Course Totals'!Q$4,'[1]import graded seats course pivo'!$1:$2,2,FALSE),FALSE))),"")</f>
        <v/>
      </c>
      <c r="R1003" s="14" t="str">
        <f>IFERROR((VLOOKUP($A1003,'[1]import success seats course'!$A:AF,HLOOKUP('[1]Course Totals'!R$4,'[1]import success seats course'!$1:$2,2,FALSE),FALSE)/(VLOOKUP($A1003,'[1]import graded seats course pivo'!$A:AP,HLOOKUP('[1]Course Totals'!R$4,'[1]import graded seats course pivo'!$1:$2,2,FALSE),FALSE))),"")</f>
        <v/>
      </c>
      <c r="S1003" s="14" t="str">
        <f>IFERROR((VLOOKUP($A1003,'[1]import success seats course'!$A:AG,HLOOKUP('[1]Course Totals'!S$4,'[1]import success seats course'!$1:$2,2,FALSE),FALSE)/(VLOOKUP($A1003,'[1]import graded seats course pivo'!$A:AQ,HLOOKUP('[1]Course Totals'!S$4,'[1]import graded seats course pivo'!$1:$2,2,FALSE),FALSE))),"")</f>
        <v/>
      </c>
      <c r="Z1003" s="7"/>
      <c r="AA1003" s="7"/>
      <c r="AB1003" s="7"/>
      <c r="AC1003" s="7"/>
    </row>
    <row r="1004" spans="1:29" ht="15.75" customHeight="1" x14ac:dyDescent="0.25">
      <c r="A1004" s="12" t="s">
        <v>1039</v>
      </c>
      <c r="B1004" s="14" t="str">
        <f>IFERROR((VLOOKUP($A1004,'[1]import success seats course'!$A:P,HLOOKUP('[1]Course Totals'!B$4,'[1]import success seats course'!$1:$2,2,FALSE),FALSE)/(VLOOKUP($A1004,'[1]import graded seats course pivo'!$A:Z,HLOOKUP('[1]Course Totals'!B$4,'[1]import graded seats course pivo'!$1:$2,2,FALSE),FALSE))),"")</f>
        <v/>
      </c>
      <c r="C1004" s="14" t="str">
        <f>IFERROR((VLOOKUP($A1004,'[1]import success seats course'!$A:Q,HLOOKUP('[1]Course Totals'!C$4,'[1]import success seats course'!$1:$2,2,FALSE),FALSE)/(VLOOKUP($A1004,'[1]import graded seats course pivo'!$A:AA,HLOOKUP('[1]Course Totals'!C$4,'[1]import graded seats course pivo'!$1:$2,2,FALSE),FALSE))),"")</f>
        <v/>
      </c>
      <c r="D1004" s="14" t="str">
        <f>IFERROR((VLOOKUP($A1004,'[1]import success seats course'!$A:R,HLOOKUP('[1]Course Totals'!D$4,'[1]import success seats course'!$1:$2,2,FALSE),FALSE)/(VLOOKUP($A1004,'[1]import graded seats course pivo'!$A:AB,HLOOKUP('[1]Course Totals'!D$4,'[1]import graded seats course pivo'!$1:$2,2,FALSE),FALSE))),"")</f>
        <v/>
      </c>
      <c r="E1004" s="14" t="str">
        <f>IFERROR((VLOOKUP($A1004,'[1]import success seats course'!$A:S,HLOOKUP('[1]Course Totals'!E$4,'[1]import success seats course'!$1:$2,2,FALSE),FALSE)/(VLOOKUP($A1004,'[1]import graded seats course pivo'!$A:AC,HLOOKUP('[1]Course Totals'!E$4,'[1]import graded seats course pivo'!$1:$2,2,FALSE),FALSE))),"")</f>
        <v/>
      </c>
      <c r="F1004" s="14" t="str">
        <f>IFERROR((VLOOKUP($A1004,'[1]import success seats course'!$A:T,HLOOKUP('[1]Course Totals'!F$4,'[1]import success seats course'!$1:$2,2,FALSE),FALSE)/(VLOOKUP($A1004,'[1]import graded seats course pivo'!$A:AD,HLOOKUP('[1]Course Totals'!F$4,'[1]import graded seats course pivo'!$1:$2,2,FALSE),FALSE))),"")</f>
        <v/>
      </c>
      <c r="G1004" s="14" t="str">
        <f>IFERROR((VLOOKUP($A1004,'[1]import success seats course'!$A:U,HLOOKUP('[1]Course Totals'!G$4,'[1]import success seats course'!$1:$2,2,FALSE),FALSE)/(VLOOKUP($A1004,'[1]import graded seats course pivo'!$A:AE,HLOOKUP('[1]Course Totals'!G$4,'[1]import graded seats course pivo'!$1:$2,2,FALSE),FALSE))),"")</f>
        <v/>
      </c>
      <c r="H1004" s="14" t="str">
        <f>IFERROR((VLOOKUP($A1004,'[1]import success seats course'!$A:V,HLOOKUP('[1]Course Totals'!H$4,'[1]import success seats course'!$1:$2,2,FALSE),FALSE)/(VLOOKUP($A1004,'[1]import graded seats course pivo'!$A:AF,HLOOKUP('[1]Course Totals'!H$4,'[1]import graded seats course pivo'!$1:$2,2,FALSE),FALSE))),"")</f>
        <v/>
      </c>
      <c r="I1004" s="14" t="str">
        <f>IFERROR((VLOOKUP($A1004,'[1]import success seats course'!$A:W,HLOOKUP('[1]Course Totals'!I$4,'[1]import success seats course'!$1:$2,2,FALSE),FALSE)/(VLOOKUP($A1004,'[1]import graded seats course pivo'!$A:AG,HLOOKUP('[1]Course Totals'!I$4,'[1]import graded seats course pivo'!$1:$2,2,FALSE),FALSE))),"")</f>
        <v/>
      </c>
      <c r="J1004" s="14" t="str">
        <f>IFERROR((VLOOKUP($A1004,'[1]import success seats course'!$A:X,HLOOKUP('[1]Course Totals'!J$4,'[1]import success seats course'!$1:$2,2,FALSE),FALSE)/(VLOOKUP($A1004,'[1]import graded seats course pivo'!$A:AH,HLOOKUP('[1]Course Totals'!J$4,'[1]import graded seats course pivo'!$1:$2,2,FALSE),FALSE))),"")</f>
        <v/>
      </c>
      <c r="K1004" s="14" t="str">
        <f>IFERROR((VLOOKUP($A1004,'[1]import success seats course'!$A:Y,HLOOKUP('[1]Course Totals'!K$4,'[1]import success seats course'!$1:$2,2,FALSE),FALSE)/(VLOOKUP($A1004,'[1]import graded seats course pivo'!$A:AI,HLOOKUP('[1]Course Totals'!K$4,'[1]import graded seats course pivo'!$1:$2,2,FALSE),FALSE))),"")</f>
        <v/>
      </c>
      <c r="L1004" s="14" t="str">
        <f>IFERROR((VLOOKUP($A1004,'[1]import success seats course'!$A:Z,HLOOKUP('[1]Course Totals'!L$4,'[1]import success seats course'!$1:$2,2,FALSE),FALSE)/(VLOOKUP($A1004,'[1]import graded seats course pivo'!$A:AJ,HLOOKUP('[1]Course Totals'!L$4,'[1]import graded seats course pivo'!$1:$2,2,FALSE),FALSE))),"")</f>
        <v/>
      </c>
      <c r="M1004" s="14">
        <f>IFERROR((VLOOKUP($A1004,'[1]import success seats course'!$A:AA,HLOOKUP('[1]Course Totals'!M$4,'[1]import success seats course'!$1:$2,2,FALSE),FALSE)/(VLOOKUP($A1004,'[1]import graded seats course pivo'!$A:AK,HLOOKUP('[1]Course Totals'!M$4,'[1]import graded seats course pivo'!$1:$2,2,FALSE),FALSE))),"")</f>
        <v>1</v>
      </c>
      <c r="N1004" s="14" t="str">
        <f>IFERROR((VLOOKUP($A1004,'[1]import success seats course'!$A:AB,HLOOKUP('[1]Course Totals'!N$4,'[1]import success seats course'!$1:$2,2,FALSE),FALSE)/(VLOOKUP($A1004,'[1]import graded seats course pivo'!$A:AL,HLOOKUP('[1]Course Totals'!N$4,'[1]import graded seats course pivo'!$1:$2,2,FALSE),FALSE))),"")</f>
        <v/>
      </c>
      <c r="O1004" s="14" t="str">
        <f>IFERROR((VLOOKUP($A1004,'[1]import success seats course'!$A:AC,HLOOKUP('[1]Course Totals'!O$4,'[1]import success seats course'!$1:$2,2,FALSE),FALSE)/(VLOOKUP($A1004,'[1]import graded seats course pivo'!$A:AM,HLOOKUP('[1]Course Totals'!O$4,'[1]import graded seats course pivo'!$1:$2,2,FALSE),FALSE))),"")</f>
        <v/>
      </c>
      <c r="P1004" s="14" t="str">
        <f>IFERROR((VLOOKUP($A1004,'[1]import success seats course'!$A:AD,HLOOKUP('[1]Course Totals'!P$4,'[1]import success seats course'!$1:$2,2,FALSE),FALSE)/(VLOOKUP($A1004,'[1]import graded seats course pivo'!$A:AN,HLOOKUP('[1]Course Totals'!P$4,'[1]import graded seats course pivo'!$1:$2,2,FALSE),FALSE))),"")</f>
        <v/>
      </c>
      <c r="Q1004" s="14" t="str">
        <f>IFERROR((VLOOKUP($A1004,'[1]import success seats course'!$A:AE,HLOOKUP('[1]Course Totals'!Q$4,'[1]import success seats course'!$1:$2,2,FALSE),FALSE)/(VLOOKUP($A1004,'[1]import graded seats course pivo'!$A:AO,HLOOKUP('[1]Course Totals'!Q$4,'[1]import graded seats course pivo'!$1:$2,2,FALSE),FALSE))),"")</f>
        <v/>
      </c>
      <c r="R1004" s="14" t="str">
        <f>IFERROR((VLOOKUP($A1004,'[1]import success seats course'!$A:AF,HLOOKUP('[1]Course Totals'!R$4,'[1]import success seats course'!$1:$2,2,FALSE),FALSE)/(VLOOKUP($A1004,'[1]import graded seats course pivo'!$A:AP,HLOOKUP('[1]Course Totals'!R$4,'[1]import graded seats course pivo'!$1:$2,2,FALSE),FALSE))),"")</f>
        <v/>
      </c>
      <c r="S1004" s="14" t="str">
        <f>IFERROR((VLOOKUP($A1004,'[1]import success seats course'!$A:AG,HLOOKUP('[1]Course Totals'!S$4,'[1]import success seats course'!$1:$2,2,FALSE),FALSE)/(VLOOKUP($A1004,'[1]import graded seats course pivo'!$A:AQ,HLOOKUP('[1]Course Totals'!S$4,'[1]import graded seats course pivo'!$1:$2,2,FALSE),FALSE))),"")</f>
        <v/>
      </c>
      <c r="Z1004" s="7"/>
      <c r="AA1004" s="7"/>
      <c r="AB1004" s="7"/>
      <c r="AC1004" s="7"/>
    </row>
    <row r="1005" spans="1:29" ht="15.75" customHeight="1" thickBot="1" x14ac:dyDescent="0.3">
      <c r="A1005" s="8" t="str">
        <f>'[1]SUBJECTS BASE'!H59</f>
        <v>Political Science</v>
      </c>
      <c r="B1005" s="38" t="s">
        <v>1046</v>
      </c>
      <c r="C1005" s="39" t="s">
        <v>0</v>
      </c>
      <c r="D1005" s="40" t="s">
        <v>868</v>
      </c>
      <c r="E1005" s="41" t="s">
        <v>1052</v>
      </c>
      <c r="F1005" s="42" t="s">
        <v>546</v>
      </c>
      <c r="G1005" s="43" t="s">
        <v>959</v>
      </c>
      <c r="H1005" s="44" t="s">
        <v>1060</v>
      </c>
      <c r="I1005" s="39" t="s">
        <v>675</v>
      </c>
      <c r="J1005" s="45" t="s">
        <v>1006</v>
      </c>
      <c r="K1005" s="46" t="s">
        <v>1062</v>
      </c>
      <c r="L1005" s="42" t="s">
        <v>762</v>
      </c>
      <c r="M1005" s="43" t="s">
        <v>1022</v>
      </c>
      <c r="N1005" s="44" t="s">
        <v>1063</v>
      </c>
      <c r="O1005" s="39" t="s">
        <v>822</v>
      </c>
      <c r="P1005" s="40" t="s">
        <v>1042</v>
      </c>
      <c r="Q1005" s="46" t="s">
        <v>1153</v>
      </c>
      <c r="R1005" s="42" t="s">
        <v>1154</v>
      </c>
      <c r="S1005" s="43" t="s">
        <v>1155</v>
      </c>
      <c r="Z1005" s="7"/>
      <c r="AA1005" s="7"/>
      <c r="AB1005" s="7"/>
      <c r="AC1005" s="7"/>
    </row>
    <row r="1006" spans="1:29" ht="15.75" customHeight="1" x14ac:dyDescent="0.25">
      <c r="A1006" s="12" t="s">
        <v>477</v>
      </c>
      <c r="B1006" s="14">
        <f>IFERROR((VLOOKUP($A1006,'[1]import success seats course'!$A:P,HLOOKUP('[1]Course Totals'!B$4,'[1]import success seats course'!$1:$2,2,FALSE),FALSE)/(VLOOKUP($A1006,'[1]import graded seats course pivo'!$A:Z,HLOOKUP('[1]Course Totals'!B$4,'[1]import graded seats course pivo'!$1:$2,2,FALSE),FALSE))),"")</f>
        <v>0.97979797979797978</v>
      </c>
      <c r="C1006" s="14">
        <f>IFERROR((VLOOKUP($A1006,'[1]import success seats course'!$A:Q,HLOOKUP('[1]Course Totals'!C$4,'[1]import success seats course'!$1:$2,2,FALSE),FALSE)/(VLOOKUP($A1006,'[1]import graded seats course pivo'!$A:AA,HLOOKUP('[1]Course Totals'!C$4,'[1]import graded seats course pivo'!$1:$2,2,FALSE),FALSE))),"")</f>
        <v>0.84791386271870794</v>
      </c>
      <c r="D1006" s="14">
        <f>IFERROR((VLOOKUP($A1006,'[1]import success seats course'!$A:R,HLOOKUP('[1]Course Totals'!D$4,'[1]import success seats course'!$1:$2,2,FALSE),FALSE)/(VLOOKUP($A1006,'[1]import graded seats course pivo'!$A:AB,HLOOKUP('[1]Course Totals'!D$4,'[1]import graded seats course pivo'!$1:$2,2,FALSE),FALSE))),"")</f>
        <v>0.86435786435786433</v>
      </c>
      <c r="E1006" s="14">
        <f>IFERROR((VLOOKUP($A1006,'[1]import success seats course'!$A:S,HLOOKUP('[1]Course Totals'!E$4,'[1]import success seats course'!$1:$2,2,FALSE),FALSE)/(VLOOKUP($A1006,'[1]import graded seats course pivo'!$A:AC,HLOOKUP('[1]Course Totals'!E$4,'[1]import graded seats course pivo'!$1:$2,2,FALSE),FALSE))),"")</f>
        <v>0.98561151079136688</v>
      </c>
      <c r="F1006" s="14">
        <f>IFERROR((VLOOKUP($A1006,'[1]import success seats course'!$A:T,HLOOKUP('[1]Course Totals'!F$4,'[1]import success seats course'!$1:$2,2,FALSE),FALSE)/(VLOOKUP($A1006,'[1]import graded seats course pivo'!$A:AD,HLOOKUP('[1]Course Totals'!F$4,'[1]import graded seats course pivo'!$1:$2,2,FALSE),FALSE))),"")</f>
        <v>0.83224115334207083</v>
      </c>
      <c r="G1006" s="14">
        <f>IFERROR((VLOOKUP($A1006,'[1]import success seats course'!$A:U,HLOOKUP('[1]Course Totals'!G$4,'[1]import success seats course'!$1:$2,2,FALSE),FALSE)/(VLOOKUP($A1006,'[1]import graded seats course pivo'!$A:AE,HLOOKUP('[1]Course Totals'!G$4,'[1]import graded seats course pivo'!$1:$2,2,FALSE),FALSE))),"")</f>
        <v>0.80969267139479906</v>
      </c>
      <c r="H1006" s="14">
        <f>IFERROR((VLOOKUP($A1006,'[1]import success seats course'!$A:V,HLOOKUP('[1]Course Totals'!H$4,'[1]import success seats course'!$1:$2,2,FALSE),FALSE)/(VLOOKUP($A1006,'[1]import graded seats course pivo'!$A:AF,HLOOKUP('[1]Course Totals'!H$4,'[1]import graded seats course pivo'!$1:$2,2,FALSE),FALSE))),"")</f>
        <v>0.97959183673469385</v>
      </c>
      <c r="I1006" s="14">
        <f>IFERROR((VLOOKUP($A1006,'[1]import success seats course'!$A:W,HLOOKUP('[1]Course Totals'!I$4,'[1]import success seats course'!$1:$2,2,FALSE),FALSE)/(VLOOKUP($A1006,'[1]import graded seats course pivo'!$A:AG,HLOOKUP('[1]Course Totals'!I$4,'[1]import graded seats course pivo'!$1:$2,2,FALSE),FALSE))),"")</f>
        <v>0.87309644670050757</v>
      </c>
      <c r="J1006" s="14">
        <f>IFERROR((VLOOKUP($A1006,'[1]import success seats course'!$A:X,HLOOKUP('[1]Course Totals'!J$4,'[1]import success seats course'!$1:$2,2,FALSE),FALSE)/(VLOOKUP($A1006,'[1]import graded seats course pivo'!$A:AH,HLOOKUP('[1]Course Totals'!J$4,'[1]import graded seats course pivo'!$1:$2,2,FALSE),FALSE))),"")</f>
        <v>0.85058977719528184</v>
      </c>
      <c r="K1006" s="14">
        <f>IFERROR((VLOOKUP($A1006,'[1]import success seats course'!$A:Y,HLOOKUP('[1]Course Totals'!K$4,'[1]import success seats course'!$1:$2,2,FALSE),FALSE)/(VLOOKUP($A1006,'[1]import graded seats course pivo'!$A:AI,HLOOKUP('[1]Course Totals'!K$4,'[1]import graded seats course pivo'!$1:$2,2,FALSE),FALSE))),"")</f>
        <v>0.9375</v>
      </c>
      <c r="L1006" s="14">
        <f>IFERROR((VLOOKUP($A1006,'[1]import success seats course'!$A:Z,HLOOKUP('[1]Course Totals'!L$4,'[1]import success seats course'!$1:$2,2,FALSE),FALSE)/(VLOOKUP($A1006,'[1]import graded seats course pivo'!$A:AJ,HLOOKUP('[1]Course Totals'!L$4,'[1]import graded seats course pivo'!$1:$2,2,FALSE),FALSE))),"")</f>
        <v>0.89315525876460766</v>
      </c>
      <c r="M1006" s="14">
        <f>IFERROR((VLOOKUP($A1006,'[1]import success seats course'!$A:AA,HLOOKUP('[1]Course Totals'!M$4,'[1]import success seats course'!$1:$2,2,FALSE),FALSE)/(VLOOKUP($A1006,'[1]import graded seats course pivo'!$A:AK,HLOOKUP('[1]Course Totals'!M$4,'[1]import graded seats course pivo'!$1:$2,2,FALSE),FALSE))),"")</f>
        <v>0.87758620689655176</v>
      </c>
      <c r="N1006" s="14" t="str">
        <f>IFERROR((VLOOKUP($A1006,'[1]import success seats course'!$A:AB,HLOOKUP('[1]Course Totals'!N$4,'[1]import success seats course'!$1:$2,2,FALSE),FALSE)/(VLOOKUP($A1006,'[1]import graded seats course pivo'!$A:AL,HLOOKUP('[1]Course Totals'!N$4,'[1]import graded seats course pivo'!$1:$2,2,FALSE),FALSE))),"")</f>
        <v/>
      </c>
      <c r="O1006" s="14">
        <f>IFERROR((VLOOKUP($A1006,'[1]import success seats course'!$A:AC,HLOOKUP('[1]Course Totals'!O$4,'[1]import success seats course'!$1:$2,2,FALSE),FALSE)/(VLOOKUP($A1006,'[1]import graded seats course pivo'!$A:AM,HLOOKUP('[1]Course Totals'!O$4,'[1]import graded seats course pivo'!$1:$2,2,FALSE),FALSE))),"")</f>
        <v>0.90132827324478182</v>
      </c>
      <c r="P1006" s="14">
        <f>IFERROR((VLOOKUP($A1006,'[1]import success seats course'!$A:AD,HLOOKUP('[1]Course Totals'!P$4,'[1]import success seats course'!$1:$2,2,FALSE),FALSE)/(VLOOKUP($A1006,'[1]import graded seats course pivo'!$A:AN,HLOOKUP('[1]Course Totals'!P$4,'[1]import graded seats course pivo'!$1:$2,2,FALSE),FALSE))),"")</f>
        <v>0.90410958904109584</v>
      </c>
      <c r="Q1006" s="14">
        <f>IFERROR((VLOOKUP($A1006,'[1]import success seats course'!$A:AE,HLOOKUP('[1]Course Totals'!Q$4,'[1]import success seats course'!$1:$2,2,FALSE),FALSE)/(VLOOKUP($A1006,'[1]import graded seats course pivo'!$A:AO,HLOOKUP('[1]Course Totals'!Q$4,'[1]import graded seats course pivo'!$1:$2,2,FALSE),FALSE))),"")</f>
        <v>0.98076923076923073</v>
      </c>
      <c r="R1006" s="14">
        <f>IFERROR((VLOOKUP($A1006,'[1]import success seats course'!$A:AF,HLOOKUP('[1]Course Totals'!R$4,'[1]import success seats course'!$1:$2,2,FALSE),FALSE)/(VLOOKUP($A1006,'[1]import graded seats course pivo'!$A:AP,HLOOKUP('[1]Course Totals'!R$4,'[1]import graded seats course pivo'!$1:$2,2,FALSE),FALSE))),"")</f>
        <v>0.90143737166324434</v>
      </c>
      <c r="S1006" s="14">
        <f>IFERROR((VLOOKUP($A1006,'[1]import success seats course'!$A:AG,HLOOKUP('[1]Course Totals'!S$4,'[1]import success seats course'!$1:$2,2,FALSE),FALSE)/(VLOOKUP($A1006,'[1]import graded seats course pivo'!$A:AQ,HLOOKUP('[1]Course Totals'!S$4,'[1]import graded seats course pivo'!$1:$2,2,FALSE),FALSE))),"")</f>
        <v>0.85686653771760157</v>
      </c>
      <c r="Z1006" s="7"/>
      <c r="AA1006" s="7"/>
      <c r="AB1006" s="7"/>
      <c r="AC1006" s="7"/>
    </row>
    <row r="1007" spans="1:29" ht="15.75" customHeight="1" x14ac:dyDescent="0.25">
      <c r="A1007" s="12" t="s">
        <v>752</v>
      </c>
      <c r="B1007" s="14" t="str">
        <f>IFERROR((VLOOKUP($A1007,'[1]import success seats course'!$A:P,HLOOKUP('[1]Course Totals'!B$4,'[1]import success seats course'!$1:$2,2,FALSE),FALSE)/(VLOOKUP($A1007,'[1]import graded seats course pivo'!$A:Z,HLOOKUP('[1]Course Totals'!B$4,'[1]import graded seats course pivo'!$1:$2,2,FALSE),FALSE))),"")</f>
        <v/>
      </c>
      <c r="C1007" s="14" t="str">
        <f>IFERROR((VLOOKUP($A1007,'[1]import success seats course'!$A:Q,HLOOKUP('[1]Course Totals'!C$4,'[1]import success seats course'!$1:$2,2,FALSE),FALSE)/(VLOOKUP($A1007,'[1]import graded seats course pivo'!$A:AA,HLOOKUP('[1]Course Totals'!C$4,'[1]import graded seats course pivo'!$1:$2,2,FALSE),FALSE))),"")</f>
        <v/>
      </c>
      <c r="D1007" s="14">
        <f>IFERROR((VLOOKUP($A1007,'[1]import success seats course'!$A:R,HLOOKUP('[1]Course Totals'!D$4,'[1]import success seats course'!$1:$2,2,FALSE),FALSE)/(VLOOKUP($A1007,'[1]import graded seats course pivo'!$A:AB,HLOOKUP('[1]Course Totals'!D$4,'[1]import graded seats course pivo'!$1:$2,2,FALSE),FALSE))),"")</f>
        <v>1</v>
      </c>
      <c r="E1007" s="14" t="str">
        <f>IFERROR((VLOOKUP($A1007,'[1]import success seats course'!$A:S,HLOOKUP('[1]Course Totals'!E$4,'[1]import success seats course'!$1:$2,2,FALSE),FALSE)/(VLOOKUP($A1007,'[1]import graded seats course pivo'!$A:AC,HLOOKUP('[1]Course Totals'!E$4,'[1]import graded seats course pivo'!$1:$2,2,FALSE),FALSE))),"")</f>
        <v/>
      </c>
      <c r="F1007" s="14" t="str">
        <f>IFERROR((VLOOKUP($A1007,'[1]import success seats course'!$A:T,HLOOKUP('[1]Course Totals'!F$4,'[1]import success seats course'!$1:$2,2,FALSE),FALSE)/(VLOOKUP($A1007,'[1]import graded seats course pivo'!$A:AD,HLOOKUP('[1]Course Totals'!F$4,'[1]import graded seats course pivo'!$1:$2,2,FALSE),FALSE))),"")</f>
        <v/>
      </c>
      <c r="G1007" s="14" t="str">
        <f>IFERROR((VLOOKUP($A1007,'[1]import success seats course'!$A:U,HLOOKUP('[1]Course Totals'!G$4,'[1]import success seats course'!$1:$2,2,FALSE),FALSE)/(VLOOKUP($A1007,'[1]import graded seats course pivo'!$A:AE,HLOOKUP('[1]Course Totals'!G$4,'[1]import graded seats course pivo'!$1:$2,2,FALSE),FALSE))),"")</f>
        <v/>
      </c>
      <c r="H1007" s="14" t="str">
        <f>IFERROR((VLOOKUP($A1007,'[1]import success seats course'!$A:V,HLOOKUP('[1]Course Totals'!H$4,'[1]import success seats course'!$1:$2,2,FALSE),FALSE)/(VLOOKUP($A1007,'[1]import graded seats course pivo'!$A:AF,HLOOKUP('[1]Course Totals'!H$4,'[1]import graded seats course pivo'!$1:$2,2,FALSE),FALSE))),"")</f>
        <v/>
      </c>
      <c r="I1007" s="14">
        <f>IFERROR((VLOOKUP($A1007,'[1]import success seats course'!$A:W,HLOOKUP('[1]Course Totals'!I$4,'[1]import success seats course'!$1:$2,2,FALSE),FALSE)/(VLOOKUP($A1007,'[1]import graded seats course pivo'!$A:AG,HLOOKUP('[1]Course Totals'!I$4,'[1]import graded seats course pivo'!$1:$2,2,FALSE),FALSE))),"")</f>
        <v>1</v>
      </c>
      <c r="J1007" s="14">
        <f>IFERROR((VLOOKUP($A1007,'[1]import success seats course'!$A:X,HLOOKUP('[1]Course Totals'!J$4,'[1]import success seats course'!$1:$2,2,FALSE),FALSE)/(VLOOKUP($A1007,'[1]import graded seats course pivo'!$A:AH,HLOOKUP('[1]Course Totals'!J$4,'[1]import graded seats course pivo'!$1:$2,2,FALSE),FALSE))),"")</f>
        <v>1</v>
      </c>
      <c r="K1007" s="14" t="str">
        <f>IFERROR((VLOOKUP($A1007,'[1]import success seats course'!$A:Y,HLOOKUP('[1]Course Totals'!K$4,'[1]import success seats course'!$1:$2,2,FALSE),FALSE)/(VLOOKUP($A1007,'[1]import graded seats course pivo'!$A:AI,HLOOKUP('[1]Course Totals'!K$4,'[1]import graded seats course pivo'!$1:$2,2,FALSE),FALSE))),"")</f>
        <v/>
      </c>
      <c r="L1007" s="14">
        <f>IFERROR((VLOOKUP($A1007,'[1]import success seats course'!$A:Z,HLOOKUP('[1]Course Totals'!L$4,'[1]import success seats course'!$1:$2,2,FALSE),FALSE)/(VLOOKUP($A1007,'[1]import graded seats course pivo'!$A:AJ,HLOOKUP('[1]Course Totals'!L$4,'[1]import graded seats course pivo'!$1:$2,2,FALSE),FALSE))),"")</f>
        <v>1</v>
      </c>
      <c r="M1007" s="14">
        <f>IFERROR((VLOOKUP($A1007,'[1]import success seats course'!$A:AA,HLOOKUP('[1]Course Totals'!M$4,'[1]import success seats course'!$1:$2,2,FALSE),FALSE)/(VLOOKUP($A1007,'[1]import graded seats course pivo'!$A:AK,HLOOKUP('[1]Course Totals'!M$4,'[1]import graded seats course pivo'!$1:$2,2,FALSE),FALSE))),"")</f>
        <v>0.83333333333333337</v>
      </c>
      <c r="N1007" s="14" t="str">
        <f>IFERROR((VLOOKUP($A1007,'[1]import success seats course'!$A:AB,HLOOKUP('[1]Course Totals'!N$4,'[1]import success seats course'!$1:$2,2,FALSE),FALSE)/(VLOOKUP($A1007,'[1]import graded seats course pivo'!$A:AL,HLOOKUP('[1]Course Totals'!N$4,'[1]import graded seats course pivo'!$1:$2,2,FALSE),FALSE))),"")</f>
        <v/>
      </c>
      <c r="O1007" s="14">
        <f>IFERROR((VLOOKUP($A1007,'[1]import success seats course'!$A:AC,HLOOKUP('[1]Course Totals'!O$4,'[1]import success seats course'!$1:$2,2,FALSE),FALSE)/(VLOOKUP($A1007,'[1]import graded seats course pivo'!$A:AM,HLOOKUP('[1]Course Totals'!O$4,'[1]import graded seats course pivo'!$1:$2,2,FALSE),FALSE))),"")</f>
        <v>1</v>
      </c>
      <c r="P1007" s="14">
        <f>IFERROR((VLOOKUP($A1007,'[1]import success seats course'!$A:AD,HLOOKUP('[1]Course Totals'!P$4,'[1]import success seats course'!$1:$2,2,FALSE),FALSE)/(VLOOKUP($A1007,'[1]import graded seats course pivo'!$A:AN,HLOOKUP('[1]Course Totals'!P$4,'[1]import graded seats course pivo'!$1:$2,2,FALSE),FALSE))),"")</f>
        <v>1</v>
      </c>
      <c r="Q1007" s="14" t="str">
        <f>IFERROR((VLOOKUP($A1007,'[1]import success seats course'!$A:AE,HLOOKUP('[1]Course Totals'!Q$4,'[1]import success seats course'!$1:$2,2,FALSE),FALSE)/(VLOOKUP($A1007,'[1]import graded seats course pivo'!$A:AO,HLOOKUP('[1]Course Totals'!Q$4,'[1]import graded seats course pivo'!$1:$2,2,FALSE),FALSE))),"")</f>
        <v/>
      </c>
      <c r="R1007" s="14">
        <f>IFERROR((VLOOKUP($A1007,'[1]import success seats course'!$A:AF,HLOOKUP('[1]Course Totals'!R$4,'[1]import success seats course'!$1:$2,2,FALSE),FALSE)/(VLOOKUP($A1007,'[1]import graded seats course pivo'!$A:AP,HLOOKUP('[1]Course Totals'!R$4,'[1]import graded seats course pivo'!$1:$2,2,FALSE),FALSE))),"")</f>
        <v>1</v>
      </c>
      <c r="S1007" s="14">
        <f>IFERROR((VLOOKUP($A1007,'[1]import success seats course'!$A:AG,HLOOKUP('[1]Course Totals'!S$4,'[1]import success seats course'!$1:$2,2,FALSE),FALSE)/(VLOOKUP($A1007,'[1]import graded seats course pivo'!$A:AQ,HLOOKUP('[1]Course Totals'!S$4,'[1]import graded seats course pivo'!$1:$2,2,FALSE),FALSE))),"")</f>
        <v>1</v>
      </c>
      <c r="Z1007" s="7"/>
      <c r="AA1007" s="7"/>
      <c r="AB1007" s="7"/>
      <c r="AC1007" s="7"/>
    </row>
    <row r="1008" spans="1:29" ht="15.75" customHeight="1" x14ac:dyDescent="0.25">
      <c r="A1008" s="12" t="s">
        <v>478</v>
      </c>
      <c r="B1008" s="14" t="str">
        <f>IFERROR((VLOOKUP($A1008,'[1]import success seats course'!$A:P,HLOOKUP('[1]Course Totals'!B$4,'[1]import success seats course'!$1:$2,2,FALSE),FALSE)/(VLOOKUP($A1008,'[1]import graded seats course pivo'!$A:Z,HLOOKUP('[1]Course Totals'!B$4,'[1]import graded seats course pivo'!$1:$2,2,FALSE),FALSE))),"")</f>
        <v/>
      </c>
      <c r="C1008" s="14">
        <f>IFERROR((VLOOKUP($A1008,'[1]import success seats course'!$A:Q,HLOOKUP('[1]Course Totals'!C$4,'[1]import success seats course'!$1:$2,2,FALSE),FALSE)/(VLOOKUP($A1008,'[1]import graded seats course pivo'!$A:AA,HLOOKUP('[1]Course Totals'!C$4,'[1]import graded seats course pivo'!$1:$2,2,FALSE),FALSE))),"")</f>
        <v>0.8571428571428571</v>
      </c>
      <c r="D1008" s="14">
        <f>IFERROR((VLOOKUP($A1008,'[1]import success seats course'!$A:R,HLOOKUP('[1]Course Totals'!D$4,'[1]import success seats course'!$1:$2,2,FALSE),FALSE)/(VLOOKUP($A1008,'[1]import graded seats course pivo'!$A:AB,HLOOKUP('[1]Course Totals'!D$4,'[1]import graded seats course pivo'!$1:$2,2,FALSE),FALSE))),"")</f>
        <v>0.85</v>
      </c>
      <c r="E1008" s="14" t="str">
        <f>IFERROR((VLOOKUP($A1008,'[1]import success seats course'!$A:S,HLOOKUP('[1]Course Totals'!E$4,'[1]import success seats course'!$1:$2,2,FALSE),FALSE)/(VLOOKUP($A1008,'[1]import graded seats course pivo'!$A:AC,HLOOKUP('[1]Course Totals'!E$4,'[1]import graded seats course pivo'!$1:$2,2,FALSE),FALSE))),"")</f>
        <v/>
      </c>
      <c r="F1008" s="14">
        <f>IFERROR((VLOOKUP($A1008,'[1]import success seats course'!$A:T,HLOOKUP('[1]Course Totals'!F$4,'[1]import success seats course'!$1:$2,2,FALSE),FALSE)/(VLOOKUP($A1008,'[1]import graded seats course pivo'!$A:AD,HLOOKUP('[1]Course Totals'!F$4,'[1]import graded seats course pivo'!$1:$2,2,FALSE),FALSE))),"")</f>
        <v>0.72727272727272729</v>
      </c>
      <c r="G1008" s="14">
        <f>IFERROR((VLOOKUP($A1008,'[1]import success seats course'!$A:U,HLOOKUP('[1]Course Totals'!G$4,'[1]import success seats course'!$1:$2,2,FALSE),FALSE)/(VLOOKUP($A1008,'[1]import graded seats course pivo'!$A:AE,HLOOKUP('[1]Course Totals'!G$4,'[1]import graded seats course pivo'!$1:$2,2,FALSE),FALSE))),"")</f>
        <v>0.66666666666666663</v>
      </c>
      <c r="H1008" s="14" t="str">
        <f>IFERROR((VLOOKUP($A1008,'[1]import success seats course'!$A:V,HLOOKUP('[1]Course Totals'!H$4,'[1]import success seats course'!$1:$2,2,FALSE),FALSE)/(VLOOKUP($A1008,'[1]import graded seats course pivo'!$A:AF,HLOOKUP('[1]Course Totals'!H$4,'[1]import graded seats course pivo'!$1:$2,2,FALSE),FALSE))),"")</f>
        <v/>
      </c>
      <c r="I1008" s="14">
        <f>IFERROR((VLOOKUP($A1008,'[1]import success seats course'!$A:W,HLOOKUP('[1]Course Totals'!I$4,'[1]import success seats course'!$1:$2,2,FALSE),FALSE)/(VLOOKUP($A1008,'[1]import graded seats course pivo'!$A:AG,HLOOKUP('[1]Course Totals'!I$4,'[1]import graded seats course pivo'!$1:$2,2,FALSE),FALSE))),"")</f>
        <v>0.91489361702127658</v>
      </c>
      <c r="J1008" s="14">
        <f>IFERROR((VLOOKUP($A1008,'[1]import success seats course'!$A:X,HLOOKUP('[1]Course Totals'!J$4,'[1]import success seats course'!$1:$2,2,FALSE),FALSE)/(VLOOKUP($A1008,'[1]import graded seats course pivo'!$A:AH,HLOOKUP('[1]Course Totals'!J$4,'[1]import graded seats course pivo'!$1:$2,2,FALSE),FALSE))),"")</f>
        <v>0.94594594594594594</v>
      </c>
      <c r="K1008" s="14" t="str">
        <f>IFERROR((VLOOKUP($A1008,'[1]import success seats course'!$A:Y,HLOOKUP('[1]Course Totals'!K$4,'[1]import success seats course'!$1:$2,2,FALSE),FALSE)/(VLOOKUP($A1008,'[1]import graded seats course pivo'!$A:AI,HLOOKUP('[1]Course Totals'!K$4,'[1]import graded seats course pivo'!$1:$2,2,FALSE),FALSE))),"")</f>
        <v/>
      </c>
      <c r="L1008" s="14">
        <f>IFERROR((VLOOKUP($A1008,'[1]import success seats course'!$A:Z,HLOOKUP('[1]Course Totals'!L$4,'[1]import success seats course'!$1:$2,2,FALSE),FALSE)/(VLOOKUP($A1008,'[1]import graded seats course pivo'!$A:AJ,HLOOKUP('[1]Course Totals'!L$4,'[1]import graded seats course pivo'!$1:$2,2,FALSE),FALSE))),"")</f>
        <v>0.94285714285714284</v>
      </c>
      <c r="M1008" s="14">
        <f>IFERROR((VLOOKUP($A1008,'[1]import success seats course'!$A:AA,HLOOKUP('[1]Course Totals'!M$4,'[1]import success seats course'!$1:$2,2,FALSE),FALSE)/(VLOOKUP($A1008,'[1]import graded seats course pivo'!$A:AK,HLOOKUP('[1]Course Totals'!M$4,'[1]import graded seats course pivo'!$1:$2,2,FALSE),FALSE))),"")</f>
        <v>0.97368421052631582</v>
      </c>
      <c r="N1008" s="14" t="str">
        <f>IFERROR((VLOOKUP($A1008,'[1]import success seats course'!$A:AB,HLOOKUP('[1]Course Totals'!N$4,'[1]import success seats course'!$1:$2,2,FALSE),FALSE)/(VLOOKUP($A1008,'[1]import graded seats course pivo'!$A:AL,HLOOKUP('[1]Course Totals'!N$4,'[1]import graded seats course pivo'!$1:$2,2,FALSE),FALSE))),"")</f>
        <v/>
      </c>
      <c r="O1008" s="14">
        <f>IFERROR((VLOOKUP($A1008,'[1]import success seats course'!$A:AC,HLOOKUP('[1]Course Totals'!O$4,'[1]import success seats course'!$1:$2,2,FALSE),FALSE)/(VLOOKUP($A1008,'[1]import graded seats course pivo'!$A:AM,HLOOKUP('[1]Course Totals'!O$4,'[1]import graded seats course pivo'!$1:$2,2,FALSE),FALSE))),"")</f>
        <v>0.90625</v>
      </c>
      <c r="P1008" s="14" t="str">
        <f>IFERROR((VLOOKUP($A1008,'[1]import success seats course'!$A:AD,HLOOKUP('[1]Course Totals'!P$4,'[1]import success seats course'!$1:$2,2,FALSE),FALSE)/(VLOOKUP($A1008,'[1]import graded seats course pivo'!$A:AN,HLOOKUP('[1]Course Totals'!P$4,'[1]import graded seats course pivo'!$1:$2,2,FALSE),FALSE))),"")</f>
        <v/>
      </c>
      <c r="Q1008" s="14" t="str">
        <f>IFERROR((VLOOKUP($A1008,'[1]import success seats course'!$A:AE,HLOOKUP('[1]Course Totals'!Q$4,'[1]import success seats course'!$1:$2,2,FALSE),FALSE)/(VLOOKUP($A1008,'[1]import graded seats course pivo'!$A:AO,HLOOKUP('[1]Course Totals'!Q$4,'[1]import graded seats course pivo'!$1:$2,2,FALSE),FALSE))),"")</f>
        <v/>
      </c>
      <c r="R1008" s="14">
        <f>IFERROR((VLOOKUP($A1008,'[1]import success seats course'!$A:AF,HLOOKUP('[1]Course Totals'!R$4,'[1]import success seats course'!$1:$2,2,FALSE),FALSE)/(VLOOKUP($A1008,'[1]import graded seats course pivo'!$A:AP,HLOOKUP('[1]Course Totals'!R$4,'[1]import graded seats course pivo'!$1:$2,2,FALSE),FALSE))),"")</f>
        <v>0.91891891891891897</v>
      </c>
      <c r="S1008" s="14" t="str">
        <f>IFERROR((VLOOKUP($A1008,'[1]import success seats course'!$A:AG,HLOOKUP('[1]Course Totals'!S$4,'[1]import success seats course'!$1:$2,2,FALSE),FALSE)/(VLOOKUP($A1008,'[1]import graded seats course pivo'!$A:AQ,HLOOKUP('[1]Course Totals'!S$4,'[1]import graded seats course pivo'!$1:$2,2,FALSE),FALSE))),"")</f>
        <v/>
      </c>
      <c r="Z1008" s="7"/>
      <c r="AA1008" s="7"/>
      <c r="AB1008" s="7"/>
      <c r="AC1008" s="7"/>
    </row>
    <row r="1009" spans="1:29" ht="15.75" customHeight="1" x14ac:dyDescent="0.25">
      <c r="A1009" s="12" t="s">
        <v>753</v>
      </c>
      <c r="B1009" s="14" t="str">
        <f>IFERROR((VLOOKUP($A1009,'[1]import success seats course'!$A:P,HLOOKUP('[1]Course Totals'!B$4,'[1]import success seats course'!$1:$2,2,FALSE),FALSE)/(VLOOKUP($A1009,'[1]import graded seats course pivo'!$A:Z,HLOOKUP('[1]Course Totals'!B$4,'[1]import graded seats course pivo'!$1:$2,2,FALSE),FALSE))),"")</f>
        <v/>
      </c>
      <c r="C1009" s="14" t="str">
        <f>IFERROR((VLOOKUP($A1009,'[1]import success seats course'!$A:Q,HLOOKUP('[1]Course Totals'!C$4,'[1]import success seats course'!$1:$2,2,FALSE),FALSE)/(VLOOKUP($A1009,'[1]import graded seats course pivo'!$A:AA,HLOOKUP('[1]Course Totals'!C$4,'[1]import graded seats course pivo'!$1:$2,2,FALSE),FALSE))),"")</f>
        <v/>
      </c>
      <c r="D1009" s="14">
        <f>IFERROR((VLOOKUP($A1009,'[1]import success seats course'!$A:R,HLOOKUP('[1]Course Totals'!D$4,'[1]import success seats course'!$1:$2,2,FALSE),FALSE)/(VLOOKUP($A1009,'[1]import graded seats course pivo'!$A:AB,HLOOKUP('[1]Course Totals'!D$4,'[1]import graded seats course pivo'!$1:$2,2,FALSE),FALSE))),"")</f>
        <v>1</v>
      </c>
      <c r="E1009" s="14" t="str">
        <f>IFERROR((VLOOKUP($A1009,'[1]import success seats course'!$A:S,HLOOKUP('[1]Course Totals'!E$4,'[1]import success seats course'!$1:$2,2,FALSE),FALSE)/(VLOOKUP($A1009,'[1]import graded seats course pivo'!$A:AC,HLOOKUP('[1]Course Totals'!E$4,'[1]import graded seats course pivo'!$1:$2,2,FALSE),FALSE))),"")</f>
        <v/>
      </c>
      <c r="F1009" s="14" t="str">
        <f>IFERROR((VLOOKUP($A1009,'[1]import success seats course'!$A:T,HLOOKUP('[1]Course Totals'!F$4,'[1]import success seats course'!$1:$2,2,FALSE),FALSE)/(VLOOKUP($A1009,'[1]import graded seats course pivo'!$A:AD,HLOOKUP('[1]Course Totals'!F$4,'[1]import graded seats course pivo'!$1:$2,2,FALSE),FALSE))),"")</f>
        <v/>
      </c>
      <c r="G1009" s="14">
        <f>IFERROR((VLOOKUP($A1009,'[1]import success seats course'!$A:U,HLOOKUP('[1]Course Totals'!G$4,'[1]import success seats course'!$1:$2,2,FALSE),FALSE)/(VLOOKUP($A1009,'[1]import graded seats course pivo'!$A:AE,HLOOKUP('[1]Course Totals'!G$4,'[1]import graded seats course pivo'!$1:$2,2,FALSE),FALSE))),"")</f>
        <v>1</v>
      </c>
      <c r="H1009" s="14" t="str">
        <f>IFERROR((VLOOKUP($A1009,'[1]import success seats course'!$A:V,HLOOKUP('[1]Course Totals'!H$4,'[1]import success seats course'!$1:$2,2,FALSE),FALSE)/(VLOOKUP($A1009,'[1]import graded seats course pivo'!$A:AF,HLOOKUP('[1]Course Totals'!H$4,'[1]import graded seats course pivo'!$1:$2,2,FALSE),FALSE))),"")</f>
        <v/>
      </c>
      <c r="I1009" s="14">
        <f>IFERROR((VLOOKUP($A1009,'[1]import success seats course'!$A:W,HLOOKUP('[1]Course Totals'!I$4,'[1]import success seats course'!$1:$2,2,FALSE),FALSE)/(VLOOKUP($A1009,'[1]import graded seats course pivo'!$A:AG,HLOOKUP('[1]Course Totals'!I$4,'[1]import graded seats course pivo'!$1:$2,2,FALSE),FALSE))),"")</f>
        <v>1</v>
      </c>
      <c r="J1009" s="14">
        <f>IFERROR((VLOOKUP($A1009,'[1]import success seats course'!$A:X,HLOOKUP('[1]Course Totals'!J$4,'[1]import success seats course'!$1:$2,2,FALSE),FALSE)/(VLOOKUP($A1009,'[1]import graded seats course pivo'!$A:AH,HLOOKUP('[1]Course Totals'!J$4,'[1]import graded seats course pivo'!$1:$2,2,FALSE),FALSE))),"")</f>
        <v>1</v>
      </c>
      <c r="K1009" s="14" t="str">
        <f>IFERROR((VLOOKUP($A1009,'[1]import success seats course'!$A:Y,HLOOKUP('[1]Course Totals'!K$4,'[1]import success seats course'!$1:$2,2,FALSE),FALSE)/(VLOOKUP($A1009,'[1]import graded seats course pivo'!$A:AI,HLOOKUP('[1]Course Totals'!K$4,'[1]import graded seats course pivo'!$1:$2,2,FALSE),FALSE))),"")</f>
        <v/>
      </c>
      <c r="L1009" s="14">
        <f>IFERROR((VLOOKUP($A1009,'[1]import success seats course'!$A:Z,HLOOKUP('[1]Course Totals'!L$4,'[1]import success seats course'!$1:$2,2,FALSE),FALSE)/(VLOOKUP($A1009,'[1]import graded seats course pivo'!$A:AJ,HLOOKUP('[1]Course Totals'!L$4,'[1]import graded seats course pivo'!$1:$2,2,FALSE),FALSE))),"")</f>
        <v>1</v>
      </c>
      <c r="M1009" s="14">
        <f>IFERROR((VLOOKUP($A1009,'[1]import success seats course'!$A:AA,HLOOKUP('[1]Course Totals'!M$4,'[1]import success seats course'!$1:$2,2,FALSE),FALSE)/(VLOOKUP($A1009,'[1]import graded seats course pivo'!$A:AK,HLOOKUP('[1]Course Totals'!M$4,'[1]import graded seats course pivo'!$1:$2,2,FALSE),FALSE))),"")</f>
        <v>1</v>
      </c>
      <c r="N1009" s="14" t="str">
        <f>IFERROR((VLOOKUP($A1009,'[1]import success seats course'!$A:AB,HLOOKUP('[1]Course Totals'!N$4,'[1]import success seats course'!$1:$2,2,FALSE),FALSE)/(VLOOKUP($A1009,'[1]import graded seats course pivo'!$A:AL,HLOOKUP('[1]Course Totals'!N$4,'[1]import graded seats course pivo'!$1:$2,2,FALSE),FALSE))),"")</f>
        <v/>
      </c>
      <c r="O1009" s="14">
        <f>IFERROR((VLOOKUP($A1009,'[1]import success seats course'!$A:AC,HLOOKUP('[1]Course Totals'!O$4,'[1]import success seats course'!$1:$2,2,FALSE),FALSE)/(VLOOKUP($A1009,'[1]import graded seats course pivo'!$A:AM,HLOOKUP('[1]Course Totals'!O$4,'[1]import graded seats course pivo'!$1:$2,2,FALSE),FALSE))),"")</f>
        <v>1</v>
      </c>
      <c r="P1009" s="14" t="str">
        <f>IFERROR((VLOOKUP($A1009,'[1]import success seats course'!$A:AD,HLOOKUP('[1]Course Totals'!P$4,'[1]import success seats course'!$1:$2,2,FALSE),FALSE)/(VLOOKUP($A1009,'[1]import graded seats course pivo'!$A:AN,HLOOKUP('[1]Course Totals'!P$4,'[1]import graded seats course pivo'!$1:$2,2,FALSE),FALSE))),"")</f>
        <v/>
      </c>
      <c r="Q1009" s="14" t="str">
        <f>IFERROR((VLOOKUP($A1009,'[1]import success seats course'!$A:AE,HLOOKUP('[1]Course Totals'!Q$4,'[1]import success seats course'!$1:$2,2,FALSE),FALSE)/(VLOOKUP($A1009,'[1]import graded seats course pivo'!$A:AO,HLOOKUP('[1]Course Totals'!Q$4,'[1]import graded seats course pivo'!$1:$2,2,FALSE),FALSE))),"")</f>
        <v/>
      </c>
      <c r="R1009" s="14">
        <f>IFERROR((VLOOKUP($A1009,'[1]import success seats course'!$A:AF,HLOOKUP('[1]Course Totals'!R$4,'[1]import success seats course'!$1:$2,2,FALSE),FALSE)/(VLOOKUP($A1009,'[1]import graded seats course pivo'!$A:AP,HLOOKUP('[1]Course Totals'!R$4,'[1]import graded seats course pivo'!$1:$2,2,FALSE),FALSE))),"")</f>
        <v>1</v>
      </c>
      <c r="S1009" s="14" t="str">
        <f>IFERROR((VLOOKUP($A1009,'[1]import success seats course'!$A:AG,HLOOKUP('[1]Course Totals'!S$4,'[1]import success seats course'!$1:$2,2,FALSE),FALSE)/(VLOOKUP($A1009,'[1]import graded seats course pivo'!$A:AQ,HLOOKUP('[1]Course Totals'!S$4,'[1]import graded seats course pivo'!$1:$2,2,FALSE),FALSE))),"")</f>
        <v/>
      </c>
      <c r="Z1009" s="7"/>
      <c r="AA1009" s="7"/>
      <c r="AB1009" s="7"/>
      <c r="AC1009" s="7"/>
    </row>
    <row r="1010" spans="1:29" ht="15.75" hidden="1" customHeight="1" x14ac:dyDescent="0.25">
      <c r="A1010" s="12" t="s">
        <v>754</v>
      </c>
      <c r="B1010" s="14" t="str">
        <f>IFERROR((VLOOKUP($A1010,'[1]import success seats course'!$A:P,HLOOKUP('[1]Course Totals'!B$4,'[1]import success seats course'!$1:$2,2,FALSE),FALSE)/(VLOOKUP($A1010,'[1]import graded seats course pivo'!$A:Z,HLOOKUP('[1]Course Totals'!B$4,'[1]import graded seats course pivo'!$1:$2,2,FALSE),FALSE))),"")</f>
        <v/>
      </c>
      <c r="C1010" s="14" t="str">
        <f>IFERROR((VLOOKUP($A1010,'[1]import success seats course'!$A:Q,HLOOKUP('[1]Course Totals'!C$4,'[1]import success seats course'!$1:$2,2,FALSE),FALSE)/(VLOOKUP($A1010,'[1]import graded seats course pivo'!$A:AA,HLOOKUP('[1]Course Totals'!C$4,'[1]import graded seats course pivo'!$1:$2,2,FALSE),FALSE))),"")</f>
        <v/>
      </c>
      <c r="D1010" s="14" t="str">
        <f>IFERROR((VLOOKUP($A1010,'[1]import success seats course'!$A:R,HLOOKUP('[1]Course Totals'!D$4,'[1]import success seats course'!$1:$2,2,FALSE),FALSE)/(VLOOKUP($A1010,'[1]import graded seats course pivo'!$A:AB,HLOOKUP('[1]Course Totals'!D$4,'[1]import graded seats course pivo'!$1:$2,2,FALSE),FALSE))),"")</f>
        <v/>
      </c>
      <c r="E1010" s="14" t="str">
        <f>IFERROR((VLOOKUP($A1010,'[1]import success seats course'!$A:S,HLOOKUP('[1]Course Totals'!E$4,'[1]import success seats course'!$1:$2,2,FALSE),FALSE)/(VLOOKUP($A1010,'[1]import graded seats course pivo'!$A:AC,HLOOKUP('[1]Course Totals'!E$4,'[1]import graded seats course pivo'!$1:$2,2,FALSE),FALSE))),"")</f>
        <v/>
      </c>
      <c r="F1010" s="14" t="str">
        <f>IFERROR((VLOOKUP($A1010,'[1]import success seats course'!$A:T,HLOOKUP('[1]Course Totals'!F$4,'[1]import success seats course'!$1:$2,2,FALSE),FALSE)/(VLOOKUP($A1010,'[1]import graded seats course pivo'!$A:AD,HLOOKUP('[1]Course Totals'!F$4,'[1]import graded seats course pivo'!$1:$2,2,FALSE),FALSE))),"")</f>
        <v/>
      </c>
      <c r="G1010" s="14" t="str">
        <f>IFERROR((VLOOKUP($A1010,'[1]import success seats course'!$A:U,HLOOKUP('[1]Course Totals'!G$4,'[1]import success seats course'!$1:$2,2,FALSE),FALSE)/(VLOOKUP($A1010,'[1]import graded seats course pivo'!$A:AE,HLOOKUP('[1]Course Totals'!G$4,'[1]import graded seats course pivo'!$1:$2,2,FALSE),FALSE))),"")</f>
        <v/>
      </c>
      <c r="H1010" s="14" t="str">
        <f>IFERROR((VLOOKUP($A1010,'[1]import success seats course'!$A:V,HLOOKUP('[1]Course Totals'!H$4,'[1]import success seats course'!$1:$2,2,FALSE),FALSE)/(VLOOKUP($A1010,'[1]import graded seats course pivo'!$A:AF,HLOOKUP('[1]Course Totals'!H$4,'[1]import graded seats course pivo'!$1:$2,2,FALSE),FALSE))),"")</f>
        <v/>
      </c>
      <c r="I1010" s="14" t="str">
        <f>IFERROR((VLOOKUP($A1010,'[1]import success seats course'!$A:W,HLOOKUP('[1]Course Totals'!I$4,'[1]import success seats course'!$1:$2,2,FALSE),FALSE)/(VLOOKUP($A1010,'[1]import graded seats course pivo'!$A:AG,HLOOKUP('[1]Course Totals'!I$4,'[1]import graded seats course pivo'!$1:$2,2,FALSE),FALSE))),"")</f>
        <v/>
      </c>
      <c r="J1010" s="14" t="str">
        <f>IFERROR((VLOOKUP($A1010,'[1]import success seats course'!$A:X,HLOOKUP('[1]Course Totals'!J$4,'[1]import success seats course'!$1:$2,2,FALSE),FALSE)/(VLOOKUP($A1010,'[1]import graded seats course pivo'!$A:AH,HLOOKUP('[1]Course Totals'!J$4,'[1]import graded seats course pivo'!$1:$2,2,FALSE),FALSE))),"")</f>
        <v/>
      </c>
      <c r="K1010" s="14" t="str">
        <f>IFERROR((VLOOKUP($A1010,'[1]import success seats course'!$A:Y,HLOOKUP('[1]Course Totals'!K$4,'[1]import success seats course'!$1:$2,2,FALSE),FALSE)/(VLOOKUP($A1010,'[1]import graded seats course pivo'!$A:AI,HLOOKUP('[1]Course Totals'!K$4,'[1]import graded seats course pivo'!$1:$2,2,FALSE),FALSE))),"")</f>
        <v/>
      </c>
      <c r="L1010" s="14" t="str">
        <f>IFERROR((VLOOKUP($A1010,'[1]import success seats course'!$A:Z,HLOOKUP('[1]Course Totals'!L$4,'[1]import success seats course'!$1:$2,2,FALSE),FALSE)/(VLOOKUP($A1010,'[1]import graded seats course pivo'!$A:AJ,HLOOKUP('[1]Course Totals'!L$4,'[1]import graded seats course pivo'!$1:$2,2,FALSE),FALSE))),"")</f>
        <v/>
      </c>
      <c r="M1010" s="14" t="str">
        <f>IFERROR((VLOOKUP($A1010,'[1]import success seats course'!$A:AA,HLOOKUP('[1]Course Totals'!M$4,'[1]import success seats course'!$1:$2,2,FALSE),FALSE)/(VLOOKUP($A1010,'[1]import graded seats course pivo'!$A:AK,HLOOKUP('[1]Course Totals'!M$4,'[1]import graded seats course pivo'!$1:$2,2,FALSE),FALSE))),"")</f>
        <v/>
      </c>
      <c r="N1010" s="14" t="str">
        <f>IFERROR((VLOOKUP($A1010,'[1]import success seats course'!$A:AB,HLOOKUP('[1]Course Totals'!N$4,'[1]import success seats course'!$1:$2,2,FALSE),FALSE)/(VLOOKUP($A1010,'[1]import graded seats course pivo'!$A:AL,HLOOKUP('[1]Course Totals'!N$4,'[1]import graded seats course pivo'!$1:$2,2,FALSE),FALSE))),"")</f>
        <v/>
      </c>
      <c r="O1010" s="14" t="str">
        <f>IFERROR((VLOOKUP($A1010,'[1]import success seats course'!$A:AC,HLOOKUP('[1]Course Totals'!O$4,'[1]import success seats course'!$1:$2,2,FALSE),FALSE)/(VLOOKUP($A1010,'[1]import graded seats course pivo'!$A:AM,HLOOKUP('[1]Course Totals'!O$4,'[1]import graded seats course pivo'!$1:$2,2,FALSE),FALSE))),"")</f>
        <v/>
      </c>
      <c r="P1010" s="14" t="str">
        <f>IFERROR((VLOOKUP($A1010,'[1]import success seats course'!$A:AD,HLOOKUP('[1]Course Totals'!P$4,'[1]import success seats course'!$1:$2,2,FALSE),FALSE)/(VLOOKUP($A1010,'[1]import graded seats course pivo'!$A:AN,HLOOKUP('[1]Course Totals'!P$4,'[1]import graded seats course pivo'!$1:$2,2,FALSE),FALSE))),"")</f>
        <v/>
      </c>
      <c r="Q1010" s="14" t="str">
        <f>IFERROR((VLOOKUP($A1010,'[1]import success seats course'!$A:AE,HLOOKUP('[1]Course Totals'!Q$4,'[1]import success seats course'!$1:$2,2,FALSE),FALSE)/(VLOOKUP($A1010,'[1]import graded seats course pivo'!$A:AO,HLOOKUP('[1]Course Totals'!Q$4,'[1]import graded seats course pivo'!$1:$2,2,FALSE),FALSE))),"")</f>
        <v/>
      </c>
      <c r="R1010" s="14" t="str">
        <f>IFERROR((VLOOKUP($A1010,'[1]import success seats course'!$A:AF,HLOOKUP('[1]Course Totals'!R$4,'[1]import success seats course'!$1:$2,2,FALSE),FALSE)/(VLOOKUP($A1010,'[1]import graded seats course pivo'!$A:AP,HLOOKUP('[1]Course Totals'!R$4,'[1]import graded seats course pivo'!$1:$2,2,FALSE),FALSE))),"")</f>
        <v/>
      </c>
      <c r="S1010" s="14" t="str">
        <f>IFERROR((VLOOKUP($A1010,'[1]import success seats course'!$A:AG,HLOOKUP('[1]Course Totals'!S$4,'[1]import success seats course'!$1:$2,2,FALSE),FALSE)/(VLOOKUP($A1010,'[1]import graded seats course pivo'!$A:AQ,HLOOKUP('[1]Course Totals'!S$4,'[1]import graded seats course pivo'!$1:$2,2,FALSE),FALSE))),"")</f>
        <v/>
      </c>
      <c r="Z1010" s="7"/>
      <c r="AA1010" s="7"/>
      <c r="AB1010" s="7"/>
      <c r="AC1010" s="7"/>
    </row>
    <row r="1011" spans="1:29" ht="15.75" customHeight="1" x14ac:dyDescent="0.25">
      <c r="A1011" s="12" t="s">
        <v>659</v>
      </c>
      <c r="B1011" s="14" t="str">
        <f>IFERROR((VLOOKUP($A1011,'[1]import success seats course'!$A:P,HLOOKUP('[1]Course Totals'!B$4,'[1]import success seats course'!$1:$2,2,FALSE),FALSE)/(VLOOKUP($A1011,'[1]import graded seats course pivo'!$A:Z,HLOOKUP('[1]Course Totals'!B$4,'[1]import graded seats course pivo'!$1:$2,2,FALSE),FALSE))),"")</f>
        <v/>
      </c>
      <c r="C1011" s="14" t="str">
        <f>IFERROR((VLOOKUP($A1011,'[1]import success seats course'!$A:Q,HLOOKUP('[1]Course Totals'!C$4,'[1]import success seats course'!$1:$2,2,FALSE),FALSE)/(VLOOKUP($A1011,'[1]import graded seats course pivo'!$A:AA,HLOOKUP('[1]Course Totals'!C$4,'[1]import graded seats course pivo'!$1:$2,2,FALSE),FALSE))),"")</f>
        <v/>
      </c>
      <c r="D1011" s="14">
        <f>IFERROR((VLOOKUP($A1011,'[1]import success seats course'!$A:R,HLOOKUP('[1]Course Totals'!D$4,'[1]import success seats course'!$1:$2,2,FALSE),FALSE)/(VLOOKUP($A1011,'[1]import graded seats course pivo'!$A:AB,HLOOKUP('[1]Course Totals'!D$4,'[1]import graded seats course pivo'!$1:$2,2,FALSE),FALSE))),"")</f>
        <v>0.75</v>
      </c>
      <c r="E1011" s="14" t="str">
        <f>IFERROR((VLOOKUP($A1011,'[1]import success seats course'!$A:S,HLOOKUP('[1]Course Totals'!E$4,'[1]import success seats course'!$1:$2,2,FALSE),FALSE)/(VLOOKUP($A1011,'[1]import graded seats course pivo'!$A:AC,HLOOKUP('[1]Course Totals'!E$4,'[1]import graded seats course pivo'!$1:$2,2,FALSE),FALSE))),"")</f>
        <v/>
      </c>
      <c r="F1011" s="14">
        <f>IFERROR((VLOOKUP($A1011,'[1]import success seats course'!$A:T,HLOOKUP('[1]Course Totals'!F$4,'[1]import success seats course'!$1:$2,2,FALSE),FALSE)/(VLOOKUP($A1011,'[1]import graded seats course pivo'!$A:AD,HLOOKUP('[1]Course Totals'!F$4,'[1]import graded seats course pivo'!$1:$2,2,FALSE),FALSE))),"")</f>
        <v>1</v>
      </c>
      <c r="G1011" s="14" t="str">
        <f>IFERROR((VLOOKUP($A1011,'[1]import success seats course'!$A:U,HLOOKUP('[1]Course Totals'!G$4,'[1]import success seats course'!$1:$2,2,FALSE),FALSE)/(VLOOKUP($A1011,'[1]import graded seats course pivo'!$A:AE,HLOOKUP('[1]Course Totals'!G$4,'[1]import graded seats course pivo'!$1:$2,2,FALSE),FALSE))),"")</f>
        <v/>
      </c>
      <c r="H1011" s="14" t="str">
        <f>IFERROR((VLOOKUP($A1011,'[1]import success seats course'!$A:V,HLOOKUP('[1]Course Totals'!H$4,'[1]import success seats course'!$1:$2,2,FALSE),FALSE)/(VLOOKUP($A1011,'[1]import graded seats course pivo'!$A:AF,HLOOKUP('[1]Course Totals'!H$4,'[1]import graded seats course pivo'!$1:$2,2,FALSE),FALSE))),"")</f>
        <v/>
      </c>
      <c r="I1011" s="14" t="str">
        <f>IFERROR((VLOOKUP($A1011,'[1]import success seats course'!$A:W,HLOOKUP('[1]Course Totals'!I$4,'[1]import success seats course'!$1:$2,2,FALSE),FALSE)/(VLOOKUP($A1011,'[1]import graded seats course pivo'!$A:AG,HLOOKUP('[1]Course Totals'!I$4,'[1]import graded seats course pivo'!$1:$2,2,FALSE),FALSE))),"")</f>
        <v/>
      </c>
      <c r="J1011" s="14" t="str">
        <f>IFERROR((VLOOKUP($A1011,'[1]import success seats course'!$A:X,HLOOKUP('[1]Course Totals'!J$4,'[1]import success seats course'!$1:$2,2,FALSE),FALSE)/(VLOOKUP($A1011,'[1]import graded seats course pivo'!$A:AH,HLOOKUP('[1]Course Totals'!J$4,'[1]import graded seats course pivo'!$1:$2,2,FALSE),FALSE))),"")</f>
        <v/>
      </c>
      <c r="K1011" s="14" t="str">
        <f>IFERROR((VLOOKUP($A1011,'[1]import success seats course'!$A:Y,HLOOKUP('[1]Course Totals'!K$4,'[1]import success seats course'!$1:$2,2,FALSE),FALSE)/(VLOOKUP($A1011,'[1]import graded seats course pivo'!$A:AI,HLOOKUP('[1]Course Totals'!K$4,'[1]import graded seats course pivo'!$1:$2,2,FALSE),FALSE))),"")</f>
        <v/>
      </c>
      <c r="L1011" s="14" t="str">
        <f>IFERROR((VLOOKUP($A1011,'[1]import success seats course'!$A:Z,HLOOKUP('[1]Course Totals'!L$4,'[1]import success seats course'!$1:$2,2,FALSE),FALSE)/(VLOOKUP($A1011,'[1]import graded seats course pivo'!$A:AJ,HLOOKUP('[1]Course Totals'!L$4,'[1]import graded seats course pivo'!$1:$2,2,FALSE),FALSE))),"")</f>
        <v/>
      </c>
      <c r="M1011" s="14" t="str">
        <f>IFERROR((VLOOKUP($A1011,'[1]import success seats course'!$A:AA,HLOOKUP('[1]Course Totals'!M$4,'[1]import success seats course'!$1:$2,2,FALSE),FALSE)/(VLOOKUP($A1011,'[1]import graded seats course pivo'!$A:AK,HLOOKUP('[1]Course Totals'!M$4,'[1]import graded seats course pivo'!$1:$2,2,FALSE),FALSE))),"")</f>
        <v/>
      </c>
      <c r="N1011" s="14" t="str">
        <f>IFERROR((VLOOKUP($A1011,'[1]import success seats course'!$A:AB,HLOOKUP('[1]Course Totals'!N$4,'[1]import success seats course'!$1:$2,2,FALSE),FALSE)/(VLOOKUP($A1011,'[1]import graded seats course pivo'!$A:AL,HLOOKUP('[1]Course Totals'!N$4,'[1]import graded seats course pivo'!$1:$2,2,FALSE),FALSE))),"")</f>
        <v/>
      </c>
      <c r="O1011" s="14" t="str">
        <f>IFERROR((VLOOKUP($A1011,'[1]import success seats course'!$A:AC,HLOOKUP('[1]Course Totals'!O$4,'[1]import success seats course'!$1:$2,2,FALSE),FALSE)/(VLOOKUP($A1011,'[1]import graded seats course pivo'!$A:AM,HLOOKUP('[1]Course Totals'!O$4,'[1]import graded seats course pivo'!$1:$2,2,FALSE),FALSE))),"")</f>
        <v/>
      </c>
      <c r="P1011" s="14" t="str">
        <f>IFERROR((VLOOKUP($A1011,'[1]import success seats course'!$A:AD,HLOOKUP('[1]Course Totals'!P$4,'[1]import success seats course'!$1:$2,2,FALSE),FALSE)/(VLOOKUP($A1011,'[1]import graded seats course pivo'!$A:AN,HLOOKUP('[1]Course Totals'!P$4,'[1]import graded seats course pivo'!$1:$2,2,FALSE),FALSE))),"")</f>
        <v/>
      </c>
      <c r="Q1011" s="14" t="str">
        <f>IFERROR((VLOOKUP($A1011,'[1]import success seats course'!$A:AE,HLOOKUP('[1]Course Totals'!Q$4,'[1]import success seats course'!$1:$2,2,FALSE),FALSE)/(VLOOKUP($A1011,'[1]import graded seats course pivo'!$A:AO,HLOOKUP('[1]Course Totals'!Q$4,'[1]import graded seats course pivo'!$1:$2,2,FALSE),FALSE))),"")</f>
        <v/>
      </c>
      <c r="R1011" s="14" t="str">
        <f>IFERROR((VLOOKUP($A1011,'[1]import success seats course'!$A:AF,HLOOKUP('[1]Course Totals'!R$4,'[1]import success seats course'!$1:$2,2,FALSE),FALSE)/(VLOOKUP($A1011,'[1]import graded seats course pivo'!$A:AP,HLOOKUP('[1]Course Totals'!R$4,'[1]import graded seats course pivo'!$1:$2,2,FALSE),FALSE))),"")</f>
        <v/>
      </c>
      <c r="S1011" s="14" t="str">
        <f>IFERROR((VLOOKUP($A1011,'[1]import success seats course'!$A:AG,HLOOKUP('[1]Course Totals'!S$4,'[1]import success seats course'!$1:$2,2,FALSE),FALSE)/(VLOOKUP($A1011,'[1]import graded seats course pivo'!$A:AQ,HLOOKUP('[1]Course Totals'!S$4,'[1]import graded seats course pivo'!$1:$2,2,FALSE),FALSE))),"")</f>
        <v/>
      </c>
      <c r="Z1011" s="7"/>
      <c r="AA1011" s="7"/>
      <c r="AB1011" s="7"/>
      <c r="AC1011" s="7"/>
    </row>
    <row r="1012" spans="1:29" ht="15.75" customHeight="1" x14ac:dyDescent="0.25">
      <c r="A1012" s="12" t="s">
        <v>479</v>
      </c>
      <c r="B1012" s="14" t="str">
        <f>IFERROR((VLOOKUP($A1012,'[1]import success seats course'!$A:P,HLOOKUP('[1]Course Totals'!B$4,'[1]import success seats course'!$1:$2,2,FALSE),FALSE)/(VLOOKUP($A1012,'[1]import graded seats course pivo'!$A:Z,HLOOKUP('[1]Course Totals'!B$4,'[1]import graded seats course pivo'!$1:$2,2,FALSE),FALSE))),"")</f>
        <v/>
      </c>
      <c r="C1012" s="14" t="str">
        <f>IFERROR((VLOOKUP($A1012,'[1]import success seats course'!$A:Q,HLOOKUP('[1]Course Totals'!C$4,'[1]import success seats course'!$1:$2,2,FALSE),FALSE)/(VLOOKUP($A1012,'[1]import graded seats course pivo'!$A:AA,HLOOKUP('[1]Course Totals'!C$4,'[1]import graded seats course pivo'!$1:$2,2,FALSE),FALSE))),"")</f>
        <v/>
      </c>
      <c r="D1012" s="14" t="str">
        <f>IFERROR((VLOOKUP($A1012,'[1]import success seats course'!$A:R,HLOOKUP('[1]Course Totals'!D$4,'[1]import success seats course'!$1:$2,2,FALSE),FALSE)/(VLOOKUP($A1012,'[1]import graded seats course pivo'!$A:AB,HLOOKUP('[1]Course Totals'!D$4,'[1]import graded seats course pivo'!$1:$2,2,FALSE),FALSE))),"")</f>
        <v/>
      </c>
      <c r="E1012" s="14" t="str">
        <f>IFERROR((VLOOKUP($A1012,'[1]import success seats course'!$A:S,HLOOKUP('[1]Course Totals'!E$4,'[1]import success seats course'!$1:$2,2,FALSE),FALSE)/(VLOOKUP($A1012,'[1]import graded seats course pivo'!$A:AC,HLOOKUP('[1]Course Totals'!E$4,'[1]import graded seats course pivo'!$1:$2,2,FALSE),FALSE))),"")</f>
        <v/>
      </c>
      <c r="F1012" s="14" t="str">
        <f>IFERROR((VLOOKUP($A1012,'[1]import success seats course'!$A:T,HLOOKUP('[1]Course Totals'!F$4,'[1]import success seats course'!$1:$2,2,FALSE),FALSE)/(VLOOKUP($A1012,'[1]import graded seats course pivo'!$A:AD,HLOOKUP('[1]Course Totals'!F$4,'[1]import graded seats course pivo'!$1:$2,2,FALSE),FALSE))),"")</f>
        <v/>
      </c>
      <c r="G1012" s="14" t="str">
        <f>IFERROR((VLOOKUP($A1012,'[1]import success seats course'!$A:U,HLOOKUP('[1]Course Totals'!G$4,'[1]import success seats course'!$1:$2,2,FALSE),FALSE)/(VLOOKUP($A1012,'[1]import graded seats course pivo'!$A:AE,HLOOKUP('[1]Course Totals'!G$4,'[1]import graded seats course pivo'!$1:$2,2,FALSE),FALSE))),"")</f>
        <v/>
      </c>
      <c r="H1012" s="14" t="str">
        <f>IFERROR((VLOOKUP($A1012,'[1]import success seats course'!$A:V,HLOOKUP('[1]Course Totals'!H$4,'[1]import success seats course'!$1:$2,2,FALSE),FALSE)/(VLOOKUP($A1012,'[1]import graded seats course pivo'!$A:AF,HLOOKUP('[1]Course Totals'!H$4,'[1]import graded seats course pivo'!$1:$2,2,FALSE),FALSE))),"")</f>
        <v/>
      </c>
      <c r="I1012" s="14" t="str">
        <f>IFERROR((VLOOKUP($A1012,'[1]import success seats course'!$A:W,HLOOKUP('[1]Course Totals'!I$4,'[1]import success seats course'!$1:$2,2,FALSE),FALSE)/(VLOOKUP($A1012,'[1]import graded seats course pivo'!$A:AG,HLOOKUP('[1]Course Totals'!I$4,'[1]import graded seats course pivo'!$1:$2,2,FALSE),FALSE))),"")</f>
        <v/>
      </c>
      <c r="J1012" s="14" t="str">
        <f>IFERROR((VLOOKUP($A1012,'[1]import success seats course'!$A:X,HLOOKUP('[1]Course Totals'!J$4,'[1]import success seats course'!$1:$2,2,FALSE),FALSE)/(VLOOKUP($A1012,'[1]import graded seats course pivo'!$A:AH,HLOOKUP('[1]Course Totals'!J$4,'[1]import graded seats course pivo'!$1:$2,2,FALSE),FALSE))),"")</f>
        <v/>
      </c>
      <c r="K1012" s="14" t="str">
        <f>IFERROR((VLOOKUP($A1012,'[1]import success seats course'!$A:Y,HLOOKUP('[1]Course Totals'!K$4,'[1]import success seats course'!$1:$2,2,FALSE),FALSE)/(VLOOKUP($A1012,'[1]import graded seats course pivo'!$A:AI,HLOOKUP('[1]Course Totals'!K$4,'[1]import graded seats course pivo'!$1:$2,2,FALSE),FALSE))),"")</f>
        <v/>
      </c>
      <c r="L1012" s="14" t="str">
        <f>IFERROR((VLOOKUP($A1012,'[1]import success seats course'!$A:Z,HLOOKUP('[1]Course Totals'!L$4,'[1]import success seats course'!$1:$2,2,FALSE),FALSE)/(VLOOKUP($A1012,'[1]import graded seats course pivo'!$A:AJ,HLOOKUP('[1]Course Totals'!L$4,'[1]import graded seats course pivo'!$1:$2,2,FALSE),FALSE))),"")</f>
        <v/>
      </c>
      <c r="M1012" s="14" t="str">
        <f>IFERROR((VLOOKUP($A1012,'[1]import success seats course'!$A:AA,HLOOKUP('[1]Course Totals'!M$4,'[1]import success seats course'!$1:$2,2,FALSE),FALSE)/(VLOOKUP($A1012,'[1]import graded seats course pivo'!$A:AK,HLOOKUP('[1]Course Totals'!M$4,'[1]import graded seats course pivo'!$1:$2,2,FALSE),FALSE))),"")</f>
        <v/>
      </c>
      <c r="N1012" s="14" t="str">
        <f>IFERROR((VLOOKUP($A1012,'[1]import success seats course'!$A:AB,HLOOKUP('[1]Course Totals'!N$4,'[1]import success seats course'!$1:$2,2,FALSE),FALSE)/(VLOOKUP($A1012,'[1]import graded seats course pivo'!$A:AL,HLOOKUP('[1]Course Totals'!N$4,'[1]import graded seats course pivo'!$1:$2,2,FALSE),FALSE))),"")</f>
        <v/>
      </c>
      <c r="O1012" s="14" t="str">
        <f>IFERROR((VLOOKUP($A1012,'[1]import success seats course'!$A:AC,HLOOKUP('[1]Course Totals'!O$4,'[1]import success seats course'!$1:$2,2,FALSE),FALSE)/(VLOOKUP($A1012,'[1]import graded seats course pivo'!$A:AM,HLOOKUP('[1]Course Totals'!O$4,'[1]import graded seats course pivo'!$1:$2,2,FALSE),FALSE))),"")</f>
        <v/>
      </c>
      <c r="P1012" s="14">
        <f>IFERROR((VLOOKUP($A1012,'[1]import success seats course'!$A:AD,HLOOKUP('[1]Course Totals'!P$4,'[1]import success seats course'!$1:$2,2,FALSE),FALSE)/(VLOOKUP($A1012,'[1]import graded seats course pivo'!$A:AN,HLOOKUP('[1]Course Totals'!P$4,'[1]import graded seats course pivo'!$1:$2,2,FALSE),FALSE))),"")</f>
        <v>1</v>
      </c>
      <c r="Q1012" s="14" t="str">
        <f>IFERROR((VLOOKUP($A1012,'[1]import success seats course'!$A:AE,HLOOKUP('[1]Course Totals'!Q$4,'[1]import success seats course'!$1:$2,2,FALSE),FALSE)/(VLOOKUP($A1012,'[1]import graded seats course pivo'!$A:AO,HLOOKUP('[1]Course Totals'!Q$4,'[1]import graded seats course pivo'!$1:$2,2,FALSE),FALSE))),"")</f>
        <v/>
      </c>
      <c r="R1012" s="14" t="str">
        <f>IFERROR((VLOOKUP($A1012,'[1]import success seats course'!$A:AF,HLOOKUP('[1]Course Totals'!R$4,'[1]import success seats course'!$1:$2,2,FALSE),FALSE)/(VLOOKUP($A1012,'[1]import graded seats course pivo'!$A:AP,HLOOKUP('[1]Course Totals'!R$4,'[1]import graded seats course pivo'!$1:$2,2,FALSE),FALSE))),"")</f>
        <v/>
      </c>
      <c r="S1012" s="14" t="str">
        <f>IFERROR((VLOOKUP($A1012,'[1]import success seats course'!$A:AG,HLOOKUP('[1]Course Totals'!S$4,'[1]import success seats course'!$1:$2,2,FALSE),FALSE)/(VLOOKUP($A1012,'[1]import graded seats course pivo'!$A:AQ,HLOOKUP('[1]Course Totals'!S$4,'[1]import graded seats course pivo'!$1:$2,2,FALSE),FALSE))),"")</f>
        <v/>
      </c>
      <c r="Z1012" s="7"/>
      <c r="AA1012" s="7"/>
      <c r="AB1012" s="7"/>
      <c r="AC1012" s="7"/>
    </row>
    <row r="1013" spans="1:29" ht="15.75" x14ac:dyDescent="0.25">
      <c r="A1013" s="9" t="s">
        <v>1139</v>
      </c>
      <c r="B1013" s="67" t="str">
        <f>'[1]Subject TOTALS'!$B$1:$P$1</f>
        <v xml:space="preserve">MVC Retention Rates </v>
      </c>
      <c r="C1013" s="68"/>
      <c r="D1013" s="68"/>
      <c r="E1013" s="68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Z1013" s="7"/>
      <c r="AA1013" s="7"/>
      <c r="AB1013" s="7"/>
      <c r="AC1013" s="7"/>
    </row>
    <row r="1014" spans="1:29" ht="15.75" customHeight="1" thickBot="1" x14ac:dyDescent="0.3">
      <c r="A1014" s="8" t="str">
        <f>'[1]SUBJECTS BASE'!H60</f>
        <v>Psychology</v>
      </c>
      <c r="B1014" s="38" t="s">
        <v>1046</v>
      </c>
      <c r="C1014" s="39" t="s">
        <v>0</v>
      </c>
      <c r="D1014" s="40" t="s">
        <v>868</v>
      </c>
      <c r="E1014" s="41" t="s">
        <v>1052</v>
      </c>
      <c r="F1014" s="42" t="s">
        <v>546</v>
      </c>
      <c r="G1014" s="43" t="s">
        <v>959</v>
      </c>
      <c r="H1014" s="44" t="s">
        <v>1060</v>
      </c>
      <c r="I1014" s="39" t="s">
        <v>675</v>
      </c>
      <c r="J1014" s="45" t="s">
        <v>1006</v>
      </c>
      <c r="K1014" s="46" t="s">
        <v>1062</v>
      </c>
      <c r="L1014" s="42" t="s">
        <v>762</v>
      </c>
      <c r="M1014" s="43" t="s">
        <v>1022</v>
      </c>
      <c r="N1014" s="44" t="s">
        <v>1063</v>
      </c>
      <c r="O1014" s="39" t="s">
        <v>822</v>
      </c>
      <c r="P1014" s="40" t="s">
        <v>1042</v>
      </c>
      <c r="Q1014" s="46" t="s">
        <v>1153</v>
      </c>
      <c r="R1014" s="42" t="s">
        <v>1154</v>
      </c>
      <c r="S1014" s="43" t="s">
        <v>1155</v>
      </c>
      <c r="Z1014" s="7"/>
      <c r="AA1014" s="7"/>
      <c r="AB1014" s="7"/>
      <c r="AC1014" s="7"/>
    </row>
    <row r="1015" spans="1:29" ht="15.75" customHeight="1" x14ac:dyDescent="0.25">
      <c r="A1015" s="12" t="s">
        <v>480</v>
      </c>
      <c r="B1015" s="14">
        <f>IFERROR((VLOOKUP($A1015,'[1]import success seats course'!$A:P,HLOOKUP('[1]Course Totals'!B$4,'[1]import success seats course'!$1:$2,2,FALSE),FALSE)/(VLOOKUP($A1015,'[1]import graded seats course pivo'!$A:Z,HLOOKUP('[1]Course Totals'!B$4,'[1]import graded seats course pivo'!$1:$2,2,FALSE),FALSE))),"")</f>
        <v>0.96226415094339623</v>
      </c>
      <c r="C1015" s="14">
        <f>IFERROR((VLOOKUP($A1015,'[1]import success seats course'!$A:Q,HLOOKUP('[1]Course Totals'!C$4,'[1]import success seats course'!$1:$2,2,FALSE),FALSE)/(VLOOKUP($A1015,'[1]import graded seats course pivo'!$A:AA,HLOOKUP('[1]Course Totals'!C$4,'[1]import graded seats course pivo'!$1:$2,2,FALSE),FALSE))),"")</f>
        <v>0.86847195357833651</v>
      </c>
      <c r="D1015" s="14">
        <f>IFERROR((VLOOKUP($A1015,'[1]import success seats course'!$A:R,HLOOKUP('[1]Course Totals'!D$4,'[1]import success seats course'!$1:$2,2,FALSE),FALSE)/(VLOOKUP($A1015,'[1]import graded seats course pivo'!$A:AB,HLOOKUP('[1]Course Totals'!D$4,'[1]import graded seats course pivo'!$1:$2,2,FALSE),FALSE))),"")</f>
        <v>0.84486373165618445</v>
      </c>
      <c r="E1015" s="14">
        <f>IFERROR((VLOOKUP($A1015,'[1]import success seats course'!$A:S,HLOOKUP('[1]Course Totals'!E$4,'[1]import success seats course'!$1:$2,2,FALSE),FALSE)/(VLOOKUP($A1015,'[1]import graded seats course pivo'!$A:AC,HLOOKUP('[1]Course Totals'!E$4,'[1]import graded seats course pivo'!$1:$2,2,FALSE),FALSE))),"")</f>
        <v>0.98888888888888893</v>
      </c>
      <c r="F1015" s="14">
        <f>IFERROR((VLOOKUP($A1015,'[1]import success seats course'!$A:T,HLOOKUP('[1]Course Totals'!F$4,'[1]import success seats course'!$1:$2,2,FALSE),FALSE)/(VLOOKUP($A1015,'[1]import graded seats course pivo'!$A:AD,HLOOKUP('[1]Course Totals'!F$4,'[1]import graded seats course pivo'!$1:$2,2,FALSE),FALSE))),"")</f>
        <v>0.86481481481481481</v>
      </c>
      <c r="G1015" s="14">
        <f>IFERROR((VLOOKUP($A1015,'[1]import success seats course'!$A:U,HLOOKUP('[1]Course Totals'!G$4,'[1]import success seats course'!$1:$2,2,FALSE),FALSE)/(VLOOKUP($A1015,'[1]import graded seats course pivo'!$A:AE,HLOOKUP('[1]Course Totals'!G$4,'[1]import graded seats course pivo'!$1:$2,2,FALSE),FALSE))),"")</f>
        <v>0.85465116279069764</v>
      </c>
      <c r="H1015" s="14">
        <f>IFERROR((VLOOKUP($A1015,'[1]import success seats course'!$A:V,HLOOKUP('[1]Course Totals'!H$4,'[1]import success seats course'!$1:$2,2,FALSE),FALSE)/(VLOOKUP($A1015,'[1]import graded seats course pivo'!$A:AF,HLOOKUP('[1]Course Totals'!H$4,'[1]import graded seats course pivo'!$1:$2,2,FALSE),FALSE))),"")</f>
        <v>0.90243902439024393</v>
      </c>
      <c r="I1015" s="14">
        <f>IFERROR((VLOOKUP($A1015,'[1]import success seats course'!$A:W,HLOOKUP('[1]Course Totals'!I$4,'[1]import success seats course'!$1:$2,2,FALSE),FALSE)/(VLOOKUP($A1015,'[1]import graded seats course pivo'!$A:AG,HLOOKUP('[1]Course Totals'!I$4,'[1]import graded seats course pivo'!$1:$2,2,FALSE),FALSE))),"")</f>
        <v>0.84351145038167941</v>
      </c>
      <c r="J1015" s="14">
        <f>IFERROR((VLOOKUP($A1015,'[1]import success seats course'!$A:X,HLOOKUP('[1]Course Totals'!J$4,'[1]import success seats course'!$1:$2,2,FALSE),FALSE)/(VLOOKUP($A1015,'[1]import graded seats course pivo'!$A:AH,HLOOKUP('[1]Course Totals'!J$4,'[1]import graded seats course pivo'!$1:$2,2,FALSE),FALSE))),"")</f>
        <v>0.83299798792756541</v>
      </c>
      <c r="K1015" s="14" t="str">
        <f>IFERROR((VLOOKUP($A1015,'[1]import success seats course'!$A:Y,HLOOKUP('[1]Course Totals'!K$4,'[1]import success seats course'!$1:$2,2,FALSE),FALSE)/(VLOOKUP($A1015,'[1]import graded seats course pivo'!$A:AI,HLOOKUP('[1]Course Totals'!K$4,'[1]import graded seats course pivo'!$1:$2,2,FALSE),FALSE))),"")</f>
        <v/>
      </c>
      <c r="L1015" s="14">
        <f>IFERROR((VLOOKUP($A1015,'[1]import success seats course'!$A:Z,HLOOKUP('[1]Course Totals'!L$4,'[1]import success seats course'!$1:$2,2,FALSE),FALSE)/(VLOOKUP($A1015,'[1]import graded seats course pivo'!$A:AJ,HLOOKUP('[1]Course Totals'!L$4,'[1]import graded seats course pivo'!$1:$2,2,FALSE),FALSE))),"")</f>
        <v>0.83811475409836067</v>
      </c>
      <c r="M1015" s="14">
        <f>IFERROR((VLOOKUP($A1015,'[1]import success seats course'!$A:AA,HLOOKUP('[1]Course Totals'!M$4,'[1]import success seats course'!$1:$2,2,FALSE),FALSE)/(VLOOKUP($A1015,'[1]import graded seats course pivo'!$A:AK,HLOOKUP('[1]Course Totals'!M$4,'[1]import graded seats course pivo'!$1:$2,2,FALSE),FALSE))),"")</f>
        <v>0.84663865546218486</v>
      </c>
      <c r="N1015" s="14" t="str">
        <f>IFERROR((VLOOKUP($A1015,'[1]import success seats course'!$A:AB,HLOOKUP('[1]Course Totals'!N$4,'[1]import success seats course'!$1:$2,2,FALSE),FALSE)/(VLOOKUP($A1015,'[1]import graded seats course pivo'!$A:AL,HLOOKUP('[1]Course Totals'!N$4,'[1]import graded seats course pivo'!$1:$2,2,FALSE),FALSE))),"")</f>
        <v/>
      </c>
      <c r="O1015" s="14">
        <f>IFERROR((VLOOKUP($A1015,'[1]import success seats course'!$A:AC,HLOOKUP('[1]Course Totals'!O$4,'[1]import success seats course'!$1:$2,2,FALSE),FALSE)/(VLOOKUP($A1015,'[1]import graded seats course pivo'!$A:AM,HLOOKUP('[1]Course Totals'!O$4,'[1]import graded seats course pivo'!$1:$2,2,FALSE),FALSE))),"")</f>
        <v>0.89261744966442957</v>
      </c>
      <c r="P1015" s="14">
        <f>IFERROR((VLOOKUP($A1015,'[1]import success seats course'!$A:AD,HLOOKUP('[1]Course Totals'!P$4,'[1]import success seats course'!$1:$2,2,FALSE),FALSE)/(VLOOKUP($A1015,'[1]import graded seats course pivo'!$A:AN,HLOOKUP('[1]Course Totals'!P$4,'[1]import graded seats course pivo'!$1:$2,2,FALSE),FALSE))),"")</f>
        <v>0.91631799163179917</v>
      </c>
      <c r="Q1015" s="14" t="str">
        <f>IFERROR((VLOOKUP($A1015,'[1]import success seats course'!$A:AE,HLOOKUP('[1]Course Totals'!Q$4,'[1]import success seats course'!$1:$2,2,FALSE),FALSE)/(VLOOKUP($A1015,'[1]import graded seats course pivo'!$A:AO,HLOOKUP('[1]Course Totals'!Q$4,'[1]import graded seats course pivo'!$1:$2,2,FALSE),FALSE))),"")</f>
        <v/>
      </c>
      <c r="R1015" s="14">
        <f>IFERROR((VLOOKUP($A1015,'[1]import success seats course'!$A:AF,HLOOKUP('[1]Course Totals'!R$4,'[1]import success seats course'!$1:$2,2,FALSE),FALSE)/(VLOOKUP($A1015,'[1]import graded seats course pivo'!$A:AP,HLOOKUP('[1]Course Totals'!R$4,'[1]import graded seats course pivo'!$1:$2,2,FALSE),FALSE))),"")</f>
        <v>0.91203703703703709</v>
      </c>
      <c r="S1015" s="14">
        <f>IFERROR((VLOOKUP($A1015,'[1]import success seats course'!$A:AG,HLOOKUP('[1]Course Totals'!S$4,'[1]import success seats course'!$1:$2,2,FALSE),FALSE)/(VLOOKUP($A1015,'[1]import graded seats course pivo'!$A:AQ,HLOOKUP('[1]Course Totals'!S$4,'[1]import graded seats course pivo'!$1:$2,2,FALSE),FALSE))),"")</f>
        <v>0.88953488372093026</v>
      </c>
      <c r="Z1015" s="7"/>
      <c r="AA1015" s="7"/>
      <c r="AB1015" s="7"/>
      <c r="AC1015" s="7"/>
    </row>
    <row r="1016" spans="1:29" ht="15.75" customHeight="1" x14ac:dyDescent="0.25">
      <c r="A1016" s="12" t="s">
        <v>481</v>
      </c>
      <c r="B1016" s="14" t="str">
        <f>IFERROR((VLOOKUP($A1016,'[1]import success seats course'!$A:P,HLOOKUP('[1]Course Totals'!B$4,'[1]import success seats course'!$1:$2,2,FALSE),FALSE)/(VLOOKUP($A1016,'[1]import graded seats course pivo'!$A:Z,HLOOKUP('[1]Course Totals'!B$4,'[1]import graded seats course pivo'!$1:$2,2,FALSE),FALSE))),"")</f>
        <v/>
      </c>
      <c r="C1016" s="14">
        <f>IFERROR((VLOOKUP($A1016,'[1]import success seats course'!$A:Q,HLOOKUP('[1]Course Totals'!C$4,'[1]import success seats course'!$1:$2,2,FALSE),FALSE)/(VLOOKUP($A1016,'[1]import graded seats course pivo'!$A:AA,HLOOKUP('[1]Course Totals'!C$4,'[1]import graded seats course pivo'!$1:$2,2,FALSE),FALSE))),"")</f>
        <v>1</v>
      </c>
      <c r="D1016" s="14">
        <f>IFERROR((VLOOKUP($A1016,'[1]import success seats course'!$A:R,HLOOKUP('[1]Course Totals'!D$4,'[1]import success seats course'!$1:$2,2,FALSE),FALSE)/(VLOOKUP($A1016,'[1]import graded seats course pivo'!$A:AB,HLOOKUP('[1]Course Totals'!D$4,'[1]import graded seats course pivo'!$1:$2,2,FALSE),FALSE))),"")</f>
        <v>1</v>
      </c>
      <c r="E1016" s="14" t="str">
        <f>IFERROR((VLOOKUP($A1016,'[1]import success seats course'!$A:S,HLOOKUP('[1]Course Totals'!E$4,'[1]import success seats course'!$1:$2,2,FALSE),FALSE)/(VLOOKUP($A1016,'[1]import graded seats course pivo'!$A:AC,HLOOKUP('[1]Course Totals'!E$4,'[1]import graded seats course pivo'!$1:$2,2,FALSE),FALSE))),"")</f>
        <v/>
      </c>
      <c r="F1016" s="14">
        <f>IFERROR((VLOOKUP($A1016,'[1]import success seats course'!$A:T,HLOOKUP('[1]Course Totals'!F$4,'[1]import success seats course'!$1:$2,2,FALSE),FALSE)/(VLOOKUP($A1016,'[1]import graded seats course pivo'!$A:AD,HLOOKUP('[1]Course Totals'!F$4,'[1]import graded seats course pivo'!$1:$2,2,FALSE),FALSE))),"")</f>
        <v>0.83333333333333337</v>
      </c>
      <c r="G1016" s="14">
        <f>IFERROR((VLOOKUP($A1016,'[1]import success seats course'!$A:U,HLOOKUP('[1]Course Totals'!G$4,'[1]import success seats course'!$1:$2,2,FALSE),FALSE)/(VLOOKUP($A1016,'[1]import graded seats course pivo'!$A:AE,HLOOKUP('[1]Course Totals'!G$4,'[1]import graded seats course pivo'!$1:$2,2,FALSE),FALSE))),"")</f>
        <v>0.75</v>
      </c>
      <c r="H1016" s="14" t="str">
        <f>IFERROR((VLOOKUP($A1016,'[1]import success seats course'!$A:V,HLOOKUP('[1]Course Totals'!H$4,'[1]import success seats course'!$1:$2,2,FALSE),FALSE)/(VLOOKUP($A1016,'[1]import graded seats course pivo'!$A:AF,HLOOKUP('[1]Course Totals'!H$4,'[1]import graded seats course pivo'!$1:$2,2,FALSE),FALSE))),"")</f>
        <v/>
      </c>
      <c r="I1016" s="14">
        <f>IFERROR((VLOOKUP($A1016,'[1]import success seats course'!$A:W,HLOOKUP('[1]Course Totals'!I$4,'[1]import success seats course'!$1:$2,2,FALSE),FALSE)/(VLOOKUP($A1016,'[1]import graded seats course pivo'!$A:AG,HLOOKUP('[1]Course Totals'!I$4,'[1]import graded seats course pivo'!$1:$2,2,FALSE),FALSE))),"")</f>
        <v>0.75</v>
      </c>
      <c r="J1016" s="14">
        <f>IFERROR((VLOOKUP($A1016,'[1]import success seats course'!$A:X,HLOOKUP('[1]Course Totals'!J$4,'[1]import success seats course'!$1:$2,2,FALSE),FALSE)/(VLOOKUP($A1016,'[1]import graded seats course pivo'!$A:AH,HLOOKUP('[1]Course Totals'!J$4,'[1]import graded seats course pivo'!$1:$2,2,FALSE),FALSE))),"")</f>
        <v>0.8</v>
      </c>
      <c r="K1016" s="14" t="str">
        <f>IFERROR((VLOOKUP($A1016,'[1]import success seats course'!$A:Y,HLOOKUP('[1]Course Totals'!K$4,'[1]import success seats course'!$1:$2,2,FALSE),FALSE)/(VLOOKUP($A1016,'[1]import graded seats course pivo'!$A:AI,HLOOKUP('[1]Course Totals'!K$4,'[1]import graded seats course pivo'!$1:$2,2,FALSE),FALSE))),"")</f>
        <v/>
      </c>
      <c r="L1016" s="14">
        <f>IFERROR((VLOOKUP($A1016,'[1]import success seats course'!$A:Z,HLOOKUP('[1]Course Totals'!L$4,'[1]import success seats course'!$1:$2,2,FALSE),FALSE)/(VLOOKUP($A1016,'[1]import graded seats course pivo'!$A:AJ,HLOOKUP('[1]Course Totals'!L$4,'[1]import graded seats course pivo'!$1:$2,2,FALSE),FALSE))),"")</f>
        <v>0.94444444444444442</v>
      </c>
      <c r="M1016" s="14">
        <f>IFERROR((VLOOKUP($A1016,'[1]import success seats course'!$A:AA,HLOOKUP('[1]Course Totals'!M$4,'[1]import success seats course'!$1:$2,2,FALSE),FALSE)/(VLOOKUP($A1016,'[1]import graded seats course pivo'!$A:AK,HLOOKUP('[1]Course Totals'!M$4,'[1]import graded seats course pivo'!$1:$2,2,FALSE),FALSE))),"")</f>
        <v>1</v>
      </c>
      <c r="N1016" s="14" t="str">
        <f>IFERROR((VLOOKUP($A1016,'[1]import success seats course'!$A:AB,HLOOKUP('[1]Course Totals'!N$4,'[1]import success seats course'!$1:$2,2,FALSE),FALSE)/(VLOOKUP($A1016,'[1]import graded seats course pivo'!$A:AL,HLOOKUP('[1]Course Totals'!N$4,'[1]import graded seats course pivo'!$1:$2,2,FALSE),FALSE))),"")</f>
        <v/>
      </c>
      <c r="O1016" s="14">
        <f>IFERROR((VLOOKUP($A1016,'[1]import success seats course'!$A:AC,HLOOKUP('[1]Course Totals'!O$4,'[1]import success seats course'!$1:$2,2,FALSE),FALSE)/(VLOOKUP($A1016,'[1]import graded seats course pivo'!$A:AM,HLOOKUP('[1]Course Totals'!O$4,'[1]import graded seats course pivo'!$1:$2,2,FALSE),FALSE))),"")</f>
        <v>0.90909090909090906</v>
      </c>
      <c r="P1016" s="14">
        <f>IFERROR((VLOOKUP($A1016,'[1]import success seats course'!$A:AD,HLOOKUP('[1]Course Totals'!P$4,'[1]import success seats course'!$1:$2,2,FALSE),FALSE)/(VLOOKUP($A1016,'[1]import graded seats course pivo'!$A:AN,HLOOKUP('[1]Course Totals'!P$4,'[1]import graded seats course pivo'!$1:$2,2,FALSE),FALSE))),"")</f>
        <v>0.77777777777777779</v>
      </c>
      <c r="Q1016" s="14" t="str">
        <f>IFERROR((VLOOKUP($A1016,'[1]import success seats course'!$A:AE,HLOOKUP('[1]Course Totals'!Q$4,'[1]import success seats course'!$1:$2,2,FALSE),FALSE)/(VLOOKUP($A1016,'[1]import graded seats course pivo'!$A:AO,HLOOKUP('[1]Course Totals'!Q$4,'[1]import graded seats course pivo'!$1:$2,2,FALSE),FALSE))),"")</f>
        <v/>
      </c>
      <c r="R1016" s="14">
        <f>IFERROR((VLOOKUP($A1016,'[1]import success seats course'!$A:AF,HLOOKUP('[1]Course Totals'!R$4,'[1]import success seats course'!$1:$2,2,FALSE),FALSE)/(VLOOKUP($A1016,'[1]import graded seats course pivo'!$A:AP,HLOOKUP('[1]Course Totals'!R$4,'[1]import graded seats course pivo'!$1:$2,2,FALSE),FALSE))),"")</f>
        <v>1</v>
      </c>
      <c r="S1016" s="14">
        <f>IFERROR((VLOOKUP($A1016,'[1]import success seats course'!$A:AG,HLOOKUP('[1]Course Totals'!S$4,'[1]import success seats course'!$1:$2,2,FALSE),FALSE)/(VLOOKUP($A1016,'[1]import graded seats course pivo'!$A:AQ,HLOOKUP('[1]Course Totals'!S$4,'[1]import graded seats course pivo'!$1:$2,2,FALSE),FALSE))),"")</f>
        <v>1</v>
      </c>
      <c r="Z1016" s="7"/>
      <c r="AA1016" s="7"/>
      <c r="AB1016" s="7"/>
      <c r="AC1016" s="7"/>
    </row>
    <row r="1017" spans="1:29" ht="15.75" customHeight="1" x14ac:dyDescent="0.25">
      <c r="A1017" s="12" t="s">
        <v>482</v>
      </c>
      <c r="B1017" s="14" t="str">
        <f>IFERROR((VLOOKUP($A1017,'[1]import success seats course'!$A:P,HLOOKUP('[1]Course Totals'!B$4,'[1]import success seats course'!$1:$2,2,FALSE),FALSE)/(VLOOKUP($A1017,'[1]import graded seats course pivo'!$A:Z,HLOOKUP('[1]Course Totals'!B$4,'[1]import graded seats course pivo'!$1:$2,2,FALSE),FALSE))),"")</f>
        <v/>
      </c>
      <c r="C1017" s="14">
        <f>IFERROR((VLOOKUP($A1017,'[1]import success seats course'!$A:Q,HLOOKUP('[1]Course Totals'!C$4,'[1]import success seats course'!$1:$2,2,FALSE),FALSE)/(VLOOKUP($A1017,'[1]import graded seats course pivo'!$A:AA,HLOOKUP('[1]Course Totals'!C$4,'[1]import graded seats course pivo'!$1:$2,2,FALSE),FALSE))),"")</f>
        <v>0.93103448275862066</v>
      </c>
      <c r="D1017" s="14">
        <f>IFERROR((VLOOKUP($A1017,'[1]import success seats course'!$A:R,HLOOKUP('[1]Course Totals'!D$4,'[1]import success seats course'!$1:$2,2,FALSE),FALSE)/(VLOOKUP($A1017,'[1]import graded seats course pivo'!$A:AB,HLOOKUP('[1]Course Totals'!D$4,'[1]import graded seats course pivo'!$1:$2,2,FALSE),FALSE))),"")</f>
        <v>1</v>
      </c>
      <c r="E1017" s="14" t="str">
        <f>IFERROR((VLOOKUP($A1017,'[1]import success seats course'!$A:S,HLOOKUP('[1]Course Totals'!E$4,'[1]import success seats course'!$1:$2,2,FALSE),FALSE)/(VLOOKUP($A1017,'[1]import graded seats course pivo'!$A:AC,HLOOKUP('[1]Course Totals'!E$4,'[1]import graded seats course pivo'!$1:$2,2,FALSE),FALSE))),"")</f>
        <v/>
      </c>
      <c r="F1017" s="14">
        <f>IFERROR((VLOOKUP($A1017,'[1]import success seats course'!$A:T,HLOOKUP('[1]Course Totals'!F$4,'[1]import success seats course'!$1:$2,2,FALSE),FALSE)/(VLOOKUP($A1017,'[1]import graded seats course pivo'!$A:AD,HLOOKUP('[1]Course Totals'!F$4,'[1]import graded seats course pivo'!$1:$2,2,FALSE),FALSE))),"")</f>
        <v>0.90909090909090906</v>
      </c>
      <c r="G1017" s="14">
        <f>IFERROR((VLOOKUP($A1017,'[1]import success seats course'!$A:U,HLOOKUP('[1]Course Totals'!G$4,'[1]import success seats course'!$1:$2,2,FALSE),FALSE)/(VLOOKUP($A1017,'[1]import graded seats course pivo'!$A:AE,HLOOKUP('[1]Course Totals'!G$4,'[1]import graded seats course pivo'!$1:$2,2,FALSE),FALSE))),"")</f>
        <v>0.95833333333333337</v>
      </c>
      <c r="H1017" s="14" t="str">
        <f>IFERROR((VLOOKUP($A1017,'[1]import success seats course'!$A:V,HLOOKUP('[1]Course Totals'!H$4,'[1]import success seats course'!$1:$2,2,FALSE),FALSE)/(VLOOKUP($A1017,'[1]import graded seats course pivo'!$A:AF,HLOOKUP('[1]Course Totals'!H$4,'[1]import graded seats course pivo'!$1:$2,2,FALSE),FALSE))),"")</f>
        <v/>
      </c>
      <c r="I1017" s="14">
        <f>IFERROR((VLOOKUP($A1017,'[1]import success seats course'!$A:W,HLOOKUP('[1]Course Totals'!I$4,'[1]import success seats course'!$1:$2,2,FALSE),FALSE)/(VLOOKUP($A1017,'[1]import graded seats course pivo'!$A:AG,HLOOKUP('[1]Course Totals'!I$4,'[1]import graded seats course pivo'!$1:$2,2,FALSE),FALSE))),"")</f>
        <v>0.8571428571428571</v>
      </c>
      <c r="J1017" s="14">
        <f>IFERROR((VLOOKUP($A1017,'[1]import success seats course'!$A:X,HLOOKUP('[1]Course Totals'!J$4,'[1]import success seats course'!$1:$2,2,FALSE),FALSE)/(VLOOKUP($A1017,'[1]import graded seats course pivo'!$A:AH,HLOOKUP('[1]Course Totals'!J$4,'[1]import graded seats course pivo'!$1:$2,2,FALSE),FALSE))),"")</f>
        <v>0.82978723404255317</v>
      </c>
      <c r="K1017" s="14" t="str">
        <f>IFERROR((VLOOKUP($A1017,'[1]import success seats course'!$A:Y,HLOOKUP('[1]Course Totals'!K$4,'[1]import success seats course'!$1:$2,2,FALSE),FALSE)/(VLOOKUP($A1017,'[1]import graded seats course pivo'!$A:AI,HLOOKUP('[1]Course Totals'!K$4,'[1]import graded seats course pivo'!$1:$2,2,FALSE),FALSE))),"")</f>
        <v/>
      </c>
      <c r="L1017" s="14">
        <f>IFERROR((VLOOKUP($A1017,'[1]import success seats course'!$A:Z,HLOOKUP('[1]Course Totals'!L$4,'[1]import success seats course'!$1:$2,2,FALSE),FALSE)/(VLOOKUP($A1017,'[1]import graded seats course pivo'!$A:AJ,HLOOKUP('[1]Course Totals'!L$4,'[1]import graded seats course pivo'!$1:$2,2,FALSE),FALSE))),"")</f>
        <v>1</v>
      </c>
      <c r="M1017" s="14">
        <f>IFERROR((VLOOKUP($A1017,'[1]import success seats course'!$A:AA,HLOOKUP('[1]Course Totals'!M$4,'[1]import success seats course'!$1:$2,2,FALSE),FALSE)/(VLOOKUP($A1017,'[1]import graded seats course pivo'!$A:AK,HLOOKUP('[1]Course Totals'!M$4,'[1]import graded seats course pivo'!$1:$2,2,FALSE),FALSE))),"")</f>
        <v>0.91666666666666663</v>
      </c>
      <c r="N1017" s="14" t="str">
        <f>IFERROR((VLOOKUP($A1017,'[1]import success seats course'!$A:AB,HLOOKUP('[1]Course Totals'!N$4,'[1]import success seats course'!$1:$2,2,FALSE),FALSE)/(VLOOKUP($A1017,'[1]import graded seats course pivo'!$A:AL,HLOOKUP('[1]Course Totals'!N$4,'[1]import graded seats course pivo'!$1:$2,2,FALSE),FALSE))),"")</f>
        <v/>
      </c>
      <c r="O1017" s="14">
        <f>IFERROR((VLOOKUP($A1017,'[1]import success seats course'!$A:AC,HLOOKUP('[1]Course Totals'!O$4,'[1]import success seats course'!$1:$2,2,FALSE),FALSE)/(VLOOKUP($A1017,'[1]import graded seats course pivo'!$A:AM,HLOOKUP('[1]Course Totals'!O$4,'[1]import graded seats course pivo'!$1:$2,2,FALSE),FALSE))),"")</f>
        <v>0.98</v>
      </c>
      <c r="P1017" s="14">
        <f>IFERROR((VLOOKUP($A1017,'[1]import success seats course'!$A:AD,HLOOKUP('[1]Course Totals'!P$4,'[1]import success seats course'!$1:$2,2,FALSE),FALSE)/(VLOOKUP($A1017,'[1]import graded seats course pivo'!$A:AN,HLOOKUP('[1]Course Totals'!P$4,'[1]import graded seats course pivo'!$1:$2,2,FALSE),FALSE))),"")</f>
        <v>0.97872340425531912</v>
      </c>
      <c r="Q1017" s="14" t="str">
        <f>IFERROR((VLOOKUP($A1017,'[1]import success seats course'!$A:AE,HLOOKUP('[1]Course Totals'!Q$4,'[1]import success seats course'!$1:$2,2,FALSE),FALSE)/(VLOOKUP($A1017,'[1]import graded seats course pivo'!$A:AO,HLOOKUP('[1]Course Totals'!Q$4,'[1]import graded seats course pivo'!$1:$2,2,FALSE),FALSE))),"")</f>
        <v/>
      </c>
      <c r="R1017" s="14">
        <f>IFERROR((VLOOKUP($A1017,'[1]import success seats course'!$A:AF,HLOOKUP('[1]Course Totals'!R$4,'[1]import success seats course'!$1:$2,2,FALSE),FALSE)/(VLOOKUP($A1017,'[1]import graded seats course pivo'!$A:AP,HLOOKUP('[1]Course Totals'!R$4,'[1]import graded seats course pivo'!$1:$2,2,FALSE),FALSE))),"")</f>
        <v>0.92105263157894735</v>
      </c>
      <c r="S1017" s="14">
        <f>IFERROR((VLOOKUP($A1017,'[1]import success seats course'!$A:AG,HLOOKUP('[1]Course Totals'!S$4,'[1]import success seats course'!$1:$2,2,FALSE),FALSE)/(VLOOKUP($A1017,'[1]import graded seats course pivo'!$A:AQ,HLOOKUP('[1]Course Totals'!S$4,'[1]import graded seats course pivo'!$1:$2,2,FALSE),FALSE))),"")</f>
        <v>1</v>
      </c>
      <c r="Z1017" s="7"/>
      <c r="AA1017" s="7"/>
      <c r="AB1017" s="7"/>
      <c r="AC1017" s="7"/>
    </row>
    <row r="1018" spans="1:29" ht="15.75" customHeight="1" x14ac:dyDescent="0.25">
      <c r="A1018" s="12" t="s">
        <v>483</v>
      </c>
      <c r="B1018" s="14" t="str">
        <f>IFERROR((VLOOKUP($A1018,'[1]import success seats course'!$A:P,HLOOKUP('[1]Course Totals'!B$4,'[1]import success seats course'!$1:$2,2,FALSE),FALSE)/(VLOOKUP($A1018,'[1]import graded seats course pivo'!$A:Z,HLOOKUP('[1]Course Totals'!B$4,'[1]import graded seats course pivo'!$1:$2,2,FALSE),FALSE))),"")</f>
        <v/>
      </c>
      <c r="C1018" s="14">
        <f>IFERROR((VLOOKUP($A1018,'[1]import success seats course'!$A:Q,HLOOKUP('[1]Course Totals'!C$4,'[1]import success seats course'!$1:$2,2,FALSE),FALSE)/(VLOOKUP($A1018,'[1]import graded seats course pivo'!$A:AA,HLOOKUP('[1]Course Totals'!C$4,'[1]import graded seats course pivo'!$1:$2,2,FALSE),FALSE))),"")</f>
        <v>0.8666666666666667</v>
      </c>
      <c r="D1018" s="14">
        <f>IFERROR((VLOOKUP($A1018,'[1]import success seats course'!$A:R,HLOOKUP('[1]Course Totals'!D$4,'[1]import success seats course'!$1:$2,2,FALSE),FALSE)/(VLOOKUP($A1018,'[1]import graded seats course pivo'!$A:AB,HLOOKUP('[1]Course Totals'!D$4,'[1]import graded seats course pivo'!$1:$2,2,FALSE),FALSE))),"")</f>
        <v>0.8902439024390244</v>
      </c>
      <c r="E1018" s="14" t="str">
        <f>IFERROR((VLOOKUP($A1018,'[1]import success seats course'!$A:S,HLOOKUP('[1]Course Totals'!E$4,'[1]import success seats course'!$1:$2,2,FALSE),FALSE)/(VLOOKUP($A1018,'[1]import graded seats course pivo'!$A:AC,HLOOKUP('[1]Course Totals'!E$4,'[1]import graded seats course pivo'!$1:$2,2,FALSE),FALSE))),"")</f>
        <v/>
      </c>
      <c r="F1018" s="14">
        <f>IFERROR((VLOOKUP($A1018,'[1]import success seats course'!$A:T,HLOOKUP('[1]Course Totals'!F$4,'[1]import success seats course'!$1:$2,2,FALSE),FALSE)/(VLOOKUP($A1018,'[1]import graded seats course pivo'!$A:AD,HLOOKUP('[1]Course Totals'!F$4,'[1]import graded seats course pivo'!$1:$2,2,FALSE),FALSE))),"")</f>
        <v>0.84</v>
      </c>
      <c r="G1018" s="14">
        <f>IFERROR((VLOOKUP($A1018,'[1]import success seats course'!$A:U,HLOOKUP('[1]Course Totals'!G$4,'[1]import success seats course'!$1:$2,2,FALSE),FALSE)/(VLOOKUP($A1018,'[1]import graded seats course pivo'!$A:AE,HLOOKUP('[1]Course Totals'!G$4,'[1]import graded seats course pivo'!$1:$2,2,FALSE),FALSE))),"")</f>
        <v>0.82278481012658233</v>
      </c>
      <c r="H1018" s="14" t="str">
        <f>IFERROR((VLOOKUP($A1018,'[1]import success seats course'!$A:V,HLOOKUP('[1]Course Totals'!H$4,'[1]import success seats course'!$1:$2,2,FALSE),FALSE)/(VLOOKUP($A1018,'[1]import graded seats course pivo'!$A:AF,HLOOKUP('[1]Course Totals'!H$4,'[1]import graded seats course pivo'!$1:$2,2,FALSE),FALSE))),"")</f>
        <v/>
      </c>
      <c r="I1018" s="14">
        <f>IFERROR((VLOOKUP($A1018,'[1]import success seats course'!$A:W,HLOOKUP('[1]Course Totals'!I$4,'[1]import success seats course'!$1:$2,2,FALSE),FALSE)/(VLOOKUP($A1018,'[1]import graded seats course pivo'!$A:AG,HLOOKUP('[1]Course Totals'!I$4,'[1]import graded seats course pivo'!$1:$2,2,FALSE),FALSE))),"")</f>
        <v>0.97402597402597402</v>
      </c>
      <c r="J1018" s="14">
        <f>IFERROR((VLOOKUP($A1018,'[1]import success seats course'!$A:X,HLOOKUP('[1]Course Totals'!J$4,'[1]import success seats course'!$1:$2,2,FALSE),FALSE)/(VLOOKUP($A1018,'[1]import graded seats course pivo'!$A:AH,HLOOKUP('[1]Course Totals'!J$4,'[1]import graded seats course pivo'!$1:$2,2,FALSE),FALSE))),"")</f>
        <v>0.91764705882352937</v>
      </c>
      <c r="K1018" s="14" t="str">
        <f>IFERROR((VLOOKUP($A1018,'[1]import success seats course'!$A:Y,HLOOKUP('[1]Course Totals'!K$4,'[1]import success seats course'!$1:$2,2,FALSE),FALSE)/(VLOOKUP($A1018,'[1]import graded seats course pivo'!$A:AI,HLOOKUP('[1]Course Totals'!K$4,'[1]import graded seats course pivo'!$1:$2,2,FALSE),FALSE))),"")</f>
        <v/>
      </c>
      <c r="L1018" s="14">
        <f>IFERROR((VLOOKUP($A1018,'[1]import success seats course'!$A:Z,HLOOKUP('[1]Course Totals'!L$4,'[1]import success seats course'!$1:$2,2,FALSE),FALSE)/(VLOOKUP($A1018,'[1]import graded seats course pivo'!$A:AJ,HLOOKUP('[1]Course Totals'!L$4,'[1]import graded seats course pivo'!$1:$2,2,FALSE),FALSE))),"")</f>
        <v>0.95901639344262291</v>
      </c>
      <c r="M1018" s="14">
        <f>IFERROR((VLOOKUP($A1018,'[1]import success seats course'!$A:AA,HLOOKUP('[1]Course Totals'!M$4,'[1]import success seats course'!$1:$2,2,FALSE),FALSE)/(VLOOKUP($A1018,'[1]import graded seats course pivo'!$A:AK,HLOOKUP('[1]Course Totals'!M$4,'[1]import graded seats course pivo'!$1:$2,2,FALSE),FALSE))),"")</f>
        <v>0.9375</v>
      </c>
      <c r="N1018" s="14" t="str">
        <f>IFERROR((VLOOKUP($A1018,'[1]import success seats course'!$A:AB,HLOOKUP('[1]Course Totals'!N$4,'[1]import success seats course'!$1:$2,2,FALSE),FALSE)/(VLOOKUP($A1018,'[1]import graded seats course pivo'!$A:AL,HLOOKUP('[1]Course Totals'!N$4,'[1]import graded seats course pivo'!$1:$2,2,FALSE),FALSE))),"")</f>
        <v/>
      </c>
      <c r="O1018" s="14">
        <f>IFERROR((VLOOKUP($A1018,'[1]import success seats course'!$A:AC,HLOOKUP('[1]Course Totals'!O$4,'[1]import success seats course'!$1:$2,2,FALSE),FALSE)/(VLOOKUP($A1018,'[1]import graded seats course pivo'!$A:AM,HLOOKUP('[1]Course Totals'!O$4,'[1]import graded seats course pivo'!$1:$2,2,FALSE),FALSE))),"")</f>
        <v>0.93548387096774188</v>
      </c>
      <c r="P1018" s="14">
        <f>IFERROR((VLOOKUP($A1018,'[1]import success seats course'!$A:AD,HLOOKUP('[1]Course Totals'!P$4,'[1]import success seats course'!$1:$2,2,FALSE),FALSE)/(VLOOKUP($A1018,'[1]import graded seats course pivo'!$A:AN,HLOOKUP('[1]Course Totals'!P$4,'[1]import graded seats course pivo'!$1:$2,2,FALSE),FALSE))),"")</f>
        <v>0.94666666666666666</v>
      </c>
      <c r="Q1018" s="14" t="str">
        <f>IFERROR((VLOOKUP($A1018,'[1]import success seats course'!$A:AE,HLOOKUP('[1]Course Totals'!Q$4,'[1]import success seats course'!$1:$2,2,FALSE),FALSE)/(VLOOKUP($A1018,'[1]import graded seats course pivo'!$A:AO,HLOOKUP('[1]Course Totals'!Q$4,'[1]import graded seats course pivo'!$1:$2,2,FALSE),FALSE))),"")</f>
        <v/>
      </c>
      <c r="R1018" s="14">
        <f>IFERROR((VLOOKUP($A1018,'[1]import success seats course'!$A:AF,HLOOKUP('[1]Course Totals'!R$4,'[1]import success seats course'!$1:$2,2,FALSE),FALSE)/(VLOOKUP($A1018,'[1]import graded seats course pivo'!$A:AP,HLOOKUP('[1]Course Totals'!R$4,'[1]import graded seats course pivo'!$1:$2,2,FALSE),FALSE))),"")</f>
        <v>0.90540540540540537</v>
      </c>
      <c r="S1018" s="14">
        <f>IFERROR((VLOOKUP($A1018,'[1]import success seats course'!$A:AG,HLOOKUP('[1]Course Totals'!S$4,'[1]import success seats course'!$1:$2,2,FALSE),FALSE)/(VLOOKUP($A1018,'[1]import graded seats course pivo'!$A:AQ,HLOOKUP('[1]Course Totals'!S$4,'[1]import graded seats course pivo'!$1:$2,2,FALSE),FALSE))),"")</f>
        <v>0.97101449275362317</v>
      </c>
      <c r="Z1018" s="7"/>
      <c r="AA1018" s="7"/>
      <c r="AB1018" s="7"/>
      <c r="AC1018" s="7"/>
    </row>
    <row r="1019" spans="1:29" ht="15.75" customHeight="1" x14ac:dyDescent="0.25">
      <c r="A1019" s="12" t="s">
        <v>484</v>
      </c>
      <c r="B1019" s="14" t="str">
        <f>IFERROR((VLOOKUP($A1019,'[1]import success seats course'!$A:P,HLOOKUP('[1]Course Totals'!B$4,'[1]import success seats course'!$1:$2,2,FALSE),FALSE)/(VLOOKUP($A1019,'[1]import graded seats course pivo'!$A:Z,HLOOKUP('[1]Course Totals'!B$4,'[1]import graded seats course pivo'!$1:$2,2,FALSE),FALSE))),"")</f>
        <v/>
      </c>
      <c r="C1019" s="14">
        <f>IFERROR((VLOOKUP($A1019,'[1]import success seats course'!$A:Q,HLOOKUP('[1]Course Totals'!C$4,'[1]import success seats course'!$1:$2,2,FALSE),FALSE)/(VLOOKUP($A1019,'[1]import graded seats course pivo'!$A:AA,HLOOKUP('[1]Course Totals'!C$4,'[1]import graded seats course pivo'!$1:$2,2,FALSE),FALSE))),"")</f>
        <v>1</v>
      </c>
      <c r="D1019" s="14">
        <f>IFERROR((VLOOKUP($A1019,'[1]import success seats course'!$A:R,HLOOKUP('[1]Course Totals'!D$4,'[1]import success seats course'!$1:$2,2,FALSE),FALSE)/(VLOOKUP($A1019,'[1]import graded seats course pivo'!$A:AB,HLOOKUP('[1]Course Totals'!D$4,'[1]import graded seats course pivo'!$1:$2,2,FALSE),FALSE))),"")</f>
        <v>1</v>
      </c>
      <c r="E1019" s="14" t="str">
        <f>IFERROR((VLOOKUP($A1019,'[1]import success seats course'!$A:S,HLOOKUP('[1]Course Totals'!E$4,'[1]import success seats course'!$1:$2,2,FALSE),FALSE)/(VLOOKUP($A1019,'[1]import graded seats course pivo'!$A:AC,HLOOKUP('[1]Course Totals'!E$4,'[1]import graded seats course pivo'!$1:$2,2,FALSE),FALSE))),"")</f>
        <v/>
      </c>
      <c r="F1019" s="14">
        <f>IFERROR((VLOOKUP($A1019,'[1]import success seats course'!$A:T,HLOOKUP('[1]Course Totals'!F$4,'[1]import success seats course'!$1:$2,2,FALSE),FALSE)/(VLOOKUP($A1019,'[1]import graded seats course pivo'!$A:AD,HLOOKUP('[1]Course Totals'!F$4,'[1]import graded seats course pivo'!$1:$2,2,FALSE),FALSE))),"")</f>
        <v>1</v>
      </c>
      <c r="G1019" s="14">
        <f>IFERROR((VLOOKUP($A1019,'[1]import success seats course'!$A:U,HLOOKUP('[1]Course Totals'!G$4,'[1]import success seats course'!$1:$2,2,FALSE),FALSE)/(VLOOKUP($A1019,'[1]import graded seats course pivo'!$A:AE,HLOOKUP('[1]Course Totals'!G$4,'[1]import graded seats course pivo'!$1:$2,2,FALSE),FALSE))),"")</f>
        <v>1</v>
      </c>
      <c r="H1019" s="14" t="str">
        <f>IFERROR((VLOOKUP($A1019,'[1]import success seats course'!$A:V,HLOOKUP('[1]Course Totals'!H$4,'[1]import success seats course'!$1:$2,2,FALSE),FALSE)/(VLOOKUP($A1019,'[1]import graded seats course pivo'!$A:AF,HLOOKUP('[1]Course Totals'!H$4,'[1]import graded seats course pivo'!$1:$2,2,FALSE),FALSE))),"")</f>
        <v/>
      </c>
      <c r="I1019" s="14">
        <f>IFERROR((VLOOKUP($A1019,'[1]import success seats course'!$A:W,HLOOKUP('[1]Course Totals'!I$4,'[1]import success seats course'!$1:$2,2,FALSE),FALSE)/(VLOOKUP($A1019,'[1]import graded seats course pivo'!$A:AG,HLOOKUP('[1]Course Totals'!I$4,'[1]import graded seats course pivo'!$1:$2,2,FALSE),FALSE))),"")</f>
        <v>1</v>
      </c>
      <c r="J1019" s="14">
        <f>IFERROR((VLOOKUP($A1019,'[1]import success seats course'!$A:X,HLOOKUP('[1]Course Totals'!J$4,'[1]import success seats course'!$1:$2,2,FALSE),FALSE)/(VLOOKUP($A1019,'[1]import graded seats course pivo'!$A:AH,HLOOKUP('[1]Course Totals'!J$4,'[1]import graded seats course pivo'!$1:$2,2,FALSE),FALSE))),"")</f>
        <v>1</v>
      </c>
      <c r="K1019" s="14" t="str">
        <f>IFERROR((VLOOKUP($A1019,'[1]import success seats course'!$A:Y,HLOOKUP('[1]Course Totals'!K$4,'[1]import success seats course'!$1:$2,2,FALSE),FALSE)/(VLOOKUP($A1019,'[1]import graded seats course pivo'!$A:AI,HLOOKUP('[1]Course Totals'!K$4,'[1]import graded seats course pivo'!$1:$2,2,FALSE),FALSE))),"")</f>
        <v/>
      </c>
      <c r="L1019" s="14">
        <f>IFERROR((VLOOKUP($A1019,'[1]import success seats course'!$A:Z,HLOOKUP('[1]Course Totals'!L$4,'[1]import success seats course'!$1:$2,2,FALSE),FALSE)/(VLOOKUP($A1019,'[1]import graded seats course pivo'!$A:AJ,HLOOKUP('[1]Course Totals'!L$4,'[1]import graded seats course pivo'!$1:$2,2,FALSE),FALSE))),"")</f>
        <v>1</v>
      </c>
      <c r="M1019" s="14">
        <f>IFERROR((VLOOKUP($A1019,'[1]import success seats course'!$A:AA,HLOOKUP('[1]Course Totals'!M$4,'[1]import success seats course'!$1:$2,2,FALSE),FALSE)/(VLOOKUP($A1019,'[1]import graded seats course pivo'!$A:AK,HLOOKUP('[1]Course Totals'!M$4,'[1]import graded seats course pivo'!$1:$2,2,FALSE),FALSE))),"")</f>
        <v>0.875</v>
      </c>
      <c r="N1019" s="14" t="str">
        <f>IFERROR((VLOOKUP($A1019,'[1]import success seats course'!$A:AB,HLOOKUP('[1]Course Totals'!N$4,'[1]import success seats course'!$1:$2,2,FALSE),FALSE)/(VLOOKUP($A1019,'[1]import graded seats course pivo'!$A:AL,HLOOKUP('[1]Course Totals'!N$4,'[1]import graded seats course pivo'!$1:$2,2,FALSE),FALSE))),"")</f>
        <v/>
      </c>
      <c r="O1019" s="14">
        <f>IFERROR((VLOOKUP($A1019,'[1]import success seats course'!$A:AC,HLOOKUP('[1]Course Totals'!O$4,'[1]import success seats course'!$1:$2,2,FALSE),FALSE)/(VLOOKUP($A1019,'[1]import graded seats course pivo'!$A:AM,HLOOKUP('[1]Course Totals'!O$4,'[1]import graded seats course pivo'!$1:$2,2,FALSE),FALSE))),"")</f>
        <v>1</v>
      </c>
      <c r="P1019" s="14">
        <f>IFERROR((VLOOKUP($A1019,'[1]import success seats course'!$A:AD,HLOOKUP('[1]Course Totals'!P$4,'[1]import success seats course'!$1:$2,2,FALSE),FALSE)/(VLOOKUP($A1019,'[1]import graded seats course pivo'!$A:AN,HLOOKUP('[1]Course Totals'!P$4,'[1]import graded seats course pivo'!$1:$2,2,FALSE),FALSE))),"")</f>
        <v>1</v>
      </c>
      <c r="Q1019" s="14" t="str">
        <f>IFERROR((VLOOKUP($A1019,'[1]import success seats course'!$A:AE,HLOOKUP('[1]Course Totals'!Q$4,'[1]import success seats course'!$1:$2,2,FALSE),FALSE)/(VLOOKUP($A1019,'[1]import graded seats course pivo'!$A:AO,HLOOKUP('[1]Course Totals'!Q$4,'[1]import graded seats course pivo'!$1:$2,2,FALSE),FALSE))),"")</f>
        <v/>
      </c>
      <c r="R1019" s="14">
        <f>IFERROR((VLOOKUP($A1019,'[1]import success seats course'!$A:AF,HLOOKUP('[1]Course Totals'!R$4,'[1]import success seats course'!$1:$2,2,FALSE),FALSE)/(VLOOKUP($A1019,'[1]import graded seats course pivo'!$A:AP,HLOOKUP('[1]Course Totals'!R$4,'[1]import graded seats course pivo'!$1:$2,2,FALSE),FALSE))),"")</f>
        <v>1</v>
      </c>
      <c r="S1019" s="14">
        <f>IFERROR((VLOOKUP($A1019,'[1]import success seats course'!$A:AG,HLOOKUP('[1]Course Totals'!S$4,'[1]import success seats course'!$1:$2,2,FALSE),FALSE)/(VLOOKUP($A1019,'[1]import graded seats course pivo'!$A:AQ,HLOOKUP('[1]Course Totals'!S$4,'[1]import graded seats course pivo'!$1:$2,2,FALSE),FALSE))),"")</f>
        <v>1</v>
      </c>
      <c r="Z1019" s="7"/>
      <c r="AA1019" s="7"/>
      <c r="AB1019" s="7"/>
      <c r="AC1019" s="7"/>
    </row>
    <row r="1020" spans="1:29" ht="15.75" customHeight="1" x14ac:dyDescent="0.25">
      <c r="A1020" s="12" t="s">
        <v>485</v>
      </c>
      <c r="B1020" s="14">
        <f>IFERROR((VLOOKUP($A1020,'[1]import success seats course'!$A:P,HLOOKUP('[1]Course Totals'!B$4,'[1]import success seats course'!$1:$2,2,FALSE),FALSE)/(VLOOKUP($A1020,'[1]import graded seats course pivo'!$A:Z,HLOOKUP('[1]Course Totals'!B$4,'[1]import graded seats course pivo'!$1:$2,2,FALSE),FALSE))),"")</f>
        <v>0.84210526315789469</v>
      </c>
      <c r="C1020" s="14">
        <f>IFERROR((VLOOKUP($A1020,'[1]import success seats course'!$A:Q,HLOOKUP('[1]Course Totals'!C$4,'[1]import success seats course'!$1:$2,2,FALSE),FALSE)/(VLOOKUP($A1020,'[1]import graded seats course pivo'!$A:AA,HLOOKUP('[1]Course Totals'!C$4,'[1]import graded seats course pivo'!$1:$2,2,FALSE),FALSE))),"")</f>
        <v>0.91666666666666663</v>
      </c>
      <c r="D1020" s="14">
        <f>IFERROR((VLOOKUP($A1020,'[1]import success seats course'!$A:R,HLOOKUP('[1]Course Totals'!D$4,'[1]import success seats course'!$1:$2,2,FALSE),FALSE)/(VLOOKUP($A1020,'[1]import graded seats course pivo'!$A:AB,HLOOKUP('[1]Course Totals'!D$4,'[1]import graded seats course pivo'!$1:$2,2,FALSE),FALSE))),"")</f>
        <v>0.88524590163934425</v>
      </c>
      <c r="E1020" s="14">
        <f>IFERROR((VLOOKUP($A1020,'[1]import success seats course'!$A:S,HLOOKUP('[1]Course Totals'!E$4,'[1]import success seats course'!$1:$2,2,FALSE),FALSE)/(VLOOKUP($A1020,'[1]import graded seats course pivo'!$A:AC,HLOOKUP('[1]Course Totals'!E$4,'[1]import graded seats course pivo'!$1:$2,2,FALSE),FALSE))),"")</f>
        <v>0.94117647058823528</v>
      </c>
      <c r="F1020" s="14">
        <f>IFERROR((VLOOKUP($A1020,'[1]import success seats course'!$A:T,HLOOKUP('[1]Course Totals'!F$4,'[1]import success seats course'!$1:$2,2,FALSE),FALSE)/(VLOOKUP($A1020,'[1]import graded seats course pivo'!$A:AD,HLOOKUP('[1]Course Totals'!F$4,'[1]import graded seats course pivo'!$1:$2,2,FALSE),FALSE))),"")</f>
        <v>0.9173553719008265</v>
      </c>
      <c r="G1020" s="14">
        <f>IFERROR((VLOOKUP($A1020,'[1]import success seats course'!$A:U,HLOOKUP('[1]Course Totals'!G$4,'[1]import success seats course'!$1:$2,2,FALSE),FALSE)/(VLOOKUP($A1020,'[1]import graded seats course pivo'!$A:AE,HLOOKUP('[1]Course Totals'!G$4,'[1]import graded seats course pivo'!$1:$2,2,FALSE),FALSE))),"")</f>
        <v>0.81415929203539827</v>
      </c>
      <c r="H1020" s="14" t="str">
        <f>IFERROR((VLOOKUP($A1020,'[1]import success seats course'!$A:V,HLOOKUP('[1]Course Totals'!H$4,'[1]import success seats course'!$1:$2,2,FALSE),FALSE)/(VLOOKUP($A1020,'[1]import graded seats course pivo'!$A:AF,HLOOKUP('[1]Course Totals'!H$4,'[1]import graded seats course pivo'!$1:$2,2,FALSE),FALSE))),"")</f>
        <v/>
      </c>
      <c r="I1020" s="14">
        <f>IFERROR((VLOOKUP($A1020,'[1]import success seats course'!$A:W,HLOOKUP('[1]Course Totals'!I$4,'[1]import success seats course'!$1:$2,2,FALSE),FALSE)/(VLOOKUP($A1020,'[1]import graded seats course pivo'!$A:AG,HLOOKUP('[1]Course Totals'!I$4,'[1]import graded seats course pivo'!$1:$2,2,FALSE),FALSE))),"")</f>
        <v>0.86956521739130432</v>
      </c>
      <c r="J1020" s="14">
        <f>IFERROR((VLOOKUP($A1020,'[1]import success seats course'!$A:X,HLOOKUP('[1]Course Totals'!J$4,'[1]import success seats course'!$1:$2,2,FALSE),FALSE)/(VLOOKUP($A1020,'[1]import graded seats course pivo'!$A:AH,HLOOKUP('[1]Course Totals'!J$4,'[1]import graded seats course pivo'!$1:$2,2,FALSE),FALSE))),"")</f>
        <v>0.92682926829268297</v>
      </c>
      <c r="K1020" s="14" t="str">
        <f>IFERROR((VLOOKUP($A1020,'[1]import success seats course'!$A:Y,HLOOKUP('[1]Course Totals'!K$4,'[1]import success seats course'!$1:$2,2,FALSE),FALSE)/(VLOOKUP($A1020,'[1]import graded seats course pivo'!$A:AI,HLOOKUP('[1]Course Totals'!K$4,'[1]import graded seats course pivo'!$1:$2,2,FALSE),FALSE))),"")</f>
        <v/>
      </c>
      <c r="L1020" s="14">
        <f>IFERROR((VLOOKUP($A1020,'[1]import success seats course'!$A:Z,HLOOKUP('[1]Course Totals'!L$4,'[1]import success seats course'!$1:$2,2,FALSE),FALSE)/(VLOOKUP($A1020,'[1]import graded seats course pivo'!$A:AJ,HLOOKUP('[1]Course Totals'!L$4,'[1]import graded seats course pivo'!$1:$2,2,FALSE),FALSE))),"")</f>
        <v>0.95652173913043481</v>
      </c>
      <c r="M1020" s="14">
        <f>IFERROR((VLOOKUP($A1020,'[1]import success seats course'!$A:AA,HLOOKUP('[1]Course Totals'!M$4,'[1]import success seats course'!$1:$2,2,FALSE),FALSE)/(VLOOKUP($A1020,'[1]import graded seats course pivo'!$A:AK,HLOOKUP('[1]Course Totals'!M$4,'[1]import graded seats course pivo'!$1:$2,2,FALSE),FALSE))),"")</f>
        <v>0.83333333333333337</v>
      </c>
      <c r="N1020" s="14" t="str">
        <f>IFERROR((VLOOKUP($A1020,'[1]import success seats course'!$A:AB,HLOOKUP('[1]Course Totals'!N$4,'[1]import success seats course'!$1:$2,2,FALSE),FALSE)/(VLOOKUP($A1020,'[1]import graded seats course pivo'!$A:AL,HLOOKUP('[1]Course Totals'!N$4,'[1]import graded seats course pivo'!$1:$2,2,FALSE),FALSE))),"")</f>
        <v/>
      </c>
      <c r="O1020" s="14">
        <f>IFERROR((VLOOKUP($A1020,'[1]import success seats course'!$A:AC,HLOOKUP('[1]Course Totals'!O$4,'[1]import success seats course'!$1:$2,2,FALSE),FALSE)/(VLOOKUP($A1020,'[1]import graded seats course pivo'!$A:AM,HLOOKUP('[1]Course Totals'!O$4,'[1]import graded seats course pivo'!$1:$2,2,FALSE),FALSE))),"")</f>
        <v>0.87755102040816324</v>
      </c>
      <c r="P1020" s="14">
        <f>IFERROR((VLOOKUP($A1020,'[1]import success seats course'!$A:AD,HLOOKUP('[1]Course Totals'!P$4,'[1]import success seats course'!$1:$2,2,FALSE),FALSE)/(VLOOKUP($A1020,'[1]import graded seats course pivo'!$A:AN,HLOOKUP('[1]Course Totals'!P$4,'[1]import graded seats course pivo'!$1:$2,2,FALSE),FALSE))),"")</f>
        <v>0.84444444444444444</v>
      </c>
      <c r="Q1020" s="14" t="str">
        <f>IFERROR((VLOOKUP($A1020,'[1]import success seats course'!$A:AE,HLOOKUP('[1]Course Totals'!Q$4,'[1]import success seats course'!$1:$2,2,FALSE),FALSE)/(VLOOKUP($A1020,'[1]import graded seats course pivo'!$A:AO,HLOOKUP('[1]Course Totals'!Q$4,'[1]import graded seats course pivo'!$1:$2,2,FALSE),FALSE))),"")</f>
        <v/>
      </c>
      <c r="R1020" s="14">
        <f>IFERROR((VLOOKUP($A1020,'[1]import success seats course'!$A:AF,HLOOKUP('[1]Course Totals'!R$4,'[1]import success seats course'!$1:$2,2,FALSE),FALSE)/(VLOOKUP($A1020,'[1]import graded seats course pivo'!$A:AP,HLOOKUP('[1]Course Totals'!R$4,'[1]import graded seats course pivo'!$1:$2,2,FALSE),FALSE))),"")</f>
        <v>0.90909090909090906</v>
      </c>
      <c r="S1020" s="14">
        <f>IFERROR((VLOOKUP($A1020,'[1]import success seats course'!$A:AG,HLOOKUP('[1]Course Totals'!S$4,'[1]import success seats course'!$1:$2,2,FALSE),FALSE)/(VLOOKUP($A1020,'[1]import graded seats course pivo'!$A:AQ,HLOOKUP('[1]Course Totals'!S$4,'[1]import graded seats course pivo'!$1:$2,2,FALSE),FALSE))),"")</f>
        <v>0.8529411764705882</v>
      </c>
      <c r="Z1020" s="7"/>
      <c r="AA1020" s="7"/>
      <c r="AB1020" s="7"/>
      <c r="AC1020" s="7"/>
    </row>
    <row r="1021" spans="1:29" ht="15.75" customHeight="1" x14ac:dyDescent="0.25">
      <c r="A1021" s="12" t="s">
        <v>660</v>
      </c>
      <c r="B1021" s="14" t="str">
        <f>IFERROR((VLOOKUP($A1021,'[1]import success seats course'!$A:P,HLOOKUP('[1]Course Totals'!B$4,'[1]import success seats course'!$1:$2,2,FALSE),FALSE)/(VLOOKUP($A1021,'[1]import graded seats course pivo'!$A:Z,HLOOKUP('[1]Course Totals'!B$4,'[1]import graded seats course pivo'!$1:$2,2,FALSE),FALSE))),"")</f>
        <v/>
      </c>
      <c r="C1021" s="14" t="str">
        <f>IFERROR((VLOOKUP($A1021,'[1]import success seats course'!$A:Q,HLOOKUP('[1]Course Totals'!C$4,'[1]import success seats course'!$1:$2,2,FALSE),FALSE)/(VLOOKUP($A1021,'[1]import graded seats course pivo'!$A:AA,HLOOKUP('[1]Course Totals'!C$4,'[1]import graded seats course pivo'!$1:$2,2,FALSE),FALSE))),"")</f>
        <v/>
      </c>
      <c r="D1021" s="14">
        <f>IFERROR((VLOOKUP($A1021,'[1]import success seats course'!$A:R,HLOOKUP('[1]Course Totals'!D$4,'[1]import success seats course'!$1:$2,2,FALSE),FALSE)/(VLOOKUP($A1021,'[1]import graded seats course pivo'!$A:AB,HLOOKUP('[1]Course Totals'!D$4,'[1]import graded seats course pivo'!$1:$2,2,FALSE),FALSE))),"")</f>
        <v>0.5</v>
      </c>
      <c r="E1021" s="14" t="str">
        <f>IFERROR((VLOOKUP($A1021,'[1]import success seats course'!$A:S,HLOOKUP('[1]Course Totals'!E$4,'[1]import success seats course'!$1:$2,2,FALSE),FALSE)/(VLOOKUP($A1021,'[1]import graded seats course pivo'!$A:AC,HLOOKUP('[1]Course Totals'!E$4,'[1]import graded seats course pivo'!$1:$2,2,FALSE),FALSE))),"")</f>
        <v/>
      </c>
      <c r="F1021" s="14">
        <f>IFERROR((VLOOKUP($A1021,'[1]import success seats course'!$A:T,HLOOKUP('[1]Course Totals'!F$4,'[1]import success seats course'!$1:$2,2,FALSE),FALSE)/(VLOOKUP($A1021,'[1]import graded seats course pivo'!$A:AD,HLOOKUP('[1]Course Totals'!F$4,'[1]import graded seats course pivo'!$1:$2,2,FALSE),FALSE))),"")</f>
        <v>0.66666666666666663</v>
      </c>
      <c r="G1021" s="14">
        <f>IFERROR((VLOOKUP($A1021,'[1]import success seats course'!$A:U,HLOOKUP('[1]Course Totals'!G$4,'[1]import success seats course'!$1:$2,2,FALSE),FALSE)/(VLOOKUP($A1021,'[1]import graded seats course pivo'!$A:AE,HLOOKUP('[1]Course Totals'!G$4,'[1]import graded seats course pivo'!$1:$2,2,FALSE),FALSE))),"")</f>
        <v>1</v>
      </c>
      <c r="H1021" s="14" t="str">
        <f>IFERROR((VLOOKUP($A1021,'[1]import success seats course'!$A:V,HLOOKUP('[1]Course Totals'!H$4,'[1]import success seats course'!$1:$2,2,FALSE),FALSE)/(VLOOKUP($A1021,'[1]import graded seats course pivo'!$A:AF,HLOOKUP('[1]Course Totals'!H$4,'[1]import graded seats course pivo'!$1:$2,2,FALSE),FALSE))),"")</f>
        <v/>
      </c>
      <c r="I1021" s="14">
        <f>IFERROR((VLOOKUP($A1021,'[1]import success seats course'!$A:W,HLOOKUP('[1]Course Totals'!I$4,'[1]import success seats course'!$1:$2,2,FALSE),FALSE)/(VLOOKUP($A1021,'[1]import graded seats course pivo'!$A:AG,HLOOKUP('[1]Course Totals'!I$4,'[1]import graded seats course pivo'!$1:$2,2,FALSE),FALSE))),"")</f>
        <v>1</v>
      </c>
      <c r="J1021" s="14">
        <f>IFERROR((VLOOKUP($A1021,'[1]import success seats course'!$A:X,HLOOKUP('[1]Course Totals'!J$4,'[1]import success seats course'!$1:$2,2,FALSE),FALSE)/(VLOOKUP($A1021,'[1]import graded seats course pivo'!$A:AH,HLOOKUP('[1]Course Totals'!J$4,'[1]import graded seats course pivo'!$1:$2,2,FALSE),FALSE))),"")</f>
        <v>0.5</v>
      </c>
      <c r="K1021" s="14" t="str">
        <f>IFERROR((VLOOKUP($A1021,'[1]import success seats course'!$A:Y,HLOOKUP('[1]Course Totals'!K$4,'[1]import success seats course'!$1:$2,2,FALSE),FALSE)/(VLOOKUP($A1021,'[1]import graded seats course pivo'!$A:AI,HLOOKUP('[1]Course Totals'!K$4,'[1]import graded seats course pivo'!$1:$2,2,FALSE),FALSE))),"")</f>
        <v/>
      </c>
      <c r="L1021" s="14" t="str">
        <f>IFERROR((VLOOKUP($A1021,'[1]import success seats course'!$A:Z,HLOOKUP('[1]Course Totals'!L$4,'[1]import success seats course'!$1:$2,2,FALSE),FALSE)/(VLOOKUP($A1021,'[1]import graded seats course pivo'!$A:AJ,HLOOKUP('[1]Course Totals'!L$4,'[1]import graded seats course pivo'!$1:$2,2,FALSE),FALSE))),"")</f>
        <v/>
      </c>
      <c r="M1021" s="14">
        <f>IFERROR((VLOOKUP($A1021,'[1]import success seats course'!$A:AA,HLOOKUP('[1]Course Totals'!M$4,'[1]import success seats course'!$1:$2,2,FALSE),FALSE)/(VLOOKUP($A1021,'[1]import graded seats course pivo'!$A:AK,HLOOKUP('[1]Course Totals'!M$4,'[1]import graded seats course pivo'!$1:$2,2,FALSE),FALSE))),"")</f>
        <v>0.8</v>
      </c>
      <c r="N1021" s="14" t="str">
        <f>IFERROR((VLOOKUP($A1021,'[1]import success seats course'!$A:AB,HLOOKUP('[1]Course Totals'!N$4,'[1]import success seats course'!$1:$2,2,FALSE),FALSE)/(VLOOKUP($A1021,'[1]import graded seats course pivo'!$A:AL,HLOOKUP('[1]Course Totals'!N$4,'[1]import graded seats course pivo'!$1:$2,2,FALSE),FALSE))),"")</f>
        <v/>
      </c>
      <c r="O1021" s="14">
        <f>IFERROR((VLOOKUP($A1021,'[1]import success seats course'!$A:AC,HLOOKUP('[1]Course Totals'!O$4,'[1]import success seats course'!$1:$2,2,FALSE),FALSE)/(VLOOKUP($A1021,'[1]import graded seats course pivo'!$A:AM,HLOOKUP('[1]Course Totals'!O$4,'[1]import graded seats course pivo'!$1:$2,2,FALSE),FALSE))),"")</f>
        <v>1</v>
      </c>
      <c r="P1021" s="14">
        <f>IFERROR((VLOOKUP($A1021,'[1]import success seats course'!$A:AD,HLOOKUP('[1]Course Totals'!P$4,'[1]import success seats course'!$1:$2,2,FALSE),FALSE)/(VLOOKUP($A1021,'[1]import graded seats course pivo'!$A:AN,HLOOKUP('[1]Course Totals'!P$4,'[1]import graded seats course pivo'!$1:$2,2,FALSE),FALSE))),"")</f>
        <v>1</v>
      </c>
      <c r="Q1021" s="14" t="str">
        <f>IFERROR((VLOOKUP($A1021,'[1]import success seats course'!$A:AE,HLOOKUP('[1]Course Totals'!Q$4,'[1]import success seats course'!$1:$2,2,FALSE),FALSE)/(VLOOKUP($A1021,'[1]import graded seats course pivo'!$A:AO,HLOOKUP('[1]Course Totals'!Q$4,'[1]import graded seats course pivo'!$1:$2,2,FALSE),FALSE))),"")</f>
        <v/>
      </c>
      <c r="R1021" s="14">
        <f>IFERROR((VLOOKUP($A1021,'[1]import success seats course'!$A:AF,HLOOKUP('[1]Course Totals'!R$4,'[1]import success seats course'!$1:$2,2,FALSE),FALSE)/(VLOOKUP($A1021,'[1]import graded seats course pivo'!$A:AP,HLOOKUP('[1]Course Totals'!R$4,'[1]import graded seats course pivo'!$1:$2,2,FALSE),FALSE))),"")</f>
        <v>1</v>
      </c>
      <c r="S1021" s="14" t="str">
        <f>IFERROR((VLOOKUP($A1021,'[1]import success seats course'!$A:AG,HLOOKUP('[1]Course Totals'!S$4,'[1]import success seats course'!$1:$2,2,FALSE),FALSE)/(VLOOKUP($A1021,'[1]import graded seats course pivo'!$A:AQ,HLOOKUP('[1]Course Totals'!S$4,'[1]import graded seats course pivo'!$1:$2,2,FALSE),FALSE))),"")</f>
        <v/>
      </c>
      <c r="Z1021" s="7"/>
      <c r="AA1021" s="7"/>
      <c r="AB1021" s="7"/>
      <c r="AC1021" s="7"/>
    </row>
    <row r="1022" spans="1:29" ht="15.75" customHeight="1" x14ac:dyDescent="0.25">
      <c r="A1022" s="12" t="s">
        <v>486</v>
      </c>
      <c r="B1022" s="14" t="str">
        <f>IFERROR((VLOOKUP($A1022,'[1]import success seats course'!$A:P,HLOOKUP('[1]Course Totals'!B$4,'[1]import success seats course'!$1:$2,2,FALSE),FALSE)/(VLOOKUP($A1022,'[1]import graded seats course pivo'!$A:Z,HLOOKUP('[1]Course Totals'!B$4,'[1]import graded seats course pivo'!$1:$2,2,FALSE),FALSE))),"")</f>
        <v/>
      </c>
      <c r="C1022" s="14">
        <f>IFERROR((VLOOKUP($A1022,'[1]import success seats course'!$A:Q,HLOOKUP('[1]Course Totals'!C$4,'[1]import success seats course'!$1:$2,2,FALSE),FALSE)/(VLOOKUP($A1022,'[1]import graded seats course pivo'!$A:AA,HLOOKUP('[1]Course Totals'!C$4,'[1]import graded seats course pivo'!$1:$2,2,FALSE),FALSE))),"")</f>
        <v>0.9375</v>
      </c>
      <c r="D1022" s="14">
        <f>IFERROR((VLOOKUP($A1022,'[1]import success seats course'!$A:R,HLOOKUP('[1]Course Totals'!D$4,'[1]import success seats course'!$1:$2,2,FALSE),FALSE)/(VLOOKUP($A1022,'[1]import graded seats course pivo'!$A:AB,HLOOKUP('[1]Course Totals'!D$4,'[1]import graded seats course pivo'!$1:$2,2,FALSE),FALSE))),"")</f>
        <v>0.86363636363636365</v>
      </c>
      <c r="E1022" s="14" t="str">
        <f>IFERROR((VLOOKUP($A1022,'[1]import success seats course'!$A:S,HLOOKUP('[1]Course Totals'!E$4,'[1]import success seats course'!$1:$2,2,FALSE),FALSE)/(VLOOKUP($A1022,'[1]import graded seats course pivo'!$A:AC,HLOOKUP('[1]Course Totals'!E$4,'[1]import graded seats course pivo'!$1:$2,2,FALSE),FALSE))),"")</f>
        <v/>
      </c>
      <c r="F1022" s="14">
        <f>IFERROR((VLOOKUP($A1022,'[1]import success seats course'!$A:T,HLOOKUP('[1]Course Totals'!F$4,'[1]import success seats course'!$1:$2,2,FALSE),FALSE)/(VLOOKUP($A1022,'[1]import graded seats course pivo'!$A:AD,HLOOKUP('[1]Course Totals'!F$4,'[1]import graded seats course pivo'!$1:$2,2,FALSE),FALSE))),"")</f>
        <v>0.8928571428571429</v>
      </c>
      <c r="G1022" s="14">
        <f>IFERROR((VLOOKUP($A1022,'[1]import success seats course'!$A:U,HLOOKUP('[1]Course Totals'!G$4,'[1]import success seats course'!$1:$2,2,FALSE),FALSE)/(VLOOKUP($A1022,'[1]import graded seats course pivo'!$A:AE,HLOOKUP('[1]Course Totals'!G$4,'[1]import graded seats course pivo'!$1:$2,2,FALSE),FALSE))),"")</f>
        <v>0.875</v>
      </c>
      <c r="H1022" s="14" t="str">
        <f>IFERROR((VLOOKUP($A1022,'[1]import success seats course'!$A:V,HLOOKUP('[1]Course Totals'!H$4,'[1]import success seats course'!$1:$2,2,FALSE),FALSE)/(VLOOKUP($A1022,'[1]import graded seats course pivo'!$A:AF,HLOOKUP('[1]Course Totals'!H$4,'[1]import graded seats course pivo'!$1:$2,2,FALSE),FALSE))),"")</f>
        <v/>
      </c>
      <c r="I1022" s="14">
        <f>IFERROR((VLOOKUP($A1022,'[1]import success seats course'!$A:W,HLOOKUP('[1]Course Totals'!I$4,'[1]import success seats course'!$1:$2,2,FALSE),FALSE)/(VLOOKUP($A1022,'[1]import graded seats course pivo'!$A:AG,HLOOKUP('[1]Course Totals'!I$4,'[1]import graded seats course pivo'!$1:$2,2,FALSE),FALSE))),"")</f>
        <v>0.90243902439024393</v>
      </c>
      <c r="J1022" s="14">
        <f>IFERROR((VLOOKUP($A1022,'[1]import success seats course'!$A:X,HLOOKUP('[1]Course Totals'!J$4,'[1]import success seats course'!$1:$2,2,FALSE),FALSE)/(VLOOKUP($A1022,'[1]import graded seats course pivo'!$A:AH,HLOOKUP('[1]Course Totals'!J$4,'[1]import graded seats course pivo'!$1:$2,2,FALSE),FALSE))),"")</f>
        <v>0.96875</v>
      </c>
      <c r="K1022" s="14" t="str">
        <f>IFERROR((VLOOKUP($A1022,'[1]import success seats course'!$A:Y,HLOOKUP('[1]Course Totals'!K$4,'[1]import success seats course'!$1:$2,2,FALSE),FALSE)/(VLOOKUP($A1022,'[1]import graded seats course pivo'!$A:AI,HLOOKUP('[1]Course Totals'!K$4,'[1]import graded seats course pivo'!$1:$2,2,FALSE),FALSE))),"")</f>
        <v/>
      </c>
      <c r="L1022" s="14" t="str">
        <f>IFERROR((VLOOKUP($A1022,'[1]import success seats course'!$A:Z,HLOOKUP('[1]Course Totals'!L$4,'[1]import success seats course'!$1:$2,2,FALSE),FALSE)/(VLOOKUP($A1022,'[1]import graded seats course pivo'!$A:AJ,HLOOKUP('[1]Course Totals'!L$4,'[1]import graded seats course pivo'!$1:$2,2,FALSE),FALSE))),"")</f>
        <v/>
      </c>
      <c r="M1022" s="14" t="str">
        <f>IFERROR((VLOOKUP($A1022,'[1]import success seats course'!$A:AA,HLOOKUP('[1]Course Totals'!M$4,'[1]import success seats course'!$1:$2,2,FALSE),FALSE)/(VLOOKUP($A1022,'[1]import graded seats course pivo'!$A:AK,HLOOKUP('[1]Course Totals'!M$4,'[1]import graded seats course pivo'!$1:$2,2,FALSE),FALSE))),"")</f>
        <v/>
      </c>
      <c r="N1022" s="14" t="str">
        <f>IFERROR((VLOOKUP($A1022,'[1]import success seats course'!$A:AB,HLOOKUP('[1]Course Totals'!N$4,'[1]import success seats course'!$1:$2,2,FALSE),FALSE)/(VLOOKUP($A1022,'[1]import graded seats course pivo'!$A:AL,HLOOKUP('[1]Course Totals'!N$4,'[1]import graded seats course pivo'!$1:$2,2,FALSE),FALSE))),"")</f>
        <v/>
      </c>
      <c r="O1022" s="14" t="str">
        <f>IFERROR((VLOOKUP($A1022,'[1]import success seats course'!$A:AC,HLOOKUP('[1]Course Totals'!O$4,'[1]import success seats course'!$1:$2,2,FALSE),FALSE)/(VLOOKUP($A1022,'[1]import graded seats course pivo'!$A:AM,HLOOKUP('[1]Course Totals'!O$4,'[1]import graded seats course pivo'!$1:$2,2,FALSE),FALSE))),"")</f>
        <v/>
      </c>
      <c r="P1022" s="14" t="str">
        <f>IFERROR((VLOOKUP($A1022,'[1]import success seats course'!$A:AD,HLOOKUP('[1]Course Totals'!P$4,'[1]import success seats course'!$1:$2,2,FALSE),FALSE)/(VLOOKUP($A1022,'[1]import graded seats course pivo'!$A:AN,HLOOKUP('[1]Course Totals'!P$4,'[1]import graded seats course pivo'!$1:$2,2,FALSE),FALSE))),"")</f>
        <v/>
      </c>
      <c r="Q1022" s="14" t="str">
        <f>IFERROR((VLOOKUP($A1022,'[1]import success seats course'!$A:AE,HLOOKUP('[1]Course Totals'!Q$4,'[1]import success seats course'!$1:$2,2,FALSE),FALSE)/(VLOOKUP($A1022,'[1]import graded seats course pivo'!$A:AO,HLOOKUP('[1]Course Totals'!Q$4,'[1]import graded seats course pivo'!$1:$2,2,FALSE),FALSE))),"")</f>
        <v/>
      </c>
      <c r="R1022" s="14" t="str">
        <f>IFERROR((VLOOKUP($A1022,'[1]import success seats course'!$A:AF,HLOOKUP('[1]Course Totals'!R$4,'[1]import success seats course'!$1:$2,2,FALSE),FALSE)/(VLOOKUP($A1022,'[1]import graded seats course pivo'!$A:AP,HLOOKUP('[1]Course Totals'!R$4,'[1]import graded seats course pivo'!$1:$2,2,FALSE),FALSE))),"")</f>
        <v/>
      </c>
      <c r="S1022" s="14" t="str">
        <f>IFERROR((VLOOKUP($A1022,'[1]import success seats course'!$A:AG,HLOOKUP('[1]Course Totals'!S$4,'[1]import success seats course'!$1:$2,2,FALSE),FALSE)/(VLOOKUP($A1022,'[1]import graded seats course pivo'!$A:AQ,HLOOKUP('[1]Course Totals'!S$4,'[1]import graded seats course pivo'!$1:$2,2,FALSE),FALSE))),"")</f>
        <v/>
      </c>
      <c r="Z1022" s="7"/>
      <c r="AA1022" s="7"/>
      <c r="AB1022" s="7"/>
      <c r="AC1022" s="7"/>
    </row>
    <row r="1023" spans="1:29" ht="15.75" customHeight="1" x14ac:dyDescent="0.25">
      <c r="A1023" s="12" t="s">
        <v>487</v>
      </c>
      <c r="B1023" s="14" t="str">
        <f>IFERROR((VLOOKUP($A1023,'[1]import success seats course'!$A:P,HLOOKUP('[1]Course Totals'!B$4,'[1]import success seats course'!$1:$2,2,FALSE),FALSE)/(VLOOKUP($A1023,'[1]import graded seats course pivo'!$A:Z,HLOOKUP('[1]Course Totals'!B$4,'[1]import graded seats course pivo'!$1:$2,2,FALSE),FALSE))),"")</f>
        <v/>
      </c>
      <c r="C1023" s="14">
        <f>IFERROR((VLOOKUP($A1023,'[1]import success seats course'!$A:Q,HLOOKUP('[1]Course Totals'!C$4,'[1]import success seats course'!$1:$2,2,FALSE),FALSE)/(VLOOKUP($A1023,'[1]import graded seats course pivo'!$A:AA,HLOOKUP('[1]Course Totals'!C$4,'[1]import graded seats course pivo'!$1:$2,2,FALSE),FALSE))),"")</f>
        <v>0.68421052631578949</v>
      </c>
      <c r="D1023" s="14" t="str">
        <f>IFERROR((VLOOKUP($A1023,'[1]import success seats course'!$A:R,HLOOKUP('[1]Course Totals'!D$4,'[1]import success seats course'!$1:$2,2,FALSE),FALSE)/(VLOOKUP($A1023,'[1]import graded seats course pivo'!$A:AB,HLOOKUP('[1]Course Totals'!D$4,'[1]import graded seats course pivo'!$1:$2,2,FALSE),FALSE))),"")</f>
        <v/>
      </c>
      <c r="E1023" s="14" t="str">
        <f>IFERROR((VLOOKUP($A1023,'[1]import success seats course'!$A:S,HLOOKUP('[1]Course Totals'!E$4,'[1]import success seats course'!$1:$2,2,FALSE),FALSE)/(VLOOKUP($A1023,'[1]import graded seats course pivo'!$A:AC,HLOOKUP('[1]Course Totals'!E$4,'[1]import graded seats course pivo'!$1:$2,2,FALSE),FALSE))),"")</f>
        <v/>
      </c>
      <c r="F1023" s="14">
        <f>IFERROR((VLOOKUP($A1023,'[1]import success seats course'!$A:T,HLOOKUP('[1]Course Totals'!F$4,'[1]import success seats course'!$1:$2,2,FALSE),FALSE)/(VLOOKUP($A1023,'[1]import graded seats course pivo'!$A:AD,HLOOKUP('[1]Course Totals'!F$4,'[1]import graded seats course pivo'!$1:$2,2,FALSE),FALSE))),"")</f>
        <v>0.53846153846153844</v>
      </c>
      <c r="G1023" s="14" t="str">
        <f>IFERROR((VLOOKUP($A1023,'[1]import success seats course'!$A:U,HLOOKUP('[1]Course Totals'!G$4,'[1]import success seats course'!$1:$2,2,FALSE),FALSE)/(VLOOKUP($A1023,'[1]import graded seats course pivo'!$A:AE,HLOOKUP('[1]Course Totals'!G$4,'[1]import graded seats course pivo'!$1:$2,2,FALSE),FALSE))),"")</f>
        <v/>
      </c>
      <c r="H1023" s="14" t="str">
        <f>IFERROR((VLOOKUP($A1023,'[1]import success seats course'!$A:V,HLOOKUP('[1]Course Totals'!H$4,'[1]import success seats course'!$1:$2,2,FALSE),FALSE)/(VLOOKUP($A1023,'[1]import graded seats course pivo'!$A:AF,HLOOKUP('[1]Course Totals'!H$4,'[1]import graded seats course pivo'!$1:$2,2,FALSE),FALSE))),"")</f>
        <v/>
      </c>
      <c r="I1023" s="14">
        <f>IFERROR((VLOOKUP($A1023,'[1]import success seats course'!$A:W,HLOOKUP('[1]Course Totals'!I$4,'[1]import success seats course'!$1:$2,2,FALSE),FALSE)/(VLOOKUP($A1023,'[1]import graded seats course pivo'!$A:AG,HLOOKUP('[1]Course Totals'!I$4,'[1]import graded seats course pivo'!$1:$2,2,FALSE),FALSE))),"")</f>
        <v>0.80769230769230771</v>
      </c>
      <c r="J1023" s="14" t="str">
        <f>IFERROR((VLOOKUP($A1023,'[1]import success seats course'!$A:X,HLOOKUP('[1]Course Totals'!J$4,'[1]import success seats course'!$1:$2,2,FALSE),FALSE)/(VLOOKUP($A1023,'[1]import graded seats course pivo'!$A:AH,HLOOKUP('[1]Course Totals'!J$4,'[1]import graded seats course pivo'!$1:$2,2,FALSE),FALSE))),"")</f>
        <v/>
      </c>
      <c r="K1023" s="14" t="str">
        <f>IFERROR((VLOOKUP($A1023,'[1]import success seats course'!$A:Y,HLOOKUP('[1]Course Totals'!K$4,'[1]import success seats course'!$1:$2,2,FALSE),FALSE)/(VLOOKUP($A1023,'[1]import graded seats course pivo'!$A:AI,HLOOKUP('[1]Course Totals'!K$4,'[1]import graded seats course pivo'!$1:$2,2,FALSE),FALSE))),"")</f>
        <v/>
      </c>
      <c r="L1023" s="14" t="str">
        <f>IFERROR((VLOOKUP($A1023,'[1]import success seats course'!$A:Z,HLOOKUP('[1]Course Totals'!L$4,'[1]import success seats course'!$1:$2,2,FALSE),FALSE)/(VLOOKUP($A1023,'[1]import graded seats course pivo'!$A:AJ,HLOOKUP('[1]Course Totals'!L$4,'[1]import graded seats course pivo'!$1:$2,2,FALSE),FALSE))),"")</f>
        <v/>
      </c>
      <c r="M1023" s="14" t="str">
        <f>IFERROR((VLOOKUP($A1023,'[1]import success seats course'!$A:AA,HLOOKUP('[1]Course Totals'!M$4,'[1]import success seats course'!$1:$2,2,FALSE),FALSE)/(VLOOKUP($A1023,'[1]import graded seats course pivo'!$A:AK,HLOOKUP('[1]Course Totals'!M$4,'[1]import graded seats course pivo'!$1:$2,2,FALSE),FALSE))),"")</f>
        <v/>
      </c>
      <c r="N1023" s="14" t="str">
        <f>IFERROR((VLOOKUP($A1023,'[1]import success seats course'!$A:AB,HLOOKUP('[1]Course Totals'!N$4,'[1]import success seats course'!$1:$2,2,FALSE),FALSE)/(VLOOKUP($A1023,'[1]import graded seats course pivo'!$A:AL,HLOOKUP('[1]Course Totals'!N$4,'[1]import graded seats course pivo'!$1:$2,2,FALSE),FALSE))),"")</f>
        <v/>
      </c>
      <c r="O1023" s="14" t="str">
        <f>IFERROR((VLOOKUP($A1023,'[1]import success seats course'!$A:AC,HLOOKUP('[1]Course Totals'!O$4,'[1]import success seats course'!$1:$2,2,FALSE),FALSE)/(VLOOKUP($A1023,'[1]import graded seats course pivo'!$A:AM,HLOOKUP('[1]Course Totals'!O$4,'[1]import graded seats course pivo'!$1:$2,2,FALSE),FALSE))),"")</f>
        <v/>
      </c>
      <c r="P1023" s="14" t="str">
        <f>IFERROR((VLOOKUP($A1023,'[1]import success seats course'!$A:AD,HLOOKUP('[1]Course Totals'!P$4,'[1]import success seats course'!$1:$2,2,FALSE),FALSE)/(VLOOKUP($A1023,'[1]import graded seats course pivo'!$A:AN,HLOOKUP('[1]Course Totals'!P$4,'[1]import graded seats course pivo'!$1:$2,2,FALSE),FALSE))),"")</f>
        <v/>
      </c>
      <c r="Q1023" s="14" t="str">
        <f>IFERROR((VLOOKUP($A1023,'[1]import success seats course'!$A:AE,HLOOKUP('[1]Course Totals'!Q$4,'[1]import success seats course'!$1:$2,2,FALSE),FALSE)/(VLOOKUP($A1023,'[1]import graded seats course pivo'!$A:AO,HLOOKUP('[1]Course Totals'!Q$4,'[1]import graded seats course pivo'!$1:$2,2,FALSE),FALSE))),"")</f>
        <v/>
      </c>
      <c r="R1023" s="14" t="str">
        <f>IFERROR((VLOOKUP($A1023,'[1]import success seats course'!$A:AF,HLOOKUP('[1]Course Totals'!R$4,'[1]import success seats course'!$1:$2,2,FALSE),FALSE)/(VLOOKUP($A1023,'[1]import graded seats course pivo'!$A:AP,HLOOKUP('[1]Course Totals'!R$4,'[1]import graded seats course pivo'!$1:$2,2,FALSE),FALSE))),"")</f>
        <v/>
      </c>
      <c r="S1023" s="14" t="str">
        <f>IFERROR((VLOOKUP($A1023,'[1]import success seats course'!$A:AG,HLOOKUP('[1]Course Totals'!S$4,'[1]import success seats course'!$1:$2,2,FALSE),FALSE)/(VLOOKUP($A1023,'[1]import graded seats course pivo'!$A:AQ,HLOOKUP('[1]Course Totals'!S$4,'[1]import graded seats course pivo'!$1:$2,2,FALSE),FALSE))),"")</f>
        <v/>
      </c>
      <c r="Z1023" s="7"/>
      <c r="AA1023" s="7"/>
      <c r="AB1023" s="7"/>
      <c r="AC1023" s="7"/>
    </row>
    <row r="1024" spans="1:29" ht="15.75" customHeight="1" x14ac:dyDescent="0.25">
      <c r="A1024" s="12" t="s">
        <v>948</v>
      </c>
      <c r="B1024" s="14" t="str">
        <f>IFERROR((VLOOKUP($A1024,'[1]import success seats course'!$A:P,HLOOKUP('[1]Course Totals'!B$4,'[1]import success seats course'!$1:$2,2,FALSE),FALSE)/(VLOOKUP($A1024,'[1]import graded seats course pivo'!$A:Z,HLOOKUP('[1]Course Totals'!B$4,'[1]import graded seats course pivo'!$1:$2,2,FALSE),FALSE))),"")</f>
        <v/>
      </c>
      <c r="C1024" s="14" t="str">
        <f>IFERROR((VLOOKUP($A1024,'[1]import success seats course'!$A:Q,HLOOKUP('[1]Course Totals'!C$4,'[1]import success seats course'!$1:$2,2,FALSE),FALSE)/(VLOOKUP($A1024,'[1]import graded seats course pivo'!$A:AA,HLOOKUP('[1]Course Totals'!C$4,'[1]import graded seats course pivo'!$1:$2,2,FALSE),FALSE))),"")</f>
        <v/>
      </c>
      <c r="D1024" s="14">
        <f>IFERROR((VLOOKUP($A1024,'[1]import success seats course'!$A:R,HLOOKUP('[1]Course Totals'!D$4,'[1]import success seats course'!$1:$2,2,FALSE),FALSE)/(VLOOKUP($A1024,'[1]import graded seats course pivo'!$A:AB,HLOOKUP('[1]Course Totals'!D$4,'[1]import graded seats course pivo'!$1:$2,2,FALSE),FALSE))),"")</f>
        <v>0.88235294117647056</v>
      </c>
      <c r="E1024" s="14" t="str">
        <f>IFERROR((VLOOKUP($A1024,'[1]import success seats course'!$A:S,HLOOKUP('[1]Course Totals'!E$4,'[1]import success seats course'!$1:$2,2,FALSE),FALSE)/(VLOOKUP($A1024,'[1]import graded seats course pivo'!$A:AC,HLOOKUP('[1]Course Totals'!E$4,'[1]import graded seats course pivo'!$1:$2,2,FALSE),FALSE))),"")</f>
        <v/>
      </c>
      <c r="F1024" s="14" t="str">
        <f>IFERROR((VLOOKUP($A1024,'[1]import success seats course'!$A:T,HLOOKUP('[1]Course Totals'!F$4,'[1]import success seats course'!$1:$2,2,FALSE),FALSE)/(VLOOKUP($A1024,'[1]import graded seats course pivo'!$A:AD,HLOOKUP('[1]Course Totals'!F$4,'[1]import graded seats course pivo'!$1:$2,2,FALSE),FALSE))),"")</f>
        <v/>
      </c>
      <c r="G1024" s="14">
        <f>IFERROR((VLOOKUP($A1024,'[1]import success seats course'!$A:U,HLOOKUP('[1]Course Totals'!G$4,'[1]import success seats course'!$1:$2,2,FALSE),FALSE)/(VLOOKUP($A1024,'[1]import graded seats course pivo'!$A:AE,HLOOKUP('[1]Course Totals'!G$4,'[1]import graded seats course pivo'!$1:$2,2,FALSE),FALSE))),"")</f>
        <v>0.73913043478260865</v>
      </c>
      <c r="H1024" s="14" t="str">
        <f>IFERROR((VLOOKUP($A1024,'[1]import success seats course'!$A:V,HLOOKUP('[1]Course Totals'!H$4,'[1]import success seats course'!$1:$2,2,FALSE),FALSE)/(VLOOKUP($A1024,'[1]import graded seats course pivo'!$A:AF,HLOOKUP('[1]Course Totals'!H$4,'[1]import graded seats course pivo'!$1:$2,2,FALSE),FALSE))),"")</f>
        <v/>
      </c>
      <c r="I1024" s="14" t="str">
        <f>IFERROR((VLOOKUP($A1024,'[1]import success seats course'!$A:W,HLOOKUP('[1]Course Totals'!I$4,'[1]import success seats course'!$1:$2,2,FALSE),FALSE)/(VLOOKUP($A1024,'[1]import graded seats course pivo'!$A:AG,HLOOKUP('[1]Course Totals'!I$4,'[1]import graded seats course pivo'!$1:$2,2,FALSE),FALSE))),"")</f>
        <v/>
      </c>
      <c r="J1024" s="14">
        <f>IFERROR((VLOOKUP($A1024,'[1]import success seats course'!$A:X,HLOOKUP('[1]Course Totals'!J$4,'[1]import success seats course'!$1:$2,2,FALSE),FALSE)/(VLOOKUP($A1024,'[1]import graded seats course pivo'!$A:AH,HLOOKUP('[1]Course Totals'!J$4,'[1]import graded seats course pivo'!$1:$2,2,FALSE),FALSE))),"")</f>
        <v>0.79545454545454541</v>
      </c>
      <c r="K1024" s="14" t="str">
        <f>IFERROR((VLOOKUP($A1024,'[1]import success seats course'!$A:Y,HLOOKUP('[1]Course Totals'!K$4,'[1]import success seats course'!$1:$2,2,FALSE),FALSE)/(VLOOKUP($A1024,'[1]import graded seats course pivo'!$A:AI,HLOOKUP('[1]Course Totals'!K$4,'[1]import graded seats course pivo'!$1:$2,2,FALSE),FALSE))),"")</f>
        <v/>
      </c>
      <c r="L1024" s="14" t="str">
        <f>IFERROR((VLOOKUP($A1024,'[1]import success seats course'!$A:Z,HLOOKUP('[1]Course Totals'!L$4,'[1]import success seats course'!$1:$2,2,FALSE),FALSE)/(VLOOKUP($A1024,'[1]import graded seats course pivo'!$A:AJ,HLOOKUP('[1]Course Totals'!L$4,'[1]import graded seats course pivo'!$1:$2,2,FALSE),FALSE))),"")</f>
        <v/>
      </c>
      <c r="M1024" s="14" t="str">
        <f>IFERROR((VLOOKUP($A1024,'[1]import success seats course'!$A:AA,HLOOKUP('[1]Course Totals'!M$4,'[1]import success seats course'!$1:$2,2,FALSE),FALSE)/(VLOOKUP($A1024,'[1]import graded seats course pivo'!$A:AK,HLOOKUP('[1]Course Totals'!M$4,'[1]import graded seats course pivo'!$1:$2,2,FALSE),FALSE))),"")</f>
        <v/>
      </c>
      <c r="N1024" s="14" t="str">
        <f>IFERROR((VLOOKUP($A1024,'[1]import success seats course'!$A:AB,HLOOKUP('[1]Course Totals'!N$4,'[1]import success seats course'!$1:$2,2,FALSE),FALSE)/(VLOOKUP($A1024,'[1]import graded seats course pivo'!$A:AL,HLOOKUP('[1]Course Totals'!N$4,'[1]import graded seats course pivo'!$1:$2,2,FALSE),FALSE))),"")</f>
        <v/>
      </c>
      <c r="O1024" s="14" t="str">
        <f>IFERROR((VLOOKUP($A1024,'[1]import success seats course'!$A:AC,HLOOKUP('[1]Course Totals'!O$4,'[1]import success seats course'!$1:$2,2,FALSE),FALSE)/(VLOOKUP($A1024,'[1]import graded seats course pivo'!$A:AM,HLOOKUP('[1]Course Totals'!O$4,'[1]import graded seats course pivo'!$1:$2,2,FALSE),FALSE))),"")</f>
        <v/>
      </c>
      <c r="P1024" s="14">
        <f>IFERROR((VLOOKUP($A1024,'[1]import success seats course'!$A:AD,HLOOKUP('[1]Course Totals'!P$4,'[1]import success seats course'!$1:$2,2,FALSE),FALSE)/(VLOOKUP($A1024,'[1]import graded seats course pivo'!$A:AN,HLOOKUP('[1]Course Totals'!P$4,'[1]import graded seats course pivo'!$1:$2,2,FALSE),FALSE))),"")</f>
        <v>0.84444444444444444</v>
      </c>
      <c r="Q1024" s="14" t="str">
        <f>IFERROR((VLOOKUP($A1024,'[1]import success seats course'!$A:AE,HLOOKUP('[1]Course Totals'!Q$4,'[1]import success seats course'!$1:$2,2,FALSE),FALSE)/(VLOOKUP($A1024,'[1]import graded seats course pivo'!$A:AO,HLOOKUP('[1]Course Totals'!Q$4,'[1]import graded seats course pivo'!$1:$2,2,FALSE),FALSE))),"")</f>
        <v/>
      </c>
      <c r="R1024" s="14" t="str">
        <f>IFERROR((VLOOKUP($A1024,'[1]import success seats course'!$A:AF,HLOOKUP('[1]Course Totals'!R$4,'[1]import success seats course'!$1:$2,2,FALSE),FALSE)/(VLOOKUP($A1024,'[1]import graded seats course pivo'!$A:AP,HLOOKUP('[1]Course Totals'!R$4,'[1]import graded seats course pivo'!$1:$2,2,FALSE),FALSE))),"")</f>
        <v/>
      </c>
      <c r="S1024" s="14">
        <f>IFERROR((VLOOKUP($A1024,'[1]import success seats course'!$A:AG,HLOOKUP('[1]Course Totals'!S$4,'[1]import success seats course'!$1:$2,2,FALSE),FALSE)/(VLOOKUP($A1024,'[1]import graded seats course pivo'!$A:AQ,HLOOKUP('[1]Course Totals'!S$4,'[1]import graded seats course pivo'!$1:$2,2,FALSE),FALSE))),"")</f>
        <v>0.97727272727272729</v>
      </c>
      <c r="Z1024" s="7"/>
      <c r="AA1024" s="7"/>
      <c r="AB1024" s="7"/>
      <c r="AC1024" s="7"/>
    </row>
    <row r="1025" spans="1:29" ht="15.75" customHeight="1" x14ac:dyDescent="0.25">
      <c r="A1025" s="12" t="s">
        <v>488</v>
      </c>
      <c r="B1025" s="14" t="str">
        <f>IFERROR((VLOOKUP($A1025,'[1]import success seats course'!$A:P,HLOOKUP('[1]Course Totals'!B$4,'[1]import success seats course'!$1:$2,2,FALSE),FALSE)/(VLOOKUP($A1025,'[1]import graded seats course pivo'!$A:Z,HLOOKUP('[1]Course Totals'!B$4,'[1]import graded seats course pivo'!$1:$2,2,FALSE),FALSE))),"")</f>
        <v/>
      </c>
      <c r="C1025" s="14">
        <f>IFERROR((VLOOKUP($A1025,'[1]import success seats course'!$A:Q,HLOOKUP('[1]Course Totals'!C$4,'[1]import success seats course'!$1:$2,2,FALSE),FALSE)/(VLOOKUP($A1025,'[1]import graded seats course pivo'!$A:AA,HLOOKUP('[1]Course Totals'!C$4,'[1]import graded seats course pivo'!$1:$2,2,FALSE),FALSE))),"")</f>
        <v>0.9285714285714286</v>
      </c>
      <c r="D1025" s="14">
        <f>IFERROR((VLOOKUP($A1025,'[1]import success seats course'!$A:R,HLOOKUP('[1]Course Totals'!D$4,'[1]import success seats course'!$1:$2,2,FALSE),FALSE)/(VLOOKUP($A1025,'[1]import graded seats course pivo'!$A:AB,HLOOKUP('[1]Course Totals'!D$4,'[1]import graded seats course pivo'!$1:$2,2,FALSE),FALSE))),"")</f>
        <v>0.94545454545454544</v>
      </c>
      <c r="E1025" s="14" t="str">
        <f>IFERROR((VLOOKUP($A1025,'[1]import success seats course'!$A:S,HLOOKUP('[1]Course Totals'!E$4,'[1]import success seats course'!$1:$2,2,FALSE),FALSE)/(VLOOKUP($A1025,'[1]import graded seats course pivo'!$A:AC,HLOOKUP('[1]Course Totals'!E$4,'[1]import graded seats course pivo'!$1:$2,2,FALSE),FALSE))),"")</f>
        <v/>
      </c>
      <c r="F1025" s="14">
        <f>IFERROR((VLOOKUP($A1025,'[1]import success seats course'!$A:T,HLOOKUP('[1]Course Totals'!F$4,'[1]import success seats course'!$1:$2,2,FALSE),FALSE)/(VLOOKUP($A1025,'[1]import graded seats course pivo'!$A:AD,HLOOKUP('[1]Course Totals'!F$4,'[1]import graded seats course pivo'!$1:$2,2,FALSE),FALSE))),"")</f>
        <v>0.890625</v>
      </c>
      <c r="G1025" s="14">
        <f>IFERROR((VLOOKUP($A1025,'[1]import success seats course'!$A:U,HLOOKUP('[1]Course Totals'!G$4,'[1]import success seats course'!$1:$2,2,FALSE),FALSE)/(VLOOKUP($A1025,'[1]import graded seats course pivo'!$A:AE,HLOOKUP('[1]Course Totals'!G$4,'[1]import graded seats course pivo'!$1:$2,2,FALSE),FALSE))),"")</f>
        <v>0.875</v>
      </c>
      <c r="H1025" s="14" t="str">
        <f>IFERROR((VLOOKUP($A1025,'[1]import success seats course'!$A:V,HLOOKUP('[1]Course Totals'!H$4,'[1]import success seats course'!$1:$2,2,FALSE),FALSE)/(VLOOKUP($A1025,'[1]import graded seats course pivo'!$A:AF,HLOOKUP('[1]Course Totals'!H$4,'[1]import graded seats course pivo'!$1:$2,2,FALSE),FALSE))),"")</f>
        <v/>
      </c>
      <c r="I1025" s="14">
        <f>IFERROR((VLOOKUP($A1025,'[1]import success seats course'!$A:W,HLOOKUP('[1]Course Totals'!I$4,'[1]import success seats course'!$1:$2,2,FALSE),FALSE)/(VLOOKUP($A1025,'[1]import graded seats course pivo'!$A:AG,HLOOKUP('[1]Course Totals'!I$4,'[1]import graded seats course pivo'!$1:$2,2,FALSE),FALSE))),"")</f>
        <v>0.90740740740740744</v>
      </c>
      <c r="J1025" s="14">
        <f>IFERROR((VLOOKUP($A1025,'[1]import success seats course'!$A:X,HLOOKUP('[1]Course Totals'!J$4,'[1]import success seats course'!$1:$2,2,FALSE),FALSE)/(VLOOKUP($A1025,'[1]import graded seats course pivo'!$A:AH,HLOOKUP('[1]Course Totals'!J$4,'[1]import graded seats course pivo'!$1:$2,2,FALSE),FALSE))),"")</f>
        <v>0.87037037037037035</v>
      </c>
      <c r="K1025" s="14" t="str">
        <f>IFERROR((VLOOKUP($A1025,'[1]import success seats course'!$A:Y,HLOOKUP('[1]Course Totals'!K$4,'[1]import success seats course'!$1:$2,2,FALSE),FALSE)/(VLOOKUP($A1025,'[1]import graded seats course pivo'!$A:AI,HLOOKUP('[1]Course Totals'!K$4,'[1]import graded seats course pivo'!$1:$2,2,FALSE),FALSE))),"")</f>
        <v/>
      </c>
      <c r="L1025" s="14">
        <f>IFERROR((VLOOKUP($A1025,'[1]import success seats course'!$A:Z,HLOOKUP('[1]Course Totals'!L$4,'[1]import success seats course'!$1:$2,2,FALSE),FALSE)/(VLOOKUP($A1025,'[1]import graded seats course pivo'!$A:AJ,HLOOKUP('[1]Course Totals'!L$4,'[1]import graded seats course pivo'!$1:$2,2,FALSE),FALSE))),"")</f>
        <v>0.76</v>
      </c>
      <c r="M1025" s="14">
        <f>IFERROR((VLOOKUP($A1025,'[1]import success seats course'!$A:AA,HLOOKUP('[1]Course Totals'!M$4,'[1]import success seats course'!$1:$2,2,FALSE),FALSE)/(VLOOKUP($A1025,'[1]import graded seats course pivo'!$A:AK,HLOOKUP('[1]Course Totals'!M$4,'[1]import graded seats course pivo'!$1:$2,2,FALSE),FALSE))),"")</f>
        <v>0.82978723404255317</v>
      </c>
      <c r="N1025" s="14" t="str">
        <f>IFERROR((VLOOKUP($A1025,'[1]import success seats course'!$A:AB,HLOOKUP('[1]Course Totals'!N$4,'[1]import success seats course'!$1:$2,2,FALSE),FALSE)/(VLOOKUP($A1025,'[1]import graded seats course pivo'!$A:AL,HLOOKUP('[1]Course Totals'!N$4,'[1]import graded seats course pivo'!$1:$2,2,FALSE),FALSE))),"")</f>
        <v/>
      </c>
      <c r="O1025" s="14">
        <f>IFERROR((VLOOKUP($A1025,'[1]import success seats course'!$A:AC,HLOOKUP('[1]Course Totals'!O$4,'[1]import success seats course'!$1:$2,2,FALSE),FALSE)/(VLOOKUP($A1025,'[1]import graded seats course pivo'!$A:AM,HLOOKUP('[1]Course Totals'!O$4,'[1]import graded seats course pivo'!$1:$2,2,FALSE),FALSE))),"")</f>
        <v>0.87234042553191493</v>
      </c>
      <c r="P1025" s="14">
        <f>IFERROR((VLOOKUP($A1025,'[1]import success seats course'!$A:AD,HLOOKUP('[1]Course Totals'!P$4,'[1]import success seats course'!$1:$2,2,FALSE),FALSE)/(VLOOKUP($A1025,'[1]import graded seats course pivo'!$A:AN,HLOOKUP('[1]Course Totals'!P$4,'[1]import graded seats course pivo'!$1:$2,2,FALSE),FALSE))),"")</f>
        <v>0.84</v>
      </c>
      <c r="Q1025" s="14" t="str">
        <f>IFERROR((VLOOKUP($A1025,'[1]import success seats course'!$A:AE,HLOOKUP('[1]Course Totals'!Q$4,'[1]import success seats course'!$1:$2,2,FALSE),FALSE)/(VLOOKUP($A1025,'[1]import graded seats course pivo'!$A:AO,HLOOKUP('[1]Course Totals'!Q$4,'[1]import graded seats course pivo'!$1:$2,2,FALSE),FALSE))),"")</f>
        <v/>
      </c>
      <c r="R1025" s="14">
        <f>IFERROR((VLOOKUP($A1025,'[1]import success seats course'!$A:AF,HLOOKUP('[1]Course Totals'!R$4,'[1]import success seats course'!$1:$2,2,FALSE),FALSE)/(VLOOKUP($A1025,'[1]import graded seats course pivo'!$A:AP,HLOOKUP('[1]Course Totals'!R$4,'[1]import graded seats course pivo'!$1:$2,2,FALSE),FALSE))),"")</f>
        <v>0.77777777777777779</v>
      </c>
      <c r="S1025" s="14">
        <f>IFERROR((VLOOKUP($A1025,'[1]import success seats course'!$A:AG,HLOOKUP('[1]Course Totals'!S$4,'[1]import success seats course'!$1:$2,2,FALSE),FALSE)/(VLOOKUP($A1025,'[1]import graded seats course pivo'!$A:AQ,HLOOKUP('[1]Course Totals'!S$4,'[1]import graded seats course pivo'!$1:$2,2,FALSE),FALSE))),"")</f>
        <v>0.84090909090909094</v>
      </c>
      <c r="Z1025" s="7"/>
      <c r="AA1025" s="7"/>
      <c r="AB1025" s="7"/>
      <c r="AC1025" s="7"/>
    </row>
    <row r="1026" spans="1:29" ht="15.75" customHeight="1" x14ac:dyDescent="0.25">
      <c r="A1026" s="12" t="s">
        <v>864</v>
      </c>
      <c r="B1026" s="14" t="str">
        <f>IFERROR((VLOOKUP($A1026,'[1]import success seats course'!$A:P,HLOOKUP('[1]Course Totals'!B$4,'[1]import success seats course'!$1:$2,2,FALSE),FALSE)/(VLOOKUP($A1026,'[1]import graded seats course pivo'!$A:Z,HLOOKUP('[1]Course Totals'!B$4,'[1]import graded seats course pivo'!$1:$2,2,FALSE),FALSE))),"")</f>
        <v/>
      </c>
      <c r="C1026" s="14" t="str">
        <f>IFERROR((VLOOKUP($A1026,'[1]import success seats course'!$A:Q,HLOOKUP('[1]Course Totals'!C$4,'[1]import success seats course'!$1:$2,2,FALSE),FALSE)/(VLOOKUP($A1026,'[1]import graded seats course pivo'!$A:AA,HLOOKUP('[1]Course Totals'!C$4,'[1]import graded seats course pivo'!$1:$2,2,FALSE),FALSE))),"")</f>
        <v/>
      </c>
      <c r="D1026" s="14" t="str">
        <f>IFERROR((VLOOKUP($A1026,'[1]import success seats course'!$A:R,HLOOKUP('[1]Course Totals'!D$4,'[1]import success seats course'!$1:$2,2,FALSE),FALSE)/(VLOOKUP($A1026,'[1]import graded seats course pivo'!$A:AB,HLOOKUP('[1]Course Totals'!D$4,'[1]import graded seats course pivo'!$1:$2,2,FALSE),FALSE))),"")</f>
        <v/>
      </c>
      <c r="E1026" s="14" t="str">
        <f>IFERROR((VLOOKUP($A1026,'[1]import success seats course'!$A:S,HLOOKUP('[1]Course Totals'!E$4,'[1]import success seats course'!$1:$2,2,FALSE),FALSE)/(VLOOKUP($A1026,'[1]import graded seats course pivo'!$A:AC,HLOOKUP('[1]Course Totals'!E$4,'[1]import graded seats course pivo'!$1:$2,2,FALSE),FALSE))),"")</f>
        <v/>
      </c>
      <c r="F1026" s="14" t="str">
        <f>IFERROR((VLOOKUP($A1026,'[1]import success seats course'!$A:T,HLOOKUP('[1]Course Totals'!F$4,'[1]import success seats course'!$1:$2,2,FALSE),FALSE)/(VLOOKUP($A1026,'[1]import graded seats course pivo'!$A:AD,HLOOKUP('[1]Course Totals'!F$4,'[1]import graded seats course pivo'!$1:$2,2,FALSE),FALSE))),"")</f>
        <v/>
      </c>
      <c r="G1026" s="14" t="str">
        <f>IFERROR((VLOOKUP($A1026,'[1]import success seats course'!$A:U,HLOOKUP('[1]Course Totals'!G$4,'[1]import success seats course'!$1:$2,2,FALSE),FALSE)/(VLOOKUP($A1026,'[1]import graded seats course pivo'!$A:AE,HLOOKUP('[1]Course Totals'!G$4,'[1]import graded seats course pivo'!$1:$2,2,FALSE),FALSE))),"")</f>
        <v/>
      </c>
      <c r="H1026" s="14" t="str">
        <f>IFERROR((VLOOKUP($A1026,'[1]import success seats course'!$A:V,HLOOKUP('[1]Course Totals'!H$4,'[1]import success seats course'!$1:$2,2,FALSE),FALSE)/(VLOOKUP($A1026,'[1]import graded seats course pivo'!$A:AF,HLOOKUP('[1]Course Totals'!H$4,'[1]import graded seats course pivo'!$1:$2,2,FALSE),FALSE))),"")</f>
        <v/>
      </c>
      <c r="I1026" s="14" t="str">
        <f>IFERROR((VLOOKUP($A1026,'[1]import success seats course'!$A:W,HLOOKUP('[1]Course Totals'!I$4,'[1]import success seats course'!$1:$2,2,FALSE),FALSE)/(VLOOKUP($A1026,'[1]import graded seats course pivo'!$A:AG,HLOOKUP('[1]Course Totals'!I$4,'[1]import graded seats course pivo'!$1:$2,2,FALSE),FALSE))),"")</f>
        <v/>
      </c>
      <c r="J1026" s="14" t="str">
        <f>IFERROR((VLOOKUP($A1026,'[1]import success seats course'!$A:X,HLOOKUP('[1]Course Totals'!J$4,'[1]import success seats course'!$1:$2,2,FALSE),FALSE)/(VLOOKUP($A1026,'[1]import graded seats course pivo'!$A:AH,HLOOKUP('[1]Course Totals'!J$4,'[1]import graded seats course pivo'!$1:$2,2,FALSE),FALSE))),"")</f>
        <v/>
      </c>
      <c r="K1026" s="14">
        <f>IFERROR((VLOOKUP($A1026,'[1]import success seats course'!$A:Y,HLOOKUP('[1]Course Totals'!K$4,'[1]import success seats course'!$1:$2,2,FALSE),FALSE)/(VLOOKUP($A1026,'[1]import graded seats course pivo'!$A:AI,HLOOKUP('[1]Course Totals'!K$4,'[1]import graded seats course pivo'!$1:$2,2,FALSE),FALSE))),"")</f>
        <v>0.76923076923076927</v>
      </c>
      <c r="L1026" s="14" t="str">
        <f>IFERROR((VLOOKUP($A1026,'[1]import success seats course'!$A:Z,HLOOKUP('[1]Course Totals'!L$4,'[1]import success seats course'!$1:$2,2,FALSE),FALSE)/(VLOOKUP($A1026,'[1]import graded seats course pivo'!$A:AJ,HLOOKUP('[1]Course Totals'!L$4,'[1]import graded seats course pivo'!$1:$2,2,FALSE),FALSE))),"")</f>
        <v/>
      </c>
      <c r="M1026" s="14" t="str">
        <f>IFERROR((VLOOKUP($A1026,'[1]import success seats course'!$A:AA,HLOOKUP('[1]Course Totals'!M$4,'[1]import success seats course'!$1:$2,2,FALSE),FALSE)/(VLOOKUP($A1026,'[1]import graded seats course pivo'!$A:AK,HLOOKUP('[1]Course Totals'!M$4,'[1]import graded seats course pivo'!$1:$2,2,FALSE),FALSE))),"")</f>
        <v/>
      </c>
      <c r="N1026" s="14" t="str">
        <f>IFERROR((VLOOKUP($A1026,'[1]import success seats course'!$A:AB,HLOOKUP('[1]Course Totals'!N$4,'[1]import success seats course'!$1:$2,2,FALSE),FALSE)/(VLOOKUP($A1026,'[1]import graded seats course pivo'!$A:AL,HLOOKUP('[1]Course Totals'!N$4,'[1]import graded seats course pivo'!$1:$2,2,FALSE),FALSE))),"")</f>
        <v/>
      </c>
      <c r="O1026" s="14" t="str">
        <f>IFERROR((VLOOKUP($A1026,'[1]import success seats course'!$A:AC,HLOOKUP('[1]Course Totals'!O$4,'[1]import success seats course'!$1:$2,2,FALSE),FALSE)/(VLOOKUP($A1026,'[1]import graded seats course pivo'!$A:AM,HLOOKUP('[1]Course Totals'!O$4,'[1]import graded seats course pivo'!$1:$2,2,FALSE),FALSE))),"")</f>
        <v/>
      </c>
      <c r="P1026" s="14" t="str">
        <f>IFERROR((VLOOKUP($A1026,'[1]import success seats course'!$A:AD,HLOOKUP('[1]Course Totals'!P$4,'[1]import success seats course'!$1:$2,2,FALSE),FALSE)/(VLOOKUP($A1026,'[1]import graded seats course pivo'!$A:AN,HLOOKUP('[1]Course Totals'!P$4,'[1]import graded seats course pivo'!$1:$2,2,FALSE),FALSE))),"")</f>
        <v/>
      </c>
      <c r="Q1026" s="14" t="str">
        <f>IFERROR((VLOOKUP($A1026,'[1]import success seats course'!$A:AE,HLOOKUP('[1]Course Totals'!Q$4,'[1]import success seats course'!$1:$2,2,FALSE),FALSE)/(VLOOKUP($A1026,'[1]import graded seats course pivo'!$A:AO,HLOOKUP('[1]Course Totals'!Q$4,'[1]import graded seats course pivo'!$1:$2,2,FALSE),FALSE))),"")</f>
        <v/>
      </c>
      <c r="R1026" s="14" t="str">
        <f>IFERROR((VLOOKUP($A1026,'[1]import success seats course'!$A:AF,HLOOKUP('[1]Course Totals'!R$4,'[1]import success seats course'!$1:$2,2,FALSE),FALSE)/(VLOOKUP($A1026,'[1]import graded seats course pivo'!$A:AP,HLOOKUP('[1]Course Totals'!R$4,'[1]import graded seats course pivo'!$1:$2,2,FALSE),FALSE))),"")</f>
        <v/>
      </c>
      <c r="S1026" s="14">
        <f>IFERROR((VLOOKUP($A1026,'[1]import success seats course'!$A:AG,HLOOKUP('[1]Course Totals'!S$4,'[1]import success seats course'!$1:$2,2,FALSE),FALSE)/(VLOOKUP($A1026,'[1]import graded seats course pivo'!$A:AQ,HLOOKUP('[1]Course Totals'!S$4,'[1]import graded seats course pivo'!$1:$2,2,FALSE),FALSE))),"")</f>
        <v>0.88888888888888884</v>
      </c>
      <c r="Z1026" s="7"/>
      <c r="AA1026" s="7"/>
      <c r="AB1026" s="7"/>
      <c r="AC1026" s="7"/>
    </row>
    <row r="1027" spans="1:29" ht="15.75" customHeight="1" x14ac:dyDescent="0.25">
      <c r="A1027" s="12" t="s">
        <v>489</v>
      </c>
      <c r="B1027" s="14" t="str">
        <f>IFERROR((VLOOKUP($A1027,'[1]import success seats course'!$A:P,HLOOKUP('[1]Course Totals'!B$4,'[1]import success seats course'!$1:$2,2,FALSE),FALSE)/(VLOOKUP($A1027,'[1]import graded seats course pivo'!$A:Z,HLOOKUP('[1]Course Totals'!B$4,'[1]import graded seats course pivo'!$1:$2,2,FALSE),FALSE))),"")</f>
        <v/>
      </c>
      <c r="C1027" s="14">
        <f>IFERROR((VLOOKUP($A1027,'[1]import success seats course'!$A:Q,HLOOKUP('[1]Course Totals'!C$4,'[1]import success seats course'!$1:$2,2,FALSE),FALSE)/(VLOOKUP($A1027,'[1]import graded seats course pivo'!$A:AA,HLOOKUP('[1]Course Totals'!C$4,'[1]import graded seats course pivo'!$1:$2,2,FALSE),FALSE))),"")</f>
        <v>0.88888888888888884</v>
      </c>
      <c r="D1027" s="14">
        <f>IFERROR((VLOOKUP($A1027,'[1]import success seats course'!$A:R,HLOOKUP('[1]Course Totals'!D$4,'[1]import success seats course'!$1:$2,2,FALSE),FALSE)/(VLOOKUP($A1027,'[1]import graded seats course pivo'!$A:AB,HLOOKUP('[1]Course Totals'!D$4,'[1]import graded seats course pivo'!$1:$2,2,FALSE),FALSE))),"")</f>
        <v>1</v>
      </c>
      <c r="E1027" s="14" t="str">
        <f>IFERROR((VLOOKUP($A1027,'[1]import success seats course'!$A:S,HLOOKUP('[1]Course Totals'!E$4,'[1]import success seats course'!$1:$2,2,FALSE),FALSE)/(VLOOKUP($A1027,'[1]import graded seats course pivo'!$A:AC,HLOOKUP('[1]Course Totals'!E$4,'[1]import graded seats course pivo'!$1:$2,2,FALSE),FALSE))),"")</f>
        <v/>
      </c>
      <c r="F1027" s="14">
        <f>IFERROR((VLOOKUP($A1027,'[1]import success seats course'!$A:T,HLOOKUP('[1]Course Totals'!F$4,'[1]import success seats course'!$1:$2,2,FALSE),FALSE)/(VLOOKUP($A1027,'[1]import graded seats course pivo'!$A:AD,HLOOKUP('[1]Course Totals'!F$4,'[1]import graded seats course pivo'!$1:$2,2,FALSE),FALSE))),"")</f>
        <v>0.78947368421052633</v>
      </c>
      <c r="G1027" s="14">
        <f>IFERROR((VLOOKUP($A1027,'[1]import success seats course'!$A:U,HLOOKUP('[1]Course Totals'!G$4,'[1]import success seats course'!$1:$2,2,FALSE),FALSE)/(VLOOKUP($A1027,'[1]import graded seats course pivo'!$A:AE,HLOOKUP('[1]Course Totals'!G$4,'[1]import graded seats course pivo'!$1:$2,2,FALSE),FALSE))),"")</f>
        <v>1</v>
      </c>
      <c r="H1027" s="14" t="str">
        <f>IFERROR((VLOOKUP($A1027,'[1]import success seats course'!$A:V,HLOOKUP('[1]Course Totals'!H$4,'[1]import success seats course'!$1:$2,2,FALSE),FALSE)/(VLOOKUP($A1027,'[1]import graded seats course pivo'!$A:AF,HLOOKUP('[1]Course Totals'!H$4,'[1]import graded seats course pivo'!$1:$2,2,FALSE),FALSE))),"")</f>
        <v/>
      </c>
      <c r="I1027" s="14">
        <f>IFERROR((VLOOKUP($A1027,'[1]import success seats course'!$A:W,HLOOKUP('[1]Course Totals'!I$4,'[1]import success seats course'!$1:$2,2,FALSE),FALSE)/(VLOOKUP($A1027,'[1]import graded seats course pivo'!$A:AG,HLOOKUP('[1]Course Totals'!I$4,'[1]import graded seats course pivo'!$1:$2,2,FALSE),FALSE))),"")</f>
        <v>1</v>
      </c>
      <c r="J1027" s="14">
        <f>IFERROR((VLOOKUP($A1027,'[1]import success seats course'!$A:X,HLOOKUP('[1]Course Totals'!J$4,'[1]import success seats course'!$1:$2,2,FALSE),FALSE)/(VLOOKUP($A1027,'[1]import graded seats course pivo'!$A:AH,HLOOKUP('[1]Course Totals'!J$4,'[1]import graded seats course pivo'!$1:$2,2,FALSE),FALSE))),"")</f>
        <v>0.8666666666666667</v>
      </c>
      <c r="K1027" s="14" t="str">
        <f>IFERROR((VLOOKUP($A1027,'[1]import success seats course'!$A:Y,HLOOKUP('[1]Course Totals'!K$4,'[1]import success seats course'!$1:$2,2,FALSE),FALSE)/(VLOOKUP($A1027,'[1]import graded seats course pivo'!$A:AI,HLOOKUP('[1]Course Totals'!K$4,'[1]import graded seats course pivo'!$1:$2,2,FALSE),FALSE))),"")</f>
        <v/>
      </c>
      <c r="L1027" s="14" t="str">
        <f>IFERROR((VLOOKUP($A1027,'[1]import success seats course'!$A:Z,HLOOKUP('[1]Course Totals'!L$4,'[1]import success seats course'!$1:$2,2,FALSE),FALSE)/(VLOOKUP($A1027,'[1]import graded seats course pivo'!$A:AJ,HLOOKUP('[1]Course Totals'!L$4,'[1]import graded seats course pivo'!$1:$2,2,FALSE),FALSE))),"")</f>
        <v/>
      </c>
      <c r="M1027" s="14" t="str">
        <f>IFERROR((VLOOKUP($A1027,'[1]import success seats course'!$A:AA,HLOOKUP('[1]Course Totals'!M$4,'[1]import success seats course'!$1:$2,2,FALSE),FALSE)/(VLOOKUP($A1027,'[1]import graded seats course pivo'!$A:AK,HLOOKUP('[1]Course Totals'!M$4,'[1]import graded seats course pivo'!$1:$2,2,FALSE),FALSE))),"")</f>
        <v/>
      </c>
      <c r="N1027" s="14" t="str">
        <f>IFERROR((VLOOKUP($A1027,'[1]import success seats course'!$A:AB,HLOOKUP('[1]Course Totals'!N$4,'[1]import success seats course'!$1:$2,2,FALSE),FALSE)/(VLOOKUP($A1027,'[1]import graded seats course pivo'!$A:AL,HLOOKUP('[1]Course Totals'!N$4,'[1]import graded seats course pivo'!$1:$2,2,FALSE),FALSE))),"")</f>
        <v/>
      </c>
      <c r="O1027" s="14" t="str">
        <f>IFERROR((VLOOKUP($A1027,'[1]import success seats course'!$A:AC,HLOOKUP('[1]Course Totals'!O$4,'[1]import success seats course'!$1:$2,2,FALSE),FALSE)/(VLOOKUP($A1027,'[1]import graded seats course pivo'!$A:AM,HLOOKUP('[1]Course Totals'!O$4,'[1]import graded seats course pivo'!$1:$2,2,FALSE),FALSE))),"")</f>
        <v/>
      </c>
      <c r="P1027" s="14" t="str">
        <f>IFERROR((VLOOKUP($A1027,'[1]import success seats course'!$A:AD,HLOOKUP('[1]Course Totals'!P$4,'[1]import success seats course'!$1:$2,2,FALSE),FALSE)/(VLOOKUP($A1027,'[1]import graded seats course pivo'!$A:AN,HLOOKUP('[1]Course Totals'!P$4,'[1]import graded seats course pivo'!$1:$2,2,FALSE),FALSE))),"")</f>
        <v/>
      </c>
      <c r="Q1027" s="14" t="str">
        <f>IFERROR((VLOOKUP($A1027,'[1]import success seats course'!$A:AE,HLOOKUP('[1]Course Totals'!Q$4,'[1]import success seats course'!$1:$2,2,FALSE),FALSE)/(VLOOKUP($A1027,'[1]import graded seats course pivo'!$A:AO,HLOOKUP('[1]Course Totals'!Q$4,'[1]import graded seats course pivo'!$1:$2,2,FALSE),FALSE))),"")</f>
        <v/>
      </c>
      <c r="R1027" s="14" t="str">
        <f>IFERROR((VLOOKUP($A1027,'[1]import success seats course'!$A:AF,HLOOKUP('[1]Course Totals'!R$4,'[1]import success seats course'!$1:$2,2,FALSE),FALSE)/(VLOOKUP($A1027,'[1]import graded seats course pivo'!$A:AP,HLOOKUP('[1]Course Totals'!R$4,'[1]import graded seats course pivo'!$1:$2,2,FALSE),FALSE))),"")</f>
        <v/>
      </c>
      <c r="S1027" s="14" t="str">
        <f>IFERROR((VLOOKUP($A1027,'[1]import success seats course'!$A:AG,HLOOKUP('[1]Course Totals'!S$4,'[1]import success seats course'!$1:$2,2,FALSE),FALSE)/(VLOOKUP($A1027,'[1]import graded seats course pivo'!$A:AQ,HLOOKUP('[1]Course Totals'!S$4,'[1]import graded seats course pivo'!$1:$2,2,FALSE),FALSE))),"")</f>
        <v/>
      </c>
      <c r="Z1027" s="7"/>
      <c r="AA1027" s="7"/>
      <c r="AB1027" s="7"/>
      <c r="AC1027" s="7"/>
    </row>
    <row r="1028" spans="1:29" ht="15.75" customHeight="1" x14ac:dyDescent="0.25">
      <c r="A1028" s="12" t="s">
        <v>865</v>
      </c>
      <c r="B1028" s="14" t="str">
        <f>IFERROR((VLOOKUP($A1028,'[1]import success seats course'!$A:P,HLOOKUP('[1]Course Totals'!B$4,'[1]import success seats course'!$1:$2,2,FALSE),FALSE)/(VLOOKUP($A1028,'[1]import graded seats course pivo'!$A:Z,HLOOKUP('[1]Course Totals'!B$4,'[1]import graded seats course pivo'!$1:$2,2,FALSE),FALSE))),"")</f>
        <v/>
      </c>
      <c r="C1028" s="14" t="str">
        <f>IFERROR((VLOOKUP($A1028,'[1]import success seats course'!$A:Q,HLOOKUP('[1]Course Totals'!C$4,'[1]import success seats course'!$1:$2,2,FALSE),FALSE)/(VLOOKUP($A1028,'[1]import graded seats course pivo'!$A:AA,HLOOKUP('[1]Course Totals'!C$4,'[1]import graded seats course pivo'!$1:$2,2,FALSE),FALSE))),"")</f>
        <v/>
      </c>
      <c r="D1028" s="14" t="str">
        <f>IFERROR((VLOOKUP($A1028,'[1]import success seats course'!$A:R,HLOOKUP('[1]Course Totals'!D$4,'[1]import success seats course'!$1:$2,2,FALSE),FALSE)/(VLOOKUP($A1028,'[1]import graded seats course pivo'!$A:AB,HLOOKUP('[1]Course Totals'!D$4,'[1]import graded seats course pivo'!$1:$2,2,FALSE),FALSE))),"")</f>
        <v/>
      </c>
      <c r="E1028" s="14" t="str">
        <f>IFERROR((VLOOKUP($A1028,'[1]import success seats course'!$A:S,HLOOKUP('[1]Course Totals'!E$4,'[1]import success seats course'!$1:$2,2,FALSE),FALSE)/(VLOOKUP($A1028,'[1]import graded seats course pivo'!$A:AC,HLOOKUP('[1]Course Totals'!E$4,'[1]import graded seats course pivo'!$1:$2,2,FALSE),FALSE))),"")</f>
        <v/>
      </c>
      <c r="F1028" s="14" t="str">
        <f>IFERROR((VLOOKUP($A1028,'[1]import success seats course'!$A:T,HLOOKUP('[1]Course Totals'!F$4,'[1]import success seats course'!$1:$2,2,FALSE),FALSE)/(VLOOKUP($A1028,'[1]import graded seats course pivo'!$A:AD,HLOOKUP('[1]Course Totals'!F$4,'[1]import graded seats course pivo'!$1:$2,2,FALSE),FALSE))),"")</f>
        <v/>
      </c>
      <c r="G1028" s="14">
        <f>IFERROR((VLOOKUP($A1028,'[1]import success seats course'!$A:U,HLOOKUP('[1]Course Totals'!G$4,'[1]import success seats course'!$1:$2,2,FALSE),FALSE)/(VLOOKUP($A1028,'[1]import graded seats course pivo'!$A:AE,HLOOKUP('[1]Course Totals'!G$4,'[1]import graded seats course pivo'!$1:$2,2,FALSE),FALSE))),"")</f>
        <v>1</v>
      </c>
      <c r="H1028" s="14" t="str">
        <f>IFERROR((VLOOKUP($A1028,'[1]import success seats course'!$A:V,HLOOKUP('[1]Course Totals'!H$4,'[1]import success seats course'!$1:$2,2,FALSE),FALSE)/(VLOOKUP($A1028,'[1]import graded seats course pivo'!$A:AF,HLOOKUP('[1]Course Totals'!H$4,'[1]import graded seats course pivo'!$1:$2,2,FALSE),FALSE))),"")</f>
        <v/>
      </c>
      <c r="I1028" s="14" t="str">
        <f>IFERROR((VLOOKUP($A1028,'[1]import success seats course'!$A:W,HLOOKUP('[1]Course Totals'!I$4,'[1]import success seats course'!$1:$2,2,FALSE),FALSE)/(VLOOKUP($A1028,'[1]import graded seats course pivo'!$A:AG,HLOOKUP('[1]Course Totals'!I$4,'[1]import graded seats course pivo'!$1:$2,2,FALSE),FALSE))),"")</f>
        <v/>
      </c>
      <c r="J1028" s="14">
        <f>IFERROR((VLOOKUP($A1028,'[1]import success seats course'!$A:X,HLOOKUP('[1]Course Totals'!J$4,'[1]import success seats course'!$1:$2,2,FALSE),FALSE)/(VLOOKUP($A1028,'[1]import graded seats course pivo'!$A:AH,HLOOKUP('[1]Course Totals'!J$4,'[1]import graded seats course pivo'!$1:$2,2,FALSE),FALSE))),"")</f>
        <v>0.75</v>
      </c>
      <c r="K1028" s="14" t="str">
        <f>IFERROR((VLOOKUP($A1028,'[1]import success seats course'!$A:Y,HLOOKUP('[1]Course Totals'!K$4,'[1]import success seats course'!$1:$2,2,FALSE),FALSE)/(VLOOKUP($A1028,'[1]import graded seats course pivo'!$A:AI,HLOOKUP('[1]Course Totals'!K$4,'[1]import graded seats course pivo'!$1:$2,2,FALSE),FALSE))),"")</f>
        <v/>
      </c>
      <c r="L1028" s="14" t="str">
        <f>IFERROR((VLOOKUP($A1028,'[1]import success seats course'!$A:Z,HLOOKUP('[1]Course Totals'!L$4,'[1]import success seats course'!$1:$2,2,FALSE),FALSE)/(VLOOKUP($A1028,'[1]import graded seats course pivo'!$A:AJ,HLOOKUP('[1]Course Totals'!L$4,'[1]import graded seats course pivo'!$1:$2,2,FALSE),FALSE))),"")</f>
        <v/>
      </c>
      <c r="M1028" s="14">
        <f>IFERROR((VLOOKUP($A1028,'[1]import success seats course'!$A:AA,HLOOKUP('[1]Course Totals'!M$4,'[1]import success seats course'!$1:$2,2,FALSE),FALSE)/(VLOOKUP($A1028,'[1]import graded seats course pivo'!$A:AK,HLOOKUP('[1]Course Totals'!M$4,'[1]import graded seats course pivo'!$1:$2,2,FALSE),FALSE))),"")</f>
        <v>1</v>
      </c>
      <c r="N1028" s="14" t="str">
        <f>IFERROR((VLOOKUP($A1028,'[1]import success seats course'!$A:AB,HLOOKUP('[1]Course Totals'!N$4,'[1]import success seats course'!$1:$2,2,FALSE),FALSE)/(VLOOKUP($A1028,'[1]import graded seats course pivo'!$A:AL,HLOOKUP('[1]Course Totals'!N$4,'[1]import graded seats course pivo'!$1:$2,2,FALSE),FALSE))),"")</f>
        <v/>
      </c>
      <c r="O1028" s="14">
        <f>IFERROR((VLOOKUP($A1028,'[1]import success seats course'!$A:AC,HLOOKUP('[1]Course Totals'!O$4,'[1]import success seats course'!$1:$2,2,FALSE),FALSE)/(VLOOKUP($A1028,'[1]import graded seats course pivo'!$A:AM,HLOOKUP('[1]Course Totals'!O$4,'[1]import graded seats course pivo'!$1:$2,2,FALSE),FALSE))),"")</f>
        <v>1</v>
      </c>
      <c r="P1028" s="14" t="str">
        <f>IFERROR((VLOOKUP($A1028,'[1]import success seats course'!$A:AD,HLOOKUP('[1]Course Totals'!P$4,'[1]import success seats course'!$1:$2,2,FALSE),FALSE)/(VLOOKUP($A1028,'[1]import graded seats course pivo'!$A:AN,HLOOKUP('[1]Course Totals'!P$4,'[1]import graded seats course pivo'!$1:$2,2,FALSE),FALSE))),"")</f>
        <v/>
      </c>
      <c r="Q1028" s="14" t="str">
        <f>IFERROR((VLOOKUP($A1028,'[1]import success seats course'!$A:AE,HLOOKUP('[1]Course Totals'!Q$4,'[1]import success seats course'!$1:$2,2,FALSE),FALSE)/(VLOOKUP($A1028,'[1]import graded seats course pivo'!$A:AO,HLOOKUP('[1]Course Totals'!Q$4,'[1]import graded seats course pivo'!$1:$2,2,FALSE),FALSE))),"")</f>
        <v/>
      </c>
      <c r="R1028" s="14" t="str">
        <f>IFERROR((VLOOKUP($A1028,'[1]import success seats course'!$A:AF,HLOOKUP('[1]Course Totals'!R$4,'[1]import success seats course'!$1:$2,2,FALSE),FALSE)/(VLOOKUP($A1028,'[1]import graded seats course pivo'!$A:AP,HLOOKUP('[1]Course Totals'!R$4,'[1]import graded seats course pivo'!$1:$2,2,FALSE),FALSE))),"")</f>
        <v/>
      </c>
      <c r="S1028" s="14" t="str">
        <f>IFERROR((VLOOKUP($A1028,'[1]import success seats course'!$A:AG,HLOOKUP('[1]Course Totals'!S$4,'[1]import success seats course'!$1:$2,2,FALSE),FALSE)/(VLOOKUP($A1028,'[1]import graded seats course pivo'!$A:AQ,HLOOKUP('[1]Course Totals'!S$4,'[1]import graded seats course pivo'!$1:$2,2,FALSE),FALSE))),"")</f>
        <v/>
      </c>
      <c r="Z1028" s="7"/>
      <c r="AA1028" s="7"/>
      <c r="AB1028" s="7"/>
      <c r="AC1028" s="7"/>
    </row>
    <row r="1029" spans="1:29" ht="15.75" customHeight="1" x14ac:dyDescent="0.25">
      <c r="A1029" s="12" t="s">
        <v>1040</v>
      </c>
      <c r="B1029" s="14" t="str">
        <f>IFERROR((VLOOKUP($A1029,'[1]import success seats course'!$A:P,HLOOKUP('[1]Course Totals'!B$4,'[1]import success seats course'!$1:$2,2,FALSE),FALSE)/(VLOOKUP($A1029,'[1]import graded seats course pivo'!$A:Z,HLOOKUP('[1]Course Totals'!B$4,'[1]import graded seats course pivo'!$1:$2,2,FALSE),FALSE))),"")</f>
        <v/>
      </c>
      <c r="C1029" s="14" t="str">
        <f>IFERROR((VLOOKUP($A1029,'[1]import success seats course'!$A:Q,HLOOKUP('[1]Course Totals'!C$4,'[1]import success seats course'!$1:$2,2,FALSE),FALSE)/(VLOOKUP($A1029,'[1]import graded seats course pivo'!$A:AA,HLOOKUP('[1]Course Totals'!C$4,'[1]import graded seats course pivo'!$1:$2,2,FALSE),FALSE))),"")</f>
        <v/>
      </c>
      <c r="D1029" s="14" t="str">
        <f>IFERROR((VLOOKUP($A1029,'[1]import success seats course'!$A:R,HLOOKUP('[1]Course Totals'!D$4,'[1]import success seats course'!$1:$2,2,FALSE),FALSE)/(VLOOKUP($A1029,'[1]import graded seats course pivo'!$A:AB,HLOOKUP('[1]Course Totals'!D$4,'[1]import graded seats course pivo'!$1:$2,2,FALSE),FALSE))),"")</f>
        <v/>
      </c>
      <c r="E1029" s="14" t="str">
        <f>IFERROR((VLOOKUP($A1029,'[1]import success seats course'!$A:S,HLOOKUP('[1]Course Totals'!E$4,'[1]import success seats course'!$1:$2,2,FALSE),FALSE)/(VLOOKUP($A1029,'[1]import graded seats course pivo'!$A:AC,HLOOKUP('[1]Course Totals'!E$4,'[1]import graded seats course pivo'!$1:$2,2,FALSE),FALSE))),"")</f>
        <v/>
      </c>
      <c r="F1029" s="14" t="str">
        <f>IFERROR((VLOOKUP($A1029,'[1]import success seats course'!$A:T,HLOOKUP('[1]Course Totals'!F$4,'[1]import success seats course'!$1:$2,2,FALSE),FALSE)/(VLOOKUP($A1029,'[1]import graded seats course pivo'!$A:AD,HLOOKUP('[1]Course Totals'!F$4,'[1]import graded seats course pivo'!$1:$2,2,FALSE),FALSE))),"")</f>
        <v/>
      </c>
      <c r="G1029" s="14" t="str">
        <f>IFERROR((VLOOKUP($A1029,'[1]import success seats course'!$A:U,HLOOKUP('[1]Course Totals'!G$4,'[1]import success seats course'!$1:$2,2,FALSE),FALSE)/(VLOOKUP($A1029,'[1]import graded seats course pivo'!$A:AE,HLOOKUP('[1]Course Totals'!G$4,'[1]import graded seats course pivo'!$1:$2,2,FALSE),FALSE))),"")</f>
        <v/>
      </c>
      <c r="H1029" s="14" t="str">
        <f>IFERROR((VLOOKUP($A1029,'[1]import success seats course'!$A:V,HLOOKUP('[1]Course Totals'!H$4,'[1]import success seats course'!$1:$2,2,FALSE),FALSE)/(VLOOKUP($A1029,'[1]import graded seats course pivo'!$A:AF,HLOOKUP('[1]Course Totals'!H$4,'[1]import graded seats course pivo'!$1:$2,2,FALSE),FALSE))),"")</f>
        <v/>
      </c>
      <c r="I1029" s="14" t="str">
        <f>IFERROR((VLOOKUP($A1029,'[1]import success seats course'!$A:W,HLOOKUP('[1]Course Totals'!I$4,'[1]import success seats course'!$1:$2,2,FALSE),FALSE)/(VLOOKUP($A1029,'[1]import graded seats course pivo'!$A:AG,HLOOKUP('[1]Course Totals'!I$4,'[1]import graded seats course pivo'!$1:$2,2,FALSE),FALSE))),"")</f>
        <v/>
      </c>
      <c r="J1029" s="14" t="str">
        <f>IFERROR((VLOOKUP($A1029,'[1]import success seats course'!$A:X,HLOOKUP('[1]Course Totals'!J$4,'[1]import success seats course'!$1:$2,2,FALSE),FALSE)/(VLOOKUP($A1029,'[1]import graded seats course pivo'!$A:AH,HLOOKUP('[1]Course Totals'!J$4,'[1]import graded seats course pivo'!$1:$2,2,FALSE),FALSE))),"")</f>
        <v/>
      </c>
      <c r="K1029" s="14" t="str">
        <f>IFERROR((VLOOKUP($A1029,'[1]import success seats course'!$A:Y,HLOOKUP('[1]Course Totals'!K$4,'[1]import success seats course'!$1:$2,2,FALSE),FALSE)/(VLOOKUP($A1029,'[1]import graded seats course pivo'!$A:AI,HLOOKUP('[1]Course Totals'!K$4,'[1]import graded seats course pivo'!$1:$2,2,FALSE),FALSE))),"")</f>
        <v/>
      </c>
      <c r="L1029" s="14" t="str">
        <f>IFERROR((VLOOKUP($A1029,'[1]import success seats course'!$A:Z,HLOOKUP('[1]Course Totals'!L$4,'[1]import success seats course'!$1:$2,2,FALSE),FALSE)/(VLOOKUP($A1029,'[1]import graded seats course pivo'!$A:AJ,HLOOKUP('[1]Course Totals'!L$4,'[1]import graded seats course pivo'!$1:$2,2,FALSE),FALSE))),"")</f>
        <v/>
      </c>
      <c r="M1029" s="14">
        <f>IFERROR((VLOOKUP($A1029,'[1]import success seats course'!$A:AA,HLOOKUP('[1]Course Totals'!M$4,'[1]import success seats course'!$1:$2,2,FALSE),FALSE)/(VLOOKUP($A1029,'[1]import graded seats course pivo'!$A:AK,HLOOKUP('[1]Course Totals'!M$4,'[1]import graded seats course pivo'!$1:$2,2,FALSE),FALSE))),"")</f>
        <v>1</v>
      </c>
      <c r="N1029" s="14" t="str">
        <f>IFERROR((VLOOKUP($A1029,'[1]import success seats course'!$A:AB,HLOOKUP('[1]Course Totals'!N$4,'[1]import success seats course'!$1:$2,2,FALSE),FALSE)/(VLOOKUP($A1029,'[1]import graded seats course pivo'!$A:AL,HLOOKUP('[1]Course Totals'!N$4,'[1]import graded seats course pivo'!$1:$2,2,FALSE),FALSE))),"")</f>
        <v/>
      </c>
      <c r="O1029" s="14" t="str">
        <f>IFERROR((VLOOKUP($A1029,'[1]import success seats course'!$A:AC,HLOOKUP('[1]Course Totals'!O$4,'[1]import success seats course'!$1:$2,2,FALSE),FALSE)/(VLOOKUP($A1029,'[1]import graded seats course pivo'!$A:AM,HLOOKUP('[1]Course Totals'!O$4,'[1]import graded seats course pivo'!$1:$2,2,FALSE),FALSE))),"")</f>
        <v/>
      </c>
      <c r="P1029" s="14" t="str">
        <f>IFERROR((VLOOKUP($A1029,'[1]import success seats course'!$A:AD,HLOOKUP('[1]Course Totals'!P$4,'[1]import success seats course'!$1:$2,2,FALSE),FALSE)/(VLOOKUP($A1029,'[1]import graded seats course pivo'!$A:AN,HLOOKUP('[1]Course Totals'!P$4,'[1]import graded seats course pivo'!$1:$2,2,FALSE),FALSE))),"")</f>
        <v/>
      </c>
      <c r="Q1029" s="14" t="str">
        <f>IFERROR((VLOOKUP($A1029,'[1]import success seats course'!$A:AE,HLOOKUP('[1]Course Totals'!Q$4,'[1]import success seats course'!$1:$2,2,FALSE),FALSE)/(VLOOKUP($A1029,'[1]import graded seats course pivo'!$A:AO,HLOOKUP('[1]Course Totals'!Q$4,'[1]import graded seats course pivo'!$1:$2,2,FALSE),FALSE))),"")</f>
        <v/>
      </c>
      <c r="R1029" s="14" t="str">
        <f>IFERROR((VLOOKUP($A1029,'[1]import success seats course'!$A:AF,HLOOKUP('[1]Course Totals'!R$4,'[1]import success seats course'!$1:$2,2,FALSE),FALSE)/(VLOOKUP($A1029,'[1]import graded seats course pivo'!$A:AP,HLOOKUP('[1]Course Totals'!R$4,'[1]import graded seats course pivo'!$1:$2,2,FALSE),FALSE))),"")</f>
        <v/>
      </c>
      <c r="S1029" s="14" t="str">
        <f>IFERROR((VLOOKUP($A1029,'[1]import success seats course'!$A:AG,HLOOKUP('[1]Course Totals'!S$4,'[1]import success seats course'!$1:$2,2,FALSE),FALSE)/(VLOOKUP($A1029,'[1]import graded seats course pivo'!$A:AQ,HLOOKUP('[1]Course Totals'!S$4,'[1]import graded seats course pivo'!$1:$2,2,FALSE),FALSE))),"")</f>
        <v/>
      </c>
      <c r="Z1029" s="7"/>
      <c r="AA1029" s="7"/>
      <c r="AB1029" s="7"/>
      <c r="AC1029" s="7"/>
    </row>
    <row r="1030" spans="1:29" ht="15.75" customHeight="1" thickBot="1" x14ac:dyDescent="0.3">
      <c r="A1030" s="8" t="str">
        <f>'[1]SUBJECTS BASE'!H61</f>
        <v>Real Estate</v>
      </c>
      <c r="B1030" s="38" t="s">
        <v>1046</v>
      </c>
      <c r="C1030" s="39" t="s">
        <v>0</v>
      </c>
      <c r="D1030" s="40" t="s">
        <v>868</v>
      </c>
      <c r="E1030" s="41" t="s">
        <v>1052</v>
      </c>
      <c r="F1030" s="42" t="s">
        <v>546</v>
      </c>
      <c r="G1030" s="43" t="s">
        <v>959</v>
      </c>
      <c r="H1030" s="44" t="s">
        <v>1060</v>
      </c>
      <c r="I1030" s="39" t="s">
        <v>675</v>
      </c>
      <c r="J1030" s="45" t="s">
        <v>1006</v>
      </c>
      <c r="K1030" s="46" t="s">
        <v>1062</v>
      </c>
      <c r="L1030" s="42" t="s">
        <v>762</v>
      </c>
      <c r="M1030" s="43" t="s">
        <v>1022</v>
      </c>
      <c r="N1030" s="44" t="s">
        <v>1063</v>
      </c>
      <c r="O1030" s="39" t="s">
        <v>822</v>
      </c>
      <c r="P1030" s="40" t="s">
        <v>1042</v>
      </c>
      <c r="Q1030" s="46" t="s">
        <v>1153</v>
      </c>
      <c r="R1030" s="42" t="s">
        <v>1154</v>
      </c>
      <c r="S1030" s="43" t="s">
        <v>1155</v>
      </c>
      <c r="Z1030" s="7"/>
      <c r="AA1030" s="7"/>
      <c r="AB1030" s="7"/>
      <c r="AC1030" s="7"/>
    </row>
    <row r="1031" spans="1:29" ht="15.75" customHeight="1" x14ac:dyDescent="0.25">
      <c r="A1031" s="12" t="s">
        <v>490</v>
      </c>
      <c r="B1031" s="14">
        <f>IFERROR((VLOOKUP($A1031,'[1]import success seats course'!$A:P,HLOOKUP('[1]Course Totals'!B$4,'[1]import success seats course'!$1:$2,2,FALSE),FALSE)/(VLOOKUP($A1031,'[1]import graded seats course pivo'!$A:Z,HLOOKUP('[1]Course Totals'!B$4,'[1]import graded seats course pivo'!$1:$2,2,FALSE),FALSE))),"")</f>
        <v>0.9</v>
      </c>
      <c r="C1031" s="14">
        <f>IFERROR((VLOOKUP($A1031,'[1]import success seats course'!$A:Q,HLOOKUP('[1]Course Totals'!C$4,'[1]import success seats course'!$1:$2,2,FALSE),FALSE)/(VLOOKUP($A1031,'[1]import graded seats course pivo'!$A:AA,HLOOKUP('[1]Course Totals'!C$4,'[1]import graded seats course pivo'!$1:$2,2,FALSE),FALSE))),"")</f>
        <v>0.73469387755102045</v>
      </c>
      <c r="D1031" s="14">
        <f>IFERROR((VLOOKUP($A1031,'[1]import success seats course'!$A:R,HLOOKUP('[1]Course Totals'!D$4,'[1]import success seats course'!$1:$2,2,FALSE),FALSE)/(VLOOKUP($A1031,'[1]import graded seats course pivo'!$A:AB,HLOOKUP('[1]Course Totals'!D$4,'[1]import graded seats course pivo'!$1:$2,2,FALSE),FALSE))),"")</f>
        <v>0.82857142857142863</v>
      </c>
      <c r="E1031" s="14">
        <f>IFERROR((VLOOKUP($A1031,'[1]import success seats course'!$A:S,HLOOKUP('[1]Course Totals'!E$4,'[1]import success seats course'!$1:$2,2,FALSE),FALSE)/(VLOOKUP($A1031,'[1]import graded seats course pivo'!$A:AC,HLOOKUP('[1]Course Totals'!E$4,'[1]import graded seats course pivo'!$1:$2,2,FALSE),FALSE))),"")</f>
        <v>0.83333333333333337</v>
      </c>
      <c r="F1031" s="14" t="str">
        <f>IFERROR((VLOOKUP($A1031,'[1]import success seats course'!$A:T,HLOOKUP('[1]Course Totals'!F$4,'[1]import success seats course'!$1:$2,2,FALSE),FALSE)/(VLOOKUP($A1031,'[1]import graded seats course pivo'!$A:AD,HLOOKUP('[1]Course Totals'!F$4,'[1]import graded seats course pivo'!$1:$2,2,FALSE),FALSE))),"")</f>
        <v/>
      </c>
      <c r="G1031" s="14">
        <f>IFERROR((VLOOKUP($A1031,'[1]import success seats course'!$A:U,HLOOKUP('[1]Course Totals'!G$4,'[1]import success seats course'!$1:$2,2,FALSE),FALSE)/(VLOOKUP($A1031,'[1]import graded seats course pivo'!$A:AE,HLOOKUP('[1]Course Totals'!G$4,'[1]import graded seats course pivo'!$1:$2,2,FALSE),FALSE))),"")</f>
        <v>0.66666666666666663</v>
      </c>
      <c r="H1031" s="14" t="str">
        <f>IFERROR((VLOOKUP($A1031,'[1]import success seats course'!$A:V,HLOOKUP('[1]Course Totals'!H$4,'[1]import success seats course'!$1:$2,2,FALSE),FALSE)/(VLOOKUP($A1031,'[1]import graded seats course pivo'!$A:AF,HLOOKUP('[1]Course Totals'!H$4,'[1]import graded seats course pivo'!$1:$2,2,FALSE),FALSE))),"")</f>
        <v/>
      </c>
      <c r="I1031" s="14">
        <f>IFERROR((VLOOKUP($A1031,'[1]import success seats course'!$A:W,HLOOKUP('[1]Course Totals'!I$4,'[1]import success seats course'!$1:$2,2,FALSE),FALSE)/(VLOOKUP($A1031,'[1]import graded seats course pivo'!$A:AG,HLOOKUP('[1]Course Totals'!I$4,'[1]import graded seats course pivo'!$1:$2,2,FALSE),FALSE))),"")</f>
        <v>0.77142857142857146</v>
      </c>
      <c r="J1031" s="14">
        <f>IFERROR((VLOOKUP($A1031,'[1]import success seats course'!$A:X,HLOOKUP('[1]Course Totals'!J$4,'[1]import success seats course'!$1:$2,2,FALSE),FALSE)/(VLOOKUP($A1031,'[1]import graded seats course pivo'!$A:AH,HLOOKUP('[1]Course Totals'!J$4,'[1]import graded seats course pivo'!$1:$2,2,FALSE),FALSE))),"")</f>
        <v>0.61538461538461542</v>
      </c>
      <c r="K1031" s="14" t="str">
        <f>IFERROR((VLOOKUP($A1031,'[1]import success seats course'!$A:Y,HLOOKUP('[1]Course Totals'!K$4,'[1]import success seats course'!$1:$2,2,FALSE),FALSE)/(VLOOKUP($A1031,'[1]import graded seats course pivo'!$A:AI,HLOOKUP('[1]Course Totals'!K$4,'[1]import graded seats course pivo'!$1:$2,2,FALSE),FALSE))),"")</f>
        <v/>
      </c>
      <c r="L1031" s="14">
        <f>IFERROR((VLOOKUP($A1031,'[1]import success seats course'!$A:Z,HLOOKUP('[1]Course Totals'!L$4,'[1]import success seats course'!$1:$2,2,FALSE),FALSE)/(VLOOKUP($A1031,'[1]import graded seats course pivo'!$A:AJ,HLOOKUP('[1]Course Totals'!L$4,'[1]import graded seats course pivo'!$1:$2,2,FALSE),FALSE))),"")</f>
        <v>0.8571428571428571</v>
      </c>
      <c r="M1031" s="14">
        <f>IFERROR((VLOOKUP($A1031,'[1]import success seats course'!$A:AA,HLOOKUP('[1]Course Totals'!M$4,'[1]import success seats course'!$1:$2,2,FALSE),FALSE)/(VLOOKUP($A1031,'[1]import graded seats course pivo'!$A:AK,HLOOKUP('[1]Course Totals'!M$4,'[1]import graded seats course pivo'!$1:$2,2,FALSE),FALSE))),"")</f>
        <v>1</v>
      </c>
      <c r="N1031" s="14" t="str">
        <f>IFERROR((VLOOKUP($A1031,'[1]import success seats course'!$A:AB,HLOOKUP('[1]Course Totals'!N$4,'[1]import success seats course'!$1:$2,2,FALSE),FALSE)/(VLOOKUP($A1031,'[1]import graded seats course pivo'!$A:AL,HLOOKUP('[1]Course Totals'!N$4,'[1]import graded seats course pivo'!$1:$2,2,FALSE),FALSE))),"")</f>
        <v/>
      </c>
      <c r="O1031" s="14">
        <f>IFERROR((VLOOKUP($A1031,'[1]import success seats course'!$A:AC,HLOOKUP('[1]Course Totals'!O$4,'[1]import success seats course'!$1:$2,2,FALSE),FALSE)/(VLOOKUP($A1031,'[1]import graded seats course pivo'!$A:AM,HLOOKUP('[1]Course Totals'!O$4,'[1]import graded seats course pivo'!$1:$2,2,FALSE),FALSE))),"")</f>
        <v>0.8</v>
      </c>
      <c r="P1031" s="14">
        <f>IFERROR((VLOOKUP($A1031,'[1]import success seats course'!$A:AD,HLOOKUP('[1]Course Totals'!P$4,'[1]import success seats course'!$1:$2,2,FALSE),FALSE)/(VLOOKUP($A1031,'[1]import graded seats course pivo'!$A:AN,HLOOKUP('[1]Course Totals'!P$4,'[1]import graded seats course pivo'!$1:$2,2,FALSE),FALSE))),"")</f>
        <v>0.5625</v>
      </c>
      <c r="Q1031" s="14" t="str">
        <f>IFERROR((VLOOKUP($A1031,'[1]import success seats course'!$A:AE,HLOOKUP('[1]Course Totals'!Q$4,'[1]import success seats course'!$1:$2,2,FALSE),FALSE)/(VLOOKUP($A1031,'[1]import graded seats course pivo'!$A:AO,HLOOKUP('[1]Course Totals'!Q$4,'[1]import graded seats course pivo'!$1:$2,2,FALSE),FALSE))),"")</f>
        <v/>
      </c>
      <c r="R1031" s="14">
        <f>IFERROR((VLOOKUP($A1031,'[1]import success seats course'!$A:AF,HLOOKUP('[1]Course Totals'!R$4,'[1]import success seats course'!$1:$2,2,FALSE),FALSE)/(VLOOKUP($A1031,'[1]import graded seats course pivo'!$A:AP,HLOOKUP('[1]Course Totals'!R$4,'[1]import graded seats course pivo'!$1:$2,2,FALSE),FALSE))),"")</f>
        <v>0.72499999999999998</v>
      </c>
      <c r="S1031" s="14">
        <f>IFERROR((VLOOKUP($A1031,'[1]import success seats course'!$A:AG,HLOOKUP('[1]Course Totals'!S$4,'[1]import success seats course'!$1:$2,2,FALSE),FALSE)/(VLOOKUP($A1031,'[1]import graded seats course pivo'!$A:AQ,HLOOKUP('[1]Course Totals'!S$4,'[1]import graded seats course pivo'!$1:$2,2,FALSE),FALSE))),"")</f>
        <v>1</v>
      </c>
      <c r="Z1031" s="7"/>
      <c r="AA1031" s="7"/>
      <c r="AB1031" s="7"/>
      <c r="AC1031" s="7"/>
    </row>
    <row r="1032" spans="1:29" ht="15.75" customHeight="1" x14ac:dyDescent="0.25">
      <c r="A1032" s="12" t="s">
        <v>491</v>
      </c>
      <c r="B1032" s="14" t="str">
        <f>IFERROR((VLOOKUP($A1032,'[1]import success seats course'!$A:P,HLOOKUP('[1]Course Totals'!B$4,'[1]import success seats course'!$1:$2,2,FALSE),FALSE)/(VLOOKUP($A1032,'[1]import graded seats course pivo'!$A:Z,HLOOKUP('[1]Course Totals'!B$4,'[1]import graded seats course pivo'!$1:$2,2,FALSE),FALSE))),"")</f>
        <v/>
      </c>
      <c r="C1032" s="14">
        <f>IFERROR((VLOOKUP($A1032,'[1]import success seats course'!$A:Q,HLOOKUP('[1]Course Totals'!C$4,'[1]import success seats course'!$1:$2,2,FALSE),FALSE)/(VLOOKUP($A1032,'[1]import graded seats course pivo'!$A:AA,HLOOKUP('[1]Course Totals'!C$4,'[1]import graded seats course pivo'!$1:$2,2,FALSE),FALSE))),"")</f>
        <v>0.90566037735849059</v>
      </c>
      <c r="D1032" s="14" t="str">
        <f>IFERROR((VLOOKUP($A1032,'[1]import success seats course'!$A:R,HLOOKUP('[1]Course Totals'!D$4,'[1]import success seats course'!$1:$2,2,FALSE),FALSE)/(VLOOKUP($A1032,'[1]import graded seats course pivo'!$A:AB,HLOOKUP('[1]Course Totals'!D$4,'[1]import graded seats course pivo'!$1:$2,2,FALSE),FALSE))),"")</f>
        <v/>
      </c>
      <c r="E1032" s="14" t="str">
        <f>IFERROR((VLOOKUP($A1032,'[1]import success seats course'!$A:S,HLOOKUP('[1]Course Totals'!E$4,'[1]import success seats course'!$1:$2,2,FALSE),FALSE)/(VLOOKUP($A1032,'[1]import graded seats course pivo'!$A:AC,HLOOKUP('[1]Course Totals'!E$4,'[1]import graded seats course pivo'!$1:$2,2,FALSE),FALSE))),"")</f>
        <v/>
      </c>
      <c r="F1032" s="14">
        <f>IFERROR((VLOOKUP($A1032,'[1]import success seats course'!$A:T,HLOOKUP('[1]Course Totals'!F$4,'[1]import success seats course'!$1:$2,2,FALSE),FALSE)/(VLOOKUP($A1032,'[1]import graded seats course pivo'!$A:AD,HLOOKUP('[1]Course Totals'!F$4,'[1]import graded seats course pivo'!$1:$2,2,FALSE),FALSE))),"")</f>
        <v>0.81818181818181823</v>
      </c>
      <c r="G1032" s="14">
        <f>IFERROR((VLOOKUP($A1032,'[1]import success seats course'!$A:U,HLOOKUP('[1]Course Totals'!G$4,'[1]import success seats course'!$1:$2,2,FALSE),FALSE)/(VLOOKUP($A1032,'[1]import graded seats course pivo'!$A:AE,HLOOKUP('[1]Course Totals'!G$4,'[1]import graded seats course pivo'!$1:$2,2,FALSE),FALSE))),"")</f>
        <v>0.9285714285714286</v>
      </c>
      <c r="H1032" s="14" t="str">
        <f>IFERROR((VLOOKUP($A1032,'[1]import success seats course'!$A:V,HLOOKUP('[1]Course Totals'!H$4,'[1]import success seats course'!$1:$2,2,FALSE),FALSE)/(VLOOKUP($A1032,'[1]import graded seats course pivo'!$A:AF,HLOOKUP('[1]Course Totals'!H$4,'[1]import graded seats course pivo'!$1:$2,2,FALSE),FALSE))),"")</f>
        <v/>
      </c>
      <c r="I1032" s="14">
        <f>IFERROR((VLOOKUP($A1032,'[1]import success seats course'!$A:W,HLOOKUP('[1]Course Totals'!I$4,'[1]import success seats course'!$1:$2,2,FALSE),FALSE)/(VLOOKUP($A1032,'[1]import graded seats course pivo'!$A:AG,HLOOKUP('[1]Course Totals'!I$4,'[1]import graded seats course pivo'!$1:$2,2,FALSE),FALSE))),"")</f>
        <v>0.66666666666666663</v>
      </c>
      <c r="J1032" s="14">
        <f>IFERROR((VLOOKUP($A1032,'[1]import success seats course'!$A:X,HLOOKUP('[1]Course Totals'!J$4,'[1]import success seats course'!$1:$2,2,FALSE),FALSE)/(VLOOKUP($A1032,'[1]import graded seats course pivo'!$A:AH,HLOOKUP('[1]Course Totals'!J$4,'[1]import graded seats course pivo'!$1:$2,2,FALSE),FALSE))),"")</f>
        <v>0.69230769230769229</v>
      </c>
      <c r="K1032" s="14" t="str">
        <f>IFERROR((VLOOKUP($A1032,'[1]import success seats course'!$A:Y,HLOOKUP('[1]Course Totals'!K$4,'[1]import success seats course'!$1:$2,2,FALSE),FALSE)/(VLOOKUP($A1032,'[1]import graded seats course pivo'!$A:AI,HLOOKUP('[1]Course Totals'!K$4,'[1]import graded seats course pivo'!$1:$2,2,FALSE),FALSE))),"")</f>
        <v/>
      </c>
      <c r="L1032" s="14">
        <f>IFERROR((VLOOKUP($A1032,'[1]import success seats course'!$A:Z,HLOOKUP('[1]Course Totals'!L$4,'[1]import success seats course'!$1:$2,2,FALSE),FALSE)/(VLOOKUP($A1032,'[1]import graded seats course pivo'!$A:AJ,HLOOKUP('[1]Course Totals'!L$4,'[1]import graded seats course pivo'!$1:$2,2,FALSE),FALSE))),"")</f>
        <v>0.71794871794871795</v>
      </c>
      <c r="M1032" s="14">
        <f>IFERROR((VLOOKUP($A1032,'[1]import success seats course'!$A:AA,HLOOKUP('[1]Course Totals'!M$4,'[1]import success seats course'!$1:$2,2,FALSE),FALSE)/(VLOOKUP($A1032,'[1]import graded seats course pivo'!$A:AK,HLOOKUP('[1]Course Totals'!M$4,'[1]import graded seats course pivo'!$1:$2,2,FALSE),FALSE))),"")</f>
        <v>0.93333333333333335</v>
      </c>
      <c r="N1032" s="14" t="str">
        <f>IFERROR((VLOOKUP($A1032,'[1]import success seats course'!$A:AB,HLOOKUP('[1]Course Totals'!N$4,'[1]import success seats course'!$1:$2,2,FALSE),FALSE)/(VLOOKUP($A1032,'[1]import graded seats course pivo'!$A:AL,HLOOKUP('[1]Course Totals'!N$4,'[1]import graded seats course pivo'!$1:$2,2,FALSE),FALSE))),"")</f>
        <v/>
      </c>
      <c r="O1032" s="14">
        <f>IFERROR((VLOOKUP($A1032,'[1]import success seats course'!$A:AC,HLOOKUP('[1]Course Totals'!O$4,'[1]import success seats course'!$1:$2,2,FALSE),FALSE)/(VLOOKUP($A1032,'[1]import graded seats course pivo'!$A:AM,HLOOKUP('[1]Course Totals'!O$4,'[1]import graded seats course pivo'!$1:$2,2,FALSE),FALSE))),"")</f>
        <v>0.76470588235294112</v>
      </c>
      <c r="P1032" s="14" t="str">
        <f>IFERROR((VLOOKUP($A1032,'[1]import success seats course'!$A:AD,HLOOKUP('[1]Course Totals'!P$4,'[1]import success seats course'!$1:$2,2,FALSE),FALSE)/(VLOOKUP($A1032,'[1]import graded seats course pivo'!$A:AN,HLOOKUP('[1]Course Totals'!P$4,'[1]import graded seats course pivo'!$1:$2,2,FALSE),FALSE))),"")</f>
        <v/>
      </c>
      <c r="Q1032" s="14" t="str">
        <f>IFERROR((VLOOKUP($A1032,'[1]import success seats course'!$A:AE,HLOOKUP('[1]Course Totals'!Q$4,'[1]import success seats course'!$1:$2,2,FALSE),FALSE)/(VLOOKUP($A1032,'[1]import graded seats course pivo'!$A:AO,HLOOKUP('[1]Course Totals'!Q$4,'[1]import graded seats course pivo'!$1:$2,2,FALSE),FALSE))),"")</f>
        <v/>
      </c>
      <c r="R1032" s="14">
        <f>IFERROR((VLOOKUP($A1032,'[1]import success seats course'!$A:AF,HLOOKUP('[1]Course Totals'!R$4,'[1]import success seats course'!$1:$2,2,FALSE),FALSE)/(VLOOKUP($A1032,'[1]import graded seats course pivo'!$A:AP,HLOOKUP('[1]Course Totals'!R$4,'[1]import graded seats course pivo'!$1:$2,2,FALSE),FALSE))),"")</f>
        <v>0.59090909090909094</v>
      </c>
      <c r="S1032" s="14">
        <f>IFERROR((VLOOKUP($A1032,'[1]import success seats course'!$A:AG,HLOOKUP('[1]Course Totals'!S$4,'[1]import success seats course'!$1:$2,2,FALSE),FALSE)/(VLOOKUP($A1032,'[1]import graded seats course pivo'!$A:AQ,HLOOKUP('[1]Course Totals'!S$4,'[1]import graded seats course pivo'!$1:$2,2,FALSE),FALSE))),"")</f>
        <v>1</v>
      </c>
      <c r="Z1032" s="7"/>
      <c r="AA1032" s="7"/>
      <c r="AB1032" s="7"/>
      <c r="AC1032" s="7"/>
    </row>
    <row r="1033" spans="1:29" ht="15.75" customHeight="1" x14ac:dyDescent="0.25">
      <c r="A1033" s="12" t="s">
        <v>492</v>
      </c>
      <c r="B1033" s="14" t="str">
        <f>IFERROR((VLOOKUP($A1033,'[1]import success seats course'!$A:P,HLOOKUP('[1]Course Totals'!B$4,'[1]import success seats course'!$1:$2,2,FALSE),FALSE)/(VLOOKUP($A1033,'[1]import graded seats course pivo'!$A:Z,HLOOKUP('[1]Course Totals'!B$4,'[1]import graded seats course pivo'!$1:$2,2,FALSE),FALSE))),"")</f>
        <v/>
      </c>
      <c r="C1033" s="14">
        <f>IFERROR((VLOOKUP($A1033,'[1]import success seats course'!$A:Q,HLOOKUP('[1]Course Totals'!C$4,'[1]import success seats course'!$1:$2,2,FALSE),FALSE)/(VLOOKUP($A1033,'[1]import graded seats course pivo'!$A:AA,HLOOKUP('[1]Course Totals'!C$4,'[1]import graded seats course pivo'!$1:$2,2,FALSE),FALSE))),"")</f>
        <v>0.92307692307692313</v>
      </c>
      <c r="D1033" s="14" t="str">
        <f>IFERROR((VLOOKUP($A1033,'[1]import success seats course'!$A:R,HLOOKUP('[1]Course Totals'!D$4,'[1]import success seats course'!$1:$2,2,FALSE),FALSE)/(VLOOKUP($A1033,'[1]import graded seats course pivo'!$A:AB,HLOOKUP('[1]Course Totals'!D$4,'[1]import graded seats course pivo'!$1:$2,2,FALSE),FALSE))),"")</f>
        <v/>
      </c>
      <c r="E1033" s="14" t="str">
        <f>IFERROR((VLOOKUP($A1033,'[1]import success seats course'!$A:S,HLOOKUP('[1]Course Totals'!E$4,'[1]import success seats course'!$1:$2,2,FALSE),FALSE)/(VLOOKUP($A1033,'[1]import graded seats course pivo'!$A:AC,HLOOKUP('[1]Course Totals'!E$4,'[1]import graded seats course pivo'!$1:$2,2,FALSE),FALSE))),"")</f>
        <v/>
      </c>
      <c r="F1033" s="14" t="str">
        <f>IFERROR((VLOOKUP($A1033,'[1]import success seats course'!$A:T,HLOOKUP('[1]Course Totals'!F$4,'[1]import success seats course'!$1:$2,2,FALSE),FALSE)/(VLOOKUP($A1033,'[1]import graded seats course pivo'!$A:AD,HLOOKUP('[1]Course Totals'!F$4,'[1]import graded seats course pivo'!$1:$2,2,FALSE),FALSE))),"")</f>
        <v/>
      </c>
      <c r="G1033" s="14" t="str">
        <f>IFERROR((VLOOKUP($A1033,'[1]import success seats course'!$A:U,HLOOKUP('[1]Course Totals'!G$4,'[1]import success seats course'!$1:$2,2,FALSE),FALSE)/(VLOOKUP($A1033,'[1]import graded seats course pivo'!$A:AE,HLOOKUP('[1]Course Totals'!G$4,'[1]import graded seats course pivo'!$1:$2,2,FALSE),FALSE))),"")</f>
        <v/>
      </c>
      <c r="H1033" s="14" t="str">
        <f>IFERROR((VLOOKUP($A1033,'[1]import success seats course'!$A:V,HLOOKUP('[1]Course Totals'!H$4,'[1]import success seats course'!$1:$2,2,FALSE),FALSE)/(VLOOKUP($A1033,'[1]import graded seats course pivo'!$A:AF,HLOOKUP('[1]Course Totals'!H$4,'[1]import graded seats course pivo'!$1:$2,2,FALSE),FALSE))),"")</f>
        <v/>
      </c>
      <c r="I1033" s="14" t="str">
        <f>IFERROR((VLOOKUP($A1033,'[1]import success seats course'!$A:W,HLOOKUP('[1]Course Totals'!I$4,'[1]import success seats course'!$1:$2,2,FALSE),FALSE)/(VLOOKUP($A1033,'[1]import graded seats course pivo'!$A:AG,HLOOKUP('[1]Course Totals'!I$4,'[1]import graded seats course pivo'!$1:$2,2,FALSE),FALSE))),"")</f>
        <v/>
      </c>
      <c r="J1033" s="14">
        <f>IFERROR((VLOOKUP($A1033,'[1]import success seats course'!$A:X,HLOOKUP('[1]Course Totals'!J$4,'[1]import success seats course'!$1:$2,2,FALSE),FALSE)/(VLOOKUP($A1033,'[1]import graded seats course pivo'!$A:AH,HLOOKUP('[1]Course Totals'!J$4,'[1]import graded seats course pivo'!$1:$2,2,FALSE),FALSE))),"")</f>
        <v>0.93333333333333335</v>
      </c>
      <c r="K1033" s="14" t="str">
        <f>IFERROR((VLOOKUP($A1033,'[1]import success seats course'!$A:Y,HLOOKUP('[1]Course Totals'!K$4,'[1]import success seats course'!$1:$2,2,FALSE),FALSE)/(VLOOKUP($A1033,'[1]import graded seats course pivo'!$A:AI,HLOOKUP('[1]Course Totals'!K$4,'[1]import graded seats course pivo'!$1:$2,2,FALSE),FALSE))),"")</f>
        <v/>
      </c>
      <c r="L1033" s="14" t="str">
        <f>IFERROR((VLOOKUP($A1033,'[1]import success seats course'!$A:Z,HLOOKUP('[1]Course Totals'!L$4,'[1]import success seats course'!$1:$2,2,FALSE),FALSE)/(VLOOKUP($A1033,'[1]import graded seats course pivo'!$A:AJ,HLOOKUP('[1]Course Totals'!L$4,'[1]import graded seats course pivo'!$1:$2,2,FALSE),FALSE))),"")</f>
        <v/>
      </c>
      <c r="M1033" s="14" t="str">
        <f>IFERROR((VLOOKUP($A1033,'[1]import success seats course'!$A:AA,HLOOKUP('[1]Course Totals'!M$4,'[1]import success seats course'!$1:$2,2,FALSE),FALSE)/(VLOOKUP($A1033,'[1]import graded seats course pivo'!$A:AK,HLOOKUP('[1]Course Totals'!M$4,'[1]import graded seats course pivo'!$1:$2,2,FALSE),FALSE))),"")</f>
        <v/>
      </c>
      <c r="N1033" s="14" t="str">
        <f>IFERROR((VLOOKUP($A1033,'[1]import success seats course'!$A:AB,HLOOKUP('[1]Course Totals'!N$4,'[1]import success seats course'!$1:$2,2,FALSE),FALSE)/(VLOOKUP($A1033,'[1]import graded seats course pivo'!$A:AL,HLOOKUP('[1]Course Totals'!N$4,'[1]import graded seats course pivo'!$1:$2,2,FALSE),FALSE))),"")</f>
        <v/>
      </c>
      <c r="O1033" s="14" t="str">
        <f>IFERROR((VLOOKUP($A1033,'[1]import success seats course'!$A:AC,HLOOKUP('[1]Course Totals'!O$4,'[1]import success seats course'!$1:$2,2,FALSE),FALSE)/(VLOOKUP($A1033,'[1]import graded seats course pivo'!$A:AM,HLOOKUP('[1]Course Totals'!O$4,'[1]import graded seats course pivo'!$1:$2,2,FALSE),FALSE))),"")</f>
        <v/>
      </c>
      <c r="P1033" s="14" t="str">
        <f>IFERROR((VLOOKUP($A1033,'[1]import success seats course'!$A:AD,HLOOKUP('[1]Course Totals'!P$4,'[1]import success seats course'!$1:$2,2,FALSE),FALSE)/(VLOOKUP($A1033,'[1]import graded seats course pivo'!$A:AN,HLOOKUP('[1]Course Totals'!P$4,'[1]import graded seats course pivo'!$1:$2,2,FALSE),FALSE))),"")</f>
        <v/>
      </c>
      <c r="Q1033" s="14" t="str">
        <f>IFERROR((VLOOKUP($A1033,'[1]import success seats course'!$A:AE,HLOOKUP('[1]Course Totals'!Q$4,'[1]import success seats course'!$1:$2,2,FALSE),FALSE)/(VLOOKUP($A1033,'[1]import graded seats course pivo'!$A:AO,HLOOKUP('[1]Course Totals'!Q$4,'[1]import graded seats course pivo'!$1:$2,2,FALSE),FALSE))),"")</f>
        <v/>
      </c>
      <c r="R1033" s="14" t="str">
        <f>IFERROR((VLOOKUP($A1033,'[1]import success seats course'!$A:AF,HLOOKUP('[1]Course Totals'!R$4,'[1]import success seats course'!$1:$2,2,FALSE),FALSE)/(VLOOKUP($A1033,'[1]import graded seats course pivo'!$A:AP,HLOOKUP('[1]Course Totals'!R$4,'[1]import graded seats course pivo'!$1:$2,2,FALSE),FALSE))),"")</f>
        <v/>
      </c>
      <c r="S1033" s="14" t="str">
        <f>IFERROR((VLOOKUP($A1033,'[1]import success seats course'!$A:AG,HLOOKUP('[1]Course Totals'!S$4,'[1]import success seats course'!$1:$2,2,FALSE),FALSE)/(VLOOKUP($A1033,'[1]import graded seats course pivo'!$A:AQ,HLOOKUP('[1]Course Totals'!S$4,'[1]import graded seats course pivo'!$1:$2,2,FALSE),FALSE))),"")</f>
        <v/>
      </c>
      <c r="Z1033" s="7"/>
      <c r="AA1033" s="7"/>
      <c r="AB1033" s="7"/>
      <c r="AC1033" s="7"/>
    </row>
    <row r="1034" spans="1:29" ht="15.75" customHeight="1" x14ac:dyDescent="0.25">
      <c r="A1034" s="12" t="s">
        <v>493</v>
      </c>
      <c r="B1034" s="14" t="str">
        <f>IFERROR((VLOOKUP($A1034,'[1]import success seats course'!$A:P,HLOOKUP('[1]Course Totals'!B$4,'[1]import success seats course'!$1:$2,2,FALSE),FALSE)/(VLOOKUP($A1034,'[1]import graded seats course pivo'!$A:Z,HLOOKUP('[1]Course Totals'!B$4,'[1]import graded seats course pivo'!$1:$2,2,FALSE),FALSE))),"")</f>
        <v/>
      </c>
      <c r="C1034" s="14">
        <f>IFERROR((VLOOKUP($A1034,'[1]import success seats course'!$A:Q,HLOOKUP('[1]Course Totals'!C$4,'[1]import success seats course'!$1:$2,2,FALSE),FALSE)/(VLOOKUP($A1034,'[1]import graded seats course pivo'!$A:AA,HLOOKUP('[1]Course Totals'!C$4,'[1]import graded seats course pivo'!$1:$2,2,FALSE),FALSE))),"")</f>
        <v>0.92</v>
      </c>
      <c r="D1034" s="14">
        <f>IFERROR((VLOOKUP($A1034,'[1]import success seats course'!$A:R,HLOOKUP('[1]Course Totals'!D$4,'[1]import success seats course'!$1:$2,2,FALSE),FALSE)/(VLOOKUP($A1034,'[1]import graded seats course pivo'!$A:AB,HLOOKUP('[1]Course Totals'!D$4,'[1]import graded seats course pivo'!$1:$2,2,FALSE),FALSE))),"")</f>
        <v>0.91891891891891897</v>
      </c>
      <c r="E1034" s="14" t="str">
        <f>IFERROR((VLOOKUP($A1034,'[1]import success seats course'!$A:S,HLOOKUP('[1]Course Totals'!E$4,'[1]import success seats course'!$1:$2,2,FALSE),FALSE)/(VLOOKUP($A1034,'[1]import graded seats course pivo'!$A:AC,HLOOKUP('[1]Course Totals'!E$4,'[1]import graded seats course pivo'!$1:$2,2,FALSE),FALSE))),"")</f>
        <v/>
      </c>
      <c r="F1034" s="14">
        <f>IFERROR((VLOOKUP($A1034,'[1]import success seats course'!$A:T,HLOOKUP('[1]Course Totals'!F$4,'[1]import success seats course'!$1:$2,2,FALSE),FALSE)/(VLOOKUP($A1034,'[1]import graded seats course pivo'!$A:AD,HLOOKUP('[1]Course Totals'!F$4,'[1]import graded seats course pivo'!$1:$2,2,FALSE),FALSE))),"")</f>
        <v>0.8</v>
      </c>
      <c r="G1034" s="14">
        <f>IFERROR((VLOOKUP($A1034,'[1]import success seats course'!$A:U,HLOOKUP('[1]Course Totals'!G$4,'[1]import success seats course'!$1:$2,2,FALSE),FALSE)/(VLOOKUP($A1034,'[1]import graded seats course pivo'!$A:AE,HLOOKUP('[1]Course Totals'!G$4,'[1]import graded seats course pivo'!$1:$2,2,FALSE),FALSE))),"")</f>
        <v>0.90243902439024393</v>
      </c>
      <c r="H1034" s="14" t="str">
        <f>IFERROR((VLOOKUP($A1034,'[1]import success seats course'!$A:V,HLOOKUP('[1]Course Totals'!H$4,'[1]import success seats course'!$1:$2,2,FALSE),FALSE)/(VLOOKUP($A1034,'[1]import graded seats course pivo'!$A:AF,HLOOKUP('[1]Course Totals'!H$4,'[1]import graded seats course pivo'!$1:$2,2,FALSE),FALSE))),"")</f>
        <v/>
      </c>
      <c r="I1034" s="14">
        <f>IFERROR((VLOOKUP($A1034,'[1]import success seats course'!$A:W,HLOOKUP('[1]Course Totals'!I$4,'[1]import success seats course'!$1:$2,2,FALSE),FALSE)/(VLOOKUP($A1034,'[1]import graded seats course pivo'!$A:AG,HLOOKUP('[1]Course Totals'!I$4,'[1]import graded seats course pivo'!$1:$2,2,FALSE),FALSE))),"")</f>
        <v>0.77083333333333337</v>
      </c>
      <c r="J1034" s="14">
        <f>IFERROR((VLOOKUP($A1034,'[1]import success seats course'!$A:X,HLOOKUP('[1]Course Totals'!J$4,'[1]import success seats course'!$1:$2,2,FALSE),FALSE)/(VLOOKUP($A1034,'[1]import graded seats course pivo'!$A:AH,HLOOKUP('[1]Course Totals'!J$4,'[1]import graded seats course pivo'!$1:$2,2,FALSE),FALSE))),"")</f>
        <v>0.77419354838709675</v>
      </c>
      <c r="K1034" s="14" t="str">
        <f>IFERROR((VLOOKUP($A1034,'[1]import success seats course'!$A:Y,HLOOKUP('[1]Course Totals'!K$4,'[1]import success seats course'!$1:$2,2,FALSE),FALSE)/(VLOOKUP($A1034,'[1]import graded seats course pivo'!$A:AI,HLOOKUP('[1]Course Totals'!K$4,'[1]import graded seats course pivo'!$1:$2,2,FALSE),FALSE))),"")</f>
        <v/>
      </c>
      <c r="L1034" s="14" t="str">
        <f>IFERROR((VLOOKUP($A1034,'[1]import success seats course'!$A:Z,HLOOKUP('[1]Course Totals'!L$4,'[1]import success seats course'!$1:$2,2,FALSE),FALSE)/(VLOOKUP($A1034,'[1]import graded seats course pivo'!$A:AJ,HLOOKUP('[1]Course Totals'!L$4,'[1]import graded seats course pivo'!$1:$2,2,FALSE),FALSE))),"")</f>
        <v/>
      </c>
      <c r="M1034" s="14">
        <f>IFERROR((VLOOKUP($A1034,'[1]import success seats course'!$A:AA,HLOOKUP('[1]Course Totals'!M$4,'[1]import success seats course'!$1:$2,2,FALSE),FALSE)/(VLOOKUP($A1034,'[1]import graded seats course pivo'!$A:AK,HLOOKUP('[1]Course Totals'!M$4,'[1]import graded seats course pivo'!$1:$2,2,FALSE),FALSE))),"")</f>
        <v>0.8571428571428571</v>
      </c>
      <c r="N1034" s="14" t="str">
        <f>IFERROR((VLOOKUP($A1034,'[1]import success seats course'!$A:AB,HLOOKUP('[1]Course Totals'!N$4,'[1]import success seats course'!$1:$2,2,FALSE),FALSE)/(VLOOKUP($A1034,'[1]import graded seats course pivo'!$A:AL,HLOOKUP('[1]Course Totals'!N$4,'[1]import graded seats course pivo'!$1:$2,2,FALSE),FALSE))),"")</f>
        <v/>
      </c>
      <c r="O1034" s="14">
        <f>IFERROR((VLOOKUP($A1034,'[1]import success seats course'!$A:AC,HLOOKUP('[1]Course Totals'!O$4,'[1]import success seats course'!$1:$2,2,FALSE),FALSE)/(VLOOKUP($A1034,'[1]import graded seats course pivo'!$A:AM,HLOOKUP('[1]Course Totals'!O$4,'[1]import graded seats course pivo'!$1:$2,2,FALSE),FALSE))),"")</f>
        <v>0.89655172413793105</v>
      </c>
      <c r="P1034" s="14">
        <f>IFERROR((VLOOKUP($A1034,'[1]import success seats course'!$A:AD,HLOOKUP('[1]Course Totals'!P$4,'[1]import success seats course'!$1:$2,2,FALSE),FALSE)/(VLOOKUP($A1034,'[1]import graded seats course pivo'!$A:AN,HLOOKUP('[1]Course Totals'!P$4,'[1]import graded seats course pivo'!$1:$2,2,FALSE),FALSE))),"")</f>
        <v>0.66666666666666663</v>
      </c>
      <c r="Q1034" s="14" t="str">
        <f>IFERROR((VLOOKUP($A1034,'[1]import success seats course'!$A:AE,HLOOKUP('[1]Course Totals'!Q$4,'[1]import success seats course'!$1:$2,2,FALSE),FALSE)/(VLOOKUP($A1034,'[1]import graded seats course pivo'!$A:AO,HLOOKUP('[1]Course Totals'!Q$4,'[1]import graded seats course pivo'!$1:$2,2,FALSE),FALSE))),"")</f>
        <v/>
      </c>
      <c r="R1034" s="14">
        <f>IFERROR((VLOOKUP($A1034,'[1]import success seats course'!$A:AF,HLOOKUP('[1]Course Totals'!R$4,'[1]import success seats course'!$1:$2,2,FALSE),FALSE)/(VLOOKUP($A1034,'[1]import graded seats course pivo'!$A:AP,HLOOKUP('[1]Course Totals'!R$4,'[1]import graded seats course pivo'!$1:$2,2,FALSE),FALSE))),"")</f>
        <v>0.88461538461538458</v>
      </c>
      <c r="S1034" s="14">
        <f>IFERROR((VLOOKUP($A1034,'[1]import success seats course'!$A:AG,HLOOKUP('[1]Course Totals'!S$4,'[1]import success seats course'!$1:$2,2,FALSE),FALSE)/(VLOOKUP($A1034,'[1]import graded seats course pivo'!$A:AQ,HLOOKUP('[1]Course Totals'!S$4,'[1]import graded seats course pivo'!$1:$2,2,FALSE),FALSE))),"")</f>
        <v>0.76923076923076927</v>
      </c>
      <c r="Z1034" s="7"/>
      <c r="AA1034" s="7"/>
      <c r="AB1034" s="7"/>
      <c r="AC1034" s="7"/>
    </row>
    <row r="1035" spans="1:29" ht="15.75" customHeight="1" x14ac:dyDescent="0.25">
      <c r="A1035" s="12" t="s">
        <v>494</v>
      </c>
      <c r="B1035" s="14" t="str">
        <f>IFERROR((VLOOKUP($A1035,'[1]import success seats course'!$A:P,HLOOKUP('[1]Course Totals'!B$4,'[1]import success seats course'!$1:$2,2,FALSE),FALSE)/(VLOOKUP($A1035,'[1]import graded seats course pivo'!$A:Z,HLOOKUP('[1]Course Totals'!B$4,'[1]import graded seats course pivo'!$1:$2,2,FALSE),FALSE))),"")</f>
        <v/>
      </c>
      <c r="C1035" s="14">
        <f>IFERROR((VLOOKUP($A1035,'[1]import success seats course'!$A:Q,HLOOKUP('[1]Course Totals'!C$4,'[1]import success seats course'!$1:$2,2,FALSE),FALSE)/(VLOOKUP($A1035,'[1]import graded seats course pivo'!$A:AA,HLOOKUP('[1]Course Totals'!C$4,'[1]import graded seats course pivo'!$1:$2,2,FALSE),FALSE))),"")</f>
        <v>0.7</v>
      </c>
      <c r="D1035" s="14">
        <f>IFERROR((VLOOKUP($A1035,'[1]import success seats course'!$A:R,HLOOKUP('[1]Course Totals'!D$4,'[1]import success seats course'!$1:$2,2,FALSE),FALSE)/(VLOOKUP($A1035,'[1]import graded seats course pivo'!$A:AB,HLOOKUP('[1]Course Totals'!D$4,'[1]import graded seats course pivo'!$1:$2,2,FALSE),FALSE))),"")</f>
        <v>0.84210526315789469</v>
      </c>
      <c r="E1035" s="14" t="str">
        <f>IFERROR((VLOOKUP($A1035,'[1]import success seats course'!$A:S,HLOOKUP('[1]Course Totals'!E$4,'[1]import success seats course'!$1:$2,2,FALSE),FALSE)/(VLOOKUP($A1035,'[1]import graded seats course pivo'!$A:AC,HLOOKUP('[1]Course Totals'!E$4,'[1]import graded seats course pivo'!$1:$2,2,FALSE),FALSE))),"")</f>
        <v/>
      </c>
      <c r="F1035" s="14" t="str">
        <f>IFERROR((VLOOKUP($A1035,'[1]import success seats course'!$A:T,HLOOKUP('[1]Course Totals'!F$4,'[1]import success seats course'!$1:$2,2,FALSE),FALSE)/(VLOOKUP($A1035,'[1]import graded seats course pivo'!$A:AD,HLOOKUP('[1]Course Totals'!F$4,'[1]import graded seats course pivo'!$1:$2,2,FALSE),FALSE))),"")</f>
        <v/>
      </c>
      <c r="G1035" s="14" t="str">
        <f>IFERROR((VLOOKUP($A1035,'[1]import success seats course'!$A:U,HLOOKUP('[1]Course Totals'!G$4,'[1]import success seats course'!$1:$2,2,FALSE),FALSE)/(VLOOKUP($A1035,'[1]import graded seats course pivo'!$A:AE,HLOOKUP('[1]Course Totals'!G$4,'[1]import graded seats course pivo'!$1:$2,2,FALSE),FALSE))),"")</f>
        <v/>
      </c>
      <c r="H1035" s="14" t="str">
        <f>IFERROR((VLOOKUP($A1035,'[1]import success seats course'!$A:V,HLOOKUP('[1]Course Totals'!H$4,'[1]import success seats course'!$1:$2,2,FALSE),FALSE)/(VLOOKUP($A1035,'[1]import graded seats course pivo'!$A:AF,HLOOKUP('[1]Course Totals'!H$4,'[1]import graded seats course pivo'!$1:$2,2,FALSE),FALSE))),"")</f>
        <v/>
      </c>
      <c r="I1035" s="14" t="str">
        <f>IFERROR((VLOOKUP($A1035,'[1]import success seats course'!$A:W,HLOOKUP('[1]Course Totals'!I$4,'[1]import success seats course'!$1:$2,2,FALSE),FALSE)/(VLOOKUP($A1035,'[1]import graded seats course pivo'!$A:AG,HLOOKUP('[1]Course Totals'!I$4,'[1]import graded seats course pivo'!$1:$2,2,FALSE),FALSE))),"")</f>
        <v/>
      </c>
      <c r="J1035" s="14">
        <f>IFERROR((VLOOKUP($A1035,'[1]import success seats course'!$A:X,HLOOKUP('[1]Course Totals'!J$4,'[1]import success seats course'!$1:$2,2,FALSE),FALSE)/(VLOOKUP($A1035,'[1]import graded seats course pivo'!$A:AH,HLOOKUP('[1]Course Totals'!J$4,'[1]import graded seats course pivo'!$1:$2,2,FALSE),FALSE))),"")</f>
        <v>0.85185185185185186</v>
      </c>
      <c r="K1035" s="14" t="str">
        <f>IFERROR((VLOOKUP($A1035,'[1]import success seats course'!$A:Y,HLOOKUP('[1]Course Totals'!K$4,'[1]import success seats course'!$1:$2,2,FALSE),FALSE)/(VLOOKUP($A1035,'[1]import graded seats course pivo'!$A:AI,HLOOKUP('[1]Course Totals'!K$4,'[1]import graded seats course pivo'!$1:$2,2,FALSE),FALSE))),"")</f>
        <v/>
      </c>
      <c r="L1035" s="14">
        <f>IFERROR((VLOOKUP($A1035,'[1]import success seats course'!$A:Z,HLOOKUP('[1]Course Totals'!L$4,'[1]import success seats course'!$1:$2,2,FALSE),FALSE)/(VLOOKUP($A1035,'[1]import graded seats course pivo'!$A:AJ,HLOOKUP('[1]Course Totals'!L$4,'[1]import graded seats course pivo'!$1:$2,2,FALSE),FALSE))),"")</f>
        <v>0.83333333333333337</v>
      </c>
      <c r="M1035" s="14" t="str">
        <f>IFERROR((VLOOKUP($A1035,'[1]import success seats course'!$A:AA,HLOOKUP('[1]Course Totals'!M$4,'[1]import success seats course'!$1:$2,2,FALSE),FALSE)/(VLOOKUP($A1035,'[1]import graded seats course pivo'!$A:AK,HLOOKUP('[1]Course Totals'!M$4,'[1]import graded seats course pivo'!$1:$2,2,FALSE),FALSE))),"")</f>
        <v/>
      </c>
      <c r="N1035" s="14" t="str">
        <f>IFERROR((VLOOKUP($A1035,'[1]import success seats course'!$A:AB,HLOOKUP('[1]Course Totals'!N$4,'[1]import success seats course'!$1:$2,2,FALSE),FALSE)/(VLOOKUP($A1035,'[1]import graded seats course pivo'!$A:AL,HLOOKUP('[1]Course Totals'!N$4,'[1]import graded seats course pivo'!$1:$2,2,FALSE),FALSE))),"")</f>
        <v/>
      </c>
      <c r="O1035" s="14">
        <f>IFERROR((VLOOKUP($A1035,'[1]import success seats course'!$A:AC,HLOOKUP('[1]Course Totals'!O$4,'[1]import success seats course'!$1:$2,2,FALSE),FALSE)/(VLOOKUP($A1035,'[1]import graded seats course pivo'!$A:AM,HLOOKUP('[1]Course Totals'!O$4,'[1]import graded seats course pivo'!$1:$2,2,FALSE),FALSE))),"")</f>
        <v>0.93548387096774188</v>
      </c>
      <c r="P1035" s="14">
        <f>IFERROR((VLOOKUP($A1035,'[1]import success seats course'!$A:AD,HLOOKUP('[1]Course Totals'!P$4,'[1]import success seats course'!$1:$2,2,FALSE),FALSE)/(VLOOKUP($A1035,'[1]import graded seats course pivo'!$A:AN,HLOOKUP('[1]Course Totals'!P$4,'[1]import graded seats course pivo'!$1:$2,2,FALSE),FALSE))),"")</f>
        <v>0.94594594594594594</v>
      </c>
      <c r="Q1035" s="14" t="str">
        <f>IFERROR((VLOOKUP($A1035,'[1]import success seats course'!$A:AE,HLOOKUP('[1]Course Totals'!Q$4,'[1]import success seats course'!$1:$2,2,FALSE),FALSE)/(VLOOKUP($A1035,'[1]import graded seats course pivo'!$A:AO,HLOOKUP('[1]Course Totals'!Q$4,'[1]import graded seats course pivo'!$1:$2,2,FALSE),FALSE))),"")</f>
        <v/>
      </c>
      <c r="R1035" s="14">
        <f>IFERROR((VLOOKUP($A1035,'[1]import success seats course'!$A:AF,HLOOKUP('[1]Course Totals'!R$4,'[1]import success seats course'!$1:$2,2,FALSE),FALSE)/(VLOOKUP($A1035,'[1]import graded seats course pivo'!$A:AP,HLOOKUP('[1]Course Totals'!R$4,'[1]import graded seats course pivo'!$1:$2,2,FALSE),FALSE))),"")</f>
        <v>0.90909090909090906</v>
      </c>
      <c r="S1035" s="14">
        <f>IFERROR((VLOOKUP($A1035,'[1]import success seats course'!$A:AG,HLOOKUP('[1]Course Totals'!S$4,'[1]import success seats course'!$1:$2,2,FALSE),FALSE)/(VLOOKUP($A1035,'[1]import graded seats course pivo'!$A:AQ,HLOOKUP('[1]Course Totals'!S$4,'[1]import graded seats course pivo'!$1:$2,2,FALSE),FALSE))),"")</f>
        <v>0.91304347826086951</v>
      </c>
      <c r="Z1035" s="7"/>
      <c r="AA1035" s="7"/>
      <c r="AB1035" s="7"/>
      <c r="AC1035" s="7"/>
    </row>
    <row r="1036" spans="1:29" ht="15.75" customHeight="1" x14ac:dyDescent="0.25">
      <c r="A1036" s="12" t="s">
        <v>495</v>
      </c>
      <c r="B1036" s="14" t="str">
        <f>IFERROR((VLOOKUP($A1036,'[1]import success seats course'!$A:P,HLOOKUP('[1]Course Totals'!B$4,'[1]import success seats course'!$1:$2,2,FALSE),FALSE)/(VLOOKUP($A1036,'[1]import graded seats course pivo'!$A:Z,HLOOKUP('[1]Course Totals'!B$4,'[1]import graded seats course pivo'!$1:$2,2,FALSE),FALSE))),"")</f>
        <v/>
      </c>
      <c r="C1036" s="14">
        <f>IFERROR((VLOOKUP($A1036,'[1]import success seats course'!$A:Q,HLOOKUP('[1]Course Totals'!C$4,'[1]import success seats course'!$1:$2,2,FALSE),FALSE)/(VLOOKUP($A1036,'[1]import graded seats course pivo'!$A:AA,HLOOKUP('[1]Course Totals'!C$4,'[1]import graded seats course pivo'!$1:$2,2,FALSE),FALSE))),"")</f>
        <v>1</v>
      </c>
      <c r="D1036" s="14">
        <f>IFERROR((VLOOKUP($A1036,'[1]import success seats course'!$A:R,HLOOKUP('[1]Course Totals'!D$4,'[1]import success seats course'!$1:$2,2,FALSE),FALSE)/(VLOOKUP($A1036,'[1]import graded seats course pivo'!$A:AB,HLOOKUP('[1]Course Totals'!D$4,'[1]import graded seats course pivo'!$1:$2,2,FALSE),FALSE))),"")</f>
        <v>0.93333333333333335</v>
      </c>
      <c r="E1036" s="14" t="str">
        <f>IFERROR((VLOOKUP($A1036,'[1]import success seats course'!$A:S,HLOOKUP('[1]Course Totals'!E$4,'[1]import success seats course'!$1:$2,2,FALSE),FALSE)/(VLOOKUP($A1036,'[1]import graded seats course pivo'!$A:AC,HLOOKUP('[1]Course Totals'!E$4,'[1]import graded seats course pivo'!$1:$2,2,FALSE),FALSE))),"")</f>
        <v/>
      </c>
      <c r="F1036" s="14" t="str">
        <f>IFERROR((VLOOKUP($A1036,'[1]import success seats course'!$A:T,HLOOKUP('[1]Course Totals'!F$4,'[1]import success seats course'!$1:$2,2,FALSE),FALSE)/(VLOOKUP($A1036,'[1]import graded seats course pivo'!$A:AD,HLOOKUP('[1]Course Totals'!F$4,'[1]import graded seats course pivo'!$1:$2,2,FALSE),FALSE))),"")</f>
        <v/>
      </c>
      <c r="G1036" s="14" t="str">
        <f>IFERROR((VLOOKUP($A1036,'[1]import success seats course'!$A:U,HLOOKUP('[1]Course Totals'!G$4,'[1]import success seats course'!$1:$2,2,FALSE),FALSE)/(VLOOKUP($A1036,'[1]import graded seats course pivo'!$A:AE,HLOOKUP('[1]Course Totals'!G$4,'[1]import graded seats course pivo'!$1:$2,2,FALSE),FALSE))),"")</f>
        <v/>
      </c>
      <c r="H1036" s="14" t="str">
        <f>IFERROR((VLOOKUP($A1036,'[1]import success seats course'!$A:V,HLOOKUP('[1]Course Totals'!H$4,'[1]import success seats course'!$1:$2,2,FALSE),FALSE)/(VLOOKUP($A1036,'[1]import graded seats course pivo'!$A:AF,HLOOKUP('[1]Course Totals'!H$4,'[1]import graded seats course pivo'!$1:$2,2,FALSE),FALSE))),"")</f>
        <v/>
      </c>
      <c r="I1036" s="14" t="str">
        <f>IFERROR((VLOOKUP($A1036,'[1]import success seats course'!$A:W,HLOOKUP('[1]Course Totals'!I$4,'[1]import success seats course'!$1:$2,2,FALSE),FALSE)/(VLOOKUP($A1036,'[1]import graded seats course pivo'!$A:AG,HLOOKUP('[1]Course Totals'!I$4,'[1]import graded seats course pivo'!$1:$2,2,FALSE),FALSE))),"")</f>
        <v/>
      </c>
      <c r="J1036" s="14" t="str">
        <f>IFERROR((VLOOKUP($A1036,'[1]import success seats course'!$A:X,HLOOKUP('[1]Course Totals'!J$4,'[1]import success seats course'!$1:$2,2,FALSE),FALSE)/(VLOOKUP($A1036,'[1]import graded seats course pivo'!$A:AH,HLOOKUP('[1]Course Totals'!J$4,'[1]import graded seats course pivo'!$1:$2,2,FALSE),FALSE))),"")</f>
        <v/>
      </c>
      <c r="K1036" s="14" t="str">
        <f>IFERROR((VLOOKUP($A1036,'[1]import success seats course'!$A:Y,HLOOKUP('[1]Course Totals'!K$4,'[1]import success seats course'!$1:$2,2,FALSE),FALSE)/(VLOOKUP($A1036,'[1]import graded seats course pivo'!$A:AI,HLOOKUP('[1]Course Totals'!K$4,'[1]import graded seats course pivo'!$1:$2,2,FALSE),FALSE))),"")</f>
        <v/>
      </c>
      <c r="L1036" s="14" t="str">
        <f>IFERROR((VLOOKUP($A1036,'[1]import success seats course'!$A:Z,HLOOKUP('[1]Course Totals'!L$4,'[1]import success seats course'!$1:$2,2,FALSE),FALSE)/(VLOOKUP($A1036,'[1]import graded seats course pivo'!$A:AJ,HLOOKUP('[1]Course Totals'!L$4,'[1]import graded seats course pivo'!$1:$2,2,FALSE),FALSE))),"")</f>
        <v/>
      </c>
      <c r="M1036" s="14" t="str">
        <f>IFERROR((VLOOKUP($A1036,'[1]import success seats course'!$A:AA,HLOOKUP('[1]Course Totals'!M$4,'[1]import success seats course'!$1:$2,2,FALSE),FALSE)/(VLOOKUP($A1036,'[1]import graded seats course pivo'!$A:AK,HLOOKUP('[1]Course Totals'!M$4,'[1]import graded seats course pivo'!$1:$2,2,FALSE),FALSE))),"")</f>
        <v/>
      </c>
      <c r="N1036" s="14" t="str">
        <f>IFERROR((VLOOKUP($A1036,'[1]import success seats course'!$A:AB,HLOOKUP('[1]Course Totals'!N$4,'[1]import success seats course'!$1:$2,2,FALSE),FALSE)/(VLOOKUP($A1036,'[1]import graded seats course pivo'!$A:AL,HLOOKUP('[1]Course Totals'!N$4,'[1]import graded seats course pivo'!$1:$2,2,FALSE),FALSE))),"")</f>
        <v/>
      </c>
      <c r="O1036" s="14">
        <f>IFERROR((VLOOKUP($A1036,'[1]import success seats course'!$A:AC,HLOOKUP('[1]Course Totals'!O$4,'[1]import success seats course'!$1:$2,2,FALSE),FALSE)/(VLOOKUP($A1036,'[1]import graded seats course pivo'!$A:AM,HLOOKUP('[1]Course Totals'!O$4,'[1]import graded seats course pivo'!$1:$2,2,FALSE),FALSE))),"")</f>
        <v>0.91666666666666663</v>
      </c>
      <c r="P1036" s="14">
        <f>IFERROR((VLOOKUP($A1036,'[1]import success seats course'!$A:AD,HLOOKUP('[1]Course Totals'!P$4,'[1]import success seats course'!$1:$2,2,FALSE),FALSE)/(VLOOKUP($A1036,'[1]import graded seats course pivo'!$A:AN,HLOOKUP('[1]Course Totals'!P$4,'[1]import graded seats course pivo'!$1:$2,2,FALSE),FALSE))),"")</f>
        <v>0.9</v>
      </c>
      <c r="Q1036" s="14" t="str">
        <f>IFERROR((VLOOKUP($A1036,'[1]import success seats course'!$A:AE,HLOOKUP('[1]Course Totals'!Q$4,'[1]import success seats course'!$1:$2,2,FALSE),FALSE)/(VLOOKUP($A1036,'[1]import graded seats course pivo'!$A:AO,HLOOKUP('[1]Course Totals'!Q$4,'[1]import graded seats course pivo'!$1:$2,2,FALSE),FALSE))),"")</f>
        <v/>
      </c>
      <c r="R1036" s="14" t="str">
        <f>IFERROR((VLOOKUP($A1036,'[1]import success seats course'!$A:AF,HLOOKUP('[1]Course Totals'!R$4,'[1]import success seats course'!$1:$2,2,FALSE),FALSE)/(VLOOKUP($A1036,'[1]import graded seats course pivo'!$A:AP,HLOOKUP('[1]Course Totals'!R$4,'[1]import graded seats course pivo'!$1:$2,2,FALSE),FALSE))),"")</f>
        <v/>
      </c>
      <c r="S1036" s="14" t="str">
        <f>IFERROR((VLOOKUP($A1036,'[1]import success seats course'!$A:AG,HLOOKUP('[1]Course Totals'!S$4,'[1]import success seats course'!$1:$2,2,FALSE),FALSE)/(VLOOKUP($A1036,'[1]import graded seats course pivo'!$A:AQ,HLOOKUP('[1]Course Totals'!S$4,'[1]import graded seats course pivo'!$1:$2,2,FALSE),FALSE))),"")</f>
        <v/>
      </c>
      <c r="Z1036" s="7"/>
      <c r="AA1036" s="7"/>
      <c r="AB1036" s="7"/>
      <c r="AC1036" s="7"/>
    </row>
    <row r="1037" spans="1:29" ht="15.75" customHeight="1" x14ac:dyDescent="0.25">
      <c r="A1037" s="12" t="s">
        <v>496</v>
      </c>
      <c r="B1037" s="14" t="str">
        <f>IFERROR((VLOOKUP($A1037,'[1]import success seats course'!$A:P,HLOOKUP('[1]Course Totals'!B$4,'[1]import success seats course'!$1:$2,2,FALSE),FALSE)/(VLOOKUP($A1037,'[1]import graded seats course pivo'!$A:Z,HLOOKUP('[1]Course Totals'!B$4,'[1]import graded seats course pivo'!$1:$2,2,FALSE),FALSE))),"")</f>
        <v/>
      </c>
      <c r="C1037" s="14">
        <f>IFERROR((VLOOKUP($A1037,'[1]import success seats course'!$A:Q,HLOOKUP('[1]Course Totals'!C$4,'[1]import success seats course'!$1:$2,2,FALSE),FALSE)/(VLOOKUP($A1037,'[1]import graded seats course pivo'!$A:AA,HLOOKUP('[1]Course Totals'!C$4,'[1]import graded seats course pivo'!$1:$2,2,FALSE),FALSE))),"")</f>
        <v>0.95454545454545459</v>
      </c>
      <c r="D1037" s="14" t="str">
        <f>IFERROR((VLOOKUP($A1037,'[1]import success seats course'!$A:R,HLOOKUP('[1]Course Totals'!D$4,'[1]import success seats course'!$1:$2,2,FALSE),FALSE)/(VLOOKUP($A1037,'[1]import graded seats course pivo'!$A:AB,HLOOKUP('[1]Course Totals'!D$4,'[1]import graded seats course pivo'!$1:$2,2,FALSE),FALSE))),"")</f>
        <v/>
      </c>
      <c r="E1037" s="14" t="str">
        <f>IFERROR((VLOOKUP($A1037,'[1]import success seats course'!$A:S,HLOOKUP('[1]Course Totals'!E$4,'[1]import success seats course'!$1:$2,2,FALSE),FALSE)/(VLOOKUP($A1037,'[1]import graded seats course pivo'!$A:AC,HLOOKUP('[1]Course Totals'!E$4,'[1]import graded seats course pivo'!$1:$2,2,FALSE),FALSE))),"")</f>
        <v/>
      </c>
      <c r="F1037" s="14" t="str">
        <f>IFERROR((VLOOKUP($A1037,'[1]import success seats course'!$A:T,HLOOKUP('[1]Course Totals'!F$4,'[1]import success seats course'!$1:$2,2,FALSE),FALSE)/(VLOOKUP($A1037,'[1]import graded seats course pivo'!$A:AD,HLOOKUP('[1]Course Totals'!F$4,'[1]import graded seats course pivo'!$1:$2,2,FALSE),FALSE))),"")</f>
        <v/>
      </c>
      <c r="G1037" s="14" t="str">
        <f>IFERROR((VLOOKUP($A1037,'[1]import success seats course'!$A:U,HLOOKUP('[1]Course Totals'!G$4,'[1]import success seats course'!$1:$2,2,FALSE),FALSE)/(VLOOKUP($A1037,'[1]import graded seats course pivo'!$A:AE,HLOOKUP('[1]Course Totals'!G$4,'[1]import graded seats course pivo'!$1:$2,2,FALSE),FALSE))),"")</f>
        <v/>
      </c>
      <c r="H1037" s="14" t="str">
        <f>IFERROR((VLOOKUP($A1037,'[1]import success seats course'!$A:V,HLOOKUP('[1]Course Totals'!H$4,'[1]import success seats course'!$1:$2,2,FALSE),FALSE)/(VLOOKUP($A1037,'[1]import graded seats course pivo'!$A:AF,HLOOKUP('[1]Course Totals'!H$4,'[1]import graded seats course pivo'!$1:$2,2,FALSE),FALSE))),"")</f>
        <v/>
      </c>
      <c r="I1037" s="14">
        <f>IFERROR((VLOOKUP($A1037,'[1]import success seats course'!$A:W,HLOOKUP('[1]Course Totals'!I$4,'[1]import success seats course'!$1:$2,2,FALSE),FALSE)/(VLOOKUP($A1037,'[1]import graded seats course pivo'!$A:AG,HLOOKUP('[1]Course Totals'!I$4,'[1]import graded seats course pivo'!$1:$2,2,FALSE),FALSE))),"")</f>
        <v>0.91666666666666663</v>
      </c>
      <c r="J1037" s="14" t="str">
        <f>IFERROR((VLOOKUP($A1037,'[1]import success seats course'!$A:X,HLOOKUP('[1]Course Totals'!J$4,'[1]import success seats course'!$1:$2,2,FALSE),FALSE)/(VLOOKUP($A1037,'[1]import graded seats course pivo'!$A:AH,HLOOKUP('[1]Course Totals'!J$4,'[1]import graded seats course pivo'!$1:$2,2,FALSE),FALSE))),"")</f>
        <v/>
      </c>
      <c r="K1037" s="14" t="str">
        <f>IFERROR((VLOOKUP($A1037,'[1]import success seats course'!$A:Y,HLOOKUP('[1]Course Totals'!K$4,'[1]import success seats course'!$1:$2,2,FALSE),FALSE)/(VLOOKUP($A1037,'[1]import graded seats course pivo'!$A:AI,HLOOKUP('[1]Course Totals'!K$4,'[1]import graded seats course pivo'!$1:$2,2,FALSE),FALSE))),"")</f>
        <v/>
      </c>
      <c r="L1037" s="14">
        <f>IFERROR((VLOOKUP($A1037,'[1]import success seats course'!$A:Z,HLOOKUP('[1]Course Totals'!L$4,'[1]import success seats course'!$1:$2,2,FALSE),FALSE)/(VLOOKUP($A1037,'[1]import graded seats course pivo'!$A:AJ,HLOOKUP('[1]Course Totals'!L$4,'[1]import graded seats course pivo'!$1:$2,2,FALSE),FALSE))),"")</f>
        <v>0.90909090909090906</v>
      </c>
      <c r="M1037" s="14">
        <f>IFERROR((VLOOKUP($A1037,'[1]import success seats course'!$A:AA,HLOOKUP('[1]Course Totals'!M$4,'[1]import success seats course'!$1:$2,2,FALSE),FALSE)/(VLOOKUP($A1037,'[1]import graded seats course pivo'!$A:AK,HLOOKUP('[1]Course Totals'!M$4,'[1]import graded seats course pivo'!$1:$2,2,FALSE),FALSE))),"")</f>
        <v>0.85</v>
      </c>
      <c r="N1037" s="14" t="str">
        <f>IFERROR((VLOOKUP($A1037,'[1]import success seats course'!$A:AB,HLOOKUP('[1]Course Totals'!N$4,'[1]import success seats course'!$1:$2,2,FALSE),FALSE)/(VLOOKUP($A1037,'[1]import graded seats course pivo'!$A:AL,HLOOKUP('[1]Course Totals'!N$4,'[1]import graded seats course pivo'!$1:$2,2,FALSE),FALSE))),"")</f>
        <v/>
      </c>
      <c r="O1037" s="14" t="str">
        <f>IFERROR((VLOOKUP($A1037,'[1]import success seats course'!$A:AC,HLOOKUP('[1]Course Totals'!O$4,'[1]import success seats course'!$1:$2,2,FALSE),FALSE)/(VLOOKUP($A1037,'[1]import graded seats course pivo'!$A:AM,HLOOKUP('[1]Course Totals'!O$4,'[1]import graded seats course pivo'!$1:$2,2,FALSE),FALSE))),"")</f>
        <v/>
      </c>
      <c r="P1037" s="14" t="str">
        <f>IFERROR((VLOOKUP($A1037,'[1]import success seats course'!$A:AD,HLOOKUP('[1]Course Totals'!P$4,'[1]import success seats course'!$1:$2,2,FALSE),FALSE)/(VLOOKUP($A1037,'[1]import graded seats course pivo'!$A:AN,HLOOKUP('[1]Course Totals'!P$4,'[1]import graded seats course pivo'!$1:$2,2,FALSE),FALSE))),"")</f>
        <v/>
      </c>
      <c r="Q1037" s="14" t="str">
        <f>IFERROR((VLOOKUP($A1037,'[1]import success seats course'!$A:AE,HLOOKUP('[1]Course Totals'!Q$4,'[1]import success seats course'!$1:$2,2,FALSE),FALSE)/(VLOOKUP($A1037,'[1]import graded seats course pivo'!$A:AO,HLOOKUP('[1]Course Totals'!Q$4,'[1]import graded seats course pivo'!$1:$2,2,FALSE),FALSE))),"")</f>
        <v/>
      </c>
      <c r="R1037" s="14" t="str">
        <f>IFERROR((VLOOKUP($A1037,'[1]import success seats course'!$A:AF,HLOOKUP('[1]Course Totals'!R$4,'[1]import success seats course'!$1:$2,2,FALSE),FALSE)/(VLOOKUP($A1037,'[1]import graded seats course pivo'!$A:AP,HLOOKUP('[1]Course Totals'!R$4,'[1]import graded seats course pivo'!$1:$2,2,FALSE),FALSE))),"")</f>
        <v/>
      </c>
      <c r="S1037" s="14" t="str">
        <f>IFERROR((VLOOKUP($A1037,'[1]import success seats course'!$A:AG,HLOOKUP('[1]Course Totals'!S$4,'[1]import success seats course'!$1:$2,2,FALSE),FALSE)/(VLOOKUP($A1037,'[1]import graded seats course pivo'!$A:AQ,HLOOKUP('[1]Course Totals'!S$4,'[1]import graded seats course pivo'!$1:$2,2,FALSE),FALSE))),"")</f>
        <v/>
      </c>
      <c r="Z1037" s="7"/>
      <c r="AA1037" s="7"/>
      <c r="AB1037" s="7"/>
      <c r="AC1037" s="7"/>
    </row>
    <row r="1038" spans="1:29" ht="15.75" customHeight="1" x14ac:dyDescent="0.25">
      <c r="A1038" s="12" t="s">
        <v>949</v>
      </c>
      <c r="B1038" s="14" t="str">
        <f>IFERROR((VLOOKUP($A1038,'[1]import success seats course'!$A:P,HLOOKUP('[1]Course Totals'!B$4,'[1]import success seats course'!$1:$2,2,FALSE),FALSE)/(VLOOKUP($A1038,'[1]import graded seats course pivo'!$A:Z,HLOOKUP('[1]Course Totals'!B$4,'[1]import graded seats course pivo'!$1:$2,2,FALSE),FALSE))),"")</f>
        <v/>
      </c>
      <c r="C1038" s="14" t="str">
        <f>IFERROR((VLOOKUP($A1038,'[1]import success seats course'!$A:Q,HLOOKUP('[1]Course Totals'!C$4,'[1]import success seats course'!$1:$2,2,FALSE),FALSE)/(VLOOKUP($A1038,'[1]import graded seats course pivo'!$A:AA,HLOOKUP('[1]Course Totals'!C$4,'[1]import graded seats course pivo'!$1:$2,2,FALSE),FALSE))),"")</f>
        <v/>
      </c>
      <c r="D1038" s="14">
        <f>IFERROR((VLOOKUP($A1038,'[1]import success seats course'!$A:R,HLOOKUP('[1]Course Totals'!D$4,'[1]import success seats course'!$1:$2,2,FALSE),FALSE)/(VLOOKUP($A1038,'[1]import graded seats course pivo'!$A:AB,HLOOKUP('[1]Course Totals'!D$4,'[1]import graded seats course pivo'!$1:$2,2,FALSE),FALSE))),"")</f>
        <v>1</v>
      </c>
      <c r="E1038" s="14" t="str">
        <f>IFERROR((VLOOKUP($A1038,'[1]import success seats course'!$A:S,HLOOKUP('[1]Course Totals'!E$4,'[1]import success seats course'!$1:$2,2,FALSE),FALSE)/(VLOOKUP($A1038,'[1]import graded seats course pivo'!$A:AC,HLOOKUP('[1]Course Totals'!E$4,'[1]import graded seats course pivo'!$1:$2,2,FALSE),FALSE))),"")</f>
        <v/>
      </c>
      <c r="F1038" s="14" t="str">
        <f>IFERROR((VLOOKUP($A1038,'[1]import success seats course'!$A:T,HLOOKUP('[1]Course Totals'!F$4,'[1]import success seats course'!$1:$2,2,FALSE),FALSE)/(VLOOKUP($A1038,'[1]import graded seats course pivo'!$A:AD,HLOOKUP('[1]Course Totals'!F$4,'[1]import graded seats course pivo'!$1:$2,2,FALSE),FALSE))),"")</f>
        <v/>
      </c>
      <c r="G1038" s="14">
        <f>IFERROR((VLOOKUP($A1038,'[1]import success seats course'!$A:U,HLOOKUP('[1]Course Totals'!G$4,'[1]import success seats course'!$1:$2,2,FALSE),FALSE)/(VLOOKUP($A1038,'[1]import graded seats course pivo'!$A:AE,HLOOKUP('[1]Course Totals'!G$4,'[1]import graded seats course pivo'!$1:$2,2,FALSE),FALSE))),"")</f>
        <v>0.2857142857142857</v>
      </c>
      <c r="H1038" s="14" t="str">
        <f>IFERROR((VLOOKUP($A1038,'[1]import success seats course'!$A:V,HLOOKUP('[1]Course Totals'!H$4,'[1]import success seats course'!$1:$2,2,FALSE),FALSE)/(VLOOKUP($A1038,'[1]import graded seats course pivo'!$A:AF,HLOOKUP('[1]Course Totals'!H$4,'[1]import graded seats course pivo'!$1:$2,2,FALSE),FALSE))),"")</f>
        <v/>
      </c>
      <c r="I1038" s="14" t="str">
        <f>IFERROR((VLOOKUP($A1038,'[1]import success seats course'!$A:W,HLOOKUP('[1]Course Totals'!I$4,'[1]import success seats course'!$1:$2,2,FALSE),FALSE)/(VLOOKUP($A1038,'[1]import graded seats course pivo'!$A:AG,HLOOKUP('[1]Course Totals'!I$4,'[1]import graded seats course pivo'!$1:$2,2,FALSE),FALSE))),"")</f>
        <v/>
      </c>
      <c r="J1038" s="14" t="str">
        <f>IFERROR((VLOOKUP($A1038,'[1]import success seats course'!$A:X,HLOOKUP('[1]Course Totals'!J$4,'[1]import success seats course'!$1:$2,2,FALSE),FALSE)/(VLOOKUP($A1038,'[1]import graded seats course pivo'!$A:AH,HLOOKUP('[1]Course Totals'!J$4,'[1]import graded seats course pivo'!$1:$2,2,FALSE),FALSE))),"")</f>
        <v/>
      </c>
      <c r="K1038" s="14" t="str">
        <f>IFERROR((VLOOKUP($A1038,'[1]import success seats course'!$A:Y,HLOOKUP('[1]Course Totals'!K$4,'[1]import success seats course'!$1:$2,2,FALSE),FALSE)/(VLOOKUP($A1038,'[1]import graded seats course pivo'!$A:AI,HLOOKUP('[1]Course Totals'!K$4,'[1]import graded seats course pivo'!$1:$2,2,FALSE),FALSE))),"")</f>
        <v/>
      </c>
      <c r="L1038" s="14" t="str">
        <f>IFERROR((VLOOKUP($A1038,'[1]import success seats course'!$A:Z,HLOOKUP('[1]Course Totals'!L$4,'[1]import success seats course'!$1:$2,2,FALSE),FALSE)/(VLOOKUP($A1038,'[1]import graded seats course pivo'!$A:AJ,HLOOKUP('[1]Course Totals'!L$4,'[1]import graded seats course pivo'!$1:$2,2,FALSE),FALSE))),"")</f>
        <v/>
      </c>
      <c r="M1038" s="14" t="str">
        <f>IFERROR((VLOOKUP($A1038,'[1]import success seats course'!$A:AA,HLOOKUP('[1]Course Totals'!M$4,'[1]import success seats course'!$1:$2,2,FALSE),FALSE)/(VLOOKUP($A1038,'[1]import graded seats course pivo'!$A:AK,HLOOKUP('[1]Course Totals'!M$4,'[1]import graded seats course pivo'!$1:$2,2,FALSE),FALSE))),"")</f>
        <v/>
      </c>
      <c r="N1038" s="14" t="str">
        <f>IFERROR((VLOOKUP($A1038,'[1]import success seats course'!$A:AB,HLOOKUP('[1]Course Totals'!N$4,'[1]import success seats course'!$1:$2,2,FALSE),FALSE)/(VLOOKUP($A1038,'[1]import graded seats course pivo'!$A:AL,HLOOKUP('[1]Course Totals'!N$4,'[1]import graded seats course pivo'!$1:$2,2,FALSE),FALSE))),"")</f>
        <v/>
      </c>
      <c r="O1038" s="14" t="str">
        <f>IFERROR((VLOOKUP($A1038,'[1]import success seats course'!$A:AC,HLOOKUP('[1]Course Totals'!O$4,'[1]import success seats course'!$1:$2,2,FALSE),FALSE)/(VLOOKUP($A1038,'[1]import graded seats course pivo'!$A:AM,HLOOKUP('[1]Course Totals'!O$4,'[1]import graded seats course pivo'!$1:$2,2,FALSE),FALSE))),"")</f>
        <v/>
      </c>
      <c r="P1038" s="14" t="str">
        <f>IFERROR((VLOOKUP($A1038,'[1]import success seats course'!$A:AD,HLOOKUP('[1]Course Totals'!P$4,'[1]import success seats course'!$1:$2,2,FALSE),FALSE)/(VLOOKUP($A1038,'[1]import graded seats course pivo'!$A:AN,HLOOKUP('[1]Course Totals'!P$4,'[1]import graded seats course pivo'!$1:$2,2,FALSE),FALSE))),"")</f>
        <v/>
      </c>
      <c r="Q1038" s="14" t="str">
        <f>IFERROR((VLOOKUP($A1038,'[1]import success seats course'!$A:AE,HLOOKUP('[1]Course Totals'!Q$4,'[1]import success seats course'!$1:$2,2,FALSE),FALSE)/(VLOOKUP($A1038,'[1]import graded seats course pivo'!$A:AO,HLOOKUP('[1]Course Totals'!Q$4,'[1]import graded seats course pivo'!$1:$2,2,FALSE),FALSE))),"")</f>
        <v/>
      </c>
      <c r="R1038" s="14">
        <f>IFERROR((VLOOKUP($A1038,'[1]import success seats course'!$A:AF,HLOOKUP('[1]Course Totals'!R$4,'[1]import success seats course'!$1:$2,2,FALSE),FALSE)/(VLOOKUP($A1038,'[1]import graded seats course pivo'!$A:AP,HLOOKUP('[1]Course Totals'!R$4,'[1]import graded seats course pivo'!$1:$2,2,FALSE),FALSE))),"")</f>
        <v>1</v>
      </c>
      <c r="S1038" s="14">
        <f>IFERROR((VLOOKUP($A1038,'[1]import success seats course'!$A:AG,HLOOKUP('[1]Course Totals'!S$4,'[1]import success seats course'!$1:$2,2,FALSE),FALSE)/(VLOOKUP($A1038,'[1]import graded seats course pivo'!$A:AQ,HLOOKUP('[1]Course Totals'!S$4,'[1]import graded seats course pivo'!$1:$2,2,FALSE),FALSE))),"")</f>
        <v>1</v>
      </c>
      <c r="Z1038" s="7"/>
      <c r="AA1038" s="7"/>
      <c r="AB1038" s="7"/>
      <c r="AC1038" s="7"/>
    </row>
    <row r="1039" spans="1:29" ht="15.75" customHeight="1" x14ac:dyDescent="0.25">
      <c r="A1039" s="12" t="s">
        <v>497</v>
      </c>
      <c r="B1039" s="14" t="str">
        <f>IFERROR((VLOOKUP($A1039,'[1]import success seats course'!$A:P,HLOOKUP('[1]Course Totals'!B$4,'[1]import success seats course'!$1:$2,2,FALSE),FALSE)/(VLOOKUP($A1039,'[1]import graded seats course pivo'!$A:Z,HLOOKUP('[1]Course Totals'!B$4,'[1]import graded seats course pivo'!$1:$2,2,FALSE),FALSE))),"")</f>
        <v/>
      </c>
      <c r="C1039" s="14" t="str">
        <f>IFERROR((VLOOKUP($A1039,'[1]import success seats course'!$A:Q,HLOOKUP('[1]Course Totals'!C$4,'[1]import success seats course'!$1:$2,2,FALSE),FALSE)/(VLOOKUP($A1039,'[1]import graded seats course pivo'!$A:AA,HLOOKUP('[1]Course Totals'!C$4,'[1]import graded seats course pivo'!$1:$2,2,FALSE),FALSE))),"")</f>
        <v/>
      </c>
      <c r="D1039" s="14" t="str">
        <f>IFERROR((VLOOKUP($A1039,'[1]import success seats course'!$A:R,HLOOKUP('[1]Course Totals'!D$4,'[1]import success seats course'!$1:$2,2,FALSE),FALSE)/(VLOOKUP($A1039,'[1]import graded seats course pivo'!$A:AB,HLOOKUP('[1]Course Totals'!D$4,'[1]import graded seats course pivo'!$1:$2,2,FALSE),FALSE))),"")</f>
        <v/>
      </c>
      <c r="E1039" s="14" t="str">
        <f>IFERROR((VLOOKUP($A1039,'[1]import success seats course'!$A:S,HLOOKUP('[1]Course Totals'!E$4,'[1]import success seats course'!$1:$2,2,FALSE),FALSE)/(VLOOKUP($A1039,'[1]import graded seats course pivo'!$A:AC,HLOOKUP('[1]Course Totals'!E$4,'[1]import graded seats course pivo'!$1:$2,2,FALSE),FALSE))),"")</f>
        <v/>
      </c>
      <c r="F1039" s="14" t="str">
        <f>IFERROR((VLOOKUP($A1039,'[1]import success seats course'!$A:T,HLOOKUP('[1]Course Totals'!F$4,'[1]import success seats course'!$1:$2,2,FALSE),FALSE)/(VLOOKUP($A1039,'[1]import graded seats course pivo'!$A:AD,HLOOKUP('[1]Course Totals'!F$4,'[1]import graded seats course pivo'!$1:$2,2,FALSE),FALSE))),"")</f>
        <v/>
      </c>
      <c r="G1039" s="14">
        <f>IFERROR((VLOOKUP($A1039,'[1]import success seats course'!$A:U,HLOOKUP('[1]Course Totals'!G$4,'[1]import success seats course'!$1:$2,2,FALSE),FALSE)/(VLOOKUP($A1039,'[1]import graded seats course pivo'!$A:AE,HLOOKUP('[1]Course Totals'!G$4,'[1]import graded seats course pivo'!$1:$2,2,FALSE),FALSE))),"")</f>
        <v>0.875</v>
      </c>
      <c r="H1039" s="14" t="str">
        <f>IFERROR((VLOOKUP($A1039,'[1]import success seats course'!$A:V,HLOOKUP('[1]Course Totals'!H$4,'[1]import success seats course'!$1:$2,2,FALSE),FALSE)/(VLOOKUP($A1039,'[1]import graded seats course pivo'!$A:AF,HLOOKUP('[1]Course Totals'!H$4,'[1]import graded seats course pivo'!$1:$2,2,FALSE),FALSE))),"")</f>
        <v/>
      </c>
      <c r="I1039" s="14">
        <f>IFERROR((VLOOKUP($A1039,'[1]import success seats course'!$A:W,HLOOKUP('[1]Course Totals'!I$4,'[1]import success seats course'!$1:$2,2,FALSE),FALSE)/(VLOOKUP($A1039,'[1]import graded seats course pivo'!$A:AG,HLOOKUP('[1]Course Totals'!I$4,'[1]import graded seats course pivo'!$1:$2,2,FALSE),FALSE))),"")</f>
        <v>1</v>
      </c>
      <c r="J1039" s="14">
        <f>IFERROR((VLOOKUP($A1039,'[1]import success seats course'!$A:X,HLOOKUP('[1]Course Totals'!J$4,'[1]import success seats course'!$1:$2,2,FALSE),FALSE)/(VLOOKUP($A1039,'[1]import graded seats course pivo'!$A:AH,HLOOKUP('[1]Course Totals'!J$4,'[1]import graded seats course pivo'!$1:$2,2,FALSE),FALSE))),"")</f>
        <v>0.90909090909090906</v>
      </c>
      <c r="K1039" s="14" t="str">
        <f>IFERROR((VLOOKUP($A1039,'[1]import success seats course'!$A:Y,HLOOKUP('[1]Course Totals'!K$4,'[1]import success seats course'!$1:$2,2,FALSE),FALSE)/(VLOOKUP($A1039,'[1]import graded seats course pivo'!$A:AI,HLOOKUP('[1]Course Totals'!K$4,'[1]import graded seats course pivo'!$1:$2,2,FALSE),FALSE))),"")</f>
        <v/>
      </c>
      <c r="L1039" s="14" t="str">
        <f>IFERROR((VLOOKUP($A1039,'[1]import success seats course'!$A:Z,HLOOKUP('[1]Course Totals'!L$4,'[1]import success seats course'!$1:$2,2,FALSE),FALSE)/(VLOOKUP($A1039,'[1]import graded seats course pivo'!$A:AJ,HLOOKUP('[1]Course Totals'!L$4,'[1]import graded seats course pivo'!$1:$2,2,FALSE),FALSE))),"")</f>
        <v/>
      </c>
      <c r="M1039" s="14" t="str">
        <f>IFERROR((VLOOKUP($A1039,'[1]import success seats course'!$A:AA,HLOOKUP('[1]Course Totals'!M$4,'[1]import success seats course'!$1:$2,2,FALSE),FALSE)/(VLOOKUP($A1039,'[1]import graded seats course pivo'!$A:AK,HLOOKUP('[1]Course Totals'!M$4,'[1]import graded seats course pivo'!$1:$2,2,FALSE),FALSE))),"")</f>
        <v/>
      </c>
      <c r="N1039" s="14" t="str">
        <f>IFERROR((VLOOKUP($A1039,'[1]import success seats course'!$A:AB,HLOOKUP('[1]Course Totals'!N$4,'[1]import success seats course'!$1:$2,2,FALSE),FALSE)/(VLOOKUP($A1039,'[1]import graded seats course pivo'!$A:AL,HLOOKUP('[1]Course Totals'!N$4,'[1]import graded seats course pivo'!$1:$2,2,FALSE),FALSE))),"")</f>
        <v/>
      </c>
      <c r="O1039" s="14" t="str">
        <f>IFERROR((VLOOKUP($A1039,'[1]import success seats course'!$A:AC,HLOOKUP('[1]Course Totals'!O$4,'[1]import success seats course'!$1:$2,2,FALSE),FALSE)/(VLOOKUP($A1039,'[1]import graded seats course pivo'!$A:AM,HLOOKUP('[1]Course Totals'!O$4,'[1]import graded seats course pivo'!$1:$2,2,FALSE),FALSE))),"")</f>
        <v/>
      </c>
      <c r="P1039" s="14" t="str">
        <f>IFERROR((VLOOKUP($A1039,'[1]import success seats course'!$A:AD,HLOOKUP('[1]Course Totals'!P$4,'[1]import success seats course'!$1:$2,2,FALSE),FALSE)/(VLOOKUP($A1039,'[1]import graded seats course pivo'!$A:AN,HLOOKUP('[1]Course Totals'!P$4,'[1]import graded seats course pivo'!$1:$2,2,FALSE),FALSE))),"")</f>
        <v/>
      </c>
      <c r="Q1039" s="14" t="str">
        <f>IFERROR((VLOOKUP($A1039,'[1]import success seats course'!$A:AE,HLOOKUP('[1]Course Totals'!Q$4,'[1]import success seats course'!$1:$2,2,FALSE),FALSE)/(VLOOKUP($A1039,'[1]import graded seats course pivo'!$A:AO,HLOOKUP('[1]Course Totals'!Q$4,'[1]import graded seats course pivo'!$1:$2,2,FALSE),FALSE))),"")</f>
        <v/>
      </c>
      <c r="R1039" s="14" t="str">
        <f>IFERROR((VLOOKUP($A1039,'[1]import success seats course'!$A:AF,HLOOKUP('[1]Course Totals'!R$4,'[1]import success seats course'!$1:$2,2,FALSE),FALSE)/(VLOOKUP($A1039,'[1]import graded seats course pivo'!$A:AP,HLOOKUP('[1]Course Totals'!R$4,'[1]import graded seats course pivo'!$1:$2,2,FALSE),FALSE))),"")</f>
        <v/>
      </c>
      <c r="S1039" s="14" t="str">
        <f>IFERROR((VLOOKUP($A1039,'[1]import success seats course'!$A:AG,HLOOKUP('[1]Course Totals'!S$4,'[1]import success seats course'!$1:$2,2,FALSE),FALSE)/(VLOOKUP($A1039,'[1]import graded seats course pivo'!$A:AQ,HLOOKUP('[1]Course Totals'!S$4,'[1]import graded seats course pivo'!$1:$2,2,FALSE),FALSE))),"")</f>
        <v/>
      </c>
      <c r="Z1039" s="7"/>
      <c r="AA1039" s="7"/>
      <c r="AB1039" s="7"/>
      <c r="AC1039" s="7"/>
    </row>
    <row r="1040" spans="1:29" ht="15.75" customHeight="1" x14ac:dyDescent="0.25">
      <c r="A1040" s="12" t="s">
        <v>498</v>
      </c>
      <c r="B1040" s="14" t="str">
        <f>IFERROR((VLOOKUP($A1040,'[1]import success seats course'!$A:P,HLOOKUP('[1]Course Totals'!B$4,'[1]import success seats course'!$1:$2,2,FALSE),FALSE)/(VLOOKUP($A1040,'[1]import graded seats course pivo'!$A:Z,HLOOKUP('[1]Course Totals'!B$4,'[1]import graded seats course pivo'!$1:$2,2,FALSE),FALSE))),"")</f>
        <v/>
      </c>
      <c r="C1040" s="14" t="str">
        <f>IFERROR((VLOOKUP($A1040,'[1]import success seats course'!$A:Q,HLOOKUP('[1]Course Totals'!C$4,'[1]import success seats course'!$1:$2,2,FALSE),FALSE)/(VLOOKUP($A1040,'[1]import graded seats course pivo'!$A:AA,HLOOKUP('[1]Course Totals'!C$4,'[1]import graded seats course pivo'!$1:$2,2,FALSE),FALSE))),"")</f>
        <v/>
      </c>
      <c r="D1040" s="14" t="str">
        <f>IFERROR((VLOOKUP($A1040,'[1]import success seats course'!$A:R,HLOOKUP('[1]Course Totals'!D$4,'[1]import success seats course'!$1:$2,2,FALSE),FALSE)/(VLOOKUP($A1040,'[1]import graded seats course pivo'!$A:AB,HLOOKUP('[1]Course Totals'!D$4,'[1]import graded seats course pivo'!$1:$2,2,FALSE),FALSE))),"")</f>
        <v/>
      </c>
      <c r="E1040" s="14" t="str">
        <f>IFERROR((VLOOKUP($A1040,'[1]import success seats course'!$A:S,HLOOKUP('[1]Course Totals'!E$4,'[1]import success seats course'!$1:$2,2,FALSE),FALSE)/(VLOOKUP($A1040,'[1]import graded seats course pivo'!$A:AC,HLOOKUP('[1]Course Totals'!E$4,'[1]import graded seats course pivo'!$1:$2,2,FALSE),FALSE))),"")</f>
        <v/>
      </c>
      <c r="F1040" s="14" t="str">
        <f>IFERROR((VLOOKUP($A1040,'[1]import success seats course'!$A:T,HLOOKUP('[1]Course Totals'!F$4,'[1]import success seats course'!$1:$2,2,FALSE),FALSE)/(VLOOKUP($A1040,'[1]import graded seats course pivo'!$A:AD,HLOOKUP('[1]Course Totals'!F$4,'[1]import graded seats course pivo'!$1:$2,2,FALSE),FALSE))),"")</f>
        <v/>
      </c>
      <c r="G1040" s="14" t="str">
        <f>IFERROR((VLOOKUP($A1040,'[1]import success seats course'!$A:U,HLOOKUP('[1]Course Totals'!G$4,'[1]import success seats course'!$1:$2,2,FALSE),FALSE)/(VLOOKUP($A1040,'[1]import graded seats course pivo'!$A:AE,HLOOKUP('[1]Course Totals'!G$4,'[1]import graded seats course pivo'!$1:$2,2,FALSE),FALSE))),"")</f>
        <v/>
      </c>
      <c r="H1040" s="14" t="str">
        <f>IFERROR((VLOOKUP($A1040,'[1]import success seats course'!$A:V,HLOOKUP('[1]Course Totals'!H$4,'[1]import success seats course'!$1:$2,2,FALSE),FALSE)/(VLOOKUP($A1040,'[1]import graded seats course pivo'!$A:AF,HLOOKUP('[1]Course Totals'!H$4,'[1]import graded seats course pivo'!$1:$2,2,FALSE),FALSE))),"")</f>
        <v/>
      </c>
      <c r="I1040" s="14" t="str">
        <f>IFERROR((VLOOKUP($A1040,'[1]import success seats course'!$A:W,HLOOKUP('[1]Course Totals'!I$4,'[1]import success seats course'!$1:$2,2,FALSE),FALSE)/(VLOOKUP($A1040,'[1]import graded seats course pivo'!$A:AG,HLOOKUP('[1]Course Totals'!I$4,'[1]import graded seats course pivo'!$1:$2,2,FALSE),FALSE))),"")</f>
        <v/>
      </c>
      <c r="J1040" s="14">
        <f>IFERROR((VLOOKUP($A1040,'[1]import success seats course'!$A:X,HLOOKUP('[1]Course Totals'!J$4,'[1]import success seats course'!$1:$2,2,FALSE),FALSE)/(VLOOKUP($A1040,'[1]import graded seats course pivo'!$A:AH,HLOOKUP('[1]Course Totals'!J$4,'[1]import graded seats course pivo'!$1:$2,2,FALSE),FALSE))),"")</f>
        <v>0.5161290322580645</v>
      </c>
      <c r="K1040" s="14" t="str">
        <f>IFERROR((VLOOKUP($A1040,'[1]import success seats course'!$A:Y,HLOOKUP('[1]Course Totals'!K$4,'[1]import success seats course'!$1:$2,2,FALSE),FALSE)/(VLOOKUP($A1040,'[1]import graded seats course pivo'!$A:AI,HLOOKUP('[1]Course Totals'!K$4,'[1]import graded seats course pivo'!$1:$2,2,FALSE),FALSE))),"")</f>
        <v/>
      </c>
      <c r="L1040" s="14">
        <f>IFERROR((VLOOKUP($A1040,'[1]import success seats course'!$A:Z,HLOOKUP('[1]Course Totals'!L$4,'[1]import success seats course'!$1:$2,2,FALSE),FALSE)/(VLOOKUP($A1040,'[1]import graded seats course pivo'!$A:AJ,HLOOKUP('[1]Course Totals'!L$4,'[1]import graded seats course pivo'!$1:$2,2,FALSE),FALSE))),"")</f>
        <v>0.88571428571428568</v>
      </c>
      <c r="M1040" s="14">
        <f>IFERROR((VLOOKUP($A1040,'[1]import success seats course'!$A:AA,HLOOKUP('[1]Course Totals'!M$4,'[1]import success seats course'!$1:$2,2,FALSE),FALSE)/(VLOOKUP($A1040,'[1]import graded seats course pivo'!$A:AK,HLOOKUP('[1]Course Totals'!M$4,'[1]import graded seats course pivo'!$1:$2,2,FALSE),FALSE))),"")</f>
        <v>0.84848484848484851</v>
      </c>
      <c r="N1040" s="14" t="str">
        <f>IFERROR((VLOOKUP($A1040,'[1]import success seats course'!$A:AB,HLOOKUP('[1]Course Totals'!N$4,'[1]import success seats course'!$1:$2,2,FALSE),FALSE)/(VLOOKUP($A1040,'[1]import graded seats course pivo'!$A:AL,HLOOKUP('[1]Course Totals'!N$4,'[1]import graded seats course pivo'!$1:$2,2,FALSE),FALSE))),"")</f>
        <v/>
      </c>
      <c r="O1040" s="14">
        <f>IFERROR((VLOOKUP($A1040,'[1]import success seats course'!$A:AC,HLOOKUP('[1]Course Totals'!O$4,'[1]import success seats course'!$1:$2,2,FALSE),FALSE)/(VLOOKUP($A1040,'[1]import graded seats course pivo'!$A:AM,HLOOKUP('[1]Course Totals'!O$4,'[1]import graded seats course pivo'!$1:$2,2,FALSE),FALSE))),"")</f>
        <v>0.875</v>
      </c>
      <c r="P1040" s="14">
        <f>IFERROR((VLOOKUP($A1040,'[1]import success seats course'!$A:AD,HLOOKUP('[1]Course Totals'!P$4,'[1]import success seats course'!$1:$2,2,FALSE),FALSE)/(VLOOKUP($A1040,'[1]import graded seats course pivo'!$A:AN,HLOOKUP('[1]Course Totals'!P$4,'[1]import graded seats course pivo'!$1:$2,2,FALSE),FALSE))),"")</f>
        <v>0.7857142857142857</v>
      </c>
      <c r="Q1040" s="14" t="str">
        <f>IFERROR((VLOOKUP($A1040,'[1]import success seats course'!$A:AE,HLOOKUP('[1]Course Totals'!Q$4,'[1]import success seats course'!$1:$2,2,FALSE),FALSE)/(VLOOKUP($A1040,'[1]import graded seats course pivo'!$A:AO,HLOOKUP('[1]Course Totals'!Q$4,'[1]import graded seats course pivo'!$1:$2,2,FALSE),FALSE))),"")</f>
        <v/>
      </c>
      <c r="R1040" s="14">
        <f>IFERROR((VLOOKUP($A1040,'[1]import success seats course'!$A:AF,HLOOKUP('[1]Course Totals'!R$4,'[1]import success seats course'!$1:$2,2,FALSE),FALSE)/(VLOOKUP($A1040,'[1]import graded seats course pivo'!$A:AP,HLOOKUP('[1]Course Totals'!R$4,'[1]import graded seats course pivo'!$1:$2,2,FALSE),FALSE))),"")</f>
        <v>0.86956521739130432</v>
      </c>
      <c r="S1040" s="14">
        <f>IFERROR((VLOOKUP($A1040,'[1]import success seats course'!$A:AG,HLOOKUP('[1]Course Totals'!S$4,'[1]import success seats course'!$1:$2,2,FALSE),FALSE)/(VLOOKUP($A1040,'[1]import graded seats course pivo'!$A:AQ,HLOOKUP('[1]Course Totals'!S$4,'[1]import graded seats course pivo'!$1:$2,2,FALSE),FALSE))),"")</f>
        <v>0.94285714285714284</v>
      </c>
      <c r="Z1040" s="7"/>
      <c r="AA1040" s="7"/>
      <c r="AB1040" s="7"/>
      <c r="AC1040" s="7"/>
    </row>
    <row r="1041" spans="1:29" ht="15.75" customHeight="1" x14ac:dyDescent="0.25">
      <c r="A1041" s="12" t="s">
        <v>755</v>
      </c>
      <c r="B1041" s="14" t="str">
        <f>IFERROR((VLOOKUP($A1041,'[1]import success seats course'!$A:P,HLOOKUP('[1]Course Totals'!B$4,'[1]import success seats course'!$1:$2,2,FALSE),FALSE)/(VLOOKUP($A1041,'[1]import graded seats course pivo'!$A:Z,HLOOKUP('[1]Course Totals'!B$4,'[1]import graded seats course pivo'!$1:$2,2,FALSE),FALSE))),"")</f>
        <v/>
      </c>
      <c r="C1041" s="14" t="str">
        <f>IFERROR((VLOOKUP($A1041,'[1]import success seats course'!$A:Q,HLOOKUP('[1]Course Totals'!C$4,'[1]import success seats course'!$1:$2,2,FALSE),FALSE)/(VLOOKUP($A1041,'[1]import graded seats course pivo'!$A:AA,HLOOKUP('[1]Course Totals'!C$4,'[1]import graded seats course pivo'!$1:$2,2,FALSE),FALSE))),"")</f>
        <v/>
      </c>
      <c r="D1041" s="14" t="str">
        <f>IFERROR((VLOOKUP($A1041,'[1]import success seats course'!$A:R,HLOOKUP('[1]Course Totals'!D$4,'[1]import success seats course'!$1:$2,2,FALSE),FALSE)/(VLOOKUP($A1041,'[1]import graded seats course pivo'!$A:AB,HLOOKUP('[1]Course Totals'!D$4,'[1]import graded seats course pivo'!$1:$2,2,FALSE),FALSE))),"")</f>
        <v/>
      </c>
      <c r="E1041" s="14" t="str">
        <f>IFERROR((VLOOKUP($A1041,'[1]import success seats course'!$A:S,HLOOKUP('[1]Course Totals'!E$4,'[1]import success seats course'!$1:$2,2,FALSE),FALSE)/(VLOOKUP($A1041,'[1]import graded seats course pivo'!$A:AC,HLOOKUP('[1]Course Totals'!E$4,'[1]import graded seats course pivo'!$1:$2,2,FALSE),FALSE))),"")</f>
        <v/>
      </c>
      <c r="F1041" s="14" t="str">
        <f>IFERROR((VLOOKUP($A1041,'[1]import success seats course'!$A:T,HLOOKUP('[1]Course Totals'!F$4,'[1]import success seats course'!$1:$2,2,FALSE),FALSE)/(VLOOKUP($A1041,'[1]import graded seats course pivo'!$A:AD,HLOOKUP('[1]Course Totals'!F$4,'[1]import graded seats course pivo'!$1:$2,2,FALSE),FALSE))),"")</f>
        <v/>
      </c>
      <c r="G1041" s="14" t="str">
        <f>IFERROR((VLOOKUP($A1041,'[1]import success seats course'!$A:U,HLOOKUP('[1]Course Totals'!G$4,'[1]import success seats course'!$1:$2,2,FALSE),FALSE)/(VLOOKUP($A1041,'[1]import graded seats course pivo'!$A:AE,HLOOKUP('[1]Course Totals'!G$4,'[1]import graded seats course pivo'!$1:$2,2,FALSE),FALSE))),"")</f>
        <v/>
      </c>
      <c r="H1041" s="14" t="str">
        <f>IFERROR((VLOOKUP($A1041,'[1]import success seats course'!$A:V,HLOOKUP('[1]Course Totals'!H$4,'[1]import success seats course'!$1:$2,2,FALSE),FALSE)/(VLOOKUP($A1041,'[1]import graded seats course pivo'!$A:AF,HLOOKUP('[1]Course Totals'!H$4,'[1]import graded seats course pivo'!$1:$2,2,FALSE),FALSE))),"")</f>
        <v/>
      </c>
      <c r="I1041" s="14">
        <f>IFERROR((VLOOKUP($A1041,'[1]import success seats course'!$A:W,HLOOKUP('[1]Course Totals'!I$4,'[1]import success seats course'!$1:$2,2,FALSE),FALSE)/(VLOOKUP($A1041,'[1]import graded seats course pivo'!$A:AG,HLOOKUP('[1]Course Totals'!I$4,'[1]import graded seats course pivo'!$1:$2,2,FALSE),FALSE))),"")</f>
        <v>1</v>
      </c>
      <c r="J1041" s="14">
        <f>IFERROR((VLOOKUP($A1041,'[1]import success seats course'!$A:X,HLOOKUP('[1]Course Totals'!J$4,'[1]import success seats course'!$1:$2,2,FALSE),FALSE)/(VLOOKUP($A1041,'[1]import graded seats course pivo'!$A:AH,HLOOKUP('[1]Course Totals'!J$4,'[1]import graded seats course pivo'!$1:$2,2,FALSE),FALSE))),"")</f>
        <v>0.61904761904761907</v>
      </c>
      <c r="K1041" s="14" t="str">
        <f>IFERROR((VLOOKUP($A1041,'[1]import success seats course'!$A:Y,HLOOKUP('[1]Course Totals'!K$4,'[1]import success seats course'!$1:$2,2,FALSE),FALSE)/(VLOOKUP($A1041,'[1]import graded seats course pivo'!$A:AI,HLOOKUP('[1]Course Totals'!K$4,'[1]import graded seats course pivo'!$1:$2,2,FALSE),FALSE))),"")</f>
        <v/>
      </c>
      <c r="L1041" s="14">
        <f>IFERROR((VLOOKUP($A1041,'[1]import success seats course'!$A:Z,HLOOKUP('[1]Course Totals'!L$4,'[1]import success seats course'!$1:$2,2,FALSE),FALSE)/(VLOOKUP($A1041,'[1]import graded seats course pivo'!$A:AJ,HLOOKUP('[1]Course Totals'!L$4,'[1]import graded seats course pivo'!$1:$2,2,FALSE),FALSE))),"")</f>
        <v>0.90476190476190477</v>
      </c>
      <c r="M1041" s="14">
        <f>IFERROR((VLOOKUP($A1041,'[1]import success seats course'!$A:AA,HLOOKUP('[1]Course Totals'!M$4,'[1]import success seats course'!$1:$2,2,FALSE),FALSE)/(VLOOKUP($A1041,'[1]import graded seats course pivo'!$A:AK,HLOOKUP('[1]Course Totals'!M$4,'[1]import graded seats course pivo'!$1:$2,2,FALSE),FALSE))),"")</f>
        <v>0.92307692307692313</v>
      </c>
      <c r="N1041" s="14" t="str">
        <f>IFERROR((VLOOKUP($A1041,'[1]import success seats course'!$A:AB,HLOOKUP('[1]Course Totals'!N$4,'[1]import success seats course'!$1:$2,2,FALSE),FALSE)/(VLOOKUP($A1041,'[1]import graded seats course pivo'!$A:AL,HLOOKUP('[1]Course Totals'!N$4,'[1]import graded seats course pivo'!$1:$2,2,FALSE),FALSE))),"")</f>
        <v/>
      </c>
      <c r="O1041" s="14">
        <f>IFERROR((VLOOKUP($A1041,'[1]import success seats course'!$A:AC,HLOOKUP('[1]Course Totals'!O$4,'[1]import success seats course'!$1:$2,2,FALSE),FALSE)/(VLOOKUP($A1041,'[1]import graded seats course pivo'!$A:AM,HLOOKUP('[1]Course Totals'!O$4,'[1]import graded seats course pivo'!$1:$2,2,FALSE),FALSE))),"")</f>
        <v>0.9375</v>
      </c>
      <c r="P1041" s="14">
        <f>IFERROR((VLOOKUP($A1041,'[1]import success seats course'!$A:AD,HLOOKUP('[1]Course Totals'!P$4,'[1]import success seats course'!$1:$2,2,FALSE),FALSE)/(VLOOKUP($A1041,'[1]import graded seats course pivo'!$A:AN,HLOOKUP('[1]Course Totals'!P$4,'[1]import graded seats course pivo'!$1:$2,2,FALSE),FALSE))),"")</f>
        <v>0.86956521739130432</v>
      </c>
      <c r="Q1041" s="14" t="str">
        <f>IFERROR((VLOOKUP($A1041,'[1]import success seats course'!$A:AE,HLOOKUP('[1]Course Totals'!Q$4,'[1]import success seats course'!$1:$2,2,FALSE),FALSE)/(VLOOKUP($A1041,'[1]import graded seats course pivo'!$A:AO,HLOOKUP('[1]Course Totals'!Q$4,'[1]import graded seats course pivo'!$1:$2,2,FALSE),FALSE))),"")</f>
        <v/>
      </c>
      <c r="R1041" s="14">
        <f>IFERROR((VLOOKUP($A1041,'[1]import success seats course'!$A:AF,HLOOKUP('[1]Course Totals'!R$4,'[1]import success seats course'!$1:$2,2,FALSE),FALSE)/(VLOOKUP($A1041,'[1]import graded seats course pivo'!$A:AP,HLOOKUP('[1]Course Totals'!R$4,'[1]import graded seats course pivo'!$1:$2,2,FALSE),FALSE))),"")</f>
        <v>0.9642857142857143</v>
      </c>
      <c r="S1041" s="14" t="str">
        <f>IFERROR((VLOOKUP($A1041,'[1]import success seats course'!$A:AG,HLOOKUP('[1]Course Totals'!S$4,'[1]import success seats course'!$1:$2,2,FALSE),FALSE)/(VLOOKUP($A1041,'[1]import graded seats course pivo'!$A:AQ,HLOOKUP('[1]Course Totals'!S$4,'[1]import graded seats course pivo'!$1:$2,2,FALSE),FALSE))),"")</f>
        <v/>
      </c>
      <c r="Z1041" s="7"/>
      <c r="AA1041" s="7"/>
      <c r="AB1041" s="7"/>
      <c r="AC1041" s="7"/>
    </row>
    <row r="1042" spans="1:29" ht="15.75" hidden="1" customHeight="1" x14ac:dyDescent="0.25">
      <c r="A1042" s="12" t="s">
        <v>661</v>
      </c>
      <c r="B1042" s="14" t="str">
        <f>IFERROR((VLOOKUP($A1042,'[1]import success seats course'!$A:P,HLOOKUP('[1]Course Totals'!B$4,'[1]import success seats course'!$1:$2,2,FALSE),FALSE)/(VLOOKUP($A1042,'[1]import graded seats course pivo'!$A:Z,HLOOKUP('[1]Course Totals'!B$4,'[1]import graded seats course pivo'!$1:$2,2,FALSE),FALSE))),"")</f>
        <v/>
      </c>
      <c r="C1042" s="14" t="str">
        <f>IFERROR((VLOOKUP($A1042,'[1]import success seats course'!$A:Q,HLOOKUP('[1]Course Totals'!C$4,'[1]import success seats course'!$1:$2,2,FALSE),FALSE)/(VLOOKUP($A1042,'[1]import graded seats course pivo'!$A:AA,HLOOKUP('[1]Course Totals'!C$4,'[1]import graded seats course pivo'!$1:$2,2,FALSE),FALSE))),"")</f>
        <v/>
      </c>
      <c r="D1042" s="14" t="str">
        <f>IFERROR((VLOOKUP($A1042,'[1]import success seats course'!$A:R,HLOOKUP('[1]Course Totals'!D$4,'[1]import success seats course'!$1:$2,2,FALSE),FALSE)/(VLOOKUP($A1042,'[1]import graded seats course pivo'!$A:AB,HLOOKUP('[1]Course Totals'!D$4,'[1]import graded seats course pivo'!$1:$2,2,FALSE),FALSE))),"")</f>
        <v/>
      </c>
      <c r="E1042" s="14" t="str">
        <f>IFERROR((VLOOKUP($A1042,'[1]import success seats course'!$A:S,HLOOKUP('[1]Course Totals'!E$4,'[1]import success seats course'!$1:$2,2,FALSE),FALSE)/(VLOOKUP($A1042,'[1]import graded seats course pivo'!$A:AC,HLOOKUP('[1]Course Totals'!E$4,'[1]import graded seats course pivo'!$1:$2,2,FALSE),FALSE))),"")</f>
        <v/>
      </c>
      <c r="F1042" s="14" t="str">
        <f>IFERROR((VLOOKUP($A1042,'[1]import success seats course'!$A:T,HLOOKUP('[1]Course Totals'!F$4,'[1]import success seats course'!$1:$2,2,FALSE),FALSE)/(VLOOKUP($A1042,'[1]import graded seats course pivo'!$A:AD,HLOOKUP('[1]Course Totals'!F$4,'[1]import graded seats course pivo'!$1:$2,2,FALSE),FALSE))),"")</f>
        <v/>
      </c>
      <c r="G1042" s="14" t="str">
        <f>IFERROR((VLOOKUP($A1042,'[1]import success seats course'!$A:U,HLOOKUP('[1]Course Totals'!G$4,'[1]import success seats course'!$1:$2,2,FALSE),FALSE)/(VLOOKUP($A1042,'[1]import graded seats course pivo'!$A:AE,HLOOKUP('[1]Course Totals'!G$4,'[1]import graded seats course pivo'!$1:$2,2,FALSE),FALSE))),"")</f>
        <v/>
      </c>
      <c r="H1042" s="14" t="str">
        <f>IFERROR((VLOOKUP($A1042,'[1]import success seats course'!$A:V,HLOOKUP('[1]Course Totals'!H$4,'[1]import success seats course'!$1:$2,2,FALSE),FALSE)/(VLOOKUP($A1042,'[1]import graded seats course pivo'!$A:AF,HLOOKUP('[1]Course Totals'!H$4,'[1]import graded seats course pivo'!$1:$2,2,FALSE),FALSE))),"")</f>
        <v/>
      </c>
      <c r="I1042" s="14" t="str">
        <f>IFERROR((VLOOKUP($A1042,'[1]import success seats course'!$A:W,HLOOKUP('[1]Course Totals'!I$4,'[1]import success seats course'!$1:$2,2,FALSE),FALSE)/(VLOOKUP($A1042,'[1]import graded seats course pivo'!$A:AG,HLOOKUP('[1]Course Totals'!I$4,'[1]import graded seats course pivo'!$1:$2,2,FALSE),FALSE))),"")</f>
        <v/>
      </c>
      <c r="J1042" s="14" t="str">
        <f>IFERROR((VLOOKUP($A1042,'[1]import success seats course'!$A:X,HLOOKUP('[1]Course Totals'!J$4,'[1]import success seats course'!$1:$2,2,FALSE),FALSE)/(VLOOKUP($A1042,'[1]import graded seats course pivo'!$A:AH,HLOOKUP('[1]Course Totals'!J$4,'[1]import graded seats course pivo'!$1:$2,2,FALSE),FALSE))),"")</f>
        <v/>
      </c>
      <c r="K1042" s="14" t="str">
        <f>IFERROR((VLOOKUP($A1042,'[1]import success seats course'!$A:Y,HLOOKUP('[1]Course Totals'!K$4,'[1]import success seats course'!$1:$2,2,FALSE),FALSE)/(VLOOKUP($A1042,'[1]import graded seats course pivo'!$A:AI,HLOOKUP('[1]Course Totals'!K$4,'[1]import graded seats course pivo'!$1:$2,2,FALSE),FALSE))),"")</f>
        <v/>
      </c>
      <c r="L1042" s="14" t="str">
        <f>IFERROR((VLOOKUP($A1042,'[1]import success seats course'!$A:Z,HLOOKUP('[1]Course Totals'!L$4,'[1]import success seats course'!$1:$2,2,FALSE),FALSE)/(VLOOKUP($A1042,'[1]import graded seats course pivo'!$A:AJ,HLOOKUP('[1]Course Totals'!L$4,'[1]import graded seats course pivo'!$1:$2,2,FALSE),FALSE))),"")</f>
        <v/>
      </c>
      <c r="M1042" s="14" t="str">
        <f>IFERROR((VLOOKUP($A1042,'[1]import success seats course'!$A:AA,HLOOKUP('[1]Course Totals'!M$4,'[1]import success seats course'!$1:$2,2,FALSE),FALSE)/(VLOOKUP($A1042,'[1]import graded seats course pivo'!$A:AK,HLOOKUP('[1]Course Totals'!M$4,'[1]import graded seats course pivo'!$1:$2,2,FALSE),FALSE))),"")</f>
        <v/>
      </c>
      <c r="N1042" s="14" t="str">
        <f>IFERROR((VLOOKUP($A1042,'[1]import success seats course'!$A:AB,HLOOKUP('[1]Course Totals'!N$4,'[1]import success seats course'!$1:$2,2,FALSE),FALSE)/(VLOOKUP($A1042,'[1]import graded seats course pivo'!$A:AL,HLOOKUP('[1]Course Totals'!N$4,'[1]import graded seats course pivo'!$1:$2,2,FALSE),FALSE))),"")</f>
        <v/>
      </c>
      <c r="O1042" s="14" t="str">
        <f>IFERROR((VLOOKUP($A1042,'[1]import success seats course'!$A:AC,HLOOKUP('[1]Course Totals'!O$4,'[1]import success seats course'!$1:$2,2,FALSE),FALSE)/(VLOOKUP($A1042,'[1]import graded seats course pivo'!$A:AM,HLOOKUP('[1]Course Totals'!O$4,'[1]import graded seats course pivo'!$1:$2,2,FALSE),FALSE))),"")</f>
        <v/>
      </c>
      <c r="P1042" s="14" t="str">
        <f>IFERROR((VLOOKUP($A1042,'[1]import success seats course'!$A:AD,HLOOKUP('[1]Course Totals'!P$4,'[1]import success seats course'!$1:$2,2,FALSE),FALSE)/(VLOOKUP($A1042,'[1]import graded seats course pivo'!$A:AN,HLOOKUP('[1]Course Totals'!P$4,'[1]import graded seats course pivo'!$1:$2,2,FALSE),FALSE))),"")</f>
        <v/>
      </c>
      <c r="Q1042" s="14" t="str">
        <f>IFERROR((VLOOKUP($A1042,'[1]import success seats course'!$A:AE,HLOOKUP('[1]Course Totals'!Q$4,'[1]import success seats course'!$1:$2,2,FALSE),FALSE)/(VLOOKUP($A1042,'[1]import graded seats course pivo'!$A:AO,HLOOKUP('[1]Course Totals'!Q$4,'[1]import graded seats course pivo'!$1:$2,2,FALSE),FALSE))),"")</f>
        <v/>
      </c>
      <c r="R1042" s="14" t="str">
        <f>IFERROR((VLOOKUP($A1042,'[1]import success seats course'!$A:AF,HLOOKUP('[1]Course Totals'!R$4,'[1]import success seats course'!$1:$2,2,FALSE),FALSE)/(VLOOKUP($A1042,'[1]import graded seats course pivo'!$A:AP,HLOOKUP('[1]Course Totals'!R$4,'[1]import graded seats course pivo'!$1:$2,2,FALSE),FALSE))),"")</f>
        <v/>
      </c>
      <c r="S1042" s="14" t="str">
        <f>IFERROR((VLOOKUP($A1042,'[1]import success seats course'!$A:AG,HLOOKUP('[1]Course Totals'!S$4,'[1]import success seats course'!$1:$2,2,FALSE),FALSE)/(VLOOKUP($A1042,'[1]import graded seats course pivo'!$A:AQ,HLOOKUP('[1]Course Totals'!S$4,'[1]import graded seats course pivo'!$1:$2,2,FALSE),FALSE))),"")</f>
        <v/>
      </c>
      <c r="Z1042" s="7"/>
      <c r="AA1042" s="7"/>
      <c r="AB1042" s="7"/>
      <c r="AC1042" s="7"/>
    </row>
    <row r="1043" spans="1:29" ht="15.75" customHeight="1" x14ac:dyDescent="0.25">
      <c r="A1043" s="12" t="s">
        <v>662</v>
      </c>
      <c r="B1043" s="14" t="str">
        <f>IFERROR((VLOOKUP($A1043,'[1]import success seats course'!$A:P,HLOOKUP('[1]Course Totals'!B$4,'[1]import success seats course'!$1:$2,2,FALSE),FALSE)/(VLOOKUP($A1043,'[1]import graded seats course pivo'!$A:Z,HLOOKUP('[1]Course Totals'!B$4,'[1]import graded seats course pivo'!$1:$2,2,FALSE),FALSE))),"")</f>
        <v/>
      </c>
      <c r="C1043" s="14" t="str">
        <f>IFERROR((VLOOKUP($A1043,'[1]import success seats course'!$A:Q,HLOOKUP('[1]Course Totals'!C$4,'[1]import success seats course'!$1:$2,2,FALSE),FALSE)/(VLOOKUP($A1043,'[1]import graded seats course pivo'!$A:AA,HLOOKUP('[1]Course Totals'!C$4,'[1]import graded seats course pivo'!$1:$2,2,FALSE),FALSE))),"")</f>
        <v/>
      </c>
      <c r="D1043" s="14" t="str">
        <f>IFERROR((VLOOKUP($A1043,'[1]import success seats course'!$A:R,HLOOKUP('[1]Course Totals'!D$4,'[1]import success seats course'!$1:$2,2,FALSE),FALSE)/(VLOOKUP($A1043,'[1]import graded seats course pivo'!$A:AB,HLOOKUP('[1]Course Totals'!D$4,'[1]import graded seats course pivo'!$1:$2,2,FALSE),FALSE))),"")</f>
        <v/>
      </c>
      <c r="E1043" s="14" t="str">
        <f>IFERROR((VLOOKUP($A1043,'[1]import success seats course'!$A:S,HLOOKUP('[1]Course Totals'!E$4,'[1]import success seats course'!$1:$2,2,FALSE),FALSE)/(VLOOKUP($A1043,'[1]import graded seats course pivo'!$A:AC,HLOOKUP('[1]Course Totals'!E$4,'[1]import graded seats course pivo'!$1:$2,2,FALSE),FALSE))),"")</f>
        <v/>
      </c>
      <c r="F1043" s="14" t="str">
        <f>IFERROR((VLOOKUP($A1043,'[1]import success seats course'!$A:T,HLOOKUP('[1]Course Totals'!F$4,'[1]import success seats course'!$1:$2,2,FALSE),FALSE)/(VLOOKUP($A1043,'[1]import graded seats course pivo'!$A:AD,HLOOKUP('[1]Course Totals'!F$4,'[1]import graded seats course pivo'!$1:$2,2,FALSE),FALSE))),"")</f>
        <v/>
      </c>
      <c r="G1043" s="14">
        <f>IFERROR((VLOOKUP($A1043,'[1]import success seats course'!$A:U,HLOOKUP('[1]Course Totals'!G$4,'[1]import success seats course'!$1:$2,2,FALSE),FALSE)/(VLOOKUP($A1043,'[1]import graded seats course pivo'!$A:AE,HLOOKUP('[1]Course Totals'!G$4,'[1]import graded seats course pivo'!$1:$2,2,FALSE),FALSE))),"")</f>
        <v>1</v>
      </c>
      <c r="H1043" s="14" t="str">
        <f>IFERROR((VLOOKUP($A1043,'[1]import success seats course'!$A:V,HLOOKUP('[1]Course Totals'!H$4,'[1]import success seats course'!$1:$2,2,FALSE),FALSE)/(VLOOKUP($A1043,'[1]import graded seats course pivo'!$A:AF,HLOOKUP('[1]Course Totals'!H$4,'[1]import graded seats course pivo'!$1:$2,2,FALSE),FALSE))),"")</f>
        <v/>
      </c>
      <c r="I1043" s="14" t="str">
        <f>IFERROR((VLOOKUP($A1043,'[1]import success seats course'!$A:W,HLOOKUP('[1]Course Totals'!I$4,'[1]import success seats course'!$1:$2,2,FALSE),FALSE)/(VLOOKUP($A1043,'[1]import graded seats course pivo'!$A:AG,HLOOKUP('[1]Course Totals'!I$4,'[1]import graded seats course pivo'!$1:$2,2,FALSE),FALSE))),"")</f>
        <v/>
      </c>
      <c r="J1043" s="14" t="str">
        <f>IFERROR((VLOOKUP($A1043,'[1]import success seats course'!$A:X,HLOOKUP('[1]Course Totals'!J$4,'[1]import success seats course'!$1:$2,2,FALSE),FALSE)/(VLOOKUP($A1043,'[1]import graded seats course pivo'!$A:AH,HLOOKUP('[1]Course Totals'!J$4,'[1]import graded seats course pivo'!$1:$2,2,FALSE),FALSE))),"")</f>
        <v/>
      </c>
      <c r="K1043" s="14" t="str">
        <f>IFERROR((VLOOKUP($A1043,'[1]import success seats course'!$A:Y,HLOOKUP('[1]Course Totals'!K$4,'[1]import success seats course'!$1:$2,2,FALSE),FALSE)/(VLOOKUP($A1043,'[1]import graded seats course pivo'!$A:AI,HLOOKUP('[1]Course Totals'!K$4,'[1]import graded seats course pivo'!$1:$2,2,FALSE),FALSE))),"")</f>
        <v/>
      </c>
      <c r="L1043" s="14" t="str">
        <f>IFERROR((VLOOKUP($A1043,'[1]import success seats course'!$A:Z,HLOOKUP('[1]Course Totals'!L$4,'[1]import success seats course'!$1:$2,2,FALSE),FALSE)/(VLOOKUP($A1043,'[1]import graded seats course pivo'!$A:AJ,HLOOKUP('[1]Course Totals'!L$4,'[1]import graded seats course pivo'!$1:$2,2,FALSE),FALSE))),"")</f>
        <v/>
      </c>
      <c r="M1043" s="14" t="str">
        <f>IFERROR((VLOOKUP($A1043,'[1]import success seats course'!$A:AA,HLOOKUP('[1]Course Totals'!M$4,'[1]import success seats course'!$1:$2,2,FALSE),FALSE)/(VLOOKUP($A1043,'[1]import graded seats course pivo'!$A:AK,HLOOKUP('[1]Course Totals'!M$4,'[1]import graded seats course pivo'!$1:$2,2,FALSE),FALSE))),"")</f>
        <v/>
      </c>
      <c r="N1043" s="14" t="str">
        <f>IFERROR((VLOOKUP($A1043,'[1]import success seats course'!$A:AB,HLOOKUP('[1]Course Totals'!N$4,'[1]import success seats course'!$1:$2,2,FALSE),FALSE)/(VLOOKUP($A1043,'[1]import graded seats course pivo'!$A:AL,HLOOKUP('[1]Course Totals'!N$4,'[1]import graded seats course pivo'!$1:$2,2,FALSE),FALSE))),"")</f>
        <v/>
      </c>
      <c r="O1043" s="14" t="str">
        <f>IFERROR((VLOOKUP($A1043,'[1]import success seats course'!$A:AC,HLOOKUP('[1]Course Totals'!O$4,'[1]import success seats course'!$1:$2,2,FALSE),FALSE)/(VLOOKUP($A1043,'[1]import graded seats course pivo'!$A:AM,HLOOKUP('[1]Course Totals'!O$4,'[1]import graded seats course pivo'!$1:$2,2,FALSE),FALSE))),"")</f>
        <v/>
      </c>
      <c r="P1043" s="14" t="str">
        <f>IFERROR((VLOOKUP($A1043,'[1]import success seats course'!$A:AD,HLOOKUP('[1]Course Totals'!P$4,'[1]import success seats course'!$1:$2,2,FALSE),FALSE)/(VLOOKUP($A1043,'[1]import graded seats course pivo'!$A:AN,HLOOKUP('[1]Course Totals'!P$4,'[1]import graded seats course pivo'!$1:$2,2,FALSE),FALSE))),"")</f>
        <v/>
      </c>
      <c r="Q1043" s="14" t="str">
        <f>IFERROR((VLOOKUP($A1043,'[1]import success seats course'!$A:AE,HLOOKUP('[1]Course Totals'!Q$4,'[1]import success seats course'!$1:$2,2,FALSE),FALSE)/(VLOOKUP($A1043,'[1]import graded seats course pivo'!$A:AO,HLOOKUP('[1]Course Totals'!Q$4,'[1]import graded seats course pivo'!$1:$2,2,FALSE),FALSE))),"")</f>
        <v/>
      </c>
      <c r="R1043" s="14" t="str">
        <f>IFERROR((VLOOKUP($A1043,'[1]import success seats course'!$A:AF,HLOOKUP('[1]Course Totals'!R$4,'[1]import success seats course'!$1:$2,2,FALSE),FALSE)/(VLOOKUP($A1043,'[1]import graded seats course pivo'!$A:AP,HLOOKUP('[1]Course Totals'!R$4,'[1]import graded seats course pivo'!$1:$2,2,FALSE),FALSE))),"")</f>
        <v/>
      </c>
      <c r="S1043" s="14" t="str">
        <f>IFERROR((VLOOKUP($A1043,'[1]import success seats course'!$A:AG,HLOOKUP('[1]Course Totals'!S$4,'[1]import success seats course'!$1:$2,2,FALSE),FALSE)/(VLOOKUP($A1043,'[1]import graded seats course pivo'!$A:AQ,HLOOKUP('[1]Course Totals'!S$4,'[1]import graded seats course pivo'!$1:$2,2,FALSE),FALSE))),"")</f>
        <v/>
      </c>
      <c r="Z1043" s="7"/>
      <c r="AA1043" s="7"/>
      <c r="AB1043" s="7"/>
      <c r="AC1043" s="7"/>
    </row>
    <row r="1044" spans="1:29" ht="15.75" customHeight="1" x14ac:dyDescent="0.25">
      <c r="A1044" s="12" t="s">
        <v>663</v>
      </c>
      <c r="B1044" s="14" t="str">
        <f>IFERROR((VLOOKUP($A1044,'[1]import success seats course'!$A:P,HLOOKUP('[1]Course Totals'!B$4,'[1]import success seats course'!$1:$2,2,FALSE),FALSE)/(VLOOKUP($A1044,'[1]import graded seats course pivo'!$A:Z,HLOOKUP('[1]Course Totals'!B$4,'[1]import graded seats course pivo'!$1:$2,2,FALSE),FALSE))),"")</f>
        <v/>
      </c>
      <c r="C1044" s="14" t="str">
        <f>IFERROR((VLOOKUP($A1044,'[1]import success seats course'!$A:Q,HLOOKUP('[1]Course Totals'!C$4,'[1]import success seats course'!$1:$2,2,FALSE),FALSE)/(VLOOKUP($A1044,'[1]import graded seats course pivo'!$A:AA,HLOOKUP('[1]Course Totals'!C$4,'[1]import graded seats course pivo'!$1:$2,2,FALSE),FALSE))),"")</f>
        <v/>
      </c>
      <c r="D1044" s="14" t="str">
        <f>IFERROR((VLOOKUP($A1044,'[1]import success seats course'!$A:R,HLOOKUP('[1]Course Totals'!D$4,'[1]import success seats course'!$1:$2,2,FALSE),FALSE)/(VLOOKUP($A1044,'[1]import graded seats course pivo'!$A:AB,HLOOKUP('[1]Course Totals'!D$4,'[1]import graded seats course pivo'!$1:$2,2,FALSE),FALSE))),"")</f>
        <v/>
      </c>
      <c r="E1044" s="14" t="str">
        <f>IFERROR((VLOOKUP($A1044,'[1]import success seats course'!$A:S,HLOOKUP('[1]Course Totals'!E$4,'[1]import success seats course'!$1:$2,2,FALSE),FALSE)/(VLOOKUP($A1044,'[1]import graded seats course pivo'!$A:AC,HLOOKUP('[1]Course Totals'!E$4,'[1]import graded seats course pivo'!$1:$2,2,FALSE),FALSE))),"")</f>
        <v/>
      </c>
      <c r="F1044" s="14" t="str">
        <f>IFERROR((VLOOKUP($A1044,'[1]import success seats course'!$A:T,HLOOKUP('[1]Course Totals'!F$4,'[1]import success seats course'!$1:$2,2,FALSE),FALSE)/(VLOOKUP($A1044,'[1]import graded seats course pivo'!$A:AD,HLOOKUP('[1]Course Totals'!F$4,'[1]import graded seats course pivo'!$1:$2,2,FALSE),FALSE))),"")</f>
        <v/>
      </c>
      <c r="G1044" s="14">
        <f>IFERROR((VLOOKUP($A1044,'[1]import success seats course'!$A:U,HLOOKUP('[1]Course Totals'!G$4,'[1]import success seats course'!$1:$2,2,FALSE),FALSE)/(VLOOKUP($A1044,'[1]import graded seats course pivo'!$A:AE,HLOOKUP('[1]Course Totals'!G$4,'[1]import graded seats course pivo'!$1:$2,2,FALSE),FALSE))),"")</f>
        <v>1</v>
      </c>
      <c r="H1044" s="14" t="str">
        <f>IFERROR((VLOOKUP($A1044,'[1]import success seats course'!$A:V,HLOOKUP('[1]Course Totals'!H$4,'[1]import success seats course'!$1:$2,2,FALSE),FALSE)/(VLOOKUP($A1044,'[1]import graded seats course pivo'!$A:AF,HLOOKUP('[1]Course Totals'!H$4,'[1]import graded seats course pivo'!$1:$2,2,FALSE),FALSE))),"")</f>
        <v/>
      </c>
      <c r="I1044" s="14">
        <f>IFERROR((VLOOKUP($A1044,'[1]import success seats course'!$A:W,HLOOKUP('[1]Course Totals'!I$4,'[1]import success seats course'!$1:$2,2,FALSE),FALSE)/(VLOOKUP($A1044,'[1]import graded seats course pivo'!$A:AG,HLOOKUP('[1]Course Totals'!I$4,'[1]import graded seats course pivo'!$1:$2,2,FALSE),FALSE))),"")</f>
        <v>0.7</v>
      </c>
      <c r="J1044" s="14" t="str">
        <f>IFERROR((VLOOKUP($A1044,'[1]import success seats course'!$A:X,HLOOKUP('[1]Course Totals'!J$4,'[1]import success seats course'!$1:$2,2,FALSE),FALSE)/(VLOOKUP($A1044,'[1]import graded seats course pivo'!$A:AH,HLOOKUP('[1]Course Totals'!J$4,'[1]import graded seats course pivo'!$1:$2,2,FALSE),FALSE))),"")</f>
        <v/>
      </c>
      <c r="K1044" s="14" t="str">
        <f>IFERROR((VLOOKUP($A1044,'[1]import success seats course'!$A:Y,HLOOKUP('[1]Course Totals'!K$4,'[1]import success seats course'!$1:$2,2,FALSE),FALSE)/(VLOOKUP($A1044,'[1]import graded seats course pivo'!$A:AI,HLOOKUP('[1]Course Totals'!K$4,'[1]import graded seats course pivo'!$1:$2,2,FALSE),FALSE))),"")</f>
        <v/>
      </c>
      <c r="L1044" s="14" t="str">
        <f>IFERROR((VLOOKUP($A1044,'[1]import success seats course'!$A:Z,HLOOKUP('[1]Course Totals'!L$4,'[1]import success seats course'!$1:$2,2,FALSE),FALSE)/(VLOOKUP($A1044,'[1]import graded seats course pivo'!$A:AJ,HLOOKUP('[1]Course Totals'!L$4,'[1]import graded seats course pivo'!$1:$2,2,FALSE),FALSE))),"")</f>
        <v/>
      </c>
      <c r="M1044" s="14" t="str">
        <f>IFERROR((VLOOKUP($A1044,'[1]import success seats course'!$A:AA,HLOOKUP('[1]Course Totals'!M$4,'[1]import success seats course'!$1:$2,2,FALSE),FALSE)/(VLOOKUP($A1044,'[1]import graded seats course pivo'!$A:AK,HLOOKUP('[1]Course Totals'!M$4,'[1]import graded seats course pivo'!$1:$2,2,FALSE),FALSE))),"")</f>
        <v/>
      </c>
      <c r="N1044" s="14" t="str">
        <f>IFERROR((VLOOKUP($A1044,'[1]import success seats course'!$A:AB,HLOOKUP('[1]Course Totals'!N$4,'[1]import success seats course'!$1:$2,2,FALSE),FALSE)/(VLOOKUP($A1044,'[1]import graded seats course pivo'!$A:AL,HLOOKUP('[1]Course Totals'!N$4,'[1]import graded seats course pivo'!$1:$2,2,FALSE),FALSE))),"")</f>
        <v/>
      </c>
      <c r="O1044" s="14" t="str">
        <f>IFERROR((VLOOKUP($A1044,'[1]import success seats course'!$A:AC,HLOOKUP('[1]Course Totals'!O$4,'[1]import success seats course'!$1:$2,2,FALSE),FALSE)/(VLOOKUP($A1044,'[1]import graded seats course pivo'!$A:AM,HLOOKUP('[1]Course Totals'!O$4,'[1]import graded seats course pivo'!$1:$2,2,FALSE),FALSE))),"")</f>
        <v/>
      </c>
      <c r="P1044" s="14" t="str">
        <f>IFERROR((VLOOKUP($A1044,'[1]import success seats course'!$A:AD,HLOOKUP('[1]Course Totals'!P$4,'[1]import success seats course'!$1:$2,2,FALSE),FALSE)/(VLOOKUP($A1044,'[1]import graded seats course pivo'!$A:AN,HLOOKUP('[1]Course Totals'!P$4,'[1]import graded seats course pivo'!$1:$2,2,FALSE),FALSE))),"")</f>
        <v/>
      </c>
      <c r="Q1044" s="14" t="str">
        <f>IFERROR((VLOOKUP($A1044,'[1]import success seats course'!$A:AE,HLOOKUP('[1]Course Totals'!Q$4,'[1]import success seats course'!$1:$2,2,FALSE),FALSE)/(VLOOKUP($A1044,'[1]import graded seats course pivo'!$A:AO,HLOOKUP('[1]Course Totals'!Q$4,'[1]import graded seats course pivo'!$1:$2,2,FALSE),FALSE))),"")</f>
        <v/>
      </c>
      <c r="R1044" s="14" t="str">
        <f>IFERROR((VLOOKUP($A1044,'[1]import success seats course'!$A:AF,HLOOKUP('[1]Course Totals'!R$4,'[1]import success seats course'!$1:$2,2,FALSE),FALSE)/(VLOOKUP($A1044,'[1]import graded seats course pivo'!$A:AP,HLOOKUP('[1]Course Totals'!R$4,'[1]import graded seats course pivo'!$1:$2,2,FALSE),FALSE))),"")</f>
        <v/>
      </c>
      <c r="S1044" s="14" t="str">
        <f>IFERROR((VLOOKUP($A1044,'[1]import success seats course'!$A:AG,HLOOKUP('[1]Course Totals'!S$4,'[1]import success seats course'!$1:$2,2,FALSE),FALSE)/(VLOOKUP($A1044,'[1]import graded seats course pivo'!$A:AQ,HLOOKUP('[1]Course Totals'!S$4,'[1]import graded seats course pivo'!$1:$2,2,FALSE),FALSE))),"")</f>
        <v/>
      </c>
      <c r="Z1044" s="7"/>
      <c r="AA1044" s="7"/>
      <c r="AB1044" s="7"/>
      <c r="AC1044" s="7"/>
    </row>
    <row r="1045" spans="1:29" ht="15.75" customHeight="1" x14ac:dyDescent="0.25">
      <c r="A1045" s="12" t="s">
        <v>664</v>
      </c>
      <c r="B1045" s="14" t="str">
        <f>IFERROR((VLOOKUP($A1045,'[1]import success seats course'!$A:P,HLOOKUP('[1]Course Totals'!B$4,'[1]import success seats course'!$1:$2,2,FALSE),FALSE)/(VLOOKUP($A1045,'[1]import graded seats course pivo'!$A:Z,HLOOKUP('[1]Course Totals'!B$4,'[1]import graded seats course pivo'!$1:$2,2,FALSE),FALSE))),"")</f>
        <v/>
      </c>
      <c r="C1045" s="14" t="str">
        <f>IFERROR((VLOOKUP($A1045,'[1]import success seats course'!$A:Q,HLOOKUP('[1]Course Totals'!C$4,'[1]import success seats course'!$1:$2,2,FALSE),FALSE)/(VLOOKUP($A1045,'[1]import graded seats course pivo'!$A:AA,HLOOKUP('[1]Course Totals'!C$4,'[1]import graded seats course pivo'!$1:$2,2,FALSE),FALSE))),"")</f>
        <v/>
      </c>
      <c r="D1045" s="14" t="str">
        <f>IFERROR((VLOOKUP($A1045,'[1]import success seats course'!$A:R,HLOOKUP('[1]Course Totals'!D$4,'[1]import success seats course'!$1:$2,2,FALSE),FALSE)/(VLOOKUP($A1045,'[1]import graded seats course pivo'!$A:AB,HLOOKUP('[1]Course Totals'!D$4,'[1]import graded seats course pivo'!$1:$2,2,FALSE),FALSE))),"")</f>
        <v/>
      </c>
      <c r="E1045" s="14" t="str">
        <f>IFERROR((VLOOKUP($A1045,'[1]import success seats course'!$A:S,HLOOKUP('[1]Course Totals'!E$4,'[1]import success seats course'!$1:$2,2,FALSE),FALSE)/(VLOOKUP($A1045,'[1]import graded seats course pivo'!$A:AC,HLOOKUP('[1]Course Totals'!E$4,'[1]import graded seats course pivo'!$1:$2,2,FALSE),FALSE))),"")</f>
        <v/>
      </c>
      <c r="F1045" s="14" t="str">
        <f>IFERROR((VLOOKUP($A1045,'[1]import success seats course'!$A:T,HLOOKUP('[1]Course Totals'!F$4,'[1]import success seats course'!$1:$2,2,FALSE),FALSE)/(VLOOKUP($A1045,'[1]import graded seats course pivo'!$A:AD,HLOOKUP('[1]Course Totals'!F$4,'[1]import graded seats course pivo'!$1:$2,2,FALSE),FALSE))),"")</f>
        <v/>
      </c>
      <c r="G1045" s="14">
        <f>IFERROR((VLOOKUP($A1045,'[1]import success seats course'!$A:U,HLOOKUP('[1]Course Totals'!G$4,'[1]import success seats course'!$1:$2,2,FALSE),FALSE)/(VLOOKUP($A1045,'[1]import graded seats course pivo'!$A:AE,HLOOKUP('[1]Course Totals'!G$4,'[1]import graded seats course pivo'!$1:$2,2,FALSE),FALSE))),"")</f>
        <v>0.46153846153846156</v>
      </c>
      <c r="H1045" s="14" t="str">
        <f>IFERROR((VLOOKUP($A1045,'[1]import success seats course'!$A:V,HLOOKUP('[1]Course Totals'!H$4,'[1]import success seats course'!$1:$2,2,FALSE),FALSE)/(VLOOKUP($A1045,'[1]import graded seats course pivo'!$A:AF,HLOOKUP('[1]Course Totals'!H$4,'[1]import graded seats course pivo'!$1:$2,2,FALSE),FALSE))),"")</f>
        <v/>
      </c>
      <c r="I1045" s="14">
        <f>IFERROR((VLOOKUP($A1045,'[1]import success seats course'!$A:W,HLOOKUP('[1]Course Totals'!I$4,'[1]import success seats course'!$1:$2,2,FALSE),FALSE)/(VLOOKUP($A1045,'[1]import graded seats course pivo'!$A:AG,HLOOKUP('[1]Course Totals'!I$4,'[1]import graded seats course pivo'!$1:$2,2,FALSE),FALSE))),"")</f>
        <v>0.875</v>
      </c>
      <c r="J1045" s="14" t="str">
        <f>IFERROR((VLOOKUP($A1045,'[1]import success seats course'!$A:X,HLOOKUP('[1]Course Totals'!J$4,'[1]import success seats course'!$1:$2,2,FALSE),FALSE)/(VLOOKUP($A1045,'[1]import graded seats course pivo'!$A:AH,HLOOKUP('[1]Course Totals'!J$4,'[1]import graded seats course pivo'!$1:$2,2,FALSE),FALSE))),"")</f>
        <v/>
      </c>
      <c r="K1045" s="14" t="str">
        <f>IFERROR((VLOOKUP($A1045,'[1]import success seats course'!$A:Y,HLOOKUP('[1]Course Totals'!K$4,'[1]import success seats course'!$1:$2,2,FALSE),FALSE)/(VLOOKUP($A1045,'[1]import graded seats course pivo'!$A:AI,HLOOKUP('[1]Course Totals'!K$4,'[1]import graded seats course pivo'!$1:$2,2,FALSE),FALSE))),"")</f>
        <v/>
      </c>
      <c r="L1045" s="14" t="str">
        <f>IFERROR((VLOOKUP($A1045,'[1]import success seats course'!$A:Z,HLOOKUP('[1]Course Totals'!L$4,'[1]import success seats course'!$1:$2,2,FALSE),FALSE)/(VLOOKUP($A1045,'[1]import graded seats course pivo'!$A:AJ,HLOOKUP('[1]Course Totals'!L$4,'[1]import graded seats course pivo'!$1:$2,2,FALSE),FALSE))),"")</f>
        <v/>
      </c>
      <c r="M1045" s="14" t="str">
        <f>IFERROR((VLOOKUP($A1045,'[1]import success seats course'!$A:AA,HLOOKUP('[1]Course Totals'!M$4,'[1]import success seats course'!$1:$2,2,FALSE),FALSE)/(VLOOKUP($A1045,'[1]import graded seats course pivo'!$A:AK,HLOOKUP('[1]Course Totals'!M$4,'[1]import graded seats course pivo'!$1:$2,2,FALSE),FALSE))),"")</f>
        <v/>
      </c>
      <c r="N1045" s="14" t="str">
        <f>IFERROR((VLOOKUP($A1045,'[1]import success seats course'!$A:AB,HLOOKUP('[1]Course Totals'!N$4,'[1]import success seats course'!$1:$2,2,FALSE),FALSE)/(VLOOKUP($A1045,'[1]import graded seats course pivo'!$A:AL,HLOOKUP('[1]Course Totals'!N$4,'[1]import graded seats course pivo'!$1:$2,2,FALSE),FALSE))),"")</f>
        <v/>
      </c>
      <c r="O1045" s="14" t="str">
        <f>IFERROR((VLOOKUP($A1045,'[1]import success seats course'!$A:AC,HLOOKUP('[1]Course Totals'!O$4,'[1]import success seats course'!$1:$2,2,FALSE),FALSE)/(VLOOKUP($A1045,'[1]import graded seats course pivo'!$A:AM,HLOOKUP('[1]Course Totals'!O$4,'[1]import graded seats course pivo'!$1:$2,2,FALSE),FALSE))),"")</f>
        <v/>
      </c>
      <c r="P1045" s="14" t="str">
        <f>IFERROR((VLOOKUP($A1045,'[1]import success seats course'!$A:AD,HLOOKUP('[1]Course Totals'!P$4,'[1]import success seats course'!$1:$2,2,FALSE),FALSE)/(VLOOKUP($A1045,'[1]import graded seats course pivo'!$A:AN,HLOOKUP('[1]Course Totals'!P$4,'[1]import graded seats course pivo'!$1:$2,2,FALSE),FALSE))),"")</f>
        <v/>
      </c>
      <c r="Q1045" s="14" t="str">
        <f>IFERROR((VLOOKUP($A1045,'[1]import success seats course'!$A:AE,HLOOKUP('[1]Course Totals'!Q$4,'[1]import success seats course'!$1:$2,2,FALSE),FALSE)/(VLOOKUP($A1045,'[1]import graded seats course pivo'!$A:AO,HLOOKUP('[1]Course Totals'!Q$4,'[1]import graded seats course pivo'!$1:$2,2,FALSE),FALSE))),"")</f>
        <v/>
      </c>
      <c r="R1045" s="14" t="str">
        <f>IFERROR((VLOOKUP($A1045,'[1]import success seats course'!$A:AF,HLOOKUP('[1]Course Totals'!R$4,'[1]import success seats course'!$1:$2,2,FALSE),FALSE)/(VLOOKUP($A1045,'[1]import graded seats course pivo'!$A:AP,HLOOKUP('[1]Course Totals'!R$4,'[1]import graded seats course pivo'!$1:$2,2,FALSE),FALSE))),"")</f>
        <v/>
      </c>
      <c r="S1045" s="14" t="str">
        <f>IFERROR((VLOOKUP($A1045,'[1]import success seats course'!$A:AG,HLOOKUP('[1]Course Totals'!S$4,'[1]import success seats course'!$1:$2,2,FALSE),FALSE)/(VLOOKUP($A1045,'[1]import graded seats course pivo'!$A:AQ,HLOOKUP('[1]Course Totals'!S$4,'[1]import graded seats course pivo'!$1:$2,2,FALSE),FALSE))),"")</f>
        <v/>
      </c>
      <c r="Z1045" s="7"/>
      <c r="AA1045" s="7"/>
      <c r="AB1045" s="7"/>
      <c r="AC1045" s="7"/>
    </row>
    <row r="1046" spans="1:29" ht="15.75" x14ac:dyDescent="0.25">
      <c r="A1046" s="9" t="s">
        <v>1139</v>
      </c>
      <c r="B1046" s="67" t="str">
        <f>'[1]Subject TOTALS'!$B$1:$P$1</f>
        <v xml:space="preserve">MVC Retention Rates </v>
      </c>
      <c r="C1046" s="68"/>
      <c r="D1046" s="68"/>
      <c r="E1046" s="68"/>
      <c r="F1046" s="68"/>
      <c r="G1046" s="68"/>
      <c r="H1046" s="68"/>
      <c r="I1046" s="68"/>
      <c r="J1046" s="68"/>
      <c r="K1046" s="68"/>
      <c r="L1046" s="68"/>
      <c r="M1046" s="68"/>
      <c r="N1046" s="68"/>
      <c r="O1046" s="68"/>
      <c r="P1046" s="68"/>
      <c r="Q1046" s="68"/>
      <c r="R1046" s="68"/>
      <c r="S1046" s="68"/>
      <c r="Z1046" s="7"/>
      <c r="AA1046" s="7"/>
      <c r="AB1046" s="7"/>
      <c r="AC1046" s="7"/>
    </row>
    <row r="1047" spans="1:29" ht="15.75" customHeight="1" thickBot="1" x14ac:dyDescent="0.3">
      <c r="A1047" s="8" t="str">
        <f>'[1]SUBJECTS BASE'!H62</f>
        <v>Reading</v>
      </c>
      <c r="B1047" s="38" t="s">
        <v>1046</v>
      </c>
      <c r="C1047" s="39" t="s">
        <v>0</v>
      </c>
      <c r="D1047" s="40" t="s">
        <v>868</v>
      </c>
      <c r="E1047" s="41" t="s">
        <v>1052</v>
      </c>
      <c r="F1047" s="42" t="s">
        <v>546</v>
      </c>
      <c r="G1047" s="43" t="s">
        <v>959</v>
      </c>
      <c r="H1047" s="44" t="s">
        <v>1060</v>
      </c>
      <c r="I1047" s="39" t="s">
        <v>675</v>
      </c>
      <c r="J1047" s="45" t="s">
        <v>1006</v>
      </c>
      <c r="K1047" s="46" t="s">
        <v>1062</v>
      </c>
      <c r="L1047" s="42" t="s">
        <v>762</v>
      </c>
      <c r="M1047" s="43" t="s">
        <v>1022</v>
      </c>
      <c r="N1047" s="44" t="s">
        <v>1063</v>
      </c>
      <c r="O1047" s="39" t="s">
        <v>822</v>
      </c>
      <c r="P1047" s="40" t="s">
        <v>1042</v>
      </c>
      <c r="Q1047" s="46" t="s">
        <v>1153</v>
      </c>
      <c r="R1047" s="42" t="s">
        <v>1154</v>
      </c>
      <c r="S1047" s="43" t="s">
        <v>1155</v>
      </c>
      <c r="Z1047" s="7"/>
      <c r="AA1047" s="7"/>
      <c r="AB1047" s="7"/>
      <c r="AC1047" s="7"/>
    </row>
    <row r="1048" spans="1:29" ht="15.75" customHeight="1" x14ac:dyDescent="0.25">
      <c r="A1048" s="12" t="s">
        <v>499</v>
      </c>
      <c r="B1048" s="14" t="str">
        <f>IFERROR((VLOOKUP($A1048,'[1]import success seats course'!$A:P,HLOOKUP('[1]Course Totals'!B$4,'[1]import success seats course'!$1:$2,2,FALSE),FALSE)/(VLOOKUP($A1048,'[1]import graded seats course pivo'!$A:Z,HLOOKUP('[1]Course Totals'!B$4,'[1]import graded seats course pivo'!$1:$2,2,FALSE),FALSE))),"")</f>
        <v/>
      </c>
      <c r="C1048" s="14">
        <f>IFERROR((VLOOKUP($A1048,'[1]import success seats course'!$A:Q,HLOOKUP('[1]Course Totals'!C$4,'[1]import success seats course'!$1:$2,2,FALSE),FALSE)/(VLOOKUP($A1048,'[1]import graded seats course pivo'!$A:AA,HLOOKUP('[1]Course Totals'!C$4,'[1]import graded seats course pivo'!$1:$2,2,FALSE),FALSE))),"")</f>
        <v>0.81481481481481477</v>
      </c>
      <c r="D1048" s="14">
        <f>IFERROR((VLOOKUP($A1048,'[1]import success seats course'!$A:R,HLOOKUP('[1]Course Totals'!D$4,'[1]import success seats course'!$1:$2,2,FALSE),FALSE)/(VLOOKUP($A1048,'[1]import graded seats course pivo'!$A:AB,HLOOKUP('[1]Course Totals'!D$4,'[1]import graded seats course pivo'!$1:$2,2,FALSE),FALSE))),"")</f>
        <v>0.91666666666666663</v>
      </c>
      <c r="E1048" s="14" t="str">
        <f>IFERROR((VLOOKUP($A1048,'[1]import success seats course'!$A:S,HLOOKUP('[1]Course Totals'!E$4,'[1]import success seats course'!$1:$2,2,FALSE),FALSE)/(VLOOKUP($A1048,'[1]import graded seats course pivo'!$A:AC,HLOOKUP('[1]Course Totals'!E$4,'[1]import graded seats course pivo'!$1:$2,2,FALSE),FALSE))),"")</f>
        <v/>
      </c>
      <c r="F1048" s="14">
        <f>IFERROR((VLOOKUP($A1048,'[1]import success seats course'!$A:T,HLOOKUP('[1]Course Totals'!F$4,'[1]import success seats course'!$1:$2,2,FALSE),FALSE)/(VLOOKUP($A1048,'[1]import graded seats course pivo'!$A:AD,HLOOKUP('[1]Course Totals'!F$4,'[1]import graded seats course pivo'!$1:$2,2,FALSE),FALSE))),"")</f>
        <v>0.76190476190476186</v>
      </c>
      <c r="G1048" s="14">
        <f>IFERROR((VLOOKUP($A1048,'[1]import success seats course'!$A:U,HLOOKUP('[1]Course Totals'!G$4,'[1]import success seats course'!$1:$2,2,FALSE),FALSE)/(VLOOKUP($A1048,'[1]import graded seats course pivo'!$A:AE,HLOOKUP('[1]Course Totals'!G$4,'[1]import graded seats course pivo'!$1:$2,2,FALSE),FALSE))),"")</f>
        <v>0.8</v>
      </c>
      <c r="H1048" s="14" t="str">
        <f>IFERROR((VLOOKUP($A1048,'[1]import success seats course'!$A:V,HLOOKUP('[1]Course Totals'!H$4,'[1]import success seats course'!$1:$2,2,FALSE),FALSE)/(VLOOKUP($A1048,'[1]import graded seats course pivo'!$A:AF,HLOOKUP('[1]Course Totals'!H$4,'[1]import graded seats course pivo'!$1:$2,2,FALSE),FALSE))),"")</f>
        <v/>
      </c>
      <c r="I1048" s="14">
        <f>IFERROR((VLOOKUP($A1048,'[1]import success seats course'!$A:W,HLOOKUP('[1]Course Totals'!I$4,'[1]import success seats course'!$1:$2,2,FALSE),FALSE)/(VLOOKUP($A1048,'[1]import graded seats course pivo'!$A:AG,HLOOKUP('[1]Course Totals'!I$4,'[1]import graded seats course pivo'!$1:$2,2,FALSE),FALSE))),"")</f>
        <v>0.8666666666666667</v>
      </c>
      <c r="J1048" s="14">
        <f>IFERROR((VLOOKUP($A1048,'[1]import success seats course'!$A:X,HLOOKUP('[1]Course Totals'!J$4,'[1]import success seats course'!$1:$2,2,FALSE),FALSE)/(VLOOKUP($A1048,'[1]import graded seats course pivo'!$A:AH,HLOOKUP('[1]Course Totals'!J$4,'[1]import graded seats course pivo'!$1:$2,2,FALSE),FALSE))),"")</f>
        <v>0.84615384615384615</v>
      </c>
      <c r="K1048" s="14" t="str">
        <f>IFERROR((VLOOKUP($A1048,'[1]import success seats course'!$A:Y,HLOOKUP('[1]Course Totals'!K$4,'[1]import success seats course'!$1:$2,2,FALSE),FALSE)/(VLOOKUP($A1048,'[1]import graded seats course pivo'!$A:AI,HLOOKUP('[1]Course Totals'!K$4,'[1]import graded seats course pivo'!$1:$2,2,FALSE),FALSE))),"")</f>
        <v/>
      </c>
      <c r="L1048" s="14" t="str">
        <f>IFERROR((VLOOKUP($A1048,'[1]import success seats course'!$A:Z,HLOOKUP('[1]Course Totals'!L$4,'[1]import success seats course'!$1:$2,2,FALSE),FALSE)/(VLOOKUP($A1048,'[1]import graded seats course pivo'!$A:AJ,HLOOKUP('[1]Course Totals'!L$4,'[1]import graded seats course pivo'!$1:$2,2,FALSE),FALSE))),"")</f>
        <v/>
      </c>
      <c r="M1048" s="14" t="str">
        <f>IFERROR((VLOOKUP($A1048,'[1]import success seats course'!$A:AA,HLOOKUP('[1]Course Totals'!M$4,'[1]import success seats course'!$1:$2,2,FALSE),FALSE)/(VLOOKUP($A1048,'[1]import graded seats course pivo'!$A:AK,HLOOKUP('[1]Course Totals'!M$4,'[1]import graded seats course pivo'!$1:$2,2,FALSE),FALSE))),"")</f>
        <v/>
      </c>
      <c r="N1048" s="14" t="str">
        <f>IFERROR((VLOOKUP($A1048,'[1]import success seats course'!$A:AB,HLOOKUP('[1]Course Totals'!N$4,'[1]import success seats course'!$1:$2,2,FALSE),FALSE)/(VLOOKUP($A1048,'[1]import graded seats course pivo'!$A:AL,HLOOKUP('[1]Course Totals'!N$4,'[1]import graded seats course pivo'!$1:$2,2,FALSE),FALSE))),"")</f>
        <v/>
      </c>
      <c r="O1048" s="14" t="str">
        <f>IFERROR((VLOOKUP($A1048,'[1]import success seats course'!$A:AC,HLOOKUP('[1]Course Totals'!O$4,'[1]import success seats course'!$1:$2,2,FALSE),FALSE)/(VLOOKUP($A1048,'[1]import graded seats course pivo'!$A:AM,HLOOKUP('[1]Course Totals'!O$4,'[1]import graded seats course pivo'!$1:$2,2,FALSE),FALSE))),"")</f>
        <v/>
      </c>
      <c r="P1048" s="14" t="str">
        <f>IFERROR((VLOOKUP($A1048,'[1]import success seats course'!$A:AD,HLOOKUP('[1]Course Totals'!P$4,'[1]import success seats course'!$1:$2,2,FALSE),FALSE)/(VLOOKUP($A1048,'[1]import graded seats course pivo'!$A:AN,HLOOKUP('[1]Course Totals'!P$4,'[1]import graded seats course pivo'!$1:$2,2,FALSE),FALSE))),"")</f>
        <v/>
      </c>
      <c r="Q1048" s="14" t="str">
        <f>IFERROR((VLOOKUP($A1048,'[1]import success seats course'!$A:AE,HLOOKUP('[1]Course Totals'!Q$4,'[1]import success seats course'!$1:$2,2,FALSE),FALSE)/(VLOOKUP($A1048,'[1]import graded seats course pivo'!$A:AO,HLOOKUP('[1]Course Totals'!Q$4,'[1]import graded seats course pivo'!$1:$2,2,FALSE),FALSE))),"")</f>
        <v/>
      </c>
      <c r="R1048" s="14" t="str">
        <f>IFERROR((VLOOKUP($A1048,'[1]import success seats course'!$A:AF,HLOOKUP('[1]Course Totals'!R$4,'[1]import success seats course'!$1:$2,2,FALSE),FALSE)/(VLOOKUP($A1048,'[1]import graded seats course pivo'!$A:AP,HLOOKUP('[1]Course Totals'!R$4,'[1]import graded seats course pivo'!$1:$2,2,FALSE),FALSE))),"")</f>
        <v/>
      </c>
      <c r="S1048" s="14" t="str">
        <f>IFERROR((VLOOKUP($A1048,'[1]import success seats course'!$A:AG,HLOOKUP('[1]Course Totals'!S$4,'[1]import success seats course'!$1:$2,2,FALSE),FALSE)/(VLOOKUP($A1048,'[1]import graded seats course pivo'!$A:AQ,HLOOKUP('[1]Course Totals'!S$4,'[1]import graded seats course pivo'!$1:$2,2,FALSE),FALSE))),"")</f>
        <v/>
      </c>
      <c r="Z1048" s="7"/>
      <c r="AA1048" s="7"/>
      <c r="AB1048" s="7"/>
      <c r="AC1048" s="7"/>
    </row>
    <row r="1049" spans="1:29" ht="15.75" customHeight="1" x14ac:dyDescent="0.25">
      <c r="A1049" s="12" t="s">
        <v>500</v>
      </c>
      <c r="B1049" s="14" t="str">
        <f>IFERROR((VLOOKUP($A1049,'[1]import success seats course'!$A:P,HLOOKUP('[1]Course Totals'!B$4,'[1]import success seats course'!$1:$2,2,FALSE),FALSE)/(VLOOKUP($A1049,'[1]import graded seats course pivo'!$A:Z,HLOOKUP('[1]Course Totals'!B$4,'[1]import graded seats course pivo'!$1:$2,2,FALSE),FALSE))),"")</f>
        <v/>
      </c>
      <c r="C1049" s="14">
        <f>IFERROR((VLOOKUP($A1049,'[1]import success seats course'!$A:Q,HLOOKUP('[1]Course Totals'!C$4,'[1]import success seats course'!$1:$2,2,FALSE),FALSE)/(VLOOKUP($A1049,'[1]import graded seats course pivo'!$A:AA,HLOOKUP('[1]Course Totals'!C$4,'[1]import graded seats course pivo'!$1:$2,2,FALSE),FALSE))),"")</f>
        <v>0.90625</v>
      </c>
      <c r="D1049" s="14">
        <f>IFERROR((VLOOKUP($A1049,'[1]import success seats course'!$A:R,HLOOKUP('[1]Course Totals'!D$4,'[1]import success seats course'!$1:$2,2,FALSE),FALSE)/(VLOOKUP($A1049,'[1]import graded seats course pivo'!$A:AB,HLOOKUP('[1]Course Totals'!D$4,'[1]import graded seats course pivo'!$1:$2,2,FALSE),FALSE))),"")</f>
        <v>0.8</v>
      </c>
      <c r="E1049" s="14" t="str">
        <f>IFERROR((VLOOKUP($A1049,'[1]import success seats course'!$A:S,HLOOKUP('[1]Course Totals'!E$4,'[1]import success seats course'!$1:$2,2,FALSE),FALSE)/(VLOOKUP($A1049,'[1]import graded seats course pivo'!$A:AC,HLOOKUP('[1]Course Totals'!E$4,'[1]import graded seats course pivo'!$1:$2,2,FALSE),FALSE))),"")</f>
        <v/>
      </c>
      <c r="F1049" s="14">
        <f>IFERROR((VLOOKUP($A1049,'[1]import success seats course'!$A:T,HLOOKUP('[1]Course Totals'!F$4,'[1]import success seats course'!$1:$2,2,FALSE),FALSE)/(VLOOKUP($A1049,'[1]import graded seats course pivo'!$A:AD,HLOOKUP('[1]Course Totals'!F$4,'[1]import graded seats course pivo'!$1:$2,2,FALSE),FALSE))),"")</f>
        <v>1</v>
      </c>
      <c r="G1049" s="14">
        <f>IFERROR((VLOOKUP($A1049,'[1]import success seats course'!$A:U,HLOOKUP('[1]Course Totals'!G$4,'[1]import success seats course'!$1:$2,2,FALSE),FALSE)/(VLOOKUP($A1049,'[1]import graded seats course pivo'!$A:AE,HLOOKUP('[1]Course Totals'!G$4,'[1]import graded seats course pivo'!$1:$2,2,FALSE),FALSE))),"")</f>
        <v>0.88235294117647056</v>
      </c>
      <c r="H1049" s="14" t="str">
        <f>IFERROR((VLOOKUP($A1049,'[1]import success seats course'!$A:V,HLOOKUP('[1]Course Totals'!H$4,'[1]import success seats course'!$1:$2,2,FALSE),FALSE)/(VLOOKUP($A1049,'[1]import graded seats course pivo'!$A:AF,HLOOKUP('[1]Course Totals'!H$4,'[1]import graded seats course pivo'!$1:$2,2,FALSE),FALSE))),"")</f>
        <v/>
      </c>
      <c r="I1049" s="14">
        <f>IFERROR((VLOOKUP($A1049,'[1]import success seats course'!$A:W,HLOOKUP('[1]Course Totals'!I$4,'[1]import success seats course'!$1:$2,2,FALSE),FALSE)/(VLOOKUP($A1049,'[1]import graded seats course pivo'!$A:AG,HLOOKUP('[1]Course Totals'!I$4,'[1]import graded seats course pivo'!$1:$2,2,FALSE),FALSE))),"")</f>
        <v>0.96551724137931039</v>
      </c>
      <c r="J1049" s="14">
        <f>IFERROR((VLOOKUP($A1049,'[1]import success seats course'!$A:X,HLOOKUP('[1]Course Totals'!J$4,'[1]import success seats course'!$1:$2,2,FALSE),FALSE)/(VLOOKUP($A1049,'[1]import graded seats course pivo'!$A:AH,HLOOKUP('[1]Course Totals'!J$4,'[1]import graded seats course pivo'!$1:$2,2,FALSE),FALSE))),"")</f>
        <v>1</v>
      </c>
      <c r="K1049" s="14" t="str">
        <f>IFERROR((VLOOKUP($A1049,'[1]import success seats course'!$A:Y,HLOOKUP('[1]Course Totals'!K$4,'[1]import success seats course'!$1:$2,2,FALSE),FALSE)/(VLOOKUP($A1049,'[1]import graded seats course pivo'!$A:AI,HLOOKUP('[1]Course Totals'!K$4,'[1]import graded seats course pivo'!$1:$2,2,FALSE),FALSE))),"")</f>
        <v/>
      </c>
      <c r="L1049" s="14" t="str">
        <f>IFERROR((VLOOKUP($A1049,'[1]import success seats course'!$A:Z,HLOOKUP('[1]Course Totals'!L$4,'[1]import success seats course'!$1:$2,2,FALSE),FALSE)/(VLOOKUP($A1049,'[1]import graded seats course pivo'!$A:AJ,HLOOKUP('[1]Course Totals'!L$4,'[1]import graded seats course pivo'!$1:$2,2,FALSE),FALSE))),"")</f>
        <v/>
      </c>
      <c r="M1049" s="14" t="str">
        <f>IFERROR((VLOOKUP($A1049,'[1]import success seats course'!$A:AA,HLOOKUP('[1]Course Totals'!M$4,'[1]import success seats course'!$1:$2,2,FALSE),FALSE)/(VLOOKUP($A1049,'[1]import graded seats course pivo'!$A:AK,HLOOKUP('[1]Course Totals'!M$4,'[1]import graded seats course pivo'!$1:$2,2,FALSE),FALSE))),"")</f>
        <v/>
      </c>
      <c r="N1049" s="14" t="str">
        <f>IFERROR((VLOOKUP($A1049,'[1]import success seats course'!$A:AB,HLOOKUP('[1]Course Totals'!N$4,'[1]import success seats course'!$1:$2,2,FALSE),FALSE)/(VLOOKUP($A1049,'[1]import graded seats course pivo'!$A:AL,HLOOKUP('[1]Course Totals'!N$4,'[1]import graded seats course pivo'!$1:$2,2,FALSE),FALSE))),"")</f>
        <v/>
      </c>
      <c r="O1049" s="14" t="str">
        <f>IFERROR((VLOOKUP($A1049,'[1]import success seats course'!$A:AC,HLOOKUP('[1]Course Totals'!O$4,'[1]import success seats course'!$1:$2,2,FALSE),FALSE)/(VLOOKUP($A1049,'[1]import graded seats course pivo'!$A:AM,HLOOKUP('[1]Course Totals'!O$4,'[1]import graded seats course pivo'!$1:$2,2,FALSE),FALSE))),"")</f>
        <v/>
      </c>
      <c r="P1049" s="14" t="str">
        <f>IFERROR((VLOOKUP($A1049,'[1]import success seats course'!$A:AD,HLOOKUP('[1]Course Totals'!P$4,'[1]import success seats course'!$1:$2,2,FALSE),FALSE)/(VLOOKUP($A1049,'[1]import graded seats course pivo'!$A:AN,HLOOKUP('[1]Course Totals'!P$4,'[1]import graded seats course pivo'!$1:$2,2,FALSE),FALSE))),"")</f>
        <v/>
      </c>
      <c r="Q1049" s="14" t="str">
        <f>IFERROR((VLOOKUP($A1049,'[1]import success seats course'!$A:AE,HLOOKUP('[1]Course Totals'!Q$4,'[1]import success seats course'!$1:$2,2,FALSE),FALSE)/(VLOOKUP($A1049,'[1]import graded seats course pivo'!$A:AO,HLOOKUP('[1]Course Totals'!Q$4,'[1]import graded seats course pivo'!$1:$2,2,FALSE),FALSE))),"")</f>
        <v/>
      </c>
      <c r="R1049" s="14" t="str">
        <f>IFERROR((VLOOKUP($A1049,'[1]import success seats course'!$A:AF,HLOOKUP('[1]Course Totals'!R$4,'[1]import success seats course'!$1:$2,2,FALSE),FALSE)/(VLOOKUP($A1049,'[1]import graded seats course pivo'!$A:AP,HLOOKUP('[1]Course Totals'!R$4,'[1]import graded seats course pivo'!$1:$2,2,FALSE),FALSE))),"")</f>
        <v/>
      </c>
      <c r="S1049" s="14" t="str">
        <f>IFERROR((VLOOKUP($A1049,'[1]import success seats course'!$A:AG,HLOOKUP('[1]Course Totals'!S$4,'[1]import success seats course'!$1:$2,2,FALSE),FALSE)/(VLOOKUP($A1049,'[1]import graded seats course pivo'!$A:AQ,HLOOKUP('[1]Course Totals'!S$4,'[1]import graded seats course pivo'!$1:$2,2,FALSE),FALSE))),"")</f>
        <v/>
      </c>
      <c r="Z1049" s="7"/>
      <c r="AA1049" s="7"/>
      <c r="AB1049" s="7"/>
      <c r="AC1049" s="7"/>
    </row>
    <row r="1050" spans="1:29" ht="15.75" customHeight="1" x14ac:dyDescent="0.25">
      <c r="A1050" s="12" t="s">
        <v>501</v>
      </c>
      <c r="B1050" s="14" t="str">
        <f>IFERROR((VLOOKUP($A1050,'[1]import success seats course'!$A:P,HLOOKUP('[1]Course Totals'!B$4,'[1]import success seats course'!$1:$2,2,FALSE),FALSE)/(VLOOKUP($A1050,'[1]import graded seats course pivo'!$A:Z,HLOOKUP('[1]Course Totals'!B$4,'[1]import graded seats course pivo'!$1:$2,2,FALSE),FALSE))),"")</f>
        <v/>
      </c>
      <c r="C1050" s="14">
        <f>IFERROR((VLOOKUP($A1050,'[1]import success seats course'!$A:Q,HLOOKUP('[1]Course Totals'!C$4,'[1]import success seats course'!$1:$2,2,FALSE),FALSE)/(VLOOKUP($A1050,'[1]import graded seats course pivo'!$A:AA,HLOOKUP('[1]Course Totals'!C$4,'[1]import graded seats course pivo'!$1:$2,2,FALSE),FALSE))),"")</f>
        <v>0.8214285714285714</v>
      </c>
      <c r="D1050" s="14">
        <f>IFERROR((VLOOKUP($A1050,'[1]import success seats course'!$A:R,HLOOKUP('[1]Course Totals'!D$4,'[1]import success seats course'!$1:$2,2,FALSE),FALSE)/(VLOOKUP($A1050,'[1]import graded seats course pivo'!$A:AB,HLOOKUP('[1]Course Totals'!D$4,'[1]import graded seats course pivo'!$1:$2,2,FALSE),FALSE))),"")</f>
        <v>0.7857142857142857</v>
      </c>
      <c r="E1050" s="14" t="str">
        <f>IFERROR((VLOOKUP($A1050,'[1]import success seats course'!$A:S,HLOOKUP('[1]Course Totals'!E$4,'[1]import success seats course'!$1:$2,2,FALSE),FALSE)/(VLOOKUP($A1050,'[1]import graded seats course pivo'!$A:AC,HLOOKUP('[1]Course Totals'!E$4,'[1]import graded seats course pivo'!$1:$2,2,FALSE),FALSE))),"")</f>
        <v/>
      </c>
      <c r="F1050" s="14">
        <f>IFERROR((VLOOKUP($A1050,'[1]import success seats course'!$A:T,HLOOKUP('[1]Course Totals'!F$4,'[1]import success seats course'!$1:$2,2,FALSE),FALSE)/(VLOOKUP($A1050,'[1]import graded seats course pivo'!$A:AD,HLOOKUP('[1]Course Totals'!F$4,'[1]import graded seats course pivo'!$1:$2,2,FALSE),FALSE))),"")</f>
        <v>0.66666666666666663</v>
      </c>
      <c r="G1050" s="14">
        <f>IFERROR((VLOOKUP($A1050,'[1]import success seats course'!$A:U,HLOOKUP('[1]Course Totals'!G$4,'[1]import success seats course'!$1:$2,2,FALSE),FALSE)/(VLOOKUP($A1050,'[1]import graded seats course pivo'!$A:AE,HLOOKUP('[1]Course Totals'!G$4,'[1]import graded seats course pivo'!$1:$2,2,FALSE),FALSE))),"")</f>
        <v>0.85185185185185186</v>
      </c>
      <c r="H1050" s="14" t="str">
        <f>IFERROR((VLOOKUP($A1050,'[1]import success seats course'!$A:V,HLOOKUP('[1]Course Totals'!H$4,'[1]import success seats course'!$1:$2,2,FALSE),FALSE)/(VLOOKUP($A1050,'[1]import graded seats course pivo'!$A:AF,HLOOKUP('[1]Course Totals'!H$4,'[1]import graded seats course pivo'!$1:$2,2,FALSE),FALSE))),"")</f>
        <v/>
      </c>
      <c r="I1050" s="14">
        <f>IFERROR((VLOOKUP($A1050,'[1]import success seats course'!$A:W,HLOOKUP('[1]Course Totals'!I$4,'[1]import success seats course'!$1:$2,2,FALSE),FALSE)/(VLOOKUP($A1050,'[1]import graded seats course pivo'!$A:AG,HLOOKUP('[1]Course Totals'!I$4,'[1]import graded seats course pivo'!$1:$2,2,FALSE),FALSE))),"")</f>
        <v>0.8666666666666667</v>
      </c>
      <c r="J1050" s="14">
        <f>IFERROR((VLOOKUP($A1050,'[1]import success seats course'!$A:X,HLOOKUP('[1]Course Totals'!J$4,'[1]import success seats course'!$1:$2,2,FALSE),FALSE)/(VLOOKUP($A1050,'[1]import graded seats course pivo'!$A:AH,HLOOKUP('[1]Course Totals'!J$4,'[1]import graded seats course pivo'!$1:$2,2,FALSE),FALSE))),"")</f>
        <v>0.80769230769230771</v>
      </c>
      <c r="K1050" s="14" t="str">
        <f>IFERROR((VLOOKUP($A1050,'[1]import success seats course'!$A:Y,HLOOKUP('[1]Course Totals'!K$4,'[1]import success seats course'!$1:$2,2,FALSE),FALSE)/(VLOOKUP($A1050,'[1]import graded seats course pivo'!$A:AI,HLOOKUP('[1]Course Totals'!K$4,'[1]import graded seats course pivo'!$1:$2,2,FALSE),FALSE))),"")</f>
        <v/>
      </c>
      <c r="L1050" s="14">
        <f>IFERROR((VLOOKUP($A1050,'[1]import success seats course'!$A:Z,HLOOKUP('[1]Course Totals'!L$4,'[1]import success seats course'!$1:$2,2,FALSE),FALSE)/(VLOOKUP($A1050,'[1]import graded seats course pivo'!$A:AJ,HLOOKUP('[1]Course Totals'!L$4,'[1]import graded seats course pivo'!$1:$2,2,FALSE),FALSE))),"")</f>
        <v>1</v>
      </c>
      <c r="M1050" s="14">
        <f>IFERROR((VLOOKUP($A1050,'[1]import success seats course'!$A:AA,HLOOKUP('[1]Course Totals'!M$4,'[1]import success seats course'!$1:$2,2,FALSE),FALSE)/(VLOOKUP($A1050,'[1]import graded seats course pivo'!$A:AK,HLOOKUP('[1]Course Totals'!M$4,'[1]import graded seats course pivo'!$1:$2,2,FALSE),FALSE))),"")</f>
        <v>0.90322580645161288</v>
      </c>
      <c r="N1050" s="14" t="str">
        <f>IFERROR((VLOOKUP($A1050,'[1]import success seats course'!$A:AB,HLOOKUP('[1]Course Totals'!N$4,'[1]import success seats course'!$1:$2,2,FALSE),FALSE)/(VLOOKUP($A1050,'[1]import graded seats course pivo'!$A:AL,HLOOKUP('[1]Course Totals'!N$4,'[1]import graded seats course pivo'!$1:$2,2,FALSE),FALSE))),"")</f>
        <v/>
      </c>
      <c r="O1050" s="14">
        <f>IFERROR((VLOOKUP($A1050,'[1]import success seats course'!$A:AC,HLOOKUP('[1]Course Totals'!O$4,'[1]import success seats course'!$1:$2,2,FALSE),FALSE)/(VLOOKUP($A1050,'[1]import graded seats course pivo'!$A:AM,HLOOKUP('[1]Course Totals'!O$4,'[1]import graded seats course pivo'!$1:$2,2,FALSE),FALSE))),"")</f>
        <v>0.8125</v>
      </c>
      <c r="P1050" s="14">
        <f>IFERROR((VLOOKUP($A1050,'[1]import success seats course'!$A:AD,HLOOKUP('[1]Course Totals'!P$4,'[1]import success seats course'!$1:$2,2,FALSE),FALSE)/(VLOOKUP($A1050,'[1]import graded seats course pivo'!$A:AN,HLOOKUP('[1]Course Totals'!P$4,'[1]import graded seats course pivo'!$1:$2,2,FALSE),FALSE))),"")</f>
        <v>0.79166666666666663</v>
      </c>
      <c r="Q1050" s="14" t="str">
        <f>IFERROR((VLOOKUP($A1050,'[1]import success seats course'!$A:AE,HLOOKUP('[1]Course Totals'!Q$4,'[1]import success seats course'!$1:$2,2,FALSE),FALSE)/(VLOOKUP($A1050,'[1]import graded seats course pivo'!$A:AO,HLOOKUP('[1]Course Totals'!Q$4,'[1]import graded seats course pivo'!$1:$2,2,FALSE),FALSE))),"")</f>
        <v/>
      </c>
      <c r="R1050" s="14" t="str">
        <f>IFERROR((VLOOKUP($A1050,'[1]import success seats course'!$A:AF,HLOOKUP('[1]Course Totals'!R$4,'[1]import success seats course'!$1:$2,2,FALSE),FALSE)/(VLOOKUP($A1050,'[1]import graded seats course pivo'!$A:AP,HLOOKUP('[1]Course Totals'!R$4,'[1]import graded seats course pivo'!$1:$2,2,FALSE),FALSE))),"")</f>
        <v/>
      </c>
      <c r="S1050" s="14" t="str">
        <f>IFERROR((VLOOKUP($A1050,'[1]import success seats course'!$A:AG,HLOOKUP('[1]Course Totals'!S$4,'[1]import success seats course'!$1:$2,2,FALSE),FALSE)/(VLOOKUP($A1050,'[1]import graded seats course pivo'!$A:AQ,HLOOKUP('[1]Course Totals'!S$4,'[1]import graded seats course pivo'!$1:$2,2,FALSE),FALSE))),"")</f>
        <v/>
      </c>
      <c r="Z1050" s="7"/>
      <c r="AA1050" s="7"/>
      <c r="AB1050" s="7"/>
      <c r="AC1050" s="7"/>
    </row>
    <row r="1051" spans="1:29" ht="15.75" customHeight="1" x14ac:dyDescent="0.25">
      <c r="A1051" s="12" t="s">
        <v>502</v>
      </c>
      <c r="B1051" s="14" t="str">
        <f>IFERROR((VLOOKUP($A1051,'[1]import success seats course'!$A:P,HLOOKUP('[1]Course Totals'!B$4,'[1]import success seats course'!$1:$2,2,FALSE),FALSE)/(VLOOKUP($A1051,'[1]import graded seats course pivo'!$A:Z,HLOOKUP('[1]Course Totals'!B$4,'[1]import graded seats course pivo'!$1:$2,2,FALSE),FALSE))),"")</f>
        <v/>
      </c>
      <c r="C1051" s="14">
        <f>IFERROR((VLOOKUP($A1051,'[1]import success seats course'!$A:Q,HLOOKUP('[1]Course Totals'!C$4,'[1]import success seats course'!$1:$2,2,FALSE),FALSE)/(VLOOKUP($A1051,'[1]import graded seats course pivo'!$A:AA,HLOOKUP('[1]Course Totals'!C$4,'[1]import graded seats course pivo'!$1:$2,2,FALSE),FALSE))),"")</f>
        <v>0.90625</v>
      </c>
      <c r="D1051" s="14">
        <f>IFERROR((VLOOKUP($A1051,'[1]import success seats course'!$A:R,HLOOKUP('[1]Course Totals'!D$4,'[1]import success seats course'!$1:$2,2,FALSE),FALSE)/(VLOOKUP($A1051,'[1]import graded seats course pivo'!$A:AB,HLOOKUP('[1]Course Totals'!D$4,'[1]import graded seats course pivo'!$1:$2,2,FALSE),FALSE))),"")</f>
        <v>0.81481481481481477</v>
      </c>
      <c r="E1051" s="14" t="str">
        <f>IFERROR((VLOOKUP($A1051,'[1]import success seats course'!$A:S,HLOOKUP('[1]Course Totals'!E$4,'[1]import success seats course'!$1:$2,2,FALSE),FALSE)/(VLOOKUP($A1051,'[1]import graded seats course pivo'!$A:AC,HLOOKUP('[1]Course Totals'!E$4,'[1]import graded seats course pivo'!$1:$2,2,FALSE),FALSE))),"")</f>
        <v/>
      </c>
      <c r="F1051" s="14">
        <f>IFERROR((VLOOKUP($A1051,'[1]import success seats course'!$A:T,HLOOKUP('[1]Course Totals'!F$4,'[1]import success seats course'!$1:$2,2,FALSE),FALSE)/(VLOOKUP($A1051,'[1]import graded seats course pivo'!$A:AD,HLOOKUP('[1]Course Totals'!F$4,'[1]import graded seats course pivo'!$1:$2,2,FALSE),FALSE))),"")</f>
        <v>0.8125</v>
      </c>
      <c r="G1051" s="14">
        <f>IFERROR((VLOOKUP($A1051,'[1]import success seats course'!$A:U,HLOOKUP('[1]Course Totals'!G$4,'[1]import success seats course'!$1:$2,2,FALSE),FALSE)/(VLOOKUP($A1051,'[1]import graded seats course pivo'!$A:AE,HLOOKUP('[1]Course Totals'!G$4,'[1]import graded seats course pivo'!$1:$2,2,FALSE),FALSE))),"")</f>
        <v>0.91176470588235292</v>
      </c>
      <c r="H1051" s="14" t="str">
        <f>IFERROR((VLOOKUP($A1051,'[1]import success seats course'!$A:V,HLOOKUP('[1]Course Totals'!H$4,'[1]import success seats course'!$1:$2,2,FALSE),FALSE)/(VLOOKUP($A1051,'[1]import graded seats course pivo'!$A:AF,HLOOKUP('[1]Course Totals'!H$4,'[1]import graded seats course pivo'!$1:$2,2,FALSE),FALSE))),"")</f>
        <v/>
      </c>
      <c r="I1051" s="14">
        <f>IFERROR((VLOOKUP($A1051,'[1]import success seats course'!$A:W,HLOOKUP('[1]Course Totals'!I$4,'[1]import success seats course'!$1:$2,2,FALSE),FALSE)/(VLOOKUP($A1051,'[1]import graded seats course pivo'!$A:AG,HLOOKUP('[1]Course Totals'!I$4,'[1]import graded seats course pivo'!$1:$2,2,FALSE),FALSE))),"")</f>
        <v>0.97058823529411764</v>
      </c>
      <c r="J1051" s="14">
        <f>IFERROR((VLOOKUP($A1051,'[1]import success seats course'!$A:X,HLOOKUP('[1]Course Totals'!J$4,'[1]import success seats course'!$1:$2,2,FALSE),FALSE)/(VLOOKUP($A1051,'[1]import graded seats course pivo'!$A:AH,HLOOKUP('[1]Course Totals'!J$4,'[1]import graded seats course pivo'!$1:$2,2,FALSE),FALSE))),"")</f>
        <v>0.96551724137931039</v>
      </c>
      <c r="K1051" s="14" t="str">
        <f>IFERROR((VLOOKUP($A1051,'[1]import success seats course'!$A:Y,HLOOKUP('[1]Course Totals'!K$4,'[1]import success seats course'!$1:$2,2,FALSE),FALSE)/(VLOOKUP($A1051,'[1]import graded seats course pivo'!$A:AI,HLOOKUP('[1]Course Totals'!K$4,'[1]import graded seats course pivo'!$1:$2,2,FALSE),FALSE))),"")</f>
        <v/>
      </c>
      <c r="L1051" s="14">
        <f>IFERROR((VLOOKUP($A1051,'[1]import success seats course'!$A:Z,HLOOKUP('[1]Course Totals'!L$4,'[1]import success seats course'!$1:$2,2,FALSE),FALSE)/(VLOOKUP($A1051,'[1]import graded seats course pivo'!$A:AJ,HLOOKUP('[1]Course Totals'!L$4,'[1]import graded seats course pivo'!$1:$2,2,FALSE),FALSE))),"")</f>
        <v>0.92307692307692313</v>
      </c>
      <c r="M1051" s="14">
        <f>IFERROR((VLOOKUP($A1051,'[1]import success seats course'!$A:AA,HLOOKUP('[1]Course Totals'!M$4,'[1]import success seats course'!$1:$2,2,FALSE),FALSE)/(VLOOKUP($A1051,'[1]import graded seats course pivo'!$A:AK,HLOOKUP('[1]Course Totals'!M$4,'[1]import graded seats course pivo'!$1:$2,2,FALSE),FALSE))),"")</f>
        <v>0.96969696969696972</v>
      </c>
      <c r="N1051" s="14" t="str">
        <f>IFERROR((VLOOKUP($A1051,'[1]import success seats course'!$A:AB,HLOOKUP('[1]Course Totals'!N$4,'[1]import success seats course'!$1:$2,2,FALSE),FALSE)/(VLOOKUP($A1051,'[1]import graded seats course pivo'!$A:AL,HLOOKUP('[1]Course Totals'!N$4,'[1]import graded seats course pivo'!$1:$2,2,FALSE),FALSE))),"")</f>
        <v/>
      </c>
      <c r="O1051" s="14">
        <f>IFERROR((VLOOKUP($A1051,'[1]import success seats course'!$A:AC,HLOOKUP('[1]Course Totals'!O$4,'[1]import success seats course'!$1:$2,2,FALSE),FALSE)/(VLOOKUP($A1051,'[1]import graded seats course pivo'!$A:AM,HLOOKUP('[1]Course Totals'!O$4,'[1]import graded seats course pivo'!$1:$2,2,FALSE),FALSE))),"")</f>
        <v>0.87096774193548387</v>
      </c>
      <c r="P1051" s="14">
        <f>IFERROR((VLOOKUP($A1051,'[1]import success seats course'!$A:AD,HLOOKUP('[1]Course Totals'!P$4,'[1]import success seats course'!$1:$2,2,FALSE),FALSE)/(VLOOKUP($A1051,'[1]import graded seats course pivo'!$A:AN,HLOOKUP('[1]Course Totals'!P$4,'[1]import graded seats course pivo'!$1:$2,2,FALSE),FALSE))),"")</f>
        <v>0.97058823529411764</v>
      </c>
      <c r="Q1051" s="14" t="str">
        <f>IFERROR((VLOOKUP($A1051,'[1]import success seats course'!$A:AE,HLOOKUP('[1]Course Totals'!Q$4,'[1]import success seats course'!$1:$2,2,FALSE),FALSE)/(VLOOKUP($A1051,'[1]import graded seats course pivo'!$A:AO,HLOOKUP('[1]Course Totals'!Q$4,'[1]import graded seats course pivo'!$1:$2,2,FALSE),FALSE))),"")</f>
        <v/>
      </c>
      <c r="R1051" s="14" t="str">
        <f>IFERROR((VLOOKUP($A1051,'[1]import success seats course'!$A:AF,HLOOKUP('[1]Course Totals'!R$4,'[1]import success seats course'!$1:$2,2,FALSE),FALSE)/(VLOOKUP($A1051,'[1]import graded seats course pivo'!$A:AP,HLOOKUP('[1]Course Totals'!R$4,'[1]import graded seats course pivo'!$1:$2,2,FALSE),FALSE))),"")</f>
        <v/>
      </c>
      <c r="S1051" s="14" t="str">
        <f>IFERROR((VLOOKUP($A1051,'[1]import success seats course'!$A:AG,HLOOKUP('[1]Course Totals'!S$4,'[1]import success seats course'!$1:$2,2,FALSE),FALSE)/(VLOOKUP($A1051,'[1]import graded seats course pivo'!$A:AQ,HLOOKUP('[1]Course Totals'!S$4,'[1]import graded seats course pivo'!$1:$2,2,FALSE),FALSE))),"")</f>
        <v/>
      </c>
      <c r="Z1051" s="7"/>
      <c r="AA1051" s="7"/>
      <c r="AB1051" s="7"/>
      <c r="AC1051" s="7"/>
    </row>
    <row r="1052" spans="1:29" ht="15.75" hidden="1" customHeight="1" x14ac:dyDescent="0.25">
      <c r="A1052" s="12" t="s">
        <v>756</v>
      </c>
      <c r="B1052" s="14" t="str">
        <f>IFERROR((VLOOKUP($A1052,'[1]import success seats course'!$A:P,HLOOKUP('[1]Course Totals'!B$4,'[1]import success seats course'!$1:$2,2,FALSE),FALSE)/(VLOOKUP($A1052,'[1]import graded seats course pivo'!$A:Z,HLOOKUP('[1]Course Totals'!B$4,'[1]import graded seats course pivo'!$1:$2,2,FALSE),FALSE))),"")</f>
        <v/>
      </c>
      <c r="C1052" s="14" t="str">
        <f>IFERROR((VLOOKUP($A1052,'[1]import success seats course'!$A:Q,HLOOKUP('[1]Course Totals'!C$4,'[1]import success seats course'!$1:$2,2,FALSE),FALSE)/(VLOOKUP($A1052,'[1]import graded seats course pivo'!$A:AA,HLOOKUP('[1]Course Totals'!C$4,'[1]import graded seats course pivo'!$1:$2,2,FALSE),FALSE))),"")</f>
        <v/>
      </c>
      <c r="D1052" s="14" t="str">
        <f>IFERROR((VLOOKUP($A1052,'[1]import success seats course'!$A:R,HLOOKUP('[1]Course Totals'!D$4,'[1]import success seats course'!$1:$2,2,FALSE),FALSE)/(VLOOKUP($A1052,'[1]import graded seats course pivo'!$A:AB,HLOOKUP('[1]Course Totals'!D$4,'[1]import graded seats course pivo'!$1:$2,2,FALSE),FALSE))),"")</f>
        <v/>
      </c>
      <c r="E1052" s="14" t="str">
        <f>IFERROR((VLOOKUP($A1052,'[1]import success seats course'!$A:S,HLOOKUP('[1]Course Totals'!E$4,'[1]import success seats course'!$1:$2,2,FALSE),FALSE)/(VLOOKUP($A1052,'[1]import graded seats course pivo'!$A:AC,HLOOKUP('[1]Course Totals'!E$4,'[1]import graded seats course pivo'!$1:$2,2,FALSE),FALSE))),"")</f>
        <v/>
      </c>
      <c r="F1052" s="14" t="str">
        <f>IFERROR((VLOOKUP($A1052,'[1]import success seats course'!$A:T,HLOOKUP('[1]Course Totals'!F$4,'[1]import success seats course'!$1:$2,2,FALSE),FALSE)/(VLOOKUP($A1052,'[1]import graded seats course pivo'!$A:AD,HLOOKUP('[1]Course Totals'!F$4,'[1]import graded seats course pivo'!$1:$2,2,FALSE),FALSE))),"")</f>
        <v/>
      </c>
      <c r="G1052" s="14" t="str">
        <f>IFERROR((VLOOKUP($A1052,'[1]import success seats course'!$A:U,HLOOKUP('[1]Course Totals'!G$4,'[1]import success seats course'!$1:$2,2,FALSE),FALSE)/(VLOOKUP($A1052,'[1]import graded seats course pivo'!$A:AE,HLOOKUP('[1]Course Totals'!G$4,'[1]import graded seats course pivo'!$1:$2,2,FALSE),FALSE))),"")</f>
        <v/>
      </c>
      <c r="H1052" s="14" t="str">
        <f>IFERROR((VLOOKUP($A1052,'[1]import success seats course'!$A:V,HLOOKUP('[1]Course Totals'!H$4,'[1]import success seats course'!$1:$2,2,FALSE),FALSE)/(VLOOKUP($A1052,'[1]import graded seats course pivo'!$A:AF,HLOOKUP('[1]Course Totals'!H$4,'[1]import graded seats course pivo'!$1:$2,2,FALSE),FALSE))),"")</f>
        <v/>
      </c>
      <c r="I1052" s="14" t="str">
        <f>IFERROR((VLOOKUP($A1052,'[1]import success seats course'!$A:W,HLOOKUP('[1]Course Totals'!I$4,'[1]import success seats course'!$1:$2,2,FALSE),FALSE)/(VLOOKUP($A1052,'[1]import graded seats course pivo'!$A:AG,HLOOKUP('[1]Course Totals'!I$4,'[1]import graded seats course pivo'!$1:$2,2,FALSE),FALSE))),"")</f>
        <v/>
      </c>
      <c r="J1052" s="14" t="str">
        <f>IFERROR((VLOOKUP($A1052,'[1]import success seats course'!$A:X,HLOOKUP('[1]Course Totals'!J$4,'[1]import success seats course'!$1:$2,2,FALSE),FALSE)/(VLOOKUP($A1052,'[1]import graded seats course pivo'!$A:AH,HLOOKUP('[1]Course Totals'!J$4,'[1]import graded seats course pivo'!$1:$2,2,FALSE),FALSE))),"")</f>
        <v/>
      </c>
      <c r="K1052" s="14" t="str">
        <f>IFERROR((VLOOKUP($A1052,'[1]import success seats course'!$A:Y,HLOOKUP('[1]Course Totals'!K$4,'[1]import success seats course'!$1:$2,2,FALSE),FALSE)/(VLOOKUP($A1052,'[1]import graded seats course pivo'!$A:AI,HLOOKUP('[1]Course Totals'!K$4,'[1]import graded seats course pivo'!$1:$2,2,FALSE),FALSE))),"")</f>
        <v/>
      </c>
      <c r="L1052" s="14" t="str">
        <f>IFERROR((VLOOKUP($A1052,'[1]import success seats course'!$A:Z,HLOOKUP('[1]Course Totals'!L$4,'[1]import success seats course'!$1:$2,2,FALSE),FALSE)/(VLOOKUP($A1052,'[1]import graded seats course pivo'!$A:AJ,HLOOKUP('[1]Course Totals'!L$4,'[1]import graded seats course pivo'!$1:$2,2,FALSE),FALSE))),"")</f>
        <v/>
      </c>
      <c r="M1052" s="14" t="str">
        <f>IFERROR((VLOOKUP($A1052,'[1]import success seats course'!$A:AA,HLOOKUP('[1]Course Totals'!M$4,'[1]import success seats course'!$1:$2,2,FALSE),FALSE)/(VLOOKUP($A1052,'[1]import graded seats course pivo'!$A:AK,HLOOKUP('[1]Course Totals'!M$4,'[1]import graded seats course pivo'!$1:$2,2,FALSE),FALSE))),"")</f>
        <v/>
      </c>
      <c r="N1052" s="14" t="str">
        <f>IFERROR((VLOOKUP($A1052,'[1]import success seats course'!$A:AB,HLOOKUP('[1]Course Totals'!N$4,'[1]import success seats course'!$1:$2,2,FALSE),FALSE)/(VLOOKUP($A1052,'[1]import graded seats course pivo'!$A:AL,HLOOKUP('[1]Course Totals'!N$4,'[1]import graded seats course pivo'!$1:$2,2,FALSE),FALSE))),"")</f>
        <v/>
      </c>
      <c r="O1052" s="14" t="str">
        <f>IFERROR((VLOOKUP($A1052,'[1]import success seats course'!$A:AC,HLOOKUP('[1]Course Totals'!O$4,'[1]import success seats course'!$1:$2,2,FALSE),FALSE)/(VLOOKUP($A1052,'[1]import graded seats course pivo'!$A:AM,HLOOKUP('[1]Course Totals'!O$4,'[1]import graded seats course pivo'!$1:$2,2,FALSE),FALSE))),"")</f>
        <v/>
      </c>
      <c r="P1052" s="14" t="str">
        <f>IFERROR((VLOOKUP($A1052,'[1]import success seats course'!$A:AD,HLOOKUP('[1]Course Totals'!P$4,'[1]import success seats course'!$1:$2,2,FALSE),FALSE)/(VLOOKUP($A1052,'[1]import graded seats course pivo'!$A:AN,HLOOKUP('[1]Course Totals'!P$4,'[1]import graded seats course pivo'!$1:$2,2,FALSE),FALSE))),"")</f>
        <v/>
      </c>
      <c r="Q1052" s="14" t="str">
        <f>IFERROR((VLOOKUP($A1052,'[1]import success seats course'!$A:AE,HLOOKUP('[1]Course Totals'!Q$4,'[1]import success seats course'!$1:$2,2,FALSE),FALSE)/(VLOOKUP($A1052,'[1]import graded seats course pivo'!$A:AO,HLOOKUP('[1]Course Totals'!Q$4,'[1]import graded seats course pivo'!$1:$2,2,FALSE),FALSE))),"")</f>
        <v/>
      </c>
      <c r="R1052" s="14" t="str">
        <f>IFERROR((VLOOKUP($A1052,'[1]import success seats course'!$A:AF,HLOOKUP('[1]Course Totals'!R$4,'[1]import success seats course'!$1:$2,2,FALSE),FALSE)/(VLOOKUP($A1052,'[1]import graded seats course pivo'!$A:AP,HLOOKUP('[1]Course Totals'!R$4,'[1]import graded seats course pivo'!$1:$2,2,FALSE),FALSE))),"")</f>
        <v/>
      </c>
      <c r="S1052" s="14" t="str">
        <f>IFERROR((VLOOKUP($A1052,'[1]import success seats course'!$A:AG,HLOOKUP('[1]Course Totals'!S$4,'[1]import success seats course'!$1:$2,2,FALSE),FALSE)/(VLOOKUP($A1052,'[1]import graded seats course pivo'!$A:AQ,HLOOKUP('[1]Course Totals'!S$4,'[1]import graded seats course pivo'!$1:$2,2,FALSE),FALSE))),"")</f>
        <v/>
      </c>
      <c r="Z1052" s="7"/>
      <c r="AA1052" s="7"/>
      <c r="AB1052" s="7"/>
      <c r="AC1052" s="7"/>
    </row>
    <row r="1053" spans="1:29" ht="15.75" customHeight="1" thickBot="1" x14ac:dyDescent="0.3">
      <c r="A1053" s="8" t="str">
        <f>'[1]SUBJECTS BASE'!H63</f>
        <v>Sustainable Energy Management</v>
      </c>
      <c r="B1053" s="38" t="s">
        <v>1046</v>
      </c>
      <c r="C1053" s="39" t="s">
        <v>0</v>
      </c>
      <c r="D1053" s="40" t="s">
        <v>868</v>
      </c>
      <c r="E1053" s="41" t="s">
        <v>1052</v>
      </c>
      <c r="F1053" s="42" t="s">
        <v>546</v>
      </c>
      <c r="G1053" s="43" t="s">
        <v>959</v>
      </c>
      <c r="H1053" s="44" t="s">
        <v>1060</v>
      </c>
      <c r="I1053" s="39" t="s">
        <v>675</v>
      </c>
      <c r="J1053" s="45" t="s">
        <v>1006</v>
      </c>
      <c r="K1053" s="46" t="s">
        <v>1062</v>
      </c>
      <c r="L1053" s="42" t="s">
        <v>762</v>
      </c>
      <c r="M1053" s="43" t="s">
        <v>1022</v>
      </c>
      <c r="N1053" s="44" t="s">
        <v>1063</v>
      </c>
      <c r="O1053" s="39" t="s">
        <v>822</v>
      </c>
      <c r="P1053" s="40" t="s">
        <v>1042</v>
      </c>
      <c r="Q1053" s="46" t="s">
        <v>1153</v>
      </c>
      <c r="R1053" s="42" t="s">
        <v>1154</v>
      </c>
      <c r="S1053" s="43" t="s">
        <v>1155</v>
      </c>
      <c r="Z1053" s="7"/>
      <c r="AA1053" s="7"/>
      <c r="AB1053" s="7"/>
      <c r="AC1053" s="7"/>
    </row>
    <row r="1054" spans="1:29" ht="15.75" customHeight="1" x14ac:dyDescent="0.25">
      <c r="A1054" s="12" t="s">
        <v>816</v>
      </c>
      <c r="B1054" s="14" t="str">
        <f>IFERROR((VLOOKUP($A1054,'[1]import success seats course'!$A:P,HLOOKUP('[1]Course Totals'!B$4,'[1]import success seats course'!$1:$2,2,FALSE),FALSE)/(VLOOKUP($A1054,'[1]import graded seats course pivo'!$A:Z,HLOOKUP('[1]Course Totals'!B$4,'[1]import graded seats course pivo'!$1:$2,2,FALSE),FALSE))),"")</f>
        <v/>
      </c>
      <c r="C1054" s="14" t="str">
        <f>IFERROR((VLOOKUP($A1054,'[1]import success seats course'!$A:Q,HLOOKUP('[1]Course Totals'!C$4,'[1]import success seats course'!$1:$2,2,FALSE),FALSE)/(VLOOKUP($A1054,'[1]import graded seats course pivo'!$A:AA,HLOOKUP('[1]Course Totals'!C$4,'[1]import graded seats course pivo'!$1:$2,2,FALSE),FALSE))),"")</f>
        <v/>
      </c>
      <c r="D1054" s="14" t="str">
        <f>IFERROR((VLOOKUP($A1054,'[1]import success seats course'!$A:R,HLOOKUP('[1]Course Totals'!D$4,'[1]import success seats course'!$1:$2,2,FALSE),FALSE)/(VLOOKUP($A1054,'[1]import graded seats course pivo'!$A:AB,HLOOKUP('[1]Course Totals'!D$4,'[1]import graded seats course pivo'!$1:$2,2,FALSE),FALSE))),"")</f>
        <v/>
      </c>
      <c r="E1054" s="14" t="str">
        <f>IFERROR((VLOOKUP($A1054,'[1]import success seats course'!$A:S,HLOOKUP('[1]Course Totals'!E$4,'[1]import success seats course'!$1:$2,2,FALSE),FALSE)/(VLOOKUP($A1054,'[1]import graded seats course pivo'!$A:AC,HLOOKUP('[1]Course Totals'!E$4,'[1]import graded seats course pivo'!$1:$2,2,FALSE),FALSE))),"")</f>
        <v/>
      </c>
      <c r="F1054" s="14" t="str">
        <f>IFERROR((VLOOKUP($A1054,'[1]import success seats course'!$A:T,HLOOKUP('[1]Course Totals'!F$4,'[1]import success seats course'!$1:$2,2,FALSE),FALSE)/(VLOOKUP($A1054,'[1]import graded seats course pivo'!$A:AD,HLOOKUP('[1]Course Totals'!F$4,'[1]import graded seats course pivo'!$1:$2,2,FALSE),FALSE))),"")</f>
        <v/>
      </c>
      <c r="G1054" s="14" t="str">
        <f>IFERROR((VLOOKUP($A1054,'[1]import success seats course'!$A:U,HLOOKUP('[1]Course Totals'!G$4,'[1]import success seats course'!$1:$2,2,FALSE),FALSE)/(VLOOKUP($A1054,'[1]import graded seats course pivo'!$A:AE,HLOOKUP('[1]Course Totals'!G$4,'[1]import graded seats course pivo'!$1:$2,2,FALSE),FALSE))),"")</f>
        <v/>
      </c>
      <c r="H1054" s="14" t="str">
        <f>IFERROR((VLOOKUP($A1054,'[1]import success seats course'!$A:V,HLOOKUP('[1]Course Totals'!H$4,'[1]import success seats course'!$1:$2,2,FALSE),FALSE)/(VLOOKUP($A1054,'[1]import graded seats course pivo'!$A:AF,HLOOKUP('[1]Course Totals'!H$4,'[1]import graded seats course pivo'!$1:$2,2,FALSE),FALSE))),"")</f>
        <v/>
      </c>
      <c r="I1054" s="14" t="str">
        <f>IFERROR((VLOOKUP($A1054,'[1]import success seats course'!$A:W,HLOOKUP('[1]Course Totals'!I$4,'[1]import success seats course'!$1:$2,2,FALSE),FALSE)/(VLOOKUP($A1054,'[1]import graded seats course pivo'!$A:AG,HLOOKUP('[1]Course Totals'!I$4,'[1]import graded seats course pivo'!$1:$2,2,FALSE),FALSE))),"")</f>
        <v/>
      </c>
      <c r="J1054" s="14" t="str">
        <f>IFERROR((VLOOKUP($A1054,'[1]import success seats course'!$A:X,HLOOKUP('[1]Course Totals'!J$4,'[1]import success seats course'!$1:$2,2,FALSE),FALSE)/(VLOOKUP($A1054,'[1]import graded seats course pivo'!$A:AH,HLOOKUP('[1]Course Totals'!J$4,'[1]import graded seats course pivo'!$1:$2,2,FALSE),FALSE))),"")</f>
        <v/>
      </c>
      <c r="K1054" s="14" t="str">
        <f>IFERROR((VLOOKUP($A1054,'[1]import success seats course'!$A:Y,HLOOKUP('[1]Course Totals'!K$4,'[1]import success seats course'!$1:$2,2,FALSE),FALSE)/(VLOOKUP($A1054,'[1]import graded seats course pivo'!$A:AI,HLOOKUP('[1]Course Totals'!K$4,'[1]import graded seats course pivo'!$1:$2,2,FALSE),FALSE))),"")</f>
        <v/>
      </c>
      <c r="L1054" s="14" t="str">
        <f>IFERROR((VLOOKUP($A1054,'[1]import success seats course'!$A:Z,HLOOKUP('[1]Course Totals'!L$4,'[1]import success seats course'!$1:$2,2,FALSE),FALSE)/(VLOOKUP($A1054,'[1]import graded seats course pivo'!$A:AJ,HLOOKUP('[1]Course Totals'!L$4,'[1]import graded seats course pivo'!$1:$2,2,FALSE),FALSE))),"")</f>
        <v/>
      </c>
      <c r="M1054" s="14">
        <f>IFERROR((VLOOKUP($A1054,'[1]import success seats course'!$A:AA,HLOOKUP('[1]Course Totals'!M$4,'[1]import success seats course'!$1:$2,2,FALSE),FALSE)/(VLOOKUP($A1054,'[1]import graded seats course pivo'!$A:AK,HLOOKUP('[1]Course Totals'!M$4,'[1]import graded seats course pivo'!$1:$2,2,FALSE),FALSE))),"")</f>
        <v>0.76923076923076927</v>
      </c>
      <c r="N1054" s="14" t="str">
        <f>IFERROR((VLOOKUP($A1054,'[1]import success seats course'!$A:AB,HLOOKUP('[1]Course Totals'!N$4,'[1]import success seats course'!$1:$2,2,FALSE),FALSE)/(VLOOKUP($A1054,'[1]import graded seats course pivo'!$A:AL,HLOOKUP('[1]Course Totals'!N$4,'[1]import graded seats course pivo'!$1:$2,2,FALSE),FALSE))),"")</f>
        <v/>
      </c>
      <c r="O1054" s="14" t="str">
        <f>IFERROR((VLOOKUP($A1054,'[1]import success seats course'!$A:AC,HLOOKUP('[1]Course Totals'!O$4,'[1]import success seats course'!$1:$2,2,FALSE),FALSE)/(VLOOKUP($A1054,'[1]import graded seats course pivo'!$A:AM,HLOOKUP('[1]Course Totals'!O$4,'[1]import graded seats course pivo'!$1:$2,2,FALSE),FALSE))),"")</f>
        <v/>
      </c>
      <c r="P1054" s="14">
        <f>IFERROR((VLOOKUP($A1054,'[1]import success seats course'!$A:AD,HLOOKUP('[1]Course Totals'!P$4,'[1]import success seats course'!$1:$2,2,FALSE),FALSE)/(VLOOKUP($A1054,'[1]import graded seats course pivo'!$A:AN,HLOOKUP('[1]Course Totals'!P$4,'[1]import graded seats course pivo'!$1:$2,2,FALSE),FALSE))),"")</f>
        <v>0.81481481481481477</v>
      </c>
      <c r="Q1054" s="14" t="str">
        <f>IFERROR((VLOOKUP($A1054,'[1]import success seats course'!$A:AE,HLOOKUP('[1]Course Totals'!Q$4,'[1]import success seats course'!$1:$2,2,FALSE),FALSE)/(VLOOKUP($A1054,'[1]import graded seats course pivo'!$A:AO,HLOOKUP('[1]Course Totals'!Q$4,'[1]import graded seats course pivo'!$1:$2,2,FALSE),FALSE))),"")</f>
        <v/>
      </c>
      <c r="R1054" s="14">
        <f>IFERROR((VLOOKUP($A1054,'[1]import success seats course'!$A:AF,HLOOKUP('[1]Course Totals'!R$4,'[1]import success seats course'!$1:$2,2,FALSE),FALSE)/(VLOOKUP($A1054,'[1]import graded seats course pivo'!$A:AP,HLOOKUP('[1]Course Totals'!R$4,'[1]import graded seats course pivo'!$1:$2,2,FALSE),FALSE))),"")</f>
        <v>0.90909090909090906</v>
      </c>
      <c r="S1054" s="14" t="str">
        <f>IFERROR((VLOOKUP($A1054,'[1]import success seats course'!$A:AG,HLOOKUP('[1]Course Totals'!S$4,'[1]import success seats course'!$1:$2,2,FALSE),FALSE)/(VLOOKUP($A1054,'[1]import graded seats course pivo'!$A:AQ,HLOOKUP('[1]Course Totals'!S$4,'[1]import graded seats course pivo'!$1:$2,2,FALSE),FALSE))),"")</f>
        <v/>
      </c>
      <c r="Z1054" s="7"/>
      <c r="AA1054" s="7"/>
      <c r="AB1054" s="7"/>
      <c r="AC1054" s="7"/>
    </row>
    <row r="1055" spans="1:29" ht="15.75" hidden="1" customHeight="1" x14ac:dyDescent="0.25">
      <c r="A1055" s="12" t="s">
        <v>817</v>
      </c>
      <c r="B1055" s="14" t="str">
        <f>IFERROR((VLOOKUP($A1055,'[1]import success seats course'!$A:P,HLOOKUP('[1]Course Totals'!B$4,'[1]import success seats course'!$1:$2,2,FALSE),FALSE)/(VLOOKUP($A1055,'[1]import graded seats course pivo'!$A:Z,HLOOKUP('[1]Course Totals'!B$4,'[1]import graded seats course pivo'!$1:$2,2,FALSE),FALSE))),"")</f>
        <v/>
      </c>
      <c r="C1055" s="14" t="str">
        <f>IFERROR((VLOOKUP($A1055,'[1]import success seats course'!$A:Q,HLOOKUP('[1]Course Totals'!C$4,'[1]import success seats course'!$1:$2,2,FALSE),FALSE)/(VLOOKUP($A1055,'[1]import graded seats course pivo'!$A:AA,HLOOKUP('[1]Course Totals'!C$4,'[1]import graded seats course pivo'!$1:$2,2,FALSE),FALSE))),"")</f>
        <v/>
      </c>
      <c r="D1055" s="14" t="str">
        <f>IFERROR((VLOOKUP($A1055,'[1]import success seats course'!$A:R,HLOOKUP('[1]Course Totals'!D$4,'[1]import success seats course'!$1:$2,2,FALSE),FALSE)/(VLOOKUP($A1055,'[1]import graded seats course pivo'!$A:AB,HLOOKUP('[1]Course Totals'!D$4,'[1]import graded seats course pivo'!$1:$2,2,FALSE),FALSE))),"")</f>
        <v/>
      </c>
      <c r="E1055" s="14" t="str">
        <f>IFERROR((VLOOKUP($A1055,'[1]import success seats course'!$A:S,HLOOKUP('[1]Course Totals'!E$4,'[1]import success seats course'!$1:$2,2,FALSE),FALSE)/(VLOOKUP($A1055,'[1]import graded seats course pivo'!$A:AC,HLOOKUP('[1]Course Totals'!E$4,'[1]import graded seats course pivo'!$1:$2,2,FALSE),FALSE))),"")</f>
        <v/>
      </c>
      <c r="F1055" s="14" t="str">
        <f>IFERROR((VLOOKUP($A1055,'[1]import success seats course'!$A:T,HLOOKUP('[1]Course Totals'!F$4,'[1]import success seats course'!$1:$2,2,FALSE),FALSE)/(VLOOKUP($A1055,'[1]import graded seats course pivo'!$A:AD,HLOOKUP('[1]Course Totals'!F$4,'[1]import graded seats course pivo'!$1:$2,2,FALSE),FALSE))),"")</f>
        <v/>
      </c>
      <c r="G1055" s="14" t="str">
        <f>IFERROR((VLOOKUP($A1055,'[1]import success seats course'!$A:U,HLOOKUP('[1]Course Totals'!G$4,'[1]import success seats course'!$1:$2,2,FALSE),FALSE)/(VLOOKUP($A1055,'[1]import graded seats course pivo'!$A:AE,HLOOKUP('[1]Course Totals'!G$4,'[1]import graded seats course pivo'!$1:$2,2,FALSE),FALSE))),"")</f>
        <v/>
      </c>
      <c r="H1055" s="14" t="str">
        <f>IFERROR((VLOOKUP($A1055,'[1]import success seats course'!$A:V,HLOOKUP('[1]Course Totals'!H$4,'[1]import success seats course'!$1:$2,2,FALSE),FALSE)/(VLOOKUP($A1055,'[1]import graded seats course pivo'!$A:AF,HLOOKUP('[1]Course Totals'!H$4,'[1]import graded seats course pivo'!$1:$2,2,FALSE),FALSE))),"")</f>
        <v/>
      </c>
      <c r="I1055" s="14" t="str">
        <f>IFERROR((VLOOKUP($A1055,'[1]import success seats course'!$A:W,HLOOKUP('[1]Course Totals'!I$4,'[1]import success seats course'!$1:$2,2,FALSE),FALSE)/(VLOOKUP($A1055,'[1]import graded seats course pivo'!$A:AG,HLOOKUP('[1]Course Totals'!I$4,'[1]import graded seats course pivo'!$1:$2,2,FALSE),FALSE))),"")</f>
        <v/>
      </c>
      <c r="J1055" s="14" t="str">
        <f>IFERROR((VLOOKUP($A1055,'[1]import success seats course'!$A:X,HLOOKUP('[1]Course Totals'!J$4,'[1]import success seats course'!$1:$2,2,FALSE),FALSE)/(VLOOKUP($A1055,'[1]import graded seats course pivo'!$A:AH,HLOOKUP('[1]Course Totals'!J$4,'[1]import graded seats course pivo'!$1:$2,2,FALSE),FALSE))),"")</f>
        <v/>
      </c>
      <c r="K1055" s="14" t="str">
        <f>IFERROR((VLOOKUP($A1055,'[1]import success seats course'!$A:Y,HLOOKUP('[1]Course Totals'!K$4,'[1]import success seats course'!$1:$2,2,FALSE),FALSE)/(VLOOKUP($A1055,'[1]import graded seats course pivo'!$A:AI,HLOOKUP('[1]Course Totals'!K$4,'[1]import graded seats course pivo'!$1:$2,2,FALSE),FALSE))),"")</f>
        <v/>
      </c>
      <c r="L1055" s="14" t="str">
        <f>IFERROR((VLOOKUP($A1055,'[1]import success seats course'!$A:Z,HLOOKUP('[1]Course Totals'!L$4,'[1]import success seats course'!$1:$2,2,FALSE),FALSE)/(VLOOKUP($A1055,'[1]import graded seats course pivo'!$A:AJ,HLOOKUP('[1]Course Totals'!L$4,'[1]import graded seats course pivo'!$1:$2,2,FALSE),FALSE))),"")</f>
        <v/>
      </c>
      <c r="M1055" s="14" t="str">
        <f>IFERROR((VLOOKUP($A1055,'[1]import success seats course'!$A:AA,HLOOKUP('[1]Course Totals'!M$4,'[1]import success seats course'!$1:$2,2,FALSE),FALSE)/(VLOOKUP($A1055,'[1]import graded seats course pivo'!$A:AK,HLOOKUP('[1]Course Totals'!M$4,'[1]import graded seats course pivo'!$1:$2,2,FALSE),FALSE))),"")</f>
        <v/>
      </c>
      <c r="N1055" s="14" t="str">
        <f>IFERROR((VLOOKUP($A1055,'[1]import success seats course'!$A:AB,HLOOKUP('[1]Course Totals'!N$4,'[1]import success seats course'!$1:$2,2,FALSE),FALSE)/(VLOOKUP($A1055,'[1]import graded seats course pivo'!$A:AL,HLOOKUP('[1]Course Totals'!N$4,'[1]import graded seats course pivo'!$1:$2,2,FALSE),FALSE))),"")</f>
        <v/>
      </c>
      <c r="O1055" s="14" t="str">
        <f>IFERROR((VLOOKUP($A1055,'[1]import success seats course'!$A:AC,HLOOKUP('[1]Course Totals'!O$4,'[1]import success seats course'!$1:$2,2,FALSE),FALSE)/(VLOOKUP($A1055,'[1]import graded seats course pivo'!$A:AM,HLOOKUP('[1]Course Totals'!O$4,'[1]import graded seats course pivo'!$1:$2,2,FALSE),FALSE))),"")</f>
        <v/>
      </c>
      <c r="P1055" s="14" t="str">
        <f>IFERROR((VLOOKUP($A1055,'[1]import success seats course'!$A:AD,HLOOKUP('[1]Course Totals'!P$4,'[1]import success seats course'!$1:$2,2,FALSE),FALSE)/(VLOOKUP($A1055,'[1]import graded seats course pivo'!$A:AN,HLOOKUP('[1]Course Totals'!P$4,'[1]import graded seats course pivo'!$1:$2,2,FALSE),FALSE))),"")</f>
        <v/>
      </c>
      <c r="Q1055" s="14" t="str">
        <f>IFERROR((VLOOKUP($A1055,'[1]import success seats course'!$A:AE,HLOOKUP('[1]Course Totals'!Q$4,'[1]import success seats course'!$1:$2,2,FALSE),FALSE)/(VLOOKUP($A1055,'[1]import graded seats course pivo'!$A:AO,HLOOKUP('[1]Course Totals'!Q$4,'[1]import graded seats course pivo'!$1:$2,2,FALSE),FALSE))),"")</f>
        <v/>
      </c>
      <c r="R1055" s="14" t="str">
        <f>IFERROR((VLOOKUP($A1055,'[1]import success seats course'!$A:AF,HLOOKUP('[1]Course Totals'!R$4,'[1]import success seats course'!$1:$2,2,FALSE),FALSE)/(VLOOKUP($A1055,'[1]import graded seats course pivo'!$A:AP,HLOOKUP('[1]Course Totals'!R$4,'[1]import graded seats course pivo'!$1:$2,2,FALSE),FALSE))),"")</f>
        <v/>
      </c>
      <c r="S1055" s="14" t="str">
        <f>IFERROR((VLOOKUP($A1055,'[1]import success seats course'!$A:AG,HLOOKUP('[1]Course Totals'!S$4,'[1]import success seats course'!$1:$2,2,FALSE),FALSE)/(VLOOKUP($A1055,'[1]import graded seats course pivo'!$A:AQ,HLOOKUP('[1]Course Totals'!S$4,'[1]import graded seats course pivo'!$1:$2,2,FALSE),FALSE))),"")</f>
        <v/>
      </c>
      <c r="Z1055" s="7"/>
      <c r="AA1055" s="7"/>
      <c r="AB1055" s="7"/>
      <c r="AC1055" s="7"/>
    </row>
    <row r="1056" spans="1:29" ht="15.75" customHeight="1" thickBot="1" x14ac:dyDescent="0.3">
      <c r="A1056" s="8" t="str">
        <f>'[1]SUBJECTS BASE'!H64</f>
        <v>Sociology</v>
      </c>
      <c r="B1056" s="38" t="s">
        <v>1046</v>
      </c>
      <c r="C1056" s="39" t="s">
        <v>0</v>
      </c>
      <c r="D1056" s="40" t="s">
        <v>868</v>
      </c>
      <c r="E1056" s="41" t="s">
        <v>1052</v>
      </c>
      <c r="F1056" s="42" t="s">
        <v>546</v>
      </c>
      <c r="G1056" s="43" t="s">
        <v>959</v>
      </c>
      <c r="H1056" s="44" t="s">
        <v>1060</v>
      </c>
      <c r="I1056" s="39" t="s">
        <v>675</v>
      </c>
      <c r="J1056" s="45" t="s">
        <v>1006</v>
      </c>
      <c r="K1056" s="46" t="s">
        <v>1062</v>
      </c>
      <c r="L1056" s="42" t="s">
        <v>762</v>
      </c>
      <c r="M1056" s="43" t="s">
        <v>1022</v>
      </c>
      <c r="N1056" s="44" t="s">
        <v>1063</v>
      </c>
      <c r="O1056" s="39" t="s">
        <v>822</v>
      </c>
      <c r="P1056" s="40" t="s">
        <v>1042</v>
      </c>
      <c r="Q1056" s="46" t="s">
        <v>1153</v>
      </c>
      <c r="R1056" s="42" t="s">
        <v>1154</v>
      </c>
      <c r="S1056" s="43" t="s">
        <v>1155</v>
      </c>
      <c r="Z1056" s="7"/>
      <c r="AA1056" s="7"/>
      <c r="AB1056" s="7"/>
      <c r="AC1056" s="7"/>
    </row>
    <row r="1057" spans="1:29" ht="15.75" customHeight="1" x14ac:dyDescent="0.25">
      <c r="A1057" s="12" t="s">
        <v>503</v>
      </c>
      <c r="B1057" s="14" t="str">
        <f>IFERROR((VLOOKUP($A1057,'[1]import success seats course'!$A:P,HLOOKUP('[1]Course Totals'!B$4,'[1]import success seats course'!$1:$2,2,FALSE),FALSE)/(VLOOKUP($A1057,'[1]import graded seats course pivo'!$A:Z,HLOOKUP('[1]Course Totals'!B$4,'[1]import graded seats course pivo'!$1:$2,2,FALSE),FALSE))),"")</f>
        <v/>
      </c>
      <c r="C1057" s="14">
        <f>IFERROR((VLOOKUP($A1057,'[1]import success seats course'!$A:Q,HLOOKUP('[1]Course Totals'!C$4,'[1]import success seats course'!$1:$2,2,FALSE),FALSE)/(VLOOKUP($A1057,'[1]import graded seats course pivo'!$A:AA,HLOOKUP('[1]Course Totals'!C$4,'[1]import graded seats course pivo'!$1:$2,2,FALSE),FALSE))),"")</f>
        <v>0.83333333333333337</v>
      </c>
      <c r="D1057" s="14">
        <f>IFERROR((VLOOKUP($A1057,'[1]import success seats course'!$A:R,HLOOKUP('[1]Course Totals'!D$4,'[1]import success seats course'!$1:$2,2,FALSE),FALSE)/(VLOOKUP($A1057,'[1]import graded seats course pivo'!$A:AB,HLOOKUP('[1]Course Totals'!D$4,'[1]import graded seats course pivo'!$1:$2,2,FALSE),FALSE))),"")</f>
        <v>0.83333333333333337</v>
      </c>
      <c r="E1057" s="14" t="str">
        <f>IFERROR((VLOOKUP($A1057,'[1]import success seats course'!$A:S,HLOOKUP('[1]Course Totals'!E$4,'[1]import success seats course'!$1:$2,2,FALSE),FALSE)/(VLOOKUP($A1057,'[1]import graded seats course pivo'!$A:AC,HLOOKUP('[1]Course Totals'!E$4,'[1]import graded seats course pivo'!$1:$2,2,FALSE),FALSE))),"")</f>
        <v/>
      </c>
      <c r="F1057" s="14">
        <f>IFERROR((VLOOKUP($A1057,'[1]import success seats course'!$A:T,HLOOKUP('[1]Course Totals'!F$4,'[1]import success seats course'!$1:$2,2,FALSE),FALSE)/(VLOOKUP($A1057,'[1]import graded seats course pivo'!$A:AD,HLOOKUP('[1]Course Totals'!F$4,'[1]import graded seats course pivo'!$1:$2,2,FALSE),FALSE))),"")</f>
        <v>0.88</v>
      </c>
      <c r="G1057" s="14">
        <f>IFERROR((VLOOKUP($A1057,'[1]import success seats course'!$A:U,HLOOKUP('[1]Course Totals'!G$4,'[1]import success seats course'!$1:$2,2,FALSE),FALSE)/(VLOOKUP($A1057,'[1]import graded seats course pivo'!$A:AE,HLOOKUP('[1]Course Totals'!G$4,'[1]import graded seats course pivo'!$1:$2,2,FALSE),FALSE))),"")</f>
        <v>0.91666666666666663</v>
      </c>
      <c r="H1057" s="14" t="str">
        <f>IFERROR((VLOOKUP($A1057,'[1]import success seats course'!$A:V,HLOOKUP('[1]Course Totals'!H$4,'[1]import success seats course'!$1:$2,2,FALSE),FALSE)/(VLOOKUP($A1057,'[1]import graded seats course pivo'!$A:AF,HLOOKUP('[1]Course Totals'!H$4,'[1]import graded seats course pivo'!$1:$2,2,FALSE),FALSE))),"")</f>
        <v/>
      </c>
      <c r="I1057" s="14" t="str">
        <f>IFERROR((VLOOKUP($A1057,'[1]import success seats course'!$A:W,HLOOKUP('[1]Course Totals'!I$4,'[1]import success seats course'!$1:$2,2,FALSE),FALSE)/(VLOOKUP($A1057,'[1]import graded seats course pivo'!$A:AG,HLOOKUP('[1]Course Totals'!I$4,'[1]import graded seats course pivo'!$1:$2,2,FALSE),FALSE))),"")</f>
        <v/>
      </c>
      <c r="J1057" s="14" t="str">
        <f>IFERROR((VLOOKUP($A1057,'[1]import success seats course'!$A:X,HLOOKUP('[1]Course Totals'!J$4,'[1]import success seats course'!$1:$2,2,FALSE),FALSE)/(VLOOKUP($A1057,'[1]import graded seats course pivo'!$A:AH,HLOOKUP('[1]Course Totals'!J$4,'[1]import graded seats course pivo'!$1:$2,2,FALSE),FALSE))),"")</f>
        <v/>
      </c>
      <c r="K1057" s="14" t="str">
        <f>IFERROR((VLOOKUP($A1057,'[1]import success seats course'!$A:Y,HLOOKUP('[1]Course Totals'!K$4,'[1]import success seats course'!$1:$2,2,FALSE),FALSE)/(VLOOKUP($A1057,'[1]import graded seats course pivo'!$A:AI,HLOOKUP('[1]Course Totals'!K$4,'[1]import graded seats course pivo'!$1:$2,2,FALSE),FALSE))),"")</f>
        <v/>
      </c>
      <c r="L1057" s="14" t="str">
        <f>IFERROR((VLOOKUP($A1057,'[1]import success seats course'!$A:Z,HLOOKUP('[1]Course Totals'!L$4,'[1]import success seats course'!$1:$2,2,FALSE),FALSE)/(VLOOKUP($A1057,'[1]import graded seats course pivo'!$A:AJ,HLOOKUP('[1]Course Totals'!L$4,'[1]import graded seats course pivo'!$1:$2,2,FALSE),FALSE))),"")</f>
        <v/>
      </c>
      <c r="M1057" s="14" t="str">
        <f>IFERROR((VLOOKUP($A1057,'[1]import success seats course'!$A:AA,HLOOKUP('[1]Course Totals'!M$4,'[1]import success seats course'!$1:$2,2,FALSE),FALSE)/(VLOOKUP($A1057,'[1]import graded seats course pivo'!$A:AK,HLOOKUP('[1]Course Totals'!M$4,'[1]import graded seats course pivo'!$1:$2,2,FALSE),FALSE))),"")</f>
        <v/>
      </c>
      <c r="N1057" s="14" t="str">
        <f>IFERROR((VLOOKUP($A1057,'[1]import success seats course'!$A:AB,HLOOKUP('[1]Course Totals'!N$4,'[1]import success seats course'!$1:$2,2,FALSE),FALSE)/(VLOOKUP($A1057,'[1]import graded seats course pivo'!$A:AL,HLOOKUP('[1]Course Totals'!N$4,'[1]import graded seats course pivo'!$1:$2,2,FALSE),FALSE))),"")</f>
        <v/>
      </c>
      <c r="O1057" s="14" t="str">
        <f>IFERROR((VLOOKUP($A1057,'[1]import success seats course'!$A:AC,HLOOKUP('[1]Course Totals'!O$4,'[1]import success seats course'!$1:$2,2,FALSE),FALSE)/(VLOOKUP($A1057,'[1]import graded seats course pivo'!$A:AM,HLOOKUP('[1]Course Totals'!O$4,'[1]import graded seats course pivo'!$1:$2,2,FALSE),FALSE))),"")</f>
        <v/>
      </c>
      <c r="P1057" s="14" t="str">
        <f>IFERROR((VLOOKUP($A1057,'[1]import success seats course'!$A:AD,HLOOKUP('[1]Course Totals'!P$4,'[1]import success seats course'!$1:$2,2,FALSE),FALSE)/(VLOOKUP($A1057,'[1]import graded seats course pivo'!$A:AN,HLOOKUP('[1]Course Totals'!P$4,'[1]import graded seats course pivo'!$1:$2,2,FALSE),FALSE))),"")</f>
        <v/>
      </c>
      <c r="Q1057" s="14" t="str">
        <f>IFERROR((VLOOKUP($A1057,'[1]import success seats course'!$A:AE,HLOOKUP('[1]Course Totals'!Q$4,'[1]import success seats course'!$1:$2,2,FALSE),FALSE)/(VLOOKUP($A1057,'[1]import graded seats course pivo'!$A:AO,HLOOKUP('[1]Course Totals'!Q$4,'[1]import graded seats course pivo'!$1:$2,2,FALSE),FALSE))),"")</f>
        <v/>
      </c>
      <c r="R1057" s="14" t="str">
        <f>IFERROR((VLOOKUP($A1057,'[1]import success seats course'!$A:AF,HLOOKUP('[1]Course Totals'!R$4,'[1]import success seats course'!$1:$2,2,FALSE),FALSE)/(VLOOKUP($A1057,'[1]import graded seats course pivo'!$A:AP,HLOOKUP('[1]Course Totals'!R$4,'[1]import graded seats course pivo'!$1:$2,2,FALSE),FALSE))),"")</f>
        <v/>
      </c>
      <c r="S1057" s="14" t="str">
        <f>IFERROR((VLOOKUP($A1057,'[1]import success seats course'!$A:AG,HLOOKUP('[1]Course Totals'!S$4,'[1]import success seats course'!$1:$2,2,FALSE),FALSE)/(VLOOKUP($A1057,'[1]import graded seats course pivo'!$A:AQ,HLOOKUP('[1]Course Totals'!S$4,'[1]import graded seats course pivo'!$1:$2,2,FALSE),FALSE))),"")</f>
        <v/>
      </c>
      <c r="Z1057" s="7"/>
      <c r="AA1057" s="7"/>
      <c r="AB1057" s="7"/>
      <c r="AC1057" s="7"/>
    </row>
    <row r="1058" spans="1:29" ht="15.75" customHeight="1" x14ac:dyDescent="0.25">
      <c r="A1058" s="12" t="s">
        <v>504</v>
      </c>
      <c r="B1058" s="14">
        <f>IFERROR((VLOOKUP($A1058,'[1]import success seats course'!$A:P,HLOOKUP('[1]Course Totals'!B$4,'[1]import success seats course'!$1:$2,2,FALSE),FALSE)/(VLOOKUP($A1058,'[1]import graded seats course pivo'!$A:Z,HLOOKUP('[1]Course Totals'!B$4,'[1]import graded seats course pivo'!$1:$2,2,FALSE),FALSE))),"")</f>
        <v>0.94285714285714284</v>
      </c>
      <c r="C1058" s="14">
        <f>IFERROR((VLOOKUP($A1058,'[1]import success seats course'!$A:Q,HLOOKUP('[1]Course Totals'!C$4,'[1]import success seats course'!$1:$2,2,FALSE),FALSE)/(VLOOKUP($A1058,'[1]import graded seats course pivo'!$A:AA,HLOOKUP('[1]Course Totals'!C$4,'[1]import graded seats course pivo'!$1:$2,2,FALSE),FALSE))),"")</f>
        <v>0.83098591549295775</v>
      </c>
      <c r="D1058" s="14">
        <f>IFERROR((VLOOKUP($A1058,'[1]import success seats course'!$A:R,HLOOKUP('[1]Course Totals'!D$4,'[1]import success seats course'!$1:$2,2,FALSE),FALSE)/(VLOOKUP($A1058,'[1]import graded seats course pivo'!$A:AB,HLOOKUP('[1]Course Totals'!D$4,'[1]import graded seats course pivo'!$1:$2,2,FALSE),FALSE))),"")</f>
        <v>0.83750000000000002</v>
      </c>
      <c r="E1058" s="14">
        <f>IFERROR((VLOOKUP($A1058,'[1]import success seats course'!$A:S,HLOOKUP('[1]Course Totals'!E$4,'[1]import success seats course'!$1:$2,2,FALSE),FALSE)/(VLOOKUP($A1058,'[1]import graded seats course pivo'!$A:AC,HLOOKUP('[1]Course Totals'!E$4,'[1]import graded seats course pivo'!$1:$2,2,FALSE),FALSE))),"")</f>
        <v>0.94285714285714284</v>
      </c>
      <c r="F1058" s="14">
        <f>IFERROR((VLOOKUP($A1058,'[1]import success seats course'!$A:T,HLOOKUP('[1]Course Totals'!F$4,'[1]import success seats course'!$1:$2,2,FALSE),FALSE)/(VLOOKUP($A1058,'[1]import graded seats course pivo'!$A:AD,HLOOKUP('[1]Course Totals'!F$4,'[1]import graded seats course pivo'!$1:$2,2,FALSE),FALSE))),"")</f>
        <v>0.86505190311418689</v>
      </c>
      <c r="G1058" s="14">
        <f>IFERROR((VLOOKUP($A1058,'[1]import success seats course'!$A:U,HLOOKUP('[1]Course Totals'!G$4,'[1]import success seats course'!$1:$2,2,FALSE),FALSE)/(VLOOKUP($A1058,'[1]import graded seats course pivo'!$A:AE,HLOOKUP('[1]Course Totals'!G$4,'[1]import graded seats course pivo'!$1:$2,2,FALSE),FALSE))),"")</f>
        <v>0.83844011142061281</v>
      </c>
      <c r="H1058" s="14">
        <f>IFERROR((VLOOKUP($A1058,'[1]import success seats course'!$A:V,HLOOKUP('[1]Course Totals'!H$4,'[1]import success seats course'!$1:$2,2,FALSE),FALSE)/(VLOOKUP($A1058,'[1]import graded seats course pivo'!$A:AF,HLOOKUP('[1]Course Totals'!H$4,'[1]import graded seats course pivo'!$1:$2,2,FALSE),FALSE))),"")</f>
        <v>1</v>
      </c>
      <c r="I1058" s="14">
        <f>IFERROR((VLOOKUP($A1058,'[1]import success seats course'!$A:W,HLOOKUP('[1]Course Totals'!I$4,'[1]import success seats course'!$1:$2,2,FALSE),FALSE)/(VLOOKUP($A1058,'[1]import graded seats course pivo'!$A:AG,HLOOKUP('[1]Course Totals'!I$4,'[1]import graded seats course pivo'!$1:$2,2,FALSE),FALSE))),"")</f>
        <v>0.83727034120734911</v>
      </c>
      <c r="J1058" s="14">
        <f>IFERROR((VLOOKUP($A1058,'[1]import success seats course'!$A:X,HLOOKUP('[1]Course Totals'!J$4,'[1]import success seats course'!$1:$2,2,FALSE),FALSE)/(VLOOKUP($A1058,'[1]import graded seats course pivo'!$A:AH,HLOOKUP('[1]Course Totals'!J$4,'[1]import graded seats course pivo'!$1:$2,2,FALSE),FALSE))),"")</f>
        <v>0.86600496277915628</v>
      </c>
      <c r="K1058" s="14" t="str">
        <f>IFERROR((VLOOKUP($A1058,'[1]import success seats course'!$A:Y,HLOOKUP('[1]Course Totals'!K$4,'[1]import success seats course'!$1:$2,2,FALSE),FALSE)/(VLOOKUP($A1058,'[1]import graded seats course pivo'!$A:AI,HLOOKUP('[1]Course Totals'!K$4,'[1]import graded seats course pivo'!$1:$2,2,FALSE),FALSE))),"")</f>
        <v/>
      </c>
      <c r="L1058" s="14">
        <f>IFERROR((VLOOKUP($A1058,'[1]import success seats course'!$A:Z,HLOOKUP('[1]Course Totals'!L$4,'[1]import success seats course'!$1:$2,2,FALSE),FALSE)/(VLOOKUP($A1058,'[1]import graded seats course pivo'!$A:AJ,HLOOKUP('[1]Course Totals'!L$4,'[1]import graded seats course pivo'!$1:$2,2,FALSE),FALSE))),"")</f>
        <v>0.87139107611548561</v>
      </c>
      <c r="M1058" s="14">
        <f>IFERROR((VLOOKUP($A1058,'[1]import success seats course'!$A:AA,HLOOKUP('[1]Course Totals'!M$4,'[1]import success seats course'!$1:$2,2,FALSE),FALSE)/(VLOOKUP($A1058,'[1]import graded seats course pivo'!$A:AK,HLOOKUP('[1]Course Totals'!M$4,'[1]import graded seats course pivo'!$1:$2,2,FALSE),FALSE))),"")</f>
        <v>0.82336956521739135</v>
      </c>
      <c r="N1058" s="14" t="str">
        <f>IFERROR((VLOOKUP($A1058,'[1]import success seats course'!$A:AB,HLOOKUP('[1]Course Totals'!N$4,'[1]import success seats course'!$1:$2,2,FALSE),FALSE)/(VLOOKUP($A1058,'[1]import graded seats course pivo'!$A:AL,HLOOKUP('[1]Course Totals'!N$4,'[1]import graded seats course pivo'!$1:$2,2,FALSE),FALSE))),"")</f>
        <v/>
      </c>
      <c r="O1058" s="14">
        <f>IFERROR((VLOOKUP($A1058,'[1]import success seats course'!$A:AC,HLOOKUP('[1]Course Totals'!O$4,'[1]import success seats course'!$1:$2,2,FALSE),FALSE)/(VLOOKUP($A1058,'[1]import graded seats course pivo'!$A:AM,HLOOKUP('[1]Course Totals'!O$4,'[1]import graded seats course pivo'!$1:$2,2,FALSE),FALSE))),"")</f>
        <v>0.81899109792284863</v>
      </c>
      <c r="P1058" s="14">
        <f>IFERROR((VLOOKUP($A1058,'[1]import success seats course'!$A:AD,HLOOKUP('[1]Course Totals'!P$4,'[1]import success seats course'!$1:$2,2,FALSE),FALSE)/(VLOOKUP($A1058,'[1]import graded seats course pivo'!$A:AN,HLOOKUP('[1]Course Totals'!P$4,'[1]import graded seats course pivo'!$1:$2,2,FALSE),FALSE))),"")</f>
        <v>0.81381381381381379</v>
      </c>
      <c r="Q1058" s="14" t="str">
        <f>IFERROR((VLOOKUP($A1058,'[1]import success seats course'!$A:AE,HLOOKUP('[1]Course Totals'!Q$4,'[1]import success seats course'!$1:$2,2,FALSE),FALSE)/(VLOOKUP($A1058,'[1]import graded seats course pivo'!$A:AO,HLOOKUP('[1]Course Totals'!Q$4,'[1]import graded seats course pivo'!$1:$2,2,FALSE),FALSE))),"")</f>
        <v/>
      </c>
      <c r="R1058" s="14">
        <f>IFERROR((VLOOKUP($A1058,'[1]import success seats course'!$A:AF,HLOOKUP('[1]Course Totals'!R$4,'[1]import success seats course'!$1:$2,2,FALSE),FALSE)/(VLOOKUP($A1058,'[1]import graded seats course pivo'!$A:AP,HLOOKUP('[1]Course Totals'!R$4,'[1]import graded seats course pivo'!$1:$2,2,FALSE),FALSE))),"")</f>
        <v>0.8099688473520249</v>
      </c>
      <c r="S1058" s="14">
        <f>IFERROR((VLOOKUP($A1058,'[1]import success seats course'!$A:AG,HLOOKUP('[1]Course Totals'!S$4,'[1]import success seats course'!$1:$2,2,FALSE),FALSE)/(VLOOKUP($A1058,'[1]import graded seats course pivo'!$A:AQ,HLOOKUP('[1]Course Totals'!S$4,'[1]import graded seats course pivo'!$1:$2,2,FALSE),FALSE))),"")</f>
        <v>0.88416988416988418</v>
      </c>
      <c r="Z1058" s="7"/>
      <c r="AA1058" s="7"/>
      <c r="AB1058" s="7"/>
      <c r="AC1058" s="7"/>
    </row>
    <row r="1059" spans="1:29" ht="15.75" customHeight="1" x14ac:dyDescent="0.25">
      <c r="A1059" s="12" t="s">
        <v>505</v>
      </c>
      <c r="B1059" s="14" t="str">
        <f>IFERROR((VLOOKUP($A1059,'[1]import success seats course'!$A:P,HLOOKUP('[1]Course Totals'!B$4,'[1]import success seats course'!$1:$2,2,FALSE),FALSE)/(VLOOKUP($A1059,'[1]import graded seats course pivo'!$A:Z,HLOOKUP('[1]Course Totals'!B$4,'[1]import graded seats course pivo'!$1:$2,2,FALSE),FALSE))),"")</f>
        <v/>
      </c>
      <c r="C1059" s="14">
        <f>IFERROR((VLOOKUP($A1059,'[1]import success seats course'!$A:Q,HLOOKUP('[1]Course Totals'!C$4,'[1]import success seats course'!$1:$2,2,FALSE),FALSE)/(VLOOKUP($A1059,'[1]import graded seats course pivo'!$A:AA,HLOOKUP('[1]Course Totals'!C$4,'[1]import graded seats course pivo'!$1:$2,2,FALSE),FALSE))),"")</f>
        <v>1</v>
      </c>
      <c r="D1059" s="14" t="str">
        <f>IFERROR((VLOOKUP($A1059,'[1]import success seats course'!$A:R,HLOOKUP('[1]Course Totals'!D$4,'[1]import success seats course'!$1:$2,2,FALSE),FALSE)/(VLOOKUP($A1059,'[1]import graded seats course pivo'!$A:AB,HLOOKUP('[1]Course Totals'!D$4,'[1]import graded seats course pivo'!$1:$2,2,FALSE),FALSE))),"")</f>
        <v/>
      </c>
      <c r="E1059" s="14" t="str">
        <f>IFERROR((VLOOKUP($A1059,'[1]import success seats course'!$A:S,HLOOKUP('[1]Course Totals'!E$4,'[1]import success seats course'!$1:$2,2,FALSE),FALSE)/(VLOOKUP($A1059,'[1]import graded seats course pivo'!$A:AC,HLOOKUP('[1]Course Totals'!E$4,'[1]import graded seats course pivo'!$1:$2,2,FALSE),FALSE))),"")</f>
        <v/>
      </c>
      <c r="F1059" s="14">
        <f>IFERROR((VLOOKUP($A1059,'[1]import success seats course'!$A:T,HLOOKUP('[1]Course Totals'!F$4,'[1]import success seats course'!$1:$2,2,FALSE),FALSE)/(VLOOKUP($A1059,'[1]import graded seats course pivo'!$A:AD,HLOOKUP('[1]Course Totals'!F$4,'[1]import graded seats course pivo'!$1:$2,2,FALSE),FALSE))),"")</f>
        <v>1</v>
      </c>
      <c r="G1059" s="14">
        <f>IFERROR((VLOOKUP($A1059,'[1]import success seats course'!$A:U,HLOOKUP('[1]Course Totals'!G$4,'[1]import success seats course'!$1:$2,2,FALSE),FALSE)/(VLOOKUP($A1059,'[1]import graded seats course pivo'!$A:AE,HLOOKUP('[1]Course Totals'!G$4,'[1]import graded seats course pivo'!$1:$2,2,FALSE),FALSE))),"")</f>
        <v>0</v>
      </c>
      <c r="H1059" s="14" t="str">
        <f>IFERROR((VLOOKUP($A1059,'[1]import success seats course'!$A:V,HLOOKUP('[1]Course Totals'!H$4,'[1]import success seats course'!$1:$2,2,FALSE),FALSE)/(VLOOKUP($A1059,'[1]import graded seats course pivo'!$A:AF,HLOOKUP('[1]Course Totals'!H$4,'[1]import graded seats course pivo'!$1:$2,2,FALSE),FALSE))),"")</f>
        <v/>
      </c>
      <c r="I1059" s="14">
        <f>IFERROR((VLOOKUP($A1059,'[1]import success seats course'!$A:W,HLOOKUP('[1]Course Totals'!I$4,'[1]import success seats course'!$1:$2,2,FALSE),FALSE)/(VLOOKUP($A1059,'[1]import graded seats course pivo'!$A:AG,HLOOKUP('[1]Course Totals'!I$4,'[1]import graded seats course pivo'!$1:$2,2,FALSE),FALSE))),"")</f>
        <v>1</v>
      </c>
      <c r="J1059" s="14">
        <f>IFERROR((VLOOKUP($A1059,'[1]import success seats course'!$A:X,HLOOKUP('[1]Course Totals'!J$4,'[1]import success seats course'!$1:$2,2,FALSE),FALSE)/(VLOOKUP($A1059,'[1]import graded seats course pivo'!$A:AH,HLOOKUP('[1]Course Totals'!J$4,'[1]import graded seats course pivo'!$1:$2,2,FALSE),FALSE))),"")</f>
        <v>1</v>
      </c>
      <c r="K1059" s="14" t="str">
        <f>IFERROR((VLOOKUP($A1059,'[1]import success seats course'!$A:Y,HLOOKUP('[1]Course Totals'!K$4,'[1]import success seats course'!$1:$2,2,FALSE),FALSE)/(VLOOKUP($A1059,'[1]import graded seats course pivo'!$A:AI,HLOOKUP('[1]Course Totals'!K$4,'[1]import graded seats course pivo'!$1:$2,2,FALSE),FALSE))),"")</f>
        <v/>
      </c>
      <c r="L1059" s="14">
        <f>IFERROR((VLOOKUP($A1059,'[1]import success seats course'!$A:Z,HLOOKUP('[1]Course Totals'!L$4,'[1]import success seats course'!$1:$2,2,FALSE),FALSE)/(VLOOKUP($A1059,'[1]import graded seats course pivo'!$A:AJ,HLOOKUP('[1]Course Totals'!L$4,'[1]import graded seats course pivo'!$1:$2,2,FALSE),FALSE))),"")</f>
        <v>1</v>
      </c>
      <c r="M1059" s="14">
        <f>IFERROR((VLOOKUP($A1059,'[1]import success seats course'!$A:AA,HLOOKUP('[1]Course Totals'!M$4,'[1]import success seats course'!$1:$2,2,FALSE),FALSE)/(VLOOKUP($A1059,'[1]import graded seats course pivo'!$A:AK,HLOOKUP('[1]Course Totals'!M$4,'[1]import graded seats course pivo'!$1:$2,2,FALSE),FALSE))),"")</f>
        <v>1</v>
      </c>
      <c r="N1059" s="14" t="str">
        <f>IFERROR((VLOOKUP($A1059,'[1]import success seats course'!$A:AB,HLOOKUP('[1]Course Totals'!N$4,'[1]import success seats course'!$1:$2,2,FALSE),FALSE)/(VLOOKUP($A1059,'[1]import graded seats course pivo'!$A:AL,HLOOKUP('[1]Course Totals'!N$4,'[1]import graded seats course pivo'!$1:$2,2,FALSE),FALSE))),"")</f>
        <v/>
      </c>
      <c r="O1059" s="14">
        <f>IFERROR((VLOOKUP($A1059,'[1]import success seats course'!$A:AC,HLOOKUP('[1]Course Totals'!O$4,'[1]import success seats course'!$1:$2,2,FALSE),FALSE)/(VLOOKUP($A1059,'[1]import graded seats course pivo'!$A:AM,HLOOKUP('[1]Course Totals'!O$4,'[1]import graded seats course pivo'!$1:$2,2,FALSE),FALSE))),"")</f>
        <v>0.90909090909090906</v>
      </c>
      <c r="P1059" s="14">
        <f>IFERROR((VLOOKUP($A1059,'[1]import success seats course'!$A:AD,HLOOKUP('[1]Course Totals'!P$4,'[1]import success seats course'!$1:$2,2,FALSE),FALSE)/(VLOOKUP($A1059,'[1]import graded seats course pivo'!$A:AN,HLOOKUP('[1]Course Totals'!P$4,'[1]import graded seats course pivo'!$1:$2,2,FALSE),FALSE))),"")</f>
        <v>1</v>
      </c>
      <c r="Q1059" s="14" t="str">
        <f>IFERROR((VLOOKUP($A1059,'[1]import success seats course'!$A:AE,HLOOKUP('[1]Course Totals'!Q$4,'[1]import success seats course'!$1:$2,2,FALSE),FALSE)/(VLOOKUP($A1059,'[1]import graded seats course pivo'!$A:AO,HLOOKUP('[1]Course Totals'!Q$4,'[1]import graded seats course pivo'!$1:$2,2,FALSE),FALSE))),"")</f>
        <v/>
      </c>
      <c r="R1059" s="14">
        <f>IFERROR((VLOOKUP($A1059,'[1]import success seats course'!$A:AF,HLOOKUP('[1]Course Totals'!R$4,'[1]import success seats course'!$1:$2,2,FALSE),FALSE)/(VLOOKUP($A1059,'[1]import graded seats course pivo'!$A:AP,HLOOKUP('[1]Course Totals'!R$4,'[1]import graded seats course pivo'!$1:$2,2,FALSE),FALSE))),"")</f>
        <v>0.8</v>
      </c>
      <c r="S1059" s="14" t="str">
        <f>IFERROR((VLOOKUP($A1059,'[1]import success seats course'!$A:AG,HLOOKUP('[1]Course Totals'!S$4,'[1]import success seats course'!$1:$2,2,FALSE),FALSE)/(VLOOKUP($A1059,'[1]import graded seats course pivo'!$A:AQ,HLOOKUP('[1]Course Totals'!S$4,'[1]import graded seats course pivo'!$1:$2,2,FALSE),FALSE))),"")</f>
        <v/>
      </c>
      <c r="Z1059" s="7"/>
      <c r="AA1059" s="7"/>
      <c r="AB1059" s="7"/>
      <c r="AC1059" s="7"/>
    </row>
    <row r="1060" spans="1:29" ht="15.75" customHeight="1" x14ac:dyDescent="0.25">
      <c r="A1060" s="12" t="s">
        <v>506</v>
      </c>
      <c r="B1060" s="14" t="str">
        <f>IFERROR((VLOOKUP($A1060,'[1]import success seats course'!$A:P,HLOOKUP('[1]Course Totals'!B$4,'[1]import success seats course'!$1:$2,2,FALSE),FALSE)/(VLOOKUP($A1060,'[1]import graded seats course pivo'!$A:Z,HLOOKUP('[1]Course Totals'!B$4,'[1]import graded seats course pivo'!$1:$2,2,FALSE),FALSE))),"")</f>
        <v/>
      </c>
      <c r="C1060" s="14">
        <f>IFERROR((VLOOKUP($A1060,'[1]import success seats course'!$A:Q,HLOOKUP('[1]Course Totals'!C$4,'[1]import success seats course'!$1:$2,2,FALSE),FALSE)/(VLOOKUP($A1060,'[1]import graded seats course pivo'!$A:AA,HLOOKUP('[1]Course Totals'!C$4,'[1]import graded seats course pivo'!$1:$2,2,FALSE),FALSE))),"")</f>
        <v>0.90476190476190477</v>
      </c>
      <c r="D1060" s="14">
        <f>IFERROR((VLOOKUP($A1060,'[1]import success seats course'!$A:R,HLOOKUP('[1]Course Totals'!D$4,'[1]import success seats course'!$1:$2,2,FALSE),FALSE)/(VLOOKUP($A1060,'[1]import graded seats course pivo'!$A:AB,HLOOKUP('[1]Course Totals'!D$4,'[1]import graded seats course pivo'!$1:$2,2,FALSE),FALSE))),"")</f>
        <v>0.84848484848484851</v>
      </c>
      <c r="E1060" s="14" t="str">
        <f>IFERROR((VLOOKUP($A1060,'[1]import success seats course'!$A:S,HLOOKUP('[1]Course Totals'!E$4,'[1]import success seats course'!$1:$2,2,FALSE),FALSE)/(VLOOKUP($A1060,'[1]import graded seats course pivo'!$A:AC,HLOOKUP('[1]Course Totals'!E$4,'[1]import graded seats course pivo'!$1:$2,2,FALSE),FALSE))),"")</f>
        <v/>
      </c>
      <c r="F1060" s="14">
        <f>IFERROR((VLOOKUP($A1060,'[1]import success seats course'!$A:T,HLOOKUP('[1]Course Totals'!F$4,'[1]import success seats course'!$1:$2,2,FALSE),FALSE)/(VLOOKUP($A1060,'[1]import graded seats course pivo'!$A:AD,HLOOKUP('[1]Course Totals'!F$4,'[1]import graded seats course pivo'!$1:$2,2,FALSE),FALSE))),"")</f>
        <v>0.89830508474576276</v>
      </c>
      <c r="G1060" s="14">
        <f>IFERROR((VLOOKUP($A1060,'[1]import success seats course'!$A:U,HLOOKUP('[1]Course Totals'!G$4,'[1]import success seats course'!$1:$2,2,FALSE),FALSE)/(VLOOKUP($A1060,'[1]import graded seats course pivo'!$A:AE,HLOOKUP('[1]Course Totals'!G$4,'[1]import graded seats course pivo'!$1:$2,2,FALSE),FALSE))),"")</f>
        <v>0.90625</v>
      </c>
      <c r="H1060" s="14" t="str">
        <f>IFERROR((VLOOKUP($A1060,'[1]import success seats course'!$A:V,HLOOKUP('[1]Course Totals'!H$4,'[1]import success seats course'!$1:$2,2,FALSE),FALSE)/(VLOOKUP($A1060,'[1]import graded seats course pivo'!$A:AF,HLOOKUP('[1]Course Totals'!H$4,'[1]import graded seats course pivo'!$1:$2,2,FALSE),FALSE))),"")</f>
        <v/>
      </c>
      <c r="I1060" s="14">
        <f>IFERROR((VLOOKUP($A1060,'[1]import success seats course'!$A:W,HLOOKUP('[1]Course Totals'!I$4,'[1]import success seats course'!$1:$2,2,FALSE),FALSE)/(VLOOKUP($A1060,'[1]import graded seats course pivo'!$A:AG,HLOOKUP('[1]Course Totals'!I$4,'[1]import graded seats course pivo'!$1:$2,2,FALSE),FALSE))),"")</f>
        <v>0.91666666666666663</v>
      </c>
      <c r="J1060" s="14">
        <f>IFERROR((VLOOKUP($A1060,'[1]import success seats course'!$A:X,HLOOKUP('[1]Course Totals'!J$4,'[1]import success seats course'!$1:$2,2,FALSE),FALSE)/(VLOOKUP($A1060,'[1]import graded seats course pivo'!$A:AH,HLOOKUP('[1]Course Totals'!J$4,'[1]import graded seats course pivo'!$1:$2,2,FALSE),FALSE))),"")</f>
        <v>0.90140845070422537</v>
      </c>
      <c r="K1060" s="14" t="str">
        <f>IFERROR((VLOOKUP($A1060,'[1]import success seats course'!$A:Y,HLOOKUP('[1]Course Totals'!K$4,'[1]import success seats course'!$1:$2,2,FALSE),FALSE)/(VLOOKUP($A1060,'[1]import graded seats course pivo'!$A:AI,HLOOKUP('[1]Course Totals'!K$4,'[1]import graded seats course pivo'!$1:$2,2,FALSE),FALSE))),"")</f>
        <v/>
      </c>
      <c r="L1060" s="14">
        <f>IFERROR((VLOOKUP($A1060,'[1]import success seats course'!$A:Z,HLOOKUP('[1]Course Totals'!L$4,'[1]import success seats course'!$1:$2,2,FALSE),FALSE)/(VLOOKUP($A1060,'[1]import graded seats course pivo'!$A:AJ,HLOOKUP('[1]Course Totals'!L$4,'[1]import graded seats course pivo'!$1:$2,2,FALSE),FALSE))),"")</f>
        <v>0.8928571428571429</v>
      </c>
      <c r="M1060" s="14">
        <f>IFERROR((VLOOKUP($A1060,'[1]import success seats course'!$A:AA,HLOOKUP('[1]Course Totals'!M$4,'[1]import success seats course'!$1:$2,2,FALSE),FALSE)/(VLOOKUP($A1060,'[1]import graded seats course pivo'!$A:AK,HLOOKUP('[1]Course Totals'!M$4,'[1]import graded seats course pivo'!$1:$2,2,FALSE),FALSE))),"")</f>
        <v>0.93333333333333335</v>
      </c>
      <c r="N1060" s="14" t="str">
        <f>IFERROR((VLOOKUP($A1060,'[1]import success seats course'!$A:AB,HLOOKUP('[1]Course Totals'!N$4,'[1]import success seats course'!$1:$2,2,FALSE),FALSE)/(VLOOKUP($A1060,'[1]import graded seats course pivo'!$A:AL,HLOOKUP('[1]Course Totals'!N$4,'[1]import graded seats course pivo'!$1:$2,2,FALSE),FALSE))),"")</f>
        <v/>
      </c>
      <c r="O1060" s="14">
        <f>IFERROR((VLOOKUP($A1060,'[1]import success seats course'!$A:AC,HLOOKUP('[1]Course Totals'!O$4,'[1]import success seats course'!$1:$2,2,FALSE),FALSE)/(VLOOKUP($A1060,'[1]import graded seats course pivo'!$A:AM,HLOOKUP('[1]Course Totals'!O$4,'[1]import graded seats course pivo'!$1:$2,2,FALSE),FALSE))),"")</f>
        <v>0.9642857142857143</v>
      </c>
      <c r="P1060" s="14">
        <f>IFERROR((VLOOKUP($A1060,'[1]import success seats course'!$A:AD,HLOOKUP('[1]Course Totals'!P$4,'[1]import success seats course'!$1:$2,2,FALSE),FALSE)/(VLOOKUP($A1060,'[1]import graded seats course pivo'!$A:AN,HLOOKUP('[1]Course Totals'!P$4,'[1]import graded seats course pivo'!$1:$2,2,FALSE),FALSE))),"")</f>
        <v>0.91044776119402981</v>
      </c>
      <c r="Q1060" s="14" t="str">
        <f>IFERROR((VLOOKUP($A1060,'[1]import success seats course'!$A:AE,HLOOKUP('[1]Course Totals'!Q$4,'[1]import success seats course'!$1:$2,2,FALSE),FALSE)/(VLOOKUP($A1060,'[1]import graded seats course pivo'!$A:AO,HLOOKUP('[1]Course Totals'!Q$4,'[1]import graded seats course pivo'!$1:$2,2,FALSE),FALSE))),"")</f>
        <v/>
      </c>
      <c r="R1060" s="14">
        <f>IFERROR((VLOOKUP($A1060,'[1]import success seats course'!$A:AF,HLOOKUP('[1]Course Totals'!R$4,'[1]import success seats course'!$1:$2,2,FALSE),FALSE)/(VLOOKUP($A1060,'[1]import graded seats course pivo'!$A:AP,HLOOKUP('[1]Course Totals'!R$4,'[1]import graded seats course pivo'!$1:$2,2,FALSE),FALSE))),"")</f>
        <v>0.96</v>
      </c>
      <c r="S1060" s="14">
        <f>IFERROR((VLOOKUP($A1060,'[1]import success seats course'!$A:AG,HLOOKUP('[1]Course Totals'!S$4,'[1]import success seats course'!$1:$2,2,FALSE),FALSE)/(VLOOKUP($A1060,'[1]import graded seats course pivo'!$A:AQ,HLOOKUP('[1]Course Totals'!S$4,'[1]import graded seats course pivo'!$1:$2,2,FALSE),FALSE))),"")</f>
        <v>1</v>
      </c>
      <c r="Z1060" s="7"/>
      <c r="AA1060" s="7"/>
      <c r="AB1060" s="7"/>
      <c r="AC1060" s="7"/>
    </row>
    <row r="1061" spans="1:29" ht="15.75" customHeight="1" x14ac:dyDescent="0.25">
      <c r="A1061" s="12" t="s">
        <v>507</v>
      </c>
      <c r="B1061" s="14" t="str">
        <f>IFERROR((VLOOKUP($A1061,'[1]import success seats course'!$A:P,HLOOKUP('[1]Course Totals'!B$4,'[1]import success seats course'!$1:$2,2,FALSE),FALSE)/(VLOOKUP($A1061,'[1]import graded seats course pivo'!$A:Z,HLOOKUP('[1]Course Totals'!B$4,'[1]import graded seats course pivo'!$1:$2,2,FALSE),FALSE))),"")</f>
        <v/>
      </c>
      <c r="C1061" s="14">
        <f>IFERROR((VLOOKUP($A1061,'[1]import success seats course'!$A:Q,HLOOKUP('[1]Course Totals'!C$4,'[1]import success seats course'!$1:$2,2,FALSE),FALSE)/(VLOOKUP($A1061,'[1]import graded seats course pivo'!$A:AA,HLOOKUP('[1]Course Totals'!C$4,'[1]import graded seats course pivo'!$1:$2,2,FALSE),FALSE))),"")</f>
        <v>0.84482758620689657</v>
      </c>
      <c r="D1061" s="14">
        <f>IFERROR((VLOOKUP($A1061,'[1]import success seats course'!$A:R,HLOOKUP('[1]Course Totals'!D$4,'[1]import success seats course'!$1:$2,2,FALSE),FALSE)/(VLOOKUP($A1061,'[1]import graded seats course pivo'!$A:AB,HLOOKUP('[1]Course Totals'!D$4,'[1]import graded seats course pivo'!$1:$2,2,FALSE),FALSE))),"")</f>
        <v>0.86440677966101698</v>
      </c>
      <c r="E1061" s="14" t="str">
        <f>IFERROR((VLOOKUP($A1061,'[1]import success seats course'!$A:S,HLOOKUP('[1]Course Totals'!E$4,'[1]import success seats course'!$1:$2,2,FALSE),FALSE)/(VLOOKUP($A1061,'[1]import graded seats course pivo'!$A:AC,HLOOKUP('[1]Course Totals'!E$4,'[1]import graded seats course pivo'!$1:$2,2,FALSE),FALSE))),"")</f>
        <v/>
      </c>
      <c r="F1061" s="14">
        <f>IFERROR((VLOOKUP($A1061,'[1]import success seats course'!$A:T,HLOOKUP('[1]Course Totals'!F$4,'[1]import success seats course'!$1:$2,2,FALSE),FALSE)/(VLOOKUP($A1061,'[1]import graded seats course pivo'!$A:AD,HLOOKUP('[1]Course Totals'!F$4,'[1]import graded seats course pivo'!$1:$2,2,FALSE),FALSE))),"")</f>
        <v>0.94545454545454544</v>
      </c>
      <c r="G1061" s="14">
        <f>IFERROR((VLOOKUP($A1061,'[1]import success seats course'!$A:U,HLOOKUP('[1]Course Totals'!G$4,'[1]import success seats course'!$1:$2,2,FALSE),FALSE)/(VLOOKUP($A1061,'[1]import graded seats course pivo'!$A:AE,HLOOKUP('[1]Course Totals'!G$4,'[1]import graded seats course pivo'!$1:$2,2,FALSE),FALSE))),"")</f>
        <v>0.93333333333333335</v>
      </c>
      <c r="H1061" s="14" t="str">
        <f>IFERROR((VLOOKUP($A1061,'[1]import success seats course'!$A:V,HLOOKUP('[1]Course Totals'!H$4,'[1]import success seats course'!$1:$2,2,FALSE),FALSE)/(VLOOKUP($A1061,'[1]import graded seats course pivo'!$A:AF,HLOOKUP('[1]Course Totals'!H$4,'[1]import graded seats course pivo'!$1:$2,2,FALSE),FALSE))),"")</f>
        <v/>
      </c>
      <c r="I1061" s="14">
        <f>IFERROR((VLOOKUP($A1061,'[1]import success seats course'!$A:W,HLOOKUP('[1]Course Totals'!I$4,'[1]import success seats course'!$1:$2,2,FALSE),FALSE)/(VLOOKUP($A1061,'[1]import graded seats course pivo'!$A:AG,HLOOKUP('[1]Course Totals'!I$4,'[1]import graded seats course pivo'!$1:$2,2,FALSE),FALSE))),"")</f>
        <v>0.85148514851485146</v>
      </c>
      <c r="J1061" s="14">
        <f>IFERROR((VLOOKUP($A1061,'[1]import success seats course'!$A:X,HLOOKUP('[1]Course Totals'!J$4,'[1]import success seats course'!$1:$2,2,FALSE),FALSE)/(VLOOKUP($A1061,'[1]import graded seats course pivo'!$A:AH,HLOOKUP('[1]Course Totals'!J$4,'[1]import graded seats course pivo'!$1:$2,2,FALSE),FALSE))),"")</f>
        <v>0.89320388349514568</v>
      </c>
      <c r="K1061" s="14" t="str">
        <f>IFERROR((VLOOKUP($A1061,'[1]import success seats course'!$A:Y,HLOOKUP('[1]Course Totals'!K$4,'[1]import success seats course'!$1:$2,2,FALSE),FALSE)/(VLOOKUP($A1061,'[1]import graded seats course pivo'!$A:AI,HLOOKUP('[1]Course Totals'!K$4,'[1]import graded seats course pivo'!$1:$2,2,FALSE),FALSE))),"")</f>
        <v/>
      </c>
      <c r="L1061" s="14">
        <f>IFERROR((VLOOKUP($A1061,'[1]import success seats course'!$A:Z,HLOOKUP('[1]Course Totals'!L$4,'[1]import success seats course'!$1:$2,2,FALSE),FALSE)/(VLOOKUP($A1061,'[1]import graded seats course pivo'!$A:AJ,HLOOKUP('[1]Course Totals'!L$4,'[1]import graded seats course pivo'!$1:$2,2,FALSE),FALSE))),"")</f>
        <v>0.89690721649484539</v>
      </c>
      <c r="M1061" s="14">
        <f>IFERROR((VLOOKUP($A1061,'[1]import success seats course'!$A:AA,HLOOKUP('[1]Course Totals'!M$4,'[1]import success seats course'!$1:$2,2,FALSE),FALSE)/(VLOOKUP($A1061,'[1]import graded seats course pivo'!$A:AK,HLOOKUP('[1]Course Totals'!M$4,'[1]import graded seats course pivo'!$1:$2,2,FALSE),FALSE))),"")</f>
        <v>0.88888888888888884</v>
      </c>
      <c r="N1061" s="14" t="str">
        <f>IFERROR((VLOOKUP($A1061,'[1]import success seats course'!$A:AB,HLOOKUP('[1]Course Totals'!N$4,'[1]import success seats course'!$1:$2,2,FALSE),FALSE)/(VLOOKUP($A1061,'[1]import graded seats course pivo'!$A:AL,HLOOKUP('[1]Course Totals'!N$4,'[1]import graded seats course pivo'!$1:$2,2,FALSE),FALSE))),"")</f>
        <v/>
      </c>
      <c r="O1061" s="14">
        <f>IFERROR((VLOOKUP($A1061,'[1]import success seats course'!$A:AC,HLOOKUP('[1]Course Totals'!O$4,'[1]import success seats course'!$1:$2,2,FALSE),FALSE)/(VLOOKUP($A1061,'[1]import graded seats course pivo'!$A:AM,HLOOKUP('[1]Course Totals'!O$4,'[1]import graded seats course pivo'!$1:$2,2,FALSE),FALSE))),"")</f>
        <v>0.96363636363636362</v>
      </c>
      <c r="P1061" s="14">
        <f>IFERROR((VLOOKUP($A1061,'[1]import success seats course'!$A:AD,HLOOKUP('[1]Course Totals'!P$4,'[1]import success seats course'!$1:$2,2,FALSE),FALSE)/(VLOOKUP($A1061,'[1]import graded seats course pivo'!$A:AN,HLOOKUP('[1]Course Totals'!P$4,'[1]import graded seats course pivo'!$1:$2,2,FALSE),FALSE))),"")</f>
        <v>0.875</v>
      </c>
      <c r="Q1061" s="14" t="str">
        <f>IFERROR((VLOOKUP($A1061,'[1]import success seats course'!$A:AE,HLOOKUP('[1]Course Totals'!Q$4,'[1]import success seats course'!$1:$2,2,FALSE),FALSE)/(VLOOKUP($A1061,'[1]import graded seats course pivo'!$A:AO,HLOOKUP('[1]Course Totals'!Q$4,'[1]import graded seats course pivo'!$1:$2,2,FALSE),FALSE))),"")</f>
        <v/>
      </c>
      <c r="R1061" s="14">
        <f>IFERROR((VLOOKUP($A1061,'[1]import success seats course'!$A:AF,HLOOKUP('[1]Course Totals'!R$4,'[1]import success seats course'!$1:$2,2,FALSE),FALSE)/(VLOOKUP($A1061,'[1]import graded seats course pivo'!$A:AP,HLOOKUP('[1]Course Totals'!R$4,'[1]import graded seats course pivo'!$1:$2,2,FALSE),FALSE))),"")</f>
        <v>0.91666666666666663</v>
      </c>
      <c r="S1061" s="14">
        <f>IFERROR((VLOOKUP($A1061,'[1]import success seats course'!$A:AG,HLOOKUP('[1]Course Totals'!S$4,'[1]import success seats course'!$1:$2,2,FALSE),FALSE)/(VLOOKUP($A1061,'[1]import graded seats course pivo'!$A:AQ,HLOOKUP('[1]Course Totals'!S$4,'[1]import graded seats course pivo'!$1:$2,2,FALSE),FALSE))),"")</f>
        <v>0.86538461538461542</v>
      </c>
      <c r="Z1061" s="7"/>
      <c r="AA1061" s="7"/>
      <c r="AB1061" s="7"/>
      <c r="AC1061" s="7"/>
    </row>
    <row r="1062" spans="1:29" ht="15.75" customHeight="1" x14ac:dyDescent="0.25">
      <c r="A1062" s="12" t="s">
        <v>508</v>
      </c>
      <c r="B1062" s="14" t="str">
        <f>IFERROR((VLOOKUP($A1062,'[1]import success seats course'!$A:P,HLOOKUP('[1]Course Totals'!B$4,'[1]import success seats course'!$1:$2,2,FALSE),FALSE)/(VLOOKUP($A1062,'[1]import graded seats course pivo'!$A:Z,HLOOKUP('[1]Course Totals'!B$4,'[1]import graded seats course pivo'!$1:$2,2,FALSE),FALSE))),"")</f>
        <v/>
      </c>
      <c r="C1062" s="14">
        <f>IFERROR((VLOOKUP($A1062,'[1]import success seats course'!$A:Q,HLOOKUP('[1]Course Totals'!C$4,'[1]import success seats course'!$1:$2,2,FALSE),FALSE)/(VLOOKUP($A1062,'[1]import graded seats course pivo'!$A:AA,HLOOKUP('[1]Course Totals'!C$4,'[1]import graded seats course pivo'!$1:$2,2,FALSE),FALSE))),"")</f>
        <v>0.8571428571428571</v>
      </c>
      <c r="D1062" s="14">
        <f>IFERROR((VLOOKUP($A1062,'[1]import success seats course'!$A:R,HLOOKUP('[1]Course Totals'!D$4,'[1]import success seats course'!$1:$2,2,FALSE),FALSE)/(VLOOKUP($A1062,'[1]import graded seats course pivo'!$A:AB,HLOOKUP('[1]Course Totals'!D$4,'[1]import graded seats course pivo'!$1:$2,2,FALSE),FALSE))),"")</f>
        <v>1</v>
      </c>
      <c r="E1062" s="14" t="str">
        <f>IFERROR((VLOOKUP($A1062,'[1]import success seats course'!$A:S,HLOOKUP('[1]Course Totals'!E$4,'[1]import success seats course'!$1:$2,2,FALSE),FALSE)/(VLOOKUP($A1062,'[1]import graded seats course pivo'!$A:AC,HLOOKUP('[1]Course Totals'!E$4,'[1]import graded seats course pivo'!$1:$2,2,FALSE),FALSE))),"")</f>
        <v/>
      </c>
      <c r="F1062" s="14">
        <f>IFERROR((VLOOKUP($A1062,'[1]import success seats course'!$A:T,HLOOKUP('[1]Course Totals'!F$4,'[1]import success seats course'!$1:$2,2,FALSE),FALSE)/(VLOOKUP($A1062,'[1]import graded seats course pivo'!$A:AD,HLOOKUP('[1]Course Totals'!F$4,'[1]import graded seats course pivo'!$1:$2,2,FALSE),FALSE))),"")</f>
        <v>0.9285714285714286</v>
      </c>
      <c r="G1062" s="14">
        <f>IFERROR((VLOOKUP($A1062,'[1]import success seats course'!$A:U,HLOOKUP('[1]Course Totals'!G$4,'[1]import success seats course'!$1:$2,2,FALSE),FALSE)/(VLOOKUP($A1062,'[1]import graded seats course pivo'!$A:AE,HLOOKUP('[1]Course Totals'!G$4,'[1]import graded seats course pivo'!$1:$2,2,FALSE),FALSE))),"")</f>
        <v>0.92307692307692313</v>
      </c>
      <c r="H1062" s="14" t="str">
        <f>IFERROR((VLOOKUP($A1062,'[1]import success seats course'!$A:V,HLOOKUP('[1]Course Totals'!H$4,'[1]import success seats course'!$1:$2,2,FALSE),FALSE)/(VLOOKUP($A1062,'[1]import graded seats course pivo'!$A:AF,HLOOKUP('[1]Course Totals'!H$4,'[1]import graded seats course pivo'!$1:$2,2,FALSE),FALSE))),"")</f>
        <v/>
      </c>
      <c r="I1062" s="14">
        <f>IFERROR((VLOOKUP($A1062,'[1]import success seats course'!$A:W,HLOOKUP('[1]Course Totals'!I$4,'[1]import success seats course'!$1:$2,2,FALSE),FALSE)/(VLOOKUP($A1062,'[1]import graded seats course pivo'!$A:AG,HLOOKUP('[1]Course Totals'!I$4,'[1]import graded seats course pivo'!$1:$2,2,FALSE),FALSE))),"")</f>
        <v>0.9375</v>
      </c>
      <c r="J1062" s="14">
        <f>IFERROR((VLOOKUP($A1062,'[1]import success seats course'!$A:X,HLOOKUP('[1]Course Totals'!J$4,'[1]import success seats course'!$1:$2,2,FALSE),FALSE)/(VLOOKUP($A1062,'[1]import graded seats course pivo'!$A:AH,HLOOKUP('[1]Course Totals'!J$4,'[1]import graded seats course pivo'!$1:$2,2,FALSE),FALSE))),"")</f>
        <v>0.81818181818181823</v>
      </c>
      <c r="K1062" s="14" t="str">
        <f>IFERROR((VLOOKUP($A1062,'[1]import success seats course'!$A:Y,HLOOKUP('[1]Course Totals'!K$4,'[1]import success seats course'!$1:$2,2,FALSE),FALSE)/(VLOOKUP($A1062,'[1]import graded seats course pivo'!$A:AI,HLOOKUP('[1]Course Totals'!K$4,'[1]import graded seats course pivo'!$1:$2,2,FALSE),FALSE))),"")</f>
        <v/>
      </c>
      <c r="L1062" s="14" t="str">
        <f>IFERROR((VLOOKUP($A1062,'[1]import success seats course'!$A:Z,HLOOKUP('[1]Course Totals'!L$4,'[1]import success seats course'!$1:$2,2,FALSE),FALSE)/(VLOOKUP($A1062,'[1]import graded seats course pivo'!$A:AJ,HLOOKUP('[1]Course Totals'!L$4,'[1]import graded seats course pivo'!$1:$2,2,FALSE),FALSE))),"")</f>
        <v/>
      </c>
      <c r="M1062" s="14" t="str">
        <f>IFERROR((VLOOKUP($A1062,'[1]import success seats course'!$A:AA,HLOOKUP('[1]Course Totals'!M$4,'[1]import success seats course'!$1:$2,2,FALSE),FALSE)/(VLOOKUP($A1062,'[1]import graded seats course pivo'!$A:AK,HLOOKUP('[1]Course Totals'!M$4,'[1]import graded seats course pivo'!$1:$2,2,FALSE),FALSE))),"")</f>
        <v/>
      </c>
      <c r="N1062" s="14" t="str">
        <f>IFERROR((VLOOKUP($A1062,'[1]import success seats course'!$A:AB,HLOOKUP('[1]Course Totals'!N$4,'[1]import success seats course'!$1:$2,2,FALSE),FALSE)/(VLOOKUP($A1062,'[1]import graded seats course pivo'!$A:AL,HLOOKUP('[1]Course Totals'!N$4,'[1]import graded seats course pivo'!$1:$2,2,FALSE),FALSE))),"")</f>
        <v/>
      </c>
      <c r="O1062" s="14" t="str">
        <f>IFERROR((VLOOKUP($A1062,'[1]import success seats course'!$A:AC,HLOOKUP('[1]Course Totals'!O$4,'[1]import success seats course'!$1:$2,2,FALSE),FALSE)/(VLOOKUP($A1062,'[1]import graded seats course pivo'!$A:AM,HLOOKUP('[1]Course Totals'!O$4,'[1]import graded seats course pivo'!$1:$2,2,FALSE),FALSE))),"")</f>
        <v/>
      </c>
      <c r="P1062" s="14" t="str">
        <f>IFERROR((VLOOKUP($A1062,'[1]import success seats course'!$A:AD,HLOOKUP('[1]Course Totals'!P$4,'[1]import success seats course'!$1:$2,2,FALSE),FALSE)/(VLOOKUP($A1062,'[1]import graded seats course pivo'!$A:AN,HLOOKUP('[1]Course Totals'!P$4,'[1]import graded seats course pivo'!$1:$2,2,FALSE),FALSE))),"")</f>
        <v/>
      </c>
      <c r="Q1062" s="14" t="str">
        <f>IFERROR((VLOOKUP($A1062,'[1]import success seats course'!$A:AE,HLOOKUP('[1]Course Totals'!Q$4,'[1]import success seats course'!$1:$2,2,FALSE),FALSE)/(VLOOKUP($A1062,'[1]import graded seats course pivo'!$A:AO,HLOOKUP('[1]Course Totals'!Q$4,'[1]import graded seats course pivo'!$1:$2,2,FALSE),FALSE))),"")</f>
        <v/>
      </c>
      <c r="R1062" s="14" t="str">
        <f>IFERROR((VLOOKUP($A1062,'[1]import success seats course'!$A:AF,HLOOKUP('[1]Course Totals'!R$4,'[1]import success seats course'!$1:$2,2,FALSE),FALSE)/(VLOOKUP($A1062,'[1]import graded seats course pivo'!$A:AP,HLOOKUP('[1]Course Totals'!R$4,'[1]import graded seats course pivo'!$1:$2,2,FALSE),FALSE))),"")</f>
        <v/>
      </c>
      <c r="S1062" s="14" t="str">
        <f>IFERROR((VLOOKUP($A1062,'[1]import success seats course'!$A:AG,HLOOKUP('[1]Course Totals'!S$4,'[1]import success seats course'!$1:$2,2,FALSE),FALSE)/(VLOOKUP($A1062,'[1]import graded seats course pivo'!$A:AQ,HLOOKUP('[1]Course Totals'!S$4,'[1]import graded seats course pivo'!$1:$2,2,FALSE),FALSE))),"")</f>
        <v/>
      </c>
      <c r="Z1062" s="7"/>
      <c r="AA1062" s="7"/>
      <c r="AB1062" s="7"/>
      <c r="AC1062" s="7"/>
    </row>
    <row r="1063" spans="1:29" ht="15.75" customHeight="1" x14ac:dyDescent="0.25">
      <c r="A1063" s="12" t="s">
        <v>509</v>
      </c>
      <c r="B1063" s="14">
        <f>IFERROR((VLOOKUP($A1063,'[1]import success seats course'!$A:P,HLOOKUP('[1]Course Totals'!B$4,'[1]import success seats course'!$1:$2,2,FALSE),FALSE)/(VLOOKUP($A1063,'[1]import graded seats course pivo'!$A:Z,HLOOKUP('[1]Course Totals'!B$4,'[1]import graded seats course pivo'!$1:$2,2,FALSE),FALSE))),"")</f>
        <v>1</v>
      </c>
      <c r="C1063" s="14">
        <f>IFERROR((VLOOKUP($A1063,'[1]import success seats course'!$A:Q,HLOOKUP('[1]Course Totals'!C$4,'[1]import success seats course'!$1:$2,2,FALSE),FALSE)/(VLOOKUP($A1063,'[1]import graded seats course pivo'!$A:AA,HLOOKUP('[1]Course Totals'!C$4,'[1]import graded seats course pivo'!$1:$2,2,FALSE),FALSE))),"")</f>
        <v>0.88709677419354838</v>
      </c>
      <c r="D1063" s="14">
        <f>IFERROR((VLOOKUP($A1063,'[1]import success seats course'!$A:R,HLOOKUP('[1]Course Totals'!D$4,'[1]import success seats course'!$1:$2,2,FALSE),FALSE)/(VLOOKUP($A1063,'[1]import graded seats course pivo'!$A:AB,HLOOKUP('[1]Course Totals'!D$4,'[1]import graded seats course pivo'!$1:$2,2,FALSE),FALSE))),"")</f>
        <v>0.85483870967741937</v>
      </c>
      <c r="E1063" s="14">
        <f>IFERROR((VLOOKUP($A1063,'[1]import success seats course'!$A:S,HLOOKUP('[1]Course Totals'!E$4,'[1]import success seats course'!$1:$2,2,FALSE),FALSE)/(VLOOKUP($A1063,'[1]import graded seats course pivo'!$A:AC,HLOOKUP('[1]Course Totals'!E$4,'[1]import graded seats course pivo'!$1:$2,2,FALSE),FALSE))),"")</f>
        <v>1</v>
      </c>
      <c r="F1063" s="14">
        <f>IFERROR((VLOOKUP($A1063,'[1]import success seats course'!$A:T,HLOOKUP('[1]Course Totals'!F$4,'[1]import success seats course'!$1:$2,2,FALSE),FALSE)/(VLOOKUP($A1063,'[1]import graded seats course pivo'!$A:AD,HLOOKUP('[1]Course Totals'!F$4,'[1]import graded seats course pivo'!$1:$2,2,FALSE),FALSE))),"")</f>
        <v>0.84375</v>
      </c>
      <c r="G1063" s="14">
        <f>IFERROR((VLOOKUP($A1063,'[1]import success seats course'!$A:U,HLOOKUP('[1]Course Totals'!G$4,'[1]import success seats course'!$1:$2,2,FALSE),FALSE)/(VLOOKUP($A1063,'[1]import graded seats course pivo'!$A:AE,HLOOKUP('[1]Course Totals'!G$4,'[1]import graded seats course pivo'!$1:$2,2,FALSE),FALSE))),"")</f>
        <v>0.89855072463768115</v>
      </c>
      <c r="H1063" s="14" t="str">
        <f>IFERROR((VLOOKUP($A1063,'[1]import success seats course'!$A:V,HLOOKUP('[1]Course Totals'!H$4,'[1]import success seats course'!$1:$2,2,FALSE),FALSE)/(VLOOKUP($A1063,'[1]import graded seats course pivo'!$A:AF,HLOOKUP('[1]Course Totals'!H$4,'[1]import graded seats course pivo'!$1:$2,2,FALSE),FALSE))),"")</f>
        <v/>
      </c>
      <c r="I1063" s="14">
        <f>IFERROR((VLOOKUP($A1063,'[1]import success seats course'!$A:W,HLOOKUP('[1]Course Totals'!I$4,'[1]import success seats course'!$1:$2,2,FALSE),FALSE)/(VLOOKUP($A1063,'[1]import graded seats course pivo'!$A:AG,HLOOKUP('[1]Course Totals'!I$4,'[1]import graded seats course pivo'!$1:$2,2,FALSE),FALSE))),"")</f>
        <v>0.85416666666666663</v>
      </c>
      <c r="J1063" s="14">
        <f>IFERROR((VLOOKUP($A1063,'[1]import success seats course'!$A:X,HLOOKUP('[1]Course Totals'!J$4,'[1]import success seats course'!$1:$2,2,FALSE),FALSE)/(VLOOKUP($A1063,'[1]import graded seats course pivo'!$A:AH,HLOOKUP('[1]Course Totals'!J$4,'[1]import graded seats course pivo'!$1:$2,2,FALSE),FALSE))),"")</f>
        <v>0.92753623188405798</v>
      </c>
      <c r="K1063" s="14" t="str">
        <f>IFERROR((VLOOKUP($A1063,'[1]import success seats course'!$A:Y,HLOOKUP('[1]Course Totals'!K$4,'[1]import success seats course'!$1:$2,2,FALSE),FALSE)/(VLOOKUP($A1063,'[1]import graded seats course pivo'!$A:AI,HLOOKUP('[1]Course Totals'!K$4,'[1]import graded seats course pivo'!$1:$2,2,FALSE),FALSE))),"")</f>
        <v/>
      </c>
      <c r="L1063" s="14">
        <f>IFERROR((VLOOKUP($A1063,'[1]import success seats course'!$A:Z,HLOOKUP('[1]Course Totals'!L$4,'[1]import success seats course'!$1:$2,2,FALSE),FALSE)/(VLOOKUP($A1063,'[1]import graded seats course pivo'!$A:AJ,HLOOKUP('[1]Course Totals'!L$4,'[1]import graded seats course pivo'!$1:$2,2,FALSE),FALSE))),"")</f>
        <v>0.95945945945945943</v>
      </c>
      <c r="M1063" s="14">
        <f>IFERROR((VLOOKUP($A1063,'[1]import success seats course'!$A:AA,HLOOKUP('[1]Course Totals'!M$4,'[1]import success seats course'!$1:$2,2,FALSE),FALSE)/(VLOOKUP($A1063,'[1]import graded seats course pivo'!$A:AK,HLOOKUP('[1]Course Totals'!M$4,'[1]import graded seats course pivo'!$1:$2,2,FALSE),FALSE))),"")</f>
        <v>0.95714285714285718</v>
      </c>
      <c r="N1063" s="14" t="str">
        <f>IFERROR((VLOOKUP($A1063,'[1]import success seats course'!$A:AB,HLOOKUP('[1]Course Totals'!N$4,'[1]import success seats course'!$1:$2,2,FALSE),FALSE)/(VLOOKUP($A1063,'[1]import graded seats course pivo'!$A:AL,HLOOKUP('[1]Course Totals'!N$4,'[1]import graded seats course pivo'!$1:$2,2,FALSE),FALSE))),"")</f>
        <v/>
      </c>
      <c r="O1063" s="14">
        <f>IFERROR((VLOOKUP($A1063,'[1]import success seats course'!$A:AC,HLOOKUP('[1]Course Totals'!O$4,'[1]import success seats course'!$1:$2,2,FALSE),FALSE)/(VLOOKUP($A1063,'[1]import graded seats course pivo'!$A:AM,HLOOKUP('[1]Course Totals'!O$4,'[1]import graded seats course pivo'!$1:$2,2,FALSE),FALSE))),"")</f>
        <v>0.8970588235294118</v>
      </c>
      <c r="P1063" s="14">
        <f>IFERROR((VLOOKUP($A1063,'[1]import success seats course'!$A:AD,HLOOKUP('[1]Course Totals'!P$4,'[1]import success seats course'!$1:$2,2,FALSE),FALSE)/(VLOOKUP($A1063,'[1]import graded seats course pivo'!$A:AN,HLOOKUP('[1]Course Totals'!P$4,'[1]import graded seats course pivo'!$1:$2,2,FALSE),FALSE))),"")</f>
        <v>0.91304347826086951</v>
      </c>
      <c r="Q1063" s="14" t="str">
        <f>IFERROR((VLOOKUP($A1063,'[1]import success seats course'!$A:AE,HLOOKUP('[1]Course Totals'!Q$4,'[1]import success seats course'!$1:$2,2,FALSE),FALSE)/(VLOOKUP($A1063,'[1]import graded seats course pivo'!$A:AO,HLOOKUP('[1]Course Totals'!Q$4,'[1]import graded seats course pivo'!$1:$2,2,FALSE),FALSE))),"")</f>
        <v/>
      </c>
      <c r="R1063" s="14">
        <f>IFERROR((VLOOKUP($A1063,'[1]import success seats course'!$A:AF,HLOOKUP('[1]Course Totals'!R$4,'[1]import success seats course'!$1:$2,2,FALSE),FALSE)/(VLOOKUP($A1063,'[1]import graded seats course pivo'!$A:AP,HLOOKUP('[1]Course Totals'!R$4,'[1]import graded seats course pivo'!$1:$2,2,FALSE),FALSE))),"")</f>
        <v>0.93877551020408168</v>
      </c>
      <c r="S1063" s="14">
        <f>IFERROR((VLOOKUP($A1063,'[1]import success seats course'!$A:AG,HLOOKUP('[1]Course Totals'!S$4,'[1]import success seats course'!$1:$2,2,FALSE),FALSE)/(VLOOKUP($A1063,'[1]import graded seats course pivo'!$A:AQ,HLOOKUP('[1]Course Totals'!S$4,'[1]import graded seats course pivo'!$1:$2,2,FALSE),FALSE))),"")</f>
        <v>0.93258426966292129</v>
      </c>
      <c r="Z1063" s="7"/>
      <c r="AA1063" s="7"/>
      <c r="AB1063" s="7"/>
      <c r="AC1063" s="7"/>
    </row>
    <row r="1064" spans="1:29" ht="15.75" customHeight="1" x14ac:dyDescent="0.25">
      <c r="A1064" s="12" t="s">
        <v>510</v>
      </c>
      <c r="B1064" s="14" t="str">
        <f>IFERROR((VLOOKUP($A1064,'[1]import success seats course'!$A:P,HLOOKUP('[1]Course Totals'!B$4,'[1]import success seats course'!$1:$2,2,FALSE),FALSE)/(VLOOKUP($A1064,'[1]import graded seats course pivo'!$A:Z,HLOOKUP('[1]Course Totals'!B$4,'[1]import graded seats course pivo'!$1:$2,2,FALSE),FALSE))),"")</f>
        <v/>
      </c>
      <c r="C1064" s="14">
        <f>IFERROR((VLOOKUP($A1064,'[1]import success seats course'!$A:Q,HLOOKUP('[1]Course Totals'!C$4,'[1]import success seats course'!$1:$2,2,FALSE),FALSE)/(VLOOKUP($A1064,'[1]import graded seats course pivo'!$A:AA,HLOOKUP('[1]Course Totals'!C$4,'[1]import graded seats course pivo'!$1:$2,2,FALSE),FALSE))),"")</f>
        <v>0.67567567567567566</v>
      </c>
      <c r="D1064" s="14">
        <f>IFERROR((VLOOKUP($A1064,'[1]import success seats course'!$A:R,HLOOKUP('[1]Course Totals'!D$4,'[1]import success seats course'!$1:$2,2,FALSE),FALSE)/(VLOOKUP($A1064,'[1]import graded seats course pivo'!$A:AB,HLOOKUP('[1]Course Totals'!D$4,'[1]import graded seats course pivo'!$1:$2,2,FALSE),FALSE))),"")</f>
        <v>0.78947368421052633</v>
      </c>
      <c r="E1064" s="14" t="str">
        <f>IFERROR((VLOOKUP($A1064,'[1]import success seats course'!$A:S,HLOOKUP('[1]Course Totals'!E$4,'[1]import success seats course'!$1:$2,2,FALSE),FALSE)/(VLOOKUP($A1064,'[1]import graded seats course pivo'!$A:AC,HLOOKUP('[1]Course Totals'!E$4,'[1]import graded seats course pivo'!$1:$2,2,FALSE),FALSE))),"")</f>
        <v/>
      </c>
      <c r="F1064" s="14">
        <f>IFERROR((VLOOKUP($A1064,'[1]import success seats course'!$A:T,HLOOKUP('[1]Course Totals'!F$4,'[1]import success seats course'!$1:$2,2,FALSE),FALSE)/(VLOOKUP($A1064,'[1]import graded seats course pivo'!$A:AD,HLOOKUP('[1]Course Totals'!F$4,'[1]import graded seats course pivo'!$1:$2,2,FALSE),FALSE))),"")</f>
        <v>0.7068965517241379</v>
      </c>
      <c r="G1064" s="14">
        <f>IFERROR((VLOOKUP($A1064,'[1]import success seats course'!$A:U,HLOOKUP('[1]Course Totals'!G$4,'[1]import success seats course'!$1:$2,2,FALSE),FALSE)/(VLOOKUP($A1064,'[1]import graded seats course pivo'!$A:AE,HLOOKUP('[1]Course Totals'!G$4,'[1]import graded seats course pivo'!$1:$2,2,FALSE),FALSE))),"")</f>
        <v>0.77966101694915257</v>
      </c>
      <c r="H1064" s="14" t="str">
        <f>IFERROR((VLOOKUP($A1064,'[1]import success seats course'!$A:V,HLOOKUP('[1]Course Totals'!H$4,'[1]import success seats course'!$1:$2,2,FALSE),FALSE)/(VLOOKUP($A1064,'[1]import graded seats course pivo'!$A:AF,HLOOKUP('[1]Course Totals'!H$4,'[1]import graded seats course pivo'!$1:$2,2,FALSE),FALSE))),"")</f>
        <v/>
      </c>
      <c r="I1064" s="14">
        <f>IFERROR((VLOOKUP($A1064,'[1]import success seats course'!$A:W,HLOOKUP('[1]Course Totals'!I$4,'[1]import success seats course'!$1:$2,2,FALSE),FALSE)/(VLOOKUP($A1064,'[1]import graded seats course pivo'!$A:AG,HLOOKUP('[1]Course Totals'!I$4,'[1]import graded seats course pivo'!$1:$2,2,FALSE),FALSE))),"")</f>
        <v>0.79411764705882348</v>
      </c>
      <c r="J1064" s="14">
        <f>IFERROR((VLOOKUP($A1064,'[1]import success seats course'!$A:X,HLOOKUP('[1]Course Totals'!J$4,'[1]import success seats course'!$1:$2,2,FALSE),FALSE)/(VLOOKUP($A1064,'[1]import graded seats course pivo'!$A:AH,HLOOKUP('[1]Course Totals'!J$4,'[1]import graded seats course pivo'!$1:$2,2,FALSE),FALSE))),"")</f>
        <v>0.8</v>
      </c>
      <c r="K1064" s="14" t="str">
        <f>IFERROR((VLOOKUP($A1064,'[1]import success seats course'!$A:Y,HLOOKUP('[1]Course Totals'!K$4,'[1]import success seats course'!$1:$2,2,FALSE),FALSE)/(VLOOKUP($A1064,'[1]import graded seats course pivo'!$A:AI,HLOOKUP('[1]Course Totals'!K$4,'[1]import graded seats course pivo'!$1:$2,2,FALSE),FALSE))),"")</f>
        <v/>
      </c>
      <c r="L1064" s="14">
        <f>IFERROR((VLOOKUP($A1064,'[1]import success seats course'!$A:Z,HLOOKUP('[1]Course Totals'!L$4,'[1]import success seats course'!$1:$2,2,FALSE),FALSE)/(VLOOKUP($A1064,'[1]import graded seats course pivo'!$A:AJ,HLOOKUP('[1]Course Totals'!L$4,'[1]import graded seats course pivo'!$1:$2,2,FALSE),FALSE))),"")</f>
        <v>0.82926829268292679</v>
      </c>
      <c r="M1064" s="14">
        <f>IFERROR((VLOOKUP($A1064,'[1]import success seats course'!$A:AA,HLOOKUP('[1]Course Totals'!M$4,'[1]import success seats course'!$1:$2,2,FALSE),FALSE)/(VLOOKUP($A1064,'[1]import graded seats course pivo'!$A:AK,HLOOKUP('[1]Course Totals'!M$4,'[1]import graded seats course pivo'!$1:$2,2,FALSE),FALSE))),"")</f>
        <v>0.71875</v>
      </c>
      <c r="N1064" s="14" t="str">
        <f>IFERROR((VLOOKUP($A1064,'[1]import success seats course'!$A:AB,HLOOKUP('[1]Course Totals'!N$4,'[1]import success seats course'!$1:$2,2,FALSE),FALSE)/(VLOOKUP($A1064,'[1]import graded seats course pivo'!$A:AL,HLOOKUP('[1]Course Totals'!N$4,'[1]import graded seats course pivo'!$1:$2,2,FALSE),FALSE))),"")</f>
        <v/>
      </c>
      <c r="O1064" s="14">
        <f>IFERROR((VLOOKUP($A1064,'[1]import success seats course'!$A:AC,HLOOKUP('[1]Course Totals'!O$4,'[1]import success seats course'!$1:$2,2,FALSE),FALSE)/(VLOOKUP($A1064,'[1]import graded seats course pivo'!$A:AM,HLOOKUP('[1]Course Totals'!O$4,'[1]import graded seats course pivo'!$1:$2,2,FALSE),FALSE))),"")</f>
        <v>0.7567567567567568</v>
      </c>
      <c r="P1064" s="14" t="str">
        <f>IFERROR((VLOOKUP($A1064,'[1]import success seats course'!$A:AD,HLOOKUP('[1]Course Totals'!P$4,'[1]import success seats course'!$1:$2,2,FALSE),FALSE)/(VLOOKUP($A1064,'[1]import graded seats course pivo'!$A:AN,HLOOKUP('[1]Course Totals'!P$4,'[1]import graded seats course pivo'!$1:$2,2,FALSE),FALSE))),"")</f>
        <v/>
      </c>
      <c r="Q1064" s="14" t="str">
        <f>IFERROR((VLOOKUP($A1064,'[1]import success seats course'!$A:AE,HLOOKUP('[1]Course Totals'!Q$4,'[1]import success seats course'!$1:$2,2,FALSE),FALSE)/(VLOOKUP($A1064,'[1]import graded seats course pivo'!$A:AO,HLOOKUP('[1]Course Totals'!Q$4,'[1]import graded seats course pivo'!$1:$2,2,FALSE),FALSE))),"")</f>
        <v/>
      </c>
      <c r="R1064" s="14">
        <f>IFERROR((VLOOKUP($A1064,'[1]import success seats course'!$A:AF,HLOOKUP('[1]Course Totals'!R$4,'[1]import success seats course'!$1:$2,2,FALSE),FALSE)/(VLOOKUP($A1064,'[1]import graded seats course pivo'!$A:AP,HLOOKUP('[1]Course Totals'!R$4,'[1]import graded seats course pivo'!$1:$2,2,FALSE),FALSE))),"")</f>
        <v>0.90625</v>
      </c>
      <c r="S1064" s="14">
        <f>IFERROR((VLOOKUP($A1064,'[1]import success seats course'!$A:AG,HLOOKUP('[1]Course Totals'!S$4,'[1]import success seats course'!$1:$2,2,FALSE),FALSE)/(VLOOKUP($A1064,'[1]import graded seats course pivo'!$A:AQ,HLOOKUP('[1]Course Totals'!S$4,'[1]import graded seats course pivo'!$1:$2,2,FALSE),FALSE))),"")</f>
        <v>0.93333333333333335</v>
      </c>
      <c r="Z1064" s="7"/>
      <c r="AA1064" s="7"/>
      <c r="AB1064" s="7"/>
      <c r="AC1064" s="7"/>
    </row>
    <row r="1065" spans="1:29" ht="15.75" customHeight="1" x14ac:dyDescent="0.25">
      <c r="A1065" s="12" t="s">
        <v>511</v>
      </c>
      <c r="B1065" s="14" t="str">
        <f>IFERROR((VLOOKUP($A1065,'[1]import success seats course'!$A:P,HLOOKUP('[1]Course Totals'!B$4,'[1]import success seats course'!$1:$2,2,FALSE),FALSE)/(VLOOKUP($A1065,'[1]import graded seats course pivo'!$A:Z,HLOOKUP('[1]Course Totals'!B$4,'[1]import graded seats course pivo'!$1:$2,2,FALSE),FALSE))),"")</f>
        <v/>
      </c>
      <c r="C1065" s="14">
        <f>IFERROR((VLOOKUP($A1065,'[1]import success seats course'!$A:Q,HLOOKUP('[1]Course Totals'!C$4,'[1]import success seats course'!$1:$2,2,FALSE),FALSE)/(VLOOKUP($A1065,'[1]import graded seats course pivo'!$A:AA,HLOOKUP('[1]Course Totals'!C$4,'[1]import graded seats course pivo'!$1:$2,2,FALSE),FALSE))),"")</f>
        <v>0.87096774193548387</v>
      </c>
      <c r="D1065" s="14" t="str">
        <f>IFERROR((VLOOKUP($A1065,'[1]import success seats course'!$A:R,HLOOKUP('[1]Course Totals'!D$4,'[1]import success seats course'!$1:$2,2,FALSE),FALSE)/(VLOOKUP($A1065,'[1]import graded seats course pivo'!$A:AB,HLOOKUP('[1]Course Totals'!D$4,'[1]import graded seats course pivo'!$1:$2,2,FALSE),FALSE))),"")</f>
        <v/>
      </c>
      <c r="E1065" s="14" t="str">
        <f>IFERROR((VLOOKUP($A1065,'[1]import success seats course'!$A:S,HLOOKUP('[1]Course Totals'!E$4,'[1]import success seats course'!$1:$2,2,FALSE),FALSE)/(VLOOKUP($A1065,'[1]import graded seats course pivo'!$A:AC,HLOOKUP('[1]Course Totals'!E$4,'[1]import graded seats course pivo'!$1:$2,2,FALSE),FALSE))),"")</f>
        <v/>
      </c>
      <c r="F1065" s="14" t="str">
        <f>IFERROR((VLOOKUP($A1065,'[1]import success seats course'!$A:T,HLOOKUP('[1]Course Totals'!F$4,'[1]import success seats course'!$1:$2,2,FALSE),FALSE)/(VLOOKUP($A1065,'[1]import graded seats course pivo'!$A:AD,HLOOKUP('[1]Course Totals'!F$4,'[1]import graded seats course pivo'!$1:$2,2,FALSE),FALSE))),"")</f>
        <v/>
      </c>
      <c r="G1065" s="14" t="str">
        <f>IFERROR((VLOOKUP($A1065,'[1]import success seats course'!$A:U,HLOOKUP('[1]Course Totals'!G$4,'[1]import success seats course'!$1:$2,2,FALSE),FALSE)/(VLOOKUP($A1065,'[1]import graded seats course pivo'!$A:AE,HLOOKUP('[1]Course Totals'!G$4,'[1]import graded seats course pivo'!$1:$2,2,FALSE),FALSE))),"")</f>
        <v/>
      </c>
      <c r="H1065" s="14" t="str">
        <f>IFERROR((VLOOKUP($A1065,'[1]import success seats course'!$A:V,HLOOKUP('[1]Course Totals'!H$4,'[1]import success seats course'!$1:$2,2,FALSE),FALSE)/(VLOOKUP($A1065,'[1]import graded seats course pivo'!$A:AF,HLOOKUP('[1]Course Totals'!H$4,'[1]import graded seats course pivo'!$1:$2,2,FALSE),FALSE))),"")</f>
        <v/>
      </c>
      <c r="I1065" s="14">
        <f>IFERROR((VLOOKUP($A1065,'[1]import success seats course'!$A:W,HLOOKUP('[1]Course Totals'!I$4,'[1]import success seats course'!$1:$2,2,FALSE),FALSE)/(VLOOKUP($A1065,'[1]import graded seats course pivo'!$A:AG,HLOOKUP('[1]Course Totals'!I$4,'[1]import graded seats course pivo'!$1:$2,2,FALSE),FALSE))),"")</f>
        <v>0.83720930232558144</v>
      </c>
      <c r="J1065" s="14" t="str">
        <f>IFERROR((VLOOKUP($A1065,'[1]import success seats course'!$A:X,HLOOKUP('[1]Course Totals'!J$4,'[1]import success seats course'!$1:$2,2,FALSE),FALSE)/(VLOOKUP($A1065,'[1]import graded seats course pivo'!$A:AH,HLOOKUP('[1]Course Totals'!J$4,'[1]import graded seats course pivo'!$1:$2,2,FALSE),FALSE))),"")</f>
        <v/>
      </c>
      <c r="K1065" s="14" t="str">
        <f>IFERROR((VLOOKUP($A1065,'[1]import success seats course'!$A:Y,HLOOKUP('[1]Course Totals'!K$4,'[1]import success seats course'!$1:$2,2,FALSE),FALSE)/(VLOOKUP($A1065,'[1]import graded seats course pivo'!$A:AI,HLOOKUP('[1]Course Totals'!K$4,'[1]import graded seats course pivo'!$1:$2,2,FALSE),FALSE))),"")</f>
        <v/>
      </c>
      <c r="L1065" s="14" t="str">
        <f>IFERROR((VLOOKUP($A1065,'[1]import success seats course'!$A:Z,HLOOKUP('[1]Course Totals'!L$4,'[1]import success seats course'!$1:$2,2,FALSE),FALSE)/(VLOOKUP($A1065,'[1]import graded seats course pivo'!$A:AJ,HLOOKUP('[1]Course Totals'!L$4,'[1]import graded seats course pivo'!$1:$2,2,FALSE),FALSE))),"")</f>
        <v/>
      </c>
      <c r="M1065" s="14" t="str">
        <f>IFERROR((VLOOKUP($A1065,'[1]import success seats course'!$A:AA,HLOOKUP('[1]Course Totals'!M$4,'[1]import success seats course'!$1:$2,2,FALSE),FALSE)/(VLOOKUP($A1065,'[1]import graded seats course pivo'!$A:AK,HLOOKUP('[1]Course Totals'!M$4,'[1]import graded seats course pivo'!$1:$2,2,FALSE),FALSE))),"")</f>
        <v/>
      </c>
      <c r="N1065" s="14" t="str">
        <f>IFERROR((VLOOKUP($A1065,'[1]import success seats course'!$A:AB,HLOOKUP('[1]Course Totals'!N$4,'[1]import success seats course'!$1:$2,2,FALSE),FALSE)/(VLOOKUP($A1065,'[1]import graded seats course pivo'!$A:AL,HLOOKUP('[1]Course Totals'!N$4,'[1]import graded seats course pivo'!$1:$2,2,FALSE),FALSE))),"")</f>
        <v/>
      </c>
      <c r="O1065" s="14" t="str">
        <f>IFERROR((VLOOKUP($A1065,'[1]import success seats course'!$A:AC,HLOOKUP('[1]Course Totals'!O$4,'[1]import success seats course'!$1:$2,2,FALSE),FALSE)/(VLOOKUP($A1065,'[1]import graded seats course pivo'!$A:AM,HLOOKUP('[1]Course Totals'!O$4,'[1]import graded seats course pivo'!$1:$2,2,FALSE),FALSE))),"")</f>
        <v/>
      </c>
      <c r="P1065" s="14" t="str">
        <f>IFERROR((VLOOKUP($A1065,'[1]import success seats course'!$A:AD,HLOOKUP('[1]Course Totals'!P$4,'[1]import success seats course'!$1:$2,2,FALSE),FALSE)/(VLOOKUP($A1065,'[1]import graded seats course pivo'!$A:AN,HLOOKUP('[1]Course Totals'!P$4,'[1]import graded seats course pivo'!$1:$2,2,FALSE),FALSE))),"")</f>
        <v/>
      </c>
      <c r="Q1065" s="14" t="str">
        <f>IFERROR((VLOOKUP($A1065,'[1]import success seats course'!$A:AE,HLOOKUP('[1]Course Totals'!Q$4,'[1]import success seats course'!$1:$2,2,FALSE),FALSE)/(VLOOKUP($A1065,'[1]import graded seats course pivo'!$A:AO,HLOOKUP('[1]Course Totals'!Q$4,'[1]import graded seats course pivo'!$1:$2,2,FALSE),FALSE))),"")</f>
        <v/>
      </c>
      <c r="R1065" s="14" t="str">
        <f>IFERROR((VLOOKUP($A1065,'[1]import success seats course'!$A:AF,HLOOKUP('[1]Course Totals'!R$4,'[1]import success seats course'!$1:$2,2,FALSE),FALSE)/(VLOOKUP($A1065,'[1]import graded seats course pivo'!$A:AP,HLOOKUP('[1]Course Totals'!R$4,'[1]import graded seats course pivo'!$1:$2,2,FALSE),FALSE))),"")</f>
        <v/>
      </c>
      <c r="S1065" s="14" t="str">
        <f>IFERROR((VLOOKUP($A1065,'[1]import success seats course'!$A:AG,HLOOKUP('[1]Course Totals'!S$4,'[1]import success seats course'!$1:$2,2,FALSE),FALSE)/(VLOOKUP($A1065,'[1]import graded seats course pivo'!$A:AQ,HLOOKUP('[1]Course Totals'!S$4,'[1]import graded seats course pivo'!$1:$2,2,FALSE),FALSE))),"")</f>
        <v/>
      </c>
      <c r="Z1065" s="7"/>
      <c r="AA1065" s="7"/>
      <c r="AB1065" s="7"/>
      <c r="AC1065" s="7"/>
    </row>
    <row r="1066" spans="1:29" ht="15.75" customHeight="1" x14ac:dyDescent="0.25">
      <c r="A1066" s="12" t="s">
        <v>512</v>
      </c>
      <c r="B1066" s="14" t="str">
        <f>IFERROR((VLOOKUP($A1066,'[1]import success seats course'!$A:P,HLOOKUP('[1]Course Totals'!B$4,'[1]import success seats course'!$1:$2,2,FALSE),FALSE)/(VLOOKUP($A1066,'[1]import graded seats course pivo'!$A:Z,HLOOKUP('[1]Course Totals'!B$4,'[1]import graded seats course pivo'!$1:$2,2,FALSE),FALSE))),"")</f>
        <v/>
      </c>
      <c r="C1066" s="14">
        <f>IFERROR((VLOOKUP($A1066,'[1]import success seats course'!$A:Q,HLOOKUP('[1]Course Totals'!C$4,'[1]import success seats course'!$1:$2,2,FALSE),FALSE)/(VLOOKUP($A1066,'[1]import graded seats course pivo'!$A:AA,HLOOKUP('[1]Course Totals'!C$4,'[1]import graded seats course pivo'!$1:$2,2,FALSE),FALSE))),"")</f>
        <v>0.94444444444444442</v>
      </c>
      <c r="D1066" s="14">
        <f>IFERROR((VLOOKUP($A1066,'[1]import success seats course'!$A:R,HLOOKUP('[1]Course Totals'!D$4,'[1]import success seats course'!$1:$2,2,FALSE),FALSE)/(VLOOKUP($A1066,'[1]import graded seats course pivo'!$A:AB,HLOOKUP('[1]Course Totals'!D$4,'[1]import graded seats course pivo'!$1:$2,2,FALSE),FALSE))),"")</f>
        <v>0.90909090909090906</v>
      </c>
      <c r="E1066" s="14" t="str">
        <f>IFERROR((VLOOKUP($A1066,'[1]import success seats course'!$A:S,HLOOKUP('[1]Course Totals'!E$4,'[1]import success seats course'!$1:$2,2,FALSE),FALSE)/(VLOOKUP($A1066,'[1]import graded seats course pivo'!$A:AC,HLOOKUP('[1]Course Totals'!E$4,'[1]import graded seats course pivo'!$1:$2,2,FALSE),FALSE))),"")</f>
        <v/>
      </c>
      <c r="F1066" s="14">
        <f>IFERROR((VLOOKUP($A1066,'[1]import success seats course'!$A:T,HLOOKUP('[1]Course Totals'!F$4,'[1]import success seats course'!$1:$2,2,FALSE),FALSE)/(VLOOKUP($A1066,'[1]import graded seats course pivo'!$A:AD,HLOOKUP('[1]Course Totals'!F$4,'[1]import graded seats course pivo'!$1:$2,2,FALSE),FALSE))),"")</f>
        <v>0.81818181818181823</v>
      </c>
      <c r="G1066" s="14">
        <f>IFERROR((VLOOKUP($A1066,'[1]import success seats course'!$A:U,HLOOKUP('[1]Course Totals'!G$4,'[1]import success seats course'!$1:$2,2,FALSE),FALSE)/(VLOOKUP($A1066,'[1]import graded seats course pivo'!$A:AE,HLOOKUP('[1]Course Totals'!G$4,'[1]import graded seats course pivo'!$1:$2,2,FALSE),FALSE))),"")</f>
        <v>1</v>
      </c>
      <c r="H1066" s="14" t="str">
        <f>IFERROR((VLOOKUP($A1066,'[1]import success seats course'!$A:V,HLOOKUP('[1]Course Totals'!H$4,'[1]import success seats course'!$1:$2,2,FALSE),FALSE)/(VLOOKUP($A1066,'[1]import graded seats course pivo'!$A:AF,HLOOKUP('[1]Course Totals'!H$4,'[1]import graded seats course pivo'!$1:$2,2,FALSE),FALSE))),"")</f>
        <v/>
      </c>
      <c r="I1066" s="14">
        <f>IFERROR((VLOOKUP($A1066,'[1]import success seats course'!$A:W,HLOOKUP('[1]Course Totals'!I$4,'[1]import success seats course'!$1:$2,2,FALSE),FALSE)/(VLOOKUP($A1066,'[1]import graded seats course pivo'!$A:AG,HLOOKUP('[1]Course Totals'!I$4,'[1]import graded seats course pivo'!$1:$2,2,FALSE),FALSE))),"")</f>
        <v>0.90909090909090906</v>
      </c>
      <c r="J1066" s="14">
        <f>IFERROR((VLOOKUP($A1066,'[1]import success seats course'!$A:X,HLOOKUP('[1]Course Totals'!J$4,'[1]import success seats course'!$1:$2,2,FALSE),FALSE)/(VLOOKUP($A1066,'[1]import graded seats course pivo'!$A:AH,HLOOKUP('[1]Course Totals'!J$4,'[1]import graded seats course pivo'!$1:$2,2,FALSE),FALSE))),"")</f>
        <v>0.8125</v>
      </c>
      <c r="K1066" s="14" t="str">
        <f>IFERROR((VLOOKUP($A1066,'[1]import success seats course'!$A:Y,HLOOKUP('[1]Course Totals'!K$4,'[1]import success seats course'!$1:$2,2,FALSE),FALSE)/(VLOOKUP($A1066,'[1]import graded seats course pivo'!$A:AI,HLOOKUP('[1]Course Totals'!K$4,'[1]import graded seats course pivo'!$1:$2,2,FALSE),FALSE))),"")</f>
        <v/>
      </c>
      <c r="L1066" s="14" t="str">
        <f>IFERROR((VLOOKUP($A1066,'[1]import success seats course'!$A:Z,HLOOKUP('[1]Course Totals'!L$4,'[1]import success seats course'!$1:$2,2,FALSE),FALSE)/(VLOOKUP($A1066,'[1]import graded seats course pivo'!$A:AJ,HLOOKUP('[1]Course Totals'!L$4,'[1]import graded seats course pivo'!$1:$2,2,FALSE),FALSE))),"")</f>
        <v/>
      </c>
      <c r="M1066" s="14" t="str">
        <f>IFERROR((VLOOKUP($A1066,'[1]import success seats course'!$A:AA,HLOOKUP('[1]Course Totals'!M$4,'[1]import success seats course'!$1:$2,2,FALSE),FALSE)/(VLOOKUP($A1066,'[1]import graded seats course pivo'!$A:AK,HLOOKUP('[1]Course Totals'!M$4,'[1]import graded seats course pivo'!$1:$2,2,FALSE),FALSE))),"")</f>
        <v/>
      </c>
      <c r="N1066" s="14" t="str">
        <f>IFERROR((VLOOKUP($A1066,'[1]import success seats course'!$A:AB,HLOOKUP('[1]Course Totals'!N$4,'[1]import success seats course'!$1:$2,2,FALSE),FALSE)/(VLOOKUP($A1066,'[1]import graded seats course pivo'!$A:AL,HLOOKUP('[1]Course Totals'!N$4,'[1]import graded seats course pivo'!$1:$2,2,FALSE),FALSE))),"")</f>
        <v/>
      </c>
      <c r="O1066" s="14" t="str">
        <f>IFERROR((VLOOKUP($A1066,'[1]import success seats course'!$A:AC,HLOOKUP('[1]Course Totals'!O$4,'[1]import success seats course'!$1:$2,2,FALSE),FALSE)/(VLOOKUP($A1066,'[1]import graded seats course pivo'!$A:AM,HLOOKUP('[1]Course Totals'!O$4,'[1]import graded seats course pivo'!$1:$2,2,FALSE),FALSE))),"")</f>
        <v/>
      </c>
      <c r="P1066" s="14" t="str">
        <f>IFERROR((VLOOKUP($A1066,'[1]import success seats course'!$A:AD,HLOOKUP('[1]Course Totals'!P$4,'[1]import success seats course'!$1:$2,2,FALSE),FALSE)/(VLOOKUP($A1066,'[1]import graded seats course pivo'!$A:AN,HLOOKUP('[1]Course Totals'!P$4,'[1]import graded seats course pivo'!$1:$2,2,FALSE),FALSE))),"")</f>
        <v/>
      </c>
      <c r="Q1066" s="14" t="str">
        <f>IFERROR((VLOOKUP($A1066,'[1]import success seats course'!$A:AE,HLOOKUP('[1]Course Totals'!Q$4,'[1]import success seats course'!$1:$2,2,FALSE),FALSE)/(VLOOKUP($A1066,'[1]import graded seats course pivo'!$A:AO,HLOOKUP('[1]Course Totals'!Q$4,'[1]import graded seats course pivo'!$1:$2,2,FALSE),FALSE))),"")</f>
        <v/>
      </c>
      <c r="R1066" s="14" t="str">
        <f>IFERROR((VLOOKUP($A1066,'[1]import success seats course'!$A:AF,HLOOKUP('[1]Course Totals'!R$4,'[1]import success seats course'!$1:$2,2,FALSE),FALSE)/(VLOOKUP($A1066,'[1]import graded seats course pivo'!$A:AP,HLOOKUP('[1]Course Totals'!R$4,'[1]import graded seats course pivo'!$1:$2,2,FALSE),FALSE))),"")</f>
        <v/>
      </c>
      <c r="S1066" s="14" t="str">
        <f>IFERROR((VLOOKUP($A1066,'[1]import success seats course'!$A:AG,HLOOKUP('[1]Course Totals'!S$4,'[1]import success seats course'!$1:$2,2,FALSE),FALSE)/(VLOOKUP($A1066,'[1]import graded seats course pivo'!$A:AQ,HLOOKUP('[1]Course Totals'!S$4,'[1]import graded seats course pivo'!$1:$2,2,FALSE),FALSE))),"")</f>
        <v/>
      </c>
      <c r="Z1066" s="7"/>
      <c r="AA1066" s="7"/>
      <c r="AB1066" s="7"/>
      <c r="AC1066" s="7"/>
    </row>
    <row r="1067" spans="1:29" ht="15.75" customHeight="1" x14ac:dyDescent="0.25">
      <c r="A1067" s="12" t="s">
        <v>513</v>
      </c>
      <c r="B1067" s="14" t="str">
        <f>IFERROR((VLOOKUP($A1067,'[1]import success seats course'!$A:P,HLOOKUP('[1]Course Totals'!B$4,'[1]import success seats course'!$1:$2,2,FALSE),FALSE)/(VLOOKUP($A1067,'[1]import graded seats course pivo'!$A:Z,HLOOKUP('[1]Course Totals'!B$4,'[1]import graded seats course pivo'!$1:$2,2,FALSE),FALSE))),"")</f>
        <v/>
      </c>
      <c r="C1067" s="14">
        <f>IFERROR((VLOOKUP($A1067,'[1]import success seats course'!$A:Q,HLOOKUP('[1]Course Totals'!C$4,'[1]import success seats course'!$1:$2,2,FALSE),FALSE)/(VLOOKUP($A1067,'[1]import graded seats course pivo'!$A:AA,HLOOKUP('[1]Course Totals'!C$4,'[1]import graded seats course pivo'!$1:$2,2,FALSE),FALSE))),"")</f>
        <v>0.77777777777777779</v>
      </c>
      <c r="D1067" s="14">
        <f>IFERROR((VLOOKUP($A1067,'[1]import success seats course'!$A:R,HLOOKUP('[1]Course Totals'!D$4,'[1]import success seats course'!$1:$2,2,FALSE),FALSE)/(VLOOKUP($A1067,'[1]import graded seats course pivo'!$A:AB,HLOOKUP('[1]Course Totals'!D$4,'[1]import graded seats course pivo'!$1:$2,2,FALSE),FALSE))),"")</f>
        <v>0.85365853658536583</v>
      </c>
      <c r="E1067" s="14" t="str">
        <f>IFERROR((VLOOKUP($A1067,'[1]import success seats course'!$A:S,HLOOKUP('[1]Course Totals'!E$4,'[1]import success seats course'!$1:$2,2,FALSE),FALSE)/(VLOOKUP($A1067,'[1]import graded seats course pivo'!$A:AC,HLOOKUP('[1]Course Totals'!E$4,'[1]import graded seats course pivo'!$1:$2,2,FALSE),FALSE))),"")</f>
        <v/>
      </c>
      <c r="F1067" s="14">
        <f>IFERROR((VLOOKUP($A1067,'[1]import success seats course'!$A:T,HLOOKUP('[1]Course Totals'!F$4,'[1]import success seats course'!$1:$2,2,FALSE),FALSE)/(VLOOKUP($A1067,'[1]import graded seats course pivo'!$A:AD,HLOOKUP('[1]Course Totals'!F$4,'[1]import graded seats course pivo'!$1:$2,2,FALSE),FALSE))),"")</f>
        <v>0.77358490566037741</v>
      </c>
      <c r="G1067" s="14">
        <f>IFERROR((VLOOKUP($A1067,'[1]import success seats course'!$A:U,HLOOKUP('[1]Course Totals'!G$4,'[1]import success seats course'!$1:$2,2,FALSE),FALSE)/(VLOOKUP($A1067,'[1]import graded seats course pivo'!$A:AE,HLOOKUP('[1]Course Totals'!G$4,'[1]import graded seats course pivo'!$1:$2,2,FALSE),FALSE))),"")</f>
        <v>0.84482758620689657</v>
      </c>
      <c r="H1067" s="14" t="str">
        <f>IFERROR((VLOOKUP($A1067,'[1]import success seats course'!$A:V,HLOOKUP('[1]Course Totals'!H$4,'[1]import success seats course'!$1:$2,2,FALSE),FALSE)/(VLOOKUP($A1067,'[1]import graded seats course pivo'!$A:AF,HLOOKUP('[1]Course Totals'!H$4,'[1]import graded seats course pivo'!$1:$2,2,FALSE),FALSE))),"")</f>
        <v/>
      </c>
      <c r="I1067" s="14">
        <f>IFERROR((VLOOKUP($A1067,'[1]import success seats course'!$A:W,HLOOKUP('[1]Course Totals'!I$4,'[1]import success seats course'!$1:$2,2,FALSE),FALSE)/(VLOOKUP($A1067,'[1]import graded seats course pivo'!$A:AG,HLOOKUP('[1]Course Totals'!I$4,'[1]import graded seats course pivo'!$1:$2,2,FALSE),FALSE))),"")</f>
        <v>0.90625</v>
      </c>
      <c r="J1067" s="14">
        <f>IFERROR((VLOOKUP($A1067,'[1]import success seats course'!$A:X,HLOOKUP('[1]Course Totals'!J$4,'[1]import success seats course'!$1:$2,2,FALSE),FALSE)/(VLOOKUP($A1067,'[1]import graded seats course pivo'!$A:AH,HLOOKUP('[1]Course Totals'!J$4,'[1]import graded seats course pivo'!$1:$2,2,FALSE),FALSE))),"")</f>
        <v>0.91176470588235292</v>
      </c>
      <c r="K1067" s="14" t="str">
        <f>IFERROR((VLOOKUP($A1067,'[1]import success seats course'!$A:Y,HLOOKUP('[1]Course Totals'!K$4,'[1]import success seats course'!$1:$2,2,FALSE),FALSE)/(VLOOKUP($A1067,'[1]import graded seats course pivo'!$A:AI,HLOOKUP('[1]Course Totals'!K$4,'[1]import graded seats course pivo'!$1:$2,2,FALSE),FALSE))),"")</f>
        <v/>
      </c>
      <c r="L1067" s="14">
        <f>IFERROR((VLOOKUP($A1067,'[1]import success seats course'!$A:Z,HLOOKUP('[1]Course Totals'!L$4,'[1]import success seats course'!$1:$2,2,FALSE),FALSE)/(VLOOKUP($A1067,'[1]import graded seats course pivo'!$A:AJ,HLOOKUP('[1]Course Totals'!L$4,'[1]import graded seats course pivo'!$1:$2,2,FALSE),FALSE))),"")</f>
        <v>0.93548387096774188</v>
      </c>
      <c r="M1067" s="14">
        <f>IFERROR((VLOOKUP($A1067,'[1]import success seats course'!$A:AA,HLOOKUP('[1]Course Totals'!M$4,'[1]import success seats course'!$1:$2,2,FALSE),FALSE)/(VLOOKUP($A1067,'[1]import graded seats course pivo'!$A:AK,HLOOKUP('[1]Course Totals'!M$4,'[1]import graded seats course pivo'!$1:$2,2,FALSE),FALSE))),"")</f>
        <v>0.90476190476190477</v>
      </c>
      <c r="N1067" s="14" t="str">
        <f>IFERROR((VLOOKUP($A1067,'[1]import success seats course'!$A:AB,HLOOKUP('[1]Course Totals'!N$4,'[1]import success seats course'!$1:$2,2,FALSE),FALSE)/(VLOOKUP($A1067,'[1]import graded seats course pivo'!$A:AL,HLOOKUP('[1]Course Totals'!N$4,'[1]import graded seats course pivo'!$1:$2,2,FALSE),FALSE))),"")</f>
        <v/>
      </c>
      <c r="O1067" s="14">
        <f>IFERROR((VLOOKUP($A1067,'[1]import success seats course'!$A:AC,HLOOKUP('[1]Course Totals'!O$4,'[1]import success seats course'!$1:$2,2,FALSE),FALSE)/(VLOOKUP($A1067,'[1]import graded seats course pivo'!$A:AM,HLOOKUP('[1]Course Totals'!O$4,'[1]import graded seats course pivo'!$1:$2,2,FALSE),FALSE))),"")</f>
        <v>0.92105263157894735</v>
      </c>
      <c r="P1067" s="14">
        <f>IFERROR((VLOOKUP($A1067,'[1]import success seats course'!$A:AD,HLOOKUP('[1]Course Totals'!P$4,'[1]import success seats course'!$1:$2,2,FALSE),FALSE)/(VLOOKUP($A1067,'[1]import graded seats course pivo'!$A:AN,HLOOKUP('[1]Course Totals'!P$4,'[1]import graded seats course pivo'!$1:$2,2,FALSE),FALSE))),"")</f>
        <v>0.81034482758620685</v>
      </c>
      <c r="Q1067" s="14" t="str">
        <f>IFERROR((VLOOKUP($A1067,'[1]import success seats course'!$A:AE,HLOOKUP('[1]Course Totals'!Q$4,'[1]import success seats course'!$1:$2,2,FALSE),FALSE)/(VLOOKUP($A1067,'[1]import graded seats course pivo'!$A:AO,HLOOKUP('[1]Course Totals'!Q$4,'[1]import graded seats course pivo'!$1:$2,2,FALSE),FALSE))),"")</f>
        <v/>
      </c>
      <c r="R1067" s="14">
        <f>IFERROR((VLOOKUP($A1067,'[1]import success seats course'!$A:AF,HLOOKUP('[1]Course Totals'!R$4,'[1]import success seats course'!$1:$2,2,FALSE),FALSE)/(VLOOKUP($A1067,'[1]import graded seats course pivo'!$A:AP,HLOOKUP('[1]Course Totals'!R$4,'[1]import graded seats course pivo'!$1:$2,2,FALSE),FALSE))),"")</f>
        <v>0.90625</v>
      </c>
      <c r="S1067" s="14">
        <f>IFERROR((VLOOKUP($A1067,'[1]import success seats course'!$A:AG,HLOOKUP('[1]Course Totals'!S$4,'[1]import success seats course'!$1:$2,2,FALSE),FALSE)/(VLOOKUP($A1067,'[1]import graded seats course pivo'!$A:AQ,HLOOKUP('[1]Course Totals'!S$4,'[1]import graded seats course pivo'!$1:$2,2,FALSE),FALSE))),"")</f>
        <v>0.93939393939393945</v>
      </c>
      <c r="Z1067" s="7"/>
      <c r="AA1067" s="7"/>
      <c r="AB1067" s="7"/>
      <c r="AC1067" s="7"/>
    </row>
    <row r="1068" spans="1:29" ht="15.75" hidden="1" customHeight="1" x14ac:dyDescent="0.25">
      <c r="A1068" s="12" t="s">
        <v>1061</v>
      </c>
      <c r="B1068" s="14" t="str">
        <f>IFERROR((VLOOKUP($A1068,'[1]import success seats course'!$A:P,HLOOKUP('[1]Course Totals'!B$4,'[1]import success seats course'!$1:$2,2,FALSE),FALSE)/(VLOOKUP($A1068,'[1]import graded seats course pivo'!$A:Z,HLOOKUP('[1]Course Totals'!B$4,'[1]import graded seats course pivo'!$1:$2,2,FALSE),FALSE))),"")</f>
        <v/>
      </c>
      <c r="C1068" s="14" t="str">
        <f>IFERROR((VLOOKUP($A1068,'[1]import success seats course'!$A:Q,HLOOKUP('[1]Course Totals'!C$4,'[1]import success seats course'!$1:$2,2,FALSE),FALSE)/(VLOOKUP($A1068,'[1]import graded seats course pivo'!$A:AA,HLOOKUP('[1]Course Totals'!C$4,'[1]import graded seats course pivo'!$1:$2,2,FALSE),FALSE))),"")</f>
        <v/>
      </c>
      <c r="D1068" s="14" t="str">
        <f>IFERROR((VLOOKUP($A1068,'[1]import success seats course'!$A:R,HLOOKUP('[1]Course Totals'!D$4,'[1]import success seats course'!$1:$2,2,FALSE),FALSE)/(VLOOKUP($A1068,'[1]import graded seats course pivo'!$A:AB,HLOOKUP('[1]Course Totals'!D$4,'[1]import graded seats course pivo'!$1:$2,2,FALSE),FALSE))),"")</f>
        <v/>
      </c>
      <c r="E1068" s="14" t="str">
        <f>IFERROR((VLOOKUP($A1068,'[1]import success seats course'!$A:S,HLOOKUP('[1]Course Totals'!E$4,'[1]import success seats course'!$1:$2,2,FALSE),FALSE)/(VLOOKUP($A1068,'[1]import graded seats course pivo'!$A:AC,HLOOKUP('[1]Course Totals'!E$4,'[1]import graded seats course pivo'!$1:$2,2,FALSE),FALSE))),"")</f>
        <v/>
      </c>
      <c r="F1068" s="14" t="str">
        <f>IFERROR((VLOOKUP($A1068,'[1]import success seats course'!$A:T,HLOOKUP('[1]Course Totals'!F$4,'[1]import success seats course'!$1:$2,2,FALSE),FALSE)/(VLOOKUP($A1068,'[1]import graded seats course pivo'!$A:AD,HLOOKUP('[1]Course Totals'!F$4,'[1]import graded seats course pivo'!$1:$2,2,FALSE),FALSE))),"")</f>
        <v/>
      </c>
      <c r="G1068" s="14" t="str">
        <f>IFERROR((VLOOKUP($A1068,'[1]import success seats course'!$A:U,HLOOKUP('[1]Course Totals'!G$4,'[1]import success seats course'!$1:$2,2,FALSE),FALSE)/(VLOOKUP($A1068,'[1]import graded seats course pivo'!$A:AE,HLOOKUP('[1]Course Totals'!G$4,'[1]import graded seats course pivo'!$1:$2,2,FALSE),FALSE))),"")</f>
        <v/>
      </c>
      <c r="H1068" s="14" t="str">
        <f>IFERROR((VLOOKUP($A1068,'[1]import success seats course'!$A:V,HLOOKUP('[1]Course Totals'!H$4,'[1]import success seats course'!$1:$2,2,FALSE),FALSE)/(VLOOKUP($A1068,'[1]import graded seats course pivo'!$A:AF,HLOOKUP('[1]Course Totals'!H$4,'[1]import graded seats course pivo'!$1:$2,2,FALSE),FALSE))),"")</f>
        <v/>
      </c>
      <c r="I1068" s="14" t="str">
        <f>IFERROR((VLOOKUP($A1068,'[1]import success seats course'!$A:W,HLOOKUP('[1]Course Totals'!I$4,'[1]import success seats course'!$1:$2,2,FALSE),FALSE)/(VLOOKUP($A1068,'[1]import graded seats course pivo'!$A:AG,HLOOKUP('[1]Course Totals'!I$4,'[1]import graded seats course pivo'!$1:$2,2,FALSE),FALSE))),"")</f>
        <v/>
      </c>
      <c r="J1068" s="14" t="str">
        <f>IFERROR((VLOOKUP($A1068,'[1]import success seats course'!$A:X,HLOOKUP('[1]Course Totals'!J$4,'[1]import success seats course'!$1:$2,2,FALSE),FALSE)/(VLOOKUP($A1068,'[1]import graded seats course pivo'!$A:AH,HLOOKUP('[1]Course Totals'!J$4,'[1]import graded seats course pivo'!$1:$2,2,FALSE),FALSE))),"")</f>
        <v/>
      </c>
      <c r="K1068" s="14" t="str">
        <f>IFERROR((VLOOKUP($A1068,'[1]import success seats course'!$A:Y,HLOOKUP('[1]Course Totals'!K$4,'[1]import success seats course'!$1:$2,2,FALSE),FALSE)/(VLOOKUP($A1068,'[1]import graded seats course pivo'!$A:AI,HLOOKUP('[1]Course Totals'!K$4,'[1]import graded seats course pivo'!$1:$2,2,FALSE),FALSE))),"")</f>
        <v/>
      </c>
      <c r="L1068" s="14" t="str">
        <f>IFERROR((VLOOKUP($A1068,'[1]import success seats course'!$A:Z,HLOOKUP('[1]Course Totals'!L$4,'[1]import success seats course'!$1:$2,2,FALSE),FALSE)/(VLOOKUP($A1068,'[1]import graded seats course pivo'!$A:AJ,HLOOKUP('[1]Course Totals'!L$4,'[1]import graded seats course pivo'!$1:$2,2,FALSE),FALSE))),"")</f>
        <v/>
      </c>
      <c r="M1068" s="14" t="str">
        <f>IFERROR((VLOOKUP($A1068,'[1]import success seats course'!$A:AA,HLOOKUP('[1]Course Totals'!M$4,'[1]import success seats course'!$1:$2,2,FALSE),FALSE)/(VLOOKUP($A1068,'[1]import graded seats course pivo'!$A:AK,HLOOKUP('[1]Course Totals'!M$4,'[1]import graded seats course pivo'!$1:$2,2,FALSE),FALSE))),"")</f>
        <v/>
      </c>
      <c r="N1068" s="14" t="str">
        <f>IFERROR((VLOOKUP($A1068,'[1]import success seats course'!$A:AB,HLOOKUP('[1]Course Totals'!N$4,'[1]import success seats course'!$1:$2,2,FALSE),FALSE)/(VLOOKUP($A1068,'[1]import graded seats course pivo'!$A:AL,HLOOKUP('[1]Course Totals'!N$4,'[1]import graded seats course pivo'!$1:$2,2,FALSE),FALSE))),"")</f>
        <v/>
      </c>
      <c r="O1068" s="14" t="str">
        <f>IFERROR((VLOOKUP($A1068,'[1]import success seats course'!$A:AC,HLOOKUP('[1]Course Totals'!O$4,'[1]import success seats course'!$1:$2,2,FALSE),FALSE)/(VLOOKUP($A1068,'[1]import graded seats course pivo'!$A:AM,HLOOKUP('[1]Course Totals'!O$4,'[1]import graded seats course pivo'!$1:$2,2,FALSE),FALSE))),"")</f>
        <v/>
      </c>
      <c r="P1068" s="14" t="str">
        <f>IFERROR((VLOOKUP($A1068,'[1]import success seats course'!$A:AD,HLOOKUP('[1]Course Totals'!P$4,'[1]import success seats course'!$1:$2,2,FALSE),FALSE)/(VLOOKUP($A1068,'[1]import graded seats course pivo'!$A:AN,HLOOKUP('[1]Course Totals'!P$4,'[1]import graded seats course pivo'!$1:$2,2,FALSE),FALSE))),"")</f>
        <v/>
      </c>
      <c r="Q1068" s="14" t="str">
        <f>IFERROR((VLOOKUP($A1068,'[1]import success seats course'!$A:AE,HLOOKUP('[1]Course Totals'!Q$4,'[1]import success seats course'!$1:$2,2,FALSE),FALSE)/(VLOOKUP($A1068,'[1]import graded seats course pivo'!$A:AO,HLOOKUP('[1]Course Totals'!Q$4,'[1]import graded seats course pivo'!$1:$2,2,FALSE),FALSE))),"")</f>
        <v/>
      </c>
      <c r="R1068" s="14" t="str">
        <f>IFERROR((VLOOKUP($A1068,'[1]import success seats course'!$A:AF,HLOOKUP('[1]Course Totals'!R$4,'[1]import success seats course'!$1:$2,2,FALSE),FALSE)/(VLOOKUP($A1068,'[1]import graded seats course pivo'!$A:AP,HLOOKUP('[1]Course Totals'!R$4,'[1]import graded seats course pivo'!$1:$2,2,FALSE),FALSE))),"")</f>
        <v/>
      </c>
      <c r="S1068" s="14" t="str">
        <f>IFERROR((VLOOKUP($A1068,'[1]import success seats course'!$A:AG,HLOOKUP('[1]Course Totals'!S$4,'[1]import success seats course'!$1:$2,2,FALSE),FALSE)/(VLOOKUP($A1068,'[1]import graded seats course pivo'!$A:AQ,HLOOKUP('[1]Course Totals'!S$4,'[1]import graded seats course pivo'!$1:$2,2,FALSE),FALSE))),"")</f>
        <v/>
      </c>
      <c r="Z1068" s="7"/>
      <c r="AA1068" s="7"/>
      <c r="AB1068" s="7"/>
      <c r="AC1068" s="7"/>
    </row>
    <row r="1069" spans="1:29" ht="15.75" customHeight="1" x14ac:dyDescent="0.25">
      <c r="A1069" s="12" t="s">
        <v>514</v>
      </c>
      <c r="B1069" s="14" t="str">
        <f>IFERROR((VLOOKUP($A1069,'[1]import success seats course'!$A:P,HLOOKUP('[1]Course Totals'!B$4,'[1]import success seats course'!$1:$2,2,FALSE),FALSE)/(VLOOKUP($A1069,'[1]import graded seats course pivo'!$A:Z,HLOOKUP('[1]Course Totals'!B$4,'[1]import graded seats course pivo'!$1:$2,2,FALSE),FALSE))),"")</f>
        <v/>
      </c>
      <c r="C1069" s="14">
        <f>IFERROR((VLOOKUP($A1069,'[1]import success seats course'!$A:Q,HLOOKUP('[1]Course Totals'!C$4,'[1]import success seats course'!$1:$2,2,FALSE),FALSE)/(VLOOKUP($A1069,'[1]import graded seats course pivo'!$A:AA,HLOOKUP('[1]Course Totals'!C$4,'[1]import graded seats course pivo'!$1:$2,2,FALSE),FALSE))),"")</f>
        <v>1</v>
      </c>
      <c r="D1069" s="14">
        <f>IFERROR((VLOOKUP($A1069,'[1]import success seats course'!$A:R,HLOOKUP('[1]Course Totals'!D$4,'[1]import success seats course'!$1:$2,2,FALSE),FALSE)/(VLOOKUP($A1069,'[1]import graded seats course pivo'!$A:AB,HLOOKUP('[1]Course Totals'!D$4,'[1]import graded seats course pivo'!$1:$2,2,FALSE),FALSE))),"")</f>
        <v>1</v>
      </c>
      <c r="E1069" s="14" t="str">
        <f>IFERROR((VLOOKUP($A1069,'[1]import success seats course'!$A:S,HLOOKUP('[1]Course Totals'!E$4,'[1]import success seats course'!$1:$2,2,FALSE),FALSE)/(VLOOKUP($A1069,'[1]import graded seats course pivo'!$A:AC,HLOOKUP('[1]Course Totals'!E$4,'[1]import graded seats course pivo'!$1:$2,2,FALSE),FALSE))),"")</f>
        <v/>
      </c>
      <c r="F1069" s="14">
        <f>IFERROR((VLOOKUP($A1069,'[1]import success seats course'!$A:T,HLOOKUP('[1]Course Totals'!F$4,'[1]import success seats course'!$1:$2,2,FALSE),FALSE)/(VLOOKUP($A1069,'[1]import graded seats course pivo'!$A:AD,HLOOKUP('[1]Course Totals'!F$4,'[1]import graded seats course pivo'!$1:$2,2,FALSE),FALSE))),"")</f>
        <v>1</v>
      </c>
      <c r="G1069" s="14">
        <f>IFERROR((VLOOKUP($A1069,'[1]import success seats course'!$A:U,HLOOKUP('[1]Course Totals'!G$4,'[1]import success seats course'!$1:$2,2,FALSE),FALSE)/(VLOOKUP($A1069,'[1]import graded seats course pivo'!$A:AE,HLOOKUP('[1]Course Totals'!G$4,'[1]import graded seats course pivo'!$1:$2,2,FALSE),FALSE))),"")</f>
        <v>1</v>
      </c>
      <c r="H1069" s="14" t="str">
        <f>IFERROR((VLOOKUP($A1069,'[1]import success seats course'!$A:V,HLOOKUP('[1]Course Totals'!H$4,'[1]import success seats course'!$1:$2,2,FALSE),FALSE)/(VLOOKUP($A1069,'[1]import graded seats course pivo'!$A:AF,HLOOKUP('[1]Course Totals'!H$4,'[1]import graded seats course pivo'!$1:$2,2,FALSE),FALSE))),"")</f>
        <v/>
      </c>
      <c r="I1069" s="14" t="str">
        <f>IFERROR((VLOOKUP($A1069,'[1]import success seats course'!$A:W,HLOOKUP('[1]Course Totals'!I$4,'[1]import success seats course'!$1:$2,2,FALSE),FALSE)/(VLOOKUP($A1069,'[1]import graded seats course pivo'!$A:AG,HLOOKUP('[1]Course Totals'!I$4,'[1]import graded seats course pivo'!$1:$2,2,FALSE),FALSE))),"")</f>
        <v/>
      </c>
      <c r="J1069" s="14" t="str">
        <f>IFERROR((VLOOKUP($A1069,'[1]import success seats course'!$A:X,HLOOKUP('[1]Course Totals'!J$4,'[1]import success seats course'!$1:$2,2,FALSE),FALSE)/(VLOOKUP($A1069,'[1]import graded seats course pivo'!$A:AH,HLOOKUP('[1]Course Totals'!J$4,'[1]import graded seats course pivo'!$1:$2,2,FALSE),FALSE))),"")</f>
        <v/>
      </c>
      <c r="K1069" s="14" t="str">
        <f>IFERROR((VLOOKUP($A1069,'[1]import success seats course'!$A:Y,HLOOKUP('[1]Course Totals'!K$4,'[1]import success seats course'!$1:$2,2,FALSE),FALSE)/(VLOOKUP($A1069,'[1]import graded seats course pivo'!$A:AI,HLOOKUP('[1]Course Totals'!K$4,'[1]import graded seats course pivo'!$1:$2,2,FALSE),FALSE))),"")</f>
        <v/>
      </c>
      <c r="L1069" s="14" t="str">
        <f>IFERROR((VLOOKUP($A1069,'[1]import success seats course'!$A:Z,HLOOKUP('[1]Course Totals'!L$4,'[1]import success seats course'!$1:$2,2,FALSE),FALSE)/(VLOOKUP($A1069,'[1]import graded seats course pivo'!$A:AJ,HLOOKUP('[1]Course Totals'!L$4,'[1]import graded seats course pivo'!$1:$2,2,FALSE),FALSE))),"")</f>
        <v/>
      </c>
      <c r="M1069" s="14" t="str">
        <f>IFERROR((VLOOKUP($A1069,'[1]import success seats course'!$A:AA,HLOOKUP('[1]Course Totals'!M$4,'[1]import success seats course'!$1:$2,2,FALSE),FALSE)/(VLOOKUP($A1069,'[1]import graded seats course pivo'!$A:AK,HLOOKUP('[1]Course Totals'!M$4,'[1]import graded seats course pivo'!$1:$2,2,FALSE),FALSE))),"")</f>
        <v/>
      </c>
      <c r="N1069" s="14" t="str">
        <f>IFERROR((VLOOKUP($A1069,'[1]import success seats course'!$A:AB,HLOOKUP('[1]Course Totals'!N$4,'[1]import success seats course'!$1:$2,2,FALSE),FALSE)/(VLOOKUP($A1069,'[1]import graded seats course pivo'!$A:AL,HLOOKUP('[1]Course Totals'!N$4,'[1]import graded seats course pivo'!$1:$2,2,FALSE),FALSE))),"")</f>
        <v/>
      </c>
      <c r="O1069" s="14" t="str">
        <f>IFERROR((VLOOKUP($A1069,'[1]import success seats course'!$A:AC,HLOOKUP('[1]Course Totals'!O$4,'[1]import success seats course'!$1:$2,2,FALSE),FALSE)/(VLOOKUP($A1069,'[1]import graded seats course pivo'!$A:AM,HLOOKUP('[1]Course Totals'!O$4,'[1]import graded seats course pivo'!$1:$2,2,FALSE),FALSE))),"")</f>
        <v/>
      </c>
      <c r="P1069" s="14" t="str">
        <f>IFERROR((VLOOKUP($A1069,'[1]import success seats course'!$A:AD,HLOOKUP('[1]Course Totals'!P$4,'[1]import success seats course'!$1:$2,2,FALSE),FALSE)/(VLOOKUP($A1069,'[1]import graded seats course pivo'!$A:AN,HLOOKUP('[1]Course Totals'!P$4,'[1]import graded seats course pivo'!$1:$2,2,FALSE),FALSE))),"")</f>
        <v/>
      </c>
      <c r="Q1069" s="14" t="str">
        <f>IFERROR((VLOOKUP($A1069,'[1]import success seats course'!$A:AE,HLOOKUP('[1]Course Totals'!Q$4,'[1]import success seats course'!$1:$2,2,FALSE),FALSE)/(VLOOKUP($A1069,'[1]import graded seats course pivo'!$A:AO,HLOOKUP('[1]Course Totals'!Q$4,'[1]import graded seats course pivo'!$1:$2,2,FALSE),FALSE))),"")</f>
        <v/>
      </c>
      <c r="R1069" s="14" t="str">
        <f>IFERROR((VLOOKUP($A1069,'[1]import success seats course'!$A:AF,HLOOKUP('[1]Course Totals'!R$4,'[1]import success seats course'!$1:$2,2,FALSE),FALSE)/(VLOOKUP($A1069,'[1]import graded seats course pivo'!$A:AP,HLOOKUP('[1]Course Totals'!R$4,'[1]import graded seats course pivo'!$1:$2,2,FALSE),FALSE))),"")</f>
        <v/>
      </c>
      <c r="S1069" s="14" t="str">
        <f>IFERROR((VLOOKUP($A1069,'[1]import success seats course'!$A:AG,HLOOKUP('[1]Course Totals'!S$4,'[1]import success seats course'!$1:$2,2,FALSE),FALSE)/(VLOOKUP($A1069,'[1]import graded seats course pivo'!$A:AQ,HLOOKUP('[1]Course Totals'!S$4,'[1]import graded seats course pivo'!$1:$2,2,FALSE),FALSE))),"")</f>
        <v/>
      </c>
      <c r="Z1069" s="7"/>
      <c r="AA1069" s="7"/>
      <c r="AB1069" s="7"/>
      <c r="AC1069" s="7"/>
    </row>
    <row r="1070" spans="1:29" ht="15.75" customHeight="1" x14ac:dyDescent="0.25">
      <c r="A1070" s="12" t="s">
        <v>515</v>
      </c>
      <c r="B1070" s="14" t="str">
        <f>IFERROR((VLOOKUP($A1070,'[1]import success seats course'!$A:P,HLOOKUP('[1]Course Totals'!B$4,'[1]import success seats course'!$1:$2,2,FALSE),FALSE)/(VLOOKUP($A1070,'[1]import graded seats course pivo'!$A:Z,HLOOKUP('[1]Course Totals'!B$4,'[1]import graded seats course pivo'!$1:$2,2,FALSE),FALSE))),"")</f>
        <v/>
      </c>
      <c r="C1070" s="14">
        <f>IFERROR((VLOOKUP($A1070,'[1]import success seats course'!$A:Q,HLOOKUP('[1]Course Totals'!C$4,'[1]import success seats course'!$1:$2,2,FALSE),FALSE)/(VLOOKUP($A1070,'[1]import graded seats course pivo'!$A:AA,HLOOKUP('[1]Course Totals'!C$4,'[1]import graded seats course pivo'!$1:$2,2,FALSE),FALSE))),"")</f>
        <v>1</v>
      </c>
      <c r="D1070" s="14">
        <f>IFERROR((VLOOKUP($A1070,'[1]import success seats course'!$A:R,HLOOKUP('[1]Course Totals'!D$4,'[1]import success seats course'!$1:$2,2,FALSE),FALSE)/(VLOOKUP($A1070,'[1]import graded seats course pivo'!$A:AB,HLOOKUP('[1]Course Totals'!D$4,'[1]import graded seats course pivo'!$1:$2,2,FALSE),FALSE))),"")</f>
        <v>1</v>
      </c>
      <c r="E1070" s="14" t="str">
        <f>IFERROR((VLOOKUP($A1070,'[1]import success seats course'!$A:S,HLOOKUP('[1]Course Totals'!E$4,'[1]import success seats course'!$1:$2,2,FALSE),FALSE)/(VLOOKUP($A1070,'[1]import graded seats course pivo'!$A:AC,HLOOKUP('[1]Course Totals'!E$4,'[1]import graded seats course pivo'!$1:$2,2,FALSE),FALSE))),"")</f>
        <v/>
      </c>
      <c r="F1070" s="14">
        <f>IFERROR((VLOOKUP($A1070,'[1]import success seats course'!$A:T,HLOOKUP('[1]Course Totals'!F$4,'[1]import success seats course'!$1:$2,2,FALSE),FALSE)/(VLOOKUP($A1070,'[1]import graded seats course pivo'!$A:AD,HLOOKUP('[1]Course Totals'!F$4,'[1]import graded seats course pivo'!$1:$2,2,FALSE),FALSE))),"")</f>
        <v>1</v>
      </c>
      <c r="G1070" s="14">
        <f>IFERROR((VLOOKUP($A1070,'[1]import success seats course'!$A:U,HLOOKUP('[1]Course Totals'!G$4,'[1]import success seats course'!$1:$2,2,FALSE),FALSE)/(VLOOKUP($A1070,'[1]import graded seats course pivo'!$A:AE,HLOOKUP('[1]Course Totals'!G$4,'[1]import graded seats course pivo'!$1:$2,2,FALSE),FALSE))),"")</f>
        <v>1</v>
      </c>
      <c r="H1070" s="14" t="str">
        <f>IFERROR((VLOOKUP($A1070,'[1]import success seats course'!$A:V,HLOOKUP('[1]Course Totals'!H$4,'[1]import success seats course'!$1:$2,2,FALSE),FALSE)/(VLOOKUP($A1070,'[1]import graded seats course pivo'!$A:AF,HLOOKUP('[1]Course Totals'!H$4,'[1]import graded seats course pivo'!$1:$2,2,FALSE),FALSE))),"")</f>
        <v/>
      </c>
      <c r="I1070" s="14" t="str">
        <f>IFERROR((VLOOKUP($A1070,'[1]import success seats course'!$A:W,HLOOKUP('[1]Course Totals'!I$4,'[1]import success seats course'!$1:$2,2,FALSE),FALSE)/(VLOOKUP($A1070,'[1]import graded seats course pivo'!$A:AG,HLOOKUP('[1]Course Totals'!I$4,'[1]import graded seats course pivo'!$1:$2,2,FALSE),FALSE))),"")</f>
        <v/>
      </c>
      <c r="J1070" s="14" t="str">
        <f>IFERROR((VLOOKUP($A1070,'[1]import success seats course'!$A:X,HLOOKUP('[1]Course Totals'!J$4,'[1]import success seats course'!$1:$2,2,FALSE),FALSE)/(VLOOKUP($A1070,'[1]import graded seats course pivo'!$A:AH,HLOOKUP('[1]Course Totals'!J$4,'[1]import graded seats course pivo'!$1:$2,2,FALSE),FALSE))),"")</f>
        <v/>
      </c>
      <c r="K1070" s="14" t="str">
        <f>IFERROR((VLOOKUP($A1070,'[1]import success seats course'!$A:Y,HLOOKUP('[1]Course Totals'!K$4,'[1]import success seats course'!$1:$2,2,FALSE),FALSE)/(VLOOKUP($A1070,'[1]import graded seats course pivo'!$A:AI,HLOOKUP('[1]Course Totals'!K$4,'[1]import graded seats course pivo'!$1:$2,2,FALSE),FALSE))),"")</f>
        <v/>
      </c>
      <c r="L1070" s="14" t="str">
        <f>IFERROR((VLOOKUP($A1070,'[1]import success seats course'!$A:Z,HLOOKUP('[1]Course Totals'!L$4,'[1]import success seats course'!$1:$2,2,FALSE),FALSE)/(VLOOKUP($A1070,'[1]import graded seats course pivo'!$A:AJ,HLOOKUP('[1]Course Totals'!L$4,'[1]import graded seats course pivo'!$1:$2,2,FALSE),FALSE))),"")</f>
        <v/>
      </c>
      <c r="M1070" s="14" t="str">
        <f>IFERROR((VLOOKUP($A1070,'[1]import success seats course'!$A:AA,HLOOKUP('[1]Course Totals'!M$4,'[1]import success seats course'!$1:$2,2,FALSE),FALSE)/(VLOOKUP($A1070,'[1]import graded seats course pivo'!$A:AK,HLOOKUP('[1]Course Totals'!M$4,'[1]import graded seats course pivo'!$1:$2,2,FALSE),FALSE))),"")</f>
        <v/>
      </c>
      <c r="N1070" s="14" t="str">
        <f>IFERROR((VLOOKUP($A1070,'[1]import success seats course'!$A:AB,HLOOKUP('[1]Course Totals'!N$4,'[1]import success seats course'!$1:$2,2,FALSE),FALSE)/(VLOOKUP($A1070,'[1]import graded seats course pivo'!$A:AL,HLOOKUP('[1]Course Totals'!N$4,'[1]import graded seats course pivo'!$1:$2,2,FALSE),FALSE))),"")</f>
        <v/>
      </c>
      <c r="O1070" s="14" t="str">
        <f>IFERROR((VLOOKUP($A1070,'[1]import success seats course'!$A:AC,HLOOKUP('[1]Course Totals'!O$4,'[1]import success seats course'!$1:$2,2,FALSE),FALSE)/(VLOOKUP($A1070,'[1]import graded seats course pivo'!$A:AM,HLOOKUP('[1]Course Totals'!O$4,'[1]import graded seats course pivo'!$1:$2,2,FALSE),FALSE))),"")</f>
        <v/>
      </c>
      <c r="P1070" s="14" t="str">
        <f>IFERROR((VLOOKUP($A1070,'[1]import success seats course'!$A:AD,HLOOKUP('[1]Course Totals'!P$4,'[1]import success seats course'!$1:$2,2,FALSE),FALSE)/(VLOOKUP($A1070,'[1]import graded seats course pivo'!$A:AN,HLOOKUP('[1]Course Totals'!P$4,'[1]import graded seats course pivo'!$1:$2,2,FALSE),FALSE))),"")</f>
        <v/>
      </c>
      <c r="Q1070" s="14" t="str">
        <f>IFERROR((VLOOKUP($A1070,'[1]import success seats course'!$A:AE,HLOOKUP('[1]Course Totals'!Q$4,'[1]import success seats course'!$1:$2,2,FALSE),FALSE)/(VLOOKUP($A1070,'[1]import graded seats course pivo'!$A:AO,HLOOKUP('[1]Course Totals'!Q$4,'[1]import graded seats course pivo'!$1:$2,2,FALSE),FALSE))),"")</f>
        <v/>
      </c>
      <c r="R1070" s="14" t="str">
        <f>IFERROR((VLOOKUP($A1070,'[1]import success seats course'!$A:AF,HLOOKUP('[1]Course Totals'!R$4,'[1]import success seats course'!$1:$2,2,FALSE),FALSE)/(VLOOKUP($A1070,'[1]import graded seats course pivo'!$A:AP,HLOOKUP('[1]Course Totals'!R$4,'[1]import graded seats course pivo'!$1:$2,2,FALSE),FALSE))),"")</f>
        <v/>
      </c>
      <c r="S1070" s="14" t="str">
        <f>IFERROR((VLOOKUP($A1070,'[1]import success seats course'!$A:AG,HLOOKUP('[1]Course Totals'!S$4,'[1]import success seats course'!$1:$2,2,FALSE),FALSE)/(VLOOKUP($A1070,'[1]import graded seats course pivo'!$A:AQ,HLOOKUP('[1]Course Totals'!S$4,'[1]import graded seats course pivo'!$1:$2,2,FALSE),FALSE))),"")</f>
        <v/>
      </c>
      <c r="Z1070" s="7"/>
      <c r="AA1070" s="7"/>
      <c r="AB1070" s="7"/>
      <c r="AC1070" s="7"/>
    </row>
    <row r="1071" spans="1:29" ht="15.75" customHeight="1" x14ac:dyDescent="0.25">
      <c r="A1071" s="12" t="s">
        <v>516</v>
      </c>
      <c r="B1071" s="14" t="str">
        <f>IFERROR((VLOOKUP($A1071,'[1]import success seats course'!$A:P,HLOOKUP('[1]Course Totals'!B$4,'[1]import success seats course'!$1:$2,2,FALSE),FALSE)/(VLOOKUP($A1071,'[1]import graded seats course pivo'!$A:Z,HLOOKUP('[1]Course Totals'!B$4,'[1]import graded seats course pivo'!$1:$2,2,FALSE),FALSE))),"")</f>
        <v/>
      </c>
      <c r="C1071" s="14">
        <f>IFERROR((VLOOKUP($A1071,'[1]import success seats course'!$A:Q,HLOOKUP('[1]Course Totals'!C$4,'[1]import success seats course'!$1:$2,2,FALSE),FALSE)/(VLOOKUP($A1071,'[1]import graded seats course pivo'!$A:AA,HLOOKUP('[1]Course Totals'!C$4,'[1]import graded seats course pivo'!$1:$2,2,FALSE),FALSE))),"")</f>
        <v>1</v>
      </c>
      <c r="D1071" s="14">
        <f>IFERROR((VLOOKUP($A1071,'[1]import success seats course'!$A:R,HLOOKUP('[1]Course Totals'!D$4,'[1]import success seats course'!$1:$2,2,FALSE),FALSE)/(VLOOKUP($A1071,'[1]import graded seats course pivo'!$A:AB,HLOOKUP('[1]Course Totals'!D$4,'[1]import graded seats course pivo'!$1:$2,2,FALSE),FALSE))),"")</f>
        <v>1</v>
      </c>
      <c r="E1071" s="14" t="str">
        <f>IFERROR((VLOOKUP($A1071,'[1]import success seats course'!$A:S,HLOOKUP('[1]Course Totals'!E$4,'[1]import success seats course'!$1:$2,2,FALSE),FALSE)/(VLOOKUP($A1071,'[1]import graded seats course pivo'!$A:AC,HLOOKUP('[1]Course Totals'!E$4,'[1]import graded seats course pivo'!$1:$2,2,FALSE),FALSE))),"")</f>
        <v/>
      </c>
      <c r="F1071" s="14" t="str">
        <f>IFERROR((VLOOKUP($A1071,'[1]import success seats course'!$A:T,HLOOKUP('[1]Course Totals'!F$4,'[1]import success seats course'!$1:$2,2,FALSE),FALSE)/(VLOOKUP($A1071,'[1]import graded seats course pivo'!$A:AD,HLOOKUP('[1]Course Totals'!F$4,'[1]import graded seats course pivo'!$1:$2,2,FALSE),FALSE))),"")</f>
        <v/>
      </c>
      <c r="G1071" s="14">
        <f>IFERROR((VLOOKUP($A1071,'[1]import success seats course'!$A:U,HLOOKUP('[1]Course Totals'!G$4,'[1]import success seats course'!$1:$2,2,FALSE),FALSE)/(VLOOKUP($A1071,'[1]import graded seats course pivo'!$A:AE,HLOOKUP('[1]Course Totals'!G$4,'[1]import graded seats course pivo'!$1:$2,2,FALSE),FALSE))),"")</f>
        <v>0.8</v>
      </c>
      <c r="H1071" s="14" t="str">
        <f>IFERROR((VLOOKUP($A1071,'[1]import success seats course'!$A:V,HLOOKUP('[1]Course Totals'!H$4,'[1]import success seats course'!$1:$2,2,FALSE),FALSE)/(VLOOKUP($A1071,'[1]import graded seats course pivo'!$A:AF,HLOOKUP('[1]Course Totals'!H$4,'[1]import graded seats course pivo'!$1:$2,2,FALSE),FALSE))),"")</f>
        <v/>
      </c>
      <c r="I1071" s="14" t="str">
        <f>IFERROR((VLOOKUP($A1071,'[1]import success seats course'!$A:W,HLOOKUP('[1]Course Totals'!I$4,'[1]import success seats course'!$1:$2,2,FALSE),FALSE)/(VLOOKUP($A1071,'[1]import graded seats course pivo'!$A:AG,HLOOKUP('[1]Course Totals'!I$4,'[1]import graded seats course pivo'!$1:$2,2,FALSE),FALSE))),"")</f>
        <v/>
      </c>
      <c r="J1071" s="14" t="str">
        <f>IFERROR((VLOOKUP($A1071,'[1]import success seats course'!$A:X,HLOOKUP('[1]Course Totals'!J$4,'[1]import success seats course'!$1:$2,2,FALSE),FALSE)/(VLOOKUP($A1071,'[1]import graded seats course pivo'!$A:AH,HLOOKUP('[1]Course Totals'!J$4,'[1]import graded seats course pivo'!$1:$2,2,FALSE),FALSE))),"")</f>
        <v/>
      </c>
      <c r="K1071" s="14" t="str">
        <f>IFERROR((VLOOKUP($A1071,'[1]import success seats course'!$A:Y,HLOOKUP('[1]Course Totals'!K$4,'[1]import success seats course'!$1:$2,2,FALSE),FALSE)/(VLOOKUP($A1071,'[1]import graded seats course pivo'!$A:AI,HLOOKUP('[1]Course Totals'!K$4,'[1]import graded seats course pivo'!$1:$2,2,FALSE),FALSE))),"")</f>
        <v/>
      </c>
      <c r="L1071" s="14" t="str">
        <f>IFERROR((VLOOKUP($A1071,'[1]import success seats course'!$A:Z,HLOOKUP('[1]Course Totals'!L$4,'[1]import success seats course'!$1:$2,2,FALSE),FALSE)/(VLOOKUP($A1071,'[1]import graded seats course pivo'!$A:AJ,HLOOKUP('[1]Course Totals'!L$4,'[1]import graded seats course pivo'!$1:$2,2,FALSE),FALSE))),"")</f>
        <v/>
      </c>
      <c r="M1071" s="14" t="str">
        <f>IFERROR((VLOOKUP($A1071,'[1]import success seats course'!$A:AA,HLOOKUP('[1]Course Totals'!M$4,'[1]import success seats course'!$1:$2,2,FALSE),FALSE)/(VLOOKUP($A1071,'[1]import graded seats course pivo'!$A:AK,HLOOKUP('[1]Course Totals'!M$4,'[1]import graded seats course pivo'!$1:$2,2,FALSE),FALSE))),"")</f>
        <v/>
      </c>
      <c r="N1071" s="14" t="str">
        <f>IFERROR((VLOOKUP($A1071,'[1]import success seats course'!$A:AB,HLOOKUP('[1]Course Totals'!N$4,'[1]import success seats course'!$1:$2,2,FALSE),FALSE)/(VLOOKUP($A1071,'[1]import graded seats course pivo'!$A:AL,HLOOKUP('[1]Course Totals'!N$4,'[1]import graded seats course pivo'!$1:$2,2,FALSE),FALSE))),"")</f>
        <v/>
      </c>
      <c r="O1071" s="14" t="str">
        <f>IFERROR((VLOOKUP($A1071,'[1]import success seats course'!$A:AC,HLOOKUP('[1]Course Totals'!O$4,'[1]import success seats course'!$1:$2,2,FALSE),FALSE)/(VLOOKUP($A1071,'[1]import graded seats course pivo'!$A:AM,HLOOKUP('[1]Course Totals'!O$4,'[1]import graded seats course pivo'!$1:$2,2,FALSE),FALSE))),"")</f>
        <v/>
      </c>
      <c r="P1071" s="14" t="str">
        <f>IFERROR((VLOOKUP($A1071,'[1]import success seats course'!$A:AD,HLOOKUP('[1]Course Totals'!P$4,'[1]import success seats course'!$1:$2,2,FALSE),FALSE)/(VLOOKUP($A1071,'[1]import graded seats course pivo'!$A:AN,HLOOKUP('[1]Course Totals'!P$4,'[1]import graded seats course pivo'!$1:$2,2,FALSE),FALSE))),"")</f>
        <v/>
      </c>
      <c r="Q1071" s="14" t="str">
        <f>IFERROR((VLOOKUP($A1071,'[1]import success seats course'!$A:AE,HLOOKUP('[1]Course Totals'!Q$4,'[1]import success seats course'!$1:$2,2,FALSE),FALSE)/(VLOOKUP($A1071,'[1]import graded seats course pivo'!$A:AO,HLOOKUP('[1]Course Totals'!Q$4,'[1]import graded seats course pivo'!$1:$2,2,FALSE),FALSE))),"")</f>
        <v/>
      </c>
      <c r="R1071" s="14" t="str">
        <f>IFERROR((VLOOKUP($A1071,'[1]import success seats course'!$A:AF,HLOOKUP('[1]Course Totals'!R$4,'[1]import success seats course'!$1:$2,2,FALSE),FALSE)/(VLOOKUP($A1071,'[1]import graded seats course pivo'!$A:AP,HLOOKUP('[1]Course Totals'!R$4,'[1]import graded seats course pivo'!$1:$2,2,FALSE),FALSE))),"")</f>
        <v/>
      </c>
      <c r="S1071" s="14" t="str">
        <f>IFERROR((VLOOKUP($A1071,'[1]import success seats course'!$A:AG,HLOOKUP('[1]Course Totals'!S$4,'[1]import success seats course'!$1:$2,2,FALSE),FALSE)/(VLOOKUP($A1071,'[1]import graded seats course pivo'!$A:AQ,HLOOKUP('[1]Course Totals'!S$4,'[1]import graded seats course pivo'!$1:$2,2,FALSE),FALSE))),"")</f>
        <v/>
      </c>
      <c r="Z1071" s="7"/>
      <c r="AA1071" s="7"/>
      <c r="AB1071" s="7"/>
      <c r="AC1071" s="7"/>
    </row>
    <row r="1072" spans="1:29" ht="15.75" customHeight="1" x14ac:dyDescent="0.25">
      <c r="A1072" s="12" t="s">
        <v>757</v>
      </c>
      <c r="B1072" s="14" t="str">
        <f>IFERROR((VLOOKUP($A1072,'[1]import success seats course'!$A:P,HLOOKUP('[1]Course Totals'!B$4,'[1]import success seats course'!$1:$2,2,FALSE),FALSE)/(VLOOKUP($A1072,'[1]import graded seats course pivo'!$A:Z,HLOOKUP('[1]Course Totals'!B$4,'[1]import graded seats course pivo'!$1:$2,2,FALSE),FALSE))),"")</f>
        <v/>
      </c>
      <c r="C1072" s="14" t="str">
        <f>IFERROR((VLOOKUP($A1072,'[1]import success seats course'!$A:Q,HLOOKUP('[1]Course Totals'!C$4,'[1]import success seats course'!$1:$2,2,FALSE),FALSE)/(VLOOKUP($A1072,'[1]import graded seats course pivo'!$A:AA,HLOOKUP('[1]Course Totals'!C$4,'[1]import graded seats course pivo'!$1:$2,2,FALSE),FALSE))),"")</f>
        <v/>
      </c>
      <c r="D1072" s="14" t="str">
        <f>IFERROR((VLOOKUP($A1072,'[1]import success seats course'!$A:R,HLOOKUP('[1]Course Totals'!D$4,'[1]import success seats course'!$1:$2,2,FALSE),FALSE)/(VLOOKUP($A1072,'[1]import graded seats course pivo'!$A:AB,HLOOKUP('[1]Course Totals'!D$4,'[1]import graded seats course pivo'!$1:$2,2,FALSE),FALSE))),"")</f>
        <v/>
      </c>
      <c r="E1072" s="14" t="str">
        <f>IFERROR((VLOOKUP($A1072,'[1]import success seats course'!$A:S,HLOOKUP('[1]Course Totals'!E$4,'[1]import success seats course'!$1:$2,2,FALSE),FALSE)/(VLOOKUP($A1072,'[1]import graded seats course pivo'!$A:AC,HLOOKUP('[1]Course Totals'!E$4,'[1]import graded seats course pivo'!$1:$2,2,FALSE),FALSE))),"")</f>
        <v/>
      </c>
      <c r="F1072" s="14" t="str">
        <f>IFERROR((VLOOKUP($A1072,'[1]import success seats course'!$A:T,HLOOKUP('[1]Course Totals'!F$4,'[1]import success seats course'!$1:$2,2,FALSE),FALSE)/(VLOOKUP($A1072,'[1]import graded seats course pivo'!$A:AD,HLOOKUP('[1]Course Totals'!F$4,'[1]import graded seats course pivo'!$1:$2,2,FALSE),FALSE))),"")</f>
        <v/>
      </c>
      <c r="G1072" s="14" t="str">
        <f>IFERROR((VLOOKUP($A1072,'[1]import success seats course'!$A:U,HLOOKUP('[1]Course Totals'!G$4,'[1]import success seats course'!$1:$2,2,FALSE),FALSE)/(VLOOKUP($A1072,'[1]import graded seats course pivo'!$A:AE,HLOOKUP('[1]Course Totals'!G$4,'[1]import graded seats course pivo'!$1:$2,2,FALSE),FALSE))),"")</f>
        <v/>
      </c>
      <c r="H1072" s="14" t="str">
        <f>IFERROR((VLOOKUP($A1072,'[1]import success seats course'!$A:V,HLOOKUP('[1]Course Totals'!H$4,'[1]import success seats course'!$1:$2,2,FALSE),FALSE)/(VLOOKUP($A1072,'[1]import graded seats course pivo'!$A:AF,HLOOKUP('[1]Course Totals'!H$4,'[1]import graded seats course pivo'!$1:$2,2,FALSE),FALSE))),"")</f>
        <v/>
      </c>
      <c r="I1072" s="14">
        <f>IFERROR((VLOOKUP($A1072,'[1]import success seats course'!$A:W,HLOOKUP('[1]Course Totals'!I$4,'[1]import success seats course'!$1:$2,2,FALSE),FALSE)/(VLOOKUP($A1072,'[1]import graded seats course pivo'!$A:AG,HLOOKUP('[1]Course Totals'!I$4,'[1]import graded seats course pivo'!$1:$2,2,FALSE),FALSE))),"")</f>
        <v>1</v>
      </c>
      <c r="J1072" s="14" t="str">
        <f>IFERROR((VLOOKUP($A1072,'[1]import success seats course'!$A:X,HLOOKUP('[1]Course Totals'!J$4,'[1]import success seats course'!$1:$2,2,FALSE),FALSE)/(VLOOKUP($A1072,'[1]import graded seats course pivo'!$A:AH,HLOOKUP('[1]Course Totals'!J$4,'[1]import graded seats course pivo'!$1:$2,2,FALSE),FALSE))),"")</f>
        <v/>
      </c>
      <c r="K1072" s="14" t="str">
        <f>IFERROR((VLOOKUP($A1072,'[1]import success seats course'!$A:Y,HLOOKUP('[1]Course Totals'!K$4,'[1]import success seats course'!$1:$2,2,FALSE),FALSE)/(VLOOKUP($A1072,'[1]import graded seats course pivo'!$A:AI,HLOOKUP('[1]Course Totals'!K$4,'[1]import graded seats course pivo'!$1:$2,2,FALSE),FALSE))),"")</f>
        <v/>
      </c>
      <c r="L1072" s="14">
        <f>IFERROR((VLOOKUP($A1072,'[1]import success seats course'!$A:Z,HLOOKUP('[1]Course Totals'!L$4,'[1]import success seats course'!$1:$2,2,FALSE),FALSE)/(VLOOKUP($A1072,'[1]import graded seats course pivo'!$A:AJ,HLOOKUP('[1]Course Totals'!L$4,'[1]import graded seats course pivo'!$1:$2,2,FALSE),FALSE))),"")</f>
        <v>1</v>
      </c>
      <c r="M1072" s="14">
        <f>IFERROR((VLOOKUP($A1072,'[1]import success seats course'!$A:AA,HLOOKUP('[1]Course Totals'!M$4,'[1]import success seats course'!$1:$2,2,FALSE),FALSE)/(VLOOKUP($A1072,'[1]import graded seats course pivo'!$A:AK,HLOOKUP('[1]Course Totals'!M$4,'[1]import graded seats course pivo'!$1:$2,2,FALSE),FALSE))),"")</f>
        <v>1</v>
      </c>
      <c r="N1072" s="14" t="str">
        <f>IFERROR((VLOOKUP($A1072,'[1]import success seats course'!$A:AB,HLOOKUP('[1]Course Totals'!N$4,'[1]import success seats course'!$1:$2,2,FALSE),FALSE)/(VLOOKUP($A1072,'[1]import graded seats course pivo'!$A:AL,HLOOKUP('[1]Course Totals'!N$4,'[1]import graded seats course pivo'!$1:$2,2,FALSE),FALSE))),"")</f>
        <v/>
      </c>
      <c r="O1072" s="14" t="str">
        <f>IFERROR((VLOOKUP($A1072,'[1]import success seats course'!$A:AC,HLOOKUP('[1]Course Totals'!O$4,'[1]import success seats course'!$1:$2,2,FALSE),FALSE)/(VLOOKUP($A1072,'[1]import graded seats course pivo'!$A:AM,HLOOKUP('[1]Course Totals'!O$4,'[1]import graded seats course pivo'!$1:$2,2,FALSE),FALSE))),"")</f>
        <v/>
      </c>
      <c r="P1072" s="14" t="str">
        <f>IFERROR((VLOOKUP($A1072,'[1]import success seats course'!$A:AD,HLOOKUP('[1]Course Totals'!P$4,'[1]import success seats course'!$1:$2,2,FALSE),FALSE)/(VLOOKUP($A1072,'[1]import graded seats course pivo'!$A:AN,HLOOKUP('[1]Course Totals'!P$4,'[1]import graded seats course pivo'!$1:$2,2,FALSE),FALSE))),"")</f>
        <v/>
      </c>
      <c r="Q1072" s="14" t="str">
        <f>IFERROR((VLOOKUP($A1072,'[1]import success seats course'!$A:AE,HLOOKUP('[1]Course Totals'!Q$4,'[1]import success seats course'!$1:$2,2,FALSE),FALSE)/(VLOOKUP($A1072,'[1]import graded seats course pivo'!$A:AO,HLOOKUP('[1]Course Totals'!Q$4,'[1]import graded seats course pivo'!$1:$2,2,FALSE),FALSE))),"")</f>
        <v/>
      </c>
      <c r="R1072" s="14" t="str">
        <f>IFERROR((VLOOKUP($A1072,'[1]import success seats course'!$A:AF,HLOOKUP('[1]Course Totals'!R$4,'[1]import success seats course'!$1:$2,2,FALSE),FALSE)/(VLOOKUP($A1072,'[1]import graded seats course pivo'!$A:AP,HLOOKUP('[1]Course Totals'!R$4,'[1]import graded seats course pivo'!$1:$2,2,FALSE),FALSE))),"")</f>
        <v/>
      </c>
      <c r="S1072" s="14" t="str">
        <f>IFERROR((VLOOKUP($A1072,'[1]import success seats course'!$A:AG,HLOOKUP('[1]Course Totals'!S$4,'[1]import success seats course'!$1:$2,2,FALSE),FALSE)/(VLOOKUP($A1072,'[1]import graded seats course pivo'!$A:AQ,HLOOKUP('[1]Course Totals'!S$4,'[1]import graded seats course pivo'!$1:$2,2,FALSE),FALSE))),"")</f>
        <v/>
      </c>
      <c r="Z1072" s="7"/>
      <c r="AA1072" s="7"/>
      <c r="AB1072" s="7"/>
      <c r="AC1072" s="7"/>
    </row>
    <row r="1073" spans="1:29" ht="15.75" x14ac:dyDescent="0.25">
      <c r="A1073" s="9" t="s">
        <v>1139</v>
      </c>
      <c r="B1073" s="67" t="str">
        <f>'[1]Subject TOTALS'!$B$1:$P$1</f>
        <v xml:space="preserve">MVC Retention Rates </v>
      </c>
      <c r="C1073" s="68"/>
      <c r="D1073" s="68"/>
      <c r="E1073" s="68"/>
      <c r="F1073" s="68"/>
      <c r="G1073" s="68"/>
      <c r="H1073" s="68"/>
      <c r="I1073" s="68"/>
      <c r="J1073" s="68"/>
      <c r="K1073" s="68"/>
      <c r="L1073" s="68"/>
      <c r="M1073" s="68"/>
      <c r="N1073" s="68"/>
      <c r="O1073" s="68"/>
      <c r="P1073" s="68"/>
      <c r="Q1073" s="68"/>
      <c r="R1073" s="68"/>
      <c r="S1073" s="68"/>
      <c r="Z1073" s="7"/>
      <c r="AA1073" s="7"/>
      <c r="AB1073" s="7"/>
      <c r="AC1073" s="7"/>
    </row>
    <row r="1074" spans="1:29" ht="15.75" customHeight="1" thickBot="1" x14ac:dyDescent="0.3">
      <c r="A1074" s="8" t="str">
        <f>'[1]SUBJECTS BASE'!H65</f>
        <v>Spanish</v>
      </c>
      <c r="B1074" s="38" t="s">
        <v>1046</v>
      </c>
      <c r="C1074" s="39" t="s">
        <v>0</v>
      </c>
      <c r="D1074" s="40" t="s">
        <v>868</v>
      </c>
      <c r="E1074" s="41" t="s">
        <v>1052</v>
      </c>
      <c r="F1074" s="42" t="s">
        <v>546</v>
      </c>
      <c r="G1074" s="43" t="s">
        <v>959</v>
      </c>
      <c r="H1074" s="44" t="s">
        <v>1060</v>
      </c>
      <c r="I1074" s="39" t="s">
        <v>675</v>
      </c>
      <c r="J1074" s="45" t="s">
        <v>1006</v>
      </c>
      <c r="K1074" s="46" t="s">
        <v>1062</v>
      </c>
      <c r="L1074" s="42" t="s">
        <v>762</v>
      </c>
      <c r="M1074" s="43" t="s">
        <v>1022</v>
      </c>
      <c r="N1074" s="44" t="s">
        <v>1063</v>
      </c>
      <c r="O1074" s="39" t="s">
        <v>822</v>
      </c>
      <c r="P1074" s="40" t="s">
        <v>1042</v>
      </c>
      <c r="Q1074" s="46" t="s">
        <v>1153</v>
      </c>
      <c r="R1074" s="42" t="s">
        <v>1154</v>
      </c>
      <c r="S1074" s="43" t="s">
        <v>1155</v>
      </c>
      <c r="Z1074" s="7"/>
      <c r="AA1074" s="7"/>
      <c r="AB1074" s="7"/>
      <c r="AC1074" s="7"/>
    </row>
    <row r="1075" spans="1:29" ht="15.75" hidden="1" customHeight="1" x14ac:dyDescent="0.25">
      <c r="A1075" s="12" t="s">
        <v>517</v>
      </c>
      <c r="B1075" s="14" t="str">
        <f>IFERROR((VLOOKUP($A1075,'[1]import success seats course'!$A:P,HLOOKUP('[1]Course Totals'!B$4,'[1]import success seats course'!$1:$2,2,FALSE),FALSE)/(VLOOKUP($A1075,'[1]import graded seats course pivo'!$A:Z,HLOOKUP('[1]Course Totals'!B$4,'[1]import graded seats course pivo'!$1:$2,2,FALSE),FALSE))),"")</f>
        <v/>
      </c>
      <c r="C1075" s="14" t="str">
        <f>IFERROR((VLOOKUP($A1075,'[1]import success seats course'!$A:Q,HLOOKUP('[1]Course Totals'!C$4,'[1]import success seats course'!$1:$2,2,FALSE),FALSE)/(VLOOKUP($A1075,'[1]import graded seats course pivo'!$A:AA,HLOOKUP('[1]Course Totals'!C$4,'[1]import graded seats course pivo'!$1:$2,2,FALSE),FALSE))),"")</f>
        <v/>
      </c>
      <c r="D1075" s="14" t="str">
        <f>IFERROR((VLOOKUP($A1075,'[1]import success seats course'!$A:R,HLOOKUP('[1]Course Totals'!D$4,'[1]import success seats course'!$1:$2,2,FALSE),FALSE)/(VLOOKUP($A1075,'[1]import graded seats course pivo'!$A:AB,HLOOKUP('[1]Course Totals'!D$4,'[1]import graded seats course pivo'!$1:$2,2,FALSE),FALSE))),"")</f>
        <v/>
      </c>
      <c r="E1075" s="14" t="str">
        <f>IFERROR((VLOOKUP($A1075,'[1]import success seats course'!$A:S,HLOOKUP('[1]Course Totals'!E$4,'[1]import success seats course'!$1:$2,2,FALSE),FALSE)/(VLOOKUP($A1075,'[1]import graded seats course pivo'!$A:AC,HLOOKUP('[1]Course Totals'!E$4,'[1]import graded seats course pivo'!$1:$2,2,FALSE),FALSE))),"")</f>
        <v/>
      </c>
      <c r="F1075" s="14" t="str">
        <f>IFERROR((VLOOKUP($A1075,'[1]import success seats course'!$A:T,HLOOKUP('[1]Course Totals'!F$4,'[1]import success seats course'!$1:$2,2,FALSE),FALSE)/(VLOOKUP($A1075,'[1]import graded seats course pivo'!$A:AD,HLOOKUP('[1]Course Totals'!F$4,'[1]import graded seats course pivo'!$1:$2,2,FALSE),FALSE))),"")</f>
        <v/>
      </c>
      <c r="G1075" s="14" t="str">
        <f>IFERROR((VLOOKUP($A1075,'[1]import success seats course'!$A:U,HLOOKUP('[1]Course Totals'!G$4,'[1]import success seats course'!$1:$2,2,FALSE),FALSE)/(VLOOKUP($A1075,'[1]import graded seats course pivo'!$A:AE,HLOOKUP('[1]Course Totals'!G$4,'[1]import graded seats course pivo'!$1:$2,2,FALSE),FALSE))),"")</f>
        <v/>
      </c>
      <c r="H1075" s="14" t="str">
        <f>IFERROR((VLOOKUP($A1075,'[1]import success seats course'!$A:V,HLOOKUP('[1]Course Totals'!H$4,'[1]import success seats course'!$1:$2,2,FALSE),FALSE)/(VLOOKUP($A1075,'[1]import graded seats course pivo'!$A:AF,HLOOKUP('[1]Course Totals'!H$4,'[1]import graded seats course pivo'!$1:$2,2,FALSE),FALSE))),"")</f>
        <v/>
      </c>
      <c r="I1075" s="14" t="str">
        <f>IFERROR((VLOOKUP($A1075,'[1]import success seats course'!$A:W,HLOOKUP('[1]Course Totals'!I$4,'[1]import success seats course'!$1:$2,2,FALSE),FALSE)/(VLOOKUP($A1075,'[1]import graded seats course pivo'!$A:AG,HLOOKUP('[1]Course Totals'!I$4,'[1]import graded seats course pivo'!$1:$2,2,FALSE),FALSE))),"")</f>
        <v/>
      </c>
      <c r="J1075" s="14" t="str">
        <f>IFERROR((VLOOKUP($A1075,'[1]import success seats course'!$A:X,HLOOKUP('[1]Course Totals'!J$4,'[1]import success seats course'!$1:$2,2,FALSE),FALSE)/(VLOOKUP($A1075,'[1]import graded seats course pivo'!$A:AH,HLOOKUP('[1]Course Totals'!J$4,'[1]import graded seats course pivo'!$1:$2,2,FALSE),FALSE))),"")</f>
        <v/>
      </c>
      <c r="K1075" s="14" t="str">
        <f>IFERROR((VLOOKUP($A1075,'[1]import success seats course'!$A:Y,HLOOKUP('[1]Course Totals'!K$4,'[1]import success seats course'!$1:$2,2,FALSE),FALSE)/(VLOOKUP($A1075,'[1]import graded seats course pivo'!$A:AI,HLOOKUP('[1]Course Totals'!K$4,'[1]import graded seats course pivo'!$1:$2,2,FALSE),FALSE))),"")</f>
        <v/>
      </c>
      <c r="L1075" s="14" t="str">
        <f>IFERROR((VLOOKUP($A1075,'[1]import success seats course'!$A:Z,HLOOKUP('[1]Course Totals'!L$4,'[1]import success seats course'!$1:$2,2,FALSE),FALSE)/(VLOOKUP($A1075,'[1]import graded seats course pivo'!$A:AJ,HLOOKUP('[1]Course Totals'!L$4,'[1]import graded seats course pivo'!$1:$2,2,FALSE),FALSE))),"")</f>
        <v/>
      </c>
      <c r="M1075" s="14" t="str">
        <f>IFERROR((VLOOKUP($A1075,'[1]import success seats course'!$A:AA,HLOOKUP('[1]Course Totals'!M$4,'[1]import success seats course'!$1:$2,2,FALSE),FALSE)/(VLOOKUP($A1075,'[1]import graded seats course pivo'!$A:AK,HLOOKUP('[1]Course Totals'!M$4,'[1]import graded seats course pivo'!$1:$2,2,FALSE),FALSE))),"")</f>
        <v/>
      </c>
      <c r="N1075" s="14" t="str">
        <f>IFERROR((VLOOKUP($A1075,'[1]import success seats course'!$A:AB,HLOOKUP('[1]Course Totals'!N$4,'[1]import success seats course'!$1:$2,2,FALSE),FALSE)/(VLOOKUP($A1075,'[1]import graded seats course pivo'!$A:AL,HLOOKUP('[1]Course Totals'!N$4,'[1]import graded seats course pivo'!$1:$2,2,FALSE),FALSE))),"")</f>
        <v/>
      </c>
      <c r="O1075" s="14" t="str">
        <f>IFERROR((VLOOKUP($A1075,'[1]import success seats course'!$A:AC,HLOOKUP('[1]Course Totals'!O$4,'[1]import success seats course'!$1:$2,2,FALSE),FALSE)/(VLOOKUP($A1075,'[1]import graded seats course pivo'!$A:AM,HLOOKUP('[1]Course Totals'!O$4,'[1]import graded seats course pivo'!$1:$2,2,FALSE),FALSE))),"")</f>
        <v/>
      </c>
      <c r="P1075" s="14" t="str">
        <f>IFERROR((VLOOKUP($A1075,'[1]import success seats course'!$A:AD,HLOOKUP('[1]Course Totals'!P$4,'[1]import success seats course'!$1:$2,2,FALSE),FALSE)/(VLOOKUP($A1075,'[1]import graded seats course pivo'!$A:AN,HLOOKUP('[1]Course Totals'!P$4,'[1]import graded seats course pivo'!$1:$2,2,FALSE),FALSE))),"")</f>
        <v/>
      </c>
      <c r="Q1075" s="14" t="str">
        <f>IFERROR((VLOOKUP($A1075,'[1]import success seats course'!$A:AE,HLOOKUP('[1]Course Totals'!Q$4,'[1]import success seats course'!$1:$2,2,FALSE),FALSE)/(VLOOKUP($A1075,'[1]import graded seats course pivo'!$A:AO,HLOOKUP('[1]Course Totals'!Q$4,'[1]import graded seats course pivo'!$1:$2,2,FALSE),FALSE))),"")</f>
        <v/>
      </c>
      <c r="R1075" s="14" t="str">
        <f>IFERROR((VLOOKUP($A1075,'[1]import success seats course'!$A:AF,HLOOKUP('[1]Course Totals'!R$4,'[1]import success seats course'!$1:$2,2,FALSE),FALSE)/(VLOOKUP($A1075,'[1]import graded seats course pivo'!$A:AP,HLOOKUP('[1]Course Totals'!R$4,'[1]import graded seats course pivo'!$1:$2,2,FALSE),FALSE))),"")</f>
        <v/>
      </c>
      <c r="S1075" s="14" t="str">
        <f>IFERROR((VLOOKUP($A1075,'[1]import success seats course'!$A:AG,HLOOKUP('[1]Course Totals'!S$4,'[1]import success seats course'!$1:$2,2,FALSE),FALSE)/(VLOOKUP($A1075,'[1]import graded seats course pivo'!$A:AQ,HLOOKUP('[1]Course Totals'!S$4,'[1]import graded seats course pivo'!$1:$2,2,FALSE),FALSE))),"")</f>
        <v/>
      </c>
      <c r="Z1075" s="7"/>
      <c r="AA1075" s="7"/>
      <c r="AB1075" s="7"/>
      <c r="AC1075" s="7"/>
    </row>
    <row r="1076" spans="1:29" ht="15.75" hidden="1" customHeight="1" x14ac:dyDescent="0.25">
      <c r="A1076" s="12" t="s">
        <v>950</v>
      </c>
      <c r="B1076" s="14" t="str">
        <f>IFERROR((VLOOKUP($A1076,'[1]import success seats course'!$A:P,HLOOKUP('[1]Course Totals'!B$4,'[1]import success seats course'!$1:$2,2,FALSE),FALSE)/(VLOOKUP($A1076,'[1]import graded seats course pivo'!$A:Z,HLOOKUP('[1]Course Totals'!B$4,'[1]import graded seats course pivo'!$1:$2,2,FALSE),FALSE))),"")</f>
        <v/>
      </c>
      <c r="C1076" s="14" t="str">
        <f>IFERROR((VLOOKUP($A1076,'[1]import success seats course'!$A:Q,HLOOKUP('[1]Course Totals'!C$4,'[1]import success seats course'!$1:$2,2,FALSE),FALSE)/(VLOOKUP($A1076,'[1]import graded seats course pivo'!$A:AA,HLOOKUP('[1]Course Totals'!C$4,'[1]import graded seats course pivo'!$1:$2,2,FALSE),FALSE))),"")</f>
        <v/>
      </c>
      <c r="D1076" s="14" t="str">
        <f>IFERROR((VLOOKUP($A1076,'[1]import success seats course'!$A:R,HLOOKUP('[1]Course Totals'!D$4,'[1]import success seats course'!$1:$2,2,FALSE),FALSE)/(VLOOKUP($A1076,'[1]import graded seats course pivo'!$A:AB,HLOOKUP('[1]Course Totals'!D$4,'[1]import graded seats course pivo'!$1:$2,2,FALSE),FALSE))),"")</f>
        <v/>
      </c>
      <c r="E1076" s="14" t="str">
        <f>IFERROR((VLOOKUP($A1076,'[1]import success seats course'!$A:S,HLOOKUP('[1]Course Totals'!E$4,'[1]import success seats course'!$1:$2,2,FALSE),FALSE)/(VLOOKUP($A1076,'[1]import graded seats course pivo'!$A:AC,HLOOKUP('[1]Course Totals'!E$4,'[1]import graded seats course pivo'!$1:$2,2,FALSE),FALSE))),"")</f>
        <v/>
      </c>
      <c r="F1076" s="14" t="str">
        <f>IFERROR((VLOOKUP($A1076,'[1]import success seats course'!$A:T,HLOOKUP('[1]Course Totals'!F$4,'[1]import success seats course'!$1:$2,2,FALSE),FALSE)/(VLOOKUP($A1076,'[1]import graded seats course pivo'!$A:AD,HLOOKUP('[1]Course Totals'!F$4,'[1]import graded seats course pivo'!$1:$2,2,FALSE),FALSE))),"")</f>
        <v/>
      </c>
      <c r="G1076" s="14" t="str">
        <f>IFERROR((VLOOKUP($A1076,'[1]import success seats course'!$A:U,HLOOKUP('[1]Course Totals'!G$4,'[1]import success seats course'!$1:$2,2,FALSE),FALSE)/(VLOOKUP($A1076,'[1]import graded seats course pivo'!$A:AE,HLOOKUP('[1]Course Totals'!G$4,'[1]import graded seats course pivo'!$1:$2,2,FALSE),FALSE))),"")</f>
        <v/>
      </c>
      <c r="H1076" s="14" t="str">
        <f>IFERROR((VLOOKUP($A1076,'[1]import success seats course'!$A:V,HLOOKUP('[1]Course Totals'!H$4,'[1]import success seats course'!$1:$2,2,FALSE),FALSE)/(VLOOKUP($A1076,'[1]import graded seats course pivo'!$A:AF,HLOOKUP('[1]Course Totals'!H$4,'[1]import graded seats course pivo'!$1:$2,2,FALSE),FALSE))),"")</f>
        <v/>
      </c>
      <c r="I1076" s="14" t="str">
        <f>IFERROR((VLOOKUP($A1076,'[1]import success seats course'!$A:W,HLOOKUP('[1]Course Totals'!I$4,'[1]import success seats course'!$1:$2,2,FALSE),FALSE)/(VLOOKUP($A1076,'[1]import graded seats course pivo'!$A:AG,HLOOKUP('[1]Course Totals'!I$4,'[1]import graded seats course pivo'!$1:$2,2,FALSE),FALSE))),"")</f>
        <v/>
      </c>
      <c r="J1076" s="14" t="str">
        <f>IFERROR((VLOOKUP($A1076,'[1]import success seats course'!$A:X,HLOOKUP('[1]Course Totals'!J$4,'[1]import success seats course'!$1:$2,2,FALSE),FALSE)/(VLOOKUP($A1076,'[1]import graded seats course pivo'!$A:AH,HLOOKUP('[1]Course Totals'!J$4,'[1]import graded seats course pivo'!$1:$2,2,FALSE),FALSE))),"")</f>
        <v/>
      </c>
      <c r="K1076" s="14" t="str">
        <f>IFERROR((VLOOKUP($A1076,'[1]import success seats course'!$A:Y,HLOOKUP('[1]Course Totals'!K$4,'[1]import success seats course'!$1:$2,2,FALSE),FALSE)/(VLOOKUP($A1076,'[1]import graded seats course pivo'!$A:AI,HLOOKUP('[1]Course Totals'!K$4,'[1]import graded seats course pivo'!$1:$2,2,FALSE),FALSE))),"")</f>
        <v/>
      </c>
      <c r="L1076" s="14" t="str">
        <f>IFERROR((VLOOKUP($A1076,'[1]import success seats course'!$A:Z,HLOOKUP('[1]Course Totals'!L$4,'[1]import success seats course'!$1:$2,2,FALSE),FALSE)/(VLOOKUP($A1076,'[1]import graded seats course pivo'!$A:AJ,HLOOKUP('[1]Course Totals'!L$4,'[1]import graded seats course pivo'!$1:$2,2,FALSE),FALSE))),"")</f>
        <v/>
      </c>
      <c r="M1076" s="14" t="str">
        <f>IFERROR((VLOOKUP($A1076,'[1]import success seats course'!$A:AA,HLOOKUP('[1]Course Totals'!M$4,'[1]import success seats course'!$1:$2,2,FALSE),FALSE)/(VLOOKUP($A1076,'[1]import graded seats course pivo'!$A:AK,HLOOKUP('[1]Course Totals'!M$4,'[1]import graded seats course pivo'!$1:$2,2,FALSE),FALSE))),"")</f>
        <v/>
      </c>
      <c r="N1076" s="14" t="str">
        <f>IFERROR((VLOOKUP($A1076,'[1]import success seats course'!$A:AB,HLOOKUP('[1]Course Totals'!N$4,'[1]import success seats course'!$1:$2,2,FALSE),FALSE)/(VLOOKUP($A1076,'[1]import graded seats course pivo'!$A:AL,HLOOKUP('[1]Course Totals'!N$4,'[1]import graded seats course pivo'!$1:$2,2,FALSE),FALSE))),"")</f>
        <v/>
      </c>
      <c r="O1076" s="14" t="str">
        <f>IFERROR((VLOOKUP($A1076,'[1]import success seats course'!$A:AC,HLOOKUP('[1]Course Totals'!O$4,'[1]import success seats course'!$1:$2,2,FALSE),FALSE)/(VLOOKUP($A1076,'[1]import graded seats course pivo'!$A:AM,HLOOKUP('[1]Course Totals'!O$4,'[1]import graded seats course pivo'!$1:$2,2,FALSE),FALSE))),"")</f>
        <v/>
      </c>
      <c r="P1076" s="14" t="str">
        <f>IFERROR((VLOOKUP($A1076,'[1]import success seats course'!$A:AD,HLOOKUP('[1]Course Totals'!P$4,'[1]import success seats course'!$1:$2,2,FALSE),FALSE)/(VLOOKUP($A1076,'[1]import graded seats course pivo'!$A:AN,HLOOKUP('[1]Course Totals'!P$4,'[1]import graded seats course pivo'!$1:$2,2,FALSE),FALSE))),"")</f>
        <v/>
      </c>
      <c r="Q1076" s="14" t="str">
        <f>IFERROR((VLOOKUP($A1076,'[1]import success seats course'!$A:AE,HLOOKUP('[1]Course Totals'!Q$4,'[1]import success seats course'!$1:$2,2,FALSE),FALSE)/(VLOOKUP($A1076,'[1]import graded seats course pivo'!$A:AO,HLOOKUP('[1]Course Totals'!Q$4,'[1]import graded seats course pivo'!$1:$2,2,FALSE),FALSE))),"")</f>
        <v/>
      </c>
      <c r="R1076" s="14" t="str">
        <f>IFERROR((VLOOKUP($A1076,'[1]import success seats course'!$A:AF,HLOOKUP('[1]Course Totals'!R$4,'[1]import success seats course'!$1:$2,2,FALSE),FALSE)/(VLOOKUP($A1076,'[1]import graded seats course pivo'!$A:AP,HLOOKUP('[1]Course Totals'!R$4,'[1]import graded seats course pivo'!$1:$2,2,FALSE),FALSE))),"")</f>
        <v/>
      </c>
      <c r="S1076" s="14" t="str">
        <f>IFERROR((VLOOKUP($A1076,'[1]import success seats course'!$A:AG,HLOOKUP('[1]Course Totals'!S$4,'[1]import success seats course'!$1:$2,2,FALSE),FALSE)/(VLOOKUP($A1076,'[1]import graded seats course pivo'!$A:AQ,HLOOKUP('[1]Course Totals'!S$4,'[1]import graded seats course pivo'!$1:$2,2,FALSE),FALSE))),"")</f>
        <v/>
      </c>
      <c r="Z1076" s="7"/>
      <c r="AA1076" s="7"/>
      <c r="AB1076" s="7"/>
      <c r="AC1076" s="7"/>
    </row>
    <row r="1077" spans="1:29" ht="15.75" hidden="1" customHeight="1" x14ac:dyDescent="0.25">
      <c r="A1077" s="12" t="s">
        <v>997</v>
      </c>
      <c r="B1077" s="14" t="str">
        <f>IFERROR((VLOOKUP($A1077,'[1]import success seats course'!$A:P,HLOOKUP('[1]Course Totals'!B$4,'[1]import success seats course'!$1:$2,2,FALSE),FALSE)/(VLOOKUP($A1077,'[1]import graded seats course pivo'!$A:Z,HLOOKUP('[1]Course Totals'!B$4,'[1]import graded seats course pivo'!$1:$2,2,FALSE),FALSE))),"")</f>
        <v/>
      </c>
      <c r="C1077" s="14" t="str">
        <f>IFERROR((VLOOKUP($A1077,'[1]import success seats course'!$A:Q,HLOOKUP('[1]Course Totals'!C$4,'[1]import success seats course'!$1:$2,2,FALSE),FALSE)/(VLOOKUP($A1077,'[1]import graded seats course pivo'!$A:AA,HLOOKUP('[1]Course Totals'!C$4,'[1]import graded seats course pivo'!$1:$2,2,FALSE),FALSE))),"")</f>
        <v/>
      </c>
      <c r="D1077" s="14" t="str">
        <f>IFERROR((VLOOKUP($A1077,'[1]import success seats course'!$A:R,HLOOKUP('[1]Course Totals'!D$4,'[1]import success seats course'!$1:$2,2,FALSE),FALSE)/(VLOOKUP($A1077,'[1]import graded seats course pivo'!$A:AB,HLOOKUP('[1]Course Totals'!D$4,'[1]import graded seats course pivo'!$1:$2,2,FALSE),FALSE))),"")</f>
        <v/>
      </c>
      <c r="E1077" s="14" t="str">
        <f>IFERROR((VLOOKUP($A1077,'[1]import success seats course'!$A:S,HLOOKUP('[1]Course Totals'!E$4,'[1]import success seats course'!$1:$2,2,FALSE),FALSE)/(VLOOKUP($A1077,'[1]import graded seats course pivo'!$A:AC,HLOOKUP('[1]Course Totals'!E$4,'[1]import graded seats course pivo'!$1:$2,2,FALSE),FALSE))),"")</f>
        <v/>
      </c>
      <c r="F1077" s="14" t="str">
        <f>IFERROR((VLOOKUP($A1077,'[1]import success seats course'!$A:T,HLOOKUP('[1]Course Totals'!F$4,'[1]import success seats course'!$1:$2,2,FALSE),FALSE)/(VLOOKUP($A1077,'[1]import graded seats course pivo'!$A:AD,HLOOKUP('[1]Course Totals'!F$4,'[1]import graded seats course pivo'!$1:$2,2,FALSE),FALSE))),"")</f>
        <v/>
      </c>
      <c r="G1077" s="14" t="str">
        <f>IFERROR((VLOOKUP($A1077,'[1]import success seats course'!$A:U,HLOOKUP('[1]Course Totals'!G$4,'[1]import success seats course'!$1:$2,2,FALSE),FALSE)/(VLOOKUP($A1077,'[1]import graded seats course pivo'!$A:AE,HLOOKUP('[1]Course Totals'!G$4,'[1]import graded seats course pivo'!$1:$2,2,FALSE),FALSE))),"")</f>
        <v/>
      </c>
      <c r="H1077" s="14" t="str">
        <f>IFERROR((VLOOKUP($A1077,'[1]import success seats course'!$A:V,HLOOKUP('[1]Course Totals'!H$4,'[1]import success seats course'!$1:$2,2,FALSE),FALSE)/(VLOOKUP($A1077,'[1]import graded seats course pivo'!$A:AF,HLOOKUP('[1]Course Totals'!H$4,'[1]import graded seats course pivo'!$1:$2,2,FALSE),FALSE))),"")</f>
        <v/>
      </c>
      <c r="I1077" s="14" t="str">
        <f>IFERROR((VLOOKUP($A1077,'[1]import success seats course'!$A:W,HLOOKUP('[1]Course Totals'!I$4,'[1]import success seats course'!$1:$2,2,FALSE),FALSE)/(VLOOKUP($A1077,'[1]import graded seats course pivo'!$A:AG,HLOOKUP('[1]Course Totals'!I$4,'[1]import graded seats course pivo'!$1:$2,2,FALSE),FALSE))),"")</f>
        <v/>
      </c>
      <c r="J1077" s="14" t="str">
        <f>IFERROR((VLOOKUP($A1077,'[1]import success seats course'!$A:X,HLOOKUP('[1]Course Totals'!J$4,'[1]import success seats course'!$1:$2,2,FALSE),FALSE)/(VLOOKUP($A1077,'[1]import graded seats course pivo'!$A:AH,HLOOKUP('[1]Course Totals'!J$4,'[1]import graded seats course pivo'!$1:$2,2,FALSE),FALSE))),"")</f>
        <v/>
      </c>
      <c r="K1077" s="14" t="str">
        <f>IFERROR((VLOOKUP($A1077,'[1]import success seats course'!$A:Y,HLOOKUP('[1]Course Totals'!K$4,'[1]import success seats course'!$1:$2,2,FALSE),FALSE)/(VLOOKUP($A1077,'[1]import graded seats course pivo'!$A:AI,HLOOKUP('[1]Course Totals'!K$4,'[1]import graded seats course pivo'!$1:$2,2,FALSE),FALSE))),"")</f>
        <v/>
      </c>
      <c r="L1077" s="14" t="str">
        <f>IFERROR((VLOOKUP($A1077,'[1]import success seats course'!$A:Z,HLOOKUP('[1]Course Totals'!L$4,'[1]import success seats course'!$1:$2,2,FALSE),FALSE)/(VLOOKUP($A1077,'[1]import graded seats course pivo'!$A:AJ,HLOOKUP('[1]Course Totals'!L$4,'[1]import graded seats course pivo'!$1:$2,2,FALSE),FALSE))),"")</f>
        <v/>
      </c>
      <c r="M1077" s="14" t="str">
        <f>IFERROR((VLOOKUP($A1077,'[1]import success seats course'!$A:AA,HLOOKUP('[1]Course Totals'!M$4,'[1]import success seats course'!$1:$2,2,FALSE),FALSE)/(VLOOKUP($A1077,'[1]import graded seats course pivo'!$A:AK,HLOOKUP('[1]Course Totals'!M$4,'[1]import graded seats course pivo'!$1:$2,2,FALSE),FALSE))),"")</f>
        <v/>
      </c>
      <c r="N1077" s="14" t="str">
        <f>IFERROR((VLOOKUP($A1077,'[1]import success seats course'!$A:AB,HLOOKUP('[1]Course Totals'!N$4,'[1]import success seats course'!$1:$2,2,FALSE),FALSE)/(VLOOKUP($A1077,'[1]import graded seats course pivo'!$A:AL,HLOOKUP('[1]Course Totals'!N$4,'[1]import graded seats course pivo'!$1:$2,2,FALSE),FALSE))),"")</f>
        <v/>
      </c>
      <c r="O1077" s="14" t="str">
        <f>IFERROR((VLOOKUP($A1077,'[1]import success seats course'!$A:AC,HLOOKUP('[1]Course Totals'!O$4,'[1]import success seats course'!$1:$2,2,FALSE),FALSE)/(VLOOKUP($A1077,'[1]import graded seats course pivo'!$A:AM,HLOOKUP('[1]Course Totals'!O$4,'[1]import graded seats course pivo'!$1:$2,2,FALSE),FALSE))),"")</f>
        <v/>
      </c>
      <c r="P1077" s="14" t="str">
        <f>IFERROR((VLOOKUP($A1077,'[1]import success seats course'!$A:AD,HLOOKUP('[1]Course Totals'!P$4,'[1]import success seats course'!$1:$2,2,FALSE),FALSE)/(VLOOKUP($A1077,'[1]import graded seats course pivo'!$A:AN,HLOOKUP('[1]Course Totals'!P$4,'[1]import graded seats course pivo'!$1:$2,2,FALSE),FALSE))),"")</f>
        <v/>
      </c>
      <c r="Q1077" s="14" t="str">
        <f>IFERROR((VLOOKUP($A1077,'[1]import success seats course'!$A:AE,HLOOKUP('[1]Course Totals'!Q$4,'[1]import success seats course'!$1:$2,2,FALSE),FALSE)/(VLOOKUP($A1077,'[1]import graded seats course pivo'!$A:AO,HLOOKUP('[1]Course Totals'!Q$4,'[1]import graded seats course pivo'!$1:$2,2,FALSE),FALSE))),"")</f>
        <v/>
      </c>
      <c r="R1077" s="14" t="str">
        <f>IFERROR((VLOOKUP($A1077,'[1]import success seats course'!$A:AF,HLOOKUP('[1]Course Totals'!R$4,'[1]import success seats course'!$1:$2,2,FALSE),FALSE)/(VLOOKUP($A1077,'[1]import graded seats course pivo'!$A:AP,HLOOKUP('[1]Course Totals'!R$4,'[1]import graded seats course pivo'!$1:$2,2,FALSE),FALSE))),"")</f>
        <v/>
      </c>
      <c r="S1077" s="14" t="str">
        <f>IFERROR((VLOOKUP($A1077,'[1]import success seats course'!$A:AG,HLOOKUP('[1]Course Totals'!S$4,'[1]import success seats course'!$1:$2,2,FALSE),FALSE)/(VLOOKUP($A1077,'[1]import graded seats course pivo'!$A:AQ,HLOOKUP('[1]Course Totals'!S$4,'[1]import graded seats course pivo'!$1:$2,2,FALSE),FALSE))),"")</f>
        <v/>
      </c>
      <c r="Z1077" s="7"/>
      <c r="AA1077" s="7"/>
      <c r="AB1077" s="7"/>
      <c r="AC1077" s="7"/>
    </row>
    <row r="1078" spans="1:29" ht="15.75" customHeight="1" x14ac:dyDescent="0.25">
      <c r="A1078" s="12" t="s">
        <v>518</v>
      </c>
      <c r="B1078" s="14">
        <f>IFERROR((VLOOKUP($A1078,'[1]import success seats course'!$A:P,HLOOKUP('[1]Course Totals'!B$4,'[1]import success seats course'!$1:$2,2,FALSE),FALSE)/(VLOOKUP($A1078,'[1]import graded seats course pivo'!$A:Z,HLOOKUP('[1]Course Totals'!B$4,'[1]import graded seats course pivo'!$1:$2,2,FALSE),FALSE))),"")</f>
        <v>0.9555555555555556</v>
      </c>
      <c r="C1078" s="14">
        <f>IFERROR((VLOOKUP($A1078,'[1]import success seats course'!$A:Q,HLOOKUP('[1]Course Totals'!C$4,'[1]import success seats course'!$1:$2,2,FALSE),FALSE)/(VLOOKUP($A1078,'[1]import graded seats course pivo'!$A:AA,HLOOKUP('[1]Course Totals'!C$4,'[1]import graded seats course pivo'!$1:$2,2,FALSE),FALSE))),"")</f>
        <v>0.85185185185185186</v>
      </c>
      <c r="D1078" s="14">
        <f>IFERROR((VLOOKUP($A1078,'[1]import success seats course'!$A:R,HLOOKUP('[1]Course Totals'!D$4,'[1]import success seats course'!$1:$2,2,FALSE),FALSE)/(VLOOKUP($A1078,'[1]import graded seats course pivo'!$A:AB,HLOOKUP('[1]Course Totals'!D$4,'[1]import graded seats course pivo'!$1:$2,2,FALSE),FALSE))),"")</f>
        <v>0.89447236180904521</v>
      </c>
      <c r="E1078" s="14">
        <f>IFERROR((VLOOKUP($A1078,'[1]import success seats course'!$A:S,HLOOKUP('[1]Course Totals'!E$4,'[1]import success seats course'!$1:$2,2,FALSE),FALSE)/(VLOOKUP($A1078,'[1]import graded seats course pivo'!$A:AC,HLOOKUP('[1]Course Totals'!E$4,'[1]import graded seats course pivo'!$1:$2,2,FALSE),FALSE))),"")</f>
        <v>0.90322580645161288</v>
      </c>
      <c r="F1078" s="14">
        <f>IFERROR((VLOOKUP($A1078,'[1]import success seats course'!$A:T,HLOOKUP('[1]Course Totals'!F$4,'[1]import success seats course'!$1:$2,2,FALSE),FALSE)/(VLOOKUP($A1078,'[1]import graded seats course pivo'!$A:AD,HLOOKUP('[1]Course Totals'!F$4,'[1]import graded seats course pivo'!$1:$2,2,FALSE),FALSE))),"")</f>
        <v>0.81893004115226342</v>
      </c>
      <c r="G1078" s="14">
        <f>IFERROR((VLOOKUP($A1078,'[1]import success seats course'!$A:U,HLOOKUP('[1]Course Totals'!G$4,'[1]import success seats course'!$1:$2,2,FALSE),FALSE)/(VLOOKUP($A1078,'[1]import graded seats course pivo'!$A:AE,HLOOKUP('[1]Course Totals'!G$4,'[1]import graded seats course pivo'!$1:$2,2,FALSE),FALSE))),"")</f>
        <v>0.7963800904977375</v>
      </c>
      <c r="H1078" s="14">
        <f>IFERROR((VLOOKUP($A1078,'[1]import success seats course'!$A:V,HLOOKUP('[1]Course Totals'!H$4,'[1]import success seats course'!$1:$2,2,FALSE),FALSE)/(VLOOKUP($A1078,'[1]import graded seats course pivo'!$A:AF,HLOOKUP('[1]Course Totals'!H$4,'[1]import graded seats course pivo'!$1:$2,2,FALSE),FALSE))),"")</f>
        <v>0.93548387096774188</v>
      </c>
      <c r="I1078" s="14">
        <f>IFERROR((VLOOKUP($A1078,'[1]import success seats course'!$A:W,HLOOKUP('[1]Course Totals'!I$4,'[1]import success seats course'!$1:$2,2,FALSE),FALSE)/(VLOOKUP($A1078,'[1]import graded seats course pivo'!$A:AG,HLOOKUP('[1]Course Totals'!I$4,'[1]import graded seats course pivo'!$1:$2,2,FALSE),FALSE))),"")</f>
        <v>0.82786885245901642</v>
      </c>
      <c r="J1078" s="14">
        <f>IFERROR((VLOOKUP($A1078,'[1]import success seats course'!$A:X,HLOOKUP('[1]Course Totals'!J$4,'[1]import success seats course'!$1:$2,2,FALSE),FALSE)/(VLOOKUP($A1078,'[1]import graded seats course pivo'!$A:AH,HLOOKUP('[1]Course Totals'!J$4,'[1]import graded seats course pivo'!$1:$2,2,FALSE),FALSE))),"")</f>
        <v>0.83333333333333337</v>
      </c>
      <c r="K1078" s="14" t="str">
        <f>IFERROR((VLOOKUP($A1078,'[1]import success seats course'!$A:Y,HLOOKUP('[1]Course Totals'!K$4,'[1]import success seats course'!$1:$2,2,FALSE),FALSE)/(VLOOKUP($A1078,'[1]import graded seats course pivo'!$A:AI,HLOOKUP('[1]Course Totals'!K$4,'[1]import graded seats course pivo'!$1:$2,2,FALSE),FALSE))),"")</f>
        <v/>
      </c>
      <c r="L1078" s="14">
        <f>IFERROR((VLOOKUP($A1078,'[1]import success seats course'!$A:Z,HLOOKUP('[1]Course Totals'!L$4,'[1]import success seats course'!$1:$2,2,FALSE),FALSE)/(VLOOKUP($A1078,'[1]import graded seats course pivo'!$A:AJ,HLOOKUP('[1]Course Totals'!L$4,'[1]import graded seats course pivo'!$1:$2,2,FALSE),FALSE))),"")</f>
        <v>0.86069651741293529</v>
      </c>
      <c r="M1078" s="14">
        <f>IFERROR((VLOOKUP($A1078,'[1]import success seats course'!$A:AA,HLOOKUP('[1]Course Totals'!M$4,'[1]import success seats course'!$1:$2,2,FALSE),FALSE)/(VLOOKUP($A1078,'[1]import graded seats course pivo'!$A:AK,HLOOKUP('[1]Course Totals'!M$4,'[1]import graded seats course pivo'!$1:$2,2,FALSE),FALSE))),"")</f>
        <v>0.85106382978723405</v>
      </c>
      <c r="N1078" s="14" t="str">
        <f>IFERROR((VLOOKUP($A1078,'[1]import success seats course'!$A:AB,HLOOKUP('[1]Course Totals'!N$4,'[1]import success seats course'!$1:$2,2,FALSE),FALSE)/(VLOOKUP($A1078,'[1]import graded seats course pivo'!$A:AL,HLOOKUP('[1]Course Totals'!N$4,'[1]import graded seats course pivo'!$1:$2,2,FALSE),FALSE))),"")</f>
        <v/>
      </c>
      <c r="O1078" s="14">
        <f>IFERROR((VLOOKUP($A1078,'[1]import success seats course'!$A:AC,HLOOKUP('[1]Course Totals'!O$4,'[1]import success seats course'!$1:$2,2,FALSE),FALSE)/(VLOOKUP($A1078,'[1]import graded seats course pivo'!$A:AM,HLOOKUP('[1]Course Totals'!O$4,'[1]import graded seats course pivo'!$1:$2,2,FALSE),FALSE))),"")</f>
        <v>0.81683168316831678</v>
      </c>
      <c r="P1078" s="14">
        <f>IFERROR((VLOOKUP($A1078,'[1]import success seats course'!$A:AD,HLOOKUP('[1]Course Totals'!P$4,'[1]import success seats course'!$1:$2,2,FALSE),FALSE)/(VLOOKUP($A1078,'[1]import graded seats course pivo'!$A:AN,HLOOKUP('[1]Course Totals'!P$4,'[1]import graded seats course pivo'!$1:$2,2,FALSE),FALSE))),"")</f>
        <v>0.83211678832116787</v>
      </c>
      <c r="Q1078" s="14" t="str">
        <f>IFERROR((VLOOKUP($A1078,'[1]import success seats course'!$A:AE,HLOOKUP('[1]Course Totals'!Q$4,'[1]import success seats course'!$1:$2,2,FALSE),FALSE)/(VLOOKUP($A1078,'[1]import graded seats course pivo'!$A:AO,HLOOKUP('[1]Course Totals'!Q$4,'[1]import graded seats course pivo'!$1:$2,2,FALSE),FALSE))),"")</f>
        <v/>
      </c>
      <c r="R1078" s="14">
        <f>IFERROR((VLOOKUP($A1078,'[1]import success seats course'!$A:AF,HLOOKUP('[1]Course Totals'!R$4,'[1]import success seats course'!$1:$2,2,FALSE),FALSE)/(VLOOKUP($A1078,'[1]import graded seats course pivo'!$A:AP,HLOOKUP('[1]Course Totals'!R$4,'[1]import graded seats course pivo'!$1:$2,2,FALSE),FALSE))),"")</f>
        <v>0.78658536585365857</v>
      </c>
      <c r="S1078" s="14">
        <f>IFERROR((VLOOKUP($A1078,'[1]import success seats course'!$A:AG,HLOOKUP('[1]Course Totals'!S$4,'[1]import success seats course'!$1:$2,2,FALSE),FALSE)/(VLOOKUP($A1078,'[1]import graded seats course pivo'!$A:AQ,HLOOKUP('[1]Course Totals'!S$4,'[1]import graded seats course pivo'!$1:$2,2,FALSE),FALSE))),"")</f>
        <v>0.76470588235294112</v>
      </c>
      <c r="Z1078" s="7"/>
      <c r="AA1078" s="7"/>
      <c r="AB1078" s="7"/>
      <c r="AC1078" s="7"/>
    </row>
    <row r="1079" spans="1:29" ht="15.75" customHeight="1" x14ac:dyDescent="0.25">
      <c r="A1079" s="12" t="s">
        <v>758</v>
      </c>
      <c r="B1079" s="14" t="str">
        <f>IFERROR((VLOOKUP($A1079,'[1]import success seats course'!$A:P,HLOOKUP('[1]Course Totals'!B$4,'[1]import success seats course'!$1:$2,2,FALSE),FALSE)/(VLOOKUP($A1079,'[1]import graded seats course pivo'!$A:Z,HLOOKUP('[1]Course Totals'!B$4,'[1]import graded seats course pivo'!$1:$2,2,FALSE),FALSE))),"")</f>
        <v/>
      </c>
      <c r="C1079" s="14" t="str">
        <f>IFERROR((VLOOKUP($A1079,'[1]import success seats course'!$A:Q,HLOOKUP('[1]Course Totals'!C$4,'[1]import success seats course'!$1:$2,2,FALSE),FALSE)/(VLOOKUP($A1079,'[1]import graded seats course pivo'!$A:AA,HLOOKUP('[1]Course Totals'!C$4,'[1]import graded seats course pivo'!$1:$2,2,FALSE),FALSE))),"")</f>
        <v/>
      </c>
      <c r="D1079" s="14" t="str">
        <f>IFERROR((VLOOKUP($A1079,'[1]import success seats course'!$A:R,HLOOKUP('[1]Course Totals'!D$4,'[1]import success seats course'!$1:$2,2,FALSE),FALSE)/(VLOOKUP($A1079,'[1]import graded seats course pivo'!$A:AB,HLOOKUP('[1]Course Totals'!D$4,'[1]import graded seats course pivo'!$1:$2,2,FALSE),FALSE))),"")</f>
        <v/>
      </c>
      <c r="E1079" s="14" t="str">
        <f>IFERROR((VLOOKUP($A1079,'[1]import success seats course'!$A:S,HLOOKUP('[1]Course Totals'!E$4,'[1]import success seats course'!$1:$2,2,FALSE),FALSE)/(VLOOKUP($A1079,'[1]import graded seats course pivo'!$A:AC,HLOOKUP('[1]Course Totals'!E$4,'[1]import graded seats course pivo'!$1:$2,2,FALSE),FALSE))),"")</f>
        <v/>
      </c>
      <c r="F1079" s="14" t="str">
        <f>IFERROR((VLOOKUP($A1079,'[1]import success seats course'!$A:T,HLOOKUP('[1]Course Totals'!F$4,'[1]import success seats course'!$1:$2,2,FALSE),FALSE)/(VLOOKUP($A1079,'[1]import graded seats course pivo'!$A:AD,HLOOKUP('[1]Course Totals'!F$4,'[1]import graded seats course pivo'!$1:$2,2,FALSE),FALSE))),"")</f>
        <v/>
      </c>
      <c r="G1079" s="14" t="str">
        <f>IFERROR((VLOOKUP($A1079,'[1]import success seats course'!$A:U,HLOOKUP('[1]Course Totals'!G$4,'[1]import success seats course'!$1:$2,2,FALSE),FALSE)/(VLOOKUP($A1079,'[1]import graded seats course pivo'!$A:AE,HLOOKUP('[1]Course Totals'!G$4,'[1]import graded seats course pivo'!$1:$2,2,FALSE),FALSE))),"")</f>
        <v/>
      </c>
      <c r="H1079" s="14" t="str">
        <f>IFERROR((VLOOKUP($A1079,'[1]import success seats course'!$A:V,HLOOKUP('[1]Course Totals'!H$4,'[1]import success seats course'!$1:$2,2,FALSE),FALSE)/(VLOOKUP($A1079,'[1]import graded seats course pivo'!$A:AF,HLOOKUP('[1]Course Totals'!H$4,'[1]import graded seats course pivo'!$1:$2,2,FALSE),FALSE))),"")</f>
        <v/>
      </c>
      <c r="I1079" s="14">
        <f>IFERROR((VLOOKUP($A1079,'[1]import success seats course'!$A:W,HLOOKUP('[1]Course Totals'!I$4,'[1]import success seats course'!$1:$2,2,FALSE),FALSE)/(VLOOKUP($A1079,'[1]import graded seats course pivo'!$A:AG,HLOOKUP('[1]Course Totals'!I$4,'[1]import graded seats course pivo'!$1:$2,2,FALSE),FALSE))),"")</f>
        <v>1</v>
      </c>
      <c r="J1079" s="14" t="str">
        <f>IFERROR((VLOOKUP($A1079,'[1]import success seats course'!$A:X,HLOOKUP('[1]Course Totals'!J$4,'[1]import success seats course'!$1:$2,2,FALSE),FALSE)/(VLOOKUP($A1079,'[1]import graded seats course pivo'!$A:AH,HLOOKUP('[1]Course Totals'!J$4,'[1]import graded seats course pivo'!$1:$2,2,FALSE),FALSE))),"")</f>
        <v/>
      </c>
      <c r="K1079" s="14" t="str">
        <f>IFERROR((VLOOKUP($A1079,'[1]import success seats course'!$A:Y,HLOOKUP('[1]Course Totals'!K$4,'[1]import success seats course'!$1:$2,2,FALSE),FALSE)/(VLOOKUP($A1079,'[1]import graded seats course pivo'!$A:AI,HLOOKUP('[1]Course Totals'!K$4,'[1]import graded seats course pivo'!$1:$2,2,FALSE),FALSE))),"")</f>
        <v/>
      </c>
      <c r="L1079" s="14">
        <f>IFERROR((VLOOKUP($A1079,'[1]import success seats course'!$A:Z,HLOOKUP('[1]Course Totals'!L$4,'[1]import success seats course'!$1:$2,2,FALSE),FALSE)/(VLOOKUP($A1079,'[1]import graded seats course pivo'!$A:AJ,HLOOKUP('[1]Course Totals'!L$4,'[1]import graded seats course pivo'!$1:$2,2,FALSE),FALSE))),"")</f>
        <v>1</v>
      </c>
      <c r="M1079" s="14" t="str">
        <f>IFERROR((VLOOKUP($A1079,'[1]import success seats course'!$A:AA,HLOOKUP('[1]Course Totals'!M$4,'[1]import success seats course'!$1:$2,2,FALSE),FALSE)/(VLOOKUP($A1079,'[1]import graded seats course pivo'!$A:AK,HLOOKUP('[1]Course Totals'!M$4,'[1]import graded seats course pivo'!$1:$2,2,FALSE),FALSE))),"")</f>
        <v/>
      </c>
      <c r="N1079" s="14" t="str">
        <f>IFERROR((VLOOKUP($A1079,'[1]import success seats course'!$A:AB,HLOOKUP('[1]Course Totals'!N$4,'[1]import success seats course'!$1:$2,2,FALSE),FALSE)/(VLOOKUP($A1079,'[1]import graded seats course pivo'!$A:AL,HLOOKUP('[1]Course Totals'!N$4,'[1]import graded seats course pivo'!$1:$2,2,FALSE),FALSE))),"")</f>
        <v/>
      </c>
      <c r="O1079" s="14" t="str">
        <f>IFERROR((VLOOKUP($A1079,'[1]import success seats course'!$A:AC,HLOOKUP('[1]Course Totals'!O$4,'[1]import success seats course'!$1:$2,2,FALSE),FALSE)/(VLOOKUP($A1079,'[1]import graded seats course pivo'!$A:AM,HLOOKUP('[1]Course Totals'!O$4,'[1]import graded seats course pivo'!$1:$2,2,FALSE),FALSE))),"")</f>
        <v/>
      </c>
      <c r="P1079" s="14" t="str">
        <f>IFERROR((VLOOKUP($A1079,'[1]import success seats course'!$A:AD,HLOOKUP('[1]Course Totals'!P$4,'[1]import success seats course'!$1:$2,2,FALSE),FALSE)/(VLOOKUP($A1079,'[1]import graded seats course pivo'!$A:AN,HLOOKUP('[1]Course Totals'!P$4,'[1]import graded seats course pivo'!$1:$2,2,FALSE),FALSE))),"")</f>
        <v/>
      </c>
      <c r="Q1079" s="14" t="str">
        <f>IFERROR((VLOOKUP($A1079,'[1]import success seats course'!$A:AE,HLOOKUP('[1]Course Totals'!Q$4,'[1]import success seats course'!$1:$2,2,FALSE),FALSE)/(VLOOKUP($A1079,'[1]import graded seats course pivo'!$A:AO,HLOOKUP('[1]Course Totals'!Q$4,'[1]import graded seats course pivo'!$1:$2,2,FALSE),FALSE))),"")</f>
        <v/>
      </c>
      <c r="R1079" s="14" t="str">
        <f>IFERROR((VLOOKUP($A1079,'[1]import success seats course'!$A:AF,HLOOKUP('[1]Course Totals'!R$4,'[1]import success seats course'!$1:$2,2,FALSE),FALSE)/(VLOOKUP($A1079,'[1]import graded seats course pivo'!$A:AP,HLOOKUP('[1]Course Totals'!R$4,'[1]import graded seats course pivo'!$1:$2,2,FALSE),FALSE))),"")</f>
        <v/>
      </c>
      <c r="S1079" s="14" t="str">
        <f>IFERROR((VLOOKUP($A1079,'[1]import success seats course'!$A:AG,HLOOKUP('[1]Course Totals'!S$4,'[1]import success seats course'!$1:$2,2,FALSE),FALSE)/(VLOOKUP($A1079,'[1]import graded seats course pivo'!$A:AQ,HLOOKUP('[1]Course Totals'!S$4,'[1]import graded seats course pivo'!$1:$2,2,FALSE),FALSE))),"")</f>
        <v/>
      </c>
      <c r="Z1079" s="7"/>
      <c r="AA1079" s="7"/>
      <c r="AB1079" s="7"/>
      <c r="AC1079" s="7"/>
    </row>
    <row r="1080" spans="1:29" ht="15.75" customHeight="1" x14ac:dyDescent="0.25">
      <c r="A1080" s="12" t="s">
        <v>519</v>
      </c>
      <c r="B1080" s="14">
        <f>IFERROR((VLOOKUP($A1080,'[1]import success seats course'!$A:P,HLOOKUP('[1]Course Totals'!B$4,'[1]import success seats course'!$1:$2,2,FALSE),FALSE)/(VLOOKUP($A1080,'[1]import graded seats course pivo'!$A:Z,HLOOKUP('[1]Course Totals'!B$4,'[1]import graded seats course pivo'!$1:$2,2,FALSE),FALSE))),"")</f>
        <v>1</v>
      </c>
      <c r="C1080" s="14">
        <f>IFERROR((VLOOKUP($A1080,'[1]import success seats course'!$A:Q,HLOOKUP('[1]Course Totals'!C$4,'[1]import success seats course'!$1:$2,2,FALSE),FALSE)/(VLOOKUP($A1080,'[1]import graded seats course pivo'!$A:AA,HLOOKUP('[1]Course Totals'!C$4,'[1]import graded seats course pivo'!$1:$2,2,FALSE),FALSE))),"")</f>
        <v>0.84126984126984128</v>
      </c>
      <c r="D1080" s="14">
        <f>IFERROR((VLOOKUP($A1080,'[1]import success seats course'!$A:R,HLOOKUP('[1]Course Totals'!D$4,'[1]import success seats course'!$1:$2,2,FALSE),FALSE)/(VLOOKUP($A1080,'[1]import graded seats course pivo'!$A:AB,HLOOKUP('[1]Course Totals'!D$4,'[1]import graded seats course pivo'!$1:$2,2,FALSE),FALSE))),"")</f>
        <v>0.91111111111111109</v>
      </c>
      <c r="E1080" s="14">
        <f>IFERROR((VLOOKUP($A1080,'[1]import success seats course'!$A:S,HLOOKUP('[1]Course Totals'!E$4,'[1]import success seats course'!$1:$2,2,FALSE),FALSE)/(VLOOKUP($A1080,'[1]import graded seats course pivo'!$A:AC,HLOOKUP('[1]Course Totals'!E$4,'[1]import graded seats course pivo'!$1:$2,2,FALSE),FALSE))),"")</f>
        <v>0.92500000000000004</v>
      </c>
      <c r="F1080" s="14">
        <f>IFERROR((VLOOKUP($A1080,'[1]import success seats course'!$A:T,HLOOKUP('[1]Course Totals'!F$4,'[1]import success seats course'!$1:$2,2,FALSE),FALSE)/(VLOOKUP($A1080,'[1]import graded seats course pivo'!$A:AD,HLOOKUP('[1]Course Totals'!F$4,'[1]import graded seats course pivo'!$1:$2,2,FALSE),FALSE))),"")</f>
        <v>0.88235294117647056</v>
      </c>
      <c r="G1080" s="14">
        <f>IFERROR((VLOOKUP($A1080,'[1]import success seats course'!$A:U,HLOOKUP('[1]Course Totals'!G$4,'[1]import success seats course'!$1:$2,2,FALSE),FALSE)/(VLOOKUP($A1080,'[1]import graded seats course pivo'!$A:AE,HLOOKUP('[1]Course Totals'!G$4,'[1]import graded seats course pivo'!$1:$2,2,FALSE),FALSE))),"")</f>
        <v>0.89583333333333337</v>
      </c>
      <c r="H1080" s="14" t="str">
        <f>IFERROR((VLOOKUP($A1080,'[1]import success seats course'!$A:V,HLOOKUP('[1]Course Totals'!H$4,'[1]import success seats course'!$1:$2,2,FALSE),FALSE)/(VLOOKUP($A1080,'[1]import graded seats course pivo'!$A:AF,HLOOKUP('[1]Course Totals'!H$4,'[1]import graded seats course pivo'!$1:$2,2,FALSE),FALSE))),"")</f>
        <v/>
      </c>
      <c r="I1080" s="14">
        <f>IFERROR((VLOOKUP($A1080,'[1]import success seats course'!$A:W,HLOOKUP('[1]Course Totals'!I$4,'[1]import success seats course'!$1:$2,2,FALSE),FALSE)/(VLOOKUP($A1080,'[1]import graded seats course pivo'!$A:AG,HLOOKUP('[1]Course Totals'!I$4,'[1]import graded seats course pivo'!$1:$2,2,FALSE),FALSE))),"")</f>
        <v>0.91752577319587625</v>
      </c>
      <c r="J1080" s="14">
        <f>IFERROR((VLOOKUP($A1080,'[1]import success seats course'!$A:X,HLOOKUP('[1]Course Totals'!J$4,'[1]import success seats course'!$1:$2,2,FALSE),FALSE)/(VLOOKUP($A1080,'[1]import graded seats course pivo'!$A:AH,HLOOKUP('[1]Course Totals'!J$4,'[1]import graded seats course pivo'!$1:$2,2,FALSE),FALSE))),"")</f>
        <v>0.88709677419354838</v>
      </c>
      <c r="K1080" s="14" t="str">
        <f>IFERROR((VLOOKUP($A1080,'[1]import success seats course'!$A:Y,HLOOKUP('[1]Course Totals'!K$4,'[1]import success seats course'!$1:$2,2,FALSE),FALSE)/(VLOOKUP($A1080,'[1]import graded seats course pivo'!$A:AI,HLOOKUP('[1]Course Totals'!K$4,'[1]import graded seats course pivo'!$1:$2,2,FALSE),FALSE))),"")</f>
        <v/>
      </c>
      <c r="L1080" s="14">
        <f>IFERROR((VLOOKUP($A1080,'[1]import success seats course'!$A:Z,HLOOKUP('[1]Course Totals'!L$4,'[1]import success seats course'!$1:$2,2,FALSE),FALSE)/(VLOOKUP($A1080,'[1]import graded seats course pivo'!$A:AJ,HLOOKUP('[1]Course Totals'!L$4,'[1]import graded seats course pivo'!$1:$2,2,FALSE),FALSE))),"")</f>
        <v>0.92473118279569888</v>
      </c>
      <c r="M1080" s="14">
        <f>IFERROR((VLOOKUP($A1080,'[1]import success seats course'!$A:AA,HLOOKUP('[1]Course Totals'!M$4,'[1]import success seats course'!$1:$2,2,FALSE),FALSE)/(VLOOKUP($A1080,'[1]import graded seats course pivo'!$A:AK,HLOOKUP('[1]Course Totals'!M$4,'[1]import graded seats course pivo'!$1:$2,2,FALSE),FALSE))),"")</f>
        <v>0.83333333333333337</v>
      </c>
      <c r="N1080" s="14" t="str">
        <f>IFERROR((VLOOKUP($A1080,'[1]import success seats course'!$A:AB,HLOOKUP('[1]Course Totals'!N$4,'[1]import success seats course'!$1:$2,2,FALSE),FALSE)/(VLOOKUP($A1080,'[1]import graded seats course pivo'!$A:AL,HLOOKUP('[1]Course Totals'!N$4,'[1]import graded seats course pivo'!$1:$2,2,FALSE),FALSE))),"")</f>
        <v/>
      </c>
      <c r="O1080" s="14">
        <f>IFERROR((VLOOKUP($A1080,'[1]import success seats course'!$A:AC,HLOOKUP('[1]Course Totals'!O$4,'[1]import success seats course'!$1:$2,2,FALSE),FALSE)/(VLOOKUP($A1080,'[1]import graded seats course pivo'!$A:AM,HLOOKUP('[1]Course Totals'!O$4,'[1]import graded seats course pivo'!$1:$2,2,FALSE),FALSE))),"")</f>
        <v>0.86363636363636365</v>
      </c>
      <c r="P1080" s="14">
        <f>IFERROR((VLOOKUP($A1080,'[1]import success seats course'!$A:AD,HLOOKUP('[1]Course Totals'!P$4,'[1]import success seats course'!$1:$2,2,FALSE),FALSE)/(VLOOKUP($A1080,'[1]import graded seats course pivo'!$A:AN,HLOOKUP('[1]Course Totals'!P$4,'[1]import graded seats course pivo'!$1:$2,2,FALSE),FALSE))),"")</f>
        <v>0.82758620689655171</v>
      </c>
      <c r="Q1080" s="14" t="str">
        <f>IFERROR((VLOOKUP($A1080,'[1]import success seats course'!$A:AE,HLOOKUP('[1]Course Totals'!Q$4,'[1]import success seats course'!$1:$2,2,FALSE),FALSE)/(VLOOKUP($A1080,'[1]import graded seats course pivo'!$A:AO,HLOOKUP('[1]Course Totals'!Q$4,'[1]import graded seats course pivo'!$1:$2,2,FALSE),FALSE))),"")</f>
        <v/>
      </c>
      <c r="R1080" s="14">
        <f>IFERROR((VLOOKUP($A1080,'[1]import success seats course'!$A:AF,HLOOKUP('[1]Course Totals'!R$4,'[1]import success seats course'!$1:$2,2,FALSE),FALSE)/(VLOOKUP($A1080,'[1]import graded seats course pivo'!$A:AP,HLOOKUP('[1]Course Totals'!R$4,'[1]import graded seats course pivo'!$1:$2,2,FALSE),FALSE))),"")</f>
        <v>0.89655172413793105</v>
      </c>
      <c r="S1080" s="14">
        <f>IFERROR((VLOOKUP($A1080,'[1]import success seats course'!$A:AG,HLOOKUP('[1]Course Totals'!S$4,'[1]import success seats course'!$1:$2,2,FALSE),FALSE)/(VLOOKUP($A1080,'[1]import graded seats course pivo'!$A:AQ,HLOOKUP('[1]Course Totals'!S$4,'[1]import graded seats course pivo'!$1:$2,2,FALSE),FALSE))),"")</f>
        <v>0.79</v>
      </c>
      <c r="Z1080" s="7"/>
      <c r="AA1080" s="7"/>
      <c r="AB1080" s="7"/>
      <c r="AC1080" s="7"/>
    </row>
    <row r="1081" spans="1:29" ht="15.75" customHeight="1" x14ac:dyDescent="0.25">
      <c r="A1081" s="12" t="s">
        <v>1021</v>
      </c>
      <c r="B1081" s="14" t="str">
        <f>IFERROR((VLOOKUP($A1081,'[1]import success seats course'!$A:P,HLOOKUP('[1]Course Totals'!B$4,'[1]import success seats course'!$1:$2,2,FALSE),FALSE)/(VLOOKUP($A1081,'[1]import graded seats course pivo'!$A:Z,HLOOKUP('[1]Course Totals'!B$4,'[1]import graded seats course pivo'!$1:$2,2,FALSE),FALSE))),"")</f>
        <v/>
      </c>
      <c r="C1081" s="14" t="str">
        <f>IFERROR((VLOOKUP($A1081,'[1]import success seats course'!$A:Q,HLOOKUP('[1]Course Totals'!C$4,'[1]import success seats course'!$1:$2,2,FALSE),FALSE)/(VLOOKUP($A1081,'[1]import graded seats course pivo'!$A:AA,HLOOKUP('[1]Course Totals'!C$4,'[1]import graded seats course pivo'!$1:$2,2,FALSE),FALSE))),"")</f>
        <v/>
      </c>
      <c r="D1081" s="14" t="str">
        <f>IFERROR((VLOOKUP($A1081,'[1]import success seats course'!$A:R,HLOOKUP('[1]Course Totals'!D$4,'[1]import success seats course'!$1:$2,2,FALSE),FALSE)/(VLOOKUP($A1081,'[1]import graded seats course pivo'!$A:AB,HLOOKUP('[1]Course Totals'!D$4,'[1]import graded seats course pivo'!$1:$2,2,FALSE),FALSE))),"")</f>
        <v/>
      </c>
      <c r="E1081" s="14" t="str">
        <f>IFERROR((VLOOKUP($A1081,'[1]import success seats course'!$A:S,HLOOKUP('[1]Course Totals'!E$4,'[1]import success seats course'!$1:$2,2,FALSE),FALSE)/(VLOOKUP($A1081,'[1]import graded seats course pivo'!$A:AC,HLOOKUP('[1]Course Totals'!E$4,'[1]import graded seats course pivo'!$1:$2,2,FALSE),FALSE))),"")</f>
        <v/>
      </c>
      <c r="F1081" s="14" t="str">
        <f>IFERROR((VLOOKUP($A1081,'[1]import success seats course'!$A:T,HLOOKUP('[1]Course Totals'!F$4,'[1]import success seats course'!$1:$2,2,FALSE),FALSE)/(VLOOKUP($A1081,'[1]import graded seats course pivo'!$A:AD,HLOOKUP('[1]Course Totals'!F$4,'[1]import graded seats course pivo'!$1:$2,2,FALSE),FALSE))),"")</f>
        <v/>
      </c>
      <c r="G1081" s="14" t="str">
        <f>IFERROR((VLOOKUP($A1081,'[1]import success seats course'!$A:U,HLOOKUP('[1]Course Totals'!G$4,'[1]import success seats course'!$1:$2,2,FALSE),FALSE)/(VLOOKUP($A1081,'[1]import graded seats course pivo'!$A:AE,HLOOKUP('[1]Course Totals'!G$4,'[1]import graded seats course pivo'!$1:$2,2,FALSE),FALSE))),"")</f>
        <v/>
      </c>
      <c r="H1081" s="14" t="str">
        <f>IFERROR((VLOOKUP($A1081,'[1]import success seats course'!$A:V,HLOOKUP('[1]Course Totals'!H$4,'[1]import success seats course'!$1:$2,2,FALSE),FALSE)/(VLOOKUP($A1081,'[1]import graded seats course pivo'!$A:AF,HLOOKUP('[1]Course Totals'!H$4,'[1]import graded seats course pivo'!$1:$2,2,FALSE),FALSE))),"")</f>
        <v/>
      </c>
      <c r="I1081" s="14" t="str">
        <f>IFERROR((VLOOKUP($A1081,'[1]import success seats course'!$A:W,HLOOKUP('[1]Course Totals'!I$4,'[1]import success seats course'!$1:$2,2,FALSE),FALSE)/(VLOOKUP($A1081,'[1]import graded seats course pivo'!$A:AG,HLOOKUP('[1]Course Totals'!I$4,'[1]import graded seats course pivo'!$1:$2,2,FALSE),FALSE))),"")</f>
        <v/>
      </c>
      <c r="J1081" s="14">
        <f>IFERROR((VLOOKUP($A1081,'[1]import success seats course'!$A:X,HLOOKUP('[1]Course Totals'!J$4,'[1]import success seats course'!$1:$2,2,FALSE),FALSE)/(VLOOKUP($A1081,'[1]import graded seats course pivo'!$A:AH,HLOOKUP('[1]Course Totals'!J$4,'[1]import graded seats course pivo'!$1:$2,2,FALSE),FALSE))),"")</f>
        <v>1</v>
      </c>
      <c r="K1081" s="14" t="str">
        <f>IFERROR((VLOOKUP($A1081,'[1]import success seats course'!$A:Y,HLOOKUP('[1]Course Totals'!K$4,'[1]import success seats course'!$1:$2,2,FALSE),FALSE)/(VLOOKUP($A1081,'[1]import graded seats course pivo'!$A:AI,HLOOKUP('[1]Course Totals'!K$4,'[1]import graded seats course pivo'!$1:$2,2,FALSE),FALSE))),"")</f>
        <v/>
      </c>
      <c r="L1081" s="14" t="str">
        <f>IFERROR((VLOOKUP($A1081,'[1]import success seats course'!$A:Z,HLOOKUP('[1]Course Totals'!L$4,'[1]import success seats course'!$1:$2,2,FALSE),FALSE)/(VLOOKUP($A1081,'[1]import graded seats course pivo'!$A:AJ,HLOOKUP('[1]Course Totals'!L$4,'[1]import graded seats course pivo'!$1:$2,2,FALSE),FALSE))),"")</f>
        <v/>
      </c>
      <c r="M1081" s="14">
        <f>IFERROR((VLOOKUP($A1081,'[1]import success seats course'!$A:AA,HLOOKUP('[1]Course Totals'!M$4,'[1]import success seats course'!$1:$2,2,FALSE),FALSE)/(VLOOKUP($A1081,'[1]import graded seats course pivo'!$A:AK,HLOOKUP('[1]Course Totals'!M$4,'[1]import graded seats course pivo'!$1:$2,2,FALSE),FALSE))),"")</f>
        <v>1</v>
      </c>
      <c r="N1081" s="14" t="str">
        <f>IFERROR((VLOOKUP($A1081,'[1]import success seats course'!$A:AB,HLOOKUP('[1]Course Totals'!N$4,'[1]import success seats course'!$1:$2,2,FALSE),FALSE)/(VLOOKUP($A1081,'[1]import graded seats course pivo'!$A:AL,HLOOKUP('[1]Course Totals'!N$4,'[1]import graded seats course pivo'!$1:$2,2,FALSE),FALSE))),"")</f>
        <v/>
      </c>
      <c r="O1081" s="14" t="str">
        <f>IFERROR((VLOOKUP($A1081,'[1]import success seats course'!$A:AC,HLOOKUP('[1]Course Totals'!O$4,'[1]import success seats course'!$1:$2,2,FALSE),FALSE)/(VLOOKUP($A1081,'[1]import graded seats course pivo'!$A:AM,HLOOKUP('[1]Course Totals'!O$4,'[1]import graded seats course pivo'!$1:$2,2,FALSE),FALSE))),"")</f>
        <v/>
      </c>
      <c r="P1081" s="14" t="str">
        <f>IFERROR((VLOOKUP($A1081,'[1]import success seats course'!$A:AD,HLOOKUP('[1]Course Totals'!P$4,'[1]import success seats course'!$1:$2,2,FALSE),FALSE)/(VLOOKUP($A1081,'[1]import graded seats course pivo'!$A:AN,HLOOKUP('[1]Course Totals'!P$4,'[1]import graded seats course pivo'!$1:$2,2,FALSE),FALSE))),"")</f>
        <v/>
      </c>
      <c r="Q1081" s="14" t="str">
        <f>IFERROR((VLOOKUP($A1081,'[1]import success seats course'!$A:AE,HLOOKUP('[1]Course Totals'!Q$4,'[1]import success seats course'!$1:$2,2,FALSE),FALSE)/(VLOOKUP($A1081,'[1]import graded seats course pivo'!$A:AO,HLOOKUP('[1]Course Totals'!Q$4,'[1]import graded seats course pivo'!$1:$2,2,FALSE),FALSE))),"")</f>
        <v/>
      </c>
      <c r="R1081" s="14" t="str">
        <f>IFERROR((VLOOKUP($A1081,'[1]import success seats course'!$A:AF,HLOOKUP('[1]Course Totals'!R$4,'[1]import success seats course'!$1:$2,2,FALSE),FALSE)/(VLOOKUP($A1081,'[1]import graded seats course pivo'!$A:AP,HLOOKUP('[1]Course Totals'!R$4,'[1]import graded seats course pivo'!$1:$2,2,FALSE),FALSE))),"")</f>
        <v/>
      </c>
      <c r="S1081" s="14" t="str">
        <f>IFERROR((VLOOKUP($A1081,'[1]import success seats course'!$A:AG,HLOOKUP('[1]Course Totals'!S$4,'[1]import success seats course'!$1:$2,2,FALSE),FALSE)/(VLOOKUP($A1081,'[1]import graded seats course pivo'!$A:AQ,HLOOKUP('[1]Course Totals'!S$4,'[1]import graded seats course pivo'!$1:$2,2,FALSE),FALSE))),"")</f>
        <v/>
      </c>
      <c r="Z1081" s="7"/>
      <c r="AA1081" s="7"/>
      <c r="AB1081" s="7"/>
      <c r="AC1081" s="7"/>
    </row>
    <row r="1082" spans="1:29" ht="15.75" customHeight="1" x14ac:dyDescent="0.25">
      <c r="A1082" s="12" t="s">
        <v>520</v>
      </c>
      <c r="B1082" s="14" t="str">
        <f>IFERROR((VLOOKUP($A1082,'[1]import success seats course'!$A:P,HLOOKUP('[1]Course Totals'!B$4,'[1]import success seats course'!$1:$2,2,FALSE),FALSE)/(VLOOKUP($A1082,'[1]import graded seats course pivo'!$A:Z,HLOOKUP('[1]Course Totals'!B$4,'[1]import graded seats course pivo'!$1:$2,2,FALSE),FALSE))),"")</f>
        <v/>
      </c>
      <c r="C1082" s="14">
        <f>IFERROR((VLOOKUP($A1082,'[1]import success seats course'!$A:Q,HLOOKUP('[1]Course Totals'!C$4,'[1]import success seats course'!$1:$2,2,FALSE),FALSE)/(VLOOKUP($A1082,'[1]import graded seats course pivo'!$A:AA,HLOOKUP('[1]Course Totals'!C$4,'[1]import graded seats course pivo'!$1:$2,2,FALSE),FALSE))),"")</f>
        <v>0.53333333333333333</v>
      </c>
      <c r="D1082" s="14" t="str">
        <f>IFERROR((VLOOKUP($A1082,'[1]import success seats course'!$A:R,HLOOKUP('[1]Course Totals'!D$4,'[1]import success seats course'!$1:$2,2,FALSE),FALSE)/(VLOOKUP($A1082,'[1]import graded seats course pivo'!$A:AB,HLOOKUP('[1]Course Totals'!D$4,'[1]import graded seats course pivo'!$1:$2,2,FALSE),FALSE))),"")</f>
        <v/>
      </c>
      <c r="E1082" s="14" t="str">
        <f>IFERROR((VLOOKUP($A1082,'[1]import success seats course'!$A:S,HLOOKUP('[1]Course Totals'!E$4,'[1]import success seats course'!$1:$2,2,FALSE),FALSE)/(VLOOKUP($A1082,'[1]import graded seats course pivo'!$A:AC,HLOOKUP('[1]Course Totals'!E$4,'[1]import graded seats course pivo'!$1:$2,2,FALSE),FALSE))),"")</f>
        <v/>
      </c>
      <c r="F1082" s="14" t="str">
        <f>IFERROR((VLOOKUP($A1082,'[1]import success seats course'!$A:T,HLOOKUP('[1]Course Totals'!F$4,'[1]import success seats course'!$1:$2,2,FALSE),FALSE)/(VLOOKUP($A1082,'[1]import graded seats course pivo'!$A:AD,HLOOKUP('[1]Course Totals'!F$4,'[1]import graded seats course pivo'!$1:$2,2,FALSE),FALSE))),"")</f>
        <v/>
      </c>
      <c r="G1082" s="14">
        <f>IFERROR((VLOOKUP($A1082,'[1]import success seats course'!$A:U,HLOOKUP('[1]Course Totals'!G$4,'[1]import success seats course'!$1:$2,2,FALSE),FALSE)/(VLOOKUP($A1082,'[1]import graded seats course pivo'!$A:AE,HLOOKUP('[1]Course Totals'!G$4,'[1]import graded seats course pivo'!$1:$2,2,FALSE),FALSE))),"")</f>
        <v>1</v>
      </c>
      <c r="H1082" s="14" t="str">
        <f>IFERROR((VLOOKUP($A1082,'[1]import success seats course'!$A:V,HLOOKUP('[1]Course Totals'!H$4,'[1]import success seats course'!$1:$2,2,FALSE),FALSE)/(VLOOKUP($A1082,'[1]import graded seats course pivo'!$A:AF,HLOOKUP('[1]Course Totals'!H$4,'[1]import graded seats course pivo'!$1:$2,2,FALSE),FALSE))),"")</f>
        <v/>
      </c>
      <c r="I1082" s="14" t="str">
        <f>IFERROR((VLOOKUP($A1082,'[1]import success seats course'!$A:W,HLOOKUP('[1]Course Totals'!I$4,'[1]import success seats course'!$1:$2,2,FALSE),FALSE)/(VLOOKUP($A1082,'[1]import graded seats course pivo'!$A:AG,HLOOKUP('[1]Course Totals'!I$4,'[1]import graded seats course pivo'!$1:$2,2,FALSE),FALSE))),"")</f>
        <v/>
      </c>
      <c r="J1082" s="14">
        <f>IFERROR((VLOOKUP($A1082,'[1]import success seats course'!$A:X,HLOOKUP('[1]Course Totals'!J$4,'[1]import success seats course'!$1:$2,2,FALSE),FALSE)/(VLOOKUP($A1082,'[1]import graded seats course pivo'!$A:AH,HLOOKUP('[1]Course Totals'!J$4,'[1]import graded seats course pivo'!$1:$2,2,FALSE),FALSE))),"")</f>
        <v>0.76</v>
      </c>
      <c r="K1082" s="14" t="str">
        <f>IFERROR((VLOOKUP($A1082,'[1]import success seats course'!$A:Y,HLOOKUP('[1]Course Totals'!K$4,'[1]import success seats course'!$1:$2,2,FALSE),FALSE)/(VLOOKUP($A1082,'[1]import graded seats course pivo'!$A:AI,HLOOKUP('[1]Course Totals'!K$4,'[1]import graded seats course pivo'!$1:$2,2,FALSE),FALSE))),"")</f>
        <v/>
      </c>
      <c r="L1082" s="14">
        <f>IFERROR((VLOOKUP($A1082,'[1]import success seats course'!$A:Z,HLOOKUP('[1]Course Totals'!L$4,'[1]import success seats course'!$1:$2,2,FALSE),FALSE)/(VLOOKUP($A1082,'[1]import graded seats course pivo'!$A:AJ,HLOOKUP('[1]Course Totals'!L$4,'[1]import graded seats course pivo'!$1:$2,2,FALSE),FALSE))),"")</f>
        <v>0.86486486486486491</v>
      </c>
      <c r="M1082" s="14">
        <f>IFERROR((VLOOKUP($A1082,'[1]import success seats course'!$A:AA,HLOOKUP('[1]Course Totals'!M$4,'[1]import success seats course'!$1:$2,2,FALSE),FALSE)/(VLOOKUP($A1082,'[1]import graded seats course pivo'!$A:AK,HLOOKUP('[1]Course Totals'!M$4,'[1]import graded seats course pivo'!$1:$2,2,FALSE),FALSE))),"")</f>
        <v>0.79166666666666663</v>
      </c>
      <c r="N1082" s="14" t="str">
        <f>IFERROR((VLOOKUP($A1082,'[1]import success seats course'!$A:AB,HLOOKUP('[1]Course Totals'!N$4,'[1]import success seats course'!$1:$2,2,FALSE),FALSE)/(VLOOKUP($A1082,'[1]import graded seats course pivo'!$A:AL,HLOOKUP('[1]Course Totals'!N$4,'[1]import graded seats course pivo'!$1:$2,2,FALSE),FALSE))),"")</f>
        <v/>
      </c>
      <c r="O1082" s="14">
        <f>IFERROR((VLOOKUP($A1082,'[1]import success seats course'!$A:AC,HLOOKUP('[1]Course Totals'!O$4,'[1]import success seats course'!$1:$2,2,FALSE),FALSE)/(VLOOKUP($A1082,'[1]import graded seats course pivo'!$A:AM,HLOOKUP('[1]Course Totals'!O$4,'[1]import graded seats course pivo'!$1:$2,2,FALSE),FALSE))),"")</f>
        <v>1</v>
      </c>
      <c r="P1082" s="14">
        <f>IFERROR((VLOOKUP($A1082,'[1]import success seats course'!$A:AD,HLOOKUP('[1]Course Totals'!P$4,'[1]import success seats course'!$1:$2,2,FALSE),FALSE)/(VLOOKUP($A1082,'[1]import graded seats course pivo'!$A:AN,HLOOKUP('[1]Course Totals'!P$4,'[1]import graded seats course pivo'!$1:$2,2,FALSE),FALSE))),"")</f>
        <v>0.92307692307692313</v>
      </c>
      <c r="Q1082" s="14" t="str">
        <f>IFERROR((VLOOKUP($A1082,'[1]import success seats course'!$A:AE,HLOOKUP('[1]Course Totals'!Q$4,'[1]import success seats course'!$1:$2,2,FALSE),FALSE)/(VLOOKUP($A1082,'[1]import graded seats course pivo'!$A:AO,HLOOKUP('[1]Course Totals'!Q$4,'[1]import graded seats course pivo'!$1:$2,2,FALSE),FALSE))),"")</f>
        <v/>
      </c>
      <c r="R1082" s="14">
        <f>IFERROR((VLOOKUP($A1082,'[1]import success seats course'!$A:AF,HLOOKUP('[1]Course Totals'!R$4,'[1]import success seats course'!$1:$2,2,FALSE),FALSE)/(VLOOKUP($A1082,'[1]import graded seats course pivo'!$A:AP,HLOOKUP('[1]Course Totals'!R$4,'[1]import graded seats course pivo'!$1:$2,2,FALSE),FALSE))),"")</f>
        <v>0.84848484848484851</v>
      </c>
      <c r="S1082" s="14">
        <f>IFERROR((VLOOKUP($A1082,'[1]import success seats course'!$A:AG,HLOOKUP('[1]Course Totals'!S$4,'[1]import success seats course'!$1:$2,2,FALSE),FALSE)/(VLOOKUP($A1082,'[1]import graded seats course pivo'!$A:AQ,HLOOKUP('[1]Course Totals'!S$4,'[1]import graded seats course pivo'!$1:$2,2,FALSE),FALSE))),"")</f>
        <v>0.75757575757575757</v>
      </c>
      <c r="Z1082" s="7"/>
      <c r="AA1082" s="7"/>
      <c r="AB1082" s="7"/>
      <c r="AC1082" s="7"/>
    </row>
    <row r="1083" spans="1:29" ht="15.75" customHeight="1" x14ac:dyDescent="0.25">
      <c r="A1083" s="12" t="s">
        <v>818</v>
      </c>
      <c r="B1083" s="14" t="str">
        <f>IFERROR((VLOOKUP($A1083,'[1]import success seats course'!$A:P,HLOOKUP('[1]Course Totals'!B$4,'[1]import success seats course'!$1:$2,2,FALSE),FALSE)/(VLOOKUP($A1083,'[1]import graded seats course pivo'!$A:Z,HLOOKUP('[1]Course Totals'!B$4,'[1]import graded seats course pivo'!$1:$2,2,FALSE),FALSE))),"")</f>
        <v/>
      </c>
      <c r="C1083" s="14" t="str">
        <f>IFERROR((VLOOKUP($A1083,'[1]import success seats course'!$A:Q,HLOOKUP('[1]Course Totals'!C$4,'[1]import success seats course'!$1:$2,2,FALSE),FALSE)/(VLOOKUP($A1083,'[1]import graded seats course pivo'!$A:AA,HLOOKUP('[1]Course Totals'!C$4,'[1]import graded seats course pivo'!$1:$2,2,FALSE),FALSE))),"")</f>
        <v/>
      </c>
      <c r="D1083" s="14" t="str">
        <f>IFERROR((VLOOKUP($A1083,'[1]import success seats course'!$A:R,HLOOKUP('[1]Course Totals'!D$4,'[1]import success seats course'!$1:$2,2,FALSE),FALSE)/(VLOOKUP($A1083,'[1]import graded seats course pivo'!$A:AB,HLOOKUP('[1]Course Totals'!D$4,'[1]import graded seats course pivo'!$1:$2,2,FALSE),FALSE))),"")</f>
        <v/>
      </c>
      <c r="E1083" s="14" t="str">
        <f>IFERROR((VLOOKUP($A1083,'[1]import success seats course'!$A:S,HLOOKUP('[1]Course Totals'!E$4,'[1]import success seats course'!$1:$2,2,FALSE),FALSE)/(VLOOKUP($A1083,'[1]import graded seats course pivo'!$A:AC,HLOOKUP('[1]Course Totals'!E$4,'[1]import graded seats course pivo'!$1:$2,2,FALSE),FALSE))),"")</f>
        <v/>
      </c>
      <c r="F1083" s="14" t="str">
        <f>IFERROR((VLOOKUP($A1083,'[1]import success seats course'!$A:T,HLOOKUP('[1]Course Totals'!F$4,'[1]import success seats course'!$1:$2,2,FALSE),FALSE)/(VLOOKUP($A1083,'[1]import graded seats course pivo'!$A:AD,HLOOKUP('[1]Course Totals'!F$4,'[1]import graded seats course pivo'!$1:$2,2,FALSE),FALSE))),"")</f>
        <v/>
      </c>
      <c r="G1083" s="14" t="str">
        <f>IFERROR((VLOOKUP($A1083,'[1]import success seats course'!$A:U,HLOOKUP('[1]Course Totals'!G$4,'[1]import success seats course'!$1:$2,2,FALSE),FALSE)/(VLOOKUP($A1083,'[1]import graded seats course pivo'!$A:AE,HLOOKUP('[1]Course Totals'!G$4,'[1]import graded seats course pivo'!$1:$2,2,FALSE),FALSE))),"")</f>
        <v/>
      </c>
      <c r="H1083" s="14" t="str">
        <f>IFERROR((VLOOKUP($A1083,'[1]import success seats course'!$A:V,HLOOKUP('[1]Course Totals'!H$4,'[1]import success seats course'!$1:$2,2,FALSE),FALSE)/(VLOOKUP($A1083,'[1]import graded seats course pivo'!$A:AF,HLOOKUP('[1]Course Totals'!H$4,'[1]import graded seats course pivo'!$1:$2,2,FALSE),FALSE))),"")</f>
        <v/>
      </c>
      <c r="I1083" s="14" t="str">
        <f>IFERROR((VLOOKUP($A1083,'[1]import success seats course'!$A:W,HLOOKUP('[1]Course Totals'!I$4,'[1]import success seats course'!$1:$2,2,FALSE),FALSE)/(VLOOKUP($A1083,'[1]import graded seats course pivo'!$A:AG,HLOOKUP('[1]Course Totals'!I$4,'[1]import graded seats course pivo'!$1:$2,2,FALSE),FALSE))),"")</f>
        <v/>
      </c>
      <c r="J1083" s="14" t="str">
        <f>IFERROR((VLOOKUP($A1083,'[1]import success seats course'!$A:X,HLOOKUP('[1]Course Totals'!J$4,'[1]import success seats course'!$1:$2,2,FALSE),FALSE)/(VLOOKUP($A1083,'[1]import graded seats course pivo'!$A:AH,HLOOKUP('[1]Course Totals'!J$4,'[1]import graded seats course pivo'!$1:$2,2,FALSE),FALSE))),"")</f>
        <v/>
      </c>
      <c r="K1083" s="14" t="str">
        <f>IFERROR((VLOOKUP($A1083,'[1]import success seats course'!$A:Y,HLOOKUP('[1]Course Totals'!K$4,'[1]import success seats course'!$1:$2,2,FALSE),FALSE)/(VLOOKUP($A1083,'[1]import graded seats course pivo'!$A:AI,HLOOKUP('[1]Course Totals'!K$4,'[1]import graded seats course pivo'!$1:$2,2,FALSE),FALSE))),"")</f>
        <v/>
      </c>
      <c r="L1083" s="14">
        <f>IFERROR((VLOOKUP($A1083,'[1]import success seats course'!$A:Z,HLOOKUP('[1]Course Totals'!L$4,'[1]import success seats course'!$1:$2,2,FALSE),FALSE)/(VLOOKUP($A1083,'[1]import graded seats course pivo'!$A:AJ,HLOOKUP('[1]Course Totals'!L$4,'[1]import graded seats course pivo'!$1:$2,2,FALSE),FALSE))),"")</f>
        <v>1</v>
      </c>
      <c r="M1083" s="14">
        <f>IFERROR((VLOOKUP($A1083,'[1]import success seats course'!$A:AA,HLOOKUP('[1]Course Totals'!M$4,'[1]import success seats course'!$1:$2,2,FALSE),FALSE)/(VLOOKUP($A1083,'[1]import graded seats course pivo'!$A:AK,HLOOKUP('[1]Course Totals'!M$4,'[1]import graded seats course pivo'!$1:$2,2,FALSE),FALSE))),"")</f>
        <v>0.8</v>
      </c>
      <c r="N1083" s="14" t="str">
        <f>IFERROR((VLOOKUP($A1083,'[1]import success seats course'!$A:AB,HLOOKUP('[1]Course Totals'!N$4,'[1]import success seats course'!$1:$2,2,FALSE),FALSE)/(VLOOKUP($A1083,'[1]import graded seats course pivo'!$A:AL,HLOOKUP('[1]Course Totals'!N$4,'[1]import graded seats course pivo'!$1:$2,2,FALSE),FALSE))),"")</f>
        <v/>
      </c>
      <c r="O1083" s="14">
        <f>IFERROR((VLOOKUP($A1083,'[1]import success seats course'!$A:AC,HLOOKUP('[1]Course Totals'!O$4,'[1]import success seats course'!$1:$2,2,FALSE),FALSE)/(VLOOKUP($A1083,'[1]import graded seats course pivo'!$A:AM,HLOOKUP('[1]Course Totals'!O$4,'[1]import graded seats course pivo'!$1:$2,2,FALSE),FALSE))),"")</f>
        <v>1</v>
      </c>
      <c r="P1083" s="14">
        <f>IFERROR((VLOOKUP($A1083,'[1]import success seats course'!$A:AD,HLOOKUP('[1]Course Totals'!P$4,'[1]import success seats course'!$1:$2,2,FALSE),FALSE)/(VLOOKUP($A1083,'[1]import graded seats course pivo'!$A:AN,HLOOKUP('[1]Course Totals'!P$4,'[1]import graded seats course pivo'!$1:$2,2,FALSE),FALSE))),"")</f>
        <v>1</v>
      </c>
      <c r="Q1083" s="14" t="str">
        <f>IFERROR((VLOOKUP($A1083,'[1]import success seats course'!$A:AE,HLOOKUP('[1]Course Totals'!Q$4,'[1]import success seats course'!$1:$2,2,FALSE),FALSE)/(VLOOKUP($A1083,'[1]import graded seats course pivo'!$A:AO,HLOOKUP('[1]Course Totals'!Q$4,'[1]import graded seats course pivo'!$1:$2,2,FALSE),FALSE))),"")</f>
        <v/>
      </c>
      <c r="R1083" s="14">
        <f>IFERROR((VLOOKUP($A1083,'[1]import success seats course'!$A:AF,HLOOKUP('[1]Course Totals'!R$4,'[1]import success seats course'!$1:$2,2,FALSE),FALSE)/(VLOOKUP($A1083,'[1]import graded seats course pivo'!$A:AP,HLOOKUP('[1]Course Totals'!R$4,'[1]import graded seats course pivo'!$1:$2,2,FALSE),FALSE))),"")</f>
        <v>0.875</v>
      </c>
      <c r="S1083" s="14">
        <f>IFERROR((VLOOKUP($A1083,'[1]import success seats course'!$A:AG,HLOOKUP('[1]Course Totals'!S$4,'[1]import success seats course'!$1:$2,2,FALSE),FALSE)/(VLOOKUP($A1083,'[1]import graded seats course pivo'!$A:AQ,HLOOKUP('[1]Course Totals'!S$4,'[1]import graded seats course pivo'!$1:$2,2,FALSE),FALSE))),"")</f>
        <v>1</v>
      </c>
      <c r="Z1083" s="7"/>
      <c r="AA1083" s="7"/>
      <c r="AB1083" s="7"/>
      <c r="AC1083" s="7"/>
    </row>
    <row r="1084" spans="1:29" ht="15.75" customHeight="1" x14ac:dyDescent="0.25">
      <c r="A1084" s="12" t="s">
        <v>521</v>
      </c>
      <c r="B1084" s="14">
        <f>IFERROR((VLOOKUP($A1084,'[1]import success seats course'!$A:P,HLOOKUP('[1]Course Totals'!B$4,'[1]import success seats course'!$1:$2,2,FALSE),FALSE)/(VLOOKUP($A1084,'[1]import graded seats course pivo'!$A:Z,HLOOKUP('[1]Course Totals'!B$4,'[1]import graded seats course pivo'!$1:$2,2,FALSE),FALSE))),"")</f>
        <v>0.95</v>
      </c>
      <c r="C1084" s="14">
        <f>IFERROR((VLOOKUP($A1084,'[1]import success seats course'!$A:Q,HLOOKUP('[1]Course Totals'!C$4,'[1]import success seats course'!$1:$2,2,FALSE),FALSE)/(VLOOKUP($A1084,'[1]import graded seats course pivo'!$A:AA,HLOOKUP('[1]Course Totals'!C$4,'[1]import graded seats course pivo'!$1:$2,2,FALSE),FALSE))),"")</f>
        <v>0.81818181818181823</v>
      </c>
      <c r="D1084" s="14">
        <f>IFERROR((VLOOKUP($A1084,'[1]import success seats course'!$A:R,HLOOKUP('[1]Course Totals'!D$4,'[1]import success seats course'!$1:$2,2,FALSE),FALSE)/(VLOOKUP($A1084,'[1]import graded seats course pivo'!$A:AB,HLOOKUP('[1]Course Totals'!D$4,'[1]import graded seats course pivo'!$1:$2,2,FALSE),FALSE))),"")</f>
        <v>0.94871794871794868</v>
      </c>
      <c r="E1084" s="14" t="str">
        <f>IFERROR((VLOOKUP($A1084,'[1]import success seats course'!$A:S,HLOOKUP('[1]Course Totals'!E$4,'[1]import success seats course'!$1:$2,2,FALSE),FALSE)/(VLOOKUP($A1084,'[1]import graded seats course pivo'!$A:AC,HLOOKUP('[1]Course Totals'!E$4,'[1]import graded seats course pivo'!$1:$2,2,FALSE),FALSE))),"")</f>
        <v/>
      </c>
      <c r="F1084" s="14">
        <f>IFERROR((VLOOKUP($A1084,'[1]import success seats course'!$A:T,HLOOKUP('[1]Course Totals'!F$4,'[1]import success seats course'!$1:$2,2,FALSE),FALSE)/(VLOOKUP($A1084,'[1]import graded seats course pivo'!$A:AD,HLOOKUP('[1]Course Totals'!F$4,'[1]import graded seats course pivo'!$1:$2,2,FALSE),FALSE))),"")</f>
        <v>0.88372093023255816</v>
      </c>
      <c r="G1084" s="14">
        <f>IFERROR((VLOOKUP($A1084,'[1]import success seats course'!$A:U,HLOOKUP('[1]Course Totals'!G$4,'[1]import success seats course'!$1:$2,2,FALSE),FALSE)/(VLOOKUP($A1084,'[1]import graded seats course pivo'!$A:AE,HLOOKUP('[1]Course Totals'!G$4,'[1]import graded seats course pivo'!$1:$2,2,FALSE),FALSE))),"")</f>
        <v>0.89473684210526316</v>
      </c>
      <c r="H1084" s="14" t="str">
        <f>IFERROR((VLOOKUP($A1084,'[1]import success seats course'!$A:V,HLOOKUP('[1]Course Totals'!H$4,'[1]import success seats course'!$1:$2,2,FALSE),FALSE)/(VLOOKUP($A1084,'[1]import graded seats course pivo'!$A:AF,HLOOKUP('[1]Course Totals'!H$4,'[1]import graded seats course pivo'!$1:$2,2,FALSE),FALSE))),"")</f>
        <v/>
      </c>
      <c r="I1084" s="14">
        <f>IFERROR((VLOOKUP($A1084,'[1]import success seats course'!$A:W,HLOOKUP('[1]Course Totals'!I$4,'[1]import success seats course'!$1:$2,2,FALSE),FALSE)/(VLOOKUP($A1084,'[1]import graded seats course pivo'!$A:AG,HLOOKUP('[1]Course Totals'!I$4,'[1]import graded seats course pivo'!$1:$2,2,FALSE),FALSE))),"")</f>
        <v>0.9285714285714286</v>
      </c>
      <c r="J1084" s="14">
        <f>IFERROR((VLOOKUP($A1084,'[1]import success seats course'!$A:X,HLOOKUP('[1]Course Totals'!J$4,'[1]import success seats course'!$1:$2,2,FALSE),FALSE)/(VLOOKUP($A1084,'[1]import graded seats course pivo'!$A:AH,HLOOKUP('[1]Course Totals'!J$4,'[1]import graded seats course pivo'!$1:$2,2,FALSE),FALSE))),"")</f>
        <v>0.91803278688524592</v>
      </c>
      <c r="K1084" s="14" t="str">
        <f>IFERROR((VLOOKUP($A1084,'[1]import success seats course'!$A:Y,HLOOKUP('[1]Course Totals'!K$4,'[1]import success seats course'!$1:$2,2,FALSE),FALSE)/(VLOOKUP($A1084,'[1]import graded seats course pivo'!$A:AI,HLOOKUP('[1]Course Totals'!K$4,'[1]import graded seats course pivo'!$1:$2,2,FALSE),FALSE))),"")</f>
        <v/>
      </c>
      <c r="L1084" s="14">
        <f>IFERROR((VLOOKUP($A1084,'[1]import success seats course'!$A:Z,HLOOKUP('[1]Course Totals'!L$4,'[1]import success seats course'!$1:$2,2,FALSE),FALSE)/(VLOOKUP($A1084,'[1]import graded seats course pivo'!$A:AJ,HLOOKUP('[1]Course Totals'!L$4,'[1]import graded seats course pivo'!$1:$2,2,FALSE),FALSE))),"")</f>
        <v>0.95161290322580649</v>
      </c>
      <c r="M1084" s="14">
        <f>IFERROR((VLOOKUP($A1084,'[1]import success seats course'!$A:AA,HLOOKUP('[1]Course Totals'!M$4,'[1]import success seats course'!$1:$2,2,FALSE),FALSE)/(VLOOKUP($A1084,'[1]import graded seats course pivo'!$A:AK,HLOOKUP('[1]Course Totals'!M$4,'[1]import graded seats course pivo'!$1:$2,2,FALSE),FALSE))),"")</f>
        <v>0.94666666666666666</v>
      </c>
      <c r="N1084" s="14" t="str">
        <f>IFERROR((VLOOKUP($A1084,'[1]import success seats course'!$A:AB,HLOOKUP('[1]Course Totals'!N$4,'[1]import success seats course'!$1:$2,2,FALSE),FALSE)/(VLOOKUP($A1084,'[1]import graded seats course pivo'!$A:AL,HLOOKUP('[1]Course Totals'!N$4,'[1]import graded seats course pivo'!$1:$2,2,FALSE),FALSE))),"")</f>
        <v/>
      </c>
      <c r="O1084" s="14">
        <f>IFERROR((VLOOKUP($A1084,'[1]import success seats course'!$A:AC,HLOOKUP('[1]Course Totals'!O$4,'[1]import success seats course'!$1:$2,2,FALSE),FALSE)/(VLOOKUP($A1084,'[1]import graded seats course pivo'!$A:AM,HLOOKUP('[1]Course Totals'!O$4,'[1]import graded seats course pivo'!$1:$2,2,FALSE),FALSE))),"")</f>
        <v>0.90566037735849059</v>
      </c>
      <c r="P1084" s="14">
        <f>IFERROR((VLOOKUP($A1084,'[1]import success seats course'!$A:AD,HLOOKUP('[1]Course Totals'!P$4,'[1]import success seats course'!$1:$2,2,FALSE),FALSE)/(VLOOKUP($A1084,'[1]import graded seats course pivo'!$A:AN,HLOOKUP('[1]Course Totals'!P$4,'[1]import graded seats course pivo'!$1:$2,2,FALSE),FALSE))),"")</f>
        <v>0.92063492063492058</v>
      </c>
      <c r="Q1084" s="14" t="str">
        <f>IFERROR((VLOOKUP($A1084,'[1]import success seats course'!$A:AE,HLOOKUP('[1]Course Totals'!Q$4,'[1]import success seats course'!$1:$2,2,FALSE),FALSE)/(VLOOKUP($A1084,'[1]import graded seats course pivo'!$A:AO,HLOOKUP('[1]Course Totals'!Q$4,'[1]import graded seats course pivo'!$1:$2,2,FALSE),FALSE))),"")</f>
        <v/>
      </c>
      <c r="R1084" s="14">
        <f>IFERROR((VLOOKUP($A1084,'[1]import success seats course'!$A:AF,HLOOKUP('[1]Course Totals'!R$4,'[1]import success seats course'!$1:$2,2,FALSE),FALSE)/(VLOOKUP($A1084,'[1]import graded seats course pivo'!$A:AP,HLOOKUP('[1]Course Totals'!R$4,'[1]import graded seats course pivo'!$1:$2,2,FALSE),FALSE))),"")</f>
        <v>0.96078431372549022</v>
      </c>
      <c r="S1084" s="14">
        <f>IFERROR((VLOOKUP($A1084,'[1]import success seats course'!$A:AG,HLOOKUP('[1]Course Totals'!S$4,'[1]import success seats course'!$1:$2,2,FALSE),FALSE)/(VLOOKUP($A1084,'[1]import graded seats course pivo'!$A:AQ,HLOOKUP('[1]Course Totals'!S$4,'[1]import graded seats course pivo'!$1:$2,2,FALSE),FALSE))),"")</f>
        <v>0.94202898550724634</v>
      </c>
      <c r="Z1084" s="7"/>
      <c r="AA1084" s="7"/>
      <c r="AB1084" s="7"/>
      <c r="AC1084" s="7"/>
    </row>
    <row r="1085" spans="1:29" ht="15.75" customHeight="1" x14ac:dyDescent="0.25">
      <c r="A1085" s="12" t="s">
        <v>665</v>
      </c>
      <c r="B1085" s="14" t="str">
        <f>IFERROR((VLOOKUP($A1085,'[1]import success seats course'!$A:P,HLOOKUP('[1]Course Totals'!B$4,'[1]import success seats course'!$1:$2,2,FALSE),FALSE)/(VLOOKUP($A1085,'[1]import graded seats course pivo'!$A:Z,HLOOKUP('[1]Course Totals'!B$4,'[1]import graded seats course pivo'!$1:$2,2,FALSE),FALSE))),"")</f>
        <v/>
      </c>
      <c r="C1085" s="14" t="str">
        <f>IFERROR((VLOOKUP($A1085,'[1]import success seats course'!$A:Q,HLOOKUP('[1]Course Totals'!C$4,'[1]import success seats course'!$1:$2,2,FALSE),FALSE)/(VLOOKUP($A1085,'[1]import graded seats course pivo'!$A:AA,HLOOKUP('[1]Course Totals'!C$4,'[1]import graded seats course pivo'!$1:$2,2,FALSE),FALSE))),"")</f>
        <v/>
      </c>
      <c r="D1085" s="14">
        <f>IFERROR((VLOOKUP($A1085,'[1]import success seats course'!$A:R,HLOOKUP('[1]Course Totals'!D$4,'[1]import success seats course'!$1:$2,2,FALSE),FALSE)/(VLOOKUP($A1085,'[1]import graded seats course pivo'!$A:AB,HLOOKUP('[1]Course Totals'!D$4,'[1]import graded seats course pivo'!$1:$2,2,FALSE),FALSE))),"")</f>
        <v>1</v>
      </c>
      <c r="E1085" s="14" t="str">
        <f>IFERROR((VLOOKUP($A1085,'[1]import success seats course'!$A:S,HLOOKUP('[1]Course Totals'!E$4,'[1]import success seats course'!$1:$2,2,FALSE),FALSE)/(VLOOKUP($A1085,'[1]import graded seats course pivo'!$A:AC,HLOOKUP('[1]Course Totals'!E$4,'[1]import graded seats course pivo'!$1:$2,2,FALSE),FALSE))),"")</f>
        <v/>
      </c>
      <c r="F1085" s="14">
        <f>IFERROR((VLOOKUP($A1085,'[1]import success seats course'!$A:T,HLOOKUP('[1]Course Totals'!F$4,'[1]import success seats course'!$1:$2,2,FALSE),FALSE)/(VLOOKUP($A1085,'[1]import graded seats course pivo'!$A:AD,HLOOKUP('[1]Course Totals'!F$4,'[1]import graded seats course pivo'!$1:$2,2,FALSE),FALSE))),"")</f>
        <v>1</v>
      </c>
      <c r="G1085" s="14" t="str">
        <f>IFERROR((VLOOKUP($A1085,'[1]import success seats course'!$A:U,HLOOKUP('[1]Course Totals'!G$4,'[1]import success seats course'!$1:$2,2,FALSE),FALSE)/(VLOOKUP($A1085,'[1]import graded seats course pivo'!$A:AE,HLOOKUP('[1]Course Totals'!G$4,'[1]import graded seats course pivo'!$1:$2,2,FALSE),FALSE))),"")</f>
        <v/>
      </c>
      <c r="H1085" s="14" t="str">
        <f>IFERROR((VLOOKUP($A1085,'[1]import success seats course'!$A:V,HLOOKUP('[1]Course Totals'!H$4,'[1]import success seats course'!$1:$2,2,FALSE),FALSE)/(VLOOKUP($A1085,'[1]import graded seats course pivo'!$A:AF,HLOOKUP('[1]Course Totals'!H$4,'[1]import graded seats course pivo'!$1:$2,2,FALSE),FALSE))),"")</f>
        <v/>
      </c>
      <c r="I1085" s="14">
        <f>IFERROR((VLOOKUP($A1085,'[1]import success seats course'!$A:W,HLOOKUP('[1]Course Totals'!I$4,'[1]import success seats course'!$1:$2,2,FALSE),FALSE)/(VLOOKUP($A1085,'[1]import graded seats course pivo'!$A:AG,HLOOKUP('[1]Course Totals'!I$4,'[1]import graded seats course pivo'!$1:$2,2,FALSE),FALSE))),"")</f>
        <v>1</v>
      </c>
      <c r="J1085" s="14">
        <f>IFERROR((VLOOKUP($A1085,'[1]import success seats course'!$A:X,HLOOKUP('[1]Course Totals'!J$4,'[1]import success seats course'!$1:$2,2,FALSE),FALSE)/(VLOOKUP($A1085,'[1]import graded seats course pivo'!$A:AH,HLOOKUP('[1]Course Totals'!J$4,'[1]import graded seats course pivo'!$1:$2,2,FALSE),FALSE))),"")</f>
        <v>1</v>
      </c>
      <c r="K1085" s="14" t="str">
        <f>IFERROR((VLOOKUP($A1085,'[1]import success seats course'!$A:Y,HLOOKUP('[1]Course Totals'!K$4,'[1]import success seats course'!$1:$2,2,FALSE),FALSE)/(VLOOKUP($A1085,'[1]import graded seats course pivo'!$A:AI,HLOOKUP('[1]Course Totals'!K$4,'[1]import graded seats course pivo'!$1:$2,2,FALSE),FALSE))),"")</f>
        <v/>
      </c>
      <c r="L1085" s="14" t="str">
        <f>IFERROR((VLOOKUP($A1085,'[1]import success seats course'!$A:Z,HLOOKUP('[1]Course Totals'!L$4,'[1]import success seats course'!$1:$2,2,FALSE),FALSE)/(VLOOKUP($A1085,'[1]import graded seats course pivo'!$A:AJ,HLOOKUP('[1]Course Totals'!L$4,'[1]import graded seats course pivo'!$1:$2,2,FALSE),FALSE))),"")</f>
        <v/>
      </c>
      <c r="M1085" s="14">
        <f>IFERROR((VLOOKUP($A1085,'[1]import success seats course'!$A:AA,HLOOKUP('[1]Course Totals'!M$4,'[1]import success seats course'!$1:$2,2,FALSE),FALSE)/(VLOOKUP($A1085,'[1]import graded seats course pivo'!$A:AK,HLOOKUP('[1]Course Totals'!M$4,'[1]import graded seats course pivo'!$1:$2,2,FALSE),FALSE))),"")</f>
        <v>1</v>
      </c>
      <c r="N1085" s="14" t="str">
        <f>IFERROR((VLOOKUP($A1085,'[1]import success seats course'!$A:AB,HLOOKUP('[1]Course Totals'!N$4,'[1]import success seats course'!$1:$2,2,FALSE),FALSE)/(VLOOKUP($A1085,'[1]import graded seats course pivo'!$A:AL,HLOOKUP('[1]Course Totals'!N$4,'[1]import graded seats course pivo'!$1:$2,2,FALSE),FALSE))),"")</f>
        <v/>
      </c>
      <c r="O1085" s="14" t="str">
        <f>IFERROR((VLOOKUP($A1085,'[1]import success seats course'!$A:AC,HLOOKUP('[1]Course Totals'!O$4,'[1]import success seats course'!$1:$2,2,FALSE),FALSE)/(VLOOKUP($A1085,'[1]import graded seats course pivo'!$A:AM,HLOOKUP('[1]Course Totals'!O$4,'[1]import graded seats course pivo'!$1:$2,2,FALSE),FALSE))),"")</f>
        <v/>
      </c>
      <c r="P1085" s="14">
        <f>IFERROR((VLOOKUP($A1085,'[1]import success seats course'!$A:AD,HLOOKUP('[1]Course Totals'!P$4,'[1]import success seats course'!$1:$2,2,FALSE),FALSE)/(VLOOKUP($A1085,'[1]import graded seats course pivo'!$A:AN,HLOOKUP('[1]Course Totals'!P$4,'[1]import graded seats course pivo'!$1:$2,2,FALSE),FALSE))),"")</f>
        <v>1</v>
      </c>
      <c r="Q1085" s="14" t="str">
        <f>IFERROR((VLOOKUP($A1085,'[1]import success seats course'!$A:AE,HLOOKUP('[1]Course Totals'!Q$4,'[1]import success seats course'!$1:$2,2,FALSE),FALSE)/(VLOOKUP($A1085,'[1]import graded seats course pivo'!$A:AO,HLOOKUP('[1]Course Totals'!Q$4,'[1]import graded seats course pivo'!$1:$2,2,FALSE),FALSE))),"")</f>
        <v/>
      </c>
      <c r="R1085" s="14" t="str">
        <f>IFERROR((VLOOKUP($A1085,'[1]import success seats course'!$A:AF,HLOOKUP('[1]Course Totals'!R$4,'[1]import success seats course'!$1:$2,2,FALSE),FALSE)/(VLOOKUP($A1085,'[1]import graded seats course pivo'!$A:AP,HLOOKUP('[1]Course Totals'!R$4,'[1]import graded seats course pivo'!$1:$2,2,FALSE),FALSE))),"")</f>
        <v/>
      </c>
      <c r="S1085" s="14" t="str">
        <f>IFERROR((VLOOKUP($A1085,'[1]import success seats course'!$A:AG,HLOOKUP('[1]Course Totals'!S$4,'[1]import success seats course'!$1:$2,2,FALSE),FALSE)/(VLOOKUP($A1085,'[1]import graded seats course pivo'!$A:AQ,HLOOKUP('[1]Course Totals'!S$4,'[1]import graded seats course pivo'!$1:$2,2,FALSE),FALSE))),"")</f>
        <v/>
      </c>
      <c r="Z1085" s="7"/>
      <c r="AA1085" s="7"/>
      <c r="AB1085" s="7"/>
      <c r="AC1085" s="7"/>
    </row>
    <row r="1086" spans="1:29" ht="15.75" customHeight="1" x14ac:dyDescent="0.25">
      <c r="A1086" s="12" t="s">
        <v>522</v>
      </c>
      <c r="B1086" s="14" t="str">
        <f>IFERROR((VLOOKUP($A1086,'[1]import success seats course'!$A:P,HLOOKUP('[1]Course Totals'!B$4,'[1]import success seats course'!$1:$2,2,FALSE),FALSE)/(VLOOKUP($A1086,'[1]import graded seats course pivo'!$A:Z,HLOOKUP('[1]Course Totals'!B$4,'[1]import graded seats course pivo'!$1:$2,2,FALSE),FALSE))),"")</f>
        <v/>
      </c>
      <c r="C1086" s="14">
        <f>IFERROR((VLOOKUP($A1086,'[1]import success seats course'!$A:Q,HLOOKUP('[1]Course Totals'!C$4,'[1]import success seats course'!$1:$2,2,FALSE),FALSE)/(VLOOKUP($A1086,'[1]import graded seats course pivo'!$A:AA,HLOOKUP('[1]Course Totals'!C$4,'[1]import graded seats course pivo'!$1:$2,2,FALSE),FALSE))),"")</f>
        <v>0.8</v>
      </c>
      <c r="D1086" s="14">
        <f>IFERROR((VLOOKUP($A1086,'[1]import success seats course'!$A:R,HLOOKUP('[1]Course Totals'!D$4,'[1]import success seats course'!$1:$2,2,FALSE),FALSE)/(VLOOKUP($A1086,'[1]import graded seats course pivo'!$A:AB,HLOOKUP('[1]Course Totals'!D$4,'[1]import graded seats course pivo'!$1:$2,2,FALSE),FALSE))),"")</f>
        <v>1</v>
      </c>
      <c r="E1086" s="14" t="str">
        <f>IFERROR((VLOOKUP($A1086,'[1]import success seats course'!$A:S,HLOOKUP('[1]Course Totals'!E$4,'[1]import success seats course'!$1:$2,2,FALSE),FALSE)/(VLOOKUP($A1086,'[1]import graded seats course pivo'!$A:AC,HLOOKUP('[1]Course Totals'!E$4,'[1]import graded seats course pivo'!$1:$2,2,FALSE),FALSE))),"")</f>
        <v/>
      </c>
      <c r="F1086" s="14">
        <f>IFERROR((VLOOKUP($A1086,'[1]import success seats course'!$A:T,HLOOKUP('[1]Course Totals'!F$4,'[1]import success seats course'!$1:$2,2,FALSE),FALSE)/(VLOOKUP($A1086,'[1]import graded seats course pivo'!$A:AD,HLOOKUP('[1]Course Totals'!F$4,'[1]import graded seats course pivo'!$1:$2,2,FALSE),FALSE))),"")</f>
        <v>1</v>
      </c>
      <c r="G1086" s="14">
        <f>IFERROR((VLOOKUP($A1086,'[1]import success seats course'!$A:U,HLOOKUP('[1]Course Totals'!G$4,'[1]import success seats course'!$1:$2,2,FALSE),FALSE)/(VLOOKUP($A1086,'[1]import graded seats course pivo'!$A:AE,HLOOKUP('[1]Course Totals'!G$4,'[1]import graded seats course pivo'!$1:$2,2,FALSE),FALSE))),"")</f>
        <v>1</v>
      </c>
      <c r="H1086" s="14" t="str">
        <f>IFERROR((VLOOKUP($A1086,'[1]import success seats course'!$A:V,HLOOKUP('[1]Course Totals'!H$4,'[1]import success seats course'!$1:$2,2,FALSE),FALSE)/(VLOOKUP($A1086,'[1]import graded seats course pivo'!$A:AF,HLOOKUP('[1]Course Totals'!H$4,'[1]import graded seats course pivo'!$1:$2,2,FALSE),FALSE))),"")</f>
        <v/>
      </c>
      <c r="I1086" s="14">
        <f>IFERROR((VLOOKUP($A1086,'[1]import success seats course'!$A:W,HLOOKUP('[1]Course Totals'!I$4,'[1]import success seats course'!$1:$2,2,FALSE),FALSE)/(VLOOKUP($A1086,'[1]import graded seats course pivo'!$A:AG,HLOOKUP('[1]Course Totals'!I$4,'[1]import graded seats course pivo'!$1:$2,2,FALSE),FALSE))),"")</f>
        <v>0.83333333333333337</v>
      </c>
      <c r="J1086" s="14">
        <f>IFERROR((VLOOKUP($A1086,'[1]import success seats course'!$A:X,HLOOKUP('[1]Course Totals'!J$4,'[1]import success seats course'!$1:$2,2,FALSE),FALSE)/(VLOOKUP($A1086,'[1]import graded seats course pivo'!$A:AH,HLOOKUP('[1]Course Totals'!J$4,'[1]import graded seats course pivo'!$1:$2,2,FALSE),FALSE))),"")</f>
        <v>0.9</v>
      </c>
      <c r="K1086" s="14" t="str">
        <f>IFERROR((VLOOKUP($A1086,'[1]import success seats course'!$A:Y,HLOOKUP('[1]Course Totals'!K$4,'[1]import success seats course'!$1:$2,2,FALSE),FALSE)/(VLOOKUP($A1086,'[1]import graded seats course pivo'!$A:AI,HLOOKUP('[1]Course Totals'!K$4,'[1]import graded seats course pivo'!$1:$2,2,FALSE),FALSE))),"")</f>
        <v/>
      </c>
      <c r="L1086" s="14">
        <f>IFERROR((VLOOKUP($A1086,'[1]import success seats course'!$A:Z,HLOOKUP('[1]Course Totals'!L$4,'[1]import success seats course'!$1:$2,2,FALSE),FALSE)/(VLOOKUP($A1086,'[1]import graded seats course pivo'!$A:AJ,HLOOKUP('[1]Course Totals'!L$4,'[1]import graded seats course pivo'!$1:$2,2,FALSE),FALSE))),"")</f>
        <v>1</v>
      </c>
      <c r="M1086" s="14">
        <f>IFERROR((VLOOKUP($A1086,'[1]import success seats course'!$A:AA,HLOOKUP('[1]Course Totals'!M$4,'[1]import success seats course'!$1:$2,2,FALSE),FALSE)/(VLOOKUP($A1086,'[1]import graded seats course pivo'!$A:AK,HLOOKUP('[1]Course Totals'!M$4,'[1]import graded seats course pivo'!$1:$2,2,FALSE),FALSE))),"")</f>
        <v>0.96666666666666667</v>
      </c>
      <c r="N1086" s="14" t="str">
        <f>IFERROR((VLOOKUP($A1086,'[1]import success seats course'!$A:AB,HLOOKUP('[1]Course Totals'!N$4,'[1]import success seats course'!$1:$2,2,FALSE),FALSE)/(VLOOKUP($A1086,'[1]import graded seats course pivo'!$A:AL,HLOOKUP('[1]Course Totals'!N$4,'[1]import graded seats course pivo'!$1:$2,2,FALSE),FALSE))),"")</f>
        <v/>
      </c>
      <c r="O1086" s="14">
        <f>IFERROR((VLOOKUP($A1086,'[1]import success seats course'!$A:AC,HLOOKUP('[1]Course Totals'!O$4,'[1]import success seats course'!$1:$2,2,FALSE),FALSE)/(VLOOKUP($A1086,'[1]import graded seats course pivo'!$A:AM,HLOOKUP('[1]Course Totals'!O$4,'[1]import graded seats course pivo'!$1:$2,2,FALSE),FALSE))),"")</f>
        <v>0.90909090909090906</v>
      </c>
      <c r="P1086" s="14">
        <f>IFERROR((VLOOKUP($A1086,'[1]import success seats course'!$A:AD,HLOOKUP('[1]Course Totals'!P$4,'[1]import success seats course'!$1:$2,2,FALSE),FALSE)/(VLOOKUP($A1086,'[1]import graded seats course pivo'!$A:AN,HLOOKUP('[1]Course Totals'!P$4,'[1]import graded seats course pivo'!$1:$2,2,FALSE),FALSE))),"")</f>
        <v>0.73333333333333328</v>
      </c>
      <c r="Q1086" s="14" t="str">
        <f>IFERROR((VLOOKUP($A1086,'[1]import success seats course'!$A:AE,HLOOKUP('[1]Course Totals'!Q$4,'[1]import success seats course'!$1:$2,2,FALSE),FALSE)/(VLOOKUP($A1086,'[1]import graded seats course pivo'!$A:AO,HLOOKUP('[1]Course Totals'!Q$4,'[1]import graded seats course pivo'!$1:$2,2,FALSE),FALSE))),"")</f>
        <v/>
      </c>
      <c r="R1086" s="14">
        <f>IFERROR((VLOOKUP($A1086,'[1]import success seats course'!$A:AF,HLOOKUP('[1]Course Totals'!R$4,'[1]import success seats course'!$1:$2,2,FALSE),FALSE)/(VLOOKUP($A1086,'[1]import graded seats course pivo'!$A:AP,HLOOKUP('[1]Course Totals'!R$4,'[1]import graded seats course pivo'!$1:$2,2,FALSE),FALSE))),"")</f>
        <v>1</v>
      </c>
      <c r="S1086" s="14">
        <f>IFERROR((VLOOKUP($A1086,'[1]import success seats course'!$A:AG,HLOOKUP('[1]Course Totals'!S$4,'[1]import success seats course'!$1:$2,2,FALSE),FALSE)/(VLOOKUP($A1086,'[1]import graded seats course pivo'!$A:AQ,HLOOKUP('[1]Course Totals'!S$4,'[1]import graded seats course pivo'!$1:$2,2,FALSE),FALSE))),"")</f>
        <v>0.77272727272727271</v>
      </c>
      <c r="Z1086" s="7"/>
      <c r="AA1086" s="7"/>
      <c r="AB1086" s="7"/>
      <c r="AC1086" s="7"/>
    </row>
    <row r="1087" spans="1:29" ht="15.75" customHeight="1" x14ac:dyDescent="0.25">
      <c r="A1087" s="12" t="s">
        <v>523</v>
      </c>
      <c r="B1087" s="14" t="str">
        <f>IFERROR((VLOOKUP($A1087,'[1]import success seats course'!$A:P,HLOOKUP('[1]Course Totals'!B$4,'[1]import success seats course'!$1:$2,2,FALSE),FALSE)/(VLOOKUP($A1087,'[1]import graded seats course pivo'!$A:Z,HLOOKUP('[1]Course Totals'!B$4,'[1]import graded seats course pivo'!$1:$2,2,FALSE),FALSE))),"")</f>
        <v/>
      </c>
      <c r="C1087" s="14">
        <f>IFERROR((VLOOKUP($A1087,'[1]import success seats course'!$A:Q,HLOOKUP('[1]Course Totals'!C$4,'[1]import success seats course'!$1:$2,2,FALSE),FALSE)/(VLOOKUP($A1087,'[1]import graded seats course pivo'!$A:AA,HLOOKUP('[1]Course Totals'!C$4,'[1]import graded seats course pivo'!$1:$2,2,FALSE),FALSE))),"")</f>
        <v>1</v>
      </c>
      <c r="D1087" s="14" t="str">
        <f>IFERROR((VLOOKUP($A1087,'[1]import success seats course'!$A:R,HLOOKUP('[1]Course Totals'!D$4,'[1]import success seats course'!$1:$2,2,FALSE),FALSE)/(VLOOKUP($A1087,'[1]import graded seats course pivo'!$A:AB,HLOOKUP('[1]Course Totals'!D$4,'[1]import graded seats course pivo'!$1:$2,2,FALSE),FALSE))),"")</f>
        <v/>
      </c>
      <c r="E1087" s="14" t="str">
        <f>IFERROR((VLOOKUP($A1087,'[1]import success seats course'!$A:S,HLOOKUP('[1]Course Totals'!E$4,'[1]import success seats course'!$1:$2,2,FALSE),FALSE)/(VLOOKUP($A1087,'[1]import graded seats course pivo'!$A:AC,HLOOKUP('[1]Course Totals'!E$4,'[1]import graded seats course pivo'!$1:$2,2,FALSE),FALSE))),"")</f>
        <v/>
      </c>
      <c r="F1087" s="14" t="str">
        <f>IFERROR((VLOOKUP($A1087,'[1]import success seats course'!$A:T,HLOOKUP('[1]Course Totals'!F$4,'[1]import success seats course'!$1:$2,2,FALSE),FALSE)/(VLOOKUP($A1087,'[1]import graded seats course pivo'!$A:AD,HLOOKUP('[1]Course Totals'!F$4,'[1]import graded seats course pivo'!$1:$2,2,FALSE),FALSE))),"")</f>
        <v/>
      </c>
      <c r="G1087" s="14" t="str">
        <f>IFERROR((VLOOKUP($A1087,'[1]import success seats course'!$A:U,HLOOKUP('[1]Course Totals'!G$4,'[1]import success seats course'!$1:$2,2,FALSE),FALSE)/(VLOOKUP($A1087,'[1]import graded seats course pivo'!$A:AE,HLOOKUP('[1]Course Totals'!G$4,'[1]import graded seats course pivo'!$1:$2,2,FALSE),FALSE))),"")</f>
        <v/>
      </c>
      <c r="H1087" s="14" t="str">
        <f>IFERROR((VLOOKUP($A1087,'[1]import success seats course'!$A:V,HLOOKUP('[1]Course Totals'!H$4,'[1]import success seats course'!$1:$2,2,FALSE),FALSE)/(VLOOKUP($A1087,'[1]import graded seats course pivo'!$A:AF,HLOOKUP('[1]Course Totals'!H$4,'[1]import graded seats course pivo'!$1:$2,2,FALSE),FALSE))),"")</f>
        <v/>
      </c>
      <c r="I1087" s="14">
        <f>IFERROR((VLOOKUP($A1087,'[1]import success seats course'!$A:W,HLOOKUP('[1]Course Totals'!I$4,'[1]import success seats course'!$1:$2,2,FALSE),FALSE)/(VLOOKUP($A1087,'[1]import graded seats course pivo'!$A:AG,HLOOKUP('[1]Course Totals'!I$4,'[1]import graded seats course pivo'!$1:$2,2,FALSE),FALSE))),"")</f>
        <v>1</v>
      </c>
      <c r="J1087" s="14">
        <f>IFERROR((VLOOKUP($A1087,'[1]import success seats course'!$A:X,HLOOKUP('[1]Course Totals'!J$4,'[1]import success seats course'!$1:$2,2,FALSE),FALSE)/(VLOOKUP($A1087,'[1]import graded seats course pivo'!$A:AH,HLOOKUP('[1]Course Totals'!J$4,'[1]import graded seats course pivo'!$1:$2,2,FALSE),FALSE))),"")</f>
        <v>1</v>
      </c>
      <c r="K1087" s="14" t="str">
        <f>IFERROR((VLOOKUP($A1087,'[1]import success seats course'!$A:Y,HLOOKUP('[1]Course Totals'!K$4,'[1]import success seats course'!$1:$2,2,FALSE),FALSE)/(VLOOKUP($A1087,'[1]import graded seats course pivo'!$A:AI,HLOOKUP('[1]Course Totals'!K$4,'[1]import graded seats course pivo'!$1:$2,2,FALSE),FALSE))),"")</f>
        <v/>
      </c>
      <c r="L1087" s="14" t="str">
        <f>IFERROR((VLOOKUP($A1087,'[1]import success seats course'!$A:Z,HLOOKUP('[1]Course Totals'!L$4,'[1]import success seats course'!$1:$2,2,FALSE),FALSE)/(VLOOKUP($A1087,'[1]import graded seats course pivo'!$A:AJ,HLOOKUP('[1]Course Totals'!L$4,'[1]import graded seats course pivo'!$1:$2,2,FALSE),FALSE))),"")</f>
        <v/>
      </c>
      <c r="M1087" s="14">
        <f>IFERROR((VLOOKUP($A1087,'[1]import success seats course'!$A:AA,HLOOKUP('[1]Course Totals'!M$4,'[1]import success seats course'!$1:$2,2,FALSE),FALSE)/(VLOOKUP($A1087,'[1]import graded seats course pivo'!$A:AK,HLOOKUP('[1]Course Totals'!M$4,'[1]import graded seats course pivo'!$1:$2,2,FALSE),FALSE))),"")</f>
        <v>1</v>
      </c>
      <c r="N1087" s="14" t="str">
        <f>IFERROR((VLOOKUP($A1087,'[1]import success seats course'!$A:AB,HLOOKUP('[1]Course Totals'!N$4,'[1]import success seats course'!$1:$2,2,FALSE),FALSE)/(VLOOKUP($A1087,'[1]import graded seats course pivo'!$A:AL,HLOOKUP('[1]Course Totals'!N$4,'[1]import graded seats course pivo'!$1:$2,2,FALSE),FALSE))),"")</f>
        <v/>
      </c>
      <c r="O1087" s="14" t="str">
        <f>IFERROR((VLOOKUP($A1087,'[1]import success seats course'!$A:AC,HLOOKUP('[1]Course Totals'!O$4,'[1]import success seats course'!$1:$2,2,FALSE),FALSE)/(VLOOKUP($A1087,'[1]import graded seats course pivo'!$A:AM,HLOOKUP('[1]Course Totals'!O$4,'[1]import graded seats course pivo'!$1:$2,2,FALSE),FALSE))),"")</f>
        <v/>
      </c>
      <c r="P1087" s="14" t="str">
        <f>IFERROR((VLOOKUP($A1087,'[1]import success seats course'!$A:AD,HLOOKUP('[1]Course Totals'!P$4,'[1]import success seats course'!$1:$2,2,FALSE),FALSE)/(VLOOKUP($A1087,'[1]import graded seats course pivo'!$A:AN,HLOOKUP('[1]Course Totals'!P$4,'[1]import graded seats course pivo'!$1:$2,2,FALSE),FALSE))),"")</f>
        <v/>
      </c>
      <c r="Q1087" s="14" t="str">
        <f>IFERROR((VLOOKUP($A1087,'[1]import success seats course'!$A:AE,HLOOKUP('[1]Course Totals'!Q$4,'[1]import success seats course'!$1:$2,2,FALSE),FALSE)/(VLOOKUP($A1087,'[1]import graded seats course pivo'!$A:AO,HLOOKUP('[1]Course Totals'!Q$4,'[1]import graded seats course pivo'!$1:$2,2,FALSE),FALSE))),"")</f>
        <v/>
      </c>
      <c r="R1087" s="14" t="str">
        <f>IFERROR((VLOOKUP($A1087,'[1]import success seats course'!$A:AF,HLOOKUP('[1]Course Totals'!R$4,'[1]import success seats course'!$1:$2,2,FALSE),FALSE)/(VLOOKUP($A1087,'[1]import graded seats course pivo'!$A:AP,HLOOKUP('[1]Course Totals'!R$4,'[1]import graded seats course pivo'!$1:$2,2,FALSE),FALSE))),"")</f>
        <v/>
      </c>
      <c r="S1087" s="14" t="str">
        <f>IFERROR((VLOOKUP($A1087,'[1]import success seats course'!$A:AG,HLOOKUP('[1]Course Totals'!S$4,'[1]import success seats course'!$1:$2,2,FALSE),FALSE)/(VLOOKUP($A1087,'[1]import graded seats course pivo'!$A:AQ,HLOOKUP('[1]Course Totals'!S$4,'[1]import graded seats course pivo'!$1:$2,2,FALSE),FALSE))),"")</f>
        <v/>
      </c>
      <c r="Z1087" s="7"/>
      <c r="AA1087" s="7"/>
      <c r="AB1087" s="7"/>
      <c r="AC1087" s="7"/>
    </row>
    <row r="1088" spans="1:29" ht="15.75" customHeight="1" x14ac:dyDescent="0.25">
      <c r="A1088" s="12" t="s">
        <v>524</v>
      </c>
      <c r="B1088" s="14" t="str">
        <f>IFERROR((VLOOKUP($A1088,'[1]import success seats course'!$A:P,HLOOKUP('[1]Course Totals'!B$4,'[1]import success seats course'!$1:$2,2,FALSE),FALSE)/(VLOOKUP($A1088,'[1]import graded seats course pivo'!$A:Z,HLOOKUP('[1]Course Totals'!B$4,'[1]import graded seats course pivo'!$1:$2,2,FALSE),FALSE))),"")</f>
        <v/>
      </c>
      <c r="C1088" s="14">
        <f>IFERROR((VLOOKUP($A1088,'[1]import success seats course'!$A:Q,HLOOKUP('[1]Course Totals'!C$4,'[1]import success seats course'!$1:$2,2,FALSE),FALSE)/(VLOOKUP($A1088,'[1]import graded seats course pivo'!$A:AA,HLOOKUP('[1]Course Totals'!C$4,'[1]import graded seats course pivo'!$1:$2,2,FALSE),FALSE))),"")</f>
        <v>0.66666666666666663</v>
      </c>
      <c r="D1088" s="14" t="str">
        <f>IFERROR((VLOOKUP($A1088,'[1]import success seats course'!$A:R,HLOOKUP('[1]Course Totals'!D$4,'[1]import success seats course'!$1:$2,2,FALSE),FALSE)/(VLOOKUP($A1088,'[1]import graded seats course pivo'!$A:AB,HLOOKUP('[1]Course Totals'!D$4,'[1]import graded seats course pivo'!$1:$2,2,FALSE),FALSE))),"")</f>
        <v/>
      </c>
      <c r="E1088" s="14" t="str">
        <f>IFERROR((VLOOKUP($A1088,'[1]import success seats course'!$A:S,HLOOKUP('[1]Course Totals'!E$4,'[1]import success seats course'!$1:$2,2,FALSE),FALSE)/(VLOOKUP($A1088,'[1]import graded seats course pivo'!$A:AC,HLOOKUP('[1]Course Totals'!E$4,'[1]import graded seats course pivo'!$1:$2,2,FALSE),FALSE))),"")</f>
        <v/>
      </c>
      <c r="F1088" s="14">
        <f>IFERROR((VLOOKUP($A1088,'[1]import success seats course'!$A:T,HLOOKUP('[1]Course Totals'!F$4,'[1]import success seats course'!$1:$2,2,FALSE),FALSE)/(VLOOKUP($A1088,'[1]import graded seats course pivo'!$A:AD,HLOOKUP('[1]Course Totals'!F$4,'[1]import graded seats course pivo'!$1:$2,2,FALSE),FALSE))),"")</f>
        <v>1</v>
      </c>
      <c r="G1088" s="14" t="str">
        <f>IFERROR((VLOOKUP($A1088,'[1]import success seats course'!$A:U,HLOOKUP('[1]Course Totals'!G$4,'[1]import success seats course'!$1:$2,2,FALSE),FALSE)/(VLOOKUP($A1088,'[1]import graded seats course pivo'!$A:AE,HLOOKUP('[1]Course Totals'!G$4,'[1]import graded seats course pivo'!$1:$2,2,FALSE),FALSE))),"")</f>
        <v/>
      </c>
      <c r="H1088" s="14" t="str">
        <f>IFERROR((VLOOKUP($A1088,'[1]import success seats course'!$A:V,HLOOKUP('[1]Course Totals'!H$4,'[1]import success seats course'!$1:$2,2,FALSE),FALSE)/(VLOOKUP($A1088,'[1]import graded seats course pivo'!$A:AF,HLOOKUP('[1]Course Totals'!H$4,'[1]import graded seats course pivo'!$1:$2,2,FALSE),FALSE))),"")</f>
        <v/>
      </c>
      <c r="I1088" s="14" t="str">
        <f>IFERROR((VLOOKUP($A1088,'[1]import success seats course'!$A:W,HLOOKUP('[1]Course Totals'!I$4,'[1]import success seats course'!$1:$2,2,FALSE),FALSE)/(VLOOKUP($A1088,'[1]import graded seats course pivo'!$A:AG,HLOOKUP('[1]Course Totals'!I$4,'[1]import graded seats course pivo'!$1:$2,2,FALSE),FALSE))),"")</f>
        <v/>
      </c>
      <c r="J1088" s="14" t="str">
        <f>IFERROR((VLOOKUP($A1088,'[1]import success seats course'!$A:X,HLOOKUP('[1]Course Totals'!J$4,'[1]import success seats course'!$1:$2,2,FALSE),FALSE)/(VLOOKUP($A1088,'[1]import graded seats course pivo'!$A:AH,HLOOKUP('[1]Course Totals'!J$4,'[1]import graded seats course pivo'!$1:$2,2,FALSE),FALSE))),"")</f>
        <v/>
      </c>
      <c r="K1088" s="14" t="str">
        <f>IFERROR((VLOOKUP($A1088,'[1]import success seats course'!$A:Y,HLOOKUP('[1]Course Totals'!K$4,'[1]import success seats course'!$1:$2,2,FALSE),FALSE)/(VLOOKUP($A1088,'[1]import graded seats course pivo'!$A:AI,HLOOKUP('[1]Course Totals'!K$4,'[1]import graded seats course pivo'!$1:$2,2,FALSE),FALSE))),"")</f>
        <v/>
      </c>
      <c r="L1088" s="14" t="str">
        <f>IFERROR((VLOOKUP($A1088,'[1]import success seats course'!$A:Z,HLOOKUP('[1]Course Totals'!L$4,'[1]import success seats course'!$1:$2,2,FALSE),FALSE)/(VLOOKUP($A1088,'[1]import graded seats course pivo'!$A:AJ,HLOOKUP('[1]Course Totals'!L$4,'[1]import graded seats course pivo'!$1:$2,2,FALSE),FALSE))),"")</f>
        <v/>
      </c>
      <c r="M1088" s="14" t="str">
        <f>IFERROR((VLOOKUP($A1088,'[1]import success seats course'!$A:AA,HLOOKUP('[1]Course Totals'!M$4,'[1]import success seats course'!$1:$2,2,FALSE),FALSE)/(VLOOKUP($A1088,'[1]import graded seats course pivo'!$A:AK,HLOOKUP('[1]Course Totals'!M$4,'[1]import graded seats course pivo'!$1:$2,2,FALSE),FALSE))),"")</f>
        <v/>
      </c>
      <c r="N1088" s="14" t="str">
        <f>IFERROR((VLOOKUP($A1088,'[1]import success seats course'!$A:AB,HLOOKUP('[1]Course Totals'!N$4,'[1]import success seats course'!$1:$2,2,FALSE),FALSE)/(VLOOKUP($A1088,'[1]import graded seats course pivo'!$A:AL,HLOOKUP('[1]Course Totals'!N$4,'[1]import graded seats course pivo'!$1:$2,2,FALSE),FALSE))),"")</f>
        <v/>
      </c>
      <c r="O1088" s="14" t="str">
        <f>IFERROR((VLOOKUP($A1088,'[1]import success seats course'!$A:AC,HLOOKUP('[1]Course Totals'!O$4,'[1]import success seats course'!$1:$2,2,FALSE),FALSE)/(VLOOKUP($A1088,'[1]import graded seats course pivo'!$A:AM,HLOOKUP('[1]Course Totals'!O$4,'[1]import graded seats course pivo'!$1:$2,2,FALSE),FALSE))),"")</f>
        <v/>
      </c>
      <c r="P1088" s="14">
        <f>IFERROR((VLOOKUP($A1088,'[1]import success seats course'!$A:AD,HLOOKUP('[1]Course Totals'!P$4,'[1]import success seats course'!$1:$2,2,FALSE),FALSE)/(VLOOKUP($A1088,'[1]import graded seats course pivo'!$A:AN,HLOOKUP('[1]Course Totals'!P$4,'[1]import graded seats course pivo'!$1:$2,2,FALSE),FALSE))),"")</f>
        <v>0.82352941176470584</v>
      </c>
      <c r="Q1088" s="14" t="str">
        <f>IFERROR((VLOOKUP($A1088,'[1]import success seats course'!$A:AE,HLOOKUP('[1]Course Totals'!Q$4,'[1]import success seats course'!$1:$2,2,FALSE),FALSE)/(VLOOKUP($A1088,'[1]import graded seats course pivo'!$A:AO,HLOOKUP('[1]Course Totals'!Q$4,'[1]import graded seats course pivo'!$1:$2,2,FALSE),FALSE))),"")</f>
        <v/>
      </c>
      <c r="R1088" s="14" t="str">
        <f>IFERROR((VLOOKUP($A1088,'[1]import success seats course'!$A:AF,HLOOKUP('[1]Course Totals'!R$4,'[1]import success seats course'!$1:$2,2,FALSE),FALSE)/(VLOOKUP($A1088,'[1]import graded seats course pivo'!$A:AP,HLOOKUP('[1]Course Totals'!R$4,'[1]import graded seats course pivo'!$1:$2,2,FALSE),FALSE))),"")</f>
        <v/>
      </c>
      <c r="S1088" s="14" t="str">
        <f>IFERROR((VLOOKUP($A1088,'[1]import success seats course'!$A:AG,HLOOKUP('[1]Course Totals'!S$4,'[1]import success seats course'!$1:$2,2,FALSE),FALSE)/(VLOOKUP($A1088,'[1]import graded seats course pivo'!$A:AQ,HLOOKUP('[1]Course Totals'!S$4,'[1]import graded seats course pivo'!$1:$2,2,FALSE),FALSE))),"")</f>
        <v/>
      </c>
      <c r="Z1088" s="7"/>
      <c r="AA1088" s="7"/>
      <c r="AB1088" s="7"/>
      <c r="AC1088" s="7"/>
    </row>
    <row r="1089" spans="1:29" ht="15.75" customHeight="1" x14ac:dyDescent="0.25">
      <c r="A1089" s="12" t="s">
        <v>951</v>
      </c>
      <c r="B1089" s="14" t="str">
        <f>IFERROR((VLOOKUP($A1089,'[1]import success seats course'!$A:P,HLOOKUP('[1]Course Totals'!B$4,'[1]import success seats course'!$1:$2,2,FALSE),FALSE)/(VLOOKUP($A1089,'[1]import graded seats course pivo'!$A:Z,HLOOKUP('[1]Course Totals'!B$4,'[1]import graded seats course pivo'!$1:$2,2,FALSE),FALSE))),"")</f>
        <v/>
      </c>
      <c r="C1089" s="14" t="str">
        <f>IFERROR((VLOOKUP($A1089,'[1]import success seats course'!$A:Q,HLOOKUP('[1]Course Totals'!C$4,'[1]import success seats course'!$1:$2,2,FALSE),FALSE)/(VLOOKUP($A1089,'[1]import graded seats course pivo'!$A:AA,HLOOKUP('[1]Course Totals'!C$4,'[1]import graded seats course pivo'!$1:$2,2,FALSE),FALSE))),"")</f>
        <v/>
      </c>
      <c r="D1089" s="14">
        <f>IFERROR((VLOOKUP($A1089,'[1]import success seats course'!$A:R,HLOOKUP('[1]Course Totals'!D$4,'[1]import success seats course'!$1:$2,2,FALSE),FALSE)/(VLOOKUP($A1089,'[1]import graded seats course pivo'!$A:AB,HLOOKUP('[1]Course Totals'!D$4,'[1]import graded seats course pivo'!$1:$2,2,FALSE),FALSE))),"")</f>
        <v>1</v>
      </c>
      <c r="E1089" s="14" t="str">
        <f>IFERROR((VLOOKUP($A1089,'[1]import success seats course'!$A:S,HLOOKUP('[1]Course Totals'!E$4,'[1]import success seats course'!$1:$2,2,FALSE),FALSE)/(VLOOKUP($A1089,'[1]import graded seats course pivo'!$A:AC,HLOOKUP('[1]Course Totals'!E$4,'[1]import graded seats course pivo'!$1:$2,2,FALSE),FALSE))),"")</f>
        <v/>
      </c>
      <c r="F1089" s="14" t="str">
        <f>IFERROR((VLOOKUP($A1089,'[1]import success seats course'!$A:T,HLOOKUP('[1]Course Totals'!F$4,'[1]import success seats course'!$1:$2,2,FALSE),FALSE)/(VLOOKUP($A1089,'[1]import graded seats course pivo'!$A:AD,HLOOKUP('[1]Course Totals'!F$4,'[1]import graded seats course pivo'!$1:$2,2,FALSE),FALSE))),"")</f>
        <v/>
      </c>
      <c r="G1089" s="14">
        <f>IFERROR((VLOOKUP($A1089,'[1]import success seats course'!$A:U,HLOOKUP('[1]Course Totals'!G$4,'[1]import success seats course'!$1:$2,2,FALSE),FALSE)/(VLOOKUP($A1089,'[1]import graded seats course pivo'!$A:AE,HLOOKUP('[1]Course Totals'!G$4,'[1]import graded seats course pivo'!$1:$2,2,FALSE),FALSE))),"")</f>
        <v>1</v>
      </c>
      <c r="H1089" s="14" t="str">
        <f>IFERROR((VLOOKUP($A1089,'[1]import success seats course'!$A:V,HLOOKUP('[1]Course Totals'!H$4,'[1]import success seats course'!$1:$2,2,FALSE),FALSE)/(VLOOKUP($A1089,'[1]import graded seats course pivo'!$A:AF,HLOOKUP('[1]Course Totals'!H$4,'[1]import graded seats course pivo'!$1:$2,2,FALSE),FALSE))),"")</f>
        <v/>
      </c>
      <c r="I1089" s="14" t="str">
        <f>IFERROR((VLOOKUP($A1089,'[1]import success seats course'!$A:W,HLOOKUP('[1]Course Totals'!I$4,'[1]import success seats course'!$1:$2,2,FALSE),FALSE)/(VLOOKUP($A1089,'[1]import graded seats course pivo'!$A:AG,HLOOKUP('[1]Course Totals'!I$4,'[1]import graded seats course pivo'!$1:$2,2,FALSE),FALSE))),"")</f>
        <v/>
      </c>
      <c r="J1089" s="14" t="str">
        <f>IFERROR((VLOOKUP($A1089,'[1]import success seats course'!$A:X,HLOOKUP('[1]Course Totals'!J$4,'[1]import success seats course'!$1:$2,2,FALSE),FALSE)/(VLOOKUP($A1089,'[1]import graded seats course pivo'!$A:AH,HLOOKUP('[1]Course Totals'!J$4,'[1]import graded seats course pivo'!$1:$2,2,FALSE),FALSE))),"")</f>
        <v/>
      </c>
      <c r="K1089" s="14" t="str">
        <f>IFERROR((VLOOKUP($A1089,'[1]import success seats course'!$A:Y,HLOOKUP('[1]Course Totals'!K$4,'[1]import success seats course'!$1:$2,2,FALSE),FALSE)/(VLOOKUP($A1089,'[1]import graded seats course pivo'!$A:AI,HLOOKUP('[1]Course Totals'!K$4,'[1]import graded seats course pivo'!$1:$2,2,FALSE),FALSE))),"")</f>
        <v/>
      </c>
      <c r="L1089" s="14" t="str">
        <f>IFERROR((VLOOKUP($A1089,'[1]import success seats course'!$A:Z,HLOOKUP('[1]Course Totals'!L$4,'[1]import success seats course'!$1:$2,2,FALSE),FALSE)/(VLOOKUP($A1089,'[1]import graded seats course pivo'!$A:AJ,HLOOKUP('[1]Course Totals'!L$4,'[1]import graded seats course pivo'!$1:$2,2,FALSE),FALSE))),"")</f>
        <v/>
      </c>
      <c r="M1089" s="14" t="str">
        <f>IFERROR((VLOOKUP($A1089,'[1]import success seats course'!$A:AA,HLOOKUP('[1]Course Totals'!M$4,'[1]import success seats course'!$1:$2,2,FALSE),FALSE)/(VLOOKUP($A1089,'[1]import graded seats course pivo'!$A:AK,HLOOKUP('[1]Course Totals'!M$4,'[1]import graded seats course pivo'!$1:$2,2,FALSE),FALSE))),"")</f>
        <v/>
      </c>
      <c r="N1089" s="14" t="str">
        <f>IFERROR((VLOOKUP($A1089,'[1]import success seats course'!$A:AB,HLOOKUP('[1]Course Totals'!N$4,'[1]import success seats course'!$1:$2,2,FALSE),FALSE)/(VLOOKUP($A1089,'[1]import graded seats course pivo'!$A:AL,HLOOKUP('[1]Course Totals'!N$4,'[1]import graded seats course pivo'!$1:$2,2,FALSE),FALSE))),"")</f>
        <v/>
      </c>
      <c r="O1089" s="14" t="str">
        <f>IFERROR((VLOOKUP($A1089,'[1]import success seats course'!$A:AC,HLOOKUP('[1]Course Totals'!O$4,'[1]import success seats course'!$1:$2,2,FALSE),FALSE)/(VLOOKUP($A1089,'[1]import graded seats course pivo'!$A:AM,HLOOKUP('[1]Course Totals'!O$4,'[1]import graded seats course pivo'!$1:$2,2,FALSE),FALSE))),"")</f>
        <v/>
      </c>
      <c r="P1089" s="14" t="str">
        <f>IFERROR((VLOOKUP($A1089,'[1]import success seats course'!$A:AD,HLOOKUP('[1]Course Totals'!P$4,'[1]import success seats course'!$1:$2,2,FALSE),FALSE)/(VLOOKUP($A1089,'[1]import graded seats course pivo'!$A:AN,HLOOKUP('[1]Course Totals'!P$4,'[1]import graded seats course pivo'!$1:$2,2,FALSE),FALSE))),"")</f>
        <v/>
      </c>
      <c r="Q1089" s="14" t="str">
        <f>IFERROR((VLOOKUP($A1089,'[1]import success seats course'!$A:AE,HLOOKUP('[1]Course Totals'!Q$4,'[1]import success seats course'!$1:$2,2,FALSE),FALSE)/(VLOOKUP($A1089,'[1]import graded seats course pivo'!$A:AO,HLOOKUP('[1]Course Totals'!Q$4,'[1]import graded seats course pivo'!$1:$2,2,FALSE),FALSE))),"")</f>
        <v/>
      </c>
      <c r="R1089" s="14" t="str">
        <f>IFERROR((VLOOKUP($A1089,'[1]import success seats course'!$A:AF,HLOOKUP('[1]Course Totals'!R$4,'[1]import success seats course'!$1:$2,2,FALSE),FALSE)/(VLOOKUP($A1089,'[1]import graded seats course pivo'!$A:AP,HLOOKUP('[1]Course Totals'!R$4,'[1]import graded seats course pivo'!$1:$2,2,FALSE),FALSE))),"")</f>
        <v/>
      </c>
      <c r="S1089" s="14" t="str">
        <f>IFERROR((VLOOKUP($A1089,'[1]import success seats course'!$A:AG,HLOOKUP('[1]Course Totals'!S$4,'[1]import success seats course'!$1:$2,2,FALSE),FALSE)/(VLOOKUP($A1089,'[1]import graded seats course pivo'!$A:AQ,HLOOKUP('[1]Course Totals'!S$4,'[1]import graded seats course pivo'!$1:$2,2,FALSE),FALSE))),"")</f>
        <v/>
      </c>
      <c r="Z1089" s="7"/>
      <c r="AA1089" s="7"/>
      <c r="AB1089" s="7"/>
      <c r="AC1089" s="7"/>
    </row>
    <row r="1090" spans="1:29" ht="15.75" customHeight="1" x14ac:dyDescent="0.25">
      <c r="A1090" s="12" t="s">
        <v>952</v>
      </c>
      <c r="B1090" s="14" t="str">
        <f>IFERROR((VLOOKUP($A1090,'[1]import success seats course'!$A:P,HLOOKUP('[1]Course Totals'!B$4,'[1]import success seats course'!$1:$2,2,FALSE),FALSE)/(VLOOKUP($A1090,'[1]import graded seats course pivo'!$A:Z,HLOOKUP('[1]Course Totals'!B$4,'[1]import graded seats course pivo'!$1:$2,2,FALSE),FALSE))),"")</f>
        <v/>
      </c>
      <c r="C1090" s="14" t="str">
        <f>IFERROR((VLOOKUP($A1090,'[1]import success seats course'!$A:Q,HLOOKUP('[1]Course Totals'!C$4,'[1]import success seats course'!$1:$2,2,FALSE),FALSE)/(VLOOKUP($A1090,'[1]import graded seats course pivo'!$A:AA,HLOOKUP('[1]Course Totals'!C$4,'[1]import graded seats course pivo'!$1:$2,2,FALSE),FALSE))),"")</f>
        <v/>
      </c>
      <c r="D1090" s="14">
        <f>IFERROR((VLOOKUP($A1090,'[1]import success seats course'!$A:R,HLOOKUP('[1]Course Totals'!D$4,'[1]import success seats course'!$1:$2,2,FALSE),FALSE)/(VLOOKUP($A1090,'[1]import graded seats course pivo'!$A:AB,HLOOKUP('[1]Course Totals'!D$4,'[1]import graded seats course pivo'!$1:$2,2,FALSE),FALSE))),"")</f>
        <v>0.83333333333333337</v>
      </c>
      <c r="E1090" s="14" t="str">
        <f>IFERROR((VLOOKUP($A1090,'[1]import success seats course'!$A:S,HLOOKUP('[1]Course Totals'!E$4,'[1]import success seats course'!$1:$2,2,FALSE),FALSE)/(VLOOKUP($A1090,'[1]import graded seats course pivo'!$A:AC,HLOOKUP('[1]Course Totals'!E$4,'[1]import graded seats course pivo'!$1:$2,2,FALSE),FALSE))),"")</f>
        <v/>
      </c>
      <c r="F1090" s="14" t="str">
        <f>IFERROR((VLOOKUP($A1090,'[1]import success seats course'!$A:T,HLOOKUP('[1]Course Totals'!F$4,'[1]import success seats course'!$1:$2,2,FALSE),FALSE)/(VLOOKUP($A1090,'[1]import graded seats course pivo'!$A:AD,HLOOKUP('[1]Course Totals'!F$4,'[1]import graded seats course pivo'!$1:$2,2,FALSE),FALSE))),"")</f>
        <v/>
      </c>
      <c r="G1090" s="14">
        <f>IFERROR((VLOOKUP($A1090,'[1]import success seats course'!$A:U,HLOOKUP('[1]Course Totals'!G$4,'[1]import success seats course'!$1:$2,2,FALSE),FALSE)/(VLOOKUP($A1090,'[1]import graded seats course pivo'!$A:AE,HLOOKUP('[1]Course Totals'!G$4,'[1]import graded seats course pivo'!$1:$2,2,FALSE),FALSE))),"")</f>
        <v>0.7142857142857143</v>
      </c>
      <c r="H1090" s="14" t="str">
        <f>IFERROR((VLOOKUP($A1090,'[1]import success seats course'!$A:V,HLOOKUP('[1]Course Totals'!H$4,'[1]import success seats course'!$1:$2,2,FALSE),FALSE)/(VLOOKUP($A1090,'[1]import graded seats course pivo'!$A:AF,HLOOKUP('[1]Course Totals'!H$4,'[1]import graded seats course pivo'!$1:$2,2,FALSE),FALSE))),"")</f>
        <v/>
      </c>
      <c r="I1090" s="14" t="str">
        <f>IFERROR((VLOOKUP($A1090,'[1]import success seats course'!$A:W,HLOOKUP('[1]Course Totals'!I$4,'[1]import success seats course'!$1:$2,2,FALSE),FALSE)/(VLOOKUP($A1090,'[1]import graded seats course pivo'!$A:AG,HLOOKUP('[1]Course Totals'!I$4,'[1]import graded seats course pivo'!$1:$2,2,FALSE),FALSE))),"")</f>
        <v/>
      </c>
      <c r="J1090" s="14">
        <f>IFERROR((VLOOKUP($A1090,'[1]import success seats course'!$A:X,HLOOKUP('[1]Course Totals'!J$4,'[1]import success seats course'!$1:$2,2,FALSE),FALSE)/(VLOOKUP($A1090,'[1]import graded seats course pivo'!$A:AH,HLOOKUP('[1]Course Totals'!J$4,'[1]import graded seats course pivo'!$1:$2,2,FALSE),FALSE))),"")</f>
        <v>0.53333333333333333</v>
      </c>
      <c r="K1090" s="14" t="str">
        <f>IFERROR((VLOOKUP($A1090,'[1]import success seats course'!$A:Y,HLOOKUP('[1]Course Totals'!K$4,'[1]import success seats course'!$1:$2,2,FALSE),FALSE)/(VLOOKUP($A1090,'[1]import graded seats course pivo'!$A:AI,HLOOKUP('[1]Course Totals'!K$4,'[1]import graded seats course pivo'!$1:$2,2,FALSE),FALSE))),"")</f>
        <v/>
      </c>
      <c r="L1090" s="14" t="str">
        <f>IFERROR((VLOOKUP($A1090,'[1]import success seats course'!$A:Z,HLOOKUP('[1]Course Totals'!L$4,'[1]import success seats course'!$1:$2,2,FALSE),FALSE)/(VLOOKUP($A1090,'[1]import graded seats course pivo'!$A:AJ,HLOOKUP('[1]Course Totals'!L$4,'[1]import graded seats course pivo'!$1:$2,2,FALSE),FALSE))),"")</f>
        <v/>
      </c>
      <c r="M1090" s="14">
        <f>IFERROR((VLOOKUP($A1090,'[1]import success seats course'!$A:AA,HLOOKUP('[1]Course Totals'!M$4,'[1]import success seats course'!$1:$2,2,FALSE),FALSE)/(VLOOKUP($A1090,'[1]import graded seats course pivo'!$A:AK,HLOOKUP('[1]Course Totals'!M$4,'[1]import graded seats course pivo'!$1:$2,2,FALSE),FALSE))),"")</f>
        <v>0.82608695652173914</v>
      </c>
      <c r="N1090" s="14" t="str">
        <f>IFERROR((VLOOKUP($A1090,'[1]import success seats course'!$A:AB,HLOOKUP('[1]Course Totals'!N$4,'[1]import success seats course'!$1:$2,2,FALSE),FALSE)/(VLOOKUP($A1090,'[1]import graded seats course pivo'!$A:AL,HLOOKUP('[1]Course Totals'!N$4,'[1]import graded seats course pivo'!$1:$2,2,FALSE),FALSE))),"")</f>
        <v/>
      </c>
      <c r="O1090" s="14" t="str">
        <f>IFERROR((VLOOKUP($A1090,'[1]import success seats course'!$A:AC,HLOOKUP('[1]Course Totals'!O$4,'[1]import success seats course'!$1:$2,2,FALSE),FALSE)/(VLOOKUP($A1090,'[1]import graded seats course pivo'!$A:AM,HLOOKUP('[1]Course Totals'!O$4,'[1]import graded seats course pivo'!$1:$2,2,FALSE),FALSE))),"")</f>
        <v/>
      </c>
      <c r="P1090" s="14" t="str">
        <f>IFERROR((VLOOKUP($A1090,'[1]import success seats course'!$A:AD,HLOOKUP('[1]Course Totals'!P$4,'[1]import success seats course'!$1:$2,2,FALSE),FALSE)/(VLOOKUP($A1090,'[1]import graded seats course pivo'!$A:AN,HLOOKUP('[1]Course Totals'!P$4,'[1]import graded seats course pivo'!$1:$2,2,FALSE),FALSE))),"")</f>
        <v/>
      </c>
      <c r="Q1090" s="14" t="str">
        <f>IFERROR((VLOOKUP($A1090,'[1]import success seats course'!$A:AE,HLOOKUP('[1]Course Totals'!Q$4,'[1]import success seats course'!$1:$2,2,FALSE),FALSE)/(VLOOKUP($A1090,'[1]import graded seats course pivo'!$A:AO,HLOOKUP('[1]Course Totals'!Q$4,'[1]import graded seats course pivo'!$1:$2,2,FALSE),FALSE))),"")</f>
        <v/>
      </c>
      <c r="R1090" s="14" t="str">
        <f>IFERROR((VLOOKUP($A1090,'[1]import success seats course'!$A:AF,HLOOKUP('[1]Course Totals'!R$4,'[1]import success seats course'!$1:$2,2,FALSE),FALSE)/(VLOOKUP($A1090,'[1]import graded seats course pivo'!$A:AP,HLOOKUP('[1]Course Totals'!R$4,'[1]import graded seats course pivo'!$1:$2,2,FALSE),FALSE))),"")</f>
        <v/>
      </c>
      <c r="S1090" s="14" t="str">
        <f>IFERROR((VLOOKUP($A1090,'[1]import success seats course'!$A:AG,HLOOKUP('[1]Course Totals'!S$4,'[1]import success seats course'!$1:$2,2,FALSE),FALSE)/(VLOOKUP($A1090,'[1]import graded seats course pivo'!$A:AQ,HLOOKUP('[1]Course Totals'!S$4,'[1]import graded seats course pivo'!$1:$2,2,FALSE),FALSE))),"")</f>
        <v/>
      </c>
      <c r="Z1090" s="7"/>
      <c r="AA1090" s="7"/>
      <c r="AB1090" s="7"/>
      <c r="AC1090" s="7"/>
    </row>
    <row r="1091" spans="1:29" ht="15.75" customHeight="1" x14ac:dyDescent="0.25">
      <c r="A1091" s="12" t="s">
        <v>953</v>
      </c>
      <c r="B1091" s="14" t="str">
        <f>IFERROR((VLOOKUP($A1091,'[1]import success seats course'!$A:P,HLOOKUP('[1]Course Totals'!B$4,'[1]import success seats course'!$1:$2,2,FALSE),FALSE)/(VLOOKUP($A1091,'[1]import graded seats course pivo'!$A:Z,HLOOKUP('[1]Course Totals'!B$4,'[1]import graded seats course pivo'!$1:$2,2,FALSE),FALSE))),"")</f>
        <v/>
      </c>
      <c r="C1091" s="14" t="str">
        <f>IFERROR((VLOOKUP($A1091,'[1]import success seats course'!$A:Q,HLOOKUP('[1]Course Totals'!C$4,'[1]import success seats course'!$1:$2,2,FALSE),FALSE)/(VLOOKUP($A1091,'[1]import graded seats course pivo'!$A:AA,HLOOKUP('[1]Course Totals'!C$4,'[1]import graded seats course pivo'!$1:$2,2,FALSE),FALSE))),"")</f>
        <v/>
      </c>
      <c r="D1091" s="14">
        <f>IFERROR((VLOOKUP($A1091,'[1]import success seats course'!$A:R,HLOOKUP('[1]Course Totals'!D$4,'[1]import success seats course'!$1:$2,2,FALSE),FALSE)/(VLOOKUP($A1091,'[1]import graded seats course pivo'!$A:AB,HLOOKUP('[1]Course Totals'!D$4,'[1]import graded seats course pivo'!$1:$2,2,FALSE),FALSE))),"")</f>
        <v>1</v>
      </c>
      <c r="E1091" s="14" t="str">
        <f>IFERROR((VLOOKUP($A1091,'[1]import success seats course'!$A:S,HLOOKUP('[1]Course Totals'!E$4,'[1]import success seats course'!$1:$2,2,FALSE),FALSE)/(VLOOKUP($A1091,'[1]import graded seats course pivo'!$A:AC,HLOOKUP('[1]Course Totals'!E$4,'[1]import graded seats course pivo'!$1:$2,2,FALSE),FALSE))),"")</f>
        <v/>
      </c>
      <c r="F1091" s="14" t="str">
        <f>IFERROR((VLOOKUP($A1091,'[1]import success seats course'!$A:T,HLOOKUP('[1]Course Totals'!F$4,'[1]import success seats course'!$1:$2,2,FALSE),FALSE)/(VLOOKUP($A1091,'[1]import graded seats course pivo'!$A:AD,HLOOKUP('[1]Course Totals'!F$4,'[1]import graded seats course pivo'!$1:$2,2,FALSE),FALSE))),"")</f>
        <v/>
      </c>
      <c r="G1091" s="14" t="str">
        <f>IFERROR((VLOOKUP($A1091,'[1]import success seats course'!$A:U,HLOOKUP('[1]Course Totals'!G$4,'[1]import success seats course'!$1:$2,2,FALSE),FALSE)/(VLOOKUP($A1091,'[1]import graded seats course pivo'!$A:AE,HLOOKUP('[1]Course Totals'!G$4,'[1]import graded seats course pivo'!$1:$2,2,FALSE),FALSE))),"")</f>
        <v/>
      </c>
      <c r="H1091" s="14" t="str">
        <f>IFERROR((VLOOKUP($A1091,'[1]import success seats course'!$A:V,HLOOKUP('[1]Course Totals'!H$4,'[1]import success seats course'!$1:$2,2,FALSE),FALSE)/(VLOOKUP($A1091,'[1]import graded seats course pivo'!$A:AF,HLOOKUP('[1]Course Totals'!H$4,'[1]import graded seats course pivo'!$1:$2,2,FALSE),FALSE))),"")</f>
        <v/>
      </c>
      <c r="I1091" s="14" t="str">
        <f>IFERROR((VLOOKUP($A1091,'[1]import success seats course'!$A:W,HLOOKUP('[1]Course Totals'!I$4,'[1]import success seats course'!$1:$2,2,FALSE),FALSE)/(VLOOKUP($A1091,'[1]import graded seats course pivo'!$A:AG,HLOOKUP('[1]Course Totals'!I$4,'[1]import graded seats course pivo'!$1:$2,2,FALSE),FALSE))),"")</f>
        <v/>
      </c>
      <c r="J1091" s="14" t="str">
        <f>IFERROR((VLOOKUP($A1091,'[1]import success seats course'!$A:X,HLOOKUP('[1]Course Totals'!J$4,'[1]import success seats course'!$1:$2,2,FALSE),FALSE)/(VLOOKUP($A1091,'[1]import graded seats course pivo'!$A:AH,HLOOKUP('[1]Course Totals'!J$4,'[1]import graded seats course pivo'!$1:$2,2,FALSE),FALSE))),"")</f>
        <v/>
      </c>
      <c r="K1091" s="14" t="str">
        <f>IFERROR((VLOOKUP($A1091,'[1]import success seats course'!$A:Y,HLOOKUP('[1]Course Totals'!K$4,'[1]import success seats course'!$1:$2,2,FALSE),FALSE)/(VLOOKUP($A1091,'[1]import graded seats course pivo'!$A:AI,HLOOKUP('[1]Course Totals'!K$4,'[1]import graded seats course pivo'!$1:$2,2,FALSE),FALSE))),"")</f>
        <v/>
      </c>
      <c r="L1091" s="14" t="str">
        <f>IFERROR((VLOOKUP($A1091,'[1]import success seats course'!$A:Z,HLOOKUP('[1]Course Totals'!L$4,'[1]import success seats course'!$1:$2,2,FALSE),FALSE)/(VLOOKUP($A1091,'[1]import graded seats course pivo'!$A:AJ,HLOOKUP('[1]Course Totals'!L$4,'[1]import graded seats course pivo'!$1:$2,2,FALSE),FALSE))),"")</f>
        <v/>
      </c>
      <c r="M1091" s="14" t="str">
        <f>IFERROR((VLOOKUP($A1091,'[1]import success seats course'!$A:AA,HLOOKUP('[1]Course Totals'!M$4,'[1]import success seats course'!$1:$2,2,FALSE),FALSE)/(VLOOKUP($A1091,'[1]import graded seats course pivo'!$A:AK,HLOOKUP('[1]Course Totals'!M$4,'[1]import graded seats course pivo'!$1:$2,2,FALSE),FALSE))),"")</f>
        <v/>
      </c>
      <c r="N1091" s="14" t="str">
        <f>IFERROR((VLOOKUP($A1091,'[1]import success seats course'!$A:AB,HLOOKUP('[1]Course Totals'!N$4,'[1]import success seats course'!$1:$2,2,FALSE),FALSE)/(VLOOKUP($A1091,'[1]import graded seats course pivo'!$A:AL,HLOOKUP('[1]Course Totals'!N$4,'[1]import graded seats course pivo'!$1:$2,2,FALSE),FALSE))),"")</f>
        <v/>
      </c>
      <c r="O1091" s="14" t="str">
        <f>IFERROR((VLOOKUP($A1091,'[1]import success seats course'!$A:AC,HLOOKUP('[1]Course Totals'!O$4,'[1]import success seats course'!$1:$2,2,FALSE),FALSE)/(VLOOKUP($A1091,'[1]import graded seats course pivo'!$A:AM,HLOOKUP('[1]Course Totals'!O$4,'[1]import graded seats course pivo'!$1:$2,2,FALSE),FALSE))),"")</f>
        <v/>
      </c>
      <c r="P1091" s="14" t="str">
        <f>IFERROR((VLOOKUP($A1091,'[1]import success seats course'!$A:AD,HLOOKUP('[1]Course Totals'!P$4,'[1]import success seats course'!$1:$2,2,FALSE),FALSE)/(VLOOKUP($A1091,'[1]import graded seats course pivo'!$A:AN,HLOOKUP('[1]Course Totals'!P$4,'[1]import graded seats course pivo'!$1:$2,2,FALSE),FALSE))),"")</f>
        <v/>
      </c>
      <c r="Q1091" s="14" t="str">
        <f>IFERROR((VLOOKUP($A1091,'[1]import success seats course'!$A:AE,HLOOKUP('[1]Course Totals'!Q$4,'[1]import success seats course'!$1:$2,2,FALSE),FALSE)/(VLOOKUP($A1091,'[1]import graded seats course pivo'!$A:AO,HLOOKUP('[1]Course Totals'!Q$4,'[1]import graded seats course pivo'!$1:$2,2,FALSE),FALSE))),"")</f>
        <v/>
      </c>
      <c r="R1091" s="14" t="str">
        <f>IFERROR((VLOOKUP($A1091,'[1]import success seats course'!$A:AF,HLOOKUP('[1]Course Totals'!R$4,'[1]import success seats course'!$1:$2,2,FALSE),FALSE)/(VLOOKUP($A1091,'[1]import graded seats course pivo'!$A:AP,HLOOKUP('[1]Course Totals'!R$4,'[1]import graded seats course pivo'!$1:$2,2,FALSE),FALSE))),"")</f>
        <v/>
      </c>
      <c r="S1091" s="14">
        <f>IFERROR((VLOOKUP($A1091,'[1]import success seats course'!$A:AG,HLOOKUP('[1]Course Totals'!S$4,'[1]import success seats course'!$1:$2,2,FALSE),FALSE)/(VLOOKUP($A1091,'[1]import graded seats course pivo'!$A:AQ,HLOOKUP('[1]Course Totals'!S$4,'[1]import graded seats course pivo'!$1:$2,2,FALSE),FALSE))),"")</f>
        <v>1</v>
      </c>
      <c r="Z1091" s="7"/>
      <c r="AA1091" s="7"/>
      <c r="AB1091" s="7"/>
      <c r="AC1091" s="7"/>
    </row>
    <row r="1092" spans="1:29" ht="15.75" customHeight="1" thickBot="1" x14ac:dyDescent="0.3">
      <c r="A1092" s="8" t="str">
        <f>'[1]SUBJECTS BASE'!H66</f>
        <v>Teaching Assistant</v>
      </c>
      <c r="B1092" s="38" t="s">
        <v>1046</v>
      </c>
      <c r="C1092" s="39" t="s">
        <v>0</v>
      </c>
      <c r="D1092" s="40" t="s">
        <v>868</v>
      </c>
      <c r="E1092" s="41" t="s">
        <v>1052</v>
      </c>
      <c r="F1092" s="42" t="s">
        <v>546</v>
      </c>
      <c r="G1092" s="43" t="s">
        <v>959</v>
      </c>
      <c r="H1092" s="44" t="s">
        <v>1060</v>
      </c>
      <c r="I1092" s="39" t="s">
        <v>675</v>
      </c>
      <c r="J1092" s="45" t="s">
        <v>1006</v>
      </c>
      <c r="K1092" s="46" t="s">
        <v>1062</v>
      </c>
      <c r="L1092" s="42" t="s">
        <v>762</v>
      </c>
      <c r="M1092" s="43" t="s">
        <v>1022</v>
      </c>
      <c r="N1092" s="44" t="s">
        <v>1063</v>
      </c>
      <c r="O1092" s="39" t="s">
        <v>822</v>
      </c>
      <c r="P1092" s="40" t="s">
        <v>1042</v>
      </c>
      <c r="Q1092" s="46" t="s">
        <v>1153</v>
      </c>
      <c r="R1092" s="42" t="s">
        <v>1154</v>
      </c>
      <c r="S1092" s="43" t="s">
        <v>1155</v>
      </c>
      <c r="Z1092" s="7"/>
      <c r="AA1092" s="7"/>
      <c r="AB1092" s="7"/>
      <c r="AC1092" s="7"/>
    </row>
    <row r="1093" spans="1:29" ht="15.75" customHeight="1" x14ac:dyDescent="0.25">
      <c r="A1093" s="12" t="s">
        <v>525</v>
      </c>
      <c r="B1093" s="14">
        <f>IFERROR((VLOOKUP($A1093,'[1]import success seats course'!$A:P,HLOOKUP('[1]Course Totals'!B$4,'[1]import success seats course'!$1:$2,2,FALSE),FALSE)/(VLOOKUP($A1093,'[1]import graded seats course pivo'!$A:Z,HLOOKUP('[1]Course Totals'!B$4,'[1]import graded seats course pivo'!$1:$2,2,FALSE),FALSE))),"")</f>
        <v>1</v>
      </c>
      <c r="C1093" s="14">
        <f>IFERROR((VLOOKUP($A1093,'[1]import success seats course'!$A:Q,HLOOKUP('[1]Course Totals'!C$4,'[1]import success seats course'!$1:$2,2,FALSE),FALSE)/(VLOOKUP($A1093,'[1]import graded seats course pivo'!$A:AA,HLOOKUP('[1]Course Totals'!C$4,'[1]import graded seats course pivo'!$1:$2,2,FALSE),FALSE))),"")</f>
        <v>1</v>
      </c>
      <c r="D1093" s="14">
        <f>IFERROR((VLOOKUP($A1093,'[1]import success seats course'!$A:R,HLOOKUP('[1]Course Totals'!D$4,'[1]import success seats course'!$1:$2,2,FALSE),FALSE)/(VLOOKUP($A1093,'[1]import graded seats course pivo'!$A:AB,HLOOKUP('[1]Course Totals'!D$4,'[1]import graded seats course pivo'!$1:$2,2,FALSE),FALSE))),"")</f>
        <v>0.8571428571428571</v>
      </c>
      <c r="E1093" s="14">
        <f>IFERROR((VLOOKUP($A1093,'[1]import success seats course'!$A:S,HLOOKUP('[1]Course Totals'!E$4,'[1]import success seats course'!$1:$2,2,FALSE),FALSE)/(VLOOKUP($A1093,'[1]import graded seats course pivo'!$A:AC,HLOOKUP('[1]Course Totals'!E$4,'[1]import graded seats course pivo'!$1:$2,2,FALSE),FALSE))),"")</f>
        <v>0.90909090909090906</v>
      </c>
      <c r="F1093" s="14">
        <f>IFERROR((VLOOKUP($A1093,'[1]import success seats course'!$A:T,HLOOKUP('[1]Course Totals'!F$4,'[1]import success seats course'!$1:$2,2,FALSE),FALSE)/(VLOOKUP($A1093,'[1]import graded seats course pivo'!$A:AD,HLOOKUP('[1]Course Totals'!F$4,'[1]import graded seats course pivo'!$1:$2,2,FALSE),FALSE))),"")</f>
        <v>1</v>
      </c>
      <c r="G1093" s="14">
        <f>IFERROR((VLOOKUP($A1093,'[1]import success seats course'!$A:U,HLOOKUP('[1]Course Totals'!G$4,'[1]import success seats course'!$1:$2,2,FALSE),FALSE)/(VLOOKUP($A1093,'[1]import graded seats course pivo'!$A:AE,HLOOKUP('[1]Course Totals'!G$4,'[1]import graded seats course pivo'!$1:$2,2,FALSE),FALSE))),"")</f>
        <v>0.90476190476190477</v>
      </c>
      <c r="H1093" s="14" t="str">
        <f>IFERROR((VLOOKUP($A1093,'[1]import success seats course'!$A:V,HLOOKUP('[1]Course Totals'!H$4,'[1]import success seats course'!$1:$2,2,FALSE),FALSE)/(VLOOKUP($A1093,'[1]import graded seats course pivo'!$A:AF,HLOOKUP('[1]Course Totals'!H$4,'[1]import graded seats course pivo'!$1:$2,2,FALSE),FALSE))),"")</f>
        <v/>
      </c>
      <c r="I1093" s="14">
        <f>IFERROR((VLOOKUP($A1093,'[1]import success seats course'!$A:W,HLOOKUP('[1]Course Totals'!I$4,'[1]import success seats course'!$1:$2,2,FALSE),FALSE)/(VLOOKUP($A1093,'[1]import graded seats course pivo'!$A:AG,HLOOKUP('[1]Course Totals'!I$4,'[1]import graded seats course pivo'!$1:$2,2,FALSE),FALSE))),"")</f>
        <v>0.92592592592592593</v>
      </c>
      <c r="J1093" s="14">
        <f>IFERROR((VLOOKUP($A1093,'[1]import success seats course'!$A:X,HLOOKUP('[1]Course Totals'!J$4,'[1]import success seats course'!$1:$2,2,FALSE),FALSE)/(VLOOKUP($A1093,'[1]import graded seats course pivo'!$A:AH,HLOOKUP('[1]Course Totals'!J$4,'[1]import graded seats course pivo'!$1:$2,2,FALSE),FALSE))),"")</f>
        <v>0.8666666666666667</v>
      </c>
      <c r="K1093" s="14" t="str">
        <f>IFERROR((VLOOKUP($A1093,'[1]import success seats course'!$A:Y,HLOOKUP('[1]Course Totals'!K$4,'[1]import success seats course'!$1:$2,2,FALSE),FALSE)/(VLOOKUP($A1093,'[1]import graded seats course pivo'!$A:AI,HLOOKUP('[1]Course Totals'!K$4,'[1]import graded seats course pivo'!$1:$2,2,FALSE),FALSE))),"")</f>
        <v/>
      </c>
      <c r="L1093" s="14" t="str">
        <f>IFERROR((VLOOKUP($A1093,'[1]import success seats course'!$A:Z,HLOOKUP('[1]Course Totals'!L$4,'[1]import success seats course'!$1:$2,2,FALSE),FALSE)/(VLOOKUP($A1093,'[1]import graded seats course pivo'!$A:AJ,HLOOKUP('[1]Course Totals'!L$4,'[1]import graded seats course pivo'!$1:$2,2,FALSE),FALSE))),"")</f>
        <v/>
      </c>
      <c r="M1093" s="14">
        <f>IFERROR((VLOOKUP($A1093,'[1]import success seats course'!$A:AA,HLOOKUP('[1]Course Totals'!M$4,'[1]import success seats course'!$1:$2,2,FALSE),FALSE)/(VLOOKUP($A1093,'[1]import graded seats course pivo'!$A:AK,HLOOKUP('[1]Course Totals'!M$4,'[1]import graded seats course pivo'!$1:$2,2,FALSE),FALSE))),"")</f>
        <v>0.93333333333333335</v>
      </c>
      <c r="N1093" s="14" t="str">
        <f>IFERROR((VLOOKUP($A1093,'[1]import success seats course'!$A:AB,HLOOKUP('[1]Course Totals'!N$4,'[1]import success seats course'!$1:$2,2,FALSE),FALSE)/(VLOOKUP($A1093,'[1]import graded seats course pivo'!$A:AL,HLOOKUP('[1]Course Totals'!N$4,'[1]import graded seats course pivo'!$1:$2,2,FALSE),FALSE))),"")</f>
        <v/>
      </c>
      <c r="O1093" s="14" t="str">
        <f>IFERROR((VLOOKUP($A1093,'[1]import success seats course'!$A:AC,HLOOKUP('[1]Course Totals'!O$4,'[1]import success seats course'!$1:$2,2,FALSE),FALSE)/(VLOOKUP($A1093,'[1]import graded seats course pivo'!$A:AM,HLOOKUP('[1]Course Totals'!O$4,'[1]import graded seats course pivo'!$1:$2,2,FALSE),FALSE))),"")</f>
        <v/>
      </c>
      <c r="P1093" s="14" t="str">
        <f>IFERROR((VLOOKUP($A1093,'[1]import success seats course'!$A:AD,HLOOKUP('[1]Course Totals'!P$4,'[1]import success seats course'!$1:$2,2,FALSE),FALSE)/(VLOOKUP($A1093,'[1]import graded seats course pivo'!$A:AN,HLOOKUP('[1]Course Totals'!P$4,'[1]import graded seats course pivo'!$1:$2,2,FALSE),FALSE))),"")</f>
        <v/>
      </c>
      <c r="Q1093" s="14" t="str">
        <f>IFERROR((VLOOKUP($A1093,'[1]import success seats course'!$A:AE,HLOOKUP('[1]Course Totals'!Q$4,'[1]import success seats course'!$1:$2,2,FALSE),FALSE)/(VLOOKUP($A1093,'[1]import graded seats course pivo'!$A:AO,HLOOKUP('[1]Course Totals'!Q$4,'[1]import graded seats course pivo'!$1:$2,2,FALSE),FALSE))),"")</f>
        <v/>
      </c>
      <c r="R1093" s="14" t="str">
        <f>IFERROR((VLOOKUP($A1093,'[1]import success seats course'!$A:AF,HLOOKUP('[1]Course Totals'!R$4,'[1]import success seats course'!$1:$2,2,FALSE),FALSE)/(VLOOKUP($A1093,'[1]import graded seats course pivo'!$A:AP,HLOOKUP('[1]Course Totals'!R$4,'[1]import graded seats course pivo'!$1:$2,2,FALSE),FALSE))),"")</f>
        <v/>
      </c>
      <c r="S1093" s="14" t="str">
        <f>IFERROR((VLOOKUP($A1093,'[1]import success seats course'!$A:AG,HLOOKUP('[1]Course Totals'!S$4,'[1]import success seats course'!$1:$2,2,FALSE),FALSE)/(VLOOKUP($A1093,'[1]import graded seats course pivo'!$A:AQ,HLOOKUP('[1]Course Totals'!S$4,'[1]import graded seats course pivo'!$1:$2,2,FALSE),FALSE))),"")</f>
        <v/>
      </c>
      <c r="Z1093" s="7"/>
      <c r="AA1093" s="7"/>
      <c r="AB1093" s="7"/>
      <c r="AC1093" s="7"/>
    </row>
    <row r="1094" spans="1:29" ht="15.75" customHeight="1" x14ac:dyDescent="0.25">
      <c r="A1094" s="12" t="s">
        <v>526</v>
      </c>
      <c r="B1094" s="14" t="str">
        <f>IFERROR((VLOOKUP($A1094,'[1]import success seats course'!$A:P,HLOOKUP('[1]Course Totals'!B$4,'[1]import success seats course'!$1:$2,2,FALSE),FALSE)/(VLOOKUP($A1094,'[1]import graded seats course pivo'!$A:Z,HLOOKUP('[1]Course Totals'!B$4,'[1]import graded seats course pivo'!$1:$2,2,FALSE),FALSE))),"")</f>
        <v/>
      </c>
      <c r="C1094" s="14">
        <f>IFERROR((VLOOKUP($A1094,'[1]import success seats course'!$A:Q,HLOOKUP('[1]Course Totals'!C$4,'[1]import success seats course'!$1:$2,2,FALSE),FALSE)/(VLOOKUP($A1094,'[1]import graded seats course pivo'!$A:AA,HLOOKUP('[1]Course Totals'!C$4,'[1]import graded seats course pivo'!$1:$2,2,FALSE),FALSE))),"")</f>
        <v>1</v>
      </c>
      <c r="D1094" s="14">
        <f>IFERROR((VLOOKUP($A1094,'[1]import success seats course'!$A:R,HLOOKUP('[1]Course Totals'!D$4,'[1]import success seats course'!$1:$2,2,FALSE),FALSE)/(VLOOKUP($A1094,'[1]import graded seats course pivo'!$A:AB,HLOOKUP('[1]Course Totals'!D$4,'[1]import graded seats course pivo'!$1:$2,2,FALSE),FALSE))),"")</f>
        <v>1</v>
      </c>
      <c r="E1094" s="14" t="str">
        <f>IFERROR((VLOOKUP($A1094,'[1]import success seats course'!$A:S,HLOOKUP('[1]Course Totals'!E$4,'[1]import success seats course'!$1:$2,2,FALSE),FALSE)/(VLOOKUP($A1094,'[1]import graded seats course pivo'!$A:AC,HLOOKUP('[1]Course Totals'!E$4,'[1]import graded seats course pivo'!$1:$2,2,FALSE),FALSE))),"")</f>
        <v/>
      </c>
      <c r="F1094" s="14">
        <f>IFERROR((VLOOKUP($A1094,'[1]import success seats course'!$A:T,HLOOKUP('[1]Course Totals'!F$4,'[1]import success seats course'!$1:$2,2,FALSE),FALSE)/(VLOOKUP($A1094,'[1]import graded seats course pivo'!$A:AD,HLOOKUP('[1]Course Totals'!F$4,'[1]import graded seats course pivo'!$1:$2,2,FALSE),FALSE))),"")</f>
        <v>0.8571428571428571</v>
      </c>
      <c r="G1094" s="14">
        <f>IFERROR((VLOOKUP($A1094,'[1]import success seats course'!$A:U,HLOOKUP('[1]Course Totals'!G$4,'[1]import success seats course'!$1:$2,2,FALSE),FALSE)/(VLOOKUP($A1094,'[1]import graded seats course pivo'!$A:AE,HLOOKUP('[1]Course Totals'!G$4,'[1]import graded seats course pivo'!$1:$2,2,FALSE),FALSE))),"")</f>
        <v>1</v>
      </c>
      <c r="H1094" s="14" t="str">
        <f>IFERROR((VLOOKUP($A1094,'[1]import success seats course'!$A:V,HLOOKUP('[1]Course Totals'!H$4,'[1]import success seats course'!$1:$2,2,FALSE),FALSE)/(VLOOKUP($A1094,'[1]import graded seats course pivo'!$A:AF,HLOOKUP('[1]Course Totals'!H$4,'[1]import graded seats course pivo'!$1:$2,2,FALSE),FALSE))),"")</f>
        <v/>
      </c>
      <c r="I1094" s="14">
        <f>IFERROR((VLOOKUP($A1094,'[1]import success seats course'!$A:W,HLOOKUP('[1]Course Totals'!I$4,'[1]import success seats course'!$1:$2,2,FALSE),FALSE)/(VLOOKUP($A1094,'[1]import graded seats course pivo'!$A:AG,HLOOKUP('[1]Course Totals'!I$4,'[1]import graded seats course pivo'!$1:$2,2,FALSE),FALSE))),"")</f>
        <v>0.9</v>
      </c>
      <c r="J1094" s="14" t="str">
        <f>IFERROR((VLOOKUP($A1094,'[1]import success seats course'!$A:X,HLOOKUP('[1]Course Totals'!J$4,'[1]import success seats course'!$1:$2,2,FALSE),FALSE)/(VLOOKUP($A1094,'[1]import graded seats course pivo'!$A:AH,HLOOKUP('[1]Course Totals'!J$4,'[1]import graded seats course pivo'!$1:$2,2,FALSE),FALSE))),"")</f>
        <v/>
      </c>
      <c r="K1094" s="14" t="str">
        <f>IFERROR((VLOOKUP($A1094,'[1]import success seats course'!$A:Y,HLOOKUP('[1]Course Totals'!K$4,'[1]import success seats course'!$1:$2,2,FALSE),FALSE)/(VLOOKUP($A1094,'[1]import graded seats course pivo'!$A:AI,HLOOKUP('[1]Course Totals'!K$4,'[1]import graded seats course pivo'!$1:$2,2,FALSE),FALSE))),"")</f>
        <v/>
      </c>
      <c r="L1094" s="14" t="str">
        <f>IFERROR((VLOOKUP($A1094,'[1]import success seats course'!$A:Z,HLOOKUP('[1]Course Totals'!L$4,'[1]import success seats course'!$1:$2,2,FALSE),FALSE)/(VLOOKUP($A1094,'[1]import graded seats course pivo'!$A:AJ,HLOOKUP('[1]Course Totals'!L$4,'[1]import graded seats course pivo'!$1:$2,2,FALSE),FALSE))),"")</f>
        <v/>
      </c>
      <c r="M1094" s="14">
        <f>IFERROR((VLOOKUP($A1094,'[1]import success seats course'!$A:AA,HLOOKUP('[1]Course Totals'!M$4,'[1]import success seats course'!$1:$2,2,FALSE),FALSE)/(VLOOKUP($A1094,'[1]import graded seats course pivo'!$A:AK,HLOOKUP('[1]Course Totals'!M$4,'[1]import graded seats course pivo'!$1:$2,2,FALSE),FALSE))),"")</f>
        <v>0.88888888888888884</v>
      </c>
      <c r="N1094" s="14" t="str">
        <f>IFERROR((VLOOKUP($A1094,'[1]import success seats course'!$A:AB,HLOOKUP('[1]Course Totals'!N$4,'[1]import success seats course'!$1:$2,2,FALSE),FALSE)/(VLOOKUP($A1094,'[1]import graded seats course pivo'!$A:AL,HLOOKUP('[1]Course Totals'!N$4,'[1]import graded seats course pivo'!$1:$2,2,FALSE),FALSE))),"")</f>
        <v/>
      </c>
      <c r="O1094" s="14" t="str">
        <f>IFERROR((VLOOKUP($A1094,'[1]import success seats course'!$A:AC,HLOOKUP('[1]Course Totals'!O$4,'[1]import success seats course'!$1:$2,2,FALSE),FALSE)/(VLOOKUP($A1094,'[1]import graded seats course pivo'!$A:AM,HLOOKUP('[1]Course Totals'!O$4,'[1]import graded seats course pivo'!$1:$2,2,FALSE),FALSE))),"")</f>
        <v/>
      </c>
      <c r="P1094" s="14" t="str">
        <f>IFERROR((VLOOKUP($A1094,'[1]import success seats course'!$A:AD,HLOOKUP('[1]Course Totals'!P$4,'[1]import success seats course'!$1:$2,2,FALSE),FALSE)/(VLOOKUP($A1094,'[1]import graded seats course pivo'!$A:AN,HLOOKUP('[1]Course Totals'!P$4,'[1]import graded seats course pivo'!$1:$2,2,FALSE),FALSE))),"")</f>
        <v/>
      </c>
      <c r="Q1094" s="14" t="str">
        <f>IFERROR((VLOOKUP($A1094,'[1]import success seats course'!$A:AE,HLOOKUP('[1]Course Totals'!Q$4,'[1]import success seats course'!$1:$2,2,FALSE),FALSE)/(VLOOKUP($A1094,'[1]import graded seats course pivo'!$A:AO,HLOOKUP('[1]Course Totals'!Q$4,'[1]import graded seats course pivo'!$1:$2,2,FALSE),FALSE))),"")</f>
        <v/>
      </c>
      <c r="R1094" s="14" t="str">
        <f>IFERROR((VLOOKUP($A1094,'[1]import success seats course'!$A:AF,HLOOKUP('[1]Course Totals'!R$4,'[1]import success seats course'!$1:$2,2,FALSE),FALSE)/(VLOOKUP($A1094,'[1]import graded seats course pivo'!$A:AP,HLOOKUP('[1]Course Totals'!R$4,'[1]import graded seats course pivo'!$1:$2,2,FALSE),FALSE))),"")</f>
        <v/>
      </c>
      <c r="S1094" s="14" t="str">
        <f>IFERROR((VLOOKUP($A1094,'[1]import success seats course'!$A:AG,HLOOKUP('[1]Course Totals'!S$4,'[1]import success seats course'!$1:$2,2,FALSE),FALSE)/(VLOOKUP($A1094,'[1]import graded seats course pivo'!$A:AQ,HLOOKUP('[1]Course Totals'!S$4,'[1]import graded seats course pivo'!$1:$2,2,FALSE),FALSE))),"")</f>
        <v/>
      </c>
      <c r="Z1094" s="7"/>
      <c r="AA1094" s="7"/>
      <c r="AB1094" s="7"/>
      <c r="AC1094" s="7"/>
    </row>
    <row r="1095" spans="1:29" ht="15.75" hidden="1" customHeight="1" x14ac:dyDescent="0.25">
      <c r="A1095" s="12" t="s">
        <v>666</v>
      </c>
      <c r="B1095" s="14" t="str">
        <f>IFERROR((VLOOKUP($A1095,'[1]import success seats course'!$A:P,HLOOKUP('[1]Course Totals'!B$4,'[1]import success seats course'!$1:$2,2,FALSE),FALSE)/(VLOOKUP($A1095,'[1]import graded seats course pivo'!$A:Z,HLOOKUP('[1]Course Totals'!B$4,'[1]import graded seats course pivo'!$1:$2,2,FALSE),FALSE))),"")</f>
        <v/>
      </c>
      <c r="C1095" s="14" t="str">
        <f>IFERROR((VLOOKUP($A1095,'[1]import success seats course'!$A:Q,HLOOKUP('[1]Course Totals'!C$4,'[1]import success seats course'!$1:$2,2,FALSE),FALSE)/(VLOOKUP($A1095,'[1]import graded seats course pivo'!$A:AA,HLOOKUP('[1]Course Totals'!C$4,'[1]import graded seats course pivo'!$1:$2,2,FALSE),FALSE))),"")</f>
        <v/>
      </c>
      <c r="D1095" s="14" t="str">
        <f>IFERROR((VLOOKUP($A1095,'[1]import success seats course'!$A:R,HLOOKUP('[1]Course Totals'!D$4,'[1]import success seats course'!$1:$2,2,FALSE),FALSE)/(VLOOKUP($A1095,'[1]import graded seats course pivo'!$A:AB,HLOOKUP('[1]Course Totals'!D$4,'[1]import graded seats course pivo'!$1:$2,2,FALSE),FALSE))),"")</f>
        <v/>
      </c>
      <c r="E1095" s="14" t="str">
        <f>IFERROR((VLOOKUP($A1095,'[1]import success seats course'!$A:S,HLOOKUP('[1]Course Totals'!E$4,'[1]import success seats course'!$1:$2,2,FALSE),FALSE)/(VLOOKUP($A1095,'[1]import graded seats course pivo'!$A:AC,HLOOKUP('[1]Course Totals'!E$4,'[1]import graded seats course pivo'!$1:$2,2,FALSE),FALSE))),"")</f>
        <v/>
      </c>
      <c r="F1095" s="14" t="str">
        <f>IFERROR((VLOOKUP($A1095,'[1]import success seats course'!$A:T,HLOOKUP('[1]Course Totals'!F$4,'[1]import success seats course'!$1:$2,2,FALSE),FALSE)/(VLOOKUP($A1095,'[1]import graded seats course pivo'!$A:AD,HLOOKUP('[1]Course Totals'!F$4,'[1]import graded seats course pivo'!$1:$2,2,FALSE),FALSE))),"")</f>
        <v/>
      </c>
      <c r="G1095" s="14" t="str">
        <f>IFERROR((VLOOKUP($A1095,'[1]import success seats course'!$A:U,HLOOKUP('[1]Course Totals'!G$4,'[1]import success seats course'!$1:$2,2,FALSE),FALSE)/(VLOOKUP($A1095,'[1]import graded seats course pivo'!$A:AE,HLOOKUP('[1]Course Totals'!G$4,'[1]import graded seats course pivo'!$1:$2,2,FALSE),FALSE))),"")</f>
        <v/>
      </c>
      <c r="H1095" s="14" t="str">
        <f>IFERROR((VLOOKUP($A1095,'[1]import success seats course'!$A:V,HLOOKUP('[1]Course Totals'!H$4,'[1]import success seats course'!$1:$2,2,FALSE),FALSE)/(VLOOKUP($A1095,'[1]import graded seats course pivo'!$A:AF,HLOOKUP('[1]Course Totals'!H$4,'[1]import graded seats course pivo'!$1:$2,2,FALSE),FALSE))),"")</f>
        <v/>
      </c>
      <c r="I1095" s="14" t="str">
        <f>IFERROR((VLOOKUP($A1095,'[1]import success seats course'!$A:W,HLOOKUP('[1]Course Totals'!I$4,'[1]import success seats course'!$1:$2,2,FALSE),FALSE)/(VLOOKUP($A1095,'[1]import graded seats course pivo'!$A:AG,HLOOKUP('[1]Course Totals'!I$4,'[1]import graded seats course pivo'!$1:$2,2,FALSE),FALSE))),"")</f>
        <v/>
      </c>
      <c r="J1095" s="14" t="str">
        <f>IFERROR((VLOOKUP($A1095,'[1]import success seats course'!$A:X,HLOOKUP('[1]Course Totals'!J$4,'[1]import success seats course'!$1:$2,2,FALSE),FALSE)/(VLOOKUP($A1095,'[1]import graded seats course pivo'!$A:AH,HLOOKUP('[1]Course Totals'!J$4,'[1]import graded seats course pivo'!$1:$2,2,FALSE),FALSE))),"")</f>
        <v/>
      </c>
      <c r="K1095" s="14" t="str">
        <f>IFERROR((VLOOKUP($A1095,'[1]import success seats course'!$A:Y,HLOOKUP('[1]Course Totals'!K$4,'[1]import success seats course'!$1:$2,2,FALSE),FALSE)/(VLOOKUP($A1095,'[1]import graded seats course pivo'!$A:AI,HLOOKUP('[1]Course Totals'!K$4,'[1]import graded seats course pivo'!$1:$2,2,FALSE),FALSE))),"")</f>
        <v/>
      </c>
      <c r="L1095" s="14" t="str">
        <f>IFERROR((VLOOKUP($A1095,'[1]import success seats course'!$A:Z,HLOOKUP('[1]Course Totals'!L$4,'[1]import success seats course'!$1:$2,2,FALSE),FALSE)/(VLOOKUP($A1095,'[1]import graded seats course pivo'!$A:AJ,HLOOKUP('[1]Course Totals'!L$4,'[1]import graded seats course pivo'!$1:$2,2,FALSE),FALSE))),"")</f>
        <v/>
      </c>
      <c r="M1095" s="14" t="str">
        <f>IFERROR((VLOOKUP($A1095,'[1]import success seats course'!$A:AA,HLOOKUP('[1]Course Totals'!M$4,'[1]import success seats course'!$1:$2,2,FALSE),FALSE)/(VLOOKUP($A1095,'[1]import graded seats course pivo'!$A:AK,HLOOKUP('[1]Course Totals'!M$4,'[1]import graded seats course pivo'!$1:$2,2,FALSE),FALSE))),"")</f>
        <v/>
      </c>
      <c r="N1095" s="14" t="str">
        <f>IFERROR((VLOOKUP($A1095,'[1]import success seats course'!$A:AB,HLOOKUP('[1]Course Totals'!N$4,'[1]import success seats course'!$1:$2,2,FALSE),FALSE)/(VLOOKUP($A1095,'[1]import graded seats course pivo'!$A:AL,HLOOKUP('[1]Course Totals'!N$4,'[1]import graded seats course pivo'!$1:$2,2,FALSE),FALSE))),"")</f>
        <v/>
      </c>
      <c r="O1095" s="14" t="str">
        <f>IFERROR((VLOOKUP($A1095,'[1]import success seats course'!$A:AC,HLOOKUP('[1]Course Totals'!O$4,'[1]import success seats course'!$1:$2,2,FALSE),FALSE)/(VLOOKUP($A1095,'[1]import graded seats course pivo'!$A:AM,HLOOKUP('[1]Course Totals'!O$4,'[1]import graded seats course pivo'!$1:$2,2,FALSE),FALSE))),"")</f>
        <v/>
      </c>
      <c r="P1095" s="14" t="str">
        <f>IFERROR((VLOOKUP($A1095,'[1]import success seats course'!$A:AD,HLOOKUP('[1]Course Totals'!P$4,'[1]import success seats course'!$1:$2,2,FALSE),FALSE)/(VLOOKUP($A1095,'[1]import graded seats course pivo'!$A:AN,HLOOKUP('[1]Course Totals'!P$4,'[1]import graded seats course pivo'!$1:$2,2,FALSE),FALSE))),"")</f>
        <v/>
      </c>
      <c r="Q1095" s="14" t="str">
        <f>IFERROR((VLOOKUP($A1095,'[1]import success seats course'!$A:AE,HLOOKUP('[1]Course Totals'!Q$4,'[1]import success seats course'!$1:$2,2,FALSE),FALSE)/(VLOOKUP($A1095,'[1]import graded seats course pivo'!$A:AO,HLOOKUP('[1]Course Totals'!Q$4,'[1]import graded seats course pivo'!$1:$2,2,FALSE),FALSE))),"")</f>
        <v/>
      </c>
      <c r="R1095" s="14" t="str">
        <f>IFERROR((VLOOKUP($A1095,'[1]import success seats course'!$A:AF,HLOOKUP('[1]Course Totals'!R$4,'[1]import success seats course'!$1:$2,2,FALSE),FALSE)/(VLOOKUP($A1095,'[1]import graded seats course pivo'!$A:AP,HLOOKUP('[1]Course Totals'!R$4,'[1]import graded seats course pivo'!$1:$2,2,FALSE),FALSE))),"")</f>
        <v/>
      </c>
      <c r="S1095" s="14" t="str">
        <f>IFERROR((VLOOKUP($A1095,'[1]import success seats course'!$A:AG,HLOOKUP('[1]Course Totals'!S$4,'[1]import success seats course'!$1:$2,2,FALSE),FALSE)/(VLOOKUP($A1095,'[1]import graded seats course pivo'!$A:AQ,HLOOKUP('[1]Course Totals'!S$4,'[1]import graded seats course pivo'!$1:$2,2,FALSE),FALSE))),"")</f>
        <v/>
      </c>
      <c r="Z1095" s="7"/>
      <c r="AA1095" s="7"/>
      <c r="AB1095" s="7"/>
      <c r="AC1095" s="7"/>
    </row>
    <row r="1096" spans="1:29" ht="15.75" customHeight="1" x14ac:dyDescent="0.25">
      <c r="A1096" s="12" t="s">
        <v>866</v>
      </c>
      <c r="B1096" s="14" t="str">
        <f>IFERROR((VLOOKUP($A1096,'[1]import success seats course'!$A:P,HLOOKUP('[1]Course Totals'!B$4,'[1]import success seats course'!$1:$2,2,FALSE),FALSE)/(VLOOKUP($A1096,'[1]import graded seats course pivo'!$A:Z,HLOOKUP('[1]Course Totals'!B$4,'[1]import graded seats course pivo'!$1:$2,2,FALSE),FALSE))),"")</f>
        <v/>
      </c>
      <c r="C1096" s="14" t="str">
        <f>IFERROR((VLOOKUP($A1096,'[1]import success seats course'!$A:Q,HLOOKUP('[1]Course Totals'!C$4,'[1]import success seats course'!$1:$2,2,FALSE),FALSE)/(VLOOKUP($A1096,'[1]import graded seats course pivo'!$A:AA,HLOOKUP('[1]Course Totals'!C$4,'[1]import graded seats course pivo'!$1:$2,2,FALSE),FALSE))),"")</f>
        <v/>
      </c>
      <c r="D1096" s="14" t="str">
        <f>IFERROR((VLOOKUP($A1096,'[1]import success seats course'!$A:R,HLOOKUP('[1]Course Totals'!D$4,'[1]import success seats course'!$1:$2,2,FALSE),FALSE)/(VLOOKUP($A1096,'[1]import graded seats course pivo'!$A:AB,HLOOKUP('[1]Course Totals'!D$4,'[1]import graded seats course pivo'!$1:$2,2,FALSE),FALSE))),"")</f>
        <v/>
      </c>
      <c r="E1096" s="14" t="str">
        <f>IFERROR((VLOOKUP($A1096,'[1]import success seats course'!$A:S,HLOOKUP('[1]Course Totals'!E$4,'[1]import success seats course'!$1:$2,2,FALSE),FALSE)/(VLOOKUP($A1096,'[1]import graded seats course pivo'!$A:AC,HLOOKUP('[1]Course Totals'!E$4,'[1]import graded seats course pivo'!$1:$2,2,FALSE),FALSE))),"")</f>
        <v/>
      </c>
      <c r="F1096" s="14" t="str">
        <f>IFERROR((VLOOKUP($A1096,'[1]import success seats course'!$A:T,HLOOKUP('[1]Course Totals'!F$4,'[1]import success seats course'!$1:$2,2,FALSE),FALSE)/(VLOOKUP($A1096,'[1]import graded seats course pivo'!$A:AD,HLOOKUP('[1]Course Totals'!F$4,'[1]import graded seats course pivo'!$1:$2,2,FALSE),FALSE))),"")</f>
        <v/>
      </c>
      <c r="G1096" s="14" t="str">
        <f>IFERROR((VLOOKUP($A1096,'[1]import success seats course'!$A:U,HLOOKUP('[1]Course Totals'!G$4,'[1]import success seats course'!$1:$2,2,FALSE),FALSE)/(VLOOKUP($A1096,'[1]import graded seats course pivo'!$A:AE,HLOOKUP('[1]Course Totals'!G$4,'[1]import graded seats course pivo'!$1:$2,2,FALSE),FALSE))),"")</f>
        <v/>
      </c>
      <c r="H1096" s="14" t="str">
        <f>IFERROR((VLOOKUP($A1096,'[1]import success seats course'!$A:V,HLOOKUP('[1]Course Totals'!H$4,'[1]import success seats course'!$1:$2,2,FALSE),FALSE)/(VLOOKUP($A1096,'[1]import graded seats course pivo'!$A:AF,HLOOKUP('[1]Course Totals'!H$4,'[1]import graded seats course pivo'!$1:$2,2,FALSE),FALSE))),"")</f>
        <v/>
      </c>
      <c r="I1096" s="14" t="str">
        <f>IFERROR((VLOOKUP($A1096,'[1]import success seats course'!$A:W,HLOOKUP('[1]Course Totals'!I$4,'[1]import success seats course'!$1:$2,2,FALSE),FALSE)/(VLOOKUP($A1096,'[1]import graded seats course pivo'!$A:AG,HLOOKUP('[1]Course Totals'!I$4,'[1]import graded seats course pivo'!$1:$2,2,FALSE),FALSE))),"")</f>
        <v/>
      </c>
      <c r="J1096" s="14" t="str">
        <f>IFERROR((VLOOKUP($A1096,'[1]import success seats course'!$A:X,HLOOKUP('[1]Course Totals'!J$4,'[1]import success seats course'!$1:$2,2,FALSE),FALSE)/(VLOOKUP($A1096,'[1]import graded seats course pivo'!$A:AH,HLOOKUP('[1]Course Totals'!J$4,'[1]import graded seats course pivo'!$1:$2,2,FALSE),FALSE))),"")</f>
        <v/>
      </c>
      <c r="K1096" s="14" t="str">
        <f>IFERROR((VLOOKUP($A1096,'[1]import success seats course'!$A:Y,HLOOKUP('[1]Course Totals'!K$4,'[1]import success seats course'!$1:$2,2,FALSE),FALSE)/(VLOOKUP($A1096,'[1]import graded seats course pivo'!$A:AI,HLOOKUP('[1]Course Totals'!K$4,'[1]import graded seats course pivo'!$1:$2,2,FALSE),FALSE))),"")</f>
        <v/>
      </c>
      <c r="L1096" s="14" t="str">
        <f>IFERROR((VLOOKUP($A1096,'[1]import success seats course'!$A:Z,HLOOKUP('[1]Course Totals'!L$4,'[1]import success seats course'!$1:$2,2,FALSE),FALSE)/(VLOOKUP($A1096,'[1]import graded seats course pivo'!$A:AJ,HLOOKUP('[1]Course Totals'!L$4,'[1]import graded seats course pivo'!$1:$2,2,FALSE),FALSE))),"")</f>
        <v/>
      </c>
      <c r="M1096" s="14" t="str">
        <f>IFERROR((VLOOKUP($A1096,'[1]import success seats course'!$A:AA,HLOOKUP('[1]Course Totals'!M$4,'[1]import success seats course'!$1:$2,2,FALSE),FALSE)/(VLOOKUP($A1096,'[1]import graded seats course pivo'!$A:AK,HLOOKUP('[1]Course Totals'!M$4,'[1]import graded seats course pivo'!$1:$2,2,FALSE),FALSE))),"")</f>
        <v/>
      </c>
      <c r="N1096" s="14" t="str">
        <f>IFERROR((VLOOKUP($A1096,'[1]import success seats course'!$A:AB,HLOOKUP('[1]Course Totals'!N$4,'[1]import success seats course'!$1:$2,2,FALSE),FALSE)/(VLOOKUP($A1096,'[1]import graded seats course pivo'!$A:AL,HLOOKUP('[1]Course Totals'!N$4,'[1]import graded seats course pivo'!$1:$2,2,FALSE),FALSE))),"")</f>
        <v/>
      </c>
      <c r="O1096" s="14">
        <f>IFERROR((VLOOKUP($A1096,'[1]import success seats course'!$A:AC,HLOOKUP('[1]Course Totals'!O$4,'[1]import success seats course'!$1:$2,2,FALSE),FALSE)/(VLOOKUP($A1096,'[1]import graded seats course pivo'!$A:AM,HLOOKUP('[1]Course Totals'!O$4,'[1]import graded seats course pivo'!$1:$2,2,FALSE),FALSE))),"")</f>
        <v>0.8571428571428571</v>
      </c>
      <c r="P1096" s="14">
        <f>IFERROR((VLOOKUP($A1096,'[1]import success seats course'!$A:AD,HLOOKUP('[1]Course Totals'!P$4,'[1]import success seats course'!$1:$2,2,FALSE),FALSE)/(VLOOKUP($A1096,'[1]import graded seats course pivo'!$A:AN,HLOOKUP('[1]Course Totals'!P$4,'[1]import graded seats course pivo'!$1:$2,2,FALSE),FALSE))),"")</f>
        <v>0.72222222222222221</v>
      </c>
      <c r="Q1096" s="14">
        <f>IFERROR((VLOOKUP($A1096,'[1]import success seats course'!$A:AE,HLOOKUP('[1]Course Totals'!Q$4,'[1]import success seats course'!$1:$2,2,FALSE),FALSE)/(VLOOKUP($A1096,'[1]import graded seats course pivo'!$A:AO,HLOOKUP('[1]Course Totals'!Q$4,'[1]import graded seats course pivo'!$1:$2,2,FALSE),FALSE))),"")</f>
        <v>0.93333333333333335</v>
      </c>
      <c r="R1096" s="14" t="str">
        <f>IFERROR((VLOOKUP($A1096,'[1]import success seats course'!$A:AF,HLOOKUP('[1]Course Totals'!R$4,'[1]import success seats course'!$1:$2,2,FALSE),FALSE)/(VLOOKUP($A1096,'[1]import graded seats course pivo'!$A:AP,HLOOKUP('[1]Course Totals'!R$4,'[1]import graded seats course pivo'!$1:$2,2,FALSE),FALSE))),"")</f>
        <v/>
      </c>
      <c r="S1096" s="14" t="str">
        <f>IFERROR((VLOOKUP($A1096,'[1]import success seats course'!$A:AG,HLOOKUP('[1]Course Totals'!S$4,'[1]import success seats course'!$1:$2,2,FALSE),FALSE)/(VLOOKUP($A1096,'[1]import graded seats course pivo'!$A:AQ,HLOOKUP('[1]Course Totals'!S$4,'[1]import graded seats course pivo'!$1:$2,2,FALSE),FALSE))),"")</f>
        <v/>
      </c>
      <c r="Z1096" s="7"/>
      <c r="AA1096" s="7"/>
      <c r="AB1096" s="7"/>
      <c r="AC1096" s="7"/>
    </row>
    <row r="1097" spans="1:29" ht="15.75" customHeight="1" x14ac:dyDescent="0.25">
      <c r="A1097" s="12" t="s">
        <v>998</v>
      </c>
      <c r="B1097" s="14" t="str">
        <f>IFERROR((VLOOKUP($A1097,'[1]import success seats course'!$A:P,HLOOKUP('[1]Course Totals'!B$4,'[1]import success seats course'!$1:$2,2,FALSE),FALSE)/(VLOOKUP($A1097,'[1]import graded seats course pivo'!$A:Z,HLOOKUP('[1]Course Totals'!B$4,'[1]import graded seats course pivo'!$1:$2,2,FALSE),FALSE))),"")</f>
        <v/>
      </c>
      <c r="C1097" s="14" t="str">
        <f>IFERROR((VLOOKUP($A1097,'[1]import success seats course'!$A:Q,HLOOKUP('[1]Course Totals'!C$4,'[1]import success seats course'!$1:$2,2,FALSE),FALSE)/(VLOOKUP($A1097,'[1]import graded seats course pivo'!$A:AA,HLOOKUP('[1]Course Totals'!C$4,'[1]import graded seats course pivo'!$1:$2,2,FALSE),FALSE))),"")</f>
        <v/>
      </c>
      <c r="D1097" s="14" t="str">
        <f>IFERROR((VLOOKUP($A1097,'[1]import success seats course'!$A:R,HLOOKUP('[1]Course Totals'!D$4,'[1]import success seats course'!$1:$2,2,FALSE),FALSE)/(VLOOKUP($A1097,'[1]import graded seats course pivo'!$A:AB,HLOOKUP('[1]Course Totals'!D$4,'[1]import graded seats course pivo'!$1:$2,2,FALSE),FALSE))),"")</f>
        <v/>
      </c>
      <c r="E1097" s="14" t="str">
        <f>IFERROR((VLOOKUP($A1097,'[1]import success seats course'!$A:S,HLOOKUP('[1]Course Totals'!E$4,'[1]import success seats course'!$1:$2,2,FALSE),FALSE)/(VLOOKUP($A1097,'[1]import graded seats course pivo'!$A:AC,HLOOKUP('[1]Course Totals'!E$4,'[1]import graded seats course pivo'!$1:$2,2,FALSE),FALSE))),"")</f>
        <v/>
      </c>
      <c r="F1097" s="14" t="str">
        <f>IFERROR((VLOOKUP($A1097,'[1]import success seats course'!$A:T,HLOOKUP('[1]Course Totals'!F$4,'[1]import success seats course'!$1:$2,2,FALSE),FALSE)/(VLOOKUP($A1097,'[1]import graded seats course pivo'!$A:AD,HLOOKUP('[1]Course Totals'!F$4,'[1]import graded seats course pivo'!$1:$2,2,FALSE),FALSE))),"")</f>
        <v/>
      </c>
      <c r="G1097" s="14">
        <f>IFERROR((VLOOKUP($A1097,'[1]import success seats course'!$A:U,HLOOKUP('[1]Course Totals'!G$4,'[1]import success seats course'!$1:$2,2,FALSE),FALSE)/(VLOOKUP($A1097,'[1]import graded seats course pivo'!$A:AE,HLOOKUP('[1]Course Totals'!G$4,'[1]import graded seats course pivo'!$1:$2,2,FALSE),FALSE))),"")</f>
        <v>1</v>
      </c>
      <c r="H1097" s="14" t="str">
        <f>IFERROR((VLOOKUP($A1097,'[1]import success seats course'!$A:V,HLOOKUP('[1]Course Totals'!H$4,'[1]import success seats course'!$1:$2,2,FALSE),FALSE)/(VLOOKUP($A1097,'[1]import graded seats course pivo'!$A:AF,HLOOKUP('[1]Course Totals'!H$4,'[1]import graded seats course pivo'!$1:$2,2,FALSE),FALSE))),"")</f>
        <v/>
      </c>
      <c r="I1097" s="14" t="str">
        <f>IFERROR((VLOOKUP($A1097,'[1]import success seats course'!$A:W,HLOOKUP('[1]Course Totals'!I$4,'[1]import success seats course'!$1:$2,2,FALSE),FALSE)/(VLOOKUP($A1097,'[1]import graded seats course pivo'!$A:AG,HLOOKUP('[1]Course Totals'!I$4,'[1]import graded seats course pivo'!$1:$2,2,FALSE),FALSE))),"")</f>
        <v/>
      </c>
      <c r="J1097" s="14" t="str">
        <f>IFERROR((VLOOKUP($A1097,'[1]import success seats course'!$A:X,HLOOKUP('[1]Course Totals'!J$4,'[1]import success seats course'!$1:$2,2,FALSE),FALSE)/(VLOOKUP($A1097,'[1]import graded seats course pivo'!$A:AH,HLOOKUP('[1]Course Totals'!J$4,'[1]import graded seats course pivo'!$1:$2,2,FALSE),FALSE))),"")</f>
        <v/>
      </c>
      <c r="K1097" s="14" t="str">
        <f>IFERROR((VLOOKUP($A1097,'[1]import success seats course'!$A:Y,HLOOKUP('[1]Course Totals'!K$4,'[1]import success seats course'!$1:$2,2,FALSE),FALSE)/(VLOOKUP($A1097,'[1]import graded seats course pivo'!$A:AI,HLOOKUP('[1]Course Totals'!K$4,'[1]import graded seats course pivo'!$1:$2,2,FALSE),FALSE))),"")</f>
        <v/>
      </c>
      <c r="L1097" s="14" t="str">
        <f>IFERROR((VLOOKUP($A1097,'[1]import success seats course'!$A:Z,HLOOKUP('[1]Course Totals'!L$4,'[1]import success seats course'!$1:$2,2,FALSE),FALSE)/(VLOOKUP($A1097,'[1]import graded seats course pivo'!$A:AJ,HLOOKUP('[1]Course Totals'!L$4,'[1]import graded seats course pivo'!$1:$2,2,FALSE),FALSE))),"")</f>
        <v/>
      </c>
      <c r="M1097" s="14" t="str">
        <f>IFERROR((VLOOKUP($A1097,'[1]import success seats course'!$A:AA,HLOOKUP('[1]Course Totals'!M$4,'[1]import success seats course'!$1:$2,2,FALSE),FALSE)/(VLOOKUP($A1097,'[1]import graded seats course pivo'!$A:AK,HLOOKUP('[1]Course Totals'!M$4,'[1]import graded seats course pivo'!$1:$2,2,FALSE),FALSE))),"")</f>
        <v/>
      </c>
      <c r="N1097" s="14" t="str">
        <f>IFERROR((VLOOKUP($A1097,'[1]import success seats course'!$A:AB,HLOOKUP('[1]Course Totals'!N$4,'[1]import success seats course'!$1:$2,2,FALSE),FALSE)/(VLOOKUP($A1097,'[1]import graded seats course pivo'!$A:AL,HLOOKUP('[1]Course Totals'!N$4,'[1]import graded seats course pivo'!$1:$2,2,FALSE),FALSE))),"")</f>
        <v/>
      </c>
      <c r="O1097" s="14" t="str">
        <f>IFERROR((VLOOKUP($A1097,'[1]import success seats course'!$A:AC,HLOOKUP('[1]Course Totals'!O$4,'[1]import success seats course'!$1:$2,2,FALSE),FALSE)/(VLOOKUP($A1097,'[1]import graded seats course pivo'!$A:AM,HLOOKUP('[1]Course Totals'!O$4,'[1]import graded seats course pivo'!$1:$2,2,FALSE),FALSE))),"")</f>
        <v/>
      </c>
      <c r="P1097" s="14" t="str">
        <f>IFERROR((VLOOKUP($A1097,'[1]import success seats course'!$A:AD,HLOOKUP('[1]Course Totals'!P$4,'[1]import success seats course'!$1:$2,2,FALSE),FALSE)/(VLOOKUP($A1097,'[1]import graded seats course pivo'!$A:AN,HLOOKUP('[1]Course Totals'!P$4,'[1]import graded seats course pivo'!$1:$2,2,FALSE),FALSE))),"")</f>
        <v/>
      </c>
      <c r="Q1097" s="14" t="str">
        <f>IFERROR((VLOOKUP($A1097,'[1]import success seats course'!$A:AE,HLOOKUP('[1]Course Totals'!Q$4,'[1]import success seats course'!$1:$2,2,FALSE),FALSE)/(VLOOKUP($A1097,'[1]import graded seats course pivo'!$A:AO,HLOOKUP('[1]Course Totals'!Q$4,'[1]import graded seats course pivo'!$1:$2,2,FALSE),FALSE))),"")</f>
        <v/>
      </c>
      <c r="R1097" s="14" t="str">
        <f>IFERROR((VLOOKUP($A1097,'[1]import success seats course'!$A:AF,HLOOKUP('[1]Course Totals'!R$4,'[1]import success seats course'!$1:$2,2,FALSE),FALSE)/(VLOOKUP($A1097,'[1]import graded seats course pivo'!$A:AP,HLOOKUP('[1]Course Totals'!R$4,'[1]import graded seats course pivo'!$1:$2,2,FALSE),FALSE))),"")</f>
        <v/>
      </c>
      <c r="S1097" s="14" t="str">
        <f>IFERROR((VLOOKUP($A1097,'[1]import success seats course'!$A:AG,HLOOKUP('[1]Course Totals'!S$4,'[1]import success seats course'!$1:$2,2,FALSE),FALSE)/(VLOOKUP($A1097,'[1]import graded seats course pivo'!$A:AQ,HLOOKUP('[1]Course Totals'!S$4,'[1]import graded seats course pivo'!$1:$2,2,FALSE),FALSE))),"")</f>
        <v/>
      </c>
      <c r="Z1097" s="7"/>
      <c r="AA1097" s="7"/>
      <c r="AB1097" s="7"/>
      <c r="AC1097" s="7"/>
    </row>
    <row r="1098" spans="1:29" ht="15.75" x14ac:dyDescent="0.25">
      <c r="A1098" s="9" t="s">
        <v>1139</v>
      </c>
      <c r="B1098" s="67" t="str">
        <f>'[1]Subject TOTALS'!$B$1:$P$1</f>
        <v xml:space="preserve">MVC Retention Rates </v>
      </c>
      <c r="C1098" s="68"/>
      <c r="D1098" s="68"/>
      <c r="E1098" s="68"/>
      <c r="F1098" s="68"/>
      <c r="G1098" s="68"/>
      <c r="H1098" s="68"/>
      <c r="I1098" s="68"/>
      <c r="J1098" s="68"/>
      <c r="K1098" s="68"/>
      <c r="L1098" s="68"/>
      <c r="M1098" s="68"/>
      <c r="N1098" s="68"/>
      <c r="O1098" s="68"/>
      <c r="P1098" s="68"/>
      <c r="Q1098" s="68"/>
      <c r="R1098" s="68"/>
      <c r="S1098" s="68"/>
      <c r="Z1098" s="7"/>
      <c r="AA1098" s="7"/>
      <c r="AB1098" s="7"/>
      <c r="AC1098" s="7"/>
    </row>
    <row r="1099" spans="1:29" ht="15.75" customHeight="1" thickBot="1" x14ac:dyDescent="0.3">
      <c r="A1099" s="8" t="str">
        <f>'[1]SUBJECTS BASE'!H67</f>
        <v>Theater Arts</v>
      </c>
      <c r="B1099" s="38" t="s">
        <v>1046</v>
      </c>
      <c r="C1099" s="39" t="s">
        <v>0</v>
      </c>
      <c r="D1099" s="40" t="s">
        <v>868</v>
      </c>
      <c r="E1099" s="41" t="s">
        <v>1052</v>
      </c>
      <c r="F1099" s="42" t="s">
        <v>546</v>
      </c>
      <c r="G1099" s="43" t="s">
        <v>959</v>
      </c>
      <c r="H1099" s="44" t="s">
        <v>1060</v>
      </c>
      <c r="I1099" s="39" t="s">
        <v>675</v>
      </c>
      <c r="J1099" s="45" t="s">
        <v>1006</v>
      </c>
      <c r="K1099" s="46" t="s">
        <v>1062</v>
      </c>
      <c r="L1099" s="42" t="s">
        <v>762</v>
      </c>
      <c r="M1099" s="43" t="s">
        <v>1022</v>
      </c>
      <c r="N1099" s="44" t="s">
        <v>1063</v>
      </c>
      <c r="O1099" s="39" t="s">
        <v>822</v>
      </c>
      <c r="P1099" s="40" t="s">
        <v>1042</v>
      </c>
      <c r="Q1099" s="46" t="s">
        <v>1153</v>
      </c>
      <c r="R1099" s="42" t="s">
        <v>1154</v>
      </c>
      <c r="S1099" s="43" t="s">
        <v>1155</v>
      </c>
      <c r="Z1099" s="7"/>
      <c r="AA1099" s="7"/>
      <c r="AB1099" s="7"/>
      <c r="AC1099" s="7"/>
    </row>
    <row r="1100" spans="1:29" ht="15.75" customHeight="1" x14ac:dyDescent="0.25">
      <c r="A1100" s="12" t="s">
        <v>527</v>
      </c>
      <c r="B1100" s="14" t="str">
        <f>IFERROR((VLOOKUP($A1100,'[1]import success seats course'!$A:P,HLOOKUP('[1]Course Totals'!B$4,'[1]import success seats course'!$1:$2,2,FALSE),FALSE)/(VLOOKUP($A1100,'[1]import graded seats course pivo'!$A:Z,HLOOKUP('[1]Course Totals'!B$4,'[1]import graded seats course pivo'!$1:$2,2,FALSE),FALSE))),"")</f>
        <v/>
      </c>
      <c r="C1100" s="14">
        <f>IFERROR((VLOOKUP($A1100,'[1]import success seats course'!$A:Q,HLOOKUP('[1]Course Totals'!C$4,'[1]import success seats course'!$1:$2,2,FALSE),FALSE)/(VLOOKUP($A1100,'[1]import graded seats course pivo'!$A:AA,HLOOKUP('[1]Course Totals'!C$4,'[1]import graded seats course pivo'!$1:$2,2,FALSE),FALSE))),"")</f>
        <v>0.76923076923076927</v>
      </c>
      <c r="D1100" s="14">
        <f>IFERROR((VLOOKUP($A1100,'[1]import success seats course'!$A:R,HLOOKUP('[1]Course Totals'!D$4,'[1]import success seats course'!$1:$2,2,FALSE),FALSE)/(VLOOKUP($A1100,'[1]import graded seats course pivo'!$A:AB,HLOOKUP('[1]Course Totals'!D$4,'[1]import graded seats course pivo'!$1:$2,2,FALSE),FALSE))),"")</f>
        <v>0.93548387096774188</v>
      </c>
      <c r="E1100" s="14" t="str">
        <f>IFERROR((VLOOKUP($A1100,'[1]import success seats course'!$A:S,HLOOKUP('[1]Course Totals'!E$4,'[1]import success seats course'!$1:$2,2,FALSE),FALSE)/(VLOOKUP($A1100,'[1]import graded seats course pivo'!$A:AC,HLOOKUP('[1]Course Totals'!E$4,'[1]import graded seats course pivo'!$1:$2,2,FALSE),FALSE))),"")</f>
        <v/>
      </c>
      <c r="F1100" s="14">
        <f>IFERROR((VLOOKUP($A1100,'[1]import success seats course'!$A:T,HLOOKUP('[1]Course Totals'!F$4,'[1]import success seats course'!$1:$2,2,FALSE),FALSE)/(VLOOKUP($A1100,'[1]import graded seats course pivo'!$A:AD,HLOOKUP('[1]Course Totals'!F$4,'[1]import graded seats course pivo'!$1:$2,2,FALSE),FALSE))),"")</f>
        <v>0.91304347826086951</v>
      </c>
      <c r="G1100" s="14">
        <f>IFERROR((VLOOKUP($A1100,'[1]import success seats course'!$A:U,HLOOKUP('[1]Course Totals'!G$4,'[1]import success seats course'!$1:$2,2,FALSE),FALSE)/(VLOOKUP($A1100,'[1]import graded seats course pivo'!$A:AE,HLOOKUP('[1]Course Totals'!G$4,'[1]import graded seats course pivo'!$1:$2,2,FALSE),FALSE))),"")</f>
        <v>0.8571428571428571</v>
      </c>
      <c r="H1100" s="14" t="str">
        <f>IFERROR((VLOOKUP($A1100,'[1]import success seats course'!$A:V,HLOOKUP('[1]Course Totals'!H$4,'[1]import success seats course'!$1:$2,2,FALSE),FALSE)/(VLOOKUP($A1100,'[1]import graded seats course pivo'!$A:AF,HLOOKUP('[1]Course Totals'!H$4,'[1]import graded seats course pivo'!$1:$2,2,FALSE),FALSE))),"")</f>
        <v/>
      </c>
      <c r="I1100" s="14" t="str">
        <f>IFERROR((VLOOKUP($A1100,'[1]import success seats course'!$A:W,HLOOKUP('[1]Course Totals'!I$4,'[1]import success seats course'!$1:$2,2,FALSE),FALSE)/(VLOOKUP($A1100,'[1]import graded seats course pivo'!$A:AG,HLOOKUP('[1]Course Totals'!I$4,'[1]import graded seats course pivo'!$1:$2,2,FALSE),FALSE))),"")</f>
        <v/>
      </c>
      <c r="J1100" s="14">
        <f>IFERROR((VLOOKUP($A1100,'[1]import success seats course'!$A:X,HLOOKUP('[1]Course Totals'!J$4,'[1]import success seats course'!$1:$2,2,FALSE),FALSE)/(VLOOKUP($A1100,'[1]import graded seats course pivo'!$A:AH,HLOOKUP('[1]Course Totals'!J$4,'[1]import graded seats course pivo'!$1:$2,2,FALSE),FALSE))),"")</f>
        <v>0.69444444444444442</v>
      </c>
      <c r="K1100" s="14" t="str">
        <f>IFERROR((VLOOKUP($A1100,'[1]import success seats course'!$A:Y,HLOOKUP('[1]Course Totals'!K$4,'[1]import success seats course'!$1:$2,2,FALSE),FALSE)/(VLOOKUP($A1100,'[1]import graded seats course pivo'!$A:AI,HLOOKUP('[1]Course Totals'!K$4,'[1]import graded seats course pivo'!$1:$2,2,FALSE),FALSE))),"")</f>
        <v/>
      </c>
      <c r="L1100" s="14">
        <f>IFERROR((VLOOKUP($A1100,'[1]import success seats course'!$A:Z,HLOOKUP('[1]Course Totals'!L$4,'[1]import success seats course'!$1:$2,2,FALSE),FALSE)/(VLOOKUP($A1100,'[1]import graded seats course pivo'!$A:AJ,HLOOKUP('[1]Course Totals'!L$4,'[1]import graded seats course pivo'!$1:$2,2,FALSE),FALSE))),"")</f>
        <v>0.87179487179487181</v>
      </c>
      <c r="M1100" s="14">
        <f>IFERROR((VLOOKUP($A1100,'[1]import success seats course'!$A:AA,HLOOKUP('[1]Course Totals'!M$4,'[1]import success seats course'!$1:$2,2,FALSE),FALSE)/(VLOOKUP($A1100,'[1]import graded seats course pivo'!$A:AK,HLOOKUP('[1]Course Totals'!M$4,'[1]import graded seats course pivo'!$1:$2,2,FALSE),FALSE))),"")</f>
        <v>0.83783783783783783</v>
      </c>
      <c r="N1100" s="14" t="str">
        <f>IFERROR((VLOOKUP($A1100,'[1]import success seats course'!$A:AB,HLOOKUP('[1]Course Totals'!N$4,'[1]import success seats course'!$1:$2,2,FALSE),FALSE)/(VLOOKUP($A1100,'[1]import graded seats course pivo'!$A:AL,HLOOKUP('[1]Course Totals'!N$4,'[1]import graded seats course pivo'!$1:$2,2,FALSE),FALSE))),"")</f>
        <v/>
      </c>
      <c r="O1100" s="14" t="str">
        <f>IFERROR((VLOOKUP($A1100,'[1]import success seats course'!$A:AC,HLOOKUP('[1]Course Totals'!O$4,'[1]import success seats course'!$1:$2,2,FALSE),FALSE)/(VLOOKUP($A1100,'[1]import graded seats course pivo'!$A:AM,HLOOKUP('[1]Course Totals'!O$4,'[1]import graded seats course pivo'!$1:$2,2,FALSE),FALSE))),"")</f>
        <v/>
      </c>
      <c r="P1100" s="14">
        <f>IFERROR((VLOOKUP($A1100,'[1]import success seats course'!$A:AD,HLOOKUP('[1]Course Totals'!P$4,'[1]import success seats course'!$1:$2,2,FALSE),FALSE)/(VLOOKUP($A1100,'[1]import graded seats course pivo'!$A:AN,HLOOKUP('[1]Course Totals'!P$4,'[1]import graded seats course pivo'!$1:$2,2,FALSE),FALSE))),"")</f>
        <v>0.90625</v>
      </c>
      <c r="Q1100" s="14" t="str">
        <f>IFERROR((VLOOKUP($A1100,'[1]import success seats course'!$A:AE,HLOOKUP('[1]Course Totals'!Q$4,'[1]import success seats course'!$1:$2,2,FALSE),FALSE)/(VLOOKUP($A1100,'[1]import graded seats course pivo'!$A:AO,HLOOKUP('[1]Course Totals'!Q$4,'[1]import graded seats course pivo'!$1:$2,2,FALSE),FALSE))),"")</f>
        <v/>
      </c>
      <c r="R1100" s="14" t="str">
        <f>IFERROR((VLOOKUP($A1100,'[1]import success seats course'!$A:AF,HLOOKUP('[1]Course Totals'!R$4,'[1]import success seats course'!$1:$2,2,FALSE),FALSE)/(VLOOKUP($A1100,'[1]import graded seats course pivo'!$A:AP,HLOOKUP('[1]Course Totals'!R$4,'[1]import graded seats course pivo'!$1:$2,2,FALSE),FALSE))),"")</f>
        <v/>
      </c>
      <c r="S1100" s="14" t="str">
        <f>IFERROR((VLOOKUP($A1100,'[1]import success seats course'!$A:AG,HLOOKUP('[1]Course Totals'!S$4,'[1]import success seats course'!$1:$2,2,FALSE),FALSE)/(VLOOKUP($A1100,'[1]import graded seats course pivo'!$A:AQ,HLOOKUP('[1]Course Totals'!S$4,'[1]import graded seats course pivo'!$1:$2,2,FALSE),FALSE))),"")</f>
        <v/>
      </c>
      <c r="Z1100" s="7"/>
      <c r="AA1100" s="7"/>
      <c r="AB1100" s="7"/>
      <c r="AC1100" s="7"/>
    </row>
    <row r="1101" spans="1:29" ht="15.75" hidden="1" customHeight="1" x14ac:dyDescent="0.25">
      <c r="A1101" s="12" t="s">
        <v>528</v>
      </c>
      <c r="B1101" s="14" t="str">
        <f>IFERROR((VLOOKUP($A1101,'[1]import success seats course'!$A:P,HLOOKUP('[1]Course Totals'!B$4,'[1]import success seats course'!$1:$2,2,FALSE),FALSE)/(VLOOKUP($A1101,'[1]import graded seats course pivo'!$A:Z,HLOOKUP('[1]Course Totals'!B$4,'[1]import graded seats course pivo'!$1:$2,2,FALSE),FALSE))),"")</f>
        <v/>
      </c>
      <c r="C1101" s="14" t="str">
        <f>IFERROR((VLOOKUP($A1101,'[1]import success seats course'!$A:Q,HLOOKUP('[1]Course Totals'!C$4,'[1]import success seats course'!$1:$2,2,FALSE),FALSE)/(VLOOKUP($A1101,'[1]import graded seats course pivo'!$A:AA,HLOOKUP('[1]Course Totals'!C$4,'[1]import graded seats course pivo'!$1:$2,2,FALSE),FALSE))),"")</f>
        <v/>
      </c>
      <c r="D1101" s="14" t="str">
        <f>IFERROR((VLOOKUP($A1101,'[1]import success seats course'!$A:R,HLOOKUP('[1]Course Totals'!D$4,'[1]import success seats course'!$1:$2,2,FALSE),FALSE)/(VLOOKUP($A1101,'[1]import graded seats course pivo'!$A:AB,HLOOKUP('[1]Course Totals'!D$4,'[1]import graded seats course pivo'!$1:$2,2,FALSE),FALSE))),"")</f>
        <v/>
      </c>
      <c r="E1101" s="14" t="str">
        <f>IFERROR((VLOOKUP($A1101,'[1]import success seats course'!$A:S,HLOOKUP('[1]Course Totals'!E$4,'[1]import success seats course'!$1:$2,2,FALSE),FALSE)/(VLOOKUP($A1101,'[1]import graded seats course pivo'!$A:AC,HLOOKUP('[1]Course Totals'!E$4,'[1]import graded seats course pivo'!$1:$2,2,FALSE),FALSE))),"")</f>
        <v/>
      </c>
      <c r="F1101" s="14" t="str">
        <f>IFERROR((VLOOKUP($A1101,'[1]import success seats course'!$A:T,HLOOKUP('[1]Course Totals'!F$4,'[1]import success seats course'!$1:$2,2,FALSE),FALSE)/(VLOOKUP($A1101,'[1]import graded seats course pivo'!$A:AD,HLOOKUP('[1]Course Totals'!F$4,'[1]import graded seats course pivo'!$1:$2,2,FALSE),FALSE))),"")</f>
        <v/>
      </c>
      <c r="G1101" s="14" t="str">
        <f>IFERROR((VLOOKUP($A1101,'[1]import success seats course'!$A:U,HLOOKUP('[1]Course Totals'!G$4,'[1]import success seats course'!$1:$2,2,FALSE),FALSE)/(VLOOKUP($A1101,'[1]import graded seats course pivo'!$A:AE,HLOOKUP('[1]Course Totals'!G$4,'[1]import graded seats course pivo'!$1:$2,2,FALSE),FALSE))),"")</f>
        <v/>
      </c>
      <c r="H1101" s="14" t="str">
        <f>IFERROR((VLOOKUP($A1101,'[1]import success seats course'!$A:V,HLOOKUP('[1]Course Totals'!H$4,'[1]import success seats course'!$1:$2,2,FALSE),FALSE)/(VLOOKUP($A1101,'[1]import graded seats course pivo'!$A:AF,HLOOKUP('[1]Course Totals'!H$4,'[1]import graded seats course pivo'!$1:$2,2,FALSE),FALSE))),"")</f>
        <v/>
      </c>
      <c r="I1101" s="14" t="str">
        <f>IFERROR((VLOOKUP($A1101,'[1]import success seats course'!$A:W,HLOOKUP('[1]Course Totals'!I$4,'[1]import success seats course'!$1:$2,2,FALSE),FALSE)/(VLOOKUP($A1101,'[1]import graded seats course pivo'!$A:AG,HLOOKUP('[1]Course Totals'!I$4,'[1]import graded seats course pivo'!$1:$2,2,FALSE),FALSE))),"")</f>
        <v/>
      </c>
      <c r="J1101" s="14" t="str">
        <f>IFERROR((VLOOKUP($A1101,'[1]import success seats course'!$A:X,HLOOKUP('[1]Course Totals'!J$4,'[1]import success seats course'!$1:$2,2,FALSE),FALSE)/(VLOOKUP($A1101,'[1]import graded seats course pivo'!$A:AH,HLOOKUP('[1]Course Totals'!J$4,'[1]import graded seats course pivo'!$1:$2,2,FALSE),FALSE))),"")</f>
        <v/>
      </c>
      <c r="K1101" s="14" t="str">
        <f>IFERROR((VLOOKUP($A1101,'[1]import success seats course'!$A:Y,HLOOKUP('[1]Course Totals'!K$4,'[1]import success seats course'!$1:$2,2,FALSE),FALSE)/(VLOOKUP($A1101,'[1]import graded seats course pivo'!$A:AI,HLOOKUP('[1]Course Totals'!K$4,'[1]import graded seats course pivo'!$1:$2,2,FALSE),FALSE))),"")</f>
        <v/>
      </c>
      <c r="L1101" s="14" t="str">
        <f>IFERROR((VLOOKUP($A1101,'[1]import success seats course'!$A:Z,HLOOKUP('[1]Course Totals'!L$4,'[1]import success seats course'!$1:$2,2,FALSE),FALSE)/(VLOOKUP($A1101,'[1]import graded seats course pivo'!$A:AJ,HLOOKUP('[1]Course Totals'!L$4,'[1]import graded seats course pivo'!$1:$2,2,FALSE),FALSE))),"")</f>
        <v/>
      </c>
      <c r="M1101" s="14" t="str">
        <f>IFERROR((VLOOKUP($A1101,'[1]import success seats course'!$A:AA,HLOOKUP('[1]Course Totals'!M$4,'[1]import success seats course'!$1:$2,2,FALSE),FALSE)/(VLOOKUP($A1101,'[1]import graded seats course pivo'!$A:AK,HLOOKUP('[1]Course Totals'!M$4,'[1]import graded seats course pivo'!$1:$2,2,FALSE),FALSE))),"")</f>
        <v/>
      </c>
      <c r="N1101" s="14" t="str">
        <f>IFERROR((VLOOKUP($A1101,'[1]import success seats course'!$A:AB,HLOOKUP('[1]Course Totals'!N$4,'[1]import success seats course'!$1:$2,2,FALSE),FALSE)/(VLOOKUP($A1101,'[1]import graded seats course pivo'!$A:AL,HLOOKUP('[1]Course Totals'!N$4,'[1]import graded seats course pivo'!$1:$2,2,FALSE),FALSE))),"")</f>
        <v/>
      </c>
      <c r="O1101" s="14" t="str">
        <f>IFERROR((VLOOKUP($A1101,'[1]import success seats course'!$A:AC,HLOOKUP('[1]Course Totals'!O$4,'[1]import success seats course'!$1:$2,2,FALSE),FALSE)/(VLOOKUP($A1101,'[1]import graded seats course pivo'!$A:AM,HLOOKUP('[1]Course Totals'!O$4,'[1]import graded seats course pivo'!$1:$2,2,FALSE),FALSE))),"")</f>
        <v/>
      </c>
      <c r="P1101" s="14" t="str">
        <f>IFERROR((VLOOKUP($A1101,'[1]import success seats course'!$A:AD,HLOOKUP('[1]Course Totals'!P$4,'[1]import success seats course'!$1:$2,2,FALSE),FALSE)/(VLOOKUP($A1101,'[1]import graded seats course pivo'!$A:AN,HLOOKUP('[1]Course Totals'!P$4,'[1]import graded seats course pivo'!$1:$2,2,FALSE),FALSE))),"")</f>
        <v/>
      </c>
      <c r="Q1101" s="14" t="str">
        <f>IFERROR((VLOOKUP($A1101,'[1]import success seats course'!$A:AE,HLOOKUP('[1]Course Totals'!Q$4,'[1]import success seats course'!$1:$2,2,FALSE),FALSE)/(VLOOKUP($A1101,'[1]import graded seats course pivo'!$A:AO,HLOOKUP('[1]Course Totals'!Q$4,'[1]import graded seats course pivo'!$1:$2,2,FALSE),FALSE))),"")</f>
        <v/>
      </c>
      <c r="R1101" s="14" t="str">
        <f>IFERROR((VLOOKUP($A1101,'[1]import success seats course'!$A:AF,HLOOKUP('[1]Course Totals'!R$4,'[1]import success seats course'!$1:$2,2,FALSE),FALSE)/(VLOOKUP($A1101,'[1]import graded seats course pivo'!$A:AP,HLOOKUP('[1]Course Totals'!R$4,'[1]import graded seats course pivo'!$1:$2,2,FALSE),FALSE))),"")</f>
        <v/>
      </c>
      <c r="S1101" s="14" t="str">
        <f>IFERROR((VLOOKUP($A1101,'[1]import success seats course'!$A:AG,HLOOKUP('[1]Course Totals'!S$4,'[1]import success seats course'!$1:$2,2,FALSE),FALSE)/(VLOOKUP($A1101,'[1]import graded seats course pivo'!$A:AQ,HLOOKUP('[1]Course Totals'!S$4,'[1]import graded seats course pivo'!$1:$2,2,FALSE),FALSE))),"")</f>
        <v/>
      </c>
      <c r="Z1101" s="7"/>
      <c r="AA1101" s="7"/>
      <c r="AB1101" s="7"/>
      <c r="AC1101" s="7"/>
    </row>
    <row r="1102" spans="1:29" ht="15.75" customHeight="1" x14ac:dyDescent="0.25">
      <c r="A1102" s="12" t="s">
        <v>667</v>
      </c>
      <c r="B1102" s="14" t="str">
        <f>IFERROR((VLOOKUP($A1102,'[1]import success seats course'!$A:P,HLOOKUP('[1]Course Totals'!B$4,'[1]import success seats course'!$1:$2,2,FALSE),FALSE)/(VLOOKUP($A1102,'[1]import graded seats course pivo'!$A:Z,HLOOKUP('[1]Course Totals'!B$4,'[1]import graded seats course pivo'!$1:$2,2,FALSE),FALSE))),"")</f>
        <v/>
      </c>
      <c r="C1102" s="14" t="str">
        <f>IFERROR((VLOOKUP($A1102,'[1]import success seats course'!$A:Q,HLOOKUP('[1]Course Totals'!C$4,'[1]import success seats course'!$1:$2,2,FALSE),FALSE)/(VLOOKUP($A1102,'[1]import graded seats course pivo'!$A:AA,HLOOKUP('[1]Course Totals'!C$4,'[1]import graded seats course pivo'!$1:$2,2,FALSE),FALSE))),"")</f>
        <v/>
      </c>
      <c r="D1102" s="14">
        <f>IFERROR((VLOOKUP($A1102,'[1]import success seats course'!$A:R,HLOOKUP('[1]Course Totals'!D$4,'[1]import success seats course'!$1:$2,2,FALSE),FALSE)/(VLOOKUP($A1102,'[1]import graded seats course pivo'!$A:AB,HLOOKUP('[1]Course Totals'!D$4,'[1]import graded seats course pivo'!$1:$2,2,FALSE),FALSE))),"")</f>
        <v>0.6</v>
      </c>
      <c r="E1102" s="14" t="str">
        <f>IFERROR((VLOOKUP($A1102,'[1]import success seats course'!$A:S,HLOOKUP('[1]Course Totals'!E$4,'[1]import success seats course'!$1:$2,2,FALSE),FALSE)/(VLOOKUP($A1102,'[1]import graded seats course pivo'!$A:AC,HLOOKUP('[1]Course Totals'!E$4,'[1]import graded seats course pivo'!$1:$2,2,FALSE),FALSE))),"")</f>
        <v/>
      </c>
      <c r="F1102" s="14" t="str">
        <f>IFERROR((VLOOKUP($A1102,'[1]import success seats course'!$A:T,HLOOKUP('[1]Course Totals'!F$4,'[1]import success seats course'!$1:$2,2,FALSE),FALSE)/(VLOOKUP($A1102,'[1]import graded seats course pivo'!$A:AD,HLOOKUP('[1]Course Totals'!F$4,'[1]import graded seats course pivo'!$1:$2,2,FALSE),FALSE))),"")</f>
        <v/>
      </c>
      <c r="G1102" s="14">
        <f>IFERROR((VLOOKUP($A1102,'[1]import success seats course'!$A:U,HLOOKUP('[1]Course Totals'!G$4,'[1]import success seats course'!$1:$2,2,FALSE),FALSE)/(VLOOKUP($A1102,'[1]import graded seats course pivo'!$A:AE,HLOOKUP('[1]Course Totals'!G$4,'[1]import graded seats course pivo'!$1:$2,2,FALSE),FALSE))),"")</f>
        <v>0.90909090909090906</v>
      </c>
      <c r="H1102" s="14" t="str">
        <f>IFERROR((VLOOKUP($A1102,'[1]import success seats course'!$A:V,HLOOKUP('[1]Course Totals'!H$4,'[1]import success seats course'!$1:$2,2,FALSE),FALSE)/(VLOOKUP($A1102,'[1]import graded seats course pivo'!$A:AF,HLOOKUP('[1]Course Totals'!H$4,'[1]import graded seats course pivo'!$1:$2,2,FALSE),FALSE))),"")</f>
        <v/>
      </c>
      <c r="I1102" s="14">
        <f>IFERROR((VLOOKUP($A1102,'[1]import success seats course'!$A:W,HLOOKUP('[1]Course Totals'!I$4,'[1]import success seats course'!$1:$2,2,FALSE),FALSE)/(VLOOKUP($A1102,'[1]import graded seats course pivo'!$A:AG,HLOOKUP('[1]Course Totals'!I$4,'[1]import graded seats course pivo'!$1:$2,2,FALSE),FALSE))),"")</f>
        <v>0.91666666666666663</v>
      </c>
      <c r="J1102" s="14">
        <f>IFERROR((VLOOKUP($A1102,'[1]import success seats course'!$A:X,HLOOKUP('[1]Course Totals'!J$4,'[1]import success seats course'!$1:$2,2,FALSE),FALSE)/(VLOOKUP($A1102,'[1]import graded seats course pivo'!$A:AH,HLOOKUP('[1]Course Totals'!J$4,'[1]import graded seats course pivo'!$1:$2,2,FALSE),FALSE))),"")</f>
        <v>0.63636363636363635</v>
      </c>
      <c r="K1102" s="14" t="str">
        <f>IFERROR((VLOOKUP($A1102,'[1]import success seats course'!$A:Y,HLOOKUP('[1]Course Totals'!K$4,'[1]import success seats course'!$1:$2,2,FALSE),FALSE)/(VLOOKUP($A1102,'[1]import graded seats course pivo'!$A:AI,HLOOKUP('[1]Course Totals'!K$4,'[1]import graded seats course pivo'!$1:$2,2,FALSE),FALSE))),"")</f>
        <v/>
      </c>
      <c r="L1102" s="14" t="str">
        <f>IFERROR((VLOOKUP($A1102,'[1]import success seats course'!$A:Z,HLOOKUP('[1]Course Totals'!L$4,'[1]import success seats course'!$1:$2,2,FALSE),FALSE)/(VLOOKUP($A1102,'[1]import graded seats course pivo'!$A:AJ,HLOOKUP('[1]Course Totals'!L$4,'[1]import graded seats course pivo'!$1:$2,2,FALSE),FALSE))),"")</f>
        <v/>
      </c>
      <c r="M1102" s="14">
        <f>IFERROR((VLOOKUP($A1102,'[1]import success seats course'!$A:AA,HLOOKUP('[1]Course Totals'!M$4,'[1]import success seats course'!$1:$2,2,FALSE),FALSE)/(VLOOKUP($A1102,'[1]import graded seats course pivo'!$A:AK,HLOOKUP('[1]Course Totals'!M$4,'[1]import graded seats course pivo'!$1:$2,2,FALSE),FALSE))),"")</f>
        <v>0.66666666666666663</v>
      </c>
      <c r="N1102" s="14" t="str">
        <f>IFERROR((VLOOKUP($A1102,'[1]import success seats course'!$A:AB,HLOOKUP('[1]Course Totals'!N$4,'[1]import success seats course'!$1:$2,2,FALSE),FALSE)/(VLOOKUP($A1102,'[1]import graded seats course pivo'!$A:AL,HLOOKUP('[1]Course Totals'!N$4,'[1]import graded seats course pivo'!$1:$2,2,FALSE),FALSE))),"")</f>
        <v/>
      </c>
      <c r="O1102" s="14" t="str">
        <f>IFERROR((VLOOKUP($A1102,'[1]import success seats course'!$A:AC,HLOOKUP('[1]Course Totals'!O$4,'[1]import success seats course'!$1:$2,2,FALSE),FALSE)/(VLOOKUP($A1102,'[1]import graded seats course pivo'!$A:AM,HLOOKUP('[1]Course Totals'!O$4,'[1]import graded seats course pivo'!$1:$2,2,FALSE),FALSE))),"")</f>
        <v/>
      </c>
      <c r="P1102" s="14">
        <f>IFERROR((VLOOKUP($A1102,'[1]import success seats course'!$A:AD,HLOOKUP('[1]Course Totals'!P$4,'[1]import success seats course'!$1:$2,2,FALSE),FALSE)/(VLOOKUP($A1102,'[1]import graded seats course pivo'!$A:AN,HLOOKUP('[1]Course Totals'!P$4,'[1]import graded seats course pivo'!$1:$2,2,FALSE),FALSE))),"")</f>
        <v>0.65217391304347827</v>
      </c>
      <c r="Q1102" s="14" t="str">
        <f>IFERROR((VLOOKUP($A1102,'[1]import success seats course'!$A:AE,HLOOKUP('[1]Course Totals'!Q$4,'[1]import success seats course'!$1:$2,2,FALSE),FALSE)/(VLOOKUP($A1102,'[1]import graded seats course pivo'!$A:AO,HLOOKUP('[1]Course Totals'!Q$4,'[1]import graded seats course pivo'!$1:$2,2,FALSE),FALSE))),"")</f>
        <v/>
      </c>
      <c r="R1102" s="14" t="str">
        <f>IFERROR((VLOOKUP($A1102,'[1]import success seats course'!$A:AF,HLOOKUP('[1]Course Totals'!R$4,'[1]import success seats course'!$1:$2,2,FALSE),FALSE)/(VLOOKUP($A1102,'[1]import graded seats course pivo'!$A:AP,HLOOKUP('[1]Course Totals'!R$4,'[1]import graded seats course pivo'!$1:$2,2,FALSE),FALSE))),"")</f>
        <v/>
      </c>
      <c r="S1102" s="14" t="str">
        <f>IFERROR((VLOOKUP($A1102,'[1]import success seats course'!$A:AG,HLOOKUP('[1]Course Totals'!S$4,'[1]import success seats course'!$1:$2,2,FALSE),FALSE)/(VLOOKUP($A1102,'[1]import graded seats course pivo'!$A:AQ,HLOOKUP('[1]Course Totals'!S$4,'[1]import graded seats course pivo'!$1:$2,2,FALSE),FALSE))),"")</f>
        <v/>
      </c>
      <c r="Z1102" s="7"/>
      <c r="AA1102" s="7"/>
      <c r="AB1102" s="7"/>
      <c r="AC1102" s="7"/>
    </row>
    <row r="1103" spans="1:29" ht="15.75" customHeight="1" x14ac:dyDescent="0.25">
      <c r="A1103" s="12" t="s">
        <v>529</v>
      </c>
      <c r="B1103" s="14" t="str">
        <f>IFERROR((VLOOKUP($A1103,'[1]import success seats course'!$A:P,HLOOKUP('[1]Course Totals'!B$4,'[1]import success seats course'!$1:$2,2,FALSE),FALSE)/(VLOOKUP($A1103,'[1]import graded seats course pivo'!$A:Z,HLOOKUP('[1]Course Totals'!B$4,'[1]import graded seats course pivo'!$1:$2,2,FALSE),FALSE))),"")</f>
        <v/>
      </c>
      <c r="C1103" s="14">
        <f>IFERROR((VLOOKUP($A1103,'[1]import success seats course'!$A:Q,HLOOKUP('[1]Course Totals'!C$4,'[1]import success seats course'!$1:$2,2,FALSE),FALSE)/(VLOOKUP($A1103,'[1]import graded seats course pivo'!$A:AA,HLOOKUP('[1]Course Totals'!C$4,'[1]import graded seats course pivo'!$1:$2,2,FALSE),FALSE))),"")</f>
        <v>0.75</v>
      </c>
      <c r="D1103" s="14" t="str">
        <f>IFERROR((VLOOKUP($A1103,'[1]import success seats course'!$A:R,HLOOKUP('[1]Course Totals'!D$4,'[1]import success seats course'!$1:$2,2,FALSE),FALSE)/(VLOOKUP($A1103,'[1]import graded seats course pivo'!$A:AB,HLOOKUP('[1]Course Totals'!D$4,'[1]import graded seats course pivo'!$1:$2,2,FALSE),FALSE))),"")</f>
        <v/>
      </c>
      <c r="E1103" s="14" t="str">
        <f>IFERROR((VLOOKUP($A1103,'[1]import success seats course'!$A:S,HLOOKUP('[1]Course Totals'!E$4,'[1]import success seats course'!$1:$2,2,FALSE),FALSE)/(VLOOKUP($A1103,'[1]import graded seats course pivo'!$A:AC,HLOOKUP('[1]Course Totals'!E$4,'[1]import graded seats course pivo'!$1:$2,2,FALSE),FALSE))),"")</f>
        <v/>
      </c>
      <c r="F1103" s="14">
        <f>IFERROR((VLOOKUP($A1103,'[1]import success seats course'!$A:T,HLOOKUP('[1]Course Totals'!F$4,'[1]import success seats course'!$1:$2,2,FALSE),FALSE)/(VLOOKUP($A1103,'[1]import graded seats course pivo'!$A:AD,HLOOKUP('[1]Course Totals'!F$4,'[1]import graded seats course pivo'!$1:$2,2,FALSE),FALSE))),"")</f>
        <v>0.94117647058823528</v>
      </c>
      <c r="G1103" s="14" t="str">
        <f>IFERROR((VLOOKUP($A1103,'[1]import success seats course'!$A:U,HLOOKUP('[1]Course Totals'!G$4,'[1]import success seats course'!$1:$2,2,FALSE),FALSE)/(VLOOKUP($A1103,'[1]import graded seats course pivo'!$A:AE,HLOOKUP('[1]Course Totals'!G$4,'[1]import graded seats course pivo'!$1:$2,2,FALSE),FALSE))),"")</f>
        <v/>
      </c>
      <c r="H1103" s="14" t="str">
        <f>IFERROR((VLOOKUP($A1103,'[1]import success seats course'!$A:V,HLOOKUP('[1]Course Totals'!H$4,'[1]import success seats course'!$1:$2,2,FALSE),FALSE)/(VLOOKUP($A1103,'[1]import graded seats course pivo'!$A:AF,HLOOKUP('[1]Course Totals'!H$4,'[1]import graded seats course pivo'!$1:$2,2,FALSE),FALSE))),"")</f>
        <v/>
      </c>
      <c r="I1103" s="14" t="str">
        <f>IFERROR((VLOOKUP($A1103,'[1]import success seats course'!$A:W,HLOOKUP('[1]Course Totals'!I$4,'[1]import success seats course'!$1:$2,2,FALSE),FALSE)/(VLOOKUP($A1103,'[1]import graded seats course pivo'!$A:AG,HLOOKUP('[1]Course Totals'!I$4,'[1]import graded seats course pivo'!$1:$2,2,FALSE),FALSE))),"")</f>
        <v/>
      </c>
      <c r="J1103" s="14">
        <f>IFERROR((VLOOKUP($A1103,'[1]import success seats course'!$A:X,HLOOKUP('[1]Course Totals'!J$4,'[1]import success seats course'!$1:$2,2,FALSE),FALSE)/(VLOOKUP($A1103,'[1]import graded seats course pivo'!$A:AH,HLOOKUP('[1]Course Totals'!J$4,'[1]import graded seats course pivo'!$1:$2,2,FALSE),FALSE))),"")</f>
        <v>0.85</v>
      </c>
      <c r="K1103" s="14" t="str">
        <f>IFERROR((VLOOKUP($A1103,'[1]import success seats course'!$A:Y,HLOOKUP('[1]Course Totals'!K$4,'[1]import success seats course'!$1:$2,2,FALSE),FALSE)/(VLOOKUP($A1103,'[1]import graded seats course pivo'!$A:AI,HLOOKUP('[1]Course Totals'!K$4,'[1]import graded seats course pivo'!$1:$2,2,FALSE),FALSE))),"")</f>
        <v/>
      </c>
      <c r="L1103" s="14">
        <f>IFERROR((VLOOKUP($A1103,'[1]import success seats course'!$A:Z,HLOOKUP('[1]Course Totals'!L$4,'[1]import success seats course'!$1:$2,2,FALSE),FALSE)/(VLOOKUP($A1103,'[1]import graded seats course pivo'!$A:AJ,HLOOKUP('[1]Course Totals'!L$4,'[1]import graded seats course pivo'!$1:$2,2,FALSE),FALSE))),"")</f>
        <v>0.5714285714285714</v>
      </c>
      <c r="M1103" s="14" t="str">
        <f>IFERROR((VLOOKUP($A1103,'[1]import success seats course'!$A:AA,HLOOKUP('[1]Course Totals'!M$4,'[1]import success seats course'!$1:$2,2,FALSE),FALSE)/(VLOOKUP($A1103,'[1]import graded seats course pivo'!$A:AK,HLOOKUP('[1]Course Totals'!M$4,'[1]import graded seats course pivo'!$1:$2,2,FALSE),FALSE))),"")</f>
        <v/>
      </c>
      <c r="N1103" s="14" t="str">
        <f>IFERROR((VLOOKUP($A1103,'[1]import success seats course'!$A:AB,HLOOKUP('[1]Course Totals'!N$4,'[1]import success seats course'!$1:$2,2,FALSE),FALSE)/(VLOOKUP($A1103,'[1]import graded seats course pivo'!$A:AL,HLOOKUP('[1]Course Totals'!N$4,'[1]import graded seats course pivo'!$1:$2,2,FALSE),FALSE))),"")</f>
        <v/>
      </c>
      <c r="O1103" s="14">
        <f>IFERROR((VLOOKUP($A1103,'[1]import success seats course'!$A:AC,HLOOKUP('[1]Course Totals'!O$4,'[1]import success seats course'!$1:$2,2,FALSE),FALSE)/(VLOOKUP($A1103,'[1]import graded seats course pivo'!$A:AM,HLOOKUP('[1]Course Totals'!O$4,'[1]import graded seats course pivo'!$1:$2,2,FALSE),FALSE))),"")</f>
        <v>0.91666666666666663</v>
      </c>
      <c r="P1103" s="14">
        <f>IFERROR((VLOOKUP($A1103,'[1]import success seats course'!$A:AD,HLOOKUP('[1]Course Totals'!P$4,'[1]import success seats course'!$1:$2,2,FALSE),FALSE)/(VLOOKUP($A1103,'[1]import graded seats course pivo'!$A:AN,HLOOKUP('[1]Course Totals'!P$4,'[1]import graded seats course pivo'!$1:$2,2,FALSE),FALSE))),"")</f>
        <v>0.66666666666666663</v>
      </c>
      <c r="Q1103" s="14" t="str">
        <f>IFERROR((VLOOKUP($A1103,'[1]import success seats course'!$A:AE,HLOOKUP('[1]Course Totals'!Q$4,'[1]import success seats course'!$1:$2,2,FALSE),FALSE)/(VLOOKUP($A1103,'[1]import graded seats course pivo'!$A:AO,HLOOKUP('[1]Course Totals'!Q$4,'[1]import graded seats course pivo'!$1:$2,2,FALSE),FALSE))),"")</f>
        <v/>
      </c>
      <c r="R1103" s="14">
        <f>IFERROR((VLOOKUP($A1103,'[1]import success seats course'!$A:AF,HLOOKUP('[1]Course Totals'!R$4,'[1]import success seats course'!$1:$2,2,FALSE),FALSE)/(VLOOKUP($A1103,'[1]import graded seats course pivo'!$A:AP,HLOOKUP('[1]Course Totals'!R$4,'[1]import graded seats course pivo'!$1:$2,2,FALSE),FALSE))),"")</f>
        <v>0.875</v>
      </c>
      <c r="S1103" s="14" t="str">
        <f>IFERROR((VLOOKUP($A1103,'[1]import success seats course'!$A:AG,HLOOKUP('[1]Course Totals'!S$4,'[1]import success seats course'!$1:$2,2,FALSE),FALSE)/(VLOOKUP($A1103,'[1]import graded seats course pivo'!$A:AQ,HLOOKUP('[1]Course Totals'!S$4,'[1]import graded seats course pivo'!$1:$2,2,FALSE),FALSE))),"")</f>
        <v/>
      </c>
      <c r="Z1103" s="7"/>
      <c r="AA1103" s="7"/>
      <c r="AB1103" s="7"/>
      <c r="AC1103" s="7"/>
    </row>
    <row r="1104" spans="1:29" ht="15.75" customHeight="1" x14ac:dyDescent="0.25">
      <c r="A1104" s="12" t="s">
        <v>530</v>
      </c>
      <c r="B1104" s="14" t="str">
        <f>IFERROR((VLOOKUP($A1104,'[1]import success seats course'!$A:P,HLOOKUP('[1]Course Totals'!B$4,'[1]import success seats course'!$1:$2,2,FALSE),FALSE)/(VLOOKUP($A1104,'[1]import graded seats course pivo'!$A:Z,HLOOKUP('[1]Course Totals'!B$4,'[1]import graded seats course pivo'!$1:$2,2,FALSE),FALSE))),"")</f>
        <v/>
      </c>
      <c r="C1104" s="14">
        <f>IFERROR((VLOOKUP($A1104,'[1]import success seats course'!$A:Q,HLOOKUP('[1]Course Totals'!C$4,'[1]import success seats course'!$1:$2,2,FALSE),FALSE)/(VLOOKUP($A1104,'[1]import graded seats course pivo'!$A:AA,HLOOKUP('[1]Course Totals'!C$4,'[1]import graded seats course pivo'!$1:$2,2,FALSE),FALSE))),"")</f>
        <v>0.5</v>
      </c>
      <c r="D1104" s="14" t="str">
        <f>IFERROR((VLOOKUP($A1104,'[1]import success seats course'!$A:R,HLOOKUP('[1]Course Totals'!D$4,'[1]import success seats course'!$1:$2,2,FALSE),FALSE)/(VLOOKUP($A1104,'[1]import graded seats course pivo'!$A:AB,HLOOKUP('[1]Course Totals'!D$4,'[1]import graded seats course pivo'!$1:$2,2,FALSE),FALSE))),"")</f>
        <v/>
      </c>
      <c r="E1104" s="14" t="str">
        <f>IFERROR((VLOOKUP($A1104,'[1]import success seats course'!$A:S,HLOOKUP('[1]Course Totals'!E$4,'[1]import success seats course'!$1:$2,2,FALSE),FALSE)/(VLOOKUP($A1104,'[1]import graded seats course pivo'!$A:AC,HLOOKUP('[1]Course Totals'!E$4,'[1]import graded seats course pivo'!$1:$2,2,FALSE),FALSE))),"")</f>
        <v/>
      </c>
      <c r="F1104" s="14">
        <f>IFERROR((VLOOKUP($A1104,'[1]import success seats course'!$A:T,HLOOKUP('[1]Course Totals'!F$4,'[1]import success seats course'!$1:$2,2,FALSE),FALSE)/(VLOOKUP($A1104,'[1]import graded seats course pivo'!$A:AD,HLOOKUP('[1]Course Totals'!F$4,'[1]import graded seats course pivo'!$1:$2,2,FALSE),FALSE))),"")</f>
        <v>1</v>
      </c>
      <c r="G1104" s="14">
        <f>IFERROR((VLOOKUP($A1104,'[1]import success seats course'!$A:U,HLOOKUP('[1]Course Totals'!G$4,'[1]import success seats course'!$1:$2,2,FALSE),FALSE)/(VLOOKUP($A1104,'[1]import graded seats course pivo'!$A:AE,HLOOKUP('[1]Course Totals'!G$4,'[1]import graded seats course pivo'!$1:$2,2,FALSE),FALSE))),"")</f>
        <v>1</v>
      </c>
      <c r="H1104" s="14" t="str">
        <f>IFERROR((VLOOKUP($A1104,'[1]import success seats course'!$A:V,HLOOKUP('[1]Course Totals'!H$4,'[1]import success seats course'!$1:$2,2,FALSE),FALSE)/(VLOOKUP($A1104,'[1]import graded seats course pivo'!$A:AF,HLOOKUP('[1]Course Totals'!H$4,'[1]import graded seats course pivo'!$1:$2,2,FALSE),FALSE))),"")</f>
        <v/>
      </c>
      <c r="I1104" s="14">
        <f>IFERROR((VLOOKUP($A1104,'[1]import success seats course'!$A:W,HLOOKUP('[1]Course Totals'!I$4,'[1]import success seats course'!$1:$2,2,FALSE),FALSE)/(VLOOKUP($A1104,'[1]import graded seats course pivo'!$A:AG,HLOOKUP('[1]Course Totals'!I$4,'[1]import graded seats course pivo'!$1:$2,2,FALSE),FALSE))),"")</f>
        <v>0.7142857142857143</v>
      </c>
      <c r="J1104" s="14">
        <f>IFERROR((VLOOKUP($A1104,'[1]import success seats course'!$A:X,HLOOKUP('[1]Course Totals'!J$4,'[1]import success seats course'!$1:$2,2,FALSE),FALSE)/(VLOOKUP($A1104,'[1]import graded seats course pivo'!$A:AH,HLOOKUP('[1]Course Totals'!J$4,'[1]import graded seats course pivo'!$1:$2,2,FALSE),FALSE))),"")</f>
        <v>0.7142857142857143</v>
      </c>
      <c r="K1104" s="14" t="str">
        <f>IFERROR((VLOOKUP($A1104,'[1]import success seats course'!$A:Y,HLOOKUP('[1]Course Totals'!K$4,'[1]import success seats course'!$1:$2,2,FALSE),FALSE)/(VLOOKUP($A1104,'[1]import graded seats course pivo'!$A:AI,HLOOKUP('[1]Course Totals'!K$4,'[1]import graded seats course pivo'!$1:$2,2,FALSE),FALSE))),"")</f>
        <v/>
      </c>
      <c r="L1104" s="14">
        <f>IFERROR((VLOOKUP($A1104,'[1]import success seats course'!$A:Z,HLOOKUP('[1]Course Totals'!L$4,'[1]import success seats course'!$1:$2,2,FALSE),FALSE)/(VLOOKUP($A1104,'[1]import graded seats course pivo'!$A:AJ,HLOOKUP('[1]Course Totals'!L$4,'[1]import graded seats course pivo'!$1:$2,2,FALSE),FALSE))),"")</f>
        <v>0.88888888888888884</v>
      </c>
      <c r="M1104" s="14">
        <f>IFERROR((VLOOKUP($A1104,'[1]import success seats course'!$A:AA,HLOOKUP('[1]Course Totals'!M$4,'[1]import success seats course'!$1:$2,2,FALSE),FALSE)/(VLOOKUP($A1104,'[1]import graded seats course pivo'!$A:AK,HLOOKUP('[1]Course Totals'!M$4,'[1]import graded seats course pivo'!$1:$2,2,FALSE),FALSE))),"")</f>
        <v>1</v>
      </c>
      <c r="N1104" s="14" t="str">
        <f>IFERROR((VLOOKUP($A1104,'[1]import success seats course'!$A:AB,HLOOKUP('[1]Course Totals'!N$4,'[1]import success seats course'!$1:$2,2,FALSE),FALSE)/(VLOOKUP($A1104,'[1]import graded seats course pivo'!$A:AL,HLOOKUP('[1]Course Totals'!N$4,'[1]import graded seats course pivo'!$1:$2,2,FALSE),FALSE))),"")</f>
        <v/>
      </c>
      <c r="O1104" s="14">
        <f>IFERROR((VLOOKUP($A1104,'[1]import success seats course'!$A:AC,HLOOKUP('[1]Course Totals'!O$4,'[1]import success seats course'!$1:$2,2,FALSE),FALSE)/(VLOOKUP($A1104,'[1]import graded seats course pivo'!$A:AM,HLOOKUP('[1]Course Totals'!O$4,'[1]import graded seats course pivo'!$1:$2,2,FALSE),FALSE))),"")</f>
        <v>0.92307692307692313</v>
      </c>
      <c r="P1104" s="14">
        <f>IFERROR((VLOOKUP($A1104,'[1]import success seats course'!$A:AD,HLOOKUP('[1]Course Totals'!P$4,'[1]import success seats course'!$1:$2,2,FALSE),FALSE)/(VLOOKUP($A1104,'[1]import graded seats course pivo'!$A:AN,HLOOKUP('[1]Course Totals'!P$4,'[1]import graded seats course pivo'!$1:$2,2,FALSE),FALSE))),"")</f>
        <v>0.76923076923076927</v>
      </c>
      <c r="Q1104" s="14" t="str">
        <f>IFERROR((VLOOKUP($A1104,'[1]import success seats course'!$A:AE,HLOOKUP('[1]Course Totals'!Q$4,'[1]import success seats course'!$1:$2,2,FALSE),FALSE)/(VLOOKUP($A1104,'[1]import graded seats course pivo'!$A:AO,HLOOKUP('[1]Course Totals'!Q$4,'[1]import graded seats course pivo'!$1:$2,2,FALSE),FALSE))),"")</f>
        <v/>
      </c>
      <c r="R1104" s="14">
        <f>IFERROR((VLOOKUP($A1104,'[1]import success seats course'!$A:AF,HLOOKUP('[1]Course Totals'!R$4,'[1]import success seats course'!$1:$2,2,FALSE),FALSE)/(VLOOKUP($A1104,'[1]import graded seats course pivo'!$A:AP,HLOOKUP('[1]Course Totals'!R$4,'[1]import graded seats course pivo'!$1:$2,2,FALSE),FALSE))),"")</f>
        <v>0.76923076923076927</v>
      </c>
      <c r="S1104" s="14">
        <f>IFERROR((VLOOKUP($A1104,'[1]import success seats course'!$A:AG,HLOOKUP('[1]Course Totals'!S$4,'[1]import success seats course'!$1:$2,2,FALSE),FALSE)/(VLOOKUP($A1104,'[1]import graded seats course pivo'!$A:AQ,HLOOKUP('[1]Course Totals'!S$4,'[1]import graded seats course pivo'!$1:$2,2,FALSE),FALSE))),"")</f>
        <v>0.91666666666666663</v>
      </c>
      <c r="Z1104" s="7"/>
      <c r="AA1104" s="7"/>
      <c r="AB1104" s="7"/>
      <c r="AC1104" s="7"/>
    </row>
    <row r="1105" spans="1:29" ht="15.75" customHeight="1" x14ac:dyDescent="0.25">
      <c r="A1105" s="12" t="s">
        <v>668</v>
      </c>
      <c r="B1105" s="14" t="str">
        <f>IFERROR((VLOOKUP($A1105,'[1]import success seats course'!$A:P,HLOOKUP('[1]Course Totals'!B$4,'[1]import success seats course'!$1:$2,2,FALSE),FALSE)/(VLOOKUP($A1105,'[1]import graded seats course pivo'!$A:Z,HLOOKUP('[1]Course Totals'!B$4,'[1]import graded seats course pivo'!$1:$2,2,FALSE),FALSE))),"")</f>
        <v/>
      </c>
      <c r="C1105" s="14" t="str">
        <f>IFERROR((VLOOKUP($A1105,'[1]import success seats course'!$A:Q,HLOOKUP('[1]Course Totals'!C$4,'[1]import success seats course'!$1:$2,2,FALSE),FALSE)/(VLOOKUP($A1105,'[1]import graded seats course pivo'!$A:AA,HLOOKUP('[1]Course Totals'!C$4,'[1]import graded seats course pivo'!$1:$2,2,FALSE),FALSE))),"")</f>
        <v/>
      </c>
      <c r="D1105" s="14" t="str">
        <f>IFERROR((VLOOKUP($A1105,'[1]import success seats course'!$A:R,HLOOKUP('[1]Course Totals'!D$4,'[1]import success seats course'!$1:$2,2,FALSE),FALSE)/(VLOOKUP($A1105,'[1]import graded seats course pivo'!$A:AB,HLOOKUP('[1]Course Totals'!D$4,'[1]import graded seats course pivo'!$1:$2,2,FALSE),FALSE))),"")</f>
        <v/>
      </c>
      <c r="E1105" s="14" t="str">
        <f>IFERROR((VLOOKUP($A1105,'[1]import success seats course'!$A:S,HLOOKUP('[1]Course Totals'!E$4,'[1]import success seats course'!$1:$2,2,FALSE),FALSE)/(VLOOKUP($A1105,'[1]import graded seats course pivo'!$A:AC,HLOOKUP('[1]Course Totals'!E$4,'[1]import graded seats course pivo'!$1:$2,2,FALSE),FALSE))),"")</f>
        <v/>
      </c>
      <c r="F1105" s="14">
        <f>IFERROR((VLOOKUP($A1105,'[1]import success seats course'!$A:T,HLOOKUP('[1]Course Totals'!F$4,'[1]import success seats course'!$1:$2,2,FALSE),FALSE)/(VLOOKUP($A1105,'[1]import graded seats course pivo'!$A:AD,HLOOKUP('[1]Course Totals'!F$4,'[1]import graded seats course pivo'!$1:$2,2,FALSE),FALSE))),"")</f>
        <v>0.95</v>
      </c>
      <c r="G1105" s="14" t="str">
        <f>IFERROR((VLOOKUP($A1105,'[1]import success seats course'!$A:U,HLOOKUP('[1]Course Totals'!G$4,'[1]import success seats course'!$1:$2,2,FALSE),FALSE)/(VLOOKUP($A1105,'[1]import graded seats course pivo'!$A:AE,HLOOKUP('[1]Course Totals'!G$4,'[1]import graded seats course pivo'!$1:$2,2,FALSE),FALSE))),"")</f>
        <v/>
      </c>
      <c r="H1105" s="14" t="str">
        <f>IFERROR((VLOOKUP($A1105,'[1]import success seats course'!$A:V,HLOOKUP('[1]Course Totals'!H$4,'[1]import success seats course'!$1:$2,2,FALSE),FALSE)/(VLOOKUP($A1105,'[1]import graded seats course pivo'!$A:AF,HLOOKUP('[1]Course Totals'!H$4,'[1]import graded seats course pivo'!$1:$2,2,FALSE),FALSE))),"")</f>
        <v/>
      </c>
      <c r="I1105" s="14">
        <f>IFERROR((VLOOKUP($A1105,'[1]import success seats course'!$A:W,HLOOKUP('[1]Course Totals'!I$4,'[1]import success seats course'!$1:$2,2,FALSE),FALSE)/(VLOOKUP($A1105,'[1]import graded seats course pivo'!$A:AG,HLOOKUP('[1]Course Totals'!I$4,'[1]import graded seats course pivo'!$1:$2,2,FALSE),FALSE))),"")</f>
        <v>0.7142857142857143</v>
      </c>
      <c r="J1105" s="14" t="str">
        <f>IFERROR((VLOOKUP($A1105,'[1]import success seats course'!$A:X,HLOOKUP('[1]Course Totals'!J$4,'[1]import success seats course'!$1:$2,2,FALSE),FALSE)/(VLOOKUP($A1105,'[1]import graded seats course pivo'!$A:AH,HLOOKUP('[1]Course Totals'!J$4,'[1]import graded seats course pivo'!$1:$2,2,FALSE),FALSE))),"")</f>
        <v/>
      </c>
      <c r="K1105" s="14" t="str">
        <f>IFERROR((VLOOKUP($A1105,'[1]import success seats course'!$A:Y,HLOOKUP('[1]Course Totals'!K$4,'[1]import success seats course'!$1:$2,2,FALSE),FALSE)/(VLOOKUP($A1105,'[1]import graded seats course pivo'!$A:AI,HLOOKUP('[1]Course Totals'!K$4,'[1]import graded seats course pivo'!$1:$2,2,FALSE),FALSE))),"")</f>
        <v/>
      </c>
      <c r="L1105" s="14" t="str">
        <f>IFERROR((VLOOKUP($A1105,'[1]import success seats course'!$A:Z,HLOOKUP('[1]Course Totals'!L$4,'[1]import success seats course'!$1:$2,2,FALSE),FALSE)/(VLOOKUP($A1105,'[1]import graded seats course pivo'!$A:AJ,HLOOKUP('[1]Course Totals'!L$4,'[1]import graded seats course pivo'!$1:$2,2,FALSE),FALSE))),"")</f>
        <v/>
      </c>
      <c r="M1105" s="14" t="str">
        <f>IFERROR((VLOOKUP($A1105,'[1]import success seats course'!$A:AA,HLOOKUP('[1]Course Totals'!M$4,'[1]import success seats course'!$1:$2,2,FALSE),FALSE)/(VLOOKUP($A1105,'[1]import graded seats course pivo'!$A:AK,HLOOKUP('[1]Course Totals'!M$4,'[1]import graded seats course pivo'!$1:$2,2,FALSE),FALSE))),"")</f>
        <v/>
      </c>
      <c r="N1105" s="14" t="str">
        <f>IFERROR((VLOOKUP($A1105,'[1]import success seats course'!$A:AB,HLOOKUP('[1]Course Totals'!N$4,'[1]import success seats course'!$1:$2,2,FALSE),FALSE)/(VLOOKUP($A1105,'[1]import graded seats course pivo'!$A:AL,HLOOKUP('[1]Course Totals'!N$4,'[1]import graded seats course pivo'!$1:$2,2,FALSE),FALSE))),"")</f>
        <v/>
      </c>
      <c r="O1105" s="14" t="str">
        <f>IFERROR((VLOOKUP($A1105,'[1]import success seats course'!$A:AC,HLOOKUP('[1]Course Totals'!O$4,'[1]import success seats course'!$1:$2,2,FALSE),FALSE)/(VLOOKUP($A1105,'[1]import graded seats course pivo'!$A:AM,HLOOKUP('[1]Course Totals'!O$4,'[1]import graded seats course pivo'!$1:$2,2,FALSE),FALSE))),"")</f>
        <v/>
      </c>
      <c r="P1105" s="14">
        <f>IFERROR((VLOOKUP($A1105,'[1]import success seats course'!$A:AD,HLOOKUP('[1]Course Totals'!P$4,'[1]import success seats course'!$1:$2,2,FALSE),FALSE)/(VLOOKUP($A1105,'[1]import graded seats course pivo'!$A:AN,HLOOKUP('[1]Course Totals'!P$4,'[1]import graded seats course pivo'!$1:$2,2,FALSE),FALSE))),"")</f>
        <v>0.76470588235294112</v>
      </c>
      <c r="Q1105" s="14" t="str">
        <f>IFERROR((VLOOKUP($A1105,'[1]import success seats course'!$A:AE,HLOOKUP('[1]Course Totals'!Q$4,'[1]import success seats course'!$1:$2,2,FALSE),FALSE)/(VLOOKUP($A1105,'[1]import graded seats course pivo'!$A:AO,HLOOKUP('[1]Course Totals'!Q$4,'[1]import graded seats course pivo'!$1:$2,2,FALSE),FALSE))),"")</f>
        <v/>
      </c>
      <c r="R1105" s="14" t="str">
        <f>IFERROR((VLOOKUP($A1105,'[1]import success seats course'!$A:AF,HLOOKUP('[1]Course Totals'!R$4,'[1]import success seats course'!$1:$2,2,FALSE),FALSE)/(VLOOKUP($A1105,'[1]import graded seats course pivo'!$A:AP,HLOOKUP('[1]Course Totals'!R$4,'[1]import graded seats course pivo'!$1:$2,2,FALSE),FALSE))),"")</f>
        <v/>
      </c>
      <c r="S1105" s="14" t="str">
        <f>IFERROR((VLOOKUP($A1105,'[1]import success seats course'!$A:AG,HLOOKUP('[1]Course Totals'!S$4,'[1]import success seats course'!$1:$2,2,FALSE),FALSE)/(VLOOKUP($A1105,'[1]import graded seats course pivo'!$A:AQ,HLOOKUP('[1]Course Totals'!S$4,'[1]import graded seats course pivo'!$1:$2,2,FALSE),FALSE))),"")</f>
        <v/>
      </c>
      <c r="Z1105" s="7"/>
      <c r="AA1105" s="7"/>
      <c r="AB1105" s="7"/>
      <c r="AC1105" s="7"/>
    </row>
    <row r="1106" spans="1:29" ht="15.75" customHeight="1" x14ac:dyDescent="0.25">
      <c r="A1106" s="12" t="s">
        <v>531</v>
      </c>
      <c r="B1106" s="14">
        <f>IFERROR((VLOOKUP($A1106,'[1]import success seats course'!$A:P,HLOOKUP('[1]Course Totals'!B$4,'[1]import success seats course'!$1:$2,2,FALSE),FALSE)/(VLOOKUP($A1106,'[1]import graded seats course pivo'!$A:Z,HLOOKUP('[1]Course Totals'!B$4,'[1]import graded seats course pivo'!$1:$2,2,FALSE),FALSE))),"")</f>
        <v>0.88888888888888884</v>
      </c>
      <c r="C1106" s="14">
        <f>IFERROR((VLOOKUP($A1106,'[1]import success seats course'!$A:Q,HLOOKUP('[1]Course Totals'!C$4,'[1]import success seats course'!$1:$2,2,FALSE),FALSE)/(VLOOKUP($A1106,'[1]import graded seats course pivo'!$A:AA,HLOOKUP('[1]Course Totals'!C$4,'[1]import graded seats course pivo'!$1:$2,2,FALSE),FALSE))),"")</f>
        <v>0.88135593220338981</v>
      </c>
      <c r="D1106" s="14">
        <f>IFERROR((VLOOKUP($A1106,'[1]import success seats course'!$A:R,HLOOKUP('[1]Course Totals'!D$4,'[1]import success seats course'!$1:$2,2,FALSE),FALSE)/(VLOOKUP($A1106,'[1]import graded seats course pivo'!$A:AB,HLOOKUP('[1]Course Totals'!D$4,'[1]import graded seats course pivo'!$1:$2,2,FALSE),FALSE))),"")</f>
        <v>0.80555555555555558</v>
      </c>
      <c r="E1106" s="14">
        <f>IFERROR((VLOOKUP($A1106,'[1]import success seats course'!$A:S,HLOOKUP('[1]Course Totals'!E$4,'[1]import success seats course'!$1:$2,2,FALSE),FALSE)/(VLOOKUP($A1106,'[1]import graded seats course pivo'!$A:AC,HLOOKUP('[1]Course Totals'!E$4,'[1]import graded seats course pivo'!$1:$2,2,FALSE),FALSE))),"")</f>
        <v>1</v>
      </c>
      <c r="F1106" s="14">
        <f>IFERROR((VLOOKUP($A1106,'[1]import success seats course'!$A:T,HLOOKUP('[1]Course Totals'!F$4,'[1]import success seats course'!$1:$2,2,FALSE),FALSE)/(VLOOKUP($A1106,'[1]import graded seats course pivo'!$A:AD,HLOOKUP('[1]Course Totals'!F$4,'[1]import graded seats course pivo'!$1:$2,2,FALSE),FALSE))),"")</f>
        <v>0.82692307692307687</v>
      </c>
      <c r="G1106" s="14">
        <f>IFERROR((VLOOKUP($A1106,'[1]import success seats course'!$A:U,HLOOKUP('[1]Course Totals'!G$4,'[1]import success seats course'!$1:$2,2,FALSE),FALSE)/(VLOOKUP($A1106,'[1]import graded seats course pivo'!$A:AE,HLOOKUP('[1]Course Totals'!G$4,'[1]import graded seats course pivo'!$1:$2,2,FALSE),FALSE))),"")</f>
        <v>0.86274509803921573</v>
      </c>
      <c r="H1106" s="14" t="str">
        <f>IFERROR((VLOOKUP($A1106,'[1]import success seats course'!$A:V,HLOOKUP('[1]Course Totals'!H$4,'[1]import success seats course'!$1:$2,2,FALSE),FALSE)/(VLOOKUP($A1106,'[1]import graded seats course pivo'!$A:AF,HLOOKUP('[1]Course Totals'!H$4,'[1]import graded seats course pivo'!$1:$2,2,FALSE),FALSE))),"")</f>
        <v/>
      </c>
      <c r="I1106" s="14">
        <f>IFERROR((VLOOKUP($A1106,'[1]import success seats course'!$A:W,HLOOKUP('[1]Course Totals'!I$4,'[1]import success seats course'!$1:$2,2,FALSE),FALSE)/(VLOOKUP($A1106,'[1]import graded seats course pivo'!$A:AG,HLOOKUP('[1]Course Totals'!I$4,'[1]import graded seats course pivo'!$1:$2,2,FALSE),FALSE))),"")</f>
        <v>0.77083333333333337</v>
      </c>
      <c r="J1106" s="14">
        <f>IFERROR((VLOOKUP($A1106,'[1]import success seats course'!$A:X,HLOOKUP('[1]Course Totals'!J$4,'[1]import success seats course'!$1:$2,2,FALSE),FALSE)/(VLOOKUP($A1106,'[1]import graded seats course pivo'!$A:AH,HLOOKUP('[1]Course Totals'!J$4,'[1]import graded seats course pivo'!$1:$2,2,FALSE),FALSE))),"")</f>
        <v>1</v>
      </c>
      <c r="K1106" s="14" t="str">
        <f>IFERROR((VLOOKUP($A1106,'[1]import success seats course'!$A:Y,HLOOKUP('[1]Course Totals'!K$4,'[1]import success seats course'!$1:$2,2,FALSE),FALSE)/(VLOOKUP($A1106,'[1]import graded seats course pivo'!$A:AI,HLOOKUP('[1]Course Totals'!K$4,'[1]import graded seats course pivo'!$1:$2,2,FALSE),FALSE))),"")</f>
        <v/>
      </c>
      <c r="L1106" s="14">
        <f>IFERROR((VLOOKUP($A1106,'[1]import success seats course'!$A:Z,HLOOKUP('[1]Course Totals'!L$4,'[1]import success seats course'!$1:$2,2,FALSE),FALSE)/(VLOOKUP($A1106,'[1]import graded seats course pivo'!$A:AJ,HLOOKUP('[1]Course Totals'!L$4,'[1]import graded seats course pivo'!$1:$2,2,FALSE),FALSE))),"")</f>
        <v>0.9375</v>
      </c>
      <c r="M1106" s="14">
        <f>IFERROR((VLOOKUP($A1106,'[1]import success seats course'!$A:AA,HLOOKUP('[1]Course Totals'!M$4,'[1]import success seats course'!$1:$2,2,FALSE),FALSE)/(VLOOKUP($A1106,'[1]import graded seats course pivo'!$A:AK,HLOOKUP('[1]Course Totals'!M$4,'[1]import graded seats course pivo'!$1:$2,2,FALSE),FALSE))),"")</f>
        <v>0.81132075471698117</v>
      </c>
      <c r="N1106" s="14" t="str">
        <f>IFERROR((VLOOKUP($A1106,'[1]import success seats course'!$A:AB,HLOOKUP('[1]Course Totals'!N$4,'[1]import success seats course'!$1:$2,2,FALSE),FALSE)/(VLOOKUP($A1106,'[1]import graded seats course pivo'!$A:AL,HLOOKUP('[1]Course Totals'!N$4,'[1]import graded seats course pivo'!$1:$2,2,FALSE),FALSE))),"")</f>
        <v/>
      </c>
      <c r="O1106" s="14">
        <f>IFERROR((VLOOKUP($A1106,'[1]import success seats course'!$A:AC,HLOOKUP('[1]Course Totals'!O$4,'[1]import success seats course'!$1:$2,2,FALSE),FALSE)/(VLOOKUP($A1106,'[1]import graded seats course pivo'!$A:AM,HLOOKUP('[1]Course Totals'!O$4,'[1]import graded seats course pivo'!$1:$2,2,FALSE),FALSE))),"")</f>
        <v>0.875</v>
      </c>
      <c r="P1106" s="14">
        <f>IFERROR((VLOOKUP($A1106,'[1]import success seats course'!$A:AD,HLOOKUP('[1]Course Totals'!P$4,'[1]import success seats course'!$1:$2,2,FALSE),FALSE)/(VLOOKUP($A1106,'[1]import graded seats course pivo'!$A:AN,HLOOKUP('[1]Course Totals'!P$4,'[1]import graded seats course pivo'!$1:$2,2,FALSE),FALSE))),"")</f>
        <v>0.8666666666666667</v>
      </c>
      <c r="Q1106" s="14" t="str">
        <f>IFERROR((VLOOKUP($A1106,'[1]import success seats course'!$A:AE,HLOOKUP('[1]Course Totals'!Q$4,'[1]import success seats course'!$1:$2,2,FALSE),FALSE)/(VLOOKUP($A1106,'[1]import graded seats course pivo'!$A:AO,HLOOKUP('[1]Course Totals'!Q$4,'[1]import graded seats course pivo'!$1:$2,2,FALSE),FALSE))),"")</f>
        <v/>
      </c>
      <c r="R1106" s="14">
        <f>IFERROR((VLOOKUP($A1106,'[1]import success seats course'!$A:AF,HLOOKUP('[1]Course Totals'!R$4,'[1]import success seats course'!$1:$2,2,FALSE),FALSE)/(VLOOKUP($A1106,'[1]import graded seats course pivo'!$A:AP,HLOOKUP('[1]Course Totals'!R$4,'[1]import graded seats course pivo'!$1:$2,2,FALSE),FALSE))),"")</f>
        <v>0.95918367346938771</v>
      </c>
      <c r="S1106" s="14">
        <f>IFERROR((VLOOKUP($A1106,'[1]import success seats course'!$A:AG,HLOOKUP('[1]Course Totals'!S$4,'[1]import success seats course'!$1:$2,2,FALSE),FALSE)/(VLOOKUP($A1106,'[1]import graded seats course pivo'!$A:AQ,HLOOKUP('[1]Course Totals'!S$4,'[1]import graded seats course pivo'!$1:$2,2,FALSE),FALSE))),"")</f>
        <v>0.8125</v>
      </c>
      <c r="Z1106" s="7"/>
      <c r="AA1106" s="7"/>
      <c r="AB1106" s="7"/>
      <c r="AC1106" s="7"/>
    </row>
    <row r="1107" spans="1:29" ht="15.75" customHeight="1" x14ac:dyDescent="0.25">
      <c r="A1107" s="12" t="s">
        <v>532</v>
      </c>
      <c r="B1107" s="14" t="str">
        <f>IFERROR((VLOOKUP($A1107,'[1]import success seats course'!$A:P,HLOOKUP('[1]Course Totals'!B$4,'[1]import success seats course'!$1:$2,2,FALSE),FALSE)/(VLOOKUP($A1107,'[1]import graded seats course pivo'!$A:Z,HLOOKUP('[1]Course Totals'!B$4,'[1]import graded seats course pivo'!$1:$2,2,FALSE),FALSE))),"")</f>
        <v/>
      </c>
      <c r="C1107" s="14" t="str">
        <f>IFERROR((VLOOKUP($A1107,'[1]import success seats course'!$A:Q,HLOOKUP('[1]Course Totals'!C$4,'[1]import success seats course'!$1:$2,2,FALSE),FALSE)/(VLOOKUP($A1107,'[1]import graded seats course pivo'!$A:AA,HLOOKUP('[1]Course Totals'!C$4,'[1]import graded seats course pivo'!$1:$2,2,FALSE),FALSE))),"")</f>
        <v/>
      </c>
      <c r="D1107" s="14">
        <f>IFERROR((VLOOKUP($A1107,'[1]import success seats course'!$A:R,HLOOKUP('[1]Course Totals'!D$4,'[1]import success seats course'!$1:$2,2,FALSE),FALSE)/(VLOOKUP($A1107,'[1]import graded seats course pivo'!$A:AB,HLOOKUP('[1]Course Totals'!D$4,'[1]import graded seats course pivo'!$1:$2,2,FALSE),FALSE))),"")</f>
        <v>0.91666666666666663</v>
      </c>
      <c r="E1107" s="14" t="str">
        <f>IFERROR((VLOOKUP($A1107,'[1]import success seats course'!$A:S,HLOOKUP('[1]Course Totals'!E$4,'[1]import success seats course'!$1:$2,2,FALSE),FALSE)/(VLOOKUP($A1107,'[1]import graded seats course pivo'!$A:AC,HLOOKUP('[1]Course Totals'!E$4,'[1]import graded seats course pivo'!$1:$2,2,FALSE),FALSE))),"")</f>
        <v/>
      </c>
      <c r="F1107" s="14" t="str">
        <f>IFERROR((VLOOKUP($A1107,'[1]import success seats course'!$A:T,HLOOKUP('[1]Course Totals'!F$4,'[1]import success seats course'!$1:$2,2,FALSE),FALSE)/(VLOOKUP($A1107,'[1]import graded seats course pivo'!$A:AD,HLOOKUP('[1]Course Totals'!F$4,'[1]import graded seats course pivo'!$1:$2,2,FALSE),FALSE))),"")</f>
        <v/>
      </c>
      <c r="G1107" s="14" t="str">
        <f>IFERROR((VLOOKUP($A1107,'[1]import success seats course'!$A:U,HLOOKUP('[1]Course Totals'!G$4,'[1]import success seats course'!$1:$2,2,FALSE),FALSE)/(VLOOKUP($A1107,'[1]import graded seats course pivo'!$A:AE,HLOOKUP('[1]Course Totals'!G$4,'[1]import graded seats course pivo'!$1:$2,2,FALSE),FALSE))),"")</f>
        <v/>
      </c>
      <c r="H1107" s="14" t="str">
        <f>IFERROR((VLOOKUP($A1107,'[1]import success seats course'!$A:V,HLOOKUP('[1]Course Totals'!H$4,'[1]import success seats course'!$1:$2,2,FALSE),FALSE)/(VLOOKUP($A1107,'[1]import graded seats course pivo'!$A:AF,HLOOKUP('[1]Course Totals'!H$4,'[1]import graded seats course pivo'!$1:$2,2,FALSE),FALSE))),"")</f>
        <v/>
      </c>
      <c r="I1107" s="14" t="str">
        <f>IFERROR((VLOOKUP($A1107,'[1]import success seats course'!$A:W,HLOOKUP('[1]Course Totals'!I$4,'[1]import success seats course'!$1:$2,2,FALSE),FALSE)/(VLOOKUP($A1107,'[1]import graded seats course pivo'!$A:AG,HLOOKUP('[1]Course Totals'!I$4,'[1]import graded seats course pivo'!$1:$2,2,FALSE),FALSE))),"")</f>
        <v/>
      </c>
      <c r="J1107" s="14" t="str">
        <f>IFERROR((VLOOKUP($A1107,'[1]import success seats course'!$A:X,HLOOKUP('[1]Course Totals'!J$4,'[1]import success seats course'!$1:$2,2,FALSE),FALSE)/(VLOOKUP($A1107,'[1]import graded seats course pivo'!$A:AH,HLOOKUP('[1]Course Totals'!J$4,'[1]import graded seats course pivo'!$1:$2,2,FALSE),FALSE))),"")</f>
        <v/>
      </c>
      <c r="K1107" s="14" t="str">
        <f>IFERROR((VLOOKUP($A1107,'[1]import success seats course'!$A:Y,HLOOKUP('[1]Course Totals'!K$4,'[1]import success seats course'!$1:$2,2,FALSE),FALSE)/(VLOOKUP($A1107,'[1]import graded seats course pivo'!$A:AI,HLOOKUP('[1]Course Totals'!K$4,'[1]import graded seats course pivo'!$1:$2,2,FALSE),FALSE))),"")</f>
        <v/>
      </c>
      <c r="L1107" s="14" t="str">
        <f>IFERROR((VLOOKUP($A1107,'[1]import success seats course'!$A:Z,HLOOKUP('[1]Course Totals'!L$4,'[1]import success seats course'!$1:$2,2,FALSE),FALSE)/(VLOOKUP($A1107,'[1]import graded seats course pivo'!$A:AJ,HLOOKUP('[1]Course Totals'!L$4,'[1]import graded seats course pivo'!$1:$2,2,FALSE),FALSE))),"")</f>
        <v/>
      </c>
      <c r="M1107" s="14">
        <f>IFERROR((VLOOKUP($A1107,'[1]import success seats course'!$A:AA,HLOOKUP('[1]Course Totals'!M$4,'[1]import success seats course'!$1:$2,2,FALSE),FALSE)/(VLOOKUP($A1107,'[1]import graded seats course pivo'!$A:AK,HLOOKUP('[1]Course Totals'!M$4,'[1]import graded seats course pivo'!$1:$2,2,FALSE),FALSE))),"")</f>
        <v>0.88235294117647056</v>
      </c>
      <c r="N1107" s="14" t="str">
        <f>IFERROR((VLOOKUP($A1107,'[1]import success seats course'!$A:AB,HLOOKUP('[1]Course Totals'!N$4,'[1]import success seats course'!$1:$2,2,FALSE),FALSE)/(VLOOKUP($A1107,'[1]import graded seats course pivo'!$A:AL,HLOOKUP('[1]Course Totals'!N$4,'[1]import graded seats course pivo'!$1:$2,2,FALSE),FALSE))),"")</f>
        <v/>
      </c>
      <c r="O1107" s="14" t="str">
        <f>IFERROR((VLOOKUP($A1107,'[1]import success seats course'!$A:AC,HLOOKUP('[1]Course Totals'!O$4,'[1]import success seats course'!$1:$2,2,FALSE),FALSE)/(VLOOKUP($A1107,'[1]import graded seats course pivo'!$A:AM,HLOOKUP('[1]Course Totals'!O$4,'[1]import graded seats course pivo'!$1:$2,2,FALSE),FALSE))),"")</f>
        <v/>
      </c>
      <c r="P1107" s="14">
        <f>IFERROR((VLOOKUP($A1107,'[1]import success seats course'!$A:AD,HLOOKUP('[1]Course Totals'!P$4,'[1]import success seats course'!$1:$2,2,FALSE),FALSE)/(VLOOKUP($A1107,'[1]import graded seats course pivo'!$A:AN,HLOOKUP('[1]Course Totals'!P$4,'[1]import graded seats course pivo'!$1:$2,2,FALSE),FALSE))),"")</f>
        <v>0.6</v>
      </c>
      <c r="Q1107" s="14" t="str">
        <f>IFERROR((VLOOKUP($A1107,'[1]import success seats course'!$A:AE,HLOOKUP('[1]Course Totals'!Q$4,'[1]import success seats course'!$1:$2,2,FALSE),FALSE)/(VLOOKUP($A1107,'[1]import graded seats course pivo'!$A:AO,HLOOKUP('[1]Course Totals'!Q$4,'[1]import graded seats course pivo'!$1:$2,2,FALSE),FALSE))),"")</f>
        <v/>
      </c>
      <c r="R1107" s="14" t="str">
        <f>IFERROR((VLOOKUP($A1107,'[1]import success seats course'!$A:AF,HLOOKUP('[1]Course Totals'!R$4,'[1]import success seats course'!$1:$2,2,FALSE),FALSE)/(VLOOKUP($A1107,'[1]import graded seats course pivo'!$A:AP,HLOOKUP('[1]Course Totals'!R$4,'[1]import graded seats course pivo'!$1:$2,2,FALSE),FALSE))),"")</f>
        <v/>
      </c>
      <c r="S1107" s="14">
        <f>IFERROR((VLOOKUP($A1107,'[1]import success seats course'!$A:AG,HLOOKUP('[1]Course Totals'!S$4,'[1]import success seats course'!$1:$2,2,FALSE),FALSE)/(VLOOKUP($A1107,'[1]import graded seats course pivo'!$A:AQ,HLOOKUP('[1]Course Totals'!S$4,'[1]import graded seats course pivo'!$1:$2,2,FALSE),FALSE))),"")</f>
        <v>0.95454545454545459</v>
      </c>
      <c r="Z1107" s="7"/>
      <c r="AA1107" s="7"/>
      <c r="AB1107" s="7"/>
      <c r="AC1107" s="7"/>
    </row>
    <row r="1108" spans="1:29" ht="15.75" customHeight="1" x14ac:dyDescent="0.25">
      <c r="A1108" s="12" t="s">
        <v>759</v>
      </c>
      <c r="B1108" s="14" t="str">
        <f>IFERROR((VLOOKUP($A1108,'[1]import success seats course'!$A:P,HLOOKUP('[1]Course Totals'!B$4,'[1]import success seats course'!$1:$2,2,FALSE),FALSE)/(VLOOKUP($A1108,'[1]import graded seats course pivo'!$A:Z,HLOOKUP('[1]Course Totals'!B$4,'[1]import graded seats course pivo'!$1:$2,2,FALSE),FALSE))),"")</f>
        <v/>
      </c>
      <c r="C1108" s="14" t="str">
        <f>IFERROR((VLOOKUP($A1108,'[1]import success seats course'!$A:Q,HLOOKUP('[1]Course Totals'!C$4,'[1]import success seats course'!$1:$2,2,FALSE),FALSE)/(VLOOKUP($A1108,'[1]import graded seats course pivo'!$A:AA,HLOOKUP('[1]Course Totals'!C$4,'[1]import graded seats course pivo'!$1:$2,2,FALSE),FALSE))),"")</f>
        <v/>
      </c>
      <c r="D1108" s="14" t="str">
        <f>IFERROR((VLOOKUP($A1108,'[1]import success seats course'!$A:R,HLOOKUP('[1]Course Totals'!D$4,'[1]import success seats course'!$1:$2,2,FALSE),FALSE)/(VLOOKUP($A1108,'[1]import graded seats course pivo'!$A:AB,HLOOKUP('[1]Course Totals'!D$4,'[1]import graded seats course pivo'!$1:$2,2,FALSE),FALSE))),"")</f>
        <v/>
      </c>
      <c r="E1108" s="14" t="str">
        <f>IFERROR((VLOOKUP($A1108,'[1]import success seats course'!$A:S,HLOOKUP('[1]Course Totals'!E$4,'[1]import success seats course'!$1:$2,2,FALSE),FALSE)/(VLOOKUP($A1108,'[1]import graded seats course pivo'!$A:AC,HLOOKUP('[1]Course Totals'!E$4,'[1]import graded seats course pivo'!$1:$2,2,FALSE),FALSE))),"")</f>
        <v/>
      </c>
      <c r="F1108" s="14" t="str">
        <f>IFERROR((VLOOKUP($A1108,'[1]import success seats course'!$A:T,HLOOKUP('[1]Course Totals'!F$4,'[1]import success seats course'!$1:$2,2,FALSE),FALSE)/(VLOOKUP($A1108,'[1]import graded seats course pivo'!$A:AD,HLOOKUP('[1]Course Totals'!F$4,'[1]import graded seats course pivo'!$1:$2,2,FALSE),FALSE))),"")</f>
        <v/>
      </c>
      <c r="G1108" s="14">
        <f>IFERROR((VLOOKUP($A1108,'[1]import success seats course'!$A:U,HLOOKUP('[1]Course Totals'!G$4,'[1]import success seats course'!$1:$2,2,FALSE),FALSE)/(VLOOKUP($A1108,'[1]import graded seats course pivo'!$A:AE,HLOOKUP('[1]Course Totals'!G$4,'[1]import graded seats course pivo'!$1:$2,2,FALSE),FALSE))),"")</f>
        <v>0.84210526315789469</v>
      </c>
      <c r="H1108" s="14" t="str">
        <f>IFERROR((VLOOKUP($A1108,'[1]import success seats course'!$A:V,HLOOKUP('[1]Course Totals'!H$4,'[1]import success seats course'!$1:$2,2,FALSE),FALSE)/(VLOOKUP($A1108,'[1]import graded seats course pivo'!$A:AF,HLOOKUP('[1]Course Totals'!H$4,'[1]import graded seats course pivo'!$1:$2,2,FALSE),FALSE))),"")</f>
        <v/>
      </c>
      <c r="I1108" s="14">
        <f>IFERROR((VLOOKUP($A1108,'[1]import success seats course'!$A:W,HLOOKUP('[1]Course Totals'!I$4,'[1]import success seats course'!$1:$2,2,FALSE),FALSE)/(VLOOKUP($A1108,'[1]import graded seats course pivo'!$A:AG,HLOOKUP('[1]Course Totals'!I$4,'[1]import graded seats course pivo'!$1:$2,2,FALSE),FALSE))),"")</f>
        <v>1</v>
      </c>
      <c r="J1108" s="14">
        <f>IFERROR((VLOOKUP($A1108,'[1]import success seats course'!$A:X,HLOOKUP('[1]Course Totals'!J$4,'[1]import success seats course'!$1:$2,2,FALSE),FALSE)/(VLOOKUP($A1108,'[1]import graded seats course pivo'!$A:AH,HLOOKUP('[1]Course Totals'!J$4,'[1]import graded seats course pivo'!$1:$2,2,FALSE),FALSE))),"")</f>
        <v>0.8</v>
      </c>
      <c r="K1108" s="14" t="str">
        <f>IFERROR((VLOOKUP($A1108,'[1]import success seats course'!$A:Y,HLOOKUP('[1]Course Totals'!K$4,'[1]import success seats course'!$1:$2,2,FALSE),FALSE)/(VLOOKUP($A1108,'[1]import graded seats course pivo'!$A:AI,HLOOKUP('[1]Course Totals'!K$4,'[1]import graded seats course pivo'!$1:$2,2,FALSE),FALSE))),"")</f>
        <v/>
      </c>
      <c r="L1108" s="14">
        <f>IFERROR((VLOOKUP($A1108,'[1]import success seats course'!$A:Z,HLOOKUP('[1]Course Totals'!L$4,'[1]import success seats course'!$1:$2,2,FALSE),FALSE)/(VLOOKUP($A1108,'[1]import graded seats course pivo'!$A:AJ,HLOOKUP('[1]Course Totals'!L$4,'[1]import graded seats course pivo'!$1:$2,2,FALSE),FALSE))),"")</f>
        <v>0.88888888888888884</v>
      </c>
      <c r="M1108" s="14" t="str">
        <f>IFERROR((VLOOKUP($A1108,'[1]import success seats course'!$A:AA,HLOOKUP('[1]Course Totals'!M$4,'[1]import success seats course'!$1:$2,2,FALSE),FALSE)/(VLOOKUP($A1108,'[1]import graded seats course pivo'!$A:AK,HLOOKUP('[1]Course Totals'!M$4,'[1]import graded seats course pivo'!$1:$2,2,FALSE),FALSE))),"")</f>
        <v/>
      </c>
      <c r="N1108" s="14" t="str">
        <f>IFERROR((VLOOKUP($A1108,'[1]import success seats course'!$A:AB,HLOOKUP('[1]Course Totals'!N$4,'[1]import success seats course'!$1:$2,2,FALSE),FALSE)/(VLOOKUP($A1108,'[1]import graded seats course pivo'!$A:AL,HLOOKUP('[1]Course Totals'!N$4,'[1]import graded seats course pivo'!$1:$2,2,FALSE),FALSE))),"")</f>
        <v/>
      </c>
      <c r="O1108" s="14">
        <f>IFERROR((VLOOKUP($A1108,'[1]import success seats course'!$A:AC,HLOOKUP('[1]Course Totals'!O$4,'[1]import success seats course'!$1:$2,2,FALSE),FALSE)/(VLOOKUP($A1108,'[1]import graded seats course pivo'!$A:AM,HLOOKUP('[1]Course Totals'!O$4,'[1]import graded seats course pivo'!$1:$2,2,FALSE),FALSE))),"")</f>
        <v>0.9</v>
      </c>
      <c r="P1108" s="14" t="str">
        <f>IFERROR((VLOOKUP($A1108,'[1]import success seats course'!$A:AD,HLOOKUP('[1]Course Totals'!P$4,'[1]import success seats course'!$1:$2,2,FALSE),FALSE)/(VLOOKUP($A1108,'[1]import graded seats course pivo'!$A:AN,HLOOKUP('[1]Course Totals'!P$4,'[1]import graded seats course pivo'!$1:$2,2,FALSE),FALSE))),"")</f>
        <v/>
      </c>
      <c r="Q1108" s="14" t="str">
        <f>IFERROR((VLOOKUP($A1108,'[1]import success seats course'!$A:AE,HLOOKUP('[1]Course Totals'!Q$4,'[1]import success seats course'!$1:$2,2,FALSE),FALSE)/(VLOOKUP($A1108,'[1]import graded seats course pivo'!$A:AO,HLOOKUP('[1]Course Totals'!Q$4,'[1]import graded seats course pivo'!$1:$2,2,FALSE),FALSE))),"")</f>
        <v/>
      </c>
      <c r="R1108" s="14">
        <f>IFERROR((VLOOKUP($A1108,'[1]import success seats course'!$A:AF,HLOOKUP('[1]Course Totals'!R$4,'[1]import success seats course'!$1:$2,2,FALSE),FALSE)/(VLOOKUP($A1108,'[1]import graded seats course pivo'!$A:AP,HLOOKUP('[1]Course Totals'!R$4,'[1]import graded seats course pivo'!$1:$2,2,FALSE),FALSE))),"")</f>
        <v>1</v>
      </c>
      <c r="S1108" s="14" t="str">
        <f>IFERROR((VLOOKUP($A1108,'[1]import success seats course'!$A:AG,HLOOKUP('[1]Course Totals'!S$4,'[1]import success seats course'!$1:$2,2,FALSE),FALSE)/(VLOOKUP($A1108,'[1]import graded seats course pivo'!$A:AQ,HLOOKUP('[1]Course Totals'!S$4,'[1]import graded seats course pivo'!$1:$2,2,FALSE),FALSE))),"")</f>
        <v/>
      </c>
      <c r="Z1108" s="7"/>
      <c r="AA1108" s="7"/>
      <c r="AB1108" s="7"/>
      <c r="AC1108" s="7"/>
    </row>
    <row r="1109" spans="1:29" ht="15.75" customHeight="1" x14ac:dyDescent="0.25">
      <c r="A1109" s="12" t="s">
        <v>669</v>
      </c>
      <c r="B1109" s="14" t="str">
        <f>IFERROR((VLOOKUP($A1109,'[1]import success seats course'!$A:P,HLOOKUP('[1]Course Totals'!B$4,'[1]import success seats course'!$1:$2,2,FALSE),FALSE)/(VLOOKUP($A1109,'[1]import graded seats course pivo'!$A:Z,HLOOKUP('[1]Course Totals'!B$4,'[1]import graded seats course pivo'!$1:$2,2,FALSE),FALSE))),"")</f>
        <v/>
      </c>
      <c r="C1109" s="14" t="str">
        <f>IFERROR((VLOOKUP($A1109,'[1]import success seats course'!$A:Q,HLOOKUP('[1]Course Totals'!C$4,'[1]import success seats course'!$1:$2,2,FALSE),FALSE)/(VLOOKUP($A1109,'[1]import graded seats course pivo'!$A:AA,HLOOKUP('[1]Course Totals'!C$4,'[1]import graded seats course pivo'!$1:$2,2,FALSE),FALSE))),"")</f>
        <v/>
      </c>
      <c r="D1109" s="14" t="str">
        <f>IFERROR((VLOOKUP($A1109,'[1]import success seats course'!$A:R,HLOOKUP('[1]Course Totals'!D$4,'[1]import success seats course'!$1:$2,2,FALSE),FALSE)/(VLOOKUP($A1109,'[1]import graded seats course pivo'!$A:AB,HLOOKUP('[1]Course Totals'!D$4,'[1]import graded seats course pivo'!$1:$2,2,FALSE),FALSE))),"")</f>
        <v/>
      </c>
      <c r="E1109" s="14" t="str">
        <f>IFERROR((VLOOKUP($A1109,'[1]import success seats course'!$A:S,HLOOKUP('[1]Course Totals'!E$4,'[1]import success seats course'!$1:$2,2,FALSE),FALSE)/(VLOOKUP($A1109,'[1]import graded seats course pivo'!$A:AC,HLOOKUP('[1]Course Totals'!E$4,'[1]import graded seats course pivo'!$1:$2,2,FALSE),FALSE))),"")</f>
        <v/>
      </c>
      <c r="F1109" s="14">
        <f>IFERROR((VLOOKUP($A1109,'[1]import success seats course'!$A:T,HLOOKUP('[1]Course Totals'!F$4,'[1]import success seats course'!$1:$2,2,FALSE),FALSE)/(VLOOKUP($A1109,'[1]import graded seats course pivo'!$A:AD,HLOOKUP('[1]Course Totals'!F$4,'[1]import graded seats course pivo'!$1:$2,2,FALSE),FALSE))),"")</f>
        <v>1</v>
      </c>
      <c r="G1109" s="14" t="str">
        <f>IFERROR((VLOOKUP($A1109,'[1]import success seats course'!$A:U,HLOOKUP('[1]Course Totals'!G$4,'[1]import success seats course'!$1:$2,2,FALSE),FALSE)/(VLOOKUP($A1109,'[1]import graded seats course pivo'!$A:AE,HLOOKUP('[1]Course Totals'!G$4,'[1]import graded seats course pivo'!$1:$2,2,FALSE),FALSE))),"")</f>
        <v/>
      </c>
      <c r="H1109" s="14" t="str">
        <f>IFERROR((VLOOKUP($A1109,'[1]import success seats course'!$A:V,HLOOKUP('[1]Course Totals'!H$4,'[1]import success seats course'!$1:$2,2,FALSE),FALSE)/(VLOOKUP($A1109,'[1]import graded seats course pivo'!$A:AF,HLOOKUP('[1]Course Totals'!H$4,'[1]import graded seats course pivo'!$1:$2,2,FALSE),FALSE))),"")</f>
        <v/>
      </c>
      <c r="I1109" s="14">
        <f>IFERROR((VLOOKUP($A1109,'[1]import success seats course'!$A:W,HLOOKUP('[1]Course Totals'!I$4,'[1]import success seats course'!$1:$2,2,FALSE),FALSE)/(VLOOKUP($A1109,'[1]import graded seats course pivo'!$A:AG,HLOOKUP('[1]Course Totals'!I$4,'[1]import graded seats course pivo'!$1:$2,2,FALSE),FALSE))),"")</f>
        <v>1</v>
      </c>
      <c r="J1109" s="14" t="str">
        <f>IFERROR((VLOOKUP($A1109,'[1]import success seats course'!$A:X,HLOOKUP('[1]Course Totals'!J$4,'[1]import success seats course'!$1:$2,2,FALSE),FALSE)/(VLOOKUP($A1109,'[1]import graded seats course pivo'!$A:AH,HLOOKUP('[1]Course Totals'!J$4,'[1]import graded seats course pivo'!$1:$2,2,FALSE),FALSE))),"")</f>
        <v/>
      </c>
      <c r="K1109" s="14" t="str">
        <f>IFERROR((VLOOKUP($A1109,'[1]import success seats course'!$A:Y,HLOOKUP('[1]Course Totals'!K$4,'[1]import success seats course'!$1:$2,2,FALSE),FALSE)/(VLOOKUP($A1109,'[1]import graded seats course pivo'!$A:AI,HLOOKUP('[1]Course Totals'!K$4,'[1]import graded seats course pivo'!$1:$2,2,FALSE),FALSE))),"")</f>
        <v/>
      </c>
      <c r="L1109" s="14">
        <f>IFERROR((VLOOKUP($A1109,'[1]import success seats course'!$A:Z,HLOOKUP('[1]Course Totals'!L$4,'[1]import success seats course'!$1:$2,2,FALSE),FALSE)/(VLOOKUP($A1109,'[1]import graded seats course pivo'!$A:AJ,HLOOKUP('[1]Course Totals'!L$4,'[1]import graded seats course pivo'!$1:$2,2,FALSE),FALSE))),"")</f>
        <v>1</v>
      </c>
      <c r="M1109" s="14" t="str">
        <f>IFERROR((VLOOKUP($A1109,'[1]import success seats course'!$A:AA,HLOOKUP('[1]Course Totals'!M$4,'[1]import success seats course'!$1:$2,2,FALSE),FALSE)/(VLOOKUP($A1109,'[1]import graded seats course pivo'!$A:AK,HLOOKUP('[1]Course Totals'!M$4,'[1]import graded seats course pivo'!$1:$2,2,FALSE),FALSE))),"")</f>
        <v/>
      </c>
      <c r="N1109" s="14" t="str">
        <f>IFERROR((VLOOKUP($A1109,'[1]import success seats course'!$A:AB,HLOOKUP('[1]Course Totals'!N$4,'[1]import success seats course'!$1:$2,2,FALSE),FALSE)/(VLOOKUP($A1109,'[1]import graded seats course pivo'!$A:AL,HLOOKUP('[1]Course Totals'!N$4,'[1]import graded seats course pivo'!$1:$2,2,FALSE),FALSE))),"")</f>
        <v/>
      </c>
      <c r="O1109" s="14" t="str">
        <f>IFERROR((VLOOKUP($A1109,'[1]import success seats course'!$A:AC,HLOOKUP('[1]Course Totals'!O$4,'[1]import success seats course'!$1:$2,2,FALSE),FALSE)/(VLOOKUP($A1109,'[1]import graded seats course pivo'!$A:AM,HLOOKUP('[1]Course Totals'!O$4,'[1]import graded seats course pivo'!$1:$2,2,FALSE),FALSE))),"")</f>
        <v/>
      </c>
      <c r="P1109" s="14" t="str">
        <f>IFERROR((VLOOKUP($A1109,'[1]import success seats course'!$A:AD,HLOOKUP('[1]Course Totals'!P$4,'[1]import success seats course'!$1:$2,2,FALSE),FALSE)/(VLOOKUP($A1109,'[1]import graded seats course pivo'!$A:AN,HLOOKUP('[1]Course Totals'!P$4,'[1]import graded seats course pivo'!$1:$2,2,FALSE),FALSE))),"")</f>
        <v/>
      </c>
      <c r="Q1109" s="14" t="str">
        <f>IFERROR((VLOOKUP($A1109,'[1]import success seats course'!$A:AE,HLOOKUP('[1]Course Totals'!Q$4,'[1]import success seats course'!$1:$2,2,FALSE),FALSE)/(VLOOKUP($A1109,'[1]import graded seats course pivo'!$A:AO,HLOOKUP('[1]Course Totals'!Q$4,'[1]import graded seats course pivo'!$1:$2,2,FALSE),FALSE))),"")</f>
        <v/>
      </c>
      <c r="R1109" s="14" t="str">
        <f>IFERROR((VLOOKUP($A1109,'[1]import success seats course'!$A:AF,HLOOKUP('[1]Course Totals'!R$4,'[1]import success seats course'!$1:$2,2,FALSE),FALSE)/(VLOOKUP($A1109,'[1]import graded seats course pivo'!$A:AP,HLOOKUP('[1]Course Totals'!R$4,'[1]import graded seats course pivo'!$1:$2,2,FALSE),FALSE))),"")</f>
        <v/>
      </c>
      <c r="S1109" s="14" t="str">
        <f>IFERROR((VLOOKUP($A1109,'[1]import success seats course'!$A:AG,HLOOKUP('[1]Course Totals'!S$4,'[1]import success seats course'!$1:$2,2,FALSE),FALSE)/(VLOOKUP($A1109,'[1]import graded seats course pivo'!$A:AQ,HLOOKUP('[1]Course Totals'!S$4,'[1]import graded seats course pivo'!$1:$2,2,FALSE),FALSE))),"")</f>
        <v/>
      </c>
      <c r="Z1109" s="7"/>
      <c r="AA1109" s="7"/>
      <c r="AB1109" s="7"/>
      <c r="AC1109" s="7"/>
    </row>
    <row r="1110" spans="1:29" ht="15.75" customHeight="1" x14ac:dyDescent="0.25">
      <c r="A1110" s="12" t="s">
        <v>533</v>
      </c>
      <c r="B1110" s="14" t="str">
        <f>IFERROR((VLOOKUP($A1110,'[1]import success seats course'!$A:P,HLOOKUP('[1]Course Totals'!B$4,'[1]import success seats course'!$1:$2,2,FALSE),FALSE)/(VLOOKUP($A1110,'[1]import graded seats course pivo'!$A:Z,HLOOKUP('[1]Course Totals'!B$4,'[1]import graded seats course pivo'!$1:$2,2,FALSE),FALSE))),"")</f>
        <v/>
      </c>
      <c r="C1110" s="14" t="str">
        <f>IFERROR((VLOOKUP($A1110,'[1]import success seats course'!$A:Q,HLOOKUP('[1]Course Totals'!C$4,'[1]import success seats course'!$1:$2,2,FALSE),FALSE)/(VLOOKUP($A1110,'[1]import graded seats course pivo'!$A:AA,HLOOKUP('[1]Course Totals'!C$4,'[1]import graded seats course pivo'!$1:$2,2,FALSE),FALSE))),"")</f>
        <v/>
      </c>
      <c r="D1110" s="14" t="str">
        <f>IFERROR((VLOOKUP($A1110,'[1]import success seats course'!$A:R,HLOOKUP('[1]Course Totals'!D$4,'[1]import success seats course'!$1:$2,2,FALSE),FALSE)/(VLOOKUP($A1110,'[1]import graded seats course pivo'!$A:AB,HLOOKUP('[1]Course Totals'!D$4,'[1]import graded seats course pivo'!$1:$2,2,FALSE),FALSE))),"")</f>
        <v/>
      </c>
      <c r="E1110" s="14" t="str">
        <f>IFERROR((VLOOKUP($A1110,'[1]import success seats course'!$A:S,HLOOKUP('[1]Course Totals'!E$4,'[1]import success seats course'!$1:$2,2,FALSE),FALSE)/(VLOOKUP($A1110,'[1]import graded seats course pivo'!$A:AC,HLOOKUP('[1]Course Totals'!E$4,'[1]import graded seats course pivo'!$1:$2,2,FALSE),FALSE))),"")</f>
        <v/>
      </c>
      <c r="F1110" s="14" t="str">
        <f>IFERROR((VLOOKUP($A1110,'[1]import success seats course'!$A:T,HLOOKUP('[1]Course Totals'!F$4,'[1]import success seats course'!$1:$2,2,FALSE),FALSE)/(VLOOKUP($A1110,'[1]import graded seats course pivo'!$A:AD,HLOOKUP('[1]Course Totals'!F$4,'[1]import graded seats course pivo'!$1:$2,2,FALSE),FALSE))),"")</f>
        <v/>
      </c>
      <c r="G1110" s="14" t="str">
        <f>IFERROR((VLOOKUP($A1110,'[1]import success seats course'!$A:U,HLOOKUP('[1]Course Totals'!G$4,'[1]import success seats course'!$1:$2,2,FALSE),FALSE)/(VLOOKUP($A1110,'[1]import graded seats course pivo'!$A:AE,HLOOKUP('[1]Course Totals'!G$4,'[1]import graded seats course pivo'!$1:$2,2,FALSE),FALSE))),"")</f>
        <v/>
      </c>
      <c r="H1110" s="14" t="str">
        <f>IFERROR((VLOOKUP($A1110,'[1]import success seats course'!$A:V,HLOOKUP('[1]Course Totals'!H$4,'[1]import success seats course'!$1:$2,2,FALSE),FALSE)/(VLOOKUP($A1110,'[1]import graded seats course pivo'!$A:AF,HLOOKUP('[1]Course Totals'!H$4,'[1]import graded seats course pivo'!$1:$2,2,FALSE),FALSE))),"")</f>
        <v/>
      </c>
      <c r="I1110" s="14" t="str">
        <f>IFERROR((VLOOKUP($A1110,'[1]import success seats course'!$A:W,HLOOKUP('[1]Course Totals'!I$4,'[1]import success seats course'!$1:$2,2,FALSE),FALSE)/(VLOOKUP($A1110,'[1]import graded seats course pivo'!$A:AG,HLOOKUP('[1]Course Totals'!I$4,'[1]import graded seats course pivo'!$1:$2,2,FALSE),FALSE))),"")</f>
        <v/>
      </c>
      <c r="J1110" s="14" t="str">
        <f>IFERROR((VLOOKUP($A1110,'[1]import success seats course'!$A:X,HLOOKUP('[1]Course Totals'!J$4,'[1]import success seats course'!$1:$2,2,FALSE),FALSE)/(VLOOKUP($A1110,'[1]import graded seats course pivo'!$A:AH,HLOOKUP('[1]Course Totals'!J$4,'[1]import graded seats course pivo'!$1:$2,2,FALSE),FALSE))),"")</f>
        <v/>
      </c>
      <c r="K1110" s="14" t="str">
        <f>IFERROR((VLOOKUP($A1110,'[1]import success seats course'!$A:Y,HLOOKUP('[1]Course Totals'!K$4,'[1]import success seats course'!$1:$2,2,FALSE),FALSE)/(VLOOKUP($A1110,'[1]import graded seats course pivo'!$A:AI,HLOOKUP('[1]Course Totals'!K$4,'[1]import graded seats course pivo'!$1:$2,2,FALSE),FALSE))),"")</f>
        <v/>
      </c>
      <c r="L1110" s="14" t="str">
        <f>IFERROR((VLOOKUP($A1110,'[1]import success seats course'!$A:Z,HLOOKUP('[1]Course Totals'!L$4,'[1]import success seats course'!$1:$2,2,FALSE),FALSE)/(VLOOKUP($A1110,'[1]import graded seats course pivo'!$A:AJ,HLOOKUP('[1]Course Totals'!L$4,'[1]import graded seats course pivo'!$1:$2,2,FALSE),FALSE))),"")</f>
        <v/>
      </c>
      <c r="M1110" s="14" t="str">
        <f>IFERROR((VLOOKUP($A1110,'[1]import success seats course'!$A:AA,HLOOKUP('[1]Course Totals'!M$4,'[1]import success seats course'!$1:$2,2,FALSE),FALSE)/(VLOOKUP($A1110,'[1]import graded seats course pivo'!$A:AK,HLOOKUP('[1]Course Totals'!M$4,'[1]import graded seats course pivo'!$1:$2,2,FALSE),FALSE))),"")</f>
        <v/>
      </c>
      <c r="N1110" s="14" t="str">
        <f>IFERROR((VLOOKUP($A1110,'[1]import success seats course'!$A:AB,HLOOKUP('[1]Course Totals'!N$4,'[1]import success seats course'!$1:$2,2,FALSE),FALSE)/(VLOOKUP($A1110,'[1]import graded seats course pivo'!$A:AL,HLOOKUP('[1]Course Totals'!N$4,'[1]import graded seats course pivo'!$1:$2,2,FALSE),FALSE))),"")</f>
        <v/>
      </c>
      <c r="O1110" s="14">
        <f>IFERROR((VLOOKUP($A1110,'[1]import success seats course'!$A:AC,HLOOKUP('[1]Course Totals'!O$4,'[1]import success seats course'!$1:$2,2,FALSE),FALSE)/(VLOOKUP($A1110,'[1]import graded seats course pivo'!$A:AM,HLOOKUP('[1]Course Totals'!O$4,'[1]import graded seats course pivo'!$1:$2,2,FALSE),FALSE))),"")</f>
        <v>0.55555555555555558</v>
      </c>
      <c r="P1110" s="14">
        <f>IFERROR((VLOOKUP($A1110,'[1]import success seats course'!$A:AD,HLOOKUP('[1]Course Totals'!P$4,'[1]import success seats course'!$1:$2,2,FALSE),FALSE)/(VLOOKUP($A1110,'[1]import graded seats course pivo'!$A:AN,HLOOKUP('[1]Course Totals'!P$4,'[1]import graded seats course pivo'!$1:$2,2,FALSE),FALSE))),"")</f>
        <v>1</v>
      </c>
      <c r="Q1110" s="14" t="str">
        <f>IFERROR((VLOOKUP($A1110,'[1]import success seats course'!$A:AE,HLOOKUP('[1]Course Totals'!Q$4,'[1]import success seats course'!$1:$2,2,FALSE),FALSE)/(VLOOKUP($A1110,'[1]import graded seats course pivo'!$A:AO,HLOOKUP('[1]Course Totals'!Q$4,'[1]import graded seats course pivo'!$1:$2,2,FALSE),FALSE))),"")</f>
        <v/>
      </c>
      <c r="R1110" s="14">
        <f>IFERROR((VLOOKUP($A1110,'[1]import success seats course'!$A:AF,HLOOKUP('[1]Course Totals'!R$4,'[1]import success seats course'!$1:$2,2,FALSE),FALSE)/(VLOOKUP($A1110,'[1]import graded seats course pivo'!$A:AP,HLOOKUP('[1]Course Totals'!R$4,'[1]import graded seats course pivo'!$1:$2,2,FALSE),FALSE))),"")</f>
        <v>1</v>
      </c>
      <c r="S1110" s="14">
        <f>IFERROR((VLOOKUP($A1110,'[1]import success seats course'!$A:AG,HLOOKUP('[1]Course Totals'!S$4,'[1]import success seats course'!$1:$2,2,FALSE),FALSE)/(VLOOKUP($A1110,'[1]import graded seats course pivo'!$A:AQ,HLOOKUP('[1]Course Totals'!S$4,'[1]import graded seats course pivo'!$1:$2,2,FALSE),FALSE))),"")</f>
        <v>0.8571428571428571</v>
      </c>
      <c r="Z1110" s="7"/>
      <c r="AA1110" s="7"/>
      <c r="AB1110" s="7"/>
      <c r="AC1110" s="7"/>
    </row>
    <row r="1111" spans="1:29" ht="15.75" hidden="1" customHeight="1" x14ac:dyDescent="0.25">
      <c r="A1111" s="12" t="s">
        <v>954</v>
      </c>
      <c r="B1111" s="14" t="str">
        <f>IFERROR((VLOOKUP($A1111,'[1]import success seats course'!$A:P,HLOOKUP('[1]Course Totals'!B$4,'[1]import success seats course'!$1:$2,2,FALSE),FALSE)/(VLOOKUP($A1111,'[1]import graded seats course pivo'!$A:Z,HLOOKUP('[1]Course Totals'!B$4,'[1]import graded seats course pivo'!$1:$2,2,FALSE),FALSE))),"")</f>
        <v/>
      </c>
      <c r="C1111" s="14" t="str">
        <f>IFERROR((VLOOKUP($A1111,'[1]import success seats course'!$A:Q,HLOOKUP('[1]Course Totals'!C$4,'[1]import success seats course'!$1:$2,2,FALSE),FALSE)/(VLOOKUP($A1111,'[1]import graded seats course pivo'!$A:AA,HLOOKUP('[1]Course Totals'!C$4,'[1]import graded seats course pivo'!$1:$2,2,FALSE),FALSE))),"")</f>
        <v/>
      </c>
      <c r="D1111" s="14" t="str">
        <f>IFERROR((VLOOKUP($A1111,'[1]import success seats course'!$A:R,HLOOKUP('[1]Course Totals'!D$4,'[1]import success seats course'!$1:$2,2,FALSE),FALSE)/(VLOOKUP($A1111,'[1]import graded seats course pivo'!$A:AB,HLOOKUP('[1]Course Totals'!D$4,'[1]import graded seats course pivo'!$1:$2,2,FALSE),FALSE))),"")</f>
        <v/>
      </c>
      <c r="E1111" s="14" t="str">
        <f>IFERROR((VLOOKUP($A1111,'[1]import success seats course'!$A:S,HLOOKUP('[1]Course Totals'!E$4,'[1]import success seats course'!$1:$2,2,FALSE),FALSE)/(VLOOKUP($A1111,'[1]import graded seats course pivo'!$A:AC,HLOOKUP('[1]Course Totals'!E$4,'[1]import graded seats course pivo'!$1:$2,2,FALSE),FALSE))),"")</f>
        <v/>
      </c>
      <c r="F1111" s="14" t="str">
        <f>IFERROR((VLOOKUP($A1111,'[1]import success seats course'!$A:T,HLOOKUP('[1]Course Totals'!F$4,'[1]import success seats course'!$1:$2,2,FALSE),FALSE)/(VLOOKUP($A1111,'[1]import graded seats course pivo'!$A:AD,HLOOKUP('[1]Course Totals'!F$4,'[1]import graded seats course pivo'!$1:$2,2,FALSE),FALSE))),"")</f>
        <v/>
      </c>
      <c r="G1111" s="14" t="str">
        <f>IFERROR((VLOOKUP($A1111,'[1]import success seats course'!$A:U,HLOOKUP('[1]Course Totals'!G$4,'[1]import success seats course'!$1:$2,2,FALSE),FALSE)/(VLOOKUP($A1111,'[1]import graded seats course pivo'!$A:AE,HLOOKUP('[1]Course Totals'!G$4,'[1]import graded seats course pivo'!$1:$2,2,FALSE),FALSE))),"")</f>
        <v/>
      </c>
      <c r="H1111" s="14" t="str">
        <f>IFERROR((VLOOKUP($A1111,'[1]import success seats course'!$A:V,HLOOKUP('[1]Course Totals'!H$4,'[1]import success seats course'!$1:$2,2,FALSE),FALSE)/(VLOOKUP($A1111,'[1]import graded seats course pivo'!$A:AF,HLOOKUP('[1]Course Totals'!H$4,'[1]import graded seats course pivo'!$1:$2,2,FALSE),FALSE))),"")</f>
        <v/>
      </c>
      <c r="I1111" s="14" t="str">
        <f>IFERROR((VLOOKUP($A1111,'[1]import success seats course'!$A:W,HLOOKUP('[1]Course Totals'!I$4,'[1]import success seats course'!$1:$2,2,FALSE),FALSE)/(VLOOKUP($A1111,'[1]import graded seats course pivo'!$A:AG,HLOOKUP('[1]Course Totals'!I$4,'[1]import graded seats course pivo'!$1:$2,2,FALSE),FALSE))),"")</f>
        <v/>
      </c>
      <c r="J1111" s="14" t="str">
        <f>IFERROR((VLOOKUP($A1111,'[1]import success seats course'!$A:X,HLOOKUP('[1]Course Totals'!J$4,'[1]import success seats course'!$1:$2,2,FALSE),FALSE)/(VLOOKUP($A1111,'[1]import graded seats course pivo'!$A:AH,HLOOKUP('[1]Course Totals'!J$4,'[1]import graded seats course pivo'!$1:$2,2,FALSE),FALSE))),"")</f>
        <v/>
      </c>
      <c r="K1111" s="14" t="str">
        <f>IFERROR((VLOOKUP($A1111,'[1]import success seats course'!$A:Y,HLOOKUP('[1]Course Totals'!K$4,'[1]import success seats course'!$1:$2,2,FALSE),FALSE)/(VLOOKUP($A1111,'[1]import graded seats course pivo'!$A:AI,HLOOKUP('[1]Course Totals'!K$4,'[1]import graded seats course pivo'!$1:$2,2,FALSE),FALSE))),"")</f>
        <v/>
      </c>
      <c r="L1111" s="14" t="str">
        <f>IFERROR((VLOOKUP($A1111,'[1]import success seats course'!$A:Z,HLOOKUP('[1]Course Totals'!L$4,'[1]import success seats course'!$1:$2,2,FALSE),FALSE)/(VLOOKUP($A1111,'[1]import graded seats course pivo'!$A:AJ,HLOOKUP('[1]Course Totals'!L$4,'[1]import graded seats course pivo'!$1:$2,2,FALSE),FALSE))),"")</f>
        <v/>
      </c>
      <c r="M1111" s="14" t="str">
        <f>IFERROR((VLOOKUP($A1111,'[1]import success seats course'!$A:AA,HLOOKUP('[1]Course Totals'!M$4,'[1]import success seats course'!$1:$2,2,FALSE),FALSE)/(VLOOKUP($A1111,'[1]import graded seats course pivo'!$A:AK,HLOOKUP('[1]Course Totals'!M$4,'[1]import graded seats course pivo'!$1:$2,2,FALSE),FALSE))),"")</f>
        <v/>
      </c>
      <c r="N1111" s="14" t="str">
        <f>IFERROR((VLOOKUP($A1111,'[1]import success seats course'!$A:AB,HLOOKUP('[1]Course Totals'!N$4,'[1]import success seats course'!$1:$2,2,FALSE),FALSE)/(VLOOKUP($A1111,'[1]import graded seats course pivo'!$A:AL,HLOOKUP('[1]Course Totals'!N$4,'[1]import graded seats course pivo'!$1:$2,2,FALSE),FALSE))),"")</f>
        <v/>
      </c>
      <c r="O1111" s="14" t="str">
        <f>IFERROR((VLOOKUP($A1111,'[1]import success seats course'!$A:AC,HLOOKUP('[1]Course Totals'!O$4,'[1]import success seats course'!$1:$2,2,FALSE),FALSE)/(VLOOKUP($A1111,'[1]import graded seats course pivo'!$A:AM,HLOOKUP('[1]Course Totals'!O$4,'[1]import graded seats course pivo'!$1:$2,2,FALSE),FALSE))),"")</f>
        <v/>
      </c>
      <c r="P1111" s="14" t="str">
        <f>IFERROR((VLOOKUP($A1111,'[1]import success seats course'!$A:AD,HLOOKUP('[1]Course Totals'!P$4,'[1]import success seats course'!$1:$2,2,FALSE),FALSE)/(VLOOKUP($A1111,'[1]import graded seats course pivo'!$A:AN,HLOOKUP('[1]Course Totals'!P$4,'[1]import graded seats course pivo'!$1:$2,2,FALSE),FALSE))),"")</f>
        <v/>
      </c>
      <c r="Q1111" s="14" t="str">
        <f>IFERROR((VLOOKUP($A1111,'[1]import success seats course'!$A:AE,HLOOKUP('[1]Course Totals'!Q$4,'[1]import success seats course'!$1:$2,2,FALSE),FALSE)/(VLOOKUP($A1111,'[1]import graded seats course pivo'!$A:AO,HLOOKUP('[1]Course Totals'!Q$4,'[1]import graded seats course pivo'!$1:$2,2,FALSE),FALSE))),"")</f>
        <v/>
      </c>
      <c r="R1111" s="14" t="str">
        <f>IFERROR((VLOOKUP($A1111,'[1]import success seats course'!$A:AF,HLOOKUP('[1]Course Totals'!R$4,'[1]import success seats course'!$1:$2,2,FALSE),FALSE)/(VLOOKUP($A1111,'[1]import graded seats course pivo'!$A:AP,HLOOKUP('[1]Course Totals'!R$4,'[1]import graded seats course pivo'!$1:$2,2,FALSE),FALSE))),"")</f>
        <v/>
      </c>
      <c r="S1111" s="14" t="str">
        <f>IFERROR((VLOOKUP($A1111,'[1]import success seats course'!$A:AG,HLOOKUP('[1]Course Totals'!S$4,'[1]import success seats course'!$1:$2,2,FALSE),FALSE)/(VLOOKUP($A1111,'[1]import graded seats course pivo'!$A:AQ,HLOOKUP('[1]Course Totals'!S$4,'[1]import graded seats course pivo'!$1:$2,2,FALSE),FALSE))),"")</f>
        <v/>
      </c>
      <c r="Z1111" s="7"/>
      <c r="AA1111" s="7"/>
      <c r="AB1111" s="7"/>
      <c r="AC1111" s="7"/>
    </row>
    <row r="1112" spans="1:29" ht="15.75" hidden="1" customHeight="1" x14ac:dyDescent="0.25">
      <c r="A1112" s="12" t="s">
        <v>955</v>
      </c>
      <c r="B1112" s="14" t="str">
        <f>IFERROR((VLOOKUP($A1112,'[1]import success seats course'!$A:P,HLOOKUP('[1]Course Totals'!B$4,'[1]import success seats course'!$1:$2,2,FALSE),FALSE)/(VLOOKUP($A1112,'[1]import graded seats course pivo'!$A:Z,HLOOKUP('[1]Course Totals'!B$4,'[1]import graded seats course pivo'!$1:$2,2,FALSE),FALSE))),"")</f>
        <v/>
      </c>
      <c r="C1112" s="14" t="str">
        <f>IFERROR((VLOOKUP($A1112,'[1]import success seats course'!$A:Q,HLOOKUP('[1]Course Totals'!C$4,'[1]import success seats course'!$1:$2,2,FALSE),FALSE)/(VLOOKUP($A1112,'[1]import graded seats course pivo'!$A:AA,HLOOKUP('[1]Course Totals'!C$4,'[1]import graded seats course pivo'!$1:$2,2,FALSE),FALSE))),"")</f>
        <v/>
      </c>
      <c r="D1112" s="14" t="str">
        <f>IFERROR((VLOOKUP($A1112,'[1]import success seats course'!$A:R,HLOOKUP('[1]Course Totals'!D$4,'[1]import success seats course'!$1:$2,2,FALSE),FALSE)/(VLOOKUP($A1112,'[1]import graded seats course pivo'!$A:AB,HLOOKUP('[1]Course Totals'!D$4,'[1]import graded seats course pivo'!$1:$2,2,FALSE),FALSE))),"")</f>
        <v/>
      </c>
      <c r="E1112" s="14" t="str">
        <f>IFERROR((VLOOKUP($A1112,'[1]import success seats course'!$A:S,HLOOKUP('[1]Course Totals'!E$4,'[1]import success seats course'!$1:$2,2,FALSE),FALSE)/(VLOOKUP($A1112,'[1]import graded seats course pivo'!$A:AC,HLOOKUP('[1]Course Totals'!E$4,'[1]import graded seats course pivo'!$1:$2,2,FALSE),FALSE))),"")</f>
        <v/>
      </c>
      <c r="F1112" s="14" t="str">
        <f>IFERROR((VLOOKUP($A1112,'[1]import success seats course'!$A:T,HLOOKUP('[1]Course Totals'!F$4,'[1]import success seats course'!$1:$2,2,FALSE),FALSE)/(VLOOKUP($A1112,'[1]import graded seats course pivo'!$A:AD,HLOOKUP('[1]Course Totals'!F$4,'[1]import graded seats course pivo'!$1:$2,2,FALSE),FALSE))),"")</f>
        <v/>
      </c>
      <c r="G1112" s="14" t="str">
        <f>IFERROR((VLOOKUP($A1112,'[1]import success seats course'!$A:U,HLOOKUP('[1]Course Totals'!G$4,'[1]import success seats course'!$1:$2,2,FALSE),FALSE)/(VLOOKUP($A1112,'[1]import graded seats course pivo'!$A:AE,HLOOKUP('[1]Course Totals'!G$4,'[1]import graded seats course pivo'!$1:$2,2,FALSE),FALSE))),"")</f>
        <v/>
      </c>
      <c r="H1112" s="14" t="str">
        <f>IFERROR((VLOOKUP($A1112,'[1]import success seats course'!$A:V,HLOOKUP('[1]Course Totals'!H$4,'[1]import success seats course'!$1:$2,2,FALSE),FALSE)/(VLOOKUP($A1112,'[1]import graded seats course pivo'!$A:AF,HLOOKUP('[1]Course Totals'!H$4,'[1]import graded seats course pivo'!$1:$2,2,FALSE),FALSE))),"")</f>
        <v/>
      </c>
      <c r="I1112" s="14" t="str">
        <f>IFERROR((VLOOKUP($A1112,'[1]import success seats course'!$A:W,HLOOKUP('[1]Course Totals'!I$4,'[1]import success seats course'!$1:$2,2,FALSE),FALSE)/(VLOOKUP($A1112,'[1]import graded seats course pivo'!$A:AG,HLOOKUP('[1]Course Totals'!I$4,'[1]import graded seats course pivo'!$1:$2,2,FALSE),FALSE))),"")</f>
        <v/>
      </c>
      <c r="J1112" s="14" t="str">
        <f>IFERROR((VLOOKUP($A1112,'[1]import success seats course'!$A:X,HLOOKUP('[1]Course Totals'!J$4,'[1]import success seats course'!$1:$2,2,FALSE),FALSE)/(VLOOKUP($A1112,'[1]import graded seats course pivo'!$A:AH,HLOOKUP('[1]Course Totals'!J$4,'[1]import graded seats course pivo'!$1:$2,2,FALSE),FALSE))),"")</f>
        <v/>
      </c>
      <c r="K1112" s="14" t="str">
        <f>IFERROR((VLOOKUP($A1112,'[1]import success seats course'!$A:Y,HLOOKUP('[1]Course Totals'!K$4,'[1]import success seats course'!$1:$2,2,FALSE),FALSE)/(VLOOKUP($A1112,'[1]import graded seats course pivo'!$A:AI,HLOOKUP('[1]Course Totals'!K$4,'[1]import graded seats course pivo'!$1:$2,2,FALSE),FALSE))),"")</f>
        <v/>
      </c>
      <c r="L1112" s="14" t="str">
        <f>IFERROR((VLOOKUP($A1112,'[1]import success seats course'!$A:Z,HLOOKUP('[1]Course Totals'!L$4,'[1]import success seats course'!$1:$2,2,FALSE),FALSE)/(VLOOKUP($A1112,'[1]import graded seats course pivo'!$A:AJ,HLOOKUP('[1]Course Totals'!L$4,'[1]import graded seats course pivo'!$1:$2,2,FALSE),FALSE))),"")</f>
        <v/>
      </c>
      <c r="M1112" s="14" t="str">
        <f>IFERROR((VLOOKUP($A1112,'[1]import success seats course'!$A:AA,HLOOKUP('[1]Course Totals'!M$4,'[1]import success seats course'!$1:$2,2,FALSE),FALSE)/(VLOOKUP($A1112,'[1]import graded seats course pivo'!$A:AK,HLOOKUP('[1]Course Totals'!M$4,'[1]import graded seats course pivo'!$1:$2,2,FALSE),FALSE))),"")</f>
        <v/>
      </c>
      <c r="N1112" s="14" t="str">
        <f>IFERROR((VLOOKUP($A1112,'[1]import success seats course'!$A:AB,HLOOKUP('[1]Course Totals'!N$4,'[1]import success seats course'!$1:$2,2,FALSE),FALSE)/(VLOOKUP($A1112,'[1]import graded seats course pivo'!$A:AL,HLOOKUP('[1]Course Totals'!N$4,'[1]import graded seats course pivo'!$1:$2,2,FALSE),FALSE))),"")</f>
        <v/>
      </c>
      <c r="O1112" s="14" t="str">
        <f>IFERROR((VLOOKUP($A1112,'[1]import success seats course'!$A:AC,HLOOKUP('[1]Course Totals'!O$4,'[1]import success seats course'!$1:$2,2,FALSE),FALSE)/(VLOOKUP($A1112,'[1]import graded seats course pivo'!$A:AM,HLOOKUP('[1]Course Totals'!O$4,'[1]import graded seats course pivo'!$1:$2,2,FALSE),FALSE))),"")</f>
        <v/>
      </c>
      <c r="P1112" s="14" t="str">
        <f>IFERROR((VLOOKUP($A1112,'[1]import success seats course'!$A:AD,HLOOKUP('[1]Course Totals'!P$4,'[1]import success seats course'!$1:$2,2,FALSE),FALSE)/(VLOOKUP($A1112,'[1]import graded seats course pivo'!$A:AN,HLOOKUP('[1]Course Totals'!P$4,'[1]import graded seats course pivo'!$1:$2,2,FALSE),FALSE))),"")</f>
        <v/>
      </c>
      <c r="Q1112" s="14" t="str">
        <f>IFERROR((VLOOKUP($A1112,'[1]import success seats course'!$A:AE,HLOOKUP('[1]Course Totals'!Q$4,'[1]import success seats course'!$1:$2,2,FALSE),FALSE)/(VLOOKUP($A1112,'[1]import graded seats course pivo'!$A:AO,HLOOKUP('[1]Course Totals'!Q$4,'[1]import graded seats course pivo'!$1:$2,2,FALSE),FALSE))),"")</f>
        <v/>
      </c>
      <c r="R1112" s="14" t="str">
        <f>IFERROR((VLOOKUP($A1112,'[1]import success seats course'!$A:AF,HLOOKUP('[1]Course Totals'!R$4,'[1]import success seats course'!$1:$2,2,FALSE),FALSE)/(VLOOKUP($A1112,'[1]import graded seats course pivo'!$A:AP,HLOOKUP('[1]Course Totals'!R$4,'[1]import graded seats course pivo'!$1:$2,2,FALSE),FALSE))),"")</f>
        <v/>
      </c>
      <c r="S1112" s="14" t="str">
        <f>IFERROR((VLOOKUP($A1112,'[1]import success seats course'!$A:AG,HLOOKUP('[1]Course Totals'!S$4,'[1]import success seats course'!$1:$2,2,FALSE),FALSE)/(VLOOKUP($A1112,'[1]import graded seats course pivo'!$A:AQ,HLOOKUP('[1]Course Totals'!S$4,'[1]import graded seats course pivo'!$1:$2,2,FALSE),FALSE))),"")</f>
        <v/>
      </c>
      <c r="Z1112" s="7"/>
      <c r="AA1112" s="7"/>
      <c r="AB1112" s="7"/>
      <c r="AC1112" s="7"/>
    </row>
    <row r="1113" spans="1:29" ht="15.75" hidden="1" customHeight="1" x14ac:dyDescent="0.25">
      <c r="A1113" s="12" t="s">
        <v>534</v>
      </c>
      <c r="B1113" s="14" t="str">
        <f>IFERROR((VLOOKUP($A1113,'[1]import success seats course'!$A:P,HLOOKUP('[1]Course Totals'!B$4,'[1]import success seats course'!$1:$2,2,FALSE),FALSE)/(VLOOKUP($A1113,'[1]import graded seats course pivo'!$A:Z,HLOOKUP('[1]Course Totals'!B$4,'[1]import graded seats course pivo'!$1:$2,2,FALSE),FALSE))),"")</f>
        <v/>
      </c>
      <c r="C1113" s="14" t="str">
        <f>IFERROR((VLOOKUP($A1113,'[1]import success seats course'!$A:Q,HLOOKUP('[1]Course Totals'!C$4,'[1]import success seats course'!$1:$2,2,FALSE),FALSE)/(VLOOKUP($A1113,'[1]import graded seats course pivo'!$A:AA,HLOOKUP('[1]Course Totals'!C$4,'[1]import graded seats course pivo'!$1:$2,2,FALSE),FALSE))),"")</f>
        <v/>
      </c>
      <c r="D1113" s="14" t="str">
        <f>IFERROR((VLOOKUP($A1113,'[1]import success seats course'!$A:R,HLOOKUP('[1]Course Totals'!D$4,'[1]import success seats course'!$1:$2,2,FALSE),FALSE)/(VLOOKUP($A1113,'[1]import graded seats course pivo'!$A:AB,HLOOKUP('[1]Course Totals'!D$4,'[1]import graded seats course pivo'!$1:$2,2,FALSE),FALSE))),"")</f>
        <v/>
      </c>
      <c r="E1113" s="14" t="str">
        <f>IFERROR((VLOOKUP($A1113,'[1]import success seats course'!$A:S,HLOOKUP('[1]Course Totals'!E$4,'[1]import success seats course'!$1:$2,2,FALSE),FALSE)/(VLOOKUP($A1113,'[1]import graded seats course pivo'!$A:AC,HLOOKUP('[1]Course Totals'!E$4,'[1]import graded seats course pivo'!$1:$2,2,FALSE),FALSE))),"")</f>
        <v/>
      </c>
      <c r="F1113" s="14" t="str">
        <f>IFERROR((VLOOKUP($A1113,'[1]import success seats course'!$A:T,HLOOKUP('[1]Course Totals'!F$4,'[1]import success seats course'!$1:$2,2,FALSE),FALSE)/(VLOOKUP($A1113,'[1]import graded seats course pivo'!$A:AD,HLOOKUP('[1]Course Totals'!F$4,'[1]import graded seats course pivo'!$1:$2,2,FALSE),FALSE))),"")</f>
        <v/>
      </c>
      <c r="G1113" s="14" t="str">
        <f>IFERROR((VLOOKUP($A1113,'[1]import success seats course'!$A:U,HLOOKUP('[1]Course Totals'!G$4,'[1]import success seats course'!$1:$2,2,FALSE),FALSE)/(VLOOKUP($A1113,'[1]import graded seats course pivo'!$A:AE,HLOOKUP('[1]Course Totals'!G$4,'[1]import graded seats course pivo'!$1:$2,2,FALSE),FALSE))),"")</f>
        <v/>
      </c>
      <c r="H1113" s="14" t="str">
        <f>IFERROR((VLOOKUP($A1113,'[1]import success seats course'!$A:V,HLOOKUP('[1]Course Totals'!H$4,'[1]import success seats course'!$1:$2,2,FALSE),FALSE)/(VLOOKUP($A1113,'[1]import graded seats course pivo'!$A:AF,HLOOKUP('[1]Course Totals'!H$4,'[1]import graded seats course pivo'!$1:$2,2,FALSE),FALSE))),"")</f>
        <v/>
      </c>
      <c r="I1113" s="14" t="str">
        <f>IFERROR((VLOOKUP($A1113,'[1]import success seats course'!$A:W,HLOOKUP('[1]Course Totals'!I$4,'[1]import success seats course'!$1:$2,2,FALSE),FALSE)/(VLOOKUP($A1113,'[1]import graded seats course pivo'!$A:AG,HLOOKUP('[1]Course Totals'!I$4,'[1]import graded seats course pivo'!$1:$2,2,FALSE),FALSE))),"")</f>
        <v/>
      </c>
      <c r="J1113" s="14" t="str">
        <f>IFERROR((VLOOKUP($A1113,'[1]import success seats course'!$A:X,HLOOKUP('[1]Course Totals'!J$4,'[1]import success seats course'!$1:$2,2,FALSE),FALSE)/(VLOOKUP($A1113,'[1]import graded seats course pivo'!$A:AH,HLOOKUP('[1]Course Totals'!J$4,'[1]import graded seats course pivo'!$1:$2,2,FALSE),FALSE))),"")</f>
        <v/>
      </c>
      <c r="K1113" s="14" t="str">
        <f>IFERROR((VLOOKUP($A1113,'[1]import success seats course'!$A:Y,HLOOKUP('[1]Course Totals'!K$4,'[1]import success seats course'!$1:$2,2,FALSE),FALSE)/(VLOOKUP($A1113,'[1]import graded seats course pivo'!$A:AI,HLOOKUP('[1]Course Totals'!K$4,'[1]import graded seats course pivo'!$1:$2,2,FALSE),FALSE))),"")</f>
        <v/>
      </c>
      <c r="L1113" s="14" t="str">
        <f>IFERROR((VLOOKUP($A1113,'[1]import success seats course'!$A:Z,HLOOKUP('[1]Course Totals'!L$4,'[1]import success seats course'!$1:$2,2,FALSE),FALSE)/(VLOOKUP($A1113,'[1]import graded seats course pivo'!$A:AJ,HLOOKUP('[1]Course Totals'!L$4,'[1]import graded seats course pivo'!$1:$2,2,FALSE),FALSE))),"")</f>
        <v/>
      </c>
      <c r="M1113" s="14" t="str">
        <f>IFERROR((VLOOKUP($A1113,'[1]import success seats course'!$A:AA,HLOOKUP('[1]Course Totals'!M$4,'[1]import success seats course'!$1:$2,2,FALSE),FALSE)/(VLOOKUP($A1113,'[1]import graded seats course pivo'!$A:AK,HLOOKUP('[1]Course Totals'!M$4,'[1]import graded seats course pivo'!$1:$2,2,FALSE),FALSE))),"")</f>
        <v/>
      </c>
      <c r="N1113" s="14" t="str">
        <f>IFERROR((VLOOKUP($A1113,'[1]import success seats course'!$A:AB,HLOOKUP('[1]Course Totals'!N$4,'[1]import success seats course'!$1:$2,2,FALSE),FALSE)/(VLOOKUP($A1113,'[1]import graded seats course pivo'!$A:AL,HLOOKUP('[1]Course Totals'!N$4,'[1]import graded seats course pivo'!$1:$2,2,FALSE),FALSE))),"")</f>
        <v/>
      </c>
      <c r="O1113" s="14" t="str">
        <f>IFERROR((VLOOKUP($A1113,'[1]import success seats course'!$A:AC,HLOOKUP('[1]Course Totals'!O$4,'[1]import success seats course'!$1:$2,2,FALSE),FALSE)/(VLOOKUP($A1113,'[1]import graded seats course pivo'!$A:AM,HLOOKUP('[1]Course Totals'!O$4,'[1]import graded seats course pivo'!$1:$2,2,FALSE),FALSE))),"")</f>
        <v/>
      </c>
      <c r="P1113" s="14" t="str">
        <f>IFERROR((VLOOKUP($A1113,'[1]import success seats course'!$A:AD,HLOOKUP('[1]Course Totals'!P$4,'[1]import success seats course'!$1:$2,2,FALSE),FALSE)/(VLOOKUP($A1113,'[1]import graded seats course pivo'!$A:AN,HLOOKUP('[1]Course Totals'!P$4,'[1]import graded seats course pivo'!$1:$2,2,FALSE),FALSE))),"")</f>
        <v/>
      </c>
      <c r="Q1113" s="14" t="str">
        <f>IFERROR((VLOOKUP($A1113,'[1]import success seats course'!$A:AE,HLOOKUP('[1]Course Totals'!Q$4,'[1]import success seats course'!$1:$2,2,FALSE),FALSE)/(VLOOKUP($A1113,'[1]import graded seats course pivo'!$A:AO,HLOOKUP('[1]Course Totals'!Q$4,'[1]import graded seats course pivo'!$1:$2,2,FALSE),FALSE))),"")</f>
        <v/>
      </c>
      <c r="R1113" s="14" t="str">
        <f>IFERROR((VLOOKUP($A1113,'[1]import success seats course'!$A:AF,HLOOKUP('[1]Course Totals'!R$4,'[1]import success seats course'!$1:$2,2,FALSE),FALSE)/(VLOOKUP($A1113,'[1]import graded seats course pivo'!$A:AP,HLOOKUP('[1]Course Totals'!R$4,'[1]import graded seats course pivo'!$1:$2,2,FALSE),FALSE))),"")</f>
        <v/>
      </c>
      <c r="S1113" s="14" t="str">
        <f>IFERROR((VLOOKUP($A1113,'[1]import success seats course'!$A:AG,HLOOKUP('[1]Course Totals'!S$4,'[1]import success seats course'!$1:$2,2,FALSE),FALSE)/(VLOOKUP($A1113,'[1]import graded seats course pivo'!$A:AQ,HLOOKUP('[1]Course Totals'!S$4,'[1]import graded seats course pivo'!$1:$2,2,FALSE),FALSE))),"")</f>
        <v/>
      </c>
      <c r="Z1113" s="7"/>
      <c r="AA1113" s="7"/>
      <c r="AB1113" s="7"/>
      <c r="AC1113" s="7"/>
    </row>
    <row r="1114" spans="1:29" ht="15.75" hidden="1" customHeight="1" x14ac:dyDescent="0.25">
      <c r="A1114" s="12" t="s">
        <v>535</v>
      </c>
      <c r="B1114" s="14" t="str">
        <f>IFERROR((VLOOKUP($A1114,'[1]import success seats course'!$A:P,HLOOKUP('[1]Course Totals'!B$4,'[1]import success seats course'!$1:$2,2,FALSE),FALSE)/(VLOOKUP($A1114,'[1]import graded seats course pivo'!$A:Z,HLOOKUP('[1]Course Totals'!B$4,'[1]import graded seats course pivo'!$1:$2,2,FALSE),FALSE))),"")</f>
        <v/>
      </c>
      <c r="C1114" s="14" t="str">
        <f>IFERROR((VLOOKUP($A1114,'[1]import success seats course'!$A:Q,HLOOKUP('[1]Course Totals'!C$4,'[1]import success seats course'!$1:$2,2,FALSE),FALSE)/(VLOOKUP($A1114,'[1]import graded seats course pivo'!$A:AA,HLOOKUP('[1]Course Totals'!C$4,'[1]import graded seats course pivo'!$1:$2,2,FALSE),FALSE))),"")</f>
        <v/>
      </c>
      <c r="D1114" s="14" t="str">
        <f>IFERROR((VLOOKUP($A1114,'[1]import success seats course'!$A:R,HLOOKUP('[1]Course Totals'!D$4,'[1]import success seats course'!$1:$2,2,FALSE),FALSE)/(VLOOKUP($A1114,'[1]import graded seats course pivo'!$A:AB,HLOOKUP('[1]Course Totals'!D$4,'[1]import graded seats course pivo'!$1:$2,2,FALSE),FALSE))),"")</f>
        <v/>
      </c>
      <c r="E1114" s="14" t="str">
        <f>IFERROR((VLOOKUP($A1114,'[1]import success seats course'!$A:S,HLOOKUP('[1]Course Totals'!E$4,'[1]import success seats course'!$1:$2,2,FALSE),FALSE)/(VLOOKUP($A1114,'[1]import graded seats course pivo'!$A:AC,HLOOKUP('[1]Course Totals'!E$4,'[1]import graded seats course pivo'!$1:$2,2,FALSE),FALSE))),"")</f>
        <v/>
      </c>
      <c r="F1114" s="14" t="str">
        <f>IFERROR((VLOOKUP($A1114,'[1]import success seats course'!$A:T,HLOOKUP('[1]Course Totals'!F$4,'[1]import success seats course'!$1:$2,2,FALSE),FALSE)/(VLOOKUP($A1114,'[1]import graded seats course pivo'!$A:AD,HLOOKUP('[1]Course Totals'!F$4,'[1]import graded seats course pivo'!$1:$2,2,FALSE),FALSE))),"")</f>
        <v/>
      </c>
      <c r="G1114" s="14" t="str">
        <f>IFERROR((VLOOKUP($A1114,'[1]import success seats course'!$A:U,HLOOKUP('[1]Course Totals'!G$4,'[1]import success seats course'!$1:$2,2,FALSE),FALSE)/(VLOOKUP($A1114,'[1]import graded seats course pivo'!$A:AE,HLOOKUP('[1]Course Totals'!G$4,'[1]import graded seats course pivo'!$1:$2,2,FALSE),FALSE))),"")</f>
        <v/>
      </c>
      <c r="H1114" s="14" t="str">
        <f>IFERROR((VLOOKUP($A1114,'[1]import success seats course'!$A:V,HLOOKUP('[1]Course Totals'!H$4,'[1]import success seats course'!$1:$2,2,FALSE),FALSE)/(VLOOKUP($A1114,'[1]import graded seats course pivo'!$A:AF,HLOOKUP('[1]Course Totals'!H$4,'[1]import graded seats course pivo'!$1:$2,2,FALSE),FALSE))),"")</f>
        <v/>
      </c>
      <c r="I1114" s="14" t="str">
        <f>IFERROR((VLOOKUP($A1114,'[1]import success seats course'!$A:W,HLOOKUP('[1]Course Totals'!I$4,'[1]import success seats course'!$1:$2,2,FALSE),FALSE)/(VLOOKUP($A1114,'[1]import graded seats course pivo'!$A:AG,HLOOKUP('[1]Course Totals'!I$4,'[1]import graded seats course pivo'!$1:$2,2,FALSE),FALSE))),"")</f>
        <v/>
      </c>
      <c r="J1114" s="14" t="str">
        <f>IFERROR((VLOOKUP($A1114,'[1]import success seats course'!$A:X,HLOOKUP('[1]Course Totals'!J$4,'[1]import success seats course'!$1:$2,2,FALSE),FALSE)/(VLOOKUP($A1114,'[1]import graded seats course pivo'!$A:AH,HLOOKUP('[1]Course Totals'!J$4,'[1]import graded seats course pivo'!$1:$2,2,FALSE),FALSE))),"")</f>
        <v/>
      </c>
      <c r="K1114" s="14" t="str">
        <f>IFERROR((VLOOKUP($A1114,'[1]import success seats course'!$A:Y,HLOOKUP('[1]Course Totals'!K$4,'[1]import success seats course'!$1:$2,2,FALSE),FALSE)/(VLOOKUP($A1114,'[1]import graded seats course pivo'!$A:AI,HLOOKUP('[1]Course Totals'!K$4,'[1]import graded seats course pivo'!$1:$2,2,FALSE),FALSE))),"")</f>
        <v/>
      </c>
      <c r="L1114" s="14" t="str">
        <f>IFERROR((VLOOKUP($A1114,'[1]import success seats course'!$A:Z,HLOOKUP('[1]Course Totals'!L$4,'[1]import success seats course'!$1:$2,2,FALSE),FALSE)/(VLOOKUP($A1114,'[1]import graded seats course pivo'!$A:AJ,HLOOKUP('[1]Course Totals'!L$4,'[1]import graded seats course pivo'!$1:$2,2,FALSE),FALSE))),"")</f>
        <v/>
      </c>
      <c r="M1114" s="14" t="str">
        <f>IFERROR((VLOOKUP($A1114,'[1]import success seats course'!$A:AA,HLOOKUP('[1]Course Totals'!M$4,'[1]import success seats course'!$1:$2,2,FALSE),FALSE)/(VLOOKUP($A1114,'[1]import graded seats course pivo'!$A:AK,HLOOKUP('[1]Course Totals'!M$4,'[1]import graded seats course pivo'!$1:$2,2,FALSE),FALSE))),"")</f>
        <v/>
      </c>
      <c r="N1114" s="14" t="str">
        <f>IFERROR((VLOOKUP($A1114,'[1]import success seats course'!$A:AB,HLOOKUP('[1]Course Totals'!N$4,'[1]import success seats course'!$1:$2,2,FALSE),FALSE)/(VLOOKUP($A1114,'[1]import graded seats course pivo'!$A:AL,HLOOKUP('[1]Course Totals'!N$4,'[1]import graded seats course pivo'!$1:$2,2,FALSE),FALSE))),"")</f>
        <v/>
      </c>
      <c r="O1114" s="14" t="str">
        <f>IFERROR((VLOOKUP($A1114,'[1]import success seats course'!$A:AC,HLOOKUP('[1]Course Totals'!O$4,'[1]import success seats course'!$1:$2,2,FALSE),FALSE)/(VLOOKUP($A1114,'[1]import graded seats course pivo'!$A:AM,HLOOKUP('[1]Course Totals'!O$4,'[1]import graded seats course pivo'!$1:$2,2,FALSE),FALSE))),"")</f>
        <v/>
      </c>
      <c r="P1114" s="14" t="str">
        <f>IFERROR((VLOOKUP($A1114,'[1]import success seats course'!$A:AD,HLOOKUP('[1]Course Totals'!P$4,'[1]import success seats course'!$1:$2,2,FALSE),FALSE)/(VLOOKUP($A1114,'[1]import graded seats course pivo'!$A:AN,HLOOKUP('[1]Course Totals'!P$4,'[1]import graded seats course pivo'!$1:$2,2,FALSE),FALSE))),"")</f>
        <v/>
      </c>
      <c r="Q1114" s="14" t="str">
        <f>IFERROR((VLOOKUP($A1114,'[1]import success seats course'!$A:AE,HLOOKUP('[1]Course Totals'!Q$4,'[1]import success seats course'!$1:$2,2,FALSE),FALSE)/(VLOOKUP($A1114,'[1]import graded seats course pivo'!$A:AO,HLOOKUP('[1]Course Totals'!Q$4,'[1]import graded seats course pivo'!$1:$2,2,FALSE),FALSE))),"")</f>
        <v/>
      </c>
      <c r="R1114" s="14" t="str">
        <f>IFERROR((VLOOKUP($A1114,'[1]import success seats course'!$A:AF,HLOOKUP('[1]Course Totals'!R$4,'[1]import success seats course'!$1:$2,2,FALSE),FALSE)/(VLOOKUP($A1114,'[1]import graded seats course pivo'!$A:AP,HLOOKUP('[1]Course Totals'!R$4,'[1]import graded seats course pivo'!$1:$2,2,FALSE),FALSE))),"")</f>
        <v/>
      </c>
      <c r="S1114" s="14" t="str">
        <f>IFERROR((VLOOKUP($A1114,'[1]import success seats course'!$A:AG,HLOOKUP('[1]Course Totals'!S$4,'[1]import success seats course'!$1:$2,2,FALSE),FALSE)/(VLOOKUP($A1114,'[1]import graded seats course pivo'!$A:AQ,HLOOKUP('[1]Course Totals'!S$4,'[1]import graded seats course pivo'!$1:$2,2,FALSE),FALSE))),"")</f>
        <v/>
      </c>
      <c r="Z1114" s="7"/>
      <c r="AA1114" s="7"/>
      <c r="AB1114" s="7"/>
      <c r="AC1114" s="7"/>
    </row>
    <row r="1115" spans="1:29" ht="15.75" hidden="1" customHeight="1" x14ac:dyDescent="0.25">
      <c r="A1115" s="12" t="s">
        <v>536</v>
      </c>
      <c r="B1115" s="14" t="str">
        <f>IFERROR((VLOOKUP($A1115,'[1]import success seats course'!$A:P,HLOOKUP('[1]Course Totals'!B$4,'[1]import success seats course'!$1:$2,2,FALSE),FALSE)/(VLOOKUP($A1115,'[1]import graded seats course pivo'!$A:Z,HLOOKUP('[1]Course Totals'!B$4,'[1]import graded seats course pivo'!$1:$2,2,FALSE),FALSE))),"")</f>
        <v/>
      </c>
      <c r="C1115" s="14" t="str">
        <f>IFERROR((VLOOKUP($A1115,'[1]import success seats course'!$A:Q,HLOOKUP('[1]Course Totals'!C$4,'[1]import success seats course'!$1:$2,2,FALSE),FALSE)/(VLOOKUP($A1115,'[1]import graded seats course pivo'!$A:AA,HLOOKUP('[1]Course Totals'!C$4,'[1]import graded seats course pivo'!$1:$2,2,FALSE),FALSE))),"")</f>
        <v/>
      </c>
      <c r="D1115" s="14" t="str">
        <f>IFERROR((VLOOKUP($A1115,'[1]import success seats course'!$A:R,HLOOKUP('[1]Course Totals'!D$4,'[1]import success seats course'!$1:$2,2,FALSE),FALSE)/(VLOOKUP($A1115,'[1]import graded seats course pivo'!$A:AB,HLOOKUP('[1]Course Totals'!D$4,'[1]import graded seats course pivo'!$1:$2,2,FALSE),FALSE))),"")</f>
        <v/>
      </c>
      <c r="E1115" s="14" t="str">
        <f>IFERROR((VLOOKUP($A1115,'[1]import success seats course'!$A:S,HLOOKUP('[1]Course Totals'!E$4,'[1]import success seats course'!$1:$2,2,FALSE),FALSE)/(VLOOKUP($A1115,'[1]import graded seats course pivo'!$A:AC,HLOOKUP('[1]Course Totals'!E$4,'[1]import graded seats course pivo'!$1:$2,2,FALSE),FALSE))),"")</f>
        <v/>
      </c>
      <c r="F1115" s="14" t="str">
        <f>IFERROR((VLOOKUP($A1115,'[1]import success seats course'!$A:T,HLOOKUP('[1]Course Totals'!F$4,'[1]import success seats course'!$1:$2,2,FALSE),FALSE)/(VLOOKUP($A1115,'[1]import graded seats course pivo'!$A:AD,HLOOKUP('[1]Course Totals'!F$4,'[1]import graded seats course pivo'!$1:$2,2,FALSE),FALSE))),"")</f>
        <v/>
      </c>
      <c r="G1115" s="14" t="str">
        <f>IFERROR((VLOOKUP($A1115,'[1]import success seats course'!$A:U,HLOOKUP('[1]Course Totals'!G$4,'[1]import success seats course'!$1:$2,2,FALSE),FALSE)/(VLOOKUP($A1115,'[1]import graded seats course pivo'!$A:AE,HLOOKUP('[1]Course Totals'!G$4,'[1]import graded seats course pivo'!$1:$2,2,FALSE),FALSE))),"")</f>
        <v/>
      </c>
      <c r="H1115" s="14" t="str">
        <f>IFERROR((VLOOKUP($A1115,'[1]import success seats course'!$A:V,HLOOKUP('[1]Course Totals'!H$4,'[1]import success seats course'!$1:$2,2,FALSE),FALSE)/(VLOOKUP($A1115,'[1]import graded seats course pivo'!$A:AF,HLOOKUP('[1]Course Totals'!H$4,'[1]import graded seats course pivo'!$1:$2,2,FALSE),FALSE))),"")</f>
        <v/>
      </c>
      <c r="I1115" s="14" t="str">
        <f>IFERROR((VLOOKUP($A1115,'[1]import success seats course'!$A:W,HLOOKUP('[1]Course Totals'!I$4,'[1]import success seats course'!$1:$2,2,FALSE),FALSE)/(VLOOKUP($A1115,'[1]import graded seats course pivo'!$A:AG,HLOOKUP('[1]Course Totals'!I$4,'[1]import graded seats course pivo'!$1:$2,2,FALSE),FALSE))),"")</f>
        <v/>
      </c>
      <c r="J1115" s="14" t="str">
        <f>IFERROR((VLOOKUP($A1115,'[1]import success seats course'!$A:X,HLOOKUP('[1]Course Totals'!J$4,'[1]import success seats course'!$1:$2,2,FALSE),FALSE)/(VLOOKUP($A1115,'[1]import graded seats course pivo'!$A:AH,HLOOKUP('[1]Course Totals'!J$4,'[1]import graded seats course pivo'!$1:$2,2,FALSE),FALSE))),"")</f>
        <v/>
      </c>
      <c r="K1115" s="14" t="str">
        <f>IFERROR((VLOOKUP($A1115,'[1]import success seats course'!$A:Y,HLOOKUP('[1]Course Totals'!K$4,'[1]import success seats course'!$1:$2,2,FALSE),FALSE)/(VLOOKUP($A1115,'[1]import graded seats course pivo'!$A:AI,HLOOKUP('[1]Course Totals'!K$4,'[1]import graded seats course pivo'!$1:$2,2,FALSE),FALSE))),"")</f>
        <v/>
      </c>
      <c r="L1115" s="14" t="str">
        <f>IFERROR((VLOOKUP($A1115,'[1]import success seats course'!$A:Z,HLOOKUP('[1]Course Totals'!L$4,'[1]import success seats course'!$1:$2,2,FALSE),FALSE)/(VLOOKUP($A1115,'[1]import graded seats course pivo'!$A:AJ,HLOOKUP('[1]Course Totals'!L$4,'[1]import graded seats course pivo'!$1:$2,2,FALSE),FALSE))),"")</f>
        <v/>
      </c>
      <c r="M1115" s="14" t="str">
        <f>IFERROR((VLOOKUP($A1115,'[1]import success seats course'!$A:AA,HLOOKUP('[1]Course Totals'!M$4,'[1]import success seats course'!$1:$2,2,FALSE),FALSE)/(VLOOKUP($A1115,'[1]import graded seats course pivo'!$A:AK,HLOOKUP('[1]Course Totals'!M$4,'[1]import graded seats course pivo'!$1:$2,2,FALSE),FALSE))),"")</f>
        <v/>
      </c>
      <c r="N1115" s="14" t="str">
        <f>IFERROR((VLOOKUP($A1115,'[1]import success seats course'!$A:AB,HLOOKUP('[1]Course Totals'!N$4,'[1]import success seats course'!$1:$2,2,FALSE),FALSE)/(VLOOKUP($A1115,'[1]import graded seats course pivo'!$A:AL,HLOOKUP('[1]Course Totals'!N$4,'[1]import graded seats course pivo'!$1:$2,2,FALSE),FALSE))),"")</f>
        <v/>
      </c>
      <c r="O1115" s="14" t="str">
        <f>IFERROR((VLOOKUP($A1115,'[1]import success seats course'!$A:AC,HLOOKUP('[1]Course Totals'!O$4,'[1]import success seats course'!$1:$2,2,FALSE),FALSE)/(VLOOKUP($A1115,'[1]import graded seats course pivo'!$A:AM,HLOOKUP('[1]Course Totals'!O$4,'[1]import graded seats course pivo'!$1:$2,2,FALSE),FALSE))),"")</f>
        <v/>
      </c>
      <c r="P1115" s="14" t="str">
        <f>IFERROR((VLOOKUP($A1115,'[1]import success seats course'!$A:AD,HLOOKUP('[1]Course Totals'!P$4,'[1]import success seats course'!$1:$2,2,FALSE),FALSE)/(VLOOKUP($A1115,'[1]import graded seats course pivo'!$A:AN,HLOOKUP('[1]Course Totals'!P$4,'[1]import graded seats course pivo'!$1:$2,2,FALSE),FALSE))),"")</f>
        <v/>
      </c>
      <c r="Q1115" s="14" t="str">
        <f>IFERROR((VLOOKUP($A1115,'[1]import success seats course'!$A:AE,HLOOKUP('[1]Course Totals'!Q$4,'[1]import success seats course'!$1:$2,2,FALSE),FALSE)/(VLOOKUP($A1115,'[1]import graded seats course pivo'!$A:AO,HLOOKUP('[1]Course Totals'!Q$4,'[1]import graded seats course pivo'!$1:$2,2,FALSE),FALSE))),"")</f>
        <v/>
      </c>
      <c r="R1115" s="14" t="str">
        <f>IFERROR((VLOOKUP($A1115,'[1]import success seats course'!$A:AF,HLOOKUP('[1]Course Totals'!R$4,'[1]import success seats course'!$1:$2,2,FALSE),FALSE)/(VLOOKUP($A1115,'[1]import graded seats course pivo'!$A:AP,HLOOKUP('[1]Course Totals'!R$4,'[1]import graded seats course pivo'!$1:$2,2,FALSE),FALSE))),"")</f>
        <v/>
      </c>
      <c r="S1115" s="14" t="str">
        <f>IFERROR((VLOOKUP($A1115,'[1]import success seats course'!$A:AG,HLOOKUP('[1]Course Totals'!S$4,'[1]import success seats course'!$1:$2,2,FALSE),FALSE)/(VLOOKUP($A1115,'[1]import graded seats course pivo'!$A:AQ,HLOOKUP('[1]Course Totals'!S$4,'[1]import graded seats course pivo'!$1:$2,2,FALSE),FALSE))),"")</f>
        <v/>
      </c>
      <c r="Z1115" s="7"/>
      <c r="AA1115" s="7"/>
      <c r="AB1115" s="7"/>
      <c r="AC1115" s="7"/>
    </row>
    <row r="1116" spans="1:29" ht="15.75" hidden="1" customHeight="1" x14ac:dyDescent="0.25">
      <c r="A1116" s="12" t="s">
        <v>956</v>
      </c>
      <c r="B1116" s="14" t="str">
        <f>IFERROR((VLOOKUP($A1116,'[1]import success seats course'!$A:P,HLOOKUP('[1]Course Totals'!B$4,'[1]import success seats course'!$1:$2,2,FALSE),FALSE)/(VLOOKUP($A1116,'[1]import graded seats course pivo'!$A:Z,HLOOKUP('[1]Course Totals'!B$4,'[1]import graded seats course pivo'!$1:$2,2,FALSE),FALSE))),"")</f>
        <v/>
      </c>
      <c r="C1116" s="14" t="str">
        <f>IFERROR((VLOOKUP($A1116,'[1]import success seats course'!$A:Q,HLOOKUP('[1]Course Totals'!C$4,'[1]import success seats course'!$1:$2,2,FALSE),FALSE)/(VLOOKUP($A1116,'[1]import graded seats course pivo'!$A:AA,HLOOKUP('[1]Course Totals'!C$4,'[1]import graded seats course pivo'!$1:$2,2,FALSE),FALSE))),"")</f>
        <v/>
      </c>
      <c r="D1116" s="14" t="str">
        <f>IFERROR((VLOOKUP($A1116,'[1]import success seats course'!$A:R,HLOOKUP('[1]Course Totals'!D$4,'[1]import success seats course'!$1:$2,2,FALSE),FALSE)/(VLOOKUP($A1116,'[1]import graded seats course pivo'!$A:AB,HLOOKUP('[1]Course Totals'!D$4,'[1]import graded seats course pivo'!$1:$2,2,FALSE),FALSE))),"")</f>
        <v/>
      </c>
      <c r="E1116" s="14" t="str">
        <f>IFERROR((VLOOKUP($A1116,'[1]import success seats course'!$A:S,HLOOKUP('[1]Course Totals'!E$4,'[1]import success seats course'!$1:$2,2,FALSE),FALSE)/(VLOOKUP($A1116,'[1]import graded seats course pivo'!$A:AC,HLOOKUP('[1]Course Totals'!E$4,'[1]import graded seats course pivo'!$1:$2,2,FALSE),FALSE))),"")</f>
        <v/>
      </c>
      <c r="F1116" s="14" t="str">
        <f>IFERROR((VLOOKUP($A1116,'[1]import success seats course'!$A:T,HLOOKUP('[1]Course Totals'!F$4,'[1]import success seats course'!$1:$2,2,FALSE),FALSE)/(VLOOKUP($A1116,'[1]import graded seats course pivo'!$A:AD,HLOOKUP('[1]Course Totals'!F$4,'[1]import graded seats course pivo'!$1:$2,2,FALSE),FALSE))),"")</f>
        <v/>
      </c>
      <c r="G1116" s="14" t="str">
        <f>IFERROR((VLOOKUP($A1116,'[1]import success seats course'!$A:U,HLOOKUP('[1]Course Totals'!G$4,'[1]import success seats course'!$1:$2,2,FALSE),FALSE)/(VLOOKUP($A1116,'[1]import graded seats course pivo'!$A:AE,HLOOKUP('[1]Course Totals'!G$4,'[1]import graded seats course pivo'!$1:$2,2,FALSE),FALSE))),"")</f>
        <v/>
      </c>
      <c r="H1116" s="14" t="str">
        <f>IFERROR((VLOOKUP($A1116,'[1]import success seats course'!$A:V,HLOOKUP('[1]Course Totals'!H$4,'[1]import success seats course'!$1:$2,2,FALSE),FALSE)/(VLOOKUP($A1116,'[1]import graded seats course pivo'!$A:AF,HLOOKUP('[1]Course Totals'!H$4,'[1]import graded seats course pivo'!$1:$2,2,FALSE),FALSE))),"")</f>
        <v/>
      </c>
      <c r="I1116" s="14" t="str">
        <f>IFERROR((VLOOKUP($A1116,'[1]import success seats course'!$A:W,HLOOKUP('[1]Course Totals'!I$4,'[1]import success seats course'!$1:$2,2,FALSE),FALSE)/(VLOOKUP($A1116,'[1]import graded seats course pivo'!$A:AG,HLOOKUP('[1]Course Totals'!I$4,'[1]import graded seats course pivo'!$1:$2,2,FALSE),FALSE))),"")</f>
        <v/>
      </c>
      <c r="J1116" s="14" t="str">
        <f>IFERROR((VLOOKUP($A1116,'[1]import success seats course'!$A:X,HLOOKUP('[1]Course Totals'!J$4,'[1]import success seats course'!$1:$2,2,FALSE),FALSE)/(VLOOKUP($A1116,'[1]import graded seats course pivo'!$A:AH,HLOOKUP('[1]Course Totals'!J$4,'[1]import graded seats course pivo'!$1:$2,2,FALSE),FALSE))),"")</f>
        <v/>
      </c>
      <c r="K1116" s="14" t="str">
        <f>IFERROR((VLOOKUP($A1116,'[1]import success seats course'!$A:Y,HLOOKUP('[1]Course Totals'!K$4,'[1]import success seats course'!$1:$2,2,FALSE),FALSE)/(VLOOKUP($A1116,'[1]import graded seats course pivo'!$A:AI,HLOOKUP('[1]Course Totals'!K$4,'[1]import graded seats course pivo'!$1:$2,2,FALSE),FALSE))),"")</f>
        <v/>
      </c>
      <c r="L1116" s="14" t="str">
        <f>IFERROR((VLOOKUP($A1116,'[1]import success seats course'!$A:Z,HLOOKUP('[1]Course Totals'!L$4,'[1]import success seats course'!$1:$2,2,FALSE),FALSE)/(VLOOKUP($A1116,'[1]import graded seats course pivo'!$A:AJ,HLOOKUP('[1]Course Totals'!L$4,'[1]import graded seats course pivo'!$1:$2,2,FALSE),FALSE))),"")</f>
        <v/>
      </c>
      <c r="M1116" s="14" t="str">
        <f>IFERROR((VLOOKUP($A1116,'[1]import success seats course'!$A:AA,HLOOKUP('[1]Course Totals'!M$4,'[1]import success seats course'!$1:$2,2,FALSE),FALSE)/(VLOOKUP($A1116,'[1]import graded seats course pivo'!$A:AK,HLOOKUP('[1]Course Totals'!M$4,'[1]import graded seats course pivo'!$1:$2,2,FALSE),FALSE))),"")</f>
        <v/>
      </c>
      <c r="N1116" s="14" t="str">
        <f>IFERROR((VLOOKUP($A1116,'[1]import success seats course'!$A:AB,HLOOKUP('[1]Course Totals'!N$4,'[1]import success seats course'!$1:$2,2,FALSE),FALSE)/(VLOOKUP($A1116,'[1]import graded seats course pivo'!$A:AL,HLOOKUP('[1]Course Totals'!N$4,'[1]import graded seats course pivo'!$1:$2,2,FALSE),FALSE))),"")</f>
        <v/>
      </c>
      <c r="O1116" s="14" t="str">
        <f>IFERROR((VLOOKUP($A1116,'[1]import success seats course'!$A:AC,HLOOKUP('[1]Course Totals'!O$4,'[1]import success seats course'!$1:$2,2,FALSE),FALSE)/(VLOOKUP($A1116,'[1]import graded seats course pivo'!$A:AM,HLOOKUP('[1]Course Totals'!O$4,'[1]import graded seats course pivo'!$1:$2,2,FALSE),FALSE))),"")</f>
        <v/>
      </c>
      <c r="P1116" s="14" t="str">
        <f>IFERROR((VLOOKUP($A1116,'[1]import success seats course'!$A:AD,HLOOKUP('[1]Course Totals'!P$4,'[1]import success seats course'!$1:$2,2,FALSE),FALSE)/(VLOOKUP($A1116,'[1]import graded seats course pivo'!$A:AN,HLOOKUP('[1]Course Totals'!P$4,'[1]import graded seats course pivo'!$1:$2,2,FALSE),FALSE))),"")</f>
        <v/>
      </c>
      <c r="Q1116" s="14" t="str">
        <f>IFERROR((VLOOKUP($A1116,'[1]import success seats course'!$A:AE,HLOOKUP('[1]Course Totals'!Q$4,'[1]import success seats course'!$1:$2,2,FALSE),FALSE)/(VLOOKUP($A1116,'[1]import graded seats course pivo'!$A:AO,HLOOKUP('[1]Course Totals'!Q$4,'[1]import graded seats course pivo'!$1:$2,2,FALSE),FALSE))),"")</f>
        <v/>
      </c>
      <c r="R1116" s="14" t="str">
        <f>IFERROR((VLOOKUP($A1116,'[1]import success seats course'!$A:AF,HLOOKUP('[1]Course Totals'!R$4,'[1]import success seats course'!$1:$2,2,FALSE),FALSE)/(VLOOKUP($A1116,'[1]import graded seats course pivo'!$A:AP,HLOOKUP('[1]Course Totals'!R$4,'[1]import graded seats course pivo'!$1:$2,2,FALSE),FALSE))),"")</f>
        <v/>
      </c>
      <c r="S1116" s="14" t="str">
        <f>IFERROR((VLOOKUP($A1116,'[1]import success seats course'!$A:AG,HLOOKUP('[1]Course Totals'!S$4,'[1]import success seats course'!$1:$2,2,FALSE),FALSE)/(VLOOKUP($A1116,'[1]import graded seats course pivo'!$A:AQ,HLOOKUP('[1]Course Totals'!S$4,'[1]import graded seats course pivo'!$1:$2,2,FALSE),FALSE))),"")</f>
        <v/>
      </c>
      <c r="Z1116" s="7"/>
      <c r="AA1116" s="7"/>
      <c r="AB1116" s="7"/>
      <c r="AC1116" s="7"/>
    </row>
    <row r="1117" spans="1:29" ht="15.75" customHeight="1" x14ac:dyDescent="0.25">
      <c r="A1117" s="12" t="s">
        <v>999</v>
      </c>
      <c r="B1117" s="14" t="str">
        <f>IFERROR((VLOOKUP($A1117,'[1]import success seats course'!$A:P,HLOOKUP('[1]Course Totals'!B$4,'[1]import success seats course'!$1:$2,2,FALSE),FALSE)/(VLOOKUP($A1117,'[1]import graded seats course pivo'!$A:Z,HLOOKUP('[1]Course Totals'!B$4,'[1]import graded seats course pivo'!$1:$2,2,FALSE),FALSE))),"")</f>
        <v/>
      </c>
      <c r="C1117" s="14" t="str">
        <f>IFERROR((VLOOKUP($A1117,'[1]import success seats course'!$A:Q,HLOOKUP('[1]Course Totals'!C$4,'[1]import success seats course'!$1:$2,2,FALSE),FALSE)/(VLOOKUP($A1117,'[1]import graded seats course pivo'!$A:AA,HLOOKUP('[1]Course Totals'!C$4,'[1]import graded seats course pivo'!$1:$2,2,FALSE),FALSE))),"")</f>
        <v/>
      </c>
      <c r="D1117" s="14" t="str">
        <f>IFERROR((VLOOKUP($A1117,'[1]import success seats course'!$A:R,HLOOKUP('[1]Course Totals'!D$4,'[1]import success seats course'!$1:$2,2,FALSE),FALSE)/(VLOOKUP($A1117,'[1]import graded seats course pivo'!$A:AB,HLOOKUP('[1]Course Totals'!D$4,'[1]import graded seats course pivo'!$1:$2,2,FALSE),FALSE))),"")</f>
        <v/>
      </c>
      <c r="E1117" s="14" t="str">
        <f>IFERROR((VLOOKUP($A1117,'[1]import success seats course'!$A:S,HLOOKUP('[1]Course Totals'!E$4,'[1]import success seats course'!$1:$2,2,FALSE),FALSE)/(VLOOKUP($A1117,'[1]import graded seats course pivo'!$A:AC,HLOOKUP('[1]Course Totals'!E$4,'[1]import graded seats course pivo'!$1:$2,2,FALSE),FALSE))),"")</f>
        <v/>
      </c>
      <c r="F1117" s="14" t="str">
        <f>IFERROR((VLOOKUP($A1117,'[1]import success seats course'!$A:T,HLOOKUP('[1]Course Totals'!F$4,'[1]import success seats course'!$1:$2,2,FALSE),FALSE)/(VLOOKUP($A1117,'[1]import graded seats course pivo'!$A:AD,HLOOKUP('[1]Course Totals'!F$4,'[1]import graded seats course pivo'!$1:$2,2,FALSE),FALSE))),"")</f>
        <v/>
      </c>
      <c r="G1117" s="14">
        <f>IFERROR((VLOOKUP($A1117,'[1]import success seats course'!$A:U,HLOOKUP('[1]Course Totals'!G$4,'[1]import success seats course'!$1:$2,2,FALSE),FALSE)/(VLOOKUP($A1117,'[1]import graded seats course pivo'!$A:AE,HLOOKUP('[1]Course Totals'!G$4,'[1]import graded seats course pivo'!$1:$2,2,FALSE),FALSE))),"")</f>
        <v>1</v>
      </c>
      <c r="H1117" s="14" t="str">
        <f>IFERROR((VLOOKUP($A1117,'[1]import success seats course'!$A:V,HLOOKUP('[1]Course Totals'!H$4,'[1]import success seats course'!$1:$2,2,FALSE),FALSE)/(VLOOKUP($A1117,'[1]import graded seats course pivo'!$A:AF,HLOOKUP('[1]Course Totals'!H$4,'[1]import graded seats course pivo'!$1:$2,2,FALSE),FALSE))),"")</f>
        <v/>
      </c>
      <c r="I1117" s="14" t="str">
        <f>IFERROR((VLOOKUP($A1117,'[1]import success seats course'!$A:W,HLOOKUP('[1]Course Totals'!I$4,'[1]import success seats course'!$1:$2,2,FALSE),FALSE)/(VLOOKUP($A1117,'[1]import graded seats course pivo'!$A:AG,HLOOKUP('[1]Course Totals'!I$4,'[1]import graded seats course pivo'!$1:$2,2,FALSE),FALSE))),"")</f>
        <v/>
      </c>
      <c r="J1117" s="14">
        <f>IFERROR((VLOOKUP($A1117,'[1]import success seats course'!$A:X,HLOOKUP('[1]Course Totals'!J$4,'[1]import success seats course'!$1:$2,2,FALSE),FALSE)/(VLOOKUP($A1117,'[1]import graded seats course pivo'!$A:AH,HLOOKUP('[1]Course Totals'!J$4,'[1]import graded seats course pivo'!$1:$2,2,FALSE),FALSE))),"")</f>
        <v>1</v>
      </c>
      <c r="K1117" s="14" t="str">
        <f>IFERROR((VLOOKUP($A1117,'[1]import success seats course'!$A:Y,HLOOKUP('[1]Course Totals'!K$4,'[1]import success seats course'!$1:$2,2,FALSE),FALSE)/(VLOOKUP($A1117,'[1]import graded seats course pivo'!$A:AI,HLOOKUP('[1]Course Totals'!K$4,'[1]import graded seats course pivo'!$1:$2,2,FALSE),FALSE))),"")</f>
        <v/>
      </c>
      <c r="L1117" s="14" t="str">
        <f>IFERROR((VLOOKUP($A1117,'[1]import success seats course'!$A:Z,HLOOKUP('[1]Course Totals'!L$4,'[1]import success seats course'!$1:$2,2,FALSE),FALSE)/(VLOOKUP($A1117,'[1]import graded seats course pivo'!$A:AJ,HLOOKUP('[1]Course Totals'!L$4,'[1]import graded seats course pivo'!$1:$2,2,FALSE),FALSE))),"")</f>
        <v/>
      </c>
      <c r="M1117" s="14" t="str">
        <f>IFERROR((VLOOKUP($A1117,'[1]import success seats course'!$A:AA,HLOOKUP('[1]Course Totals'!M$4,'[1]import success seats course'!$1:$2,2,FALSE),FALSE)/(VLOOKUP($A1117,'[1]import graded seats course pivo'!$A:AK,HLOOKUP('[1]Course Totals'!M$4,'[1]import graded seats course pivo'!$1:$2,2,FALSE),FALSE))),"")</f>
        <v/>
      </c>
      <c r="N1117" s="14" t="str">
        <f>IFERROR((VLOOKUP($A1117,'[1]import success seats course'!$A:AB,HLOOKUP('[1]Course Totals'!N$4,'[1]import success seats course'!$1:$2,2,FALSE),FALSE)/(VLOOKUP($A1117,'[1]import graded seats course pivo'!$A:AL,HLOOKUP('[1]Course Totals'!N$4,'[1]import graded seats course pivo'!$1:$2,2,FALSE),FALSE))),"")</f>
        <v/>
      </c>
      <c r="O1117" s="14" t="str">
        <f>IFERROR((VLOOKUP($A1117,'[1]import success seats course'!$A:AC,HLOOKUP('[1]Course Totals'!O$4,'[1]import success seats course'!$1:$2,2,FALSE),FALSE)/(VLOOKUP($A1117,'[1]import graded seats course pivo'!$A:AM,HLOOKUP('[1]Course Totals'!O$4,'[1]import graded seats course pivo'!$1:$2,2,FALSE),FALSE))),"")</f>
        <v/>
      </c>
      <c r="P1117" s="14" t="str">
        <f>IFERROR((VLOOKUP($A1117,'[1]import success seats course'!$A:AD,HLOOKUP('[1]Course Totals'!P$4,'[1]import success seats course'!$1:$2,2,FALSE),FALSE)/(VLOOKUP($A1117,'[1]import graded seats course pivo'!$A:AN,HLOOKUP('[1]Course Totals'!P$4,'[1]import graded seats course pivo'!$1:$2,2,FALSE),FALSE))),"")</f>
        <v/>
      </c>
      <c r="Q1117" s="14" t="str">
        <f>IFERROR((VLOOKUP($A1117,'[1]import success seats course'!$A:AE,HLOOKUP('[1]Course Totals'!Q$4,'[1]import success seats course'!$1:$2,2,FALSE),FALSE)/(VLOOKUP($A1117,'[1]import graded seats course pivo'!$A:AO,HLOOKUP('[1]Course Totals'!Q$4,'[1]import graded seats course pivo'!$1:$2,2,FALSE),FALSE))),"")</f>
        <v/>
      </c>
      <c r="R1117" s="14" t="str">
        <f>IFERROR((VLOOKUP($A1117,'[1]import success seats course'!$A:AF,HLOOKUP('[1]Course Totals'!R$4,'[1]import success seats course'!$1:$2,2,FALSE),FALSE)/(VLOOKUP($A1117,'[1]import graded seats course pivo'!$A:AP,HLOOKUP('[1]Course Totals'!R$4,'[1]import graded seats course pivo'!$1:$2,2,FALSE),FALSE))),"")</f>
        <v/>
      </c>
      <c r="S1117" s="14" t="str">
        <f>IFERROR((VLOOKUP($A1117,'[1]import success seats course'!$A:AG,HLOOKUP('[1]Course Totals'!S$4,'[1]import success seats course'!$1:$2,2,FALSE),FALSE)/(VLOOKUP($A1117,'[1]import graded seats course pivo'!$A:AQ,HLOOKUP('[1]Course Totals'!S$4,'[1]import graded seats course pivo'!$1:$2,2,FALSE),FALSE))),"")</f>
        <v/>
      </c>
      <c r="Z1117" s="7"/>
      <c r="AA1117" s="7"/>
      <c r="AB1117" s="7"/>
      <c r="AC1117" s="7"/>
    </row>
    <row r="1118" spans="1:29" ht="15.75" customHeight="1" x14ac:dyDescent="0.25">
      <c r="A1118" s="12" t="s">
        <v>670</v>
      </c>
      <c r="B1118" s="14" t="str">
        <f>IFERROR((VLOOKUP($A1118,'[1]import success seats course'!$A:P,HLOOKUP('[1]Course Totals'!B$4,'[1]import success seats course'!$1:$2,2,FALSE),FALSE)/(VLOOKUP($A1118,'[1]import graded seats course pivo'!$A:Z,HLOOKUP('[1]Course Totals'!B$4,'[1]import graded seats course pivo'!$1:$2,2,FALSE),FALSE))),"")</f>
        <v/>
      </c>
      <c r="C1118" s="14" t="str">
        <f>IFERROR((VLOOKUP($A1118,'[1]import success seats course'!$A:Q,HLOOKUP('[1]Course Totals'!C$4,'[1]import success seats course'!$1:$2,2,FALSE),FALSE)/(VLOOKUP($A1118,'[1]import graded seats course pivo'!$A:AA,HLOOKUP('[1]Course Totals'!C$4,'[1]import graded seats course pivo'!$1:$2,2,FALSE),FALSE))),"")</f>
        <v/>
      </c>
      <c r="D1118" s="14">
        <f>IFERROR((VLOOKUP($A1118,'[1]import success seats course'!$A:R,HLOOKUP('[1]Course Totals'!D$4,'[1]import success seats course'!$1:$2,2,FALSE),FALSE)/(VLOOKUP($A1118,'[1]import graded seats course pivo'!$A:AB,HLOOKUP('[1]Course Totals'!D$4,'[1]import graded seats course pivo'!$1:$2,2,FALSE),FALSE))),"")</f>
        <v>0.88888888888888884</v>
      </c>
      <c r="E1118" s="14" t="str">
        <f>IFERROR((VLOOKUP($A1118,'[1]import success seats course'!$A:S,HLOOKUP('[1]Course Totals'!E$4,'[1]import success seats course'!$1:$2,2,FALSE),FALSE)/(VLOOKUP($A1118,'[1]import graded seats course pivo'!$A:AC,HLOOKUP('[1]Course Totals'!E$4,'[1]import graded seats course pivo'!$1:$2,2,FALSE),FALSE))),"")</f>
        <v/>
      </c>
      <c r="F1118" s="14">
        <f>IFERROR((VLOOKUP($A1118,'[1]import success seats course'!$A:T,HLOOKUP('[1]Course Totals'!F$4,'[1]import success seats course'!$1:$2,2,FALSE),FALSE)/(VLOOKUP($A1118,'[1]import graded seats course pivo'!$A:AD,HLOOKUP('[1]Course Totals'!F$4,'[1]import graded seats course pivo'!$1:$2,2,FALSE),FALSE))),"")</f>
        <v>1</v>
      </c>
      <c r="G1118" s="14">
        <f>IFERROR((VLOOKUP($A1118,'[1]import success seats course'!$A:U,HLOOKUP('[1]Course Totals'!G$4,'[1]import success seats course'!$1:$2,2,FALSE),FALSE)/(VLOOKUP($A1118,'[1]import graded seats course pivo'!$A:AE,HLOOKUP('[1]Course Totals'!G$4,'[1]import graded seats course pivo'!$1:$2,2,FALSE),FALSE))),"")</f>
        <v>0.8666666666666667</v>
      </c>
      <c r="H1118" s="14" t="str">
        <f>IFERROR((VLOOKUP($A1118,'[1]import success seats course'!$A:V,HLOOKUP('[1]Course Totals'!H$4,'[1]import success seats course'!$1:$2,2,FALSE),FALSE)/(VLOOKUP($A1118,'[1]import graded seats course pivo'!$A:AF,HLOOKUP('[1]Course Totals'!H$4,'[1]import graded seats course pivo'!$1:$2,2,FALSE),FALSE))),"")</f>
        <v/>
      </c>
      <c r="I1118" s="14">
        <f>IFERROR((VLOOKUP($A1118,'[1]import success seats course'!$A:W,HLOOKUP('[1]Course Totals'!I$4,'[1]import success seats course'!$1:$2,2,FALSE),FALSE)/(VLOOKUP($A1118,'[1]import graded seats course pivo'!$A:AG,HLOOKUP('[1]Course Totals'!I$4,'[1]import graded seats course pivo'!$1:$2,2,FALSE),FALSE))),"")</f>
        <v>0.91836734693877553</v>
      </c>
      <c r="J1118" s="14">
        <f>IFERROR((VLOOKUP($A1118,'[1]import success seats course'!$A:X,HLOOKUP('[1]Course Totals'!J$4,'[1]import success seats course'!$1:$2,2,FALSE),FALSE)/(VLOOKUP($A1118,'[1]import graded seats course pivo'!$A:AH,HLOOKUP('[1]Course Totals'!J$4,'[1]import graded seats course pivo'!$1:$2,2,FALSE),FALSE))),"")</f>
        <v>0.89795918367346939</v>
      </c>
      <c r="K1118" s="14" t="str">
        <f>IFERROR((VLOOKUP($A1118,'[1]import success seats course'!$A:Y,HLOOKUP('[1]Course Totals'!K$4,'[1]import success seats course'!$1:$2,2,FALSE),FALSE)/(VLOOKUP($A1118,'[1]import graded seats course pivo'!$A:AI,HLOOKUP('[1]Course Totals'!K$4,'[1]import graded seats course pivo'!$1:$2,2,FALSE),FALSE))),"")</f>
        <v/>
      </c>
      <c r="L1118" s="14">
        <f>IFERROR((VLOOKUP($A1118,'[1]import success seats course'!$A:Z,HLOOKUP('[1]Course Totals'!L$4,'[1]import success seats course'!$1:$2,2,FALSE),FALSE)/(VLOOKUP($A1118,'[1]import graded seats course pivo'!$A:AJ,HLOOKUP('[1]Course Totals'!L$4,'[1]import graded seats course pivo'!$1:$2,2,FALSE),FALSE))),"")</f>
        <v>0.9555555555555556</v>
      </c>
      <c r="M1118" s="14">
        <f>IFERROR((VLOOKUP($A1118,'[1]import success seats course'!$A:AA,HLOOKUP('[1]Course Totals'!M$4,'[1]import success seats course'!$1:$2,2,FALSE),FALSE)/(VLOOKUP($A1118,'[1]import graded seats course pivo'!$A:AK,HLOOKUP('[1]Course Totals'!M$4,'[1]import graded seats course pivo'!$1:$2,2,FALSE),FALSE))),"")</f>
        <v>0.91666666666666663</v>
      </c>
      <c r="N1118" s="14" t="str">
        <f>IFERROR((VLOOKUP($A1118,'[1]import success seats course'!$A:AB,HLOOKUP('[1]Course Totals'!N$4,'[1]import success seats course'!$1:$2,2,FALSE),FALSE)/(VLOOKUP($A1118,'[1]import graded seats course pivo'!$A:AL,HLOOKUP('[1]Course Totals'!N$4,'[1]import graded seats course pivo'!$1:$2,2,FALSE),FALSE))),"")</f>
        <v/>
      </c>
      <c r="O1118" s="14">
        <f>IFERROR((VLOOKUP($A1118,'[1]import success seats course'!$A:AC,HLOOKUP('[1]Course Totals'!O$4,'[1]import success seats course'!$1:$2,2,FALSE),FALSE)/(VLOOKUP($A1118,'[1]import graded seats course pivo'!$A:AM,HLOOKUP('[1]Course Totals'!O$4,'[1]import graded seats course pivo'!$1:$2,2,FALSE),FALSE))),"")</f>
        <v>0.89795918367346939</v>
      </c>
      <c r="P1118" s="14">
        <f>IFERROR((VLOOKUP($A1118,'[1]import success seats course'!$A:AD,HLOOKUP('[1]Course Totals'!P$4,'[1]import success seats course'!$1:$2,2,FALSE),FALSE)/(VLOOKUP($A1118,'[1]import graded seats course pivo'!$A:AN,HLOOKUP('[1]Course Totals'!P$4,'[1]import graded seats course pivo'!$1:$2,2,FALSE),FALSE))),"")</f>
        <v>0.9</v>
      </c>
      <c r="Q1118" s="14" t="str">
        <f>IFERROR((VLOOKUP($A1118,'[1]import success seats course'!$A:AE,HLOOKUP('[1]Course Totals'!Q$4,'[1]import success seats course'!$1:$2,2,FALSE),FALSE)/(VLOOKUP($A1118,'[1]import graded seats course pivo'!$A:AO,HLOOKUP('[1]Course Totals'!Q$4,'[1]import graded seats course pivo'!$1:$2,2,FALSE),FALSE))),"")</f>
        <v/>
      </c>
      <c r="R1118" s="14">
        <f>IFERROR((VLOOKUP($A1118,'[1]import success seats course'!$A:AF,HLOOKUP('[1]Course Totals'!R$4,'[1]import success seats course'!$1:$2,2,FALSE),FALSE)/(VLOOKUP($A1118,'[1]import graded seats course pivo'!$A:AP,HLOOKUP('[1]Course Totals'!R$4,'[1]import graded seats course pivo'!$1:$2,2,FALSE),FALSE))),"")</f>
        <v>0.91666666666666663</v>
      </c>
      <c r="S1118" s="14" t="str">
        <f>IFERROR((VLOOKUP($A1118,'[1]import success seats course'!$A:AG,HLOOKUP('[1]Course Totals'!S$4,'[1]import success seats course'!$1:$2,2,FALSE),FALSE)/(VLOOKUP($A1118,'[1]import graded seats course pivo'!$A:AQ,HLOOKUP('[1]Course Totals'!S$4,'[1]import graded seats course pivo'!$1:$2,2,FALSE),FALSE))),"")</f>
        <v/>
      </c>
      <c r="Z1118" s="7"/>
      <c r="AA1118" s="7"/>
      <c r="AB1118" s="7"/>
      <c r="AC1118" s="7"/>
    </row>
    <row r="1119" spans="1:29" ht="15.75" customHeight="1" x14ac:dyDescent="0.25">
      <c r="A1119" s="12" t="s">
        <v>537</v>
      </c>
      <c r="B1119" s="14" t="str">
        <f>IFERROR((VLOOKUP($A1119,'[1]import success seats course'!$A:P,HLOOKUP('[1]Course Totals'!B$4,'[1]import success seats course'!$1:$2,2,FALSE),FALSE)/(VLOOKUP($A1119,'[1]import graded seats course pivo'!$A:Z,HLOOKUP('[1]Course Totals'!B$4,'[1]import graded seats course pivo'!$1:$2,2,FALSE),FALSE))),"")</f>
        <v/>
      </c>
      <c r="C1119" s="14">
        <f>IFERROR((VLOOKUP($A1119,'[1]import success seats course'!$A:Q,HLOOKUP('[1]Course Totals'!C$4,'[1]import success seats course'!$1:$2,2,FALSE),FALSE)/(VLOOKUP($A1119,'[1]import graded seats course pivo'!$A:AA,HLOOKUP('[1]Course Totals'!C$4,'[1]import graded seats course pivo'!$1:$2,2,FALSE),FALSE))),"")</f>
        <v>0.90909090909090906</v>
      </c>
      <c r="D1119" s="14" t="str">
        <f>IFERROR((VLOOKUP($A1119,'[1]import success seats course'!$A:R,HLOOKUP('[1]Course Totals'!D$4,'[1]import success seats course'!$1:$2,2,FALSE),FALSE)/(VLOOKUP($A1119,'[1]import graded seats course pivo'!$A:AB,HLOOKUP('[1]Course Totals'!D$4,'[1]import graded seats course pivo'!$1:$2,2,FALSE),FALSE))),"")</f>
        <v/>
      </c>
      <c r="E1119" s="14" t="str">
        <f>IFERROR((VLOOKUP($A1119,'[1]import success seats course'!$A:S,HLOOKUP('[1]Course Totals'!E$4,'[1]import success seats course'!$1:$2,2,FALSE),FALSE)/(VLOOKUP($A1119,'[1]import graded seats course pivo'!$A:AC,HLOOKUP('[1]Course Totals'!E$4,'[1]import graded seats course pivo'!$1:$2,2,FALSE),FALSE))),"")</f>
        <v/>
      </c>
      <c r="F1119" s="14">
        <f>IFERROR((VLOOKUP($A1119,'[1]import success seats course'!$A:T,HLOOKUP('[1]Course Totals'!F$4,'[1]import success seats course'!$1:$2,2,FALSE),FALSE)/(VLOOKUP($A1119,'[1]import graded seats course pivo'!$A:AD,HLOOKUP('[1]Course Totals'!F$4,'[1]import graded seats course pivo'!$1:$2,2,FALSE),FALSE))),"")</f>
        <v>0.91304347826086951</v>
      </c>
      <c r="G1119" s="14" t="str">
        <f>IFERROR((VLOOKUP($A1119,'[1]import success seats course'!$A:U,HLOOKUP('[1]Course Totals'!G$4,'[1]import success seats course'!$1:$2,2,FALSE),FALSE)/(VLOOKUP($A1119,'[1]import graded seats course pivo'!$A:AE,HLOOKUP('[1]Course Totals'!G$4,'[1]import graded seats course pivo'!$1:$2,2,FALSE),FALSE))),"")</f>
        <v/>
      </c>
      <c r="H1119" s="14" t="str">
        <f>IFERROR((VLOOKUP($A1119,'[1]import success seats course'!$A:V,HLOOKUP('[1]Course Totals'!H$4,'[1]import success seats course'!$1:$2,2,FALSE),FALSE)/(VLOOKUP($A1119,'[1]import graded seats course pivo'!$A:AF,HLOOKUP('[1]Course Totals'!H$4,'[1]import graded seats course pivo'!$1:$2,2,FALSE),FALSE))),"")</f>
        <v/>
      </c>
      <c r="I1119" s="14">
        <f>IFERROR((VLOOKUP($A1119,'[1]import success seats course'!$A:W,HLOOKUP('[1]Course Totals'!I$4,'[1]import success seats course'!$1:$2,2,FALSE),FALSE)/(VLOOKUP($A1119,'[1]import graded seats course pivo'!$A:AG,HLOOKUP('[1]Course Totals'!I$4,'[1]import graded seats course pivo'!$1:$2,2,FALSE),FALSE))),"")</f>
        <v>0.83333333333333337</v>
      </c>
      <c r="J1119" s="14" t="str">
        <f>IFERROR((VLOOKUP($A1119,'[1]import success seats course'!$A:X,HLOOKUP('[1]Course Totals'!J$4,'[1]import success seats course'!$1:$2,2,FALSE),FALSE)/(VLOOKUP($A1119,'[1]import graded seats course pivo'!$A:AH,HLOOKUP('[1]Course Totals'!J$4,'[1]import graded seats course pivo'!$1:$2,2,FALSE),FALSE))),"")</f>
        <v/>
      </c>
      <c r="K1119" s="14" t="str">
        <f>IFERROR((VLOOKUP($A1119,'[1]import success seats course'!$A:Y,HLOOKUP('[1]Course Totals'!K$4,'[1]import success seats course'!$1:$2,2,FALSE),FALSE)/(VLOOKUP($A1119,'[1]import graded seats course pivo'!$A:AI,HLOOKUP('[1]Course Totals'!K$4,'[1]import graded seats course pivo'!$1:$2,2,FALSE),FALSE))),"")</f>
        <v/>
      </c>
      <c r="L1119" s="14">
        <f>IFERROR((VLOOKUP($A1119,'[1]import success seats course'!$A:Z,HLOOKUP('[1]Course Totals'!L$4,'[1]import success seats course'!$1:$2,2,FALSE),FALSE)/(VLOOKUP($A1119,'[1]import graded seats course pivo'!$A:AJ,HLOOKUP('[1]Course Totals'!L$4,'[1]import graded seats course pivo'!$1:$2,2,FALSE),FALSE))),"")</f>
        <v>0.91666666666666663</v>
      </c>
      <c r="M1119" s="14" t="str">
        <f>IFERROR((VLOOKUP($A1119,'[1]import success seats course'!$A:AA,HLOOKUP('[1]Course Totals'!M$4,'[1]import success seats course'!$1:$2,2,FALSE),FALSE)/(VLOOKUP($A1119,'[1]import graded seats course pivo'!$A:AK,HLOOKUP('[1]Course Totals'!M$4,'[1]import graded seats course pivo'!$1:$2,2,FALSE),FALSE))),"")</f>
        <v/>
      </c>
      <c r="N1119" s="14" t="str">
        <f>IFERROR((VLOOKUP($A1119,'[1]import success seats course'!$A:AB,HLOOKUP('[1]Course Totals'!N$4,'[1]import success seats course'!$1:$2,2,FALSE),FALSE)/(VLOOKUP($A1119,'[1]import graded seats course pivo'!$A:AL,HLOOKUP('[1]Course Totals'!N$4,'[1]import graded seats course pivo'!$1:$2,2,FALSE),FALSE))),"")</f>
        <v/>
      </c>
      <c r="O1119" s="14">
        <f>IFERROR((VLOOKUP($A1119,'[1]import success seats course'!$A:AC,HLOOKUP('[1]Course Totals'!O$4,'[1]import success seats course'!$1:$2,2,FALSE),FALSE)/(VLOOKUP($A1119,'[1]import graded seats course pivo'!$A:AM,HLOOKUP('[1]Course Totals'!O$4,'[1]import graded seats course pivo'!$1:$2,2,FALSE),FALSE))),"")</f>
        <v>0.79166666666666663</v>
      </c>
      <c r="P1119" s="14" t="str">
        <f>IFERROR((VLOOKUP($A1119,'[1]import success seats course'!$A:AD,HLOOKUP('[1]Course Totals'!P$4,'[1]import success seats course'!$1:$2,2,FALSE),FALSE)/(VLOOKUP($A1119,'[1]import graded seats course pivo'!$A:AN,HLOOKUP('[1]Course Totals'!P$4,'[1]import graded seats course pivo'!$1:$2,2,FALSE),FALSE))),"")</f>
        <v/>
      </c>
      <c r="Q1119" s="14" t="str">
        <f>IFERROR((VLOOKUP($A1119,'[1]import success seats course'!$A:AE,HLOOKUP('[1]Course Totals'!Q$4,'[1]import success seats course'!$1:$2,2,FALSE),FALSE)/(VLOOKUP($A1119,'[1]import graded seats course pivo'!$A:AO,HLOOKUP('[1]Course Totals'!Q$4,'[1]import graded seats course pivo'!$1:$2,2,FALSE),FALSE))),"")</f>
        <v/>
      </c>
      <c r="R1119" s="14">
        <f>IFERROR((VLOOKUP($A1119,'[1]import success seats course'!$A:AF,HLOOKUP('[1]Course Totals'!R$4,'[1]import success seats course'!$1:$2,2,FALSE),FALSE)/(VLOOKUP($A1119,'[1]import graded seats course pivo'!$A:AP,HLOOKUP('[1]Course Totals'!R$4,'[1]import graded seats course pivo'!$1:$2,2,FALSE),FALSE))),"")</f>
        <v>0.88</v>
      </c>
      <c r="S1119" s="14" t="str">
        <f>IFERROR((VLOOKUP($A1119,'[1]import success seats course'!$A:AG,HLOOKUP('[1]Course Totals'!S$4,'[1]import success seats course'!$1:$2,2,FALSE),FALSE)/(VLOOKUP($A1119,'[1]import graded seats course pivo'!$A:AQ,HLOOKUP('[1]Course Totals'!S$4,'[1]import graded seats course pivo'!$1:$2,2,FALSE),FALSE))),"")</f>
        <v/>
      </c>
      <c r="Z1119" s="7"/>
      <c r="AA1119" s="7"/>
      <c r="AB1119" s="7"/>
      <c r="AC1119" s="7"/>
    </row>
    <row r="1120" spans="1:29" ht="15.75" customHeight="1" x14ac:dyDescent="0.25">
      <c r="A1120" s="12" t="s">
        <v>957</v>
      </c>
      <c r="B1120" s="14" t="str">
        <f>IFERROR((VLOOKUP($A1120,'[1]import success seats course'!$A:P,HLOOKUP('[1]Course Totals'!B$4,'[1]import success seats course'!$1:$2,2,FALSE),FALSE)/(VLOOKUP($A1120,'[1]import graded seats course pivo'!$A:Z,HLOOKUP('[1]Course Totals'!B$4,'[1]import graded seats course pivo'!$1:$2,2,FALSE),FALSE))),"")</f>
        <v/>
      </c>
      <c r="C1120" s="14" t="str">
        <f>IFERROR((VLOOKUP($A1120,'[1]import success seats course'!$A:Q,HLOOKUP('[1]Course Totals'!C$4,'[1]import success seats course'!$1:$2,2,FALSE),FALSE)/(VLOOKUP($A1120,'[1]import graded seats course pivo'!$A:AA,HLOOKUP('[1]Course Totals'!C$4,'[1]import graded seats course pivo'!$1:$2,2,FALSE),FALSE))),"")</f>
        <v/>
      </c>
      <c r="D1120" s="14">
        <f>IFERROR((VLOOKUP($A1120,'[1]import success seats course'!$A:R,HLOOKUP('[1]Course Totals'!D$4,'[1]import success seats course'!$1:$2,2,FALSE),FALSE)/(VLOOKUP($A1120,'[1]import graded seats course pivo'!$A:AB,HLOOKUP('[1]Course Totals'!D$4,'[1]import graded seats course pivo'!$1:$2,2,FALSE),FALSE))),"")</f>
        <v>0.9285714285714286</v>
      </c>
      <c r="E1120" s="14" t="str">
        <f>IFERROR((VLOOKUP($A1120,'[1]import success seats course'!$A:S,HLOOKUP('[1]Course Totals'!E$4,'[1]import success seats course'!$1:$2,2,FALSE),FALSE)/(VLOOKUP($A1120,'[1]import graded seats course pivo'!$A:AC,HLOOKUP('[1]Course Totals'!E$4,'[1]import graded seats course pivo'!$1:$2,2,FALSE),FALSE))),"")</f>
        <v/>
      </c>
      <c r="F1120" s="14" t="str">
        <f>IFERROR((VLOOKUP($A1120,'[1]import success seats course'!$A:T,HLOOKUP('[1]Course Totals'!F$4,'[1]import success seats course'!$1:$2,2,FALSE),FALSE)/(VLOOKUP($A1120,'[1]import graded seats course pivo'!$A:AD,HLOOKUP('[1]Course Totals'!F$4,'[1]import graded seats course pivo'!$1:$2,2,FALSE),FALSE))),"")</f>
        <v/>
      </c>
      <c r="G1120" s="14">
        <f>IFERROR((VLOOKUP($A1120,'[1]import success seats course'!$A:U,HLOOKUP('[1]Course Totals'!G$4,'[1]import success seats course'!$1:$2,2,FALSE),FALSE)/(VLOOKUP($A1120,'[1]import graded seats course pivo'!$A:AE,HLOOKUP('[1]Course Totals'!G$4,'[1]import graded seats course pivo'!$1:$2,2,FALSE),FALSE))),"")</f>
        <v>0.69230769230769229</v>
      </c>
      <c r="H1120" s="14" t="str">
        <f>IFERROR((VLOOKUP($A1120,'[1]import success seats course'!$A:V,HLOOKUP('[1]Course Totals'!H$4,'[1]import success seats course'!$1:$2,2,FALSE),FALSE)/(VLOOKUP($A1120,'[1]import graded seats course pivo'!$A:AF,HLOOKUP('[1]Course Totals'!H$4,'[1]import graded seats course pivo'!$1:$2,2,FALSE),FALSE))),"")</f>
        <v/>
      </c>
      <c r="I1120" s="14" t="str">
        <f>IFERROR((VLOOKUP($A1120,'[1]import success seats course'!$A:W,HLOOKUP('[1]Course Totals'!I$4,'[1]import success seats course'!$1:$2,2,FALSE),FALSE)/(VLOOKUP($A1120,'[1]import graded seats course pivo'!$A:AG,HLOOKUP('[1]Course Totals'!I$4,'[1]import graded seats course pivo'!$1:$2,2,FALSE),FALSE))),"")</f>
        <v/>
      </c>
      <c r="J1120" s="14">
        <f>IFERROR((VLOOKUP($A1120,'[1]import success seats course'!$A:X,HLOOKUP('[1]Course Totals'!J$4,'[1]import success seats course'!$1:$2,2,FALSE),FALSE)/(VLOOKUP($A1120,'[1]import graded seats course pivo'!$A:AH,HLOOKUP('[1]Course Totals'!J$4,'[1]import graded seats course pivo'!$1:$2,2,FALSE),FALSE))),"")</f>
        <v>0.88888888888888884</v>
      </c>
      <c r="K1120" s="14" t="str">
        <f>IFERROR((VLOOKUP($A1120,'[1]import success seats course'!$A:Y,HLOOKUP('[1]Course Totals'!K$4,'[1]import success seats course'!$1:$2,2,FALSE),FALSE)/(VLOOKUP($A1120,'[1]import graded seats course pivo'!$A:AI,HLOOKUP('[1]Course Totals'!K$4,'[1]import graded seats course pivo'!$1:$2,2,FALSE),FALSE))),"")</f>
        <v/>
      </c>
      <c r="L1120" s="14" t="str">
        <f>IFERROR((VLOOKUP($A1120,'[1]import success seats course'!$A:Z,HLOOKUP('[1]Course Totals'!L$4,'[1]import success seats course'!$1:$2,2,FALSE),FALSE)/(VLOOKUP($A1120,'[1]import graded seats course pivo'!$A:AJ,HLOOKUP('[1]Course Totals'!L$4,'[1]import graded seats course pivo'!$1:$2,2,FALSE),FALSE))),"")</f>
        <v/>
      </c>
      <c r="M1120" s="14">
        <f>IFERROR((VLOOKUP($A1120,'[1]import success seats course'!$A:AA,HLOOKUP('[1]Course Totals'!M$4,'[1]import success seats course'!$1:$2,2,FALSE),FALSE)/(VLOOKUP($A1120,'[1]import graded seats course pivo'!$A:AK,HLOOKUP('[1]Course Totals'!M$4,'[1]import graded seats course pivo'!$1:$2,2,FALSE),FALSE))),"")</f>
        <v>1</v>
      </c>
      <c r="N1120" s="14" t="str">
        <f>IFERROR((VLOOKUP($A1120,'[1]import success seats course'!$A:AB,HLOOKUP('[1]Course Totals'!N$4,'[1]import success seats course'!$1:$2,2,FALSE),FALSE)/(VLOOKUP($A1120,'[1]import graded seats course pivo'!$A:AL,HLOOKUP('[1]Course Totals'!N$4,'[1]import graded seats course pivo'!$1:$2,2,FALSE),FALSE))),"")</f>
        <v/>
      </c>
      <c r="O1120" s="14" t="str">
        <f>IFERROR((VLOOKUP($A1120,'[1]import success seats course'!$A:AC,HLOOKUP('[1]Course Totals'!O$4,'[1]import success seats course'!$1:$2,2,FALSE),FALSE)/(VLOOKUP($A1120,'[1]import graded seats course pivo'!$A:AM,HLOOKUP('[1]Course Totals'!O$4,'[1]import graded seats course pivo'!$1:$2,2,FALSE),FALSE))),"")</f>
        <v/>
      </c>
      <c r="P1120" s="14">
        <f>IFERROR((VLOOKUP($A1120,'[1]import success seats course'!$A:AD,HLOOKUP('[1]Course Totals'!P$4,'[1]import success seats course'!$1:$2,2,FALSE),FALSE)/(VLOOKUP($A1120,'[1]import graded seats course pivo'!$A:AN,HLOOKUP('[1]Course Totals'!P$4,'[1]import graded seats course pivo'!$1:$2,2,FALSE),FALSE))),"")</f>
        <v>0.75</v>
      </c>
      <c r="Q1120" s="14" t="str">
        <f>IFERROR((VLOOKUP($A1120,'[1]import success seats course'!$A:AE,HLOOKUP('[1]Course Totals'!Q$4,'[1]import success seats course'!$1:$2,2,FALSE),FALSE)/(VLOOKUP($A1120,'[1]import graded seats course pivo'!$A:AO,HLOOKUP('[1]Course Totals'!Q$4,'[1]import graded seats course pivo'!$1:$2,2,FALSE),FALSE))),"")</f>
        <v/>
      </c>
      <c r="R1120" s="14" t="str">
        <f>IFERROR((VLOOKUP($A1120,'[1]import success seats course'!$A:AF,HLOOKUP('[1]Course Totals'!R$4,'[1]import success seats course'!$1:$2,2,FALSE),FALSE)/(VLOOKUP($A1120,'[1]import graded seats course pivo'!$A:AP,HLOOKUP('[1]Course Totals'!R$4,'[1]import graded seats course pivo'!$1:$2,2,FALSE),FALSE))),"")</f>
        <v/>
      </c>
      <c r="S1120" s="14">
        <f>IFERROR((VLOOKUP($A1120,'[1]import success seats course'!$A:AG,HLOOKUP('[1]Course Totals'!S$4,'[1]import success seats course'!$1:$2,2,FALSE),FALSE)/(VLOOKUP($A1120,'[1]import graded seats course pivo'!$A:AQ,HLOOKUP('[1]Course Totals'!S$4,'[1]import graded seats course pivo'!$1:$2,2,FALSE),FALSE))),"")</f>
        <v>0.8571428571428571</v>
      </c>
      <c r="Z1120" s="7"/>
      <c r="AA1120" s="7"/>
      <c r="AB1120" s="7"/>
      <c r="AC1120" s="7"/>
    </row>
    <row r="1121" spans="1:29" ht="15.75" customHeight="1" x14ac:dyDescent="0.25">
      <c r="A1121" s="12" t="s">
        <v>819</v>
      </c>
      <c r="B1121" s="14" t="str">
        <f>IFERROR((VLOOKUP($A1121,'[1]import success seats course'!$A:P,HLOOKUP('[1]Course Totals'!B$4,'[1]import success seats course'!$1:$2,2,FALSE),FALSE)/(VLOOKUP($A1121,'[1]import graded seats course pivo'!$A:Z,HLOOKUP('[1]Course Totals'!B$4,'[1]import graded seats course pivo'!$1:$2,2,FALSE),FALSE))),"")</f>
        <v/>
      </c>
      <c r="C1121" s="14" t="str">
        <f>IFERROR((VLOOKUP($A1121,'[1]import success seats course'!$A:Q,HLOOKUP('[1]Course Totals'!C$4,'[1]import success seats course'!$1:$2,2,FALSE),FALSE)/(VLOOKUP($A1121,'[1]import graded seats course pivo'!$A:AA,HLOOKUP('[1]Course Totals'!C$4,'[1]import graded seats course pivo'!$1:$2,2,FALSE),FALSE))),"")</f>
        <v/>
      </c>
      <c r="D1121" s="14" t="str">
        <f>IFERROR((VLOOKUP($A1121,'[1]import success seats course'!$A:R,HLOOKUP('[1]Course Totals'!D$4,'[1]import success seats course'!$1:$2,2,FALSE),FALSE)/(VLOOKUP($A1121,'[1]import graded seats course pivo'!$A:AB,HLOOKUP('[1]Course Totals'!D$4,'[1]import graded seats course pivo'!$1:$2,2,FALSE),FALSE))),"")</f>
        <v/>
      </c>
      <c r="E1121" s="14" t="str">
        <f>IFERROR((VLOOKUP($A1121,'[1]import success seats course'!$A:S,HLOOKUP('[1]Course Totals'!E$4,'[1]import success seats course'!$1:$2,2,FALSE),FALSE)/(VLOOKUP($A1121,'[1]import graded seats course pivo'!$A:AC,HLOOKUP('[1]Course Totals'!E$4,'[1]import graded seats course pivo'!$1:$2,2,FALSE),FALSE))),"")</f>
        <v/>
      </c>
      <c r="F1121" s="14" t="str">
        <f>IFERROR((VLOOKUP($A1121,'[1]import success seats course'!$A:T,HLOOKUP('[1]Course Totals'!F$4,'[1]import success seats course'!$1:$2,2,FALSE),FALSE)/(VLOOKUP($A1121,'[1]import graded seats course pivo'!$A:AD,HLOOKUP('[1]Course Totals'!F$4,'[1]import graded seats course pivo'!$1:$2,2,FALSE),FALSE))),"")</f>
        <v/>
      </c>
      <c r="G1121" s="14" t="str">
        <f>IFERROR((VLOOKUP($A1121,'[1]import success seats course'!$A:U,HLOOKUP('[1]Course Totals'!G$4,'[1]import success seats course'!$1:$2,2,FALSE),FALSE)/(VLOOKUP($A1121,'[1]import graded seats course pivo'!$A:AE,HLOOKUP('[1]Course Totals'!G$4,'[1]import graded seats course pivo'!$1:$2,2,FALSE),FALSE))),"")</f>
        <v/>
      </c>
      <c r="H1121" s="14" t="str">
        <f>IFERROR((VLOOKUP($A1121,'[1]import success seats course'!$A:V,HLOOKUP('[1]Course Totals'!H$4,'[1]import success seats course'!$1:$2,2,FALSE),FALSE)/(VLOOKUP($A1121,'[1]import graded seats course pivo'!$A:AF,HLOOKUP('[1]Course Totals'!H$4,'[1]import graded seats course pivo'!$1:$2,2,FALSE),FALSE))),"")</f>
        <v/>
      </c>
      <c r="I1121" s="14" t="str">
        <f>IFERROR((VLOOKUP($A1121,'[1]import success seats course'!$A:W,HLOOKUP('[1]Course Totals'!I$4,'[1]import success seats course'!$1:$2,2,FALSE),FALSE)/(VLOOKUP($A1121,'[1]import graded seats course pivo'!$A:AG,HLOOKUP('[1]Course Totals'!I$4,'[1]import graded seats course pivo'!$1:$2,2,FALSE),FALSE))),"")</f>
        <v/>
      </c>
      <c r="J1121" s="14" t="str">
        <f>IFERROR((VLOOKUP($A1121,'[1]import success seats course'!$A:X,HLOOKUP('[1]Course Totals'!J$4,'[1]import success seats course'!$1:$2,2,FALSE),FALSE)/(VLOOKUP($A1121,'[1]import graded seats course pivo'!$A:AH,HLOOKUP('[1]Course Totals'!J$4,'[1]import graded seats course pivo'!$1:$2,2,FALSE),FALSE))),"")</f>
        <v/>
      </c>
      <c r="K1121" s="14" t="str">
        <f>IFERROR((VLOOKUP($A1121,'[1]import success seats course'!$A:Y,HLOOKUP('[1]Course Totals'!K$4,'[1]import success seats course'!$1:$2,2,FALSE),FALSE)/(VLOOKUP($A1121,'[1]import graded seats course pivo'!$A:AI,HLOOKUP('[1]Course Totals'!K$4,'[1]import graded seats course pivo'!$1:$2,2,FALSE),FALSE))),"")</f>
        <v/>
      </c>
      <c r="L1121" s="14">
        <f>IFERROR((VLOOKUP($A1121,'[1]import success seats course'!$A:Z,HLOOKUP('[1]Course Totals'!L$4,'[1]import success seats course'!$1:$2,2,FALSE),FALSE)/(VLOOKUP($A1121,'[1]import graded seats course pivo'!$A:AJ,HLOOKUP('[1]Course Totals'!L$4,'[1]import graded seats course pivo'!$1:$2,2,FALSE),FALSE))),"")</f>
        <v>0.5714285714285714</v>
      </c>
      <c r="M1121" s="14" t="str">
        <f>IFERROR((VLOOKUP($A1121,'[1]import success seats course'!$A:AA,HLOOKUP('[1]Course Totals'!M$4,'[1]import success seats course'!$1:$2,2,FALSE),FALSE)/(VLOOKUP($A1121,'[1]import graded seats course pivo'!$A:AK,HLOOKUP('[1]Course Totals'!M$4,'[1]import graded seats course pivo'!$1:$2,2,FALSE),FALSE))),"")</f>
        <v/>
      </c>
      <c r="N1121" s="14" t="str">
        <f>IFERROR((VLOOKUP($A1121,'[1]import success seats course'!$A:AB,HLOOKUP('[1]Course Totals'!N$4,'[1]import success seats course'!$1:$2,2,FALSE),FALSE)/(VLOOKUP($A1121,'[1]import graded seats course pivo'!$A:AL,HLOOKUP('[1]Course Totals'!N$4,'[1]import graded seats course pivo'!$1:$2,2,FALSE),FALSE))),"")</f>
        <v/>
      </c>
      <c r="O1121" s="14">
        <f>IFERROR((VLOOKUP($A1121,'[1]import success seats course'!$A:AC,HLOOKUP('[1]Course Totals'!O$4,'[1]import success seats course'!$1:$2,2,FALSE),FALSE)/(VLOOKUP($A1121,'[1]import graded seats course pivo'!$A:AM,HLOOKUP('[1]Course Totals'!O$4,'[1]import graded seats course pivo'!$1:$2,2,FALSE),FALSE))),"")</f>
        <v>0.94444444444444442</v>
      </c>
      <c r="P1121" s="14" t="str">
        <f>IFERROR((VLOOKUP($A1121,'[1]import success seats course'!$A:AD,HLOOKUP('[1]Course Totals'!P$4,'[1]import success seats course'!$1:$2,2,FALSE),FALSE)/(VLOOKUP($A1121,'[1]import graded seats course pivo'!$A:AN,HLOOKUP('[1]Course Totals'!P$4,'[1]import graded seats course pivo'!$1:$2,2,FALSE),FALSE))),"")</f>
        <v/>
      </c>
      <c r="Q1121" s="14" t="str">
        <f>IFERROR((VLOOKUP($A1121,'[1]import success seats course'!$A:AE,HLOOKUP('[1]Course Totals'!Q$4,'[1]import success seats course'!$1:$2,2,FALSE),FALSE)/(VLOOKUP($A1121,'[1]import graded seats course pivo'!$A:AO,HLOOKUP('[1]Course Totals'!Q$4,'[1]import graded seats course pivo'!$1:$2,2,FALSE),FALSE))),"")</f>
        <v/>
      </c>
      <c r="R1121" s="14">
        <f>IFERROR((VLOOKUP($A1121,'[1]import success seats course'!$A:AF,HLOOKUP('[1]Course Totals'!R$4,'[1]import success seats course'!$1:$2,2,FALSE),FALSE)/(VLOOKUP($A1121,'[1]import graded seats course pivo'!$A:AP,HLOOKUP('[1]Course Totals'!R$4,'[1]import graded seats course pivo'!$1:$2,2,FALSE),FALSE))),"")</f>
        <v>0.92307692307692313</v>
      </c>
      <c r="S1121" s="14">
        <f>IFERROR((VLOOKUP($A1121,'[1]import success seats course'!$A:AG,HLOOKUP('[1]Course Totals'!S$4,'[1]import success seats course'!$1:$2,2,FALSE),FALSE)/(VLOOKUP($A1121,'[1]import graded seats course pivo'!$A:AQ,HLOOKUP('[1]Course Totals'!S$4,'[1]import graded seats course pivo'!$1:$2,2,FALSE),FALSE))),"")</f>
        <v>0.66666666666666663</v>
      </c>
      <c r="Z1121" s="7"/>
      <c r="AA1121" s="7"/>
      <c r="AB1121" s="7"/>
      <c r="AC1121" s="7"/>
    </row>
    <row r="1122" spans="1:29" ht="15.75" customHeight="1" x14ac:dyDescent="0.25">
      <c r="A1122" s="12" t="s">
        <v>760</v>
      </c>
      <c r="B1122" s="14" t="str">
        <f>IFERROR((VLOOKUP($A1122,'[1]import success seats course'!$A:P,HLOOKUP('[1]Course Totals'!B$4,'[1]import success seats course'!$1:$2,2,FALSE),FALSE)/(VLOOKUP($A1122,'[1]import graded seats course pivo'!$A:Z,HLOOKUP('[1]Course Totals'!B$4,'[1]import graded seats course pivo'!$1:$2,2,FALSE),FALSE))),"")</f>
        <v/>
      </c>
      <c r="C1122" s="14" t="str">
        <f>IFERROR((VLOOKUP($A1122,'[1]import success seats course'!$A:Q,HLOOKUP('[1]Course Totals'!C$4,'[1]import success seats course'!$1:$2,2,FALSE),FALSE)/(VLOOKUP($A1122,'[1]import graded seats course pivo'!$A:AA,HLOOKUP('[1]Course Totals'!C$4,'[1]import graded seats course pivo'!$1:$2,2,FALSE),FALSE))),"")</f>
        <v/>
      </c>
      <c r="D1122" s="14" t="str">
        <f>IFERROR((VLOOKUP($A1122,'[1]import success seats course'!$A:R,HLOOKUP('[1]Course Totals'!D$4,'[1]import success seats course'!$1:$2,2,FALSE),FALSE)/(VLOOKUP($A1122,'[1]import graded seats course pivo'!$A:AB,HLOOKUP('[1]Course Totals'!D$4,'[1]import graded seats course pivo'!$1:$2,2,FALSE),FALSE))),"")</f>
        <v/>
      </c>
      <c r="E1122" s="14" t="str">
        <f>IFERROR((VLOOKUP($A1122,'[1]import success seats course'!$A:S,HLOOKUP('[1]Course Totals'!E$4,'[1]import success seats course'!$1:$2,2,FALSE),FALSE)/(VLOOKUP($A1122,'[1]import graded seats course pivo'!$A:AC,HLOOKUP('[1]Course Totals'!E$4,'[1]import graded seats course pivo'!$1:$2,2,FALSE),FALSE))),"")</f>
        <v/>
      </c>
      <c r="F1122" s="14" t="str">
        <f>IFERROR((VLOOKUP($A1122,'[1]import success seats course'!$A:T,HLOOKUP('[1]Course Totals'!F$4,'[1]import success seats course'!$1:$2,2,FALSE),FALSE)/(VLOOKUP($A1122,'[1]import graded seats course pivo'!$A:AD,HLOOKUP('[1]Course Totals'!F$4,'[1]import graded seats course pivo'!$1:$2,2,FALSE),FALSE))),"")</f>
        <v/>
      </c>
      <c r="G1122" s="14" t="str">
        <f>IFERROR((VLOOKUP($A1122,'[1]import success seats course'!$A:U,HLOOKUP('[1]Course Totals'!G$4,'[1]import success seats course'!$1:$2,2,FALSE),FALSE)/(VLOOKUP($A1122,'[1]import graded seats course pivo'!$A:AE,HLOOKUP('[1]Course Totals'!G$4,'[1]import graded seats course pivo'!$1:$2,2,FALSE),FALSE))),"")</f>
        <v/>
      </c>
      <c r="H1122" s="14" t="str">
        <f>IFERROR((VLOOKUP($A1122,'[1]import success seats course'!$A:V,HLOOKUP('[1]Course Totals'!H$4,'[1]import success seats course'!$1:$2,2,FALSE),FALSE)/(VLOOKUP($A1122,'[1]import graded seats course pivo'!$A:AF,HLOOKUP('[1]Course Totals'!H$4,'[1]import graded seats course pivo'!$1:$2,2,FALSE),FALSE))),"")</f>
        <v/>
      </c>
      <c r="I1122" s="14">
        <f>IFERROR((VLOOKUP($A1122,'[1]import success seats course'!$A:W,HLOOKUP('[1]Course Totals'!I$4,'[1]import success seats course'!$1:$2,2,FALSE),FALSE)/(VLOOKUP($A1122,'[1]import graded seats course pivo'!$A:AG,HLOOKUP('[1]Course Totals'!I$4,'[1]import graded seats course pivo'!$1:$2,2,FALSE),FALSE))),"")</f>
        <v>0.89655172413793105</v>
      </c>
      <c r="J1122" s="14" t="str">
        <f>IFERROR((VLOOKUP($A1122,'[1]import success seats course'!$A:X,HLOOKUP('[1]Course Totals'!J$4,'[1]import success seats course'!$1:$2,2,FALSE),FALSE)/(VLOOKUP($A1122,'[1]import graded seats course pivo'!$A:AH,HLOOKUP('[1]Course Totals'!J$4,'[1]import graded seats course pivo'!$1:$2,2,FALSE),FALSE))),"")</f>
        <v/>
      </c>
      <c r="K1122" s="14" t="str">
        <f>IFERROR((VLOOKUP($A1122,'[1]import success seats course'!$A:Y,HLOOKUP('[1]Course Totals'!K$4,'[1]import success seats course'!$1:$2,2,FALSE),FALSE)/(VLOOKUP($A1122,'[1]import graded seats course pivo'!$A:AI,HLOOKUP('[1]Course Totals'!K$4,'[1]import graded seats course pivo'!$1:$2,2,FALSE),FALSE))),"")</f>
        <v/>
      </c>
      <c r="L1122" s="14" t="str">
        <f>IFERROR((VLOOKUP($A1122,'[1]import success seats course'!$A:Z,HLOOKUP('[1]Course Totals'!L$4,'[1]import success seats course'!$1:$2,2,FALSE),FALSE)/(VLOOKUP($A1122,'[1]import graded seats course pivo'!$A:AJ,HLOOKUP('[1]Course Totals'!L$4,'[1]import graded seats course pivo'!$1:$2,2,FALSE),FALSE))),"")</f>
        <v/>
      </c>
      <c r="M1122" s="14">
        <f>IFERROR((VLOOKUP($A1122,'[1]import success seats course'!$A:AA,HLOOKUP('[1]Course Totals'!M$4,'[1]import success seats course'!$1:$2,2,FALSE),FALSE)/(VLOOKUP($A1122,'[1]import graded seats course pivo'!$A:AK,HLOOKUP('[1]Course Totals'!M$4,'[1]import graded seats course pivo'!$1:$2,2,FALSE),FALSE))),"")</f>
        <v>0.79487179487179482</v>
      </c>
      <c r="N1122" s="14" t="str">
        <f>IFERROR((VLOOKUP($A1122,'[1]import success seats course'!$A:AB,HLOOKUP('[1]Course Totals'!N$4,'[1]import success seats course'!$1:$2,2,FALSE),FALSE)/(VLOOKUP($A1122,'[1]import graded seats course pivo'!$A:AL,HLOOKUP('[1]Course Totals'!N$4,'[1]import graded seats course pivo'!$1:$2,2,FALSE),FALSE))),"")</f>
        <v/>
      </c>
      <c r="O1122" s="14" t="str">
        <f>IFERROR((VLOOKUP($A1122,'[1]import success seats course'!$A:AC,HLOOKUP('[1]Course Totals'!O$4,'[1]import success seats course'!$1:$2,2,FALSE),FALSE)/(VLOOKUP($A1122,'[1]import graded seats course pivo'!$A:AM,HLOOKUP('[1]Course Totals'!O$4,'[1]import graded seats course pivo'!$1:$2,2,FALSE),FALSE))),"")</f>
        <v/>
      </c>
      <c r="P1122" s="14" t="str">
        <f>IFERROR((VLOOKUP($A1122,'[1]import success seats course'!$A:AD,HLOOKUP('[1]Course Totals'!P$4,'[1]import success seats course'!$1:$2,2,FALSE),FALSE)/(VLOOKUP($A1122,'[1]import graded seats course pivo'!$A:AN,HLOOKUP('[1]Course Totals'!P$4,'[1]import graded seats course pivo'!$1:$2,2,FALSE),FALSE))),"")</f>
        <v/>
      </c>
      <c r="Q1122" s="14" t="str">
        <f>IFERROR((VLOOKUP($A1122,'[1]import success seats course'!$A:AE,HLOOKUP('[1]Course Totals'!Q$4,'[1]import success seats course'!$1:$2,2,FALSE),FALSE)/(VLOOKUP($A1122,'[1]import graded seats course pivo'!$A:AO,HLOOKUP('[1]Course Totals'!Q$4,'[1]import graded seats course pivo'!$1:$2,2,FALSE),FALSE))),"")</f>
        <v/>
      </c>
      <c r="R1122" s="14" t="str">
        <f>IFERROR((VLOOKUP($A1122,'[1]import success seats course'!$A:AF,HLOOKUP('[1]Course Totals'!R$4,'[1]import success seats course'!$1:$2,2,FALSE),FALSE)/(VLOOKUP($A1122,'[1]import graded seats course pivo'!$A:AP,HLOOKUP('[1]Course Totals'!R$4,'[1]import graded seats course pivo'!$1:$2,2,FALSE),FALSE))),"")</f>
        <v/>
      </c>
      <c r="S1122" s="14" t="str">
        <f>IFERROR((VLOOKUP($A1122,'[1]import success seats course'!$A:AG,HLOOKUP('[1]Course Totals'!S$4,'[1]import success seats course'!$1:$2,2,FALSE),FALSE)/(VLOOKUP($A1122,'[1]import graded seats course pivo'!$A:AQ,HLOOKUP('[1]Course Totals'!S$4,'[1]import graded seats course pivo'!$1:$2,2,FALSE),FALSE))),"")</f>
        <v/>
      </c>
      <c r="Z1122" s="7"/>
      <c r="AA1122" s="7"/>
      <c r="AB1122" s="7"/>
      <c r="AC1122" s="7"/>
    </row>
    <row r="1123" spans="1:29" ht="15.75" hidden="1" customHeight="1" x14ac:dyDescent="0.25">
      <c r="A1123" s="12" t="s">
        <v>820</v>
      </c>
      <c r="B1123" s="14" t="str">
        <f>IFERROR((VLOOKUP($A1123,'[1]import success seats course'!$A:P,HLOOKUP('[1]Course Totals'!B$4,'[1]import success seats course'!$1:$2,2,FALSE),FALSE)/(VLOOKUP($A1123,'[1]import graded seats course pivo'!$A:Z,HLOOKUP('[1]Course Totals'!B$4,'[1]import graded seats course pivo'!$1:$2,2,FALSE),FALSE))),"")</f>
        <v/>
      </c>
      <c r="C1123" s="14" t="str">
        <f>IFERROR((VLOOKUP($A1123,'[1]import success seats course'!$A:Q,HLOOKUP('[1]Course Totals'!C$4,'[1]import success seats course'!$1:$2,2,FALSE),FALSE)/(VLOOKUP($A1123,'[1]import graded seats course pivo'!$A:AA,HLOOKUP('[1]Course Totals'!C$4,'[1]import graded seats course pivo'!$1:$2,2,FALSE),FALSE))),"")</f>
        <v/>
      </c>
      <c r="D1123" s="14" t="str">
        <f>IFERROR((VLOOKUP($A1123,'[1]import success seats course'!$A:R,HLOOKUP('[1]Course Totals'!D$4,'[1]import success seats course'!$1:$2,2,FALSE),FALSE)/(VLOOKUP($A1123,'[1]import graded seats course pivo'!$A:AB,HLOOKUP('[1]Course Totals'!D$4,'[1]import graded seats course pivo'!$1:$2,2,FALSE),FALSE))),"")</f>
        <v/>
      </c>
      <c r="E1123" s="14" t="str">
        <f>IFERROR((VLOOKUP($A1123,'[1]import success seats course'!$A:S,HLOOKUP('[1]Course Totals'!E$4,'[1]import success seats course'!$1:$2,2,FALSE),FALSE)/(VLOOKUP($A1123,'[1]import graded seats course pivo'!$A:AC,HLOOKUP('[1]Course Totals'!E$4,'[1]import graded seats course pivo'!$1:$2,2,FALSE),FALSE))),"")</f>
        <v/>
      </c>
      <c r="F1123" s="14" t="str">
        <f>IFERROR((VLOOKUP($A1123,'[1]import success seats course'!$A:T,HLOOKUP('[1]Course Totals'!F$4,'[1]import success seats course'!$1:$2,2,FALSE),FALSE)/(VLOOKUP($A1123,'[1]import graded seats course pivo'!$A:AD,HLOOKUP('[1]Course Totals'!F$4,'[1]import graded seats course pivo'!$1:$2,2,FALSE),FALSE))),"")</f>
        <v/>
      </c>
      <c r="G1123" s="14" t="str">
        <f>IFERROR((VLOOKUP($A1123,'[1]import success seats course'!$A:U,HLOOKUP('[1]Course Totals'!G$4,'[1]import success seats course'!$1:$2,2,FALSE),FALSE)/(VLOOKUP($A1123,'[1]import graded seats course pivo'!$A:AE,HLOOKUP('[1]Course Totals'!G$4,'[1]import graded seats course pivo'!$1:$2,2,FALSE),FALSE))),"")</f>
        <v/>
      </c>
      <c r="H1123" s="14" t="str">
        <f>IFERROR((VLOOKUP($A1123,'[1]import success seats course'!$A:V,HLOOKUP('[1]Course Totals'!H$4,'[1]import success seats course'!$1:$2,2,FALSE),FALSE)/(VLOOKUP($A1123,'[1]import graded seats course pivo'!$A:AF,HLOOKUP('[1]Course Totals'!H$4,'[1]import graded seats course pivo'!$1:$2,2,FALSE),FALSE))),"")</f>
        <v/>
      </c>
      <c r="I1123" s="14" t="str">
        <f>IFERROR((VLOOKUP($A1123,'[1]import success seats course'!$A:W,HLOOKUP('[1]Course Totals'!I$4,'[1]import success seats course'!$1:$2,2,FALSE),FALSE)/(VLOOKUP($A1123,'[1]import graded seats course pivo'!$A:AG,HLOOKUP('[1]Course Totals'!I$4,'[1]import graded seats course pivo'!$1:$2,2,FALSE),FALSE))),"")</f>
        <v/>
      </c>
      <c r="J1123" s="14" t="str">
        <f>IFERROR((VLOOKUP($A1123,'[1]import success seats course'!$A:X,HLOOKUP('[1]Course Totals'!J$4,'[1]import success seats course'!$1:$2,2,FALSE),FALSE)/(VLOOKUP($A1123,'[1]import graded seats course pivo'!$A:AH,HLOOKUP('[1]Course Totals'!J$4,'[1]import graded seats course pivo'!$1:$2,2,FALSE),FALSE))),"")</f>
        <v/>
      </c>
      <c r="K1123" s="14" t="str">
        <f>IFERROR((VLOOKUP($A1123,'[1]import success seats course'!$A:Y,HLOOKUP('[1]Course Totals'!K$4,'[1]import success seats course'!$1:$2,2,FALSE),FALSE)/(VLOOKUP($A1123,'[1]import graded seats course pivo'!$A:AI,HLOOKUP('[1]Course Totals'!K$4,'[1]import graded seats course pivo'!$1:$2,2,FALSE),FALSE))),"")</f>
        <v/>
      </c>
      <c r="L1123" s="14" t="str">
        <f>IFERROR((VLOOKUP($A1123,'[1]import success seats course'!$A:Z,HLOOKUP('[1]Course Totals'!L$4,'[1]import success seats course'!$1:$2,2,FALSE),FALSE)/(VLOOKUP($A1123,'[1]import graded seats course pivo'!$A:AJ,HLOOKUP('[1]Course Totals'!L$4,'[1]import graded seats course pivo'!$1:$2,2,FALSE),FALSE))),"")</f>
        <v/>
      </c>
      <c r="M1123" s="14" t="str">
        <f>IFERROR((VLOOKUP($A1123,'[1]import success seats course'!$A:AA,HLOOKUP('[1]Course Totals'!M$4,'[1]import success seats course'!$1:$2,2,FALSE),FALSE)/(VLOOKUP($A1123,'[1]import graded seats course pivo'!$A:AK,HLOOKUP('[1]Course Totals'!M$4,'[1]import graded seats course pivo'!$1:$2,2,FALSE),FALSE))),"")</f>
        <v/>
      </c>
      <c r="N1123" s="14" t="str">
        <f>IFERROR((VLOOKUP($A1123,'[1]import success seats course'!$A:AB,HLOOKUP('[1]Course Totals'!N$4,'[1]import success seats course'!$1:$2,2,FALSE),FALSE)/(VLOOKUP($A1123,'[1]import graded seats course pivo'!$A:AL,HLOOKUP('[1]Course Totals'!N$4,'[1]import graded seats course pivo'!$1:$2,2,FALSE),FALSE))),"")</f>
        <v/>
      </c>
      <c r="O1123" s="14" t="str">
        <f>IFERROR((VLOOKUP($A1123,'[1]import success seats course'!$A:AC,HLOOKUP('[1]Course Totals'!O$4,'[1]import success seats course'!$1:$2,2,FALSE),FALSE)/(VLOOKUP($A1123,'[1]import graded seats course pivo'!$A:AM,HLOOKUP('[1]Course Totals'!O$4,'[1]import graded seats course pivo'!$1:$2,2,FALSE),FALSE))),"")</f>
        <v/>
      </c>
      <c r="P1123" s="14" t="str">
        <f>IFERROR((VLOOKUP($A1123,'[1]import success seats course'!$A:AD,HLOOKUP('[1]Course Totals'!P$4,'[1]import success seats course'!$1:$2,2,FALSE),FALSE)/(VLOOKUP($A1123,'[1]import graded seats course pivo'!$A:AN,HLOOKUP('[1]Course Totals'!P$4,'[1]import graded seats course pivo'!$1:$2,2,FALSE),FALSE))),"")</f>
        <v/>
      </c>
      <c r="Q1123" s="14" t="str">
        <f>IFERROR((VLOOKUP($A1123,'[1]import success seats course'!$A:AE,HLOOKUP('[1]Course Totals'!Q$4,'[1]import success seats course'!$1:$2,2,FALSE),FALSE)/(VLOOKUP($A1123,'[1]import graded seats course pivo'!$A:AO,HLOOKUP('[1]Course Totals'!Q$4,'[1]import graded seats course pivo'!$1:$2,2,FALSE),FALSE))),"")</f>
        <v/>
      </c>
      <c r="R1123" s="14" t="str">
        <f>IFERROR((VLOOKUP($A1123,'[1]import success seats course'!$A:AF,HLOOKUP('[1]Course Totals'!R$4,'[1]import success seats course'!$1:$2,2,FALSE),FALSE)/(VLOOKUP($A1123,'[1]import graded seats course pivo'!$A:AP,HLOOKUP('[1]Course Totals'!R$4,'[1]import graded seats course pivo'!$1:$2,2,FALSE),FALSE))),"")</f>
        <v/>
      </c>
      <c r="S1123" s="14" t="str">
        <f>IFERROR((VLOOKUP($A1123,'[1]import success seats course'!$A:AG,HLOOKUP('[1]Course Totals'!S$4,'[1]import success seats course'!$1:$2,2,FALSE),FALSE)/(VLOOKUP($A1123,'[1]import graded seats course pivo'!$A:AQ,HLOOKUP('[1]Course Totals'!S$4,'[1]import graded seats course pivo'!$1:$2,2,FALSE),FALSE))),"")</f>
        <v/>
      </c>
      <c r="Z1123" s="7"/>
      <c r="AA1123" s="7"/>
      <c r="AB1123" s="7"/>
      <c r="AC1123" s="7"/>
    </row>
    <row r="1124" spans="1:29" ht="15.75" customHeight="1" x14ac:dyDescent="0.25">
      <c r="A1124" s="12" t="s">
        <v>1000</v>
      </c>
      <c r="B1124" s="14" t="str">
        <f>IFERROR((VLOOKUP($A1124,'[1]import success seats course'!$A:P,HLOOKUP('[1]Course Totals'!B$4,'[1]import success seats course'!$1:$2,2,FALSE),FALSE)/(VLOOKUP($A1124,'[1]import graded seats course pivo'!$A:Z,HLOOKUP('[1]Course Totals'!B$4,'[1]import graded seats course pivo'!$1:$2,2,FALSE),FALSE))),"")</f>
        <v/>
      </c>
      <c r="C1124" s="14" t="str">
        <f>IFERROR((VLOOKUP($A1124,'[1]import success seats course'!$A:Q,HLOOKUP('[1]Course Totals'!C$4,'[1]import success seats course'!$1:$2,2,FALSE),FALSE)/(VLOOKUP($A1124,'[1]import graded seats course pivo'!$A:AA,HLOOKUP('[1]Course Totals'!C$4,'[1]import graded seats course pivo'!$1:$2,2,FALSE),FALSE))),"")</f>
        <v/>
      </c>
      <c r="D1124" s="14" t="str">
        <f>IFERROR((VLOOKUP($A1124,'[1]import success seats course'!$A:R,HLOOKUP('[1]Course Totals'!D$4,'[1]import success seats course'!$1:$2,2,FALSE),FALSE)/(VLOOKUP($A1124,'[1]import graded seats course pivo'!$A:AB,HLOOKUP('[1]Course Totals'!D$4,'[1]import graded seats course pivo'!$1:$2,2,FALSE),FALSE))),"")</f>
        <v/>
      </c>
      <c r="E1124" s="14" t="str">
        <f>IFERROR((VLOOKUP($A1124,'[1]import success seats course'!$A:S,HLOOKUP('[1]Course Totals'!E$4,'[1]import success seats course'!$1:$2,2,FALSE),FALSE)/(VLOOKUP($A1124,'[1]import graded seats course pivo'!$A:AC,HLOOKUP('[1]Course Totals'!E$4,'[1]import graded seats course pivo'!$1:$2,2,FALSE),FALSE))),"")</f>
        <v/>
      </c>
      <c r="F1124" s="14" t="str">
        <f>IFERROR((VLOOKUP($A1124,'[1]import success seats course'!$A:T,HLOOKUP('[1]Course Totals'!F$4,'[1]import success seats course'!$1:$2,2,FALSE),FALSE)/(VLOOKUP($A1124,'[1]import graded seats course pivo'!$A:AD,HLOOKUP('[1]Course Totals'!F$4,'[1]import graded seats course pivo'!$1:$2,2,FALSE),FALSE))),"")</f>
        <v/>
      </c>
      <c r="G1124" s="14">
        <f>IFERROR((VLOOKUP($A1124,'[1]import success seats course'!$A:U,HLOOKUP('[1]Course Totals'!G$4,'[1]import success seats course'!$1:$2,2,FALSE),FALSE)/(VLOOKUP($A1124,'[1]import graded seats course pivo'!$A:AE,HLOOKUP('[1]Course Totals'!G$4,'[1]import graded seats course pivo'!$1:$2,2,FALSE),FALSE))),"")</f>
        <v>1</v>
      </c>
      <c r="H1124" s="14" t="str">
        <f>IFERROR((VLOOKUP($A1124,'[1]import success seats course'!$A:V,HLOOKUP('[1]Course Totals'!H$4,'[1]import success seats course'!$1:$2,2,FALSE),FALSE)/(VLOOKUP($A1124,'[1]import graded seats course pivo'!$A:AF,HLOOKUP('[1]Course Totals'!H$4,'[1]import graded seats course pivo'!$1:$2,2,FALSE),FALSE))),"")</f>
        <v/>
      </c>
      <c r="I1124" s="14" t="str">
        <f>IFERROR((VLOOKUP($A1124,'[1]import success seats course'!$A:W,HLOOKUP('[1]Course Totals'!I$4,'[1]import success seats course'!$1:$2,2,FALSE),FALSE)/(VLOOKUP($A1124,'[1]import graded seats course pivo'!$A:AG,HLOOKUP('[1]Course Totals'!I$4,'[1]import graded seats course pivo'!$1:$2,2,FALSE),FALSE))),"")</f>
        <v/>
      </c>
      <c r="J1124" s="14" t="str">
        <f>IFERROR((VLOOKUP($A1124,'[1]import success seats course'!$A:X,HLOOKUP('[1]Course Totals'!J$4,'[1]import success seats course'!$1:$2,2,FALSE),FALSE)/(VLOOKUP($A1124,'[1]import graded seats course pivo'!$A:AH,HLOOKUP('[1]Course Totals'!J$4,'[1]import graded seats course pivo'!$1:$2,2,FALSE),FALSE))),"")</f>
        <v/>
      </c>
      <c r="K1124" s="14" t="str">
        <f>IFERROR((VLOOKUP($A1124,'[1]import success seats course'!$A:Y,HLOOKUP('[1]Course Totals'!K$4,'[1]import success seats course'!$1:$2,2,FALSE),FALSE)/(VLOOKUP($A1124,'[1]import graded seats course pivo'!$A:AI,HLOOKUP('[1]Course Totals'!K$4,'[1]import graded seats course pivo'!$1:$2,2,FALSE),FALSE))),"")</f>
        <v/>
      </c>
      <c r="L1124" s="14" t="str">
        <f>IFERROR((VLOOKUP($A1124,'[1]import success seats course'!$A:Z,HLOOKUP('[1]Course Totals'!L$4,'[1]import success seats course'!$1:$2,2,FALSE),FALSE)/(VLOOKUP($A1124,'[1]import graded seats course pivo'!$A:AJ,HLOOKUP('[1]Course Totals'!L$4,'[1]import graded seats course pivo'!$1:$2,2,FALSE),FALSE))),"")</f>
        <v/>
      </c>
      <c r="M1124" s="14">
        <f>IFERROR((VLOOKUP($A1124,'[1]import success seats course'!$A:AA,HLOOKUP('[1]Course Totals'!M$4,'[1]import success seats course'!$1:$2,2,FALSE),FALSE)/(VLOOKUP($A1124,'[1]import graded seats course pivo'!$A:AK,HLOOKUP('[1]Course Totals'!M$4,'[1]import graded seats course pivo'!$1:$2,2,FALSE),FALSE))),"")</f>
        <v>0.90909090909090906</v>
      </c>
      <c r="N1124" s="14" t="str">
        <f>IFERROR((VLOOKUP($A1124,'[1]import success seats course'!$A:AB,HLOOKUP('[1]Course Totals'!N$4,'[1]import success seats course'!$1:$2,2,FALSE),FALSE)/(VLOOKUP($A1124,'[1]import graded seats course pivo'!$A:AL,HLOOKUP('[1]Course Totals'!N$4,'[1]import graded seats course pivo'!$1:$2,2,FALSE),FALSE))),"")</f>
        <v/>
      </c>
      <c r="O1124" s="14" t="str">
        <f>IFERROR((VLOOKUP($A1124,'[1]import success seats course'!$A:AC,HLOOKUP('[1]Course Totals'!O$4,'[1]import success seats course'!$1:$2,2,FALSE),FALSE)/(VLOOKUP($A1124,'[1]import graded seats course pivo'!$A:AM,HLOOKUP('[1]Course Totals'!O$4,'[1]import graded seats course pivo'!$1:$2,2,FALSE),FALSE))),"")</f>
        <v/>
      </c>
      <c r="P1124" s="14" t="str">
        <f>IFERROR((VLOOKUP($A1124,'[1]import success seats course'!$A:AD,HLOOKUP('[1]Course Totals'!P$4,'[1]import success seats course'!$1:$2,2,FALSE),FALSE)/(VLOOKUP($A1124,'[1]import graded seats course pivo'!$A:AN,HLOOKUP('[1]Course Totals'!P$4,'[1]import graded seats course pivo'!$1:$2,2,FALSE),FALSE))),"")</f>
        <v/>
      </c>
      <c r="Q1124" s="14" t="str">
        <f>IFERROR((VLOOKUP($A1124,'[1]import success seats course'!$A:AE,HLOOKUP('[1]Course Totals'!Q$4,'[1]import success seats course'!$1:$2,2,FALSE),FALSE)/(VLOOKUP($A1124,'[1]import graded seats course pivo'!$A:AO,HLOOKUP('[1]Course Totals'!Q$4,'[1]import graded seats course pivo'!$1:$2,2,FALSE),FALSE))),"")</f>
        <v/>
      </c>
      <c r="R1124" s="14" t="str">
        <f>IFERROR((VLOOKUP($A1124,'[1]import success seats course'!$A:AF,HLOOKUP('[1]Course Totals'!R$4,'[1]import success seats course'!$1:$2,2,FALSE),FALSE)/(VLOOKUP($A1124,'[1]import graded seats course pivo'!$A:AP,HLOOKUP('[1]Course Totals'!R$4,'[1]import graded seats course pivo'!$1:$2,2,FALSE),FALSE))),"")</f>
        <v/>
      </c>
      <c r="S1124" s="14" t="str">
        <f>IFERROR((VLOOKUP($A1124,'[1]import success seats course'!$A:AG,HLOOKUP('[1]Course Totals'!S$4,'[1]import success seats course'!$1:$2,2,FALSE),FALSE)/(VLOOKUP($A1124,'[1]import graded seats course pivo'!$A:AQ,HLOOKUP('[1]Course Totals'!S$4,'[1]import graded seats course pivo'!$1:$2,2,FALSE),FALSE))),"")</f>
        <v/>
      </c>
      <c r="Z1124" s="7"/>
      <c r="AA1124" s="7"/>
      <c r="AB1124" s="7"/>
      <c r="AC1124" s="7"/>
    </row>
    <row r="1125" spans="1:29" ht="15.75" customHeight="1" x14ac:dyDescent="0.25">
      <c r="A1125" s="12" t="s">
        <v>671</v>
      </c>
      <c r="B1125" s="14" t="str">
        <f>IFERROR((VLOOKUP($A1125,'[1]import success seats course'!$A:P,HLOOKUP('[1]Course Totals'!B$4,'[1]import success seats course'!$1:$2,2,FALSE),FALSE)/(VLOOKUP($A1125,'[1]import graded seats course pivo'!$A:Z,HLOOKUP('[1]Course Totals'!B$4,'[1]import graded seats course pivo'!$1:$2,2,FALSE),FALSE))),"")</f>
        <v/>
      </c>
      <c r="C1125" s="14" t="str">
        <f>IFERROR((VLOOKUP($A1125,'[1]import success seats course'!$A:Q,HLOOKUP('[1]Course Totals'!C$4,'[1]import success seats course'!$1:$2,2,FALSE),FALSE)/(VLOOKUP($A1125,'[1]import graded seats course pivo'!$A:AA,HLOOKUP('[1]Course Totals'!C$4,'[1]import graded seats course pivo'!$1:$2,2,FALSE),FALSE))),"")</f>
        <v/>
      </c>
      <c r="D1125" s="14">
        <f>IFERROR((VLOOKUP($A1125,'[1]import success seats course'!$A:R,HLOOKUP('[1]Course Totals'!D$4,'[1]import success seats course'!$1:$2,2,FALSE),FALSE)/(VLOOKUP($A1125,'[1]import graded seats course pivo'!$A:AB,HLOOKUP('[1]Course Totals'!D$4,'[1]import graded seats course pivo'!$1:$2,2,FALSE),FALSE))),"")</f>
        <v>1</v>
      </c>
      <c r="E1125" s="14" t="str">
        <f>IFERROR((VLOOKUP($A1125,'[1]import success seats course'!$A:S,HLOOKUP('[1]Course Totals'!E$4,'[1]import success seats course'!$1:$2,2,FALSE),FALSE)/(VLOOKUP($A1125,'[1]import graded seats course pivo'!$A:AC,HLOOKUP('[1]Course Totals'!E$4,'[1]import graded seats course pivo'!$1:$2,2,FALSE),FALSE))),"")</f>
        <v/>
      </c>
      <c r="F1125" s="14">
        <f>IFERROR((VLOOKUP($A1125,'[1]import success seats course'!$A:T,HLOOKUP('[1]Course Totals'!F$4,'[1]import success seats course'!$1:$2,2,FALSE),FALSE)/(VLOOKUP($A1125,'[1]import graded seats course pivo'!$A:AD,HLOOKUP('[1]Course Totals'!F$4,'[1]import graded seats course pivo'!$1:$2,2,FALSE),FALSE))),"")</f>
        <v>0.9375</v>
      </c>
      <c r="G1125" s="14" t="str">
        <f>IFERROR((VLOOKUP($A1125,'[1]import success seats course'!$A:U,HLOOKUP('[1]Course Totals'!G$4,'[1]import success seats course'!$1:$2,2,FALSE),FALSE)/(VLOOKUP($A1125,'[1]import graded seats course pivo'!$A:AE,HLOOKUP('[1]Course Totals'!G$4,'[1]import graded seats course pivo'!$1:$2,2,FALSE),FALSE))),"")</f>
        <v/>
      </c>
      <c r="H1125" s="14" t="str">
        <f>IFERROR((VLOOKUP($A1125,'[1]import success seats course'!$A:V,HLOOKUP('[1]Course Totals'!H$4,'[1]import success seats course'!$1:$2,2,FALSE),FALSE)/(VLOOKUP($A1125,'[1]import graded seats course pivo'!$A:AF,HLOOKUP('[1]Course Totals'!H$4,'[1]import graded seats course pivo'!$1:$2,2,FALSE),FALSE))),"")</f>
        <v/>
      </c>
      <c r="I1125" s="14">
        <f>IFERROR((VLOOKUP($A1125,'[1]import success seats course'!$A:W,HLOOKUP('[1]Course Totals'!I$4,'[1]import success seats course'!$1:$2,2,FALSE),FALSE)/(VLOOKUP($A1125,'[1]import graded seats course pivo'!$A:AG,HLOOKUP('[1]Course Totals'!I$4,'[1]import graded seats course pivo'!$1:$2,2,FALSE),FALSE))),"")</f>
        <v>0.9</v>
      </c>
      <c r="J1125" s="14">
        <f>IFERROR((VLOOKUP($A1125,'[1]import success seats course'!$A:X,HLOOKUP('[1]Course Totals'!J$4,'[1]import success seats course'!$1:$2,2,FALSE),FALSE)/(VLOOKUP($A1125,'[1]import graded seats course pivo'!$A:AH,HLOOKUP('[1]Course Totals'!J$4,'[1]import graded seats course pivo'!$1:$2,2,FALSE),FALSE))),"")</f>
        <v>0.83333333333333337</v>
      </c>
      <c r="K1125" s="14" t="str">
        <f>IFERROR((VLOOKUP($A1125,'[1]import success seats course'!$A:Y,HLOOKUP('[1]Course Totals'!K$4,'[1]import success seats course'!$1:$2,2,FALSE),FALSE)/(VLOOKUP($A1125,'[1]import graded seats course pivo'!$A:AI,HLOOKUP('[1]Course Totals'!K$4,'[1]import graded seats course pivo'!$1:$2,2,FALSE),FALSE))),"")</f>
        <v/>
      </c>
      <c r="L1125" s="14">
        <f>IFERROR((VLOOKUP($A1125,'[1]import success seats course'!$A:Z,HLOOKUP('[1]Course Totals'!L$4,'[1]import success seats course'!$1:$2,2,FALSE),FALSE)/(VLOOKUP($A1125,'[1]import graded seats course pivo'!$A:AJ,HLOOKUP('[1]Course Totals'!L$4,'[1]import graded seats course pivo'!$1:$2,2,FALSE),FALSE))),"")</f>
        <v>0.9375</v>
      </c>
      <c r="M1125" s="14" t="str">
        <f>IFERROR((VLOOKUP($A1125,'[1]import success seats course'!$A:AA,HLOOKUP('[1]Course Totals'!M$4,'[1]import success seats course'!$1:$2,2,FALSE),FALSE)/(VLOOKUP($A1125,'[1]import graded seats course pivo'!$A:AK,HLOOKUP('[1]Course Totals'!M$4,'[1]import graded seats course pivo'!$1:$2,2,FALSE),FALSE))),"")</f>
        <v/>
      </c>
      <c r="N1125" s="14" t="str">
        <f>IFERROR((VLOOKUP($A1125,'[1]import success seats course'!$A:AB,HLOOKUP('[1]Course Totals'!N$4,'[1]import success seats course'!$1:$2,2,FALSE),FALSE)/(VLOOKUP($A1125,'[1]import graded seats course pivo'!$A:AL,HLOOKUP('[1]Course Totals'!N$4,'[1]import graded seats course pivo'!$1:$2,2,FALSE),FALSE))),"")</f>
        <v/>
      </c>
      <c r="O1125" s="14">
        <f>IFERROR((VLOOKUP($A1125,'[1]import success seats course'!$A:AC,HLOOKUP('[1]Course Totals'!O$4,'[1]import success seats course'!$1:$2,2,FALSE),FALSE)/(VLOOKUP($A1125,'[1]import graded seats course pivo'!$A:AM,HLOOKUP('[1]Course Totals'!O$4,'[1]import graded seats course pivo'!$1:$2,2,FALSE),FALSE))),"")</f>
        <v>0.90909090909090906</v>
      </c>
      <c r="P1125" s="14">
        <f>IFERROR((VLOOKUP($A1125,'[1]import success seats course'!$A:AD,HLOOKUP('[1]Course Totals'!P$4,'[1]import success seats course'!$1:$2,2,FALSE),FALSE)/(VLOOKUP($A1125,'[1]import graded seats course pivo'!$A:AN,HLOOKUP('[1]Course Totals'!P$4,'[1]import graded seats course pivo'!$1:$2,2,FALSE),FALSE))),"")</f>
        <v>1</v>
      </c>
      <c r="Q1125" s="14" t="str">
        <f>IFERROR((VLOOKUP($A1125,'[1]import success seats course'!$A:AE,HLOOKUP('[1]Course Totals'!Q$4,'[1]import success seats course'!$1:$2,2,FALSE),FALSE)/(VLOOKUP($A1125,'[1]import graded seats course pivo'!$A:AO,HLOOKUP('[1]Course Totals'!Q$4,'[1]import graded seats course pivo'!$1:$2,2,FALSE),FALSE))),"")</f>
        <v/>
      </c>
      <c r="R1125" s="14">
        <f>IFERROR((VLOOKUP($A1125,'[1]import success seats course'!$A:AF,HLOOKUP('[1]Course Totals'!R$4,'[1]import success seats course'!$1:$2,2,FALSE),FALSE)/(VLOOKUP($A1125,'[1]import graded seats course pivo'!$A:AP,HLOOKUP('[1]Course Totals'!R$4,'[1]import graded seats course pivo'!$1:$2,2,FALSE),FALSE))),"")</f>
        <v>1</v>
      </c>
      <c r="S1125" s="14" t="str">
        <f>IFERROR((VLOOKUP($A1125,'[1]import success seats course'!$A:AG,HLOOKUP('[1]Course Totals'!S$4,'[1]import success seats course'!$1:$2,2,FALSE),FALSE)/(VLOOKUP($A1125,'[1]import graded seats course pivo'!$A:AQ,HLOOKUP('[1]Course Totals'!S$4,'[1]import graded seats course pivo'!$1:$2,2,FALSE),FALSE))),"")</f>
        <v/>
      </c>
      <c r="Z1125" s="7"/>
      <c r="AA1125" s="7"/>
      <c r="AB1125" s="7"/>
      <c r="AC1125" s="7"/>
    </row>
    <row r="1126" spans="1:29" ht="15.75" hidden="1" customHeight="1" x14ac:dyDescent="0.25">
      <c r="A1126" s="12" t="s">
        <v>1059</v>
      </c>
      <c r="B1126" s="14" t="str">
        <f>IFERROR((VLOOKUP($A1126,'[1]import success seats course'!$A:P,HLOOKUP('[1]Course Totals'!B$4,'[1]import success seats course'!$1:$2,2,FALSE),FALSE)/(VLOOKUP($A1126,'[1]import graded seats course pivo'!$A:Z,HLOOKUP('[1]Course Totals'!B$4,'[1]import graded seats course pivo'!$1:$2,2,FALSE),FALSE))),"")</f>
        <v/>
      </c>
      <c r="C1126" s="14" t="str">
        <f>IFERROR((VLOOKUP($A1126,'[1]import success seats course'!$A:Q,HLOOKUP('[1]Course Totals'!C$4,'[1]import success seats course'!$1:$2,2,FALSE),FALSE)/(VLOOKUP($A1126,'[1]import graded seats course pivo'!$A:AA,HLOOKUP('[1]Course Totals'!C$4,'[1]import graded seats course pivo'!$1:$2,2,FALSE),FALSE))),"")</f>
        <v/>
      </c>
      <c r="D1126" s="14" t="str">
        <f>IFERROR((VLOOKUP($A1126,'[1]import success seats course'!$A:R,HLOOKUP('[1]Course Totals'!D$4,'[1]import success seats course'!$1:$2,2,FALSE),FALSE)/(VLOOKUP($A1126,'[1]import graded seats course pivo'!$A:AB,HLOOKUP('[1]Course Totals'!D$4,'[1]import graded seats course pivo'!$1:$2,2,FALSE),FALSE))),"")</f>
        <v/>
      </c>
      <c r="E1126" s="14" t="str">
        <f>IFERROR((VLOOKUP($A1126,'[1]import success seats course'!$A:S,HLOOKUP('[1]Course Totals'!E$4,'[1]import success seats course'!$1:$2,2,FALSE),FALSE)/(VLOOKUP($A1126,'[1]import graded seats course pivo'!$A:AC,HLOOKUP('[1]Course Totals'!E$4,'[1]import graded seats course pivo'!$1:$2,2,FALSE),FALSE))),"")</f>
        <v/>
      </c>
      <c r="F1126" s="14" t="str">
        <f>IFERROR((VLOOKUP($A1126,'[1]import success seats course'!$A:T,HLOOKUP('[1]Course Totals'!F$4,'[1]import success seats course'!$1:$2,2,FALSE),FALSE)/(VLOOKUP($A1126,'[1]import graded seats course pivo'!$A:AD,HLOOKUP('[1]Course Totals'!F$4,'[1]import graded seats course pivo'!$1:$2,2,FALSE),FALSE))),"")</f>
        <v/>
      </c>
      <c r="G1126" s="14" t="str">
        <f>IFERROR((VLOOKUP($A1126,'[1]import success seats course'!$A:U,HLOOKUP('[1]Course Totals'!G$4,'[1]import success seats course'!$1:$2,2,FALSE),FALSE)/(VLOOKUP($A1126,'[1]import graded seats course pivo'!$A:AE,HLOOKUP('[1]Course Totals'!G$4,'[1]import graded seats course pivo'!$1:$2,2,FALSE),FALSE))),"")</f>
        <v/>
      </c>
      <c r="H1126" s="14" t="str">
        <f>IFERROR((VLOOKUP($A1126,'[1]import success seats course'!$A:V,HLOOKUP('[1]Course Totals'!H$4,'[1]import success seats course'!$1:$2,2,FALSE),FALSE)/(VLOOKUP($A1126,'[1]import graded seats course pivo'!$A:AF,HLOOKUP('[1]Course Totals'!H$4,'[1]import graded seats course pivo'!$1:$2,2,FALSE),FALSE))),"")</f>
        <v/>
      </c>
      <c r="I1126" s="14" t="str">
        <f>IFERROR((VLOOKUP($A1126,'[1]import success seats course'!$A:W,HLOOKUP('[1]Course Totals'!I$4,'[1]import success seats course'!$1:$2,2,FALSE),FALSE)/(VLOOKUP($A1126,'[1]import graded seats course pivo'!$A:AG,HLOOKUP('[1]Course Totals'!I$4,'[1]import graded seats course pivo'!$1:$2,2,FALSE),FALSE))),"")</f>
        <v/>
      </c>
      <c r="J1126" s="14" t="str">
        <f>IFERROR((VLOOKUP($A1126,'[1]import success seats course'!$A:X,HLOOKUP('[1]Course Totals'!J$4,'[1]import success seats course'!$1:$2,2,FALSE),FALSE)/(VLOOKUP($A1126,'[1]import graded seats course pivo'!$A:AH,HLOOKUP('[1]Course Totals'!J$4,'[1]import graded seats course pivo'!$1:$2,2,FALSE),FALSE))),"")</f>
        <v/>
      </c>
      <c r="K1126" s="14" t="str">
        <f>IFERROR((VLOOKUP($A1126,'[1]import success seats course'!$A:Y,HLOOKUP('[1]Course Totals'!K$4,'[1]import success seats course'!$1:$2,2,FALSE),FALSE)/(VLOOKUP($A1126,'[1]import graded seats course pivo'!$A:AI,HLOOKUP('[1]Course Totals'!K$4,'[1]import graded seats course pivo'!$1:$2,2,FALSE),FALSE))),"")</f>
        <v/>
      </c>
      <c r="L1126" s="14" t="str">
        <f>IFERROR((VLOOKUP($A1126,'[1]import success seats course'!$A:Z,HLOOKUP('[1]Course Totals'!L$4,'[1]import success seats course'!$1:$2,2,FALSE),FALSE)/(VLOOKUP($A1126,'[1]import graded seats course pivo'!$A:AJ,HLOOKUP('[1]Course Totals'!L$4,'[1]import graded seats course pivo'!$1:$2,2,FALSE),FALSE))),"")</f>
        <v/>
      </c>
      <c r="M1126" s="14" t="str">
        <f>IFERROR((VLOOKUP($A1126,'[1]import success seats course'!$A:AA,HLOOKUP('[1]Course Totals'!M$4,'[1]import success seats course'!$1:$2,2,FALSE),FALSE)/(VLOOKUP($A1126,'[1]import graded seats course pivo'!$A:AK,HLOOKUP('[1]Course Totals'!M$4,'[1]import graded seats course pivo'!$1:$2,2,FALSE),FALSE))),"")</f>
        <v/>
      </c>
      <c r="N1126" s="14" t="str">
        <f>IFERROR((VLOOKUP($A1126,'[1]import success seats course'!$A:AB,HLOOKUP('[1]Course Totals'!N$4,'[1]import success seats course'!$1:$2,2,FALSE),FALSE)/(VLOOKUP($A1126,'[1]import graded seats course pivo'!$A:AL,HLOOKUP('[1]Course Totals'!N$4,'[1]import graded seats course pivo'!$1:$2,2,FALSE),FALSE))),"")</f>
        <v/>
      </c>
      <c r="O1126" s="14" t="str">
        <f>IFERROR((VLOOKUP($A1126,'[1]import success seats course'!$A:AC,HLOOKUP('[1]Course Totals'!O$4,'[1]import success seats course'!$1:$2,2,FALSE),FALSE)/(VLOOKUP($A1126,'[1]import graded seats course pivo'!$A:AM,HLOOKUP('[1]Course Totals'!O$4,'[1]import graded seats course pivo'!$1:$2,2,FALSE),FALSE))),"")</f>
        <v/>
      </c>
      <c r="P1126" s="14" t="str">
        <f>IFERROR((VLOOKUP($A1126,'[1]import success seats course'!$A:AD,HLOOKUP('[1]Course Totals'!P$4,'[1]import success seats course'!$1:$2,2,FALSE),FALSE)/(VLOOKUP($A1126,'[1]import graded seats course pivo'!$A:AN,HLOOKUP('[1]Course Totals'!P$4,'[1]import graded seats course pivo'!$1:$2,2,FALSE),FALSE))),"")</f>
        <v/>
      </c>
      <c r="Q1126" s="14" t="str">
        <f>IFERROR((VLOOKUP($A1126,'[1]import success seats course'!$A:AE,HLOOKUP('[1]Course Totals'!Q$4,'[1]import success seats course'!$1:$2,2,FALSE),FALSE)/(VLOOKUP($A1126,'[1]import graded seats course pivo'!$A:AO,HLOOKUP('[1]Course Totals'!Q$4,'[1]import graded seats course pivo'!$1:$2,2,FALSE),FALSE))),"")</f>
        <v/>
      </c>
      <c r="R1126" s="14" t="str">
        <f>IFERROR((VLOOKUP($A1126,'[1]import success seats course'!$A:AF,HLOOKUP('[1]Course Totals'!R$4,'[1]import success seats course'!$1:$2,2,FALSE),FALSE)/(VLOOKUP($A1126,'[1]import graded seats course pivo'!$A:AP,HLOOKUP('[1]Course Totals'!R$4,'[1]import graded seats course pivo'!$1:$2,2,FALSE),FALSE))),"")</f>
        <v/>
      </c>
      <c r="S1126" s="14" t="str">
        <f>IFERROR((VLOOKUP($A1126,'[1]import success seats course'!$A:AG,HLOOKUP('[1]Course Totals'!S$4,'[1]import success seats course'!$1:$2,2,FALSE),FALSE)/(VLOOKUP($A1126,'[1]import graded seats course pivo'!$A:AQ,HLOOKUP('[1]Course Totals'!S$4,'[1]import graded seats course pivo'!$1:$2,2,FALSE),FALSE))),"")</f>
        <v/>
      </c>
      <c r="Z1126" s="7"/>
      <c r="AA1126" s="7"/>
      <c r="AB1126" s="7"/>
      <c r="AC1126" s="7"/>
    </row>
    <row r="1127" spans="1:29" ht="15.75" customHeight="1" x14ac:dyDescent="0.25">
      <c r="A1127" s="12" t="s">
        <v>538</v>
      </c>
      <c r="B1127" s="14" t="str">
        <f>IFERROR((VLOOKUP($A1127,'[1]import success seats course'!$A:P,HLOOKUP('[1]Course Totals'!B$4,'[1]import success seats course'!$1:$2,2,FALSE),FALSE)/(VLOOKUP($A1127,'[1]import graded seats course pivo'!$A:Z,HLOOKUP('[1]Course Totals'!B$4,'[1]import graded seats course pivo'!$1:$2,2,FALSE),FALSE))),"")</f>
        <v/>
      </c>
      <c r="C1127" s="14">
        <f>IFERROR((VLOOKUP($A1127,'[1]import success seats course'!$A:Q,HLOOKUP('[1]Course Totals'!C$4,'[1]import success seats course'!$1:$2,2,FALSE),FALSE)/(VLOOKUP($A1127,'[1]import graded seats course pivo'!$A:AA,HLOOKUP('[1]Course Totals'!C$4,'[1]import graded seats course pivo'!$1:$2,2,FALSE),FALSE))),"")</f>
        <v>1</v>
      </c>
      <c r="D1127" s="14" t="str">
        <f>IFERROR((VLOOKUP($A1127,'[1]import success seats course'!$A:R,HLOOKUP('[1]Course Totals'!D$4,'[1]import success seats course'!$1:$2,2,FALSE),FALSE)/(VLOOKUP($A1127,'[1]import graded seats course pivo'!$A:AB,HLOOKUP('[1]Course Totals'!D$4,'[1]import graded seats course pivo'!$1:$2,2,FALSE),FALSE))),"")</f>
        <v/>
      </c>
      <c r="E1127" s="14" t="str">
        <f>IFERROR((VLOOKUP($A1127,'[1]import success seats course'!$A:S,HLOOKUP('[1]Course Totals'!E$4,'[1]import success seats course'!$1:$2,2,FALSE),FALSE)/(VLOOKUP($A1127,'[1]import graded seats course pivo'!$A:AC,HLOOKUP('[1]Course Totals'!E$4,'[1]import graded seats course pivo'!$1:$2,2,FALSE),FALSE))),"")</f>
        <v/>
      </c>
      <c r="F1127" s="14" t="str">
        <f>IFERROR((VLOOKUP($A1127,'[1]import success seats course'!$A:T,HLOOKUP('[1]Course Totals'!F$4,'[1]import success seats course'!$1:$2,2,FALSE),FALSE)/(VLOOKUP($A1127,'[1]import graded seats course pivo'!$A:AD,HLOOKUP('[1]Course Totals'!F$4,'[1]import graded seats course pivo'!$1:$2,2,FALSE),FALSE))),"")</f>
        <v/>
      </c>
      <c r="G1127" s="14" t="str">
        <f>IFERROR((VLOOKUP($A1127,'[1]import success seats course'!$A:U,HLOOKUP('[1]Course Totals'!G$4,'[1]import success seats course'!$1:$2,2,FALSE),FALSE)/(VLOOKUP($A1127,'[1]import graded seats course pivo'!$A:AE,HLOOKUP('[1]Course Totals'!G$4,'[1]import graded seats course pivo'!$1:$2,2,FALSE),FALSE))),"")</f>
        <v/>
      </c>
      <c r="H1127" s="14" t="str">
        <f>IFERROR((VLOOKUP($A1127,'[1]import success seats course'!$A:V,HLOOKUP('[1]Course Totals'!H$4,'[1]import success seats course'!$1:$2,2,FALSE),FALSE)/(VLOOKUP($A1127,'[1]import graded seats course pivo'!$A:AF,HLOOKUP('[1]Course Totals'!H$4,'[1]import graded seats course pivo'!$1:$2,2,FALSE),FALSE))),"")</f>
        <v/>
      </c>
      <c r="I1127" s="14" t="str">
        <f>IFERROR((VLOOKUP($A1127,'[1]import success seats course'!$A:W,HLOOKUP('[1]Course Totals'!I$4,'[1]import success seats course'!$1:$2,2,FALSE),FALSE)/(VLOOKUP($A1127,'[1]import graded seats course pivo'!$A:AG,HLOOKUP('[1]Course Totals'!I$4,'[1]import graded seats course pivo'!$1:$2,2,FALSE),FALSE))),"")</f>
        <v/>
      </c>
      <c r="J1127" s="14" t="str">
        <f>IFERROR((VLOOKUP($A1127,'[1]import success seats course'!$A:X,HLOOKUP('[1]Course Totals'!J$4,'[1]import success seats course'!$1:$2,2,FALSE),FALSE)/(VLOOKUP($A1127,'[1]import graded seats course pivo'!$A:AH,HLOOKUP('[1]Course Totals'!J$4,'[1]import graded seats course pivo'!$1:$2,2,FALSE),FALSE))),"")</f>
        <v/>
      </c>
      <c r="K1127" s="14" t="str">
        <f>IFERROR((VLOOKUP($A1127,'[1]import success seats course'!$A:Y,HLOOKUP('[1]Course Totals'!K$4,'[1]import success seats course'!$1:$2,2,FALSE),FALSE)/(VLOOKUP($A1127,'[1]import graded seats course pivo'!$A:AI,HLOOKUP('[1]Course Totals'!K$4,'[1]import graded seats course pivo'!$1:$2,2,FALSE),FALSE))),"")</f>
        <v/>
      </c>
      <c r="L1127" s="14" t="str">
        <f>IFERROR((VLOOKUP($A1127,'[1]import success seats course'!$A:Z,HLOOKUP('[1]Course Totals'!L$4,'[1]import success seats course'!$1:$2,2,FALSE),FALSE)/(VLOOKUP($A1127,'[1]import graded seats course pivo'!$A:AJ,HLOOKUP('[1]Course Totals'!L$4,'[1]import graded seats course pivo'!$1:$2,2,FALSE),FALSE))),"")</f>
        <v/>
      </c>
      <c r="M1127" s="14" t="str">
        <f>IFERROR((VLOOKUP($A1127,'[1]import success seats course'!$A:AA,HLOOKUP('[1]Course Totals'!M$4,'[1]import success seats course'!$1:$2,2,FALSE),FALSE)/(VLOOKUP($A1127,'[1]import graded seats course pivo'!$A:AK,HLOOKUP('[1]Course Totals'!M$4,'[1]import graded seats course pivo'!$1:$2,2,FALSE),FALSE))),"")</f>
        <v/>
      </c>
      <c r="N1127" s="14" t="str">
        <f>IFERROR((VLOOKUP($A1127,'[1]import success seats course'!$A:AB,HLOOKUP('[1]Course Totals'!N$4,'[1]import success seats course'!$1:$2,2,FALSE),FALSE)/(VLOOKUP($A1127,'[1]import graded seats course pivo'!$A:AL,HLOOKUP('[1]Course Totals'!N$4,'[1]import graded seats course pivo'!$1:$2,2,FALSE),FALSE))),"")</f>
        <v/>
      </c>
      <c r="O1127" s="14" t="str">
        <f>IFERROR((VLOOKUP($A1127,'[1]import success seats course'!$A:AC,HLOOKUP('[1]Course Totals'!O$4,'[1]import success seats course'!$1:$2,2,FALSE),FALSE)/(VLOOKUP($A1127,'[1]import graded seats course pivo'!$A:AM,HLOOKUP('[1]Course Totals'!O$4,'[1]import graded seats course pivo'!$1:$2,2,FALSE),FALSE))),"")</f>
        <v/>
      </c>
      <c r="P1127" s="14" t="str">
        <f>IFERROR((VLOOKUP($A1127,'[1]import success seats course'!$A:AD,HLOOKUP('[1]Course Totals'!P$4,'[1]import success seats course'!$1:$2,2,FALSE),FALSE)/(VLOOKUP($A1127,'[1]import graded seats course pivo'!$A:AN,HLOOKUP('[1]Course Totals'!P$4,'[1]import graded seats course pivo'!$1:$2,2,FALSE),FALSE))),"")</f>
        <v/>
      </c>
      <c r="Q1127" s="14" t="str">
        <f>IFERROR((VLOOKUP($A1127,'[1]import success seats course'!$A:AE,HLOOKUP('[1]Course Totals'!Q$4,'[1]import success seats course'!$1:$2,2,FALSE),FALSE)/(VLOOKUP($A1127,'[1]import graded seats course pivo'!$A:AO,HLOOKUP('[1]Course Totals'!Q$4,'[1]import graded seats course pivo'!$1:$2,2,FALSE),FALSE))),"")</f>
        <v/>
      </c>
      <c r="R1127" s="14" t="str">
        <f>IFERROR((VLOOKUP($A1127,'[1]import success seats course'!$A:AF,HLOOKUP('[1]Course Totals'!R$4,'[1]import success seats course'!$1:$2,2,FALSE),FALSE)/(VLOOKUP($A1127,'[1]import graded seats course pivo'!$A:AP,HLOOKUP('[1]Course Totals'!R$4,'[1]import graded seats course pivo'!$1:$2,2,FALSE),FALSE))),"")</f>
        <v/>
      </c>
      <c r="S1127" s="14" t="str">
        <f>IFERROR((VLOOKUP($A1127,'[1]import success seats course'!$A:AG,HLOOKUP('[1]Course Totals'!S$4,'[1]import success seats course'!$1:$2,2,FALSE),FALSE)/(VLOOKUP($A1127,'[1]import graded seats course pivo'!$A:AQ,HLOOKUP('[1]Course Totals'!S$4,'[1]import graded seats course pivo'!$1:$2,2,FALSE),FALSE))),"")</f>
        <v/>
      </c>
      <c r="Z1127" s="7"/>
      <c r="AA1127" s="7"/>
      <c r="AB1127" s="7"/>
      <c r="AC1127" s="7"/>
    </row>
    <row r="1128" spans="1:29" ht="15.75" customHeight="1" x14ac:dyDescent="0.25">
      <c r="A1128" s="12" t="s">
        <v>1001</v>
      </c>
      <c r="B1128" s="14" t="str">
        <f>IFERROR((VLOOKUP($A1128,'[1]import success seats course'!$A:P,HLOOKUP('[1]Course Totals'!B$4,'[1]import success seats course'!$1:$2,2,FALSE),FALSE)/(VLOOKUP($A1128,'[1]import graded seats course pivo'!$A:Z,HLOOKUP('[1]Course Totals'!B$4,'[1]import graded seats course pivo'!$1:$2,2,FALSE),FALSE))),"")</f>
        <v/>
      </c>
      <c r="C1128" s="14" t="str">
        <f>IFERROR((VLOOKUP($A1128,'[1]import success seats course'!$A:Q,HLOOKUP('[1]Course Totals'!C$4,'[1]import success seats course'!$1:$2,2,FALSE),FALSE)/(VLOOKUP($A1128,'[1]import graded seats course pivo'!$A:AA,HLOOKUP('[1]Course Totals'!C$4,'[1]import graded seats course pivo'!$1:$2,2,FALSE),FALSE))),"")</f>
        <v/>
      </c>
      <c r="D1128" s="14" t="str">
        <f>IFERROR((VLOOKUP($A1128,'[1]import success seats course'!$A:R,HLOOKUP('[1]Course Totals'!D$4,'[1]import success seats course'!$1:$2,2,FALSE),FALSE)/(VLOOKUP($A1128,'[1]import graded seats course pivo'!$A:AB,HLOOKUP('[1]Course Totals'!D$4,'[1]import graded seats course pivo'!$1:$2,2,FALSE),FALSE))),"")</f>
        <v/>
      </c>
      <c r="E1128" s="14" t="str">
        <f>IFERROR((VLOOKUP($A1128,'[1]import success seats course'!$A:S,HLOOKUP('[1]Course Totals'!E$4,'[1]import success seats course'!$1:$2,2,FALSE),FALSE)/(VLOOKUP($A1128,'[1]import graded seats course pivo'!$A:AC,HLOOKUP('[1]Course Totals'!E$4,'[1]import graded seats course pivo'!$1:$2,2,FALSE),FALSE))),"")</f>
        <v/>
      </c>
      <c r="F1128" s="14" t="str">
        <f>IFERROR((VLOOKUP($A1128,'[1]import success seats course'!$A:T,HLOOKUP('[1]Course Totals'!F$4,'[1]import success seats course'!$1:$2,2,FALSE),FALSE)/(VLOOKUP($A1128,'[1]import graded seats course pivo'!$A:AD,HLOOKUP('[1]Course Totals'!F$4,'[1]import graded seats course pivo'!$1:$2,2,FALSE),FALSE))),"")</f>
        <v/>
      </c>
      <c r="G1128" s="14">
        <f>IFERROR((VLOOKUP($A1128,'[1]import success seats course'!$A:U,HLOOKUP('[1]Course Totals'!G$4,'[1]import success seats course'!$1:$2,2,FALSE),FALSE)/(VLOOKUP($A1128,'[1]import graded seats course pivo'!$A:AE,HLOOKUP('[1]Course Totals'!G$4,'[1]import graded seats course pivo'!$1:$2,2,FALSE),FALSE))),"")</f>
        <v>1</v>
      </c>
      <c r="H1128" s="14" t="str">
        <f>IFERROR((VLOOKUP($A1128,'[1]import success seats course'!$A:V,HLOOKUP('[1]Course Totals'!H$4,'[1]import success seats course'!$1:$2,2,FALSE),FALSE)/(VLOOKUP($A1128,'[1]import graded seats course pivo'!$A:AF,HLOOKUP('[1]Course Totals'!H$4,'[1]import graded seats course pivo'!$1:$2,2,FALSE),FALSE))),"")</f>
        <v/>
      </c>
      <c r="I1128" s="14" t="str">
        <f>IFERROR((VLOOKUP($A1128,'[1]import success seats course'!$A:W,HLOOKUP('[1]Course Totals'!I$4,'[1]import success seats course'!$1:$2,2,FALSE),FALSE)/(VLOOKUP($A1128,'[1]import graded seats course pivo'!$A:AG,HLOOKUP('[1]Course Totals'!I$4,'[1]import graded seats course pivo'!$1:$2,2,FALSE),FALSE))),"")</f>
        <v/>
      </c>
      <c r="J1128" s="14" t="str">
        <f>IFERROR((VLOOKUP($A1128,'[1]import success seats course'!$A:X,HLOOKUP('[1]Course Totals'!J$4,'[1]import success seats course'!$1:$2,2,FALSE),FALSE)/(VLOOKUP($A1128,'[1]import graded seats course pivo'!$A:AH,HLOOKUP('[1]Course Totals'!J$4,'[1]import graded seats course pivo'!$1:$2,2,FALSE),FALSE))),"")</f>
        <v/>
      </c>
      <c r="K1128" s="14" t="str">
        <f>IFERROR((VLOOKUP($A1128,'[1]import success seats course'!$A:Y,HLOOKUP('[1]Course Totals'!K$4,'[1]import success seats course'!$1:$2,2,FALSE),FALSE)/(VLOOKUP($A1128,'[1]import graded seats course pivo'!$A:AI,HLOOKUP('[1]Course Totals'!K$4,'[1]import graded seats course pivo'!$1:$2,2,FALSE),FALSE))),"")</f>
        <v/>
      </c>
      <c r="L1128" s="14" t="str">
        <f>IFERROR((VLOOKUP($A1128,'[1]import success seats course'!$A:Z,HLOOKUP('[1]Course Totals'!L$4,'[1]import success seats course'!$1:$2,2,FALSE),FALSE)/(VLOOKUP($A1128,'[1]import graded seats course pivo'!$A:AJ,HLOOKUP('[1]Course Totals'!L$4,'[1]import graded seats course pivo'!$1:$2,2,FALSE),FALSE))),"")</f>
        <v/>
      </c>
      <c r="M1128" s="14">
        <f>IFERROR((VLOOKUP($A1128,'[1]import success seats course'!$A:AA,HLOOKUP('[1]Course Totals'!M$4,'[1]import success seats course'!$1:$2,2,FALSE),FALSE)/(VLOOKUP($A1128,'[1]import graded seats course pivo'!$A:AK,HLOOKUP('[1]Course Totals'!M$4,'[1]import graded seats course pivo'!$1:$2,2,FALSE),FALSE))),"")</f>
        <v>1</v>
      </c>
      <c r="N1128" s="14" t="str">
        <f>IFERROR((VLOOKUP($A1128,'[1]import success seats course'!$A:AB,HLOOKUP('[1]Course Totals'!N$4,'[1]import success seats course'!$1:$2,2,FALSE),FALSE)/(VLOOKUP($A1128,'[1]import graded seats course pivo'!$A:AL,HLOOKUP('[1]Course Totals'!N$4,'[1]import graded seats course pivo'!$1:$2,2,FALSE),FALSE))),"")</f>
        <v/>
      </c>
      <c r="O1128" s="14" t="str">
        <f>IFERROR((VLOOKUP($A1128,'[1]import success seats course'!$A:AC,HLOOKUP('[1]Course Totals'!O$4,'[1]import success seats course'!$1:$2,2,FALSE),FALSE)/(VLOOKUP($A1128,'[1]import graded seats course pivo'!$A:AM,HLOOKUP('[1]Course Totals'!O$4,'[1]import graded seats course pivo'!$1:$2,2,FALSE),FALSE))),"")</f>
        <v/>
      </c>
      <c r="P1128" s="14" t="str">
        <f>IFERROR((VLOOKUP($A1128,'[1]import success seats course'!$A:AD,HLOOKUP('[1]Course Totals'!P$4,'[1]import success seats course'!$1:$2,2,FALSE),FALSE)/(VLOOKUP($A1128,'[1]import graded seats course pivo'!$A:AN,HLOOKUP('[1]Course Totals'!P$4,'[1]import graded seats course pivo'!$1:$2,2,FALSE),FALSE))),"")</f>
        <v/>
      </c>
      <c r="Q1128" s="14" t="str">
        <f>IFERROR((VLOOKUP($A1128,'[1]import success seats course'!$A:AE,HLOOKUP('[1]Course Totals'!Q$4,'[1]import success seats course'!$1:$2,2,FALSE),FALSE)/(VLOOKUP($A1128,'[1]import graded seats course pivo'!$A:AO,HLOOKUP('[1]Course Totals'!Q$4,'[1]import graded seats course pivo'!$1:$2,2,FALSE),FALSE))),"")</f>
        <v/>
      </c>
      <c r="R1128" s="14" t="str">
        <f>IFERROR((VLOOKUP($A1128,'[1]import success seats course'!$A:AF,HLOOKUP('[1]Course Totals'!R$4,'[1]import success seats course'!$1:$2,2,FALSE),FALSE)/(VLOOKUP($A1128,'[1]import graded seats course pivo'!$A:AP,HLOOKUP('[1]Course Totals'!R$4,'[1]import graded seats course pivo'!$1:$2,2,FALSE),FALSE))),"")</f>
        <v/>
      </c>
      <c r="S1128" s="14" t="str">
        <f>IFERROR((VLOOKUP($A1128,'[1]import success seats course'!$A:AG,HLOOKUP('[1]Course Totals'!S$4,'[1]import success seats course'!$1:$2,2,FALSE),FALSE)/(VLOOKUP($A1128,'[1]import graded seats course pivo'!$A:AQ,HLOOKUP('[1]Course Totals'!S$4,'[1]import graded seats course pivo'!$1:$2,2,FALSE),FALSE))),"")</f>
        <v/>
      </c>
      <c r="Z1128" s="7"/>
      <c r="AA1128" s="7"/>
      <c r="AB1128" s="7"/>
      <c r="AC1128" s="7"/>
    </row>
    <row r="1129" spans="1:29" ht="15.75" customHeight="1" x14ac:dyDescent="0.25">
      <c r="A1129" s="12" t="s">
        <v>539</v>
      </c>
      <c r="B1129" s="14" t="str">
        <f>IFERROR((VLOOKUP($A1129,'[1]import success seats course'!$A:P,HLOOKUP('[1]Course Totals'!B$4,'[1]import success seats course'!$1:$2,2,FALSE),FALSE)/(VLOOKUP($A1129,'[1]import graded seats course pivo'!$A:Z,HLOOKUP('[1]Course Totals'!B$4,'[1]import graded seats course pivo'!$1:$2,2,FALSE),FALSE))),"")</f>
        <v/>
      </c>
      <c r="C1129" s="14">
        <f>IFERROR((VLOOKUP($A1129,'[1]import success seats course'!$A:Q,HLOOKUP('[1]Course Totals'!C$4,'[1]import success seats course'!$1:$2,2,FALSE),FALSE)/(VLOOKUP($A1129,'[1]import graded seats course pivo'!$A:AA,HLOOKUP('[1]Course Totals'!C$4,'[1]import graded seats course pivo'!$1:$2,2,FALSE),FALSE))),"")</f>
        <v>1</v>
      </c>
      <c r="D1129" s="14" t="str">
        <f>IFERROR((VLOOKUP($A1129,'[1]import success seats course'!$A:R,HLOOKUP('[1]Course Totals'!D$4,'[1]import success seats course'!$1:$2,2,FALSE),FALSE)/(VLOOKUP($A1129,'[1]import graded seats course pivo'!$A:AB,HLOOKUP('[1]Course Totals'!D$4,'[1]import graded seats course pivo'!$1:$2,2,FALSE),FALSE))),"")</f>
        <v/>
      </c>
      <c r="E1129" s="14" t="str">
        <f>IFERROR((VLOOKUP($A1129,'[1]import success seats course'!$A:S,HLOOKUP('[1]Course Totals'!E$4,'[1]import success seats course'!$1:$2,2,FALSE),FALSE)/(VLOOKUP($A1129,'[1]import graded seats course pivo'!$A:AC,HLOOKUP('[1]Course Totals'!E$4,'[1]import graded seats course pivo'!$1:$2,2,FALSE),FALSE))),"")</f>
        <v/>
      </c>
      <c r="F1129" s="14" t="str">
        <f>IFERROR((VLOOKUP($A1129,'[1]import success seats course'!$A:T,HLOOKUP('[1]Course Totals'!F$4,'[1]import success seats course'!$1:$2,2,FALSE),FALSE)/(VLOOKUP($A1129,'[1]import graded seats course pivo'!$A:AD,HLOOKUP('[1]Course Totals'!F$4,'[1]import graded seats course pivo'!$1:$2,2,FALSE),FALSE))),"")</f>
        <v/>
      </c>
      <c r="G1129" s="14">
        <f>IFERROR((VLOOKUP($A1129,'[1]import success seats course'!$A:U,HLOOKUP('[1]Course Totals'!G$4,'[1]import success seats course'!$1:$2,2,FALSE),FALSE)/(VLOOKUP($A1129,'[1]import graded seats course pivo'!$A:AE,HLOOKUP('[1]Course Totals'!G$4,'[1]import graded seats course pivo'!$1:$2,2,FALSE),FALSE))),"")</f>
        <v>1</v>
      </c>
      <c r="H1129" s="14" t="str">
        <f>IFERROR((VLOOKUP($A1129,'[1]import success seats course'!$A:V,HLOOKUP('[1]Course Totals'!H$4,'[1]import success seats course'!$1:$2,2,FALSE),FALSE)/(VLOOKUP($A1129,'[1]import graded seats course pivo'!$A:AF,HLOOKUP('[1]Course Totals'!H$4,'[1]import graded seats course pivo'!$1:$2,2,FALSE),FALSE))),"")</f>
        <v/>
      </c>
      <c r="I1129" s="14">
        <f>IFERROR((VLOOKUP($A1129,'[1]import success seats course'!$A:W,HLOOKUP('[1]Course Totals'!I$4,'[1]import success seats course'!$1:$2,2,FALSE),FALSE)/(VLOOKUP($A1129,'[1]import graded seats course pivo'!$A:AG,HLOOKUP('[1]Course Totals'!I$4,'[1]import graded seats course pivo'!$1:$2,2,FALSE),FALSE))),"")</f>
        <v>1</v>
      </c>
      <c r="J1129" s="14">
        <f>IFERROR((VLOOKUP($A1129,'[1]import success seats course'!$A:X,HLOOKUP('[1]Course Totals'!J$4,'[1]import success seats course'!$1:$2,2,FALSE),FALSE)/(VLOOKUP($A1129,'[1]import graded seats course pivo'!$A:AH,HLOOKUP('[1]Course Totals'!J$4,'[1]import graded seats course pivo'!$1:$2,2,FALSE),FALSE))),"")</f>
        <v>1</v>
      </c>
      <c r="K1129" s="14" t="str">
        <f>IFERROR((VLOOKUP($A1129,'[1]import success seats course'!$A:Y,HLOOKUP('[1]Course Totals'!K$4,'[1]import success seats course'!$1:$2,2,FALSE),FALSE)/(VLOOKUP($A1129,'[1]import graded seats course pivo'!$A:AI,HLOOKUP('[1]Course Totals'!K$4,'[1]import graded seats course pivo'!$1:$2,2,FALSE),FALSE))),"")</f>
        <v/>
      </c>
      <c r="L1129" s="14">
        <f>IFERROR((VLOOKUP($A1129,'[1]import success seats course'!$A:Z,HLOOKUP('[1]Course Totals'!L$4,'[1]import success seats course'!$1:$2,2,FALSE),FALSE)/(VLOOKUP($A1129,'[1]import graded seats course pivo'!$A:AJ,HLOOKUP('[1]Course Totals'!L$4,'[1]import graded seats course pivo'!$1:$2,2,FALSE),FALSE))),"")</f>
        <v>1</v>
      </c>
      <c r="M1129" s="14" t="str">
        <f>IFERROR((VLOOKUP($A1129,'[1]import success seats course'!$A:AA,HLOOKUP('[1]Course Totals'!M$4,'[1]import success seats course'!$1:$2,2,FALSE),FALSE)/(VLOOKUP($A1129,'[1]import graded seats course pivo'!$A:AK,HLOOKUP('[1]Course Totals'!M$4,'[1]import graded seats course pivo'!$1:$2,2,FALSE),FALSE))),"")</f>
        <v/>
      </c>
      <c r="N1129" s="14" t="str">
        <f>IFERROR((VLOOKUP($A1129,'[1]import success seats course'!$A:AB,HLOOKUP('[1]Course Totals'!N$4,'[1]import success seats course'!$1:$2,2,FALSE),FALSE)/(VLOOKUP($A1129,'[1]import graded seats course pivo'!$A:AL,HLOOKUP('[1]Course Totals'!N$4,'[1]import graded seats course pivo'!$1:$2,2,FALSE),FALSE))),"")</f>
        <v/>
      </c>
      <c r="O1129" s="14" t="str">
        <f>IFERROR((VLOOKUP($A1129,'[1]import success seats course'!$A:AC,HLOOKUP('[1]Course Totals'!O$4,'[1]import success seats course'!$1:$2,2,FALSE),FALSE)/(VLOOKUP($A1129,'[1]import graded seats course pivo'!$A:AM,HLOOKUP('[1]Course Totals'!O$4,'[1]import graded seats course pivo'!$1:$2,2,FALSE),FALSE))),"")</f>
        <v/>
      </c>
      <c r="P1129" s="14">
        <f>IFERROR((VLOOKUP($A1129,'[1]import success seats course'!$A:AD,HLOOKUP('[1]Course Totals'!P$4,'[1]import success seats course'!$1:$2,2,FALSE),FALSE)/(VLOOKUP($A1129,'[1]import graded seats course pivo'!$A:AN,HLOOKUP('[1]Course Totals'!P$4,'[1]import graded seats course pivo'!$1:$2,2,FALSE),FALSE))),"")</f>
        <v>1</v>
      </c>
      <c r="Q1129" s="14" t="str">
        <f>IFERROR((VLOOKUP($A1129,'[1]import success seats course'!$A:AE,HLOOKUP('[1]Course Totals'!Q$4,'[1]import success seats course'!$1:$2,2,FALSE),FALSE)/(VLOOKUP($A1129,'[1]import graded seats course pivo'!$A:AO,HLOOKUP('[1]Course Totals'!Q$4,'[1]import graded seats course pivo'!$1:$2,2,FALSE),FALSE))),"")</f>
        <v/>
      </c>
      <c r="R1129" s="14" t="str">
        <f>IFERROR((VLOOKUP($A1129,'[1]import success seats course'!$A:AF,HLOOKUP('[1]Course Totals'!R$4,'[1]import success seats course'!$1:$2,2,FALSE),FALSE)/(VLOOKUP($A1129,'[1]import graded seats course pivo'!$A:AP,HLOOKUP('[1]Course Totals'!R$4,'[1]import graded seats course pivo'!$1:$2,2,FALSE),FALSE))),"")</f>
        <v/>
      </c>
      <c r="S1129" s="14" t="str">
        <f>IFERROR((VLOOKUP($A1129,'[1]import success seats course'!$A:AG,HLOOKUP('[1]Course Totals'!S$4,'[1]import success seats course'!$1:$2,2,FALSE),FALSE)/(VLOOKUP($A1129,'[1]import graded seats course pivo'!$A:AQ,HLOOKUP('[1]Course Totals'!S$4,'[1]import graded seats course pivo'!$1:$2,2,FALSE),FALSE))),"")</f>
        <v/>
      </c>
      <c r="Z1129" s="7"/>
      <c r="AA1129" s="7"/>
      <c r="AB1129" s="7"/>
      <c r="AC1129" s="7"/>
    </row>
    <row r="1130" spans="1:29" ht="15.75" customHeight="1" thickBot="1" x14ac:dyDescent="0.3">
      <c r="A1130" s="8" t="str">
        <f>'[1]SUBJECTS BASE'!H68</f>
        <v>Viticulture and Enology</v>
      </c>
      <c r="B1130" s="38" t="s">
        <v>1046</v>
      </c>
      <c r="C1130" s="39" t="s">
        <v>0</v>
      </c>
      <c r="D1130" s="40" t="s">
        <v>868</v>
      </c>
      <c r="E1130" s="41" t="s">
        <v>1052</v>
      </c>
      <c r="F1130" s="42" t="s">
        <v>546</v>
      </c>
      <c r="G1130" s="43" t="s">
        <v>959</v>
      </c>
      <c r="H1130" s="44" t="s">
        <v>1060</v>
      </c>
      <c r="I1130" s="39" t="s">
        <v>675</v>
      </c>
      <c r="J1130" s="45" t="s">
        <v>1006</v>
      </c>
      <c r="K1130" s="46" t="s">
        <v>1062</v>
      </c>
      <c r="L1130" s="42" t="s">
        <v>762</v>
      </c>
      <c r="M1130" s="43" t="s">
        <v>1022</v>
      </c>
      <c r="N1130" s="44" t="s">
        <v>1063</v>
      </c>
      <c r="O1130" s="39" t="s">
        <v>822</v>
      </c>
      <c r="P1130" s="40" t="s">
        <v>1042</v>
      </c>
      <c r="Q1130" s="46" t="s">
        <v>1153</v>
      </c>
      <c r="R1130" s="42" t="s">
        <v>1154</v>
      </c>
      <c r="S1130" s="43" t="s">
        <v>1155</v>
      </c>
      <c r="Z1130" s="7"/>
      <c r="AA1130" s="7"/>
      <c r="AB1130" s="7"/>
      <c r="AC1130" s="7"/>
    </row>
    <row r="1131" spans="1:29" ht="15.75" customHeight="1" x14ac:dyDescent="0.25">
      <c r="A1131" s="12" t="s">
        <v>1002</v>
      </c>
      <c r="B1131" s="14" t="str">
        <f>IFERROR((VLOOKUP($A1131,'[1]import success seats course'!$A:P,HLOOKUP('[1]Course Totals'!B$4,'[1]import success seats course'!$1:$2,2,FALSE),FALSE)/(VLOOKUP($A1131,'[1]import graded seats course pivo'!$A:Z,HLOOKUP('[1]Course Totals'!B$4,'[1]import graded seats course pivo'!$1:$2,2,FALSE),FALSE))),"")</f>
        <v/>
      </c>
      <c r="C1131" s="14" t="str">
        <f>IFERROR((VLOOKUP($A1131,'[1]import success seats course'!$A:Q,HLOOKUP('[1]Course Totals'!C$4,'[1]import success seats course'!$1:$2,2,FALSE),FALSE)/(VLOOKUP($A1131,'[1]import graded seats course pivo'!$A:AA,HLOOKUP('[1]Course Totals'!C$4,'[1]import graded seats course pivo'!$1:$2,2,FALSE),FALSE))),"")</f>
        <v/>
      </c>
      <c r="D1131" s="14" t="str">
        <f>IFERROR((VLOOKUP($A1131,'[1]import success seats course'!$A:R,HLOOKUP('[1]Course Totals'!D$4,'[1]import success seats course'!$1:$2,2,FALSE),FALSE)/(VLOOKUP($A1131,'[1]import graded seats course pivo'!$A:AB,HLOOKUP('[1]Course Totals'!D$4,'[1]import graded seats course pivo'!$1:$2,2,FALSE),FALSE))),"")</f>
        <v/>
      </c>
      <c r="E1131" s="14" t="str">
        <f>IFERROR((VLOOKUP($A1131,'[1]import success seats course'!$A:S,HLOOKUP('[1]Course Totals'!E$4,'[1]import success seats course'!$1:$2,2,FALSE),FALSE)/(VLOOKUP($A1131,'[1]import graded seats course pivo'!$A:AC,HLOOKUP('[1]Course Totals'!E$4,'[1]import graded seats course pivo'!$1:$2,2,FALSE),FALSE))),"")</f>
        <v/>
      </c>
      <c r="F1131" s="14" t="str">
        <f>IFERROR((VLOOKUP($A1131,'[1]import success seats course'!$A:T,HLOOKUP('[1]Course Totals'!F$4,'[1]import success seats course'!$1:$2,2,FALSE),FALSE)/(VLOOKUP($A1131,'[1]import graded seats course pivo'!$A:AD,HLOOKUP('[1]Course Totals'!F$4,'[1]import graded seats course pivo'!$1:$2,2,FALSE),FALSE))),"")</f>
        <v/>
      </c>
      <c r="G1131" s="14" t="str">
        <f>IFERROR((VLOOKUP($A1131,'[1]import success seats course'!$A:U,HLOOKUP('[1]Course Totals'!G$4,'[1]import success seats course'!$1:$2,2,FALSE),FALSE)/(VLOOKUP($A1131,'[1]import graded seats course pivo'!$A:AE,HLOOKUP('[1]Course Totals'!G$4,'[1]import graded seats course pivo'!$1:$2,2,FALSE),FALSE))),"")</f>
        <v/>
      </c>
      <c r="H1131" s="14" t="str">
        <f>IFERROR((VLOOKUP($A1131,'[1]import success seats course'!$A:V,HLOOKUP('[1]Course Totals'!H$4,'[1]import success seats course'!$1:$2,2,FALSE),FALSE)/(VLOOKUP($A1131,'[1]import graded seats course pivo'!$A:AF,HLOOKUP('[1]Course Totals'!H$4,'[1]import graded seats course pivo'!$1:$2,2,FALSE),FALSE))),"")</f>
        <v/>
      </c>
      <c r="I1131" s="14" t="str">
        <f>IFERROR((VLOOKUP($A1131,'[1]import success seats course'!$A:W,HLOOKUP('[1]Course Totals'!I$4,'[1]import success seats course'!$1:$2,2,FALSE),FALSE)/(VLOOKUP($A1131,'[1]import graded seats course pivo'!$A:AG,HLOOKUP('[1]Course Totals'!I$4,'[1]import graded seats course pivo'!$1:$2,2,FALSE),FALSE))),"")</f>
        <v/>
      </c>
      <c r="J1131" s="14">
        <f>IFERROR((VLOOKUP($A1131,'[1]import success seats course'!$A:X,HLOOKUP('[1]Course Totals'!J$4,'[1]import success seats course'!$1:$2,2,FALSE),FALSE)/(VLOOKUP($A1131,'[1]import graded seats course pivo'!$A:AH,HLOOKUP('[1]Course Totals'!J$4,'[1]import graded seats course pivo'!$1:$2,2,FALSE),FALSE))),"")</f>
        <v>0.8571428571428571</v>
      </c>
      <c r="K1131" s="14" t="str">
        <f>IFERROR((VLOOKUP($A1131,'[1]import success seats course'!$A:Y,HLOOKUP('[1]Course Totals'!K$4,'[1]import success seats course'!$1:$2,2,FALSE),FALSE)/(VLOOKUP($A1131,'[1]import graded seats course pivo'!$A:AI,HLOOKUP('[1]Course Totals'!K$4,'[1]import graded seats course pivo'!$1:$2,2,FALSE),FALSE))),"")</f>
        <v/>
      </c>
      <c r="L1131" s="14" t="str">
        <f>IFERROR((VLOOKUP($A1131,'[1]import success seats course'!$A:Z,HLOOKUP('[1]Course Totals'!L$4,'[1]import success seats course'!$1:$2,2,FALSE),FALSE)/(VLOOKUP($A1131,'[1]import graded seats course pivo'!$A:AJ,HLOOKUP('[1]Course Totals'!L$4,'[1]import graded seats course pivo'!$1:$2,2,FALSE),FALSE))),"")</f>
        <v/>
      </c>
      <c r="M1131" s="14" t="str">
        <f>IFERROR((VLOOKUP($A1131,'[1]import success seats course'!$A:AA,HLOOKUP('[1]Course Totals'!M$4,'[1]import success seats course'!$1:$2,2,FALSE),FALSE)/(VLOOKUP($A1131,'[1]import graded seats course pivo'!$A:AK,HLOOKUP('[1]Course Totals'!M$4,'[1]import graded seats course pivo'!$1:$2,2,FALSE),FALSE))),"")</f>
        <v/>
      </c>
      <c r="N1131" s="14" t="str">
        <f>IFERROR((VLOOKUP($A1131,'[1]import success seats course'!$A:AB,HLOOKUP('[1]Course Totals'!N$4,'[1]import success seats course'!$1:$2,2,FALSE),FALSE)/(VLOOKUP($A1131,'[1]import graded seats course pivo'!$A:AL,HLOOKUP('[1]Course Totals'!N$4,'[1]import graded seats course pivo'!$1:$2,2,FALSE),FALSE))),"")</f>
        <v/>
      </c>
      <c r="O1131" s="14" t="str">
        <f>IFERROR((VLOOKUP($A1131,'[1]import success seats course'!$A:AC,HLOOKUP('[1]Course Totals'!O$4,'[1]import success seats course'!$1:$2,2,FALSE),FALSE)/(VLOOKUP($A1131,'[1]import graded seats course pivo'!$A:AM,HLOOKUP('[1]Course Totals'!O$4,'[1]import graded seats course pivo'!$1:$2,2,FALSE),FALSE))),"")</f>
        <v/>
      </c>
      <c r="P1131" s="14" t="str">
        <f>IFERROR((VLOOKUP($A1131,'[1]import success seats course'!$A:AD,HLOOKUP('[1]Course Totals'!P$4,'[1]import success seats course'!$1:$2,2,FALSE),FALSE)/(VLOOKUP($A1131,'[1]import graded seats course pivo'!$A:AN,HLOOKUP('[1]Course Totals'!P$4,'[1]import graded seats course pivo'!$1:$2,2,FALSE),FALSE))),"")</f>
        <v/>
      </c>
      <c r="Q1131" s="14" t="str">
        <f>IFERROR((VLOOKUP($A1131,'[1]import success seats course'!$A:AE,HLOOKUP('[1]Course Totals'!Q$4,'[1]import success seats course'!$1:$2,2,FALSE),FALSE)/(VLOOKUP($A1131,'[1]import graded seats course pivo'!$A:AO,HLOOKUP('[1]Course Totals'!Q$4,'[1]import graded seats course pivo'!$1:$2,2,FALSE),FALSE))),"")</f>
        <v/>
      </c>
      <c r="R1131" s="14" t="str">
        <f>IFERROR((VLOOKUP($A1131,'[1]import success seats course'!$A:AF,HLOOKUP('[1]Course Totals'!R$4,'[1]import success seats course'!$1:$2,2,FALSE),FALSE)/(VLOOKUP($A1131,'[1]import graded seats course pivo'!$A:AP,HLOOKUP('[1]Course Totals'!R$4,'[1]import graded seats course pivo'!$1:$2,2,FALSE),FALSE))),"")</f>
        <v/>
      </c>
      <c r="S1131" s="14" t="str">
        <f>IFERROR((VLOOKUP($A1131,'[1]import success seats course'!$A:AG,HLOOKUP('[1]Course Totals'!S$4,'[1]import success seats course'!$1:$2,2,FALSE),FALSE)/(VLOOKUP($A1131,'[1]import graded seats course pivo'!$A:AQ,HLOOKUP('[1]Course Totals'!S$4,'[1]import graded seats course pivo'!$1:$2,2,FALSE),FALSE))),"")</f>
        <v/>
      </c>
      <c r="Z1131" s="7"/>
      <c r="AA1131" s="7"/>
      <c r="AB1131" s="7"/>
      <c r="AC1131" s="7"/>
    </row>
    <row r="1132" spans="1:29" ht="15.75" customHeight="1" x14ac:dyDescent="0.25">
      <c r="A1132" s="12" t="s">
        <v>672</v>
      </c>
      <c r="B1132" s="14" t="str">
        <f>IFERROR((VLOOKUP($A1132,'[1]import success seats course'!$A:P,HLOOKUP('[1]Course Totals'!B$4,'[1]import success seats course'!$1:$2,2,FALSE),FALSE)/(VLOOKUP($A1132,'[1]import graded seats course pivo'!$A:Z,HLOOKUP('[1]Course Totals'!B$4,'[1]import graded seats course pivo'!$1:$2,2,FALSE),FALSE))),"")</f>
        <v/>
      </c>
      <c r="C1132" s="14" t="str">
        <f>IFERROR((VLOOKUP($A1132,'[1]import success seats course'!$A:Q,HLOOKUP('[1]Course Totals'!C$4,'[1]import success seats course'!$1:$2,2,FALSE),FALSE)/(VLOOKUP($A1132,'[1]import graded seats course pivo'!$A:AA,HLOOKUP('[1]Course Totals'!C$4,'[1]import graded seats course pivo'!$1:$2,2,FALSE),FALSE))),"")</f>
        <v/>
      </c>
      <c r="D1132" s="14" t="str">
        <f>IFERROR((VLOOKUP($A1132,'[1]import success seats course'!$A:R,HLOOKUP('[1]Course Totals'!D$4,'[1]import success seats course'!$1:$2,2,FALSE),FALSE)/(VLOOKUP($A1132,'[1]import graded seats course pivo'!$A:AB,HLOOKUP('[1]Course Totals'!D$4,'[1]import graded seats course pivo'!$1:$2,2,FALSE),FALSE))),"")</f>
        <v/>
      </c>
      <c r="E1132" s="14" t="str">
        <f>IFERROR((VLOOKUP($A1132,'[1]import success seats course'!$A:S,HLOOKUP('[1]Course Totals'!E$4,'[1]import success seats course'!$1:$2,2,FALSE),FALSE)/(VLOOKUP($A1132,'[1]import graded seats course pivo'!$A:AC,HLOOKUP('[1]Course Totals'!E$4,'[1]import graded seats course pivo'!$1:$2,2,FALSE),FALSE))),"")</f>
        <v/>
      </c>
      <c r="F1132" s="14" t="str">
        <f>IFERROR((VLOOKUP($A1132,'[1]import success seats course'!$A:T,HLOOKUP('[1]Course Totals'!F$4,'[1]import success seats course'!$1:$2,2,FALSE),FALSE)/(VLOOKUP($A1132,'[1]import graded seats course pivo'!$A:AD,HLOOKUP('[1]Course Totals'!F$4,'[1]import graded seats course pivo'!$1:$2,2,FALSE),FALSE))),"")</f>
        <v/>
      </c>
      <c r="G1132" s="14" t="str">
        <f>IFERROR((VLOOKUP($A1132,'[1]import success seats course'!$A:U,HLOOKUP('[1]Course Totals'!G$4,'[1]import success seats course'!$1:$2,2,FALSE),FALSE)/(VLOOKUP($A1132,'[1]import graded seats course pivo'!$A:AE,HLOOKUP('[1]Course Totals'!G$4,'[1]import graded seats course pivo'!$1:$2,2,FALSE),FALSE))),"")</f>
        <v/>
      </c>
      <c r="H1132" s="14" t="str">
        <f>IFERROR((VLOOKUP($A1132,'[1]import success seats course'!$A:V,HLOOKUP('[1]Course Totals'!H$4,'[1]import success seats course'!$1:$2,2,FALSE),FALSE)/(VLOOKUP($A1132,'[1]import graded seats course pivo'!$A:AF,HLOOKUP('[1]Course Totals'!H$4,'[1]import graded seats course pivo'!$1:$2,2,FALSE),FALSE))),"")</f>
        <v/>
      </c>
      <c r="I1132" s="14">
        <f>IFERROR((VLOOKUP($A1132,'[1]import success seats course'!$A:W,HLOOKUP('[1]Course Totals'!I$4,'[1]import success seats course'!$1:$2,2,FALSE),FALSE)/(VLOOKUP($A1132,'[1]import graded seats course pivo'!$A:AG,HLOOKUP('[1]Course Totals'!I$4,'[1]import graded seats course pivo'!$1:$2,2,FALSE),FALSE))),"")</f>
        <v>0.89473684210526316</v>
      </c>
      <c r="J1132" s="14" t="str">
        <f>IFERROR((VLOOKUP($A1132,'[1]import success seats course'!$A:X,HLOOKUP('[1]Course Totals'!J$4,'[1]import success seats course'!$1:$2,2,FALSE),FALSE)/(VLOOKUP($A1132,'[1]import graded seats course pivo'!$A:AH,HLOOKUP('[1]Course Totals'!J$4,'[1]import graded seats course pivo'!$1:$2,2,FALSE),FALSE))),"")</f>
        <v/>
      </c>
      <c r="K1132" s="14" t="str">
        <f>IFERROR((VLOOKUP($A1132,'[1]import success seats course'!$A:Y,HLOOKUP('[1]Course Totals'!K$4,'[1]import success seats course'!$1:$2,2,FALSE),FALSE)/(VLOOKUP($A1132,'[1]import graded seats course pivo'!$A:AI,HLOOKUP('[1]Course Totals'!K$4,'[1]import graded seats course pivo'!$1:$2,2,FALSE),FALSE))),"")</f>
        <v/>
      </c>
      <c r="L1132" s="14" t="str">
        <f>IFERROR((VLOOKUP($A1132,'[1]import success seats course'!$A:Z,HLOOKUP('[1]Course Totals'!L$4,'[1]import success seats course'!$1:$2,2,FALSE),FALSE)/(VLOOKUP($A1132,'[1]import graded seats course pivo'!$A:AJ,HLOOKUP('[1]Course Totals'!L$4,'[1]import graded seats course pivo'!$1:$2,2,FALSE),FALSE))),"")</f>
        <v/>
      </c>
      <c r="M1132" s="14" t="str">
        <f>IFERROR((VLOOKUP($A1132,'[1]import success seats course'!$A:AA,HLOOKUP('[1]Course Totals'!M$4,'[1]import success seats course'!$1:$2,2,FALSE),FALSE)/(VLOOKUP($A1132,'[1]import graded seats course pivo'!$A:AK,HLOOKUP('[1]Course Totals'!M$4,'[1]import graded seats course pivo'!$1:$2,2,FALSE),FALSE))),"")</f>
        <v/>
      </c>
      <c r="N1132" s="14" t="str">
        <f>IFERROR((VLOOKUP($A1132,'[1]import success seats course'!$A:AB,HLOOKUP('[1]Course Totals'!N$4,'[1]import success seats course'!$1:$2,2,FALSE),FALSE)/(VLOOKUP($A1132,'[1]import graded seats course pivo'!$A:AL,HLOOKUP('[1]Course Totals'!N$4,'[1]import graded seats course pivo'!$1:$2,2,FALSE),FALSE))),"")</f>
        <v/>
      </c>
      <c r="O1132" s="14" t="str">
        <f>IFERROR((VLOOKUP($A1132,'[1]import success seats course'!$A:AC,HLOOKUP('[1]Course Totals'!O$4,'[1]import success seats course'!$1:$2,2,FALSE),FALSE)/(VLOOKUP($A1132,'[1]import graded seats course pivo'!$A:AM,HLOOKUP('[1]Course Totals'!O$4,'[1]import graded seats course pivo'!$1:$2,2,FALSE),FALSE))),"")</f>
        <v/>
      </c>
      <c r="P1132" s="14" t="str">
        <f>IFERROR((VLOOKUP($A1132,'[1]import success seats course'!$A:AD,HLOOKUP('[1]Course Totals'!P$4,'[1]import success seats course'!$1:$2,2,FALSE),FALSE)/(VLOOKUP($A1132,'[1]import graded seats course pivo'!$A:AN,HLOOKUP('[1]Course Totals'!P$4,'[1]import graded seats course pivo'!$1:$2,2,FALSE),FALSE))),"")</f>
        <v/>
      </c>
      <c r="Q1132" s="14" t="str">
        <f>IFERROR((VLOOKUP($A1132,'[1]import success seats course'!$A:AE,HLOOKUP('[1]Course Totals'!Q$4,'[1]import success seats course'!$1:$2,2,FALSE),FALSE)/(VLOOKUP($A1132,'[1]import graded seats course pivo'!$A:AO,HLOOKUP('[1]Course Totals'!Q$4,'[1]import graded seats course pivo'!$1:$2,2,FALSE),FALSE))),"")</f>
        <v/>
      </c>
      <c r="R1132" s="14" t="str">
        <f>IFERROR((VLOOKUP($A1132,'[1]import success seats course'!$A:AF,HLOOKUP('[1]Course Totals'!R$4,'[1]import success seats course'!$1:$2,2,FALSE),FALSE)/(VLOOKUP($A1132,'[1]import graded seats course pivo'!$A:AP,HLOOKUP('[1]Course Totals'!R$4,'[1]import graded seats course pivo'!$1:$2,2,FALSE),FALSE))),"")</f>
        <v/>
      </c>
      <c r="S1132" s="14" t="str">
        <f>IFERROR((VLOOKUP($A1132,'[1]import success seats course'!$A:AG,HLOOKUP('[1]Course Totals'!S$4,'[1]import success seats course'!$1:$2,2,FALSE),FALSE)/(VLOOKUP($A1132,'[1]import graded seats course pivo'!$A:AQ,HLOOKUP('[1]Course Totals'!S$4,'[1]import graded seats course pivo'!$1:$2,2,FALSE),FALSE))),"")</f>
        <v/>
      </c>
      <c r="Z1132" s="7"/>
      <c r="AA1132" s="7"/>
      <c r="AB1132" s="7"/>
      <c r="AC1132" s="7"/>
    </row>
    <row r="1133" spans="1:29" ht="15.75" hidden="1" customHeight="1" x14ac:dyDescent="0.25">
      <c r="A1133" s="12" t="s">
        <v>821</v>
      </c>
      <c r="B1133" s="14" t="str">
        <f>IFERROR((VLOOKUP($A1133,'[1]import success seats course'!$A:P,HLOOKUP('[1]Course Totals'!B$4,'[1]import success seats course'!$1:$2,2,FALSE),FALSE)/(VLOOKUP($A1133,'[1]import graded seats course pivo'!$A:Z,HLOOKUP('[1]Course Totals'!B$4,'[1]import graded seats course pivo'!$1:$2,2,FALSE),FALSE))),"")</f>
        <v/>
      </c>
      <c r="C1133" s="14" t="str">
        <f>IFERROR((VLOOKUP($A1133,'[1]import success seats course'!$A:Q,HLOOKUP('[1]Course Totals'!C$4,'[1]import success seats course'!$1:$2,2,FALSE),FALSE)/(VLOOKUP($A1133,'[1]import graded seats course pivo'!$A:AA,HLOOKUP('[1]Course Totals'!C$4,'[1]import graded seats course pivo'!$1:$2,2,FALSE),FALSE))),"")</f>
        <v/>
      </c>
      <c r="D1133" s="14" t="str">
        <f>IFERROR((VLOOKUP($A1133,'[1]import success seats course'!$A:R,HLOOKUP('[1]Course Totals'!D$4,'[1]import success seats course'!$1:$2,2,FALSE),FALSE)/(VLOOKUP($A1133,'[1]import graded seats course pivo'!$A:AB,HLOOKUP('[1]Course Totals'!D$4,'[1]import graded seats course pivo'!$1:$2,2,FALSE),FALSE))),"")</f>
        <v/>
      </c>
      <c r="E1133" s="14" t="str">
        <f>IFERROR((VLOOKUP($A1133,'[1]import success seats course'!$A:S,HLOOKUP('[1]Course Totals'!E$4,'[1]import success seats course'!$1:$2,2,FALSE),FALSE)/(VLOOKUP($A1133,'[1]import graded seats course pivo'!$A:AC,HLOOKUP('[1]Course Totals'!E$4,'[1]import graded seats course pivo'!$1:$2,2,FALSE),FALSE))),"")</f>
        <v/>
      </c>
      <c r="F1133" s="14" t="str">
        <f>IFERROR((VLOOKUP($A1133,'[1]import success seats course'!$A:T,HLOOKUP('[1]Course Totals'!F$4,'[1]import success seats course'!$1:$2,2,FALSE),FALSE)/(VLOOKUP($A1133,'[1]import graded seats course pivo'!$A:AD,HLOOKUP('[1]Course Totals'!F$4,'[1]import graded seats course pivo'!$1:$2,2,FALSE),FALSE))),"")</f>
        <v/>
      </c>
      <c r="G1133" s="14" t="str">
        <f>IFERROR((VLOOKUP($A1133,'[1]import success seats course'!$A:U,HLOOKUP('[1]Course Totals'!G$4,'[1]import success seats course'!$1:$2,2,FALSE),FALSE)/(VLOOKUP($A1133,'[1]import graded seats course pivo'!$A:AE,HLOOKUP('[1]Course Totals'!G$4,'[1]import graded seats course pivo'!$1:$2,2,FALSE),FALSE))),"")</f>
        <v/>
      </c>
      <c r="H1133" s="14" t="str">
        <f>IFERROR((VLOOKUP($A1133,'[1]import success seats course'!$A:V,HLOOKUP('[1]Course Totals'!H$4,'[1]import success seats course'!$1:$2,2,FALSE),FALSE)/(VLOOKUP($A1133,'[1]import graded seats course pivo'!$A:AF,HLOOKUP('[1]Course Totals'!H$4,'[1]import graded seats course pivo'!$1:$2,2,FALSE),FALSE))),"")</f>
        <v/>
      </c>
      <c r="I1133" s="14" t="str">
        <f>IFERROR((VLOOKUP($A1133,'[1]import success seats course'!$A:W,HLOOKUP('[1]Course Totals'!I$4,'[1]import success seats course'!$1:$2,2,FALSE),FALSE)/(VLOOKUP($A1133,'[1]import graded seats course pivo'!$A:AG,HLOOKUP('[1]Course Totals'!I$4,'[1]import graded seats course pivo'!$1:$2,2,FALSE),FALSE))),"")</f>
        <v/>
      </c>
      <c r="J1133" s="14" t="str">
        <f>IFERROR((VLOOKUP($A1133,'[1]import success seats course'!$A:X,HLOOKUP('[1]Course Totals'!J$4,'[1]import success seats course'!$1:$2,2,FALSE),FALSE)/(VLOOKUP($A1133,'[1]import graded seats course pivo'!$A:AH,HLOOKUP('[1]Course Totals'!J$4,'[1]import graded seats course pivo'!$1:$2,2,FALSE),FALSE))),"")</f>
        <v/>
      </c>
      <c r="K1133" s="14" t="str">
        <f>IFERROR((VLOOKUP($A1133,'[1]import success seats course'!$A:Y,HLOOKUP('[1]Course Totals'!K$4,'[1]import success seats course'!$1:$2,2,FALSE),FALSE)/(VLOOKUP($A1133,'[1]import graded seats course pivo'!$A:AI,HLOOKUP('[1]Course Totals'!K$4,'[1]import graded seats course pivo'!$1:$2,2,FALSE),FALSE))),"")</f>
        <v/>
      </c>
      <c r="L1133" s="14" t="str">
        <f>IFERROR((VLOOKUP($A1133,'[1]import success seats course'!$A:Z,HLOOKUP('[1]Course Totals'!L$4,'[1]import success seats course'!$1:$2,2,FALSE),FALSE)/(VLOOKUP($A1133,'[1]import graded seats course pivo'!$A:AJ,HLOOKUP('[1]Course Totals'!L$4,'[1]import graded seats course pivo'!$1:$2,2,FALSE),FALSE))),"")</f>
        <v/>
      </c>
      <c r="M1133" s="14" t="str">
        <f>IFERROR((VLOOKUP($A1133,'[1]import success seats course'!$A:AA,HLOOKUP('[1]Course Totals'!M$4,'[1]import success seats course'!$1:$2,2,FALSE),FALSE)/(VLOOKUP($A1133,'[1]import graded seats course pivo'!$A:AK,HLOOKUP('[1]Course Totals'!M$4,'[1]import graded seats course pivo'!$1:$2,2,FALSE),FALSE))),"")</f>
        <v/>
      </c>
      <c r="N1133" s="14" t="str">
        <f>IFERROR((VLOOKUP($A1133,'[1]import success seats course'!$A:AB,HLOOKUP('[1]Course Totals'!N$4,'[1]import success seats course'!$1:$2,2,FALSE),FALSE)/(VLOOKUP($A1133,'[1]import graded seats course pivo'!$A:AL,HLOOKUP('[1]Course Totals'!N$4,'[1]import graded seats course pivo'!$1:$2,2,FALSE),FALSE))),"")</f>
        <v/>
      </c>
      <c r="O1133" s="14" t="str">
        <f>IFERROR((VLOOKUP($A1133,'[1]import success seats course'!$A:AC,HLOOKUP('[1]Course Totals'!O$4,'[1]import success seats course'!$1:$2,2,FALSE),FALSE)/(VLOOKUP($A1133,'[1]import graded seats course pivo'!$A:AM,HLOOKUP('[1]Course Totals'!O$4,'[1]import graded seats course pivo'!$1:$2,2,FALSE),FALSE))),"")</f>
        <v/>
      </c>
      <c r="P1133" s="14" t="str">
        <f>IFERROR((VLOOKUP($A1133,'[1]import success seats course'!$A:AD,HLOOKUP('[1]Course Totals'!P$4,'[1]import success seats course'!$1:$2,2,FALSE),FALSE)/(VLOOKUP($A1133,'[1]import graded seats course pivo'!$A:AN,HLOOKUP('[1]Course Totals'!P$4,'[1]import graded seats course pivo'!$1:$2,2,FALSE),FALSE))),"")</f>
        <v/>
      </c>
      <c r="Q1133" s="14" t="str">
        <f>IFERROR((VLOOKUP($A1133,'[1]import success seats course'!$A:AE,HLOOKUP('[1]Course Totals'!Q$4,'[1]import success seats course'!$1:$2,2,FALSE),FALSE)/(VLOOKUP($A1133,'[1]import graded seats course pivo'!$A:AO,HLOOKUP('[1]Course Totals'!Q$4,'[1]import graded seats course pivo'!$1:$2,2,FALSE),FALSE))),"")</f>
        <v/>
      </c>
      <c r="R1133" s="14" t="str">
        <f>IFERROR((VLOOKUP($A1133,'[1]import success seats course'!$A:AF,HLOOKUP('[1]Course Totals'!R$4,'[1]import success seats course'!$1:$2,2,FALSE),FALSE)/(VLOOKUP($A1133,'[1]import graded seats course pivo'!$A:AP,HLOOKUP('[1]Course Totals'!R$4,'[1]import graded seats course pivo'!$1:$2,2,FALSE),FALSE))),"")</f>
        <v/>
      </c>
      <c r="S1133" s="14" t="str">
        <f>IFERROR((VLOOKUP($A1133,'[1]import success seats course'!$A:AG,HLOOKUP('[1]Course Totals'!S$4,'[1]import success seats course'!$1:$2,2,FALSE),FALSE)/(VLOOKUP($A1133,'[1]import graded seats course pivo'!$A:AQ,HLOOKUP('[1]Course Totals'!S$4,'[1]import graded seats course pivo'!$1:$2,2,FALSE),FALSE))),"")</f>
        <v/>
      </c>
      <c r="Z1133" s="7"/>
      <c r="AA1133" s="7"/>
      <c r="AB1133" s="7"/>
      <c r="AC1133" s="7"/>
    </row>
    <row r="1134" spans="1:29" ht="15.75" hidden="1" customHeight="1" x14ac:dyDescent="0.25">
      <c r="A1134" s="12" t="s">
        <v>1041</v>
      </c>
      <c r="B1134" s="14" t="str">
        <f>IFERROR((VLOOKUP($A1134,'[1]import success seats course'!$A:P,HLOOKUP('[1]Course Totals'!B$4,'[1]import success seats course'!$1:$2,2,FALSE),FALSE)/(VLOOKUP($A1134,'[1]import graded seats course pivo'!$A:Z,HLOOKUP('[1]Course Totals'!B$4,'[1]import graded seats course pivo'!$1:$2,2,FALSE),FALSE))),"")</f>
        <v/>
      </c>
      <c r="C1134" s="14" t="str">
        <f>IFERROR((VLOOKUP($A1134,'[1]import success seats course'!$A:Q,HLOOKUP('[1]Course Totals'!C$4,'[1]import success seats course'!$1:$2,2,FALSE),FALSE)/(VLOOKUP($A1134,'[1]import graded seats course pivo'!$A:AA,HLOOKUP('[1]Course Totals'!C$4,'[1]import graded seats course pivo'!$1:$2,2,FALSE),FALSE))),"")</f>
        <v/>
      </c>
      <c r="D1134" s="14" t="str">
        <f>IFERROR((VLOOKUP($A1134,'[1]import success seats course'!$A:R,HLOOKUP('[1]Course Totals'!D$4,'[1]import success seats course'!$1:$2,2,FALSE),FALSE)/(VLOOKUP($A1134,'[1]import graded seats course pivo'!$A:AB,HLOOKUP('[1]Course Totals'!D$4,'[1]import graded seats course pivo'!$1:$2,2,FALSE),FALSE))),"")</f>
        <v/>
      </c>
      <c r="E1134" s="14" t="str">
        <f>IFERROR((VLOOKUP($A1134,'[1]import success seats course'!$A:S,HLOOKUP('[1]Course Totals'!E$4,'[1]import success seats course'!$1:$2,2,FALSE),FALSE)/(VLOOKUP($A1134,'[1]import graded seats course pivo'!$A:AC,HLOOKUP('[1]Course Totals'!E$4,'[1]import graded seats course pivo'!$1:$2,2,FALSE),FALSE))),"")</f>
        <v/>
      </c>
      <c r="F1134" s="14" t="str">
        <f>IFERROR((VLOOKUP($A1134,'[1]import success seats course'!$A:T,HLOOKUP('[1]Course Totals'!F$4,'[1]import success seats course'!$1:$2,2,FALSE),FALSE)/(VLOOKUP($A1134,'[1]import graded seats course pivo'!$A:AD,HLOOKUP('[1]Course Totals'!F$4,'[1]import graded seats course pivo'!$1:$2,2,FALSE),FALSE))),"")</f>
        <v/>
      </c>
      <c r="G1134" s="14" t="str">
        <f>IFERROR((VLOOKUP($A1134,'[1]import success seats course'!$A:U,HLOOKUP('[1]Course Totals'!G$4,'[1]import success seats course'!$1:$2,2,FALSE),FALSE)/(VLOOKUP($A1134,'[1]import graded seats course pivo'!$A:AE,HLOOKUP('[1]Course Totals'!G$4,'[1]import graded seats course pivo'!$1:$2,2,FALSE),FALSE))),"")</f>
        <v/>
      </c>
      <c r="H1134" s="14" t="str">
        <f>IFERROR((VLOOKUP($A1134,'[1]import success seats course'!$A:V,HLOOKUP('[1]Course Totals'!H$4,'[1]import success seats course'!$1:$2,2,FALSE),FALSE)/(VLOOKUP($A1134,'[1]import graded seats course pivo'!$A:AF,HLOOKUP('[1]Course Totals'!H$4,'[1]import graded seats course pivo'!$1:$2,2,FALSE),FALSE))),"")</f>
        <v/>
      </c>
      <c r="I1134" s="14" t="str">
        <f>IFERROR((VLOOKUP($A1134,'[1]import success seats course'!$A:W,HLOOKUP('[1]Course Totals'!I$4,'[1]import success seats course'!$1:$2,2,FALSE),FALSE)/(VLOOKUP($A1134,'[1]import graded seats course pivo'!$A:AG,HLOOKUP('[1]Course Totals'!I$4,'[1]import graded seats course pivo'!$1:$2,2,FALSE),FALSE))),"")</f>
        <v/>
      </c>
      <c r="J1134" s="14" t="str">
        <f>IFERROR((VLOOKUP($A1134,'[1]import success seats course'!$A:X,HLOOKUP('[1]Course Totals'!J$4,'[1]import success seats course'!$1:$2,2,FALSE),FALSE)/(VLOOKUP($A1134,'[1]import graded seats course pivo'!$A:AH,HLOOKUP('[1]Course Totals'!J$4,'[1]import graded seats course pivo'!$1:$2,2,FALSE),FALSE))),"")</f>
        <v/>
      </c>
      <c r="K1134" s="14" t="str">
        <f>IFERROR((VLOOKUP($A1134,'[1]import success seats course'!$A:Y,HLOOKUP('[1]Course Totals'!K$4,'[1]import success seats course'!$1:$2,2,FALSE),FALSE)/(VLOOKUP($A1134,'[1]import graded seats course pivo'!$A:AI,HLOOKUP('[1]Course Totals'!K$4,'[1]import graded seats course pivo'!$1:$2,2,FALSE),FALSE))),"")</f>
        <v/>
      </c>
      <c r="L1134" s="14" t="str">
        <f>IFERROR((VLOOKUP($A1134,'[1]import success seats course'!$A:Z,HLOOKUP('[1]Course Totals'!L$4,'[1]import success seats course'!$1:$2,2,FALSE),FALSE)/(VLOOKUP($A1134,'[1]import graded seats course pivo'!$A:AJ,HLOOKUP('[1]Course Totals'!L$4,'[1]import graded seats course pivo'!$1:$2,2,FALSE),FALSE))),"")</f>
        <v/>
      </c>
      <c r="M1134" s="14" t="str">
        <f>IFERROR((VLOOKUP($A1134,'[1]import success seats course'!$A:AA,HLOOKUP('[1]Course Totals'!M$4,'[1]import success seats course'!$1:$2,2,FALSE),FALSE)/(VLOOKUP($A1134,'[1]import graded seats course pivo'!$A:AK,HLOOKUP('[1]Course Totals'!M$4,'[1]import graded seats course pivo'!$1:$2,2,FALSE),FALSE))),"")</f>
        <v/>
      </c>
      <c r="N1134" s="14" t="str">
        <f>IFERROR((VLOOKUP($A1134,'[1]import success seats course'!$A:AB,HLOOKUP('[1]Course Totals'!N$4,'[1]import success seats course'!$1:$2,2,FALSE),FALSE)/(VLOOKUP($A1134,'[1]import graded seats course pivo'!$A:AL,HLOOKUP('[1]Course Totals'!N$4,'[1]import graded seats course pivo'!$1:$2,2,FALSE),FALSE))),"")</f>
        <v/>
      </c>
      <c r="O1134" s="14" t="str">
        <f>IFERROR((VLOOKUP($A1134,'[1]import success seats course'!$A:AC,HLOOKUP('[1]Course Totals'!O$4,'[1]import success seats course'!$1:$2,2,FALSE),FALSE)/(VLOOKUP($A1134,'[1]import graded seats course pivo'!$A:AM,HLOOKUP('[1]Course Totals'!O$4,'[1]import graded seats course pivo'!$1:$2,2,FALSE),FALSE))),"")</f>
        <v/>
      </c>
      <c r="P1134" s="14" t="str">
        <f>IFERROR((VLOOKUP($A1134,'[1]import success seats course'!$A:AD,HLOOKUP('[1]Course Totals'!P$4,'[1]import success seats course'!$1:$2,2,FALSE),FALSE)/(VLOOKUP($A1134,'[1]import graded seats course pivo'!$A:AN,HLOOKUP('[1]Course Totals'!P$4,'[1]import graded seats course pivo'!$1:$2,2,FALSE),FALSE))),"")</f>
        <v/>
      </c>
      <c r="Q1134" s="14" t="str">
        <f>IFERROR((VLOOKUP($A1134,'[1]import success seats course'!$A:AE,HLOOKUP('[1]Course Totals'!Q$4,'[1]import success seats course'!$1:$2,2,FALSE),FALSE)/(VLOOKUP($A1134,'[1]import graded seats course pivo'!$A:AO,HLOOKUP('[1]Course Totals'!Q$4,'[1]import graded seats course pivo'!$1:$2,2,FALSE),FALSE))),"")</f>
        <v/>
      </c>
      <c r="R1134" s="14" t="str">
        <f>IFERROR((VLOOKUP($A1134,'[1]import success seats course'!$A:AF,HLOOKUP('[1]Course Totals'!R$4,'[1]import success seats course'!$1:$2,2,FALSE),FALSE)/(VLOOKUP($A1134,'[1]import graded seats course pivo'!$A:AP,HLOOKUP('[1]Course Totals'!R$4,'[1]import graded seats course pivo'!$1:$2,2,FALSE),FALSE))),"")</f>
        <v/>
      </c>
      <c r="S1134" s="14" t="str">
        <f>IFERROR((VLOOKUP($A1134,'[1]import success seats course'!$A:AG,HLOOKUP('[1]Course Totals'!S$4,'[1]import success seats course'!$1:$2,2,FALSE),FALSE)/(VLOOKUP($A1134,'[1]import graded seats course pivo'!$A:AQ,HLOOKUP('[1]Course Totals'!S$4,'[1]import graded seats course pivo'!$1:$2,2,FALSE),FALSE))),"")</f>
        <v/>
      </c>
      <c r="Z1134" s="7"/>
      <c r="AA1134" s="7"/>
      <c r="AB1134" s="7"/>
      <c r="AC1134" s="7"/>
    </row>
    <row r="1135" spans="1:29" ht="15.75" customHeight="1" x14ac:dyDescent="0.25">
      <c r="A1135" s="12" t="s">
        <v>867</v>
      </c>
      <c r="B1135" s="14" t="str">
        <f>IFERROR((VLOOKUP($A1135,'[1]import success seats course'!$A:P,HLOOKUP('[1]Course Totals'!B$4,'[1]import success seats course'!$1:$2,2,FALSE),FALSE)/(VLOOKUP($A1135,'[1]import graded seats course pivo'!$A:Z,HLOOKUP('[1]Course Totals'!B$4,'[1]import graded seats course pivo'!$1:$2,2,FALSE),FALSE))),"")</f>
        <v/>
      </c>
      <c r="C1135" s="14" t="str">
        <f>IFERROR((VLOOKUP($A1135,'[1]import success seats course'!$A:Q,HLOOKUP('[1]Course Totals'!C$4,'[1]import success seats course'!$1:$2,2,FALSE),FALSE)/(VLOOKUP($A1135,'[1]import graded seats course pivo'!$A:AA,HLOOKUP('[1]Course Totals'!C$4,'[1]import graded seats course pivo'!$1:$2,2,FALSE),FALSE))),"")</f>
        <v/>
      </c>
      <c r="D1135" s="14" t="str">
        <f>IFERROR((VLOOKUP($A1135,'[1]import success seats course'!$A:R,HLOOKUP('[1]Course Totals'!D$4,'[1]import success seats course'!$1:$2,2,FALSE),FALSE)/(VLOOKUP($A1135,'[1]import graded seats course pivo'!$A:AB,HLOOKUP('[1]Course Totals'!D$4,'[1]import graded seats course pivo'!$1:$2,2,FALSE),FALSE))),"")</f>
        <v/>
      </c>
      <c r="E1135" s="14" t="str">
        <f>IFERROR((VLOOKUP($A1135,'[1]import success seats course'!$A:S,HLOOKUP('[1]Course Totals'!E$4,'[1]import success seats course'!$1:$2,2,FALSE),FALSE)/(VLOOKUP($A1135,'[1]import graded seats course pivo'!$A:AC,HLOOKUP('[1]Course Totals'!E$4,'[1]import graded seats course pivo'!$1:$2,2,FALSE),FALSE))),"")</f>
        <v/>
      </c>
      <c r="F1135" s="14" t="str">
        <f>IFERROR((VLOOKUP($A1135,'[1]import success seats course'!$A:T,HLOOKUP('[1]Course Totals'!F$4,'[1]import success seats course'!$1:$2,2,FALSE),FALSE)/(VLOOKUP($A1135,'[1]import graded seats course pivo'!$A:AD,HLOOKUP('[1]Course Totals'!F$4,'[1]import graded seats course pivo'!$1:$2,2,FALSE),FALSE))),"")</f>
        <v/>
      </c>
      <c r="G1135" s="14" t="str">
        <f>IFERROR((VLOOKUP($A1135,'[1]import success seats course'!$A:U,HLOOKUP('[1]Course Totals'!G$4,'[1]import success seats course'!$1:$2,2,FALSE),FALSE)/(VLOOKUP($A1135,'[1]import graded seats course pivo'!$A:AE,HLOOKUP('[1]Course Totals'!G$4,'[1]import graded seats course pivo'!$1:$2,2,FALSE),FALSE))),"")</f>
        <v/>
      </c>
      <c r="H1135" s="14" t="str">
        <f>IFERROR((VLOOKUP($A1135,'[1]import success seats course'!$A:V,HLOOKUP('[1]Course Totals'!H$4,'[1]import success seats course'!$1:$2,2,FALSE),FALSE)/(VLOOKUP($A1135,'[1]import graded seats course pivo'!$A:AF,HLOOKUP('[1]Course Totals'!H$4,'[1]import graded seats course pivo'!$1:$2,2,FALSE),FALSE))),"")</f>
        <v/>
      </c>
      <c r="I1135" s="14" t="str">
        <f>IFERROR((VLOOKUP($A1135,'[1]import success seats course'!$A:W,HLOOKUP('[1]Course Totals'!I$4,'[1]import success seats course'!$1:$2,2,FALSE),FALSE)/(VLOOKUP($A1135,'[1]import graded seats course pivo'!$A:AG,HLOOKUP('[1]Course Totals'!I$4,'[1]import graded seats course pivo'!$1:$2,2,FALSE),FALSE))),"")</f>
        <v/>
      </c>
      <c r="J1135" s="14" t="str">
        <f>IFERROR((VLOOKUP($A1135,'[1]import success seats course'!$A:X,HLOOKUP('[1]Course Totals'!J$4,'[1]import success seats course'!$1:$2,2,FALSE),FALSE)/(VLOOKUP($A1135,'[1]import graded seats course pivo'!$A:AH,HLOOKUP('[1]Course Totals'!J$4,'[1]import graded seats course pivo'!$1:$2,2,FALSE),FALSE))),"")</f>
        <v/>
      </c>
      <c r="K1135" s="14" t="str">
        <f>IFERROR((VLOOKUP($A1135,'[1]import success seats course'!$A:Y,HLOOKUP('[1]Course Totals'!K$4,'[1]import success seats course'!$1:$2,2,FALSE),FALSE)/(VLOOKUP($A1135,'[1]import graded seats course pivo'!$A:AI,HLOOKUP('[1]Course Totals'!K$4,'[1]import graded seats course pivo'!$1:$2,2,FALSE),FALSE))),"")</f>
        <v/>
      </c>
      <c r="L1135" s="14" t="str">
        <f>IFERROR((VLOOKUP($A1135,'[1]import success seats course'!$A:Z,HLOOKUP('[1]Course Totals'!L$4,'[1]import success seats course'!$1:$2,2,FALSE),FALSE)/(VLOOKUP($A1135,'[1]import graded seats course pivo'!$A:AJ,HLOOKUP('[1]Course Totals'!L$4,'[1]import graded seats course pivo'!$1:$2,2,FALSE),FALSE))),"")</f>
        <v/>
      </c>
      <c r="M1135" s="14">
        <f>IFERROR((VLOOKUP($A1135,'[1]import success seats course'!$A:AA,HLOOKUP('[1]Course Totals'!M$4,'[1]import success seats course'!$1:$2,2,FALSE),FALSE)/(VLOOKUP($A1135,'[1]import graded seats course pivo'!$A:AK,HLOOKUP('[1]Course Totals'!M$4,'[1]import graded seats course pivo'!$1:$2,2,FALSE),FALSE))),"")</f>
        <v>1</v>
      </c>
      <c r="N1135" s="14" t="str">
        <f>IFERROR((VLOOKUP($A1135,'[1]import success seats course'!$A:AB,HLOOKUP('[1]Course Totals'!N$4,'[1]import success seats course'!$1:$2,2,FALSE),FALSE)/(VLOOKUP($A1135,'[1]import graded seats course pivo'!$A:AL,HLOOKUP('[1]Course Totals'!N$4,'[1]import graded seats course pivo'!$1:$2,2,FALSE),FALSE))),"")</f>
        <v/>
      </c>
      <c r="O1135" s="14">
        <f>IFERROR((VLOOKUP($A1135,'[1]import success seats course'!$A:AC,HLOOKUP('[1]Course Totals'!O$4,'[1]import success seats course'!$1:$2,2,FALSE),FALSE)/(VLOOKUP($A1135,'[1]import graded seats course pivo'!$A:AM,HLOOKUP('[1]Course Totals'!O$4,'[1]import graded seats course pivo'!$1:$2,2,FALSE),FALSE))),"")</f>
        <v>1</v>
      </c>
      <c r="P1135" s="14">
        <f>IFERROR((VLOOKUP($A1135,'[1]import success seats course'!$A:AD,HLOOKUP('[1]Course Totals'!P$4,'[1]import success seats course'!$1:$2,2,FALSE),FALSE)/(VLOOKUP($A1135,'[1]import graded seats course pivo'!$A:AN,HLOOKUP('[1]Course Totals'!P$4,'[1]import graded seats course pivo'!$1:$2,2,FALSE),FALSE))),"")</f>
        <v>1</v>
      </c>
      <c r="Q1135" s="14">
        <f>IFERROR((VLOOKUP($A1135,'[1]import success seats course'!$A:AE,HLOOKUP('[1]Course Totals'!Q$4,'[1]import success seats course'!$1:$2,2,FALSE),FALSE)/(VLOOKUP($A1135,'[1]import graded seats course pivo'!$A:AO,HLOOKUP('[1]Course Totals'!Q$4,'[1]import graded seats course pivo'!$1:$2,2,FALSE),FALSE))),"")</f>
        <v>1</v>
      </c>
      <c r="R1135" s="14" t="str">
        <f>IFERROR((VLOOKUP($A1135,'[1]import success seats course'!$A:AF,HLOOKUP('[1]Course Totals'!R$4,'[1]import success seats course'!$1:$2,2,FALSE),FALSE)/(VLOOKUP($A1135,'[1]import graded seats course pivo'!$A:AP,HLOOKUP('[1]Course Totals'!R$4,'[1]import graded seats course pivo'!$1:$2,2,FALSE),FALSE))),"")</f>
        <v/>
      </c>
      <c r="S1135" s="14" t="str">
        <f>IFERROR((VLOOKUP($A1135,'[1]import success seats course'!$A:AG,HLOOKUP('[1]Course Totals'!S$4,'[1]import success seats course'!$1:$2,2,FALSE),FALSE)/(VLOOKUP($A1135,'[1]import graded seats course pivo'!$A:AQ,HLOOKUP('[1]Course Totals'!S$4,'[1]import graded seats course pivo'!$1:$2,2,FALSE),FALSE))),"")</f>
        <v/>
      </c>
      <c r="Z1135" s="7"/>
      <c r="AA1135" s="7"/>
      <c r="AB1135" s="7"/>
      <c r="AC1135" s="7"/>
    </row>
    <row r="1136" spans="1:29" ht="15.75" x14ac:dyDescent="0.25">
      <c r="A1136" s="9" t="s">
        <v>1139</v>
      </c>
      <c r="B1136" s="67" t="str">
        <f>'[1]Subject TOTALS'!$B$1:$P$1</f>
        <v xml:space="preserve">MVC Retention Rates </v>
      </c>
      <c r="C1136" s="68"/>
      <c r="D1136" s="68"/>
      <c r="E1136" s="68"/>
      <c r="F1136" s="68"/>
      <c r="G1136" s="68"/>
      <c r="H1136" s="68"/>
      <c r="I1136" s="68"/>
      <c r="J1136" s="68"/>
      <c r="K1136" s="68"/>
      <c r="L1136" s="68"/>
      <c r="M1136" s="68"/>
      <c r="N1136" s="68"/>
      <c r="O1136" s="68"/>
      <c r="P1136" s="68"/>
      <c r="Q1136" s="68"/>
      <c r="R1136" s="68"/>
      <c r="S1136" s="68"/>
      <c r="Z1136" s="7"/>
      <c r="AA1136" s="7"/>
      <c r="AB1136" s="7"/>
      <c r="AC1136" s="7"/>
    </row>
    <row r="1137" spans="1:29" ht="15.75" thickBot="1" x14ac:dyDescent="0.3">
      <c r="A1137" s="8" t="str">
        <f>'[1]SUBJECTS BASE'!H69</f>
        <v>Water Technology</v>
      </c>
      <c r="B1137" s="38" t="s">
        <v>1046</v>
      </c>
      <c r="C1137" s="39" t="s">
        <v>0</v>
      </c>
      <c r="D1137" s="40" t="s">
        <v>868</v>
      </c>
      <c r="E1137" s="41" t="s">
        <v>1052</v>
      </c>
      <c r="F1137" s="42" t="s">
        <v>546</v>
      </c>
      <c r="G1137" s="43" t="s">
        <v>959</v>
      </c>
      <c r="H1137" s="44" t="s">
        <v>1060</v>
      </c>
      <c r="I1137" s="39" t="s">
        <v>675</v>
      </c>
      <c r="J1137" s="45" t="s">
        <v>1006</v>
      </c>
      <c r="K1137" s="46" t="s">
        <v>1062</v>
      </c>
      <c r="L1137" s="42" t="s">
        <v>762</v>
      </c>
      <c r="M1137" s="43" t="s">
        <v>1022</v>
      </c>
      <c r="N1137" s="44" t="s">
        <v>1063</v>
      </c>
      <c r="O1137" s="39" t="s">
        <v>822</v>
      </c>
      <c r="P1137" s="40" t="s">
        <v>1042</v>
      </c>
      <c r="Q1137" s="46" t="s">
        <v>1153</v>
      </c>
      <c r="R1137" s="42" t="s">
        <v>1154</v>
      </c>
      <c r="S1137" s="43" t="s">
        <v>1155</v>
      </c>
      <c r="Z1137" s="7"/>
      <c r="AA1137" s="7"/>
      <c r="AB1137" s="7"/>
      <c r="AC1137" s="7"/>
    </row>
    <row r="1138" spans="1:29" x14ac:dyDescent="0.25">
      <c r="A1138" s="12" t="s">
        <v>540</v>
      </c>
      <c r="B1138" s="14">
        <f>IFERROR((VLOOKUP($A1138,'[1]import success seats course'!$A:P,HLOOKUP('[1]Course Totals'!B$4,'[1]import success seats course'!$1:$2,2,FALSE),FALSE)/(VLOOKUP($A1138,'[1]import graded seats course pivo'!$A:Z,HLOOKUP('[1]Course Totals'!B$4,'[1]import graded seats course pivo'!$1:$2,2,FALSE),FALSE))),"")</f>
        <v>0.96153846153846156</v>
      </c>
      <c r="C1138" s="14" t="str">
        <f>IFERROR((VLOOKUP($A1138,'[1]import success seats course'!$A:Q,HLOOKUP('[1]Course Totals'!C$4,'[1]import success seats course'!$1:$2,2,FALSE),FALSE)/(VLOOKUP($A1138,'[1]import graded seats course pivo'!$A:AA,HLOOKUP('[1]Course Totals'!C$4,'[1]import graded seats course pivo'!$1:$2,2,FALSE),FALSE))),"")</f>
        <v/>
      </c>
      <c r="D1138" s="14" t="str">
        <f>IFERROR((VLOOKUP($A1138,'[1]import success seats course'!$A:R,HLOOKUP('[1]Course Totals'!D$4,'[1]import success seats course'!$1:$2,2,FALSE),FALSE)/(VLOOKUP($A1138,'[1]import graded seats course pivo'!$A:AB,HLOOKUP('[1]Course Totals'!D$4,'[1]import graded seats course pivo'!$1:$2,2,FALSE),FALSE))),"")</f>
        <v/>
      </c>
      <c r="E1138" s="14">
        <f>IFERROR((VLOOKUP($A1138,'[1]import success seats course'!$A:S,HLOOKUP('[1]Course Totals'!E$4,'[1]import success seats course'!$1:$2,2,FALSE),FALSE)/(VLOOKUP($A1138,'[1]import graded seats course pivo'!$A:AC,HLOOKUP('[1]Course Totals'!E$4,'[1]import graded seats course pivo'!$1:$2,2,FALSE),FALSE))),"")</f>
        <v>0.97297297297297303</v>
      </c>
      <c r="F1138" s="14">
        <f>IFERROR((VLOOKUP($A1138,'[1]import success seats course'!$A:T,HLOOKUP('[1]Course Totals'!F$4,'[1]import success seats course'!$1:$2,2,FALSE),FALSE)/(VLOOKUP($A1138,'[1]import graded seats course pivo'!$A:AD,HLOOKUP('[1]Course Totals'!F$4,'[1]import graded seats course pivo'!$1:$2,2,FALSE),FALSE))),"")</f>
        <v>0.94915254237288138</v>
      </c>
      <c r="G1138" s="14">
        <f>IFERROR((VLOOKUP($A1138,'[1]import success seats course'!$A:U,HLOOKUP('[1]Course Totals'!G$4,'[1]import success seats course'!$1:$2,2,FALSE),FALSE)/(VLOOKUP($A1138,'[1]import graded seats course pivo'!$A:AE,HLOOKUP('[1]Course Totals'!G$4,'[1]import graded seats course pivo'!$1:$2,2,FALSE),FALSE))),"")</f>
        <v>1</v>
      </c>
      <c r="H1138" s="14" t="str">
        <f>IFERROR((VLOOKUP($A1138,'[1]import success seats course'!$A:V,HLOOKUP('[1]Course Totals'!H$4,'[1]import success seats course'!$1:$2,2,FALSE),FALSE)/(VLOOKUP($A1138,'[1]import graded seats course pivo'!$A:AF,HLOOKUP('[1]Course Totals'!H$4,'[1]import graded seats course pivo'!$1:$2,2,FALSE),FALSE))),"")</f>
        <v/>
      </c>
      <c r="I1138" s="14">
        <f>IFERROR((VLOOKUP($A1138,'[1]import success seats course'!$A:W,HLOOKUP('[1]Course Totals'!I$4,'[1]import success seats course'!$1:$2,2,FALSE),FALSE)/(VLOOKUP($A1138,'[1]import graded seats course pivo'!$A:AG,HLOOKUP('[1]Course Totals'!I$4,'[1]import graded seats course pivo'!$1:$2,2,FALSE),FALSE))),"")</f>
        <v>0.88235294117647056</v>
      </c>
      <c r="J1138" s="14">
        <f>IFERROR((VLOOKUP($A1138,'[1]import success seats course'!$A:X,HLOOKUP('[1]Course Totals'!J$4,'[1]import success seats course'!$1:$2,2,FALSE),FALSE)/(VLOOKUP($A1138,'[1]import graded seats course pivo'!$A:AH,HLOOKUP('[1]Course Totals'!J$4,'[1]import graded seats course pivo'!$1:$2,2,FALSE),FALSE))),"")</f>
        <v>0.93181818181818177</v>
      </c>
      <c r="K1138" s="14" t="str">
        <f>IFERROR((VLOOKUP($A1138,'[1]import success seats course'!$A:Y,HLOOKUP('[1]Course Totals'!K$4,'[1]import success seats course'!$1:$2,2,FALSE),FALSE)/(VLOOKUP($A1138,'[1]import graded seats course pivo'!$A:AI,HLOOKUP('[1]Course Totals'!K$4,'[1]import graded seats course pivo'!$1:$2,2,FALSE),FALSE))),"")</f>
        <v/>
      </c>
      <c r="L1138" s="14">
        <f>IFERROR((VLOOKUP($A1138,'[1]import success seats course'!$A:Z,HLOOKUP('[1]Course Totals'!L$4,'[1]import success seats course'!$1:$2,2,FALSE),FALSE)/(VLOOKUP($A1138,'[1]import graded seats course pivo'!$A:AJ,HLOOKUP('[1]Course Totals'!L$4,'[1]import graded seats course pivo'!$1:$2,2,FALSE),FALSE))),"")</f>
        <v>0.95774647887323938</v>
      </c>
      <c r="M1138" s="14">
        <f>IFERROR((VLOOKUP($A1138,'[1]import success seats course'!$A:AA,HLOOKUP('[1]Course Totals'!M$4,'[1]import success seats course'!$1:$2,2,FALSE),FALSE)/(VLOOKUP($A1138,'[1]import graded seats course pivo'!$A:AK,HLOOKUP('[1]Course Totals'!M$4,'[1]import graded seats course pivo'!$1:$2,2,FALSE),FALSE))),"")</f>
        <v>0.78048780487804881</v>
      </c>
      <c r="N1138" s="14" t="str">
        <f>IFERROR((VLOOKUP($A1138,'[1]import success seats course'!$A:AB,HLOOKUP('[1]Course Totals'!N$4,'[1]import success seats course'!$1:$2,2,FALSE),FALSE)/(VLOOKUP($A1138,'[1]import graded seats course pivo'!$A:AL,HLOOKUP('[1]Course Totals'!N$4,'[1]import graded seats course pivo'!$1:$2,2,FALSE),FALSE))),"")</f>
        <v/>
      </c>
      <c r="O1138" s="14">
        <f>IFERROR((VLOOKUP($A1138,'[1]import success seats course'!$A:AC,HLOOKUP('[1]Course Totals'!O$4,'[1]import success seats course'!$1:$2,2,FALSE),FALSE)/(VLOOKUP($A1138,'[1]import graded seats course pivo'!$A:AM,HLOOKUP('[1]Course Totals'!O$4,'[1]import graded seats course pivo'!$1:$2,2,FALSE),FALSE))),"")</f>
        <v>0.91891891891891897</v>
      </c>
      <c r="P1138" s="14" t="str">
        <f>IFERROR((VLOOKUP($A1138,'[1]import success seats course'!$A:AD,HLOOKUP('[1]Course Totals'!P$4,'[1]import success seats course'!$1:$2,2,FALSE),FALSE)/(VLOOKUP($A1138,'[1]import graded seats course pivo'!$A:AN,HLOOKUP('[1]Course Totals'!P$4,'[1]import graded seats course pivo'!$1:$2,2,FALSE),FALSE))),"")</f>
        <v/>
      </c>
      <c r="Q1138" s="14" t="str">
        <f>IFERROR((VLOOKUP($A1138,'[1]import success seats course'!$A:AE,HLOOKUP('[1]Course Totals'!Q$4,'[1]import success seats course'!$1:$2,2,FALSE),FALSE)/(VLOOKUP($A1138,'[1]import graded seats course pivo'!$A:AO,HLOOKUP('[1]Course Totals'!Q$4,'[1]import graded seats course pivo'!$1:$2,2,FALSE),FALSE))),"")</f>
        <v/>
      </c>
      <c r="R1138" s="14" t="str">
        <f>IFERROR((VLOOKUP($A1138,'[1]import success seats course'!$A:AF,HLOOKUP('[1]Course Totals'!R$4,'[1]import success seats course'!$1:$2,2,FALSE),FALSE)/(VLOOKUP($A1138,'[1]import graded seats course pivo'!$A:AP,HLOOKUP('[1]Course Totals'!R$4,'[1]import graded seats course pivo'!$1:$2,2,FALSE),FALSE))),"")</f>
        <v/>
      </c>
      <c r="S1138" s="14" t="str">
        <f>IFERROR((VLOOKUP($A1138,'[1]import success seats course'!$A:AG,HLOOKUP('[1]Course Totals'!S$4,'[1]import success seats course'!$1:$2,2,FALSE),FALSE)/(VLOOKUP($A1138,'[1]import graded seats course pivo'!$A:AQ,HLOOKUP('[1]Course Totals'!S$4,'[1]import graded seats course pivo'!$1:$2,2,FALSE),FALSE))),"")</f>
        <v/>
      </c>
      <c r="Z1138" s="7"/>
      <c r="AA1138" s="7"/>
      <c r="AB1138" s="7"/>
      <c r="AC1138" s="7"/>
    </row>
    <row r="1139" spans="1:29" x14ac:dyDescent="0.25">
      <c r="A1139" s="12" t="s">
        <v>541</v>
      </c>
      <c r="B1139" s="14">
        <f>IFERROR((VLOOKUP($A1139,'[1]import success seats course'!$A:P,HLOOKUP('[1]Course Totals'!B$4,'[1]import success seats course'!$1:$2,2,FALSE),FALSE)/(VLOOKUP($A1139,'[1]import graded seats course pivo'!$A:Z,HLOOKUP('[1]Course Totals'!B$4,'[1]import graded seats course pivo'!$1:$2,2,FALSE),FALSE))),"")</f>
        <v>0.93103448275862066</v>
      </c>
      <c r="C1139" s="14">
        <f>IFERROR((VLOOKUP($A1139,'[1]import success seats course'!$A:Q,HLOOKUP('[1]Course Totals'!C$4,'[1]import success seats course'!$1:$2,2,FALSE),FALSE)/(VLOOKUP($A1139,'[1]import graded seats course pivo'!$A:AA,HLOOKUP('[1]Course Totals'!C$4,'[1]import graded seats course pivo'!$1:$2,2,FALSE),FALSE))),"")</f>
        <v>0.94285714285714284</v>
      </c>
      <c r="D1139" s="14" t="str">
        <f>IFERROR((VLOOKUP($A1139,'[1]import success seats course'!$A:R,HLOOKUP('[1]Course Totals'!D$4,'[1]import success seats course'!$1:$2,2,FALSE),FALSE)/(VLOOKUP($A1139,'[1]import graded seats course pivo'!$A:AB,HLOOKUP('[1]Course Totals'!D$4,'[1]import graded seats course pivo'!$1:$2,2,FALSE),FALSE))),"")</f>
        <v/>
      </c>
      <c r="E1139" s="14">
        <f>IFERROR((VLOOKUP($A1139,'[1]import success seats course'!$A:S,HLOOKUP('[1]Course Totals'!E$4,'[1]import success seats course'!$1:$2,2,FALSE),FALSE)/(VLOOKUP($A1139,'[1]import graded seats course pivo'!$A:AC,HLOOKUP('[1]Course Totals'!E$4,'[1]import graded seats course pivo'!$1:$2,2,FALSE),FALSE))),"")</f>
        <v>1</v>
      </c>
      <c r="F1139" s="14">
        <f>IFERROR((VLOOKUP($A1139,'[1]import success seats course'!$A:T,HLOOKUP('[1]Course Totals'!F$4,'[1]import success seats course'!$1:$2,2,FALSE),FALSE)/(VLOOKUP($A1139,'[1]import graded seats course pivo'!$A:AD,HLOOKUP('[1]Course Totals'!F$4,'[1]import graded seats course pivo'!$1:$2,2,FALSE),FALSE))),"")</f>
        <v>0.97297297297297303</v>
      </c>
      <c r="G1139" s="14">
        <f>IFERROR((VLOOKUP($A1139,'[1]import success seats course'!$A:U,HLOOKUP('[1]Course Totals'!G$4,'[1]import success seats course'!$1:$2,2,FALSE),FALSE)/(VLOOKUP($A1139,'[1]import graded seats course pivo'!$A:AE,HLOOKUP('[1]Course Totals'!G$4,'[1]import graded seats course pivo'!$1:$2,2,FALSE),FALSE))),"")</f>
        <v>0.94366197183098588</v>
      </c>
      <c r="H1139" s="14" t="str">
        <f>IFERROR((VLOOKUP($A1139,'[1]import success seats course'!$A:V,HLOOKUP('[1]Course Totals'!H$4,'[1]import success seats course'!$1:$2,2,FALSE),FALSE)/(VLOOKUP($A1139,'[1]import graded seats course pivo'!$A:AF,HLOOKUP('[1]Course Totals'!H$4,'[1]import graded seats course pivo'!$1:$2,2,FALSE),FALSE))),"")</f>
        <v/>
      </c>
      <c r="I1139" s="14">
        <f>IFERROR((VLOOKUP($A1139,'[1]import success seats course'!$A:W,HLOOKUP('[1]Course Totals'!I$4,'[1]import success seats course'!$1:$2,2,FALSE),FALSE)/(VLOOKUP($A1139,'[1]import graded seats course pivo'!$A:AG,HLOOKUP('[1]Course Totals'!I$4,'[1]import graded seats course pivo'!$1:$2,2,FALSE),FALSE))),"")</f>
        <v>0.91428571428571426</v>
      </c>
      <c r="J1139" s="14">
        <f>IFERROR((VLOOKUP($A1139,'[1]import success seats course'!$A:X,HLOOKUP('[1]Course Totals'!J$4,'[1]import success seats course'!$1:$2,2,FALSE),FALSE)/(VLOOKUP($A1139,'[1]import graded seats course pivo'!$A:AH,HLOOKUP('[1]Course Totals'!J$4,'[1]import graded seats course pivo'!$1:$2,2,FALSE),FALSE))),"")</f>
        <v>0.70270270270270274</v>
      </c>
      <c r="K1139" s="14" t="str">
        <f>IFERROR((VLOOKUP($A1139,'[1]import success seats course'!$A:Y,HLOOKUP('[1]Course Totals'!K$4,'[1]import success seats course'!$1:$2,2,FALSE),FALSE)/(VLOOKUP($A1139,'[1]import graded seats course pivo'!$A:AI,HLOOKUP('[1]Course Totals'!K$4,'[1]import graded seats course pivo'!$1:$2,2,FALSE),FALSE))),"")</f>
        <v/>
      </c>
      <c r="L1139" s="14">
        <f>IFERROR((VLOOKUP($A1139,'[1]import success seats course'!$A:Z,HLOOKUP('[1]Course Totals'!L$4,'[1]import success seats course'!$1:$2,2,FALSE),FALSE)/(VLOOKUP($A1139,'[1]import graded seats course pivo'!$A:AJ,HLOOKUP('[1]Course Totals'!L$4,'[1]import graded seats course pivo'!$1:$2,2,FALSE),FALSE))),"")</f>
        <v>0.82352941176470584</v>
      </c>
      <c r="M1139" s="14">
        <f>IFERROR((VLOOKUP($A1139,'[1]import success seats course'!$A:AA,HLOOKUP('[1]Course Totals'!M$4,'[1]import success seats course'!$1:$2,2,FALSE),FALSE)/(VLOOKUP($A1139,'[1]import graded seats course pivo'!$A:AK,HLOOKUP('[1]Course Totals'!M$4,'[1]import graded seats course pivo'!$1:$2,2,FALSE),FALSE))),"")</f>
        <v>0.69047619047619047</v>
      </c>
      <c r="N1139" s="14" t="str">
        <f>IFERROR((VLOOKUP($A1139,'[1]import success seats course'!$A:AB,HLOOKUP('[1]Course Totals'!N$4,'[1]import success seats course'!$1:$2,2,FALSE),FALSE)/(VLOOKUP($A1139,'[1]import graded seats course pivo'!$A:AL,HLOOKUP('[1]Course Totals'!N$4,'[1]import graded seats course pivo'!$1:$2,2,FALSE),FALSE))),"")</f>
        <v/>
      </c>
      <c r="O1139" s="14">
        <f>IFERROR((VLOOKUP($A1139,'[1]import success seats course'!$A:AC,HLOOKUP('[1]Course Totals'!O$4,'[1]import success seats course'!$1:$2,2,FALSE),FALSE)/(VLOOKUP($A1139,'[1]import graded seats course pivo'!$A:AM,HLOOKUP('[1]Course Totals'!O$4,'[1]import graded seats course pivo'!$1:$2,2,FALSE),FALSE))),"")</f>
        <v>0.93548387096774188</v>
      </c>
      <c r="P1139" s="14" t="str">
        <f>IFERROR((VLOOKUP($A1139,'[1]import success seats course'!$A:AD,HLOOKUP('[1]Course Totals'!P$4,'[1]import success seats course'!$1:$2,2,FALSE),FALSE)/(VLOOKUP($A1139,'[1]import graded seats course pivo'!$A:AN,HLOOKUP('[1]Course Totals'!P$4,'[1]import graded seats course pivo'!$1:$2,2,FALSE),FALSE))),"")</f>
        <v/>
      </c>
      <c r="Q1139" s="14" t="str">
        <f>IFERROR((VLOOKUP($A1139,'[1]import success seats course'!$A:AE,HLOOKUP('[1]Course Totals'!Q$4,'[1]import success seats course'!$1:$2,2,FALSE),FALSE)/(VLOOKUP($A1139,'[1]import graded seats course pivo'!$A:AO,HLOOKUP('[1]Course Totals'!Q$4,'[1]import graded seats course pivo'!$1:$2,2,FALSE),FALSE))),"")</f>
        <v/>
      </c>
      <c r="R1139" s="14" t="str">
        <f>IFERROR((VLOOKUP($A1139,'[1]import success seats course'!$A:AF,HLOOKUP('[1]Course Totals'!R$4,'[1]import success seats course'!$1:$2,2,FALSE),FALSE)/(VLOOKUP($A1139,'[1]import graded seats course pivo'!$A:AP,HLOOKUP('[1]Course Totals'!R$4,'[1]import graded seats course pivo'!$1:$2,2,FALSE),FALSE))),"")</f>
        <v/>
      </c>
      <c r="S1139" s="14" t="str">
        <f>IFERROR((VLOOKUP($A1139,'[1]import success seats course'!$A:AG,HLOOKUP('[1]Course Totals'!S$4,'[1]import success seats course'!$1:$2,2,FALSE),FALSE)/(VLOOKUP($A1139,'[1]import graded seats course pivo'!$A:AQ,HLOOKUP('[1]Course Totals'!S$4,'[1]import graded seats course pivo'!$1:$2,2,FALSE),FALSE))),"")</f>
        <v/>
      </c>
      <c r="Z1139" s="7"/>
      <c r="AA1139" s="7"/>
      <c r="AB1139" s="7"/>
      <c r="AC1139" s="7"/>
    </row>
    <row r="1140" spans="1:29" x14ac:dyDescent="0.25">
      <c r="A1140" s="12" t="s">
        <v>542</v>
      </c>
      <c r="B1140" s="14" t="str">
        <f>IFERROR((VLOOKUP($A1140,'[1]import success seats course'!$A:P,HLOOKUP('[1]Course Totals'!B$4,'[1]import success seats course'!$1:$2,2,FALSE),FALSE)/(VLOOKUP($A1140,'[1]import graded seats course pivo'!$A:Z,HLOOKUP('[1]Course Totals'!B$4,'[1]import graded seats course pivo'!$1:$2,2,FALSE),FALSE))),"")</f>
        <v/>
      </c>
      <c r="C1140" s="14">
        <f>IFERROR((VLOOKUP($A1140,'[1]import success seats course'!$A:Q,HLOOKUP('[1]Course Totals'!C$4,'[1]import success seats course'!$1:$2,2,FALSE),FALSE)/(VLOOKUP($A1140,'[1]import graded seats course pivo'!$A:AA,HLOOKUP('[1]Course Totals'!C$4,'[1]import graded seats course pivo'!$1:$2,2,FALSE),FALSE))),"")</f>
        <v>0.92105263157894735</v>
      </c>
      <c r="D1140" s="14">
        <f>IFERROR((VLOOKUP($A1140,'[1]import success seats course'!$A:R,HLOOKUP('[1]Course Totals'!D$4,'[1]import success seats course'!$1:$2,2,FALSE),FALSE)/(VLOOKUP($A1140,'[1]import graded seats course pivo'!$A:AB,HLOOKUP('[1]Course Totals'!D$4,'[1]import graded seats course pivo'!$1:$2,2,FALSE),FALSE))),"")</f>
        <v>0.95238095238095233</v>
      </c>
      <c r="E1140" s="14" t="str">
        <f>IFERROR((VLOOKUP($A1140,'[1]import success seats course'!$A:S,HLOOKUP('[1]Course Totals'!E$4,'[1]import success seats course'!$1:$2,2,FALSE),FALSE)/(VLOOKUP($A1140,'[1]import graded seats course pivo'!$A:AC,HLOOKUP('[1]Course Totals'!E$4,'[1]import graded seats course pivo'!$1:$2,2,FALSE),FALSE))),"")</f>
        <v/>
      </c>
      <c r="F1140" s="14">
        <f>IFERROR((VLOOKUP($A1140,'[1]import success seats course'!$A:T,HLOOKUP('[1]Course Totals'!F$4,'[1]import success seats course'!$1:$2,2,FALSE),FALSE)/(VLOOKUP($A1140,'[1]import graded seats course pivo'!$A:AD,HLOOKUP('[1]Course Totals'!F$4,'[1]import graded seats course pivo'!$1:$2,2,FALSE),FALSE))),"")</f>
        <v>0.95</v>
      </c>
      <c r="G1140" s="14" t="str">
        <f>IFERROR((VLOOKUP($A1140,'[1]import success seats course'!$A:U,HLOOKUP('[1]Course Totals'!G$4,'[1]import success seats course'!$1:$2,2,FALSE),FALSE)/(VLOOKUP($A1140,'[1]import graded seats course pivo'!$A:AE,HLOOKUP('[1]Course Totals'!G$4,'[1]import graded seats course pivo'!$1:$2,2,FALSE),FALSE))),"")</f>
        <v/>
      </c>
      <c r="H1140" s="14" t="str">
        <f>IFERROR((VLOOKUP($A1140,'[1]import success seats course'!$A:V,HLOOKUP('[1]Course Totals'!H$4,'[1]import success seats course'!$1:$2,2,FALSE),FALSE)/(VLOOKUP($A1140,'[1]import graded seats course pivo'!$A:AF,HLOOKUP('[1]Course Totals'!H$4,'[1]import graded seats course pivo'!$1:$2,2,FALSE),FALSE))),"")</f>
        <v/>
      </c>
      <c r="I1140" s="14" t="str">
        <f>IFERROR((VLOOKUP($A1140,'[1]import success seats course'!$A:W,HLOOKUP('[1]Course Totals'!I$4,'[1]import success seats course'!$1:$2,2,FALSE),FALSE)/(VLOOKUP($A1140,'[1]import graded seats course pivo'!$A:AG,HLOOKUP('[1]Course Totals'!I$4,'[1]import graded seats course pivo'!$1:$2,2,FALSE),FALSE))),"")</f>
        <v/>
      </c>
      <c r="J1140" s="14" t="str">
        <f>IFERROR((VLOOKUP($A1140,'[1]import success seats course'!$A:X,HLOOKUP('[1]Course Totals'!J$4,'[1]import success seats course'!$1:$2,2,FALSE),FALSE)/(VLOOKUP($A1140,'[1]import graded seats course pivo'!$A:AH,HLOOKUP('[1]Course Totals'!J$4,'[1]import graded seats course pivo'!$1:$2,2,FALSE),FALSE))),"")</f>
        <v/>
      </c>
      <c r="K1140" s="14" t="str">
        <f>IFERROR((VLOOKUP($A1140,'[1]import success seats course'!$A:Y,HLOOKUP('[1]Course Totals'!K$4,'[1]import success seats course'!$1:$2,2,FALSE),FALSE)/(VLOOKUP($A1140,'[1]import graded seats course pivo'!$A:AI,HLOOKUP('[1]Course Totals'!K$4,'[1]import graded seats course pivo'!$1:$2,2,FALSE),FALSE))),"")</f>
        <v/>
      </c>
      <c r="L1140" s="14" t="str">
        <f>IFERROR((VLOOKUP($A1140,'[1]import success seats course'!$A:Z,HLOOKUP('[1]Course Totals'!L$4,'[1]import success seats course'!$1:$2,2,FALSE),FALSE)/(VLOOKUP($A1140,'[1]import graded seats course pivo'!$A:AJ,HLOOKUP('[1]Course Totals'!L$4,'[1]import graded seats course pivo'!$1:$2,2,FALSE),FALSE))),"")</f>
        <v/>
      </c>
      <c r="M1140" s="14" t="str">
        <f>IFERROR((VLOOKUP($A1140,'[1]import success seats course'!$A:AA,HLOOKUP('[1]Course Totals'!M$4,'[1]import success seats course'!$1:$2,2,FALSE),FALSE)/(VLOOKUP($A1140,'[1]import graded seats course pivo'!$A:AK,HLOOKUP('[1]Course Totals'!M$4,'[1]import graded seats course pivo'!$1:$2,2,FALSE),FALSE))),"")</f>
        <v/>
      </c>
      <c r="N1140" s="14" t="str">
        <f>IFERROR((VLOOKUP($A1140,'[1]import success seats course'!$A:AB,HLOOKUP('[1]Course Totals'!N$4,'[1]import success seats course'!$1:$2,2,FALSE),FALSE)/(VLOOKUP($A1140,'[1]import graded seats course pivo'!$A:AL,HLOOKUP('[1]Course Totals'!N$4,'[1]import graded seats course pivo'!$1:$2,2,FALSE),FALSE))),"")</f>
        <v/>
      </c>
      <c r="O1140" s="14" t="str">
        <f>IFERROR((VLOOKUP($A1140,'[1]import success seats course'!$A:AC,HLOOKUP('[1]Course Totals'!O$4,'[1]import success seats course'!$1:$2,2,FALSE),FALSE)/(VLOOKUP($A1140,'[1]import graded seats course pivo'!$A:AM,HLOOKUP('[1]Course Totals'!O$4,'[1]import graded seats course pivo'!$1:$2,2,FALSE),FALSE))),"")</f>
        <v/>
      </c>
      <c r="P1140" s="14" t="str">
        <f>IFERROR((VLOOKUP($A1140,'[1]import success seats course'!$A:AD,HLOOKUP('[1]Course Totals'!P$4,'[1]import success seats course'!$1:$2,2,FALSE),FALSE)/(VLOOKUP($A1140,'[1]import graded seats course pivo'!$A:AN,HLOOKUP('[1]Course Totals'!P$4,'[1]import graded seats course pivo'!$1:$2,2,FALSE),FALSE))),"")</f>
        <v/>
      </c>
      <c r="Q1140" s="14" t="str">
        <f>IFERROR((VLOOKUP($A1140,'[1]import success seats course'!$A:AE,HLOOKUP('[1]Course Totals'!Q$4,'[1]import success seats course'!$1:$2,2,FALSE),FALSE)/(VLOOKUP($A1140,'[1]import graded seats course pivo'!$A:AO,HLOOKUP('[1]Course Totals'!Q$4,'[1]import graded seats course pivo'!$1:$2,2,FALSE),FALSE))),"")</f>
        <v/>
      </c>
      <c r="R1140" s="14" t="str">
        <f>IFERROR((VLOOKUP($A1140,'[1]import success seats course'!$A:AF,HLOOKUP('[1]Course Totals'!R$4,'[1]import success seats course'!$1:$2,2,FALSE),FALSE)/(VLOOKUP($A1140,'[1]import graded seats course pivo'!$A:AP,HLOOKUP('[1]Course Totals'!R$4,'[1]import graded seats course pivo'!$1:$2,2,FALSE),FALSE))),"")</f>
        <v/>
      </c>
      <c r="S1140" s="14" t="str">
        <f>IFERROR((VLOOKUP($A1140,'[1]import success seats course'!$A:AG,HLOOKUP('[1]Course Totals'!S$4,'[1]import success seats course'!$1:$2,2,FALSE),FALSE)/(VLOOKUP($A1140,'[1]import graded seats course pivo'!$A:AQ,HLOOKUP('[1]Course Totals'!S$4,'[1]import graded seats course pivo'!$1:$2,2,FALSE),FALSE))),"")</f>
        <v/>
      </c>
      <c r="Z1140" s="7"/>
      <c r="AA1140" s="7"/>
      <c r="AB1140" s="7"/>
      <c r="AC1140" s="7"/>
    </row>
    <row r="1141" spans="1:29" ht="15" hidden="1" customHeight="1" x14ac:dyDescent="0.25">
      <c r="A1141" s="12" t="s">
        <v>1003</v>
      </c>
      <c r="B1141" s="14" t="str">
        <f>IFERROR((VLOOKUP($A1141,'[1]import success seats course'!$A:P,HLOOKUP('[1]Course Totals'!B$4,'[1]import success seats course'!$1:$2,2,FALSE),FALSE)/(VLOOKUP($A1141,'[1]import graded seats course pivo'!$A:Z,HLOOKUP('[1]Course Totals'!B$4,'[1]import graded seats course pivo'!$1:$2,2,FALSE),FALSE))),"")</f>
        <v/>
      </c>
      <c r="C1141" s="14" t="str">
        <f>IFERROR((VLOOKUP($A1141,'[1]import success seats course'!$A:Q,HLOOKUP('[1]Course Totals'!C$4,'[1]import success seats course'!$1:$2,2,FALSE),FALSE)/(VLOOKUP($A1141,'[1]import graded seats course pivo'!$A:AA,HLOOKUP('[1]Course Totals'!C$4,'[1]import graded seats course pivo'!$1:$2,2,FALSE),FALSE))),"")</f>
        <v/>
      </c>
      <c r="D1141" s="14" t="str">
        <f>IFERROR((VLOOKUP($A1141,'[1]import success seats course'!$A:R,HLOOKUP('[1]Course Totals'!D$4,'[1]import success seats course'!$1:$2,2,FALSE),FALSE)/(VLOOKUP($A1141,'[1]import graded seats course pivo'!$A:AB,HLOOKUP('[1]Course Totals'!D$4,'[1]import graded seats course pivo'!$1:$2,2,FALSE),FALSE))),"")</f>
        <v/>
      </c>
      <c r="E1141" s="14" t="str">
        <f>IFERROR((VLOOKUP($A1141,'[1]import success seats course'!$A:S,HLOOKUP('[1]Course Totals'!E$4,'[1]import success seats course'!$1:$2,2,FALSE),FALSE)/(VLOOKUP($A1141,'[1]import graded seats course pivo'!$A:AC,HLOOKUP('[1]Course Totals'!E$4,'[1]import graded seats course pivo'!$1:$2,2,FALSE),FALSE))),"")</f>
        <v/>
      </c>
      <c r="F1141" s="14" t="str">
        <f>IFERROR((VLOOKUP($A1141,'[1]import success seats course'!$A:T,HLOOKUP('[1]Course Totals'!F$4,'[1]import success seats course'!$1:$2,2,FALSE),FALSE)/(VLOOKUP($A1141,'[1]import graded seats course pivo'!$A:AD,HLOOKUP('[1]Course Totals'!F$4,'[1]import graded seats course pivo'!$1:$2,2,FALSE),FALSE))),"")</f>
        <v/>
      </c>
      <c r="G1141" s="14" t="str">
        <f>IFERROR((VLOOKUP($A1141,'[1]import success seats course'!$A:U,HLOOKUP('[1]Course Totals'!G$4,'[1]import success seats course'!$1:$2,2,FALSE),FALSE)/(VLOOKUP($A1141,'[1]import graded seats course pivo'!$A:AE,HLOOKUP('[1]Course Totals'!G$4,'[1]import graded seats course pivo'!$1:$2,2,FALSE),FALSE))),"")</f>
        <v/>
      </c>
      <c r="H1141" s="14" t="str">
        <f>IFERROR((VLOOKUP($A1141,'[1]import success seats course'!$A:V,HLOOKUP('[1]Course Totals'!H$4,'[1]import success seats course'!$1:$2,2,FALSE),FALSE)/(VLOOKUP($A1141,'[1]import graded seats course pivo'!$A:AF,HLOOKUP('[1]Course Totals'!H$4,'[1]import graded seats course pivo'!$1:$2,2,FALSE),FALSE))),"")</f>
        <v/>
      </c>
      <c r="I1141" s="14" t="str">
        <f>IFERROR((VLOOKUP($A1141,'[1]import success seats course'!$A:W,HLOOKUP('[1]Course Totals'!I$4,'[1]import success seats course'!$1:$2,2,FALSE),FALSE)/(VLOOKUP($A1141,'[1]import graded seats course pivo'!$A:AG,HLOOKUP('[1]Course Totals'!I$4,'[1]import graded seats course pivo'!$1:$2,2,FALSE),FALSE))),"")</f>
        <v/>
      </c>
      <c r="J1141" s="14" t="str">
        <f>IFERROR((VLOOKUP($A1141,'[1]import success seats course'!$A:X,HLOOKUP('[1]Course Totals'!J$4,'[1]import success seats course'!$1:$2,2,FALSE),FALSE)/(VLOOKUP($A1141,'[1]import graded seats course pivo'!$A:AH,HLOOKUP('[1]Course Totals'!J$4,'[1]import graded seats course pivo'!$1:$2,2,FALSE),FALSE))),"")</f>
        <v/>
      </c>
      <c r="K1141" s="14" t="str">
        <f>IFERROR((VLOOKUP($A1141,'[1]import success seats course'!$A:Y,HLOOKUP('[1]Course Totals'!K$4,'[1]import success seats course'!$1:$2,2,FALSE),FALSE)/(VLOOKUP($A1141,'[1]import graded seats course pivo'!$A:AI,HLOOKUP('[1]Course Totals'!K$4,'[1]import graded seats course pivo'!$1:$2,2,FALSE),FALSE))),"")</f>
        <v/>
      </c>
      <c r="L1141" s="14" t="str">
        <f>IFERROR((VLOOKUP($A1141,'[1]import success seats course'!$A:Z,HLOOKUP('[1]Course Totals'!L$4,'[1]import success seats course'!$1:$2,2,FALSE),FALSE)/(VLOOKUP($A1141,'[1]import graded seats course pivo'!$A:AJ,HLOOKUP('[1]Course Totals'!L$4,'[1]import graded seats course pivo'!$1:$2,2,FALSE),FALSE))),"")</f>
        <v/>
      </c>
      <c r="M1141" s="14" t="str">
        <f>IFERROR((VLOOKUP($A1141,'[1]import success seats course'!$A:AA,HLOOKUP('[1]Course Totals'!M$4,'[1]import success seats course'!$1:$2,2,FALSE),FALSE)/(VLOOKUP($A1141,'[1]import graded seats course pivo'!$A:AK,HLOOKUP('[1]Course Totals'!M$4,'[1]import graded seats course pivo'!$1:$2,2,FALSE),FALSE))),"")</f>
        <v/>
      </c>
      <c r="N1141" s="14" t="str">
        <f>IFERROR((VLOOKUP($A1141,'[1]import success seats course'!$A:AB,HLOOKUP('[1]Course Totals'!N$4,'[1]import success seats course'!$1:$2,2,FALSE),FALSE)/(VLOOKUP($A1141,'[1]import graded seats course pivo'!$A:AL,HLOOKUP('[1]Course Totals'!N$4,'[1]import graded seats course pivo'!$1:$2,2,FALSE),FALSE))),"")</f>
        <v/>
      </c>
      <c r="O1141" s="14" t="str">
        <f>IFERROR((VLOOKUP($A1141,'[1]import success seats course'!$A:AC,HLOOKUP('[1]Course Totals'!O$4,'[1]import success seats course'!$1:$2,2,FALSE),FALSE)/(VLOOKUP($A1141,'[1]import graded seats course pivo'!$A:AM,HLOOKUP('[1]Course Totals'!O$4,'[1]import graded seats course pivo'!$1:$2,2,FALSE),FALSE))),"")</f>
        <v/>
      </c>
      <c r="P1141" s="14" t="str">
        <f>IFERROR((VLOOKUP($A1141,'[1]import success seats course'!$A:AD,HLOOKUP('[1]Course Totals'!P$4,'[1]import success seats course'!$1:$2,2,FALSE),FALSE)/(VLOOKUP($A1141,'[1]import graded seats course pivo'!$A:AN,HLOOKUP('[1]Course Totals'!P$4,'[1]import graded seats course pivo'!$1:$2,2,FALSE),FALSE))),"")</f>
        <v/>
      </c>
      <c r="Q1141" s="14" t="str">
        <f>IFERROR((VLOOKUP($A1141,'[1]import success seats course'!$A:AE,HLOOKUP('[1]Course Totals'!Q$4,'[1]import success seats course'!$1:$2,2,FALSE),FALSE)/(VLOOKUP($A1141,'[1]import graded seats course pivo'!$A:AO,HLOOKUP('[1]Course Totals'!Q$4,'[1]import graded seats course pivo'!$1:$2,2,FALSE),FALSE))),"")</f>
        <v/>
      </c>
      <c r="R1141" s="14" t="str">
        <f>IFERROR((VLOOKUP($A1141,'[1]import success seats course'!$A:AF,HLOOKUP('[1]Course Totals'!R$4,'[1]import success seats course'!$1:$2,2,FALSE),FALSE)/(VLOOKUP($A1141,'[1]import graded seats course pivo'!$A:AP,HLOOKUP('[1]Course Totals'!R$4,'[1]import graded seats course pivo'!$1:$2,2,FALSE),FALSE))),"")</f>
        <v/>
      </c>
      <c r="S1141" s="14" t="str">
        <f>IFERROR((VLOOKUP($A1141,'[1]import success seats course'!$A:AG,HLOOKUP('[1]Course Totals'!S$4,'[1]import success seats course'!$1:$2,2,FALSE),FALSE)/(VLOOKUP($A1141,'[1]import graded seats course pivo'!$A:AQ,HLOOKUP('[1]Course Totals'!S$4,'[1]import graded seats course pivo'!$1:$2,2,FALSE),FALSE))),"")</f>
        <v/>
      </c>
      <c r="Z1141" s="7"/>
      <c r="AA1141" s="7"/>
      <c r="AB1141" s="7"/>
      <c r="AC1141" s="7"/>
    </row>
    <row r="1142" spans="1:29" x14ac:dyDescent="0.25">
      <c r="A1142" s="12" t="s">
        <v>543</v>
      </c>
      <c r="B1142" s="14" t="str">
        <f>IFERROR((VLOOKUP($A1142,'[1]import success seats course'!$A:P,HLOOKUP('[1]Course Totals'!B$4,'[1]import success seats course'!$1:$2,2,FALSE),FALSE)/(VLOOKUP($A1142,'[1]import graded seats course pivo'!$A:Z,HLOOKUP('[1]Course Totals'!B$4,'[1]import graded seats course pivo'!$1:$2,2,FALSE),FALSE))),"")</f>
        <v/>
      </c>
      <c r="C1142" s="14">
        <f>IFERROR((VLOOKUP($A1142,'[1]import success seats course'!$A:Q,HLOOKUP('[1]Course Totals'!C$4,'[1]import success seats course'!$1:$2,2,FALSE),FALSE)/(VLOOKUP($A1142,'[1]import graded seats course pivo'!$A:AA,HLOOKUP('[1]Course Totals'!C$4,'[1]import graded seats course pivo'!$1:$2,2,FALSE),FALSE))),"")</f>
        <v>0.875</v>
      </c>
      <c r="D1142" s="14">
        <f>IFERROR((VLOOKUP($A1142,'[1]import success seats course'!$A:R,HLOOKUP('[1]Course Totals'!D$4,'[1]import success seats course'!$1:$2,2,FALSE),FALSE)/(VLOOKUP($A1142,'[1]import graded seats course pivo'!$A:AB,HLOOKUP('[1]Course Totals'!D$4,'[1]import graded seats course pivo'!$1:$2,2,FALSE),FALSE))),"")</f>
        <v>0.91666666666666663</v>
      </c>
      <c r="E1142" s="14" t="str">
        <f>IFERROR((VLOOKUP($A1142,'[1]import success seats course'!$A:S,HLOOKUP('[1]Course Totals'!E$4,'[1]import success seats course'!$1:$2,2,FALSE),FALSE)/(VLOOKUP($A1142,'[1]import graded seats course pivo'!$A:AC,HLOOKUP('[1]Course Totals'!E$4,'[1]import graded seats course pivo'!$1:$2,2,FALSE),FALSE))),"")</f>
        <v/>
      </c>
      <c r="F1142" s="14">
        <f>IFERROR((VLOOKUP($A1142,'[1]import success seats course'!$A:T,HLOOKUP('[1]Course Totals'!F$4,'[1]import success seats course'!$1:$2,2,FALSE),FALSE)/(VLOOKUP($A1142,'[1]import graded seats course pivo'!$A:AD,HLOOKUP('[1]Course Totals'!F$4,'[1]import graded seats course pivo'!$1:$2,2,FALSE),FALSE))),"")</f>
        <v>0.96590909090909094</v>
      </c>
      <c r="G1142" s="14">
        <f>IFERROR((VLOOKUP($A1142,'[1]import success seats course'!$A:U,HLOOKUP('[1]Course Totals'!G$4,'[1]import success seats course'!$1:$2,2,FALSE),FALSE)/(VLOOKUP($A1142,'[1]import graded seats course pivo'!$A:AE,HLOOKUP('[1]Course Totals'!G$4,'[1]import graded seats course pivo'!$1:$2,2,FALSE),FALSE))),"")</f>
        <v>0.95744680851063835</v>
      </c>
      <c r="H1142" s="14" t="str">
        <f>IFERROR((VLOOKUP($A1142,'[1]import success seats course'!$A:V,HLOOKUP('[1]Course Totals'!H$4,'[1]import success seats course'!$1:$2,2,FALSE),FALSE)/(VLOOKUP($A1142,'[1]import graded seats course pivo'!$A:AF,HLOOKUP('[1]Course Totals'!H$4,'[1]import graded seats course pivo'!$1:$2,2,FALSE),FALSE))),"")</f>
        <v/>
      </c>
      <c r="I1142" s="14">
        <f>IFERROR((VLOOKUP($A1142,'[1]import success seats course'!$A:W,HLOOKUP('[1]Course Totals'!I$4,'[1]import success seats course'!$1:$2,2,FALSE),FALSE)/(VLOOKUP($A1142,'[1]import graded seats course pivo'!$A:AG,HLOOKUP('[1]Course Totals'!I$4,'[1]import graded seats course pivo'!$1:$2,2,FALSE),FALSE))),"")</f>
        <v>0.97777777777777775</v>
      </c>
      <c r="J1142" s="14" t="str">
        <f>IFERROR((VLOOKUP($A1142,'[1]import success seats course'!$A:X,HLOOKUP('[1]Course Totals'!J$4,'[1]import success seats course'!$1:$2,2,FALSE),FALSE)/(VLOOKUP($A1142,'[1]import graded seats course pivo'!$A:AH,HLOOKUP('[1]Course Totals'!J$4,'[1]import graded seats course pivo'!$1:$2,2,FALSE),FALSE))),"")</f>
        <v/>
      </c>
      <c r="K1142" s="14" t="str">
        <f>IFERROR((VLOOKUP($A1142,'[1]import success seats course'!$A:Y,HLOOKUP('[1]Course Totals'!K$4,'[1]import success seats course'!$1:$2,2,FALSE),FALSE)/(VLOOKUP($A1142,'[1]import graded seats course pivo'!$A:AI,HLOOKUP('[1]Course Totals'!K$4,'[1]import graded seats course pivo'!$1:$2,2,FALSE),FALSE))),"")</f>
        <v/>
      </c>
      <c r="L1142" s="14" t="str">
        <f>IFERROR((VLOOKUP($A1142,'[1]import success seats course'!$A:Z,HLOOKUP('[1]Course Totals'!L$4,'[1]import success seats course'!$1:$2,2,FALSE),FALSE)/(VLOOKUP($A1142,'[1]import graded seats course pivo'!$A:AJ,HLOOKUP('[1]Course Totals'!L$4,'[1]import graded seats course pivo'!$1:$2,2,FALSE),FALSE))),"")</f>
        <v/>
      </c>
      <c r="M1142" s="14" t="str">
        <f>IFERROR((VLOOKUP($A1142,'[1]import success seats course'!$A:AA,HLOOKUP('[1]Course Totals'!M$4,'[1]import success seats course'!$1:$2,2,FALSE),FALSE)/(VLOOKUP($A1142,'[1]import graded seats course pivo'!$A:AK,HLOOKUP('[1]Course Totals'!M$4,'[1]import graded seats course pivo'!$1:$2,2,FALSE),FALSE))),"")</f>
        <v/>
      </c>
      <c r="N1142" s="14" t="str">
        <f>IFERROR((VLOOKUP($A1142,'[1]import success seats course'!$A:AB,HLOOKUP('[1]Course Totals'!N$4,'[1]import success seats course'!$1:$2,2,FALSE),FALSE)/(VLOOKUP($A1142,'[1]import graded seats course pivo'!$A:AL,HLOOKUP('[1]Course Totals'!N$4,'[1]import graded seats course pivo'!$1:$2,2,FALSE),FALSE))),"")</f>
        <v/>
      </c>
      <c r="O1142" s="14" t="str">
        <f>IFERROR((VLOOKUP($A1142,'[1]import success seats course'!$A:AC,HLOOKUP('[1]Course Totals'!O$4,'[1]import success seats course'!$1:$2,2,FALSE),FALSE)/(VLOOKUP($A1142,'[1]import graded seats course pivo'!$A:AM,HLOOKUP('[1]Course Totals'!O$4,'[1]import graded seats course pivo'!$1:$2,2,FALSE),FALSE))),"")</f>
        <v/>
      </c>
      <c r="P1142" s="14" t="str">
        <f>IFERROR((VLOOKUP($A1142,'[1]import success seats course'!$A:AD,HLOOKUP('[1]Course Totals'!P$4,'[1]import success seats course'!$1:$2,2,FALSE),FALSE)/(VLOOKUP($A1142,'[1]import graded seats course pivo'!$A:AN,HLOOKUP('[1]Course Totals'!P$4,'[1]import graded seats course pivo'!$1:$2,2,FALSE),FALSE))),"")</f>
        <v/>
      </c>
      <c r="Q1142" s="14" t="str">
        <f>IFERROR((VLOOKUP($A1142,'[1]import success seats course'!$A:AE,HLOOKUP('[1]Course Totals'!Q$4,'[1]import success seats course'!$1:$2,2,FALSE),FALSE)/(VLOOKUP($A1142,'[1]import graded seats course pivo'!$A:AO,HLOOKUP('[1]Course Totals'!Q$4,'[1]import graded seats course pivo'!$1:$2,2,FALSE),FALSE))),"")</f>
        <v/>
      </c>
      <c r="R1142" s="14" t="str">
        <f>IFERROR((VLOOKUP($A1142,'[1]import success seats course'!$A:AF,HLOOKUP('[1]Course Totals'!R$4,'[1]import success seats course'!$1:$2,2,FALSE),FALSE)/(VLOOKUP($A1142,'[1]import graded seats course pivo'!$A:AP,HLOOKUP('[1]Course Totals'!R$4,'[1]import graded seats course pivo'!$1:$2,2,FALSE),FALSE))),"")</f>
        <v/>
      </c>
      <c r="S1142" s="14" t="str">
        <f>IFERROR((VLOOKUP($A1142,'[1]import success seats course'!$A:AG,HLOOKUP('[1]Course Totals'!S$4,'[1]import success seats course'!$1:$2,2,FALSE),FALSE)/(VLOOKUP($A1142,'[1]import graded seats course pivo'!$A:AQ,HLOOKUP('[1]Course Totals'!S$4,'[1]import graded seats course pivo'!$1:$2,2,FALSE),FALSE))),"")</f>
        <v/>
      </c>
      <c r="Z1142" s="7"/>
      <c r="AA1142" s="7"/>
      <c r="AB1142" s="7"/>
      <c r="AC1142" s="7"/>
    </row>
    <row r="1143" spans="1:29" x14ac:dyDescent="0.25">
      <c r="A1143" s="12" t="s">
        <v>761</v>
      </c>
      <c r="B1143" s="14" t="str">
        <f>IFERROR((VLOOKUP($A1143,'[1]import success seats course'!$A:P,HLOOKUP('[1]Course Totals'!B$4,'[1]import success seats course'!$1:$2,2,FALSE),FALSE)/(VLOOKUP($A1143,'[1]import graded seats course pivo'!$A:Z,HLOOKUP('[1]Course Totals'!B$4,'[1]import graded seats course pivo'!$1:$2,2,FALSE),FALSE))),"")</f>
        <v/>
      </c>
      <c r="C1143" s="14" t="str">
        <f>IFERROR((VLOOKUP($A1143,'[1]import success seats course'!$A:Q,HLOOKUP('[1]Course Totals'!C$4,'[1]import success seats course'!$1:$2,2,FALSE),FALSE)/(VLOOKUP($A1143,'[1]import graded seats course pivo'!$A:AA,HLOOKUP('[1]Course Totals'!C$4,'[1]import graded seats course pivo'!$1:$2,2,FALSE),FALSE))),"")</f>
        <v/>
      </c>
      <c r="D1143" s="14" t="str">
        <f>IFERROR((VLOOKUP($A1143,'[1]import success seats course'!$A:R,HLOOKUP('[1]Course Totals'!D$4,'[1]import success seats course'!$1:$2,2,FALSE),FALSE)/(VLOOKUP($A1143,'[1]import graded seats course pivo'!$A:AB,HLOOKUP('[1]Course Totals'!D$4,'[1]import graded seats course pivo'!$1:$2,2,FALSE),FALSE))),"")</f>
        <v/>
      </c>
      <c r="E1143" s="14" t="str">
        <f>IFERROR((VLOOKUP($A1143,'[1]import success seats course'!$A:S,HLOOKUP('[1]Course Totals'!E$4,'[1]import success seats course'!$1:$2,2,FALSE),FALSE)/(VLOOKUP($A1143,'[1]import graded seats course pivo'!$A:AC,HLOOKUP('[1]Course Totals'!E$4,'[1]import graded seats course pivo'!$1:$2,2,FALSE),FALSE))),"")</f>
        <v/>
      </c>
      <c r="F1143" s="14" t="str">
        <f>IFERROR((VLOOKUP($A1143,'[1]import success seats course'!$A:T,HLOOKUP('[1]Course Totals'!F$4,'[1]import success seats course'!$1:$2,2,FALSE),FALSE)/(VLOOKUP($A1143,'[1]import graded seats course pivo'!$A:AD,HLOOKUP('[1]Course Totals'!F$4,'[1]import graded seats course pivo'!$1:$2,2,FALSE),FALSE))),"")</f>
        <v/>
      </c>
      <c r="G1143" s="14" t="str">
        <f>IFERROR((VLOOKUP($A1143,'[1]import success seats course'!$A:U,HLOOKUP('[1]Course Totals'!G$4,'[1]import success seats course'!$1:$2,2,FALSE),FALSE)/(VLOOKUP($A1143,'[1]import graded seats course pivo'!$A:AE,HLOOKUP('[1]Course Totals'!G$4,'[1]import graded seats course pivo'!$1:$2,2,FALSE),FALSE))),"")</f>
        <v/>
      </c>
      <c r="H1143" s="14" t="str">
        <f>IFERROR((VLOOKUP($A1143,'[1]import success seats course'!$A:V,HLOOKUP('[1]Course Totals'!H$4,'[1]import success seats course'!$1:$2,2,FALSE),FALSE)/(VLOOKUP($A1143,'[1]import graded seats course pivo'!$A:AF,HLOOKUP('[1]Course Totals'!H$4,'[1]import graded seats course pivo'!$1:$2,2,FALSE),FALSE))),"")</f>
        <v/>
      </c>
      <c r="I1143" s="14">
        <f>IFERROR((VLOOKUP($A1143,'[1]import success seats course'!$A:W,HLOOKUP('[1]Course Totals'!I$4,'[1]import success seats course'!$1:$2,2,FALSE),FALSE)/(VLOOKUP($A1143,'[1]import graded seats course pivo'!$A:AG,HLOOKUP('[1]Course Totals'!I$4,'[1]import graded seats course pivo'!$1:$2,2,FALSE),FALSE))),"")</f>
        <v>0.97619047619047616</v>
      </c>
      <c r="J1143" s="14" t="str">
        <f>IFERROR((VLOOKUP($A1143,'[1]import success seats course'!$A:X,HLOOKUP('[1]Course Totals'!J$4,'[1]import success seats course'!$1:$2,2,FALSE),FALSE)/(VLOOKUP($A1143,'[1]import graded seats course pivo'!$A:AH,HLOOKUP('[1]Course Totals'!J$4,'[1]import graded seats course pivo'!$1:$2,2,FALSE),FALSE))),"")</f>
        <v/>
      </c>
      <c r="K1143" s="14" t="str">
        <f>IFERROR((VLOOKUP($A1143,'[1]import success seats course'!$A:Y,HLOOKUP('[1]Course Totals'!K$4,'[1]import success seats course'!$1:$2,2,FALSE),FALSE)/(VLOOKUP($A1143,'[1]import graded seats course pivo'!$A:AI,HLOOKUP('[1]Course Totals'!K$4,'[1]import graded seats course pivo'!$1:$2,2,FALSE),FALSE))),"")</f>
        <v/>
      </c>
      <c r="L1143" s="14" t="str">
        <f>IFERROR((VLOOKUP($A1143,'[1]import success seats course'!$A:Z,HLOOKUP('[1]Course Totals'!L$4,'[1]import success seats course'!$1:$2,2,FALSE),FALSE)/(VLOOKUP($A1143,'[1]import graded seats course pivo'!$A:AJ,HLOOKUP('[1]Course Totals'!L$4,'[1]import graded seats course pivo'!$1:$2,2,FALSE),FALSE))),"")</f>
        <v/>
      </c>
      <c r="M1143" s="14" t="str">
        <f>IFERROR((VLOOKUP($A1143,'[1]import success seats course'!$A:AA,HLOOKUP('[1]Course Totals'!M$4,'[1]import success seats course'!$1:$2,2,FALSE),FALSE)/(VLOOKUP($A1143,'[1]import graded seats course pivo'!$A:AK,HLOOKUP('[1]Course Totals'!M$4,'[1]import graded seats course pivo'!$1:$2,2,FALSE),FALSE))),"")</f>
        <v/>
      </c>
      <c r="N1143" s="14" t="str">
        <f>IFERROR((VLOOKUP($A1143,'[1]import success seats course'!$A:AB,HLOOKUP('[1]Course Totals'!N$4,'[1]import success seats course'!$1:$2,2,FALSE),FALSE)/(VLOOKUP($A1143,'[1]import graded seats course pivo'!$A:AL,HLOOKUP('[1]Course Totals'!N$4,'[1]import graded seats course pivo'!$1:$2,2,FALSE),FALSE))),"")</f>
        <v/>
      </c>
      <c r="O1143" s="14" t="str">
        <f>IFERROR((VLOOKUP($A1143,'[1]import success seats course'!$A:AC,HLOOKUP('[1]Course Totals'!O$4,'[1]import success seats course'!$1:$2,2,FALSE),FALSE)/(VLOOKUP($A1143,'[1]import graded seats course pivo'!$A:AM,HLOOKUP('[1]Course Totals'!O$4,'[1]import graded seats course pivo'!$1:$2,2,FALSE),FALSE))),"")</f>
        <v/>
      </c>
      <c r="P1143" s="14" t="str">
        <f>IFERROR((VLOOKUP($A1143,'[1]import success seats course'!$A:AD,HLOOKUP('[1]Course Totals'!P$4,'[1]import success seats course'!$1:$2,2,FALSE),FALSE)/(VLOOKUP($A1143,'[1]import graded seats course pivo'!$A:AN,HLOOKUP('[1]Course Totals'!P$4,'[1]import graded seats course pivo'!$1:$2,2,FALSE),FALSE))),"")</f>
        <v/>
      </c>
      <c r="Q1143" s="14" t="str">
        <f>IFERROR((VLOOKUP($A1143,'[1]import success seats course'!$A:AE,HLOOKUP('[1]Course Totals'!Q$4,'[1]import success seats course'!$1:$2,2,FALSE),FALSE)/(VLOOKUP($A1143,'[1]import graded seats course pivo'!$A:AO,HLOOKUP('[1]Course Totals'!Q$4,'[1]import graded seats course pivo'!$1:$2,2,FALSE),FALSE))),"")</f>
        <v/>
      </c>
      <c r="R1143" s="14" t="str">
        <f>IFERROR((VLOOKUP($A1143,'[1]import success seats course'!$A:AF,HLOOKUP('[1]Course Totals'!R$4,'[1]import success seats course'!$1:$2,2,FALSE),FALSE)/(VLOOKUP($A1143,'[1]import graded seats course pivo'!$A:AP,HLOOKUP('[1]Course Totals'!R$4,'[1]import graded seats course pivo'!$1:$2,2,FALSE),FALSE))),"")</f>
        <v/>
      </c>
      <c r="S1143" s="14" t="str">
        <f>IFERROR((VLOOKUP($A1143,'[1]import success seats course'!$A:AG,HLOOKUP('[1]Course Totals'!S$4,'[1]import success seats course'!$1:$2,2,FALSE),FALSE)/(VLOOKUP($A1143,'[1]import graded seats course pivo'!$A:AQ,HLOOKUP('[1]Course Totals'!S$4,'[1]import graded seats course pivo'!$1:$2,2,FALSE),FALSE))),"")</f>
        <v/>
      </c>
      <c r="Z1143" s="7"/>
      <c r="AA1143" s="7"/>
      <c r="AB1143" s="7"/>
      <c r="AC1143" s="7"/>
    </row>
    <row r="1144" spans="1:29" x14ac:dyDescent="0.25">
      <c r="A1144" s="12" t="s">
        <v>544</v>
      </c>
      <c r="B1144" s="14" t="str">
        <f>IFERROR((VLOOKUP($A1144,'[1]import success seats course'!$A:P,HLOOKUP('[1]Course Totals'!B$4,'[1]import success seats course'!$1:$2,2,FALSE),FALSE)/(VLOOKUP($A1144,'[1]import graded seats course pivo'!$A:Z,HLOOKUP('[1]Course Totals'!B$4,'[1]import graded seats course pivo'!$1:$2,2,FALSE),FALSE))),"")</f>
        <v/>
      </c>
      <c r="C1144" s="14">
        <f>IFERROR((VLOOKUP($A1144,'[1]import success seats course'!$A:Q,HLOOKUP('[1]Course Totals'!C$4,'[1]import success seats course'!$1:$2,2,FALSE),FALSE)/(VLOOKUP($A1144,'[1]import graded seats course pivo'!$A:AA,HLOOKUP('[1]Course Totals'!C$4,'[1]import graded seats course pivo'!$1:$2,2,FALSE),FALSE))),"")</f>
        <v>0.97222222222222221</v>
      </c>
      <c r="D1144" s="14" t="str">
        <f>IFERROR((VLOOKUP($A1144,'[1]import success seats course'!$A:R,HLOOKUP('[1]Course Totals'!D$4,'[1]import success seats course'!$1:$2,2,FALSE),FALSE)/(VLOOKUP($A1144,'[1]import graded seats course pivo'!$A:AB,HLOOKUP('[1]Course Totals'!D$4,'[1]import graded seats course pivo'!$1:$2,2,FALSE),FALSE))),"")</f>
        <v/>
      </c>
      <c r="E1144" s="14" t="str">
        <f>IFERROR((VLOOKUP($A1144,'[1]import success seats course'!$A:S,HLOOKUP('[1]Course Totals'!E$4,'[1]import success seats course'!$1:$2,2,FALSE),FALSE)/(VLOOKUP($A1144,'[1]import graded seats course pivo'!$A:AC,HLOOKUP('[1]Course Totals'!E$4,'[1]import graded seats course pivo'!$1:$2,2,FALSE),FALSE))),"")</f>
        <v/>
      </c>
      <c r="F1144" s="14">
        <f>IFERROR((VLOOKUP($A1144,'[1]import success seats course'!$A:T,HLOOKUP('[1]Course Totals'!F$4,'[1]import success seats course'!$1:$2,2,FALSE),FALSE)/(VLOOKUP($A1144,'[1]import graded seats course pivo'!$A:AD,HLOOKUP('[1]Course Totals'!F$4,'[1]import graded seats course pivo'!$1:$2,2,FALSE),FALSE))),"")</f>
        <v>0.87179487179487181</v>
      </c>
      <c r="G1144" s="14" t="str">
        <f>IFERROR((VLOOKUP($A1144,'[1]import success seats course'!$A:U,HLOOKUP('[1]Course Totals'!G$4,'[1]import success seats course'!$1:$2,2,FALSE),FALSE)/(VLOOKUP($A1144,'[1]import graded seats course pivo'!$A:AE,HLOOKUP('[1]Course Totals'!G$4,'[1]import graded seats course pivo'!$1:$2,2,FALSE),FALSE))),"")</f>
        <v/>
      </c>
      <c r="H1144" s="14" t="str">
        <f>IFERROR((VLOOKUP($A1144,'[1]import success seats course'!$A:V,HLOOKUP('[1]Course Totals'!H$4,'[1]import success seats course'!$1:$2,2,FALSE),FALSE)/(VLOOKUP($A1144,'[1]import graded seats course pivo'!$A:AF,HLOOKUP('[1]Course Totals'!H$4,'[1]import graded seats course pivo'!$1:$2,2,FALSE),FALSE))),"")</f>
        <v/>
      </c>
      <c r="I1144" s="14">
        <f>IFERROR((VLOOKUP($A1144,'[1]import success seats course'!$A:W,HLOOKUP('[1]Course Totals'!I$4,'[1]import success seats course'!$1:$2,2,FALSE),FALSE)/(VLOOKUP($A1144,'[1]import graded seats course pivo'!$A:AG,HLOOKUP('[1]Course Totals'!I$4,'[1]import graded seats course pivo'!$1:$2,2,FALSE),FALSE))),"")</f>
        <v>0.97674418604651159</v>
      </c>
      <c r="J1144" s="14" t="str">
        <f>IFERROR((VLOOKUP($A1144,'[1]import success seats course'!$A:X,HLOOKUP('[1]Course Totals'!J$4,'[1]import success seats course'!$1:$2,2,FALSE),FALSE)/(VLOOKUP($A1144,'[1]import graded seats course pivo'!$A:AH,HLOOKUP('[1]Course Totals'!J$4,'[1]import graded seats course pivo'!$1:$2,2,FALSE),FALSE))),"")</f>
        <v/>
      </c>
      <c r="K1144" s="14" t="str">
        <f>IFERROR((VLOOKUP($A1144,'[1]import success seats course'!$A:Y,HLOOKUP('[1]Course Totals'!K$4,'[1]import success seats course'!$1:$2,2,FALSE),FALSE)/(VLOOKUP($A1144,'[1]import graded seats course pivo'!$A:AI,HLOOKUP('[1]Course Totals'!K$4,'[1]import graded seats course pivo'!$1:$2,2,FALSE),FALSE))),"")</f>
        <v/>
      </c>
      <c r="L1144" s="14">
        <f>IFERROR((VLOOKUP($A1144,'[1]import success seats course'!$A:Z,HLOOKUP('[1]Course Totals'!L$4,'[1]import success seats course'!$1:$2,2,FALSE),FALSE)/(VLOOKUP($A1144,'[1]import graded seats course pivo'!$A:AJ,HLOOKUP('[1]Course Totals'!L$4,'[1]import graded seats course pivo'!$1:$2,2,FALSE),FALSE))),"")</f>
        <v>0.97727272727272729</v>
      </c>
      <c r="M1144" s="14" t="str">
        <f>IFERROR((VLOOKUP($A1144,'[1]import success seats course'!$A:AA,HLOOKUP('[1]Course Totals'!M$4,'[1]import success seats course'!$1:$2,2,FALSE),FALSE)/(VLOOKUP($A1144,'[1]import graded seats course pivo'!$A:AK,HLOOKUP('[1]Course Totals'!M$4,'[1]import graded seats course pivo'!$1:$2,2,FALSE),FALSE))),"")</f>
        <v/>
      </c>
      <c r="N1144" s="14" t="str">
        <f>IFERROR((VLOOKUP($A1144,'[1]import success seats course'!$A:AB,HLOOKUP('[1]Course Totals'!N$4,'[1]import success seats course'!$1:$2,2,FALSE),FALSE)/(VLOOKUP($A1144,'[1]import graded seats course pivo'!$A:AL,HLOOKUP('[1]Course Totals'!N$4,'[1]import graded seats course pivo'!$1:$2,2,FALSE),FALSE))),"")</f>
        <v/>
      </c>
      <c r="O1144" s="14">
        <f>IFERROR((VLOOKUP($A1144,'[1]import success seats course'!$A:AC,HLOOKUP('[1]Course Totals'!O$4,'[1]import success seats course'!$1:$2,2,FALSE),FALSE)/(VLOOKUP($A1144,'[1]import graded seats course pivo'!$A:AM,HLOOKUP('[1]Course Totals'!O$4,'[1]import graded seats course pivo'!$1:$2,2,FALSE),FALSE))),"")</f>
        <v>1</v>
      </c>
      <c r="P1144" s="14" t="str">
        <f>IFERROR((VLOOKUP($A1144,'[1]import success seats course'!$A:AD,HLOOKUP('[1]Course Totals'!P$4,'[1]import success seats course'!$1:$2,2,FALSE),FALSE)/(VLOOKUP($A1144,'[1]import graded seats course pivo'!$A:AN,HLOOKUP('[1]Course Totals'!P$4,'[1]import graded seats course pivo'!$1:$2,2,FALSE),FALSE))),"")</f>
        <v/>
      </c>
      <c r="Q1144" s="14" t="str">
        <f>IFERROR((VLOOKUP($A1144,'[1]import success seats course'!$A:AE,HLOOKUP('[1]Course Totals'!Q$4,'[1]import success seats course'!$1:$2,2,FALSE),FALSE)/(VLOOKUP($A1144,'[1]import graded seats course pivo'!$A:AO,HLOOKUP('[1]Course Totals'!Q$4,'[1]import graded seats course pivo'!$1:$2,2,FALSE),FALSE))),"")</f>
        <v/>
      </c>
      <c r="R1144" s="14">
        <f>IFERROR((VLOOKUP($A1144,'[1]import success seats course'!$A:AF,HLOOKUP('[1]Course Totals'!R$4,'[1]import success seats course'!$1:$2,2,FALSE),FALSE)/(VLOOKUP($A1144,'[1]import graded seats course pivo'!$A:AP,HLOOKUP('[1]Course Totals'!R$4,'[1]import graded seats course pivo'!$1:$2,2,FALSE),FALSE))),"")</f>
        <v>0.84</v>
      </c>
      <c r="S1144" s="14" t="str">
        <f>IFERROR((VLOOKUP($A1144,'[1]import success seats course'!$A:AG,HLOOKUP('[1]Course Totals'!S$4,'[1]import success seats course'!$1:$2,2,FALSE),FALSE)/(VLOOKUP($A1144,'[1]import graded seats course pivo'!$A:AQ,HLOOKUP('[1]Course Totals'!S$4,'[1]import graded seats course pivo'!$1:$2,2,FALSE),FALSE))),"")</f>
        <v/>
      </c>
      <c r="Z1144" s="7"/>
      <c r="AA1144" s="7"/>
      <c r="AB1144" s="7"/>
      <c r="AC1144" s="7"/>
    </row>
    <row r="1145" spans="1:29" x14ac:dyDescent="0.25">
      <c r="A1145" s="12" t="s">
        <v>958</v>
      </c>
      <c r="B1145" s="14" t="str">
        <f>IFERROR((VLOOKUP($A1145,'[1]import success seats course'!$A:P,HLOOKUP('[1]Course Totals'!B$4,'[1]import success seats course'!$1:$2,2,FALSE),FALSE)/(VLOOKUP($A1145,'[1]import graded seats course pivo'!$A:Z,HLOOKUP('[1]Course Totals'!B$4,'[1]import graded seats course pivo'!$1:$2,2,FALSE),FALSE))),"")</f>
        <v/>
      </c>
      <c r="C1145" s="14" t="str">
        <f>IFERROR((VLOOKUP($A1145,'[1]import success seats course'!$A:Q,HLOOKUP('[1]Course Totals'!C$4,'[1]import success seats course'!$1:$2,2,FALSE),FALSE)/(VLOOKUP($A1145,'[1]import graded seats course pivo'!$A:AA,HLOOKUP('[1]Course Totals'!C$4,'[1]import graded seats course pivo'!$1:$2,2,FALSE),FALSE))),"")</f>
        <v/>
      </c>
      <c r="D1145" s="14">
        <f>IFERROR((VLOOKUP($A1145,'[1]import success seats course'!$A:R,HLOOKUP('[1]Course Totals'!D$4,'[1]import success seats course'!$1:$2,2,FALSE),FALSE)/(VLOOKUP($A1145,'[1]import graded seats course pivo'!$A:AB,HLOOKUP('[1]Course Totals'!D$4,'[1]import graded seats course pivo'!$1:$2,2,FALSE),FALSE))),"")</f>
        <v>0.96551724137931039</v>
      </c>
      <c r="E1145" s="14" t="str">
        <f>IFERROR((VLOOKUP($A1145,'[1]import success seats course'!$A:S,HLOOKUP('[1]Course Totals'!E$4,'[1]import success seats course'!$1:$2,2,FALSE),FALSE)/(VLOOKUP($A1145,'[1]import graded seats course pivo'!$A:AC,HLOOKUP('[1]Course Totals'!E$4,'[1]import graded seats course pivo'!$1:$2,2,FALSE),FALSE))),"")</f>
        <v/>
      </c>
      <c r="F1145" s="14" t="str">
        <f>IFERROR((VLOOKUP($A1145,'[1]import success seats course'!$A:T,HLOOKUP('[1]Course Totals'!F$4,'[1]import success seats course'!$1:$2,2,FALSE),FALSE)/(VLOOKUP($A1145,'[1]import graded seats course pivo'!$A:AD,HLOOKUP('[1]Course Totals'!F$4,'[1]import graded seats course pivo'!$1:$2,2,FALSE),FALSE))),"")</f>
        <v/>
      </c>
      <c r="G1145" s="14">
        <f>IFERROR((VLOOKUP($A1145,'[1]import success seats course'!$A:U,HLOOKUP('[1]Course Totals'!G$4,'[1]import success seats course'!$1:$2,2,FALSE),FALSE)/(VLOOKUP($A1145,'[1]import graded seats course pivo'!$A:AE,HLOOKUP('[1]Course Totals'!G$4,'[1]import graded seats course pivo'!$1:$2,2,FALSE),FALSE))),"")</f>
        <v>0.92</v>
      </c>
      <c r="H1145" s="14" t="str">
        <f>IFERROR((VLOOKUP($A1145,'[1]import success seats course'!$A:V,HLOOKUP('[1]Course Totals'!H$4,'[1]import success seats course'!$1:$2,2,FALSE),FALSE)/(VLOOKUP($A1145,'[1]import graded seats course pivo'!$A:AF,HLOOKUP('[1]Course Totals'!H$4,'[1]import graded seats course pivo'!$1:$2,2,FALSE),FALSE))),"")</f>
        <v/>
      </c>
      <c r="I1145" s="14" t="str">
        <f>IFERROR((VLOOKUP($A1145,'[1]import success seats course'!$A:W,HLOOKUP('[1]Course Totals'!I$4,'[1]import success seats course'!$1:$2,2,FALSE),FALSE)/(VLOOKUP($A1145,'[1]import graded seats course pivo'!$A:AG,HLOOKUP('[1]Course Totals'!I$4,'[1]import graded seats course pivo'!$1:$2,2,FALSE),FALSE))),"")</f>
        <v/>
      </c>
      <c r="J1145" s="14">
        <f>IFERROR((VLOOKUP($A1145,'[1]import success seats course'!$A:X,HLOOKUP('[1]Course Totals'!J$4,'[1]import success seats course'!$1:$2,2,FALSE),FALSE)/(VLOOKUP($A1145,'[1]import graded seats course pivo'!$A:AH,HLOOKUP('[1]Course Totals'!J$4,'[1]import graded seats course pivo'!$1:$2,2,FALSE),FALSE))),"")</f>
        <v>0.96296296296296291</v>
      </c>
      <c r="K1145" s="14" t="str">
        <f>IFERROR((VLOOKUP($A1145,'[1]import success seats course'!$A:Y,HLOOKUP('[1]Course Totals'!K$4,'[1]import success seats course'!$1:$2,2,FALSE),FALSE)/(VLOOKUP($A1145,'[1]import graded seats course pivo'!$A:AI,HLOOKUP('[1]Course Totals'!K$4,'[1]import graded seats course pivo'!$1:$2,2,FALSE),FALSE))),"")</f>
        <v/>
      </c>
      <c r="L1145" s="14" t="str">
        <f>IFERROR((VLOOKUP($A1145,'[1]import success seats course'!$A:Z,HLOOKUP('[1]Course Totals'!L$4,'[1]import success seats course'!$1:$2,2,FALSE),FALSE)/(VLOOKUP($A1145,'[1]import graded seats course pivo'!$A:AJ,HLOOKUP('[1]Course Totals'!L$4,'[1]import graded seats course pivo'!$1:$2,2,FALSE),FALSE))),"")</f>
        <v/>
      </c>
      <c r="M1145" s="14">
        <f>IFERROR((VLOOKUP($A1145,'[1]import success seats course'!$A:AA,HLOOKUP('[1]Course Totals'!M$4,'[1]import success seats course'!$1:$2,2,FALSE),FALSE)/(VLOOKUP($A1145,'[1]import graded seats course pivo'!$A:AK,HLOOKUP('[1]Course Totals'!M$4,'[1]import graded seats course pivo'!$1:$2,2,FALSE),FALSE))),"")</f>
        <v>0.96153846153846156</v>
      </c>
      <c r="N1145" s="14" t="str">
        <f>IFERROR((VLOOKUP($A1145,'[1]import success seats course'!$A:AB,HLOOKUP('[1]Course Totals'!N$4,'[1]import success seats course'!$1:$2,2,FALSE),FALSE)/(VLOOKUP($A1145,'[1]import graded seats course pivo'!$A:AL,HLOOKUP('[1]Course Totals'!N$4,'[1]import graded seats course pivo'!$1:$2,2,FALSE),FALSE))),"")</f>
        <v/>
      </c>
      <c r="O1145" s="14" t="str">
        <f>IFERROR((VLOOKUP($A1145,'[1]import success seats course'!$A:AC,HLOOKUP('[1]Course Totals'!O$4,'[1]import success seats course'!$1:$2,2,FALSE),FALSE)/(VLOOKUP($A1145,'[1]import graded seats course pivo'!$A:AM,HLOOKUP('[1]Course Totals'!O$4,'[1]import graded seats course pivo'!$1:$2,2,FALSE),FALSE))),"")</f>
        <v/>
      </c>
      <c r="P1145" s="14">
        <f>IFERROR((VLOOKUP($A1145,'[1]import success seats course'!$A:AD,HLOOKUP('[1]Course Totals'!P$4,'[1]import success seats course'!$1:$2,2,FALSE),FALSE)/(VLOOKUP($A1145,'[1]import graded seats course pivo'!$A:AN,HLOOKUP('[1]Course Totals'!P$4,'[1]import graded seats course pivo'!$1:$2,2,FALSE),FALSE))),"")</f>
        <v>0.94736842105263153</v>
      </c>
      <c r="Q1145" s="14" t="str">
        <f>IFERROR((VLOOKUP($A1145,'[1]import success seats course'!$A:AE,HLOOKUP('[1]Course Totals'!Q$4,'[1]import success seats course'!$1:$2,2,FALSE),FALSE)/(VLOOKUP($A1145,'[1]import graded seats course pivo'!$A:AO,HLOOKUP('[1]Course Totals'!Q$4,'[1]import graded seats course pivo'!$1:$2,2,FALSE),FALSE))),"")</f>
        <v/>
      </c>
      <c r="R1145" s="14" t="str">
        <f>IFERROR((VLOOKUP($A1145,'[1]import success seats course'!$A:AF,HLOOKUP('[1]Course Totals'!R$4,'[1]import success seats course'!$1:$2,2,FALSE),FALSE)/(VLOOKUP($A1145,'[1]import graded seats course pivo'!$A:AP,HLOOKUP('[1]Course Totals'!R$4,'[1]import graded seats course pivo'!$1:$2,2,FALSE),FALSE))),"")</f>
        <v/>
      </c>
      <c r="S1145" s="14">
        <f>IFERROR((VLOOKUP($A1145,'[1]import success seats course'!$A:AG,HLOOKUP('[1]Course Totals'!S$4,'[1]import success seats course'!$1:$2,2,FALSE),FALSE)/(VLOOKUP($A1145,'[1]import graded seats course pivo'!$A:AQ,HLOOKUP('[1]Course Totals'!S$4,'[1]import graded seats course pivo'!$1:$2,2,FALSE),FALSE))),"")</f>
        <v>0.93333333333333335</v>
      </c>
      <c r="Z1145" s="7"/>
      <c r="AA1145" s="7"/>
      <c r="AB1145" s="7"/>
      <c r="AC1145" s="7"/>
    </row>
    <row r="1146" spans="1:29" x14ac:dyDescent="0.25">
      <c r="A1146" s="12" t="s">
        <v>673</v>
      </c>
      <c r="B1146" s="14" t="str">
        <f>IFERROR((VLOOKUP($A1146,'[1]import success seats course'!$A:P,HLOOKUP('[1]Course Totals'!B$4,'[1]import success seats course'!$1:$2,2,FALSE),FALSE)/(VLOOKUP($A1146,'[1]import graded seats course pivo'!$A:Z,HLOOKUP('[1]Course Totals'!B$4,'[1]import graded seats course pivo'!$1:$2,2,FALSE),FALSE))),"")</f>
        <v/>
      </c>
      <c r="C1146" s="14" t="str">
        <f>IFERROR((VLOOKUP($A1146,'[1]import success seats course'!$A:Q,HLOOKUP('[1]Course Totals'!C$4,'[1]import success seats course'!$1:$2,2,FALSE),FALSE)/(VLOOKUP($A1146,'[1]import graded seats course pivo'!$A:AA,HLOOKUP('[1]Course Totals'!C$4,'[1]import graded seats course pivo'!$1:$2,2,FALSE),FALSE))),"")</f>
        <v/>
      </c>
      <c r="D1146" s="14">
        <f>IFERROR((VLOOKUP($A1146,'[1]import success seats course'!$A:R,HLOOKUP('[1]Course Totals'!D$4,'[1]import success seats course'!$1:$2,2,FALSE),FALSE)/(VLOOKUP($A1146,'[1]import graded seats course pivo'!$A:AB,HLOOKUP('[1]Course Totals'!D$4,'[1]import graded seats course pivo'!$1:$2,2,FALSE),FALSE))),"")</f>
        <v>0.90476190476190477</v>
      </c>
      <c r="E1146" s="14" t="str">
        <f>IFERROR((VLOOKUP($A1146,'[1]import success seats course'!$A:S,HLOOKUP('[1]Course Totals'!E$4,'[1]import success seats course'!$1:$2,2,FALSE),FALSE)/(VLOOKUP($A1146,'[1]import graded seats course pivo'!$A:AC,HLOOKUP('[1]Course Totals'!E$4,'[1]import graded seats course pivo'!$1:$2,2,FALSE),FALSE))),"")</f>
        <v/>
      </c>
      <c r="F1146" s="14">
        <f>IFERROR((VLOOKUP($A1146,'[1]import success seats course'!$A:T,HLOOKUP('[1]Course Totals'!F$4,'[1]import success seats course'!$1:$2,2,FALSE),FALSE)/(VLOOKUP($A1146,'[1]import graded seats course pivo'!$A:AD,HLOOKUP('[1]Course Totals'!F$4,'[1]import graded seats course pivo'!$1:$2,2,FALSE),FALSE))),"")</f>
        <v>0.88235294117647056</v>
      </c>
      <c r="G1146" s="14">
        <f>IFERROR((VLOOKUP($A1146,'[1]import success seats course'!$A:U,HLOOKUP('[1]Course Totals'!G$4,'[1]import success seats course'!$1:$2,2,FALSE),FALSE)/(VLOOKUP($A1146,'[1]import graded seats course pivo'!$A:AE,HLOOKUP('[1]Course Totals'!G$4,'[1]import graded seats course pivo'!$1:$2,2,FALSE),FALSE))),"")</f>
        <v>0.94736842105263153</v>
      </c>
      <c r="H1146" s="14" t="str">
        <f>IFERROR((VLOOKUP($A1146,'[1]import success seats course'!$A:V,HLOOKUP('[1]Course Totals'!H$4,'[1]import success seats course'!$1:$2,2,FALSE),FALSE)/(VLOOKUP($A1146,'[1]import graded seats course pivo'!$A:AF,HLOOKUP('[1]Course Totals'!H$4,'[1]import graded seats course pivo'!$1:$2,2,FALSE),FALSE))),"")</f>
        <v/>
      </c>
      <c r="I1146" s="14">
        <f>IFERROR((VLOOKUP($A1146,'[1]import success seats course'!$A:W,HLOOKUP('[1]Course Totals'!I$4,'[1]import success seats course'!$1:$2,2,FALSE),FALSE)/(VLOOKUP($A1146,'[1]import graded seats course pivo'!$A:AG,HLOOKUP('[1]Course Totals'!I$4,'[1]import graded seats course pivo'!$1:$2,2,FALSE),FALSE))),"")</f>
        <v>0.82352941176470584</v>
      </c>
      <c r="J1146" s="14" t="str">
        <f>IFERROR((VLOOKUP($A1146,'[1]import success seats course'!$A:X,HLOOKUP('[1]Course Totals'!J$4,'[1]import success seats course'!$1:$2,2,FALSE),FALSE)/(VLOOKUP($A1146,'[1]import graded seats course pivo'!$A:AH,HLOOKUP('[1]Course Totals'!J$4,'[1]import graded seats course pivo'!$1:$2,2,FALSE),FALSE))),"")</f>
        <v/>
      </c>
      <c r="K1146" s="14" t="str">
        <f>IFERROR((VLOOKUP($A1146,'[1]import success seats course'!$A:Y,HLOOKUP('[1]Course Totals'!K$4,'[1]import success seats course'!$1:$2,2,FALSE),FALSE)/(VLOOKUP($A1146,'[1]import graded seats course pivo'!$A:AI,HLOOKUP('[1]Course Totals'!K$4,'[1]import graded seats course pivo'!$1:$2,2,FALSE),FALSE))),"")</f>
        <v/>
      </c>
      <c r="L1146" s="14" t="str">
        <f>IFERROR((VLOOKUP($A1146,'[1]import success seats course'!$A:Z,HLOOKUP('[1]Course Totals'!L$4,'[1]import success seats course'!$1:$2,2,FALSE),FALSE)/(VLOOKUP($A1146,'[1]import graded seats course pivo'!$A:AJ,HLOOKUP('[1]Course Totals'!L$4,'[1]import graded seats course pivo'!$1:$2,2,FALSE),FALSE))),"")</f>
        <v/>
      </c>
      <c r="M1146" s="14">
        <f>IFERROR((VLOOKUP($A1146,'[1]import success seats course'!$A:AA,HLOOKUP('[1]Course Totals'!M$4,'[1]import success seats course'!$1:$2,2,FALSE),FALSE)/(VLOOKUP($A1146,'[1]import graded seats course pivo'!$A:AK,HLOOKUP('[1]Course Totals'!M$4,'[1]import graded seats course pivo'!$1:$2,2,FALSE),FALSE))),"")</f>
        <v>0.89655172413793105</v>
      </c>
      <c r="N1146" s="14" t="str">
        <f>IFERROR((VLOOKUP($A1146,'[1]import success seats course'!$A:AB,HLOOKUP('[1]Course Totals'!N$4,'[1]import success seats course'!$1:$2,2,FALSE),FALSE)/(VLOOKUP($A1146,'[1]import graded seats course pivo'!$A:AL,HLOOKUP('[1]Course Totals'!N$4,'[1]import graded seats course pivo'!$1:$2,2,FALSE),FALSE))),"")</f>
        <v/>
      </c>
      <c r="O1146" s="14" t="str">
        <f>IFERROR((VLOOKUP($A1146,'[1]import success seats course'!$A:AC,HLOOKUP('[1]Course Totals'!O$4,'[1]import success seats course'!$1:$2,2,FALSE),FALSE)/(VLOOKUP($A1146,'[1]import graded seats course pivo'!$A:AM,HLOOKUP('[1]Course Totals'!O$4,'[1]import graded seats course pivo'!$1:$2,2,FALSE),FALSE))),"")</f>
        <v/>
      </c>
      <c r="P1146" s="14">
        <f>IFERROR((VLOOKUP($A1146,'[1]import success seats course'!$A:AD,HLOOKUP('[1]Course Totals'!P$4,'[1]import success seats course'!$1:$2,2,FALSE),FALSE)/(VLOOKUP($A1146,'[1]import graded seats course pivo'!$A:AN,HLOOKUP('[1]Course Totals'!P$4,'[1]import graded seats course pivo'!$1:$2,2,FALSE),FALSE))),"")</f>
        <v>0.93333333333333335</v>
      </c>
      <c r="Q1146" s="14" t="str">
        <f>IFERROR((VLOOKUP($A1146,'[1]import success seats course'!$A:AE,HLOOKUP('[1]Course Totals'!Q$4,'[1]import success seats course'!$1:$2,2,FALSE),FALSE)/(VLOOKUP($A1146,'[1]import graded seats course pivo'!$A:AO,HLOOKUP('[1]Course Totals'!Q$4,'[1]import graded seats course pivo'!$1:$2,2,FALSE),FALSE))),"")</f>
        <v/>
      </c>
      <c r="R1146" s="14" t="str">
        <f>IFERROR((VLOOKUP($A1146,'[1]import success seats course'!$A:AF,HLOOKUP('[1]Course Totals'!R$4,'[1]import success seats course'!$1:$2,2,FALSE),FALSE)/(VLOOKUP($A1146,'[1]import graded seats course pivo'!$A:AP,HLOOKUP('[1]Course Totals'!R$4,'[1]import graded seats course pivo'!$1:$2,2,FALSE),FALSE))),"")</f>
        <v/>
      </c>
      <c r="S1146" s="14" t="str">
        <f>IFERROR((VLOOKUP($A1146,'[1]import success seats course'!$A:AG,HLOOKUP('[1]Course Totals'!S$4,'[1]import success seats course'!$1:$2,2,FALSE),FALSE)/(VLOOKUP($A1146,'[1]import graded seats course pivo'!$A:AQ,HLOOKUP('[1]Course Totals'!S$4,'[1]import graded seats course pivo'!$1:$2,2,FALSE),FALSE))),"")</f>
        <v/>
      </c>
      <c r="Z1146" s="7"/>
      <c r="AA1146" s="7"/>
      <c r="AB1146" s="7"/>
      <c r="AC1146" s="7"/>
    </row>
    <row r="1147" spans="1:29" x14ac:dyDescent="0.25">
      <c r="A1147" s="12" t="s">
        <v>674</v>
      </c>
      <c r="B1147" s="14" t="str">
        <f>IFERROR((VLOOKUP($A1147,'[1]import success seats course'!$A:P,HLOOKUP('[1]Course Totals'!B$4,'[1]import success seats course'!$1:$2,2,FALSE),FALSE)/(VLOOKUP($A1147,'[1]import graded seats course pivo'!$A:Z,HLOOKUP('[1]Course Totals'!B$4,'[1]import graded seats course pivo'!$1:$2,2,FALSE),FALSE))),"")</f>
        <v/>
      </c>
      <c r="C1147" s="14" t="str">
        <f>IFERROR((VLOOKUP($A1147,'[1]import success seats course'!$A:Q,HLOOKUP('[1]Course Totals'!C$4,'[1]import success seats course'!$1:$2,2,FALSE),FALSE)/(VLOOKUP($A1147,'[1]import graded seats course pivo'!$A:AA,HLOOKUP('[1]Course Totals'!C$4,'[1]import graded seats course pivo'!$1:$2,2,FALSE),FALSE))),"")</f>
        <v/>
      </c>
      <c r="D1147" s="14">
        <f>IFERROR((VLOOKUP($A1147,'[1]import success seats course'!$A:R,HLOOKUP('[1]Course Totals'!D$4,'[1]import success seats course'!$1:$2,2,FALSE),FALSE)/(VLOOKUP($A1147,'[1]import graded seats course pivo'!$A:AB,HLOOKUP('[1]Course Totals'!D$4,'[1]import graded seats course pivo'!$1:$2,2,FALSE),FALSE))),"")</f>
        <v>0.77419354838709675</v>
      </c>
      <c r="E1147" s="14" t="str">
        <f>IFERROR((VLOOKUP($A1147,'[1]import success seats course'!$A:S,HLOOKUP('[1]Course Totals'!E$4,'[1]import success seats course'!$1:$2,2,FALSE),FALSE)/(VLOOKUP($A1147,'[1]import graded seats course pivo'!$A:AC,HLOOKUP('[1]Course Totals'!E$4,'[1]import graded seats course pivo'!$1:$2,2,FALSE),FALSE))),"")</f>
        <v/>
      </c>
      <c r="F1147" s="14" t="str">
        <f>IFERROR((VLOOKUP($A1147,'[1]import success seats course'!$A:T,HLOOKUP('[1]Course Totals'!F$4,'[1]import success seats course'!$1:$2,2,FALSE),FALSE)/(VLOOKUP($A1147,'[1]import graded seats course pivo'!$A:AD,HLOOKUP('[1]Course Totals'!F$4,'[1]import graded seats course pivo'!$1:$2,2,FALSE),FALSE))),"")</f>
        <v/>
      </c>
      <c r="G1147" s="14" t="str">
        <f>IFERROR((VLOOKUP($A1147,'[1]import success seats course'!$A:U,HLOOKUP('[1]Course Totals'!G$4,'[1]import success seats course'!$1:$2,2,FALSE),FALSE)/(VLOOKUP($A1147,'[1]import graded seats course pivo'!$A:AE,HLOOKUP('[1]Course Totals'!G$4,'[1]import graded seats course pivo'!$1:$2,2,FALSE),FALSE))),"")</f>
        <v/>
      </c>
      <c r="H1147" s="14" t="str">
        <f>IFERROR((VLOOKUP($A1147,'[1]import success seats course'!$A:V,HLOOKUP('[1]Course Totals'!H$4,'[1]import success seats course'!$1:$2,2,FALSE),FALSE)/(VLOOKUP($A1147,'[1]import graded seats course pivo'!$A:AF,HLOOKUP('[1]Course Totals'!H$4,'[1]import graded seats course pivo'!$1:$2,2,FALSE),FALSE))),"")</f>
        <v/>
      </c>
      <c r="I1147" s="14">
        <f>IFERROR((VLOOKUP($A1147,'[1]import success seats course'!$A:W,HLOOKUP('[1]Course Totals'!I$4,'[1]import success seats course'!$1:$2,2,FALSE),FALSE)/(VLOOKUP($A1147,'[1]import graded seats course pivo'!$A:AG,HLOOKUP('[1]Course Totals'!I$4,'[1]import graded seats course pivo'!$1:$2,2,FALSE),FALSE))),"")</f>
        <v>0.87096774193548387</v>
      </c>
      <c r="J1147" s="14">
        <f>IFERROR((VLOOKUP($A1147,'[1]import success seats course'!$A:X,HLOOKUP('[1]Course Totals'!J$4,'[1]import success seats course'!$1:$2,2,FALSE),FALSE)/(VLOOKUP($A1147,'[1]import graded seats course pivo'!$A:AH,HLOOKUP('[1]Course Totals'!J$4,'[1]import graded seats course pivo'!$1:$2,2,FALSE),FALSE))),"")</f>
        <v>0.86111111111111116</v>
      </c>
      <c r="K1147" s="14" t="str">
        <f>IFERROR((VLOOKUP($A1147,'[1]import success seats course'!$A:Y,HLOOKUP('[1]Course Totals'!K$4,'[1]import success seats course'!$1:$2,2,FALSE),FALSE)/(VLOOKUP($A1147,'[1]import graded seats course pivo'!$A:AI,HLOOKUP('[1]Course Totals'!K$4,'[1]import graded seats course pivo'!$1:$2,2,FALSE),FALSE))),"")</f>
        <v/>
      </c>
      <c r="L1147" s="14">
        <f>IFERROR((VLOOKUP($A1147,'[1]import success seats course'!$A:Z,HLOOKUP('[1]Course Totals'!L$4,'[1]import success seats course'!$1:$2,2,FALSE),FALSE)/(VLOOKUP($A1147,'[1]import graded seats course pivo'!$A:AJ,HLOOKUP('[1]Course Totals'!L$4,'[1]import graded seats course pivo'!$1:$2,2,FALSE),FALSE))),"")</f>
        <v>0.8214285714285714</v>
      </c>
      <c r="M1147" s="14">
        <f>IFERROR((VLOOKUP($A1147,'[1]import success seats course'!$A:AA,HLOOKUP('[1]Course Totals'!M$4,'[1]import success seats course'!$1:$2,2,FALSE),FALSE)/(VLOOKUP($A1147,'[1]import graded seats course pivo'!$A:AK,HLOOKUP('[1]Course Totals'!M$4,'[1]import graded seats course pivo'!$1:$2,2,FALSE),FALSE))),"")</f>
        <v>0.8</v>
      </c>
      <c r="N1147" s="14" t="str">
        <f>IFERROR((VLOOKUP($A1147,'[1]import success seats course'!$A:AB,HLOOKUP('[1]Course Totals'!N$4,'[1]import success seats course'!$1:$2,2,FALSE),FALSE)/(VLOOKUP($A1147,'[1]import graded seats course pivo'!$A:AL,HLOOKUP('[1]Course Totals'!N$4,'[1]import graded seats course pivo'!$1:$2,2,FALSE),FALSE))),"")</f>
        <v/>
      </c>
      <c r="O1147" s="14">
        <f>IFERROR((VLOOKUP($A1147,'[1]import success seats course'!$A:AC,HLOOKUP('[1]Course Totals'!O$4,'[1]import success seats course'!$1:$2,2,FALSE),FALSE)/(VLOOKUP($A1147,'[1]import graded seats course pivo'!$A:AM,HLOOKUP('[1]Course Totals'!O$4,'[1]import graded seats course pivo'!$1:$2,2,FALSE),FALSE))),"")</f>
        <v>0.90909090909090906</v>
      </c>
      <c r="P1147" s="14">
        <f>IFERROR((VLOOKUP($A1147,'[1]import success seats course'!$A:AD,HLOOKUP('[1]Course Totals'!P$4,'[1]import success seats course'!$1:$2,2,FALSE),FALSE)/(VLOOKUP($A1147,'[1]import graded seats course pivo'!$A:AN,HLOOKUP('[1]Course Totals'!P$4,'[1]import graded seats course pivo'!$1:$2,2,FALSE),FALSE))),"")</f>
        <v>0.90909090909090906</v>
      </c>
      <c r="Q1147" s="14" t="str">
        <f>IFERROR((VLOOKUP($A1147,'[1]import success seats course'!$A:AE,HLOOKUP('[1]Course Totals'!Q$4,'[1]import success seats course'!$1:$2,2,FALSE),FALSE)/(VLOOKUP($A1147,'[1]import graded seats course pivo'!$A:AO,HLOOKUP('[1]Course Totals'!Q$4,'[1]import graded seats course pivo'!$1:$2,2,FALSE),FALSE))),"")</f>
        <v/>
      </c>
      <c r="R1147" s="14">
        <f>IFERROR((VLOOKUP($A1147,'[1]import success seats course'!$A:AF,HLOOKUP('[1]Course Totals'!R$4,'[1]import success seats course'!$1:$2,2,FALSE),FALSE)/(VLOOKUP($A1147,'[1]import graded seats course pivo'!$A:AP,HLOOKUP('[1]Course Totals'!R$4,'[1]import graded seats course pivo'!$1:$2,2,FALSE),FALSE))),"")</f>
        <v>0.84615384615384615</v>
      </c>
      <c r="S1147" s="14">
        <f>IFERROR((VLOOKUP($A1147,'[1]import success seats course'!$A:AG,HLOOKUP('[1]Course Totals'!S$4,'[1]import success seats course'!$1:$2,2,FALSE),FALSE)/(VLOOKUP($A1147,'[1]import graded seats course pivo'!$A:AQ,HLOOKUP('[1]Course Totals'!S$4,'[1]import graded seats course pivo'!$1:$2,2,FALSE),FALSE))),"")</f>
        <v>0.8</v>
      </c>
      <c r="Z1147" s="7"/>
      <c r="AA1147" s="7"/>
      <c r="AB1147" s="7"/>
      <c r="AC1147" s="7"/>
    </row>
    <row r="1148" spans="1:29" x14ac:dyDescent="0.25">
      <c r="A1148" s="12" t="s">
        <v>545</v>
      </c>
      <c r="B1148" s="14" t="str">
        <f>IFERROR((VLOOKUP($A1148,'[1]import success seats course'!$A:P,HLOOKUP('[1]Course Totals'!B$4,'[1]import success seats course'!$1:$2,2,FALSE),FALSE)/(VLOOKUP($A1148,'[1]import graded seats course pivo'!$A:Z,HLOOKUP('[1]Course Totals'!B$4,'[1]import graded seats course pivo'!$1:$2,2,FALSE),FALSE))),"")</f>
        <v/>
      </c>
      <c r="C1148" s="14">
        <f>IFERROR((VLOOKUP($A1148,'[1]import success seats course'!$A:Q,HLOOKUP('[1]Course Totals'!C$4,'[1]import success seats course'!$1:$2,2,FALSE),FALSE)/(VLOOKUP($A1148,'[1]import graded seats course pivo'!$A:AA,HLOOKUP('[1]Course Totals'!C$4,'[1]import graded seats course pivo'!$1:$2,2,FALSE),FALSE))),"")</f>
        <v>0.9375</v>
      </c>
      <c r="D1148" s="14" t="str">
        <f>IFERROR((VLOOKUP($A1148,'[1]import success seats course'!$A:R,HLOOKUP('[1]Course Totals'!D$4,'[1]import success seats course'!$1:$2,2,FALSE),FALSE)/(VLOOKUP($A1148,'[1]import graded seats course pivo'!$A:AB,HLOOKUP('[1]Course Totals'!D$4,'[1]import graded seats course pivo'!$1:$2,2,FALSE),FALSE))),"")</f>
        <v/>
      </c>
      <c r="E1148" s="14" t="str">
        <f>IFERROR((VLOOKUP($A1148,'[1]import success seats course'!$A:S,HLOOKUP('[1]Course Totals'!E$4,'[1]import success seats course'!$1:$2,2,FALSE),FALSE)/(VLOOKUP($A1148,'[1]import graded seats course pivo'!$A:AC,HLOOKUP('[1]Course Totals'!E$4,'[1]import graded seats course pivo'!$1:$2,2,FALSE),FALSE))),"")</f>
        <v/>
      </c>
      <c r="F1148" s="14">
        <f>IFERROR((VLOOKUP($A1148,'[1]import success seats course'!$A:T,HLOOKUP('[1]Course Totals'!F$4,'[1]import success seats course'!$1:$2,2,FALSE),FALSE)/(VLOOKUP($A1148,'[1]import graded seats course pivo'!$A:AD,HLOOKUP('[1]Course Totals'!F$4,'[1]import graded seats course pivo'!$1:$2,2,FALSE),FALSE))),"")</f>
        <v>0.97619047619047616</v>
      </c>
      <c r="G1148" s="14">
        <f>IFERROR((VLOOKUP($A1148,'[1]import success seats course'!$A:U,HLOOKUP('[1]Course Totals'!G$4,'[1]import success seats course'!$1:$2,2,FALSE),FALSE)/(VLOOKUP($A1148,'[1]import graded seats course pivo'!$A:AE,HLOOKUP('[1]Course Totals'!G$4,'[1]import graded seats course pivo'!$1:$2,2,FALSE),FALSE))),"")</f>
        <v>0.95454545454545459</v>
      </c>
      <c r="H1148" s="14" t="str">
        <f>IFERROR((VLOOKUP($A1148,'[1]import success seats course'!$A:V,HLOOKUP('[1]Course Totals'!H$4,'[1]import success seats course'!$1:$2,2,FALSE),FALSE)/(VLOOKUP($A1148,'[1]import graded seats course pivo'!$A:AF,HLOOKUP('[1]Course Totals'!H$4,'[1]import graded seats course pivo'!$1:$2,2,FALSE),FALSE))),"")</f>
        <v/>
      </c>
      <c r="I1148" s="14">
        <f>IFERROR((VLOOKUP($A1148,'[1]import success seats course'!$A:W,HLOOKUP('[1]Course Totals'!I$4,'[1]import success seats course'!$1:$2,2,FALSE),FALSE)/(VLOOKUP($A1148,'[1]import graded seats course pivo'!$A:AG,HLOOKUP('[1]Course Totals'!I$4,'[1]import graded seats course pivo'!$1:$2,2,FALSE),FALSE))),"")</f>
        <v>0.95</v>
      </c>
      <c r="J1148" s="14">
        <f>IFERROR((VLOOKUP($A1148,'[1]import success seats course'!$A:X,HLOOKUP('[1]Course Totals'!J$4,'[1]import success seats course'!$1:$2,2,FALSE),FALSE)/(VLOOKUP($A1148,'[1]import graded seats course pivo'!$A:AH,HLOOKUP('[1]Course Totals'!J$4,'[1]import graded seats course pivo'!$1:$2,2,FALSE),FALSE))),"")</f>
        <v>0.91666666666666663</v>
      </c>
      <c r="K1148" s="14" t="str">
        <f>IFERROR((VLOOKUP($A1148,'[1]import success seats course'!$A:Y,HLOOKUP('[1]Course Totals'!K$4,'[1]import success seats course'!$1:$2,2,FALSE),FALSE)/(VLOOKUP($A1148,'[1]import graded seats course pivo'!$A:AI,HLOOKUP('[1]Course Totals'!K$4,'[1]import graded seats course pivo'!$1:$2,2,FALSE),FALSE))),"")</f>
        <v/>
      </c>
      <c r="L1148" s="14">
        <f>IFERROR((VLOOKUP($A1148,'[1]import success seats course'!$A:Z,HLOOKUP('[1]Course Totals'!L$4,'[1]import success seats course'!$1:$2,2,FALSE),FALSE)/(VLOOKUP($A1148,'[1]import graded seats course pivo'!$A:AJ,HLOOKUP('[1]Course Totals'!L$4,'[1]import graded seats course pivo'!$1:$2,2,FALSE),FALSE))),"")</f>
        <v>1</v>
      </c>
      <c r="M1148" s="14">
        <f>IFERROR((VLOOKUP($A1148,'[1]import success seats course'!$A:AA,HLOOKUP('[1]Course Totals'!M$4,'[1]import success seats course'!$1:$2,2,FALSE),FALSE)/(VLOOKUP($A1148,'[1]import graded seats course pivo'!$A:AK,HLOOKUP('[1]Course Totals'!M$4,'[1]import graded seats course pivo'!$1:$2,2,FALSE),FALSE))),"")</f>
        <v>0.8</v>
      </c>
      <c r="N1148" s="14" t="str">
        <f>IFERROR((VLOOKUP($A1148,'[1]import success seats course'!$A:AB,HLOOKUP('[1]Course Totals'!N$4,'[1]import success seats course'!$1:$2,2,FALSE),FALSE)/(VLOOKUP($A1148,'[1]import graded seats course pivo'!$A:AL,HLOOKUP('[1]Course Totals'!N$4,'[1]import graded seats course pivo'!$1:$2,2,FALSE),FALSE))),"")</f>
        <v/>
      </c>
      <c r="O1148" s="14">
        <f>IFERROR((VLOOKUP($A1148,'[1]import success seats course'!$A:AC,HLOOKUP('[1]Course Totals'!O$4,'[1]import success seats course'!$1:$2,2,FALSE),FALSE)/(VLOOKUP($A1148,'[1]import graded seats course pivo'!$A:AM,HLOOKUP('[1]Course Totals'!O$4,'[1]import graded seats course pivo'!$1:$2,2,FALSE),FALSE))),"")</f>
        <v>0.967741935483871</v>
      </c>
      <c r="P1148" s="14">
        <f>IFERROR((VLOOKUP($A1148,'[1]import success seats course'!$A:AD,HLOOKUP('[1]Course Totals'!P$4,'[1]import success seats course'!$1:$2,2,FALSE),FALSE)/(VLOOKUP($A1148,'[1]import graded seats course pivo'!$A:AN,HLOOKUP('[1]Course Totals'!P$4,'[1]import graded seats course pivo'!$1:$2,2,FALSE),FALSE))),"")</f>
        <v>0.94117647058823528</v>
      </c>
      <c r="Q1148" s="14" t="str">
        <f>IFERROR((VLOOKUP($A1148,'[1]import success seats course'!$A:AE,HLOOKUP('[1]Course Totals'!Q$4,'[1]import success seats course'!$1:$2,2,FALSE),FALSE)/(VLOOKUP($A1148,'[1]import graded seats course pivo'!$A:AO,HLOOKUP('[1]Course Totals'!Q$4,'[1]import graded seats course pivo'!$1:$2,2,FALSE),FALSE))),"")</f>
        <v/>
      </c>
      <c r="R1148" s="14">
        <f>IFERROR((VLOOKUP($A1148,'[1]import success seats course'!$A:AF,HLOOKUP('[1]Course Totals'!R$4,'[1]import success seats course'!$1:$2,2,FALSE),FALSE)/(VLOOKUP($A1148,'[1]import graded seats course pivo'!$A:AP,HLOOKUP('[1]Course Totals'!R$4,'[1]import graded seats course pivo'!$1:$2,2,FALSE),FALSE))),"")</f>
        <v>0.96969696969696972</v>
      </c>
      <c r="S1148" s="14">
        <f>IFERROR((VLOOKUP($A1148,'[1]import success seats course'!$A:AG,HLOOKUP('[1]Course Totals'!S$4,'[1]import success seats course'!$1:$2,2,FALSE),FALSE)/(VLOOKUP($A1148,'[1]import graded seats course pivo'!$A:AQ,HLOOKUP('[1]Course Totals'!S$4,'[1]import graded seats course pivo'!$1:$2,2,FALSE),FALSE))),"")</f>
        <v>0.96969696969696972</v>
      </c>
      <c r="Z1148" s="7"/>
      <c r="AA1148" s="7"/>
      <c r="AB1148" s="7"/>
      <c r="AC1148" s="7"/>
    </row>
    <row r="1149" spans="1:29" x14ac:dyDescent="0.25">
      <c r="A1149" s="12" t="s">
        <v>1004</v>
      </c>
      <c r="B1149" s="14" t="str">
        <f>IFERROR((VLOOKUP($A1149,'[1]import success seats course'!$A:P,HLOOKUP('[1]Course Totals'!B$4,'[1]import success seats course'!$1:$2,2,FALSE),FALSE)/(VLOOKUP($A1149,'[1]import graded seats course pivo'!$A:Z,HLOOKUP('[1]Course Totals'!B$4,'[1]import graded seats course pivo'!$1:$2,2,FALSE),FALSE))),"")</f>
        <v/>
      </c>
      <c r="C1149" s="14" t="str">
        <f>IFERROR((VLOOKUP($A1149,'[1]import success seats course'!$A:Q,HLOOKUP('[1]Course Totals'!C$4,'[1]import success seats course'!$1:$2,2,FALSE),FALSE)/(VLOOKUP($A1149,'[1]import graded seats course pivo'!$A:AA,HLOOKUP('[1]Course Totals'!C$4,'[1]import graded seats course pivo'!$1:$2,2,FALSE),FALSE))),"")</f>
        <v/>
      </c>
      <c r="D1149" s="14" t="str">
        <f>IFERROR((VLOOKUP($A1149,'[1]import success seats course'!$A:R,HLOOKUP('[1]Course Totals'!D$4,'[1]import success seats course'!$1:$2,2,FALSE),FALSE)/(VLOOKUP($A1149,'[1]import graded seats course pivo'!$A:AB,HLOOKUP('[1]Course Totals'!D$4,'[1]import graded seats course pivo'!$1:$2,2,FALSE),FALSE))),"")</f>
        <v/>
      </c>
      <c r="E1149" s="14" t="str">
        <f>IFERROR((VLOOKUP($A1149,'[1]import success seats course'!$A:S,HLOOKUP('[1]Course Totals'!E$4,'[1]import success seats course'!$1:$2,2,FALSE),FALSE)/(VLOOKUP($A1149,'[1]import graded seats course pivo'!$A:AC,HLOOKUP('[1]Course Totals'!E$4,'[1]import graded seats course pivo'!$1:$2,2,FALSE),FALSE))),"")</f>
        <v/>
      </c>
      <c r="F1149" s="14" t="str">
        <f>IFERROR((VLOOKUP($A1149,'[1]import success seats course'!$A:T,HLOOKUP('[1]Course Totals'!F$4,'[1]import success seats course'!$1:$2,2,FALSE),FALSE)/(VLOOKUP($A1149,'[1]import graded seats course pivo'!$A:AD,HLOOKUP('[1]Course Totals'!F$4,'[1]import graded seats course pivo'!$1:$2,2,FALSE),FALSE))),"")</f>
        <v/>
      </c>
      <c r="G1149" s="14" t="str">
        <f>IFERROR((VLOOKUP($A1149,'[1]import success seats course'!$A:U,HLOOKUP('[1]Course Totals'!G$4,'[1]import success seats course'!$1:$2,2,FALSE),FALSE)/(VLOOKUP($A1149,'[1]import graded seats course pivo'!$A:AE,HLOOKUP('[1]Course Totals'!G$4,'[1]import graded seats course pivo'!$1:$2,2,FALSE),FALSE))),"")</f>
        <v/>
      </c>
      <c r="H1149" s="14" t="str">
        <f>IFERROR((VLOOKUP($A1149,'[1]import success seats course'!$A:V,HLOOKUP('[1]Course Totals'!H$4,'[1]import success seats course'!$1:$2,2,FALSE),FALSE)/(VLOOKUP($A1149,'[1]import graded seats course pivo'!$A:AF,HLOOKUP('[1]Course Totals'!H$4,'[1]import graded seats course pivo'!$1:$2,2,FALSE),FALSE))),"")</f>
        <v/>
      </c>
      <c r="I1149" s="14" t="str">
        <f>IFERROR((VLOOKUP($A1149,'[1]import success seats course'!$A:W,HLOOKUP('[1]Course Totals'!I$4,'[1]import success seats course'!$1:$2,2,FALSE),FALSE)/(VLOOKUP($A1149,'[1]import graded seats course pivo'!$A:AG,HLOOKUP('[1]Course Totals'!I$4,'[1]import graded seats course pivo'!$1:$2,2,FALSE),FALSE))),"")</f>
        <v/>
      </c>
      <c r="J1149" s="14" t="str">
        <f>IFERROR((VLOOKUP($A1149,'[1]import success seats course'!$A:X,HLOOKUP('[1]Course Totals'!J$4,'[1]import success seats course'!$1:$2,2,FALSE),FALSE)/(VLOOKUP($A1149,'[1]import graded seats course pivo'!$A:AH,HLOOKUP('[1]Course Totals'!J$4,'[1]import graded seats course pivo'!$1:$2,2,FALSE),FALSE))),"")</f>
        <v/>
      </c>
      <c r="K1149" s="14" t="str">
        <f>IFERROR((VLOOKUP($A1149,'[1]import success seats course'!$A:Y,HLOOKUP('[1]Course Totals'!K$4,'[1]import success seats course'!$1:$2,2,FALSE),FALSE)/(VLOOKUP($A1149,'[1]import graded seats course pivo'!$A:AI,HLOOKUP('[1]Course Totals'!K$4,'[1]import graded seats course pivo'!$1:$2,2,FALSE),FALSE))),"")</f>
        <v/>
      </c>
      <c r="L1149" s="14" t="str">
        <f>IFERROR((VLOOKUP($A1149,'[1]import success seats course'!$A:Z,HLOOKUP('[1]Course Totals'!L$4,'[1]import success seats course'!$1:$2,2,FALSE),FALSE)/(VLOOKUP($A1149,'[1]import graded seats course pivo'!$A:AJ,HLOOKUP('[1]Course Totals'!L$4,'[1]import graded seats course pivo'!$1:$2,2,FALSE),FALSE))),"")</f>
        <v/>
      </c>
      <c r="M1149" s="14" t="str">
        <f>IFERROR((VLOOKUP($A1149,'[1]import success seats course'!$A:AA,HLOOKUP('[1]Course Totals'!M$4,'[1]import success seats course'!$1:$2,2,FALSE),FALSE)/(VLOOKUP($A1149,'[1]import graded seats course pivo'!$A:AK,HLOOKUP('[1]Course Totals'!M$4,'[1]import graded seats course pivo'!$1:$2,2,FALSE),FALSE))),"")</f>
        <v/>
      </c>
      <c r="N1149" s="14" t="str">
        <f>IFERROR((VLOOKUP($A1149,'[1]import success seats course'!$A:AB,HLOOKUP('[1]Course Totals'!N$4,'[1]import success seats course'!$1:$2,2,FALSE),FALSE)/(VLOOKUP($A1149,'[1]import graded seats course pivo'!$A:AL,HLOOKUP('[1]Course Totals'!N$4,'[1]import graded seats course pivo'!$1:$2,2,FALSE),FALSE))),"")</f>
        <v/>
      </c>
      <c r="O1149" s="14" t="str">
        <f>IFERROR((VLOOKUP($A1149,'[1]import success seats course'!$A:AC,HLOOKUP('[1]Course Totals'!O$4,'[1]import success seats course'!$1:$2,2,FALSE),FALSE)/(VLOOKUP($A1149,'[1]import graded seats course pivo'!$A:AM,HLOOKUP('[1]Course Totals'!O$4,'[1]import graded seats course pivo'!$1:$2,2,FALSE),FALSE))),"")</f>
        <v/>
      </c>
      <c r="P1149" s="14">
        <f>IFERROR((VLOOKUP($A1149,'[1]import success seats course'!$A:AD,HLOOKUP('[1]Course Totals'!P$4,'[1]import success seats course'!$1:$2,2,FALSE),FALSE)/(VLOOKUP($A1149,'[1]import graded seats course pivo'!$A:AN,HLOOKUP('[1]Course Totals'!P$4,'[1]import graded seats course pivo'!$1:$2,2,FALSE),FALSE))),"")</f>
        <v>1</v>
      </c>
      <c r="Q1149" s="14" t="str">
        <f>IFERROR((VLOOKUP($A1149,'[1]import success seats course'!$A:AE,HLOOKUP('[1]Course Totals'!Q$4,'[1]import success seats course'!$1:$2,2,FALSE),FALSE)/(VLOOKUP($A1149,'[1]import graded seats course pivo'!$A:AO,HLOOKUP('[1]Course Totals'!Q$4,'[1]import graded seats course pivo'!$1:$2,2,FALSE),FALSE))),"")</f>
        <v/>
      </c>
      <c r="R1149" s="14" t="str">
        <f>IFERROR((VLOOKUP($A1149,'[1]import success seats course'!$A:AF,HLOOKUP('[1]Course Totals'!R$4,'[1]import success seats course'!$1:$2,2,FALSE),FALSE)/(VLOOKUP($A1149,'[1]import graded seats course pivo'!$A:AP,HLOOKUP('[1]Course Totals'!R$4,'[1]import graded seats course pivo'!$1:$2,2,FALSE),FALSE))),"")</f>
        <v/>
      </c>
      <c r="S1149" s="14" t="str">
        <f>IFERROR((VLOOKUP($A1149,'[1]import success seats course'!$A:AG,HLOOKUP('[1]Course Totals'!S$4,'[1]import success seats course'!$1:$2,2,FALSE),FALSE)/(VLOOKUP($A1149,'[1]import graded seats course pivo'!$A:AQ,HLOOKUP('[1]Course Totals'!S$4,'[1]import graded seats course pivo'!$1:$2,2,FALSE),FALSE))),"")</f>
        <v/>
      </c>
      <c r="Z1149" s="7"/>
      <c r="AA1149" s="7"/>
      <c r="AB1149" s="7"/>
      <c r="AC1149" s="7"/>
    </row>
    <row r="1150" spans="1:29" ht="15" hidden="1" customHeight="1" x14ac:dyDescent="0.25">
      <c r="A1150" s="12" t="s">
        <v>1005</v>
      </c>
      <c r="B1150" s="14" t="str">
        <f>IFERROR((VLOOKUP($A1150,'[1]import success seats course'!$A:P,HLOOKUP('[1]Course Totals'!B$4,'[1]import success seats course'!$1:$2,2,FALSE),FALSE)/(VLOOKUP($A1150,'[1]import graded seats course pivo'!$A:Z,HLOOKUP('[1]Course Totals'!B$4,'[1]import graded seats course pivo'!$1:$2,2,FALSE),FALSE))),"")</f>
        <v/>
      </c>
      <c r="C1150" s="14" t="str">
        <f>IFERROR((VLOOKUP($A1150,'[1]import success seats course'!$A:Q,HLOOKUP('[1]Course Totals'!C$4,'[1]import success seats course'!$1:$2,2,FALSE),FALSE)/(VLOOKUP($A1150,'[1]import graded seats course pivo'!$A:AA,HLOOKUP('[1]Course Totals'!C$4,'[1]import graded seats course pivo'!$1:$2,2,FALSE),FALSE))),"")</f>
        <v/>
      </c>
      <c r="D1150" s="14" t="str">
        <f>IFERROR((VLOOKUP($A1150,'[1]import success seats course'!$A:R,HLOOKUP('[1]Course Totals'!D$4,'[1]import success seats course'!$1:$2,2,FALSE),FALSE)/(VLOOKUP($A1150,'[1]import graded seats course pivo'!$A:AB,HLOOKUP('[1]Course Totals'!D$4,'[1]import graded seats course pivo'!$1:$2,2,FALSE),FALSE))),"")</f>
        <v/>
      </c>
      <c r="E1150" s="14" t="str">
        <f>IFERROR((VLOOKUP($A1150,'[1]import success seats course'!$A:S,HLOOKUP('[1]Course Totals'!E$4,'[1]import success seats course'!$1:$2,2,FALSE),FALSE)/(VLOOKUP($A1150,'[1]import graded seats course pivo'!$A:AC,HLOOKUP('[1]Course Totals'!E$4,'[1]import graded seats course pivo'!$1:$2,2,FALSE),FALSE))),"")</f>
        <v/>
      </c>
      <c r="F1150" s="14" t="str">
        <f>IFERROR((VLOOKUP($A1150,'[1]import success seats course'!$A:T,HLOOKUP('[1]Course Totals'!F$4,'[1]import success seats course'!$1:$2,2,FALSE),FALSE)/(VLOOKUP($A1150,'[1]import graded seats course pivo'!$A:AD,HLOOKUP('[1]Course Totals'!F$4,'[1]import graded seats course pivo'!$1:$2,2,FALSE),FALSE))),"")</f>
        <v/>
      </c>
      <c r="G1150" s="14" t="str">
        <f>IFERROR((VLOOKUP($A1150,'[1]import success seats course'!$A:U,HLOOKUP('[1]Course Totals'!G$4,'[1]import success seats course'!$1:$2,2,FALSE),FALSE)/(VLOOKUP($A1150,'[1]import graded seats course pivo'!$A:AE,HLOOKUP('[1]Course Totals'!G$4,'[1]import graded seats course pivo'!$1:$2,2,FALSE),FALSE))),"")</f>
        <v/>
      </c>
      <c r="H1150" s="14" t="str">
        <f>IFERROR((VLOOKUP($A1150,'[1]import success seats course'!$A:V,HLOOKUP('[1]Course Totals'!H$4,'[1]import success seats course'!$1:$2,2,FALSE),FALSE)/(VLOOKUP($A1150,'[1]import graded seats course pivo'!$A:AF,HLOOKUP('[1]Course Totals'!H$4,'[1]import graded seats course pivo'!$1:$2,2,FALSE),FALSE))),"")</f>
        <v/>
      </c>
      <c r="I1150" s="14" t="str">
        <f>IFERROR((VLOOKUP($A1150,'[1]import success seats course'!$A:W,HLOOKUP('[1]Course Totals'!I$4,'[1]import success seats course'!$1:$2,2,FALSE),FALSE)/(VLOOKUP($A1150,'[1]import graded seats course pivo'!$A:AG,HLOOKUP('[1]Course Totals'!I$4,'[1]import graded seats course pivo'!$1:$2,2,FALSE),FALSE))),"")</f>
        <v/>
      </c>
      <c r="J1150" s="14" t="str">
        <f>IFERROR((VLOOKUP($A1150,'[1]import success seats course'!$A:X,HLOOKUP('[1]Course Totals'!J$4,'[1]import success seats course'!$1:$2,2,FALSE),FALSE)/(VLOOKUP($A1150,'[1]import graded seats course pivo'!$A:AH,HLOOKUP('[1]Course Totals'!J$4,'[1]import graded seats course pivo'!$1:$2,2,FALSE),FALSE))),"")</f>
        <v/>
      </c>
      <c r="K1150" s="14" t="str">
        <f>IFERROR((VLOOKUP($A1150,'[1]import success seats course'!$A:Y,HLOOKUP('[1]Course Totals'!K$4,'[1]import success seats course'!$1:$2,2,FALSE),FALSE)/(VLOOKUP($A1150,'[1]import graded seats course pivo'!$A:AI,HLOOKUP('[1]Course Totals'!K$4,'[1]import graded seats course pivo'!$1:$2,2,FALSE),FALSE))),"")</f>
        <v/>
      </c>
      <c r="L1150" s="14" t="str">
        <f>IFERROR((VLOOKUP($A1150,'[1]import success seats course'!$A:Z,HLOOKUP('[1]Course Totals'!L$4,'[1]import success seats course'!$1:$2,2,FALSE),FALSE)/(VLOOKUP($A1150,'[1]import graded seats course pivo'!$A:AJ,HLOOKUP('[1]Course Totals'!L$4,'[1]import graded seats course pivo'!$1:$2,2,FALSE),FALSE))),"")</f>
        <v/>
      </c>
      <c r="M1150" s="14" t="str">
        <f>IFERROR((VLOOKUP($A1150,'[1]import success seats course'!$A:AA,HLOOKUP('[1]Course Totals'!M$4,'[1]import success seats course'!$1:$2,2,FALSE),FALSE)/(VLOOKUP($A1150,'[1]import graded seats course pivo'!$A:AK,HLOOKUP('[1]Course Totals'!M$4,'[1]import graded seats course pivo'!$1:$2,2,FALSE),FALSE))),"")</f>
        <v/>
      </c>
      <c r="N1150" s="14" t="str">
        <f>IFERROR((VLOOKUP($A1150,'[1]import success seats course'!$A:AB,HLOOKUP('[1]Course Totals'!N$4,'[1]import success seats course'!$1:$2,2,FALSE),FALSE)/(VLOOKUP($A1150,'[1]import graded seats course pivo'!$A:AL,HLOOKUP('[1]Course Totals'!N$4,'[1]import graded seats course pivo'!$1:$2,2,FALSE),FALSE))),"")</f>
        <v/>
      </c>
      <c r="O1150" s="14" t="str">
        <f>IFERROR((VLOOKUP($A1150,'[1]import success seats course'!$A:AC,HLOOKUP('[1]Course Totals'!O$4,'[1]import success seats course'!$1:$2,2,FALSE),FALSE)/(VLOOKUP($A1150,'[1]import graded seats course pivo'!$A:AM,HLOOKUP('[1]Course Totals'!O$4,'[1]import graded seats course pivo'!$1:$2,2,FALSE),FALSE))),"")</f>
        <v/>
      </c>
      <c r="P1150" s="14" t="str">
        <f>IFERROR((VLOOKUP($A1150,'[1]import success seats course'!$A:AD,HLOOKUP('[1]Course Totals'!P$4,'[1]import success seats course'!$1:$2,2,FALSE),FALSE)/(VLOOKUP($A1150,'[1]import graded seats course pivo'!$A:AN,HLOOKUP('[1]Course Totals'!P$4,'[1]import graded seats course pivo'!$1:$2,2,FALSE),FALSE))),"")</f>
        <v/>
      </c>
      <c r="Q1150" s="14" t="str">
        <f>IFERROR((VLOOKUP($A1150,'[1]import success seats course'!$A:AE,HLOOKUP('[1]Course Totals'!Q$4,'[1]import success seats course'!$1:$2,2,FALSE),FALSE)/(VLOOKUP($A1150,'[1]import graded seats course pivo'!$A:AO,HLOOKUP('[1]Course Totals'!Q$4,'[1]import graded seats course pivo'!$1:$2,2,FALSE),FALSE))),"")</f>
        <v/>
      </c>
      <c r="R1150" s="14" t="str">
        <f>IFERROR((VLOOKUP($A1150,'[1]import success seats course'!$A:AF,HLOOKUP('[1]Course Totals'!R$4,'[1]import success seats course'!$1:$2,2,FALSE),FALSE)/(VLOOKUP($A1150,'[1]import graded seats course pivo'!$A:AP,HLOOKUP('[1]Course Totals'!R$4,'[1]import graded seats course pivo'!$1:$2,2,FALSE),FALSE))),"")</f>
        <v/>
      </c>
      <c r="S1150" s="14" t="str">
        <f>IFERROR((VLOOKUP($A1150,'[1]import success seats course'!$A:AG,HLOOKUP('[1]Course Totals'!S$4,'[1]import success seats course'!$1:$2,2,FALSE),FALSE)/(VLOOKUP($A1150,'[1]import graded seats course pivo'!$A:AQ,HLOOKUP('[1]Course Totals'!S$4,'[1]import graded seats course pivo'!$1:$2,2,FALSE),FALSE))),"")</f>
        <v/>
      </c>
      <c r="Z1150" s="7"/>
      <c r="AA1150" s="7"/>
      <c r="AB1150" s="7"/>
      <c r="AC1150" s="7"/>
    </row>
    <row r="1151" spans="1:29" ht="15" hidden="1" customHeight="1" x14ac:dyDescent="0.25"/>
    <row r="1152" spans="1:29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</sheetData>
  <mergeCells count="36">
    <mergeCell ref="B525:S525"/>
    <mergeCell ref="B548:S548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8:S1098"/>
    <mergeCell ref="B1136:S1136"/>
    <mergeCell ref="B582:S582"/>
    <mergeCell ref="B613:S613"/>
    <mergeCell ref="B672:S672"/>
    <mergeCell ref="B696:S696"/>
    <mergeCell ref="B733:S733"/>
    <mergeCell ref="B848:S848"/>
    <mergeCell ref="B895:S895"/>
    <mergeCell ref="B965:S965"/>
    <mergeCell ref="B989:S989"/>
    <mergeCell ref="B1013:S1013"/>
    <mergeCell ref="B1046:S1046"/>
    <mergeCell ref="B1073:S1073"/>
    <mergeCell ref="B765:S765"/>
    <mergeCell ref="B804:S80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4231141-178A-4090-B949-EF2FDDB22B67}"/>
</file>

<file path=customXml/itemProps2.xml><?xml version="1.0" encoding="utf-8"?>
<ds:datastoreItem xmlns:ds="http://schemas.openxmlformats.org/officeDocument/2006/customXml" ds:itemID="{47311259-9F5E-4475-9FFE-5A66EB0EBA54}"/>
</file>

<file path=customXml/itemProps3.xml><?xml version="1.0" encoding="utf-8"?>
<ds:datastoreItem xmlns:ds="http://schemas.openxmlformats.org/officeDocument/2006/customXml" ds:itemID="{29733C5E-04C4-4D1D-9BEB-6174D2294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