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9020" windowHeight="11640"/>
  </bookViews>
  <sheets>
    <sheet name="Master Mix Sheet" sheetId="1" r:id="rId1"/>
    <sheet name="WhiteMix" sheetId="2" r:id="rId2"/>
    <sheet name="ChocMix" sheetId="3" r:id="rId3"/>
    <sheet name="NSAMix" sheetId="4" r:id="rId4"/>
    <sheet name="FrozenYogurt" sheetId="6" r:id="rId5"/>
    <sheet name="Sherbet" sheetId="5" r:id="rId6"/>
  </sheets>
  <calcPr calcId="125725"/>
</workbook>
</file>

<file path=xl/calcChain.xml><?xml version="1.0" encoding="utf-8"?>
<calcChain xmlns="http://schemas.openxmlformats.org/spreadsheetml/2006/main">
  <c r="E38" i="2"/>
  <c r="E35"/>
  <c r="E32"/>
  <c r="E27"/>
  <c r="E22"/>
  <c r="E17"/>
  <c r="A39"/>
  <c r="A36"/>
  <c r="A28"/>
  <c r="A23"/>
  <c r="E38" i="6"/>
  <c r="E35"/>
  <c r="E32"/>
  <c r="E29"/>
  <c r="E26"/>
  <c r="E23"/>
  <c r="C8" i="5"/>
  <c r="C9" i="4"/>
  <c r="C7" i="5"/>
  <c r="A19" i="4"/>
  <c r="A16"/>
  <c r="A13"/>
  <c r="A27" i="5"/>
  <c r="A24"/>
  <c r="A21"/>
  <c r="A18"/>
  <c r="A15"/>
  <c r="A12"/>
  <c r="A30"/>
  <c r="A39" i="6"/>
  <c r="A36"/>
  <c r="A33"/>
  <c r="A30"/>
  <c r="A27"/>
  <c r="A24"/>
  <c r="A21"/>
  <c r="A18"/>
  <c r="A15"/>
  <c r="A12"/>
  <c r="D40" i="3"/>
  <c r="A40"/>
  <c r="D39"/>
  <c r="A39"/>
  <c r="D38"/>
  <c r="A38"/>
  <c r="D37"/>
  <c r="I36"/>
  <c r="F36"/>
  <c r="I35"/>
  <c r="J35" s="1"/>
  <c r="D35"/>
  <c r="A35"/>
  <c r="D34"/>
  <c r="A34"/>
  <c r="I33"/>
  <c r="F33"/>
  <c r="D33"/>
  <c r="A33"/>
  <c r="I32"/>
  <c r="J32" s="1"/>
  <c r="D32"/>
  <c r="I30"/>
  <c r="F30"/>
  <c r="D30"/>
  <c r="A30"/>
  <c r="I29"/>
  <c r="J29" s="1"/>
  <c r="D29"/>
  <c r="A29"/>
  <c r="D28"/>
  <c r="A28"/>
  <c r="I27"/>
  <c r="F27"/>
  <c r="D27"/>
  <c r="I26"/>
  <c r="D25"/>
  <c r="A25"/>
  <c r="I24"/>
  <c r="F24"/>
  <c r="D24"/>
  <c r="A24"/>
  <c r="I23"/>
  <c r="J23" s="1"/>
  <c r="D23"/>
  <c r="A23"/>
  <c r="D22"/>
  <c r="I21"/>
  <c r="F21"/>
  <c r="I20"/>
  <c r="J20" s="1"/>
  <c r="D20"/>
  <c r="A20"/>
  <c r="D19"/>
  <c r="A19"/>
  <c r="I18"/>
  <c r="F18"/>
  <c r="D18"/>
  <c r="A18"/>
  <c r="I17"/>
  <c r="J17" s="1"/>
  <c r="D17"/>
  <c r="I15"/>
  <c r="F15"/>
  <c r="D15"/>
  <c r="A15"/>
  <c r="I14"/>
  <c r="J14" s="1"/>
  <c r="D14"/>
  <c r="A14"/>
  <c r="D13"/>
  <c r="A13"/>
  <c r="I12"/>
  <c r="F12"/>
  <c r="D12"/>
  <c r="I11"/>
  <c r="I9"/>
  <c r="F9"/>
  <c r="I8"/>
  <c r="C7"/>
  <c r="B12" i="1" s="1"/>
  <c r="F36" i="2"/>
  <c r="F33"/>
  <c r="F30"/>
  <c r="F27"/>
  <c r="F24"/>
  <c r="F21"/>
  <c r="F18"/>
  <c r="F15"/>
  <c r="F9"/>
  <c r="I33"/>
  <c r="I30"/>
  <c r="I27"/>
  <c r="I24"/>
  <c r="I21"/>
  <c r="I18"/>
  <c r="I15"/>
  <c r="I12"/>
  <c r="I36"/>
  <c r="D40"/>
  <c r="D39"/>
  <c r="D38"/>
  <c r="A40"/>
  <c r="A33"/>
  <c r="A30"/>
  <c r="A29"/>
  <c r="A25"/>
  <c r="A24"/>
  <c r="A20"/>
  <c r="A19"/>
  <c r="A18"/>
  <c r="A15"/>
  <c r="A14"/>
  <c r="A13"/>
  <c r="C7"/>
  <c r="B8" i="1" s="1"/>
  <c r="D30" i="5"/>
  <c r="D29"/>
  <c r="D27"/>
  <c r="D26"/>
  <c r="E26" s="1"/>
  <c r="D24"/>
  <c r="D23"/>
  <c r="D21"/>
  <c r="D20"/>
  <c r="E20" s="1"/>
  <c r="D18"/>
  <c r="D17"/>
  <c r="D15"/>
  <c r="D14"/>
  <c r="E14" s="1"/>
  <c r="D12"/>
  <c r="D11"/>
  <c r="D39" i="6"/>
  <c r="D38"/>
  <c r="D36"/>
  <c r="D35"/>
  <c r="D33"/>
  <c r="D32"/>
  <c r="D30"/>
  <c r="D29"/>
  <c r="D27"/>
  <c r="D26"/>
  <c r="D24"/>
  <c r="D23"/>
  <c r="D21"/>
  <c r="D20"/>
  <c r="D18"/>
  <c r="D17"/>
  <c r="D15"/>
  <c r="E14" s="1"/>
  <c r="D14"/>
  <c r="D12"/>
  <c r="D11"/>
  <c r="D19" i="4"/>
  <c r="D18"/>
  <c r="E18" s="1"/>
  <c r="D16"/>
  <c r="D15"/>
  <c r="E15" s="1"/>
  <c r="D13"/>
  <c r="D12"/>
  <c r="E12" s="1"/>
  <c r="I9" i="2"/>
  <c r="I11"/>
  <c r="I14"/>
  <c r="J14" s="1"/>
  <c r="I17"/>
  <c r="J17" s="1"/>
  <c r="I20"/>
  <c r="J20" s="1"/>
  <c r="I23"/>
  <c r="J23" s="1"/>
  <c r="I26"/>
  <c r="J26" s="1"/>
  <c r="I29"/>
  <c r="J29" s="1"/>
  <c r="I32"/>
  <c r="J32" s="1"/>
  <c r="I35"/>
  <c r="J35" s="1"/>
  <c r="I8"/>
  <c r="D33"/>
  <c r="D32"/>
  <c r="D30"/>
  <c r="D29"/>
  <c r="D28"/>
  <c r="D27"/>
  <c r="D25"/>
  <c r="D24"/>
  <c r="D23"/>
  <c r="D22"/>
  <c r="D20"/>
  <c r="D19"/>
  <c r="D18"/>
  <c r="D17"/>
  <c r="D15"/>
  <c r="D14"/>
  <c r="D13"/>
  <c r="D12"/>
  <c r="E12" s="1"/>
  <c r="C7" i="4"/>
  <c r="B16" i="1" s="1"/>
  <c r="C6" i="6"/>
  <c r="B20" i="1" s="1"/>
  <c r="C6" i="5"/>
  <c r="C8" i="4" l="1"/>
  <c r="B17" i="1" s="1"/>
  <c r="E37" i="3"/>
  <c r="E12"/>
  <c r="J11" i="2"/>
  <c r="E17" i="6"/>
  <c r="E20"/>
  <c r="E11"/>
  <c r="I38" i="2"/>
  <c r="D42"/>
  <c r="D42" i="3"/>
  <c r="C8" s="1"/>
  <c r="E17"/>
  <c r="E27"/>
  <c r="E32"/>
  <c r="J11"/>
  <c r="E22"/>
  <c r="J26"/>
  <c r="I38"/>
  <c r="J8" i="2"/>
  <c r="E21" i="4"/>
  <c r="D21"/>
  <c r="J8" i="3"/>
  <c r="J38" s="1"/>
  <c r="D32" i="5"/>
  <c r="E17"/>
  <c r="E23"/>
  <c r="E29"/>
  <c r="E11"/>
  <c r="E32" s="1"/>
  <c r="B25" i="1" s="1"/>
  <c r="D41" i="6"/>
  <c r="C7" s="1"/>
  <c r="B24" i="1"/>
  <c r="E42" i="3" l="1"/>
  <c r="C9" s="1"/>
  <c r="J38" i="2"/>
  <c r="E41" i="6"/>
  <c r="C8" s="1"/>
  <c r="C8" i="2"/>
  <c r="B9" i="1" s="1"/>
  <c r="E42" i="2"/>
  <c r="B21" i="1"/>
  <c r="B13"/>
  <c r="C9" i="2" l="1"/>
</calcChain>
</file>

<file path=xl/sharedStrings.xml><?xml version="1.0" encoding="utf-8"?>
<sst xmlns="http://schemas.openxmlformats.org/spreadsheetml/2006/main" count="277" uniqueCount="82">
  <si>
    <t>Finished Ice Cream (gal)</t>
  </si>
  <si>
    <t>Ice Cream Remaining (gal)</t>
  </si>
  <si>
    <t>Flavor, Volume</t>
  </si>
  <si>
    <t>Ice Cream Remaining</t>
  </si>
  <si>
    <t>Total:</t>
  </si>
  <si>
    <t>White Mix Produced (gal)</t>
  </si>
  <si>
    <t xml:space="preserve">Finished Ice Cream </t>
  </si>
  <si>
    <t xml:space="preserve">Ice Cream Remaining </t>
  </si>
  <si>
    <t>Gallons</t>
  </si>
  <si>
    <t>NSA Mix Produced (gal)</t>
  </si>
  <si>
    <t>Sherbet Produced (gal)</t>
  </si>
  <si>
    <t>Finished Sherbet (gal)</t>
  </si>
  <si>
    <t>Sherbet Remaining (gal)</t>
  </si>
  <si>
    <t>Finished Frozen Yogurt</t>
  </si>
  <si>
    <t xml:space="preserve">Frozen Yogurt Remaining </t>
  </si>
  <si>
    <t xml:space="preserve">Finished Sherbet </t>
  </si>
  <si>
    <t xml:space="preserve">Sherbet Remaining </t>
  </si>
  <si>
    <t>Notes:</t>
  </si>
  <si>
    <t>Vanilla Ice Cream</t>
  </si>
  <si>
    <t>Chocolate Ice Cream</t>
  </si>
  <si>
    <t xml:space="preserve">No Sugar Ice Cream </t>
  </si>
  <si>
    <t>Frozen Yogurt Ice Cream</t>
  </si>
  <si>
    <t xml:space="preserve">Sherbet   </t>
  </si>
  <si>
    <t>Frozen Yogurt Production Sheet</t>
  </si>
  <si>
    <t>Sherbet Production Sheet</t>
  </si>
  <si>
    <t>Ice Cream Production Master Sheet</t>
  </si>
  <si>
    <t>Vanilla Ice Cream Mix Production Sheet</t>
  </si>
  <si>
    <t>Chocolate Ice Cream Mix Production Sheet</t>
  </si>
  <si>
    <t>No Sugar Added Mix Production Sheet</t>
  </si>
  <si>
    <t>F.Y. Produced (gal)</t>
  </si>
  <si>
    <t>Finished F.Y. (gal)</t>
  </si>
  <si>
    <t>F.Y. Remaining (gal)</t>
  </si>
  <si>
    <t>Flavor</t>
  </si>
  <si>
    <t>Volume</t>
  </si>
  <si>
    <t>Ice Cream (Gal)</t>
  </si>
  <si>
    <t>Mix Required (Gal)</t>
  </si>
  <si>
    <t>3 gallon</t>
  </si>
  <si>
    <t>1/2 gallon</t>
  </si>
  <si>
    <t>dixie</t>
  </si>
  <si>
    <t>pint</t>
  </si>
  <si>
    <t>Flavor5</t>
  </si>
  <si>
    <t>Flavor6</t>
  </si>
  <si>
    <t>Flavor7</t>
  </si>
  <si>
    <t>Flavor8</t>
  </si>
  <si>
    <t>Flavor9</t>
  </si>
  <si>
    <t>Flavor10</t>
  </si>
  <si>
    <t>Flavor11</t>
  </si>
  <si>
    <t>Flavor12</t>
  </si>
  <si>
    <t>Flavor13</t>
  </si>
  <si>
    <t>Flavor14</t>
  </si>
  <si>
    <t>Flavor15</t>
  </si>
  <si>
    <t>No. of Tubs</t>
  </si>
  <si>
    <t>Chocolate Mix Produced (gal)</t>
  </si>
  <si>
    <t>Vanilla</t>
  </si>
  <si>
    <t>Chocolate</t>
  </si>
  <si>
    <t>Strawberry</t>
  </si>
  <si>
    <t>quart</t>
  </si>
  <si>
    <t>Lemon</t>
  </si>
  <si>
    <t>Lime</t>
  </si>
  <si>
    <t>Orange</t>
  </si>
  <si>
    <t>Pineapple</t>
  </si>
  <si>
    <t>Raspberry</t>
  </si>
  <si>
    <t>Watermelon</t>
  </si>
  <si>
    <t>Mix Remaining (gal)</t>
  </si>
  <si>
    <t>Froz. Yog. (Gal)</t>
  </si>
  <si>
    <t>Sherbet (Gal)</t>
  </si>
  <si>
    <t>Cookies n Cream</t>
  </si>
  <si>
    <t>Bittersweet Mint</t>
  </si>
  <si>
    <t>Black Raspberry</t>
  </si>
  <si>
    <t>Peanut Butter Swirl</t>
  </si>
  <si>
    <t>Death By Chocolate</t>
  </si>
  <si>
    <t>Pina Colada</t>
  </si>
  <si>
    <t>Butter Pecan</t>
  </si>
  <si>
    <t>Chocolate Chip Cookie Dough</t>
  </si>
  <si>
    <t xml:space="preserve"> </t>
  </si>
  <si>
    <t>Flavor 9</t>
  </si>
  <si>
    <t>Keeney Beany Chocolate</t>
  </si>
  <si>
    <t>Chocolate Chocolate Nut</t>
  </si>
  <si>
    <t>Peanut Butter Cup</t>
  </si>
  <si>
    <t>German Chocolate Cake</t>
  </si>
  <si>
    <t>Peachy Patrno</t>
  </si>
  <si>
    <t>flavor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</si>
</sst>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32323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rgb="FF3F3F3F"/>
      <name val="Times New Roman"/>
      <family val="1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99B8FD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3F3F3F"/>
      </left>
      <right style="thin">
        <color rgb="FF3F3F3F"/>
      </right>
      <top style="medium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rgb="FF3F3F3F"/>
      </right>
      <top style="medium">
        <color rgb="FF3F3F3F"/>
      </top>
      <bottom style="thin">
        <color rgb="FF3F3F3F"/>
      </bottom>
      <diagonal/>
    </border>
    <border>
      <left style="medium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3F3F3F"/>
      </left>
      <right style="thin">
        <color rgb="FF3F3F3F"/>
      </right>
      <top style="thin">
        <color rgb="FF3F3F3F"/>
      </top>
      <bottom style="medium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rgb="FF3F3F3F"/>
      </bottom>
      <diagonal/>
    </border>
    <border>
      <left style="thin">
        <color rgb="FF3F3F3F"/>
      </left>
      <right style="medium">
        <color rgb="FF3F3F3F"/>
      </right>
      <top style="thin">
        <color rgb="FF3F3F3F"/>
      </top>
      <bottom style="medium">
        <color rgb="FF3F3F3F"/>
      </bottom>
      <diagonal/>
    </border>
    <border>
      <left style="medium">
        <color rgb="FF3F3F3F"/>
      </left>
      <right/>
      <top/>
      <bottom/>
      <diagonal/>
    </border>
    <border>
      <left/>
      <right style="medium">
        <color rgb="FF3F3F3F"/>
      </right>
      <top/>
      <bottom/>
      <diagonal/>
    </border>
    <border>
      <left style="medium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3F3F3F"/>
      </right>
      <top style="thin">
        <color auto="1"/>
      </top>
      <bottom style="thin">
        <color auto="1"/>
      </bottom>
      <diagonal/>
    </border>
    <border>
      <left style="medium">
        <color rgb="FF3F3F3F"/>
      </left>
      <right style="thin">
        <color auto="1"/>
      </right>
      <top style="thin">
        <color auto="1"/>
      </top>
      <bottom style="medium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3F3F3F"/>
      </bottom>
      <diagonal/>
    </border>
    <border>
      <left style="thin">
        <color auto="1"/>
      </left>
      <right style="medium">
        <color rgb="FF3F3F3F"/>
      </right>
      <top style="thin">
        <color auto="1"/>
      </top>
      <bottom style="medium">
        <color rgb="FF3F3F3F"/>
      </bottom>
      <diagonal/>
    </border>
    <border>
      <left style="thin">
        <color rgb="FF3F3F3F"/>
      </left>
      <right/>
      <top style="medium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medium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3F3F3F"/>
      </right>
      <top style="thin">
        <color rgb="FF3F3F3F"/>
      </top>
      <bottom/>
      <diagonal/>
    </border>
    <border>
      <left style="medium">
        <color rgb="FF3F3F3F"/>
      </left>
      <right style="medium">
        <color rgb="FF3F3F3F"/>
      </right>
      <top style="thin">
        <color rgb="FF3F3F3F"/>
      </top>
      <bottom/>
      <diagonal/>
    </border>
    <border>
      <left style="medium">
        <color rgb="FF3F3F3F"/>
      </left>
      <right style="medium">
        <color rgb="FF3F3F3F"/>
      </right>
      <top/>
      <bottom style="thin">
        <color rgb="FF3F3F3F"/>
      </bottom>
      <diagonal/>
    </border>
    <border>
      <left/>
      <right style="medium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rgb="FF3F3F3F"/>
      </right>
      <top style="thin">
        <color rgb="FF3F3F3F"/>
      </top>
      <bottom/>
      <diagonal/>
    </border>
    <border>
      <left style="thin">
        <color rgb="FF3F3F3F"/>
      </left>
      <right style="medium">
        <color rgb="FF3F3F3F"/>
      </right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auto="1"/>
      </bottom>
      <diagonal/>
    </border>
    <border>
      <left style="medium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theme="1"/>
      </left>
      <right style="medium">
        <color rgb="FF3F3F3F"/>
      </right>
      <top style="thin">
        <color theme="1"/>
      </top>
      <bottom style="thin">
        <color theme="1"/>
      </bottom>
      <diagonal/>
    </border>
    <border>
      <left style="medium">
        <color rgb="FF3F3F3F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3F3F3F"/>
      </right>
      <top style="medium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medium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3F3F3F"/>
      </left>
      <right style="medium">
        <color rgb="FF3F3F3F"/>
      </right>
      <top/>
      <bottom/>
      <diagonal/>
    </border>
    <border>
      <left style="thin">
        <color theme="1"/>
      </left>
      <right style="medium">
        <color rgb="FF3F3F3F"/>
      </right>
      <top style="thin">
        <color theme="1"/>
      </top>
      <bottom/>
      <diagonal/>
    </border>
    <border>
      <left style="thin">
        <color theme="1"/>
      </left>
      <right style="medium">
        <color rgb="FF3F3F3F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rgb="FF3F3F3F"/>
      </bottom>
      <diagonal/>
    </border>
  </borders>
  <cellStyleXfs count="7">
    <xf numFmtId="0" fontId="0" fillId="0" borderId="0"/>
    <xf numFmtId="0" fontId="4" fillId="2" borderId="3" applyNumberFormat="0" applyAlignment="0" applyProtection="0"/>
    <xf numFmtId="0" fontId="1" fillId="0" borderId="0"/>
    <xf numFmtId="0" fontId="4" fillId="3" borderId="3">
      <alignment horizontal="center" vertical="center"/>
    </xf>
    <xf numFmtId="0" fontId="9" fillId="5" borderId="1">
      <alignment horizontal="center" vertical="center"/>
    </xf>
    <xf numFmtId="0" fontId="8" fillId="4" borderId="5" applyBorder="0">
      <alignment horizontal="center" vertical="center"/>
    </xf>
    <xf numFmtId="0" fontId="4" fillId="6" borderId="0" applyNumberFormat="0" applyBorder="0" applyAlignment="0" applyProtection="0"/>
  </cellStyleXfs>
  <cellXfs count="150">
    <xf numFmtId="0" fontId="0" fillId="0" borderId="0" xfId="0"/>
    <xf numFmtId="1" fontId="6" fillId="0" borderId="20" xfId="0" applyNumberFormat="1" applyFont="1" applyBorder="1" applyAlignment="1">
      <alignment horizontal="center"/>
    </xf>
    <xf numFmtId="1" fontId="6" fillId="0" borderId="30" xfId="0" applyNumberFormat="1" applyFont="1" applyBorder="1" applyAlignment="1">
      <alignment horizontal="right"/>
    </xf>
    <xf numFmtId="1" fontId="4" fillId="0" borderId="0" xfId="0" applyNumberFormat="1" applyFont="1"/>
    <xf numFmtId="1" fontId="1" fillId="0" borderId="0" xfId="2" applyNumberFormat="1"/>
    <xf numFmtId="1" fontId="4" fillId="2" borderId="3" xfId="1" applyNumberFormat="1" applyFont="1" applyBorder="1" applyAlignment="1" applyProtection="1">
      <alignment horizontal="center" vertical="center"/>
    </xf>
    <xf numFmtId="1" fontId="4" fillId="2" borderId="3" xfId="1" applyNumberFormat="1" applyFont="1" applyBorder="1" applyAlignment="1">
      <alignment horizontal="center" vertical="center"/>
    </xf>
    <xf numFmtId="1" fontId="9" fillId="5" borderId="13" xfId="4" applyNumberFormat="1" applyBorder="1">
      <alignment horizontal="center" vertical="center"/>
    </xf>
    <xf numFmtId="1" fontId="9" fillId="5" borderId="14" xfId="4" applyNumberFormat="1" applyBorder="1">
      <alignment horizontal="center" vertical="center"/>
    </xf>
    <xf numFmtId="1" fontId="9" fillId="5" borderId="15" xfId="4" applyNumberFormat="1" applyBorder="1">
      <alignment horizontal="center" vertical="center"/>
    </xf>
    <xf numFmtId="1" fontId="4" fillId="0" borderId="16" xfId="0" applyNumberFormat="1" applyFont="1" applyBorder="1"/>
    <xf numFmtId="1" fontId="4" fillId="0" borderId="42" xfId="0" applyNumberFormat="1" applyFont="1" applyBorder="1"/>
    <xf numFmtId="1" fontId="4" fillId="0" borderId="17" xfId="0" applyNumberFormat="1" applyFont="1" applyBorder="1"/>
    <xf numFmtId="1" fontId="4" fillId="0" borderId="41" xfId="0" applyNumberFormat="1" applyFont="1" applyBorder="1"/>
    <xf numFmtId="1" fontId="4" fillId="0" borderId="33" xfId="0" applyNumberFormat="1" applyFont="1" applyBorder="1"/>
    <xf numFmtId="1" fontId="4" fillId="0" borderId="18" xfId="0" applyNumberFormat="1" applyFont="1" applyBorder="1"/>
    <xf numFmtId="1" fontId="4" fillId="0" borderId="19" xfId="0" applyNumberFormat="1" applyFont="1" applyBorder="1"/>
    <xf numFmtId="1" fontId="4" fillId="0" borderId="20" xfId="0" applyNumberFormat="1" applyFont="1" applyBorder="1" applyProtection="1"/>
    <xf numFmtId="1" fontId="2" fillId="0" borderId="0" xfId="0" applyNumberFormat="1" applyFont="1" applyAlignment="1">
      <alignment horizontal="center"/>
    </xf>
    <xf numFmtId="1" fontId="5" fillId="0" borderId="0" xfId="0" applyNumberFormat="1" applyFont="1" applyBorder="1" applyAlignment="1">
      <alignment horizontal="right"/>
    </xf>
    <xf numFmtId="1" fontId="5" fillId="0" borderId="3" xfId="0" applyNumberFormat="1" applyFont="1" applyBorder="1" applyAlignment="1">
      <alignment horizontal="center" vertical="center"/>
    </xf>
    <xf numFmtId="1" fontId="4" fillId="3" borderId="12" xfId="3" applyNumberFormat="1" applyFont="1" applyBorder="1">
      <alignment horizontal="center" vertical="center"/>
    </xf>
    <xf numFmtId="1" fontId="5" fillId="0" borderId="0" xfId="0" applyNumberFormat="1" applyFont="1" applyAlignment="1">
      <alignment horizontal="right"/>
    </xf>
    <xf numFmtId="1" fontId="5" fillId="0" borderId="4" xfId="0" applyNumberFormat="1" applyFont="1" applyBorder="1" applyAlignment="1">
      <alignment horizontal="right"/>
    </xf>
    <xf numFmtId="1" fontId="5" fillId="0" borderId="12" xfId="0" applyNumberFormat="1" applyFont="1" applyBorder="1" applyAlignment="1">
      <alignment horizontal="center" vertical="center"/>
    </xf>
    <xf numFmtId="1" fontId="4" fillId="3" borderId="3" xfId="3" applyNumberFormat="1" applyFont="1" applyBorder="1">
      <alignment horizontal="center" vertical="center"/>
    </xf>
    <xf numFmtId="1" fontId="4" fillId="0" borderId="31" xfId="0" applyNumberFormat="1" applyFont="1" applyBorder="1"/>
    <xf numFmtId="1" fontId="4" fillId="0" borderId="24" xfId="0" applyNumberFormat="1" applyFont="1" applyBorder="1"/>
    <xf numFmtId="1" fontId="6" fillId="0" borderId="43" xfId="0" applyNumberFormat="1" applyFont="1" applyBorder="1"/>
    <xf numFmtId="1" fontId="4" fillId="0" borderId="39" xfId="0" applyNumberFormat="1" applyFont="1" applyBorder="1"/>
    <xf numFmtId="1" fontId="6" fillId="0" borderId="19" xfId="0" applyNumberFormat="1" applyFont="1" applyBorder="1"/>
    <xf numFmtId="1" fontId="4" fillId="0" borderId="20" xfId="0" applyNumberFormat="1" applyFont="1" applyBorder="1"/>
    <xf numFmtId="1" fontId="4" fillId="0" borderId="20" xfId="0" applyNumberFormat="1" applyFont="1" applyBorder="1" applyAlignment="1">
      <alignment horizontal="center"/>
    </xf>
    <xf numFmtId="1" fontId="4" fillId="2" borderId="3" xfId="1" applyNumberFormat="1" applyFont="1" applyBorder="1" applyAlignment="1">
      <alignment horizontal="center"/>
    </xf>
    <xf numFmtId="1" fontId="4" fillId="0" borderId="0" xfId="0" applyNumberFormat="1" applyFont="1" applyBorder="1"/>
    <xf numFmtId="1" fontId="4" fillId="0" borderId="40" xfId="0" applyNumberFormat="1" applyFont="1" applyBorder="1"/>
    <xf numFmtId="1" fontId="4" fillId="0" borderId="22" xfId="0" applyNumberFormat="1" applyFont="1" applyBorder="1"/>
    <xf numFmtId="1" fontId="4" fillId="0" borderId="46" xfId="0" applyNumberFormat="1" applyFont="1" applyBorder="1"/>
    <xf numFmtId="1" fontId="6" fillId="0" borderId="47" xfId="0" applyNumberFormat="1" applyFont="1" applyBorder="1"/>
    <xf numFmtId="1" fontId="6" fillId="0" borderId="2" xfId="0" applyNumberFormat="1" applyFont="1" applyBorder="1"/>
    <xf numFmtId="1" fontId="6" fillId="0" borderId="26" xfId="0" applyNumberFormat="1" applyFont="1" applyBorder="1"/>
    <xf numFmtId="1" fontId="4" fillId="0" borderId="27" xfId="0" applyNumberFormat="1" applyFont="1" applyBorder="1" applyAlignment="1">
      <alignment horizontal="center"/>
    </xf>
    <xf numFmtId="1" fontId="9" fillId="5" borderId="28" xfId="4" applyNumberFormat="1" applyBorder="1">
      <alignment horizontal="center" vertical="center"/>
    </xf>
    <xf numFmtId="1" fontId="4" fillId="0" borderId="1" xfId="0" applyNumberFormat="1" applyFont="1" applyBorder="1"/>
    <xf numFmtId="1" fontId="4" fillId="0" borderId="32" xfId="0" applyNumberFormat="1" applyFont="1" applyBorder="1"/>
    <xf numFmtId="1" fontId="6" fillId="0" borderId="1" xfId="0" applyNumberFormat="1" applyFont="1" applyBorder="1"/>
    <xf numFmtId="1" fontId="6" fillId="0" borderId="17" xfId="0" applyNumberFormat="1" applyFont="1" applyBorder="1"/>
    <xf numFmtId="1" fontId="4" fillId="0" borderId="19" xfId="0" applyNumberFormat="1" applyFont="1" applyBorder="1" applyProtection="1"/>
    <xf numFmtId="1" fontId="6" fillId="0" borderId="0" xfId="0" applyNumberFormat="1" applyFont="1"/>
    <xf numFmtId="1" fontId="9" fillId="5" borderId="1" xfId="4" applyNumberFormat="1">
      <alignment horizontal="center" vertical="center"/>
    </xf>
    <xf numFmtId="1" fontId="4" fillId="0" borderId="34" xfId="0" applyNumberFormat="1" applyFont="1" applyBorder="1"/>
    <xf numFmtId="1" fontId="4" fillId="0" borderId="44" xfId="0" applyNumberFormat="1" applyFont="1" applyBorder="1" applyAlignment="1">
      <alignment vertical="center"/>
    </xf>
    <xf numFmtId="1" fontId="4" fillId="0" borderId="37" xfId="0" applyNumberFormat="1" applyFont="1" applyBorder="1"/>
    <xf numFmtId="1" fontId="6" fillId="0" borderId="29" xfId="0" applyNumberFormat="1" applyFont="1" applyBorder="1"/>
    <xf numFmtId="1" fontId="0" fillId="0" borderId="0" xfId="0" applyNumberFormat="1"/>
    <xf numFmtId="1" fontId="4" fillId="0" borderId="38" xfId="0" applyNumberFormat="1" applyFont="1" applyBorder="1"/>
    <xf numFmtId="1" fontId="4" fillId="0" borderId="44" xfId="0" applyNumberFormat="1" applyFont="1" applyBorder="1"/>
    <xf numFmtId="1" fontId="6" fillId="0" borderId="16" xfId="0" applyNumberFormat="1" applyFont="1" applyBorder="1"/>
    <xf numFmtId="1" fontId="6" fillId="0" borderId="0" xfId="0" applyNumberFormat="1" applyFont="1" applyBorder="1"/>
    <xf numFmtId="1" fontId="6" fillId="0" borderId="18" xfId="0" applyNumberFormat="1" applyFont="1" applyBorder="1"/>
    <xf numFmtId="1" fontId="3" fillId="0" borderId="0" xfId="0" applyNumberFormat="1" applyFont="1" applyAlignment="1">
      <alignment horizontal="center" vertical="center"/>
    </xf>
    <xf numFmtId="1" fontId="4" fillId="0" borderId="21" xfId="0" applyNumberFormat="1" applyFont="1" applyBorder="1"/>
    <xf numFmtId="1" fontId="4" fillId="0" borderId="45" xfId="0" applyNumberFormat="1" applyFont="1" applyBorder="1"/>
    <xf numFmtId="1" fontId="6" fillId="0" borderId="23" xfId="0" applyNumberFormat="1" applyFont="1" applyBorder="1"/>
    <xf numFmtId="1" fontId="4" fillId="0" borderId="25" xfId="0" applyNumberFormat="1" applyFont="1" applyBorder="1"/>
    <xf numFmtId="1" fontId="4" fillId="0" borderId="0" xfId="0" applyNumberFormat="1" applyFont="1" applyAlignment="1">
      <alignment horizontal="center" vertical="center"/>
    </xf>
    <xf numFmtId="1" fontId="3" fillId="0" borderId="0" xfId="0" applyNumberFormat="1" applyFont="1"/>
    <xf numFmtId="1" fontId="2" fillId="0" borderId="0" xfId="0" applyNumberFormat="1" applyFont="1"/>
    <xf numFmtId="1" fontId="9" fillId="5" borderId="48" xfId="4" applyNumberFormat="1" applyBorder="1">
      <alignment horizontal="center" vertical="center"/>
    </xf>
    <xf numFmtId="1" fontId="4" fillId="0" borderId="49" xfId="0" applyNumberFormat="1" applyFont="1" applyBorder="1"/>
    <xf numFmtId="1" fontId="6" fillId="0" borderId="32" xfId="0" applyNumberFormat="1" applyFont="1" applyBorder="1"/>
    <xf numFmtId="1" fontId="6" fillId="0" borderId="51" xfId="0" applyNumberFormat="1" applyFont="1" applyBorder="1"/>
    <xf numFmtId="1" fontId="6" fillId="0" borderId="50" xfId="0" applyNumberFormat="1" applyFont="1" applyBorder="1"/>
    <xf numFmtId="1" fontId="4" fillId="0" borderId="51" xfId="0" applyNumberFormat="1" applyFont="1" applyBorder="1"/>
    <xf numFmtId="1" fontId="6" fillId="0" borderId="52" xfId="0" applyNumberFormat="1" applyFont="1" applyBorder="1"/>
    <xf numFmtId="1" fontId="4" fillId="0" borderId="53" xfId="0" applyNumberFormat="1" applyFont="1" applyBorder="1"/>
    <xf numFmtId="1" fontId="4" fillId="0" borderId="2" xfId="0" applyNumberFormat="1" applyFont="1" applyBorder="1"/>
    <xf numFmtId="1" fontId="4" fillId="0" borderId="54" xfId="0" applyNumberFormat="1" applyFont="1" applyBorder="1"/>
    <xf numFmtId="1" fontId="4" fillId="6" borderId="1" xfId="6" applyNumberFormat="1" applyBorder="1" applyProtection="1">
      <protection locked="0"/>
    </xf>
    <xf numFmtId="1" fontId="4" fillId="6" borderId="1" xfId="6" applyNumberFormat="1" applyBorder="1"/>
    <xf numFmtId="1" fontId="4" fillId="6" borderId="2" xfId="6" applyNumberFormat="1" applyBorder="1" applyProtection="1">
      <protection locked="0"/>
    </xf>
    <xf numFmtId="1" fontId="4" fillId="6" borderId="54" xfId="6" applyNumberFormat="1" applyBorder="1" applyProtection="1">
      <protection locked="0"/>
    </xf>
    <xf numFmtId="1" fontId="4" fillId="6" borderId="3" xfId="6" applyNumberFormat="1" applyBorder="1" applyAlignment="1" applyProtection="1">
      <alignment horizontal="center" vertical="center"/>
      <protection locked="0"/>
    </xf>
    <xf numFmtId="1" fontId="4" fillId="6" borderId="3" xfId="6" applyNumberFormat="1" applyBorder="1" applyAlignment="1" applyProtection="1">
      <alignment horizontal="center" vertical="center"/>
    </xf>
    <xf numFmtId="1" fontId="4" fillId="2" borderId="3" xfId="1" applyNumberFormat="1" applyAlignment="1">
      <alignment horizontal="center" vertical="center"/>
    </xf>
    <xf numFmtId="1" fontId="4" fillId="7" borderId="41" xfId="0" applyNumberFormat="1" applyFont="1" applyFill="1" applyBorder="1"/>
    <xf numFmtId="1" fontId="4" fillId="7" borderId="16" xfId="0" applyNumberFormat="1" applyFont="1" applyFill="1" applyBorder="1"/>
    <xf numFmtId="1" fontId="4" fillId="0" borderId="44" xfId="0" applyNumberFormat="1" applyFont="1" applyBorder="1" applyAlignment="1">
      <alignment horizontal="center" vertical="center"/>
    </xf>
    <xf numFmtId="1" fontId="10" fillId="7" borderId="41" xfId="0" applyNumberFormat="1" applyFont="1" applyFill="1" applyBorder="1"/>
    <xf numFmtId="1" fontId="4" fillId="0" borderId="17" xfId="0" applyNumberFormat="1" applyFont="1" applyBorder="1" applyAlignment="1"/>
    <xf numFmtId="1" fontId="10" fillId="7" borderId="31" xfId="0" applyNumberFormat="1" applyFont="1" applyFill="1" applyBorder="1"/>
    <xf numFmtId="1" fontId="4" fillId="0" borderId="29" xfId="0" applyNumberFormat="1" applyFont="1" applyBorder="1"/>
    <xf numFmtId="1" fontId="2" fillId="0" borderId="5" xfId="0" applyNumberFormat="1" applyFont="1" applyBorder="1" applyAlignment="1">
      <alignment horizontal="left" vertical="top"/>
    </xf>
    <xf numFmtId="1" fontId="0" fillId="0" borderId="6" xfId="0" applyNumberFormat="1" applyBorder="1" applyAlignment="1">
      <alignment horizontal="left" vertical="top"/>
    </xf>
    <xf numFmtId="1" fontId="0" fillId="0" borderId="7" xfId="0" applyNumberFormat="1" applyBorder="1" applyAlignment="1">
      <alignment horizontal="left" vertical="top"/>
    </xf>
    <xf numFmtId="1" fontId="0" fillId="0" borderId="8" xfId="0" applyNumberFormat="1" applyBorder="1" applyAlignment="1">
      <alignment horizontal="left" vertical="top"/>
    </xf>
    <xf numFmtId="1" fontId="0" fillId="0" borderId="0" xfId="0" applyNumberFormat="1" applyBorder="1" applyAlignment="1">
      <alignment horizontal="left" vertical="top"/>
    </xf>
    <xf numFmtId="1" fontId="0" fillId="0" borderId="9" xfId="0" applyNumberFormat="1" applyBorder="1" applyAlignment="1">
      <alignment horizontal="left" vertical="top"/>
    </xf>
    <xf numFmtId="1" fontId="0" fillId="0" borderId="10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11" xfId="0" applyNumberFormat="1" applyBorder="1" applyAlignment="1">
      <alignment horizontal="left" vertical="top"/>
    </xf>
    <xf numFmtId="1" fontId="8" fillId="4" borderId="5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1" fontId="8" fillId="4" borderId="7" xfId="0" applyNumberFormat="1" applyFont="1" applyFill="1" applyBorder="1" applyAlignment="1">
      <alignment horizontal="center" vertical="center"/>
    </xf>
    <xf numFmtId="1" fontId="8" fillId="4" borderId="8" xfId="0" applyNumberFormat="1" applyFont="1" applyFill="1" applyBorder="1" applyAlignment="1">
      <alignment horizontal="center" vertical="center"/>
    </xf>
    <xf numFmtId="1" fontId="8" fillId="4" borderId="0" xfId="0" applyNumberFormat="1" applyFont="1" applyFill="1" applyBorder="1" applyAlignment="1">
      <alignment horizontal="center" vertical="center"/>
    </xf>
    <xf numFmtId="1" fontId="8" fillId="4" borderId="9" xfId="0" applyNumberFormat="1" applyFont="1" applyFill="1" applyBorder="1" applyAlignment="1">
      <alignment horizontal="center" vertical="center"/>
    </xf>
    <xf numFmtId="1" fontId="8" fillId="4" borderId="10" xfId="0" applyNumberFormat="1" applyFont="1" applyFill="1" applyBorder="1" applyAlignment="1">
      <alignment horizontal="center" vertical="center"/>
    </xf>
    <xf numFmtId="1" fontId="8" fillId="4" borderId="4" xfId="0" applyNumberFormat="1" applyFont="1" applyFill="1" applyBorder="1" applyAlignment="1">
      <alignment horizontal="center" vertical="center"/>
    </xf>
    <xf numFmtId="1" fontId="8" fillId="4" borderId="11" xfId="0" applyNumberFormat="1" applyFont="1" applyFill="1" applyBorder="1" applyAlignment="1">
      <alignment horizontal="center" vertical="center"/>
    </xf>
    <xf numFmtId="1" fontId="4" fillId="0" borderId="44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left" vertical="top"/>
    </xf>
    <xf numFmtId="1" fontId="2" fillId="0" borderId="7" xfId="0" applyNumberFormat="1" applyFont="1" applyBorder="1" applyAlignment="1">
      <alignment horizontal="left" vertical="top"/>
    </xf>
    <xf numFmtId="1" fontId="2" fillId="0" borderId="8" xfId="0" applyNumberFormat="1" applyFont="1" applyBorder="1" applyAlignment="1">
      <alignment horizontal="left" vertical="top"/>
    </xf>
    <xf numFmtId="1" fontId="2" fillId="0" borderId="0" xfId="0" applyNumberFormat="1" applyFont="1" applyBorder="1" applyAlignment="1">
      <alignment horizontal="left" vertical="top"/>
    </xf>
    <xf numFmtId="1" fontId="2" fillId="0" borderId="9" xfId="0" applyNumberFormat="1" applyFont="1" applyBorder="1" applyAlignment="1">
      <alignment horizontal="left" vertical="top"/>
    </xf>
    <xf numFmtId="1" fontId="2" fillId="0" borderId="10" xfId="0" applyNumberFormat="1" applyFont="1" applyBorder="1" applyAlignment="1">
      <alignment horizontal="left" vertical="top"/>
    </xf>
    <xf numFmtId="1" fontId="2" fillId="0" borderId="4" xfId="0" applyNumberFormat="1" applyFont="1" applyBorder="1" applyAlignment="1">
      <alignment horizontal="left" vertical="top"/>
    </xf>
    <xf numFmtId="1" fontId="2" fillId="0" borderId="11" xfId="0" applyNumberFormat="1" applyFont="1" applyBorder="1" applyAlignment="1">
      <alignment horizontal="left" vertical="top"/>
    </xf>
    <xf numFmtId="1" fontId="4" fillId="0" borderId="56" xfId="0" applyNumberFormat="1" applyFont="1" applyBorder="1" applyAlignment="1">
      <alignment horizontal="center" vertical="center"/>
    </xf>
    <xf numFmtId="1" fontId="4" fillId="0" borderId="57" xfId="0" applyNumberFormat="1" applyFont="1" applyBorder="1" applyAlignment="1">
      <alignment horizontal="center" vertical="center"/>
    </xf>
    <xf numFmtId="1" fontId="4" fillId="0" borderId="58" xfId="0" applyNumberFormat="1" applyFont="1" applyBorder="1" applyAlignment="1">
      <alignment horizontal="center" vertical="center"/>
    </xf>
    <xf numFmtId="1" fontId="4" fillId="0" borderId="59" xfId="0" applyNumberFormat="1" applyFont="1" applyBorder="1" applyAlignment="1">
      <alignment horizontal="center" vertical="center"/>
    </xf>
    <xf numFmtId="1" fontId="4" fillId="0" borderId="55" xfId="0" applyNumberFormat="1" applyFont="1" applyBorder="1" applyAlignment="1">
      <alignment horizontal="center"/>
    </xf>
    <xf numFmtId="1" fontId="8" fillId="4" borderId="5" xfId="5" applyNumberFormat="1" applyBorder="1">
      <alignment horizontal="center" vertical="center"/>
    </xf>
    <xf numFmtId="1" fontId="8" fillId="4" borderId="6" xfId="5" applyNumberFormat="1" applyBorder="1">
      <alignment horizontal="center" vertical="center"/>
    </xf>
    <xf numFmtId="1" fontId="8" fillId="4" borderId="7" xfId="5" applyNumberFormat="1" applyBorder="1">
      <alignment horizontal="center" vertical="center"/>
    </xf>
    <xf numFmtId="1" fontId="8" fillId="4" borderId="8" xfId="5" applyNumberFormat="1" applyBorder="1">
      <alignment horizontal="center" vertical="center"/>
    </xf>
    <xf numFmtId="1" fontId="8" fillId="4" borderId="0" xfId="5" applyNumberFormat="1" applyBorder="1">
      <alignment horizontal="center" vertical="center"/>
    </xf>
    <xf numFmtId="1" fontId="8" fillId="4" borderId="9" xfId="5" applyNumberFormat="1" applyBorder="1">
      <alignment horizontal="center" vertical="center"/>
    </xf>
    <xf numFmtId="1" fontId="8" fillId="4" borderId="10" xfId="5" applyNumberFormat="1" applyBorder="1">
      <alignment horizontal="center" vertical="center"/>
    </xf>
    <xf numFmtId="1" fontId="8" fillId="4" borderId="4" xfId="5" applyNumberFormat="1" applyBorder="1">
      <alignment horizontal="center" vertical="center"/>
    </xf>
    <xf numFmtId="1" fontId="8" fillId="4" borderId="11" xfId="5" applyNumberFormat="1" applyBorder="1">
      <alignment horizontal="center" vertical="center"/>
    </xf>
    <xf numFmtId="1" fontId="7" fillId="0" borderId="5" xfId="0" applyNumberFormat="1" applyFont="1" applyBorder="1" applyAlignment="1">
      <alignment horizontal="left" vertical="top"/>
    </xf>
    <xf numFmtId="1" fontId="7" fillId="0" borderId="6" xfId="0" applyNumberFormat="1" applyFont="1" applyBorder="1" applyAlignment="1">
      <alignment horizontal="left" vertical="top"/>
    </xf>
    <xf numFmtId="1" fontId="8" fillId="4" borderId="5" xfId="5" applyNumberFormat="1" applyBorder="1" applyAlignment="1">
      <alignment horizontal="center" vertical="center"/>
    </xf>
    <xf numFmtId="1" fontId="8" fillId="4" borderId="6" xfId="5" applyNumberFormat="1" applyBorder="1" applyAlignment="1">
      <alignment horizontal="center" vertical="center"/>
    </xf>
    <xf numFmtId="1" fontId="8" fillId="4" borderId="7" xfId="5" applyNumberFormat="1" applyBorder="1" applyAlignment="1">
      <alignment horizontal="center" vertical="center"/>
    </xf>
    <xf numFmtId="1" fontId="8" fillId="4" borderId="8" xfId="5" applyNumberFormat="1" applyBorder="1" applyAlignment="1">
      <alignment horizontal="center" vertical="center"/>
    </xf>
    <xf numFmtId="1" fontId="8" fillId="4" borderId="0" xfId="5" applyNumberFormat="1" applyBorder="1" applyAlignment="1">
      <alignment horizontal="center" vertical="center"/>
    </xf>
    <xf numFmtId="1" fontId="8" fillId="4" borderId="9" xfId="5" applyNumberFormat="1" applyBorder="1" applyAlignment="1">
      <alignment horizontal="center" vertical="center"/>
    </xf>
    <xf numFmtId="1" fontId="8" fillId="4" borderId="10" xfId="5" applyNumberFormat="1" applyBorder="1" applyAlignment="1">
      <alignment horizontal="center" vertical="center"/>
    </xf>
    <xf numFmtId="1" fontId="8" fillId="4" borderId="4" xfId="5" applyNumberFormat="1" applyBorder="1" applyAlignment="1">
      <alignment horizontal="center" vertical="center"/>
    </xf>
    <xf numFmtId="1" fontId="8" fillId="4" borderId="11" xfId="5" applyNumberFormat="1" applyBorder="1" applyAlignment="1">
      <alignment horizontal="center" vertical="center"/>
    </xf>
    <xf numFmtId="1" fontId="4" fillId="0" borderId="44" xfId="0" applyNumberFormat="1" applyFont="1" applyBorder="1" applyAlignment="1">
      <alignment horizontal="center" vertical="center"/>
    </xf>
    <xf numFmtId="1" fontId="4" fillId="0" borderId="38" xfId="0" applyNumberFormat="1" applyFont="1" applyBorder="1" applyAlignment="1">
      <alignment horizontal="center"/>
    </xf>
    <xf numFmtId="1" fontId="4" fillId="0" borderId="39" xfId="0" applyNumberFormat="1" applyFont="1" applyBorder="1" applyAlignment="1">
      <alignment horizontal="center"/>
    </xf>
    <xf numFmtId="1" fontId="4" fillId="0" borderId="24" xfId="0" applyNumberFormat="1" applyFont="1" applyBorder="1" applyAlignment="1">
      <alignment horizontal="center"/>
    </xf>
    <xf numFmtId="1" fontId="4" fillId="0" borderId="35" xfId="0" applyNumberFormat="1" applyFont="1" applyBorder="1" applyAlignment="1">
      <alignment horizontal="center"/>
    </xf>
    <xf numFmtId="1" fontId="4" fillId="0" borderId="36" xfId="0" applyNumberFormat="1" applyFont="1" applyBorder="1" applyAlignment="1">
      <alignment horizontal="center"/>
    </xf>
  </cellXfs>
  <cellStyles count="7">
    <cellStyle name="20% - Accent1" xfId="1" builtinId="30" customBuiltin="1"/>
    <cellStyle name="20% - Accent3" xfId="6" builtinId="38" customBuiltin="1"/>
    <cellStyle name="Normal" xfId="0" builtinId="0"/>
    <cellStyle name="Style 1" xfId="2"/>
    <cellStyle name="Style 2" xfId="3"/>
    <cellStyle name="Style 3" xfId="4"/>
    <cellStyle name="Style 4" xfId="5"/>
  </cellStyles>
  <dxfs count="0"/>
  <tableStyles count="0" defaultTableStyle="TableStyleMedium9" defaultPivotStyle="PivotStyleLight16"/>
  <colors>
    <mruColors>
      <color rgb="FF9DBBFD"/>
      <color rgb="FFF5F7FB"/>
      <color rgb="FF99CCFF"/>
      <color rgb="FF99B8FD"/>
      <color rgb="FF83A9FD"/>
      <color rgb="FF6F9BFD"/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showWhiteSpace="0" view="pageLayout" zoomScaleNormal="100" workbookViewId="0">
      <selection activeCell="B12" sqref="B12"/>
    </sheetView>
  </sheetViews>
  <sheetFormatPr defaultRowHeight="15"/>
  <cols>
    <col min="1" max="1" width="27.5703125" style="54" customWidth="1"/>
    <col min="2" max="2" width="15.5703125" style="54" customWidth="1"/>
    <col min="3" max="5" width="9.140625" style="54"/>
    <col min="6" max="6" width="18.140625" style="54" customWidth="1"/>
    <col min="7" max="16384" width="9.140625" style="54"/>
  </cols>
  <sheetData>
    <row r="1" spans="1:6">
      <c r="A1" s="101" t="s">
        <v>25</v>
      </c>
      <c r="B1" s="102"/>
      <c r="C1" s="102"/>
      <c r="D1" s="102"/>
      <c r="E1" s="102"/>
      <c r="F1" s="103"/>
    </row>
    <row r="2" spans="1:6">
      <c r="A2" s="104"/>
      <c r="B2" s="105"/>
      <c r="C2" s="105"/>
      <c r="D2" s="105"/>
      <c r="E2" s="105"/>
      <c r="F2" s="106"/>
    </row>
    <row r="3" spans="1:6" ht="15.75" thickBot="1">
      <c r="A3" s="107"/>
      <c r="B3" s="108"/>
      <c r="C3" s="108"/>
      <c r="D3" s="108"/>
      <c r="E3" s="108"/>
      <c r="F3" s="109"/>
    </row>
    <row r="4" spans="1:6" ht="15.75">
      <c r="F4" s="3"/>
    </row>
    <row r="5" spans="1:6" ht="15.75">
      <c r="A5" s="3"/>
      <c r="B5" s="3"/>
      <c r="C5" s="3"/>
      <c r="D5" s="3"/>
      <c r="E5" s="3"/>
      <c r="F5" s="3"/>
    </row>
    <row r="6" spans="1:6" ht="15.75">
      <c r="A6" s="3"/>
      <c r="B6" s="18" t="s">
        <v>8</v>
      </c>
      <c r="C6" s="3"/>
      <c r="D6" s="3"/>
      <c r="E6" s="3"/>
      <c r="F6" s="3"/>
    </row>
    <row r="7" spans="1:6" ht="16.5" thickBot="1">
      <c r="A7" s="67" t="s">
        <v>18</v>
      </c>
      <c r="B7" s="19"/>
      <c r="C7" s="3"/>
      <c r="D7" s="3"/>
      <c r="E7" s="3"/>
      <c r="F7" s="3"/>
    </row>
    <row r="8" spans="1:6" ht="16.5" thickBot="1">
      <c r="A8" s="3" t="s">
        <v>6</v>
      </c>
      <c r="B8" s="20">
        <f>WhiteMix!C7</f>
        <v>0</v>
      </c>
      <c r="C8" s="3"/>
      <c r="D8" s="3"/>
      <c r="E8" s="3"/>
      <c r="F8" s="3"/>
    </row>
    <row r="9" spans="1:6" ht="16.5" thickBot="1">
      <c r="A9" s="3" t="s">
        <v>3</v>
      </c>
      <c r="B9" s="21">
        <f>WhiteMix!C8</f>
        <v>0</v>
      </c>
      <c r="C9" s="3"/>
      <c r="D9" s="3"/>
      <c r="E9" s="3"/>
      <c r="F9" s="3"/>
    </row>
    <row r="10" spans="1:6" ht="15.75">
      <c r="A10" s="3"/>
      <c r="B10" s="22"/>
      <c r="C10" s="3"/>
      <c r="D10" s="3"/>
      <c r="E10" s="3"/>
      <c r="F10" s="3"/>
    </row>
    <row r="11" spans="1:6" ht="16.5" thickBot="1">
      <c r="A11" s="67" t="s">
        <v>19</v>
      </c>
      <c r="B11" s="23"/>
      <c r="C11" s="3"/>
      <c r="D11" s="3"/>
      <c r="E11" s="3"/>
      <c r="F11" s="3"/>
    </row>
    <row r="12" spans="1:6" ht="16.5" thickBot="1">
      <c r="A12" s="3" t="s">
        <v>6</v>
      </c>
      <c r="B12" s="24">
        <f>ChocMix!C7</f>
        <v>0</v>
      </c>
      <c r="C12" s="3"/>
      <c r="D12" s="3"/>
      <c r="E12" s="3"/>
      <c r="F12" s="3"/>
    </row>
    <row r="13" spans="1:6" ht="16.5" thickBot="1">
      <c r="A13" s="3" t="s">
        <v>7</v>
      </c>
      <c r="B13" s="25">
        <f>ChocMix!B8</f>
        <v>0</v>
      </c>
      <c r="C13" s="3"/>
      <c r="D13" s="3"/>
      <c r="E13" s="3"/>
      <c r="F13" s="3"/>
    </row>
    <row r="14" spans="1:6" ht="15.75">
      <c r="A14" s="3"/>
      <c r="B14" s="22"/>
      <c r="C14" s="3"/>
      <c r="D14" s="3"/>
      <c r="E14" s="3"/>
      <c r="F14" s="3"/>
    </row>
    <row r="15" spans="1:6" ht="16.5" thickBot="1">
      <c r="A15" s="67" t="s">
        <v>20</v>
      </c>
      <c r="B15" s="23"/>
      <c r="C15" s="3"/>
      <c r="D15" s="3"/>
      <c r="E15" s="3"/>
      <c r="F15" s="3"/>
    </row>
    <row r="16" spans="1:6" ht="16.5" thickBot="1">
      <c r="A16" s="3" t="s">
        <v>6</v>
      </c>
      <c r="B16" s="24">
        <f>NSAMix!C7</f>
        <v>0</v>
      </c>
      <c r="C16" s="3"/>
      <c r="D16" s="3"/>
      <c r="E16" s="3"/>
      <c r="F16" s="3"/>
    </row>
    <row r="17" spans="1:6" ht="16.5" thickBot="1">
      <c r="A17" s="3" t="s">
        <v>7</v>
      </c>
      <c r="B17" s="25">
        <f>NSAMix!C8</f>
        <v>0</v>
      </c>
      <c r="C17" s="3"/>
      <c r="D17" s="3"/>
      <c r="E17" s="3"/>
      <c r="F17" s="3"/>
    </row>
    <row r="18" spans="1:6" ht="15.75">
      <c r="A18" s="3"/>
      <c r="B18" s="22"/>
      <c r="C18" s="3"/>
      <c r="D18" s="3"/>
      <c r="E18" s="3"/>
      <c r="F18" s="3"/>
    </row>
    <row r="19" spans="1:6" ht="16.5" thickBot="1">
      <c r="A19" s="67" t="s">
        <v>21</v>
      </c>
      <c r="B19" s="23"/>
      <c r="C19" s="3"/>
      <c r="D19" s="3"/>
      <c r="E19" s="3"/>
      <c r="F19" s="3"/>
    </row>
    <row r="20" spans="1:6" ht="16.5" thickBot="1">
      <c r="A20" s="3" t="s">
        <v>13</v>
      </c>
      <c r="B20" s="24">
        <f>FrozenYogurt!C6</f>
        <v>0</v>
      </c>
      <c r="C20" s="3"/>
      <c r="D20" s="3"/>
      <c r="E20" s="3"/>
      <c r="F20" s="3"/>
    </row>
    <row r="21" spans="1:6" ht="16.5" thickBot="1">
      <c r="A21" s="3" t="s">
        <v>14</v>
      </c>
      <c r="B21" s="25">
        <f>FrozenYogurt!C7</f>
        <v>0</v>
      </c>
      <c r="C21" s="3"/>
      <c r="D21" s="3"/>
      <c r="E21" s="3"/>
      <c r="F21" s="3"/>
    </row>
    <row r="22" spans="1:6" ht="15.75">
      <c r="A22" s="3"/>
      <c r="B22" s="22"/>
      <c r="C22" s="3"/>
      <c r="D22" s="3"/>
      <c r="E22" s="3"/>
      <c r="F22" s="3"/>
    </row>
    <row r="23" spans="1:6" ht="16.5" thickBot="1">
      <c r="A23" s="67" t="s">
        <v>22</v>
      </c>
      <c r="B23" s="23"/>
      <c r="C23" s="3"/>
      <c r="D23" s="3"/>
      <c r="E23" s="3"/>
      <c r="F23" s="3"/>
    </row>
    <row r="24" spans="1:6" ht="16.5" thickBot="1">
      <c r="A24" s="3" t="s">
        <v>15</v>
      </c>
      <c r="B24" s="24">
        <f>Sherbet!C6</f>
        <v>0</v>
      </c>
      <c r="C24" s="3"/>
      <c r="D24" s="3"/>
      <c r="E24" s="3"/>
      <c r="F24" s="3"/>
    </row>
    <row r="25" spans="1:6" ht="16.5" thickBot="1">
      <c r="A25" s="3" t="s">
        <v>16</v>
      </c>
      <c r="B25" s="25">
        <f>Sherbet!C7</f>
        <v>0</v>
      </c>
      <c r="C25" s="3"/>
      <c r="D25" s="3"/>
      <c r="E25" s="3"/>
      <c r="F25" s="3"/>
    </row>
    <row r="26" spans="1:6" ht="15.75">
      <c r="A26" s="3"/>
      <c r="B26" s="3"/>
      <c r="C26" s="3"/>
      <c r="D26" s="3"/>
      <c r="E26" s="3"/>
      <c r="F26" s="3"/>
    </row>
    <row r="27" spans="1:6" ht="15.75">
      <c r="A27" s="3"/>
      <c r="B27" s="3"/>
      <c r="C27" s="3"/>
      <c r="D27" s="3"/>
      <c r="E27" s="3"/>
      <c r="F27" s="3"/>
    </row>
    <row r="39" spans="1:6" ht="15.75" thickBot="1"/>
    <row r="40" spans="1:6">
      <c r="A40" s="92" t="s">
        <v>17</v>
      </c>
      <c r="B40" s="93"/>
      <c r="C40" s="93"/>
      <c r="D40" s="93"/>
      <c r="E40" s="93"/>
      <c r="F40" s="94"/>
    </row>
    <row r="41" spans="1:6">
      <c r="A41" s="95"/>
      <c r="B41" s="96"/>
      <c r="C41" s="96"/>
      <c r="D41" s="96"/>
      <c r="E41" s="96"/>
      <c r="F41" s="97"/>
    </row>
    <row r="42" spans="1:6">
      <c r="A42" s="95"/>
      <c r="B42" s="96"/>
      <c r="C42" s="96"/>
      <c r="D42" s="96"/>
      <c r="E42" s="96"/>
      <c r="F42" s="97"/>
    </row>
    <row r="43" spans="1:6">
      <c r="A43" s="95"/>
      <c r="B43" s="96"/>
      <c r="C43" s="96"/>
      <c r="D43" s="96"/>
      <c r="E43" s="96"/>
      <c r="F43" s="97"/>
    </row>
    <row r="44" spans="1:6" ht="15.75" thickBot="1">
      <c r="A44" s="98"/>
      <c r="B44" s="99"/>
      <c r="C44" s="99"/>
      <c r="D44" s="99"/>
      <c r="E44" s="99"/>
      <c r="F44" s="100"/>
    </row>
  </sheetData>
  <sheetProtection sheet="1" objects="1" scenarios="1"/>
  <mergeCells count="2">
    <mergeCell ref="A40:F44"/>
    <mergeCell ref="A1:F3"/>
  </mergeCells>
  <pageMargins left="0.7" right="0.7" top="0.75" bottom="0.75" header="0.3" footer="0.3"/>
  <pageSetup orientation="portrait" horizontalDpi="200" verticalDpi="200" r:id="rId1"/>
  <headerFooter>
    <oddHeader>&amp;L&amp;"Times New Roman,Bold"&amp;12Penn State Berkey Creamery
University Park, PA 16802&amp;R&amp;"Times New Roman,Regular"&amp;12&amp;D</oddHeader>
    <oddFooter>&amp;L&amp;"Times New Roman,Bold"&amp;12Plant Number 42-253&amp;R&amp;P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J48"/>
  <sheetViews>
    <sheetView showWhiteSpace="0" view="pageLayout" zoomScaleNormal="100" workbookViewId="0">
      <selection activeCell="F15" sqref="F15"/>
    </sheetView>
  </sheetViews>
  <sheetFormatPr defaultColWidth="13.42578125" defaultRowHeight="14.25" customHeight="1"/>
  <cols>
    <col min="1" max="1" width="31.42578125" style="54" customWidth="1"/>
    <col min="2" max="2" width="9.5703125" style="54" customWidth="1"/>
    <col min="3" max="3" width="12.28515625" style="54" customWidth="1"/>
    <col min="4" max="4" width="15.7109375" style="54" customWidth="1"/>
    <col min="5" max="5" width="19.28515625" style="54" customWidth="1"/>
    <col min="6" max="6" width="31.42578125" style="54" customWidth="1"/>
    <col min="7" max="7" width="9.5703125" style="54" customWidth="1"/>
    <col min="8" max="8" width="12.5703125" style="54" customWidth="1"/>
    <col min="9" max="9" width="15.140625" style="54" customWidth="1"/>
    <col min="10" max="10" width="18.85546875" style="54" customWidth="1"/>
    <col min="11" max="16384" width="13.42578125" style="54"/>
  </cols>
  <sheetData>
    <row r="1" spans="1:10" ht="14.25" customHeight="1">
      <c r="A1" s="135" t="s">
        <v>26</v>
      </c>
      <c r="B1" s="136"/>
      <c r="C1" s="136"/>
      <c r="D1" s="136"/>
      <c r="E1" s="137"/>
      <c r="F1" s="124" t="s">
        <v>26</v>
      </c>
      <c r="G1" s="125"/>
      <c r="H1" s="125"/>
      <c r="I1" s="125"/>
      <c r="J1" s="126"/>
    </row>
    <row r="2" spans="1:10" ht="14.25" customHeight="1">
      <c r="A2" s="138"/>
      <c r="B2" s="139"/>
      <c r="C2" s="139"/>
      <c r="D2" s="139"/>
      <c r="E2" s="140"/>
      <c r="F2" s="127"/>
      <c r="G2" s="128"/>
      <c r="H2" s="128"/>
      <c r="I2" s="128"/>
      <c r="J2" s="129"/>
    </row>
    <row r="3" spans="1:10" ht="14.25" customHeight="1" thickBot="1">
      <c r="A3" s="141"/>
      <c r="B3" s="142"/>
      <c r="C3" s="142"/>
      <c r="D3" s="142"/>
      <c r="E3" s="143"/>
      <c r="F3" s="130"/>
      <c r="G3" s="131"/>
      <c r="H3" s="131"/>
      <c r="I3" s="131"/>
      <c r="J3" s="132"/>
    </row>
    <row r="5" spans="1:10" ht="14.25" customHeight="1" thickBot="1"/>
    <row r="6" spans="1:10" ht="14.25" customHeight="1" thickBot="1">
      <c r="A6" s="3" t="s">
        <v>5</v>
      </c>
      <c r="B6" s="3"/>
      <c r="C6" s="82">
        <v>0</v>
      </c>
      <c r="D6" s="48"/>
      <c r="E6" s="48"/>
      <c r="F6" s="49" t="s">
        <v>32</v>
      </c>
      <c r="G6" s="49" t="s">
        <v>33</v>
      </c>
      <c r="H6" s="49" t="s">
        <v>51</v>
      </c>
      <c r="I6" s="49" t="s">
        <v>34</v>
      </c>
      <c r="J6" s="49" t="s">
        <v>35</v>
      </c>
    </row>
    <row r="7" spans="1:10" ht="14.25" customHeight="1" thickBot="1">
      <c r="A7" s="3" t="s">
        <v>0</v>
      </c>
      <c r="B7" s="3"/>
      <c r="C7" s="5">
        <f>C6*1.8</f>
        <v>0</v>
      </c>
      <c r="D7" s="48"/>
      <c r="E7" s="48"/>
      <c r="F7" s="10"/>
      <c r="G7" s="69"/>
      <c r="H7" s="11"/>
      <c r="I7" s="12"/>
      <c r="J7" s="55"/>
    </row>
    <row r="8" spans="1:10" ht="14.25" customHeight="1" thickBot="1">
      <c r="A8" s="3" t="s">
        <v>1</v>
      </c>
      <c r="B8" s="3"/>
      <c r="C8" s="6">
        <f>C7-(D42+I38)</f>
        <v>0</v>
      </c>
      <c r="D8" s="48"/>
      <c r="E8" s="48"/>
      <c r="F8" s="88" t="s">
        <v>32</v>
      </c>
      <c r="G8" s="76" t="s">
        <v>36</v>
      </c>
      <c r="H8" s="80">
        <v>0</v>
      </c>
      <c r="I8" s="26">
        <f>H8*3</f>
        <v>0</v>
      </c>
      <c r="J8" s="110">
        <f>SUM(I8:I9)/1.8</f>
        <v>0</v>
      </c>
    </row>
    <row r="9" spans="1:10" ht="14.25" customHeight="1" thickBot="1">
      <c r="A9" s="48" t="s">
        <v>63</v>
      </c>
      <c r="B9" s="48"/>
      <c r="C9" s="84">
        <f>C6-(E42+J38)</f>
        <v>0</v>
      </c>
      <c r="D9" s="48"/>
      <c r="E9" s="48"/>
      <c r="F9" s="88" t="str">
        <f>F8</f>
        <v>Flavor</v>
      </c>
      <c r="G9" s="76" t="s">
        <v>37</v>
      </c>
      <c r="H9" s="80">
        <v>0</v>
      </c>
      <c r="I9" s="26">
        <f>H9/2</f>
        <v>0</v>
      </c>
      <c r="J9" s="110"/>
    </row>
    <row r="10" spans="1:10" ht="27.75" customHeight="1">
      <c r="A10" s="49" t="s">
        <v>32</v>
      </c>
      <c r="B10" s="49" t="s">
        <v>33</v>
      </c>
      <c r="C10" s="49" t="s">
        <v>51</v>
      </c>
      <c r="D10" s="49" t="s">
        <v>34</v>
      </c>
      <c r="E10" s="49" t="s">
        <v>35</v>
      </c>
      <c r="F10" s="88"/>
      <c r="G10" s="76"/>
      <c r="H10" s="80"/>
      <c r="I10" s="26"/>
      <c r="J10" s="56"/>
    </row>
    <row r="11" spans="1:10" ht="14.25" customHeight="1">
      <c r="A11" s="13"/>
      <c r="B11" s="43"/>
      <c r="C11" s="43"/>
      <c r="D11" s="14"/>
      <c r="E11" s="50"/>
      <c r="F11" s="88" t="s">
        <v>32</v>
      </c>
      <c r="G11" s="76" t="s">
        <v>36</v>
      </c>
      <c r="H11" s="80">
        <v>0</v>
      </c>
      <c r="I11" s="26">
        <f t="shared" ref="I11:I35" si="0">H11*3</f>
        <v>0</v>
      </c>
      <c r="J11" s="110">
        <f>SUM(I11:I12)/1.8</f>
        <v>0</v>
      </c>
    </row>
    <row r="12" spans="1:10" ht="14.25" customHeight="1">
      <c r="A12" s="85" t="s">
        <v>53</v>
      </c>
      <c r="B12" s="43" t="s">
        <v>36</v>
      </c>
      <c r="C12" s="78">
        <v>0</v>
      </c>
      <c r="D12" s="26">
        <f>C12*3</f>
        <v>0</v>
      </c>
      <c r="E12" s="144">
        <f>SUM(D12:D15)</f>
        <v>0</v>
      </c>
      <c r="F12" s="88" t="s">
        <v>81</v>
      </c>
      <c r="G12" s="76" t="s">
        <v>37</v>
      </c>
      <c r="H12" s="80">
        <v>0</v>
      </c>
      <c r="I12" s="26">
        <f>H12/2</f>
        <v>0</v>
      </c>
      <c r="J12" s="110"/>
    </row>
    <row r="13" spans="1:10" ht="14.25" customHeight="1">
      <c r="A13" s="85" t="str">
        <f>A12</f>
        <v>Vanilla</v>
      </c>
      <c r="B13" s="43" t="s">
        <v>37</v>
      </c>
      <c r="C13" s="78">
        <v>0</v>
      </c>
      <c r="D13" s="26">
        <f>C13/2</f>
        <v>0</v>
      </c>
      <c r="E13" s="144"/>
      <c r="F13" s="88"/>
      <c r="G13" s="76"/>
      <c r="H13" s="80"/>
      <c r="I13" s="26"/>
      <c r="J13" s="56"/>
    </row>
    <row r="14" spans="1:10" ht="14.25" customHeight="1">
      <c r="A14" s="85" t="str">
        <f>A12</f>
        <v>Vanilla</v>
      </c>
      <c r="B14" s="43" t="s">
        <v>38</v>
      </c>
      <c r="C14" s="78">
        <v>0</v>
      </c>
      <c r="D14" s="26">
        <f>C14/32</f>
        <v>0</v>
      </c>
      <c r="E14" s="144"/>
      <c r="F14" s="88" t="s">
        <v>32</v>
      </c>
      <c r="G14" s="76" t="s">
        <v>36</v>
      </c>
      <c r="H14" s="80">
        <v>0</v>
      </c>
      <c r="I14" s="26">
        <f t="shared" si="0"/>
        <v>0</v>
      </c>
      <c r="J14" s="110">
        <f>SUM(I14:I15)/1.8</f>
        <v>0</v>
      </c>
    </row>
    <row r="15" spans="1:10" ht="14.25" customHeight="1">
      <c r="A15" s="85" t="str">
        <f>A12</f>
        <v>Vanilla</v>
      </c>
      <c r="B15" s="43" t="s">
        <v>39</v>
      </c>
      <c r="C15" s="78">
        <v>0</v>
      </c>
      <c r="D15" s="26">
        <f>C15/8</f>
        <v>0</v>
      </c>
      <c r="E15" s="144"/>
      <c r="F15" s="88" t="str">
        <f>F14</f>
        <v>Flavor</v>
      </c>
      <c r="G15" s="76" t="s">
        <v>37</v>
      </c>
      <c r="H15" s="80">
        <v>0</v>
      </c>
      <c r="I15" s="26">
        <f>H15/2</f>
        <v>0</v>
      </c>
      <c r="J15" s="110"/>
    </row>
    <row r="16" spans="1:10" ht="14.25" customHeight="1">
      <c r="A16" s="85"/>
      <c r="B16" s="43"/>
      <c r="C16" s="78"/>
      <c r="D16" s="26"/>
      <c r="E16" s="51"/>
      <c r="F16" s="88"/>
      <c r="G16" s="76"/>
      <c r="H16" s="80"/>
      <c r="I16" s="26"/>
      <c r="J16" s="56"/>
    </row>
    <row r="17" spans="1:10" ht="14.25" customHeight="1">
      <c r="A17" s="85" t="s">
        <v>66</v>
      </c>
      <c r="B17" s="43" t="s">
        <v>36</v>
      </c>
      <c r="C17" s="78">
        <v>0</v>
      </c>
      <c r="D17" s="26">
        <f>C17*3</f>
        <v>0</v>
      </c>
      <c r="E17" s="144">
        <f>SUM(D17:D20)</f>
        <v>0</v>
      </c>
      <c r="F17" s="88" t="s">
        <v>75</v>
      </c>
      <c r="G17" s="76" t="s">
        <v>36</v>
      </c>
      <c r="H17" s="80">
        <v>0</v>
      </c>
      <c r="I17" s="26">
        <f t="shared" si="0"/>
        <v>0</v>
      </c>
      <c r="J17" s="110">
        <f>SUM(I17:I18)/1.8</f>
        <v>0</v>
      </c>
    </row>
    <row r="18" spans="1:10" ht="14.25" customHeight="1">
      <c r="A18" s="85" t="str">
        <f>A17</f>
        <v>Cookies n Cream</v>
      </c>
      <c r="B18" s="43" t="s">
        <v>37</v>
      </c>
      <c r="C18" s="78">
        <v>0</v>
      </c>
      <c r="D18" s="26">
        <f>C18/2</f>
        <v>0</v>
      </c>
      <c r="E18" s="144"/>
      <c r="F18" s="88" t="str">
        <f>F17</f>
        <v>Flavor 9</v>
      </c>
      <c r="G18" s="76" t="s">
        <v>37</v>
      </c>
      <c r="H18" s="80">
        <v>0</v>
      </c>
      <c r="I18" s="26">
        <f>H18/2</f>
        <v>0</v>
      </c>
      <c r="J18" s="110"/>
    </row>
    <row r="19" spans="1:10" ht="14.25" customHeight="1">
      <c r="A19" s="85" t="str">
        <f>A17</f>
        <v>Cookies n Cream</v>
      </c>
      <c r="B19" s="43" t="s">
        <v>38</v>
      </c>
      <c r="C19" s="78">
        <v>0</v>
      </c>
      <c r="D19" s="26">
        <f>C19/32</f>
        <v>0</v>
      </c>
      <c r="E19" s="144"/>
      <c r="F19" s="88"/>
      <c r="G19" s="76"/>
      <c r="H19" s="80"/>
      <c r="I19" s="26"/>
      <c r="J19" s="56"/>
    </row>
    <row r="20" spans="1:10" ht="14.25" customHeight="1">
      <c r="A20" s="85" t="str">
        <f>A17</f>
        <v>Cookies n Cream</v>
      </c>
      <c r="B20" s="43" t="s">
        <v>39</v>
      </c>
      <c r="C20" s="78"/>
      <c r="D20" s="26">
        <f>C20/8</f>
        <v>0</v>
      </c>
      <c r="E20" s="144"/>
      <c r="F20" s="88" t="s">
        <v>45</v>
      </c>
      <c r="G20" s="76" t="s">
        <v>36</v>
      </c>
      <c r="H20" s="80"/>
      <c r="I20" s="26">
        <f t="shared" si="0"/>
        <v>0</v>
      </c>
      <c r="J20" s="110">
        <f>SUM(I20:I21)/1.8</f>
        <v>0</v>
      </c>
    </row>
    <row r="21" spans="1:10" ht="14.25" customHeight="1">
      <c r="A21" s="85"/>
      <c r="B21" s="43"/>
      <c r="C21" s="78"/>
      <c r="D21" s="26"/>
      <c r="E21" s="51"/>
      <c r="F21" s="88" t="str">
        <f>F20</f>
        <v>Flavor10</v>
      </c>
      <c r="G21" s="76" t="s">
        <v>37</v>
      </c>
      <c r="H21" s="80"/>
      <c r="I21" s="26">
        <f>H21/2</f>
        <v>0</v>
      </c>
      <c r="J21" s="110"/>
    </row>
    <row r="22" spans="1:10" ht="14.25" customHeight="1">
      <c r="A22" s="85" t="s">
        <v>73</v>
      </c>
      <c r="B22" s="43" t="s">
        <v>36</v>
      </c>
      <c r="C22" s="78">
        <v>0</v>
      </c>
      <c r="D22" s="26">
        <f>C22*3</f>
        <v>0</v>
      </c>
      <c r="E22" s="144">
        <f>SUM(D22:D25)</f>
        <v>0</v>
      </c>
      <c r="F22" s="88"/>
      <c r="G22" s="76"/>
      <c r="H22" s="80"/>
      <c r="I22" s="26"/>
      <c r="J22" s="56"/>
    </row>
    <row r="23" spans="1:10" ht="14.25" customHeight="1">
      <c r="A23" s="85" t="str">
        <f>A22</f>
        <v>Chocolate Chip Cookie Dough</v>
      </c>
      <c r="B23" s="43" t="s">
        <v>37</v>
      </c>
      <c r="C23" s="78">
        <v>0</v>
      </c>
      <c r="D23" s="26">
        <f>C23/2</f>
        <v>0</v>
      </c>
      <c r="E23" s="144"/>
      <c r="F23" s="88" t="s">
        <v>46</v>
      </c>
      <c r="G23" s="76" t="s">
        <v>36</v>
      </c>
      <c r="H23" s="80"/>
      <c r="I23" s="26">
        <f t="shared" si="0"/>
        <v>0</v>
      </c>
      <c r="J23" s="110">
        <f>SUM(I23:I24)/1.8</f>
        <v>0</v>
      </c>
    </row>
    <row r="24" spans="1:10" ht="14.25" customHeight="1">
      <c r="A24" s="85" t="str">
        <f>A22</f>
        <v>Chocolate Chip Cookie Dough</v>
      </c>
      <c r="B24" s="43" t="s">
        <v>38</v>
      </c>
      <c r="C24" s="78"/>
      <c r="D24" s="26">
        <f>C24/32</f>
        <v>0</v>
      </c>
      <c r="E24" s="144"/>
      <c r="F24" s="88" t="str">
        <f>F23</f>
        <v>Flavor11</v>
      </c>
      <c r="G24" s="76" t="s">
        <v>37</v>
      </c>
      <c r="H24" s="80"/>
      <c r="I24" s="26">
        <f>H24/2</f>
        <v>0</v>
      </c>
      <c r="J24" s="110"/>
    </row>
    <row r="25" spans="1:10" ht="14.25" customHeight="1">
      <c r="A25" s="85" t="str">
        <f>A22</f>
        <v>Chocolate Chip Cookie Dough</v>
      </c>
      <c r="B25" s="43" t="s">
        <v>39</v>
      </c>
      <c r="C25" s="78"/>
      <c r="D25" s="26">
        <f>C25/8</f>
        <v>0</v>
      </c>
      <c r="E25" s="144"/>
      <c r="F25" s="88"/>
      <c r="G25" s="76"/>
      <c r="H25" s="80"/>
      <c r="I25" s="26"/>
      <c r="J25" s="56"/>
    </row>
    <row r="26" spans="1:10" ht="14.25" customHeight="1">
      <c r="A26" s="85"/>
      <c r="B26" s="43"/>
      <c r="C26" s="78"/>
      <c r="D26" s="26"/>
      <c r="E26" s="51"/>
      <c r="F26" s="88" t="s">
        <v>47</v>
      </c>
      <c r="G26" s="76" t="s">
        <v>36</v>
      </c>
      <c r="H26" s="80"/>
      <c r="I26" s="26">
        <f t="shared" si="0"/>
        <v>0</v>
      </c>
      <c r="J26" s="110">
        <f>SUM(I26:I27)/1.8</f>
        <v>0</v>
      </c>
    </row>
    <row r="27" spans="1:10" ht="14.25" customHeight="1">
      <c r="A27" s="85" t="s">
        <v>80</v>
      </c>
      <c r="B27" s="43" t="s">
        <v>36</v>
      </c>
      <c r="C27" s="78">
        <v>0</v>
      </c>
      <c r="D27" s="26">
        <f>C27*3</f>
        <v>0</v>
      </c>
      <c r="E27" s="144">
        <f>SUM(D27:D30)</f>
        <v>0</v>
      </c>
      <c r="F27" s="88" t="str">
        <f>F26</f>
        <v>Flavor12</v>
      </c>
      <c r="G27" s="76" t="s">
        <v>37</v>
      </c>
      <c r="H27" s="80"/>
      <c r="I27" s="26">
        <f>H27/2</f>
        <v>0</v>
      </c>
      <c r="J27" s="110"/>
    </row>
    <row r="28" spans="1:10" ht="14.25" customHeight="1">
      <c r="A28" s="85" t="str">
        <f>A27</f>
        <v>Peachy Patrno</v>
      </c>
      <c r="B28" s="43" t="s">
        <v>37</v>
      </c>
      <c r="C28" s="78">
        <v>0</v>
      </c>
      <c r="D28" s="26">
        <f>C28/2</f>
        <v>0</v>
      </c>
      <c r="E28" s="144"/>
      <c r="F28" s="88"/>
      <c r="G28" s="76"/>
      <c r="H28" s="80"/>
      <c r="I28" s="26"/>
      <c r="J28" s="56"/>
    </row>
    <row r="29" spans="1:10" ht="14.25" customHeight="1">
      <c r="A29" s="85" t="str">
        <f>A27</f>
        <v>Peachy Patrno</v>
      </c>
      <c r="B29" s="43" t="s">
        <v>38</v>
      </c>
      <c r="C29" s="78"/>
      <c r="D29" s="26">
        <f>C29/32</f>
        <v>0</v>
      </c>
      <c r="E29" s="144"/>
      <c r="F29" s="88" t="s">
        <v>48</v>
      </c>
      <c r="G29" s="76" t="s">
        <v>36</v>
      </c>
      <c r="H29" s="80"/>
      <c r="I29" s="26">
        <f t="shared" si="0"/>
        <v>0</v>
      </c>
      <c r="J29" s="110">
        <f>SUM(I29:I30)/1.8</f>
        <v>0</v>
      </c>
    </row>
    <row r="30" spans="1:10" ht="14.25" customHeight="1">
      <c r="A30" s="85" t="str">
        <f>A27</f>
        <v>Peachy Patrno</v>
      </c>
      <c r="B30" s="43" t="s">
        <v>39</v>
      </c>
      <c r="C30" s="78"/>
      <c r="D30" s="26">
        <f>C30/8</f>
        <v>0</v>
      </c>
      <c r="E30" s="144"/>
      <c r="F30" s="88" t="str">
        <f>F29</f>
        <v>Flavor13</v>
      </c>
      <c r="G30" s="76" t="s">
        <v>37</v>
      </c>
      <c r="H30" s="80"/>
      <c r="I30" s="26">
        <f>H30/2</f>
        <v>0</v>
      </c>
      <c r="J30" s="110"/>
    </row>
    <row r="31" spans="1:10" ht="14.25" customHeight="1">
      <c r="A31" s="85"/>
      <c r="B31" s="43"/>
      <c r="C31" s="78"/>
      <c r="D31" s="26"/>
      <c r="E31" s="51"/>
      <c r="F31" s="88"/>
      <c r="G31" s="76"/>
      <c r="H31" s="80"/>
      <c r="I31" s="26"/>
      <c r="J31" s="56"/>
    </row>
    <row r="32" spans="1:10" ht="14.25" customHeight="1">
      <c r="A32" s="85" t="s">
        <v>67</v>
      </c>
      <c r="B32" s="43" t="s">
        <v>36</v>
      </c>
      <c r="C32" s="78">
        <v>0</v>
      </c>
      <c r="D32" s="26">
        <f>C32*3</f>
        <v>0</v>
      </c>
      <c r="E32" s="119">
        <f>SUM(D32:D33)</f>
        <v>0</v>
      </c>
      <c r="F32" s="88" t="s">
        <v>49</v>
      </c>
      <c r="G32" s="76" t="s">
        <v>36</v>
      </c>
      <c r="H32" s="80"/>
      <c r="I32" s="26">
        <f t="shared" si="0"/>
        <v>0</v>
      </c>
      <c r="J32" s="110">
        <f>SUM(I32:I33)/1.8</f>
        <v>0</v>
      </c>
    </row>
    <row r="33" spans="1:10" ht="14.25" customHeight="1">
      <c r="A33" s="85" t="str">
        <f>A32</f>
        <v>Bittersweet Mint</v>
      </c>
      <c r="B33" s="43" t="s">
        <v>37</v>
      </c>
      <c r="C33" s="78">
        <v>0</v>
      </c>
      <c r="D33" s="26">
        <f>C33/2</f>
        <v>0</v>
      </c>
      <c r="E33" s="120"/>
      <c r="F33" s="88" t="str">
        <f>F32</f>
        <v>Flavor14</v>
      </c>
      <c r="G33" s="76" t="s">
        <v>37</v>
      </c>
      <c r="H33" s="80"/>
      <c r="I33" s="26">
        <f>H33/2</f>
        <v>0</v>
      </c>
      <c r="J33" s="110"/>
    </row>
    <row r="34" spans="1:10" ht="14.25" customHeight="1">
      <c r="A34" s="85"/>
      <c r="B34" s="43"/>
      <c r="C34" s="78"/>
      <c r="D34" s="26"/>
      <c r="E34" s="87"/>
      <c r="F34" s="88"/>
      <c r="G34" s="76"/>
      <c r="H34" s="80"/>
      <c r="I34" s="26"/>
      <c r="J34" s="56"/>
    </row>
    <row r="35" spans="1:10" ht="14.25" customHeight="1">
      <c r="A35" s="85" t="s">
        <v>72</v>
      </c>
      <c r="B35" s="43" t="s">
        <v>36</v>
      </c>
      <c r="C35" s="78"/>
      <c r="D35" s="91"/>
      <c r="E35" s="121">
        <f>SUM(D35:D36)</f>
        <v>0</v>
      </c>
      <c r="F35" s="90" t="s">
        <v>50</v>
      </c>
      <c r="G35" s="76" t="s">
        <v>36</v>
      </c>
      <c r="H35" s="80"/>
      <c r="I35" s="26">
        <f t="shared" si="0"/>
        <v>0</v>
      </c>
      <c r="J35" s="110">
        <f>SUM(I35:I36)/1.8</f>
        <v>0</v>
      </c>
    </row>
    <row r="36" spans="1:10" ht="14.25" customHeight="1">
      <c r="A36" s="85" t="str">
        <f>A35</f>
        <v>Butter Pecan</v>
      </c>
      <c r="B36" s="43" t="s">
        <v>37</v>
      </c>
      <c r="C36" s="79"/>
      <c r="D36" s="91"/>
      <c r="E36" s="122"/>
      <c r="F36" s="90" t="str">
        <f>F35</f>
        <v>Flavor15</v>
      </c>
      <c r="G36" s="76" t="s">
        <v>37</v>
      </c>
      <c r="H36" s="80"/>
      <c r="I36" s="26">
        <f>H36/2</f>
        <v>0</v>
      </c>
      <c r="J36" s="110"/>
    </row>
    <row r="37" spans="1:10" ht="14.25" customHeight="1">
      <c r="A37" s="85" t="s">
        <v>74</v>
      </c>
      <c r="B37" s="43"/>
      <c r="C37" s="79"/>
      <c r="D37" s="26"/>
      <c r="E37" s="89" t="s">
        <v>74</v>
      </c>
      <c r="F37" s="57"/>
      <c r="G37" s="72"/>
      <c r="H37" s="28"/>
      <c r="I37" s="12"/>
      <c r="J37" s="29"/>
    </row>
    <row r="38" spans="1:10" ht="14.25" customHeight="1" thickBot="1">
      <c r="A38" s="85" t="s">
        <v>69</v>
      </c>
      <c r="B38" s="43" t="s">
        <v>36</v>
      </c>
      <c r="C38" s="79">
        <v>0</v>
      </c>
      <c r="D38" s="26">
        <f>C38/2</f>
        <v>0</v>
      </c>
      <c r="E38" s="123">
        <f>SUM(D38:D39)</f>
        <v>0</v>
      </c>
      <c r="F38" s="15" t="s">
        <v>4</v>
      </c>
      <c r="G38" s="73"/>
      <c r="H38" s="30"/>
      <c r="I38" s="31">
        <f>SUM(I8:I36)</f>
        <v>0</v>
      </c>
      <c r="J38" s="32">
        <f>SUM(J8:J36)</f>
        <v>0</v>
      </c>
    </row>
    <row r="39" spans="1:10" ht="14.25" customHeight="1">
      <c r="A39" s="85" t="str">
        <f>A38</f>
        <v>Peanut Butter Swirl</v>
      </c>
      <c r="B39" s="43" t="s">
        <v>37</v>
      </c>
      <c r="C39" s="79"/>
      <c r="D39" s="26">
        <f>C39/32</f>
        <v>0</v>
      </c>
      <c r="E39" s="123"/>
      <c r="F39" s="34"/>
      <c r="G39" s="34"/>
      <c r="H39" s="58"/>
      <c r="I39" s="58"/>
      <c r="J39" s="58"/>
    </row>
    <row r="40" spans="1:10" ht="14.25" customHeight="1">
      <c r="A40" s="86" t="str">
        <f>A37</f>
        <v xml:space="preserve"> </v>
      </c>
      <c r="B40" s="43" t="s">
        <v>74</v>
      </c>
      <c r="C40" s="79"/>
      <c r="D40" s="43">
        <f>C40/8</f>
        <v>0</v>
      </c>
      <c r="E40" s="89"/>
      <c r="F40" s="34"/>
      <c r="G40" s="34"/>
      <c r="H40" s="58"/>
      <c r="I40" s="58"/>
      <c r="J40" s="58"/>
    </row>
    <row r="41" spans="1:10" ht="14.25" customHeight="1">
      <c r="A41" s="57"/>
      <c r="B41" s="70"/>
      <c r="C41" s="45"/>
      <c r="D41" s="53"/>
      <c r="E41" s="46"/>
      <c r="F41" s="34"/>
      <c r="G41" s="34"/>
      <c r="H41" s="58"/>
      <c r="I41" s="58"/>
      <c r="J41" s="58"/>
    </row>
    <row r="42" spans="1:10" ht="14.25" customHeight="1" thickBot="1">
      <c r="A42" s="59" t="s">
        <v>4</v>
      </c>
      <c r="B42" s="71"/>
      <c r="C42" s="30"/>
      <c r="D42" s="2">
        <f>SUM(D12:D40)</f>
        <v>0</v>
      </c>
      <c r="E42" s="1">
        <f>SUM(E12:E40)</f>
        <v>0</v>
      </c>
      <c r="F42" s="34"/>
      <c r="G42" s="34"/>
      <c r="H42" s="58"/>
      <c r="I42" s="58"/>
      <c r="J42" s="58"/>
    </row>
    <row r="43" spans="1:10" ht="14.25" customHeight="1" thickBot="1"/>
    <row r="44" spans="1:10" ht="14.25" customHeight="1">
      <c r="A44" s="92" t="s">
        <v>17</v>
      </c>
      <c r="B44" s="111"/>
      <c r="C44" s="111"/>
      <c r="D44" s="111"/>
      <c r="E44" s="112"/>
      <c r="F44" s="133" t="s">
        <v>17</v>
      </c>
      <c r="G44" s="134"/>
      <c r="H44" s="93"/>
      <c r="I44" s="93"/>
      <c r="J44" s="94"/>
    </row>
    <row r="45" spans="1:10" ht="14.25" customHeight="1">
      <c r="A45" s="113"/>
      <c r="B45" s="114"/>
      <c r="C45" s="114"/>
      <c r="D45" s="114"/>
      <c r="E45" s="115"/>
      <c r="F45" s="95"/>
      <c r="G45" s="96"/>
      <c r="H45" s="96"/>
      <c r="I45" s="96"/>
      <c r="J45" s="97"/>
    </row>
    <row r="46" spans="1:10" ht="14.25" customHeight="1">
      <c r="A46" s="113"/>
      <c r="B46" s="114"/>
      <c r="C46" s="114"/>
      <c r="D46" s="114"/>
      <c r="E46" s="115"/>
      <c r="F46" s="95"/>
      <c r="G46" s="96"/>
      <c r="H46" s="96"/>
      <c r="I46" s="96"/>
      <c r="J46" s="97"/>
    </row>
    <row r="47" spans="1:10" ht="14.25" customHeight="1">
      <c r="A47" s="113"/>
      <c r="B47" s="114"/>
      <c r="C47" s="114"/>
      <c r="D47" s="114"/>
      <c r="E47" s="115"/>
      <c r="F47" s="95"/>
      <c r="G47" s="96"/>
      <c r="H47" s="96"/>
      <c r="I47" s="96"/>
      <c r="J47" s="97"/>
    </row>
    <row r="48" spans="1:10" ht="14.25" customHeight="1" thickBot="1">
      <c r="A48" s="116"/>
      <c r="B48" s="117"/>
      <c r="C48" s="117"/>
      <c r="D48" s="117"/>
      <c r="E48" s="118"/>
      <c r="F48" s="98"/>
      <c r="G48" s="99"/>
      <c r="H48" s="99"/>
      <c r="I48" s="99"/>
      <c r="J48" s="100"/>
    </row>
  </sheetData>
  <mergeCells count="21">
    <mergeCell ref="F1:J3"/>
    <mergeCell ref="F44:J48"/>
    <mergeCell ref="A1:E3"/>
    <mergeCell ref="E12:E15"/>
    <mergeCell ref="E17:E20"/>
    <mergeCell ref="E22:E25"/>
    <mergeCell ref="E27:E30"/>
    <mergeCell ref="J8:J9"/>
    <mergeCell ref="J11:J12"/>
    <mergeCell ref="J14:J15"/>
    <mergeCell ref="J17:J18"/>
    <mergeCell ref="J20:J21"/>
    <mergeCell ref="J23:J24"/>
    <mergeCell ref="J26:J27"/>
    <mergeCell ref="J29:J30"/>
    <mergeCell ref="J32:J33"/>
    <mergeCell ref="J35:J36"/>
    <mergeCell ref="A44:E48"/>
    <mergeCell ref="E32:E33"/>
    <mergeCell ref="E35:E36"/>
    <mergeCell ref="E38:E39"/>
  </mergeCells>
  <pageMargins left="0.7" right="0.7" top="0.75" bottom="0.75" header="0.3" footer="0.3"/>
  <pageSetup orientation="portrait" horizontalDpi="200" verticalDpi="200" r:id="rId1"/>
  <headerFooter>
    <oddHeader xml:space="preserve">&amp;L&amp;"Times New Roman,Bold"&amp;12Penn State Berkey Creamery
University Park, PA 16802&amp;R&amp;D
</oddHeader>
    <oddFooter>&amp;L&amp;"Times New Roman,Bold"&amp;12Plant Number 42-253&amp;R&amp;P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J48"/>
  <sheetViews>
    <sheetView view="pageLayout" zoomScaleNormal="100" workbookViewId="0">
      <selection activeCell="A44" sqref="A44:E48"/>
    </sheetView>
  </sheetViews>
  <sheetFormatPr defaultColWidth="13.42578125" defaultRowHeight="14.25" customHeight="1"/>
  <cols>
    <col min="1" max="1" width="31.42578125" style="54" customWidth="1"/>
    <col min="2" max="2" width="9.5703125" style="54" customWidth="1"/>
    <col min="3" max="3" width="12.28515625" style="54" customWidth="1"/>
    <col min="4" max="4" width="15.7109375" style="54" customWidth="1"/>
    <col min="5" max="5" width="19.28515625" style="54" customWidth="1"/>
    <col min="6" max="6" width="31.42578125" style="54" customWidth="1"/>
    <col min="7" max="7" width="9.5703125" style="54" customWidth="1"/>
    <col min="8" max="8" width="12.5703125" style="54" customWidth="1"/>
    <col min="9" max="9" width="15.140625" style="54" customWidth="1"/>
    <col min="10" max="10" width="18.85546875" style="54" customWidth="1"/>
    <col min="11" max="16384" width="13.42578125" style="54"/>
  </cols>
  <sheetData>
    <row r="1" spans="1:10" ht="14.25" customHeight="1">
      <c r="A1" s="135" t="s">
        <v>27</v>
      </c>
      <c r="B1" s="136"/>
      <c r="C1" s="136"/>
      <c r="D1" s="136"/>
      <c r="E1" s="137"/>
      <c r="F1" s="124" t="s">
        <v>27</v>
      </c>
      <c r="G1" s="125"/>
      <c r="H1" s="125"/>
      <c r="I1" s="125"/>
      <c r="J1" s="126"/>
    </row>
    <row r="2" spans="1:10" ht="14.25" customHeight="1">
      <c r="A2" s="138"/>
      <c r="B2" s="139"/>
      <c r="C2" s="139"/>
      <c r="D2" s="139"/>
      <c r="E2" s="140"/>
      <c r="F2" s="127"/>
      <c r="G2" s="128"/>
      <c r="H2" s="128"/>
      <c r="I2" s="128"/>
      <c r="J2" s="129"/>
    </row>
    <row r="3" spans="1:10" ht="14.25" customHeight="1" thickBot="1">
      <c r="A3" s="141"/>
      <c r="B3" s="142"/>
      <c r="C3" s="142"/>
      <c r="D3" s="142"/>
      <c r="E3" s="143"/>
      <c r="F3" s="130"/>
      <c r="G3" s="131"/>
      <c r="H3" s="131"/>
      <c r="I3" s="131"/>
      <c r="J3" s="132"/>
    </row>
    <row r="5" spans="1:10" ht="14.25" customHeight="1" thickBot="1"/>
    <row r="6" spans="1:10" ht="14.25" customHeight="1" thickBot="1">
      <c r="A6" s="3" t="s">
        <v>52</v>
      </c>
      <c r="B6" s="3"/>
      <c r="C6" s="82">
        <v>0</v>
      </c>
      <c r="D6" s="48"/>
      <c r="E6" s="48"/>
      <c r="F6" s="49" t="s">
        <v>32</v>
      </c>
      <c r="G6" s="49" t="s">
        <v>33</v>
      </c>
      <c r="H6" s="49" t="s">
        <v>51</v>
      </c>
      <c r="I6" s="49" t="s">
        <v>34</v>
      </c>
      <c r="J6" s="49" t="s">
        <v>35</v>
      </c>
    </row>
    <row r="7" spans="1:10" ht="14.25" customHeight="1" thickBot="1">
      <c r="A7" s="3" t="s">
        <v>0</v>
      </c>
      <c r="B7" s="3"/>
      <c r="C7" s="5">
        <f>C6*1.8</f>
        <v>0</v>
      </c>
      <c r="D7" s="48"/>
      <c r="E7" s="48"/>
      <c r="F7" s="10"/>
      <c r="G7" s="69"/>
      <c r="H7" s="11"/>
      <c r="I7" s="12"/>
      <c r="J7" s="55"/>
    </row>
    <row r="8" spans="1:10" ht="14.25" customHeight="1" thickBot="1">
      <c r="A8" s="3" t="s">
        <v>1</v>
      </c>
      <c r="B8" s="3"/>
      <c r="C8" s="6">
        <f>C7-(D42+I38)</f>
        <v>0</v>
      </c>
      <c r="D8" s="48"/>
      <c r="E8" s="48"/>
      <c r="F8" s="13" t="s">
        <v>41</v>
      </c>
      <c r="G8" s="76" t="s">
        <v>36</v>
      </c>
      <c r="H8" s="80"/>
      <c r="I8" s="26">
        <f>H8*3</f>
        <v>0</v>
      </c>
      <c r="J8" s="110">
        <f>SUM(I8:I9)/1.8</f>
        <v>0</v>
      </c>
    </row>
    <row r="9" spans="1:10" ht="14.25" customHeight="1" thickBot="1">
      <c r="A9" s="48" t="s">
        <v>63</v>
      </c>
      <c r="B9" s="48"/>
      <c r="C9" s="84">
        <f>C6-(E42+J38)</f>
        <v>0</v>
      </c>
      <c r="D9" s="48"/>
      <c r="E9" s="48"/>
      <c r="F9" s="13" t="str">
        <f>F8</f>
        <v>Flavor6</v>
      </c>
      <c r="G9" s="76" t="s">
        <v>37</v>
      </c>
      <c r="H9" s="80"/>
      <c r="I9" s="26">
        <f>H9/2</f>
        <v>0</v>
      </c>
      <c r="J9" s="110"/>
    </row>
    <row r="10" spans="1:10" ht="27.75" customHeight="1">
      <c r="A10" s="49" t="s">
        <v>32</v>
      </c>
      <c r="B10" s="49" t="s">
        <v>33</v>
      </c>
      <c r="C10" s="49" t="s">
        <v>51</v>
      </c>
      <c r="D10" s="49" t="s">
        <v>34</v>
      </c>
      <c r="E10" s="49" t="s">
        <v>35</v>
      </c>
      <c r="F10" s="13"/>
      <c r="G10" s="76"/>
      <c r="H10" s="80"/>
      <c r="I10" s="26"/>
      <c r="J10" s="56"/>
    </row>
    <row r="11" spans="1:10" ht="14.25" customHeight="1">
      <c r="A11" s="10"/>
      <c r="B11" s="69"/>
      <c r="C11" s="11"/>
      <c r="D11" s="12"/>
      <c r="E11" s="50"/>
      <c r="F11" s="85" t="s">
        <v>42</v>
      </c>
      <c r="G11" s="76" t="s">
        <v>36</v>
      </c>
      <c r="H11" s="80"/>
      <c r="I11" s="26">
        <f t="shared" ref="I11:I35" si="0">H11*3</f>
        <v>0</v>
      </c>
      <c r="J11" s="110">
        <f>SUM(I11:I12)/1.8</f>
        <v>0</v>
      </c>
    </row>
    <row r="12" spans="1:10" ht="14.25" customHeight="1">
      <c r="A12" s="85" t="s">
        <v>54</v>
      </c>
      <c r="B12" s="43" t="s">
        <v>36</v>
      </c>
      <c r="C12" s="78">
        <v>0</v>
      </c>
      <c r="D12" s="26">
        <f>C12*3</f>
        <v>0</v>
      </c>
      <c r="E12" s="144">
        <f>SUM(D12:D15)/1.8</f>
        <v>0</v>
      </c>
      <c r="F12" s="85" t="str">
        <f>F11</f>
        <v>Flavor7</v>
      </c>
      <c r="G12" s="76" t="s">
        <v>37</v>
      </c>
      <c r="H12" s="80"/>
      <c r="I12" s="26">
        <f>H12/2</f>
        <v>0</v>
      </c>
      <c r="J12" s="110"/>
    </row>
    <row r="13" spans="1:10" ht="14.25" customHeight="1">
      <c r="A13" s="85" t="str">
        <f>A12</f>
        <v>Chocolate</v>
      </c>
      <c r="B13" s="43" t="s">
        <v>37</v>
      </c>
      <c r="C13" s="78">
        <v>0</v>
      </c>
      <c r="D13" s="26">
        <f>C13/2</f>
        <v>0</v>
      </c>
      <c r="E13" s="144"/>
      <c r="F13" s="85"/>
      <c r="G13" s="76"/>
      <c r="H13" s="80"/>
      <c r="I13" s="26"/>
      <c r="J13" s="56"/>
    </row>
    <row r="14" spans="1:10" ht="14.25" customHeight="1">
      <c r="A14" s="85" t="str">
        <f>A12</f>
        <v>Chocolate</v>
      </c>
      <c r="B14" s="43" t="s">
        <v>38</v>
      </c>
      <c r="C14" s="78">
        <v>0</v>
      </c>
      <c r="D14" s="26">
        <f>C14/32</f>
        <v>0</v>
      </c>
      <c r="E14" s="144"/>
      <c r="F14" s="85" t="s">
        <v>43</v>
      </c>
      <c r="G14" s="76" t="s">
        <v>36</v>
      </c>
      <c r="H14" s="80"/>
      <c r="I14" s="26">
        <f t="shared" si="0"/>
        <v>0</v>
      </c>
      <c r="J14" s="110">
        <f>SUM(I14:I15)/1.8</f>
        <v>0</v>
      </c>
    </row>
    <row r="15" spans="1:10" ht="14.25" customHeight="1">
      <c r="A15" s="85" t="str">
        <f>A12</f>
        <v>Chocolate</v>
      </c>
      <c r="B15" s="43" t="s">
        <v>39</v>
      </c>
      <c r="C15" s="78">
        <v>0</v>
      </c>
      <c r="D15" s="26">
        <f>C15/8</f>
        <v>0</v>
      </c>
      <c r="E15" s="144"/>
      <c r="F15" s="85" t="str">
        <f>F14</f>
        <v>Flavor8</v>
      </c>
      <c r="G15" s="76" t="s">
        <v>37</v>
      </c>
      <c r="H15" s="80"/>
      <c r="I15" s="26">
        <f>H15/2</f>
        <v>0</v>
      </c>
      <c r="J15" s="110"/>
    </row>
    <row r="16" spans="1:10" ht="14.25" customHeight="1">
      <c r="A16" s="85"/>
      <c r="B16" s="43"/>
      <c r="C16" s="78"/>
      <c r="D16" s="26"/>
      <c r="E16" s="51"/>
      <c r="F16" s="85"/>
      <c r="G16" s="76"/>
      <c r="H16" s="80"/>
      <c r="I16" s="26"/>
      <c r="J16" s="56"/>
    </row>
    <row r="17" spans="1:10" ht="14.25" customHeight="1">
      <c r="A17" s="85" t="s">
        <v>70</v>
      </c>
      <c r="B17" s="43" t="s">
        <v>36</v>
      </c>
      <c r="C17" s="78">
        <v>0</v>
      </c>
      <c r="D17" s="26">
        <f>C17*3</f>
        <v>0</v>
      </c>
      <c r="E17" s="144">
        <f>SUM(D17:D20)/1.8</f>
        <v>0</v>
      </c>
      <c r="F17" s="85" t="s">
        <v>44</v>
      </c>
      <c r="G17" s="76" t="s">
        <v>36</v>
      </c>
      <c r="H17" s="80"/>
      <c r="I17" s="26">
        <f t="shared" si="0"/>
        <v>0</v>
      </c>
      <c r="J17" s="110">
        <f>SUM(I17:I18)/1.8</f>
        <v>0</v>
      </c>
    </row>
    <row r="18" spans="1:10" ht="14.25" customHeight="1">
      <c r="A18" s="85" t="str">
        <f>A17</f>
        <v>Death By Chocolate</v>
      </c>
      <c r="B18" s="43" t="s">
        <v>37</v>
      </c>
      <c r="C18" s="78">
        <v>0</v>
      </c>
      <c r="D18" s="26">
        <f>C18/2</f>
        <v>0</v>
      </c>
      <c r="E18" s="144"/>
      <c r="F18" s="85" t="str">
        <f>F17</f>
        <v>Flavor9</v>
      </c>
      <c r="G18" s="76" t="s">
        <v>37</v>
      </c>
      <c r="H18" s="80"/>
      <c r="I18" s="26">
        <f>H18/2</f>
        <v>0</v>
      </c>
      <c r="J18" s="110"/>
    </row>
    <row r="19" spans="1:10" ht="14.25" customHeight="1">
      <c r="A19" s="85" t="str">
        <f>A17</f>
        <v>Death By Chocolate</v>
      </c>
      <c r="B19" s="43" t="s">
        <v>38</v>
      </c>
      <c r="C19" s="78"/>
      <c r="D19" s="26">
        <f>C19/32</f>
        <v>0</v>
      </c>
      <c r="E19" s="144"/>
      <c r="F19" s="85"/>
      <c r="G19" s="76"/>
      <c r="H19" s="80"/>
      <c r="I19" s="26"/>
      <c r="J19" s="56"/>
    </row>
    <row r="20" spans="1:10" ht="14.25" customHeight="1">
      <c r="A20" s="85" t="str">
        <f>A17</f>
        <v>Death By Chocolate</v>
      </c>
      <c r="B20" s="43" t="s">
        <v>39</v>
      </c>
      <c r="C20" s="78"/>
      <c r="D20" s="26">
        <f>C20/8</f>
        <v>0</v>
      </c>
      <c r="E20" s="144"/>
      <c r="F20" s="85" t="s">
        <v>45</v>
      </c>
      <c r="G20" s="76" t="s">
        <v>36</v>
      </c>
      <c r="H20" s="80"/>
      <c r="I20" s="26">
        <f t="shared" si="0"/>
        <v>0</v>
      </c>
      <c r="J20" s="110">
        <f>SUM(I20:I21)/1.8</f>
        <v>0</v>
      </c>
    </row>
    <row r="21" spans="1:10" ht="14.25" customHeight="1">
      <c r="A21" s="85"/>
      <c r="B21" s="43"/>
      <c r="C21" s="78"/>
      <c r="D21" s="26"/>
      <c r="E21" s="51"/>
      <c r="F21" s="85" t="str">
        <f>F20</f>
        <v>Flavor10</v>
      </c>
      <c r="G21" s="76" t="s">
        <v>37</v>
      </c>
      <c r="H21" s="80"/>
      <c r="I21" s="26">
        <f>H21/2</f>
        <v>0</v>
      </c>
      <c r="J21" s="110"/>
    </row>
    <row r="22" spans="1:10" ht="14.25" customHeight="1">
      <c r="A22" s="85" t="s">
        <v>76</v>
      </c>
      <c r="B22" s="43" t="s">
        <v>36</v>
      </c>
      <c r="C22" s="78">
        <v>0</v>
      </c>
      <c r="D22" s="26">
        <f>C22*3</f>
        <v>0</v>
      </c>
      <c r="E22" s="144">
        <f>SUM(D22:D25)/1.8</f>
        <v>0</v>
      </c>
      <c r="F22" s="85"/>
      <c r="G22" s="76"/>
      <c r="H22" s="80"/>
      <c r="I22" s="26"/>
      <c r="J22" s="56"/>
    </row>
    <row r="23" spans="1:10" ht="14.25" customHeight="1">
      <c r="A23" s="85" t="str">
        <f>A22</f>
        <v>Keeney Beany Chocolate</v>
      </c>
      <c r="B23" s="43" t="s">
        <v>37</v>
      </c>
      <c r="C23" s="78">
        <v>0</v>
      </c>
      <c r="D23" s="26">
        <f>C23/2</f>
        <v>0</v>
      </c>
      <c r="E23" s="144"/>
      <c r="F23" s="85" t="s">
        <v>46</v>
      </c>
      <c r="G23" s="76" t="s">
        <v>36</v>
      </c>
      <c r="H23" s="80"/>
      <c r="I23" s="26">
        <f t="shared" si="0"/>
        <v>0</v>
      </c>
      <c r="J23" s="110">
        <f>SUM(I23:I24)/1.8</f>
        <v>0</v>
      </c>
    </row>
    <row r="24" spans="1:10" ht="14.25" customHeight="1">
      <c r="A24" s="85" t="str">
        <f>A22</f>
        <v>Keeney Beany Chocolate</v>
      </c>
      <c r="B24" s="43" t="s">
        <v>38</v>
      </c>
      <c r="C24" s="78"/>
      <c r="D24" s="26">
        <f>C24/32</f>
        <v>0</v>
      </c>
      <c r="E24" s="144"/>
      <c r="F24" s="85" t="str">
        <f>F23</f>
        <v>Flavor11</v>
      </c>
      <c r="G24" s="76" t="s">
        <v>37</v>
      </c>
      <c r="H24" s="80"/>
      <c r="I24" s="26">
        <f>H24/2</f>
        <v>0</v>
      </c>
      <c r="J24" s="110"/>
    </row>
    <row r="25" spans="1:10" ht="14.25" customHeight="1">
      <c r="A25" s="85" t="str">
        <f>A22</f>
        <v>Keeney Beany Chocolate</v>
      </c>
      <c r="B25" s="43" t="s">
        <v>39</v>
      </c>
      <c r="C25" s="78"/>
      <c r="D25" s="26">
        <f>C25/8</f>
        <v>0</v>
      </c>
      <c r="E25" s="144"/>
      <c r="F25" s="85"/>
      <c r="G25" s="76"/>
      <c r="H25" s="80"/>
      <c r="I25" s="26"/>
      <c r="J25" s="56"/>
    </row>
    <row r="26" spans="1:10" ht="14.25" customHeight="1">
      <c r="A26" s="85"/>
      <c r="B26" s="43"/>
      <c r="C26" s="78"/>
      <c r="D26" s="26"/>
      <c r="E26" s="51"/>
      <c r="F26" s="85" t="s">
        <v>47</v>
      </c>
      <c r="G26" s="76" t="s">
        <v>36</v>
      </c>
      <c r="H26" s="80"/>
      <c r="I26" s="26">
        <f t="shared" si="0"/>
        <v>0</v>
      </c>
      <c r="J26" s="110">
        <f>SUM(I26:I27)/1.8</f>
        <v>0</v>
      </c>
    </row>
    <row r="27" spans="1:10" ht="14.25" customHeight="1">
      <c r="A27" s="85" t="s">
        <v>77</v>
      </c>
      <c r="B27" s="43" t="s">
        <v>36</v>
      </c>
      <c r="C27" s="78">
        <v>0</v>
      </c>
      <c r="D27" s="26">
        <f>C27*3</f>
        <v>0</v>
      </c>
      <c r="E27" s="144">
        <f>SUM(D27:D30)/1.8</f>
        <v>0</v>
      </c>
      <c r="F27" s="85" t="str">
        <f>F26</f>
        <v>Flavor12</v>
      </c>
      <c r="G27" s="76" t="s">
        <v>37</v>
      </c>
      <c r="H27" s="80"/>
      <c r="I27" s="26">
        <f>H27/2</f>
        <v>0</v>
      </c>
      <c r="J27" s="110"/>
    </row>
    <row r="28" spans="1:10" ht="14.25" customHeight="1">
      <c r="A28" s="85" t="str">
        <f>A27</f>
        <v>Chocolate Chocolate Nut</v>
      </c>
      <c r="B28" s="43" t="s">
        <v>37</v>
      </c>
      <c r="C28" s="78">
        <v>0</v>
      </c>
      <c r="D28" s="26">
        <f>C28/2</f>
        <v>0</v>
      </c>
      <c r="E28" s="144"/>
      <c r="F28" s="85"/>
      <c r="G28" s="76"/>
      <c r="H28" s="80"/>
      <c r="I28" s="26"/>
      <c r="J28" s="56"/>
    </row>
    <row r="29" spans="1:10" ht="14.25" customHeight="1">
      <c r="A29" s="85" t="str">
        <f>A27</f>
        <v>Chocolate Chocolate Nut</v>
      </c>
      <c r="B29" s="43" t="s">
        <v>38</v>
      </c>
      <c r="C29" s="78"/>
      <c r="D29" s="26">
        <f>C29/32</f>
        <v>0</v>
      </c>
      <c r="E29" s="144"/>
      <c r="F29" s="85" t="s">
        <v>48</v>
      </c>
      <c r="G29" s="76" t="s">
        <v>36</v>
      </c>
      <c r="H29" s="80"/>
      <c r="I29" s="26">
        <f t="shared" si="0"/>
        <v>0</v>
      </c>
      <c r="J29" s="110">
        <f>SUM(I29:I30)/1.8</f>
        <v>0</v>
      </c>
    </row>
    <row r="30" spans="1:10" ht="14.25" customHeight="1">
      <c r="A30" s="85" t="str">
        <f>A27</f>
        <v>Chocolate Chocolate Nut</v>
      </c>
      <c r="B30" s="43" t="s">
        <v>39</v>
      </c>
      <c r="C30" s="78"/>
      <c r="D30" s="26">
        <f>C30/8</f>
        <v>0</v>
      </c>
      <c r="E30" s="144"/>
      <c r="F30" s="85" t="str">
        <f>F29</f>
        <v>Flavor13</v>
      </c>
      <c r="G30" s="76" t="s">
        <v>37</v>
      </c>
      <c r="H30" s="80"/>
      <c r="I30" s="26">
        <f>H30/2</f>
        <v>0</v>
      </c>
      <c r="J30" s="110"/>
    </row>
    <row r="31" spans="1:10" ht="14.25" customHeight="1">
      <c r="A31" s="85"/>
      <c r="B31" s="43"/>
      <c r="C31" s="78"/>
      <c r="D31" s="26"/>
      <c r="E31" s="51"/>
      <c r="F31" s="85"/>
      <c r="G31" s="76"/>
      <c r="H31" s="80"/>
      <c r="I31" s="26"/>
      <c r="J31" s="56"/>
    </row>
    <row r="32" spans="1:10" ht="14.25" customHeight="1">
      <c r="A32" s="85" t="s">
        <v>78</v>
      </c>
      <c r="B32" s="43" t="s">
        <v>36</v>
      </c>
      <c r="C32" s="78">
        <v>0</v>
      </c>
      <c r="D32" s="26">
        <f>C32*3</f>
        <v>0</v>
      </c>
      <c r="E32" s="144">
        <f>SUM(D32:D35)/1.8</f>
        <v>0</v>
      </c>
      <c r="F32" s="85" t="s">
        <v>49</v>
      </c>
      <c r="G32" s="76" t="s">
        <v>36</v>
      </c>
      <c r="H32" s="80"/>
      <c r="I32" s="26">
        <f t="shared" si="0"/>
        <v>0</v>
      </c>
      <c r="J32" s="110">
        <f>SUM(I32:I33)/1.8</f>
        <v>0</v>
      </c>
    </row>
    <row r="33" spans="1:10" ht="14.25" customHeight="1">
      <c r="A33" s="85" t="str">
        <f>A32</f>
        <v>Peanut Butter Cup</v>
      </c>
      <c r="B33" s="43" t="s">
        <v>37</v>
      </c>
      <c r="C33" s="78">
        <v>0</v>
      </c>
      <c r="D33" s="26">
        <f>C33/2</f>
        <v>0</v>
      </c>
      <c r="E33" s="144"/>
      <c r="F33" s="85" t="str">
        <f>F32</f>
        <v>Flavor14</v>
      </c>
      <c r="G33" s="76" t="s">
        <v>37</v>
      </c>
      <c r="H33" s="80"/>
      <c r="I33" s="26">
        <f>H33/2</f>
        <v>0</v>
      </c>
      <c r="J33" s="110"/>
    </row>
    <row r="34" spans="1:10" ht="14.25" customHeight="1">
      <c r="A34" s="85" t="str">
        <f>A32</f>
        <v>Peanut Butter Cup</v>
      </c>
      <c r="B34" s="43" t="s">
        <v>38</v>
      </c>
      <c r="C34" s="78"/>
      <c r="D34" s="26">
        <f>C34/32</f>
        <v>0</v>
      </c>
      <c r="E34" s="144"/>
      <c r="F34" s="85"/>
      <c r="G34" s="76"/>
      <c r="H34" s="80"/>
      <c r="I34" s="26"/>
      <c r="J34" s="56"/>
    </row>
    <row r="35" spans="1:10" ht="14.25" customHeight="1">
      <c r="A35" s="85" t="str">
        <f>A32</f>
        <v>Peanut Butter Cup</v>
      </c>
      <c r="B35" s="43" t="s">
        <v>39</v>
      </c>
      <c r="C35" s="78"/>
      <c r="D35" s="26">
        <f>C35/8</f>
        <v>0</v>
      </c>
      <c r="E35" s="144"/>
      <c r="F35" s="85" t="s">
        <v>50</v>
      </c>
      <c r="G35" s="76" t="s">
        <v>36</v>
      </c>
      <c r="H35" s="80"/>
      <c r="I35" s="26">
        <f t="shared" si="0"/>
        <v>0</v>
      </c>
      <c r="J35" s="110">
        <f>SUM(I35:I36)/1.8</f>
        <v>0</v>
      </c>
    </row>
    <row r="36" spans="1:10" ht="14.25" customHeight="1">
      <c r="A36" s="85"/>
      <c r="B36" s="43"/>
      <c r="C36" s="79"/>
      <c r="D36" s="14"/>
      <c r="E36" s="52"/>
      <c r="F36" s="85" t="str">
        <f>F35</f>
        <v>Flavor15</v>
      </c>
      <c r="G36" s="76" t="s">
        <v>37</v>
      </c>
      <c r="H36" s="80"/>
      <c r="I36" s="26">
        <f>H36/2</f>
        <v>0</v>
      </c>
      <c r="J36" s="110"/>
    </row>
    <row r="37" spans="1:10" ht="14.25" customHeight="1">
      <c r="A37" s="85" t="s">
        <v>79</v>
      </c>
      <c r="B37" s="43" t="s">
        <v>36</v>
      </c>
      <c r="C37" s="79">
        <v>0</v>
      </c>
      <c r="D37" s="26">
        <f>C37*3</f>
        <v>0</v>
      </c>
      <c r="E37" s="145">
        <f>SUM(D37:D40)/1.8</f>
        <v>0</v>
      </c>
      <c r="F37" s="57"/>
      <c r="G37" s="72"/>
      <c r="H37" s="28"/>
      <c r="I37" s="12"/>
      <c r="J37" s="29"/>
    </row>
    <row r="38" spans="1:10" ht="14.25" customHeight="1" thickBot="1">
      <c r="A38" s="85" t="str">
        <f>A37</f>
        <v>German Chocolate Cake</v>
      </c>
      <c r="B38" s="43" t="s">
        <v>37</v>
      </c>
      <c r="C38" s="79">
        <v>0</v>
      </c>
      <c r="D38" s="26">
        <f>C38/2</f>
        <v>0</v>
      </c>
      <c r="E38" s="123"/>
      <c r="F38" s="15" t="s">
        <v>4</v>
      </c>
      <c r="G38" s="73"/>
      <c r="H38" s="30"/>
      <c r="I38" s="31">
        <f>SUM(I8:I36)</f>
        <v>0</v>
      </c>
      <c r="J38" s="32">
        <f>SUM(J8:J36)</f>
        <v>0</v>
      </c>
    </row>
    <row r="39" spans="1:10" ht="14.25" customHeight="1">
      <c r="A39" s="85" t="str">
        <f>A37</f>
        <v>German Chocolate Cake</v>
      </c>
      <c r="B39" s="43" t="s">
        <v>38</v>
      </c>
      <c r="C39" s="79"/>
      <c r="D39" s="26">
        <f>C39/32</f>
        <v>0</v>
      </c>
      <c r="E39" s="123"/>
      <c r="F39" s="34"/>
      <c r="G39" s="34"/>
      <c r="H39" s="58"/>
      <c r="I39" s="58"/>
      <c r="J39" s="58"/>
    </row>
    <row r="40" spans="1:10" ht="14.25" customHeight="1">
      <c r="A40" s="85" t="str">
        <f>A37</f>
        <v>German Chocolate Cake</v>
      </c>
      <c r="B40" s="43" t="s">
        <v>39</v>
      </c>
      <c r="C40" s="79"/>
      <c r="D40" s="26">
        <f>C40/8</f>
        <v>0</v>
      </c>
      <c r="E40" s="146"/>
      <c r="F40" s="34"/>
      <c r="G40" s="34"/>
      <c r="H40" s="58"/>
      <c r="I40" s="58"/>
      <c r="J40" s="58"/>
    </row>
    <row r="41" spans="1:10" ht="14.25" customHeight="1">
      <c r="A41" s="57"/>
      <c r="B41" s="70"/>
      <c r="C41" s="45"/>
      <c r="D41" s="53"/>
      <c r="E41" s="46"/>
      <c r="F41" s="34"/>
      <c r="G41" s="34"/>
      <c r="H41" s="58"/>
      <c r="I41" s="58"/>
      <c r="J41" s="58"/>
    </row>
    <row r="42" spans="1:10" ht="14.25" customHeight="1" thickBot="1">
      <c r="A42" s="59" t="s">
        <v>4</v>
      </c>
      <c r="B42" s="71"/>
      <c r="C42" s="30"/>
      <c r="D42" s="2">
        <f>SUM(D12:D40)</f>
        <v>0</v>
      </c>
      <c r="E42" s="1">
        <f>SUM(E12:E40)</f>
        <v>0</v>
      </c>
      <c r="F42" s="34"/>
      <c r="G42" s="34"/>
      <c r="H42" s="58"/>
      <c r="I42" s="58"/>
      <c r="J42" s="58"/>
    </row>
    <row r="43" spans="1:10" ht="14.25" customHeight="1" thickBot="1"/>
    <row r="44" spans="1:10" ht="14.25" customHeight="1">
      <c r="A44" s="92" t="s">
        <v>17</v>
      </c>
      <c r="B44" s="111"/>
      <c r="C44" s="111"/>
      <c r="D44" s="111"/>
      <c r="E44" s="112"/>
      <c r="F44" s="133" t="s">
        <v>17</v>
      </c>
      <c r="G44" s="134"/>
      <c r="H44" s="93"/>
      <c r="I44" s="93"/>
      <c r="J44" s="94"/>
    </row>
    <row r="45" spans="1:10" ht="14.25" customHeight="1">
      <c r="A45" s="113"/>
      <c r="B45" s="114"/>
      <c r="C45" s="114"/>
      <c r="D45" s="114"/>
      <c r="E45" s="115"/>
      <c r="F45" s="95"/>
      <c r="G45" s="96"/>
      <c r="H45" s="96"/>
      <c r="I45" s="96"/>
      <c r="J45" s="97"/>
    </row>
    <row r="46" spans="1:10" ht="14.25" customHeight="1">
      <c r="A46" s="113"/>
      <c r="B46" s="114"/>
      <c r="C46" s="114"/>
      <c r="D46" s="114"/>
      <c r="E46" s="115"/>
      <c r="F46" s="95"/>
      <c r="G46" s="96"/>
      <c r="H46" s="96"/>
      <c r="I46" s="96"/>
      <c r="J46" s="97"/>
    </row>
    <row r="47" spans="1:10" ht="14.25" customHeight="1">
      <c r="A47" s="113"/>
      <c r="B47" s="114"/>
      <c r="C47" s="114"/>
      <c r="D47" s="114"/>
      <c r="E47" s="115"/>
      <c r="F47" s="95"/>
      <c r="G47" s="96"/>
      <c r="H47" s="96"/>
      <c r="I47" s="96"/>
      <c r="J47" s="97"/>
    </row>
    <row r="48" spans="1:10" ht="14.25" customHeight="1" thickBot="1">
      <c r="A48" s="116"/>
      <c r="B48" s="117"/>
      <c r="C48" s="117"/>
      <c r="D48" s="117"/>
      <c r="E48" s="118"/>
      <c r="F48" s="98"/>
      <c r="G48" s="99"/>
      <c r="H48" s="99"/>
      <c r="I48" s="99"/>
      <c r="J48" s="100"/>
    </row>
  </sheetData>
  <mergeCells count="20">
    <mergeCell ref="J32:J33"/>
    <mergeCell ref="J35:J36"/>
    <mergeCell ref="A44:E48"/>
    <mergeCell ref="F44:J48"/>
    <mergeCell ref="J17:J18"/>
    <mergeCell ref="J20:J21"/>
    <mergeCell ref="E22:E25"/>
    <mergeCell ref="J23:J24"/>
    <mergeCell ref="J26:J27"/>
    <mergeCell ref="E27:E30"/>
    <mergeCell ref="J29:J30"/>
    <mergeCell ref="E17:E20"/>
    <mergeCell ref="E32:E35"/>
    <mergeCell ref="E37:E40"/>
    <mergeCell ref="A1:E3"/>
    <mergeCell ref="F1:J3"/>
    <mergeCell ref="J8:J9"/>
    <mergeCell ref="J11:J12"/>
    <mergeCell ref="E12:E15"/>
    <mergeCell ref="J14:J15"/>
  </mergeCells>
  <pageMargins left="0.7" right="0.7" top="0.75" bottom="0.75" header="0.3" footer="0.3"/>
  <pageSetup orientation="portrait" horizontalDpi="200" verticalDpi="200" r:id="rId1"/>
  <headerFooter>
    <oddHeader>&amp;L&amp;"Times New Roman,Bold"&amp;12Penn State Berkey Creamery
University Park, PA 16802&amp;R&amp;D</oddHeader>
    <oddFooter>&amp;L&amp;"Times New Roman,Bold"&amp;12Plant Number 42-253&amp;R&amp;P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G44"/>
  <sheetViews>
    <sheetView view="pageLayout" zoomScaleNormal="100" workbookViewId="0">
      <selection activeCell="C12" sqref="C12"/>
    </sheetView>
  </sheetViews>
  <sheetFormatPr defaultRowHeight="15"/>
  <cols>
    <col min="1" max="1" width="31.28515625" style="54" customWidth="1"/>
    <col min="2" max="2" width="9.5703125" style="54" customWidth="1"/>
    <col min="3" max="3" width="12.5703125" style="54" customWidth="1"/>
    <col min="4" max="4" width="15.42578125" style="54" customWidth="1"/>
    <col min="5" max="5" width="18.5703125" style="54" customWidth="1"/>
    <col min="6" max="16384" width="9.140625" style="54"/>
  </cols>
  <sheetData>
    <row r="1" spans="1:7">
      <c r="A1" s="124" t="s">
        <v>28</v>
      </c>
      <c r="B1" s="125"/>
      <c r="C1" s="125"/>
      <c r="D1" s="125"/>
      <c r="E1" s="126"/>
    </row>
    <row r="2" spans="1:7">
      <c r="A2" s="127"/>
      <c r="B2" s="128"/>
      <c r="C2" s="128"/>
      <c r="D2" s="128"/>
      <c r="E2" s="129"/>
    </row>
    <row r="3" spans="1:7" ht="15.75" thickBot="1">
      <c r="A3" s="130"/>
      <c r="B3" s="131"/>
      <c r="C3" s="131"/>
      <c r="D3" s="131"/>
      <c r="E3" s="132"/>
    </row>
    <row r="5" spans="1:7" ht="16.5" thickBot="1">
      <c r="A5" s="3"/>
      <c r="B5" s="3"/>
      <c r="C5" s="3"/>
      <c r="D5" s="3"/>
      <c r="E5" s="3"/>
    </row>
    <row r="6" spans="1:7" ht="16.5" thickBot="1">
      <c r="A6" s="3" t="s">
        <v>9</v>
      </c>
      <c r="B6" s="3"/>
      <c r="C6" s="82">
        <v>0</v>
      </c>
      <c r="D6" s="4"/>
      <c r="E6" s="3"/>
    </row>
    <row r="7" spans="1:7" ht="16.5" thickBot="1">
      <c r="A7" s="3" t="s">
        <v>0</v>
      </c>
      <c r="B7" s="3"/>
      <c r="C7" s="33">
        <f>C6*1.8</f>
        <v>0</v>
      </c>
      <c r="D7" s="4"/>
      <c r="E7" s="3"/>
    </row>
    <row r="8" spans="1:7" ht="16.5" thickBot="1">
      <c r="A8" s="3" t="s">
        <v>1</v>
      </c>
      <c r="B8" s="3"/>
      <c r="C8" s="6">
        <f>C7-(D21)</f>
        <v>0</v>
      </c>
      <c r="D8" s="4"/>
      <c r="E8" s="3"/>
    </row>
    <row r="9" spans="1:7" ht="16.5" thickBot="1">
      <c r="A9" s="3" t="s">
        <v>63</v>
      </c>
      <c r="B9" s="3"/>
      <c r="C9" s="84">
        <f>C6-E21</f>
        <v>0</v>
      </c>
      <c r="D9" s="3"/>
      <c r="E9" s="3"/>
    </row>
    <row r="10" spans="1:7" ht="27.75" customHeight="1">
      <c r="A10" s="7" t="s">
        <v>2</v>
      </c>
      <c r="B10" s="68" t="s">
        <v>33</v>
      </c>
      <c r="C10" s="8" t="s">
        <v>51</v>
      </c>
      <c r="D10" s="9" t="s">
        <v>34</v>
      </c>
      <c r="E10" s="9" t="s">
        <v>35</v>
      </c>
      <c r="F10" s="60"/>
      <c r="G10" s="60"/>
    </row>
    <row r="11" spans="1:7" ht="15.75">
      <c r="A11" s="61"/>
      <c r="B11" s="34"/>
      <c r="C11" s="34"/>
      <c r="D11" s="35"/>
      <c r="E11" s="36"/>
    </row>
    <row r="12" spans="1:7" ht="15.75">
      <c r="A12" s="62" t="s">
        <v>53</v>
      </c>
      <c r="B12" s="77" t="s">
        <v>36</v>
      </c>
      <c r="C12" s="81"/>
      <c r="D12" s="37">
        <f>C12*3</f>
        <v>0</v>
      </c>
      <c r="E12" s="147">
        <f>SUM(D12:D13)/1.8</f>
        <v>0</v>
      </c>
    </row>
    <row r="13" spans="1:7" ht="15.75">
      <c r="A13" s="62" t="str">
        <f>A12</f>
        <v>Vanilla</v>
      </c>
      <c r="B13" s="77" t="s">
        <v>37</v>
      </c>
      <c r="C13" s="81"/>
      <c r="D13" s="37">
        <f>C13/2</f>
        <v>0</v>
      </c>
      <c r="E13" s="147"/>
    </row>
    <row r="14" spans="1:7" ht="15.75">
      <c r="A14" s="62"/>
      <c r="B14" s="77"/>
      <c r="C14" s="81"/>
      <c r="D14" s="37"/>
      <c r="E14" s="27"/>
    </row>
    <row r="15" spans="1:7" ht="15.75">
      <c r="A15" s="62" t="s">
        <v>54</v>
      </c>
      <c r="B15" s="77" t="s">
        <v>36</v>
      </c>
      <c r="C15" s="81"/>
      <c r="D15" s="37">
        <f>C15*3</f>
        <v>0</v>
      </c>
      <c r="E15" s="147">
        <f t="shared" ref="E15:E18" si="0">SUM(D15:D16)/1.8</f>
        <v>0</v>
      </c>
    </row>
    <row r="16" spans="1:7" ht="15.75">
      <c r="A16" s="62" t="str">
        <f>A15</f>
        <v>Chocolate</v>
      </c>
      <c r="B16" s="77" t="s">
        <v>37</v>
      </c>
      <c r="C16" s="81"/>
      <c r="D16" s="37">
        <f>C16/2</f>
        <v>0</v>
      </c>
      <c r="E16" s="147"/>
    </row>
    <row r="17" spans="1:5" ht="15.75">
      <c r="A17" s="62"/>
      <c r="B17" s="77"/>
      <c r="C17" s="81"/>
      <c r="D17" s="37"/>
      <c r="E17" s="27"/>
    </row>
    <row r="18" spans="1:5" ht="15.75">
      <c r="A18" s="62" t="s">
        <v>55</v>
      </c>
      <c r="B18" s="77" t="s">
        <v>36</v>
      </c>
      <c r="C18" s="81"/>
      <c r="D18" s="37">
        <f>C18*3</f>
        <v>0</v>
      </c>
      <c r="E18" s="147">
        <f t="shared" si="0"/>
        <v>0</v>
      </c>
    </row>
    <row r="19" spans="1:5" ht="15.75">
      <c r="A19" s="62" t="str">
        <f>A18</f>
        <v>Strawberry</v>
      </c>
      <c r="B19" s="77" t="s">
        <v>37</v>
      </c>
      <c r="C19" s="81"/>
      <c r="D19" s="37">
        <f>C19/2</f>
        <v>0</v>
      </c>
      <c r="E19" s="147"/>
    </row>
    <row r="20" spans="1:5" ht="15.75">
      <c r="A20" s="63"/>
      <c r="B20" s="74"/>
      <c r="C20" s="38"/>
      <c r="D20" s="39"/>
      <c r="E20" s="27"/>
    </row>
    <row r="21" spans="1:5" ht="16.5" thickBot="1">
      <c r="A21" s="64" t="s">
        <v>4</v>
      </c>
      <c r="B21" s="75"/>
      <c r="C21" s="40"/>
      <c r="D21" s="40">
        <f>SUM(D12:D19)</f>
        <v>0</v>
      </c>
      <c r="E21" s="41">
        <f>SUM(E12:E19)</f>
        <v>0</v>
      </c>
    </row>
    <row r="22" spans="1:5" ht="15.75">
      <c r="A22" s="48"/>
      <c r="B22" s="48"/>
      <c r="C22" s="48"/>
      <c r="D22" s="48"/>
      <c r="E22" s="48"/>
    </row>
    <row r="23" spans="1:5" ht="15.75">
      <c r="A23" s="48"/>
      <c r="B23" s="48"/>
      <c r="C23" s="48"/>
      <c r="D23" s="48"/>
      <c r="E23" s="48"/>
    </row>
    <row r="24" spans="1:5" ht="15.75">
      <c r="A24" s="48"/>
      <c r="B24" s="48"/>
      <c r="C24" s="48"/>
      <c r="D24" s="48"/>
      <c r="E24" s="48"/>
    </row>
    <row r="39" spans="1:5" ht="15.75" thickBot="1"/>
    <row r="40" spans="1:5">
      <c r="A40" s="92" t="s">
        <v>17</v>
      </c>
      <c r="B40" s="111"/>
      <c r="C40" s="111"/>
      <c r="D40" s="111"/>
      <c r="E40" s="112"/>
    </row>
    <row r="41" spans="1:5">
      <c r="A41" s="113"/>
      <c r="B41" s="114"/>
      <c r="C41" s="114"/>
      <c r="D41" s="114"/>
      <c r="E41" s="115"/>
    </row>
    <row r="42" spans="1:5" ht="15" customHeight="1">
      <c r="A42" s="113"/>
      <c r="B42" s="114"/>
      <c r="C42" s="114"/>
      <c r="D42" s="114"/>
      <c r="E42" s="115"/>
    </row>
    <row r="43" spans="1:5" ht="15.75" customHeight="1">
      <c r="A43" s="113"/>
      <c r="B43" s="114"/>
      <c r="C43" s="114"/>
      <c r="D43" s="114"/>
      <c r="E43" s="115"/>
    </row>
    <row r="44" spans="1:5" ht="15.75" thickBot="1">
      <c r="A44" s="116"/>
      <c r="B44" s="117"/>
      <c r="C44" s="117"/>
      <c r="D44" s="117"/>
      <c r="E44" s="118"/>
    </row>
  </sheetData>
  <mergeCells count="5">
    <mergeCell ref="A40:E44"/>
    <mergeCell ref="A1:E3"/>
    <mergeCell ref="E12:E13"/>
    <mergeCell ref="E15:E16"/>
    <mergeCell ref="E18:E19"/>
  </mergeCells>
  <pageMargins left="0.7" right="0.7" top="0.75" bottom="0.75" header="0.3" footer="0.3"/>
  <pageSetup orientation="portrait" horizontalDpi="200" verticalDpi="200" r:id="rId1"/>
  <headerFooter>
    <oddHeader>&amp;L&amp;"Times New Roman,Bold"&amp;12Penn State Berkey Creamery
University Park, PA 16802&amp;R&amp;D</oddHeader>
    <oddFooter>&amp;L&amp;"Times New Roman,Bold"&amp;12Plant Number 42-253&amp;R&amp;P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H45"/>
  <sheetViews>
    <sheetView view="pageLayout" zoomScaleNormal="100" workbookViewId="0">
      <selection activeCell="C8" sqref="C8"/>
    </sheetView>
  </sheetViews>
  <sheetFormatPr defaultRowHeight="15"/>
  <cols>
    <col min="1" max="1" width="31.28515625" style="54" customWidth="1"/>
    <col min="2" max="2" width="9.5703125" style="54" customWidth="1"/>
    <col min="3" max="3" width="12.5703125" style="54" customWidth="1"/>
    <col min="4" max="4" width="15.42578125" style="54" customWidth="1"/>
    <col min="5" max="5" width="19" style="54" customWidth="1"/>
    <col min="6" max="16384" width="9.140625" style="54"/>
  </cols>
  <sheetData>
    <row r="1" spans="1:8">
      <c r="A1" s="124" t="s">
        <v>23</v>
      </c>
      <c r="B1" s="125"/>
      <c r="C1" s="125"/>
      <c r="D1" s="125"/>
      <c r="E1" s="126"/>
    </row>
    <row r="2" spans="1:8">
      <c r="A2" s="127"/>
      <c r="B2" s="128"/>
      <c r="C2" s="128"/>
      <c r="D2" s="128"/>
      <c r="E2" s="129"/>
    </row>
    <row r="3" spans="1:8" ht="15.75" thickBot="1">
      <c r="A3" s="130"/>
      <c r="B3" s="131"/>
      <c r="C3" s="131"/>
      <c r="D3" s="131"/>
      <c r="E3" s="132"/>
    </row>
    <row r="4" spans="1:8" ht="12" customHeight="1" thickBot="1">
      <c r="A4" s="3"/>
      <c r="B4" s="3"/>
      <c r="C4" s="3"/>
      <c r="D4" s="3"/>
      <c r="E4" s="3"/>
    </row>
    <row r="5" spans="1:8" ht="15" customHeight="1" thickBot="1">
      <c r="A5" s="3" t="s">
        <v>29</v>
      </c>
      <c r="B5" s="3"/>
      <c r="C5" s="83">
        <v>0</v>
      </c>
      <c r="D5" s="4"/>
      <c r="E5" s="3"/>
      <c r="F5" s="48"/>
    </row>
    <row r="6" spans="1:8" ht="16.5" thickBot="1">
      <c r="A6" s="3" t="s">
        <v>30</v>
      </c>
      <c r="B6" s="3"/>
      <c r="C6" s="5">
        <f>C5*1.8</f>
        <v>0</v>
      </c>
      <c r="D6" s="4"/>
      <c r="E6" s="3"/>
      <c r="F6" s="48"/>
    </row>
    <row r="7" spans="1:8" ht="16.5" thickBot="1">
      <c r="A7" s="3" t="s">
        <v>31</v>
      </c>
      <c r="B7" s="3"/>
      <c r="C7" s="6">
        <f>C6-D41</f>
        <v>0</v>
      </c>
      <c r="D7" s="4"/>
      <c r="E7" s="3"/>
      <c r="F7" s="48"/>
    </row>
    <row r="8" spans="1:8" ht="16.5" thickBot="1">
      <c r="A8" s="3" t="s">
        <v>63</v>
      </c>
      <c r="B8" s="3"/>
      <c r="C8" s="84">
        <f>C5-E41</f>
        <v>0</v>
      </c>
      <c r="D8" s="3"/>
      <c r="E8" s="3"/>
      <c r="F8" s="48"/>
    </row>
    <row r="9" spans="1:8" ht="12" customHeight="1">
      <c r="A9" s="7" t="s">
        <v>32</v>
      </c>
      <c r="B9" s="68" t="s">
        <v>33</v>
      </c>
      <c r="C9" s="8" t="s">
        <v>51</v>
      </c>
      <c r="D9" s="42" t="s">
        <v>64</v>
      </c>
      <c r="E9" s="9" t="s">
        <v>35</v>
      </c>
      <c r="F9" s="48"/>
    </row>
    <row r="10" spans="1:8" ht="27.75" customHeight="1">
      <c r="A10" s="10"/>
      <c r="B10" s="69"/>
      <c r="C10" s="11"/>
      <c r="D10" s="43"/>
      <c r="E10" s="12"/>
      <c r="F10" s="65"/>
      <c r="G10" s="60"/>
      <c r="H10" s="60"/>
    </row>
    <row r="11" spans="1:8" ht="14.25" customHeight="1">
      <c r="A11" s="13" t="s">
        <v>53</v>
      </c>
      <c r="B11" s="76" t="s">
        <v>36</v>
      </c>
      <c r="C11" s="80">
        <v>0</v>
      </c>
      <c r="D11" s="44">
        <f>C11*3</f>
        <v>0</v>
      </c>
      <c r="E11" s="145">
        <f>SUM(D11:D12)/1.8</f>
        <v>0</v>
      </c>
      <c r="F11" s="48"/>
    </row>
    <row r="12" spans="1:8" ht="15.75">
      <c r="A12" s="13" t="str">
        <f>A11</f>
        <v>Vanilla</v>
      </c>
      <c r="B12" s="76" t="s">
        <v>37</v>
      </c>
      <c r="C12" s="80">
        <v>0</v>
      </c>
      <c r="D12" s="44">
        <f>C12/2</f>
        <v>0</v>
      </c>
      <c r="E12" s="146"/>
      <c r="F12" s="48"/>
    </row>
    <row r="13" spans="1:8" ht="15.75">
      <c r="A13" s="13"/>
      <c r="B13" s="76"/>
      <c r="C13" s="80"/>
      <c r="D13" s="44"/>
      <c r="E13" s="12"/>
      <c r="F13" s="48"/>
    </row>
    <row r="14" spans="1:8" ht="13.5" customHeight="1">
      <c r="A14" s="13" t="s">
        <v>55</v>
      </c>
      <c r="B14" s="76" t="s">
        <v>36</v>
      </c>
      <c r="C14" s="80">
        <v>0</v>
      </c>
      <c r="D14" s="44">
        <f>C14*3</f>
        <v>0</v>
      </c>
      <c r="E14" s="145">
        <f>SUM(D14:D15)/1.8</f>
        <v>0</v>
      </c>
      <c r="F14" s="48"/>
    </row>
    <row r="15" spans="1:8" ht="15.75">
      <c r="A15" s="13" t="str">
        <f>A14</f>
        <v>Strawberry</v>
      </c>
      <c r="B15" s="76" t="s">
        <v>37</v>
      </c>
      <c r="C15" s="80">
        <v>0</v>
      </c>
      <c r="D15" s="44">
        <f>C15/2</f>
        <v>0</v>
      </c>
      <c r="E15" s="146"/>
      <c r="F15" s="48"/>
    </row>
    <row r="16" spans="1:8" ht="15.75">
      <c r="A16" s="13"/>
      <c r="B16" s="76"/>
      <c r="C16" s="80"/>
      <c r="D16" s="44"/>
      <c r="E16" s="12"/>
      <c r="F16" s="48"/>
    </row>
    <row r="17" spans="1:6" ht="13.5" customHeight="1">
      <c r="A17" s="13" t="s">
        <v>68</v>
      </c>
      <c r="B17" s="76" t="s">
        <v>36</v>
      </c>
      <c r="C17" s="80">
        <v>0</v>
      </c>
      <c r="D17" s="44">
        <f>C17*3</f>
        <v>0</v>
      </c>
      <c r="E17" s="145">
        <f>SUM(D17:D18)/1.8</f>
        <v>0</v>
      </c>
      <c r="F17" s="48"/>
    </row>
    <row r="18" spans="1:6" ht="15.75">
      <c r="A18" s="13" t="str">
        <f>A17</f>
        <v>Black Raspberry</v>
      </c>
      <c r="B18" s="76" t="s">
        <v>37</v>
      </c>
      <c r="C18" s="80">
        <v>0</v>
      </c>
      <c r="D18" s="44">
        <f>C18/2</f>
        <v>0</v>
      </c>
      <c r="E18" s="146"/>
      <c r="F18" s="48"/>
    </row>
    <row r="19" spans="1:6" ht="15.75">
      <c r="A19" s="13"/>
      <c r="B19" s="76"/>
      <c r="C19" s="80"/>
      <c r="D19" s="44"/>
      <c r="E19" s="12"/>
      <c r="F19" s="48"/>
    </row>
    <row r="20" spans="1:6" ht="13.5" customHeight="1">
      <c r="A20" s="13" t="s">
        <v>71</v>
      </c>
      <c r="B20" s="76" t="s">
        <v>36</v>
      </c>
      <c r="C20" s="80">
        <v>0</v>
      </c>
      <c r="D20" s="44">
        <f>C20*3</f>
        <v>0</v>
      </c>
      <c r="E20" s="145">
        <f>SUM(D20:D21)/1.8</f>
        <v>0</v>
      </c>
      <c r="F20" s="48"/>
    </row>
    <row r="21" spans="1:6" ht="15.75">
      <c r="A21" s="13" t="str">
        <f>A20</f>
        <v>Pina Colada</v>
      </c>
      <c r="B21" s="76" t="s">
        <v>37</v>
      </c>
      <c r="C21" s="80">
        <v>0</v>
      </c>
      <c r="D21" s="44">
        <f>C21/2</f>
        <v>0</v>
      </c>
      <c r="E21" s="146"/>
      <c r="F21" s="48"/>
    </row>
    <row r="22" spans="1:6" ht="15.75">
      <c r="A22" s="13"/>
      <c r="B22" s="76"/>
      <c r="C22" s="80"/>
      <c r="D22" s="44"/>
      <c r="E22" s="12"/>
      <c r="F22" s="48"/>
    </row>
    <row r="23" spans="1:6" ht="13.5" customHeight="1">
      <c r="A23" s="13" t="s">
        <v>40</v>
      </c>
      <c r="B23" s="76" t="s">
        <v>36</v>
      </c>
      <c r="C23" s="80"/>
      <c r="D23" s="44">
        <f>C23*3</f>
        <v>0</v>
      </c>
      <c r="E23" s="145">
        <f>SUM(C23:C24)/1.8</f>
        <v>0</v>
      </c>
      <c r="F23" s="48"/>
    </row>
    <row r="24" spans="1:6" ht="15.75">
      <c r="A24" s="13" t="str">
        <f>A23</f>
        <v>Flavor5</v>
      </c>
      <c r="B24" s="76" t="s">
        <v>37</v>
      </c>
      <c r="C24" s="80"/>
      <c r="D24" s="44">
        <f>C24/2</f>
        <v>0</v>
      </c>
      <c r="E24" s="146"/>
      <c r="F24" s="48"/>
    </row>
    <row r="25" spans="1:6" ht="15.75">
      <c r="A25" s="13"/>
      <c r="B25" s="76"/>
      <c r="C25" s="80"/>
      <c r="D25" s="44"/>
      <c r="E25" s="12"/>
      <c r="F25" s="48"/>
    </row>
    <row r="26" spans="1:6" ht="13.5" customHeight="1">
      <c r="A26" s="13" t="s">
        <v>41</v>
      </c>
      <c r="B26" s="76" t="s">
        <v>36</v>
      </c>
      <c r="C26" s="80"/>
      <c r="D26" s="44">
        <f>C26*3</f>
        <v>0</v>
      </c>
      <c r="E26" s="145">
        <f>SUM(C26:C27)/1.8</f>
        <v>0</v>
      </c>
      <c r="F26" s="48"/>
    </row>
    <row r="27" spans="1:6" ht="15.75">
      <c r="A27" s="13" t="str">
        <f>A26</f>
        <v>Flavor6</v>
      </c>
      <c r="B27" s="76" t="s">
        <v>37</v>
      </c>
      <c r="C27" s="80"/>
      <c r="D27" s="44">
        <f>C27/2</f>
        <v>0</v>
      </c>
      <c r="E27" s="146"/>
      <c r="F27" s="48"/>
    </row>
    <row r="28" spans="1:6" ht="15.75">
      <c r="A28" s="13"/>
      <c r="B28" s="76"/>
      <c r="C28" s="80"/>
      <c r="D28" s="44"/>
      <c r="E28" s="12"/>
      <c r="F28" s="48"/>
    </row>
    <row r="29" spans="1:6" ht="13.5" customHeight="1">
      <c r="A29" s="13" t="s">
        <v>42</v>
      </c>
      <c r="B29" s="76" t="s">
        <v>36</v>
      </c>
      <c r="C29" s="80"/>
      <c r="D29" s="44">
        <f>C29*3</f>
        <v>0</v>
      </c>
      <c r="E29" s="145">
        <f>SUM(C29:C30)/1.8</f>
        <v>0</v>
      </c>
      <c r="F29" s="48"/>
    </row>
    <row r="30" spans="1:6" ht="15.75">
      <c r="A30" s="13" t="str">
        <f>A29</f>
        <v>Flavor7</v>
      </c>
      <c r="B30" s="76" t="s">
        <v>37</v>
      </c>
      <c r="C30" s="80"/>
      <c r="D30" s="44">
        <f>C30/2</f>
        <v>0</v>
      </c>
      <c r="E30" s="146"/>
      <c r="F30" s="48"/>
    </row>
    <row r="31" spans="1:6" ht="15.75">
      <c r="A31" s="13"/>
      <c r="B31" s="76"/>
      <c r="C31" s="80"/>
      <c r="D31" s="44"/>
      <c r="E31" s="12"/>
      <c r="F31" s="48"/>
    </row>
    <row r="32" spans="1:6" ht="13.5" customHeight="1">
      <c r="A32" s="13" t="s">
        <v>43</v>
      </c>
      <c r="B32" s="76" t="s">
        <v>36</v>
      </c>
      <c r="C32" s="80"/>
      <c r="D32" s="44">
        <f>C32*3</f>
        <v>0</v>
      </c>
      <c r="E32" s="145">
        <f>SUM(C32:C33)/1.8</f>
        <v>0</v>
      </c>
      <c r="F32" s="48"/>
    </row>
    <row r="33" spans="1:6" ht="15.75">
      <c r="A33" s="13" t="str">
        <f>A32</f>
        <v>Flavor8</v>
      </c>
      <c r="B33" s="76" t="s">
        <v>37</v>
      </c>
      <c r="C33" s="80"/>
      <c r="D33" s="44">
        <f>C33/2</f>
        <v>0</v>
      </c>
      <c r="E33" s="146"/>
      <c r="F33" s="48"/>
    </row>
    <row r="34" spans="1:6" ht="15.75">
      <c r="A34" s="13"/>
      <c r="B34" s="76"/>
      <c r="C34" s="80"/>
      <c r="D34" s="44"/>
      <c r="E34" s="12"/>
      <c r="F34" s="48"/>
    </row>
    <row r="35" spans="1:6" ht="13.5" customHeight="1">
      <c r="A35" s="13" t="s">
        <v>44</v>
      </c>
      <c r="B35" s="76" t="s">
        <v>36</v>
      </c>
      <c r="C35" s="80"/>
      <c r="D35" s="44">
        <f>C35*3</f>
        <v>0</v>
      </c>
      <c r="E35" s="145">
        <f>SUM(C35:C36)/1.8</f>
        <v>0</v>
      </c>
      <c r="F35" s="48"/>
    </row>
    <row r="36" spans="1:6" ht="15.75">
      <c r="A36" s="13" t="str">
        <f>A35</f>
        <v>Flavor9</v>
      </c>
      <c r="B36" s="76" t="s">
        <v>37</v>
      </c>
      <c r="C36" s="80"/>
      <c r="D36" s="44">
        <f>C36/2</f>
        <v>0</v>
      </c>
      <c r="E36" s="146"/>
      <c r="F36" s="48"/>
    </row>
    <row r="37" spans="1:6" ht="15.75">
      <c r="A37" s="13"/>
      <c r="B37" s="76"/>
      <c r="C37" s="80"/>
      <c r="D37" s="44"/>
      <c r="E37" s="12"/>
      <c r="F37" s="48"/>
    </row>
    <row r="38" spans="1:6" ht="13.5" customHeight="1">
      <c r="A38" s="13" t="s">
        <v>45</v>
      </c>
      <c r="B38" s="76" t="s">
        <v>36</v>
      </c>
      <c r="C38" s="80"/>
      <c r="D38" s="44">
        <f>C38*3</f>
        <v>0</v>
      </c>
      <c r="E38" s="145">
        <f>SUM(C38:C39)/1.8</f>
        <v>0</v>
      </c>
      <c r="F38" s="48"/>
    </row>
    <row r="39" spans="1:6" ht="15.75">
      <c r="A39" s="13" t="str">
        <f>A38</f>
        <v>Flavor10</v>
      </c>
      <c r="B39" s="76" t="s">
        <v>37</v>
      </c>
      <c r="C39" s="80"/>
      <c r="D39" s="44">
        <f>C39/2</f>
        <v>0</v>
      </c>
      <c r="E39" s="146"/>
      <c r="F39" s="48"/>
    </row>
    <row r="40" spans="1:6" ht="15.75">
      <c r="A40" s="57"/>
      <c r="B40" s="72"/>
      <c r="C40" s="28"/>
      <c r="D40" s="45"/>
      <c r="E40" s="46"/>
      <c r="F40" s="48"/>
    </row>
    <row r="41" spans="1:6" ht="13.5" customHeight="1" thickBot="1">
      <c r="A41" s="15" t="s">
        <v>4</v>
      </c>
      <c r="B41" s="73"/>
      <c r="C41" s="30"/>
      <c r="D41" s="47">
        <f>SUM(D11:D39)</f>
        <v>0</v>
      </c>
      <c r="E41" s="17">
        <f>SUM(E11:E39)</f>
        <v>0</v>
      </c>
      <c r="F41" s="48"/>
    </row>
    <row r="42" spans="1:6" ht="16.5" thickBot="1">
      <c r="A42" s="48"/>
      <c r="B42" s="48"/>
      <c r="C42" s="48"/>
      <c r="D42" s="48"/>
      <c r="E42" s="48"/>
      <c r="F42" s="48"/>
    </row>
    <row r="43" spans="1:6" ht="9" customHeight="1">
      <c r="A43" s="92" t="s">
        <v>17</v>
      </c>
      <c r="B43" s="111"/>
      <c r="C43" s="111"/>
      <c r="D43" s="111"/>
      <c r="E43" s="112"/>
      <c r="F43" s="48"/>
    </row>
    <row r="44" spans="1:6">
      <c r="A44" s="113"/>
      <c r="B44" s="114"/>
      <c r="C44" s="114"/>
      <c r="D44" s="114"/>
      <c r="E44" s="115"/>
    </row>
    <row r="45" spans="1:6" ht="15.75" thickBot="1">
      <c r="A45" s="116"/>
      <c r="B45" s="117"/>
      <c r="C45" s="117"/>
      <c r="D45" s="117"/>
      <c r="E45" s="118"/>
    </row>
  </sheetData>
  <mergeCells count="12">
    <mergeCell ref="A1:E3"/>
    <mergeCell ref="A43:E45"/>
    <mergeCell ref="E11:E12"/>
    <mergeCell ref="E14:E15"/>
    <mergeCell ref="E17:E18"/>
    <mergeCell ref="E20:E21"/>
    <mergeCell ref="E23:E24"/>
    <mergeCell ref="E26:E27"/>
    <mergeCell ref="E29:E30"/>
    <mergeCell ref="E32:E33"/>
    <mergeCell ref="E35:E36"/>
    <mergeCell ref="E38:E39"/>
  </mergeCells>
  <pageMargins left="0.7" right="0.7" top="0.75" bottom="0.75" header="0.3" footer="0.3"/>
  <pageSetup orientation="portrait" horizontalDpi="200" verticalDpi="200" r:id="rId1"/>
  <headerFooter>
    <oddHeader xml:space="preserve">&amp;L&amp;"Times New Roman,Bold"&amp;12Penn State Berkey Creamery
University Park, PA 16802&amp;R&amp;D
</oddHeader>
    <oddFooter>&amp;L&amp;"Times New Roman,Bold"&amp;12Plant Number 42-253&amp;R&amp;P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G44"/>
  <sheetViews>
    <sheetView view="pageLayout" topLeftCell="A19" zoomScaleNormal="100" workbookViewId="0">
      <selection activeCell="E32" sqref="E32"/>
    </sheetView>
  </sheetViews>
  <sheetFormatPr defaultRowHeight="15"/>
  <cols>
    <col min="1" max="1" width="31.28515625" style="54" customWidth="1"/>
    <col min="2" max="2" width="9.7109375" style="54" customWidth="1"/>
    <col min="3" max="3" width="12.28515625" style="54" customWidth="1"/>
    <col min="4" max="4" width="15.5703125" style="54" customWidth="1"/>
    <col min="5" max="5" width="19" style="54" customWidth="1"/>
    <col min="6" max="6" width="13.28515625" style="54" customWidth="1"/>
    <col min="7" max="16384" width="9.140625" style="54"/>
  </cols>
  <sheetData>
    <row r="1" spans="1:7">
      <c r="A1" s="124" t="s">
        <v>24</v>
      </c>
      <c r="B1" s="125"/>
      <c r="C1" s="125"/>
      <c r="D1" s="125"/>
      <c r="E1" s="126"/>
    </row>
    <row r="2" spans="1:7">
      <c r="A2" s="127"/>
      <c r="B2" s="128"/>
      <c r="C2" s="128"/>
      <c r="D2" s="128"/>
      <c r="E2" s="129"/>
    </row>
    <row r="3" spans="1:7" ht="15.75" thickBot="1">
      <c r="A3" s="130"/>
      <c r="B3" s="131"/>
      <c r="C3" s="131"/>
      <c r="D3" s="131"/>
      <c r="E3" s="132"/>
    </row>
    <row r="4" spans="1:7" ht="15.75" thickBot="1">
      <c r="A4" s="66"/>
      <c r="B4" s="66"/>
      <c r="C4" s="66"/>
      <c r="D4" s="66"/>
      <c r="E4" s="66"/>
    </row>
    <row r="5" spans="1:7" ht="15.75" customHeight="1" thickBot="1">
      <c r="A5" s="3" t="s">
        <v>10</v>
      </c>
      <c r="B5" s="3"/>
      <c r="C5" s="82"/>
      <c r="D5" s="4"/>
      <c r="E5" s="3"/>
    </row>
    <row r="6" spans="1:7" ht="16.5" thickBot="1">
      <c r="A6" s="3" t="s">
        <v>11</v>
      </c>
      <c r="B6" s="3"/>
      <c r="C6" s="5">
        <f>C5*1.35</f>
        <v>0</v>
      </c>
      <c r="D6" s="4"/>
      <c r="E6" s="3"/>
    </row>
    <row r="7" spans="1:7" ht="16.5" thickBot="1">
      <c r="A7" s="3" t="s">
        <v>12</v>
      </c>
      <c r="B7" s="3"/>
      <c r="C7" s="6">
        <f>C6-(D32)</f>
        <v>0</v>
      </c>
      <c r="D7" s="4"/>
      <c r="E7" s="3"/>
    </row>
    <row r="8" spans="1:7" ht="16.5" thickBot="1">
      <c r="A8" s="3" t="s">
        <v>63</v>
      </c>
      <c r="B8" s="3"/>
      <c r="C8" s="84">
        <f>C5-E32</f>
        <v>0</v>
      </c>
      <c r="D8" s="3"/>
      <c r="E8" s="3"/>
    </row>
    <row r="9" spans="1:7" ht="13.5" customHeight="1">
      <c r="A9" s="7" t="s">
        <v>2</v>
      </c>
      <c r="B9" s="68" t="s">
        <v>33</v>
      </c>
      <c r="C9" s="8" t="s">
        <v>51</v>
      </c>
      <c r="D9" s="9" t="s">
        <v>65</v>
      </c>
      <c r="E9" s="9" t="s">
        <v>35</v>
      </c>
    </row>
    <row r="10" spans="1:7" ht="27.75" customHeight="1">
      <c r="A10" s="10"/>
      <c r="B10" s="69"/>
      <c r="C10" s="11"/>
      <c r="D10" s="12"/>
      <c r="E10" s="12"/>
      <c r="F10" s="60"/>
      <c r="G10" s="60"/>
    </row>
    <row r="11" spans="1:7" ht="13.5" customHeight="1">
      <c r="A11" s="13" t="s">
        <v>57</v>
      </c>
      <c r="B11" s="43" t="s">
        <v>36</v>
      </c>
      <c r="C11" s="78"/>
      <c r="D11" s="14">
        <f>C11*3</f>
        <v>0</v>
      </c>
      <c r="E11" s="148">
        <f>SUM(D11:D12)/1.35</f>
        <v>0</v>
      </c>
    </row>
    <row r="12" spans="1:7" ht="15.75">
      <c r="A12" s="13" t="str">
        <f>A11</f>
        <v>Lemon</v>
      </c>
      <c r="B12" s="43" t="s">
        <v>56</v>
      </c>
      <c r="C12" s="78"/>
      <c r="D12" s="14">
        <f>C12/4</f>
        <v>0</v>
      </c>
      <c r="E12" s="149"/>
    </row>
    <row r="13" spans="1:7" ht="15.75">
      <c r="A13" s="13"/>
      <c r="B13" s="43"/>
      <c r="C13" s="78"/>
      <c r="D13" s="14"/>
      <c r="E13" s="12"/>
    </row>
    <row r="14" spans="1:7" ht="13.5" customHeight="1">
      <c r="A14" s="13" t="s">
        <v>58</v>
      </c>
      <c r="B14" s="43" t="s">
        <v>36</v>
      </c>
      <c r="C14" s="78"/>
      <c r="D14" s="14">
        <f>C14*3</f>
        <v>0</v>
      </c>
      <c r="E14" s="148">
        <f t="shared" ref="E14:E29" si="0">SUM(D14:D15)/1.35</f>
        <v>0</v>
      </c>
    </row>
    <row r="15" spans="1:7" ht="15.75">
      <c r="A15" s="13" t="str">
        <f>A14</f>
        <v>Lime</v>
      </c>
      <c r="B15" s="43" t="s">
        <v>56</v>
      </c>
      <c r="C15" s="78"/>
      <c r="D15" s="14">
        <f>C15/4</f>
        <v>0</v>
      </c>
      <c r="E15" s="149"/>
    </row>
    <row r="16" spans="1:7" ht="15.75">
      <c r="A16" s="13"/>
      <c r="B16" s="43"/>
      <c r="C16" s="78"/>
      <c r="D16" s="14"/>
      <c r="E16" s="12"/>
    </row>
    <row r="17" spans="1:5" ht="13.5" customHeight="1">
      <c r="A17" s="13" t="s">
        <v>59</v>
      </c>
      <c r="B17" s="43" t="s">
        <v>36</v>
      </c>
      <c r="C17" s="78"/>
      <c r="D17" s="14">
        <f>C17*3</f>
        <v>0</v>
      </c>
      <c r="E17" s="148">
        <f t="shared" si="0"/>
        <v>0</v>
      </c>
    </row>
    <row r="18" spans="1:5" ht="15.75">
      <c r="A18" s="13" t="str">
        <f>A17</f>
        <v>Orange</v>
      </c>
      <c r="B18" s="43" t="s">
        <v>56</v>
      </c>
      <c r="C18" s="78"/>
      <c r="D18" s="14">
        <f>C18/4</f>
        <v>0</v>
      </c>
      <c r="E18" s="149"/>
    </row>
    <row r="19" spans="1:5" ht="15.75">
      <c r="A19" s="13"/>
      <c r="B19" s="43"/>
      <c r="C19" s="78"/>
      <c r="D19" s="14"/>
      <c r="E19" s="12"/>
    </row>
    <row r="20" spans="1:5" ht="13.5" customHeight="1">
      <c r="A20" s="13" t="s">
        <v>60</v>
      </c>
      <c r="B20" s="43" t="s">
        <v>36</v>
      </c>
      <c r="C20" s="78"/>
      <c r="D20" s="14">
        <f>C20*3</f>
        <v>0</v>
      </c>
      <c r="E20" s="148">
        <f t="shared" si="0"/>
        <v>0</v>
      </c>
    </row>
    <row r="21" spans="1:5" ht="15.75">
      <c r="A21" s="13" t="str">
        <f>A20</f>
        <v>Pineapple</v>
      </c>
      <c r="B21" s="43" t="s">
        <v>56</v>
      </c>
      <c r="C21" s="78"/>
      <c r="D21" s="14">
        <f>C21/4</f>
        <v>0</v>
      </c>
      <c r="E21" s="149"/>
    </row>
    <row r="22" spans="1:5" ht="15.75">
      <c r="A22" s="13"/>
      <c r="B22" s="43"/>
      <c r="C22" s="78"/>
      <c r="D22" s="14"/>
      <c r="E22" s="12"/>
    </row>
    <row r="23" spans="1:5" ht="13.5" customHeight="1">
      <c r="A23" s="13" t="s">
        <v>61</v>
      </c>
      <c r="B23" s="43" t="s">
        <v>36</v>
      </c>
      <c r="C23" s="78"/>
      <c r="D23" s="14">
        <f>C23*3</f>
        <v>0</v>
      </c>
      <c r="E23" s="148">
        <f t="shared" si="0"/>
        <v>0</v>
      </c>
    </row>
    <row r="24" spans="1:5" ht="15.75">
      <c r="A24" s="13" t="str">
        <f>A23</f>
        <v>Raspberry</v>
      </c>
      <c r="B24" s="43" t="s">
        <v>56</v>
      </c>
      <c r="C24" s="78"/>
      <c r="D24" s="14">
        <f>C24/4</f>
        <v>0</v>
      </c>
      <c r="E24" s="149"/>
    </row>
    <row r="25" spans="1:5" ht="15.75">
      <c r="A25" s="13"/>
      <c r="B25" s="43"/>
      <c r="C25" s="78"/>
      <c r="D25" s="14"/>
      <c r="E25" s="12"/>
    </row>
    <row r="26" spans="1:5" ht="13.5" customHeight="1">
      <c r="A26" s="13" t="s">
        <v>62</v>
      </c>
      <c r="B26" s="43" t="s">
        <v>36</v>
      </c>
      <c r="C26" s="78"/>
      <c r="D26" s="14">
        <f>C26*3</f>
        <v>0</v>
      </c>
      <c r="E26" s="148">
        <f t="shared" si="0"/>
        <v>0</v>
      </c>
    </row>
    <row r="27" spans="1:5" ht="15.75">
      <c r="A27" s="13" t="str">
        <f>A26</f>
        <v>Watermelon</v>
      </c>
      <c r="B27" s="43" t="s">
        <v>56</v>
      </c>
      <c r="C27" s="78"/>
      <c r="D27" s="14">
        <f>C27/4</f>
        <v>0</v>
      </c>
      <c r="E27" s="149"/>
    </row>
    <row r="28" spans="1:5" ht="15.75">
      <c r="A28" s="13"/>
      <c r="B28" s="43"/>
      <c r="C28" s="78"/>
      <c r="D28" s="14"/>
      <c r="E28" s="12"/>
    </row>
    <row r="29" spans="1:5" ht="13.5" customHeight="1">
      <c r="A29" s="13" t="s">
        <v>42</v>
      </c>
      <c r="B29" s="43" t="s">
        <v>36</v>
      </c>
      <c r="C29" s="78"/>
      <c r="D29" s="14">
        <f>C29*3</f>
        <v>0</v>
      </c>
      <c r="E29" s="148">
        <f t="shared" si="0"/>
        <v>0</v>
      </c>
    </row>
    <row r="30" spans="1:5" ht="15.75">
      <c r="A30" s="13" t="str">
        <f>A29</f>
        <v>Flavor7</v>
      </c>
      <c r="B30" s="43" t="s">
        <v>56</v>
      </c>
      <c r="C30" s="78"/>
      <c r="D30" s="14">
        <f>C30/4</f>
        <v>0</v>
      </c>
      <c r="E30" s="149"/>
    </row>
    <row r="31" spans="1:5" ht="15.75">
      <c r="A31" s="13"/>
      <c r="B31" s="43"/>
      <c r="C31" s="43"/>
      <c r="D31" s="14"/>
      <c r="E31" s="12"/>
    </row>
    <row r="32" spans="1:5" ht="13.5" customHeight="1" thickBot="1">
      <c r="A32" s="15" t="s">
        <v>4</v>
      </c>
      <c r="B32" s="73"/>
      <c r="C32" s="16"/>
      <c r="D32" s="17">
        <f>SUM(D11:D30)</f>
        <v>0</v>
      </c>
      <c r="E32" s="17">
        <f>SUM(E11:E30)</f>
        <v>0</v>
      </c>
    </row>
    <row r="33" spans="1:5" ht="15.75">
      <c r="A33" s="3"/>
      <c r="B33" s="3"/>
      <c r="C33" s="3"/>
      <c r="D33" s="3"/>
      <c r="E33" s="3"/>
    </row>
    <row r="34" spans="1:5" ht="15.75">
      <c r="A34" s="48"/>
      <c r="B34" s="48"/>
      <c r="C34" s="48"/>
      <c r="D34" s="48"/>
      <c r="E34" s="48"/>
    </row>
    <row r="39" spans="1:5" ht="15.75" thickBot="1"/>
    <row r="40" spans="1:5">
      <c r="A40" s="92" t="s">
        <v>17</v>
      </c>
      <c r="B40" s="111"/>
      <c r="C40" s="111"/>
      <c r="D40" s="111"/>
      <c r="E40" s="112"/>
    </row>
    <row r="41" spans="1:5">
      <c r="A41" s="113"/>
      <c r="B41" s="114"/>
      <c r="C41" s="114"/>
      <c r="D41" s="114"/>
      <c r="E41" s="115"/>
    </row>
    <row r="42" spans="1:5">
      <c r="A42" s="113"/>
      <c r="B42" s="114"/>
      <c r="C42" s="114"/>
      <c r="D42" s="114"/>
      <c r="E42" s="115"/>
    </row>
    <row r="43" spans="1:5">
      <c r="A43" s="113"/>
      <c r="B43" s="114"/>
      <c r="C43" s="114"/>
      <c r="D43" s="114"/>
      <c r="E43" s="115"/>
    </row>
    <row r="44" spans="1:5" ht="15.75" thickBot="1">
      <c r="A44" s="116"/>
      <c r="B44" s="117"/>
      <c r="C44" s="117"/>
      <c r="D44" s="117"/>
      <c r="E44" s="118"/>
    </row>
  </sheetData>
  <mergeCells count="9">
    <mergeCell ref="A40:E44"/>
    <mergeCell ref="A1:E3"/>
    <mergeCell ref="E11:E12"/>
    <mergeCell ref="E14:E15"/>
    <mergeCell ref="E17:E18"/>
    <mergeCell ref="E20:E21"/>
    <mergeCell ref="E23:E24"/>
    <mergeCell ref="E26:E27"/>
    <mergeCell ref="E29:E30"/>
  </mergeCells>
  <pageMargins left="0.7" right="0.7" top="0.75" bottom="0.75" header="0.3" footer="0.3"/>
  <pageSetup orientation="portrait" horizontalDpi="200" verticalDpi="200" r:id="rId1"/>
  <headerFooter>
    <oddHeader>&amp;L&amp;"Times New Roman,Bold"Penn State Berkey Creamery
University Park, PA 16802&amp;R&amp;D</oddHeader>
    <oddFooter>&amp;L&amp;"Times New Roman,Bold"&amp;12Plant Number 42-253&amp;R&amp;P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Mix Sheet</vt:lpstr>
      <vt:lpstr>WhiteMix</vt:lpstr>
      <vt:lpstr>ChocMix</vt:lpstr>
      <vt:lpstr>NSAMix</vt:lpstr>
      <vt:lpstr>FrozenYogurt</vt:lpstr>
      <vt:lpstr>Sherbet</vt:lpstr>
    </vt:vector>
  </TitlesOfParts>
  <Company>The Pennsylvania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sem5103</dc:creator>
  <cp:lastModifiedBy>PSU User</cp:lastModifiedBy>
  <cp:lastPrinted>2011-08-08T12:40:24Z</cp:lastPrinted>
  <dcterms:created xsi:type="dcterms:W3CDTF">2011-06-01T13:59:17Z</dcterms:created>
  <dcterms:modified xsi:type="dcterms:W3CDTF">2011-08-08T14:38:39Z</dcterms:modified>
</cp:coreProperties>
</file>