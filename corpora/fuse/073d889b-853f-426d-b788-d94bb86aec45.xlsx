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12" yWindow="360" windowWidth="12120" windowHeight="9060"/>
  </bookViews>
  <sheets>
    <sheet name="Districts" sheetId="1" r:id="rId1"/>
    <sheet name="Charters" sheetId="3" r:id="rId2"/>
  </sheets>
  <definedNames>
    <definedName name="_xlnm.Print_Area" localSheetId="1">Charters!$B$1:$O$96</definedName>
    <definedName name="_xlnm.Print_Area" localSheetId="0">Districts!$A$2:$Z$50</definedName>
  </definedNames>
  <calcPr calcId="145621"/>
</workbook>
</file>

<file path=xl/calcChain.xml><?xml version="1.0" encoding="utf-8"?>
<calcChain xmlns="http://schemas.openxmlformats.org/spreadsheetml/2006/main">
  <c r="Z8" i="1" l="1"/>
  <c r="Z10" i="1"/>
  <c r="Z16" i="1"/>
  <c r="Z18" i="1"/>
  <c r="Z24" i="1"/>
  <c r="Z26" i="1"/>
  <c r="Z32" i="1"/>
  <c r="Z34" i="1"/>
  <c r="Z40" i="1"/>
  <c r="Z42" i="1"/>
  <c r="Z7" i="1"/>
  <c r="Y8" i="1"/>
  <c r="Y9" i="1"/>
  <c r="Z9" i="1" s="1"/>
  <c r="Y10" i="1"/>
  <c r="Y11" i="1"/>
  <c r="Z11" i="1" s="1"/>
  <c r="Y12" i="1"/>
  <c r="Z12" i="1" s="1"/>
  <c r="Y13" i="1"/>
  <c r="Z13" i="1" s="1"/>
  <c r="Y14" i="1"/>
  <c r="Z14" i="1" s="1"/>
  <c r="Y15" i="1"/>
  <c r="Z15" i="1" s="1"/>
  <c r="Y16" i="1"/>
  <c r="Y17" i="1"/>
  <c r="Z17" i="1" s="1"/>
  <c r="Y18" i="1"/>
  <c r="Y19" i="1"/>
  <c r="Z19" i="1" s="1"/>
  <c r="Y20" i="1"/>
  <c r="Z20" i="1" s="1"/>
  <c r="Y21" i="1"/>
  <c r="Z21" i="1" s="1"/>
  <c r="Y22" i="1"/>
  <c r="Z22" i="1" s="1"/>
  <c r="Y23" i="1"/>
  <c r="Z23" i="1" s="1"/>
  <c r="Y24" i="1"/>
  <c r="Y25" i="1"/>
  <c r="Z25" i="1" s="1"/>
  <c r="Y26" i="1"/>
  <c r="Y27" i="1"/>
  <c r="Z27" i="1" s="1"/>
  <c r="Y28" i="1"/>
  <c r="Z28" i="1" s="1"/>
  <c r="Y29" i="1"/>
  <c r="Z29" i="1" s="1"/>
  <c r="Y30" i="1"/>
  <c r="Z30" i="1" s="1"/>
  <c r="Y31" i="1"/>
  <c r="Z31" i="1" s="1"/>
  <c r="Y32" i="1"/>
  <c r="Y33" i="1"/>
  <c r="Z33" i="1" s="1"/>
  <c r="Y34" i="1"/>
  <c r="Y35" i="1"/>
  <c r="Z35" i="1" s="1"/>
  <c r="Y36" i="1"/>
  <c r="Z36" i="1" s="1"/>
  <c r="Y37" i="1"/>
  <c r="Z37" i="1" s="1"/>
  <c r="Y38" i="1"/>
  <c r="Z38" i="1" s="1"/>
  <c r="Y39" i="1"/>
  <c r="Z39" i="1" s="1"/>
  <c r="Y40" i="1"/>
  <c r="Y41" i="1"/>
  <c r="Z41" i="1" s="1"/>
  <c r="Y42" i="1"/>
  <c r="Y43" i="1"/>
  <c r="Z43" i="1" s="1"/>
  <c r="Y44" i="1"/>
  <c r="Z44" i="1" s="1"/>
  <c r="Y45" i="1"/>
  <c r="Z45" i="1" s="1"/>
  <c r="Y46" i="1"/>
  <c r="Z46" i="1" s="1"/>
  <c r="Y47" i="1"/>
  <c r="Z47" i="1" s="1"/>
  <c r="Y49" i="1"/>
  <c r="Z49" i="1" s="1"/>
  <c r="Y7" i="1"/>
  <c r="W49" i="1"/>
  <c r="V50" i="1"/>
  <c r="V48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7" i="1"/>
  <c r="J48" i="1" l="1"/>
  <c r="J50" i="1" s="1"/>
  <c r="O95" i="3" l="1"/>
  <c r="U48" i="1"/>
  <c r="W48" i="1" s="1"/>
  <c r="U50" i="1" l="1"/>
  <c r="W50" i="1" s="1"/>
  <c r="D95" i="3"/>
  <c r="E95" i="3"/>
  <c r="F95" i="3"/>
  <c r="G95" i="3"/>
  <c r="H95" i="3"/>
  <c r="I95" i="3"/>
  <c r="J95" i="3"/>
  <c r="K95" i="3"/>
  <c r="L95" i="3"/>
  <c r="M95" i="3"/>
  <c r="N95" i="3"/>
  <c r="C95" i="3"/>
  <c r="T48" i="1"/>
  <c r="S48" i="1"/>
  <c r="S50" i="1" s="1"/>
  <c r="X48" i="1"/>
  <c r="Y48" i="1" s="1"/>
  <c r="Z48" i="1" s="1"/>
  <c r="R48" i="1"/>
  <c r="R50" i="1" s="1"/>
  <c r="N7" i="1"/>
  <c r="O7" i="1"/>
  <c r="N9" i="1"/>
  <c r="O9" i="1"/>
  <c r="P9" i="1"/>
  <c r="N10" i="1"/>
  <c r="O10" i="1"/>
  <c r="P10" i="1"/>
  <c r="N11" i="1"/>
  <c r="N13" i="1"/>
  <c r="O13" i="1"/>
  <c r="N14" i="1"/>
  <c r="N18" i="1"/>
  <c r="O18" i="1"/>
  <c r="N19" i="1"/>
  <c r="O19" i="1"/>
  <c r="N20" i="1"/>
  <c r="O20" i="1"/>
  <c r="N25" i="1"/>
  <c r="O25" i="1"/>
  <c r="N26" i="1"/>
  <c r="O26" i="1"/>
  <c r="N29" i="1"/>
  <c r="O29" i="1"/>
  <c r="N31" i="1"/>
  <c r="O31" i="1"/>
  <c r="N32" i="1"/>
  <c r="O32" i="1"/>
  <c r="N33" i="1"/>
  <c r="O33" i="1"/>
  <c r="N37" i="1"/>
  <c r="O37" i="1"/>
  <c r="N39" i="1"/>
  <c r="O39" i="1"/>
  <c r="N41" i="1"/>
  <c r="O41" i="1"/>
  <c r="N42" i="1"/>
  <c r="O42" i="1"/>
  <c r="N43" i="1"/>
  <c r="O43" i="1"/>
  <c r="N44" i="1"/>
  <c r="O44" i="1"/>
  <c r="N45" i="1"/>
  <c r="O45" i="1"/>
  <c r="P45" i="1"/>
  <c r="B48" i="1"/>
  <c r="C48" i="1"/>
  <c r="D48" i="1"/>
  <c r="E48" i="1"/>
  <c r="F48" i="1"/>
  <c r="G48" i="1"/>
  <c r="H48" i="1"/>
  <c r="I48" i="1"/>
  <c r="K48" i="1"/>
  <c r="K50" i="1" s="1"/>
  <c r="L48" i="1"/>
  <c r="L50" i="1" s="1"/>
  <c r="M48" i="1"/>
  <c r="M50" i="1" s="1"/>
  <c r="I50" i="1"/>
  <c r="P48" i="1" l="1"/>
  <c r="P50" i="1" s="1"/>
  <c r="N48" i="1"/>
  <c r="N50" i="1" s="1"/>
  <c r="O48" i="1"/>
  <c r="O50" i="1" s="1"/>
  <c r="X50" i="1"/>
  <c r="Y50" i="1" s="1"/>
  <c r="Z50" i="1" s="1"/>
  <c r="T50" i="1"/>
</calcChain>
</file>

<file path=xl/sharedStrings.xml><?xml version="1.0" encoding="utf-8"?>
<sst xmlns="http://schemas.openxmlformats.org/spreadsheetml/2006/main" count="219" uniqueCount="217">
  <si>
    <t>Projected</t>
  </si>
  <si>
    <t>Growth</t>
  </si>
  <si>
    <t>District</t>
  </si>
  <si>
    <t>Count</t>
  </si>
  <si>
    <t>Percent</t>
  </si>
  <si>
    <t>Alpine</t>
  </si>
  <si>
    <t>Beaver</t>
  </si>
  <si>
    <t>Box Elder</t>
  </si>
  <si>
    <t>Cache</t>
  </si>
  <si>
    <t>Carbon</t>
  </si>
  <si>
    <t>Daggett</t>
  </si>
  <si>
    <t>Davis</t>
  </si>
  <si>
    <t>Duchesne</t>
  </si>
  <si>
    <t>Emery</t>
  </si>
  <si>
    <t>Garfield</t>
  </si>
  <si>
    <t>Grand</t>
  </si>
  <si>
    <t>Granite</t>
  </si>
  <si>
    <t>Iron</t>
  </si>
  <si>
    <t>Jordan</t>
  </si>
  <si>
    <t>Juab</t>
  </si>
  <si>
    <t>Kane</t>
  </si>
  <si>
    <t>Millard</t>
  </si>
  <si>
    <t>Morgan</t>
  </si>
  <si>
    <t>Nebo</t>
  </si>
  <si>
    <t>North Sanpete</t>
  </si>
  <si>
    <t>North Summit</t>
  </si>
  <si>
    <t>Park City</t>
  </si>
  <si>
    <t>Piute</t>
  </si>
  <si>
    <t>Rich</t>
  </si>
  <si>
    <t>San Juan</t>
  </si>
  <si>
    <t>Sevier</t>
  </si>
  <si>
    <t>South Sanpete</t>
  </si>
  <si>
    <t>South Summit</t>
  </si>
  <si>
    <t>Tintic</t>
  </si>
  <si>
    <t>Tooele</t>
  </si>
  <si>
    <t>Uintah</t>
  </si>
  <si>
    <t>Wasatch</t>
  </si>
  <si>
    <t>Washington</t>
  </si>
  <si>
    <t>Wayne</t>
  </si>
  <si>
    <t>Weber</t>
  </si>
  <si>
    <t>Salt Lake</t>
  </si>
  <si>
    <t>Ogden</t>
  </si>
  <si>
    <t>Provo</t>
  </si>
  <si>
    <t>Logan</t>
  </si>
  <si>
    <t>Murray</t>
  </si>
  <si>
    <t>DISTRICT TOTAL</t>
  </si>
  <si>
    <t>CHARTER TOTAL</t>
  </si>
  <si>
    <t>GRAND TOTAL</t>
  </si>
  <si>
    <t>CHARTER SCHOOL</t>
  </si>
  <si>
    <t>CBA Center</t>
  </si>
  <si>
    <t>Channing Hall</t>
  </si>
  <si>
    <t>City Academy</t>
  </si>
  <si>
    <t>Dream Charter</t>
  </si>
  <si>
    <t>Freedom Academy</t>
  </si>
  <si>
    <t>Jean Massieu</t>
  </si>
  <si>
    <t>Open Classroom</t>
  </si>
  <si>
    <t>Park City Learning Center</t>
  </si>
  <si>
    <t>Providence Hall</t>
  </si>
  <si>
    <t>Success School</t>
  </si>
  <si>
    <t>Thomas Edison - North</t>
  </si>
  <si>
    <t>Thomas Edison - South</t>
  </si>
  <si>
    <t>Timpanogos Academy</t>
  </si>
  <si>
    <t>Uintah River High</t>
  </si>
  <si>
    <t>Utah Virtual Academy</t>
  </si>
  <si>
    <t>TOTAL</t>
  </si>
  <si>
    <t>Canyons</t>
  </si>
  <si>
    <t>Projected Growth</t>
  </si>
  <si>
    <t>Ogden Preparatory Academy</t>
  </si>
  <si>
    <t>American Preparatory Academy</t>
  </si>
  <si>
    <t>Walden School Of Liberal Arts</t>
  </si>
  <si>
    <t>Pinnacle Canyon Academy</t>
  </si>
  <si>
    <t>Tuacahn High School For The Performing Arts</t>
  </si>
  <si>
    <t>Fast Forward High</t>
  </si>
  <si>
    <t>1B</t>
  </si>
  <si>
    <t>1C</t>
  </si>
  <si>
    <t>1D</t>
  </si>
  <si>
    <t>1E</t>
  </si>
  <si>
    <t>1F</t>
  </si>
  <si>
    <t>1G</t>
  </si>
  <si>
    <t>2B</t>
  </si>
  <si>
    <t>2C</t>
  </si>
  <si>
    <t>Intech Collegiate High School</t>
  </si>
  <si>
    <t>2D</t>
  </si>
  <si>
    <t>2E</t>
  </si>
  <si>
    <t>2F</t>
  </si>
  <si>
    <t>2G</t>
  </si>
  <si>
    <t>3B</t>
  </si>
  <si>
    <t>3C</t>
  </si>
  <si>
    <t>3D</t>
  </si>
  <si>
    <t>3E</t>
  </si>
  <si>
    <t>3F</t>
  </si>
  <si>
    <t>4B</t>
  </si>
  <si>
    <t>4C</t>
  </si>
  <si>
    <t>Lakeview Academy</t>
  </si>
  <si>
    <t>4D</t>
  </si>
  <si>
    <t>4E</t>
  </si>
  <si>
    <t>4F</t>
  </si>
  <si>
    <t>Salt Lake Center For Science Education</t>
  </si>
  <si>
    <t>5B</t>
  </si>
  <si>
    <t>5C</t>
  </si>
  <si>
    <t>5D</t>
  </si>
  <si>
    <t>5E</t>
  </si>
  <si>
    <t>Edith Bowen Laboratory School</t>
  </si>
  <si>
    <t>5F</t>
  </si>
  <si>
    <t>6C</t>
  </si>
  <si>
    <t>6D</t>
  </si>
  <si>
    <t>6F</t>
  </si>
  <si>
    <t>7B</t>
  </si>
  <si>
    <t>7C</t>
  </si>
  <si>
    <t>7D</t>
  </si>
  <si>
    <t>7E</t>
  </si>
  <si>
    <t>7F</t>
  </si>
  <si>
    <t>8B</t>
  </si>
  <si>
    <t>8C</t>
  </si>
  <si>
    <t>8D</t>
  </si>
  <si>
    <t>8E</t>
  </si>
  <si>
    <t>8F</t>
  </si>
  <si>
    <t>9B</t>
  </si>
  <si>
    <t>9C</t>
  </si>
  <si>
    <t>9D</t>
  </si>
  <si>
    <t>9E</t>
  </si>
  <si>
    <t>9F</t>
  </si>
  <si>
    <t>Open High School Of Utah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</si>
  <si>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</si>
  <si>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</si>
  <si>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</si>
  <si>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</si>
  <si>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</si>
  <si>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</si>
  <si>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</si>
  <si>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</si>
  <si>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</si>
  <si>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Success Academy</t>
  </si>
  <si>
    <t>ID</t>
  </si>
  <si>
    <t>Bear River Charter School</t>
  </si>
  <si>
    <t>Good Foundation Academy</t>
  </si>
  <si>
    <t>Maria Montessori Academy</t>
  </si>
  <si>
    <t>Quail Run Primary School</t>
  </si>
  <si>
    <t>3G</t>
  </si>
  <si>
    <t>8G</t>
  </si>
  <si>
    <t>4G</t>
  </si>
  <si>
    <t>5G</t>
  </si>
  <si>
    <t>7G</t>
  </si>
  <si>
    <t>6G</t>
  </si>
  <si>
    <t>Soldier Hollow Charter School</t>
  </si>
  <si>
    <t>John Hancock Charter School</t>
  </si>
  <si>
    <t>Salt Lake Arts Academy</t>
  </si>
  <si>
    <t>Odyssey Charter School</t>
  </si>
  <si>
    <t>Renaissance Academy</t>
  </si>
  <si>
    <t>Guadalupe School</t>
  </si>
  <si>
    <t>Quest Academy</t>
  </si>
  <si>
    <t>Oquirrh Mountain Charter School</t>
  </si>
  <si>
    <t>Lincoln Academy</t>
  </si>
  <si>
    <t>Karl G Maeser Preparatory Academy</t>
  </si>
  <si>
    <t>Rockwell Charter High School</t>
  </si>
  <si>
    <t>Vista At Entrada School Of Performing Arts And Tec</t>
  </si>
  <si>
    <t>2H</t>
  </si>
  <si>
    <t>Entheos Academy</t>
  </si>
  <si>
    <t>Spectrum Academy</t>
  </si>
  <si>
    <t>Cs Lewis Academy</t>
  </si>
  <si>
    <t>Venture Academy</t>
  </si>
  <si>
    <t>3H</t>
  </si>
  <si>
    <t>Endeavor Hall</t>
  </si>
  <si>
    <t>Wasatch Peak Academy</t>
  </si>
  <si>
    <t>Syracuse Arts Academy</t>
  </si>
  <si>
    <t>Dual Immersion Academy</t>
  </si>
  <si>
    <t>North Star Academy</t>
  </si>
  <si>
    <t>Legacy Preparatory Academy</t>
  </si>
  <si>
    <t>George Washington Academy</t>
  </si>
  <si>
    <t>Liberty Academy</t>
  </si>
  <si>
    <t>Noah Webster Academy</t>
  </si>
  <si>
    <t>Early Light Academy At Daybreak</t>
  </si>
  <si>
    <t>Weilenmann School Of Discovery</t>
  </si>
  <si>
    <t>Reagan Academy</t>
  </si>
  <si>
    <t>Monticello Academy</t>
  </si>
  <si>
    <t>Salt Lake School For The Performing Arts</t>
  </si>
  <si>
    <t>Gateway Preparatory Academy</t>
  </si>
  <si>
    <t>Excelsior Academy</t>
  </si>
  <si>
    <t>Summit Academy High School</t>
  </si>
  <si>
    <t>American Leadership Academy</t>
  </si>
  <si>
    <t>Mountainville Academy</t>
  </si>
  <si>
    <t>Merit College Preparatory Academy</t>
  </si>
  <si>
    <t>Hawthorn Academy</t>
  </si>
  <si>
    <t>Navigator Pointe Academy</t>
  </si>
  <si>
    <t>Paradigm High School</t>
  </si>
  <si>
    <t>Canyon Rim Academy</t>
  </si>
  <si>
    <t>9G</t>
  </si>
  <si>
    <t>Alianza Academy</t>
  </si>
  <si>
    <t>Ranches Academy</t>
  </si>
  <si>
    <t>Davinci Academy</t>
  </si>
  <si>
    <t>Summit Academy</t>
  </si>
  <si>
    <t>Itineris Early College High</t>
  </si>
  <si>
    <t>North Davis Preparatory Academy</t>
  </si>
  <si>
    <t>Moab Community School</t>
  </si>
  <si>
    <t>East Hollywood High</t>
  </si>
  <si>
    <t>Utah Connections Academy</t>
  </si>
  <si>
    <t>Beehive Science &amp; Technology Academy</t>
  </si>
  <si>
    <t xml:space="preserve">Academy For Math Engineering &amp; Science </t>
  </si>
  <si>
    <t xml:space="preserve">No Ut Acad For Math Engineering &amp; Science </t>
  </si>
  <si>
    <t>Utah County Academy Of Science</t>
  </si>
  <si>
    <t xml:space="preserve"> </t>
  </si>
  <si>
    <t>2011-12</t>
  </si>
  <si>
    <t>2012 to 2013</t>
  </si>
  <si>
    <t>4H</t>
  </si>
  <si>
    <t>5H</t>
  </si>
  <si>
    <t>6H</t>
  </si>
  <si>
    <t>7H</t>
  </si>
  <si>
    <t>9H</t>
  </si>
  <si>
    <t>Aristotle</t>
  </si>
  <si>
    <t>Highmark Charter</t>
  </si>
  <si>
    <t>Pioneer High School for the Performing Arts</t>
  </si>
  <si>
    <t>Promontory School of Expeditionary Learning</t>
  </si>
  <si>
    <t>Valley Academy</t>
  </si>
  <si>
    <t>Fall Enrollment by Charter School and Year: Fall 1999 - Fall 2012</t>
  </si>
  <si>
    <t>Enrollment by District and Year:</t>
  </si>
  <si>
    <t>Pacific Heritage Academy</t>
  </si>
  <si>
    <t xml:space="preserve"> Fall 2002-Projected Fall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</si>
</sst>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%"/>
  </numFmts>
  <fonts count="3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Hel"/>
    </font>
    <font>
      <sz val="8"/>
      <name val="Hel"/>
    </font>
    <font>
      <b/>
      <sz val="12"/>
      <name val="Hel"/>
    </font>
    <font>
      <sz val="10"/>
      <name val="Hel"/>
    </font>
    <font>
      <b/>
      <sz val="10"/>
      <name val="Hel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1" fillId="23" borderId="7" applyNumberFormat="0" applyFont="0" applyAlignment="0" applyProtection="0"/>
    <xf numFmtId="0" fontId="22" fillId="20" borderId="8" applyNumberFormat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</cellStyleXfs>
  <cellXfs count="90">
    <xf numFmtId="0" fontId="0" fillId="0" borderId="0" xfId="0"/>
    <xf numFmtId="37" fontId="2" fillId="0" borderId="0" xfId="0" applyNumberFormat="1" applyFont="1" applyFill="1" applyBorder="1"/>
    <xf numFmtId="37" fontId="4" fillId="0" borderId="0" xfId="0" applyNumberFormat="1" applyFont="1" applyFill="1" applyBorder="1"/>
    <xf numFmtId="49" fontId="6" fillId="0" borderId="0" xfId="0" applyNumberFormat="1" applyFont="1" applyFill="1" applyBorder="1" applyAlignment="1">
      <alignment horizontal="center"/>
    </xf>
    <xf numFmtId="37" fontId="1" fillId="0" borderId="0" xfId="0" applyNumberFormat="1" applyFont="1" applyFill="1" applyBorder="1"/>
    <xf numFmtId="37" fontId="5" fillId="0" borderId="0" xfId="0" applyNumberFormat="1" applyFont="1" applyFill="1" applyBorder="1"/>
    <xf numFmtId="0" fontId="7" fillId="0" borderId="0" xfId="0" applyFont="1" applyBorder="1"/>
    <xf numFmtId="0" fontId="8" fillId="0" borderId="0" xfId="0" applyFont="1" applyBorder="1"/>
    <xf numFmtId="0" fontId="7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7" fontId="4" fillId="0" borderId="0" xfId="0" applyNumberFormat="1" applyFont="1" applyBorder="1"/>
    <xf numFmtId="37" fontId="4" fillId="0" borderId="0" xfId="0" applyNumberFormat="1" applyFont="1" applyBorder="1" applyAlignment="1">
      <alignment horizontal="right"/>
    </xf>
    <xf numFmtId="37" fontId="4" fillId="0" borderId="11" xfId="0" applyNumberFormat="1" applyFont="1" applyBorder="1" applyAlignment="1">
      <alignment horizontal="right"/>
    </xf>
    <xf numFmtId="0" fontId="4" fillId="0" borderId="11" xfId="0" applyFont="1" applyBorder="1"/>
    <xf numFmtId="37" fontId="6" fillId="0" borderId="12" xfId="0" applyNumberFormat="1" applyFont="1" applyBorder="1"/>
    <xf numFmtId="0" fontId="5" fillId="0" borderId="0" xfId="0" applyFont="1"/>
    <xf numFmtId="37" fontId="2" fillId="0" borderId="0" xfId="0" applyNumberFormat="1" applyFont="1"/>
    <xf numFmtId="0" fontId="5" fillId="0" borderId="10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0" xfId="0" applyFont="1" applyBorder="1"/>
    <xf numFmtId="0" fontId="5" fillId="0" borderId="0" xfId="0" applyFont="1" applyFill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7" fillId="0" borderId="0" xfId="0" applyFont="1" applyBorder="1" applyAlignment="1">
      <alignment horizontal="right"/>
    </xf>
    <xf numFmtId="0" fontId="5" fillId="0" borderId="0" xfId="0" applyFont="1" applyAlignment="1">
      <alignment horizontal="right"/>
    </xf>
    <xf numFmtId="37" fontId="1" fillId="0" borderId="0" xfId="0" applyNumberFormat="1" applyFont="1" applyFill="1" applyBorder="1"/>
    <xf numFmtId="0" fontId="8" fillId="0" borderId="15" xfId="0" applyFont="1" applyBorder="1" applyAlignment="1">
      <alignment horizontal="right"/>
    </xf>
    <xf numFmtId="0" fontId="8" fillId="0" borderId="15" xfId="0" applyFont="1" applyBorder="1" applyAlignment="1">
      <alignment horizontal="left"/>
    </xf>
    <xf numFmtId="49" fontId="8" fillId="0" borderId="25" xfId="0" applyNumberFormat="1" applyFont="1" applyBorder="1" applyAlignment="1">
      <alignment horizontal="center"/>
    </xf>
    <xf numFmtId="49" fontId="8" fillId="0" borderId="15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0" xfId="0" applyFont="1"/>
    <xf numFmtId="0" fontId="7" fillId="0" borderId="0" xfId="0" applyFont="1" applyFill="1" applyBorder="1"/>
    <xf numFmtId="37" fontId="2" fillId="0" borderId="0" xfId="0" applyNumberFormat="1" applyFont="1" applyFill="1"/>
    <xf numFmtId="37" fontId="0" fillId="0" borderId="0" xfId="0" applyNumberFormat="1"/>
    <xf numFmtId="37" fontId="26" fillId="0" borderId="0" xfId="0" applyNumberFormat="1" applyFont="1" applyFill="1" applyBorder="1" applyAlignment="1">
      <alignment horizontal="center"/>
    </xf>
    <xf numFmtId="37" fontId="27" fillId="0" borderId="0" xfId="0" applyNumberFormat="1" applyFont="1" applyFill="1" applyBorder="1"/>
    <xf numFmtId="37" fontId="29" fillId="0" borderId="0" xfId="0" applyNumberFormat="1" applyFont="1" applyFill="1" applyBorder="1"/>
    <xf numFmtId="37" fontId="30" fillId="0" borderId="0" xfId="0" applyNumberFormat="1" applyFont="1" applyFill="1" applyBorder="1" applyAlignment="1">
      <alignment horizontal="center"/>
    </xf>
    <xf numFmtId="37" fontId="29" fillId="0" borderId="0" xfId="0" applyNumberFormat="1" applyFont="1" applyFill="1" applyBorder="1" applyAlignment="1">
      <alignment horizontal="center"/>
    </xf>
    <xf numFmtId="49" fontId="30" fillId="0" borderId="0" xfId="0" applyNumberFormat="1" applyFont="1" applyFill="1" applyBorder="1" applyAlignment="1">
      <alignment horizontal="centerContinuous"/>
    </xf>
    <xf numFmtId="49" fontId="30" fillId="0" borderId="11" xfId="0" applyNumberFormat="1" applyFont="1" applyFill="1" applyBorder="1" applyAlignment="1">
      <alignment horizontal="center"/>
    </xf>
    <xf numFmtId="37" fontId="30" fillId="0" borderId="0" xfId="0" applyNumberFormat="1" applyFont="1" applyFill="1" applyBorder="1" applyAlignment="1">
      <alignment horizontal="centerContinuous"/>
    </xf>
    <xf numFmtId="49" fontId="30" fillId="0" borderId="0" xfId="0" applyNumberFormat="1" applyFont="1" applyFill="1" applyBorder="1" applyAlignment="1">
      <alignment horizontal="center"/>
    </xf>
    <xf numFmtId="0" fontId="30" fillId="0" borderId="0" xfId="0" applyNumberFormat="1" applyFont="1" applyFill="1" applyBorder="1" applyAlignment="1">
      <alignment horizontal="center"/>
    </xf>
    <xf numFmtId="0" fontId="30" fillId="0" borderId="13" xfId="0" applyNumberFormat="1" applyFont="1" applyFill="1" applyBorder="1" applyAlignment="1">
      <alignment horizontal="center"/>
    </xf>
    <xf numFmtId="0" fontId="30" fillId="0" borderId="11" xfId="0" applyNumberFormat="1" applyFont="1" applyFill="1" applyBorder="1" applyAlignment="1">
      <alignment horizontal="center"/>
    </xf>
    <xf numFmtId="49" fontId="30" fillId="0" borderId="18" xfId="28" applyNumberFormat="1" applyFont="1" applyFill="1" applyBorder="1"/>
    <xf numFmtId="37" fontId="29" fillId="0" borderId="19" xfId="0" applyNumberFormat="1" applyFont="1" applyFill="1" applyBorder="1" applyProtection="1"/>
    <xf numFmtId="37" fontId="29" fillId="0" borderId="19" xfId="28" applyNumberFormat="1" applyFont="1" applyFill="1" applyBorder="1"/>
    <xf numFmtId="37" fontId="29" fillId="0" borderId="19" xfId="0" applyNumberFormat="1" applyFont="1" applyFill="1" applyBorder="1"/>
    <xf numFmtId="164" fontId="29" fillId="0" borderId="20" xfId="40" applyNumberFormat="1" applyFont="1" applyFill="1" applyBorder="1"/>
    <xf numFmtId="37" fontId="29" fillId="0" borderId="21" xfId="0" applyNumberFormat="1" applyFont="1" applyFill="1" applyBorder="1"/>
    <xf numFmtId="38" fontId="29" fillId="0" borderId="19" xfId="0" applyNumberFormat="1" applyFont="1" applyFill="1" applyBorder="1"/>
    <xf numFmtId="164" fontId="29" fillId="0" borderId="22" xfId="0" applyNumberFormat="1" applyFont="1" applyFill="1" applyBorder="1"/>
    <xf numFmtId="49" fontId="30" fillId="0" borderId="23" xfId="28" applyNumberFormat="1" applyFont="1" applyFill="1" applyBorder="1"/>
    <xf numFmtId="37" fontId="29" fillId="0" borderId="0" xfId="0" applyNumberFormat="1" applyFont="1" applyFill="1" applyBorder="1" applyProtection="1"/>
    <xf numFmtId="37" fontId="29" fillId="0" borderId="0" xfId="28" applyNumberFormat="1" applyFont="1" applyFill="1" applyBorder="1"/>
    <xf numFmtId="164" fontId="29" fillId="0" borderId="13" xfId="40" applyNumberFormat="1" applyFont="1" applyFill="1" applyBorder="1"/>
    <xf numFmtId="37" fontId="29" fillId="0" borderId="11" xfId="0" applyNumberFormat="1" applyFont="1" applyFill="1" applyBorder="1"/>
    <xf numFmtId="38" fontId="29" fillId="0" borderId="0" xfId="0" applyNumberFormat="1" applyFont="1" applyFill="1" applyBorder="1"/>
    <xf numFmtId="164" fontId="29" fillId="0" borderId="24" xfId="0" applyNumberFormat="1" applyFont="1" applyFill="1" applyBorder="1"/>
    <xf numFmtId="49" fontId="30" fillId="0" borderId="17" xfId="28" applyNumberFormat="1" applyFont="1" applyFill="1" applyBorder="1"/>
    <xf numFmtId="37" fontId="29" fillId="0" borderId="15" xfId="0" applyNumberFormat="1" applyFont="1" applyFill="1" applyBorder="1" applyProtection="1"/>
    <xf numFmtId="37" fontId="29" fillId="0" borderId="15" xfId="28" applyNumberFormat="1" applyFont="1" applyFill="1" applyBorder="1"/>
    <xf numFmtId="37" fontId="29" fillId="0" borderId="15" xfId="0" applyNumberFormat="1" applyFont="1" applyFill="1" applyBorder="1"/>
    <xf numFmtId="164" fontId="29" fillId="0" borderId="16" xfId="40" applyNumberFormat="1" applyFont="1" applyFill="1" applyBorder="1"/>
    <xf numFmtId="37" fontId="29" fillId="0" borderId="17" xfId="0" applyNumberFormat="1" applyFont="1" applyFill="1" applyBorder="1"/>
    <xf numFmtId="38" fontId="29" fillId="0" borderId="15" xfId="0" applyNumberFormat="1" applyFont="1" applyFill="1" applyBorder="1"/>
    <xf numFmtId="164" fontId="29" fillId="0" borderId="16" xfId="0" applyNumberFormat="1" applyFont="1" applyFill="1" applyBorder="1"/>
    <xf numFmtId="37" fontId="30" fillId="0" borderId="23" xfId="0" applyNumberFormat="1" applyFont="1" applyFill="1" applyBorder="1" applyAlignment="1"/>
    <xf numFmtId="37" fontId="30" fillId="0" borderId="0" xfId="0" applyNumberFormat="1" applyFont="1" applyFill="1" applyBorder="1"/>
    <xf numFmtId="37" fontId="30" fillId="0" borderId="17" xfId="0" applyNumberFormat="1" applyFont="1" applyFill="1" applyBorder="1" applyAlignment="1"/>
    <xf numFmtId="37" fontId="30" fillId="0" borderId="15" xfId="0" applyNumberFormat="1" applyFont="1" applyFill="1" applyBorder="1"/>
    <xf numFmtId="164" fontId="29" fillId="0" borderId="14" xfId="40" applyNumberFormat="1" applyFont="1" applyFill="1" applyBorder="1"/>
    <xf numFmtId="0" fontId="8" fillId="0" borderId="15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" fillId="0" borderId="0" xfId="0" applyFont="1" applyBorder="1"/>
    <xf numFmtId="0" fontId="7" fillId="0" borderId="0" xfId="0" applyFont="1" applyFill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37" fontId="6" fillId="0" borderId="0" xfId="0" applyNumberFormat="1" applyFont="1" applyBorder="1"/>
    <xf numFmtId="37" fontId="6" fillId="0" borderId="0" xfId="0" applyNumberFormat="1" applyFont="1" applyFill="1" applyBorder="1"/>
    <xf numFmtId="37" fontId="4" fillId="0" borderId="26" xfId="0" applyNumberFormat="1" applyFont="1" applyBorder="1" applyAlignment="1">
      <alignment horizontal="right"/>
    </xf>
    <xf numFmtId="37" fontId="4" fillId="0" borderId="27" xfId="0" applyNumberFormat="1" applyFont="1" applyBorder="1" applyAlignment="1">
      <alignment horizontal="right"/>
    </xf>
    <xf numFmtId="37" fontId="4" fillId="0" borderId="27" xfId="0" applyNumberFormat="1" applyFont="1" applyBorder="1"/>
    <xf numFmtId="37" fontId="2" fillId="0" borderId="27" xfId="0" applyNumberFormat="1" applyFont="1" applyBorder="1"/>
    <xf numFmtId="37" fontId="2" fillId="0" borderId="27" xfId="0" applyNumberFormat="1" applyFont="1" applyFill="1" applyBorder="1"/>
    <xf numFmtId="37" fontId="28" fillId="0" borderId="0" xfId="0" applyNumberFormat="1" applyFont="1" applyFill="1" applyBorder="1" applyAlignment="1">
      <alignment horizontal="center"/>
    </xf>
    <xf numFmtId="37" fontId="26" fillId="0" borderId="0" xfId="0" applyNumberFormat="1" applyFont="1" applyFill="1" applyBorder="1" applyAlignment="1">
      <alignment horizont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Z51"/>
  <sheetViews>
    <sheetView tabSelected="1" zoomScale="106" zoomScaleNormal="106" workbookViewId="0">
      <pane xSplit="10" ySplit="6" topLeftCell="L29" activePane="bottomRight" state="frozen"/>
      <selection pane="topRight" activeCell="J1" sqref="J1"/>
      <selection pane="bottomLeft" activeCell="A6" sqref="A6"/>
      <selection pane="bottomRight" activeCell="T53" sqref="T53"/>
    </sheetView>
  </sheetViews>
  <sheetFormatPr defaultColWidth="9.109375" defaultRowHeight="10.199999999999999"/>
  <cols>
    <col min="1" max="1" width="16.88671875" style="1" customWidth="1"/>
    <col min="2" max="9" width="9.109375" style="1" hidden="1" customWidth="1"/>
    <col min="10" max="10" width="11.5546875" style="1" hidden="1" customWidth="1"/>
    <col min="11" max="11" width="11.88671875" style="1" hidden="1" customWidth="1"/>
    <col min="12" max="13" width="11.33203125" style="1" bestFit="1" customWidth="1"/>
    <col min="14" max="14" width="12.33203125" style="1" bestFit="1" customWidth="1"/>
    <col min="15" max="15" width="12" style="1" bestFit="1" customWidth="1"/>
    <col min="16" max="16" width="12.33203125" style="1" bestFit="1" customWidth="1"/>
    <col min="17" max="17" width="12" style="1" bestFit="1" customWidth="1"/>
    <col min="18" max="18" width="11.5546875" style="1" bestFit="1" customWidth="1"/>
    <col min="19" max="19" width="12" style="1" bestFit="1" customWidth="1"/>
    <col min="20" max="22" width="12" style="1" customWidth="1"/>
    <col min="23" max="24" width="12.109375" style="1" customWidth="1"/>
    <col min="25" max="26" width="12.109375" style="2" customWidth="1"/>
    <col min="27" max="16384" width="9.109375" style="1"/>
  </cols>
  <sheetData>
    <row r="2" spans="1:26" ht="17.399999999999999">
      <c r="A2" s="36" t="s">
        <v>200</v>
      </c>
      <c r="B2" s="36"/>
      <c r="C2" s="36"/>
      <c r="D2" s="36"/>
      <c r="E2" s="36"/>
      <c r="F2" s="36"/>
      <c r="G2" s="36"/>
      <c r="H2" s="36"/>
      <c r="I2" s="36"/>
      <c r="J2" s="36"/>
      <c r="K2" s="89" t="s">
        <v>214</v>
      </c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spans="1:26" ht="15.6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88" t="s">
        <v>216</v>
      </c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13.2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9"/>
      <c r="S4" s="39"/>
      <c r="T4" s="39"/>
      <c r="U4" s="39"/>
      <c r="V4" s="39"/>
      <c r="W4" s="39"/>
      <c r="X4" s="40"/>
      <c r="Y4" s="41" t="s">
        <v>66</v>
      </c>
      <c r="Z4" s="41"/>
    </row>
    <row r="5" spans="1:26" ht="13.2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9"/>
      <c r="R5" s="40"/>
      <c r="S5" s="40"/>
      <c r="T5" s="40"/>
      <c r="U5" s="40"/>
      <c r="V5" s="40"/>
      <c r="W5" s="39" t="s">
        <v>1</v>
      </c>
      <c r="X5" s="42" t="s">
        <v>0</v>
      </c>
      <c r="Y5" s="43" t="s">
        <v>202</v>
      </c>
      <c r="Z5" s="43"/>
    </row>
    <row r="6" spans="1:26" s="3" customFormat="1" ht="13.8" thickBot="1">
      <c r="A6" s="44" t="s">
        <v>2</v>
      </c>
      <c r="B6" s="44">
        <v>1992</v>
      </c>
      <c r="C6" s="44">
        <v>1993</v>
      </c>
      <c r="D6" s="44">
        <v>1994</v>
      </c>
      <c r="E6" s="44">
        <v>1995</v>
      </c>
      <c r="F6" s="44">
        <v>1996</v>
      </c>
      <c r="G6" s="44">
        <v>1997</v>
      </c>
      <c r="H6" s="44">
        <v>1998</v>
      </c>
      <c r="I6" s="44">
        <v>1999</v>
      </c>
      <c r="J6" s="44">
        <v>2000</v>
      </c>
      <c r="K6" s="44">
        <v>2001</v>
      </c>
      <c r="L6" s="44">
        <v>2002</v>
      </c>
      <c r="M6" s="44">
        <v>2003</v>
      </c>
      <c r="N6" s="44">
        <v>2004</v>
      </c>
      <c r="O6" s="44">
        <v>2005</v>
      </c>
      <c r="P6" s="45">
        <v>2006</v>
      </c>
      <c r="Q6" s="45">
        <v>2007</v>
      </c>
      <c r="R6" s="45">
        <v>2008</v>
      </c>
      <c r="S6" s="45">
        <v>2009</v>
      </c>
      <c r="T6" s="45">
        <v>2010</v>
      </c>
      <c r="U6" s="45">
        <v>2011</v>
      </c>
      <c r="V6" s="45">
        <v>2012</v>
      </c>
      <c r="W6" s="46" t="s">
        <v>201</v>
      </c>
      <c r="X6" s="47">
        <v>2013</v>
      </c>
      <c r="Y6" s="45" t="s">
        <v>3</v>
      </c>
      <c r="Z6" s="45" t="s">
        <v>4</v>
      </c>
    </row>
    <row r="7" spans="1:26" ht="13.2">
      <c r="A7" s="48" t="s">
        <v>5</v>
      </c>
      <c r="B7" s="49">
        <v>40322</v>
      </c>
      <c r="C7" s="49">
        <v>41601</v>
      </c>
      <c r="D7" s="49">
        <v>42014</v>
      </c>
      <c r="E7" s="49">
        <v>42763</v>
      </c>
      <c r="F7" s="49">
        <v>43719</v>
      </c>
      <c r="G7" s="50">
        <v>44694</v>
      </c>
      <c r="H7" s="50">
        <v>45208</v>
      </c>
      <c r="I7" s="50">
        <v>45824</v>
      </c>
      <c r="J7" s="50">
        <v>47096</v>
      </c>
      <c r="K7" s="49">
        <v>48266</v>
      </c>
      <c r="L7" s="49">
        <v>49159</v>
      </c>
      <c r="M7" s="49">
        <v>51118</v>
      </c>
      <c r="N7" s="49">
        <f>52743+82</f>
        <v>52825</v>
      </c>
      <c r="O7" s="49">
        <f>54705+68</f>
        <v>54773</v>
      </c>
      <c r="P7" s="51">
        <v>56051</v>
      </c>
      <c r="Q7" s="51">
        <v>58665</v>
      </c>
      <c r="R7" s="51">
        <v>61223</v>
      </c>
      <c r="S7" s="51">
        <v>64351</v>
      </c>
      <c r="T7" s="51">
        <v>66044</v>
      </c>
      <c r="U7" s="51">
        <v>68233</v>
      </c>
      <c r="V7" s="51">
        <v>70811</v>
      </c>
      <c r="W7" s="52">
        <f>(V7-U7)/U7</f>
        <v>3.7782304749901074E-2</v>
      </c>
      <c r="X7" s="53">
        <v>73056.888721350711</v>
      </c>
      <c r="Y7" s="54">
        <f>X7-V7</f>
        <v>2245.8887213507114</v>
      </c>
      <c r="Z7" s="55">
        <f>Y7/V7</f>
        <v>3.1716664379131933E-2</v>
      </c>
    </row>
    <row r="8" spans="1:26" ht="13.2">
      <c r="A8" s="56" t="s">
        <v>6</v>
      </c>
      <c r="B8" s="57">
        <v>1395</v>
      </c>
      <c r="C8" s="57">
        <v>1398</v>
      </c>
      <c r="D8" s="57">
        <v>1426</v>
      </c>
      <c r="E8" s="57">
        <v>1480</v>
      </c>
      <c r="F8" s="57">
        <v>1516</v>
      </c>
      <c r="G8" s="58">
        <v>1487</v>
      </c>
      <c r="H8" s="58">
        <v>1456</v>
      </c>
      <c r="I8" s="58">
        <v>1432</v>
      </c>
      <c r="J8" s="58">
        <v>1426</v>
      </c>
      <c r="K8" s="57">
        <v>1451</v>
      </c>
      <c r="L8" s="57">
        <v>1469</v>
      </c>
      <c r="M8" s="57">
        <v>1472</v>
      </c>
      <c r="N8" s="57">
        <v>1508</v>
      </c>
      <c r="O8" s="57">
        <v>1536</v>
      </c>
      <c r="P8" s="38">
        <v>1564</v>
      </c>
      <c r="Q8" s="38">
        <v>1562</v>
      </c>
      <c r="R8" s="38">
        <v>1577</v>
      </c>
      <c r="S8" s="38">
        <v>1600</v>
      </c>
      <c r="T8" s="38">
        <v>1566</v>
      </c>
      <c r="U8" s="38">
        <v>1540</v>
      </c>
      <c r="V8" s="38">
        <v>1544</v>
      </c>
      <c r="W8" s="59">
        <f t="shared" ref="W8:W50" si="0">(V8-U8)/U8</f>
        <v>2.5974025974025974E-3</v>
      </c>
      <c r="X8" s="60">
        <v>1558.4389457736795</v>
      </c>
      <c r="Y8" s="61">
        <f t="shared" ref="Y8:Y50" si="1">X8-V8</f>
        <v>14.438945773679507</v>
      </c>
      <c r="Z8" s="62">
        <f t="shared" ref="Z8:Z49" si="2">Y8/V8</f>
        <v>9.3516488171499403E-3</v>
      </c>
    </row>
    <row r="9" spans="1:26" ht="13.2">
      <c r="A9" s="56" t="s">
        <v>7</v>
      </c>
      <c r="B9" s="57">
        <v>11190</v>
      </c>
      <c r="C9" s="57">
        <v>11326</v>
      </c>
      <c r="D9" s="57">
        <v>11304</v>
      </c>
      <c r="E9" s="57">
        <v>11247</v>
      </c>
      <c r="F9" s="57">
        <v>11305</v>
      </c>
      <c r="G9" s="58">
        <v>11252</v>
      </c>
      <c r="H9" s="58">
        <v>11215</v>
      </c>
      <c r="I9" s="58">
        <v>11052</v>
      </c>
      <c r="J9" s="58">
        <v>10927</v>
      </c>
      <c r="K9" s="57">
        <v>10850</v>
      </c>
      <c r="L9" s="57">
        <v>10660</v>
      </c>
      <c r="M9" s="57">
        <v>10529</v>
      </c>
      <c r="N9" s="57">
        <f>10540+3+18</f>
        <v>10561</v>
      </c>
      <c r="O9" s="57">
        <f>10586+7+32</f>
        <v>10625</v>
      </c>
      <c r="P9" s="38">
        <f>10651-10</f>
        <v>10641</v>
      </c>
      <c r="Q9" s="38">
        <v>10931</v>
      </c>
      <c r="R9" s="38">
        <v>11132</v>
      </c>
      <c r="S9" s="38">
        <v>11052</v>
      </c>
      <c r="T9" s="38">
        <v>11187</v>
      </c>
      <c r="U9" s="38">
        <v>11273</v>
      </c>
      <c r="V9" s="38">
        <v>11001</v>
      </c>
      <c r="W9" s="59">
        <f t="shared" si="0"/>
        <v>-2.4128448505278097E-2</v>
      </c>
      <c r="X9" s="60">
        <v>11160.359415514955</v>
      </c>
      <c r="Y9" s="61">
        <f t="shared" si="1"/>
        <v>159.35941551495489</v>
      </c>
      <c r="Z9" s="62">
        <f t="shared" si="2"/>
        <v>1.4485902692023897E-2</v>
      </c>
    </row>
    <row r="10" spans="1:26" ht="13.2">
      <c r="A10" s="56" t="s">
        <v>8</v>
      </c>
      <c r="B10" s="57">
        <v>12593</v>
      </c>
      <c r="C10" s="57">
        <v>12846</v>
      </c>
      <c r="D10" s="57">
        <v>13005</v>
      </c>
      <c r="E10" s="57">
        <v>13056</v>
      </c>
      <c r="F10" s="57">
        <v>13203</v>
      </c>
      <c r="G10" s="58">
        <v>13248</v>
      </c>
      <c r="H10" s="58">
        <v>13225</v>
      </c>
      <c r="I10" s="58">
        <v>13143</v>
      </c>
      <c r="J10" s="58">
        <v>13170</v>
      </c>
      <c r="K10" s="57">
        <v>13189</v>
      </c>
      <c r="L10" s="57">
        <v>13081</v>
      </c>
      <c r="M10" s="57">
        <v>13315</v>
      </c>
      <c r="N10" s="57">
        <f>13226+153+9</f>
        <v>13388</v>
      </c>
      <c r="O10" s="57">
        <f>13265+153+10</f>
        <v>13428</v>
      </c>
      <c r="P10" s="38">
        <f>13713-153</f>
        <v>13560</v>
      </c>
      <c r="Q10" s="38">
        <v>14194</v>
      </c>
      <c r="R10" s="38">
        <v>14579</v>
      </c>
      <c r="S10" s="38">
        <v>14917</v>
      </c>
      <c r="T10" s="38">
        <v>15409</v>
      </c>
      <c r="U10" s="38">
        <v>15605</v>
      </c>
      <c r="V10" s="38">
        <v>15890</v>
      </c>
      <c r="W10" s="59">
        <f t="shared" si="0"/>
        <v>1.8263377122717077E-2</v>
      </c>
      <c r="X10" s="60">
        <v>16089.525675594632</v>
      </c>
      <c r="Y10" s="61">
        <f t="shared" si="1"/>
        <v>199.52567559463205</v>
      </c>
      <c r="Z10" s="62">
        <f t="shared" si="2"/>
        <v>1.2556681912815107E-2</v>
      </c>
    </row>
    <row r="11" spans="1:26" ht="13.2">
      <c r="A11" s="56" t="s">
        <v>9</v>
      </c>
      <c r="B11" s="57">
        <v>5150</v>
      </c>
      <c r="C11" s="57">
        <v>5067</v>
      </c>
      <c r="D11" s="57">
        <v>5160</v>
      </c>
      <c r="E11" s="57">
        <v>5069</v>
      </c>
      <c r="F11" s="57">
        <v>4943</v>
      </c>
      <c r="G11" s="58">
        <v>4771</v>
      </c>
      <c r="H11" s="58">
        <v>4639</v>
      </c>
      <c r="I11" s="58">
        <v>4505</v>
      </c>
      <c r="J11" s="58">
        <v>4100</v>
      </c>
      <c r="K11" s="57">
        <v>3911</v>
      </c>
      <c r="L11" s="57">
        <v>3827</v>
      </c>
      <c r="M11" s="57">
        <v>3622</v>
      </c>
      <c r="N11" s="57">
        <f>3482+6</f>
        <v>3488</v>
      </c>
      <c r="O11" s="57">
        <v>3389</v>
      </c>
      <c r="P11" s="38">
        <v>3475</v>
      </c>
      <c r="Q11" s="38">
        <v>3562</v>
      </c>
      <c r="R11" s="38">
        <v>3502</v>
      </c>
      <c r="S11" s="38">
        <v>3462</v>
      </c>
      <c r="T11" s="38">
        <v>3458</v>
      </c>
      <c r="U11" s="38">
        <v>3423</v>
      </c>
      <c r="V11" s="38">
        <v>3435</v>
      </c>
      <c r="W11" s="59">
        <f t="shared" si="0"/>
        <v>3.5056967572304996E-3</v>
      </c>
      <c r="X11" s="60">
        <v>3380.5346957758738</v>
      </c>
      <c r="Y11" s="61">
        <f t="shared" si="1"/>
        <v>-54.465304224126157</v>
      </c>
      <c r="Z11" s="62">
        <f t="shared" si="2"/>
        <v>-1.5855983762482141E-2</v>
      </c>
    </row>
    <row r="12" spans="1:26" ht="13.2">
      <c r="A12" s="56" t="s">
        <v>10</v>
      </c>
      <c r="B12" s="57">
        <v>191</v>
      </c>
      <c r="C12" s="57">
        <v>191</v>
      </c>
      <c r="D12" s="57">
        <v>212</v>
      </c>
      <c r="E12" s="57">
        <v>209</v>
      </c>
      <c r="F12" s="57">
        <v>215</v>
      </c>
      <c r="G12" s="58">
        <v>187</v>
      </c>
      <c r="H12" s="58">
        <v>183</v>
      </c>
      <c r="I12" s="58">
        <v>173</v>
      </c>
      <c r="J12" s="58">
        <v>164</v>
      </c>
      <c r="K12" s="57">
        <v>147</v>
      </c>
      <c r="L12" s="57">
        <v>130</v>
      </c>
      <c r="M12" s="57">
        <v>132</v>
      </c>
      <c r="N12" s="57">
        <v>136</v>
      </c>
      <c r="O12" s="57">
        <v>156</v>
      </c>
      <c r="P12" s="38">
        <v>150</v>
      </c>
      <c r="Q12" s="38">
        <v>134</v>
      </c>
      <c r="R12" s="38">
        <v>142</v>
      </c>
      <c r="S12" s="38">
        <v>147</v>
      </c>
      <c r="T12" s="38">
        <v>168</v>
      </c>
      <c r="U12" s="38">
        <v>169</v>
      </c>
      <c r="V12" s="38">
        <v>181</v>
      </c>
      <c r="W12" s="59">
        <f t="shared" si="0"/>
        <v>7.1005917159763315E-2</v>
      </c>
      <c r="X12" s="60">
        <v>204.95729817606653</v>
      </c>
      <c r="Y12" s="61">
        <f t="shared" si="1"/>
        <v>23.95729817606653</v>
      </c>
      <c r="Z12" s="62">
        <f t="shared" si="2"/>
        <v>0.1323607634036825</v>
      </c>
    </row>
    <row r="13" spans="1:26" ht="13.2">
      <c r="A13" s="56" t="s">
        <v>11</v>
      </c>
      <c r="B13" s="57">
        <v>57116</v>
      </c>
      <c r="C13" s="57">
        <v>57933</v>
      </c>
      <c r="D13" s="57">
        <v>58122</v>
      </c>
      <c r="E13" s="57">
        <v>58782</v>
      </c>
      <c r="F13" s="57">
        <v>58835</v>
      </c>
      <c r="G13" s="58">
        <v>58813</v>
      </c>
      <c r="H13" s="58">
        <v>58767</v>
      </c>
      <c r="I13" s="58">
        <v>58947</v>
      </c>
      <c r="J13" s="58">
        <v>58867</v>
      </c>
      <c r="K13" s="57">
        <v>58900</v>
      </c>
      <c r="L13" s="57">
        <v>59536</v>
      </c>
      <c r="M13" s="57">
        <v>60025</v>
      </c>
      <c r="N13" s="57">
        <f>60518+88</f>
        <v>60606</v>
      </c>
      <c r="O13" s="57">
        <f>62349+107</f>
        <v>62456</v>
      </c>
      <c r="P13" s="38">
        <v>62832</v>
      </c>
      <c r="Q13" s="38">
        <v>64551</v>
      </c>
      <c r="R13" s="38">
        <v>65014</v>
      </c>
      <c r="S13" s="38">
        <v>65452</v>
      </c>
      <c r="T13" s="38">
        <v>66019</v>
      </c>
      <c r="U13" s="38">
        <v>67736</v>
      </c>
      <c r="V13" s="38">
        <v>68342</v>
      </c>
      <c r="W13" s="59">
        <f t="shared" si="0"/>
        <v>8.9464981693634111E-3</v>
      </c>
      <c r="X13" s="60">
        <v>68570.042694245043</v>
      </c>
      <c r="Y13" s="61">
        <f t="shared" si="1"/>
        <v>228.04269424504309</v>
      </c>
      <c r="Z13" s="62">
        <f t="shared" si="2"/>
        <v>3.3367869574352973E-3</v>
      </c>
    </row>
    <row r="14" spans="1:26" ht="13.2">
      <c r="A14" s="56" t="s">
        <v>12</v>
      </c>
      <c r="B14" s="57">
        <v>4411</v>
      </c>
      <c r="C14" s="57">
        <v>4527</v>
      </c>
      <c r="D14" s="57">
        <v>4648</v>
      </c>
      <c r="E14" s="57">
        <v>4557</v>
      </c>
      <c r="F14" s="57">
        <v>4543</v>
      </c>
      <c r="G14" s="58">
        <v>4467</v>
      </c>
      <c r="H14" s="58">
        <v>4324</v>
      </c>
      <c r="I14" s="58">
        <v>4167</v>
      </c>
      <c r="J14" s="58">
        <v>4140</v>
      </c>
      <c r="K14" s="57">
        <v>4054</v>
      </c>
      <c r="L14" s="57">
        <v>3993</v>
      </c>
      <c r="M14" s="57">
        <v>3900</v>
      </c>
      <c r="N14" s="57">
        <f>3893+1</f>
        <v>3894</v>
      </c>
      <c r="O14" s="57">
        <v>3993</v>
      </c>
      <c r="P14" s="38">
        <v>3982</v>
      </c>
      <c r="Q14" s="38">
        <v>4224</v>
      </c>
      <c r="R14" s="38">
        <v>4355</v>
      </c>
      <c r="S14" s="38">
        <v>4436</v>
      </c>
      <c r="T14" s="38">
        <v>4448</v>
      </c>
      <c r="U14" s="38">
        <v>4574</v>
      </c>
      <c r="V14" s="38">
        <v>4829</v>
      </c>
      <c r="W14" s="59">
        <f t="shared" si="0"/>
        <v>5.5749890686488848E-2</v>
      </c>
      <c r="X14" s="60">
        <v>5134.7727674852931</v>
      </c>
      <c r="Y14" s="61">
        <f t="shared" si="1"/>
        <v>305.77276748529312</v>
      </c>
      <c r="Z14" s="62">
        <f t="shared" si="2"/>
        <v>6.3320100949532637E-2</v>
      </c>
    </row>
    <row r="15" spans="1:26" ht="13.2">
      <c r="A15" s="56" t="s">
        <v>13</v>
      </c>
      <c r="B15" s="57">
        <v>3400</v>
      </c>
      <c r="C15" s="57">
        <v>3429</v>
      </c>
      <c r="D15" s="57">
        <v>3347</v>
      </c>
      <c r="E15" s="57">
        <v>3364</v>
      </c>
      <c r="F15" s="57">
        <v>3313</v>
      </c>
      <c r="G15" s="58">
        <v>3228</v>
      </c>
      <c r="H15" s="58">
        <v>3101</v>
      </c>
      <c r="I15" s="58">
        <v>2973</v>
      </c>
      <c r="J15" s="58">
        <v>2714</v>
      </c>
      <c r="K15" s="57">
        <v>2508</v>
      </c>
      <c r="L15" s="57">
        <v>2442</v>
      </c>
      <c r="M15" s="57">
        <v>2434</v>
      </c>
      <c r="N15" s="57">
        <v>2366</v>
      </c>
      <c r="O15" s="57">
        <v>2335</v>
      </c>
      <c r="P15" s="38">
        <v>2320</v>
      </c>
      <c r="Q15" s="38">
        <v>2262</v>
      </c>
      <c r="R15" s="38">
        <v>2256</v>
      </c>
      <c r="S15" s="38">
        <v>2316</v>
      </c>
      <c r="T15" s="38">
        <v>2359</v>
      </c>
      <c r="U15" s="38">
        <v>2313</v>
      </c>
      <c r="V15" s="38">
        <v>2311</v>
      </c>
      <c r="W15" s="59">
        <f t="shared" si="0"/>
        <v>-8.6467790747946386E-4</v>
      </c>
      <c r="X15" s="60">
        <v>2295.8641007021902</v>
      </c>
      <c r="Y15" s="61">
        <f t="shared" si="1"/>
        <v>-15.135899297809829</v>
      </c>
      <c r="Z15" s="62">
        <f t="shared" si="2"/>
        <v>-6.5495020760752178E-3</v>
      </c>
    </row>
    <row r="16" spans="1:26" ht="13.2">
      <c r="A16" s="56" t="s">
        <v>14</v>
      </c>
      <c r="B16" s="57">
        <v>1097</v>
      </c>
      <c r="C16" s="57">
        <v>1140</v>
      </c>
      <c r="D16" s="57">
        <v>1129</v>
      </c>
      <c r="E16" s="57">
        <v>1167</v>
      </c>
      <c r="F16" s="57">
        <v>1144</v>
      </c>
      <c r="G16" s="58">
        <v>1179</v>
      </c>
      <c r="H16" s="58">
        <v>1112</v>
      </c>
      <c r="I16" s="58">
        <v>1114</v>
      </c>
      <c r="J16" s="58">
        <v>1115</v>
      </c>
      <c r="K16" s="57">
        <v>1052</v>
      </c>
      <c r="L16" s="57">
        <v>1040</v>
      </c>
      <c r="M16" s="57">
        <v>969</v>
      </c>
      <c r="N16" s="57">
        <v>947</v>
      </c>
      <c r="O16" s="57">
        <v>940</v>
      </c>
      <c r="P16" s="38">
        <v>938</v>
      </c>
      <c r="Q16" s="38">
        <v>933</v>
      </c>
      <c r="R16" s="38">
        <v>911</v>
      </c>
      <c r="S16" s="38">
        <v>931</v>
      </c>
      <c r="T16" s="38">
        <v>925</v>
      </c>
      <c r="U16" s="38">
        <v>927</v>
      </c>
      <c r="V16" s="38">
        <v>948</v>
      </c>
      <c r="W16" s="59">
        <f t="shared" si="0"/>
        <v>2.2653721682847898E-2</v>
      </c>
      <c r="X16" s="60">
        <v>920.13010709288073</v>
      </c>
      <c r="Y16" s="61">
        <f t="shared" si="1"/>
        <v>-27.869892907119265</v>
      </c>
      <c r="Z16" s="62">
        <f t="shared" si="2"/>
        <v>-2.9398621210041418E-2</v>
      </c>
    </row>
    <row r="17" spans="1:26" ht="13.2">
      <c r="A17" s="56" t="s">
        <v>15</v>
      </c>
      <c r="B17" s="57">
        <v>1576</v>
      </c>
      <c r="C17" s="57">
        <v>1603</v>
      </c>
      <c r="D17" s="57">
        <v>1625</v>
      </c>
      <c r="E17" s="57">
        <v>1580</v>
      </c>
      <c r="F17" s="57">
        <v>1605</v>
      </c>
      <c r="G17" s="58">
        <v>1620</v>
      </c>
      <c r="H17" s="58">
        <v>1626</v>
      </c>
      <c r="I17" s="58">
        <v>1620</v>
      </c>
      <c r="J17" s="58">
        <v>1560</v>
      </c>
      <c r="K17" s="57">
        <v>1494</v>
      </c>
      <c r="L17" s="57">
        <v>1455</v>
      </c>
      <c r="M17" s="57">
        <v>1474</v>
      </c>
      <c r="N17" s="57">
        <v>1418</v>
      </c>
      <c r="O17" s="57">
        <v>1470</v>
      </c>
      <c r="P17" s="38">
        <v>1500</v>
      </c>
      <c r="Q17" s="38">
        <v>1486</v>
      </c>
      <c r="R17" s="38">
        <v>1498</v>
      </c>
      <c r="S17" s="38">
        <v>1526</v>
      </c>
      <c r="T17" s="38">
        <v>1510</v>
      </c>
      <c r="U17" s="38">
        <v>1467</v>
      </c>
      <c r="V17" s="38">
        <v>1441</v>
      </c>
      <c r="W17" s="59">
        <f t="shared" si="0"/>
        <v>-1.7723244717109749E-2</v>
      </c>
      <c r="X17" s="60">
        <v>1448.9464188978004</v>
      </c>
      <c r="Y17" s="61">
        <f t="shared" si="1"/>
        <v>7.9464188978004131</v>
      </c>
      <c r="Z17" s="62">
        <f t="shared" si="2"/>
        <v>5.5145169311592041E-3</v>
      </c>
    </row>
    <row r="18" spans="1:26" ht="13.2">
      <c r="A18" s="56" t="s">
        <v>16</v>
      </c>
      <c r="B18" s="57">
        <v>79575</v>
      </c>
      <c r="C18" s="57">
        <v>79209</v>
      </c>
      <c r="D18" s="57">
        <v>78077</v>
      </c>
      <c r="E18" s="57">
        <v>76559</v>
      </c>
      <c r="F18" s="57">
        <v>75887</v>
      </c>
      <c r="G18" s="58">
        <v>74393</v>
      </c>
      <c r="H18" s="58">
        <v>72848</v>
      </c>
      <c r="I18" s="58">
        <v>71546</v>
      </c>
      <c r="J18" s="58">
        <v>70608</v>
      </c>
      <c r="K18" s="57">
        <v>70596</v>
      </c>
      <c r="L18" s="57">
        <v>69600</v>
      </c>
      <c r="M18" s="57">
        <v>69072</v>
      </c>
      <c r="N18" s="57">
        <f>68225+343</f>
        <v>68568</v>
      </c>
      <c r="O18" s="57">
        <f>68558+490</f>
        <v>69048</v>
      </c>
      <c r="P18" s="38">
        <v>68483</v>
      </c>
      <c r="Q18" s="38">
        <v>67948</v>
      </c>
      <c r="R18" s="38">
        <v>68403</v>
      </c>
      <c r="S18" s="38">
        <v>68131</v>
      </c>
      <c r="T18" s="38">
        <v>68573</v>
      </c>
      <c r="U18" s="38">
        <v>67736</v>
      </c>
      <c r="V18" s="38">
        <v>67600</v>
      </c>
      <c r="W18" s="59">
        <f t="shared" si="0"/>
        <v>-2.0077949687020195E-3</v>
      </c>
      <c r="X18" s="60">
        <v>66987.632693490479</v>
      </c>
      <c r="Y18" s="61">
        <f t="shared" si="1"/>
        <v>-612.36730650952086</v>
      </c>
      <c r="Z18" s="62">
        <f t="shared" si="2"/>
        <v>-9.0586879661171717E-3</v>
      </c>
    </row>
    <row r="19" spans="1:26" ht="13.2">
      <c r="A19" s="56" t="s">
        <v>17</v>
      </c>
      <c r="B19" s="57">
        <v>5475</v>
      </c>
      <c r="C19" s="57">
        <v>5858</v>
      </c>
      <c r="D19" s="57">
        <v>6148</v>
      </c>
      <c r="E19" s="57">
        <v>6238</v>
      </c>
      <c r="F19" s="57">
        <v>6543</v>
      </c>
      <c r="G19" s="58">
        <v>6870</v>
      </c>
      <c r="H19" s="58">
        <v>6948</v>
      </c>
      <c r="I19" s="58">
        <v>6978</v>
      </c>
      <c r="J19" s="58">
        <v>7176</v>
      </c>
      <c r="K19" s="57">
        <v>7276</v>
      </c>
      <c r="L19" s="57">
        <v>7240</v>
      </c>
      <c r="M19" s="57">
        <v>7443</v>
      </c>
      <c r="N19" s="57">
        <f>7743+45</f>
        <v>7788</v>
      </c>
      <c r="O19" s="57">
        <f>8189+41</f>
        <v>8230</v>
      </c>
      <c r="P19" s="38">
        <v>8486</v>
      </c>
      <c r="Q19" s="38">
        <v>8643</v>
      </c>
      <c r="R19" s="38">
        <v>8344</v>
      </c>
      <c r="S19" s="38">
        <v>8365</v>
      </c>
      <c r="T19" s="38">
        <v>8483</v>
      </c>
      <c r="U19" s="38">
        <v>8508</v>
      </c>
      <c r="V19" s="38">
        <v>8519</v>
      </c>
      <c r="W19" s="59">
        <f t="shared" si="0"/>
        <v>1.2929007992477667E-3</v>
      </c>
      <c r="X19" s="60">
        <v>8554.1514412487631</v>
      </c>
      <c r="Y19" s="61">
        <f t="shared" si="1"/>
        <v>35.151441248763149</v>
      </c>
      <c r="Z19" s="62">
        <f t="shared" si="2"/>
        <v>4.1262403156195736E-3</v>
      </c>
    </row>
    <row r="20" spans="1:26" ht="13.2">
      <c r="A20" s="56" t="s">
        <v>18</v>
      </c>
      <c r="B20" s="57">
        <v>68843</v>
      </c>
      <c r="C20" s="57">
        <v>70255</v>
      </c>
      <c r="D20" s="57">
        <v>70760</v>
      </c>
      <c r="E20" s="57">
        <v>71701</v>
      </c>
      <c r="F20" s="57">
        <v>72747</v>
      </c>
      <c r="G20" s="58">
        <v>73180</v>
      </c>
      <c r="H20" s="58">
        <v>73285</v>
      </c>
      <c r="I20" s="58">
        <v>73093</v>
      </c>
      <c r="J20" s="58">
        <v>73137</v>
      </c>
      <c r="K20" s="57">
        <v>73471</v>
      </c>
      <c r="L20" s="57">
        <v>73808</v>
      </c>
      <c r="M20" s="57">
        <v>74761</v>
      </c>
      <c r="N20" s="57">
        <f>75636+80</f>
        <v>75716</v>
      </c>
      <c r="O20" s="57">
        <f>77240+129</f>
        <v>77369</v>
      </c>
      <c r="P20" s="38">
        <v>78708</v>
      </c>
      <c r="Q20" s="38">
        <v>80187</v>
      </c>
      <c r="R20" s="38">
        <v>81017</v>
      </c>
      <c r="S20" s="38">
        <v>48411</v>
      </c>
      <c r="T20" s="38">
        <v>49729</v>
      </c>
      <c r="U20" s="38">
        <v>50581</v>
      </c>
      <c r="V20" s="38">
        <v>52043</v>
      </c>
      <c r="W20" s="59">
        <f t="shared" si="0"/>
        <v>2.8904133963345919E-2</v>
      </c>
      <c r="X20" s="60">
        <v>52500.929142455177</v>
      </c>
      <c r="Y20" s="61">
        <f t="shared" si="1"/>
        <v>457.9291424551775</v>
      </c>
      <c r="Z20" s="62">
        <f t="shared" si="2"/>
        <v>8.7990535221869892E-3</v>
      </c>
    </row>
    <row r="21" spans="1:26" ht="13.2">
      <c r="A21" s="56" t="s">
        <v>19</v>
      </c>
      <c r="B21" s="57">
        <v>1644</v>
      </c>
      <c r="C21" s="57">
        <v>1608</v>
      </c>
      <c r="D21" s="57">
        <v>1735</v>
      </c>
      <c r="E21" s="57">
        <v>1764</v>
      </c>
      <c r="F21" s="57">
        <v>1781</v>
      </c>
      <c r="G21" s="58">
        <v>1807</v>
      </c>
      <c r="H21" s="58">
        <v>1796</v>
      </c>
      <c r="I21" s="58">
        <v>1822</v>
      </c>
      <c r="J21" s="58">
        <v>1830</v>
      </c>
      <c r="K21" s="57">
        <v>1844</v>
      </c>
      <c r="L21" s="57">
        <v>1872</v>
      </c>
      <c r="M21" s="57">
        <v>1939</v>
      </c>
      <c r="N21" s="57">
        <v>1963</v>
      </c>
      <c r="O21" s="57">
        <v>1992</v>
      </c>
      <c r="P21" s="38">
        <v>2071</v>
      </c>
      <c r="Q21" s="38">
        <v>2147</v>
      </c>
      <c r="R21" s="38">
        <v>2203</v>
      </c>
      <c r="S21" s="38">
        <v>2244</v>
      </c>
      <c r="T21" s="38">
        <v>2286</v>
      </c>
      <c r="U21" s="38">
        <v>2297</v>
      </c>
      <c r="V21" s="38">
        <v>2283</v>
      </c>
      <c r="W21" s="59">
        <f t="shared" si="0"/>
        <v>-6.0949063996517195E-3</v>
      </c>
      <c r="X21" s="60">
        <v>2358.4780906542119</v>
      </c>
      <c r="Y21" s="61">
        <f t="shared" si="1"/>
        <v>75.478090654211883</v>
      </c>
      <c r="Z21" s="62">
        <f t="shared" si="2"/>
        <v>3.306092450907222E-2</v>
      </c>
    </row>
    <row r="22" spans="1:26" ht="13.2">
      <c r="A22" s="56" t="s">
        <v>20</v>
      </c>
      <c r="B22" s="57">
        <v>1415</v>
      </c>
      <c r="C22" s="57">
        <v>1399</v>
      </c>
      <c r="D22" s="57">
        <v>1479</v>
      </c>
      <c r="E22" s="57">
        <v>1491</v>
      </c>
      <c r="F22" s="57">
        <v>1429</v>
      </c>
      <c r="G22" s="58">
        <v>1495</v>
      </c>
      <c r="H22" s="58">
        <v>1444</v>
      </c>
      <c r="I22" s="58">
        <v>1394</v>
      </c>
      <c r="J22" s="58">
        <v>1335</v>
      </c>
      <c r="K22" s="57">
        <v>1312</v>
      </c>
      <c r="L22" s="57">
        <v>1235</v>
      </c>
      <c r="M22" s="57">
        <v>1200</v>
      </c>
      <c r="N22" s="57">
        <v>1196</v>
      </c>
      <c r="O22" s="57">
        <v>1194</v>
      </c>
      <c r="P22" s="38">
        <v>1188</v>
      </c>
      <c r="Q22" s="38">
        <v>1178</v>
      </c>
      <c r="R22" s="38">
        <v>1202</v>
      </c>
      <c r="S22" s="38">
        <v>1194</v>
      </c>
      <c r="T22" s="38">
        <v>1176</v>
      </c>
      <c r="U22" s="38">
        <v>1175</v>
      </c>
      <c r="V22" s="38">
        <v>1209</v>
      </c>
      <c r="W22" s="59">
        <f t="shared" si="0"/>
        <v>2.8936170212765958E-2</v>
      </c>
      <c r="X22" s="60">
        <v>1227.2249224918341</v>
      </c>
      <c r="Y22" s="61">
        <f t="shared" si="1"/>
        <v>18.22492249183415</v>
      </c>
      <c r="Z22" s="62">
        <f t="shared" si="2"/>
        <v>1.5074377578026592E-2</v>
      </c>
    </row>
    <row r="23" spans="1:26" ht="13.2">
      <c r="A23" s="56" t="s">
        <v>21</v>
      </c>
      <c r="B23" s="57">
        <v>3861</v>
      </c>
      <c r="C23" s="57">
        <v>3891</v>
      </c>
      <c r="D23" s="57">
        <v>3861</v>
      </c>
      <c r="E23" s="57">
        <v>3816</v>
      </c>
      <c r="F23" s="57">
        <v>3803</v>
      </c>
      <c r="G23" s="58">
        <v>3742</v>
      </c>
      <c r="H23" s="58">
        <v>3606</v>
      </c>
      <c r="I23" s="58">
        <v>3439</v>
      </c>
      <c r="J23" s="58">
        <v>3321</v>
      </c>
      <c r="K23" s="57">
        <v>3191</v>
      </c>
      <c r="L23" s="57">
        <v>3142</v>
      </c>
      <c r="M23" s="57">
        <v>3083</v>
      </c>
      <c r="N23" s="57">
        <v>2957</v>
      </c>
      <c r="O23" s="57">
        <v>2952</v>
      </c>
      <c r="P23" s="38">
        <v>2897</v>
      </c>
      <c r="Q23" s="38">
        <v>2852</v>
      </c>
      <c r="R23" s="38">
        <v>2829</v>
      </c>
      <c r="S23" s="38">
        <v>2820</v>
      </c>
      <c r="T23" s="38">
        <v>2826</v>
      </c>
      <c r="U23" s="38">
        <v>2815</v>
      </c>
      <c r="V23" s="38">
        <v>2782</v>
      </c>
      <c r="W23" s="59">
        <f t="shared" si="0"/>
        <v>-1.1722912966252221E-2</v>
      </c>
      <c r="X23" s="60">
        <v>2791.0029254022429</v>
      </c>
      <c r="Y23" s="61">
        <f t="shared" si="1"/>
        <v>9.0029254022429086</v>
      </c>
      <c r="Z23" s="62">
        <f t="shared" si="2"/>
        <v>3.2361342207918435E-3</v>
      </c>
    </row>
    <row r="24" spans="1:26" ht="13.2">
      <c r="A24" s="56" t="s">
        <v>22</v>
      </c>
      <c r="B24" s="57">
        <v>1889</v>
      </c>
      <c r="C24" s="57">
        <v>2004</v>
      </c>
      <c r="D24" s="57">
        <v>2042</v>
      </c>
      <c r="E24" s="57">
        <v>2032</v>
      </c>
      <c r="F24" s="57">
        <v>2056</v>
      </c>
      <c r="G24" s="58">
        <v>2059</v>
      </c>
      <c r="H24" s="58">
        <v>2047</v>
      </c>
      <c r="I24" s="58">
        <v>2047</v>
      </c>
      <c r="J24" s="58">
        <v>2019</v>
      </c>
      <c r="K24" s="57">
        <v>2024</v>
      </c>
      <c r="L24" s="57">
        <v>1984</v>
      </c>
      <c r="M24" s="57">
        <v>1955</v>
      </c>
      <c r="N24" s="57">
        <v>1967</v>
      </c>
      <c r="O24" s="57">
        <v>2029</v>
      </c>
      <c r="P24" s="38">
        <v>2083</v>
      </c>
      <c r="Q24" s="38">
        <v>2183</v>
      </c>
      <c r="R24" s="38">
        <v>2276</v>
      </c>
      <c r="S24" s="38">
        <v>2338</v>
      </c>
      <c r="T24" s="38">
        <v>2437</v>
      </c>
      <c r="U24" s="38">
        <v>2421</v>
      </c>
      <c r="V24" s="38">
        <v>2531</v>
      </c>
      <c r="W24" s="59">
        <f t="shared" si="0"/>
        <v>4.543577034283354E-2</v>
      </c>
      <c r="X24" s="60">
        <v>2666.511011994764</v>
      </c>
      <c r="Y24" s="61">
        <f t="shared" si="1"/>
        <v>135.51101199476398</v>
      </c>
      <c r="Z24" s="62">
        <f t="shared" si="2"/>
        <v>5.3540502566086119E-2</v>
      </c>
    </row>
    <row r="25" spans="1:26" ht="13.2">
      <c r="A25" s="56" t="s">
        <v>23</v>
      </c>
      <c r="B25" s="57">
        <v>17161</v>
      </c>
      <c r="C25" s="57">
        <v>17871</v>
      </c>
      <c r="D25" s="57">
        <v>18330</v>
      </c>
      <c r="E25" s="57">
        <v>18736</v>
      </c>
      <c r="F25" s="57">
        <v>19256</v>
      </c>
      <c r="G25" s="58">
        <v>19560</v>
      </c>
      <c r="H25" s="58">
        <v>19959</v>
      </c>
      <c r="I25" s="58">
        <v>20519</v>
      </c>
      <c r="J25" s="58">
        <v>21066</v>
      </c>
      <c r="K25" s="57">
        <v>22070</v>
      </c>
      <c r="L25" s="57">
        <v>23078</v>
      </c>
      <c r="M25" s="57">
        <v>23900</v>
      </c>
      <c r="N25" s="57">
        <f>24814+73</f>
        <v>24887</v>
      </c>
      <c r="O25" s="57">
        <f>24660+82</f>
        <v>24742</v>
      </c>
      <c r="P25" s="38">
        <v>25615</v>
      </c>
      <c r="Q25" s="38">
        <v>26588</v>
      </c>
      <c r="R25" s="38">
        <v>27592</v>
      </c>
      <c r="S25" s="38">
        <v>28282</v>
      </c>
      <c r="T25" s="38">
        <v>29136</v>
      </c>
      <c r="U25" s="38">
        <v>29724</v>
      </c>
      <c r="V25" s="38">
        <v>30494</v>
      </c>
      <c r="W25" s="59">
        <f t="shared" si="0"/>
        <v>2.5904992598573543E-2</v>
      </c>
      <c r="X25" s="60">
        <v>31357.890971634009</v>
      </c>
      <c r="Y25" s="61">
        <f t="shared" si="1"/>
        <v>863.89097163400947</v>
      </c>
      <c r="Z25" s="62">
        <f t="shared" si="2"/>
        <v>2.8329867240572227E-2</v>
      </c>
    </row>
    <row r="26" spans="1:26" ht="13.2">
      <c r="A26" s="56" t="s">
        <v>24</v>
      </c>
      <c r="B26" s="57">
        <v>2352</v>
      </c>
      <c r="C26" s="57">
        <v>2426</v>
      </c>
      <c r="D26" s="57">
        <v>2398</v>
      </c>
      <c r="E26" s="57">
        <v>2451</v>
      </c>
      <c r="F26" s="57">
        <v>2520</v>
      </c>
      <c r="G26" s="58">
        <v>2558</v>
      </c>
      <c r="H26" s="58">
        <v>2554</v>
      </c>
      <c r="I26" s="58">
        <v>2513</v>
      </c>
      <c r="J26" s="58">
        <v>2489</v>
      </c>
      <c r="K26" s="57">
        <v>2451</v>
      </c>
      <c r="L26" s="57">
        <v>2443</v>
      </c>
      <c r="M26" s="57">
        <v>2370</v>
      </c>
      <c r="N26" s="57">
        <f>2297+16</f>
        <v>2313</v>
      </c>
      <c r="O26" s="57">
        <f>2305+16</f>
        <v>2321</v>
      </c>
      <c r="P26" s="38">
        <v>2321</v>
      </c>
      <c r="Q26" s="38">
        <v>2340</v>
      </c>
      <c r="R26" s="38">
        <v>2329</v>
      </c>
      <c r="S26" s="38">
        <v>2319</v>
      </c>
      <c r="T26" s="38">
        <v>2419</v>
      </c>
      <c r="U26" s="38">
        <v>2420</v>
      </c>
      <c r="V26" s="38">
        <v>2377</v>
      </c>
      <c r="W26" s="59">
        <f t="shared" si="0"/>
        <v>-1.7768595041322315E-2</v>
      </c>
      <c r="X26" s="60">
        <v>2404.2600988980021</v>
      </c>
      <c r="Y26" s="61">
        <f t="shared" si="1"/>
        <v>27.26009889800207</v>
      </c>
      <c r="Z26" s="62">
        <f t="shared" si="2"/>
        <v>1.1468278880101839E-2</v>
      </c>
    </row>
    <row r="27" spans="1:26" ht="13.2">
      <c r="A27" s="56" t="s">
        <v>25</v>
      </c>
      <c r="B27" s="57">
        <v>944</v>
      </c>
      <c r="C27" s="57">
        <v>976</v>
      </c>
      <c r="D27" s="57">
        <v>992</v>
      </c>
      <c r="E27" s="57">
        <v>1002</v>
      </c>
      <c r="F27" s="57">
        <v>978</v>
      </c>
      <c r="G27" s="58">
        <v>966</v>
      </c>
      <c r="H27" s="58">
        <v>987</v>
      </c>
      <c r="I27" s="58">
        <v>1012</v>
      </c>
      <c r="J27" s="58">
        <v>993</v>
      </c>
      <c r="K27" s="57">
        <v>963</v>
      </c>
      <c r="L27" s="57">
        <v>968</v>
      </c>
      <c r="M27" s="57">
        <v>969</v>
      </c>
      <c r="N27" s="57">
        <v>986</v>
      </c>
      <c r="O27" s="57">
        <v>982</v>
      </c>
      <c r="P27" s="38">
        <v>981</v>
      </c>
      <c r="Q27" s="38">
        <v>1000</v>
      </c>
      <c r="R27" s="38">
        <v>988</v>
      </c>
      <c r="S27" s="38">
        <v>1003</v>
      </c>
      <c r="T27" s="38">
        <v>978</v>
      </c>
      <c r="U27" s="38">
        <v>983</v>
      </c>
      <c r="V27" s="38">
        <v>977</v>
      </c>
      <c r="W27" s="59">
        <f t="shared" si="0"/>
        <v>-6.1037639877924718E-3</v>
      </c>
      <c r="X27" s="60">
        <v>983.54531224271648</v>
      </c>
      <c r="Y27" s="61">
        <f t="shared" si="1"/>
        <v>6.5453122427164772</v>
      </c>
      <c r="Z27" s="62">
        <f t="shared" si="2"/>
        <v>6.6993984060557598E-3</v>
      </c>
    </row>
    <row r="28" spans="1:26" ht="13.2">
      <c r="A28" s="56" t="s">
        <v>26</v>
      </c>
      <c r="B28" s="57">
        <v>2540</v>
      </c>
      <c r="C28" s="57">
        <v>2761</v>
      </c>
      <c r="D28" s="57">
        <v>2973</v>
      </c>
      <c r="E28" s="57">
        <v>3163</v>
      </c>
      <c r="F28" s="57">
        <v>3354</v>
      </c>
      <c r="G28" s="58">
        <v>3603</v>
      </c>
      <c r="H28" s="58">
        <v>3800</v>
      </c>
      <c r="I28" s="58">
        <v>3818</v>
      </c>
      <c r="J28" s="58">
        <v>3921</v>
      </c>
      <c r="K28" s="57">
        <v>3923</v>
      </c>
      <c r="L28" s="57">
        <v>3957</v>
      </c>
      <c r="M28" s="57">
        <v>4059</v>
      </c>
      <c r="N28" s="57">
        <v>4212</v>
      </c>
      <c r="O28" s="57">
        <v>4367</v>
      </c>
      <c r="P28" s="38">
        <v>4336</v>
      </c>
      <c r="Q28" s="38">
        <v>4443</v>
      </c>
      <c r="R28" s="38">
        <v>4477</v>
      </c>
      <c r="S28" s="38">
        <v>4563</v>
      </c>
      <c r="T28" s="38">
        <v>4351</v>
      </c>
      <c r="U28" s="38">
        <v>4400</v>
      </c>
      <c r="V28" s="38">
        <v>4421</v>
      </c>
      <c r="W28" s="59">
        <f t="shared" si="0"/>
        <v>4.7727272727272731E-3</v>
      </c>
      <c r="X28" s="60">
        <v>4359.4180084568179</v>
      </c>
      <c r="Y28" s="61">
        <f t="shared" si="1"/>
        <v>-61.581991543182085</v>
      </c>
      <c r="Z28" s="62">
        <f t="shared" si="2"/>
        <v>-1.3929425818408071E-2</v>
      </c>
    </row>
    <row r="29" spans="1:26" ht="13.2">
      <c r="A29" s="56" t="s">
        <v>27</v>
      </c>
      <c r="B29" s="57">
        <v>385</v>
      </c>
      <c r="C29" s="57">
        <v>374</v>
      </c>
      <c r="D29" s="57">
        <v>385</v>
      </c>
      <c r="E29" s="57">
        <v>368</v>
      </c>
      <c r="F29" s="57">
        <v>369</v>
      </c>
      <c r="G29" s="58">
        <v>380</v>
      </c>
      <c r="H29" s="58">
        <v>372</v>
      </c>
      <c r="I29" s="58">
        <v>349</v>
      </c>
      <c r="J29" s="58">
        <v>354</v>
      </c>
      <c r="K29" s="57">
        <v>318</v>
      </c>
      <c r="L29" s="57">
        <v>312</v>
      </c>
      <c r="M29" s="57">
        <v>307</v>
      </c>
      <c r="N29" s="57">
        <f>328+17</f>
        <v>345</v>
      </c>
      <c r="O29" s="57">
        <f>298+4</f>
        <v>302</v>
      </c>
      <c r="P29" s="38">
        <v>298</v>
      </c>
      <c r="Q29" s="38">
        <v>300</v>
      </c>
      <c r="R29" s="38">
        <v>319</v>
      </c>
      <c r="S29" s="38">
        <v>328</v>
      </c>
      <c r="T29" s="38">
        <v>305</v>
      </c>
      <c r="U29" s="38">
        <v>317</v>
      </c>
      <c r="V29" s="38">
        <v>308</v>
      </c>
      <c r="W29" s="59">
        <f t="shared" si="0"/>
        <v>-2.8391167192429023E-2</v>
      </c>
      <c r="X29" s="60">
        <v>306.99790027661464</v>
      </c>
      <c r="Y29" s="61">
        <f t="shared" si="1"/>
        <v>-1.0020997233853564</v>
      </c>
      <c r="Z29" s="62">
        <f t="shared" si="2"/>
        <v>-3.2535705304719362E-3</v>
      </c>
    </row>
    <row r="30" spans="1:26" ht="13.2">
      <c r="A30" s="56" t="s">
        <v>28</v>
      </c>
      <c r="B30" s="57">
        <v>549</v>
      </c>
      <c r="C30" s="57">
        <v>564</v>
      </c>
      <c r="D30" s="57">
        <v>574</v>
      </c>
      <c r="E30" s="57">
        <v>535</v>
      </c>
      <c r="F30" s="57">
        <v>547</v>
      </c>
      <c r="G30" s="58">
        <v>508</v>
      </c>
      <c r="H30" s="58">
        <v>506</v>
      </c>
      <c r="I30" s="58">
        <v>503</v>
      </c>
      <c r="J30" s="58">
        <v>473</v>
      </c>
      <c r="K30" s="57">
        <v>468</v>
      </c>
      <c r="L30" s="57">
        <v>473</v>
      </c>
      <c r="M30" s="57">
        <v>454</v>
      </c>
      <c r="N30" s="57">
        <v>429</v>
      </c>
      <c r="O30" s="57">
        <v>416</v>
      </c>
      <c r="P30" s="38">
        <v>436</v>
      </c>
      <c r="Q30" s="38">
        <v>431</v>
      </c>
      <c r="R30" s="38">
        <v>450</v>
      </c>
      <c r="S30" s="38">
        <v>457</v>
      </c>
      <c r="T30" s="38">
        <v>484</v>
      </c>
      <c r="U30" s="38">
        <v>491</v>
      </c>
      <c r="V30" s="38">
        <v>481</v>
      </c>
      <c r="W30" s="59">
        <f t="shared" si="0"/>
        <v>-2.0366598778004074E-2</v>
      </c>
      <c r="X30" s="60">
        <v>487.0014627011214</v>
      </c>
      <c r="Y30" s="61">
        <f t="shared" si="1"/>
        <v>6.0014627011213975</v>
      </c>
      <c r="Z30" s="62">
        <f t="shared" si="2"/>
        <v>1.2477053432684819E-2</v>
      </c>
    </row>
    <row r="31" spans="1:26" ht="13.2">
      <c r="A31" s="56" t="s">
        <v>29</v>
      </c>
      <c r="B31" s="57">
        <v>3400</v>
      </c>
      <c r="C31" s="57">
        <v>3537</v>
      </c>
      <c r="D31" s="57">
        <v>3452</v>
      </c>
      <c r="E31" s="57">
        <v>3381</v>
      </c>
      <c r="F31" s="57">
        <v>3481</v>
      </c>
      <c r="G31" s="58">
        <v>3459</v>
      </c>
      <c r="H31" s="58">
        <v>3430</v>
      </c>
      <c r="I31" s="58">
        <v>3308</v>
      </c>
      <c r="J31" s="58">
        <v>3146</v>
      </c>
      <c r="K31" s="57">
        <v>3038</v>
      </c>
      <c r="L31" s="57">
        <v>2978</v>
      </c>
      <c r="M31" s="57">
        <v>2979</v>
      </c>
      <c r="N31" s="57">
        <f>2950+7</f>
        <v>2957</v>
      </c>
      <c r="O31" s="57">
        <f>2905+3</f>
        <v>2908</v>
      </c>
      <c r="P31" s="38">
        <v>2871</v>
      </c>
      <c r="Q31" s="38">
        <v>2844</v>
      </c>
      <c r="R31" s="38">
        <v>2889</v>
      </c>
      <c r="S31" s="38">
        <v>2953</v>
      </c>
      <c r="T31" s="38">
        <v>2912</v>
      </c>
      <c r="U31" s="38">
        <v>2922</v>
      </c>
      <c r="V31" s="38">
        <v>3064</v>
      </c>
      <c r="W31" s="59">
        <f t="shared" si="0"/>
        <v>4.8596851471594801E-2</v>
      </c>
      <c r="X31" s="60">
        <v>3200.6530772858</v>
      </c>
      <c r="Y31" s="61">
        <f t="shared" si="1"/>
        <v>136.65307728580001</v>
      </c>
      <c r="Z31" s="62">
        <f t="shared" si="2"/>
        <v>4.4599568304765018E-2</v>
      </c>
    </row>
    <row r="32" spans="1:26" ht="13.2">
      <c r="A32" s="56" t="s">
        <v>30</v>
      </c>
      <c r="B32" s="57">
        <v>4859</v>
      </c>
      <c r="C32" s="57">
        <v>4914</v>
      </c>
      <c r="D32" s="57">
        <v>4949</v>
      </c>
      <c r="E32" s="57">
        <v>4886</v>
      </c>
      <c r="F32" s="57">
        <v>4971</v>
      </c>
      <c r="G32" s="58">
        <v>4799</v>
      </c>
      <c r="H32" s="58">
        <v>4733</v>
      </c>
      <c r="I32" s="58">
        <v>4621</v>
      </c>
      <c r="J32" s="58">
        <v>4477</v>
      </c>
      <c r="K32" s="57">
        <v>4442</v>
      </c>
      <c r="L32" s="57">
        <v>4370</v>
      </c>
      <c r="M32" s="57">
        <v>4316</v>
      </c>
      <c r="N32" s="57">
        <f>4294+11</f>
        <v>4305</v>
      </c>
      <c r="O32" s="57">
        <f>4282+6</f>
        <v>4288</v>
      </c>
      <c r="P32" s="38">
        <v>4374</v>
      </c>
      <c r="Q32" s="38">
        <v>4475</v>
      </c>
      <c r="R32" s="38">
        <v>4511</v>
      </c>
      <c r="S32" s="38">
        <v>4528</v>
      </c>
      <c r="T32" s="38">
        <v>4533</v>
      </c>
      <c r="U32" s="38">
        <v>4546</v>
      </c>
      <c r="V32" s="38">
        <v>4629</v>
      </c>
      <c r="W32" s="59">
        <f t="shared" si="0"/>
        <v>1.8257809062912449E-2</v>
      </c>
      <c r="X32" s="60">
        <v>4684.1752974663677</v>
      </c>
      <c r="Y32" s="61">
        <f t="shared" si="1"/>
        <v>55.175297466367738</v>
      </c>
      <c r="Z32" s="62">
        <f t="shared" si="2"/>
        <v>1.1919485302736604E-2</v>
      </c>
    </row>
    <row r="33" spans="1:26" ht="13.2">
      <c r="A33" s="56" t="s">
        <v>31</v>
      </c>
      <c r="B33" s="57">
        <v>2899</v>
      </c>
      <c r="C33" s="57">
        <v>2975</v>
      </c>
      <c r="D33" s="57">
        <v>3003</v>
      </c>
      <c r="E33" s="57">
        <v>2963</v>
      </c>
      <c r="F33" s="57">
        <v>2978</v>
      </c>
      <c r="G33" s="58">
        <v>2961</v>
      </c>
      <c r="H33" s="58">
        <v>2878</v>
      </c>
      <c r="I33" s="58">
        <v>2816</v>
      </c>
      <c r="J33" s="58">
        <v>2741</v>
      </c>
      <c r="K33" s="57">
        <v>2724</v>
      </c>
      <c r="L33" s="57">
        <v>2792</v>
      </c>
      <c r="M33" s="57">
        <v>2772</v>
      </c>
      <c r="N33" s="57">
        <f>2721+18</f>
        <v>2739</v>
      </c>
      <c r="O33" s="57">
        <f>2752+12</f>
        <v>2764</v>
      </c>
      <c r="P33" s="38">
        <v>2855</v>
      </c>
      <c r="Q33" s="38">
        <v>2911</v>
      </c>
      <c r="R33" s="38">
        <v>2955</v>
      </c>
      <c r="S33" s="38">
        <v>3025</v>
      </c>
      <c r="T33" s="38">
        <v>3038</v>
      </c>
      <c r="U33" s="38">
        <v>3124</v>
      </c>
      <c r="V33" s="38">
        <v>3189</v>
      </c>
      <c r="W33" s="59">
        <f t="shared" si="0"/>
        <v>2.0806658130601792E-2</v>
      </c>
      <c r="X33" s="60">
        <v>3223.0674724418986</v>
      </c>
      <c r="Y33" s="61">
        <f t="shared" si="1"/>
        <v>34.067472441898644</v>
      </c>
      <c r="Z33" s="62">
        <f t="shared" si="2"/>
        <v>1.0682807288146329E-2</v>
      </c>
    </row>
    <row r="34" spans="1:26" ht="13.2">
      <c r="A34" s="56" t="s">
        <v>32</v>
      </c>
      <c r="B34" s="57">
        <v>1106</v>
      </c>
      <c r="C34" s="57">
        <v>1148</v>
      </c>
      <c r="D34" s="57">
        <v>1173</v>
      </c>
      <c r="E34" s="57">
        <v>1201</v>
      </c>
      <c r="F34" s="57">
        <v>1270</v>
      </c>
      <c r="G34" s="58">
        <v>1265</v>
      </c>
      <c r="H34" s="58">
        <v>1265</v>
      </c>
      <c r="I34" s="58">
        <v>1258</v>
      </c>
      <c r="J34" s="58">
        <v>1280</v>
      </c>
      <c r="K34" s="57">
        <v>1278</v>
      </c>
      <c r="L34" s="57">
        <v>1320</v>
      </c>
      <c r="M34" s="57">
        <v>1312</v>
      </c>
      <c r="N34" s="57">
        <v>1322</v>
      </c>
      <c r="O34" s="57">
        <v>1344</v>
      </c>
      <c r="P34" s="38">
        <v>1362</v>
      </c>
      <c r="Q34" s="38">
        <v>1374</v>
      </c>
      <c r="R34" s="38">
        <v>1427</v>
      </c>
      <c r="S34" s="38">
        <v>1424</v>
      </c>
      <c r="T34" s="38">
        <v>1433</v>
      </c>
      <c r="U34" s="38">
        <v>1457</v>
      </c>
      <c r="V34" s="38">
        <v>1468</v>
      </c>
      <c r="W34" s="59">
        <f t="shared" si="0"/>
        <v>7.5497597803706245E-3</v>
      </c>
      <c r="X34" s="60">
        <v>1472.7256879429681</v>
      </c>
      <c r="Y34" s="61">
        <f t="shared" si="1"/>
        <v>4.7256879429680794</v>
      </c>
      <c r="Z34" s="62">
        <f t="shared" si="2"/>
        <v>3.2191334761362939E-3</v>
      </c>
    </row>
    <row r="35" spans="1:26" ht="13.2">
      <c r="A35" s="56" t="s">
        <v>33</v>
      </c>
      <c r="B35" s="57">
        <v>241</v>
      </c>
      <c r="C35" s="57">
        <v>247</v>
      </c>
      <c r="D35" s="57">
        <v>269</v>
      </c>
      <c r="E35" s="57">
        <v>315</v>
      </c>
      <c r="F35" s="57">
        <v>325</v>
      </c>
      <c r="G35" s="58">
        <v>316</v>
      </c>
      <c r="H35" s="58">
        <v>339</v>
      </c>
      <c r="I35" s="58">
        <v>308</v>
      </c>
      <c r="J35" s="58">
        <v>267</v>
      </c>
      <c r="K35" s="57">
        <v>309</v>
      </c>
      <c r="L35" s="57">
        <v>275</v>
      </c>
      <c r="M35" s="57">
        <v>250</v>
      </c>
      <c r="N35" s="57">
        <v>262</v>
      </c>
      <c r="O35" s="57">
        <v>274</v>
      </c>
      <c r="P35" s="38">
        <v>260</v>
      </c>
      <c r="Q35" s="38">
        <v>238</v>
      </c>
      <c r="R35" s="38">
        <v>232</v>
      </c>
      <c r="S35" s="38">
        <v>233</v>
      </c>
      <c r="T35" s="38">
        <v>220</v>
      </c>
      <c r="U35" s="38">
        <v>210</v>
      </c>
      <c r="V35" s="38">
        <v>228</v>
      </c>
      <c r="W35" s="59">
        <f t="shared" si="0"/>
        <v>8.5714285714285715E-2</v>
      </c>
      <c r="X35" s="60">
        <v>235</v>
      </c>
      <c r="Y35" s="61">
        <f t="shared" si="1"/>
        <v>7</v>
      </c>
      <c r="Z35" s="62">
        <f t="shared" si="2"/>
        <v>3.0701754385964911E-2</v>
      </c>
    </row>
    <row r="36" spans="1:26" ht="13.2">
      <c r="A36" s="56" t="s">
        <v>34</v>
      </c>
      <c r="B36" s="57">
        <v>7355</v>
      </c>
      <c r="C36" s="57">
        <v>7334</v>
      </c>
      <c r="D36" s="57">
        <v>7488</v>
      </c>
      <c r="E36" s="57">
        <v>7495</v>
      </c>
      <c r="F36" s="57">
        <v>7716</v>
      </c>
      <c r="G36" s="58">
        <v>8019</v>
      </c>
      <c r="H36" s="58">
        <v>8169</v>
      </c>
      <c r="I36" s="58">
        <v>8777</v>
      </c>
      <c r="J36" s="58">
        <v>9177</v>
      </c>
      <c r="K36" s="57">
        <v>9507</v>
      </c>
      <c r="L36" s="57">
        <v>10034</v>
      </c>
      <c r="M36" s="57">
        <v>10508</v>
      </c>
      <c r="N36" s="57">
        <v>11039</v>
      </c>
      <c r="O36" s="57">
        <v>11793</v>
      </c>
      <c r="P36" s="38">
        <v>12507</v>
      </c>
      <c r="Q36" s="38">
        <v>12988</v>
      </c>
      <c r="R36" s="38">
        <v>13406</v>
      </c>
      <c r="S36" s="38">
        <v>13180</v>
      </c>
      <c r="T36" s="38">
        <v>13439</v>
      </c>
      <c r="U36" s="38">
        <v>13675</v>
      </c>
      <c r="V36" s="38">
        <v>14034</v>
      </c>
      <c r="W36" s="59">
        <f t="shared" si="0"/>
        <v>2.6252285191956125E-2</v>
      </c>
      <c r="X36" s="60">
        <v>14355.19201864965</v>
      </c>
      <c r="Y36" s="61">
        <f t="shared" si="1"/>
        <v>321.19201864964998</v>
      </c>
      <c r="Z36" s="62">
        <f t="shared" si="2"/>
        <v>2.2886705048428813E-2</v>
      </c>
    </row>
    <row r="37" spans="1:26" ht="13.2">
      <c r="A37" s="56" t="s">
        <v>35</v>
      </c>
      <c r="B37" s="57">
        <v>6795</v>
      </c>
      <c r="C37" s="57">
        <v>6814</v>
      </c>
      <c r="D37" s="57">
        <v>6831</v>
      </c>
      <c r="E37" s="57">
        <v>6699</v>
      </c>
      <c r="F37" s="57">
        <v>6644</v>
      </c>
      <c r="G37" s="58">
        <v>6445</v>
      </c>
      <c r="H37" s="58">
        <v>6472</v>
      </c>
      <c r="I37" s="58">
        <v>6192</v>
      </c>
      <c r="J37" s="58">
        <v>5974</v>
      </c>
      <c r="K37" s="57">
        <v>5938</v>
      </c>
      <c r="L37" s="57">
        <v>5682</v>
      </c>
      <c r="M37" s="57">
        <v>5607</v>
      </c>
      <c r="N37" s="57">
        <f>5611+31</f>
        <v>5642</v>
      </c>
      <c r="O37" s="57">
        <f>5513+26</f>
        <v>5539</v>
      </c>
      <c r="P37" s="38">
        <v>5772</v>
      </c>
      <c r="Q37" s="38">
        <v>5952</v>
      </c>
      <c r="R37" s="38">
        <v>6408</v>
      </c>
      <c r="S37" s="38">
        <v>6489</v>
      </c>
      <c r="T37" s="38">
        <v>6683</v>
      </c>
      <c r="U37" s="38">
        <v>6993</v>
      </c>
      <c r="V37" s="38">
        <v>7291</v>
      </c>
      <c r="W37" s="59">
        <f t="shared" si="0"/>
        <v>4.2614042614042613E-2</v>
      </c>
      <c r="X37" s="60">
        <v>7618.5968565764133</v>
      </c>
      <c r="Y37" s="61">
        <f t="shared" si="1"/>
        <v>327.5968565764133</v>
      </c>
      <c r="Z37" s="62">
        <f t="shared" si="2"/>
        <v>4.4931676940942709E-2</v>
      </c>
    </row>
    <row r="38" spans="1:26" ht="13.2">
      <c r="A38" s="56" t="s">
        <v>36</v>
      </c>
      <c r="B38" s="57">
        <v>3137</v>
      </c>
      <c r="C38" s="57">
        <v>3219</v>
      </c>
      <c r="D38" s="57">
        <v>3288</v>
      </c>
      <c r="E38" s="57">
        <v>3389</v>
      </c>
      <c r="F38" s="57">
        <v>3478</v>
      </c>
      <c r="G38" s="58">
        <v>3492</v>
      </c>
      <c r="H38" s="58">
        <v>3581</v>
      </c>
      <c r="I38" s="58">
        <v>3610</v>
      </c>
      <c r="J38" s="58">
        <v>3678</v>
      </c>
      <c r="K38" s="57">
        <v>3777</v>
      </c>
      <c r="L38" s="57">
        <v>3916</v>
      </c>
      <c r="M38" s="57">
        <v>4022</v>
      </c>
      <c r="N38" s="57">
        <v>4136</v>
      </c>
      <c r="O38" s="57">
        <v>4303</v>
      </c>
      <c r="P38" s="38">
        <v>4398</v>
      </c>
      <c r="Q38" s="38">
        <v>4588</v>
      </c>
      <c r="R38" s="38">
        <v>4745</v>
      </c>
      <c r="S38" s="38">
        <v>4959</v>
      </c>
      <c r="T38" s="38">
        <v>5089</v>
      </c>
      <c r="U38" s="38">
        <v>5253</v>
      </c>
      <c r="V38" s="38">
        <v>5585</v>
      </c>
      <c r="W38" s="59">
        <f t="shared" si="0"/>
        <v>6.3201979821054632E-2</v>
      </c>
      <c r="X38" s="60">
        <v>5953.4164490500643</v>
      </c>
      <c r="Y38" s="61">
        <f t="shared" si="1"/>
        <v>368.41644905006433</v>
      </c>
      <c r="Z38" s="62">
        <f t="shared" si="2"/>
        <v>6.596534450314491E-2</v>
      </c>
    </row>
    <row r="39" spans="1:26" ht="13.2">
      <c r="A39" s="56" t="s">
        <v>37</v>
      </c>
      <c r="B39" s="57">
        <v>14596</v>
      </c>
      <c r="C39" s="57">
        <v>15644</v>
      </c>
      <c r="D39" s="57">
        <v>16550</v>
      </c>
      <c r="E39" s="57">
        <v>17418</v>
      </c>
      <c r="F39" s="57">
        <v>18078</v>
      </c>
      <c r="G39" s="58">
        <v>18408</v>
      </c>
      <c r="H39" s="58">
        <v>18513</v>
      </c>
      <c r="I39" s="58">
        <v>18375</v>
      </c>
      <c r="J39" s="58">
        <v>18261</v>
      </c>
      <c r="K39" s="57">
        <v>18823</v>
      </c>
      <c r="L39" s="57">
        <v>19617</v>
      </c>
      <c r="M39" s="57">
        <v>20317</v>
      </c>
      <c r="N39" s="57">
        <f>21551+33</f>
        <v>21584</v>
      </c>
      <c r="O39" s="57">
        <f>23143+46</f>
        <v>23189</v>
      </c>
      <c r="P39" s="38">
        <v>24297</v>
      </c>
      <c r="Q39" s="38">
        <v>25295</v>
      </c>
      <c r="R39" s="38">
        <v>25775</v>
      </c>
      <c r="S39" s="38">
        <v>25202</v>
      </c>
      <c r="T39" s="38">
        <v>25671</v>
      </c>
      <c r="U39" s="38">
        <v>26206</v>
      </c>
      <c r="V39" s="38">
        <v>26131</v>
      </c>
      <c r="W39" s="59">
        <f t="shared" si="0"/>
        <v>-2.861940013737312E-3</v>
      </c>
      <c r="X39" s="60">
        <v>26657.772547949167</v>
      </c>
      <c r="Y39" s="61">
        <f t="shared" si="1"/>
        <v>526.77254794916735</v>
      </c>
      <c r="Z39" s="62">
        <f t="shared" si="2"/>
        <v>2.0158912707097597E-2</v>
      </c>
    </row>
    <row r="40" spans="1:26" ht="13.2">
      <c r="A40" s="56" t="s">
        <v>38</v>
      </c>
      <c r="B40" s="57">
        <v>580</v>
      </c>
      <c r="C40" s="57">
        <v>590</v>
      </c>
      <c r="D40" s="57">
        <v>602</v>
      </c>
      <c r="E40" s="57">
        <v>602</v>
      </c>
      <c r="F40" s="57">
        <v>605</v>
      </c>
      <c r="G40" s="58">
        <v>561</v>
      </c>
      <c r="H40" s="58">
        <v>554</v>
      </c>
      <c r="I40" s="58">
        <v>571</v>
      </c>
      <c r="J40" s="58">
        <v>550</v>
      </c>
      <c r="K40" s="57">
        <v>538</v>
      </c>
      <c r="L40" s="57">
        <v>520</v>
      </c>
      <c r="M40" s="57">
        <v>518</v>
      </c>
      <c r="N40" s="57">
        <v>517</v>
      </c>
      <c r="O40" s="57">
        <v>514</v>
      </c>
      <c r="P40" s="38">
        <v>531</v>
      </c>
      <c r="Q40" s="38">
        <v>548</v>
      </c>
      <c r="R40" s="38">
        <v>531</v>
      </c>
      <c r="S40" s="38">
        <v>561</v>
      </c>
      <c r="T40" s="38">
        <v>567</v>
      </c>
      <c r="U40" s="38">
        <v>539</v>
      </c>
      <c r="V40" s="38">
        <v>525</v>
      </c>
      <c r="W40" s="59">
        <f t="shared" si="0"/>
        <v>-2.5974025974025976E-2</v>
      </c>
      <c r="X40" s="60">
        <v>517.65513244598083</v>
      </c>
      <c r="Y40" s="61">
        <f t="shared" si="1"/>
        <v>-7.3448675540191743</v>
      </c>
      <c r="Z40" s="62">
        <f t="shared" si="2"/>
        <v>-1.3990223912417474E-2</v>
      </c>
    </row>
    <row r="41" spans="1:26" ht="13.2">
      <c r="A41" s="56" t="s">
        <v>39</v>
      </c>
      <c r="B41" s="57">
        <v>26832</v>
      </c>
      <c r="C41" s="57">
        <v>27158</v>
      </c>
      <c r="D41" s="57">
        <v>27564</v>
      </c>
      <c r="E41" s="57">
        <v>27951</v>
      </c>
      <c r="F41" s="57">
        <v>28385</v>
      </c>
      <c r="G41" s="58">
        <v>28401</v>
      </c>
      <c r="H41" s="58">
        <v>28058</v>
      </c>
      <c r="I41" s="58">
        <v>28134</v>
      </c>
      <c r="J41" s="58">
        <v>28009</v>
      </c>
      <c r="K41" s="57">
        <v>28101</v>
      </c>
      <c r="L41" s="57">
        <v>28315</v>
      </c>
      <c r="M41" s="57">
        <v>28196</v>
      </c>
      <c r="N41" s="57">
        <f>28490+37</f>
        <v>28527</v>
      </c>
      <c r="O41" s="57">
        <f>28737+37</f>
        <v>28774</v>
      </c>
      <c r="P41" s="38">
        <v>29132</v>
      </c>
      <c r="Q41" s="38">
        <v>30097</v>
      </c>
      <c r="R41" s="38">
        <v>29879</v>
      </c>
      <c r="S41" s="38">
        <v>30417</v>
      </c>
      <c r="T41" s="38">
        <v>30347</v>
      </c>
      <c r="U41" s="38">
        <v>30423</v>
      </c>
      <c r="V41" s="38">
        <v>30732</v>
      </c>
      <c r="W41" s="59">
        <f t="shared" si="0"/>
        <v>1.0156789271275023E-2</v>
      </c>
      <c r="X41" s="60">
        <v>30978.415056862948</v>
      </c>
      <c r="Y41" s="61">
        <f t="shared" si="1"/>
        <v>246.4150568629484</v>
      </c>
      <c r="Z41" s="62">
        <f t="shared" si="2"/>
        <v>8.0181913595909274E-3</v>
      </c>
    </row>
    <row r="42" spans="1:26" ht="13.2">
      <c r="A42" s="56" t="s">
        <v>40</v>
      </c>
      <c r="B42" s="57">
        <v>25538</v>
      </c>
      <c r="C42" s="57">
        <v>25698</v>
      </c>
      <c r="D42" s="57">
        <v>25408</v>
      </c>
      <c r="E42" s="57">
        <v>25294</v>
      </c>
      <c r="F42" s="57">
        <v>25397</v>
      </c>
      <c r="G42" s="58">
        <v>25614</v>
      </c>
      <c r="H42" s="58">
        <v>25207</v>
      </c>
      <c r="I42" s="58">
        <v>24960</v>
      </c>
      <c r="J42" s="58">
        <v>24921</v>
      </c>
      <c r="K42" s="57">
        <v>24648</v>
      </c>
      <c r="L42" s="57">
        <v>24382</v>
      </c>
      <c r="M42" s="57">
        <v>23966</v>
      </c>
      <c r="N42" s="57">
        <f>23573+22</f>
        <v>23595</v>
      </c>
      <c r="O42" s="57">
        <f>23700+28</f>
        <v>23728</v>
      </c>
      <c r="P42" s="38">
        <v>23894</v>
      </c>
      <c r="Q42" s="38">
        <v>23536</v>
      </c>
      <c r="R42" s="38">
        <v>23678</v>
      </c>
      <c r="S42" s="38">
        <v>23850</v>
      </c>
      <c r="T42" s="38">
        <v>23960</v>
      </c>
      <c r="U42" s="38">
        <v>23919</v>
      </c>
      <c r="V42" s="38">
        <v>23759</v>
      </c>
      <c r="W42" s="59">
        <f t="shared" si="0"/>
        <v>-6.6892428613236337E-3</v>
      </c>
      <c r="X42" s="60">
        <v>23800.188730707323</v>
      </c>
      <c r="Y42" s="61">
        <f t="shared" si="1"/>
        <v>41.188730707322975</v>
      </c>
      <c r="Z42" s="62">
        <f t="shared" si="2"/>
        <v>1.733605400367144E-3</v>
      </c>
    </row>
    <row r="43" spans="1:26" ht="13.2">
      <c r="A43" s="56" t="s">
        <v>41</v>
      </c>
      <c r="B43" s="57">
        <v>12589</v>
      </c>
      <c r="C43" s="57">
        <v>12775</v>
      </c>
      <c r="D43" s="57">
        <v>12788</v>
      </c>
      <c r="E43" s="57">
        <v>12791</v>
      </c>
      <c r="F43" s="57">
        <v>12834</v>
      </c>
      <c r="G43" s="58">
        <v>12797</v>
      </c>
      <c r="H43" s="58">
        <v>12740</v>
      </c>
      <c r="I43" s="58">
        <v>12809</v>
      </c>
      <c r="J43" s="58">
        <v>12750</v>
      </c>
      <c r="K43" s="57">
        <v>12855</v>
      </c>
      <c r="L43" s="57">
        <v>13141</v>
      </c>
      <c r="M43" s="57">
        <v>12963</v>
      </c>
      <c r="N43" s="57">
        <f>12579+105</f>
        <v>12684</v>
      </c>
      <c r="O43" s="57">
        <f>12393+149</f>
        <v>12542</v>
      </c>
      <c r="P43" s="38">
        <v>12358</v>
      </c>
      <c r="Q43" s="38">
        <v>12603</v>
      </c>
      <c r="R43" s="38">
        <v>12884</v>
      </c>
      <c r="S43" s="38">
        <v>12578</v>
      </c>
      <c r="T43" s="38">
        <v>12568</v>
      </c>
      <c r="U43" s="38">
        <v>12652</v>
      </c>
      <c r="V43" s="38">
        <v>12570</v>
      </c>
      <c r="W43" s="59">
        <f t="shared" si="0"/>
        <v>-6.4811887448624726E-3</v>
      </c>
      <c r="X43" s="60">
        <v>12649.438819803123</v>
      </c>
      <c r="Y43" s="61">
        <f t="shared" si="1"/>
        <v>79.438819803122897</v>
      </c>
      <c r="Z43" s="62">
        <f t="shared" si="2"/>
        <v>6.3197151792460538E-3</v>
      </c>
    </row>
    <row r="44" spans="1:26" ht="13.2">
      <c r="A44" s="56" t="s">
        <v>42</v>
      </c>
      <c r="B44" s="57">
        <v>13565</v>
      </c>
      <c r="C44" s="57">
        <v>13706</v>
      </c>
      <c r="D44" s="57">
        <v>13616</v>
      </c>
      <c r="E44" s="57">
        <v>13487</v>
      </c>
      <c r="F44" s="57">
        <v>13544</v>
      </c>
      <c r="G44" s="58">
        <v>13674</v>
      </c>
      <c r="H44" s="58">
        <v>13486</v>
      </c>
      <c r="I44" s="58">
        <v>13438</v>
      </c>
      <c r="J44" s="58">
        <v>13241</v>
      </c>
      <c r="K44" s="57">
        <v>13298</v>
      </c>
      <c r="L44" s="57">
        <v>13177</v>
      </c>
      <c r="M44" s="57">
        <v>13103</v>
      </c>
      <c r="N44" s="57">
        <f>13221+138</f>
        <v>13359</v>
      </c>
      <c r="O44" s="57">
        <f>13165+108</f>
        <v>13273</v>
      </c>
      <c r="P44" s="38">
        <v>13272</v>
      </c>
      <c r="Q44" s="38">
        <v>13083</v>
      </c>
      <c r="R44" s="38">
        <v>13288</v>
      </c>
      <c r="S44" s="38">
        <v>13241</v>
      </c>
      <c r="T44" s="38">
        <v>13376</v>
      </c>
      <c r="U44" s="38">
        <v>13779</v>
      </c>
      <c r="V44" s="38">
        <v>14202</v>
      </c>
      <c r="W44" s="59">
        <f t="shared" si="0"/>
        <v>3.0698889614630961E-2</v>
      </c>
      <c r="X44" s="60">
        <v>14584.529520233815</v>
      </c>
      <c r="Y44" s="61">
        <f t="shared" si="1"/>
        <v>382.52952023381476</v>
      </c>
      <c r="Z44" s="62">
        <f t="shared" si="2"/>
        <v>2.6934904959429289E-2</v>
      </c>
    </row>
    <row r="45" spans="1:26" ht="13.2">
      <c r="A45" s="56" t="s">
        <v>43</v>
      </c>
      <c r="B45" s="57">
        <v>5894</v>
      </c>
      <c r="C45" s="57">
        <v>5838</v>
      </c>
      <c r="D45" s="57">
        <v>5846</v>
      </c>
      <c r="E45" s="57">
        <v>5823</v>
      </c>
      <c r="F45" s="57">
        <v>5830</v>
      </c>
      <c r="G45" s="58">
        <v>5933</v>
      </c>
      <c r="H45" s="58">
        <v>5840</v>
      </c>
      <c r="I45" s="58">
        <v>5840</v>
      </c>
      <c r="J45" s="58">
        <v>5778</v>
      </c>
      <c r="K45" s="57">
        <v>5791</v>
      </c>
      <c r="L45" s="57">
        <v>5858</v>
      </c>
      <c r="M45" s="57">
        <v>5872</v>
      </c>
      <c r="N45" s="57">
        <f>5659+149+13</f>
        <v>5821</v>
      </c>
      <c r="O45" s="57">
        <f>5568+144+25</f>
        <v>5737</v>
      </c>
      <c r="P45" s="38">
        <f>5780-139</f>
        <v>5641</v>
      </c>
      <c r="Q45" s="38">
        <v>5755</v>
      </c>
      <c r="R45" s="38">
        <v>5960</v>
      </c>
      <c r="S45" s="38">
        <v>6123</v>
      </c>
      <c r="T45" s="38">
        <v>6133</v>
      </c>
      <c r="U45" s="38">
        <v>6120</v>
      </c>
      <c r="V45" s="38">
        <v>6063</v>
      </c>
      <c r="W45" s="59">
        <f t="shared" si="0"/>
        <v>-9.3137254901960783E-3</v>
      </c>
      <c r="X45" s="60">
        <v>6140.4743429830423</v>
      </c>
      <c r="Y45" s="61">
        <f t="shared" si="1"/>
        <v>77.474342983042334</v>
      </c>
      <c r="Z45" s="62">
        <f t="shared" si="2"/>
        <v>1.2778219195619715E-2</v>
      </c>
    </row>
    <row r="46" spans="1:26" ht="13.2">
      <c r="A46" s="56" t="s">
        <v>44</v>
      </c>
      <c r="B46" s="57">
        <v>6799</v>
      </c>
      <c r="C46" s="57">
        <v>6821</v>
      </c>
      <c r="D46" s="57">
        <v>6829</v>
      </c>
      <c r="E46" s="57">
        <v>6841</v>
      </c>
      <c r="F46" s="57">
        <v>6881</v>
      </c>
      <c r="G46" s="58">
        <v>6940</v>
      </c>
      <c r="H46" s="58">
        <v>6788</v>
      </c>
      <c r="I46" s="58">
        <v>6584</v>
      </c>
      <c r="J46" s="58">
        <v>6481</v>
      </c>
      <c r="K46" s="57">
        <v>6364</v>
      </c>
      <c r="L46" s="57">
        <v>6336</v>
      </c>
      <c r="M46" s="57">
        <v>6482</v>
      </c>
      <c r="N46" s="57">
        <v>6492</v>
      </c>
      <c r="O46" s="57">
        <v>6469</v>
      </c>
      <c r="P46" s="38">
        <v>6352</v>
      </c>
      <c r="Q46" s="38">
        <v>6426</v>
      </c>
      <c r="R46" s="38">
        <v>6458</v>
      </c>
      <c r="S46" s="38">
        <v>6515</v>
      </c>
      <c r="T46" s="38">
        <v>6500</v>
      </c>
      <c r="U46" s="38">
        <v>6417</v>
      </c>
      <c r="V46" s="38">
        <v>6428</v>
      </c>
      <c r="W46" s="59">
        <f t="shared" si="0"/>
        <v>1.714196665108306E-3</v>
      </c>
      <c r="X46" s="60">
        <v>6534.3307674318794</v>
      </c>
      <c r="Y46" s="61">
        <f t="shared" si="1"/>
        <v>106.33076743187939</v>
      </c>
      <c r="Z46" s="62">
        <f t="shared" si="2"/>
        <v>1.6541811983802023E-2</v>
      </c>
    </row>
    <row r="47" spans="1:26" ht="13.8" thickBot="1">
      <c r="A47" s="63" t="s">
        <v>65</v>
      </c>
      <c r="B47" s="64"/>
      <c r="C47" s="64"/>
      <c r="D47" s="64"/>
      <c r="E47" s="64"/>
      <c r="F47" s="64"/>
      <c r="G47" s="65"/>
      <c r="H47" s="65"/>
      <c r="I47" s="65"/>
      <c r="J47" s="65"/>
      <c r="K47" s="64"/>
      <c r="L47" s="64"/>
      <c r="M47" s="64"/>
      <c r="N47" s="64"/>
      <c r="O47" s="64"/>
      <c r="P47" s="66"/>
      <c r="Q47" s="66"/>
      <c r="R47" s="66"/>
      <c r="S47" s="66">
        <v>33184</v>
      </c>
      <c r="T47" s="66">
        <v>33469</v>
      </c>
      <c r="U47" s="66">
        <v>33490</v>
      </c>
      <c r="V47" s="66">
        <v>33528</v>
      </c>
      <c r="W47" s="67">
        <f t="shared" si="0"/>
        <v>1.1346670647954613E-3</v>
      </c>
      <c r="X47" s="68">
        <v>33885.863399613685</v>
      </c>
      <c r="Y47" s="69">
        <f t="shared" si="1"/>
        <v>357.86339961368503</v>
      </c>
      <c r="Z47" s="70">
        <f t="shared" si="2"/>
        <v>1.0673568349250926E-2</v>
      </c>
    </row>
    <row r="48" spans="1:26" ht="13.2">
      <c r="A48" s="71" t="s">
        <v>45</v>
      </c>
      <c r="B48" s="72">
        <f t="shared" ref="B48:H48" si="3">SUM(B7:B46)</f>
        <v>461259</v>
      </c>
      <c r="C48" s="72">
        <f t="shared" si="3"/>
        <v>468675</v>
      </c>
      <c r="D48" s="72">
        <f t="shared" si="3"/>
        <v>471402</v>
      </c>
      <c r="E48" s="72">
        <f t="shared" si="3"/>
        <v>473666</v>
      </c>
      <c r="F48" s="72">
        <f t="shared" si="3"/>
        <v>478028</v>
      </c>
      <c r="G48" s="72">
        <f t="shared" si="3"/>
        <v>479151</v>
      </c>
      <c r="H48" s="72">
        <f t="shared" si="3"/>
        <v>477061</v>
      </c>
      <c r="I48" s="72">
        <f>SUM(I7:I46)</f>
        <v>475584</v>
      </c>
      <c r="J48" s="72">
        <f>SUM(J7:J46)</f>
        <v>474732</v>
      </c>
      <c r="K48" s="72">
        <f t="shared" ref="K48:R48" si="4">SUM(K7:K46)</f>
        <v>477160</v>
      </c>
      <c r="L48" s="72">
        <f t="shared" si="4"/>
        <v>479617</v>
      </c>
      <c r="M48" s="72">
        <f t="shared" si="4"/>
        <v>483685</v>
      </c>
      <c r="N48" s="72">
        <f t="shared" si="4"/>
        <v>489445</v>
      </c>
      <c r="O48" s="72">
        <f t="shared" si="4"/>
        <v>498484</v>
      </c>
      <c r="P48" s="72">
        <f t="shared" si="4"/>
        <v>504792</v>
      </c>
      <c r="Q48" s="72">
        <v>515457</v>
      </c>
      <c r="R48" s="72">
        <f t="shared" si="4"/>
        <v>523644</v>
      </c>
      <c r="S48" s="72">
        <f>SUM(S7:S47)</f>
        <v>529107</v>
      </c>
      <c r="T48" s="72">
        <f>SUM(T7:T47)</f>
        <v>536214</v>
      </c>
      <c r="U48" s="72">
        <f>SUM(U7:U47)</f>
        <v>542853</v>
      </c>
      <c r="V48" s="72">
        <f>SUM(V7:V47)</f>
        <v>550184</v>
      </c>
      <c r="W48" s="59">
        <f t="shared" si="0"/>
        <v>1.3504576745454111E-2</v>
      </c>
      <c r="X48" s="72">
        <f>SUM(X7:X47)</f>
        <v>557296.99999999988</v>
      </c>
      <c r="Y48" s="61">
        <f t="shared" si="1"/>
        <v>7112.9999999998836</v>
      </c>
      <c r="Z48" s="62">
        <f t="shared" si="2"/>
        <v>1.2928402134558408E-2</v>
      </c>
    </row>
    <row r="49" spans="1:26" ht="13.2">
      <c r="A49" s="71" t="s">
        <v>46</v>
      </c>
      <c r="B49" s="38"/>
      <c r="C49" s="38"/>
      <c r="D49" s="38"/>
      <c r="E49" s="38"/>
      <c r="F49" s="38"/>
      <c r="G49" s="38"/>
      <c r="H49" s="38"/>
      <c r="I49" s="38">
        <v>390</v>
      </c>
      <c r="J49" s="38">
        <v>537</v>
      </c>
      <c r="K49" s="38">
        <v>641</v>
      </c>
      <c r="L49" s="38">
        <v>1526</v>
      </c>
      <c r="M49" s="38">
        <v>3253</v>
      </c>
      <c r="N49" s="38">
        <v>6237</v>
      </c>
      <c r="O49" s="38">
        <v>11528</v>
      </c>
      <c r="P49" s="38">
        <v>19211</v>
      </c>
      <c r="Q49" s="38">
        <v>22196</v>
      </c>
      <c r="R49" s="38">
        <v>27369</v>
      </c>
      <c r="S49" s="38">
        <v>34166</v>
      </c>
      <c r="T49" s="38">
        <v>40121</v>
      </c>
      <c r="U49" s="38">
        <v>44892</v>
      </c>
      <c r="V49" s="38">
        <v>50801</v>
      </c>
      <c r="W49" s="59">
        <f t="shared" si="0"/>
        <v>0.13162701594938964</v>
      </c>
      <c r="X49" s="38">
        <v>56927</v>
      </c>
      <c r="Y49" s="61">
        <f t="shared" si="1"/>
        <v>6126</v>
      </c>
      <c r="Z49" s="62">
        <f t="shared" si="2"/>
        <v>0.12058817739808271</v>
      </c>
    </row>
    <row r="50" spans="1:26" ht="13.8" thickBot="1">
      <c r="A50" s="73" t="s">
        <v>47</v>
      </c>
      <c r="B50" s="66"/>
      <c r="C50" s="66"/>
      <c r="D50" s="66"/>
      <c r="E50" s="66"/>
      <c r="F50" s="66"/>
      <c r="G50" s="66"/>
      <c r="H50" s="66"/>
      <c r="I50" s="74">
        <f>SUM(I48:I49)</f>
        <v>475974</v>
      </c>
      <c r="J50" s="74">
        <f>SUM(J48:J49)</f>
        <v>475269</v>
      </c>
      <c r="K50" s="74">
        <f t="shared" ref="K50:U50" si="5">SUM(K48:K49)</f>
        <v>477801</v>
      </c>
      <c r="L50" s="74">
        <f t="shared" si="5"/>
        <v>481143</v>
      </c>
      <c r="M50" s="74">
        <f t="shared" si="5"/>
        <v>486938</v>
      </c>
      <c r="N50" s="74">
        <f t="shared" si="5"/>
        <v>495682</v>
      </c>
      <c r="O50" s="74">
        <f t="shared" si="5"/>
        <v>510012</v>
      </c>
      <c r="P50" s="74">
        <f t="shared" si="5"/>
        <v>524003</v>
      </c>
      <c r="Q50" s="74">
        <v>537653</v>
      </c>
      <c r="R50" s="74">
        <f t="shared" si="5"/>
        <v>551013</v>
      </c>
      <c r="S50" s="74">
        <f t="shared" si="5"/>
        <v>563273</v>
      </c>
      <c r="T50" s="74">
        <f t="shared" si="5"/>
        <v>576335</v>
      </c>
      <c r="U50" s="74">
        <f t="shared" si="5"/>
        <v>587745</v>
      </c>
      <c r="V50" s="74">
        <f>SUM(V48:V49)</f>
        <v>600985</v>
      </c>
      <c r="W50" s="75">
        <f t="shared" si="0"/>
        <v>2.2526776067852555E-2</v>
      </c>
      <c r="X50" s="74">
        <f t="shared" ref="X50" si="6">SUM(X48:X49)</f>
        <v>614223.99999999988</v>
      </c>
      <c r="Y50" s="69">
        <f t="shared" si="1"/>
        <v>13238.999999999884</v>
      </c>
      <c r="Z50" s="70">
        <f>Y50/V50</f>
        <v>2.2028835994242591E-2</v>
      </c>
    </row>
    <row r="51" spans="1:26" ht="13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25"/>
      <c r="W51" s="4"/>
      <c r="X51" s="4"/>
      <c r="Y51" s="5"/>
      <c r="Z51" s="5"/>
    </row>
  </sheetData>
  <mergeCells count="2">
    <mergeCell ref="L3:Z3"/>
    <mergeCell ref="K2:Z2"/>
  </mergeCells>
  <phoneticPr fontId="2" type="noConversion"/>
  <printOptions horizontalCentered="1" verticalCentered="1"/>
  <pageMargins left="0.5" right="0.5" top="1" bottom="1" header="0.75" footer="0.75"/>
  <pageSetup scale="66" orientation="landscape" r:id="rId1"/>
  <headerFooter alignWithMargins="0">
    <oddFooter xml:space="preserve">&amp;L&amp;8Source: Actual - October Data Clearinghouse; Projections - Common Data Committee (GOPB, LFA, USOE)&amp;R&amp;8
</oddFooter>
  </headerFooter>
  <ignoredErrors>
    <ignoredError sqref="X4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37"/>
  <sheetViews>
    <sheetView zoomScaleNormal="100" workbookViewId="0">
      <selection activeCell="P96" sqref="P96"/>
    </sheetView>
  </sheetViews>
  <sheetFormatPr defaultColWidth="9.109375" defaultRowHeight="12"/>
  <cols>
    <col min="1" max="1" width="4" style="23" customWidth="1"/>
    <col min="2" max="2" width="45" style="7" customWidth="1"/>
    <col min="3" max="11" width="7.33203125" style="8" customWidth="1"/>
    <col min="12" max="15" width="7.33203125" style="6" customWidth="1"/>
    <col min="16" max="16" width="7.33203125" style="33" customWidth="1"/>
    <col min="17" max="16384" width="9.109375" style="6"/>
  </cols>
  <sheetData>
    <row r="1" spans="1:19" ht="17.399999999999999">
      <c r="A1" s="80" t="s">
        <v>213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79"/>
    </row>
    <row r="2" spans="1:19" ht="13.2" customHeight="1"/>
    <row r="3" spans="1:19" ht="13.2" customHeight="1" thickBot="1">
      <c r="A3" s="26" t="s">
        <v>133</v>
      </c>
      <c r="B3" s="27" t="s">
        <v>48</v>
      </c>
      <c r="C3" s="28">
        <v>1999</v>
      </c>
      <c r="D3" s="29">
        <v>2000</v>
      </c>
      <c r="E3" s="29">
        <v>2001</v>
      </c>
      <c r="F3" s="29">
        <v>2002</v>
      </c>
      <c r="G3" s="29">
        <v>2003</v>
      </c>
      <c r="H3" s="29">
        <v>2004</v>
      </c>
      <c r="I3" s="29">
        <v>2005</v>
      </c>
      <c r="J3" s="29">
        <v>2006</v>
      </c>
      <c r="K3" s="29">
        <v>2007</v>
      </c>
      <c r="L3" s="29">
        <v>2008</v>
      </c>
      <c r="M3" s="30">
        <v>2009</v>
      </c>
      <c r="N3" s="30">
        <v>2010</v>
      </c>
      <c r="O3" s="30">
        <v>2011</v>
      </c>
      <c r="P3" s="76">
        <v>2012</v>
      </c>
    </row>
    <row r="4" spans="1:19" ht="13.2">
      <c r="A4" s="19">
        <v>83</v>
      </c>
      <c r="B4" s="16" t="s">
        <v>197</v>
      </c>
      <c r="C4" s="13"/>
      <c r="D4" s="12"/>
      <c r="E4" s="12"/>
      <c r="F4" s="12"/>
      <c r="G4" s="12">
        <v>260</v>
      </c>
      <c r="H4" s="12">
        <v>384</v>
      </c>
      <c r="I4" s="12">
        <v>423</v>
      </c>
      <c r="J4" s="12">
        <v>425</v>
      </c>
      <c r="K4" s="12">
        <v>430</v>
      </c>
      <c r="L4" s="11">
        <v>439</v>
      </c>
      <c r="M4" s="11">
        <v>477</v>
      </c>
      <c r="N4" s="11">
        <v>479</v>
      </c>
      <c r="O4" s="17">
        <v>484</v>
      </c>
      <c r="P4" s="34">
        <v>489</v>
      </c>
      <c r="Q4"/>
      <c r="R4" s="16"/>
      <c r="S4" s="16"/>
    </row>
    <row r="5" spans="1:19" ht="13.2">
      <c r="A5" s="24" t="s">
        <v>186</v>
      </c>
      <c r="B5" s="16" t="s">
        <v>187</v>
      </c>
      <c r="C5" s="13"/>
      <c r="D5" s="12"/>
      <c r="E5" s="12"/>
      <c r="F5" s="12"/>
      <c r="G5" s="12"/>
      <c r="H5" s="12"/>
      <c r="I5" s="12"/>
      <c r="J5" s="12"/>
      <c r="K5" s="12"/>
      <c r="L5" s="11"/>
      <c r="M5" s="11"/>
      <c r="N5" s="11"/>
      <c r="O5" s="17">
        <v>468</v>
      </c>
      <c r="P5" s="34">
        <v>502</v>
      </c>
      <c r="Q5"/>
      <c r="R5" s="16"/>
      <c r="S5" s="16"/>
    </row>
    <row r="6" spans="1:19" ht="13.2">
      <c r="A6" s="19" t="s">
        <v>112</v>
      </c>
      <c r="B6" s="32" t="s">
        <v>179</v>
      </c>
      <c r="C6" s="13"/>
      <c r="D6" s="12"/>
      <c r="E6" s="12"/>
      <c r="F6" s="12"/>
      <c r="G6" s="12"/>
      <c r="H6" s="12"/>
      <c r="I6" s="12">
        <v>1199</v>
      </c>
      <c r="J6" s="12">
        <v>1416</v>
      </c>
      <c r="K6" s="12">
        <v>1429</v>
      </c>
      <c r="L6" s="11">
        <v>1432</v>
      </c>
      <c r="M6" s="11">
        <v>1477</v>
      </c>
      <c r="N6" s="11">
        <v>1505</v>
      </c>
      <c r="O6" s="17">
        <v>1523</v>
      </c>
      <c r="P6" s="34">
        <v>1741</v>
      </c>
      <c r="Q6" s="35"/>
      <c r="R6" s="16"/>
      <c r="S6" s="16"/>
    </row>
    <row r="7" spans="1:19" ht="13.2">
      <c r="A7" s="19">
        <v>74</v>
      </c>
      <c r="B7" s="16" t="s">
        <v>68</v>
      </c>
      <c r="C7" s="13"/>
      <c r="D7" s="12"/>
      <c r="E7" s="12"/>
      <c r="F7" s="12"/>
      <c r="G7" s="12">
        <v>460</v>
      </c>
      <c r="H7" s="12">
        <v>504</v>
      </c>
      <c r="I7" s="12">
        <v>525</v>
      </c>
      <c r="J7" s="12">
        <v>539</v>
      </c>
      <c r="K7" s="12">
        <v>538</v>
      </c>
      <c r="L7" s="11">
        <v>563</v>
      </c>
      <c r="M7" s="11">
        <v>1147</v>
      </c>
      <c r="N7" s="11">
        <v>1141</v>
      </c>
      <c r="O7" s="17">
        <v>1862</v>
      </c>
      <c r="P7" s="34">
        <v>2322</v>
      </c>
      <c r="Q7"/>
      <c r="R7" s="16"/>
      <c r="S7" s="16"/>
    </row>
    <row r="8" spans="1:19" ht="13.2">
      <c r="A8" s="31" t="s">
        <v>203</v>
      </c>
      <c r="B8" s="78" t="s">
        <v>208</v>
      </c>
      <c r="C8" s="77"/>
      <c r="P8" s="34">
        <v>258</v>
      </c>
      <c r="Q8"/>
      <c r="R8" s="16"/>
      <c r="S8" s="16"/>
    </row>
    <row r="9" spans="1:19" ht="13.2">
      <c r="A9" s="19" t="s">
        <v>138</v>
      </c>
      <c r="B9" s="16" t="s">
        <v>134</v>
      </c>
      <c r="C9" s="13"/>
      <c r="D9" s="12"/>
      <c r="E9" s="12"/>
      <c r="F9" s="12"/>
      <c r="G9" s="12"/>
      <c r="H9" s="12"/>
      <c r="I9" s="12"/>
      <c r="J9" s="12"/>
      <c r="K9" s="12"/>
      <c r="L9" s="11"/>
      <c r="M9" s="11"/>
      <c r="N9" s="11">
        <v>177</v>
      </c>
      <c r="O9" s="17">
        <v>180</v>
      </c>
      <c r="P9" s="34">
        <v>180</v>
      </c>
      <c r="Q9"/>
      <c r="R9" s="16"/>
      <c r="S9" s="16"/>
    </row>
    <row r="10" spans="1:19" ht="13.2">
      <c r="A10" s="19" t="s">
        <v>86</v>
      </c>
      <c r="B10" s="16" t="s">
        <v>196</v>
      </c>
      <c r="C10" s="13"/>
      <c r="D10" s="12"/>
      <c r="E10" s="12"/>
      <c r="F10" s="12"/>
      <c r="G10" s="12"/>
      <c r="H10" s="12"/>
      <c r="I10" s="12">
        <v>78</v>
      </c>
      <c r="J10" s="12">
        <v>122</v>
      </c>
      <c r="K10" s="12">
        <v>141</v>
      </c>
      <c r="L10" s="11">
        <v>224</v>
      </c>
      <c r="M10" s="11">
        <v>199</v>
      </c>
      <c r="N10" s="11">
        <v>233</v>
      </c>
      <c r="O10" s="17">
        <v>138</v>
      </c>
      <c r="P10" s="34">
        <v>230</v>
      </c>
      <c r="Q10"/>
      <c r="R10" s="16"/>
      <c r="S10" s="16"/>
    </row>
    <row r="11" spans="1:19" ht="13.2">
      <c r="A11" s="19" t="s">
        <v>89</v>
      </c>
      <c r="B11" s="16" t="s">
        <v>159</v>
      </c>
      <c r="C11" s="13"/>
      <c r="D11" s="12"/>
      <c r="E11" s="12"/>
      <c r="F11" s="12"/>
      <c r="G11" s="12"/>
      <c r="H11" s="12"/>
      <c r="I11" s="12"/>
      <c r="J11" s="12"/>
      <c r="K11" s="12">
        <v>190</v>
      </c>
      <c r="L11" s="11">
        <v>274</v>
      </c>
      <c r="M11" s="11">
        <v>323</v>
      </c>
      <c r="N11" s="11">
        <v>293</v>
      </c>
      <c r="O11" s="17">
        <v>459</v>
      </c>
      <c r="P11" s="34">
        <v>456</v>
      </c>
      <c r="Q11"/>
      <c r="R11" s="16"/>
      <c r="S11" s="16"/>
    </row>
    <row r="12" spans="1:19" ht="13.2">
      <c r="A12" s="19" t="s">
        <v>119</v>
      </c>
      <c r="B12" s="16" t="s">
        <v>185</v>
      </c>
      <c r="C12" s="13"/>
      <c r="D12" s="12"/>
      <c r="E12" s="12"/>
      <c r="F12" s="12"/>
      <c r="G12" s="12"/>
      <c r="H12" s="12"/>
      <c r="I12" s="12"/>
      <c r="J12" s="12"/>
      <c r="K12" s="12">
        <v>451</v>
      </c>
      <c r="L12" s="11">
        <v>500</v>
      </c>
      <c r="M12" s="11">
        <v>526</v>
      </c>
      <c r="N12" s="11">
        <v>530</v>
      </c>
      <c r="O12" s="17">
        <v>529</v>
      </c>
      <c r="P12" s="34">
        <v>530</v>
      </c>
      <c r="Q12"/>
      <c r="R12" s="16"/>
      <c r="S12" s="16"/>
    </row>
    <row r="13" spans="1:19" ht="13.2">
      <c r="A13" s="19"/>
      <c r="B13" s="21" t="s">
        <v>49</v>
      </c>
      <c r="C13" s="13">
        <v>37</v>
      </c>
      <c r="D13" s="12">
        <v>42</v>
      </c>
      <c r="E13" s="12">
        <v>39</v>
      </c>
      <c r="F13" s="12">
        <v>38</v>
      </c>
      <c r="G13" s="12">
        <v>39</v>
      </c>
      <c r="H13" s="12">
        <v>37</v>
      </c>
      <c r="I13" s="12">
        <v>29</v>
      </c>
      <c r="J13" s="12">
        <v>33</v>
      </c>
      <c r="K13" s="12">
        <v>28</v>
      </c>
      <c r="L13" s="11">
        <v>35</v>
      </c>
      <c r="M13" s="9"/>
      <c r="N13" s="11"/>
      <c r="O13" s="17"/>
      <c r="P13" s="34"/>
      <c r="Q13"/>
      <c r="R13" s="16"/>
      <c r="S13" s="16"/>
    </row>
    <row r="14" spans="1:19" ht="13.2">
      <c r="A14" s="19" t="s">
        <v>82</v>
      </c>
      <c r="B14" s="16" t="s">
        <v>50</v>
      </c>
      <c r="C14" s="13"/>
      <c r="D14" s="12"/>
      <c r="E14" s="12"/>
      <c r="F14" s="12"/>
      <c r="G14" s="12"/>
      <c r="H14" s="12"/>
      <c r="I14" s="12"/>
      <c r="J14" s="12">
        <v>638</v>
      </c>
      <c r="K14" s="12">
        <v>637</v>
      </c>
      <c r="L14" s="11">
        <v>658</v>
      </c>
      <c r="M14" s="11">
        <v>661</v>
      </c>
      <c r="N14" s="11">
        <v>668</v>
      </c>
      <c r="O14" s="17">
        <v>669</v>
      </c>
      <c r="P14" s="34">
        <v>675</v>
      </c>
      <c r="Q14"/>
      <c r="R14" s="16"/>
      <c r="S14" s="16"/>
    </row>
    <row r="15" spans="1:19" ht="13.2">
      <c r="A15" s="19">
        <v>87</v>
      </c>
      <c r="B15" s="16" t="s">
        <v>51</v>
      </c>
      <c r="C15" s="13"/>
      <c r="D15" s="12">
        <v>60</v>
      </c>
      <c r="E15" s="12">
        <v>104</v>
      </c>
      <c r="F15" s="12">
        <v>144</v>
      </c>
      <c r="G15" s="12">
        <v>163</v>
      </c>
      <c r="H15" s="12">
        <v>183</v>
      </c>
      <c r="I15" s="12">
        <v>161</v>
      </c>
      <c r="J15" s="12">
        <v>145</v>
      </c>
      <c r="K15" s="12">
        <v>149</v>
      </c>
      <c r="L15" s="11">
        <v>185</v>
      </c>
      <c r="M15" s="11">
        <v>193</v>
      </c>
      <c r="N15" s="11">
        <v>185</v>
      </c>
      <c r="O15" s="17">
        <v>207</v>
      </c>
      <c r="P15" s="34">
        <v>218</v>
      </c>
      <c r="Q15"/>
      <c r="R15" s="16"/>
      <c r="S15" s="16"/>
    </row>
    <row r="16" spans="1:19" ht="13.2">
      <c r="A16" s="19" t="s">
        <v>125</v>
      </c>
      <c r="B16" s="16" t="s">
        <v>189</v>
      </c>
      <c r="C16" s="13"/>
      <c r="D16" s="12"/>
      <c r="E16" s="12"/>
      <c r="F16" s="12"/>
      <c r="G16" s="12"/>
      <c r="H16" s="12">
        <v>233</v>
      </c>
      <c r="I16" s="12">
        <v>263</v>
      </c>
      <c r="J16" s="12">
        <v>325</v>
      </c>
      <c r="K16" s="12">
        <v>281</v>
      </c>
      <c r="L16" s="11">
        <v>296</v>
      </c>
      <c r="M16" s="11">
        <v>447</v>
      </c>
      <c r="N16" s="11">
        <v>378</v>
      </c>
      <c r="O16" s="17">
        <v>935</v>
      </c>
      <c r="P16" s="34">
        <v>1094</v>
      </c>
      <c r="Q16"/>
      <c r="R16" s="16"/>
      <c r="S16" s="16"/>
    </row>
    <row r="17" spans="1:19" ht="13.2">
      <c r="A17" s="19"/>
      <c r="B17" s="21" t="s">
        <v>52</v>
      </c>
      <c r="C17" s="13"/>
      <c r="D17" s="12"/>
      <c r="E17" s="12"/>
      <c r="F17" s="12"/>
      <c r="G17" s="12">
        <v>31</v>
      </c>
      <c r="H17" s="12">
        <v>43</v>
      </c>
      <c r="I17" s="12"/>
      <c r="J17" s="12"/>
      <c r="K17" s="12"/>
      <c r="L17" s="11"/>
      <c r="M17" s="9"/>
      <c r="N17" s="11"/>
      <c r="O17" s="17"/>
      <c r="P17" s="34"/>
      <c r="Q17"/>
      <c r="R17" s="16"/>
      <c r="S17" s="16"/>
    </row>
    <row r="18" spans="1:19" ht="13.2">
      <c r="A18" s="19" t="s">
        <v>95</v>
      </c>
      <c r="B18" s="16" t="s">
        <v>165</v>
      </c>
      <c r="C18" s="13"/>
      <c r="D18" s="12"/>
      <c r="E18" s="12"/>
      <c r="F18" s="12"/>
      <c r="G18" s="12"/>
      <c r="H18" s="12"/>
      <c r="I18" s="12"/>
      <c r="J18" s="12"/>
      <c r="K18" s="12">
        <v>346</v>
      </c>
      <c r="L18" s="11">
        <v>352</v>
      </c>
      <c r="M18" s="11">
        <v>430</v>
      </c>
      <c r="N18" s="11">
        <v>451</v>
      </c>
      <c r="O18" s="17">
        <v>442</v>
      </c>
      <c r="P18" s="34">
        <v>425</v>
      </c>
      <c r="Q18"/>
      <c r="R18" s="16"/>
      <c r="S18" s="16"/>
    </row>
    <row r="19" spans="1:19" ht="13.2">
      <c r="A19" s="19" t="s">
        <v>106</v>
      </c>
      <c r="B19" s="16" t="s">
        <v>171</v>
      </c>
      <c r="C19" s="13"/>
      <c r="D19" s="12"/>
      <c r="E19" s="12"/>
      <c r="F19" s="12"/>
      <c r="G19" s="12"/>
      <c r="H19" s="12"/>
      <c r="I19" s="12"/>
      <c r="J19" s="12"/>
      <c r="K19" s="12"/>
      <c r="M19" s="11">
        <v>678</v>
      </c>
      <c r="N19" s="11">
        <v>751</v>
      </c>
      <c r="O19" s="17">
        <v>751</v>
      </c>
      <c r="P19" s="34">
        <v>750</v>
      </c>
      <c r="Q19"/>
      <c r="R19" s="16"/>
      <c r="S19" s="16"/>
    </row>
    <row r="20" spans="1:19" ht="13.2">
      <c r="A20" s="19" t="s">
        <v>130</v>
      </c>
      <c r="B20" s="16" t="s">
        <v>194</v>
      </c>
      <c r="C20" s="13"/>
      <c r="D20" s="12"/>
      <c r="E20" s="12"/>
      <c r="F20" s="12"/>
      <c r="G20" s="12"/>
      <c r="H20" s="12">
        <v>152</v>
      </c>
      <c r="I20" s="12">
        <v>317</v>
      </c>
      <c r="J20" s="12">
        <v>374</v>
      </c>
      <c r="K20" s="12">
        <v>314</v>
      </c>
      <c r="L20" s="11">
        <v>293</v>
      </c>
      <c r="M20" s="11">
        <v>289</v>
      </c>
      <c r="N20" s="11">
        <v>317</v>
      </c>
      <c r="O20" s="17">
        <v>313</v>
      </c>
      <c r="P20" s="34">
        <v>325</v>
      </c>
      <c r="Q20"/>
      <c r="R20" s="16"/>
      <c r="S20" s="16"/>
    </row>
    <row r="21" spans="1:19" ht="13.2">
      <c r="A21" s="19" t="s">
        <v>101</v>
      </c>
      <c r="B21" s="16" t="s">
        <v>102</v>
      </c>
      <c r="C21" s="13"/>
      <c r="D21" s="12"/>
      <c r="E21" s="12"/>
      <c r="F21" s="12"/>
      <c r="G21" s="12"/>
      <c r="H21" s="12"/>
      <c r="I21" s="12"/>
      <c r="J21" s="12"/>
      <c r="K21" s="12">
        <v>300</v>
      </c>
      <c r="L21" s="11">
        <v>300</v>
      </c>
      <c r="M21" s="11">
        <v>300</v>
      </c>
      <c r="N21" s="11">
        <v>302</v>
      </c>
      <c r="O21" s="17">
        <v>296</v>
      </c>
      <c r="P21" s="34">
        <v>304</v>
      </c>
      <c r="Q21"/>
      <c r="R21" s="16"/>
      <c r="S21" s="16"/>
    </row>
    <row r="22" spans="1:19" ht="13.2">
      <c r="A22" s="19" t="s">
        <v>161</v>
      </c>
      <c r="B22" s="16" t="s">
        <v>162</v>
      </c>
      <c r="C22" s="13"/>
      <c r="D22" s="12"/>
      <c r="E22" s="12"/>
      <c r="F22" s="12"/>
      <c r="G22" s="12"/>
      <c r="H22" s="12"/>
      <c r="I22" s="12"/>
      <c r="J22" s="12"/>
      <c r="K22" s="12"/>
      <c r="L22" s="11"/>
      <c r="M22" s="11"/>
      <c r="N22" s="11"/>
      <c r="O22" s="17">
        <v>299</v>
      </c>
      <c r="P22" s="34">
        <v>579</v>
      </c>
      <c r="Q22"/>
      <c r="R22" s="16"/>
      <c r="S22" s="16"/>
    </row>
    <row r="23" spans="1:19" ht="13.2">
      <c r="A23" s="19" t="s">
        <v>87</v>
      </c>
      <c r="B23" s="16" t="s">
        <v>157</v>
      </c>
      <c r="C23" s="13"/>
      <c r="D23" s="12"/>
      <c r="E23" s="12"/>
      <c r="F23" s="12"/>
      <c r="G23" s="12"/>
      <c r="H23" s="12"/>
      <c r="I23" s="12"/>
      <c r="J23" s="12">
        <v>424</v>
      </c>
      <c r="K23" s="12">
        <v>480</v>
      </c>
      <c r="L23" s="11">
        <v>502</v>
      </c>
      <c r="M23" s="11">
        <v>510</v>
      </c>
      <c r="N23" s="11">
        <v>514</v>
      </c>
      <c r="O23" s="17">
        <v>523</v>
      </c>
      <c r="P23" s="34">
        <v>1012</v>
      </c>
      <c r="Q23"/>
      <c r="R23" s="16"/>
      <c r="S23" s="16"/>
    </row>
    <row r="24" spans="1:19" ht="13.2">
      <c r="A24" s="19" t="s">
        <v>111</v>
      </c>
      <c r="B24" s="16" t="s">
        <v>177</v>
      </c>
      <c r="C24" s="13"/>
      <c r="D24" s="12"/>
      <c r="E24" s="12"/>
      <c r="F24" s="12"/>
      <c r="G24" s="12"/>
      <c r="H24" s="12"/>
      <c r="I24" s="12"/>
      <c r="J24" s="12"/>
      <c r="K24" s="12"/>
      <c r="M24" s="11">
        <v>645</v>
      </c>
      <c r="N24" s="11">
        <v>658</v>
      </c>
      <c r="O24" s="17">
        <v>679</v>
      </c>
      <c r="P24" s="34">
        <v>678</v>
      </c>
      <c r="Q24"/>
      <c r="R24" s="16"/>
      <c r="S24" s="16"/>
    </row>
    <row r="25" spans="1:19" ht="13.2">
      <c r="A25" s="19">
        <v>98</v>
      </c>
      <c r="B25" s="16" t="s">
        <v>72</v>
      </c>
      <c r="C25" s="13"/>
      <c r="D25" s="12"/>
      <c r="E25" s="12"/>
      <c r="F25" s="12"/>
      <c r="G25" s="12">
        <v>55</v>
      </c>
      <c r="H25" s="12">
        <v>206</v>
      </c>
      <c r="I25" s="12">
        <v>218</v>
      </c>
      <c r="J25" s="12">
        <v>202</v>
      </c>
      <c r="K25" s="12">
        <v>206</v>
      </c>
      <c r="L25" s="11">
        <v>215</v>
      </c>
      <c r="M25" s="11">
        <v>214</v>
      </c>
      <c r="N25" s="11">
        <v>213</v>
      </c>
      <c r="O25" s="17">
        <v>220</v>
      </c>
      <c r="P25" s="34">
        <v>229</v>
      </c>
      <c r="Q25"/>
      <c r="R25" s="16"/>
      <c r="S25" s="16"/>
    </row>
    <row r="26" spans="1:19" ht="13.2">
      <c r="A26" s="19">
        <v>82</v>
      </c>
      <c r="B26" s="16" t="s">
        <v>53</v>
      </c>
      <c r="C26" s="13"/>
      <c r="D26" s="12"/>
      <c r="E26" s="12"/>
      <c r="F26" s="12"/>
      <c r="G26" s="12">
        <v>332</v>
      </c>
      <c r="H26" s="12">
        <v>400</v>
      </c>
      <c r="I26" s="12">
        <v>413</v>
      </c>
      <c r="J26" s="12">
        <v>441</v>
      </c>
      <c r="K26" s="12">
        <v>648</v>
      </c>
      <c r="L26" s="11">
        <v>659</v>
      </c>
      <c r="M26" s="11">
        <v>672</v>
      </c>
      <c r="N26" s="11">
        <v>673</v>
      </c>
      <c r="O26" s="17">
        <v>697</v>
      </c>
      <c r="P26" s="34">
        <v>768</v>
      </c>
      <c r="Q26"/>
      <c r="R26" s="16"/>
      <c r="S26" s="16"/>
    </row>
    <row r="27" spans="1:19" ht="13.2">
      <c r="A27" s="19" t="s">
        <v>110</v>
      </c>
      <c r="B27" s="16" t="s">
        <v>176</v>
      </c>
      <c r="C27" s="14"/>
      <c r="D27" s="10"/>
      <c r="E27" s="10"/>
      <c r="F27" s="10"/>
      <c r="G27" s="10"/>
      <c r="H27" s="10"/>
      <c r="I27" s="10"/>
      <c r="J27" s="10"/>
      <c r="K27" s="10"/>
      <c r="L27" s="11">
        <v>556</v>
      </c>
      <c r="M27" s="11">
        <v>545</v>
      </c>
      <c r="N27" s="11">
        <v>506</v>
      </c>
      <c r="O27" s="17">
        <v>652</v>
      </c>
      <c r="P27" s="34">
        <v>674</v>
      </c>
      <c r="Q27"/>
      <c r="R27" s="16"/>
      <c r="S27" s="16"/>
    </row>
    <row r="28" spans="1:19" ht="13.2">
      <c r="A28" s="19" t="s">
        <v>100</v>
      </c>
      <c r="B28" s="16" t="s">
        <v>168</v>
      </c>
      <c r="C28" s="13"/>
      <c r="D28" s="12"/>
      <c r="E28" s="12"/>
      <c r="F28" s="12"/>
      <c r="G28" s="12"/>
      <c r="H28" s="12"/>
      <c r="I28" s="12"/>
      <c r="J28" s="12">
        <v>414</v>
      </c>
      <c r="K28" s="12">
        <v>464</v>
      </c>
      <c r="L28" s="11">
        <v>500</v>
      </c>
      <c r="M28" s="11">
        <v>502</v>
      </c>
      <c r="N28" s="11">
        <v>721</v>
      </c>
      <c r="O28" s="17">
        <v>921</v>
      </c>
      <c r="P28" s="34">
        <v>985</v>
      </c>
      <c r="Q28"/>
      <c r="R28" s="16"/>
      <c r="S28" s="16"/>
    </row>
    <row r="29" spans="1:19" ht="13.2">
      <c r="A29" s="19" t="s">
        <v>139</v>
      </c>
      <c r="B29" s="16" t="s">
        <v>135</v>
      </c>
      <c r="C29" s="13"/>
      <c r="D29" s="12"/>
      <c r="E29" s="12"/>
      <c r="F29" s="12"/>
      <c r="G29" s="12"/>
      <c r="H29" s="12"/>
      <c r="I29" s="12"/>
      <c r="J29" s="12"/>
      <c r="K29" s="12"/>
      <c r="L29" s="11"/>
      <c r="M29" s="11"/>
      <c r="N29" s="11">
        <v>304</v>
      </c>
      <c r="O29" s="17">
        <v>413</v>
      </c>
      <c r="P29" s="34">
        <v>447</v>
      </c>
      <c r="Q29"/>
      <c r="R29" s="16"/>
      <c r="S29" s="16"/>
    </row>
    <row r="30" spans="1:19" ht="13.2">
      <c r="A30" s="19" t="s">
        <v>76</v>
      </c>
      <c r="B30" s="16" t="s">
        <v>149</v>
      </c>
      <c r="C30" s="13"/>
      <c r="D30" s="12"/>
      <c r="E30" s="12"/>
      <c r="F30" s="12"/>
      <c r="G30" s="12"/>
      <c r="H30" s="12"/>
      <c r="I30" s="12"/>
      <c r="J30" s="12"/>
      <c r="K30" s="12">
        <v>93</v>
      </c>
      <c r="L30" s="11">
        <v>97</v>
      </c>
      <c r="M30" s="11">
        <v>100</v>
      </c>
      <c r="N30" s="11">
        <v>121</v>
      </c>
      <c r="O30" s="17">
        <v>126</v>
      </c>
      <c r="P30" s="34">
        <v>127</v>
      </c>
      <c r="Q30"/>
      <c r="R30" s="16"/>
      <c r="S30" s="16"/>
    </row>
    <row r="31" spans="1:19" ht="13.2">
      <c r="A31" s="19" t="s">
        <v>116</v>
      </c>
      <c r="B31" s="16" t="s">
        <v>182</v>
      </c>
      <c r="C31" s="13"/>
      <c r="D31" s="12"/>
      <c r="E31" s="12"/>
      <c r="F31" s="12"/>
      <c r="G31" s="12"/>
      <c r="H31" s="12"/>
      <c r="I31" s="12"/>
      <c r="J31" s="12"/>
      <c r="K31" s="12"/>
      <c r="L31" s="11"/>
      <c r="M31" s="11">
        <v>701</v>
      </c>
      <c r="N31" s="11">
        <v>786</v>
      </c>
      <c r="O31" s="17">
        <v>813</v>
      </c>
      <c r="P31" s="34">
        <v>813</v>
      </c>
      <c r="Q31"/>
      <c r="R31" s="16"/>
      <c r="S31" s="16"/>
    </row>
    <row r="32" spans="1:19" ht="13.2">
      <c r="A32" s="31" t="s">
        <v>204</v>
      </c>
      <c r="B32" s="32" t="s">
        <v>209</v>
      </c>
      <c r="C32" s="13"/>
      <c r="D32" s="12"/>
      <c r="E32" s="12"/>
      <c r="F32" s="12"/>
      <c r="G32" s="12"/>
      <c r="H32" s="12"/>
      <c r="I32" s="12"/>
      <c r="J32" s="12"/>
      <c r="K32" s="12"/>
      <c r="L32" s="11"/>
      <c r="M32" s="11"/>
      <c r="N32" s="11"/>
      <c r="O32" s="17"/>
      <c r="P32" s="34">
        <v>567</v>
      </c>
      <c r="Q32"/>
      <c r="R32" s="16"/>
      <c r="S32" s="16"/>
    </row>
    <row r="33" spans="1:19" ht="13.2">
      <c r="A33" s="19" t="s">
        <v>80</v>
      </c>
      <c r="B33" s="16" t="s">
        <v>81</v>
      </c>
      <c r="C33" s="13"/>
      <c r="D33" s="12"/>
      <c r="E33" s="12"/>
      <c r="F33" s="12"/>
      <c r="G33" s="12"/>
      <c r="H33" s="12"/>
      <c r="I33" s="12"/>
      <c r="J33" s="12">
        <v>119</v>
      </c>
      <c r="K33" s="12">
        <v>131</v>
      </c>
      <c r="L33" s="11">
        <v>157</v>
      </c>
      <c r="M33" s="11">
        <v>170</v>
      </c>
      <c r="N33" s="11">
        <v>141</v>
      </c>
      <c r="O33" s="17">
        <v>161</v>
      </c>
      <c r="P33" s="34">
        <v>155</v>
      </c>
      <c r="Q33"/>
      <c r="R33" s="16"/>
      <c r="S33" s="16"/>
    </row>
    <row r="34" spans="1:19" ht="13.2">
      <c r="A34" s="19" t="s">
        <v>127</v>
      </c>
      <c r="B34" s="16" t="s">
        <v>191</v>
      </c>
      <c r="C34" s="13"/>
      <c r="D34" s="12"/>
      <c r="E34" s="12"/>
      <c r="F34" s="12"/>
      <c r="G34" s="12"/>
      <c r="H34" s="12">
        <v>80</v>
      </c>
      <c r="I34" s="12">
        <v>124</v>
      </c>
      <c r="J34" s="12">
        <v>141</v>
      </c>
      <c r="K34" s="12">
        <v>203</v>
      </c>
      <c r="L34" s="11">
        <v>215</v>
      </c>
      <c r="M34" s="11">
        <v>215</v>
      </c>
      <c r="N34" s="11">
        <v>245</v>
      </c>
      <c r="O34" s="17">
        <v>254</v>
      </c>
      <c r="P34" s="34">
        <v>238</v>
      </c>
      <c r="Q34"/>
      <c r="R34" s="16"/>
      <c r="S34" s="16"/>
    </row>
    <row r="35" spans="1:19" ht="13.2">
      <c r="A35" s="19"/>
      <c r="B35" s="21" t="s">
        <v>54</v>
      </c>
      <c r="C35" s="13">
        <v>17</v>
      </c>
      <c r="D35" s="12">
        <v>20</v>
      </c>
      <c r="E35" s="12">
        <v>23</v>
      </c>
      <c r="F35" s="12">
        <v>30</v>
      </c>
      <c r="G35" s="12">
        <v>36</v>
      </c>
      <c r="H35" s="12">
        <v>50</v>
      </c>
      <c r="I35" s="12"/>
      <c r="J35" s="12"/>
      <c r="K35" s="12"/>
      <c r="L35" s="11"/>
      <c r="M35" s="9"/>
      <c r="N35" s="11"/>
      <c r="O35" s="17"/>
      <c r="P35" s="34"/>
      <c r="Q35"/>
      <c r="R35" s="16"/>
      <c r="S35" s="16"/>
    </row>
    <row r="36" spans="1:19" ht="13.2">
      <c r="A36" s="19">
        <v>93</v>
      </c>
      <c r="B36" s="16" t="s">
        <v>145</v>
      </c>
      <c r="C36" s="13"/>
      <c r="D36" s="12"/>
      <c r="E36" s="12"/>
      <c r="F36" s="12">
        <v>160</v>
      </c>
      <c r="G36" s="12">
        <v>184</v>
      </c>
      <c r="H36" s="12">
        <v>184</v>
      </c>
      <c r="I36" s="12">
        <v>183</v>
      </c>
      <c r="J36" s="12">
        <v>182</v>
      </c>
      <c r="K36" s="12">
        <v>180</v>
      </c>
      <c r="L36" s="11">
        <v>182</v>
      </c>
      <c r="M36" s="11">
        <v>181</v>
      </c>
      <c r="N36" s="11">
        <v>185</v>
      </c>
      <c r="O36" s="17">
        <v>188</v>
      </c>
      <c r="P36" s="34">
        <v>184</v>
      </c>
      <c r="Q36"/>
      <c r="R36" s="16"/>
      <c r="S36" s="16"/>
    </row>
    <row r="37" spans="1:19" ht="13.2">
      <c r="A37" s="19" t="s">
        <v>83</v>
      </c>
      <c r="B37" s="16" t="s">
        <v>153</v>
      </c>
      <c r="C37" s="13"/>
      <c r="D37" s="12"/>
      <c r="E37" s="12"/>
      <c r="F37" s="12"/>
      <c r="G37" s="12"/>
      <c r="H37" s="12"/>
      <c r="I37" s="12"/>
      <c r="J37" s="12"/>
      <c r="K37" s="12">
        <v>161</v>
      </c>
      <c r="L37" s="11">
        <v>223</v>
      </c>
      <c r="M37" s="11">
        <v>280</v>
      </c>
      <c r="N37" s="11">
        <v>603</v>
      </c>
      <c r="O37" s="17">
        <v>626</v>
      </c>
      <c r="P37" s="34">
        <v>614</v>
      </c>
      <c r="Q37"/>
      <c r="R37" s="16"/>
      <c r="S37" s="16"/>
    </row>
    <row r="38" spans="1:19" ht="13.2">
      <c r="A38" s="19" t="s">
        <v>92</v>
      </c>
      <c r="B38" s="16" t="s">
        <v>93</v>
      </c>
      <c r="C38" s="13"/>
      <c r="D38" s="12"/>
      <c r="E38" s="12"/>
      <c r="F38" s="12"/>
      <c r="G38" s="12"/>
      <c r="H38" s="12"/>
      <c r="I38" s="12"/>
      <c r="J38" s="12">
        <v>576</v>
      </c>
      <c r="K38" s="12">
        <v>709</v>
      </c>
      <c r="L38" s="11">
        <v>629</v>
      </c>
      <c r="M38" s="11">
        <v>685</v>
      </c>
      <c r="N38" s="11">
        <v>711</v>
      </c>
      <c r="O38" s="17">
        <v>727</v>
      </c>
      <c r="P38" s="34">
        <v>841</v>
      </c>
      <c r="Q38"/>
      <c r="R38" s="16"/>
      <c r="S38" s="16"/>
    </row>
    <row r="39" spans="1:19" ht="13.2">
      <c r="A39" s="19" t="s">
        <v>99</v>
      </c>
      <c r="B39" s="16" t="s">
        <v>167</v>
      </c>
      <c r="C39" s="13"/>
      <c r="D39" s="12"/>
      <c r="E39" s="12"/>
      <c r="F39" s="12"/>
      <c r="G39" s="12"/>
      <c r="H39" s="12"/>
      <c r="I39" s="12"/>
      <c r="J39" s="12">
        <v>498</v>
      </c>
      <c r="K39" s="12">
        <v>499</v>
      </c>
      <c r="L39" s="11">
        <v>501</v>
      </c>
      <c r="M39" s="11">
        <v>753</v>
      </c>
      <c r="N39" s="11">
        <v>876</v>
      </c>
      <c r="O39" s="17">
        <v>993</v>
      </c>
      <c r="P39" s="34">
        <v>1092</v>
      </c>
      <c r="Q39"/>
      <c r="R39" s="16"/>
      <c r="S39" s="16"/>
    </row>
    <row r="40" spans="1:19" ht="13.2">
      <c r="A40" s="19" t="s">
        <v>104</v>
      </c>
      <c r="B40" s="16" t="s">
        <v>169</v>
      </c>
      <c r="C40" s="13"/>
      <c r="D40" s="12"/>
      <c r="E40" s="12"/>
      <c r="F40" s="12"/>
      <c r="G40" s="12"/>
      <c r="H40" s="12"/>
      <c r="I40" s="12"/>
      <c r="J40" s="12">
        <v>319</v>
      </c>
      <c r="K40" s="12">
        <v>292</v>
      </c>
      <c r="L40" s="11">
        <v>453</v>
      </c>
      <c r="M40" s="11">
        <v>576</v>
      </c>
      <c r="N40" s="11">
        <v>686</v>
      </c>
      <c r="O40" s="17">
        <v>460</v>
      </c>
      <c r="P40" s="34">
        <v>423</v>
      </c>
      <c r="Q40"/>
      <c r="R40" s="16"/>
      <c r="S40" s="16"/>
    </row>
    <row r="41" spans="1:19" ht="13.2">
      <c r="A41" s="19" t="s">
        <v>79</v>
      </c>
      <c r="B41" s="16" t="s">
        <v>152</v>
      </c>
      <c r="C41" s="13"/>
      <c r="D41" s="12"/>
      <c r="E41" s="12"/>
      <c r="F41" s="12"/>
      <c r="G41" s="12"/>
      <c r="H41" s="12"/>
      <c r="I41" s="12">
        <v>492</v>
      </c>
      <c r="J41" s="12">
        <v>545</v>
      </c>
      <c r="K41" s="12">
        <v>542</v>
      </c>
      <c r="L41" s="11">
        <v>546</v>
      </c>
      <c r="M41" s="11">
        <v>595</v>
      </c>
      <c r="N41" s="11">
        <v>643</v>
      </c>
      <c r="O41" s="17">
        <v>643</v>
      </c>
      <c r="P41" s="34">
        <v>645</v>
      </c>
      <c r="Q41"/>
      <c r="R41" s="16"/>
      <c r="S41" s="16"/>
    </row>
    <row r="42" spans="1:19" ht="13.2">
      <c r="A42" s="19" t="s">
        <v>140</v>
      </c>
      <c r="B42" s="16" t="s">
        <v>136</v>
      </c>
      <c r="C42" s="13"/>
      <c r="D42" s="12"/>
      <c r="E42" s="12"/>
      <c r="F42" s="12"/>
      <c r="G42" s="12"/>
      <c r="H42" s="12"/>
      <c r="I42" s="12"/>
      <c r="J42" s="12"/>
      <c r="K42" s="12"/>
      <c r="L42" s="11"/>
      <c r="M42" s="11"/>
      <c r="N42" s="11">
        <v>455</v>
      </c>
      <c r="O42" s="17">
        <v>490</v>
      </c>
      <c r="P42" s="34">
        <v>491</v>
      </c>
      <c r="Q42"/>
      <c r="R42" s="16"/>
      <c r="S42" s="16"/>
    </row>
    <row r="43" spans="1:19" ht="13.2">
      <c r="A43" s="19" t="s">
        <v>115</v>
      </c>
      <c r="B43" s="16" t="s">
        <v>181</v>
      </c>
      <c r="C43" s="14"/>
      <c r="D43" s="10"/>
      <c r="E43" s="10"/>
      <c r="F43" s="10"/>
      <c r="G43" s="10"/>
      <c r="H43" s="10"/>
      <c r="I43" s="10"/>
      <c r="J43" s="10"/>
      <c r="K43" s="10"/>
      <c r="L43" s="11">
        <v>182</v>
      </c>
      <c r="M43" s="11">
        <v>285</v>
      </c>
      <c r="N43" s="11">
        <v>400</v>
      </c>
      <c r="O43" s="17">
        <v>601</v>
      </c>
      <c r="P43" s="34">
        <v>597</v>
      </c>
      <c r="Q43"/>
      <c r="R43" s="16"/>
      <c r="S43" s="16"/>
    </row>
    <row r="44" spans="1:19" ht="13.2">
      <c r="A44" s="19" t="s">
        <v>129</v>
      </c>
      <c r="B44" s="16" t="s">
        <v>193</v>
      </c>
      <c r="C44" s="13"/>
      <c r="D44" s="12"/>
      <c r="E44" s="12"/>
      <c r="F44" s="12"/>
      <c r="G44" s="12"/>
      <c r="H44" s="12">
        <v>78</v>
      </c>
      <c r="I44" s="12">
        <v>32</v>
      </c>
      <c r="J44" s="12">
        <v>35</v>
      </c>
      <c r="K44" s="12">
        <v>39</v>
      </c>
      <c r="L44" s="11">
        <v>49</v>
      </c>
      <c r="M44" s="11">
        <v>54</v>
      </c>
      <c r="N44" s="11">
        <v>70</v>
      </c>
      <c r="O44" s="17">
        <v>78</v>
      </c>
      <c r="P44" s="34">
        <v>105</v>
      </c>
      <c r="Q44"/>
      <c r="R44" s="16"/>
      <c r="S44" s="16"/>
    </row>
    <row r="45" spans="1:19" ht="13.2">
      <c r="A45" s="19" t="s">
        <v>108</v>
      </c>
      <c r="B45" s="16" t="s">
        <v>174</v>
      </c>
      <c r="C45" s="13"/>
      <c r="D45" s="12"/>
      <c r="E45" s="12"/>
      <c r="F45" s="12"/>
      <c r="G45" s="12"/>
      <c r="H45" s="12"/>
      <c r="I45" s="12"/>
      <c r="J45" s="12">
        <v>669</v>
      </c>
      <c r="K45" s="12">
        <v>749</v>
      </c>
      <c r="L45" s="11">
        <v>759</v>
      </c>
      <c r="M45" s="11">
        <v>751</v>
      </c>
      <c r="N45" s="11">
        <v>756</v>
      </c>
      <c r="O45" s="17">
        <v>741</v>
      </c>
      <c r="P45" s="34">
        <v>751</v>
      </c>
      <c r="Q45"/>
      <c r="R45" s="16"/>
      <c r="S45" s="16"/>
    </row>
    <row r="46" spans="1:19" ht="13.2">
      <c r="A46" s="19" t="s">
        <v>113</v>
      </c>
      <c r="B46" s="16" t="s">
        <v>180</v>
      </c>
      <c r="C46" s="13"/>
      <c r="D46" s="12"/>
      <c r="E46" s="12"/>
      <c r="F46" s="12"/>
      <c r="G46" s="12"/>
      <c r="H46" s="12"/>
      <c r="I46" s="12"/>
      <c r="J46" s="12">
        <v>619</v>
      </c>
      <c r="K46" s="12">
        <v>676</v>
      </c>
      <c r="L46" s="11">
        <v>660</v>
      </c>
      <c r="M46" s="11">
        <v>650</v>
      </c>
      <c r="N46" s="11">
        <v>681</v>
      </c>
      <c r="O46" s="17">
        <v>747</v>
      </c>
      <c r="P46" s="34">
        <v>749</v>
      </c>
      <c r="Q46"/>
      <c r="R46" s="16"/>
      <c r="S46" s="16"/>
    </row>
    <row r="47" spans="1:19" ht="13.2">
      <c r="A47" s="19" t="s">
        <v>117</v>
      </c>
      <c r="B47" s="16" t="s">
        <v>183</v>
      </c>
      <c r="C47" s="13"/>
      <c r="D47" s="12"/>
      <c r="E47" s="12"/>
      <c r="F47" s="12"/>
      <c r="G47" s="12"/>
      <c r="H47" s="12"/>
      <c r="I47" s="12">
        <v>471</v>
      </c>
      <c r="J47" s="12">
        <v>492</v>
      </c>
      <c r="K47" s="12">
        <v>501</v>
      </c>
      <c r="L47" s="11">
        <v>500</v>
      </c>
      <c r="M47" s="11">
        <v>500</v>
      </c>
      <c r="N47" s="11">
        <v>527</v>
      </c>
      <c r="O47" s="17">
        <v>533</v>
      </c>
      <c r="P47" s="34">
        <v>525</v>
      </c>
      <c r="Q47"/>
      <c r="R47" s="16"/>
      <c r="S47" s="16"/>
    </row>
    <row r="48" spans="1:19" ht="13.2">
      <c r="A48" s="19" t="s">
        <v>105</v>
      </c>
      <c r="B48" s="16" t="s">
        <v>170</v>
      </c>
      <c r="C48" s="13"/>
      <c r="D48" s="12"/>
      <c r="E48" s="12"/>
      <c r="F48" s="12"/>
      <c r="G48" s="12"/>
      <c r="H48" s="12"/>
      <c r="I48" s="12"/>
      <c r="J48" s="12">
        <v>501</v>
      </c>
      <c r="K48" s="12">
        <v>500</v>
      </c>
      <c r="L48" s="11">
        <v>479</v>
      </c>
      <c r="M48" s="11">
        <v>530</v>
      </c>
      <c r="N48" s="11">
        <v>550</v>
      </c>
      <c r="O48" s="17">
        <v>586</v>
      </c>
      <c r="P48" s="34">
        <v>598</v>
      </c>
      <c r="Q48"/>
      <c r="R48" s="16"/>
      <c r="S48" s="16"/>
    </row>
    <row r="49" spans="1:19" ht="13.2">
      <c r="A49" s="19" t="s">
        <v>128</v>
      </c>
      <c r="B49" s="16" t="s">
        <v>192</v>
      </c>
      <c r="C49" s="13"/>
      <c r="D49" s="12"/>
      <c r="E49" s="12"/>
      <c r="F49" s="12"/>
      <c r="G49" s="12"/>
      <c r="H49" s="12">
        <v>476</v>
      </c>
      <c r="I49" s="12">
        <v>501</v>
      </c>
      <c r="J49" s="12">
        <v>510</v>
      </c>
      <c r="K49" s="12">
        <v>513</v>
      </c>
      <c r="L49" s="11">
        <v>934</v>
      </c>
      <c r="M49" s="11">
        <v>968</v>
      </c>
      <c r="N49" s="11">
        <v>982</v>
      </c>
      <c r="O49" s="17">
        <v>1009</v>
      </c>
      <c r="P49" s="34">
        <v>1018</v>
      </c>
      <c r="Q49"/>
      <c r="R49" s="16"/>
      <c r="S49" s="16"/>
    </row>
    <row r="50" spans="1:19" ht="13.2">
      <c r="A50" s="19" t="s">
        <v>98</v>
      </c>
      <c r="B50" s="16" t="s">
        <v>166</v>
      </c>
      <c r="C50" s="13"/>
      <c r="D50" s="12"/>
      <c r="E50" s="12"/>
      <c r="F50" s="12"/>
      <c r="G50" s="12"/>
      <c r="H50" s="12"/>
      <c r="I50" s="12">
        <v>450</v>
      </c>
      <c r="J50" s="12">
        <v>500</v>
      </c>
      <c r="K50" s="12">
        <v>502</v>
      </c>
      <c r="L50" s="11">
        <v>500</v>
      </c>
      <c r="M50" s="11">
        <v>501</v>
      </c>
      <c r="N50" s="11">
        <v>508</v>
      </c>
      <c r="O50" s="17">
        <v>510</v>
      </c>
      <c r="P50" s="34">
        <v>510</v>
      </c>
      <c r="Q50"/>
      <c r="R50" s="16"/>
      <c r="S50" s="16"/>
    </row>
    <row r="51" spans="1:19" ht="13.2">
      <c r="A51" s="19" t="s">
        <v>123</v>
      </c>
      <c r="B51" s="16" t="s">
        <v>198</v>
      </c>
      <c r="C51" s="13"/>
      <c r="D51" s="12"/>
      <c r="E51" s="12"/>
      <c r="F51" s="12"/>
      <c r="G51" s="12"/>
      <c r="H51" s="12">
        <v>262</v>
      </c>
      <c r="I51" s="12">
        <v>377</v>
      </c>
      <c r="J51" s="12">
        <v>485</v>
      </c>
      <c r="K51" s="12">
        <v>328</v>
      </c>
      <c r="L51" s="11">
        <v>322</v>
      </c>
      <c r="M51" s="11">
        <v>378</v>
      </c>
      <c r="N51" s="11">
        <v>400</v>
      </c>
      <c r="O51" s="17">
        <v>448</v>
      </c>
      <c r="P51" s="34">
        <v>502</v>
      </c>
      <c r="Q51"/>
      <c r="R51" s="16"/>
      <c r="S51" s="16"/>
    </row>
    <row r="52" spans="1:19" ht="13.2">
      <c r="A52" s="19" t="s">
        <v>74</v>
      </c>
      <c r="B52" s="16" t="s">
        <v>147</v>
      </c>
      <c r="C52" s="13"/>
      <c r="D52" s="12"/>
      <c r="E52" s="12"/>
      <c r="F52" s="12"/>
      <c r="G52" s="12"/>
      <c r="H52" s="12"/>
      <c r="I52" s="12">
        <v>372</v>
      </c>
      <c r="J52" s="12">
        <v>440</v>
      </c>
      <c r="K52" s="12">
        <v>440</v>
      </c>
      <c r="L52" s="11">
        <v>476</v>
      </c>
      <c r="M52" s="11">
        <v>451</v>
      </c>
      <c r="N52" s="11">
        <v>491</v>
      </c>
      <c r="O52" s="17">
        <v>506</v>
      </c>
      <c r="P52" s="34">
        <v>537</v>
      </c>
      <c r="Q52"/>
      <c r="R52" s="16"/>
      <c r="S52" s="16"/>
    </row>
    <row r="53" spans="1:19" ht="13.2">
      <c r="A53" s="19">
        <v>68</v>
      </c>
      <c r="B53" s="16" t="s">
        <v>67</v>
      </c>
      <c r="C53" s="13"/>
      <c r="D53" s="12"/>
      <c r="E53" s="12"/>
      <c r="F53" s="12"/>
      <c r="G53" s="12">
        <v>213</v>
      </c>
      <c r="H53" s="12">
        <v>278</v>
      </c>
      <c r="I53" s="12">
        <v>533</v>
      </c>
      <c r="J53" s="12">
        <v>564</v>
      </c>
      <c r="K53" s="12">
        <v>565</v>
      </c>
      <c r="L53" s="11">
        <v>580</v>
      </c>
      <c r="M53" s="11">
        <v>630</v>
      </c>
      <c r="N53" s="11">
        <v>1067</v>
      </c>
      <c r="O53" s="17">
        <v>1042</v>
      </c>
      <c r="P53" s="34">
        <v>1025</v>
      </c>
      <c r="Q53"/>
      <c r="R53" s="16"/>
      <c r="S53" s="16"/>
    </row>
    <row r="54" spans="1:19" ht="13.2">
      <c r="A54" s="19" t="s">
        <v>114</v>
      </c>
      <c r="B54" s="16" t="s">
        <v>55</v>
      </c>
      <c r="C54" s="13"/>
      <c r="D54" s="12"/>
      <c r="E54" s="12"/>
      <c r="F54" s="12"/>
      <c r="G54" s="12"/>
      <c r="H54" s="12"/>
      <c r="I54" s="12"/>
      <c r="J54" s="12"/>
      <c r="K54" s="12">
        <v>309</v>
      </c>
      <c r="L54" s="11">
        <v>363</v>
      </c>
      <c r="M54" s="11">
        <v>377</v>
      </c>
      <c r="N54" s="11">
        <v>399</v>
      </c>
      <c r="O54" s="17">
        <v>384</v>
      </c>
      <c r="P54" s="34">
        <v>380</v>
      </c>
      <c r="Q54"/>
      <c r="R54" s="16"/>
      <c r="S54" s="16"/>
    </row>
    <row r="55" spans="1:19" ht="13.2">
      <c r="A55" s="19" t="s">
        <v>121</v>
      </c>
      <c r="B55" s="16" t="s">
        <v>122</v>
      </c>
      <c r="C55" s="13"/>
      <c r="D55" s="12"/>
      <c r="E55" s="12"/>
      <c r="F55" s="12"/>
      <c r="G55" s="12"/>
      <c r="H55" s="12"/>
      <c r="I55" s="12"/>
      <c r="J55" s="12"/>
      <c r="K55" s="12"/>
      <c r="L55" s="11"/>
      <c r="M55" s="11">
        <v>127</v>
      </c>
      <c r="N55" s="11">
        <v>227</v>
      </c>
      <c r="O55" s="17">
        <v>328</v>
      </c>
      <c r="P55" s="34">
        <v>334</v>
      </c>
      <c r="Q55"/>
      <c r="R55" s="16"/>
      <c r="S55" s="16"/>
    </row>
    <row r="56" spans="1:19" ht="13.2">
      <c r="A56" s="19" t="s">
        <v>78</v>
      </c>
      <c r="B56" s="16" t="s">
        <v>151</v>
      </c>
      <c r="C56" s="13"/>
      <c r="D56" s="12"/>
      <c r="E56" s="12"/>
      <c r="F56" s="12"/>
      <c r="G56" s="12"/>
      <c r="H56" s="12"/>
      <c r="I56" s="12"/>
      <c r="J56" s="12"/>
      <c r="K56" s="12"/>
      <c r="L56" s="11"/>
      <c r="M56" s="11">
        <v>600</v>
      </c>
      <c r="N56" s="11">
        <v>716</v>
      </c>
      <c r="O56" s="17">
        <v>711</v>
      </c>
      <c r="P56" s="34">
        <v>783</v>
      </c>
      <c r="Q56"/>
      <c r="R56" s="16"/>
      <c r="S56" s="16"/>
    </row>
    <row r="57" spans="1:19" ht="13.2">
      <c r="A57" s="31" t="s">
        <v>206</v>
      </c>
      <c r="B57" s="32" t="s">
        <v>215</v>
      </c>
      <c r="C57" s="13"/>
      <c r="D57" s="12"/>
      <c r="E57" s="12"/>
      <c r="F57" s="12"/>
      <c r="G57" s="12"/>
      <c r="H57" s="12"/>
      <c r="I57" s="12"/>
      <c r="J57" s="12"/>
      <c r="K57" s="12"/>
      <c r="L57" s="11"/>
      <c r="M57" s="11"/>
      <c r="N57" s="11"/>
      <c r="O57" s="17"/>
      <c r="P57" s="34">
        <v>451</v>
      </c>
      <c r="Q57"/>
      <c r="R57" s="16"/>
      <c r="S57" s="16"/>
    </row>
    <row r="58" spans="1:19" ht="13.2">
      <c r="A58" s="19" t="s">
        <v>118</v>
      </c>
      <c r="B58" s="16" t="s">
        <v>184</v>
      </c>
      <c r="C58" s="13"/>
      <c r="D58" s="12"/>
      <c r="E58" s="12"/>
      <c r="F58" s="12"/>
      <c r="G58" s="12"/>
      <c r="H58" s="12"/>
      <c r="I58" s="12"/>
      <c r="J58" s="12">
        <v>202</v>
      </c>
      <c r="K58" s="12">
        <v>219</v>
      </c>
      <c r="L58" s="11">
        <v>377</v>
      </c>
      <c r="M58" s="11">
        <v>529</v>
      </c>
      <c r="N58" s="11">
        <v>530</v>
      </c>
      <c r="O58" s="17">
        <v>561</v>
      </c>
      <c r="P58" s="34">
        <v>523</v>
      </c>
      <c r="Q58"/>
      <c r="R58" s="16"/>
      <c r="S58" s="16"/>
    </row>
    <row r="59" spans="1:19" ht="13.2">
      <c r="A59" s="19"/>
      <c r="B59" s="21" t="s">
        <v>56</v>
      </c>
      <c r="C59" s="13"/>
      <c r="D59" s="12"/>
      <c r="E59" s="12">
        <v>36</v>
      </c>
      <c r="F59" s="12">
        <v>35</v>
      </c>
      <c r="G59" s="12">
        <v>48</v>
      </c>
      <c r="H59" s="12">
        <v>46</v>
      </c>
      <c r="I59" s="12"/>
      <c r="J59" s="12"/>
      <c r="K59" s="12"/>
      <c r="L59" s="11"/>
      <c r="M59" s="9"/>
      <c r="N59" s="11"/>
      <c r="O59" s="17"/>
      <c r="P59" s="34"/>
      <c r="Q59"/>
      <c r="R59" s="16"/>
      <c r="S59" s="16"/>
    </row>
    <row r="60" spans="1:19" ht="13.2">
      <c r="A60" s="19">
        <v>86</v>
      </c>
      <c r="B60" s="16" t="s">
        <v>70</v>
      </c>
      <c r="C60" s="13">
        <v>151</v>
      </c>
      <c r="D60" s="12">
        <v>185</v>
      </c>
      <c r="E60" s="12">
        <v>171</v>
      </c>
      <c r="F60" s="12">
        <v>255</v>
      </c>
      <c r="G60" s="12">
        <v>320</v>
      </c>
      <c r="H60" s="12">
        <v>310</v>
      </c>
      <c r="I60" s="12">
        <v>364</v>
      </c>
      <c r="J60" s="12">
        <v>402</v>
      </c>
      <c r="K60" s="12">
        <v>422</v>
      </c>
      <c r="L60" s="11">
        <v>500</v>
      </c>
      <c r="M60" s="11">
        <v>487</v>
      </c>
      <c r="N60" s="11">
        <v>503</v>
      </c>
      <c r="O60" s="17">
        <v>520</v>
      </c>
      <c r="P60" s="34">
        <v>526</v>
      </c>
      <c r="Q60"/>
      <c r="R60" s="16"/>
      <c r="S60" s="16"/>
    </row>
    <row r="61" spans="1:19" ht="13.2">
      <c r="A61" s="31" t="s">
        <v>207</v>
      </c>
      <c r="B61" s="32" t="s">
        <v>210</v>
      </c>
      <c r="C61" s="13"/>
      <c r="D61" s="12"/>
      <c r="E61" s="12"/>
      <c r="F61" s="12"/>
      <c r="G61" s="12"/>
      <c r="H61" s="12"/>
      <c r="I61" s="12"/>
      <c r="J61" s="12"/>
      <c r="K61" s="12"/>
      <c r="L61" s="11"/>
      <c r="M61" s="11"/>
      <c r="N61" s="11"/>
      <c r="O61" s="17"/>
      <c r="P61" s="34">
        <v>208</v>
      </c>
      <c r="Q61"/>
      <c r="R61" s="16"/>
      <c r="S61" s="16"/>
    </row>
    <row r="62" spans="1:19" ht="13.2">
      <c r="A62" s="31" t="s">
        <v>205</v>
      </c>
      <c r="B62" s="32" t="s">
        <v>211</v>
      </c>
      <c r="C62" s="13"/>
      <c r="D62" s="12"/>
      <c r="E62" s="12"/>
      <c r="F62" s="12"/>
      <c r="G62" s="12"/>
      <c r="H62" s="12"/>
      <c r="I62" s="12"/>
      <c r="J62" s="12"/>
      <c r="K62" s="12"/>
      <c r="L62" s="11"/>
      <c r="M62" s="11"/>
      <c r="N62" s="11"/>
      <c r="O62" s="17"/>
      <c r="P62" s="34">
        <v>452</v>
      </c>
      <c r="Q62"/>
      <c r="R62" s="16"/>
      <c r="S62" s="16"/>
    </row>
    <row r="63" spans="1:19" ht="13.2">
      <c r="A63" s="19" t="s">
        <v>120</v>
      </c>
      <c r="B63" s="16" t="s">
        <v>57</v>
      </c>
      <c r="C63" s="14"/>
      <c r="D63" s="10"/>
      <c r="E63" s="10"/>
      <c r="F63" s="10"/>
      <c r="G63" s="10"/>
      <c r="H63" s="10"/>
      <c r="I63" s="10"/>
      <c r="J63" s="10"/>
      <c r="K63" s="10"/>
      <c r="L63" s="11">
        <v>700</v>
      </c>
      <c r="M63" s="11">
        <v>703</v>
      </c>
      <c r="N63" s="11">
        <v>700</v>
      </c>
      <c r="O63" s="17">
        <v>1416</v>
      </c>
      <c r="P63" s="34">
        <v>1465</v>
      </c>
      <c r="Q63"/>
      <c r="R63" s="16"/>
      <c r="S63" s="16"/>
    </row>
    <row r="64" spans="1:19" ht="13.2">
      <c r="A64" s="19" t="s">
        <v>141</v>
      </c>
      <c r="B64" s="16" t="s">
        <v>137</v>
      </c>
      <c r="C64" s="14"/>
      <c r="D64" s="10"/>
      <c r="E64" s="10"/>
      <c r="F64" s="10"/>
      <c r="G64" s="10"/>
      <c r="H64" s="10"/>
      <c r="I64" s="10"/>
      <c r="J64" s="10"/>
      <c r="K64" s="10"/>
      <c r="L64" s="11"/>
      <c r="M64" s="11"/>
      <c r="N64" s="11">
        <v>555</v>
      </c>
      <c r="O64" s="17">
        <v>538</v>
      </c>
      <c r="P64" s="34">
        <v>339</v>
      </c>
      <c r="Q64"/>
      <c r="R64" s="16"/>
      <c r="S64" s="16"/>
    </row>
    <row r="65" spans="1:19" ht="13.2">
      <c r="A65" s="19" t="s">
        <v>77</v>
      </c>
      <c r="B65" s="16" t="s">
        <v>150</v>
      </c>
      <c r="C65" s="14"/>
      <c r="D65" s="10"/>
      <c r="E65" s="10"/>
      <c r="F65" s="10"/>
      <c r="G65" s="10"/>
      <c r="H65" s="10"/>
      <c r="I65" s="10"/>
      <c r="J65" s="10"/>
      <c r="K65" s="10"/>
      <c r="L65" s="11">
        <v>506</v>
      </c>
      <c r="M65" s="11">
        <v>506</v>
      </c>
      <c r="N65" s="11">
        <v>679</v>
      </c>
      <c r="O65" s="17">
        <v>753</v>
      </c>
      <c r="P65" s="34">
        <v>902</v>
      </c>
      <c r="Q65"/>
      <c r="R65" s="16"/>
      <c r="S65" s="16"/>
    </row>
    <row r="66" spans="1:19" ht="13.2">
      <c r="A66" s="19" t="s">
        <v>124</v>
      </c>
      <c r="B66" s="16" t="s">
        <v>188</v>
      </c>
      <c r="C66" s="13"/>
      <c r="D66" s="12"/>
      <c r="E66" s="12"/>
      <c r="F66" s="12"/>
      <c r="G66" s="12"/>
      <c r="H66" s="12">
        <v>340</v>
      </c>
      <c r="I66" s="12">
        <v>364</v>
      </c>
      <c r="J66" s="12">
        <v>375</v>
      </c>
      <c r="K66" s="12">
        <v>390</v>
      </c>
      <c r="L66" s="11">
        <v>350</v>
      </c>
      <c r="M66" s="11">
        <v>350</v>
      </c>
      <c r="N66" s="11">
        <v>351</v>
      </c>
      <c r="O66" s="17">
        <v>362</v>
      </c>
      <c r="P66" s="34">
        <v>364</v>
      </c>
      <c r="Q66"/>
      <c r="R66" s="16"/>
      <c r="S66" s="16"/>
    </row>
    <row r="67" spans="1:19" ht="13.2">
      <c r="A67" s="19" t="s">
        <v>107</v>
      </c>
      <c r="B67" s="16" t="s">
        <v>173</v>
      </c>
      <c r="C67" s="13"/>
      <c r="D67" s="12"/>
      <c r="E67" s="12"/>
      <c r="F67" s="12"/>
      <c r="G67" s="12"/>
      <c r="H67" s="12"/>
      <c r="I67" s="12">
        <v>598</v>
      </c>
      <c r="J67" s="12">
        <v>615</v>
      </c>
      <c r="K67" s="12">
        <v>675</v>
      </c>
      <c r="L67" s="11">
        <v>673</v>
      </c>
      <c r="M67" s="11">
        <v>677</v>
      </c>
      <c r="N67" s="11">
        <v>675</v>
      </c>
      <c r="O67" s="17">
        <v>675</v>
      </c>
      <c r="P67" s="34">
        <v>675</v>
      </c>
      <c r="Q67"/>
      <c r="R67" s="16"/>
      <c r="S67" s="16"/>
    </row>
    <row r="68" spans="1:19" ht="13.2">
      <c r="A68" s="19" t="s">
        <v>75</v>
      </c>
      <c r="B68" s="16" t="s">
        <v>148</v>
      </c>
      <c r="C68" s="13"/>
      <c r="D68" s="12"/>
      <c r="E68" s="12"/>
      <c r="F68" s="12"/>
      <c r="G68" s="12"/>
      <c r="H68" s="12"/>
      <c r="I68" s="12"/>
      <c r="J68" s="12">
        <v>609</v>
      </c>
      <c r="K68" s="12">
        <v>613</v>
      </c>
      <c r="L68" s="11">
        <v>634</v>
      </c>
      <c r="M68" s="11">
        <v>667</v>
      </c>
      <c r="N68" s="11">
        <v>677</v>
      </c>
      <c r="O68" s="17">
        <v>679</v>
      </c>
      <c r="P68" s="34">
        <v>678</v>
      </c>
      <c r="Q68"/>
      <c r="R68" s="16"/>
      <c r="S68" s="16"/>
    </row>
    <row r="69" spans="1:19" ht="13.2">
      <c r="A69" s="19" t="s">
        <v>84</v>
      </c>
      <c r="B69" s="16" t="s">
        <v>154</v>
      </c>
      <c r="C69" s="14"/>
      <c r="D69" s="10"/>
      <c r="E69" s="10"/>
      <c r="F69" s="10"/>
      <c r="G69" s="10"/>
      <c r="H69" s="10"/>
      <c r="I69" s="10"/>
      <c r="J69" s="10"/>
      <c r="K69" s="10"/>
      <c r="L69" s="11">
        <v>589</v>
      </c>
      <c r="M69" s="11">
        <v>389</v>
      </c>
      <c r="N69" s="11">
        <v>476</v>
      </c>
      <c r="O69" s="17">
        <v>594</v>
      </c>
      <c r="P69" s="34">
        <v>698</v>
      </c>
      <c r="Q69"/>
      <c r="R69" s="16"/>
      <c r="S69" s="16"/>
    </row>
    <row r="70" spans="1:19" ht="13.2">
      <c r="A70" s="19">
        <v>97</v>
      </c>
      <c r="B70" s="16" t="s">
        <v>146</v>
      </c>
      <c r="C70" s="13"/>
      <c r="D70" s="12"/>
      <c r="E70" s="12"/>
      <c r="F70" s="12"/>
      <c r="G70" s="12">
        <v>117</v>
      </c>
      <c r="H70" s="12">
        <v>215</v>
      </c>
      <c r="I70" s="12">
        <v>240</v>
      </c>
      <c r="J70" s="12">
        <v>245</v>
      </c>
      <c r="K70" s="12">
        <v>245</v>
      </c>
      <c r="L70" s="11">
        <v>245</v>
      </c>
      <c r="M70" s="11">
        <v>271</v>
      </c>
      <c r="N70" s="11">
        <v>301</v>
      </c>
      <c r="O70" s="17">
        <v>300</v>
      </c>
      <c r="P70" s="34">
        <v>300</v>
      </c>
      <c r="Q70"/>
      <c r="R70" s="16"/>
      <c r="S70" s="16"/>
    </row>
    <row r="71" spans="1:19" ht="13.2">
      <c r="A71" s="19" t="s">
        <v>96</v>
      </c>
      <c r="B71" s="16" t="s">
        <v>97</v>
      </c>
      <c r="C71" s="13"/>
      <c r="D71" s="12"/>
      <c r="E71" s="12"/>
      <c r="F71" s="12"/>
      <c r="G71" s="12"/>
      <c r="H71" s="12"/>
      <c r="I71" s="12"/>
      <c r="J71" s="12"/>
      <c r="K71" s="12"/>
      <c r="L71" s="11">
        <v>177</v>
      </c>
      <c r="M71" s="11">
        <v>221</v>
      </c>
      <c r="N71" s="11">
        <v>290</v>
      </c>
      <c r="O71" s="17">
        <v>335</v>
      </c>
      <c r="P71" s="34">
        <v>348</v>
      </c>
      <c r="Q71"/>
      <c r="R71" s="16"/>
      <c r="S71" s="16"/>
    </row>
    <row r="72" spans="1:19" ht="13.2">
      <c r="A72" s="19" t="s">
        <v>109</v>
      </c>
      <c r="B72" s="16" t="s">
        <v>175</v>
      </c>
      <c r="C72" s="13"/>
      <c r="D72" s="12"/>
      <c r="E72" s="12"/>
      <c r="F72" s="12"/>
      <c r="G72" s="12"/>
      <c r="H72" s="12"/>
      <c r="I72" s="12"/>
      <c r="J72" s="12">
        <v>80</v>
      </c>
      <c r="K72" s="12">
        <v>109</v>
      </c>
      <c r="L72" s="11">
        <v>145</v>
      </c>
      <c r="M72" s="11">
        <v>148</v>
      </c>
      <c r="N72" s="11">
        <v>185</v>
      </c>
      <c r="O72" s="17">
        <v>220</v>
      </c>
      <c r="P72" s="34">
        <v>236</v>
      </c>
      <c r="Q72"/>
      <c r="R72" s="16"/>
      <c r="S72" s="16"/>
    </row>
    <row r="73" spans="1:19" ht="13.2">
      <c r="A73" s="19">
        <v>89</v>
      </c>
      <c r="B73" s="16" t="s">
        <v>144</v>
      </c>
      <c r="C73" s="13">
        <v>18</v>
      </c>
      <c r="D73" s="12">
        <v>21</v>
      </c>
      <c r="E73" s="12">
        <v>30</v>
      </c>
      <c r="F73" s="12">
        <v>28</v>
      </c>
      <c r="G73" s="12">
        <v>66</v>
      </c>
      <c r="H73" s="12">
        <v>70</v>
      </c>
      <c r="I73" s="12">
        <v>76</v>
      </c>
      <c r="J73" s="12">
        <v>143</v>
      </c>
      <c r="K73" s="12">
        <v>143</v>
      </c>
      <c r="L73" s="11">
        <v>144</v>
      </c>
      <c r="M73" s="11">
        <v>207</v>
      </c>
      <c r="N73" s="11">
        <v>222</v>
      </c>
      <c r="O73" s="17">
        <v>246</v>
      </c>
      <c r="P73" s="34">
        <v>289</v>
      </c>
      <c r="Q73"/>
      <c r="R73" s="16"/>
      <c r="S73" s="16"/>
    </row>
    <row r="74" spans="1:19" ht="13.2">
      <c r="A74" s="19" t="s">
        <v>88</v>
      </c>
      <c r="B74" s="16" t="s">
        <v>158</v>
      </c>
      <c r="C74" s="13"/>
      <c r="D74" s="12"/>
      <c r="E74" s="12"/>
      <c r="F74" s="12"/>
      <c r="G74" s="12"/>
      <c r="H74" s="12"/>
      <c r="I74" s="12"/>
      <c r="J74" s="12">
        <v>190</v>
      </c>
      <c r="K74" s="12">
        <v>143</v>
      </c>
      <c r="L74" s="11">
        <v>148</v>
      </c>
      <c r="M74" s="11">
        <v>147</v>
      </c>
      <c r="N74" s="11">
        <v>333</v>
      </c>
      <c r="O74" s="17">
        <v>404</v>
      </c>
      <c r="P74" s="34">
        <v>488</v>
      </c>
      <c r="Q74"/>
      <c r="R74" s="16"/>
      <c r="S74" s="16"/>
    </row>
    <row r="75" spans="1:19" ht="13.2">
      <c r="A75" s="19" t="s">
        <v>131</v>
      </c>
      <c r="B75" s="16" t="s">
        <v>132</v>
      </c>
      <c r="C75" s="13"/>
      <c r="D75" s="12"/>
      <c r="E75" s="12"/>
      <c r="F75" s="12"/>
      <c r="G75" s="12"/>
      <c r="H75" s="12"/>
      <c r="I75" s="12">
        <v>105</v>
      </c>
      <c r="J75" s="12">
        <v>194</v>
      </c>
      <c r="K75" s="12">
        <v>268</v>
      </c>
      <c r="L75" s="11">
        <v>344</v>
      </c>
      <c r="M75" s="11">
        <v>346</v>
      </c>
      <c r="N75" s="11">
        <v>337</v>
      </c>
      <c r="O75" s="6">
        <v>347</v>
      </c>
      <c r="P75" s="34">
        <v>370</v>
      </c>
      <c r="Q75"/>
      <c r="R75" s="16"/>
      <c r="S75" s="16"/>
    </row>
    <row r="76" spans="1:19" ht="13.2">
      <c r="A76" s="19">
        <v>88</v>
      </c>
      <c r="B76" s="20" t="s">
        <v>58</v>
      </c>
      <c r="C76" s="13"/>
      <c r="D76" s="12">
        <v>56</v>
      </c>
      <c r="E76" s="12">
        <v>53</v>
      </c>
      <c r="F76" s="12">
        <v>60</v>
      </c>
      <c r="G76" s="12">
        <v>68</v>
      </c>
      <c r="H76" s="12">
        <v>89</v>
      </c>
      <c r="I76" s="12">
        <v>84</v>
      </c>
      <c r="J76" s="12">
        <v>46</v>
      </c>
      <c r="K76" s="12">
        <v>49</v>
      </c>
      <c r="L76" s="11">
        <v>49</v>
      </c>
      <c r="M76" s="11">
        <v>46</v>
      </c>
      <c r="N76" s="11">
        <v>41</v>
      </c>
      <c r="P76" s="34"/>
      <c r="Q76"/>
      <c r="R76" s="16"/>
      <c r="S76" s="16"/>
    </row>
    <row r="77" spans="1:19" ht="13.2">
      <c r="A77" s="19" t="s">
        <v>126</v>
      </c>
      <c r="B77" s="16" t="s">
        <v>190</v>
      </c>
      <c r="C77" s="13"/>
      <c r="D77" s="12"/>
      <c r="E77" s="12"/>
      <c r="F77" s="12"/>
      <c r="G77" s="12"/>
      <c r="H77" s="12">
        <v>533</v>
      </c>
      <c r="I77" s="12">
        <v>536</v>
      </c>
      <c r="J77" s="12">
        <v>562</v>
      </c>
      <c r="K77" s="12">
        <v>855</v>
      </c>
      <c r="L77" s="11">
        <v>975</v>
      </c>
      <c r="M77" s="11">
        <v>1000</v>
      </c>
      <c r="N77" s="11">
        <v>1000</v>
      </c>
      <c r="O77" s="17">
        <v>1003</v>
      </c>
      <c r="P77" s="34">
        <v>1001</v>
      </c>
      <c r="Q77"/>
      <c r="R77" s="16"/>
      <c r="S77" s="16"/>
    </row>
    <row r="78" spans="1:19" ht="13.2">
      <c r="A78" s="19" t="s">
        <v>142</v>
      </c>
      <c r="B78" s="16" t="s">
        <v>178</v>
      </c>
      <c r="C78" s="13"/>
      <c r="D78" s="12"/>
      <c r="E78" s="12"/>
      <c r="F78" s="12"/>
      <c r="G78" s="12"/>
      <c r="H78" s="12"/>
      <c r="I78" s="12"/>
      <c r="J78" s="12"/>
      <c r="K78" s="12"/>
      <c r="L78" s="11"/>
      <c r="M78" s="11"/>
      <c r="N78" s="11">
        <v>172</v>
      </c>
      <c r="O78" s="17">
        <v>284</v>
      </c>
      <c r="P78" s="34">
        <v>615</v>
      </c>
      <c r="Q78"/>
      <c r="R78" s="16"/>
      <c r="S78" s="16"/>
    </row>
    <row r="79" spans="1:19" ht="13.2">
      <c r="A79" s="19" t="s">
        <v>94</v>
      </c>
      <c r="B79" s="16" t="s">
        <v>164</v>
      </c>
      <c r="C79" s="13"/>
      <c r="D79" s="12"/>
      <c r="E79" s="12"/>
      <c r="F79" s="12"/>
      <c r="G79" s="12"/>
      <c r="H79" s="12"/>
      <c r="I79" s="12"/>
      <c r="J79" s="12">
        <v>532</v>
      </c>
      <c r="K79" s="12">
        <v>529</v>
      </c>
      <c r="L79" s="11">
        <v>529</v>
      </c>
      <c r="M79" s="11">
        <v>926</v>
      </c>
      <c r="N79" s="11">
        <v>1019</v>
      </c>
      <c r="O79" s="17">
        <v>1021</v>
      </c>
      <c r="P79" s="34">
        <v>1024</v>
      </c>
      <c r="Q79"/>
      <c r="R79" s="16"/>
      <c r="S79" s="16"/>
    </row>
    <row r="80" spans="1:19" ht="13.2">
      <c r="A80" s="19"/>
      <c r="B80" s="21" t="s">
        <v>59</v>
      </c>
      <c r="C80" s="13"/>
      <c r="D80" s="12"/>
      <c r="E80" s="12"/>
      <c r="F80" s="12">
        <v>214</v>
      </c>
      <c r="G80" s="12">
        <v>272</v>
      </c>
      <c r="H80" s="12">
        <v>348</v>
      </c>
      <c r="I80" s="12">
        <v>365</v>
      </c>
      <c r="J80" s="12">
        <v>394</v>
      </c>
      <c r="K80" s="12">
        <v>405</v>
      </c>
      <c r="L80" s="11"/>
      <c r="M80" s="9"/>
      <c r="N80" s="11"/>
      <c r="O80" s="17"/>
      <c r="P80" s="34"/>
      <c r="Q80"/>
      <c r="R80" s="16"/>
      <c r="S80" s="16"/>
    </row>
    <row r="81" spans="1:20" ht="13.2">
      <c r="A81" s="19"/>
      <c r="B81" s="21" t="s">
        <v>60</v>
      </c>
      <c r="C81" s="13"/>
      <c r="D81" s="12"/>
      <c r="E81" s="12"/>
      <c r="F81" s="12"/>
      <c r="G81" s="12"/>
      <c r="H81" s="12"/>
      <c r="I81" s="12">
        <v>284</v>
      </c>
      <c r="J81" s="12">
        <v>446</v>
      </c>
      <c r="K81" s="12">
        <v>437</v>
      </c>
      <c r="L81" s="11"/>
      <c r="M81" s="9"/>
      <c r="N81" s="11"/>
      <c r="O81" s="17"/>
      <c r="P81" s="34"/>
      <c r="Q81"/>
      <c r="R81" s="16"/>
      <c r="S81" s="16"/>
    </row>
    <row r="82" spans="1:20" ht="13.2">
      <c r="A82" s="19">
        <v>94</v>
      </c>
      <c r="B82" s="16" t="s">
        <v>59</v>
      </c>
      <c r="C82" s="13"/>
      <c r="D82" s="12"/>
      <c r="E82" s="12"/>
      <c r="F82" s="12"/>
      <c r="G82" s="12"/>
      <c r="H82" s="12"/>
      <c r="I82" s="12"/>
      <c r="J82" s="12"/>
      <c r="K82" s="12"/>
      <c r="L82" s="11">
        <v>860</v>
      </c>
      <c r="M82" s="11">
        <v>1028</v>
      </c>
      <c r="N82" s="11">
        <v>1141</v>
      </c>
      <c r="O82" s="17">
        <v>1178</v>
      </c>
      <c r="P82" s="34">
        <v>1220</v>
      </c>
      <c r="Q82"/>
      <c r="R82" s="16"/>
      <c r="S82" s="16"/>
    </row>
    <row r="83" spans="1:20" ht="13.2">
      <c r="A83" s="19">
        <v>95</v>
      </c>
      <c r="B83" s="16" t="s">
        <v>61</v>
      </c>
      <c r="C83" s="13"/>
      <c r="D83" s="12"/>
      <c r="E83" s="12"/>
      <c r="F83" s="12">
        <v>349</v>
      </c>
      <c r="G83" s="12">
        <v>374</v>
      </c>
      <c r="H83" s="12">
        <v>403</v>
      </c>
      <c r="I83" s="12">
        <v>496</v>
      </c>
      <c r="J83" s="12">
        <v>473</v>
      </c>
      <c r="K83" s="12">
        <v>477</v>
      </c>
      <c r="L83" s="11">
        <v>494</v>
      </c>
      <c r="M83" s="11">
        <v>483</v>
      </c>
      <c r="N83" s="11">
        <v>421</v>
      </c>
      <c r="O83" s="17">
        <v>438</v>
      </c>
      <c r="P83" s="34">
        <v>447</v>
      </c>
      <c r="Q83"/>
      <c r="R83" s="16"/>
      <c r="S83" s="16"/>
    </row>
    <row r="84" spans="1:20" ht="13.2">
      <c r="A84" s="19">
        <v>90</v>
      </c>
      <c r="B84" s="16" t="s">
        <v>71</v>
      </c>
      <c r="C84" s="13">
        <v>126</v>
      </c>
      <c r="D84" s="12">
        <v>113</v>
      </c>
      <c r="E84" s="12">
        <v>140</v>
      </c>
      <c r="F84" s="12">
        <v>157</v>
      </c>
      <c r="G84" s="12">
        <v>171</v>
      </c>
      <c r="H84" s="12">
        <v>185</v>
      </c>
      <c r="I84" s="12">
        <v>207</v>
      </c>
      <c r="J84" s="12">
        <v>219</v>
      </c>
      <c r="K84" s="12">
        <v>249</v>
      </c>
      <c r="L84" s="11">
        <v>256</v>
      </c>
      <c r="M84" s="11">
        <v>254</v>
      </c>
      <c r="N84" s="11">
        <v>295</v>
      </c>
      <c r="O84" s="17">
        <v>333</v>
      </c>
      <c r="P84" s="34">
        <v>365</v>
      </c>
      <c r="Q84"/>
      <c r="R84" s="16"/>
      <c r="S84" s="16"/>
    </row>
    <row r="85" spans="1:20" ht="13.2">
      <c r="A85" s="19">
        <v>92</v>
      </c>
      <c r="B85" s="16" t="s">
        <v>62</v>
      </c>
      <c r="C85" s="13">
        <v>41</v>
      </c>
      <c r="D85" s="12">
        <v>40</v>
      </c>
      <c r="E85" s="12">
        <v>45</v>
      </c>
      <c r="F85" s="12">
        <v>56</v>
      </c>
      <c r="G85" s="12">
        <v>44</v>
      </c>
      <c r="H85" s="12">
        <v>52</v>
      </c>
      <c r="I85" s="12">
        <v>52</v>
      </c>
      <c r="J85" s="12">
        <v>58</v>
      </c>
      <c r="K85" s="12">
        <v>62</v>
      </c>
      <c r="L85" s="11">
        <v>44</v>
      </c>
      <c r="M85" s="11">
        <v>53</v>
      </c>
      <c r="N85" s="11">
        <v>45</v>
      </c>
      <c r="O85" s="17">
        <v>55</v>
      </c>
      <c r="P85" s="34">
        <v>65</v>
      </c>
      <c r="Q85"/>
      <c r="R85" s="16"/>
      <c r="S85" s="16"/>
    </row>
    <row r="86" spans="1:20" ht="13.2">
      <c r="A86" s="19" t="s">
        <v>156</v>
      </c>
      <c r="B86" s="16" t="s">
        <v>195</v>
      </c>
      <c r="C86" s="13"/>
      <c r="D86" s="12"/>
      <c r="E86" s="12"/>
      <c r="F86" s="12"/>
      <c r="G86" s="12"/>
      <c r="H86" s="12"/>
      <c r="I86" s="12"/>
      <c r="J86" s="12"/>
      <c r="K86" s="12"/>
      <c r="L86" s="11"/>
      <c r="M86" s="11"/>
      <c r="N86" s="11"/>
      <c r="O86" s="17">
        <v>279</v>
      </c>
      <c r="P86" s="34">
        <v>449</v>
      </c>
      <c r="Q86"/>
      <c r="R86" s="16"/>
      <c r="S86" s="16"/>
    </row>
    <row r="87" spans="1:20" ht="13.2">
      <c r="A87" s="19" t="s">
        <v>73</v>
      </c>
      <c r="B87" s="16" t="s">
        <v>199</v>
      </c>
      <c r="C87" s="13"/>
      <c r="D87" s="12"/>
      <c r="E87" s="12"/>
      <c r="F87" s="12"/>
      <c r="G87" s="12"/>
      <c r="H87" s="12"/>
      <c r="I87" s="12">
        <v>180</v>
      </c>
      <c r="J87" s="12">
        <v>309</v>
      </c>
      <c r="K87" s="12">
        <v>332</v>
      </c>
      <c r="L87" s="11">
        <v>341</v>
      </c>
      <c r="M87" s="11">
        <v>358</v>
      </c>
      <c r="N87" s="11">
        <v>363</v>
      </c>
      <c r="O87" s="17">
        <v>388</v>
      </c>
      <c r="P87" s="34">
        <v>397</v>
      </c>
      <c r="Q87"/>
      <c r="R87" s="16"/>
      <c r="S87" s="16"/>
    </row>
    <row r="88" spans="1:20" ht="13.2">
      <c r="A88" s="19" t="s">
        <v>103</v>
      </c>
      <c r="B88" s="16" t="s">
        <v>63</v>
      </c>
      <c r="C88" s="14"/>
      <c r="D88" s="10"/>
      <c r="E88" s="10"/>
      <c r="F88" s="10"/>
      <c r="G88" s="10"/>
      <c r="H88" s="10"/>
      <c r="I88" s="10"/>
      <c r="J88" s="10"/>
      <c r="K88" s="10"/>
      <c r="L88" s="11">
        <v>441</v>
      </c>
      <c r="M88" s="11">
        <v>1297</v>
      </c>
      <c r="N88" s="11">
        <v>2042</v>
      </c>
      <c r="O88" s="17">
        <v>2000</v>
      </c>
      <c r="P88" s="34">
        <v>2051</v>
      </c>
      <c r="Q88"/>
      <c r="R88" s="16"/>
      <c r="S88" s="16"/>
    </row>
    <row r="89" spans="1:20" s="9" customFormat="1" ht="13.2">
      <c r="A89" s="31" t="s">
        <v>85</v>
      </c>
      <c r="B89" s="32" t="s">
        <v>212</v>
      </c>
      <c r="C89" s="14"/>
      <c r="D89" s="10"/>
      <c r="E89" s="10"/>
      <c r="F89" s="10"/>
      <c r="G89" s="10"/>
      <c r="H89" s="10"/>
      <c r="I89" s="10"/>
      <c r="J89" s="10"/>
      <c r="K89" s="10"/>
      <c r="L89" s="11"/>
      <c r="M89" s="11"/>
      <c r="N89" s="11"/>
      <c r="O89" s="17"/>
      <c r="P89" s="34">
        <v>440</v>
      </c>
      <c r="Q89"/>
      <c r="R89" s="6"/>
      <c r="S89" s="6"/>
      <c r="T89" s="6"/>
    </row>
    <row r="90" spans="1:20" s="9" customFormat="1" ht="13.2">
      <c r="A90" s="19" t="s">
        <v>90</v>
      </c>
      <c r="B90" s="16" t="s">
        <v>160</v>
      </c>
      <c r="C90" s="14"/>
      <c r="D90" s="10"/>
      <c r="E90" s="10"/>
      <c r="F90" s="10"/>
      <c r="G90" s="10"/>
      <c r="H90" s="10"/>
      <c r="I90" s="10"/>
      <c r="J90" s="10"/>
      <c r="K90" s="10"/>
      <c r="L90" s="11">
        <v>425</v>
      </c>
      <c r="M90" s="11">
        <v>458</v>
      </c>
      <c r="N90" s="11">
        <v>472</v>
      </c>
      <c r="O90" s="17">
        <v>488</v>
      </c>
      <c r="P90" s="34">
        <v>598</v>
      </c>
      <c r="Q90"/>
      <c r="R90" s="16"/>
      <c r="S90" s="16"/>
      <c r="T90" s="6"/>
    </row>
    <row r="91" spans="1:20" ht="13.2">
      <c r="A91" s="19" t="s">
        <v>85</v>
      </c>
      <c r="B91" s="16" t="s">
        <v>155</v>
      </c>
      <c r="C91" s="14"/>
      <c r="D91" s="10"/>
      <c r="E91" s="10"/>
      <c r="F91" s="10"/>
      <c r="G91" s="10"/>
      <c r="H91" s="10"/>
      <c r="I91" s="10"/>
      <c r="J91" s="10"/>
      <c r="K91" s="10"/>
      <c r="L91" s="11"/>
      <c r="M91" s="11">
        <v>683</v>
      </c>
      <c r="N91" s="11">
        <v>823</v>
      </c>
      <c r="O91" s="17">
        <v>862</v>
      </c>
      <c r="P91" s="34">
        <v>843</v>
      </c>
      <c r="Q91"/>
      <c r="R91" s="16"/>
      <c r="S91" s="16"/>
    </row>
    <row r="92" spans="1:20" ht="13.2">
      <c r="A92" s="19">
        <v>81</v>
      </c>
      <c r="B92" s="16" t="s">
        <v>69</v>
      </c>
      <c r="C92" s="13"/>
      <c r="D92" s="12"/>
      <c r="E92" s="12"/>
      <c r="F92" s="12"/>
      <c r="G92" s="12"/>
      <c r="H92" s="12">
        <v>96</v>
      </c>
      <c r="I92" s="12">
        <v>90</v>
      </c>
      <c r="J92" s="12">
        <v>102</v>
      </c>
      <c r="K92" s="12">
        <v>263</v>
      </c>
      <c r="L92" s="11">
        <v>271</v>
      </c>
      <c r="M92" s="11">
        <v>265</v>
      </c>
      <c r="N92" s="11">
        <v>323</v>
      </c>
      <c r="O92" s="17">
        <v>338</v>
      </c>
      <c r="P92" s="34">
        <v>537</v>
      </c>
      <c r="Q92"/>
      <c r="R92" s="16"/>
      <c r="S92" s="16"/>
    </row>
    <row r="93" spans="1:20" ht="13.2">
      <c r="A93" s="19" t="s">
        <v>91</v>
      </c>
      <c r="B93" s="16" t="s">
        <v>163</v>
      </c>
      <c r="C93" s="13"/>
      <c r="D93" s="12"/>
      <c r="E93" s="12"/>
      <c r="F93" s="12"/>
      <c r="G93" s="12"/>
      <c r="H93" s="12"/>
      <c r="I93" s="12">
        <v>326</v>
      </c>
      <c r="J93" s="12">
        <v>333</v>
      </c>
      <c r="K93" s="12">
        <v>347</v>
      </c>
      <c r="L93" s="11">
        <v>362</v>
      </c>
      <c r="M93" s="11">
        <v>374</v>
      </c>
      <c r="N93" s="11">
        <v>375</v>
      </c>
      <c r="O93" s="17">
        <v>375</v>
      </c>
      <c r="P93" s="34">
        <v>375</v>
      </c>
      <c r="Q93"/>
      <c r="R93" s="16"/>
      <c r="S93" s="16"/>
    </row>
    <row r="94" spans="1:20" ht="13.2">
      <c r="A94" s="19" t="s">
        <v>143</v>
      </c>
      <c r="B94" s="16" t="s">
        <v>172</v>
      </c>
      <c r="C94" s="83"/>
      <c r="D94" s="84"/>
      <c r="E94" s="84"/>
      <c r="F94" s="84"/>
      <c r="G94" s="84"/>
      <c r="H94" s="84"/>
      <c r="I94" s="84"/>
      <c r="J94" s="84"/>
      <c r="K94" s="84"/>
      <c r="L94" s="85"/>
      <c r="M94" s="85"/>
      <c r="N94" s="85">
        <v>550</v>
      </c>
      <c r="O94" s="86">
        <v>535</v>
      </c>
      <c r="P94" s="87">
        <v>587</v>
      </c>
      <c r="Q94"/>
      <c r="R94" s="16"/>
      <c r="S94" s="16"/>
      <c r="T94" s="9"/>
    </row>
    <row r="95" spans="1:20" ht="13.2">
      <c r="A95" s="18"/>
      <c r="B95" s="22" t="s">
        <v>64</v>
      </c>
      <c r="C95" s="15">
        <f t="shared" ref="C95:O95" si="0">SUM(C4:C94)</f>
        <v>390</v>
      </c>
      <c r="D95" s="81">
        <f t="shared" si="0"/>
        <v>537</v>
      </c>
      <c r="E95" s="81">
        <f t="shared" si="0"/>
        <v>641</v>
      </c>
      <c r="F95" s="81">
        <f t="shared" si="0"/>
        <v>1526</v>
      </c>
      <c r="G95" s="81">
        <f t="shared" si="0"/>
        <v>3253</v>
      </c>
      <c r="H95" s="81">
        <f t="shared" si="0"/>
        <v>6237</v>
      </c>
      <c r="I95" s="81">
        <f t="shared" si="0"/>
        <v>11528</v>
      </c>
      <c r="J95" s="81">
        <f t="shared" si="0"/>
        <v>19222</v>
      </c>
      <c r="K95" s="81">
        <f t="shared" si="0"/>
        <v>22196</v>
      </c>
      <c r="L95" s="81">
        <f t="shared" si="0"/>
        <v>27369</v>
      </c>
      <c r="M95" s="81">
        <f t="shared" si="0"/>
        <v>34166</v>
      </c>
      <c r="N95" s="81">
        <f t="shared" si="0"/>
        <v>40121</v>
      </c>
      <c r="O95" s="81">
        <f t="shared" si="0"/>
        <v>44892</v>
      </c>
      <c r="P95" s="82">
        <v>50801</v>
      </c>
      <c r="Q95" s="17"/>
      <c r="R95" s="16"/>
      <c r="S95" s="16"/>
      <c r="T95" s="9"/>
    </row>
    <row r="96" spans="1:20" ht="13.2">
      <c r="A96" s="19"/>
      <c r="B96" s="20"/>
      <c r="Q96" s="17"/>
      <c r="R96" s="16"/>
      <c r="S96" s="16"/>
    </row>
    <row r="97" spans="1:19" ht="13.2">
      <c r="A97" s="19"/>
      <c r="B97" s="20"/>
      <c r="C97" s="10"/>
      <c r="D97" s="10"/>
      <c r="E97" s="10"/>
      <c r="F97" s="10"/>
      <c r="G97" s="10"/>
      <c r="H97" s="10"/>
      <c r="I97" s="10"/>
      <c r="J97" s="10"/>
      <c r="K97" s="10"/>
      <c r="L97" s="9"/>
      <c r="M97" s="9"/>
      <c r="N97" s="9"/>
      <c r="O97" s="9"/>
      <c r="Q97" s="17"/>
      <c r="R97" s="16"/>
      <c r="S97" s="16"/>
    </row>
    <row r="98" spans="1:19" ht="13.2">
      <c r="A98" s="19"/>
      <c r="B98" s="20"/>
      <c r="C98" s="10"/>
      <c r="D98" s="10"/>
      <c r="E98" s="10"/>
      <c r="F98" s="10"/>
      <c r="G98" s="10"/>
      <c r="H98" s="10"/>
      <c r="I98" s="10"/>
      <c r="J98" s="10"/>
      <c r="K98" s="10"/>
      <c r="L98" s="9"/>
      <c r="M98" s="9"/>
      <c r="N98" s="9"/>
      <c r="O98" s="9"/>
      <c r="Q98" s="17"/>
      <c r="R98" s="16"/>
      <c r="S98" s="16"/>
    </row>
    <row r="99" spans="1:19" ht="13.2">
      <c r="A99" s="19"/>
      <c r="B99" s="20"/>
      <c r="Q99" s="17"/>
      <c r="R99" s="16"/>
      <c r="S99" s="16"/>
    </row>
    <row r="100" spans="1:19" ht="13.2">
      <c r="A100" s="19"/>
      <c r="B100" s="20"/>
      <c r="Q100" s="17"/>
      <c r="R100" s="16"/>
      <c r="S100" s="16"/>
    </row>
    <row r="101" spans="1:19" ht="13.2">
      <c r="A101" s="19"/>
      <c r="B101" s="20"/>
      <c r="Q101" s="17"/>
      <c r="R101" s="16"/>
      <c r="S101" s="16"/>
    </row>
    <row r="102" spans="1:19" ht="13.2">
      <c r="A102" s="19"/>
      <c r="B102" s="20"/>
      <c r="Q102" s="17"/>
      <c r="R102" s="16"/>
      <c r="S102" s="16"/>
    </row>
    <row r="103" spans="1:19" ht="13.2">
      <c r="A103" s="19"/>
      <c r="B103" s="20"/>
      <c r="Q103" s="17"/>
      <c r="R103" s="16"/>
      <c r="S103" s="16"/>
    </row>
    <row r="104" spans="1:19" ht="13.2">
      <c r="A104" s="19"/>
      <c r="B104" s="20"/>
      <c r="Q104" s="17"/>
      <c r="R104" s="16"/>
      <c r="S104" s="16"/>
    </row>
    <row r="105" spans="1:19" ht="13.2">
      <c r="A105" s="19"/>
      <c r="B105" s="20"/>
      <c r="Q105" s="17"/>
      <c r="R105" s="16"/>
      <c r="S105" s="16"/>
    </row>
    <row r="106" spans="1:19" ht="13.2">
      <c r="A106" s="19"/>
      <c r="B106" s="20"/>
      <c r="Q106" s="17"/>
      <c r="R106" s="16"/>
      <c r="S106" s="16"/>
    </row>
    <row r="107" spans="1:19" ht="13.2">
      <c r="A107" s="19"/>
      <c r="B107" s="20"/>
      <c r="Q107" s="17"/>
      <c r="R107" s="16"/>
      <c r="S107" s="16"/>
    </row>
    <row r="108" spans="1:19" ht="13.2">
      <c r="A108" s="19"/>
      <c r="B108" s="20"/>
      <c r="Q108" s="17"/>
      <c r="R108" s="16"/>
      <c r="S108" s="16"/>
    </row>
    <row r="109" spans="1:19" ht="13.2">
      <c r="A109" s="19"/>
      <c r="B109" s="20"/>
      <c r="Q109" s="17"/>
      <c r="R109" s="16"/>
      <c r="S109" s="16"/>
    </row>
    <row r="110" spans="1:19" ht="13.2">
      <c r="A110" s="19"/>
      <c r="B110" s="20"/>
      <c r="Q110" s="17"/>
      <c r="R110" s="16"/>
      <c r="S110" s="16"/>
    </row>
    <row r="111" spans="1:19" ht="13.2">
      <c r="A111" s="19"/>
      <c r="B111" s="20"/>
      <c r="Q111" s="17"/>
      <c r="R111" s="16"/>
      <c r="S111" s="16"/>
    </row>
    <row r="112" spans="1:19" ht="13.2">
      <c r="A112" s="19"/>
      <c r="B112" s="20"/>
      <c r="Q112" s="17"/>
      <c r="R112" s="16"/>
      <c r="S112" s="16"/>
    </row>
    <row r="113" spans="1:19" ht="13.2">
      <c r="A113" s="19"/>
      <c r="B113" s="20"/>
      <c r="Q113" s="17"/>
      <c r="R113" s="16"/>
      <c r="S113" s="16"/>
    </row>
    <row r="114" spans="1:19" ht="13.2">
      <c r="A114" s="19"/>
      <c r="B114" s="20"/>
      <c r="Q114" s="17"/>
      <c r="R114" s="16"/>
      <c r="S114" s="16"/>
    </row>
    <row r="115" spans="1:19" ht="13.2">
      <c r="A115" s="19"/>
      <c r="B115" s="20"/>
      <c r="Q115" s="17"/>
      <c r="R115" s="16"/>
      <c r="S115" s="16"/>
    </row>
    <row r="116" spans="1:19" ht="13.2">
      <c r="A116" s="19"/>
      <c r="B116" s="20"/>
      <c r="Q116" s="17"/>
      <c r="R116" s="16"/>
      <c r="S116" s="16"/>
    </row>
    <row r="117" spans="1:19" ht="13.2">
      <c r="A117" s="19"/>
      <c r="B117" s="20"/>
      <c r="Q117" s="17"/>
      <c r="R117" s="16"/>
      <c r="S117" s="16"/>
    </row>
    <row r="118" spans="1:19" ht="13.2">
      <c r="A118" s="19"/>
      <c r="B118" s="20"/>
      <c r="Q118" s="17"/>
      <c r="R118" s="16"/>
      <c r="S118" s="16"/>
    </row>
    <row r="119" spans="1:19" ht="13.2">
      <c r="A119" s="19"/>
      <c r="B119" s="20"/>
      <c r="Q119" s="17"/>
      <c r="R119" s="16"/>
      <c r="S119" s="16"/>
    </row>
    <row r="120" spans="1:19" ht="13.2">
      <c r="A120" s="19"/>
      <c r="B120" s="20"/>
      <c r="Q120" s="17"/>
      <c r="R120" s="16"/>
      <c r="S120" s="16"/>
    </row>
    <row r="121" spans="1:19" ht="13.2">
      <c r="A121" s="19"/>
      <c r="B121" s="20"/>
      <c r="Q121" s="17"/>
      <c r="R121" s="16"/>
      <c r="S121" s="16"/>
    </row>
    <row r="122" spans="1:19" ht="13.2">
      <c r="A122" s="19"/>
      <c r="B122" s="20"/>
      <c r="Q122" s="17"/>
      <c r="R122" s="16"/>
      <c r="S122" s="16"/>
    </row>
    <row r="123" spans="1:19" ht="13.2">
      <c r="A123" s="19"/>
      <c r="B123" s="20"/>
      <c r="Q123" s="17"/>
      <c r="R123" s="16"/>
      <c r="S123" s="16"/>
    </row>
    <row r="124" spans="1:19" ht="13.2">
      <c r="A124" s="19"/>
      <c r="B124" s="20"/>
      <c r="Q124" s="17"/>
      <c r="R124" s="16"/>
      <c r="S124" s="16"/>
    </row>
    <row r="125" spans="1:19" ht="13.2">
      <c r="A125" s="19"/>
      <c r="B125" s="20"/>
      <c r="Q125" s="17"/>
      <c r="R125" s="16"/>
      <c r="S125" s="16"/>
    </row>
    <row r="126" spans="1:19" ht="13.2">
      <c r="A126" s="19"/>
      <c r="B126" s="20"/>
      <c r="R126" s="16"/>
      <c r="S126" s="16"/>
    </row>
    <row r="127" spans="1:19" ht="13.2">
      <c r="A127" s="19"/>
      <c r="B127" s="20"/>
    </row>
    <row r="128" spans="1:19" ht="13.2">
      <c r="A128" s="19"/>
      <c r="B128" s="20"/>
    </row>
    <row r="129" spans="1:2" ht="13.2">
      <c r="A129" s="19"/>
      <c r="B129" s="20"/>
    </row>
    <row r="130" spans="1:2" ht="13.2">
      <c r="A130" s="19"/>
      <c r="B130" s="20"/>
    </row>
    <row r="131" spans="1:2" ht="13.2">
      <c r="A131" s="19"/>
      <c r="B131" s="20"/>
    </row>
    <row r="132" spans="1:2" ht="13.2">
      <c r="A132" s="19"/>
      <c r="B132" s="20"/>
    </row>
    <row r="133" spans="1:2" ht="13.2">
      <c r="A133" s="19"/>
      <c r="B133" s="20"/>
    </row>
    <row r="134" spans="1:2" ht="13.2">
      <c r="A134" s="19"/>
      <c r="B134" s="20"/>
    </row>
    <row r="135" spans="1:2" ht="13.2">
      <c r="A135" s="19"/>
      <c r="B135" s="20"/>
    </row>
    <row r="136" spans="1:2" ht="13.2">
      <c r="A136" s="19"/>
      <c r="B136" s="20"/>
    </row>
    <row r="137" spans="1:2" ht="13.2">
      <c r="A137" s="19"/>
      <c r="B137" s="20"/>
    </row>
  </sheetData>
  <phoneticPr fontId="2" type="noConversion"/>
  <printOptions horizontalCentered="1" verticalCentered="1"/>
  <pageMargins left="0.75" right="0.75" top="1" bottom="1" header="0.5" footer="0.5"/>
  <pageSetup scale="57" orientation="portrait" r:id="rId1"/>
  <headerFooter alignWithMargins="0">
    <oddFooter>&amp;L&amp;8Source: October Data Clearinghouse</oddFooter>
  </headerFooter>
  <ignoredErrors>
    <ignoredError sqref="C95 D95:O9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Districts</vt:lpstr>
      <vt:lpstr>Charters</vt:lpstr>
      <vt:lpstr>Charters!Print_Area</vt:lpstr>
      <vt:lpstr>Districts!Print_Area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sford</dc:creator>
  <cp:lastModifiedBy>Raphael, Randy</cp:lastModifiedBy>
  <cp:lastPrinted>2011-12-15T18:15:46Z</cp:lastPrinted>
  <dcterms:created xsi:type="dcterms:W3CDTF">2007-12-06T22:03:15Z</dcterms:created>
  <dcterms:modified xsi:type="dcterms:W3CDTF">2013-04-24T16:26:16Z</dcterms:modified>
</cp:coreProperties>
</file>